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f4375ea7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ad202ff7a642bc"/>
    <x:sheet xmlns:r="http://schemas.openxmlformats.org/officeDocument/2006/relationships" name="Guidance History" sheetId="2" r:id="Ra09abbf78f774ac7"/>
    <x:sheet xmlns:r="http://schemas.openxmlformats.org/officeDocument/2006/relationships" name="Event Panel" sheetId="3" r:id="R6d8a93c49b274cf0"/>
    <x:sheet xmlns:r="http://schemas.openxmlformats.org/officeDocument/2006/relationships" name="Comparison" sheetId="4" r:id="Rca342a4628d0405f"/>
    <x:sheet xmlns:r="http://schemas.openxmlformats.org/officeDocument/2006/relationships" name="Revenue Weights" sheetId="5" r:id="Rb551bdba5fee4bfd"/>
    <x:sheet xmlns:r="http://schemas.openxmlformats.org/officeDocument/2006/relationships" name="Usability Score" sheetId="6" r:id="Ree8f205493a34c15"/>
    <x:sheet xmlns:r="http://schemas.openxmlformats.org/officeDocument/2006/relationships" name="Observations" sheetId="7" r:id="Rde9d0dd378d7432e"/>
    <x:sheet xmlns:r="http://schemas.openxmlformats.org/officeDocument/2006/relationships" name="Source &amp; Permissions" sheetId="8" r:id="Refbb48dacd0d453f"/>
    <x:sheet xmlns:r="http://schemas.openxmlformats.org/officeDocument/2006/relationships" name="Methodology" sheetId="9" r:id="R12fd577f430049d2"/>
    <x:sheet xmlns:r="http://schemas.openxmlformats.org/officeDocument/2006/relationships" name="Checks" sheetId="10" r:id="R0efe361e7255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 hh:mm"/>
    <x:numFmt numFmtId="201" formatCode="$#,##0;[Red]($#,##0);-"/>
    <x:numFmt numFmtId="202" formatCode="0.0%;[Red](0.0%);-"/>
    <x:numFmt numFmtId="203" formatCode="yyyy-mm-dd"/>
    <x:numFmt numFmtId="204" formatCode="$#,##0"/>
    <x:numFmt numFmtId="205" formatCode="0.0%"/>
    <x:numFmt numFmtId="206" formatCode="0.00;[Red](0.00);-"/>
    <x:numFmt numFmtId="207" formatCode="0%"/>
    <x:numFmt numFmtId="208" formatCode="0.0"/>
    <x:numFmt numFmtId="209" formatCode="0.000;[Red](0.000);-"/>
    <x:numFmt numFmtId="21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4213D"/>
      <x:name val="Carlito"/>
    </x:font>
    <x:font>
      <x:b/>
      <x:sz val="11"/>
      <x:color rgb="FFFFFFFF"/>
      <x:name val="Carlito"/>
    </x:font>
    <x:font>
      <x:sz val="9"/>
      <x:color rgb="FF666666"/>
      <x:name val="Carlito"/>
    </x:font>
    <x:font>
      <x:b/>
      <x:sz val="11"/>
      <x:color rgb="FF14213D"/>
      <x:name val="Carlito"/>
    </x:font>
    <x:font>
      <x:b/>
      <x:sz val="12"/>
      <x:color rgb="FF14213D"/>
      <x:name val="Carlito"/>
    </x:font>
    <x:font>
      <x:sz val="11"/>
      <x:color rgb="FF008000"/>
      <x:name val="Carlito"/>
    </x:font>
    <x:font>
      <x:b/>
      <x:sz val="20"/>
      <x:color rgb="FF008000"/>
      <x:name val="Carlito"/>
    </x:font>
    <x:font>
      <x:b/>
      <x:sz val="11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D3"/>
      </x:patternFill>
    </x:fill>
    <x:fill>
      <x:patternFill patternType="solid">
        <x:fgColor rgb="FFFFFDF5"/>
      </x:patternFill>
    </x:fill>
  </x:fills>
  <x:borders count="4">
    <x:border/>
    <x:border>
      <x:left style="thin">
        <x:color rgb="FF14213D"/>
      </x:left>
      <x:top style="thin">
        <x:color rgb="FF14213D"/>
      </x:top>
      <x:bottom style="thin">
        <x:color rgb="FF14213D"/>
      </x:bottom>
    </x:border>
    <x:border>
      <x:top style="thin">
        <x:color rgb="FF14213D"/>
      </x:top>
      <x:bottom style="thin">
        <x:color rgb="FF14213D"/>
      </x:bottom>
    </x:border>
    <x:border>
      <x:right style="thin">
        <x:color rgb="FF14213D"/>
      </x:right>
      <x:top style="thin">
        <x:color rgb="FF14213D"/>
      </x:top>
      <x:bottom style="thin">
        <x:color rgb="FF14213D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4" fontId="0" fillId="7" borderId="0" xfId="0" applyNumberFormat="1" applyFont="1" applyFill="1" applyBorder="1"/>
    <x:xf numFmtId="205" fontId="0" fillId="7" borderId="0" xfId="0" applyNumberFormat="1" applyFont="1" applyFill="1" applyBorder="1"/>
    <x:xf numFmtId="200" fontId="0" fillId="7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205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5" fontId="0" fillId="8" borderId="0" xfId="0" applyNumberFormat="1" applyFont="1" applyFill="1" applyBorder="1"/>
    <x:xf numFmtId="205" fontId="0" fillId="8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208" fontId="0" fillId="0" borderId="0" xfId="0" applyNumberFormat="1" applyFont="1" applyFill="1" applyBorder="1" applyAlignment="1">
      <x:alignment wrapText="1"/>
    </x:xf>
    <x:xf numFmtId="208" fontId="0" fillId="6" borderId="0" xfId="0" applyNumberFormat="1" applyFont="1" applyFill="1" applyBorder="1"/>
    <x:xf numFmtId="208" fontId="5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5" borderId="0" xfId="0" applyNumberFormat="1" applyFont="1" applyFill="1" applyBorder="1"/>
    <x:xf numFmtId="209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208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210" fontId="0" fillId="5" borderId="0" xfId="0" applyNumberFormat="1" applyFont="1" applyFill="1" applyBorder="1"/>
    <x:xf numFmtId="210" fontId="0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4213D"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d2ad89ecf410d" /><Relationship Type="http://schemas.openxmlformats.org/officeDocument/2006/relationships/theme" Target="/xl/theme/theme1.xml" Id="R4248a72de9dd4ebd" /><Relationship Type="http://schemas.microsoft.com/office/2022/11/relationships/FeaturePropertyBag" Target="/xl/featurePropertyBag/featurePropertyBag.xml" Id="R2a47c8e05128435c" /><Relationship Type="http://schemas.openxmlformats.org/officeDocument/2006/relationships/sharedStrings" Target="/xl/sharedStrings.xml" Id="R00e9b08761f34ea6" /><Relationship Type="http://schemas.openxmlformats.org/officeDocument/2006/relationships/worksheet" Target="/xl/worksheets/sheet1.xml" Id="Rc8ad202ff7a642bc" /><Relationship Type="http://schemas.openxmlformats.org/officeDocument/2006/relationships/worksheet" Target="/xl/worksheets/sheet2.xml" Id="Ra09abbf78f774ac7" /><Relationship Type="http://schemas.openxmlformats.org/officeDocument/2006/relationships/worksheet" Target="/xl/worksheets/sheet3.xml" Id="R6d8a93c49b274cf0" /><Relationship Type="http://schemas.openxmlformats.org/officeDocument/2006/relationships/worksheet" Target="/xl/worksheets/sheet4.xml" Id="Rca342a4628d0405f" /><Relationship Type="http://schemas.openxmlformats.org/officeDocument/2006/relationships/worksheet" Target="/xl/worksheets/sheet5.xml" Id="Rb551bdba5fee4bfd" /><Relationship Type="http://schemas.openxmlformats.org/officeDocument/2006/relationships/worksheet" Target="/xl/worksheets/sheet6.xml" Id="Ree8f205493a34c15" /><Relationship Type="http://schemas.openxmlformats.org/officeDocument/2006/relationships/worksheet" Target="/xl/worksheets/sheet7.xml" Id="Rde9d0dd378d7432e" /><Relationship Type="http://schemas.openxmlformats.org/officeDocument/2006/relationships/worksheet" Target="/xl/worksheets/sheet8.xml" Id="Refbb48dacd0d453f" /><Relationship Type="http://schemas.openxmlformats.org/officeDocument/2006/relationships/worksheet" Target="/xl/worksheets/sheet9.xml" Id="R12fd577f430049d2" /><Relationship Type="http://schemas.openxmlformats.org/officeDocument/2006/relationships/worksheet" Target="/xl/worksheets/sheet10.xml" Id="R0efe361e725548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6557670c6d4d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Alt-data growth versus guidance growth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Guidance YoY</c:v>
          </c:tx>
          <c:spPr>
            <a:solidFill xmlns:a="http://schemas.openxmlformats.org/drawingml/2006/main">
              <a:srgbClr val="14213D"/>
            </a:solidFill>
          </c:spPr>
          <c:marker>
            <c:symbol val="none"/>
          </c:marker>
          <c:cat>
            <c:strRef>
              <c:f>'Dashboard'!$A$14:$A$29</c:f>
              <c:strCache>
                <c:ptCount val="0"/>
              </c:strCache>
            </c:strRef>
          </c:cat>
          <c:val>
            <c:numRef>
              <c:f>'Dashboard'!$B$14:$B$29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U.S. SFO YoY</c:v>
          </c:tx>
          <c:spPr>
            <a:solidFill xmlns:a="http://schemas.openxmlformats.org/drawingml/2006/main">
              <a:srgbClr val="F4A261"/>
            </a:solidFill>
          </c:spPr>
          <c:marker>
            <c:symbol val="none"/>
          </c:marker>
          <c:cat>
            <c:strRef>
              <c:f>'Dashboard'!$A$14:$A$29</c:f>
              <c:strCache>
                <c:ptCount val="0"/>
              </c:strCache>
            </c:strRef>
          </c:cat>
          <c:val>
            <c:numRef>
              <c:f>'Dashboard'!$C$14:$C$29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EU platform YoY</c:v>
          </c:tx>
          <c:spPr>
            <a:solidFill xmlns:a="http://schemas.openxmlformats.org/drawingml/2006/main">
              <a:srgbClr val="2A9D8F"/>
            </a:solidFill>
          </c:spPr>
          <c:marker>
            <c:symbol val="none"/>
          </c:marker>
          <c:cat>
            <c:strRef>
              <c:f>'Dashboard'!$A$14:$A$29</c:f>
              <c:strCache>
                <c:ptCount val="0"/>
              </c:strCache>
            </c:strRef>
          </c:cat>
          <c:val>
            <c:numRef>
              <c:f>'Dashboard'!$D$14:$D$29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50/50 benchmark</c:v>
          </c:tx>
          <c:spPr>
            <a:solidFill xmlns:a="http://schemas.openxmlformats.org/drawingml/2006/main">
              <a:srgbClr val="E7E6E6"/>
            </a:solidFill>
          </c:spPr>
          <c:marker>
            <c:symbol val="none"/>
          </c:marker>
          <c:cat>
            <c:strRef>
              <c:f>'Dashboard'!$A$14:$A$29</c:f>
              <c:strCache>
                <c:ptCount val="0"/>
              </c:strCache>
            </c:strRef>
          </c:cat>
          <c:val>
            <c:numRef>
              <c:f>'Dashboard'!$E$14:$E$29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Revenue-weighted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'Dashboard'!$A$14:$A$29</c:f>
              <c:strCache>
                <c:ptCount val="0"/>
              </c:strCache>
            </c:strRef>
          </c:cat>
          <c:val>
            <c:numRef>
              <c:f>'Dashboard'!$F$14:$F$29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6557670c6d4dd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anceHistoryTable" displayName="GuidanceHistoryTable" ref="A6:Q29" headerRowCount="1" totalsRowCount="0" totalsRowShown="0">
  <x:tableColumns count="17">
    <x:tableColumn id="1" name="Event #"/>
    <x:tableColumn id="2" name="Prediction ID"/>
    <x:tableColumn id="3" name="Issuing quarter"/>
    <x:tableColumn id="4" name="Guided quarter"/>
    <x:tableColumn id="5" name="Available at (UTC)"/>
    <x:tableColumn id="6" name="Target type"/>
    <x:tableColumn id="7" name="Low ($mm)"/>
    <x:tableColumn id="8" name="High ($mm)"/>
    <x:tableColumn id="9" name="Midpoint ($mm)"/>
    <x:tableColumn id="10" name="Range width ($mm)"/>
    <x:tableColumn id="11" name="Prior-year guided quarter"/>
    <x:tableColumn id="12" name="Prior-year midpoint ($mm)"/>
    <x:tableColumn id="13" name="Guidance YoY growth"/>
    <x:tableColumn id="14" name="Sequential acceleration"/>
    <x:tableColumn id="15" name="Source ID"/>
    <x:tableColumn id="16" name="Source URL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PanelTable" displayName="EventPanelTable" ref="A6:Y144" headerRowCount="1" totalsRowCount="0" totalsRowShown="0">
  <x:tableColumns count="25">
    <x:tableColumn id="1" name="Event #"/>
    <x:tableColumn id="2" name="Prediction ID"/>
    <x:tableColumn id="3" name="Issuing quarter"/>
    <x:tableColumn id="4" name="Guided quarter"/>
    <x:tableColumn id="5" name="Guidance cutoff (UTC)"/>
    <x:tableColumn id="6" name="Midpoint ($mm)"/>
    <x:tableColumn id="7" name="Guidance YoY"/>
    <x:tableColumn id="8" name="Guidance acceleration"/>
    <x:tableColumn id="9" name="Feature ID"/>
    <x:tableColumn id="10" name="Feature value"/>
    <x:tableColumn id="11" name="Feature change"/>
    <x:tableColumn id="12" name="Feature reference period"/>
    <x:tableColumn id="13" name="Assumed diagnostic availability"/>
    <x:tableColumn id="14" name="Diagnostic value available"/>
    <x:tableColumn id="15" name="Strict PIT eligible"/>
    <x:tableColumn id="16" name="Direction match"/>
    <x:tableColumn id="17" name="Evidence status"/>
    <x:tableColumn id="18" name="Interpretation"/>
    <x:tableColumn id="19" name="Weight fiscal year"/>
    <x:tableColumn id="20" name="U.S. revenue ($mm)"/>
    <x:tableColumn id="21" name="EMEA revenue ($mm)"/>
    <x:tableColumn id="22" name="U.S. weight"/>
    <x:tableColumn id="23" name="EMEA weight"/>
    <x:tableColumn id="24" name="Weight available (UTC)"/>
    <x:tableColumn id="25" name="Weight 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Table" displayName="ComparisonTable" ref="A6:O12" headerRowCount="1" totalsRowCount="0" totalsRowShown="0">
  <x:tableColumns count="15">
    <x:tableColumn id="1" name="Descriptive rank"/>
    <x:tableColumn id="2" name="Feature ID"/>
    <x:tableColumn id="3" name="Feature"/>
    <x:tableColumn id="4" name="Diagnostic events"/>
    <x:tableColumn id="5" name="Strict PIT events"/>
    <x:tableColumn id="6" name="Level n"/>
    <x:tableColumn id="7" name="Level Pearson"/>
    <x:tableColumn id="8" name="Level Spearman"/>
    <x:tableColumn id="9" name="Acceleration n"/>
    <x:tableColumn id="10" name="Acceleration Pearson"/>
    <x:tableColumn id="11" name="Acceleration Spearman"/>
    <x:tableColumn id="12" name="Direction n"/>
    <x:tableColumn id="13" name="Direction concordance"/>
    <x:tableColumn id="14" name="What it says"/>
    <x:tableColumn id="15" name="Next research 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enueWeightTable" displayName="RevenueWeightTable" ref="A6:J11" headerRowCount="1" totalsRowCount="0" totalsRowShown="0">
  <x:tableColumns count="10">
    <x:tableColumn id="1" name="Fiscal year"/>
    <x:tableColumn id="2" name="10-K accepted (UTC)"/>
    <x:tableColumn id="3" name="U.S. revenue ($mm)"/>
    <x:tableColumn id="4" name="EMEA revenue ($mm)"/>
    <x:tableColumn id="5" name="Total revenue ($mm)"/>
    <x:tableColumn id="6" name="U.S. sleeve weight"/>
    <x:tableColumn id="7" name="EMEA sleeve weight"/>
    <x:tableColumn id="8" name="Covered revenue share"/>
    <x:tableColumn id="9" name="Scope"/>
    <x:tableColumn id="10" name="Official fil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sabilityScoreTable" displayName="UsabilityScoreTable" ref="A7:E13" headerRowCount="1" totalsRowCount="0" totalsRowShown="0">
  <x:tableColumns count="5">
    <x:tableColumn id="1" name="Dimension"/>
    <x:tableColumn id="2" name="Weight"/>
    <x:tableColumn id="3" name="Score (0–10)"/>
    <x:tableColumn id="4" name="Weighted points"/>
    <x:tableColumn id="5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bservationTable" displayName="ObservationTable" ref="A6:P531" headerRowCount="1" totalsRowCount="0" totalsRowShown="0">
  <x:tableColumns count="16">
    <x:tableColumn id="1" name="Observation ID"/>
    <x:tableColumn id="2" name="Source ID"/>
    <x:tableColumn id="3" name="Provider"/>
    <x:tableColumn id="4" name="Region"/>
    <x:tableColumn id="5" name="Geography"/>
    <x:tableColumn id="6" name="Reference period"/>
    <x:tableColumn id="7" name="Metric"/>
    <x:tableColumn id="8" name="Segment 1"/>
    <x:tableColumn id="9" name="Segment 2"/>
    <x:tableColumn id="10" name="Value"/>
    <x:tableColumn id="11" name="Unit"/>
    <x:tableColumn id="12" name="Observed first available"/>
    <x:tableColumn id="13" name="Source loaded at"/>
    <x:tableColumn id="14" name="Collected at"/>
    <x:tableColumn id="15" name="Included in feature"/>
    <x:tableColumn id="16" name="PIT treat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PermissionTable" displayName="SourcePermissionTable" ref="A6:J21" headerRowCount="1" totalsRowCount="0" totalsRowShown="0">
  <x:tableColumns count="10">
    <x:tableColumn id="1" name="Source ID"/>
    <x:tableColumn id="2" name="Region"/>
    <x:tableColumn id="3" name="Provider"/>
    <x:tableColumn id="4" name="Dataset"/>
    <x:tableColumn id="5" name="Gate result"/>
    <x:tableColumn id="6" name="Collection outcome"/>
    <x:tableColumn id="7" name="Compiled rows"/>
    <x:tableColumn id="8" name="Strict PIT rows"/>
    <x:tableColumn id="9" name="Reason"/>
    <x:tableColumn id="10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1cbf25c1794b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af178e55ae46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aa567879d647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2fab66eed245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6573ca2b9340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23d01d6bd5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b2023e83d148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93fb20552a46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5" customHeight="1">
      <x:c r="A1" s="3" t="str">
        <x:v>ABNB U.S. + Europe alternative-data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32" customHeight="1">
      <x:c r="A3" s="7" t="str">
        <x:v>Outcome: the point-in-time revenue-weighted U.S./EMEA composite narrowly ranks first, but its gain over 50/50 and SFO is immaterial and does not establish forecasting edge.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>
      <x:c r="A5" s="9" t="str">
        <x:v>Sources audited</x:v>
      </x:c>
      <x:c r="B5" s="9"/>
      <x:c r="C5" s="9"/>
      <x:c r="E5" s="9" t="str">
        <x:v>Compiled observations</x:v>
      </x:c>
      <x:c r="F5" s="9"/>
      <x:c r="G5" s="9"/>
      <x:c r="I5" s="9" t="str">
        <x:v>Usability score / 10</x:v>
      </x:c>
      <x:c r="J5" s="9"/>
      <x:c r="K5" s="9"/>
      <x:c r="M5" s="9" t="str">
        <x:v>Current status</x:v>
      </x:c>
      <x:c r="N5" s="9"/>
      <x:c r="O5" s="9"/>
      <x:c r="P5" s="9"/>
      <x:c r="Q5" s="9"/>
    </x:row>
    <x:row r="6">
      <x:c r="A6" s="83" t="n">
        <x:f>'Checks'!B6</x:f>
        <x:v>15</x:v>
      </x:c>
      <x:c r="B6" s="83"/>
      <x:c r="C6" s="83"/>
      <x:c r="E6" s="83" t="n">
        <x:f>'Checks'!B7</x:f>
        <x:v>525</x:v>
      </x:c>
      <x:c r="F6" s="83"/>
      <x:c r="G6" s="83"/>
      <x:c r="I6" s="87" t="n">
        <x:f>'Usability Score'!B15</x:f>
        <x:v>4.1</x:v>
      </x:c>
      <x:c r="J6" s="87"/>
      <x:c r="K6" s="87"/>
      <x:c r="M6" s="91" t="str">
        <x:f>'Checks'!A15</x:f>
        <x:v>OK — DIAGNOSTIC PANEL VALIDATED / NOT PIT-APPROVED</x:v>
      </x:c>
      <x:c r="N6" s="91"/>
      <x:c r="O6" s="91"/>
      <x:c r="P6" s="91"/>
      <x:c r="Q6" s="91"/>
    </x:row>
    <x:row r="7">
      <x:c r="A7" s="83"/>
      <x:c r="B7" s="83"/>
      <x:c r="C7" s="83"/>
      <x:c r="E7" s="83"/>
      <x:c r="F7" s="83"/>
      <x:c r="G7" s="83"/>
      <x:c r="I7" s="87"/>
      <x:c r="J7" s="87"/>
      <x:c r="K7" s="87"/>
      <x:c r="M7" s="91"/>
      <x:c r="N7" s="91"/>
      <x:c r="O7" s="91"/>
      <x:c r="P7" s="91"/>
      <x:c r="Q7" s="91"/>
    </x:row>
    <x:row r="8">
      <x:c r="A8" s="83"/>
      <x:c r="B8" s="83"/>
      <x:c r="C8" s="83"/>
      <x:c r="E8" s="83"/>
      <x:c r="F8" s="83"/>
      <x:c r="G8" s="83"/>
      <x:c r="I8" s="87"/>
      <x:c r="J8" s="87"/>
      <x:c r="K8" s="87"/>
      <x:c r="M8" s="91"/>
      <x:c r="N8" s="91"/>
      <x:c r="O8" s="91"/>
      <x:c r="P8" s="91"/>
      <x:c r="Q8" s="91"/>
    </x:row>
    <x:row r="11">
      <x:c r="A11" s="55" t="str">
        <x:v>Guidance-growth comparison by event</x:v>
      </x:c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</x:row>
    <x:row r="13">
      <x:c r="A13" s="16" t="str">
        <x:v>Guided quarter</x:v>
      </x:c>
      <x:c r="B13" s="17" t="str">
        <x:v>Guidance YoY</x:v>
      </x:c>
      <x:c r="C13" s="17" t="str">
        <x:v>U.S. SFO YoY</x:v>
      </x:c>
      <x:c r="D13" s="17" t="str">
        <x:v>EU platform YoY</x:v>
      </x:c>
      <x:c r="E13" s="17" t="str">
        <x:v>50/50 benchmark</x:v>
      </x:c>
      <x:c r="F13" s="18" t="str">
        <x:v>Revenue-weighted</x:v>
      </x:c>
    </x:row>
    <x:row r="14">
      <x:c r="A14" s="23" t="str">
        <x:v>2022Q4</x:v>
      </x:c>
      <x:c r="B14" s="26" t="n">
        <x:v>0.2822299651567943</x:v>
      </x:c>
      <x:c r="C14" s="26" t="n">
        <x:v>0.6255529795592949</x:v>
      </x:c>
      <x:c r="D14" s="26" t="n">
        <x:v>1.5367193414967404</x:v>
      </x:c>
      <x:c r="E14" s="26" t="n">
        <x:v>1.0811361605280176</x:v>
      </x:c>
      <x:c r="F14" s="26" t="n">
        <x:v>0.9826591790521317</x:v>
      </x:c>
    </x:row>
    <x:row r="15">
      <x:c r="A15" s="23" t="str">
        <x:v>2023Q1</x:v>
      </x:c>
      <x:c r="B15" s="26" t="n">
        <x:v>0.23529411764705888</x:v>
      </x:c>
      <x:c r="C15" s="26" t="n">
        <x:v>0.45011190196769624</x:v>
      </x:c>
      <x:c r="D15" s="26" t="n">
        <x:v>0.34838002995985806</x:v>
      </x:c>
      <x:c r="E15" s="26" t="n">
        <x:v>0.39924596596377715</x:v>
      </x:c>
      <x:c r="F15" s="26" t="n">
        <x:v>0.41024093690840346</x:v>
      </x:c>
    </x:row>
    <x:row r="16">
      <x:c r="A16" s="23" t="str">
        <x:v>2023Q2</x:v>
      </x:c>
      <x:c r="B16" s="26" t="n">
        <x:v>0.15384615384615374</x:v>
      </x:c>
      <x:c r="C16" s="26" t="n">
        <x:v>0.4108151603910315</x:v>
      </x:c>
      <x:c r="D16" s="26" t="n">
        <x:v>0.3870293145448256</x:v>
      </x:c>
      <x:c r="E16" s="26" t="n">
        <x:v>0.39892223746792854</x:v>
      </x:c>
      <x:c r="F16" s="26" t="n">
        <x:v>0.40060826088203444</x:v>
      </x:c>
    </x:row>
    <x:row r="17">
      <x:c r="A17" s="23" t="str">
        <x:v>2023Q3</x:v>
      </x:c>
      <x:c r="B17" s="26" t="n">
        <x:v>0.18374558303886923</x:v>
      </x:c>
      <x:c r="C17" s="26" t="n">
        <x:v>0.20076673880115092</x:v>
      </x:c>
      <x:c r="D17" s="26" t="n">
        <x:v>0.33883088411362405</x:v>
      </x:c>
      <x:c r="E17" s="26" t="n">
        <x:v>0.2697988114573875</x:v>
      </x:c>
      <x:c r="F17" s="26" t="n">
        <x:v>0.26001234503738097</x:v>
      </x:c>
    </x:row>
    <x:row r="18">
      <x:c r="A18" s="23" t="str">
        <x:v>2023Q4</x:v>
      </x:c>
      <x:c r="B18" s="26" t="n">
        <x:v>0.1684782608695652</x:v>
      </x:c>
      <x:c r="C18" s="26" t="n">
        <x:v>0.15655373228457736</x:v>
      </x:c>
      <x:c r="D18" s="26" t="n">
        <x:v>0.250164986790939</x:v>
      </x:c>
      <x:c r="E18" s="26" t="n">
        <x:v>0.2033593595377582</x:v>
      </x:c>
      <x:c r="F18" s="26" t="n">
        <x:v>0.19672386850069146</x:v>
      </x:c>
    </x:row>
    <x:row r="19">
      <x:c r="A19" s="23" t="str">
        <x:v>2024Q1</x:v>
      </x:c>
      <x:c r="B19" s="26" t="n">
        <x:v>0.14845938375350132</x:v>
      </x:c>
      <x:c r="C19" s="26" t="n">
        <x:v>0.12068907184578026</x:v>
      </x:c>
      <x:c r="D19" s="26" t="n">
        <x:v>0.13788859848409585</x:v>
      </x:c>
      <x:c r="E19" s="26" t="n">
        <x:v>0.12928883516493805</x:v>
      </x:c>
      <x:c r="F19" s="26" t="n">
        <x:v>0.1280696729450516</x:v>
      </x:c>
    </x:row>
    <x:row r="20">
      <x:c r="A20" s="23" t="str">
        <x:v>2024Q2</x:v>
      </x:c>
      <x:c r="B20" s="26" t="n">
        <x:v>0.12916666666666665</x:v>
      </x:c>
      <x:c r="C20" s="26" t="n">
        <x:v>0.09179616429570725</x:v>
      </x:c>
      <x:c r="D20" s="26" t="n">
        <x:v>0.2265422891342168</x:v>
      </x:c>
      <x:c r="E20" s="26" t="n">
        <x:v>0.15916922671496203</x:v>
      </x:c>
      <x:c r="F20" s="26" t="n">
        <x:v>0.15341630867157216</x:v>
      </x:c>
    </x:row>
    <x:row r="21">
      <x:c r="A21" s="23" t="str">
        <x:v>2024Q3</x:v>
      </x:c>
      <x:c r="B21" s="26" t="n">
        <x:v>0.10447761194029859</x:v>
      </x:c>
      <x:c r="C21" s="26" t="n">
        <x:v>0.04534022951720407</x:v>
      </x:c>
      <x:c r="D21" s="26" t="n">
        <x:v>0.2832971005690179</x:v>
      </x:c>
      <x:c r="E21" s="26" t="n">
        <x:v>0.164318665043111</x:v>
      </x:c>
      <x:c r="F21" s="26" t="n">
        <x:v>0.15415921608928593</x:v>
      </x:c>
    </x:row>
    <x:row r="22">
      <x:c r="A22" s="23" t="str">
        <x:v>2024Q4</x:v>
      </x:c>
      <x:c r="B22" s="26" t="n">
        <x:v>0.12325581395348828</x:v>
      </x:c>
      <x:c r="C22" s="26" t="n">
        <x:v>0.009907857967141886</x:v>
      </x:c>
      <x:c r="D22" s="26" t="n">
        <x:v>0.16154119839349157</x:v>
      </x:c>
      <x:c r="E22" s="26" t="n">
        <x:v>0.08572452818031673</x:v>
      </x:c>
      <x:c r="F22" s="26" t="n">
        <x:v>0.0792506189590779</x:v>
      </x:c>
    </x:row>
    <x:row r="23">
      <x:c r="A23" s="23" t="str">
        <x:v>2025Q1</x:v>
      </x:c>
      <x:c r="B23" s="26" t="n">
        <x:v>0.09756097560975618</x:v>
      </x:c>
      <x:c r="C23" s="26" t="n">
        <x:v>0.031189931605847043</x:v>
      </x:c>
      <x:c r="D23" s="26" t="n">
        <x:v>0.17954742792243072</x:v>
      </x:c>
      <x:c r="E23" s="26" t="n">
        <x:v>0.10536867976413888</x:v>
      </x:c>
      <x:c r="F23" s="26" t="n">
        <x:v>0.09903463105992041</x:v>
      </x:c>
    </x:row>
    <x:row r="24">
      <x:c r="A24" s="23" t="str">
        <x:v>2025Q2</x:v>
      </x:c>
      <x:c r="B24" s="26" t="n">
        <x:v>0.11439114391143912</x:v>
      </x:c>
      <x:c r="C24" s="26" t="n">
        <x:v>0.08760940934467532</x:v>
      </x:c>
      <x:c r="D24" s="26" t="n">
        <x:v>0.1738216628561602</x:v>
      </x:c>
      <x:c r="E24" s="26" t="n">
        <x:v>0.13071553610041775</x:v>
      </x:c>
      <x:c r="F24" s="26" t="n">
        <x:v>0.12823478464609867</x:v>
      </x:c>
    </x:row>
    <x:row r="25">
      <x:c r="A25" s="23" t="str">
        <x:v>2025Q3</x:v>
      </x:c>
      <x:c r="B25" s="26" t="n">
        <x:v>0.09729729729729719</x:v>
      </x:c>
      <x:c r="C25" s="26" t="n">
        <x:v>0.06425482088686896</x:v>
      </x:c>
      <x:c r="D25" s="26" t="n">
        <x:v>0.06294209952707974</x:v>
      </x:c>
      <x:c r="E25" s="26" t="n">
        <x:v>0.06359846020697435</x:v>
      </x:c>
      <x:c r="F25" s="26" t="n">
        <x:v>0.06363623367060361</x:v>
      </x:c>
    </x:row>
    <x:row r="26">
      <x:c r="A26" s="23" t="str">
        <x:v>2025Q4</x:v>
      </x:c>
      <x:c r="B26" s="26" t="n">
        <x:v>0.11387163561076608</x:v>
      </x:c>
      <x:c r="C26" s="26" t="n">
        <x:v>0.04868571404892075</x:v>
      </x:c>
      <x:c r="D26" s="26" t="n">
        <x:v>0.1764757000375028</x:v>
      </x:c>
      <x:c r="E26" s="26" t="n">
        <x:v>0.11258070704321177</x:v>
      </x:c>
      <x:c r="F26" s="26" t="n">
        <x:v>0.10890355929824118</x:v>
      </x:c>
    </x:row>
    <x:row r="27">
      <x:c r="A27" s="23" t="str">
        <x:v>2026Q1</x:v>
      </x:c>
      <x:c r="B27" s="26" t="n">
        <x:v>0.15999999999999992</x:v>
      </x:c>
      <x:c r="C27" s="26" t="n">
        <x:v>0.015529226464800372</x:v>
      </x:c>
      <x:c r="D27" s="26" t="n">
        <x:v>0.09813597708420385</x:v>
      </x:c>
      <x:c r="E27" s="26" t="n">
        <x:v>0.05683260177450211</x:v>
      </x:c>
      <x:c r="F27" s="26" t="n">
        <x:v>0.05445559840910047</x:v>
      </x:c>
    </x:row>
    <x:row r="28">
      <x:c r="A28" s="23" t="str">
        <x:v>2026Q2</x:v>
      </x:c>
      <x:c r="B28" s="26" t="n">
        <x:v>0.18211920529801318</x:v>
      </x:c>
      <x:c r="C28" s="26" t="n">
        <x:v>0.007535260272465871</x:v>
      </x:c>
      <x:c r="D28" s="26" t="n">
        <x:v>0.10912506361000496</x:v>
      </x:c>
      <x:c r="E28" s="26" t="n">
        <x:v>0.058330161941235414</x:v>
      </x:c>
      <x:c r="F28" s="26" t="n">
        <x:v>0.057877729096024746</x:v>
      </x:c>
    </x:row>
    <x:row r="29">
      <x:c r="A29" s="23" t="str">
        <x:v>2026Q3</x:v>
      </x:c>
      <x:c r="B29" s="26" t="n">
        <x:v>0.1650246305418719</x:v>
      </x:c>
      <x:c r="C29" s="26" t="n">
        <x:v>0.0248817643193191</x:v>
      </x:c>
      <x:c r="D29" s="26" t="n">
        <x:v>0.09729179104208607</x:v>
      </x:c>
      <x:c r="E29" s="26" t="n">
        <x:v>0.061086777680702586</x:v>
      </x:c>
      <x:c r="F29" s="26" t="n">
        <x:v>0.06076429773354576</x:v>
      </x:c>
    </x:row>
    <x:row r="34">
      <x:c r="A34" s="55" t="str">
        <x:v>What the current sample says</x:v>
      </x:c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</x:row>
    <x:row r="36" ht="34" customHeight="1">
      <x:c r="A36" s="60" t="str">
        <x:v>Best level diagnostic</x:v>
      </x:c>
      <x:c r="B36" s="60"/>
      <x:c r="C36" s="93" t="str">
        <x:v>Revenue-weighted U.S. airport + EMEA-proxy platform-nights composite: Pearson 0.78 across 16 comparable events.</x:v>
      </x:c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</x:row>
    <x:row r="37" ht="34" customHeight="1">
      <x:c r="A37" s="60" t="str">
        <x:v>Revenue-weight test</x:v>
      </x:c>
      <x:c r="B37" s="60"/>
      <x:c r="C37" s="93" t="str">
        <x:v>Revenue-weighted Pearson 0.784 versus 50/50 0.777; +0.008 is immaterial.</x:v>
      </x:c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</x:row>
    <x:row r="38" ht="34" customHeight="1">
      <x:c r="A38" s="60" t="str">
        <x:v>Most mechanism-specific</x:v>
      </x:c>
      <x:c r="B38" s="60"/>
      <x:c r="C38" s="93" t="str">
        <x:v>EU platform nights Pearson 0.73; this is the strongest accommodation-native source family.</x:v>
      </x:c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</x:row>
    <x:row r="39" ht="34" customHeight="1">
      <x:c r="A39" s="60" t="str">
        <x:v>Usability verdict</x:v>
      </x:c>
      <x:c r="B39" s="60"/>
      <x:c r="C39" s="93" t="str">
        <x:v>4.1/10 — Research/hypothesis use only. The zero point-in-time score prevents forecast deployment.</x:v>
      </x:c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</x:row>
    <x:row r="40" ht="34" customHeight="1">
      <x:c r="A40" s="60" t="str">
        <x:v>Required next step</x:v>
      </x:c>
      <x:c r="B40" s="60"/>
      <x:c r="C40" s="93" t="str">
        <x:v>Prospectively archive releases, add broader U.S. coverage, and replace EU27 with an EMEA-consistent activity sleeve before judging forecasting power.</x:v>
      </x:c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</x:row>
  </x:sheetData>
  <x:mergeCells>
    <x:mergeCell ref="A1:Q2"/>
    <x:mergeCell ref="A3:Q3"/>
    <x:mergeCell ref="A5:C5"/>
    <x:mergeCell ref="A6:C8"/>
    <x:mergeCell ref="E5:G5"/>
    <x:mergeCell ref="E6:G8"/>
    <x:mergeCell ref="I5:K5"/>
    <x:mergeCell ref="I6:K8"/>
    <x:mergeCell ref="M5:Q5"/>
    <x:mergeCell ref="M6:Q8"/>
    <x:mergeCell ref="A11:Q11"/>
    <x:mergeCell ref="A34:Q34"/>
    <x:mergeCell ref="A36:B36"/>
    <x:mergeCell ref="C36:Q36"/>
    <x:mergeCell ref="A37:B37"/>
    <x:mergeCell ref="C37:Q37"/>
    <x:mergeCell ref="A38:B38"/>
    <x:mergeCell ref="C38:Q38"/>
    <x:mergeCell ref="A39:B39"/>
    <x:mergeCell ref="C39:Q39"/>
    <x:mergeCell ref="A40:B40"/>
    <x:mergeCell ref="C40:Q40"/>
  </x:mergeCells>
  <x:pageMargins left="0.7" right="0.7" top="0.75" bottom="0.75" header="0.3" footer="0.3"/>
  <x:drawing xmlns:r="http://schemas.openxmlformats.org/officeDocument/2006/relationships" r:id="R651cbf25c1794bd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3" hidden="0" customWidth="1"/>
    <x:col min="4" max="4" width="13" hidden="0" customWidth="1"/>
    <x:col min="5" max="5" width="20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20" hidden="0" customWidth="1"/>
    <x:col min="12" max="12" width="16" hidden="0" customWidth="1"/>
    <x:col min="13" max="13" width="15" hidden="0" customWidth="1"/>
    <x:col min="14" max="14" width="17" hidden="0" customWidth="1"/>
    <x:col min="15" max="15" width="14" hidden="0" customWidth="1"/>
    <x:col min="16" max="16" width="48" hidden="0" customWidth="1"/>
    <x:col min="17" max="17" width="58" hidden="0" customWidth="1"/>
  </x:cols>
  <x:sheetData>
    <x:row r="1" ht="25" customHeight="1">
      <x:c r="A1" s="3" t="str">
        <x:v>Airbnb revenue-guidance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32" customHeight="1">
      <x:c r="A3" s="7" t="str">
        <x:v>Twenty-three guidance events. Year-over-year growth is computed against the midpoint for the same guided quarter one year earlier.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6">
      <x:c r="A6" s="16" t="str">
        <x:v>Event #</x:v>
      </x:c>
      <x:c r="B6" s="17" t="str">
        <x:v>Prediction ID</x:v>
      </x:c>
      <x:c r="C6" s="17" t="str">
        <x:v>Issuing quarter</x:v>
      </x:c>
      <x:c r="D6" s="17" t="str">
        <x:v>Guided quarter</x:v>
      </x:c>
      <x:c r="E6" s="17" t="str">
        <x:v>Available at (UTC)</x:v>
      </x:c>
      <x:c r="F6" s="17" t="str">
        <x:v>Target type</x:v>
      </x:c>
      <x:c r="G6" s="17" t="str">
        <x:v>Low ($mm)</x:v>
      </x:c>
      <x:c r="H6" s="17" t="str">
        <x:v>High ($mm)</x:v>
      </x:c>
      <x:c r="I6" s="17" t="str">
        <x:v>Midpoint ($mm)</x:v>
      </x:c>
      <x:c r="J6" s="17" t="str">
        <x:v>Range width ($mm)</x:v>
      </x:c>
      <x:c r="K6" s="17" t="str">
        <x:v>Prior-year guided quarter</x:v>
      </x:c>
      <x:c r="L6" s="17" t="str">
        <x:v>Prior-year midpoint ($mm)</x:v>
      </x:c>
      <x:c r="M6" s="17" t="str">
        <x:v>Guidance YoY growth</x:v>
      </x:c>
      <x:c r="N6" s="17" t="str">
        <x:v>Sequential acceleration</x:v>
      </x:c>
      <x:c r="O6" s="17" t="str">
        <x:v>Source ID</x:v>
      </x:c>
      <x:c r="P6" s="17" t="str">
        <x:v>Source URL</x:v>
      </x:c>
      <x:c r="Q6" s="18" t="str">
        <x:v>Notes</x:v>
      </x:c>
    </x:row>
    <x:row r="7">
      <x:c r="A7" s="23" t="n">
        <x:v>1</x:v>
      </x:c>
      <x:c r="B7" s="23" t="str">
        <x:v>ABNB-2020Q4-GUIDE</x:v>
      </x:c>
      <x:c r="C7" s="23" t="str">
        <x:v>2020Q4</x:v>
      </x:c>
      <x:c r="D7" s="23" t="str">
        <x:v>2021Q1</x:v>
      </x:c>
      <x:c r="E7" s="24" t="n">
        <x:v>44252.87847222222</x:v>
      </x:c>
      <x:c r="F7" s="23" t="str">
        <x:v>qualitative</x:v>
      </x:c>
      <x:c r="G7" s="25"/>
      <x:c r="H7" s="25"/>
      <x:c r="I7" s="25"/>
      <x:c r="J7" s="25" t="str">
        <x:f>IF(OR(G7="",H7=""),"",H7-G7)</x:f>
      </x:c>
      <x:c r="K7" s="25" t="str">
        <x:f>(VALUE(LEFT(D7,4))-1)&amp;RIGHT(D7,2)</x:f>
        <x:v>2020Q1</x:v>
      </x:c>
      <x:c r="L7" s="25" t="str">
        <x:f>IFERROR(INDEX($I$7:$I$29,MATCH(K7,$D$7:$D$29,0)),"")</x:f>
      </x:c>
      <x:c r="M7" s="26" t="str">
        <x:f>IF(OR(I7="",L7=""),"",I7/L7-1)</x:f>
      </x:c>
      <x:c r="N7" s="26" t="str">
        <x:f>""</x:f>
      </x:c>
      <x:c r="O7" s="27" t="str">
        <x:v>AIRBNB_PR</x:v>
      </x:c>
      <x:c r="P7" s="27" t="str">
        <x:v>https://news.airbnb.com/airbnb-q4-2020-financial-results/</x:v>
      </x:c>
      <x:c r="Q7" s="27" t="str">
        <x:v>Qualitative only; no numeric midpoint manufactured; earliest observed public release timestamp needs continued source preservation.</x:v>
      </x:c>
    </x:row>
    <x:row r="8">
      <x:c r="A8" s="23" t="n">
        <x:v>2</x:v>
      </x:c>
      <x:c r="B8" s="23" t="str">
        <x:v>ABNB-2021Q1-GUIDE</x:v>
      </x:c>
      <x:c r="C8" s="23" t="str">
        <x:v>2021Q1</x:v>
      </x:c>
      <x:c r="D8" s="23" t="str">
        <x:v>2021Q2</x:v>
      </x:c>
      <x:c r="E8" s="24" t="n">
        <x:v>44329.833819444444</x:v>
      </x:c>
      <x:c r="F8" s="23" t="str">
        <x:v>qualitative</x:v>
      </x:c>
      <x:c r="G8" s="25"/>
      <x:c r="H8" s="25"/>
      <x:c r="I8" s="25"/>
      <x:c r="J8" s="25" t="str">
        <x:f>IF(OR(G8="",H8=""),"",H8-G8)</x:f>
      </x:c>
      <x:c r="K8" s="25" t="str">
        <x:f>(VALUE(LEFT(D8,4))-1)&amp;RIGHT(D8,2)</x:f>
        <x:v>2020Q2</x:v>
      </x:c>
      <x:c r="L8" s="25" t="str">
        <x:f>IFERROR(INDEX($I$7:$I$29,MATCH(K8,$D$7:$D$29,0)),"")</x:f>
      </x:c>
      <x:c r="M8" s="26" t="str">
        <x:f>IF(OR(I8="",L8=""),"",I8/L8-1)</x:f>
      </x:c>
      <x:c r="N8" s="26" t="str">
        <x:f>IF(OR(M8="",M7=""),"",M8-M7)</x:f>
      </x:c>
      <x:c r="O8" s="27" t="str">
        <x:v>SEC_8K</x:v>
      </x:c>
      <x:c r="P8" s="27" t="str">
        <x:v>https://www.sec.gov/Archives/edgar/data/1559720/</x:v>
      </x:c>
      <x:c r="Q8" s="27" t="str">
        <x:v>Qualitative only; no numeric midpoint manufactured.</x:v>
      </x:c>
    </x:row>
    <x:row r="9">
      <x:c r="A9" s="23" t="n">
        <x:v>3</x:v>
      </x:c>
      <x:c r="B9" s="23" t="str">
        <x:v>ABNB-2021Q2-GUIDE</x:v>
      </x:c>
      <x:c r="C9" s="23" t="str">
        <x:v>2021Q2</x:v>
      </x:c>
      <x:c r="D9" s="23" t="str">
        <x:v>2021Q3</x:v>
      </x:c>
      <x:c r="E9" s="24" t="n">
        <x:v>44420.83414351852</x:v>
      </x:c>
      <x:c r="F9" s="23" t="str">
        <x:v>qualitative</x:v>
      </x:c>
      <x:c r="G9" s="25"/>
      <x:c r="H9" s="25"/>
      <x:c r="I9" s="25"/>
      <x:c r="J9" s="25" t="str">
        <x:f>IF(OR(G9="",H9=""),"",H9-G9)</x:f>
      </x:c>
      <x:c r="K9" s="25" t="str">
        <x:f>(VALUE(LEFT(D9,4))-1)&amp;RIGHT(D9,2)</x:f>
        <x:v>2020Q3</x:v>
      </x:c>
      <x:c r="L9" s="25" t="str">
        <x:f>IFERROR(INDEX($I$7:$I$29,MATCH(K9,$D$7:$D$29,0)),"")</x:f>
      </x:c>
      <x:c r="M9" s="26" t="str">
        <x:f>IF(OR(I9="",L9=""),"",I9/L9-1)</x:f>
      </x:c>
      <x:c r="N9" s="26" t="str">
        <x:f>IF(OR(M9="",M8=""),"",M9-M8)</x:f>
      </x:c>
      <x:c r="O9" s="27" t="str">
        <x:v>SEC_8K</x:v>
      </x:c>
      <x:c r="P9" s="27" t="str">
        <x:v>https://www.sec.gov/Archives/edgar/data/1559720/</x:v>
      </x:c>
      <x:c r="Q9" s="27" t="str">
        <x:v>Qualitative only; no numeric midpoint manufactured.</x:v>
      </x:c>
    </x:row>
    <x:row r="10">
      <x:c r="A10" s="23" t="n">
        <x:v>4</x:v>
      </x:c>
      <x:c r="B10" s="23" t="str">
        <x:v>ABNB-2021Q3-GUIDE</x:v>
      </x:c>
      <x:c r="C10" s="23" t="str">
        <x:v>2021Q3</x:v>
      </x:c>
      <x:c r="D10" s="23" t="str">
        <x:v>2021Q4</x:v>
      </x:c>
      <x:c r="E10" s="24" t="n">
        <x:v>44504.83427083334</x:v>
      </x:c>
      <x:c r="F10" s="23" t="str">
        <x:v>numeric_range</x:v>
      </x:c>
      <x:c r="G10" s="25" t="n">
        <x:v>1390</x:v>
      </x:c>
      <x:c r="H10" s="25" t="n">
        <x:v>1480</x:v>
      </x:c>
      <x:c r="I10" s="25" t="n">
        <x:v>1435</x:v>
      </x:c>
      <x:c r="J10" s="25" t="n">
        <x:f>IF(OR(G10="",H10=""),"",H10-G10)</x:f>
        <x:v>90</x:v>
      </x:c>
      <x:c r="K10" s="25" t="str">
        <x:f>(VALUE(LEFT(D10,4))-1)&amp;RIGHT(D10,2)</x:f>
        <x:v>2020Q4</x:v>
      </x:c>
      <x:c r="L10" s="25" t="str">
        <x:f>IFERROR(INDEX($I$7:$I$29,MATCH(K10,$D$7:$D$29,0)),"")</x:f>
      </x:c>
      <x:c r="M10" s="26" t="str">
        <x:f>IF(OR(I10="",L10=""),"",I10/L10-1)</x:f>
      </x:c>
      <x:c r="N10" s="26" t="str">
        <x:f>IF(OR(M10="",M9=""),"",M10-M9)</x:f>
      </x:c>
      <x:c r="O10" s="27" t="str">
        <x:v>SEC_EX99_1</x:v>
      </x:c>
      <x:c r="P10" s="27" t="str">
        <x:v>https://www.sec.gov/Archives/edgar/data/1559720/000119312521320113/d245727dex991.htm</x:v>
      </x:c>
      <x:c r="Q10" s="27" t="str">
        <x:v>Numeric shareholder-letter range; transcript is contextual target evidence only.</x:v>
      </x:c>
    </x:row>
    <x:row r="11">
      <x:c r="A11" s="23" t="n">
        <x:v>5</x:v>
      </x:c>
      <x:c r="B11" s="23" t="str">
        <x:v>ABNB-2021Q4-GUIDE</x:v>
      </x:c>
      <x:c r="C11" s="23" t="str">
        <x:v>2021Q4</x:v>
      </x:c>
      <x:c r="D11" s="23" t="str">
        <x:v>2022Q1</x:v>
      </x:c>
      <x:c r="E11" s="24" t="n">
        <x:v>44607.87650462963</x:v>
      </x:c>
      <x:c r="F11" s="23" t="str">
        <x:v>numeric_range</x:v>
      </x:c>
      <x:c r="G11" s="25" t="n">
        <x:v>1410</x:v>
      </x:c>
      <x:c r="H11" s="25" t="n">
        <x:v>1480</x:v>
      </x:c>
      <x:c r="I11" s="25" t="n">
        <x:v>1445</x:v>
      </x:c>
      <x:c r="J11" s="25" t="n">
        <x:f>IF(OR(G11="",H11=""),"",H11-G11)</x:f>
        <x:v>70</x:v>
      </x:c>
      <x:c r="K11" s="25" t="str">
        <x:f>(VALUE(LEFT(D11,4))-1)&amp;RIGHT(D11,2)</x:f>
        <x:v>2021Q1</x:v>
      </x:c>
      <x:c r="L11" s="25" t="str">
        <x:f>IFERROR(INDEX($I$7:$I$29,MATCH(K11,$D$7:$D$29,0)),"")</x:f>
      </x:c>
      <x:c r="M11" s="26" t="str">
        <x:f>IF(OR(I11="",L11=""),"",I11/L11-1)</x:f>
      </x:c>
      <x:c r="N11" s="26" t="str">
        <x:f>IF(OR(M11="",M10=""),"",M11-M10)</x:f>
      </x:c>
      <x:c r="O11" s="27" t="str">
        <x:v>SEC_EX99_1</x:v>
      </x:c>
      <x:c r="P11" s="27" t="str">
        <x:v>https://www.sec.gov/Archives/edgar/data/1559720/000119312522043371/d251410dex991.htm</x:v>
      </x:c>
      <x:c r="Q11" s="27" t="str">
        <x:v>Numeric shareholder-letter range.</x:v>
      </x:c>
    </x:row>
    <x:row r="12">
      <x:c r="A12" s="23" t="n">
        <x:v>6</x:v>
      </x:c>
      <x:c r="B12" s="23" t="str">
        <x:v>ABNB-2022Q1-GUIDE</x:v>
      </x:c>
      <x:c r="C12" s="23" t="str">
        <x:v>2022Q1</x:v>
      </x:c>
      <x:c r="D12" s="23" t="str">
        <x:v>2022Q2</x:v>
      </x:c>
      <x:c r="E12" s="24" t="n">
        <x:v>44684.834016203706</x:v>
      </x:c>
      <x:c r="F12" s="23" t="str">
        <x:v>numeric_range</x:v>
      </x:c>
      <x:c r="G12" s="25" t="n">
        <x:v>2030</x:v>
      </x:c>
      <x:c r="H12" s="25" t="n">
        <x:v>2130</x:v>
      </x:c>
      <x:c r="I12" s="25" t="n">
        <x:v>2080</x:v>
      </x:c>
      <x:c r="J12" s="25" t="n">
        <x:f>IF(OR(G12="",H12=""),"",H12-G12)</x:f>
        <x:v>100</x:v>
      </x:c>
      <x:c r="K12" s="25" t="str">
        <x:f>(VALUE(LEFT(D12,4))-1)&amp;RIGHT(D12,2)</x:f>
        <x:v>2021Q2</x:v>
      </x:c>
      <x:c r="L12" s="25" t="str">
        <x:f>IFERROR(INDEX($I$7:$I$29,MATCH(K12,$D$7:$D$29,0)),"")</x:f>
      </x:c>
      <x:c r="M12" s="26" t="str">
        <x:f>IF(OR(I12="",L12=""),"",I12/L12-1)</x:f>
      </x:c>
      <x:c r="N12" s="26" t="str">
        <x:f>IF(OR(M12="",M11=""),"",M12-M11)</x:f>
      </x:c>
      <x:c r="O12" s="27" t="str">
        <x:v>SEC_EX99_1</x:v>
      </x:c>
      <x:c r="P12" s="27" t="str">
        <x:v>https://www.sec.gov/Archives/edgar/data/1559720/000119312522138654/d711122dex991.htm</x:v>
      </x:c>
      <x:c r="Q12" s="27" t="str">
        <x:v>Numeric shareholder-letter range.</x:v>
      </x:c>
    </x:row>
    <x:row r="13">
      <x:c r="A13" s="23" t="n">
        <x:v>7</x:v>
      </x:c>
      <x:c r="B13" s="23" t="str">
        <x:v>ABNB-2022Q2-GUIDE</x:v>
      </x:c>
      <x:c r="C13" s="23" t="str">
        <x:v>2022Q2</x:v>
      </x:c>
      <x:c r="D13" s="23" t="str">
        <x:v>2022Q3</x:v>
      </x:c>
      <x:c r="E13" s="24" t="n">
        <x:v>44775.83425925926</x:v>
      </x:c>
      <x:c r="F13" s="23" t="str">
        <x:v>numeric_range</x:v>
      </x:c>
      <x:c r="G13" s="25" t="n">
        <x:v>2780</x:v>
      </x:c>
      <x:c r="H13" s="25" t="n">
        <x:v>2880</x:v>
      </x:c>
      <x:c r="I13" s="25" t="n">
        <x:v>2830</x:v>
      </x:c>
      <x:c r="J13" s="25" t="n">
        <x:f>IF(OR(G13="",H13=""),"",H13-G13)</x:f>
        <x:v>100</x:v>
      </x:c>
      <x:c r="K13" s="25" t="str">
        <x:f>(VALUE(LEFT(D13,4))-1)&amp;RIGHT(D13,2)</x:f>
        <x:v>2021Q3</x:v>
      </x:c>
      <x:c r="L13" s="25" t="str">
        <x:f>IFERROR(INDEX($I$7:$I$29,MATCH(K13,$D$7:$D$29,0)),"")</x:f>
      </x:c>
      <x:c r="M13" s="26" t="str">
        <x:f>IF(OR(I13="",L13=""),"",I13/L13-1)</x:f>
      </x:c>
      <x:c r="N13" s="26" t="str">
        <x:f>IF(OR(M13="",M12=""),"",M13-M12)</x:f>
      </x:c>
      <x:c r="O13" s="27" t="str">
        <x:v>SEC_EX99_1</x:v>
      </x:c>
      <x:c r="P13" s="27" t="str">
        <x:v>https://www.sec.gov/Archives/edgar/data/1559720/000119312522210001/d353427dex991.htm</x:v>
      </x:c>
      <x:c r="Q13" s="27" t="str">
        <x:v>Numeric shareholder-letter range.</x:v>
      </x:c>
    </x:row>
    <x:row r="14">
      <x:c r="A14" s="23" t="n">
        <x:v>8</x:v>
      </x:c>
      <x:c r="B14" s="23" t="str">
        <x:v>ABNB-2022Q3-GUIDE</x:v>
      </x:c>
      <x:c r="C14" s="23" t="str">
        <x:v>2022Q3</x:v>
      </x:c>
      <x:c r="D14" s="23" t="str">
        <x:v>2022Q4</x:v>
      </x:c>
      <x:c r="E14" s="24" t="n">
        <x:v>44866.836377314816</x:v>
      </x:c>
      <x:c r="F14" s="23" t="str">
        <x:v>numeric_range</x:v>
      </x:c>
      <x:c r="G14" s="25" t="n">
        <x:v>1800</x:v>
      </x:c>
      <x:c r="H14" s="25" t="n">
        <x:v>1880</x:v>
      </x:c>
      <x:c r="I14" s="25" t="n">
        <x:v>1840</x:v>
      </x:c>
      <x:c r="J14" s="25" t="n">
        <x:f>IF(OR(G14="",H14=""),"",H14-G14)</x:f>
        <x:v>80</x:v>
      </x:c>
      <x:c r="K14" s="25" t="str">
        <x:f>(VALUE(LEFT(D14,4))-1)&amp;RIGHT(D14,2)</x:f>
        <x:v>2021Q4</x:v>
      </x:c>
      <x:c r="L14" s="25" t="n">
        <x:f>IFERROR(INDEX($I$7:$I$29,MATCH(K14,$D$7:$D$29,0)),"")</x:f>
        <x:v>1435</x:v>
      </x:c>
      <x:c r="M14" s="26" t="n">
        <x:f>IF(OR(I14="",L14=""),"",I14/L14-1)</x:f>
        <x:v>0.2822299651567943</x:v>
      </x:c>
      <x:c r="N14" s="26" t="str">
        <x:f>IF(OR(M14="",M13=""),"",M14-M13)</x:f>
      </x:c>
      <x:c r="O14" s="27" t="str">
        <x:v>SEC_EX99_1</x:v>
      </x:c>
      <x:c r="P14" s="27" t="str">
        <x:v>https://www.sec.gov/Archives/edgar/data/1559720/000119312522274904/d408297dex991.htm</x:v>
      </x:c>
      <x:c r="Q14" s="27" t="str">
        <x:v>Transcript turn supports call discussion; SEC exhibit controls numeric target.</x:v>
      </x:c>
    </x:row>
    <x:row r="15">
      <x:c r="A15" s="23" t="n">
        <x:v>9</x:v>
      </x:c>
      <x:c r="B15" s="23" t="str">
        <x:v>ABNB-2022Q4-GUIDE</x:v>
      </x:c>
      <x:c r="C15" s="23" t="str">
        <x:v>2022Q4</x:v>
      </x:c>
      <x:c r="D15" s="23" t="str">
        <x:v>2023Q1</x:v>
      </x:c>
      <x:c r="E15" s="24" t="n">
        <x:v>44971.87641203704</x:v>
      </x:c>
      <x:c r="F15" s="23" t="str">
        <x:v>numeric_range</x:v>
      </x:c>
      <x:c r="G15" s="25" t="n">
        <x:v>1750</x:v>
      </x:c>
      <x:c r="H15" s="25" t="n">
        <x:v>1820</x:v>
      </x:c>
      <x:c r="I15" s="25" t="n">
        <x:v>1785</x:v>
      </x:c>
      <x:c r="J15" s="25" t="n">
        <x:f>IF(OR(G15="",H15=""),"",H15-G15)</x:f>
        <x:v>70</x:v>
      </x:c>
      <x:c r="K15" s="25" t="str">
        <x:f>(VALUE(LEFT(D15,4))-1)&amp;RIGHT(D15,2)</x:f>
        <x:v>2022Q1</x:v>
      </x:c>
      <x:c r="L15" s="25" t="n">
        <x:f>IFERROR(INDEX($I$7:$I$29,MATCH(K15,$D$7:$D$29,0)),"")</x:f>
        <x:v>1445</x:v>
      </x:c>
      <x:c r="M15" s="26" t="n">
        <x:f>IF(OR(I15="",L15=""),"",I15/L15-1)</x:f>
        <x:v>0.23529411764705888</x:v>
      </x:c>
      <x:c r="N15" s="26" t="n">
        <x:f>IF(OR(M15="",M14=""),"",M15-M14)</x:f>
        <x:v>-0.04693584750973545</x:v>
      </x:c>
      <x:c r="O15" s="27" t="str">
        <x:v>SEC_EX99_1</x:v>
      </x:c>
      <x:c r="P15" s="27" t="str">
        <x:v>https://www.sec.gov/Archives/edgar/data/1559720/000119312523039008/d451233dex991.htm</x:v>
      </x:c>
      <x:c r="Q15" s="27" t="str">
        <x:v>Numeric shareholder-letter range.</x:v>
      </x:c>
    </x:row>
    <x:row r="16">
      <x:c r="A16" s="23" t="n">
        <x:v>10</x:v>
      </x:c>
      <x:c r="B16" s="23" t="str">
        <x:v>ABNB-2023Q1-GUIDE</x:v>
      </x:c>
      <x:c r="C16" s="23" t="str">
        <x:v>2023Q1</x:v>
      </x:c>
      <x:c r="D16" s="23" t="str">
        <x:v>2023Q2</x:v>
      </x:c>
      <x:c r="E16" s="24" t="n">
        <x:v>45055.834328703706</x:v>
      </x:c>
      <x:c r="F16" s="23" t="str">
        <x:v>numeric_range</x:v>
      </x:c>
      <x:c r="G16" s="25" t="n">
        <x:v>2350</x:v>
      </x:c>
      <x:c r="H16" s="25" t="n">
        <x:v>2450</x:v>
      </x:c>
      <x:c r="I16" s="25" t="n">
        <x:v>2400</x:v>
      </x:c>
      <x:c r="J16" s="25" t="n">
        <x:f>IF(OR(G16="",H16=""),"",H16-G16)</x:f>
        <x:v>100</x:v>
      </x:c>
      <x:c r="K16" s="25" t="str">
        <x:f>(VALUE(LEFT(D16,4))-1)&amp;RIGHT(D16,2)</x:f>
        <x:v>2022Q2</x:v>
      </x:c>
      <x:c r="L16" s="25" t="n">
        <x:f>IFERROR(INDEX($I$7:$I$29,MATCH(K16,$D$7:$D$29,0)),"")</x:f>
        <x:v>2080</x:v>
      </x:c>
      <x:c r="M16" s="26" t="n">
        <x:f>IF(OR(I16="",L16=""),"",I16/L16-1)</x:f>
        <x:v>0.15384615384615374</x:v>
      </x:c>
      <x:c r="N16" s="26" t="n">
        <x:f>IF(OR(M16="",M15=""),"",M16-M15)</x:f>
        <x:v>-0.08144796380090513</x:v>
      </x:c>
      <x:c r="O16" s="27" t="str">
        <x:v>SEC_EX99_1</x:v>
      </x:c>
      <x:c r="P16" s="27" t="str">
        <x:v>https://www.sec.gov/Archives/edgar/data/1559720/000119312523139392/d453262dex991.htm</x:v>
      </x:c>
      <x:c r="Q16" s="27" t="str">
        <x:v>Numeric shareholder-letter range.</x:v>
      </x:c>
    </x:row>
    <x:row r="17">
      <x:c r="A17" s="23" t="n">
        <x:v>11</x:v>
      </x:c>
      <x:c r="B17" s="23" t="str">
        <x:v>ABNB-2023Q2-GUIDE</x:v>
      </x:c>
      <x:c r="C17" s="23" t="str">
        <x:v>2023Q2</x:v>
      </x:c>
      <x:c r="D17" s="23" t="str">
        <x:v>2023Q3</x:v>
      </x:c>
      <x:c r="E17" s="24" t="n">
        <x:v>45141.83405092593</x:v>
      </x:c>
      <x:c r="F17" s="23" t="str">
        <x:v>numeric_range</x:v>
      </x:c>
      <x:c r="G17" s="25" t="n">
        <x:v>3300</x:v>
      </x:c>
      <x:c r="H17" s="25" t="n">
        <x:v>3400</x:v>
      </x:c>
      <x:c r="I17" s="25" t="n">
        <x:v>3350</x:v>
      </x:c>
      <x:c r="J17" s="25" t="n">
        <x:f>IF(OR(G17="",H17=""),"",H17-G17)</x:f>
        <x:v>100</x:v>
      </x:c>
      <x:c r="K17" s="25" t="str">
        <x:f>(VALUE(LEFT(D17,4))-1)&amp;RIGHT(D17,2)</x:f>
        <x:v>2022Q3</x:v>
      </x:c>
      <x:c r="L17" s="25" t="n">
        <x:f>IFERROR(INDEX($I$7:$I$29,MATCH(K17,$D$7:$D$29,0)),"")</x:f>
        <x:v>2830</x:v>
      </x:c>
      <x:c r="M17" s="26" t="n">
        <x:f>IF(OR(I17="",L17=""),"",I17/L17-1)</x:f>
        <x:v>0.18374558303886923</x:v>
      </x:c>
      <x:c r="N17" s="26" t="n">
        <x:f>IF(OR(M17="",M16=""),"",M17-M16)</x:f>
        <x:v>0.029899429192715488</x:v>
      </x:c>
      <x:c r="O17" s="27" t="str">
        <x:v>SEC_EX99_1</x:v>
      </x:c>
      <x:c r="P17" s="27" t="str">
        <x:v>https://www.sec.gov/Archives/edgar/data/1559720/000119312523202832/d446942dex991.htm</x:v>
      </x:c>
      <x:c r="Q17" s="27" t="str">
        <x:v>Numeric shareholder-letter range.</x:v>
      </x:c>
    </x:row>
    <x:row r="18">
      <x:c r="A18" s="23" t="n">
        <x:v>12</x:v>
      </x:c>
      <x:c r="B18" s="23" t="str">
        <x:v>ABNB-2023Q3-GUIDE</x:v>
      </x:c>
      <x:c r="C18" s="23" t="str">
        <x:v>2023Q3</x:v>
      </x:c>
      <x:c r="D18" s="23" t="str">
        <x:v>2023Q4</x:v>
      </x:c>
      <x:c r="E18" s="24" t="n">
        <x:v>45231.834074074075</x:v>
      </x:c>
      <x:c r="F18" s="23" t="str">
        <x:v>numeric_range</x:v>
      </x:c>
      <x:c r="G18" s="25" t="n">
        <x:v>2130</x:v>
      </x:c>
      <x:c r="H18" s="25" t="n">
        <x:v>2170</x:v>
      </x:c>
      <x:c r="I18" s="25" t="n">
        <x:v>2150</x:v>
      </x:c>
      <x:c r="J18" s="25" t="n">
        <x:f>IF(OR(G18="",H18=""),"",H18-G18)</x:f>
        <x:v>40</x:v>
      </x:c>
      <x:c r="K18" s="25" t="str">
        <x:f>(VALUE(LEFT(D18,4))-1)&amp;RIGHT(D18,2)</x:f>
        <x:v>2022Q4</x:v>
      </x:c>
      <x:c r="L18" s="25" t="n">
        <x:f>IFERROR(INDEX($I$7:$I$29,MATCH(K18,$D$7:$D$29,0)),"")</x:f>
        <x:v>1840</x:v>
      </x:c>
      <x:c r="M18" s="26" t="n">
        <x:f>IF(OR(I18="",L18=""),"",I18/L18-1)</x:f>
        <x:v>0.1684782608695652</x:v>
      </x:c>
      <x:c r="N18" s="26" t="n">
        <x:f>IF(OR(M18="",M17=""),"",M18-M17)</x:f>
        <x:v>-0.015267322169304043</x:v>
      </x:c>
      <x:c r="O18" s="27" t="str">
        <x:v>SEC_EX99_1</x:v>
      </x:c>
      <x:c r="P18" s="27" t="str">
        <x:v>https://www.sec.gov/Archives/edgar/data/1559720/000119312523268164/d481318dex991.htm</x:v>
      </x:c>
      <x:c r="Q18" s="27" t="str">
        <x:v>Spoken range and SEC exhibit agree.</x:v>
      </x:c>
    </x:row>
    <x:row r="19">
      <x:c r="A19" s="23" t="n">
        <x:v>13</x:v>
      </x:c>
      <x:c r="B19" s="23" t="str">
        <x:v>ABNB-2023Q4-GUIDE</x:v>
      </x:c>
      <x:c r="C19" s="23" t="str">
        <x:v>2023Q4</x:v>
      </x:c>
      <x:c r="D19" s="23" t="str">
        <x:v>2024Q1</x:v>
      </x:c>
      <x:c r="E19" s="24" t="n">
        <x:v>45335.881319444445</x:v>
      </x:c>
      <x:c r="F19" s="23" t="str">
        <x:v>numeric_range</x:v>
      </x:c>
      <x:c r="G19" s="25" t="n">
        <x:v>2030</x:v>
      </x:c>
      <x:c r="H19" s="25" t="n">
        <x:v>2070</x:v>
      </x:c>
      <x:c r="I19" s="25" t="n">
        <x:v>2050</x:v>
      </x:c>
      <x:c r="J19" s="25" t="n">
        <x:f>IF(OR(G19="",H19=""),"",H19-G19)</x:f>
        <x:v>40</x:v>
      </x:c>
      <x:c r="K19" s="25" t="str">
        <x:f>(VALUE(LEFT(D19,4))-1)&amp;RIGHT(D19,2)</x:f>
        <x:v>2023Q1</x:v>
      </x:c>
      <x:c r="L19" s="25" t="n">
        <x:f>IFERROR(INDEX($I$7:$I$29,MATCH(K19,$D$7:$D$29,0)),"")</x:f>
        <x:v>1785</x:v>
      </x:c>
      <x:c r="M19" s="26" t="n">
        <x:f>IF(OR(I19="",L19=""),"",I19/L19-1)</x:f>
        <x:v>0.14845938375350132</x:v>
      </x:c>
      <x:c r="N19" s="26" t="n">
        <x:f>IF(OR(M19="",M18=""),"",M19-M18)</x:f>
        <x:v>-0.02001887711606387</x:v>
      </x:c>
      <x:c r="O19" s="27" t="str">
        <x:v>SEC_EX99_1</x:v>
      </x:c>
      <x:c r="P19" s="27" t="str">
        <x:v>https://www.sec.gov/Archives/edgar/data/1559720/000119312524033706/d646462dex991.htm</x:v>
      </x:c>
      <x:c r="Q19" s="27" t="str">
        <x:v>SEC range controls; transcript turn contains a material growth-rate discrepancy ('70%' versus official 17%) and must not be used for that percentage.</x:v>
      </x:c>
    </x:row>
    <x:row r="20">
      <x:c r="A20" s="23" t="n">
        <x:v>14</x:v>
      </x:c>
      <x:c r="B20" s="23" t="str">
        <x:v>ABNB-2024Q1-GUIDE</x:v>
      </x:c>
      <x:c r="C20" s="23" t="str">
        <x:v>2024Q1</x:v>
      </x:c>
      <x:c r="D20" s="23" t="str">
        <x:v>2024Q2</x:v>
      </x:c>
      <x:c r="E20" s="24" t="n">
        <x:v>45420.83412037037</x:v>
      </x:c>
      <x:c r="F20" s="23" t="str">
        <x:v>numeric_range</x:v>
      </x:c>
      <x:c r="G20" s="25" t="n">
        <x:v>2680</x:v>
      </x:c>
      <x:c r="H20" s="25" t="n">
        <x:v>2740</x:v>
      </x:c>
      <x:c r="I20" s="25" t="n">
        <x:v>2710</x:v>
      </x:c>
      <x:c r="J20" s="25" t="n">
        <x:f>IF(OR(G20="",H20=""),"",H20-G20)</x:f>
        <x:v>60</x:v>
      </x:c>
      <x:c r="K20" s="25" t="str">
        <x:f>(VALUE(LEFT(D20,4))-1)&amp;RIGHT(D20,2)</x:f>
        <x:v>2023Q2</x:v>
      </x:c>
      <x:c r="L20" s="25" t="n">
        <x:f>IFERROR(INDEX($I$7:$I$29,MATCH(K20,$D$7:$D$29,0)),"")</x:f>
        <x:v>2400</x:v>
      </x:c>
      <x:c r="M20" s="26" t="n">
        <x:f>IF(OR(I20="",L20=""),"",I20/L20-1)</x:f>
        <x:v>0.12916666666666665</x:v>
      </x:c>
      <x:c r="N20" s="26" t="n">
        <x:f>IF(OR(M20="",M19=""),"",M20-M19)</x:f>
        <x:v>-0.019292717086834665</x:v>
      </x:c>
      <x:c r="O20" s="27" t="str">
        <x:v>SEC_EX99_1</x:v>
      </x:c>
      <x:c r="P20" s="27" t="str">
        <x:v>https://www.sec.gov/Archives/edgar/data/1559720/000119312524134183/d813800dex991.htm</x:v>
      </x:c>
      <x:c r="Q20" s="27" t="str">
        <x:v>Dollar range appears in SEC shareholder letter; transcript contextual only.</x:v>
      </x:c>
    </x:row>
    <x:row r="21">
      <x:c r="A21" s="23" t="n">
        <x:v>15</x:v>
      </x:c>
      <x:c r="B21" s="23" t="str">
        <x:v>ABNB-2024Q2-GUIDE</x:v>
      </x:c>
      <x:c r="C21" s="23" t="str">
        <x:v>2024Q2</x:v>
      </x:c>
      <x:c r="D21" s="23" t="str">
        <x:v>2024Q3</x:v>
      </x:c>
      <x:c r="E21" s="24" t="n">
        <x:v>45510.83399305555</x:v>
      </x:c>
      <x:c r="F21" s="23" t="str">
        <x:v>numeric_range</x:v>
      </x:c>
      <x:c r="G21" s="25" t="n">
        <x:v>3670</x:v>
      </x:c>
      <x:c r="H21" s="25" t="n">
        <x:v>3730</x:v>
      </x:c>
      <x:c r="I21" s="25" t="n">
        <x:v>3700</x:v>
      </x:c>
      <x:c r="J21" s="25" t="n">
        <x:f>IF(OR(G21="",H21=""),"",H21-G21)</x:f>
        <x:v>60</x:v>
      </x:c>
      <x:c r="K21" s="25" t="str">
        <x:f>(VALUE(LEFT(D21,4))-1)&amp;RIGHT(D21,2)</x:f>
        <x:v>2023Q3</x:v>
      </x:c>
      <x:c r="L21" s="25" t="n">
        <x:f>IFERROR(INDEX($I$7:$I$29,MATCH(K21,$D$7:$D$29,0)),"")</x:f>
        <x:v>3350</x:v>
      </x:c>
      <x:c r="M21" s="26" t="n">
        <x:f>IF(OR(I21="",L21=""),"",I21/L21-1)</x:f>
        <x:v>0.10447761194029859</x:v>
      </x:c>
      <x:c r="N21" s="26" t="n">
        <x:f>IF(OR(M21="",M20=""),"",M21-M20)</x:f>
        <x:v>-0.024689054726368065</x:v>
      </x:c>
      <x:c r="O21" s="27" t="str">
        <x:v>SEC_EX99_1</x:v>
      </x:c>
      <x:c r="P21" s="27" t="str">
        <x:v>https://www.sec.gov/Archives/edgar/data/1559720/000119312524194849/d831385dex991.htm</x:v>
      </x:c>
      <x:c r="Q21" s="27" t="str">
        <x:v>Dollar range appears in SEC shareholder letter; transcript contextual only.</x:v>
      </x:c>
    </x:row>
    <x:row r="22">
      <x:c r="A22" s="23" t="n">
        <x:v>16</x:v>
      </x:c>
      <x:c r="B22" s="23" t="str">
        <x:v>ABNB-2024Q3-GUIDE</x:v>
      </x:c>
      <x:c r="C22" s="23" t="str">
        <x:v>2024Q3</x:v>
      </x:c>
      <x:c r="D22" s="23" t="str">
        <x:v>2024Q4</x:v>
      </x:c>
      <x:c r="E22" s="24" t="n">
        <x:v>45603.87568287037</x:v>
      </x:c>
      <x:c r="F22" s="23" t="str">
        <x:v>numeric_range</x:v>
      </x:c>
      <x:c r="G22" s="25" t="n">
        <x:v>2390</x:v>
      </x:c>
      <x:c r="H22" s="25" t="n">
        <x:v>2440</x:v>
      </x:c>
      <x:c r="I22" s="25" t="n">
        <x:v>2415</x:v>
      </x:c>
      <x:c r="J22" s="25" t="n">
        <x:f>IF(OR(G22="",H22=""),"",H22-G22)</x:f>
        <x:v>50</x:v>
      </x:c>
      <x:c r="K22" s="25" t="str">
        <x:f>(VALUE(LEFT(D22,4))-1)&amp;RIGHT(D22,2)</x:f>
        <x:v>2023Q4</x:v>
      </x:c>
      <x:c r="L22" s="25" t="n">
        <x:f>IFERROR(INDEX($I$7:$I$29,MATCH(K22,$D$7:$D$29,0)),"")</x:f>
        <x:v>2150</x:v>
      </x:c>
      <x:c r="M22" s="26" t="n">
        <x:f>IF(OR(I22="",L22=""),"",I22/L22-1)</x:f>
        <x:v>0.12325581395348828</x:v>
      </x:c>
      <x:c r="N22" s="26" t="n">
        <x:f>IF(OR(M22="",M21=""),"",M22-M21)</x:f>
        <x:v>0.018778202013189693</x:v>
      </x:c>
      <x:c r="O22" s="27" t="str">
        <x:v>SEC_EX99_1</x:v>
      </x:c>
      <x:c r="P22" s="27" t="str">
        <x:v>https://www.sec.gov/Archives/edgar/data/1559720/000119312524253103/d886752dex991.htm</x:v>
      </x:c>
      <x:c r="Q22" s="27" t="str">
        <x:v>Dollar range appears in SEC shareholder letter; transcript contextual only.</x:v>
      </x:c>
    </x:row>
    <x:row r="23">
      <x:c r="A23" s="23" t="n">
        <x:v>17</x:v>
      </x:c>
      <x:c r="B23" s="23" t="str">
        <x:v>ABNB-2024Q4-GUIDE</x:v>
      </x:c>
      <x:c r="C23" s="23" t="str">
        <x:v>2024Q4</x:v>
      </x:c>
      <x:c r="D23" s="23" t="str">
        <x:v>2025Q1</x:v>
      </x:c>
      <x:c r="E23" s="24" t="n">
        <x:v>45701.87684027778</x:v>
      </x:c>
      <x:c r="F23" s="23" t="str">
        <x:v>numeric_range</x:v>
      </x:c>
      <x:c r="G23" s="25" t="n">
        <x:v>2230</x:v>
      </x:c>
      <x:c r="H23" s="25" t="n">
        <x:v>2270</x:v>
      </x:c>
      <x:c r="I23" s="25" t="n">
        <x:v>2250</x:v>
      </x:c>
      <x:c r="J23" s="25" t="n">
        <x:f>IF(OR(G23="",H23=""),"",H23-G23)</x:f>
        <x:v>40</x:v>
      </x:c>
      <x:c r="K23" s="25" t="str">
        <x:f>(VALUE(LEFT(D23,4))-1)&amp;RIGHT(D23,2)</x:f>
        <x:v>2024Q1</x:v>
      </x:c>
      <x:c r="L23" s="25" t="n">
        <x:f>IFERROR(INDEX($I$7:$I$29,MATCH(K23,$D$7:$D$29,0)),"")</x:f>
        <x:v>2050</x:v>
      </x:c>
      <x:c r="M23" s="26" t="n">
        <x:f>IF(OR(I23="",L23=""),"",I23/L23-1)</x:f>
        <x:v>0.09756097560975618</x:v>
      </x:c>
      <x:c r="N23" s="26" t="n">
        <x:f>IF(OR(M23="",M22=""),"",M23-M22)</x:f>
        <x:v>-0.025694838343732096</x:v>
      </x:c>
      <x:c r="O23" s="27" t="str">
        <x:v>SEC_EX99_1</x:v>
      </x:c>
      <x:c r="P23" s="27" t="str">
        <x:v>https://www.sec.gov/Archives/edgar/data/1559720/000119312525026054/d915198dex991.htm</x:v>
      </x:c>
      <x:c r="Q23" s="27" t="str">
        <x:v>Spoken range and SEC exhibit agree.</x:v>
      </x:c>
    </x:row>
    <x:row r="24">
      <x:c r="A24" s="23" t="n">
        <x:v>18</x:v>
      </x:c>
      <x:c r="B24" s="23" t="str">
        <x:v>ABNB-2025Q1-GUIDE</x:v>
      </x:c>
      <x:c r="C24" s="23" t="str">
        <x:v>2025Q1</x:v>
      </x:c>
      <x:c r="D24" s="23" t="str">
        <x:v>2025Q2</x:v>
      </x:c>
      <x:c r="E24" s="24" t="n">
        <x:v>45778.834328703706</x:v>
      </x:c>
      <x:c r="F24" s="23" t="str">
        <x:v>numeric_range</x:v>
      </x:c>
      <x:c r="G24" s="25" t="n">
        <x:v>2990</x:v>
      </x:c>
      <x:c r="H24" s="25" t="n">
        <x:v>3050</x:v>
      </x:c>
      <x:c r="I24" s="25" t="n">
        <x:v>3020</x:v>
      </x:c>
      <x:c r="J24" s="25" t="n">
        <x:f>IF(OR(G24="",H24=""),"",H24-G24)</x:f>
        <x:v>60</x:v>
      </x:c>
      <x:c r="K24" s="25" t="str">
        <x:f>(VALUE(LEFT(D24,4))-1)&amp;RIGHT(D24,2)</x:f>
        <x:v>2024Q2</x:v>
      </x:c>
      <x:c r="L24" s="25" t="n">
        <x:f>IFERROR(INDEX($I$7:$I$29,MATCH(K24,$D$7:$D$29,0)),"")</x:f>
        <x:v>2710</x:v>
      </x:c>
      <x:c r="M24" s="26" t="n">
        <x:f>IF(OR(I24="",L24=""),"",I24/L24-1)</x:f>
        <x:v>0.11439114391143912</x:v>
      </x:c>
      <x:c r="N24" s="26" t="n">
        <x:f>IF(OR(M24="",M23=""),"",M24-M23)</x:f>
        <x:v>0.016830168301682935</x:v>
      </x:c>
      <x:c r="O24" s="27" t="str">
        <x:v>SEC_8K</x:v>
      </x:c>
      <x:c r="P24" s="27" t="str">
        <x:v>https://www.sec.gov/Archives/edgar/data/1559720/000119312525109934/d40594d8k.htm</x:v>
      </x:c>
      <x:c r="Q24" s="27" t="str">
        <x:v>Spoken range retained with SEC filing acceptance cutoff.</x:v>
      </x:c>
    </x:row>
    <x:row r="25">
      <x:c r="A25" s="23" t="n">
        <x:v>19</x:v>
      </x:c>
      <x:c r="B25" s="23" t="str">
        <x:v>ABNB-2025Q2-GUIDE</x:v>
      </x:c>
      <x:c r="C25" s="23" t="str">
        <x:v>2025Q2</x:v>
      </x:c>
      <x:c r="D25" s="23" t="str">
        <x:v>2025Q3</x:v>
      </x:c>
      <x:c r="E25" s="24" t="n">
        <x:v>45875.83458333334</x:v>
      </x:c>
      <x:c r="F25" s="23" t="str">
        <x:v>numeric_range</x:v>
      </x:c>
      <x:c r="G25" s="25" t="n">
        <x:v>4020</x:v>
      </x:c>
      <x:c r="H25" s="25" t="n">
        <x:v>4100</x:v>
      </x:c>
      <x:c r="I25" s="25" t="n">
        <x:v>4060</x:v>
      </x:c>
      <x:c r="J25" s="25" t="n">
        <x:f>IF(OR(G25="",H25=""),"",H25-G25)</x:f>
        <x:v>80</x:v>
      </x:c>
      <x:c r="K25" s="25" t="str">
        <x:f>(VALUE(LEFT(D25,4))-1)&amp;RIGHT(D25,2)</x:f>
        <x:v>2024Q3</x:v>
      </x:c>
      <x:c r="L25" s="25" t="n">
        <x:f>IFERROR(INDEX($I$7:$I$29,MATCH(K25,$D$7:$D$29,0)),"")</x:f>
        <x:v>3700</x:v>
      </x:c>
      <x:c r="M25" s="26" t="n">
        <x:f>IF(OR(I25="",L25=""),"",I25/L25-1)</x:f>
        <x:v>0.09729729729729719</x:v>
      </x:c>
      <x:c r="N25" s="26" t="n">
        <x:f>IF(OR(M25="",M24=""),"",M25-M24)</x:f>
        <x:v>-0.017093846614141928</x:v>
      </x:c>
      <x:c r="O25" s="27" t="str">
        <x:v>SEC_8K</x:v>
      </x:c>
      <x:c r="P25" s="27" t="str">
        <x:v>https://www.sec.gov/Archives/edgar/data/1559720/000119312525174438/d17531d8k.htm</x:v>
      </x:c>
      <x:c r="Q25" s="27" t="str">
        <x:v>Spoken range retained with SEC filing acceptance cutoff.</x:v>
      </x:c>
    </x:row>
    <x:row r="26">
      <x:c r="A26" s="23" t="n">
        <x:v>20</x:v>
      </x:c>
      <x:c r="B26" s="23" t="str">
        <x:v>ABNB-2025Q3-GUIDE</x:v>
      </x:c>
      <x:c r="C26" s="23" t="str">
        <x:v>2025Q3</x:v>
      </x:c>
      <x:c r="D26" s="23" t="str">
        <x:v>2025Q4</x:v>
      </x:c>
      <x:c r="E26" s="24" t="n">
        <x:v>45967.8755787037</x:v>
      </x:c>
      <x:c r="F26" s="23" t="str">
        <x:v>numeric_range</x:v>
      </x:c>
      <x:c r="G26" s="25" t="n">
        <x:v>2660</x:v>
      </x:c>
      <x:c r="H26" s="25" t="n">
        <x:v>2720</x:v>
      </x:c>
      <x:c r="I26" s="25" t="n">
        <x:v>2690</x:v>
      </x:c>
      <x:c r="J26" s="25" t="n">
        <x:f>IF(OR(G26="",H26=""),"",H26-G26)</x:f>
        <x:v>60</x:v>
      </x:c>
      <x:c r="K26" s="25" t="str">
        <x:f>(VALUE(LEFT(D26,4))-1)&amp;RIGHT(D26,2)</x:f>
        <x:v>2024Q4</x:v>
      </x:c>
      <x:c r="L26" s="25" t="n">
        <x:f>IFERROR(INDEX($I$7:$I$29,MATCH(K26,$D$7:$D$29,0)),"")</x:f>
        <x:v>2415</x:v>
      </x:c>
      <x:c r="M26" s="26" t="n">
        <x:f>IF(OR(I26="",L26=""),"",I26/L26-1)</x:f>
        <x:v>0.11387163561076608</x:v>
      </x:c>
      <x:c r="N26" s="26" t="n">
        <x:f>IF(OR(M26="",M25=""),"",M26-M25)</x:f>
        <x:v>0.016574338313468884</x:v>
      </x:c>
      <x:c r="O26" s="27" t="str">
        <x:v>SEC_EX99_1</x:v>
      </x:c>
      <x:c r="P26" s="27" t="str">
        <x:v>https://www.sec.gov/Archives/edgar/data/1559720/000119312525269432/d40503dex991.htm</x:v>
      </x:c>
      <x:c r="Q26" s="27" t="str">
        <x:v>Spoken range and SEC exhibit agree.</x:v>
      </x:c>
    </x:row>
    <x:row r="27">
      <x:c r="A27" s="23" t="n">
        <x:v>21</x:v>
      </x:c>
      <x:c r="B27" s="23" t="str">
        <x:v>ABNB-2025Q4-GUIDE</x:v>
      </x:c>
      <x:c r="C27" s="23" t="str">
        <x:v>2025Q4</x:v>
      </x:c>
      <x:c r="D27" s="23" t="str">
        <x:v>2026Q1</x:v>
      </x:c>
      <x:c r="E27" s="24" t="n">
        <x:v>46065.87634259259</x:v>
      </x:c>
      <x:c r="F27" s="23" t="str">
        <x:v>numeric_range</x:v>
      </x:c>
      <x:c r="G27" s="25" t="n">
        <x:v>2590</x:v>
      </x:c>
      <x:c r="H27" s="25" t="n">
        <x:v>2630</x:v>
      </x:c>
      <x:c r="I27" s="25" t="n">
        <x:v>2610</x:v>
      </x:c>
      <x:c r="J27" s="25" t="n">
        <x:f>IF(OR(G27="",H27=""),"",H27-G27)</x:f>
        <x:v>40</x:v>
      </x:c>
      <x:c r="K27" s="25" t="str">
        <x:f>(VALUE(LEFT(D27,4))-1)&amp;RIGHT(D27,2)</x:f>
        <x:v>2025Q1</x:v>
      </x:c>
      <x:c r="L27" s="25" t="n">
        <x:f>IFERROR(INDEX($I$7:$I$29,MATCH(K27,$D$7:$D$29,0)),"")</x:f>
        <x:v>2250</x:v>
      </x:c>
      <x:c r="M27" s="26" t="n">
        <x:f>IF(OR(I27="",L27=""),"",I27/L27-1)</x:f>
        <x:v>0.15999999999999992</x:v>
      </x:c>
      <x:c r="N27" s="26" t="n">
        <x:f>IF(OR(M27="",M26=""),"",M27-M26)</x:f>
        <x:v>0.046128364389233845</x:v>
      </x:c>
      <x:c r="O27" s="27" t="str">
        <x:v>SEC_EX99_1</x:v>
      </x:c>
      <x:c r="P27" s="27" t="str">
        <x:v>https://www.sec.gov/Archives/edgar/data/1559720/000119312526048670/d58192dex991.htm</x:v>
      </x:c>
      <x:c r="Q27" s="27" t="str">
        <x:v>Spoken range and SEC exhibit agree.</x:v>
      </x:c>
    </x:row>
    <x:row r="28">
      <x:c r="A28" s="23" t="n">
        <x:v>22</x:v>
      </x:c>
      <x:c r="B28" s="23" t="str">
        <x:v>ABNB-2026Q1-GUIDE</x:v>
      </x:c>
      <x:c r="C28" s="23" t="str">
        <x:v>2026Q1</x:v>
      </x:c>
      <x:c r="D28" s="23" t="str">
        <x:v>2026Q2</x:v>
      </x:c>
      <x:c r="E28" s="24" t="n">
        <x:v>46149.833645833336</x:v>
      </x:c>
      <x:c r="F28" s="23" t="str">
        <x:v>numeric_range</x:v>
      </x:c>
      <x:c r="G28" s="25" t="n">
        <x:v>3540</x:v>
      </x:c>
      <x:c r="H28" s="25" t="n">
        <x:v>3600</x:v>
      </x:c>
      <x:c r="I28" s="25" t="n">
        <x:v>3570</x:v>
      </x:c>
      <x:c r="J28" s="25" t="n">
        <x:f>IF(OR(G28="",H28=""),"",H28-G28)</x:f>
        <x:v>60</x:v>
      </x:c>
      <x:c r="K28" s="25" t="str">
        <x:f>(VALUE(LEFT(D28,4))-1)&amp;RIGHT(D28,2)</x:f>
        <x:v>2025Q2</x:v>
      </x:c>
      <x:c r="L28" s="25" t="n">
        <x:f>IFERROR(INDEX($I$7:$I$29,MATCH(K28,$D$7:$D$29,0)),"")</x:f>
        <x:v>3020</x:v>
      </x:c>
      <x:c r="M28" s="26" t="n">
        <x:f>IF(OR(I28="",L28=""),"",I28/L28-1)</x:f>
        <x:v>0.18211920529801318</x:v>
      </x:c>
      <x:c r="N28" s="26" t="n">
        <x:f>IF(OR(M28="",M27=""),"",M28-M27)</x:f>
        <x:v>0.022119205298013256</x:v>
      </x:c>
      <x:c r="O28" s="27" t="str">
        <x:v>SEC_EX99_1</x:v>
      </x:c>
      <x:c r="P28" s="27" t="str">
        <x:v>https://www.sec.gov/Archives/edgar/data/1559720/000119312526211816/d23351dex991.htm</x:v>
      </x:c>
      <x:c r="Q28" s="27" t="str">
        <x:v>Spoken range and SEC exhibit agree.</x:v>
      </x:c>
    </x:row>
    <x:row r="29">
      <x:c r="A29" s="23" t="n">
        <x:v>23</x:v>
      </x:c>
      <x:c r="B29" s="23" t="str">
        <x:v>ABNB-2026Q2-GUIDE</x:v>
      </x:c>
      <x:c r="C29" s="23" t="str">
        <x:v>2026Q2</x:v>
      </x:c>
      <x:c r="D29" s="23" t="str">
        <x:v>2026Q3</x:v>
      </x:c>
      <x:c r="E29" s="24" t="n">
        <x:v>46240.835335648146</x:v>
      </x:c>
      <x:c r="F29" s="23" t="str">
        <x:v>numeric_range</x:v>
      </x:c>
      <x:c r="G29" s="25" t="n">
        <x:v>4690</x:v>
      </x:c>
      <x:c r="H29" s="25" t="n">
        <x:v>4770</x:v>
      </x:c>
      <x:c r="I29" s="25" t="n">
        <x:v>4730</x:v>
      </x:c>
      <x:c r="J29" s="25" t="n">
        <x:f>IF(OR(G29="",H29=""),"",H29-G29)</x:f>
        <x:v>80</x:v>
      </x:c>
      <x:c r="K29" s="25" t="str">
        <x:f>(VALUE(LEFT(D29,4))-1)&amp;RIGHT(D29,2)</x:f>
        <x:v>2025Q3</x:v>
      </x:c>
      <x:c r="L29" s="25" t="n">
        <x:f>IFERROR(INDEX($I$7:$I$29,MATCH(K29,$D$7:$D$29,0)),"")</x:f>
        <x:v>4060</x:v>
      </x:c>
      <x:c r="M29" s="26" t="n">
        <x:f>IF(OR(I29="",L29=""),"",I29/L29-1)</x:f>
        <x:v>0.1650246305418719</x:v>
      </x:c>
      <x:c r="N29" s="26" t="n">
        <x:f>IF(OR(M29="",M28=""),"",M29-M28)</x:f>
        <x:v>-0.01709457475614129</x:v>
      </x:c>
      <x:c r="O29" s="27" t="str">
        <x:v>SEC_EX99_1</x:v>
      </x:c>
      <x:c r="P29" s="27" t="str">
        <x:v>https://www.sec.gov/Archives/edgar/data/1559720/000119312526337928/d70413dex991.htm</x:v>
      </x:c>
      <x:c r="Q29" s="27" t="str">
        <x:v>Spoken range and SEC exhibit agree.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abaf178e55ae46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3" hidden="0" customWidth="1"/>
    <x:col min="4" max="4" width="13" hidden="0" customWidth="1"/>
    <x:col min="5" max="5" width="20" hidden="0" customWidth="1"/>
    <x:col min="6" max="6" width="14" hidden="0" customWidth="1"/>
    <x:col min="7" max="7" width="14" hidden="0" customWidth="1"/>
    <x:col min="8" max="8" width="18" hidden="0" customWidth="1"/>
    <x:col min="9" max="9" width="30" hidden="0" customWidth="1"/>
    <x:col min="10" max="10" width="14" hidden="0" customWidth="1"/>
    <x:col min="11" max="11" width="14" hidden="0" customWidth="1"/>
    <x:col min="12" max="12" width="26" hidden="0" customWidth="1"/>
    <x:col min="13" max="13" width="22" hidden="0" customWidth="1"/>
    <x:col min="14" max="14" width="18" hidden="0" customWidth="1"/>
    <x:col min="15" max="15" width="16" hidden="0" customWidth="1"/>
    <x:col min="16" max="16" width="16" hidden="0" customWidth="1"/>
    <x:col min="17" max="17" width="34" hidden="0" customWidth="1"/>
    <x:col min="18" max="18" width="52" hidden="0" customWidth="1"/>
    <x:col min="19" max="19" width="14" hidden="0" customWidth="1"/>
    <x:col min="20" max="20" width="16" hidden="0" customWidth="1"/>
    <x:col min="21" max="21" width="17" hidden="0" customWidth="1"/>
    <x:col min="22" max="22" width="13" hidden="0" customWidth="1"/>
    <x:col min="23" max="23" width="13" hidden="0" customWidth="1"/>
    <x:col min="24" max="24" width="22" hidden="0" customWidth="1"/>
    <x:col min="25" max="25" width="56" hidden="0" customWidth="1"/>
  </x:cols>
  <x:sheetData>
    <x:row r="1" ht="25" customHeight="1">
      <x:c r="A1" s="3" t="str">
        <x:v>Event-aligned U.S. and European signals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3" ht="32" customHeight="1">
      <x:c r="A3" s="7" t="str">
        <x:v>The primary composite uses the latest U.S./EMEA revenue mix available before each guidance event. Feature lags remain diagnostic assumptions, not historical publication proof.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6">
      <x:c r="A6" s="16" t="str">
        <x:v>Event #</x:v>
      </x:c>
      <x:c r="B6" s="17" t="str">
        <x:v>Prediction ID</x:v>
      </x:c>
      <x:c r="C6" s="17" t="str">
        <x:v>Issuing quarter</x:v>
      </x:c>
      <x:c r="D6" s="17" t="str">
        <x:v>Guided quarter</x:v>
      </x:c>
      <x:c r="E6" s="17" t="str">
        <x:v>Guidance cutoff (UTC)</x:v>
      </x:c>
      <x:c r="F6" s="17" t="str">
        <x:v>Midpoint ($mm)</x:v>
      </x:c>
      <x:c r="G6" s="17" t="str">
        <x:v>Guidance YoY</x:v>
      </x:c>
      <x:c r="H6" s="17" t="str">
        <x:v>Guidance acceleration</x:v>
      </x:c>
      <x:c r="I6" s="17" t="str">
        <x:v>Feature ID</x:v>
      </x:c>
      <x:c r="J6" s="17" t="str">
        <x:v>Feature value</x:v>
      </x:c>
      <x:c r="K6" s="17" t="str">
        <x:v>Feature change</x:v>
      </x:c>
      <x:c r="L6" s="17" t="str">
        <x:v>Feature reference period</x:v>
      </x:c>
      <x:c r="M6" s="17" t="str">
        <x:v>Assumed diagnostic availability</x:v>
      </x:c>
      <x:c r="N6" s="17" t="str">
        <x:v>Diagnostic value available</x:v>
      </x:c>
      <x:c r="O6" s="17" t="str">
        <x:v>Strict PIT eligible</x:v>
      </x:c>
      <x:c r="P6" s="17" t="str">
        <x:v>Direction match</x:v>
      </x:c>
      <x:c r="Q6" s="17" t="str">
        <x:v>Evidence status</x:v>
      </x:c>
      <x:c r="R6" s="17" t="str">
        <x:v>Interpretation</x:v>
      </x:c>
      <x:c r="S6" s="17" t="str">
        <x:v>Weight fiscal year</x:v>
      </x:c>
      <x:c r="T6" s="17" t="str">
        <x:v>U.S. revenue ($mm)</x:v>
      </x:c>
      <x:c r="U6" s="17" t="str">
        <x:v>EMEA revenue ($mm)</x:v>
      </x:c>
      <x:c r="V6" s="17" t="str">
        <x:v>U.S. weight</x:v>
      </x:c>
      <x:c r="W6" s="17" t="str">
        <x:v>EMEA weight</x:v>
      </x:c>
      <x:c r="X6" s="17" t="str">
        <x:v>Weight available (UTC)</x:v>
      </x:c>
      <x:c r="Y6" s="18" t="str">
        <x:v>Weight source URL</x:v>
      </x:c>
    </x:row>
    <x:row r="7">
      <x:c r="A7" s="23" t="n">
        <x:v>1</x:v>
      </x:c>
      <x:c r="B7" s="23" t="str">
        <x:v>ABNB-2020Q4-GUIDE</x:v>
      </x:c>
      <x:c r="C7" s="23" t="str">
        <x:v>2020Q4</x:v>
      </x:c>
      <x:c r="D7" s="23" t="str">
        <x:v>2021Q1</x:v>
      </x:c>
      <x:c r="E7" s="24" t="n">
        <x:v>44252.87847222222</x:v>
      </x:c>
      <x:c r="F7" s="38"/>
      <x:c r="G7" s="26"/>
      <x:c r="H7" s="26"/>
      <x:c r="I7" s="26" t="str">
        <x:v>US_SFO_T3M_YOY</x:v>
      </x:c>
      <x:c r="J7" s="26"/>
      <x:c r="K7" s="26"/>
      <x:c r="L7" s="23" t="str"/>
      <x:c r="M7" s="39"/>
      <x:c r="N7" s="40" t="b">
        <x:v>0</x:v>
      </x:c>
      <x:c r="O7" s="41" t="b">
        <x:v>0</x:v>
      </x:c>
      <x:c r="P7" s="23"/>
      <x:c r="Q7" s="42" t="str">
        <x:v>current_snapshot_diagnostic_only</x:v>
      </x:c>
      <x:c r="R7" s="42" t="str">
        <x:v>Current-snapshot diagnostic only; not approved forecast evidence.</x:v>
      </x:c>
      <x:c r="S7" s="43"/>
      <x:c r="T7" s="44"/>
      <x:c r="U7" s="44"/>
      <x:c r="V7" s="45"/>
      <x:c r="W7" s="45"/>
      <x:c r="X7" s="46"/>
      <x:c r="Y7" s="43" t="str"/>
    </x:row>
    <x:row r="8">
      <x:c r="A8" s="23" t="n">
        <x:v>1</x:v>
      </x:c>
      <x:c r="B8" s="23" t="str">
        <x:v>ABNB-2020Q4-GUIDE</x:v>
      </x:c>
      <x:c r="C8" s="23" t="str">
        <x:v>2020Q4</x:v>
      </x:c>
      <x:c r="D8" s="23" t="str">
        <x:v>2021Q1</x:v>
      </x:c>
      <x:c r="E8" s="24" t="n">
        <x:v>44252.87847222222</x:v>
      </x:c>
      <x:c r="F8" s="38"/>
      <x:c r="G8" s="26"/>
      <x:c r="H8" s="26"/>
      <x:c r="I8" s="26" t="str">
        <x:v>EU_PLATFORM_T3M_YOY</x:v>
      </x:c>
      <x:c r="J8" s="26" t="n">
        <x:v>-0.34113041811660394</x:v>
      </x:c>
      <x:c r="K8" s="26"/>
      <x:c r="L8" s="23" t="str">
        <x:v>2020-09</x:v>
      </x:c>
      <x:c r="M8" s="39" t="n">
        <x:v>44224</x:v>
      </x:c>
      <x:c r="N8" s="40" t="b">
        <x:v>1</x:v>
      </x:c>
      <x:c r="O8" s="41" t="b">
        <x:v>0</x:v>
      </x:c>
      <x:c r="P8" s="23"/>
      <x:c r="Q8" s="42" t="str">
        <x:v>current_snapshot_diagnostic_only</x:v>
      </x:c>
      <x:c r="R8" s="42" t="str">
        <x:v>Current-snapshot diagnostic only; not approved forecast evidence.</x:v>
      </x:c>
      <x:c r="S8" s="43"/>
      <x:c r="T8" s="44"/>
      <x:c r="U8" s="44"/>
      <x:c r="V8" s="45"/>
      <x:c r="W8" s="45"/>
      <x:c r="X8" s="46"/>
      <x:c r="Y8" s="43" t="str"/>
    </x:row>
    <x:row r="9">
      <x:c r="A9" s="23" t="n">
        <x:v>1</x:v>
      </x:c>
      <x:c r="B9" s="23" t="str">
        <x:v>ABNB-2020Q4-GUIDE</x:v>
      </x:c>
      <x:c r="C9" s="23" t="str">
        <x:v>2020Q4</x:v>
      </x:c>
      <x:c r="D9" s="23" t="str">
        <x:v>2021Q1</x:v>
      </x:c>
      <x:c r="E9" s="24" t="n">
        <x:v>44252.87847222222</x:v>
      </x:c>
      <x:c r="F9" s="38"/>
      <x:c r="G9" s="26"/>
      <x:c r="H9" s="26"/>
      <x:c r="I9" s="26" t="str">
        <x:v>EU_TOURISM_T3M_YOY</x:v>
      </x:c>
      <x:c r="J9" s="26"/>
      <x:c r="K9" s="26"/>
      <x:c r="L9" s="23" t="str"/>
      <x:c r="M9" s="39"/>
      <x:c r="N9" s="40" t="b">
        <x:v>0</x:v>
      </x:c>
      <x:c r="O9" s="41" t="b">
        <x:v>0</x:v>
      </x:c>
      <x:c r="P9" s="23"/>
      <x:c r="Q9" s="42" t="str">
        <x:v>current_snapshot_diagnostic_only</x:v>
      </x:c>
      <x:c r="R9" s="42" t="str">
        <x:v>Current-snapshot diagnostic only; not approved forecast evidence.</x:v>
      </x:c>
      <x:c r="S9" s="43"/>
      <x:c r="T9" s="44"/>
      <x:c r="U9" s="44"/>
      <x:c r="V9" s="45"/>
      <x:c r="W9" s="45"/>
      <x:c r="X9" s="46"/>
      <x:c r="Y9" s="43" t="str"/>
    </x:row>
    <x:row r="10">
      <x:c r="A10" s="23" t="n">
        <x:v>1</x:v>
      </x:c>
      <x:c r="B10" s="23" t="str">
        <x:v>ABNB-2020Q4-GUIDE</x:v>
      </x:c>
      <x:c r="C10" s="23" t="str">
        <x:v>2020Q4</x:v>
      </x:c>
      <x:c r="D10" s="23" t="str">
        <x:v>2021Q1</x:v>
      </x:c>
      <x:c r="E10" s="24" t="n">
        <x:v>44252.87847222222</x:v>
      </x:c>
      <x:c r="F10" s="38"/>
      <x:c r="G10" s="26"/>
      <x:c r="H10" s="26"/>
      <x:c r="I10" s="26" t="str">
        <x:v>US_EU_50_50_COMPOSITE</x:v>
      </x:c>
      <x:c r="J10" s="26"/>
      <x:c r="K10" s="26"/>
      <x:c r="L10" s="23" t="str"/>
      <x:c r="M10" s="39"/>
      <x:c r="N10" s="40" t="b">
        <x:v>0</x:v>
      </x:c>
      <x:c r="O10" s="41" t="b">
        <x:v>0</x:v>
      </x:c>
      <x:c r="P10" s="23"/>
      <x:c r="Q10" s="42" t="str">
        <x:v>current_snapshot_diagnostic_only</x:v>
      </x:c>
      <x:c r="R10" s="42" t="str">
        <x:v>Current-snapshot diagnostic only; not approved forecast evidence.</x:v>
      </x:c>
      <x:c r="S10" s="43"/>
      <x:c r="T10" s="44"/>
      <x:c r="U10" s="44"/>
      <x:c r="V10" s="45"/>
      <x:c r="W10" s="45"/>
      <x:c r="X10" s="46"/>
      <x:c r="Y10" s="43" t="str"/>
    </x:row>
    <x:row r="11">
      <x:c r="A11" s="23" t="n">
        <x:v>1</x:v>
      </x:c>
      <x:c r="B11" s="23" t="str">
        <x:v>ABNB-2020Q4-GUIDE</x:v>
      </x:c>
      <x:c r="C11" s="23" t="str">
        <x:v>2020Q4</x:v>
      </x:c>
      <x:c r="D11" s="23" t="str">
        <x:v>2021Q1</x:v>
      </x:c>
      <x:c r="E11" s="24" t="n">
        <x:v>44252.87847222222</x:v>
      </x:c>
      <x:c r="F11" s="38"/>
      <x:c r="G11" s="26"/>
      <x:c r="H11" s="26"/>
      <x:c r="I11" s="26" t="str">
        <x:v>US_EMEA_REVENUE_WEIGHTED_COMPOSITE</x:v>
      </x:c>
      <x:c r="J11" s="26"/>
      <x:c r="K11" s="26"/>
      <x:c r="L11" s="23" t="str"/>
      <x:c r="M11" s="39"/>
      <x:c r="N11" s="40" t="b">
        <x:v>0</x:v>
      </x:c>
      <x:c r="O11" s="41" t="b">
        <x:v>0</x:v>
      </x:c>
      <x:c r="P11" s="23"/>
      <x:c r="Q11" s="42" t="str">
        <x:v>current_snapshot_diagnostic_only</x:v>
      </x:c>
      <x:c r="R11" s="42" t="str">
        <x:v>Current-snapshot diagnostic only; not approved forecast evidence.</x:v>
      </x:c>
      <x:c r="S11" s="43"/>
      <x:c r="T11" s="44"/>
      <x:c r="U11" s="44"/>
      <x:c r="V11" s="45"/>
      <x:c r="W11" s="45"/>
      <x:c r="X11" s="46"/>
      <x:c r="Y11" s="43" t="str"/>
    </x:row>
    <x:row r="12">
      <x:c r="A12" s="23" t="n">
        <x:v>1</x:v>
      </x:c>
      <x:c r="B12" s="23" t="str">
        <x:v>ABNB-2020Q4-GUIDE</x:v>
      </x:c>
      <x:c r="C12" s="23" t="str">
        <x:v>2020Q4</x:v>
      </x:c>
      <x:c r="D12" s="23" t="str">
        <x:v>2021Q1</x:v>
      </x:c>
      <x:c r="E12" s="24" t="n">
        <x:v>44252.87847222222</x:v>
      </x:c>
      <x:c r="F12" s="38"/>
      <x:c r="G12" s="26"/>
      <x:c r="H12" s="26"/>
      <x:c r="I12" s="26" t="str">
        <x:v>EU_PLATFORM_MINUS_TOURISM</x:v>
      </x:c>
      <x:c r="J12" s="26"/>
      <x:c r="K12" s="26"/>
      <x:c r="L12" s="23" t="str"/>
      <x:c r="M12" s="39"/>
      <x:c r="N12" s="40" t="b">
        <x:v>0</x:v>
      </x:c>
      <x:c r="O12" s="41" t="b">
        <x:v>0</x:v>
      </x:c>
      <x:c r="P12" s="23"/>
      <x:c r="Q12" s="42" t="str">
        <x:v>current_snapshot_diagnostic_only</x:v>
      </x:c>
      <x:c r="R12" s="42" t="str">
        <x:v>Current-snapshot diagnostic only; not approved forecast evidence.</x:v>
      </x:c>
      <x:c r="S12" s="43"/>
      <x:c r="T12" s="44"/>
      <x:c r="U12" s="44"/>
      <x:c r="V12" s="45"/>
      <x:c r="W12" s="45"/>
      <x:c r="X12" s="46"/>
      <x:c r="Y12" s="43" t="str"/>
    </x:row>
    <x:row r="13">
      <x:c r="A13" s="23" t="n">
        <x:v>2</x:v>
      </x:c>
      <x:c r="B13" s="23" t="str">
        <x:v>ABNB-2021Q1-GUIDE</x:v>
      </x:c>
      <x:c r="C13" s="23" t="str">
        <x:v>2021Q1</x:v>
      </x:c>
      <x:c r="D13" s="23" t="str">
        <x:v>2021Q2</x:v>
      </x:c>
      <x:c r="E13" s="24" t="n">
        <x:v>44329.833819444444</x:v>
      </x:c>
      <x:c r="F13" s="38"/>
      <x:c r="G13" s="26"/>
      <x:c r="H13" s="26"/>
      <x:c r="I13" s="26" t="str">
        <x:v>US_SFO_T3M_YOY</x:v>
      </x:c>
      <x:c r="J13" s="26"/>
      <x:c r="K13" s="26"/>
      <x:c r="L13" s="23" t="str"/>
      <x:c r="M13" s="39"/>
      <x:c r="N13" s="40" t="b">
        <x:v>0</x:v>
      </x:c>
      <x:c r="O13" s="41" t="b">
        <x:v>0</x:v>
      </x:c>
      <x:c r="P13" s="23"/>
      <x:c r="Q13" s="42" t="str">
        <x:v>current_snapshot_diagnostic_only</x:v>
      </x:c>
      <x:c r="R13" s="42" t="str">
        <x:v>Current-snapshot diagnostic only; not approved forecast evidence.</x:v>
      </x:c>
      <x:c r="S13" s="43"/>
      <x:c r="T13" s="44"/>
      <x:c r="U13" s="44"/>
      <x:c r="V13" s="45"/>
      <x:c r="W13" s="45"/>
      <x:c r="X13" s="46"/>
      <x:c r="Y13" s="43" t="str"/>
    </x:row>
    <x:row r="14">
      <x:c r="A14" s="23" t="n">
        <x:v>2</x:v>
      </x:c>
      <x:c r="B14" s="23" t="str">
        <x:v>ABNB-2021Q1-GUIDE</x:v>
      </x:c>
      <x:c r="C14" s="23" t="str">
        <x:v>2021Q1</x:v>
      </x:c>
      <x:c r="D14" s="23" t="str">
        <x:v>2021Q2</x:v>
      </x:c>
      <x:c r="E14" s="24" t="n">
        <x:v>44329.833819444444</x:v>
      </x:c>
      <x:c r="F14" s="38"/>
      <x:c r="G14" s="26"/>
      <x:c r="H14" s="26"/>
      <x:c r="I14" s="26" t="str">
        <x:v>EU_PLATFORM_T3M_YOY</x:v>
      </x:c>
      <x:c r="J14" s="26" t="n">
        <x:v>-0.6140680057158187</x:v>
      </x:c>
      <x:c r="K14" s="26" t="n">
        <x:v>-0.2729375875992147</x:v>
      </x:c>
      <x:c r="L14" s="23" t="str">
        <x:v>2020-12</x:v>
      </x:c>
      <x:c r="M14" s="39" t="n">
        <x:v>44316</x:v>
      </x:c>
      <x:c r="N14" s="40" t="b">
        <x:v>1</x:v>
      </x:c>
      <x:c r="O14" s="41" t="b">
        <x:v>0</x:v>
      </x:c>
      <x:c r="P14" s="23"/>
      <x:c r="Q14" s="42" t="str">
        <x:v>current_snapshot_diagnostic_only</x:v>
      </x:c>
      <x:c r="R14" s="42" t="str">
        <x:v>Current-snapshot diagnostic only; not approved forecast evidence.</x:v>
      </x:c>
      <x:c r="S14" s="43"/>
      <x:c r="T14" s="44"/>
      <x:c r="U14" s="44"/>
      <x:c r="V14" s="45"/>
      <x:c r="W14" s="45"/>
      <x:c r="X14" s="46"/>
      <x:c r="Y14" s="43" t="str"/>
    </x:row>
    <x:row r="15">
      <x:c r="A15" s="23" t="n">
        <x:v>2</x:v>
      </x:c>
      <x:c r="B15" s="23" t="str">
        <x:v>ABNB-2021Q1-GUIDE</x:v>
      </x:c>
      <x:c r="C15" s="23" t="str">
        <x:v>2021Q1</x:v>
      </x:c>
      <x:c r="D15" s="23" t="str">
        <x:v>2021Q2</x:v>
      </x:c>
      <x:c r="E15" s="24" t="n">
        <x:v>44329.833819444444</x:v>
      </x:c>
      <x:c r="F15" s="38"/>
      <x:c r="G15" s="26"/>
      <x:c r="H15" s="26"/>
      <x:c r="I15" s="26" t="str">
        <x:v>EU_TOURISM_T3M_YOY</x:v>
      </x:c>
      <x:c r="J15" s="26"/>
      <x:c r="K15" s="26"/>
      <x:c r="L15" s="23" t="str"/>
      <x:c r="M15" s="39"/>
      <x:c r="N15" s="40" t="b">
        <x:v>0</x:v>
      </x:c>
      <x:c r="O15" s="41" t="b">
        <x:v>0</x:v>
      </x:c>
      <x:c r="P15" s="23"/>
      <x:c r="Q15" s="42" t="str">
        <x:v>current_snapshot_diagnostic_only</x:v>
      </x:c>
      <x:c r="R15" s="42" t="str">
        <x:v>Current-snapshot diagnostic only; not approved forecast evidence.</x:v>
      </x:c>
      <x:c r="S15" s="43"/>
      <x:c r="T15" s="44"/>
      <x:c r="U15" s="44"/>
      <x:c r="V15" s="45"/>
      <x:c r="W15" s="45"/>
      <x:c r="X15" s="46"/>
      <x:c r="Y15" s="43" t="str"/>
    </x:row>
    <x:row r="16">
      <x:c r="A16" s="23" t="n">
        <x:v>2</x:v>
      </x:c>
      <x:c r="B16" s="23" t="str">
        <x:v>ABNB-2021Q1-GUIDE</x:v>
      </x:c>
      <x:c r="C16" s="23" t="str">
        <x:v>2021Q1</x:v>
      </x:c>
      <x:c r="D16" s="23" t="str">
        <x:v>2021Q2</x:v>
      </x:c>
      <x:c r="E16" s="24" t="n">
        <x:v>44329.833819444444</x:v>
      </x:c>
      <x:c r="F16" s="38"/>
      <x:c r="G16" s="26"/>
      <x:c r="H16" s="26"/>
      <x:c r="I16" s="26" t="str">
        <x:v>US_EU_50_50_COMPOSITE</x:v>
      </x:c>
      <x:c r="J16" s="26"/>
      <x:c r="K16" s="26"/>
      <x:c r="L16" s="23" t="str"/>
      <x:c r="M16" s="39"/>
      <x:c r="N16" s="40" t="b">
        <x:v>0</x:v>
      </x:c>
      <x:c r="O16" s="41" t="b">
        <x:v>0</x:v>
      </x:c>
      <x:c r="P16" s="23"/>
      <x:c r="Q16" s="42" t="str">
        <x:v>current_snapshot_diagnostic_only</x:v>
      </x:c>
      <x:c r="R16" s="42" t="str">
        <x:v>Current-snapshot diagnostic only; not approved forecast evidence.</x:v>
      </x:c>
      <x:c r="S16" s="43"/>
      <x:c r="T16" s="44"/>
      <x:c r="U16" s="44"/>
      <x:c r="V16" s="45"/>
      <x:c r="W16" s="45"/>
      <x:c r="X16" s="46"/>
      <x:c r="Y16" s="43" t="str"/>
    </x:row>
    <x:row r="17">
      <x:c r="A17" s="23" t="n">
        <x:v>2</x:v>
      </x:c>
      <x:c r="B17" s="23" t="str">
        <x:v>ABNB-2021Q1-GUIDE</x:v>
      </x:c>
      <x:c r="C17" s="23" t="str">
        <x:v>2021Q1</x:v>
      </x:c>
      <x:c r="D17" s="23" t="str">
        <x:v>2021Q2</x:v>
      </x:c>
      <x:c r="E17" s="24" t="n">
        <x:v>44329.833819444444</x:v>
      </x:c>
      <x:c r="F17" s="38"/>
      <x:c r="G17" s="26"/>
      <x:c r="H17" s="26"/>
      <x:c r="I17" s="26" t="str">
        <x:v>US_EMEA_REVENUE_WEIGHTED_COMPOSITE</x:v>
      </x:c>
      <x:c r="J17" s="26"/>
      <x:c r="K17" s="26"/>
      <x:c r="L17" s="23" t="str"/>
      <x:c r="M17" s="39"/>
      <x:c r="N17" s="40" t="b">
        <x:v>0</x:v>
      </x:c>
      <x:c r="O17" s="41" t="b">
        <x:v>0</x:v>
      </x:c>
      <x:c r="P17" s="23"/>
      <x:c r="Q17" s="42" t="str">
        <x:v>current_snapshot_diagnostic_only</x:v>
      </x:c>
      <x:c r="R17" s="42" t="str">
        <x:v>Current-snapshot diagnostic only; not approved forecast evidence.</x:v>
      </x:c>
      <x:c r="S17" s="43"/>
      <x:c r="T17" s="44"/>
      <x:c r="U17" s="44"/>
      <x:c r="V17" s="45"/>
      <x:c r="W17" s="45"/>
      <x:c r="X17" s="46"/>
      <x:c r="Y17" s="43" t="str"/>
    </x:row>
    <x:row r="18">
      <x:c r="A18" s="23" t="n">
        <x:v>2</x:v>
      </x:c>
      <x:c r="B18" s="23" t="str">
        <x:v>ABNB-2021Q1-GUIDE</x:v>
      </x:c>
      <x:c r="C18" s="23" t="str">
        <x:v>2021Q1</x:v>
      </x:c>
      <x:c r="D18" s="23" t="str">
        <x:v>2021Q2</x:v>
      </x:c>
      <x:c r="E18" s="24" t="n">
        <x:v>44329.833819444444</x:v>
      </x:c>
      <x:c r="F18" s="38"/>
      <x:c r="G18" s="26"/>
      <x:c r="H18" s="26"/>
      <x:c r="I18" s="26" t="str">
        <x:v>EU_PLATFORM_MINUS_TOURISM</x:v>
      </x:c>
      <x:c r="J18" s="26"/>
      <x:c r="K18" s="26"/>
      <x:c r="L18" s="23" t="str"/>
      <x:c r="M18" s="39"/>
      <x:c r="N18" s="40" t="b">
        <x:v>0</x:v>
      </x:c>
      <x:c r="O18" s="41" t="b">
        <x:v>0</x:v>
      </x:c>
      <x:c r="P18" s="23"/>
      <x:c r="Q18" s="42" t="str">
        <x:v>current_snapshot_diagnostic_only</x:v>
      </x:c>
      <x:c r="R18" s="42" t="str">
        <x:v>Current-snapshot diagnostic only; not approved forecast evidence.</x:v>
      </x:c>
      <x:c r="S18" s="43"/>
      <x:c r="T18" s="44"/>
      <x:c r="U18" s="44"/>
      <x:c r="V18" s="45"/>
      <x:c r="W18" s="45"/>
      <x:c r="X18" s="46"/>
      <x:c r="Y18" s="43" t="str"/>
    </x:row>
    <x:row r="19">
      <x:c r="A19" s="23" t="n">
        <x:v>3</x:v>
      </x:c>
      <x:c r="B19" s="23" t="str">
        <x:v>ABNB-2021Q2-GUIDE</x:v>
      </x:c>
      <x:c r="C19" s="23" t="str">
        <x:v>2021Q2</x:v>
      </x:c>
      <x:c r="D19" s="23" t="str">
        <x:v>2021Q3</x:v>
      </x:c>
      <x:c r="E19" s="24" t="n">
        <x:v>44420.83414351852</x:v>
      </x:c>
      <x:c r="F19" s="38"/>
      <x:c r="G19" s="26"/>
      <x:c r="H19" s="26"/>
      <x:c r="I19" s="26" t="str">
        <x:v>US_SFO_T3M_YOY</x:v>
      </x:c>
      <x:c r="J19" s="26"/>
      <x:c r="K19" s="26"/>
      <x:c r="L19" s="23" t="str"/>
      <x:c r="M19" s="39"/>
      <x:c r="N19" s="40" t="b">
        <x:v>0</x:v>
      </x:c>
      <x:c r="O19" s="41" t="b">
        <x:v>0</x:v>
      </x:c>
      <x:c r="P19" s="23"/>
      <x:c r="Q19" s="42" t="str">
        <x:v>current_snapshot_diagnostic_only</x:v>
      </x:c>
      <x:c r="R19" s="42" t="str">
        <x:v>Current-snapshot diagnostic only; not approved forecast evidence.</x:v>
      </x:c>
      <x:c r="S19" s="43"/>
      <x:c r="T19" s="44"/>
      <x:c r="U19" s="44"/>
      <x:c r="V19" s="45"/>
      <x:c r="W19" s="45"/>
      <x:c r="X19" s="46"/>
      <x:c r="Y19" s="43" t="str"/>
    </x:row>
    <x:row r="20">
      <x:c r="A20" s="23" t="n">
        <x:v>3</x:v>
      </x:c>
      <x:c r="B20" s="23" t="str">
        <x:v>ABNB-2021Q2-GUIDE</x:v>
      </x:c>
      <x:c r="C20" s="23" t="str">
        <x:v>2021Q2</x:v>
      </x:c>
      <x:c r="D20" s="23" t="str">
        <x:v>2021Q3</x:v>
      </x:c>
      <x:c r="E20" s="24" t="n">
        <x:v>44420.83414351852</x:v>
      </x:c>
      <x:c r="F20" s="38"/>
      <x:c r="G20" s="26"/>
      <x:c r="H20" s="26"/>
      <x:c r="I20" s="26" t="str">
        <x:v>EU_PLATFORM_T3M_YOY</x:v>
      </x:c>
      <x:c r="J20" s="26" t="n">
        <x:v>-0.5655736035571968</x:v>
      </x:c>
      <x:c r="K20" s="26" t="n">
        <x:v>0.048494402158621885</x:v>
      </x:c>
      <x:c r="L20" s="23" t="str">
        <x:v>2021-03</x:v>
      </x:c>
      <x:c r="M20" s="39" t="n">
        <x:v>44406</x:v>
      </x:c>
      <x:c r="N20" s="40" t="b">
        <x:v>1</x:v>
      </x:c>
      <x:c r="O20" s="41" t="b">
        <x:v>0</x:v>
      </x:c>
      <x:c r="P20" s="23"/>
      <x:c r="Q20" s="42" t="str">
        <x:v>current_snapshot_diagnostic_only</x:v>
      </x:c>
      <x:c r="R20" s="42" t="str">
        <x:v>Current-snapshot diagnostic only; not approved forecast evidence.</x:v>
      </x:c>
      <x:c r="S20" s="43"/>
      <x:c r="T20" s="44"/>
      <x:c r="U20" s="44"/>
      <x:c r="V20" s="45"/>
      <x:c r="W20" s="45"/>
      <x:c r="X20" s="46"/>
      <x:c r="Y20" s="43" t="str"/>
    </x:row>
    <x:row r="21">
      <x:c r="A21" s="23" t="n">
        <x:v>3</x:v>
      </x:c>
      <x:c r="B21" s="23" t="str">
        <x:v>ABNB-2021Q2-GUIDE</x:v>
      </x:c>
      <x:c r="C21" s="23" t="str">
        <x:v>2021Q2</x:v>
      </x:c>
      <x:c r="D21" s="23" t="str">
        <x:v>2021Q3</x:v>
      </x:c>
      <x:c r="E21" s="24" t="n">
        <x:v>44420.83414351852</x:v>
      </x:c>
      <x:c r="F21" s="38"/>
      <x:c r="G21" s="26"/>
      <x:c r="H21" s="26"/>
      <x:c r="I21" s="26" t="str">
        <x:v>EU_TOURISM_T3M_YOY</x:v>
      </x:c>
      <x:c r="J21" s="26"/>
      <x:c r="K21" s="26"/>
      <x:c r="L21" s="23" t="str"/>
      <x:c r="M21" s="39"/>
      <x:c r="N21" s="40" t="b">
        <x:v>0</x:v>
      </x:c>
      <x:c r="O21" s="41" t="b">
        <x:v>0</x:v>
      </x:c>
      <x:c r="P21" s="23"/>
      <x:c r="Q21" s="42" t="str">
        <x:v>current_snapshot_diagnostic_only</x:v>
      </x:c>
      <x:c r="R21" s="42" t="str">
        <x:v>Current-snapshot diagnostic only; not approved forecast evidence.</x:v>
      </x:c>
      <x:c r="S21" s="43"/>
      <x:c r="T21" s="44"/>
      <x:c r="U21" s="44"/>
      <x:c r="V21" s="45"/>
      <x:c r="W21" s="45"/>
      <x:c r="X21" s="46"/>
      <x:c r="Y21" s="43" t="str"/>
    </x:row>
    <x:row r="22">
      <x:c r="A22" s="23" t="n">
        <x:v>3</x:v>
      </x:c>
      <x:c r="B22" s="23" t="str">
        <x:v>ABNB-2021Q2-GUIDE</x:v>
      </x:c>
      <x:c r="C22" s="23" t="str">
        <x:v>2021Q2</x:v>
      </x:c>
      <x:c r="D22" s="23" t="str">
        <x:v>2021Q3</x:v>
      </x:c>
      <x:c r="E22" s="24" t="n">
        <x:v>44420.83414351852</x:v>
      </x:c>
      <x:c r="F22" s="38"/>
      <x:c r="G22" s="26"/>
      <x:c r="H22" s="26"/>
      <x:c r="I22" s="26" t="str">
        <x:v>US_EU_50_50_COMPOSITE</x:v>
      </x:c>
      <x:c r="J22" s="26"/>
      <x:c r="K22" s="26"/>
      <x:c r="L22" s="23" t="str"/>
      <x:c r="M22" s="39"/>
      <x:c r="N22" s="40" t="b">
        <x:v>0</x:v>
      </x:c>
      <x:c r="O22" s="41" t="b">
        <x:v>0</x:v>
      </x:c>
      <x:c r="P22" s="23"/>
      <x:c r="Q22" s="42" t="str">
        <x:v>current_snapshot_diagnostic_only</x:v>
      </x:c>
      <x:c r="R22" s="42" t="str">
        <x:v>Current-snapshot diagnostic only; not approved forecast evidence.</x:v>
      </x:c>
      <x:c r="S22" s="43"/>
      <x:c r="T22" s="44"/>
      <x:c r="U22" s="44"/>
      <x:c r="V22" s="45"/>
      <x:c r="W22" s="45"/>
      <x:c r="X22" s="46"/>
      <x:c r="Y22" s="43" t="str"/>
    </x:row>
    <x:row r="23">
      <x:c r="A23" s="23" t="n">
        <x:v>3</x:v>
      </x:c>
      <x:c r="B23" s="23" t="str">
        <x:v>ABNB-2021Q2-GUIDE</x:v>
      </x:c>
      <x:c r="C23" s="23" t="str">
        <x:v>2021Q2</x:v>
      </x:c>
      <x:c r="D23" s="23" t="str">
        <x:v>2021Q3</x:v>
      </x:c>
      <x:c r="E23" s="24" t="n">
        <x:v>44420.83414351852</x:v>
      </x:c>
      <x:c r="F23" s="38"/>
      <x:c r="G23" s="26"/>
      <x:c r="H23" s="26"/>
      <x:c r="I23" s="26" t="str">
        <x:v>US_EMEA_REVENUE_WEIGHTED_COMPOSITE</x:v>
      </x:c>
      <x:c r="J23" s="26"/>
      <x:c r="K23" s="26"/>
      <x:c r="L23" s="23" t="str"/>
      <x:c r="M23" s="39"/>
      <x:c r="N23" s="40" t="b">
        <x:v>0</x:v>
      </x:c>
      <x:c r="O23" s="41" t="b">
        <x:v>0</x:v>
      </x:c>
      <x:c r="P23" s="23"/>
      <x:c r="Q23" s="42" t="str">
        <x:v>current_snapshot_diagnostic_only</x:v>
      </x:c>
      <x:c r="R23" s="42" t="str">
        <x:v>Current-snapshot diagnostic only; not approved forecast evidence.</x:v>
      </x:c>
      <x:c r="S23" s="43"/>
      <x:c r="T23" s="44"/>
      <x:c r="U23" s="44"/>
      <x:c r="V23" s="45"/>
      <x:c r="W23" s="45"/>
      <x:c r="X23" s="46"/>
      <x:c r="Y23" s="43" t="str"/>
    </x:row>
    <x:row r="24">
      <x:c r="A24" s="23" t="n">
        <x:v>3</x:v>
      </x:c>
      <x:c r="B24" s="23" t="str">
        <x:v>ABNB-2021Q2-GUIDE</x:v>
      </x:c>
      <x:c r="C24" s="23" t="str">
        <x:v>2021Q2</x:v>
      </x:c>
      <x:c r="D24" s="23" t="str">
        <x:v>2021Q3</x:v>
      </x:c>
      <x:c r="E24" s="24" t="n">
        <x:v>44420.83414351852</x:v>
      </x:c>
      <x:c r="F24" s="38"/>
      <x:c r="G24" s="26"/>
      <x:c r="H24" s="26"/>
      <x:c r="I24" s="26" t="str">
        <x:v>EU_PLATFORM_MINUS_TOURISM</x:v>
      </x:c>
      <x:c r="J24" s="26"/>
      <x:c r="K24" s="26"/>
      <x:c r="L24" s="23" t="str"/>
      <x:c r="M24" s="39"/>
      <x:c r="N24" s="40" t="b">
        <x:v>0</x:v>
      </x:c>
      <x:c r="O24" s="41" t="b">
        <x:v>0</x:v>
      </x:c>
      <x:c r="P24" s="23"/>
      <x:c r="Q24" s="42" t="str">
        <x:v>current_snapshot_diagnostic_only</x:v>
      </x:c>
      <x:c r="R24" s="42" t="str">
        <x:v>Current-snapshot diagnostic only; not approved forecast evidence.</x:v>
      </x:c>
      <x:c r="S24" s="43"/>
      <x:c r="T24" s="44"/>
      <x:c r="U24" s="44"/>
      <x:c r="V24" s="45"/>
      <x:c r="W24" s="45"/>
      <x:c r="X24" s="46"/>
      <x:c r="Y24" s="43" t="str"/>
    </x:row>
    <x:row r="25">
      <x:c r="A25" s="23" t="n">
        <x:v>4</x:v>
      </x:c>
      <x:c r="B25" s="23" t="str">
        <x:v>ABNB-2021Q3-GUIDE</x:v>
      </x:c>
      <x:c r="C25" s="23" t="str">
        <x:v>2021Q3</x:v>
      </x:c>
      <x:c r="D25" s="23" t="str">
        <x:v>2021Q4</x:v>
      </x:c>
      <x:c r="E25" s="24" t="n">
        <x:v>44504.83427083334</x:v>
      </x:c>
      <x:c r="F25" s="38" t="n">
        <x:v>1435</x:v>
      </x:c>
      <x:c r="G25" s="26"/>
      <x:c r="H25" s="26"/>
      <x:c r="I25" s="26" t="str">
        <x:v>US_SFO_T3M_YOY</x:v>
      </x:c>
      <x:c r="J25" s="26"/>
      <x:c r="K25" s="26"/>
      <x:c r="L25" s="23" t="str"/>
      <x:c r="M25" s="39"/>
      <x:c r="N25" s="40" t="b">
        <x:v>0</x:v>
      </x:c>
      <x:c r="O25" s="41" t="b">
        <x:v>0</x:v>
      </x:c>
      <x:c r="P25" s="23"/>
      <x:c r="Q25" s="42" t="str">
        <x:v>current_snapshot_diagnostic_only</x:v>
      </x:c>
      <x:c r="R25" s="42" t="str">
        <x:v>Current-snapshot diagnostic only; not approved forecast evidence.</x:v>
      </x:c>
      <x:c r="S25" s="43"/>
      <x:c r="T25" s="44"/>
      <x:c r="U25" s="44"/>
      <x:c r="V25" s="45"/>
      <x:c r="W25" s="45"/>
      <x:c r="X25" s="46"/>
      <x:c r="Y25" s="43" t="str"/>
    </x:row>
    <x:row r="26">
      <x:c r="A26" s="23" t="n">
        <x:v>4</x:v>
      </x:c>
      <x:c r="B26" s="23" t="str">
        <x:v>ABNB-2021Q3-GUIDE</x:v>
      </x:c>
      <x:c r="C26" s="23" t="str">
        <x:v>2021Q3</x:v>
      </x:c>
      <x:c r="D26" s="23" t="str">
        <x:v>2021Q4</x:v>
      </x:c>
      <x:c r="E26" s="24" t="n">
        <x:v>44504.83427083334</x:v>
      </x:c>
      <x:c r="F26" s="38" t="n">
        <x:v>1435</x:v>
      </x:c>
      <x:c r="G26" s="26"/>
      <x:c r="H26" s="26"/>
      <x:c r="I26" s="26" t="str">
        <x:v>EU_PLATFORM_T3M_YOY</x:v>
      </x:c>
      <x:c r="J26" s="26" t="n">
        <x:v>1.4155282769732027</x:v>
      </x:c>
      <x:c r="K26" s="26" t="n">
        <x:v>1.9811018805303995</x:v>
      </x:c>
      <x:c r="L26" s="23" t="str">
        <x:v>2021-06</x:v>
      </x:c>
      <x:c r="M26" s="39" t="n">
        <x:v>44497</x:v>
      </x:c>
      <x:c r="N26" s="40" t="b">
        <x:v>1</x:v>
      </x:c>
      <x:c r="O26" s="41" t="b">
        <x:v>0</x:v>
      </x:c>
      <x:c r="P26" s="23"/>
      <x:c r="Q26" s="42" t="str">
        <x:v>current_snapshot_diagnostic_only</x:v>
      </x:c>
      <x:c r="R26" s="42" t="str">
        <x:v>Current-snapshot diagnostic only; not approved forecast evidence.</x:v>
      </x:c>
      <x:c r="S26" s="43"/>
      <x:c r="T26" s="44"/>
      <x:c r="U26" s="44"/>
      <x:c r="V26" s="45"/>
      <x:c r="W26" s="45"/>
      <x:c r="X26" s="46"/>
      <x:c r="Y26" s="43" t="str"/>
    </x:row>
    <x:row r="27">
      <x:c r="A27" s="23" t="n">
        <x:v>4</x:v>
      </x:c>
      <x:c r="B27" s="23" t="str">
        <x:v>ABNB-2021Q3-GUIDE</x:v>
      </x:c>
      <x:c r="C27" s="23" t="str">
        <x:v>2021Q3</x:v>
      </x:c>
      <x:c r="D27" s="23" t="str">
        <x:v>2021Q4</x:v>
      </x:c>
      <x:c r="E27" s="24" t="n">
        <x:v>44504.83427083334</x:v>
      </x:c>
      <x:c r="F27" s="38" t="n">
        <x:v>1435</x:v>
      </x:c>
      <x:c r="G27" s="26"/>
      <x:c r="H27" s="26"/>
      <x:c r="I27" s="26" t="str">
        <x:v>EU_TOURISM_T3M_YOY</x:v>
      </x:c>
      <x:c r="J27" s="26"/>
      <x:c r="K27" s="26"/>
      <x:c r="L27" s="23" t="str"/>
      <x:c r="M27" s="39"/>
      <x:c r="N27" s="40" t="b">
        <x:v>0</x:v>
      </x:c>
      <x:c r="O27" s="41" t="b">
        <x:v>0</x:v>
      </x:c>
      <x:c r="P27" s="23"/>
      <x:c r="Q27" s="42" t="str">
        <x:v>current_snapshot_diagnostic_only</x:v>
      </x:c>
      <x:c r="R27" s="42" t="str">
        <x:v>Current-snapshot diagnostic only; not approved forecast evidence.</x:v>
      </x:c>
      <x:c r="S27" s="43"/>
      <x:c r="T27" s="44"/>
      <x:c r="U27" s="44"/>
      <x:c r="V27" s="45"/>
      <x:c r="W27" s="45"/>
      <x:c r="X27" s="46"/>
      <x:c r="Y27" s="43" t="str"/>
    </x:row>
    <x:row r="28">
      <x:c r="A28" s="23" t="n">
        <x:v>4</x:v>
      </x:c>
      <x:c r="B28" s="23" t="str">
        <x:v>ABNB-2021Q3-GUIDE</x:v>
      </x:c>
      <x:c r="C28" s="23" t="str">
        <x:v>2021Q3</x:v>
      </x:c>
      <x:c r="D28" s="23" t="str">
        <x:v>2021Q4</x:v>
      </x:c>
      <x:c r="E28" s="24" t="n">
        <x:v>44504.83427083334</x:v>
      </x:c>
      <x:c r="F28" s="38" t="n">
        <x:v>1435</x:v>
      </x:c>
      <x:c r="G28" s="26"/>
      <x:c r="H28" s="26"/>
      <x:c r="I28" s="26" t="str">
        <x:v>US_EU_50_50_COMPOSITE</x:v>
      </x:c>
      <x:c r="J28" s="26"/>
      <x:c r="K28" s="26"/>
      <x:c r="L28" s="23" t="str"/>
      <x:c r="M28" s="39"/>
      <x:c r="N28" s="40" t="b">
        <x:v>0</x:v>
      </x:c>
      <x:c r="O28" s="41" t="b">
        <x:v>0</x:v>
      </x:c>
      <x:c r="P28" s="23"/>
      <x:c r="Q28" s="42" t="str">
        <x:v>current_snapshot_diagnostic_only</x:v>
      </x:c>
      <x:c r="R28" s="42" t="str">
        <x:v>Current-snapshot diagnostic only; not approved forecast evidence.</x:v>
      </x:c>
      <x:c r="S28" s="43"/>
      <x:c r="T28" s="44"/>
      <x:c r="U28" s="44"/>
      <x:c r="V28" s="45"/>
      <x:c r="W28" s="45"/>
      <x:c r="X28" s="46"/>
      <x:c r="Y28" s="43" t="str"/>
    </x:row>
    <x:row r="29">
      <x:c r="A29" s="23" t="n">
        <x:v>4</x:v>
      </x:c>
      <x:c r="B29" s="23" t="str">
        <x:v>ABNB-2021Q3-GUIDE</x:v>
      </x:c>
      <x:c r="C29" s="23" t="str">
        <x:v>2021Q3</x:v>
      </x:c>
      <x:c r="D29" s="23" t="str">
        <x:v>2021Q4</x:v>
      </x:c>
      <x:c r="E29" s="24" t="n">
        <x:v>44504.83427083334</x:v>
      </x:c>
      <x:c r="F29" s="38" t="n">
        <x:v>1435</x:v>
      </x:c>
      <x:c r="G29" s="26"/>
      <x:c r="H29" s="26"/>
      <x:c r="I29" s="26" t="str">
        <x:v>US_EMEA_REVENUE_WEIGHTED_COMPOSITE</x:v>
      </x:c>
      <x:c r="J29" s="26"/>
      <x:c r="K29" s="26"/>
      <x:c r="L29" s="23" t="str"/>
      <x:c r="M29" s="39"/>
      <x:c r="N29" s="40" t="b">
        <x:v>0</x:v>
      </x:c>
      <x:c r="O29" s="41" t="b">
        <x:v>0</x:v>
      </x:c>
      <x:c r="P29" s="23"/>
      <x:c r="Q29" s="42" t="str">
        <x:v>current_snapshot_diagnostic_only</x:v>
      </x:c>
      <x:c r="R29" s="42" t="str">
        <x:v>Current-snapshot diagnostic only; not approved forecast evidence.</x:v>
      </x:c>
      <x:c r="S29" s="43"/>
      <x:c r="T29" s="44"/>
      <x:c r="U29" s="44"/>
      <x:c r="V29" s="45"/>
      <x:c r="W29" s="45"/>
      <x:c r="X29" s="46"/>
      <x:c r="Y29" s="43" t="str"/>
    </x:row>
    <x:row r="30">
      <x:c r="A30" s="23" t="n">
        <x:v>4</x:v>
      </x:c>
      <x:c r="B30" s="23" t="str">
        <x:v>ABNB-2021Q3-GUIDE</x:v>
      </x:c>
      <x:c r="C30" s="23" t="str">
        <x:v>2021Q3</x:v>
      </x:c>
      <x:c r="D30" s="23" t="str">
        <x:v>2021Q4</x:v>
      </x:c>
      <x:c r="E30" s="24" t="n">
        <x:v>44504.83427083334</x:v>
      </x:c>
      <x:c r="F30" s="38" t="n">
        <x:v>1435</x:v>
      </x:c>
      <x:c r="G30" s="26"/>
      <x:c r="H30" s="26"/>
      <x:c r="I30" s="26" t="str">
        <x:v>EU_PLATFORM_MINUS_TOURISM</x:v>
      </x:c>
      <x:c r="J30" s="26"/>
      <x:c r="K30" s="26"/>
      <x:c r="L30" s="23" t="str"/>
      <x:c r="M30" s="39"/>
      <x:c r="N30" s="40" t="b">
        <x:v>0</x:v>
      </x:c>
      <x:c r="O30" s="41" t="b">
        <x:v>0</x:v>
      </x:c>
      <x:c r="P30" s="23"/>
      <x:c r="Q30" s="42" t="str">
        <x:v>current_snapshot_diagnostic_only</x:v>
      </x:c>
      <x:c r="R30" s="42" t="str">
        <x:v>Current-snapshot diagnostic only; not approved forecast evidence.</x:v>
      </x:c>
      <x:c r="S30" s="43"/>
      <x:c r="T30" s="44"/>
      <x:c r="U30" s="44"/>
      <x:c r="V30" s="45"/>
      <x:c r="W30" s="45"/>
      <x:c r="X30" s="46"/>
      <x:c r="Y30" s="43" t="str"/>
    </x:row>
    <x:row r="31">
      <x:c r="A31" s="23" t="n">
        <x:v>5</x:v>
      </x:c>
      <x:c r="B31" s="23" t="str">
        <x:v>ABNB-2021Q4-GUIDE</x:v>
      </x:c>
      <x:c r="C31" s="23" t="str">
        <x:v>2021Q4</x:v>
      </x:c>
      <x:c r="D31" s="23" t="str">
        <x:v>2022Q1</x:v>
      </x:c>
      <x:c r="E31" s="24" t="n">
        <x:v>44607.87650462963</x:v>
      </x:c>
      <x:c r="F31" s="38" t="n">
        <x:v>1445</x:v>
      </x:c>
      <x:c r="G31" s="26"/>
      <x:c r="H31" s="26"/>
      <x:c r="I31" s="26" t="str">
        <x:v>US_SFO_T3M_YOY</x:v>
      </x:c>
      <x:c r="J31" s="26"/>
      <x:c r="K31" s="26"/>
      <x:c r="L31" s="23" t="str"/>
      <x:c r="M31" s="39"/>
      <x:c r="N31" s="40" t="b">
        <x:v>0</x:v>
      </x:c>
      <x:c r="O31" s="41" t="b">
        <x:v>0</x:v>
      </x:c>
      <x:c r="P31" s="23"/>
      <x:c r="Q31" s="42" t="str">
        <x:v>current_snapshot_diagnostic_only</x:v>
      </x:c>
      <x:c r="R31" s="42" t="str">
        <x:v>Current-snapshot diagnostic only; not approved forecast evidence.</x:v>
      </x:c>
      <x:c r="S31" s="43"/>
      <x:c r="T31" s="44"/>
      <x:c r="U31" s="44"/>
      <x:c r="V31" s="45"/>
      <x:c r="W31" s="45"/>
      <x:c r="X31" s="46"/>
      <x:c r="Y31" s="43" t="str"/>
    </x:row>
    <x:row r="32">
      <x:c r="A32" s="23" t="n">
        <x:v>5</x:v>
      </x:c>
      <x:c r="B32" s="23" t="str">
        <x:v>ABNB-2021Q4-GUIDE</x:v>
      </x:c>
      <x:c r="C32" s="23" t="str">
        <x:v>2021Q4</x:v>
      </x:c>
      <x:c r="D32" s="23" t="str">
        <x:v>2022Q1</x:v>
      </x:c>
      <x:c r="E32" s="24" t="n">
        <x:v>44607.87650462963</x:v>
      </x:c>
      <x:c r="F32" s="38" t="n">
        <x:v>1445</x:v>
      </x:c>
      <x:c r="G32" s="26"/>
      <x:c r="H32" s="26"/>
      <x:c r="I32" s="26" t="str">
        <x:v>EU_PLATFORM_T3M_YOY</x:v>
      </x:c>
      <x:c r="J32" s="26" t="n">
        <x:v>0.3328758507486749</x:v>
      </x:c>
      <x:c r="K32" s="26" t="n">
        <x:v>-1.0826524262245278</x:v>
      </x:c>
      <x:c r="L32" s="23" t="str">
        <x:v>2021-09</x:v>
      </x:c>
      <x:c r="M32" s="39" t="n">
        <x:v>44589</x:v>
      </x:c>
      <x:c r="N32" s="40" t="b">
        <x:v>1</x:v>
      </x:c>
      <x:c r="O32" s="41" t="b">
        <x:v>0</x:v>
      </x:c>
      <x:c r="P32" s="23"/>
      <x:c r="Q32" s="42" t="str">
        <x:v>current_snapshot_diagnostic_only</x:v>
      </x:c>
      <x:c r="R32" s="42" t="str">
        <x:v>Current-snapshot diagnostic only; not approved forecast evidence.</x:v>
      </x:c>
      <x:c r="S32" s="43"/>
      <x:c r="T32" s="44"/>
      <x:c r="U32" s="44"/>
      <x:c r="V32" s="45"/>
      <x:c r="W32" s="45"/>
      <x:c r="X32" s="46"/>
      <x:c r="Y32" s="43" t="str"/>
    </x:row>
    <x:row r="33">
      <x:c r="A33" s="23" t="n">
        <x:v>5</x:v>
      </x:c>
      <x:c r="B33" s="23" t="str">
        <x:v>ABNB-2021Q4-GUIDE</x:v>
      </x:c>
      <x:c r="C33" s="23" t="str">
        <x:v>2021Q4</x:v>
      </x:c>
      <x:c r="D33" s="23" t="str">
        <x:v>2022Q1</x:v>
      </x:c>
      <x:c r="E33" s="24" t="n">
        <x:v>44607.87650462963</x:v>
      </x:c>
      <x:c r="F33" s="38" t="n">
        <x:v>1445</x:v>
      </x:c>
      <x:c r="G33" s="26"/>
      <x:c r="H33" s="26"/>
      <x:c r="I33" s="26" t="str">
        <x:v>EU_TOURISM_T3M_YOY</x:v>
      </x:c>
      <x:c r="J33" s="26"/>
      <x:c r="K33" s="26"/>
      <x:c r="L33" s="23" t="str"/>
      <x:c r="M33" s="39"/>
      <x:c r="N33" s="40" t="b">
        <x:v>0</x:v>
      </x:c>
      <x:c r="O33" s="41" t="b">
        <x:v>0</x:v>
      </x:c>
      <x:c r="P33" s="23"/>
      <x:c r="Q33" s="42" t="str">
        <x:v>current_snapshot_diagnostic_only</x:v>
      </x:c>
      <x:c r="R33" s="42" t="str">
        <x:v>Current-snapshot diagnostic only; not approved forecast evidence.</x:v>
      </x:c>
      <x:c r="S33" s="43"/>
      <x:c r="T33" s="44"/>
      <x:c r="U33" s="44"/>
      <x:c r="V33" s="45"/>
      <x:c r="W33" s="45"/>
      <x:c r="X33" s="46"/>
      <x:c r="Y33" s="43" t="str"/>
    </x:row>
    <x:row r="34">
      <x:c r="A34" s="23" t="n">
        <x:v>5</x:v>
      </x:c>
      <x:c r="B34" s="23" t="str">
        <x:v>ABNB-2021Q4-GUIDE</x:v>
      </x:c>
      <x:c r="C34" s="23" t="str">
        <x:v>2021Q4</x:v>
      </x:c>
      <x:c r="D34" s="23" t="str">
        <x:v>2022Q1</x:v>
      </x:c>
      <x:c r="E34" s="24" t="n">
        <x:v>44607.87650462963</x:v>
      </x:c>
      <x:c r="F34" s="38" t="n">
        <x:v>1445</x:v>
      </x:c>
      <x:c r="G34" s="26"/>
      <x:c r="H34" s="26"/>
      <x:c r="I34" s="26" t="str">
        <x:v>US_EU_50_50_COMPOSITE</x:v>
      </x:c>
      <x:c r="J34" s="26"/>
      <x:c r="K34" s="26"/>
      <x:c r="L34" s="23" t="str"/>
      <x:c r="M34" s="39"/>
      <x:c r="N34" s="40" t="b">
        <x:v>0</x:v>
      </x:c>
      <x:c r="O34" s="41" t="b">
        <x:v>0</x:v>
      </x:c>
      <x:c r="P34" s="23"/>
      <x:c r="Q34" s="42" t="str">
        <x:v>current_snapshot_diagnostic_only</x:v>
      </x:c>
      <x:c r="R34" s="42" t="str">
        <x:v>Current-snapshot diagnostic only; not approved forecast evidence.</x:v>
      </x:c>
      <x:c r="S34" s="43"/>
      <x:c r="T34" s="44"/>
      <x:c r="U34" s="44"/>
      <x:c r="V34" s="45"/>
      <x:c r="W34" s="45"/>
      <x:c r="X34" s="46"/>
      <x:c r="Y34" s="43" t="str"/>
    </x:row>
    <x:row r="35">
      <x:c r="A35" s="23" t="n">
        <x:v>5</x:v>
      </x:c>
      <x:c r="B35" s="23" t="str">
        <x:v>ABNB-2021Q4-GUIDE</x:v>
      </x:c>
      <x:c r="C35" s="23" t="str">
        <x:v>2021Q4</x:v>
      </x:c>
      <x:c r="D35" s="23" t="str">
        <x:v>2022Q1</x:v>
      </x:c>
      <x:c r="E35" s="24" t="n">
        <x:v>44607.87650462963</x:v>
      </x:c>
      <x:c r="F35" s="38" t="n">
        <x:v>1445</x:v>
      </x:c>
      <x:c r="G35" s="26"/>
      <x:c r="H35" s="26"/>
      <x:c r="I35" s="26" t="str">
        <x:v>US_EMEA_REVENUE_WEIGHTED_COMPOSITE</x:v>
      </x:c>
      <x:c r="J35" s="26"/>
      <x:c r="K35" s="26"/>
      <x:c r="L35" s="23" t="str"/>
      <x:c r="M35" s="39"/>
      <x:c r="N35" s="40" t="b">
        <x:v>0</x:v>
      </x:c>
      <x:c r="O35" s="41" t="b">
        <x:v>0</x:v>
      </x:c>
      <x:c r="P35" s="23"/>
      <x:c r="Q35" s="42" t="str">
        <x:v>current_snapshot_diagnostic_only</x:v>
      </x:c>
      <x:c r="R35" s="42" t="str">
        <x:v>Current-snapshot diagnostic only; not approved forecast evidence.</x:v>
      </x:c>
      <x:c r="S35" s="43"/>
      <x:c r="T35" s="44"/>
      <x:c r="U35" s="44"/>
      <x:c r="V35" s="45"/>
      <x:c r="W35" s="45"/>
      <x:c r="X35" s="46"/>
      <x:c r="Y35" s="43" t="str"/>
    </x:row>
    <x:row r="36">
      <x:c r="A36" s="23" t="n">
        <x:v>5</x:v>
      </x:c>
      <x:c r="B36" s="23" t="str">
        <x:v>ABNB-2021Q4-GUIDE</x:v>
      </x:c>
      <x:c r="C36" s="23" t="str">
        <x:v>2021Q4</x:v>
      </x:c>
      <x:c r="D36" s="23" t="str">
        <x:v>2022Q1</x:v>
      </x:c>
      <x:c r="E36" s="24" t="n">
        <x:v>44607.87650462963</x:v>
      </x:c>
      <x:c r="F36" s="38" t="n">
        <x:v>1445</x:v>
      </x:c>
      <x:c r="G36" s="26"/>
      <x:c r="H36" s="26"/>
      <x:c r="I36" s="26" t="str">
        <x:v>EU_PLATFORM_MINUS_TOURISM</x:v>
      </x:c>
      <x:c r="J36" s="26"/>
      <x:c r="K36" s="26"/>
      <x:c r="L36" s="23" t="str"/>
      <x:c r="M36" s="39"/>
      <x:c r="N36" s="40" t="b">
        <x:v>0</x:v>
      </x:c>
      <x:c r="O36" s="41" t="b">
        <x:v>0</x:v>
      </x:c>
      <x:c r="P36" s="23"/>
      <x:c r="Q36" s="42" t="str">
        <x:v>current_snapshot_diagnostic_only</x:v>
      </x:c>
      <x:c r="R36" s="42" t="str">
        <x:v>Current-snapshot diagnostic only; not approved forecast evidence.</x:v>
      </x:c>
      <x:c r="S36" s="43"/>
      <x:c r="T36" s="44"/>
      <x:c r="U36" s="44"/>
      <x:c r="V36" s="45"/>
      <x:c r="W36" s="45"/>
      <x:c r="X36" s="46"/>
      <x:c r="Y36" s="43" t="str"/>
    </x:row>
    <x:row r="37">
      <x:c r="A37" s="23" t="n">
        <x:v>6</x:v>
      </x:c>
      <x:c r="B37" s="23" t="str">
        <x:v>ABNB-2022Q1-GUIDE</x:v>
      </x:c>
      <x:c r="C37" s="23" t="str">
        <x:v>2022Q1</x:v>
      </x:c>
      <x:c r="D37" s="23" t="str">
        <x:v>2022Q2</x:v>
      </x:c>
      <x:c r="E37" s="24" t="n">
        <x:v>44684.834016203706</x:v>
      </x:c>
      <x:c r="F37" s="38" t="n">
        <x:v>2080</x:v>
      </x:c>
      <x:c r="G37" s="26"/>
      <x:c r="H37" s="26"/>
      <x:c r="I37" s="26" t="str">
        <x:v>US_SFO_T3M_YOY</x:v>
      </x:c>
      <x:c r="J37" s="26"/>
      <x:c r="K37" s="26"/>
      <x:c r="L37" s="23" t="str"/>
      <x:c r="M37" s="39"/>
      <x:c r="N37" s="40" t="b">
        <x:v>0</x:v>
      </x:c>
      <x:c r="O37" s="41" t="b">
        <x:v>0</x:v>
      </x:c>
      <x:c r="P37" s="23"/>
      <x:c r="Q37" s="42" t="str">
        <x:v>current_snapshot_diagnostic_only</x:v>
      </x:c>
      <x:c r="R37" s="42" t="str">
        <x:v>Current-snapshot diagnostic only; not approved forecast evidence.</x:v>
      </x:c>
      <x:c r="S37" s="43" t="n">
        <x:v>2021</x:v>
      </x:c>
      <x:c r="T37" s="44" t="n">
        <x:v>2996</x:v>
      </x:c>
      <x:c r="U37" s="44" t="n">
        <x:v>1931</x:v>
      </x:c>
      <x:c r="V37" s="45" t="n">
        <x:v>0.6080779378932413</x:v>
      </x:c>
      <x:c r="W37" s="45" t="n">
        <x:v>0.3919220621067587</x:v>
      </x:c>
      <x:c r="X37" s="46" t="n">
        <x:v>44617.88138888889</x:v>
      </x:c>
      <x:c r="Y37" s="43" t="str">
        <x:v>https://www.sec.gov/Archives/edgar/data/1559720/000155972022000006/abnb-20211231.htm</x:v>
      </x:c>
    </x:row>
    <x:row r="38">
      <x:c r="A38" s="23" t="n">
        <x:v>6</x:v>
      </x:c>
      <x:c r="B38" s="23" t="str">
        <x:v>ABNB-2022Q1-GUIDE</x:v>
      </x:c>
      <x:c r="C38" s="23" t="str">
        <x:v>2022Q1</x:v>
      </x:c>
      <x:c r="D38" s="23" t="str">
        <x:v>2022Q2</x:v>
      </x:c>
      <x:c r="E38" s="24" t="n">
        <x:v>44684.834016203706</x:v>
      </x:c>
      <x:c r="F38" s="38" t="n">
        <x:v>2080</x:v>
      </x:c>
      <x:c r="G38" s="26"/>
      <x:c r="H38" s="26"/>
      <x:c r="I38" s="26" t="str">
        <x:v>EU_PLATFORM_T3M_YOY</x:v>
      </x:c>
      <x:c r="J38" s="26" t="n">
        <x:v>1.2838845631719704</x:v>
      </x:c>
      <x:c r="K38" s="26" t="n">
        <x:v>0.9510087124232955</x:v>
      </x:c>
      <x:c r="L38" s="23" t="str">
        <x:v>2021-12</x:v>
      </x:c>
      <x:c r="M38" s="39" t="n">
        <x:v>44681</x:v>
      </x:c>
      <x:c r="N38" s="40" t="b">
        <x:v>1</x:v>
      </x:c>
      <x:c r="O38" s="41" t="b">
        <x:v>0</x:v>
      </x:c>
      <x:c r="P38" s="23"/>
      <x:c r="Q38" s="42" t="str">
        <x:v>current_snapshot_diagnostic_only</x:v>
      </x:c>
      <x:c r="R38" s="42" t="str">
        <x:v>Current-snapshot diagnostic only; not approved forecast evidence.</x:v>
      </x:c>
      <x:c r="S38" s="43" t="n">
        <x:v>2021</x:v>
      </x:c>
      <x:c r="T38" s="44" t="n">
        <x:v>2996</x:v>
      </x:c>
      <x:c r="U38" s="44" t="n">
        <x:v>1931</x:v>
      </x:c>
      <x:c r="V38" s="45" t="n">
        <x:v>0.6080779378932413</x:v>
      </x:c>
      <x:c r="W38" s="45" t="n">
        <x:v>0.3919220621067587</x:v>
      </x:c>
      <x:c r="X38" s="46" t="n">
        <x:v>44617.88138888889</x:v>
      </x:c>
      <x:c r="Y38" s="43" t="str">
        <x:v>https://www.sec.gov/Archives/edgar/data/1559720/000155972022000006/abnb-20211231.htm</x:v>
      </x:c>
    </x:row>
    <x:row r="39">
      <x:c r="A39" s="23" t="n">
        <x:v>6</x:v>
      </x:c>
      <x:c r="B39" s="23" t="str">
        <x:v>ABNB-2022Q1-GUIDE</x:v>
      </x:c>
      <x:c r="C39" s="23" t="str">
        <x:v>2022Q1</x:v>
      </x:c>
      <x:c r="D39" s="23" t="str">
        <x:v>2022Q2</x:v>
      </x:c>
      <x:c r="E39" s="24" t="n">
        <x:v>44684.834016203706</x:v>
      </x:c>
      <x:c r="F39" s="38" t="n">
        <x:v>2080</x:v>
      </x:c>
      <x:c r="G39" s="26"/>
      <x:c r="H39" s="26"/>
      <x:c r="I39" s="26" t="str">
        <x:v>EU_TOURISM_T3M_YOY</x:v>
      </x:c>
      <x:c r="J39" s="26"/>
      <x:c r="K39" s="26"/>
      <x:c r="L39" s="23" t="str"/>
      <x:c r="M39" s="39"/>
      <x:c r="N39" s="40" t="b">
        <x:v>0</x:v>
      </x:c>
      <x:c r="O39" s="41" t="b">
        <x:v>0</x:v>
      </x:c>
      <x:c r="P39" s="23"/>
      <x:c r="Q39" s="42" t="str">
        <x:v>current_snapshot_diagnostic_only</x:v>
      </x:c>
      <x:c r="R39" s="42" t="str">
        <x:v>Current-snapshot diagnostic only; not approved forecast evidence.</x:v>
      </x:c>
      <x:c r="S39" s="43" t="n">
        <x:v>2021</x:v>
      </x:c>
      <x:c r="T39" s="44" t="n">
        <x:v>2996</x:v>
      </x:c>
      <x:c r="U39" s="44" t="n">
        <x:v>1931</x:v>
      </x:c>
      <x:c r="V39" s="45" t="n">
        <x:v>0.6080779378932413</x:v>
      </x:c>
      <x:c r="W39" s="45" t="n">
        <x:v>0.3919220621067587</x:v>
      </x:c>
      <x:c r="X39" s="46" t="n">
        <x:v>44617.88138888889</x:v>
      </x:c>
      <x:c r="Y39" s="43" t="str">
        <x:v>https://www.sec.gov/Archives/edgar/data/1559720/000155972022000006/abnb-20211231.htm</x:v>
      </x:c>
    </x:row>
    <x:row r="40">
      <x:c r="A40" s="23" t="n">
        <x:v>6</x:v>
      </x:c>
      <x:c r="B40" s="23" t="str">
        <x:v>ABNB-2022Q1-GUIDE</x:v>
      </x:c>
      <x:c r="C40" s="23" t="str">
        <x:v>2022Q1</x:v>
      </x:c>
      <x:c r="D40" s="23" t="str">
        <x:v>2022Q2</x:v>
      </x:c>
      <x:c r="E40" s="24" t="n">
        <x:v>44684.834016203706</x:v>
      </x:c>
      <x:c r="F40" s="38" t="n">
        <x:v>2080</x:v>
      </x:c>
      <x:c r="G40" s="26"/>
      <x:c r="H40" s="26"/>
      <x:c r="I40" s="26" t="str">
        <x:v>US_EU_50_50_COMPOSITE</x:v>
      </x:c>
      <x:c r="J40" s="26"/>
      <x:c r="K40" s="26"/>
      <x:c r="L40" s="23" t="str"/>
      <x:c r="M40" s="39"/>
      <x:c r="N40" s="40" t="b">
        <x:v>0</x:v>
      </x:c>
      <x:c r="O40" s="41" t="b">
        <x:v>0</x:v>
      </x:c>
      <x:c r="P40" s="23"/>
      <x:c r="Q40" s="42" t="str">
        <x:v>current_snapshot_diagnostic_only</x:v>
      </x:c>
      <x:c r="R40" s="42" t="str">
        <x:v>Current-snapshot diagnostic only; not approved forecast evidence.</x:v>
      </x:c>
      <x:c r="S40" s="43" t="n">
        <x:v>2021</x:v>
      </x:c>
      <x:c r="T40" s="44" t="n">
        <x:v>2996</x:v>
      </x:c>
      <x:c r="U40" s="44" t="n">
        <x:v>1931</x:v>
      </x:c>
      <x:c r="V40" s="45" t="n">
        <x:v>0.6080779378932413</x:v>
      </x:c>
      <x:c r="W40" s="45" t="n">
        <x:v>0.3919220621067587</x:v>
      </x:c>
      <x:c r="X40" s="46" t="n">
        <x:v>44617.88138888889</x:v>
      </x:c>
      <x:c r="Y40" s="43" t="str">
        <x:v>https://www.sec.gov/Archives/edgar/data/1559720/000155972022000006/abnb-20211231.htm</x:v>
      </x:c>
    </x:row>
    <x:row r="41">
      <x:c r="A41" s="23" t="n">
        <x:v>6</x:v>
      </x:c>
      <x:c r="B41" s="23" t="str">
        <x:v>ABNB-2022Q1-GUIDE</x:v>
      </x:c>
      <x:c r="C41" s="23" t="str">
        <x:v>2022Q1</x:v>
      </x:c>
      <x:c r="D41" s="23" t="str">
        <x:v>2022Q2</x:v>
      </x:c>
      <x:c r="E41" s="24" t="n">
        <x:v>44684.834016203706</x:v>
      </x:c>
      <x:c r="F41" s="38" t="n">
        <x:v>2080</x:v>
      </x:c>
      <x:c r="G41" s="26"/>
      <x:c r="H41" s="26"/>
      <x:c r="I41" s="26" t="str">
        <x:v>US_EMEA_REVENUE_WEIGHTED_COMPOSITE</x:v>
      </x:c>
      <x:c r="J41" s="26"/>
      <x:c r="K41" s="26"/>
      <x:c r="L41" s="23" t="str"/>
      <x:c r="M41" s="39"/>
      <x:c r="N41" s="40" t="b">
        <x:v>0</x:v>
      </x:c>
      <x:c r="O41" s="41" t="b">
        <x:v>0</x:v>
      </x:c>
      <x:c r="P41" s="23"/>
      <x:c r="Q41" s="42" t="str">
        <x:v>current_snapshot_diagnostic_only</x:v>
      </x:c>
      <x:c r="R41" s="42" t="str">
        <x:v>Current-snapshot diagnostic only; not approved forecast evidence.</x:v>
      </x:c>
      <x:c r="S41" s="43" t="n">
        <x:v>2021</x:v>
      </x:c>
      <x:c r="T41" s="44" t="n">
        <x:v>2996</x:v>
      </x:c>
      <x:c r="U41" s="44" t="n">
        <x:v>1931</x:v>
      </x:c>
      <x:c r="V41" s="45" t="n">
        <x:v>0.6080779378932413</x:v>
      </x:c>
      <x:c r="W41" s="45" t="n">
        <x:v>0.3919220621067587</x:v>
      </x:c>
      <x:c r="X41" s="46" t="n">
        <x:v>44617.88138888889</x:v>
      </x:c>
      <x:c r="Y41" s="43" t="str">
        <x:v>https://www.sec.gov/Archives/edgar/data/1559720/000155972022000006/abnb-20211231.htm</x:v>
      </x:c>
    </x:row>
    <x:row r="42">
      <x:c r="A42" s="23" t="n">
        <x:v>6</x:v>
      </x:c>
      <x:c r="B42" s="23" t="str">
        <x:v>ABNB-2022Q1-GUIDE</x:v>
      </x:c>
      <x:c r="C42" s="23" t="str">
        <x:v>2022Q1</x:v>
      </x:c>
      <x:c r="D42" s="23" t="str">
        <x:v>2022Q2</x:v>
      </x:c>
      <x:c r="E42" s="24" t="n">
        <x:v>44684.834016203706</x:v>
      </x:c>
      <x:c r="F42" s="38" t="n">
        <x:v>2080</x:v>
      </x:c>
      <x:c r="G42" s="26"/>
      <x:c r="H42" s="26"/>
      <x:c r="I42" s="26" t="str">
        <x:v>EU_PLATFORM_MINUS_TOURISM</x:v>
      </x:c>
      <x:c r="J42" s="26"/>
      <x:c r="K42" s="26"/>
      <x:c r="L42" s="23" t="str"/>
      <x:c r="M42" s="39"/>
      <x:c r="N42" s="40" t="b">
        <x:v>0</x:v>
      </x:c>
      <x:c r="O42" s="41" t="b">
        <x:v>0</x:v>
      </x:c>
      <x:c r="P42" s="23"/>
      <x:c r="Q42" s="42" t="str">
        <x:v>current_snapshot_diagnostic_only</x:v>
      </x:c>
      <x:c r="R42" s="42" t="str">
        <x:v>Current-snapshot diagnostic only; not approved forecast evidence.</x:v>
      </x:c>
      <x:c r="S42" s="43" t="n">
        <x:v>2021</x:v>
      </x:c>
      <x:c r="T42" s="44" t="n">
        <x:v>2996</x:v>
      </x:c>
      <x:c r="U42" s="44" t="n">
        <x:v>1931</x:v>
      </x:c>
      <x:c r="V42" s="45" t="n">
        <x:v>0.6080779378932413</x:v>
      </x:c>
      <x:c r="W42" s="45" t="n">
        <x:v>0.3919220621067587</x:v>
      </x:c>
      <x:c r="X42" s="46" t="n">
        <x:v>44617.88138888889</x:v>
      </x:c>
      <x:c r="Y42" s="43" t="str">
        <x:v>https://www.sec.gov/Archives/edgar/data/1559720/000155972022000006/abnb-20211231.htm</x:v>
      </x:c>
    </x:row>
    <x:row r="43">
      <x:c r="A43" s="23" t="n">
        <x:v>7</x:v>
      </x:c>
      <x:c r="B43" s="23" t="str">
        <x:v>ABNB-2022Q2-GUIDE</x:v>
      </x:c>
      <x:c r="C43" s="23" t="str">
        <x:v>2022Q2</x:v>
      </x:c>
      <x:c r="D43" s="23" t="str">
        <x:v>2022Q3</x:v>
      </x:c>
      <x:c r="E43" s="24" t="n">
        <x:v>44775.83425925926</x:v>
      </x:c>
      <x:c r="F43" s="38" t="n">
        <x:v>2830</x:v>
      </x:c>
      <x:c r="G43" s="26"/>
      <x:c r="H43" s="26"/>
      <x:c r="I43" s="26" t="str">
        <x:v>US_SFO_T3M_YOY</x:v>
      </x:c>
      <x:c r="J43" s="26" t="n">
        <x:v>1.3340685412823663</x:v>
      </x:c>
      <x:c r="K43" s="26"/>
      <x:c r="L43" s="23" t="str">
        <x:v>2022-05</x:v>
      </x:c>
      <x:c r="M43" s="39" t="n">
        <x:v>44772</x:v>
      </x:c>
      <x:c r="N43" s="40" t="b">
        <x:v>1</x:v>
      </x:c>
      <x:c r="O43" s="41" t="b">
        <x:v>0</x:v>
      </x:c>
      <x:c r="P43" s="23"/>
      <x:c r="Q43" s="42" t="str">
        <x:v>current_snapshot_diagnostic_only</x:v>
      </x:c>
      <x:c r="R43" s="42" t="str">
        <x:v>Current-snapshot diagnostic only; not approved forecast evidence.</x:v>
      </x:c>
      <x:c r="S43" s="43" t="n">
        <x:v>2021</x:v>
      </x:c>
      <x:c r="T43" s="44" t="n">
        <x:v>2996</x:v>
      </x:c>
      <x:c r="U43" s="44" t="n">
        <x:v>1931</x:v>
      </x:c>
      <x:c r="V43" s="45" t="n">
        <x:v>0.6080779378932413</x:v>
      </x:c>
      <x:c r="W43" s="45" t="n">
        <x:v>0.3919220621067587</x:v>
      </x:c>
      <x:c r="X43" s="46" t="n">
        <x:v>44617.88138888889</x:v>
      </x:c>
      <x:c r="Y43" s="43" t="str">
        <x:v>https://www.sec.gov/Archives/edgar/data/1559720/000155972022000006/abnb-20211231.htm</x:v>
      </x:c>
    </x:row>
    <x:row r="44">
      <x:c r="A44" s="23" t="n">
        <x:v>7</x:v>
      </x:c>
      <x:c r="B44" s="23" t="str">
        <x:v>ABNB-2022Q2-GUIDE</x:v>
      </x:c>
      <x:c r="C44" s="23" t="str">
        <x:v>2022Q2</x:v>
      </x:c>
      <x:c r="D44" s="23" t="str">
        <x:v>2022Q3</x:v>
      </x:c>
      <x:c r="E44" s="24" t="n">
        <x:v>44775.83425925926</x:v>
      </x:c>
      <x:c r="F44" s="38" t="n">
        <x:v>2830</x:v>
      </x:c>
      <x:c r="G44" s="26"/>
      <x:c r="H44" s="26"/>
      <x:c r="I44" s="26" t="str">
        <x:v>EU_PLATFORM_T3M_YOY</x:v>
      </x:c>
      <x:c r="J44" s="26" t="n">
        <x:v>1.6578389662363944</x:v>
      </x:c>
      <x:c r="K44" s="26" t="n">
        <x:v>0.37395440306442396</x:v>
      </x:c>
      <x:c r="L44" s="23" t="str">
        <x:v>2022-03</x:v>
      </x:c>
      <x:c r="M44" s="39" t="n">
        <x:v>44771</x:v>
      </x:c>
      <x:c r="N44" s="40" t="b">
        <x:v>1</x:v>
      </x:c>
      <x:c r="O44" s="41" t="b">
        <x:v>0</x:v>
      </x:c>
      <x:c r="P44" s="23"/>
      <x:c r="Q44" s="42" t="str">
        <x:v>current_snapshot_diagnostic_only</x:v>
      </x:c>
      <x:c r="R44" s="42" t="str">
        <x:v>Current-snapshot diagnostic only; not approved forecast evidence.</x:v>
      </x:c>
      <x:c r="S44" s="43" t="n">
        <x:v>2021</x:v>
      </x:c>
      <x:c r="T44" s="44" t="n">
        <x:v>2996</x:v>
      </x:c>
      <x:c r="U44" s="44" t="n">
        <x:v>1931</x:v>
      </x:c>
      <x:c r="V44" s="45" t="n">
        <x:v>0.6080779378932413</x:v>
      </x:c>
      <x:c r="W44" s="45" t="n">
        <x:v>0.3919220621067587</x:v>
      </x:c>
      <x:c r="X44" s="46" t="n">
        <x:v>44617.88138888889</x:v>
      </x:c>
      <x:c r="Y44" s="43" t="str">
        <x:v>https://www.sec.gov/Archives/edgar/data/1559720/000155972022000006/abnb-20211231.htm</x:v>
      </x:c>
    </x:row>
    <x:row r="45">
      <x:c r="A45" s="23" t="n">
        <x:v>7</x:v>
      </x:c>
      <x:c r="B45" s="23" t="str">
        <x:v>ABNB-2022Q2-GUIDE</x:v>
      </x:c>
      <x:c r="C45" s="23" t="str">
        <x:v>2022Q2</x:v>
      </x:c>
      <x:c r="D45" s="23" t="str">
        <x:v>2022Q3</x:v>
      </x:c>
      <x:c r="E45" s="24" t="n">
        <x:v>44775.83425925926</x:v>
      </x:c>
      <x:c r="F45" s="38" t="n">
        <x:v>2830</x:v>
      </x:c>
      <x:c r="G45" s="26"/>
      <x:c r="H45" s="26"/>
      <x:c r="I45" s="26" t="str">
        <x:v>EU_TOURISM_T3M_YOY</x:v>
      </x:c>
      <x:c r="J45" s="26"/>
      <x:c r="K45" s="26"/>
      <x:c r="L45" s="23" t="str"/>
      <x:c r="M45" s="39"/>
      <x:c r="N45" s="40" t="b">
        <x:v>0</x:v>
      </x:c>
      <x:c r="O45" s="41" t="b">
        <x:v>0</x:v>
      </x:c>
      <x:c r="P45" s="23"/>
      <x:c r="Q45" s="42" t="str">
        <x:v>current_snapshot_diagnostic_only</x:v>
      </x:c>
      <x:c r="R45" s="42" t="str">
        <x:v>Current-snapshot diagnostic only; not approved forecast evidence.</x:v>
      </x:c>
      <x:c r="S45" s="43" t="n">
        <x:v>2021</x:v>
      </x:c>
      <x:c r="T45" s="44" t="n">
        <x:v>2996</x:v>
      </x:c>
      <x:c r="U45" s="44" t="n">
        <x:v>1931</x:v>
      </x:c>
      <x:c r="V45" s="45" t="n">
        <x:v>0.6080779378932413</x:v>
      </x:c>
      <x:c r="W45" s="45" t="n">
        <x:v>0.3919220621067587</x:v>
      </x:c>
      <x:c r="X45" s="46" t="n">
        <x:v>44617.88138888889</x:v>
      </x:c>
      <x:c r="Y45" s="43" t="str">
        <x:v>https://www.sec.gov/Archives/edgar/data/1559720/000155972022000006/abnb-20211231.htm</x:v>
      </x:c>
    </x:row>
    <x:row r="46">
      <x:c r="A46" s="23" t="n">
        <x:v>7</x:v>
      </x:c>
      <x:c r="B46" s="23" t="str">
        <x:v>ABNB-2022Q2-GUIDE</x:v>
      </x:c>
      <x:c r="C46" s="23" t="str">
        <x:v>2022Q2</x:v>
      </x:c>
      <x:c r="D46" s="23" t="str">
        <x:v>2022Q3</x:v>
      </x:c>
      <x:c r="E46" s="24" t="n">
        <x:v>44775.83425925926</x:v>
      </x:c>
      <x:c r="F46" s="38" t="n">
        <x:v>2830</x:v>
      </x:c>
      <x:c r="G46" s="26"/>
      <x:c r="H46" s="26"/>
      <x:c r="I46" s="26" t="str">
        <x:v>US_EU_50_50_COMPOSITE</x:v>
      </x:c>
      <x:c r="J46" s="26" t="n">
        <x:v>1.4959537537593803</x:v>
      </x:c>
      <x:c r="K46" s="26"/>
      <x:c r="L46" s="23" t="str">
        <x:v>US:2022-05|EU:2022-03</x:v>
      </x:c>
      <x:c r="M46" s="39" t="n">
        <x:v>44772</x:v>
      </x:c>
      <x:c r="N46" s="40" t="b">
        <x:v>1</x:v>
      </x:c>
      <x:c r="O46" s="41" t="b">
        <x:v>0</x:v>
      </x:c>
      <x:c r="P46" s="23"/>
      <x:c r="Q46" s="42" t="str">
        <x:v>current_snapshot_diagnostic_only</x:v>
      </x:c>
      <x:c r="R46" s="42" t="str">
        <x:v>Current-snapshot diagnostic only; not approved forecast evidence.</x:v>
      </x:c>
      <x:c r="S46" s="43" t="n">
        <x:v>2021</x:v>
      </x:c>
      <x:c r="T46" s="44" t="n">
        <x:v>2996</x:v>
      </x:c>
      <x:c r="U46" s="44" t="n">
        <x:v>1931</x:v>
      </x:c>
      <x:c r="V46" s="45" t="n">
        <x:v>0.6080779378932413</x:v>
      </x:c>
      <x:c r="W46" s="45" t="n">
        <x:v>0.3919220621067587</x:v>
      </x:c>
      <x:c r="X46" s="46" t="n">
        <x:v>44617.88138888889</x:v>
      </x:c>
      <x:c r="Y46" s="43" t="str">
        <x:v>https://www.sec.gov/Archives/edgar/data/1559720/000155972022000006/abnb-20211231.htm</x:v>
      </x:c>
    </x:row>
    <x:row r="47">
      <x:c r="A47" s="23" t="n">
        <x:v>7</x:v>
      </x:c>
      <x:c r="B47" s="23" t="str">
        <x:v>ABNB-2022Q2-GUIDE</x:v>
      </x:c>
      <x:c r="C47" s="23" t="str">
        <x:v>2022Q2</x:v>
      </x:c>
      <x:c r="D47" s="23" t="str">
        <x:v>2022Q3</x:v>
      </x:c>
      <x:c r="E47" s="24" t="n">
        <x:v>44775.83425925926</x:v>
      </x:c>
      <x:c r="F47" s="38" t="n">
        <x:v>2830</x:v>
      </x:c>
      <x:c r="G47" s="26"/>
      <x:c r="H47" s="26"/>
      <x:c r="I47" s="26" t="str">
        <x:v>US_EMEA_REVENUE_WEIGHTED_COMPOSITE</x:v>
      </x:c>
      <x:c r="J47" s="26" t="n">
        <x:v>1.4609613138795305</x:v>
      </x:c>
      <x:c r="K47" s="26"/>
      <x:c r="L47" s="23" t="str">
        <x:v>US:2022-05|EU:2022-03</x:v>
      </x:c>
      <x:c r="M47" s="39" t="n">
        <x:v>44772</x:v>
      </x:c>
      <x:c r="N47" s="40" t="b">
        <x:v>1</x:v>
      </x:c>
      <x:c r="O47" s="41" t="b">
        <x:v>0</x:v>
      </x:c>
      <x:c r="P47" s="23"/>
      <x:c r="Q47" s="42" t="str">
        <x:v>current_snapshot_diagnostic_only</x:v>
      </x:c>
      <x:c r="R47" s="42" t="str">
        <x:v>Current-snapshot diagnostic only; not approved forecast evidence.</x:v>
      </x:c>
      <x:c r="S47" s="43" t="n">
        <x:v>2021</x:v>
      </x:c>
      <x:c r="T47" s="44" t="n">
        <x:v>2996</x:v>
      </x:c>
      <x:c r="U47" s="44" t="n">
        <x:v>1931</x:v>
      </x:c>
      <x:c r="V47" s="45" t="n">
        <x:v>0.6080779378932413</x:v>
      </x:c>
      <x:c r="W47" s="45" t="n">
        <x:v>0.3919220621067587</x:v>
      </x:c>
      <x:c r="X47" s="46" t="n">
        <x:v>44617.88138888889</x:v>
      </x:c>
      <x:c r="Y47" s="43" t="str">
        <x:v>https://www.sec.gov/Archives/edgar/data/1559720/000155972022000006/abnb-20211231.htm</x:v>
      </x:c>
    </x:row>
    <x:row r="48">
      <x:c r="A48" s="23" t="n">
        <x:v>7</x:v>
      </x:c>
      <x:c r="B48" s="23" t="str">
        <x:v>ABNB-2022Q2-GUIDE</x:v>
      </x:c>
      <x:c r="C48" s="23" t="str">
        <x:v>2022Q2</x:v>
      </x:c>
      <x:c r="D48" s="23" t="str">
        <x:v>2022Q3</x:v>
      </x:c>
      <x:c r="E48" s="24" t="n">
        <x:v>44775.83425925926</x:v>
      </x:c>
      <x:c r="F48" s="38" t="n">
        <x:v>2830</x:v>
      </x:c>
      <x:c r="G48" s="26"/>
      <x:c r="H48" s="26"/>
      <x:c r="I48" s="26" t="str">
        <x:v>EU_PLATFORM_MINUS_TOURISM</x:v>
      </x:c>
      <x:c r="J48" s="26"/>
      <x:c r="K48" s="26"/>
      <x:c r="L48" s="23" t="str"/>
      <x:c r="M48" s="39"/>
      <x:c r="N48" s="40" t="b">
        <x:v>0</x:v>
      </x:c>
      <x:c r="O48" s="41" t="b">
        <x:v>0</x:v>
      </x:c>
      <x:c r="P48" s="23"/>
      <x:c r="Q48" s="42" t="str">
        <x:v>current_snapshot_diagnostic_only</x:v>
      </x:c>
      <x:c r="R48" s="42" t="str">
        <x:v>Current-snapshot diagnostic only; not approved forecast evidence.</x:v>
      </x:c>
      <x:c r="S48" s="43" t="n">
        <x:v>2021</x:v>
      </x:c>
      <x:c r="T48" s="44" t="n">
        <x:v>2996</x:v>
      </x:c>
      <x:c r="U48" s="44" t="n">
        <x:v>1931</x:v>
      </x:c>
      <x:c r="V48" s="45" t="n">
        <x:v>0.6080779378932413</x:v>
      </x:c>
      <x:c r="W48" s="45" t="n">
        <x:v>0.3919220621067587</x:v>
      </x:c>
      <x:c r="X48" s="46" t="n">
        <x:v>44617.88138888889</x:v>
      </x:c>
      <x:c r="Y48" s="43" t="str">
        <x:v>https://www.sec.gov/Archives/edgar/data/1559720/000155972022000006/abnb-20211231.htm</x:v>
      </x:c>
    </x:row>
    <x:row r="49">
      <x:c r="A49" s="23" t="n">
        <x:v>8</x:v>
      </x:c>
      <x:c r="B49" s="23" t="str">
        <x:v>ABNB-2022Q3-GUIDE</x:v>
      </x:c>
      <x:c r="C49" s="23" t="str">
        <x:v>2022Q3</x:v>
      </x:c>
      <x:c r="D49" s="23" t="str">
        <x:v>2022Q4</x:v>
      </x:c>
      <x:c r="E49" s="24" t="n">
        <x:v>44866.836377314816</x:v>
      </x:c>
      <x:c r="F49" s="38" t="n">
        <x:v>1840</x:v>
      </x:c>
      <x:c r="G49" s="26" t="n">
        <x:v>0.2822299651567943</x:v>
      </x:c>
      <x:c r="H49" s="26"/>
      <x:c r="I49" s="26" t="str">
        <x:v>US_SFO_T3M_YOY</x:v>
      </x:c>
      <x:c r="J49" s="26" t="n">
        <x:v>0.6255529795592949</x:v>
      </x:c>
      <x:c r="K49" s="26" t="n">
        <x:v>-0.7085155617230714</x:v>
      </x:c>
      <x:c r="L49" s="23" t="str">
        <x:v>2022-08</x:v>
      </x:c>
      <x:c r="M49" s="39" t="n">
        <x:v>44864</x:v>
      </x:c>
      <x:c r="N49" s="40" t="b">
        <x:v>1</x:v>
      </x:c>
      <x:c r="O49" s="41" t="b">
        <x:v>0</x:v>
      </x:c>
      <x:c r="P49" s="23"/>
      <x:c r="Q49" s="42" t="str">
        <x:v>current_snapshot_diagnostic_only</x:v>
      </x:c>
      <x:c r="R49" s="42" t="str">
        <x:v>Current-snapshot diagnostic only; not approved forecast evidence.</x:v>
      </x:c>
      <x:c r="S49" s="43" t="n">
        <x:v>2021</x:v>
      </x:c>
      <x:c r="T49" s="44" t="n">
        <x:v>2996</x:v>
      </x:c>
      <x:c r="U49" s="44" t="n">
        <x:v>1931</x:v>
      </x:c>
      <x:c r="V49" s="45" t="n">
        <x:v>0.6080779378932413</x:v>
      </x:c>
      <x:c r="W49" s="45" t="n">
        <x:v>0.3919220621067587</x:v>
      </x:c>
      <x:c r="X49" s="46" t="n">
        <x:v>44617.88138888889</x:v>
      </x:c>
      <x:c r="Y49" s="43" t="str">
        <x:v>https://www.sec.gov/Archives/edgar/data/1559720/000155972022000006/abnb-20211231.htm</x:v>
      </x:c>
    </x:row>
    <x:row r="50">
      <x:c r="A50" s="23" t="n">
        <x:v>8</x:v>
      </x:c>
      <x:c r="B50" s="23" t="str">
        <x:v>ABNB-2022Q3-GUIDE</x:v>
      </x:c>
      <x:c r="C50" s="23" t="str">
        <x:v>2022Q3</x:v>
      </x:c>
      <x:c r="D50" s="23" t="str">
        <x:v>2022Q4</x:v>
      </x:c>
      <x:c r="E50" s="24" t="n">
        <x:v>44866.836377314816</x:v>
      </x:c>
      <x:c r="F50" s="38" t="n">
        <x:v>1840</x:v>
      </x:c>
      <x:c r="G50" s="26" t="n">
        <x:v>0.2822299651567943</x:v>
      </x:c>
      <x:c r="H50" s="26"/>
      <x:c r="I50" s="26" t="str">
        <x:v>EU_PLATFORM_T3M_YOY</x:v>
      </x:c>
      <x:c r="J50" s="26" t="n">
        <x:v>1.5367193414967404</x:v>
      </x:c>
      <x:c r="K50" s="26" t="n">
        <x:v>-0.12111962473965399</x:v>
      </x:c>
      <x:c r="L50" s="23" t="str">
        <x:v>2022-06</x:v>
      </x:c>
      <x:c r="M50" s="39" t="n">
        <x:v>44862</x:v>
      </x:c>
      <x:c r="N50" s="40" t="b">
        <x:v>1</x:v>
      </x:c>
      <x:c r="O50" s="41" t="b">
        <x:v>0</x:v>
      </x:c>
      <x:c r="P50" s="23"/>
      <x:c r="Q50" s="42" t="str">
        <x:v>current_snapshot_diagnostic_only</x:v>
      </x:c>
      <x:c r="R50" s="42" t="str">
        <x:v>Current-snapshot diagnostic only; not approved forecast evidence.</x:v>
      </x:c>
      <x:c r="S50" s="43" t="n">
        <x:v>2021</x:v>
      </x:c>
      <x:c r="T50" s="44" t="n">
        <x:v>2996</x:v>
      </x:c>
      <x:c r="U50" s="44" t="n">
        <x:v>1931</x:v>
      </x:c>
      <x:c r="V50" s="45" t="n">
        <x:v>0.6080779378932413</x:v>
      </x:c>
      <x:c r="W50" s="45" t="n">
        <x:v>0.3919220621067587</x:v>
      </x:c>
      <x:c r="X50" s="46" t="n">
        <x:v>44617.88138888889</x:v>
      </x:c>
      <x:c r="Y50" s="43" t="str">
        <x:v>https://www.sec.gov/Archives/edgar/data/1559720/000155972022000006/abnb-20211231.htm</x:v>
      </x:c>
    </x:row>
    <x:row r="51">
      <x:c r="A51" s="23" t="n">
        <x:v>8</x:v>
      </x:c>
      <x:c r="B51" s="23" t="str">
        <x:v>ABNB-2022Q3-GUIDE</x:v>
      </x:c>
      <x:c r="C51" s="23" t="str">
        <x:v>2022Q3</x:v>
      </x:c>
      <x:c r="D51" s="23" t="str">
        <x:v>2022Q4</x:v>
      </x:c>
      <x:c r="E51" s="24" t="n">
        <x:v>44866.836377314816</x:v>
      </x:c>
      <x:c r="F51" s="38" t="n">
        <x:v>1840</x:v>
      </x:c>
      <x:c r="G51" s="26" t="n">
        <x:v>0.2822299651567943</x:v>
      </x:c>
      <x:c r="H51" s="26"/>
      <x:c r="I51" s="26" t="str">
        <x:v>EU_TOURISM_T3M_YOY</x:v>
      </x:c>
      <x:c r="J51" s="26"/>
      <x:c r="K51" s="26"/>
      <x:c r="L51" s="23" t="str"/>
      <x:c r="M51" s="39"/>
      <x:c r="N51" s="40" t="b">
        <x:v>0</x:v>
      </x:c>
      <x:c r="O51" s="41" t="b">
        <x:v>0</x:v>
      </x:c>
      <x:c r="P51" s="23"/>
      <x:c r="Q51" s="42" t="str">
        <x:v>current_snapshot_diagnostic_only</x:v>
      </x:c>
      <x:c r="R51" s="42" t="str">
        <x:v>Current-snapshot diagnostic only; not approved forecast evidence.</x:v>
      </x:c>
      <x:c r="S51" s="43" t="n">
        <x:v>2021</x:v>
      </x:c>
      <x:c r="T51" s="44" t="n">
        <x:v>2996</x:v>
      </x:c>
      <x:c r="U51" s="44" t="n">
        <x:v>1931</x:v>
      </x:c>
      <x:c r="V51" s="45" t="n">
        <x:v>0.6080779378932413</x:v>
      </x:c>
      <x:c r="W51" s="45" t="n">
        <x:v>0.3919220621067587</x:v>
      </x:c>
      <x:c r="X51" s="46" t="n">
        <x:v>44617.88138888889</x:v>
      </x:c>
      <x:c r="Y51" s="43" t="str">
        <x:v>https://www.sec.gov/Archives/edgar/data/1559720/000155972022000006/abnb-20211231.htm</x:v>
      </x:c>
    </x:row>
    <x:row r="52">
      <x:c r="A52" s="23" t="n">
        <x:v>8</x:v>
      </x:c>
      <x:c r="B52" s="23" t="str">
        <x:v>ABNB-2022Q3-GUIDE</x:v>
      </x:c>
      <x:c r="C52" s="23" t="str">
        <x:v>2022Q3</x:v>
      </x:c>
      <x:c r="D52" s="23" t="str">
        <x:v>2022Q4</x:v>
      </x:c>
      <x:c r="E52" s="24" t="n">
        <x:v>44866.836377314816</x:v>
      </x:c>
      <x:c r="F52" s="38" t="n">
        <x:v>1840</x:v>
      </x:c>
      <x:c r="G52" s="26" t="n">
        <x:v>0.2822299651567943</x:v>
      </x:c>
      <x:c r="H52" s="26"/>
      <x:c r="I52" s="26" t="str">
        <x:v>US_EU_50_50_COMPOSITE</x:v>
      </x:c>
      <x:c r="J52" s="26" t="n">
        <x:v>1.0811361605280176</x:v>
      </x:c>
      <x:c r="K52" s="26" t="n">
        <x:v>-0.4148175932313627</x:v>
      </x:c>
      <x:c r="L52" s="23" t="str">
        <x:v>US:2022-08|EU:2022-06</x:v>
      </x:c>
      <x:c r="M52" s="39" t="n">
        <x:v>44864</x:v>
      </x:c>
      <x:c r="N52" s="40" t="b">
        <x:v>1</x:v>
      </x:c>
      <x:c r="O52" s="41" t="b">
        <x:v>0</x:v>
      </x:c>
      <x:c r="P52" s="23"/>
      <x:c r="Q52" s="42" t="str">
        <x:v>current_snapshot_diagnostic_only</x:v>
      </x:c>
      <x:c r="R52" s="42" t="str">
        <x:v>Current-snapshot diagnostic only; not approved forecast evidence.</x:v>
      </x:c>
      <x:c r="S52" s="43" t="n">
        <x:v>2021</x:v>
      </x:c>
      <x:c r="T52" s="44" t="n">
        <x:v>2996</x:v>
      </x:c>
      <x:c r="U52" s="44" t="n">
        <x:v>1931</x:v>
      </x:c>
      <x:c r="V52" s="45" t="n">
        <x:v>0.6080779378932413</x:v>
      </x:c>
      <x:c r="W52" s="45" t="n">
        <x:v>0.3919220621067587</x:v>
      </x:c>
      <x:c r="X52" s="46" t="n">
        <x:v>44617.88138888889</x:v>
      </x:c>
      <x:c r="Y52" s="43" t="str">
        <x:v>https://www.sec.gov/Archives/edgar/data/1559720/000155972022000006/abnb-20211231.htm</x:v>
      </x:c>
    </x:row>
    <x:row r="53">
      <x:c r="A53" s="23" t="n">
        <x:v>8</x:v>
      </x:c>
      <x:c r="B53" s="23" t="str">
        <x:v>ABNB-2022Q3-GUIDE</x:v>
      </x:c>
      <x:c r="C53" s="23" t="str">
        <x:v>2022Q3</x:v>
      </x:c>
      <x:c r="D53" s="23" t="str">
        <x:v>2022Q4</x:v>
      </x:c>
      <x:c r="E53" s="24" t="n">
        <x:v>44866.836377314816</x:v>
      </x:c>
      <x:c r="F53" s="38" t="n">
        <x:v>1840</x:v>
      </x:c>
      <x:c r="G53" s="26" t="n">
        <x:v>0.2822299651567943</x:v>
      </x:c>
      <x:c r="H53" s="26"/>
      <x:c r="I53" s="26" t="str">
        <x:v>US_EMEA_REVENUE_WEIGHTED_COMPOSITE</x:v>
      </x:c>
      <x:c r="J53" s="26" t="n">
        <x:v>0.9826591790521317</x:v>
      </x:c>
      <x:c r="K53" s="26" t="n">
        <x:v>-0.4783021348273988</x:v>
      </x:c>
      <x:c r="L53" s="23" t="str">
        <x:v>US:2022-08|EU:2022-06</x:v>
      </x:c>
      <x:c r="M53" s="39" t="n">
        <x:v>44864</x:v>
      </x:c>
      <x:c r="N53" s="40" t="b">
        <x:v>1</x:v>
      </x:c>
      <x:c r="O53" s="41" t="b">
        <x:v>0</x:v>
      </x:c>
      <x:c r="P53" s="23"/>
      <x:c r="Q53" s="42" t="str">
        <x:v>current_snapshot_diagnostic_only</x:v>
      </x:c>
      <x:c r="R53" s="42" t="str">
        <x:v>Current-snapshot diagnostic only; not approved forecast evidence.</x:v>
      </x:c>
      <x:c r="S53" s="43" t="n">
        <x:v>2021</x:v>
      </x:c>
      <x:c r="T53" s="44" t="n">
        <x:v>2996</x:v>
      </x:c>
      <x:c r="U53" s="44" t="n">
        <x:v>1931</x:v>
      </x:c>
      <x:c r="V53" s="45" t="n">
        <x:v>0.6080779378932413</x:v>
      </x:c>
      <x:c r="W53" s="45" t="n">
        <x:v>0.3919220621067587</x:v>
      </x:c>
      <x:c r="X53" s="46" t="n">
        <x:v>44617.88138888889</x:v>
      </x:c>
      <x:c r="Y53" s="43" t="str">
        <x:v>https://www.sec.gov/Archives/edgar/data/1559720/000155972022000006/abnb-20211231.htm</x:v>
      </x:c>
    </x:row>
    <x:row r="54">
      <x:c r="A54" s="23" t="n">
        <x:v>8</x:v>
      </x:c>
      <x:c r="B54" s="23" t="str">
        <x:v>ABNB-2022Q3-GUIDE</x:v>
      </x:c>
      <x:c r="C54" s="23" t="str">
        <x:v>2022Q3</x:v>
      </x:c>
      <x:c r="D54" s="23" t="str">
        <x:v>2022Q4</x:v>
      </x:c>
      <x:c r="E54" s="24" t="n">
        <x:v>44866.836377314816</x:v>
      </x:c>
      <x:c r="F54" s="38" t="n">
        <x:v>1840</x:v>
      </x:c>
      <x:c r="G54" s="26" t="n">
        <x:v>0.2822299651567943</x:v>
      </x:c>
      <x:c r="H54" s="26"/>
      <x:c r="I54" s="26" t="str">
        <x:v>EU_PLATFORM_MINUS_TOURISM</x:v>
      </x:c>
      <x:c r="J54" s="26"/>
      <x:c r="K54" s="26"/>
      <x:c r="L54" s="23" t="str"/>
      <x:c r="M54" s="39"/>
      <x:c r="N54" s="40" t="b">
        <x:v>0</x:v>
      </x:c>
      <x:c r="O54" s="41" t="b">
        <x:v>0</x:v>
      </x:c>
      <x:c r="P54" s="23"/>
      <x:c r="Q54" s="42" t="str">
        <x:v>current_snapshot_diagnostic_only</x:v>
      </x:c>
      <x:c r="R54" s="42" t="str">
        <x:v>Current-snapshot diagnostic only; not approved forecast evidence.</x:v>
      </x:c>
      <x:c r="S54" s="43" t="n">
        <x:v>2021</x:v>
      </x:c>
      <x:c r="T54" s="44" t="n">
        <x:v>2996</x:v>
      </x:c>
      <x:c r="U54" s="44" t="n">
        <x:v>1931</x:v>
      </x:c>
      <x:c r="V54" s="45" t="n">
        <x:v>0.6080779378932413</x:v>
      </x:c>
      <x:c r="W54" s="45" t="n">
        <x:v>0.3919220621067587</x:v>
      </x:c>
      <x:c r="X54" s="46" t="n">
        <x:v>44617.88138888889</x:v>
      </x:c>
      <x:c r="Y54" s="43" t="str">
        <x:v>https://www.sec.gov/Archives/edgar/data/1559720/000155972022000006/abnb-20211231.htm</x:v>
      </x:c>
    </x:row>
    <x:row r="55">
      <x:c r="A55" s="23" t="n">
        <x:v>9</x:v>
      </x:c>
      <x:c r="B55" s="23" t="str">
        <x:v>ABNB-2022Q4-GUIDE</x:v>
      </x:c>
      <x:c r="C55" s="23" t="str">
        <x:v>2022Q4</x:v>
      </x:c>
      <x:c r="D55" s="23" t="str">
        <x:v>2023Q1</x:v>
      </x:c>
      <x:c r="E55" s="24" t="n">
        <x:v>44971.87641203704</x:v>
      </x:c>
      <x:c r="F55" s="38" t="n">
        <x:v>1785</x:v>
      </x:c>
      <x:c r="G55" s="26" t="n">
        <x:v>0.23529411764705888</x:v>
      </x:c>
      <x:c r="H55" s="26" t="n">
        <x:v>-0.04693584750973545</x:v>
      </x:c>
      <x:c r="I55" s="26" t="str">
        <x:v>US_SFO_T3M_YOY</x:v>
      </x:c>
      <x:c r="J55" s="26" t="n">
        <x:v>0.45011190196769624</x:v>
      </x:c>
      <x:c r="K55" s="26" t="n">
        <x:v>-0.17544107759159866</x:v>
      </x:c>
      <x:c r="L55" s="23" t="str">
        <x:v>2022-11</x:v>
      </x:c>
      <x:c r="M55" s="39" t="n">
        <x:v>44955</x:v>
      </x:c>
      <x:c r="N55" s="40" t="b">
        <x:v>1</x:v>
      </x:c>
      <x:c r="O55" s="41" t="b">
        <x:v>0</x:v>
      </x:c>
      <x:c r="P55" s="40" t="b">
        <x:v>1</x:v>
      </x:c>
      <x:c r="Q55" s="42" t="str">
        <x:v>current_snapshot_diagnostic_only</x:v>
      </x:c>
      <x:c r="R55" s="42" t="str">
        <x:v>Current-snapshot diagnostic only; not approved forecast evidence.</x:v>
      </x:c>
      <x:c r="S55" s="43" t="n">
        <x:v>2021</x:v>
      </x:c>
      <x:c r="T55" s="44" t="n">
        <x:v>2996</x:v>
      </x:c>
      <x:c r="U55" s="44" t="n">
        <x:v>1931</x:v>
      </x:c>
      <x:c r="V55" s="45" t="n">
        <x:v>0.6080779378932413</x:v>
      </x:c>
      <x:c r="W55" s="45" t="n">
        <x:v>0.3919220621067587</x:v>
      </x:c>
      <x:c r="X55" s="46" t="n">
        <x:v>44617.88138888889</x:v>
      </x:c>
      <x:c r="Y55" s="43" t="str">
        <x:v>https://www.sec.gov/Archives/edgar/data/1559720/000155972022000006/abnb-20211231.htm</x:v>
      </x:c>
    </x:row>
    <x:row r="56">
      <x:c r="A56" s="23" t="n">
        <x:v>9</x:v>
      </x:c>
      <x:c r="B56" s="23" t="str">
        <x:v>ABNB-2022Q4-GUIDE</x:v>
      </x:c>
      <x:c r="C56" s="23" t="str">
        <x:v>2022Q4</x:v>
      </x:c>
      <x:c r="D56" s="23" t="str">
        <x:v>2023Q1</x:v>
      </x:c>
      <x:c r="E56" s="24" t="n">
        <x:v>44971.87641203704</x:v>
      </x:c>
      <x:c r="F56" s="38" t="n">
        <x:v>1785</x:v>
      </x:c>
      <x:c r="G56" s="26" t="n">
        <x:v>0.23529411764705888</x:v>
      </x:c>
      <x:c r="H56" s="26" t="n">
        <x:v>-0.04693584750973545</x:v>
      </x:c>
      <x:c r="I56" s="26" t="str">
        <x:v>EU_PLATFORM_T3M_YOY</x:v>
      </x:c>
      <x:c r="J56" s="26" t="n">
        <x:v>0.34838002995985806</x:v>
      </x:c>
      <x:c r="K56" s="26" t="n">
        <x:v>-1.1883393115368823</x:v>
      </x:c>
      <x:c r="L56" s="23" t="str">
        <x:v>2022-09</x:v>
      </x:c>
      <x:c r="M56" s="39" t="n">
        <x:v>44954</x:v>
      </x:c>
      <x:c r="N56" s="40" t="b">
        <x:v>1</x:v>
      </x:c>
      <x:c r="O56" s="41" t="b">
        <x:v>0</x:v>
      </x:c>
      <x:c r="P56" s="40" t="b">
        <x:v>1</x:v>
      </x:c>
      <x:c r="Q56" s="42" t="str">
        <x:v>current_snapshot_diagnostic_only</x:v>
      </x:c>
      <x:c r="R56" s="42" t="str">
        <x:v>Current-snapshot diagnostic only; not approved forecast evidence.</x:v>
      </x:c>
      <x:c r="S56" s="43" t="n">
        <x:v>2021</x:v>
      </x:c>
      <x:c r="T56" s="44" t="n">
        <x:v>2996</x:v>
      </x:c>
      <x:c r="U56" s="44" t="n">
        <x:v>1931</x:v>
      </x:c>
      <x:c r="V56" s="45" t="n">
        <x:v>0.6080779378932413</x:v>
      </x:c>
      <x:c r="W56" s="45" t="n">
        <x:v>0.3919220621067587</x:v>
      </x:c>
      <x:c r="X56" s="46" t="n">
        <x:v>44617.88138888889</x:v>
      </x:c>
      <x:c r="Y56" s="43" t="str">
        <x:v>https://www.sec.gov/Archives/edgar/data/1559720/000155972022000006/abnb-20211231.htm</x:v>
      </x:c>
    </x:row>
    <x:row r="57">
      <x:c r="A57" s="23" t="n">
        <x:v>9</x:v>
      </x:c>
      <x:c r="B57" s="23" t="str">
        <x:v>ABNB-2022Q4-GUIDE</x:v>
      </x:c>
      <x:c r="C57" s="23" t="str">
        <x:v>2022Q4</x:v>
      </x:c>
      <x:c r="D57" s="23" t="str">
        <x:v>2023Q1</x:v>
      </x:c>
      <x:c r="E57" s="24" t="n">
        <x:v>44971.87641203704</x:v>
      </x:c>
      <x:c r="F57" s="38" t="n">
        <x:v>1785</x:v>
      </x:c>
      <x:c r="G57" s="26" t="n">
        <x:v>0.23529411764705888</x:v>
      </x:c>
      <x:c r="H57" s="26" t="n">
        <x:v>-0.04693584750973545</x:v>
      </x:c>
      <x:c r="I57" s="26" t="str">
        <x:v>EU_TOURISM_T3M_YOY</x:v>
      </x:c>
      <x:c r="J57" s="26"/>
      <x:c r="K57" s="26"/>
      <x:c r="L57" s="23" t="str"/>
      <x:c r="M57" s="39"/>
      <x:c r="N57" s="40" t="b">
        <x:v>0</x:v>
      </x:c>
      <x:c r="O57" s="41" t="b">
        <x:v>0</x:v>
      </x:c>
      <x:c r="P57" s="23"/>
      <x:c r="Q57" s="42" t="str">
        <x:v>current_snapshot_diagnostic_only</x:v>
      </x:c>
      <x:c r="R57" s="42" t="str">
        <x:v>Current-snapshot diagnostic only; not approved forecast evidence.</x:v>
      </x:c>
      <x:c r="S57" s="43" t="n">
        <x:v>2021</x:v>
      </x:c>
      <x:c r="T57" s="44" t="n">
        <x:v>2996</x:v>
      </x:c>
      <x:c r="U57" s="44" t="n">
        <x:v>1931</x:v>
      </x:c>
      <x:c r="V57" s="45" t="n">
        <x:v>0.6080779378932413</x:v>
      </x:c>
      <x:c r="W57" s="45" t="n">
        <x:v>0.3919220621067587</x:v>
      </x:c>
      <x:c r="X57" s="46" t="n">
        <x:v>44617.88138888889</x:v>
      </x:c>
      <x:c r="Y57" s="43" t="str">
        <x:v>https://www.sec.gov/Archives/edgar/data/1559720/000155972022000006/abnb-20211231.htm</x:v>
      </x:c>
    </x:row>
    <x:row r="58">
      <x:c r="A58" s="23" t="n">
        <x:v>9</x:v>
      </x:c>
      <x:c r="B58" s="23" t="str">
        <x:v>ABNB-2022Q4-GUIDE</x:v>
      </x:c>
      <x:c r="C58" s="23" t="str">
        <x:v>2022Q4</x:v>
      </x:c>
      <x:c r="D58" s="23" t="str">
        <x:v>2023Q1</x:v>
      </x:c>
      <x:c r="E58" s="24" t="n">
        <x:v>44971.87641203704</x:v>
      </x:c>
      <x:c r="F58" s="38" t="n">
        <x:v>1785</x:v>
      </x:c>
      <x:c r="G58" s="26" t="n">
        <x:v>0.23529411764705888</x:v>
      </x:c>
      <x:c r="H58" s="26" t="n">
        <x:v>-0.04693584750973545</x:v>
      </x:c>
      <x:c r="I58" s="26" t="str">
        <x:v>US_EU_50_50_COMPOSITE</x:v>
      </x:c>
      <x:c r="J58" s="26" t="n">
        <x:v>0.39924596596377715</x:v>
      </x:c>
      <x:c r="K58" s="26" t="n">
        <x:v>-0.6818901945642405</x:v>
      </x:c>
      <x:c r="L58" s="23" t="str">
        <x:v>US:2022-11|EU:2022-09</x:v>
      </x:c>
      <x:c r="M58" s="39" t="n">
        <x:v>44955</x:v>
      </x:c>
      <x:c r="N58" s="40" t="b">
        <x:v>1</x:v>
      </x:c>
      <x:c r="O58" s="41" t="b">
        <x:v>0</x:v>
      </x:c>
      <x:c r="P58" s="40" t="b">
        <x:v>1</x:v>
      </x:c>
      <x:c r="Q58" s="42" t="str">
        <x:v>current_snapshot_diagnostic_only</x:v>
      </x:c>
      <x:c r="R58" s="42" t="str">
        <x:v>Current-snapshot diagnostic only; not approved forecast evidence.</x:v>
      </x:c>
      <x:c r="S58" s="43" t="n">
        <x:v>2021</x:v>
      </x:c>
      <x:c r="T58" s="44" t="n">
        <x:v>2996</x:v>
      </x:c>
      <x:c r="U58" s="44" t="n">
        <x:v>1931</x:v>
      </x:c>
      <x:c r="V58" s="45" t="n">
        <x:v>0.6080779378932413</x:v>
      </x:c>
      <x:c r="W58" s="45" t="n">
        <x:v>0.3919220621067587</x:v>
      </x:c>
      <x:c r="X58" s="46" t="n">
        <x:v>44617.88138888889</x:v>
      </x:c>
      <x:c r="Y58" s="43" t="str">
        <x:v>https://www.sec.gov/Archives/edgar/data/1559720/000155972022000006/abnb-20211231.htm</x:v>
      </x:c>
    </x:row>
    <x:row r="59">
      <x:c r="A59" s="23" t="n">
        <x:v>9</x:v>
      </x:c>
      <x:c r="B59" s="23" t="str">
        <x:v>ABNB-2022Q4-GUIDE</x:v>
      </x:c>
      <x:c r="C59" s="23" t="str">
        <x:v>2022Q4</x:v>
      </x:c>
      <x:c r="D59" s="23" t="str">
        <x:v>2023Q1</x:v>
      </x:c>
      <x:c r="E59" s="24" t="n">
        <x:v>44971.87641203704</x:v>
      </x:c>
      <x:c r="F59" s="38" t="n">
        <x:v>1785</x:v>
      </x:c>
      <x:c r="G59" s="26" t="n">
        <x:v>0.23529411764705888</x:v>
      </x:c>
      <x:c r="H59" s="26" t="n">
        <x:v>-0.04693584750973545</x:v>
      </x:c>
      <x:c r="I59" s="26" t="str">
        <x:v>US_EMEA_REVENUE_WEIGHTED_COMPOSITE</x:v>
      </x:c>
      <x:c r="J59" s="26" t="n">
        <x:v>0.41024093690840346</x:v>
      </x:c>
      <x:c r="K59" s="26" t="n">
        <x:v>-0.5724182421437283</x:v>
      </x:c>
      <x:c r="L59" s="23" t="str">
        <x:v>US:2022-11|EU:2022-09</x:v>
      </x:c>
      <x:c r="M59" s="39" t="n">
        <x:v>44955</x:v>
      </x:c>
      <x:c r="N59" s="40" t="b">
        <x:v>1</x:v>
      </x:c>
      <x:c r="O59" s="41" t="b">
        <x:v>0</x:v>
      </x:c>
      <x:c r="P59" s="40" t="b">
        <x:v>1</x:v>
      </x:c>
      <x:c r="Q59" s="42" t="str">
        <x:v>current_snapshot_diagnostic_only</x:v>
      </x:c>
      <x:c r="R59" s="42" t="str">
        <x:v>Current-snapshot diagnostic only; not approved forecast evidence.</x:v>
      </x:c>
      <x:c r="S59" s="43" t="n">
        <x:v>2021</x:v>
      </x:c>
      <x:c r="T59" s="44" t="n">
        <x:v>2996</x:v>
      </x:c>
      <x:c r="U59" s="44" t="n">
        <x:v>1931</x:v>
      </x:c>
      <x:c r="V59" s="45" t="n">
        <x:v>0.6080779378932413</x:v>
      </x:c>
      <x:c r="W59" s="45" t="n">
        <x:v>0.3919220621067587</x:v>
      </x:c>
      <x:c r="X59" s="46" t="n">
        <x:v>44617.88138888889</x:v>
      </x:c>
      <x:c r="Y59" s="43" t="str">
        <x:v>https://www.sec.gov/Archives/edgar/data/1559720/000155972022000006/abnb-20211231.htm</x:v>
      </x:c>
    </x:row>
    <x:row r="60">
      <x:c r="A60" s="23" t="n">
        <x:v>9</x:v>
      </x:c>
      <x:c r="B60" s="23" t="str">
        <x:v>ABNB-2022Q4-GUIDE</x:v>
      </x:c>
      <x:c r="C60" s="23" t="str">
        <x:v>2022Q4</x:v>
      </x:c>
      <x:c r="D60" s="23" t="str">
        <x:v>2023Q1</x:v>
      </x:c>
      <x:c r="E60" s="24" t="n">
        <x:v>44971.87641203704</x:v>
      </x:c>
      <x:c r="F60" s="38" t="n">
        <x:v>1785</x:v>
      </x:c>
      <x:c r="G60" s="26" t="n">
        <x:v>0.23529411764705888</x:v>
      </x:c>
      <x:c r="H60" s="26" t="n">
        <x:v>-0.04693584750973545</x:v>
      </x:c>
      <x:c r="I60" s="26" t="str">
        <x:v>EU_PLATFORM_MINUS_TOURISM</x:v>
      </x:c>
      <x:c r="J60" s="26"/>
      <x:c r="K60" s="26"/>
      <x:c r="L60" s="23" t="str"/>
      <x:c r="M60" s="39"/>
      <x:c r="N60" s="40" t="b">
        <x:v>0</x:v>
      </x:c>
      <x:c r="O60" s="41" t="b">
        <x:v>0</x:v>
      </x:c>
      <x:c r="P60" s="23"/>
      <x:c r="Q60" s="42" t="str">
        <x:v>current_snapshot_diagnostic_only</x:v>
      </x:c>
      <x:c r="R60" s="42" t="str">
        <x:v>Current-snapshot diagnostic only; not approved forecast evidence.</x:v>
      </x:c>
      <x:c r="S60" s="43" t="n">
        <x:v>2021</x:v>
      </x:c>
      <x:c r="T60" s="44" t="n">
        <x:v>2996</x:v>
      </x:c>
      <x:c r="U60" s="44" t="n">
        <x:v>1931</x:v>
      </x:c>
      <x:c r="V60" s="45" t="n">
        <x:v>0.6080779378932413</x:v>
      </x:c>
      <x:c r="W60" s="45" t="n">
        <x:v>0.3919220621067587</x:v>
      </x:c>
      <x:c r="X60" s="46" t="n">
        <x:v>44617.88138888889</x:v>
      </x:c>
      <x:c r="Y60" s="43" t="str">
        <x:v>https://www.sec.gov/Archives/edgar/data/1559720/000155972022000006/abnb-20211231.htm</x:v>
      </x:c>
    </x:row>
    <x:row r="61">
      <x:c r="A61" s="23" t="n">
        <x:v>10</x:v>
      </x:c>
      <x:c r="B61" s="23" t="str">
        <x:v>ABNB-2023Q1-GUIDE</x:v>
      </x:c>
      <x:c r="C61" s="23" t="str">
        <x:v>2023Q1</x:v>
      </x:c>
      <x:c r="D61" s="23" t="str">
        <x:v>2023Q2</x:v>
      </x:c>
      <x:c r="E61" s="24" t="n">
        <x:v>45055.834328703706</x:v>
      </x:c>
      <x:c r="F61" s="38" t="n">
        <x:v>2400</x:v>
      </x:c>
      <x:c r="G61" s="26" t="n">
        <x:v>0.15384615384615374</x:v>
      </x:c>
      <x:c r="H61" s="26" t="n">
        <x:v>-0.08144796380090513</x:v>
      </x:c>
      <x:c r="I61" s="26" t="str">
        <x:v>US_SFO_T3M_YOY</x:v>
      </x:c>
      <x:c r="J61" s="26" t="n">
        <x:v>0.4108151603910315</x:v>
      </x:c>
      <x:c r="K61" s="26" t="n">
        <x:v>-0.03929674157666474</x:v>
      </x:c>
      <x:c r="L61" s="23" t="str">
        <x:v>2023-02</x:v>
      </x:c>
      <x:c r="M61" s="39" t="n">
        <x:v>45045</x:v>
      </x:c>
      <x:c r="N61" s="40" t="b">
        <x:v>1</x:v>
      </x:c>
      <x:c r="O61" s="41" t="b">
        <x:v>0</x:v>
      </x:c>
      <x:c r="P61" s="40" t="b">
        <x:v>1</x:v>
      </x:c>
      <x:c r="Q61" s="42" t="str">
        <x:v>current_snapshot_diagnostic_only</x:v>
      </x:c>
      <x:c r="R61" s="42" t="str">
        <x:v>Current-snapshot diagnostic only; not approved forecast evidence.</x:v>
      </x:c>
      <x:c r="S61" s="43" t="n">
        <x:v>2022</x:v>
      </x:c>
      <x:c r="T61" s="44" t="n">
        <x:v>3890</x:v>
      </x:c>
      <x:c r="U61" s="44" t="n">
        <x:v>2924</x:v>
      </x:c>
      <x:c r="V61" s="45" t="n">
        <x:v>0.5708834751981215</x:v>
      </x:c>
      <x:c r="W61" s="45" t="n">
        <x:v>0.4291165248018785</x:v>
      </x:c>
      <x:c r="X61" s="46" t="n">
        <x:v>44974.879907407405</x:v>
      </x:c>
      <x:c r="Y61" s="43" t="str">
        <x:v>https://www.sec.gov/Archives/edgar/data/1559720/000155972023000003/abnb-20221231.htm</x:v>
      </x:c>
    </x:row>
    <x:row r="62">
      <x:c r="A62" s="23" t="n">
        <x:v>10</x:v>
      </x:c>
      <x:c r="B62" s="23" t="str">
        <x:v>ABNB-2023Q1-GUIDE</x:v>
      </x:c>
      <x:c r="C62" s="23" t="str">
        <x:v>2023Q1</x:v>
      </x:c>
      <x:c r="D62" s="23" t="str">
        <x:v>2023Q2</x:v>
      </x:c>
      <x:c r="E62" s="24" t="n">
        <x:v>45055.834328703706</x:v>
      </x:c>
      <x:c r="F62" s="38" t="n">
        <x:v>2400</x:v>
      </x:c>
      <x:c r="G62" s="26" t="n">
        <x:v>0.15384615384615374</x:v>
      </x:c>
      <x:c r="H62" s="26" t="n">
        <x:v>-0.08144796380090513</x:v>
      </x:c>
      <x:c r="I62" s="26" t="str">
        <x:v>EU_PLATFORM_T3M_YOY</x:v>
      </x:c>
      <x:c r="J62" s="26" t="n">
        <x:v>0.3870293145448256</x:v>
      </x:c>
      <x:c r="K62" s="26" t="n">
        <x:v>0.038649284584967525</x:v>
      </x:c>
      <x:c r="L62" s="23" t="str">
        <x:v>2022-12</x:v>
      </x:c>
      <x:c r="M62" s="39" t="n">
        <x:v>45046</x:v>
      </x:c>
      <x:c r="N62" s="40" t="b">
        <x:v>1</x:v>
      </x:c>
      <x:c r="O62" s="41" t="b">
        <x:v>0</x:v>
      </x:c>
      <x:c r="P62" s="40" t="b">
        <x:v>0</x:v>
      </x:c>
      <x:c r="Q62" s="42" t="str">
        <x:v>current_snapshot_diagnostic_only</x:v>
      </x:c>
      <x:c r="R62" s="42" t="str">
        <x:v>Current-snapshot diagnostic only; not approved forecast evidence.</x:v>
      </x:c>
      <x:c r="S62" s="43" t="n">
        <x:v>2022</x:v>
      </x:c>
      <x:c r="T62" s="44" t="n">
        <x:v>3890</x:v>
      </x:c>
      <x:c r="U62" s="44" t="n">
        <x:v>2924</x:v>
      </x:c>
      <x:c r="V62" s="45" t="n">
        <x:v>0.5708834751981215</x:v>
      </x:c>
      <x:c r="W62" s="45" t="n">
        <x:v>0.4291165248018785</x:v>
      </x:c>
      <x:c r="X62" s="46" t="n">
        <x:v>44974.879907407405</x:v>
      </x:c>
      <x:c r="Y62" s="43" t="str">
        <x:v>https://www.sec.gov/Archives/edgar/data/1559720/000155972023000003/abnb-20221231.htm</x:v>
      </x:c>
    </x:row>
    <x:row r="63">
      <x:c r="A63" s="23" t="n">
        <x:v>10</x:v>
      </x:c>
      <x:c r="B63" s="23" t="str">
        <x:v>ABNB-2023Q1-GUIDE</x:v>
      </x:c>
      <x:c r="C63" s="23" t="str">
        <x:v>2023Q1</x:v>
      </x:c>
      <x:c r="D63" s="23" t="str">
        <x:v>2023Q2</x:v>
      </x:c>
      <x:c r="E63" s="24" t="n">
        <x:v>45055.834328703706</x:v>
      </x:c>
      <x:c r="F63" s="38" t="n">
        <x:v>2400</x:v>
      </x:c>
      <x:c r="G63" s="26" t="n">
        <x:v>0.15384615384615374</x:v>
      </x:c>
      <x:c r="H63" s="26" t="n">
        <x:v>-0.08144796380090513</x:v>
      </x:c>
      <x:c r="I63" s="26" t="str">
        <x:v>EU_TOURISM_T3M_YOY</x:v>
      </x:c>
      <x:c r="J63" s="26"/>
      <x:c r="K63" s="26"/>
      <x:c r="L63" s="23" t="str"/>
      <x:c r="M63" s="39"/>
      <x:c r="N63" s="40" t="b">
        <x:v>0</x:v>
      </x:c>
      <x:c r="O63" s="41" t="b">
        <x:v>0</x:v>
      </x:c>
      <x:c r="P63" s="23"/>
      <x:c r="Q63" s="42" t="str">
        <x:v>current_snapshot_diagnostic_only</x:v>
      </x:c>
      <x:c r="R63" s="42" t="str">
        <x:v>Current-snapshot diagnostic only; not approved forecast evidence.</x:v>
      </x:c>
      <x:c r="S63" s="43" t="n">
        <x:v>2022</x:v>
      </x:c>
      <x:c r="T63" s="44" t="n">
        <x:v>3890</x:v>
      </x:c>
      <x:c r="U63" s="44" t="n">
        <x:v>2924</x:v>
      </x:c>
      <x:c r="V63" s="45" t="n">
        <x:v>0.5708834751981215</x:v>
      </x:c>
      <x:c r="W63" s="45" t="n">
        <x:v>0.4291165248018785</x:v>
      </x:c>
      <x:c r="X63" s="46" t="n">
        <x:v>44974.879907407405</x:v>
      </x:c>
      <x:c r="Y63" s="43" t="str">
        <x:v>https://www.sec.gov/Archives/edgar/data/1559720/000155972023000003/abnb-20221231.htm</x:v>
      </x:c>
    </x:row>
    <x:row r="64">
      <x:c r="A64" s="23" t="n">
        <x:v>10</x:v>
      </x:c>
      <x:c r="B64" s="23" t="str">
        <x:v>ABNB-2023Q1-GUIDE</x:v>
      </x:c>
      <x:c r="C64" s="23" t="str">
        <x:v>2023Q1</x:v>
      </x:c>
      <x:c r="D64" s="23" t="str">
        <x:v>2023Q2</x:v>
      </x:c>
      <x:c r="E64" s="24" t="n">
        <x:v>45055.834328703706</x:v>
      </x:c>
      <x:c r="F64" s="38" t="n">
        <x:v>2400</x:v>
      </x:c>
      <x:c r="G64" s="26" t="n">
        <x:v>0.15384615384615374</x:v>
      </x:c>
      <x:c r="H64" s="26" t="n">
        <x:v>-0.08144796380090513</x:v>
      </x:c>
      <x:c r="I64" s="26" t="str">
        <x:v>US_EU_50_50_COMPOSITE</x:v>
      </x:c>
      <x:c r="J64" s="26" t="n">
        <x:v>0.39892223746792854</x:v>
      </x:c>
      <x:c r="K64" s="26" t="n">
        <x:v>-0.0003237284958486075</x:v>
      </x:c>
      <x:c r="L64" s="23" t="str">
        <x:v>US:2023-02|EU:2022-12</x:v>
      </x:c>
      <x:c r="M64" s="39" t="n">
        <x:v>45046</x:v>
      </x:c>
      <x:c r="N64" s="40" t="b">
        <x:v>1</x:v>
      </x:c>
      <x:c r="O64" s="41" t="b">
        <x:v>0</x:v>
      </x:c>
      <x:c r="P64" s="40" t="b">
        <x:v>1</x:v>
      </x:c>
      <x:c r="Q64" s="42" t="str">
        <x:v>current_snapshot_diagnostic_only</x:v>
      </x:c>
      <x:c r="R64" s="42" t="str">
        <x:v>Current-snapshot diagnostic only; not approved forecast evidence.</x:v>
      </x:c>
      <x:c r="S64" s="43" t="n">
        <x:v>2022</x:v>
      </x:c>
      <x:c r="T64" s="44" t="n">
        <x:v>3890</x:v>
      </x:c>
      <x:c r="U64" s="44" t="n">
        <x:v>2924</x:v>
      </x:c>
      <x:c r="V64" s="45" t="n">
        <x:v>0.5708834751981215</x:v>
      </x:c>
      <x:c r="W64" s="45" t="n">
        <x:v>0.4291165248018785</x:v>
      </x:c>
      <x:c r="X64" s="46" t="n">
        <x:v>44974.879907407405</x:v>
      </x:c>
      <x:c r="Y64" s="43" t="str">
        <x:v>https://www.sec.gov/Archives/edgar/data/1559720/000155972023000003/abnb-20221231.htm</x:v>
      </x:c>
    </x:row>
    <x:row r="65">
      <x:c r="A65" s="23" t="n">
        <x:v>10</x:v>
      </x:c>
      <x:c r="B65" s="23" t="str">
        <x:v>ABNB-2023Q1-GUIDE</x:v>
      </x:c>
      <x:c r="C65" s="23" t="str">
        <x:v>2023Q1</x:v>
      </x:c>
      <x:c r="D65" s="23" t="str">
        <x:v>2023Q2</x:v>
      </x:c>
      <x:c r="E65" s="24" t="n">
        <x:v>45055.834328703706</x:v>
      </x:c>
      <x:c r="F65" s="38" t="n">
        <x:v>2400</x:v>
      </x:c>
      <x:c r="G65" s="26" t="n">
        <x:v>0.15384615384615374</x:v>
      </x:c>
      <x:c r="H65" s="26" t="n">
        <x:v>-0.08144796380090513</x:v>
      </x:c>
      <x:c r="I65" s="26" t="str">
        <x:v>US_EMEA_REVENUE_WEIGHTED_COMPOSITE</x:v>
      </x:c>
      <x:c r="J65" s="26" t="n">
        <x:v>0.40060826088203444</x:v>
      </x:c>
      <x:c r="K65" s="26" t="n">
        <x:v>-0.009632676026369025</x:v>
      </x:c>
      <x:c r="L65" s="23" t="str">
        <x:v>US:2023-02|EU:2022-12</x:v>
      </x:c>
      <x:c r="M65" s="39" t="n">
        <x:v>45046</x:v>
      </x:c>
      <x:c r="N65" s="40" t="b">
        <x:v>1</x:v>
      </x:c>
      <x:c r="O65" s="41" t="b">
        <x:v>0</x:v>
      </x:c>
      <x:c r="P65" s="40" t="b">
        <x:v>1</x:v>
      </x:c>
      <x:c r="Q65" s="42" t="str">
        <x:v>current_snapshot_diagnostic_only</x:v>
      </x:c>
      <x:c r="R65" s="42" t="str">
        <x:v>Current-snapshot diagnostic only; not approved forecast evidence.</x:v>
      </x:c>
      <x:c r="S65" s="43" t="n">
        <x:v>2022</x:v>
      </x:c>
      <x:c r="T65" s="44" t="n">
        <x:v>3890</x:v>
      </x:c>
      <x:c r="U65" s="44" t="n">
        <x:v>2924</x:v>
      </x:c>
      <x:c r="V65" s="45" t="n">
        <x:v>0.5708834751981215</x:v>
      </x:c>
      <x:c r="W65" s="45" t="n">
        <x:v>0.4291165248018785</x:v>
      </x:c>
      <x:c r="X65" s="46" t="n">
        <x:v>44974.879907407405</x:v>
      </x:c>
      <x:c r="Y65" s="43" t="str">
        <x:v>https://www.sec.gov/Archives/edgar/data/1559720/000155972023000003/abnb-20221231.htm</x:v>
      </x:c>
    </x:row>
    <x:row r="66">
      <x:c r="A66" s="23" t="n">
        <x:v>10</x:v>
      </x:c>
      <x:c r="B66" s="23" t="str">
        <x:v>ABNB-2023Q1-GUIDE</x:v>
      </x:c>
      <x:c r="C66" s="23" t="str">
        <x:v>2023Q1</x:v>
      </x:c>
      <x:c r="D66" s="23" t="str">
        <x:v>2023Q2</x:v>
      </x:c>
      <x:c r="E66" s="24" t="n">
        <x:v>45055.834328703706</x:v>
      </x:c>
      <x:c r="F66" s="38" t="n">
        <x:v>2400</x:v>
      </x:c>
      <x:c r="G66" s="26" t="n">
        <x:v>0.15384615384615374</x:v>
      </x:c>
      <x:c r="H66" s="26" t="n">
        <x:v>-0.08144796380090513</x:v>
      </x:c>
      <x:c r="I66" s="26" t="str">
        <x:v>EU_PLATFORM_MINUS_TOURISM</x:v>
      </x:c>
      <x:c r="J66" s="26"/>
      <x:c r="K66" s="26"/>
      <x:c r="L66" s="23" t="str"/>
      <x:c r="M66" s="39"/>
      <x:c r="N66" s="40" t="b">
        <x:v>0</x:v>
      </x:c>
      <x:c r="O66" s="41" t="b">
        <x:v>0</x:v>
      </x:c>
      <x:c r="P66" s="23"/>
      <x:c r="Q66" s="42" t="str">
        <x:v>current_snapshot_diagnostic_only</x:v>
      </x:c>
      <x:c r="R66" s="42" t="str">
        <x:v>Current-snapshot diagnostic only; not approved forecast evidence.</x:v>
      </x:c>
      <x:c r="S66" s="43" t="n">
        <x:v>2022</x:v>
      </x:c>
      <x:c r="T66" s="44" t="n">
        <x:v>3890</x:v>
      </x:c>
      <x:c r="U66" s="44" t="n">
        <x:v>2924</x:v>
      </x:c>
      <x:c r="V66" s="45" t="n">
        <x:v>0.5708834751981215</x:v>
      </x:c>
      <x:c r="W66" s="45" t="n">
        <x:v>0.4291165248018785</x:v>
      </x:c>
      <x:c r="X66" s="46" t="n">
        <x:v>44974.879907407405</x:v>
      </x:c>
      <x:c r="Y66" s="43" t="str">
        <x:v>https://www.sec.gov/Archives/edgar/data/1559720/000155972023000003/abnb-20221231.htm</x:v>
      </x:c>
    </x:row>
    <x:row r="67">
      <x:c r="A67" s="23" t="n">
        <x:v>11</x:v>
      </x:c>
      <x:c r="B67" s="23" t="str">
        <x:v>ABNB-2023Q2-GUIDE</x:v>
      </x:c>
      <x:c r="C67" s="23" t="str">
        <x:v>2023Q2</x:v>
      </x:c>
      <x:c r="D67" s="23" t="str">
        <x:v>2023Q3</x:v>
      </x:c>
      <x:c r="E67" s="24" t="n">
        <x:v>45141.83405092593</x:v>
      </x:c>
      <x:c r="F67" s="38" t="n">
        <x:v>3350</x:v>
      </x:c>
      <x:c r="G67" s="26" t="n">
        <x:v>0.18374558303886923</x:v>
      </x:c>
      <x:c r="H67" s="26" t="n">
        <x:v>0.029899429192715488</x:v>
      </x:c>
      <x:c r="I67" s="26" t="str">
        <x:v>US_SFO_T3M_YOY</x:v>
      </x:c>
      <x:c r="J67" s="26" t="n">
        <x:v>0.20076673880115092</x:v>
      </x:c>
      <x:c r="K67" s="26" t="n">
        <x:v>-0.21004842158988057</x:v>
      </x:c>
      <x:c r="L67" s="23" t="str">
        <x:v>2023-05</x:v>
      </x:c>
      <x:c r="M67" s="39" t="n">
        <x:v>45137</x:v>
      </x:c>
      <x:c r="N67" s="40" t="b">
        <x:v>1</x:v>
      </x:c>
      <x:c r="O67" s="41" t="b">
        <x:v>0</x:v>
      </x:c>
      <x:c r="P67" s="40" t="b">
        <x:v>0</x:v>
      </x:c>
      <x:c r="Q67" s="42" t="str">
        <x:v>current_snapshot_diagnostic_only</x:v>
      </x:c>
      <x:c r="R67" s="42" t="str">
        <x:v>Current-snapshot diagnostic only; not approved forecast evidence.</x:v>
      </x:c>
      <x:c r="S67" s="43" t="n">
        <x:v>2022</x:v>
      </x:c>
      <x:c r="T67" s="44" t="n">
        <x:v>3890</x:v>
      </x:c>
      <x:c r="U67" s="44" t="n">
        <x:v>2924</x:v>
      </x:c>
      <x:c r="V67" s="45" t="n">
        <x:v>0.5708834751981215</x:v>
      </x:c>
      <x:c r="W67" s="45" t="n">
        <x:v>0.4291165248018785</x:v>
      </x:c>
      <x:c r="X67" s="46" t="n">
        <x:v>44974.879907407405</x:v>
      </x:c>
      <x:c r="Y67" s="43" t="str">
        <x:v>https://www.sec.gov/Archives/edgar/data/1559720/000155972023000003/abnb-20221231.htm</x:v>
      </x:c>
    </x:row>
    <x:row r="68">
      <x:c r="A68" s="23" t="n">
        <x:v>11</x:v>
      </x:c>
      <x:c r="B68" s="23" t="str">
        <x:v>ABNB-2023Q2-GUIDE</x:v>
      </x:c>
      <x:c r="C68" s="23" t="str">
        <x:v>2023Q2</x:v>
      </x:c>
      <x:c r="D68" s="23" t="str">
        <x:v>2023Q3</x:v>
      </x:c>
      <x:c r="E68" s="24" t="n">
        <x:v>45141.83405092593</x:v>
      </x:c>
      <x:c r="F68" s="38" t="n">
        <x:v>3350</x:v>
      </x:c>
      <x:c r="G68" s="26" t="n">
        <x:v>0.18374558303886923</x:v>
      </x:c>
      <x:c r="H68" s="26" t="n">
        <x:v>0.029899429192715488</x:v>
      </x:c>
      <x:c r="I68" s="26" t="str">
        <x:v>EU_PLATFORM_T3M_YOY</x:v>
      </x:c>
      <x:c r="J68" s="26" t="n">
        <x:v>0.33883088411362405</x:v>
      </x:c>
      <x:c r="K68" s="26" t="n">
        <x:v>-0.04819843043120153</x:v>
      </x:c>
      <x:c r="L68" s="23" t="str">
        <x:v>2023-03</x:v>
      </x:c>
      <x:c r="M68" s="39" t="n">
        <x:v>45136</x:v>
      </x:c>
      <x:c r="N68" s="40" t="b">
        <x:v>1</x:v>
      </x:c>
      <x:c r="O68" s="41" t="b">
        <x:v>0</x:v>
      </x:c>
      <x:c r="P68" s="40" t="b">
        <x:v>0</x:v>
      </x:c>
      <x:c r="Q68" s="42" t="str">
        <x:v>current_snapshot_diagnostic_only</x:v>
      </x:c>
      <x:c r="R68" s="42" t="str">
        <x:v>Current-snapshot diagnostic only; not approved forecast evidence.</x:v>
      </x:c>
      <x:c r="S68" s="43" t="n">
        <x:v>2022</x:v>
      </x:c>
      <x:c r="T68" s="44" t="n">
        <x:v>3890</x:v>
      </x:c>
      <x:c r="U68" s="44" t="n">
        <x:v>2924</x:v>
      </x:c>
      <x:c r="V68" s="45" t="n">
        <x:v>0.5708834751981215</x:v>
      </x:c>
      <x:c r="W68" s="45" t="n">
        <x:v>0.4291165248018785</x:v>
      </x:c>
      <x:c r="X68" s="46" t="n">
        <x:v>44974.879907407405</x:v>
      </x:c>
      <x:c r="Y68" s="43" t="str">
        <x:v>https://www.sec.gov/Archives/edgar/data/1559720/000155972023000003/abnb-20221231.htm</x:v>
      </x:c>
    </x:row>
    <x:row r="69">
      <x:c r="A69" s="23" t="n">
        <x:v>11</x:v>
      </x:c>
      <x:c r="B69" s="23" t="str">
        <x:v>ABNB-2023Q2-GUIDE</x:v>
      </x:c>
      <x:c r="C69" s="23" t="str">
        <x:v>2023Q2</x:v>
      </x:c>
      <x:c r="D69" s="23" t="str">
        <x:v>2023Q3</x:v>
      </x:c>
      <x:c r="E69" s="24" t="n">
        <x:v>45141.83405092593</x:v>
      </x:c>
      <x:c r="F69" s="38" t="n">
        <x:v>3350</x:v>
      </x:c>
      <x:c r="G69" s="26" t="n">
        <x:v>0.18374558303886923</x:v>
      </x:c>
      <x:c r="H69" s="26" t="n">
        <x:v>0.029899429192715488</x:v>
      </x:c>
      <x:c r="I69" s="26" t="str">
        <x:v>EU_TOURISM_T3M_YOY</x:v>
      </x:c>
      <x:c r="J69" s="26"/>
      <x:c r="K69" s="26"/>
      <x:c r="L69" s="23" t="str"/>
      <x:c r="M69" s="39"/>
      <x:c r="N69" s="40" t="b">
        <x:v>0</x:v>
      </x:c>
      <x:c r="O69" s="41" t="b">
        <x:v>0</x:v>
      </x:c>
      <x:c r="P69" s="23"/>
      <x:c r="Q69" s="42" t="str">
        <x:v>current_snapshot_diagnostic_only</x:v>
      </x:c>
      <x:c r="R69" s="42" t="str">
        <x:v>Current-snapshot diagnostic only; not approved forecast evidence.</x:v>
      </x:c>
      <x:c r="S69" s="43" t="n">
        <x:v>2022</x:v>
      </x:c>
      <x:c r="T69" s="44" t="n">
        <x:v>3890</x:v>
      </x:c>
      <x:c r="U69" s="44" t="n">
        <x:v>2924</x:v>
      </x:c>
      <x:c r="V69" s="45" t="n">
        <x:v>0.5708834751981215</x:v>
      </x:c>
      <x:c r="W69" s="45" t="n">
        <x:v>0.4291165248018785</x:v>
      </x:c>
      <x:c r="X69" s="46" t="n">
        <x:v>44974.879907407405</x:v>
      </x:c>
      <x:c r="Y69" s="43" t="str">
        <x:v>https://www.sec.gov/Archives/edgar/data/1559720/000155972023000003/abnb-20221231.htm</x:v>
      </x:c>
    </x:row>
    <x:row r="70">
      <x:c r="A70" s="23" t="n">
        <x:v>11</x:v>
      </x:c>
      <x:c r="B70" s="23" t="str">
        <x:v>ABNB-2023Q2-GUIDE</x:v>
      </x:c>
      <x:c r="C70" s="23" t="str">
        <x:v>2023Q2</x:v>
      </x:c>
      <x:c r="D70" s="23" t="str">
        <x:v>2023Q3</x:v>
      </x:c>
      <x:c r="E70" s="24" t="n">
        <x:v>45141.83405092593</x:v>
      </x:c>
      <x:c r="F70" s="38" t="n">
        <x:v>3350</x:v>
      </x:c>
      <x:c r="G70" s="26" t="n">
        <x:v>0.18374558303886923</x:v>
      </x:c>
      <x:c r="H70" s="26" t="n">
        <x:v>0.029899429192715488</x:v>
      </x:c>
      <x:c r="I70" s="26" t="str">
        <x:v>US_EU_50_50_COMPOSITE</x:v>
      </x:c>
      <x:c r="J70" s="26" t="n">
        <x:v>0.2697988114573875</x:v>
      </x:c>
      <x:c r="K70" s="26" t="n">
        <x:v>-0.12912342601054105</x:v>
      </x:c>
      <x:c r="L70" s="23" t="str">
        <x:v>US:2023-05|EU:2023-03</x:v>
      </x:c>
      <x:c r="M70" s="39" t="n">
        <x:v>45137</x:v>
      </x:c>
      <x:c r="N70" s="40" t="b">
        <x:v>1</x:v>
      </x:c>
      <x:c r="O70" s="41" t="b">
        <x:v>0</x:v>
      </x:c>
      <x:c r="P70" s="40" t="b">
        <x:v>0</x:v>
      </x:c>
      <x:c r="Q70" s="42" t="str">
        <x:v>current_snapshot_diagnostic_only</x:v>
      </x:c>
      <x:c r="R70" s="42" t="str">
        <x:v>Current-snapshot diagnostic only; not approved forecast evidence.</x:v>
      </x:c>
      <x:c r="S70" s="43" t="n">
        <x:v>2022</x:v>
      </x:c>
      <x:c r="T70" s="44" t="n">
        <x:v>3890</x:v>
      </x:c>
      <x:c r="U70" s="44" t="n">
        <x:v>2924</x:v>
      </x:c>
      <x:c r="V70" s="45" t="n">
        <x:v>0.5708834751981215</x:v>
      </x:c>
      <x:c r="W70" s="45" t="n">
        <x:v>0.4291165248018785</x:v>
      </x:c>
      <x:c r="X70" s="46" t="n">
        <x:v>44974.879907407405</x:v>
      </x:c>
      <x:c r="Y70" s="43" t="str">
        <x:v>https://www.sec.gov/Archives/edgar/data/1559720/000155972023000003/abnb-20221231.htm</x:v>
      </x:c>
    </x:row>
    <x:row r="71">
      <x:c r="A71" s="23" t="n">
        <x:v>11</x:v>
      </x:c>
      <x:c r="B71" s="23" t="str">
        <x:v>ABNB-2023Q2-GUIDE</x:v>
      </x:c>
      <x:c r="C71" s="23" t="str">
        <x:v>2023Q2</x:v>
      </x:c>
      <x:c r="D71" s="23" t="str">
        <x:v>2023Q3</x:v>
      </x:c>
      <x:c r="E71" s="24" t="n">
        <x:v>45141.83405092593</x:v>
      </x:c>
      <x:c r="F71" s="38" t="n">
        <x:v>3350</x:v>
      </x:c>
      <x:c r="G71" s="26" t="n">
        <x:v>0.18374558303886923</x:v>
      </x:c>
      <x:c r="H71" s="26" t="n">
        <x:v>0.029899429192715488</x:v>
      </x:c>
      <x:c r="I71" s="26" t="str">
        <x:v>US_EMEA_REVENUE_WEIGHTED_COMPOSITE</x:v>
      </x:c>
      <x:c r="J71" s="26" t="n">
        <x:v>0.26001234503738097</x:v>
      </x:c>
      <x:c r="K71" s="26" t="n">
        <x:v>-0.14059591584465347</x:v>
      </x:c>
      <x:c r="L71" s="23" t="str">
        <x:v>US:2023-05|EU:2023-03</x:v>
      </x:c>
      <x:c r="M71" s="39" t="n">
        <x:v>45137</x:v>
      </x:c>
      <x:c r="N71" s="40" t="b">
        <x:v>1</x:v>
      </x:c>
      <x:c r="O71" s="41" t="b">
        <x:v>0</x:v>
      </x:c>
      <x:c r="P71" s="40" t="b">
        <x:v>0</x:v>
      </x:c>
      <x:c r="Q71" s="42" t="str">
        <x:v>current_snapshot_diagnostic_only</x:v>
      </x:c>
      <x:c r="R71" s="42" t="str">
        <x:v>Current-snapshot diagnostic only; not approved forecast evidence.</x:v>
      </x:c>
      <x:c r="S71" s="43" t="n">
        <x:v>2022</x:v>
      </x:c>
      <x:c r="T71" s="44" t="n">
        <x:v>3890</x:v>
      </x:c>
      <x:c r="U71" s="44" t="n">
        <x:v>2924</x:v>
      </x:c>
      <x:c r="V71" s="45" t="n">
        <x:v>0.5708834751981215</x:v>
      </x:c>
      <x:c r="W71" s="45" t="n">
        <x:v>0.4291165248018785</x:v>
      </x:c>
      <x:c r="X71" s="46" t="n">
        <x:v>44974.879907407405</x:v>
      </x:c>
      <x:c r="Y71" s="43" t="str">
        <x:v>https://www.sec.gov/Archives/edgar/data/1559720/000155972023000003/abnb-20221231.htm</x:v>
      </x:c>
    </x:row>
    <x:row r="72">
      <x:c r="A72" s="23" t="n">
        <x:v>11</x:v>
      </x:c>
      <x:c r="B72" s="23" t="str">
        <x:v>ABNB-2023Q2-GUIDE</x:v>
      </x:c>
      <x:c r="C72" s="23" t="str">
        <x:v>2023Q2</x:v>
      </x:c>
      <x:c r="D72" s="23" t="str">
        <x:v>2023Q3</x:v>
      </x:c>
      <x:c r="E72" s="24" t="n">
        <x:v>45141.83405092593</x:v>
      </x:c>
      <x:c r="F72" s="38" t="n">
        <x:v>3350</x:v>
      </x:c>
      <x:c r="G72" s="26" t="n">
        <x:v>0.18374558303886923</x:v>
      </x:c>
      <x:c r="H72" s="26" t="n">
        <x:v>0.029899429192715488</x:v>
      </x:c>
      <x:c r="I72" s="26" t="str">
        <x:v>EU_PLATFORM_MINUS_TOURISM</x:v>
      </x:c>
      <x:c r="J72" s="26"/>
      <x:c r="K72" s="26"/>
      <x:c r="L72" s="23" t="str"/>
      <x:c r="M72" s="39"/>
      <x:c r="N72" s="40" t="b">
        <x:v>0</x:v>
      </x:c>
      <x:c r="O72" s="41" t="b">
        <x:v>0</x:v>
      </x:c>
      <x:c r="P72" s="23"/>
      <x:c r="Q72" s="42" t="str">
        <x:v>current_snapshot_diagnostic_only</x:v>
      </x:c>
      <x:c r="R72" s="42" t="str">
        <x:v>Current-snapshot diagnostic only; not approved forecast evidence.</x:v>
      </x:c>
      <x:c r="S72" s="43" t="n">
        <x:v>2022</x:v>
      </x:c>
      <x:c r="T72" s="44" t="n">
        <x:v>3890</x:v>
      </x:c>
      <x:c r="U72" s="44" t="n">
        <x:v>2924</x:v>
      </x:c>
      <x:c r="V72" s="45" t="n">
        <x:v>0.5708834751981215</x:v>
      </x:c>
      <x:c r="W72" s="45" t="n">
        <x:v>0.4291165248018785</x:v>
      </x:c>
      <x:c r="X72" s="46" t="n">
        <x:v>44974.879907407405</x:v>
      </x:c>
      <x:c r="Y72" s="43" t="str">
        <x:v>https://www.sec.gov/Archives/edgar/data/1559720/000155972023000003/abnb-20221231.htm</x:v>
      </x:c>
    </x:row>
    <x:row r="73">
      <x:c r="A73" s="23" t="n">
        <x:v>12</x:v>
      </x:c>
      <x:c r="B73" s="23" t="str">
        <x:v>ABNB-2023Q3-GUIDE</x:v>
      </x:c>
      <x:c r="C73" s="23" t="str">
        <x:v>2023Q3</x:v>
      </x:c>
      <x:c r="D73" s="23" t="str">
        <x:v>2023Q4</x:v>
      </x:c>
      <x:c r="E73" s="24" t="n">
        <x:v>45231.834074074075</x:v>
      </x:c>
      <x:c r="F73" s="38" t="n">
        <x:v>2150</x:v>
      </x:c>
      <x:c r="G73" s="26" t="n">
        <x:v>0.1684782608695652</x:v>
      </x:c>
      <x:c r="H73" s="26" t="n">
        <x:v>-0.015267322169304043</x:v>
      </x:c>
      <x:c r="I73" s="26" t="str">
        <x:v>US_SFO_T3M_YOY</x:v>
      </x:c>
      <x:c r="J73" s="26" t="n">
        <x:v>0.15655373228457736</x:v>
      </x:c>
      <x:c r="K73" s="26" t="n">
        <x:v>-0.04421300651657356</x:v>
      </x:c>
      <x:c r="L73" s="23" t="str">
        <x:v>2023-08</x:v>
      </x:c>
      <x:c r="M73" s="39" t="n">
        <x:v>45229</x:v>
      </x:c>
      <x:c r="N73" s="40" t="b">
        <x:v>1</x:v>
      </x:c>
      <x:c r="O73" s="41" t="b">
        <x:v>0</x:v>
      </x:c>
      <x:c r="P73" s="40" t="b">
        <x:v>1</x:v>
      </x:c>
      <x:c r="Q73" s="42" t="str">
        <x:v>current_snapshot_diagnostic_only</x:v>
      </x:c>
      <x:c r="R73" s="42" t="str">
        <x:v>Current-snapshot diagnostic only; not approved forecast evidence.</x:v>
      </x:c>
      <x:c r="S73" s="43" t="n">
        <x:v>2022</x:v>
      </x:c>
      <x:c r="T73" s="44" t="n">
        <x:v>3890</x:v>
      </x:c>
      <x:c r="U73" s="44" t="n">
        <x:v>2924</x:v>
      </x:c>
      <x:c r="V73" s="45" t="n">
        <x:v>0.5708834751981215</x:v>
      </x:c>
      <x:c r="W73" s="45" t="n">
        <x:v>0.4291165248018785</x:v>
      </x:c>
      <x:c r="X73" s="46" t="n">
        <x:v>44974.879907407405</x:v>
      </x:c>
      <x:c r="Y73" s="43" t="str">
        <x:v>https://www.sec.gov/Archives/edgar/data/1559720/000155972023000003/abnb-20221231.htm</x:v>
      </x:c>
    </x:row>
    <x:row r="74">
      <x:c r="A74" s="23" t="n">
        <x:v>12</x:v>
      </x:c>
      <x:c r="B74" s="23" t="str">
        <x:v>ABNB-2023Q3-GUIDE</x:v>
      </x:c>
      <x:c r="C74" s="23" t="str">
        <x:v>2023Q3</x:v>
      </x:c>
      <x:c r="D74" s="23" t="str">
        <x:v>2023Q4</x:v>
      </x:c>
      <x:c r="E74" s="24" t="n">
        <x:v>45231.834074074075</x:v>
      </x:c>
      <x:c r="F74" s="38" t="n">
        <x:v>2150</x:v>
      </x:c>
      <x:c r="G74" s="26" t="n">
        <x:v>0.1684782608695652</x:v>
      </x:c>
      <x:c r="H74" s="26" t="n">
        <x:v>-0.015267322169304043</x:v>
      </x:c>
      <x:c r="I74" s="26" t="str">
        <x:v>EU_PLATFORM_T3M_YOY</x:v>
      </x:c>
      <x:c r="J74" s="26" t="n">
        <x:v>0.250164986790939</x:v>
      </x:c>
      <x:c r="K74" s="26" t="n">
        <x:v>-0.08866589732268504</x:v>
      </x:c>
      <x:c r="L74" s="23" t="str">
        <x:v>2023-06</x:v>
      </x:c>
      <x:c r="M74" s="39" t="n">
        <x:v>45227</x:v>
      </x:c>
      <x:c r="N74" s="40" t="b">
        <x:v>1</x:v>
      </x:c>
      <x:c r="O74" s="41" t="b">
        <x:v>0</x:v>
      </x:c>
      <x:c r="P74" s="40" t="b">
        <x:v>1</x:v>
      </x:c>
      <x:c r="Q74" s="42" t="str">
        <x:v>current_snapshot_diagnostic_only</x:v>
      </x:c>
      <x:c r="R74" s="42" t="str">
        <x:v>Current-snapshot diagnostic only; not approved forecast evidence.</x:v>
      </x:c>
      <x:c r="S74" s="43" t="n">
        <x:v>2022</x:v>
      </x:c>
      <x:c r="T74" s="44" t="n">
        <x:v>3890</x:v>
      </x:c>
      <x:c r="U74" s="44" t="n">
        <x:v>2924</x:v>
      </x:c>
      <x:c r="V74" s="45" t="n">
        <x:v>0.5708834751981215</x:v>
      </x:c>
      <x:c r="W74" s="45" t="n">
        <x:v>0.4291165248018785</x:v>
      </x:c>
      <x:c r="X74" s="46" t="n">
        <x:v>44974.879907407405</x:v>
      </x:c>
      <x:c r="Y74" s="43" t="str">
        <x:v>https://www.sec.gov/Archives/edgar/data/1559720/000155972023000003/abnb-20221231.htm</x:v>
      </x:c>
    </x:row>
    <x:row r="75">
      <x:c r="A75" s="23" t="n">
        <x:v>12</x:v>
      </x:c>
      <x:c r="B75" s="23" t="str">
        <x:v>ABNB-2023Q3-GUIDE</x:v>
      </x:c>
      <x:c r="C75" s="23" t="str">
        <x:v>2023Q3</x:v>
      </x:c>
      <x:c r="D75" s="23" t="str">
        <x:v>2023Q4</x:v>
      </x:c>
      <x:c r="E75" s="24" t="n">
        <x:v>45231.834074074075</x:v>
      </x:c>
      <x:c r="F75" s="38" t="n">
        <x:v>2150</x:v>
      </x:c>
      <x:c r="G75" s="26" t="n">
        <x:v>0.1684782608695652</x:v>
      </x:c>
      <x:c r="H75" s="26" t="n">
        <x:v>-0.015267322169304043</x:v>
      </x:c>
      <x:c r="I75" s="26" t="str">
        <x:v>EU_TOURISM_T3M_YOY</x:v>
      </x:c>
      <x:c r="J75" s="26"/>
      <x:c r="K75" s="26"/>
      <x:c r="L75" s="23" t="str"/>
      <x:c r="M75" s="39"/>
      <x:c r="N75" s="40" t="b">
        <x:v>0</x:v>
      </x:c>
      <x:c r="O75" s="41" t="b">
        <x:v>0</x:v>
      </x:c>
      <x:c r="P75" s="23"/>
      <x:c r="Q75" s="42" t="str">
        <x:v>current_snapshot_diagnostic_only</x:v>
      </x:c>
      <x:c r="R75" s="42" t="str">
        <x:v>Current-snapshot diagnostic only; not approved forecast evidence.</x:v>
      </x:c>
      <x:c r="S75" s="43" t="n">
        <x:v>2022</x:v>
      </x:c>
      <x:c r="T75" s="44" t="n">
        <x:v>3890</x:v>
      </x:c>
      <x:c r="U75" s="44" t="n">
        <x:v>2924</x:v>
      </x:c>
      <x:c r="V75" s="45" t="n">
        <x:v>0.5708834751981215</x:v>
      </x:c>
      <x:c r="W75" s="45" t="n">
        <x:v>0.4291165248018785</x:v>
      </x:c>
      <x:c r="X75" s="46" t="n">
        <x:v>44974.879907407405</x:v>
      </x:c>
      <x:c r="Y75" s="43" t="str">
        <x:v>https://www.sec.gov/Archives/edgar/data/1559720/000155972023000003/abnb-20221231.htm</x:v>
      </x:c>
    </x:row>
    <x:row r="76">
      <x:c r="A76" s="23" t="n">
        <x:v>12</x:v>
      </x:c>
      <x:c r="B76" s="23" t="str">
        <x:v>ABNB-2023Q3-GUIDE</x:v>
      </x:c>
      <x:c r="C76" s="23" t="str">
        <x:v>2023Q3</x:v>
      </x:c>
      <x:c r="D76" s="23" t="str">
        <x:v>2023Q4</x:v>
      </x:c>
      <x:c r="E76" s="24" t="n">
        <x:v>45231.834074074075</x:v>
      </x:c>
      <x:c r="F76" s="38" t="n">
        <x:v>2150</x:v>
      </x:c>
      <x:c r="G76" s="26" t="n">
        <x:v>0.1684782608695652</x:v>
      </x:c>
      <x:c r="H76" s="26" t="n">
        <x:v>-0.015267322169304043</x:v>
      </x:c>
      <x:c r="I76" s="26" t="str">
        <x:v>US_EU_50_50_COMPOSITE</x:v>
      </x:c>
      <x:c r="J76" s="26" t="n">
        <x:v>0.2033593595377582</x:v>
      </x:c>
      <x:c r="K76" s="26" t="n">
        <x:v>-0.0664394519196293</x:v>
      </x:c>
      <x:c r="L76" s="23" t="str">
        <x:v>US:2023-08|EU:2023-06</x:v>
      </x:c>
      <x:c r="M76" s="39" t="n">
        <x:v>45229</x:v>
      </x:c>
      <x:c r="N76" s="40" t="b">
        <x:v>1</x:v>
      </x:c>
      <x:c r="O76" s="41" t="b">
        <x:v>0</x:v>
      </x:c>
      <x:c r="P76" s="40" t="b">
        <x:v>1</x:v>
      </x:c>
      <x:c r="Q76" s="42" t="str">
        <x:v>current_snapshot_diagnostic_only</x:v>
      </x:c>
      <x:c r="R76" s="42" t="str">
        <x:v>Current-snapshot diagnostic only; not approved forecast evidence.</x:v>
      </x:c>
      <x:c r="S76" s="43" t="n">
        <x:v>2022</x:v>
      </x:c>
      <x:c r="T76" s="44" t="n">
        <x:v>3890</x:v>
      </x:c>
      <x:c r="U76" s="44" t="n">
        <x:v>2924</x:v>
      </x:c>
      <x:c r="V76" s="45" t="n">
        <x:v>0.5708834751981215</x:v>
      </x:c>
      <x:c r="W76" s="45" t="n">
        <x:v>0.4291165248018785</x:v>
      </x:c>
      <x:c r="X76" s="46" t="n">
        <x:v>44974.879907407405</x:v>
      </x:c>
      <x:c r="Y76" s="43" t="str">
        <x:v>https://www.sec.gov/Archives/edgar/data/1559720/000155972023000003/abnb-20221231.htm</x:v>
      </x:c>
    </x:row>
    <x:row r="77">
      <x:c r="A77" s="23" t="n">
        <x:v>12</x:v>
      </x:c>
      <x:c r="B77" s="23" t="str">
        <x:v>ABNB-2023Q3-GUIDE</x:v>
      </x:c>
      <x:c r="C77" s="23" t="str">
        <x:v>2023Q3</x:v>
      </x:c>
      <x:c r="D77" s="23" t="str">
        <x:v>2023Q4</x:v>
      </x:c>
      <x:c r="E77" s="24" t="n">
        <x:v>45231.834074074075</x:v>
      </x:c>
      <x:c r="F77" s="38" t="n">
        <x:v>2150</x:v>
      </x:c>
      <x:c r="G77" s="26" t="n">
        <x:v>0.1684782608695652</x:v>
      </x:c>
      <x:c r="H77" s="26" t="n">
        <x:v>-0.015267322169304043</x:v>
      </x:c>
      <x:c r="I77" s="26" t="str">
        <x:v>US_EMEA_REVENUE_WEIGHTED_COMPOSITE</x:v>
      </x:c>
      <x:c r="J77" s="26" t="n">
        <x:v>0.19672386850069146</x:v>
      </x:c>
      <x:c r="K77" s="26" t="n">
        <x:v>-0.06328847653668951</x:v>
      </x:c>
      <x:c r="L77" s="23" t="str">
        <x:v>US:2023-08|EU:2023-06</x:v>
      </x:c>
      <x:c r="M77" s="39" t="n">
        <x:v>45229</x:v>
      </x:c>
      <x:c r="N77" s="40" t="b">
        <x:v>1</x:v>
      </x:c>
      <x:c r="O77" s="41" t="b">
        <x:v>0</x:v>
      </x:c>
      <x:c r="P77" s="40" t="b">
        <x:v>1</x:v>
      </x:c>
      <x:c r="Q77" s="42" t="str">
        <x:v>current_snapshot_diagnostic_only</x:v>
      </x:c>
      <x:c r="R77" s="42" t="str">
        <x:v>Current-snapshot diagnostic only; not approved forecast evidence.</x:v>
      </x:c>
      <x:c r="S77" s="43" t="n">
        <x:v>2022</x:v>
      </x:c>
      <x:c r="T77" s="44" t="n">
        <x:v>3890</x:v>
      </x:c>
      <x:c r="U77" s="44" t="n">
        <x:v>2924</x:v>
      </x:c>
      <x:c r="V77" s="45" t="n">
        <x:v>0.5708834751981215</x:v>
      </x:c>
      <x:c r="W77" s="45" t="n">
        <x:v>0.4291165248018785</x:v>
      </x:c>
      <x:c r="X77" s="46" t="n">
        <x:v>44974.879907407405</x:v>
      </x:c>
      <x:c r="Y77" s="43" t="str">
        <x:v>https://www.sec.gov/Archives/edgar/data/1559720/000155972023000003/abnb-20221231.htm</x:v>
      </x:c>
    </x:row>
    <x:row r="78">
      <x:c r="A78" s="23" t="n">
        <x:v>12</x:v>
      </x:c>
      <x:c r="B78" s="23" t="str">
        <x:v>ABNB-2023Q3-GUIDE</x:v>
      </x:c>
      <x:c r="C78" s="23" t="str">
        <x:v>2023Q3</x:v>
      </x:c>
      <x:c r="D78" s="23" t="str">
        <x:v>2023Q4</x:v>
      </x:c>
      <x:c r="E78" s="24" t="n">
        <x:v>45231.834074074075</x:v>
      </x:c>
      <x:c r="F78" s="38" t="n">
        <x:v>2150</x:v>
      </x:c>
      <x:c r="G78" s="26" t="n">
        <x:v>0.1684782608695652</x:v>
      </x:c>
      <x:c r="H78" s="26" t="n">
        <x:v>-0.015267322169304043</x:v>
      </x:c>
      <x:c r="I78" s="26" t="str">
        <x:v>EU_PLATFORM_MINUS_TOURISM</x:v>
      </x:c>
      <x:c r="J78" s="26"/>
      <x:c r="K78" s="26"/>
      <x:c r="L78" s="23" t="str"/>
      <x:c r="M78" s="39"/>
      <x:c r="N78" s="40" t="b">
        <x:v>0</x:v>
      </x:c>
      <x:c r="O78" s="41" t="b">
        <x:v>0</x:v>
      </x:c>
      <x:c r="P78" s="23"/>
      <x:c r="Q78" s="42" t="str">
        <x:v>current_snapshot_diagnostic_only</x:v>
      </x:c>
      <x:c r="R78" s="42" t="str">
        <x:v>Current-snapshot diagnostic only; not approved forecast evidence.</x:v>
      </x:c>
      <x:c r="S78" s="43" t="n">
        <x:v>2022</x:v>
      </x:c>
      <x:c r="T78" s="44" t="n">
        <x:v>3890</x:v>
      </x:c>
      <x:c r="U78" s="44" t="n">
        <x:v>2924</x:v>
      </x:c>
      <x:c r="V78" s="45" t="n">
        <x:v>0.5708834751981215</x:v>
      </x:c>
      <x:c r="W78" s="45" t="n">
        <x:v>0.4291165248018785</x:v>
      </x:c>
      <x:c r="X78" s="46" t="n">
        <x:v>44974.879907407405</x:v>
      </x:c>
      <x:c r="Y78" s="43" t="str">
        <x:v>https://www.sec.gov/Archives/edgar/data/1559720/000155972023000003/abnb-20221231.htm</x:v>
      </x:c>
    </x:row>
    <x:row r="79">
      <x:c r="A79" s="23" t="n">
        <x:v>13</x:v>
      </x:c>
      <x:c r="B79" s="23" t="str">
        <x:v>ABNB-2023Q4-GUIDE</x:v>
      </x:c>
      <x:c r="C79" s="23" t="str">
        <x:v>2023Q4</x:v>
      </x:c>
      <x:c r="D79" s="23" t="str">
        <x:v>2024Q1</x:v>
      </x:c>
      <x:c r="E79" s="24" t="n">
        <x:v>45335.881319444445</x:v>
      </x:c>
      <x:c r="F79" s="38" t="n">
        <x:v>2050</x:v>
      </x:c>
      <x:c r="G79" s="26" t="n">
        <x:v>0.14845938375350132</x:v>
      </x:c>
      <x:c r="H79" s="26" t="n">
        <x:v>-0.02001887711606387</x:v>
      </x:c>
      <x:c r="I79" s="26" t="str">
        <x:v>US_SFO_T3M_YOY</x:v>
      </x:c>
      <x:c r="J79" s="26" t="n">
        <x:v>0.12068907184578026</x:v>
      </x:c>
      <x:c r="K79" s="26" t="n">
        <x:v>-0.0358646604387971</x:v>
      </x:c>
      <x:c r="L79" s="23" t="str">
        <x:v>2023-11</x:v>
      </x:c>
      <x:c r="M79" s="39" t="n">
        <x:v>45320</x:v>
      </x:c>
      <x:c r="N79" s="40" t="b">
        <x:v>1</x:v>
      </x:c>
      <x:c r="O79" s="41" t="b">
        <x:v>0</x:v>
      </x:c>
      <x:c r="P79" s="40" t="b">
        <x:v>1</x:v>
      </x:c>
      <x:c r="Q79" s="42" t="str">
        <x:v>current_snapshot_diagnostic_only</x:v>
      </x:c>
      <x:c r="R79" s="42" t="str">
        <x:v>Current-snapshot diagnostic only; not approved forecast evidence.</x:v>
      </x:c>
      <x:c r="S79" s="43" t="n">
        <x:v>2022</x:v>
      </x:c>
      <x:c r="T79" s="44" t="n">
        <x:v>3890</x:v>
      </x:c>
      <x:c r="U79" s="44" t="n">
        <x:v>2924</x:v>
      </x:c>
      <x:c r="V79" s="45" t="n">
        <x:v>0.5708834751981215</x:v>
      </x:c>
      <x:c r="W79" s="45" t="n">
        <x:v>0.4291165248018785</x:v>
      </x:c>
      <x:c r="X79" s="46" t="n">
        <x:v>44974.879907407405</x:v>
      </x:c>
      <x:c r="Y79" s="43" t="str">
        <x:v>https://www.sec.gov/Archives/edgar/data/1559720/000155972023000003/abnb-20221231.htm</x:v>
      </x:c>
    </x:row>
    <x:row r="80">
      <x:c r="A80" s="23" t="n">
        <x:v>13</x:v>
      </x:c>
      <x:c r="B80" s="23" t="str">
        <x:v>ABNB-2023Q4-GUIDE</x:v>
      </x:c>
      <x:c r="C80" s="23" t="str">
        <x:v>2023Q4</x:v>
      </x:c>
      <x:c r="D80" s="23" t="str">
        <x:v>2024Q1</x:v>
      </x:c>
      <x:c r="E80" s="24" t="n">
        <x:v>45335.881319444445</x:v>
      </x:c>
      <x:c r="F80" s="38" t="n">
        <x:v>2050</x:v>
      </x:c>
      <x:c r="G80" s="26" t="n">
        <x:v>0.14845938375350132</x:v>
      </x:c>
      <x:c r="H80" s="26" t="n">
        <x:v>-0.02001887711606387</x:v>
      </x:c>
      <x:c r="I80" s="26" t="str">
        <x:v>EU_PLATFORM_T3M_YOY</x:v>
      </x:c>
      <x:c r="J80" s="26" t="n">
        <x:v>0.13788859848409585</x:v>
      </x:c>
      <x:c r="K80" s="26" t="n">
        <x:v>-0.11227638830684317</x:v>
      </x:c>
      <x:c r="L80" s="23" t="str">
        <x:v>2023-09</x:v>
      </x:c>
      <x:c r="M80" s="39" t="n">
        <x:v>45319</x:v>
      </x:c>
      <x:c r="N80" s="40" t="b">
        <x:v>1</x:v>
      </x:c>
      <x:c r="O80" s="41" t="b">
        <x:v>0</x:v>
      </x:c>
      <x:c r="P80" s="40" t="b">
        <x:v>1</x:v>
      </x:c>
      <x:c r="Q80" s="42" t="str">
        <x:v>current_snapshot_diagnostic_only</x:v>
      </x:c>
      <x:c r="R80" s="42" t="str">
        <x:v>Current-snapshot diagnostic only; not approved forecast evidence.</x:v>
      </x:c>
      <x:c r="S80" s="43" t="n">
        <x:v>2022</x:v>
      </x:c>
      <x:c r="T80" s="44" t="n">
        <x:v>3890</x:v>
      </x:c>
      <x:c r="U80" s="44" t="n">
        <x:v>2924</x:v>
      </x:c>
      <x:c r="V80" s="45" t="n">
        <x:v>0.5708834751981215</x:v>
      </x:c>
      <x:c r="W80" s="45" t="n">
        <x:v>0.4291165248018785</x:v>
      </x:c>
      <x:c r="X80" s="46" t="n">
        <x:v>44974.879907407405</x:v>
      </x:c>
      <x:c r="Y80" s="43" t="str">
        <x:v>https://www.sec.gov/Archives/edgar/data/1559720/000155972023000003/abnb-20221231.htm</x:v>
      </x:c>
    </x:row>
    <x:row r="81">
      <x:c r="A81" s="23" t="n">
        <x:v>13</x:v>
      </x:c>
      <x:c r="B81" s="23" t="str">
        <x:v>ABNB-2023Q4-GUIDE</x:v>
      </x:c>
      <x:c r="C81" s="23" t="str">
        <x:v>2023Q4</x:v>
      </x:c>
      <x:c r="D81" s="23" t="str">
        <x:v>2024Q1</x:v>
      </x:c>
      <x:c r="E81" s="24" t="n">
        <x:v>45335.881319444445</x:v>
      </x:c>
      <x:c r="F81" s="38" t="n">
        <x:v>2050</x:v>
      </x:c>
      <x:c r="G81" s="26" t="n">
        <x:v>0.14845938375350132</x:v>
      </x:c>
      <x:c r="H81" s="26" t="n">
        <x:v>-0.02001887711606387</x:v>
      </x:c>
      <x:c r="I81" s="26" t="str">
        <x:v>EU_TOURISM_T3M_YOY</x:v>
      </x:c>
      <x:c r="J81" s="26"/>
      <x:c r="K81" s="26"/>
      <x:c r="L81" s="23" t="str"/>
      <x:c r="M81" s="39"/>
      <x:c r="N81" s="40" t="b">
        <x:v>0</x:v>
      </x:c>
      <x:c r="O81" s="41" t="b">
        <x:v>0</x:v>
      </x:c>
      <x:c r="P81" s="23"/>
      <x:c r="Q81" s="42" t="str">
        <x:v>current_snapshot_diagnostic_only</x:v>
      </x:c>
      <x:c r="R81" s="42" t="str">
        <x:v>Current-snapshot diagnostic only; not approved forecast evidence.</x:v>
      </x:c>
      <x:c r="S81" s="43" t="n">
        <x:v>2022</x:v>
      </x:c>
      <x:c r="T81" s="44" t="n">
        <x:v>3890</x:v>
      </x:c>
      <x:c r="U81" s="44" t="n">
        <x:v>2924</x:v>
      </x:c>
      <x:c r="V81" s="45" t="n">
        <x:v>0.5708834751981215</x:v>
      </x:c>
      <x:c r="W81" s="45" t="n">
        <x:v>0.4291165248018785</x:v>
      </x:c>
      <x:c r="X81" s="46" t="n">
        <x:v>44974.879907407405</x:v>
      </x:c>
      <x:c r="Y81" s="43" t="str">
        <x:v>https://www.sec.gov/Archives/edgar/data/1559720/000155972023000003/abnb-20221231.htm</x:v>
      </x:c>
    </x:row>
    <x:row r="82">
      <x:c r="A82" s="23" t="n">
        <x:v>13</x:v>
      </x:c>
      <x:c r="B82" s="23" t="str">
        <x:v>ABNB-2023Q4-GUIDE</x:v>
      </x:c>
      <x:c r="C82" s="23" t="str">
        <x:v>2023Q4</x:v>
      </x:c>
      <x:c r="D82" s="23" t="str">
        <x:v>2024Q1</x:v>
      </x:c>
      <x:c r="E82" s="24" t="n">
        <x:v>45335.881319444445</x:v>
      </x:c>
      <x:c r="F82" s="38" t="n">
        <x:v>2050</x:v>
      </x:c>
      <x:c r="G82" s="26" t="n">
        <x:v>0.14845938375350132</x:v>
      </x:c>
      <x:c r="H82" s="26" t="n">
        <x:v>-0.02001887711606387</x:v>
      </x:c>
      <x:c r="I82" s="26" t="str">
        <x:v>US_EU_50_50_COMPOSITE</x:v>
      </x:c>
      <x:c r="J82" s="26" t="n">
        <x:v>0.12928883516493805</x:v>
      </x:c>
      <x:c r="K82" s="26" t="n">
        <x:v>-0.07407052437282013</x:v>
      </x:c>
      <x:c r="L82" s="23" t="str">
        <x:v>US:2023-11|EU:2023-09</x:v>
      </x:c>
      <x:c r="M82" s="39" t="n">
        <x:v>45320</x:v>
      </x:c>
      <x:c r="N82" s="40" t="b">
        <x:v>1</x:v>
      </x:c>
      <x:c r="O82" s="41" t="b">
        <x:v>0</x:v>
      </x:c>
      <x:c r="P82" s="40" t="b">
        <x:v>1</x:v>
      </x:c>
      <x:c r="Q82" s="42" t="str">
        <x:v>current_snapshot_diagnostic_only</x:v>
      </x:c>
      <x:c r="R82" s="42" t="str">
        <x:v>Current-snapshot diagnostic only; not approved forecast evidence.</x:v>
      </x:c>
      <x:c r="S82" s="43" t="n">
        <x:v>2022</x:v>
      </x:c>
      <x:c r="T82" s="44" t="n">
        <x:v>3890</x:v>
      </x:c>
      <x:c r="U82" s="44" t="n">
        <x:v>2924</x:v>
      </x:c>
      <x:c r="V82" s="45" t="n">
        <x:v>0.5708834751981215</x:v>
      </x:c>
      <x:c r="W82" s="45" t="n">
        <x:v>0.4291165248018785</x:v>
      </x:c>
      <x:c r="X82" s="46" t="n">
        <x:v>44974.879907407405</x:v>
      </x:c>
      <x:c r="Y82" s="43" t="str">
        <x:v>https://www.sec.gov/Archives/edgar/data/1559720/000155972023000003/abnb-20221231.htm</x:v>
      </x:c>
    </x:row>
    <x:row r="83">
      <x:c r="A83" s="23" t="n">
        <x:v>13</x:v>
      </x:c>
      <x:c r="B83" s="23" t="str">
        <x:v>ABNB-2023Q4-GUIDE</x:v>
      </x:c>
      <x:c r="C83" s="23" t="str">
        <x:v>2023Q4</x:v>
      </x:c>
      <x:c r="D83" s="23" t="str">
        <x:v>2024Q1</x:v>
      </x:c>
      <x:c r="E83" s="24" t="n">
        <x:v>45335.881319444445</x:v>
      </x:c>
      <x:c r="F83" s="38" t="n">
        <x:v>2050</x:v>
      </x:c>
      <x:c r="G83" s="26" t="n">
        <x:v>0.14845938375350132</x:v>
      </x:c>
      <x:c r="H83" s="26" t="n">
        <x:v>-0.02001887711606387</x:v>
      </x:c>
      <x:c r="I83" s="26" t="str">
        <x:v>US_EMEA_REVENUE_WEIGHTED_COMPOSITE</x:v>
      </x:c>
      <x:c r="J83" s="26" t="n">
        <x:v>0.1280696729450516</x:v>
      </x:c>
      <x:c r="K83" s="26" t="n">
        <x:v>-0.06865419555563987</x:v>
      </x:c>
      <x:c r="L83" s="23" t="str">
        <x:v>US:2023-11|EU:2023-09</x:v>
      </x:c>
      <x:c r="M83" s="39" t="n">
        <x:v>45320</x:v>
      </x:c>
      <x:c r="N83" s="40" t="b">
        <x:v>1</x:v>
      </x:c>
      <x:c r="O83" s="41" t="b">
        <x:v>0</x:v>
      </x:c>
      <x:c r="P83" s="40" t="b">
        <x:v>1</x:v>
      </x:c>
      <x:c r="Q83" s="42" t="str">
        <x:v>current_snapshot_diagnostic_only</x:v>
      </x:c>
      <x:c r="R83" s="42" t="str">
        <x:v>Current-snapshot diagnostic only; not approved forecast evidence.</x:v>
      </x:c>
      <x:c r="S83" s="43" t="n">
        <x:v>2022</x:v>
      </x:c>
      <x:c r="T83" s="44" t="n">
        <x:v>3890</x:v>
      </x:c>
      <x:c r="U83" s="44" t="n">
        <x:v>2924</x:v>
      </x:c>
      <x:c r="V83" s="45" t="n">
        <x:v>0.5708834751981215</x:v>
      </x:c>
      <x:c r="W83" s="45" t="n">
        <x:v>0.4291165248018785</x:v>
      </x:c>
      <x:c r="X83" s="46" t="n">
        <x:v>44974.879907407405</x:v>
      </x:c>
      <x:c r="Y83" s="43" t="str">
        <x:v>https://www.sec.gov/Archives/edgar/data/1559720/000155972023000003/abnb-20221231.htm</x:v>
      </x:c>
    </x:row>
    <x:row r="84">
      <x:c r="A84" s="23" t="n">
        <x:v>13</x:v>
      </x:c>
      <x:c r="B84" s="23" t="str">
        <x:v>ABNB-2023Q4-GUIDE</x:v>
      </x:c>
      <x:c r="C84" s="23" t="str">
        <x:v>2023Q4</x:v>
      </x:c>
      <x:c r="D84" s="23" t="str">
        <x:v>2024Q1</x:v>
      </x:c>
      <x:c r="E84" s="24" t="n">
        <x:v>45335.881319444445</x:v>
      </x:c>
      <x:c r="F84" s="38" t="n">
        <x:v>2050</x:v>
      </x:c>
      <x:c r="G84" s="26" t="n">
        <x:v>0.14845938375350132</x:v>
      </x:c>
      <x:c r="H84" s="26" t="n">
        <x:v>-0.02001887711606387</x:v>
      </x:c>
      <x:c r="I84" s="26" t="str">
        <x:v>EU_PLATFORM_MINUS_TOURISM</x:v>
      </x:c>
      <x:c r="J84" s="26"/>
      <x:c r="K84" s="26"/>
      <x:c r="L84" s="23" t="str"/>
      <x:c r="M84" s="39"/>
      <x:c r="N84" s="40" t="b">
        <x:v>0</x:v>
      </x:c>
      <x:c r="O84" s="41" t="b">
        <x:v>0</x:v>
      </x:c>
      <x:c r="P84" s="23"/>
      <x:c r="Q84" s="42" t="str">
        <x:v>current_snapshot_diagnostic_only</x:v>
      </x:c>
      <x:c r="R84" s="42" t="str">
        <x:v>Current-snapshot diagnostic only; not approved forecast evidence.</x:v>
      </x:c>
      <x:c r="S84" s="43" t="n">
        <x:v>2022</x:v>
      </x:c>
      <x:c r="T84" s="44" t="n">
        <x:v>3890</x:v>
      </x:c>
      <x:c r="U84" s="44" t="n">
        <x:v>2924</x:v>
      </x:c>
      <x:c r="V84" s="45" t="n">
        <x:v>0.5708834751981215</x:v>
      </x:c>
      <x:c r="W84" s="45" t="n">
        <x:v>0.4291165248018785</x:v>
      </x:c>
      <x:c r="X84" s="46" t="n">
        <x:v>44974.879907407405</x:v>
      </x:c>
      <x:c r="Y84" s="43" t="str">
        <x:v>https://www.sec.gov/Archives/edgar/data/1559720/000155972023000003/abnb-20221231.htm</x:v>
      </x:c>
    </x:row>
    <x:row r="85">
      <x:c r="A85" s="23" t="n">
        <x:v>14</x:v>
      </x:c>
      <x:c r="B85" s="23" t="str">
        <x:v>ABNB-2024Q1-GUIDE</x:v>
      </x:c>
      <x:c r="C85" s="23" t="str">
        <x:v>2024Q1</x:v>
      </x:c>
      <x:c r="D85" s="23" t="str">
        <x:v>2024Q2</x:v>
      </x:c>
      <x:c r="E85" s="24" t="n">
        <x:v>45420.83412037037</x:v>
      </x:c>
      <x:c r="F85" s="38" t="n">
        <x:v>2710</x:v>
      </x:c>
      <x:c r="G85" s="26" t="n">
        <x:v>0.12916666666666665</x:v>
      </x:c>
      <x:c r="H85" s="26" t="n">
        <x:v>-0.019292717086834665</x:v>
      </x:c>
      <x:c r="I85" s="26" t="str">
        <x:v>US_SFO_T3M_YOY</x:v>
      </x:c>
      <x:c r="J85" s="26" t="n">
        <x:v>0.09179616429570725</x:v>
      </x:c>
      <x:c r="K85" s="26" t="n">
        <x:v>-0.02889290755007301</x:v>
      </x:c>
      <x:c r="L85" s="23" t="str">
        <x:v>2024-02</x:v>
      </x:c>
      <x:c r="M85" s="39" t="n">
        <x:v>45411</x:v>
      </x:c>
      <x:c r="N85" s="40" t="b">
        <x:v>1</x:v>
      </x:c>
      <x:c r="O85" s="41" t="b">
        <x:v>0</x:v>
      </x:c>
      <x:c r="P85" s="40" t="b">
        <x:v>1</x:v>
      </x:c>
      <x:c r="Q85" s="42" t="str">
        <x:v>current_snapshot_diagnostic_only</x:v>
      </x:c>
      <x:c r="R85" s="42" t="str">
        <x:v>Current-snapshot diagnostic only; not approved forecast evidence.</x:v>
      </x:c>
      <x:c r="S85" s="43" t="n">
        <x:v>2023</x:v>
      </x:c>
      <x:c r="T85" s="44" t="n">
        <x:v>4290</x:v>
      </x:c>
      <x:c r="U85" s="44" t="n">
        <x:v>3615</x:v>
      </x:c>
      <x:c r="V85" s="45" t="n">
        <x:v>0.5426944971537002</x:v>
      </x:c>
      <x:c r="W85" s="45" t="n">
        <x:v>0.4573055028462998</x:v>
      </x:c>
      <x:c r="X85" s="46" t="n">
        <x:v>45338.87657407407</x:v>
      </x:c>
      <x:c r="Y85" s="43" t="str">
        <x:v>https://www.sec.gov/Archives/edgar/data/1559720/000155972024000006/abnb-20231231.htm</x:v>
      </x:c>
    </x:row>
    <x:row r="86">
      <x:c r="A86" s="23" t="n">
        <x:v>14</x:v>
      </x:c>
      <x:c r="B86" s="23" t="str">
        <x:v>ABNB-2024Q1-GUIDE</x:v>
      </x:c>
      <x:c r="C86" s="23" t="str">
        <x:v>2024Q1</x:v>
      </x:c>
      <x:c r="D86" s="23" t="str">
        <x:v>2024Q2</x:v>
      </x:c>
      <x:c r="E86" s="24" t="n">
        <x:v>45420.83412037037</x:v>
      </x:c>
      <x:c r="F86" s="38" t="n">
        <x:v>2710</x:v>
      </x:c>
      <x:c r="G86" s="26" t="n">
        <x:v>0.12916666666666665</x:v>
      </x:c>
      <x:c r="H86" s="26" t="n">
        <x:v>-0.019292717086834665</x:v>
      </x:c>
      <x:c r="I86" s="26" t="str">
        <x:v>EU_PLATFORM_T3M_YOY</x:v>
      </x:c>
      <x:c r="J86" s="26" t="n">
        <x:v>0.2265422891342168</x:v>
      </x:c>
      <x:c r="K86" s="26" t="n">
        <x:v>0.08865369065012096</x:v>
      </x:c>
      <x:c r="L86" s="23" t="str">
        <x:v>2023-12</x:v>
      </x:c>
      <x:c r="M86" s="39" t="n">
        <x:v>45411</x:v>
      </x:c>
      <x:c r="N86" s="40" t="b">
        <x:v>1</x:v>
      </x:c>
      <x:c r="O86" s="41" t="b">
        <x:v>0</x:v>
      </x:c>
      <x:c r="P86" s="40" t="b">
        <x:v>0</x:v>
      </x:c>
      <x:c r="Q86" s="42" t="str">
        <x:v>current_snapshot_diagnostic_only</x:v>
      </x:c>
      <x:c r="R86" s="42" t="str">
        <x:v>Current-snapshot diagnostic only; not approved forecast evidence.</x:v>
      </x:c>
      <x:c r="S86" s="43" t="n">
        <x:v>2023</x:v>
      </x:c>
      <x:c r="T86" s="44" t="n">
        <x:v>4290</x:v>
      </x:c>
      <x:c r="U86" s="44" t="n">
        <x:v>3615</x:v>
      </x:c>
      <x:c r="V86" s="45" t="n">
        <x:v>0.5426944971537002</x:v>
      </x:c>
      <x:c r="W86" s="45" t="n">
        <x:v>0.4573055028462998</x:v>
      </x:c>
      <x:c r="X86" s="46" t="n">
        <x:v>45338.87657407407</x:v>
      </x:c>
      <x:c r="Y86" s="43" t="str">
        <x:v>https://www.sec.gov/Archives/edgar/data/1559720/000155972024000006/abnb-20231231.htm</x:v>
      </x:c>
    </x:row>
    <x:row r="87">
      <x:c r="A87" s="23" t="n">
        <x:v>14</x:v>
      </x:c>
      <x:c r="B87" s="23" t="str">
        <x:v>ABNB-2024Q1-GUIDE</x:v>
      </x:c>
      <x:c r="C87" s="23" t="str">
        <x:v>2024Q1</x:v>
      </x:c>
      <x:c r="D87" s="23" t="str">
        <x:v>2024Q2</x:v>
      </x:c>
      <x:c r="E87" s="24" t="n">
        <x:v>45420.83412037037</x:v>
      </x:c>
      <x:c r="F87" s="38" t="n">
        <x:v>2710</x:v>
      </x:c>
      <x:c r="G87" s="26" t="n">
        <x:v>0.12916666666666665</x:v>
      </x:c>
      <x:c r="H87" s="26" t="n">
        <x:v>-0.019292717086834665</x:v>
      </x:c>
      <x:c r="I87" s="26" t="str">
        <x:v>EU_TOURISM_T3M_YOY</x:v>
      </x:c>
      <x:c r="J87" s="26"/>
      <x:c r="K87" s="26"/>
      <x:c r="L87" s="23" t="str"/>
      <x:c r="M87" s="39"/>
      <x:c r="N87" s="40" t="b">
        <x:v>0</x:v>
      </x:c>
      <x:c r="O87" s="41" t="b">
        <x:v>0</x:v>
      </x:c>
      <x:c r="P87" s="23"/>
      <x:c r="Q87" s="42" t="str">
        <x:v>current_snapshot_diagnostic_only</x:v>
      </x:c>
      <x:c r="R87" s="42" t="str">
        <x:v>Current-snapshot diagnostic only; not approved forecast evidence.</x:v>
      </x:c>
      <x:c r="S87" s="43" t="n">
        <x:v>2023</x:v>
      </x:c>
      <x:c r="T87" s="44" t="n">
        <x:v>4290</x:v>
      </x:c>
      <x:c r="U87" s="44" t="n">
        <x:v>3615</x:v>
      </x:c>
      <x:c r="V87" s="45" t="n">
        <x:v>0.5426944971537002</x:v>
      </x:c>
      <x:c r="W87" s="45" t="n">
        <x:v>0.4573055028462998</x:v>
      </x:c>
      <x:c r="X87" s="46" t="n">
        <x:v>45338.87657407407</x:v>
      </x:c>
      <x:c r="Y87" s="43" t="str">
        <x:v>https://www.sec.gov/Archives/edgar/data/1559720/000155972024000006/abnb-20231231.htm</x:v>
      </x:c>
    </x:row>
    <x:row r="88">
      <x:c r="A88" s="23" t="n">
        <x:v>14</x:v>
      </x:c>
      <x:c r="B88" s="23" t="str">
        <x:v>ABNB-2024Q1-GUIDE</x:v>
      </x:c>
      <x:c r="C88" s="23" t="str">
        <x:v>2024Q1</x:v>
      </x:c>
      <x:c r="D88" s="23" t="str">
        <x:v>2024Q2</x:v>
      </x:c>
      <x:c r="E88" s="24" t="n">
        <x:v>45420.83412037037</x:v>
      </x:c>
      <x:c r="F88" s="38" t="n">
        <x:v>2710</x:v>
      </x:c>
      <x:c r="G88" s="26" t="n">
        <x:v>0.12916666666666665</x:v>
      </x:c>
      <x:c r="H88" s="26" t="n">
        <x:v>-0.019292717086834665</x:v>
      </x:c>
      <x:c r="I88" s="26" t="str">
        <x:v>US_EU_50_50_COMPOSITE</x:v>
      </x:c>
      <x:c r="J88" s="26" t="n">
        <x:v>0.15916922671496203</x:v>
      </x:c>
      <x:c r="K88" s="26" t="n">
        <x:v>0.029880391550023977</x:v>
      </x:c>
      <x:c r="L88" s="23" t="str">
        <x:v>US:2024-02|EU:2023-12</x:v>
      </x:c>
      <x:c r="M88" s="39" t="n">
        <x:v>45411</x:v>
      </x:c>
      <x:c r="N88" s="40" t="b">
        <x:v>1</x:v>
      </x:c>
      <x:c r="O88" s="41" t="b">
        <x:v>0</x:v>
      </x:c>
      <x:c r="P88" s="40" t="b">
        <x:v>0</x:v>
      </x:c>
      <x:c r="Q88" s="42" t="str">
        <x:v>current_snapshot_diagnostic_only</x:v>
      </x:c>
      <x:c r="R88" s="42" t="str">
        <x:v>Current-snapshot diagnostic only; not approved forecast evidence.</x:v>
      </x:c>
      <x:c r="S88" s="43" t="n">
        <x:v>2023</x:v>
      </x:c>
      <x:c r="T88" s="44" t="n">
        <x:v>4290</x:v>
      </x:c>
      <x:c r="U88" s="44" t="n">
        <x:v>3615</x:v>
      </x:c>
      <x:c r="V88" s="45" t="n">
        <x:v>0.5426944971537002</x:v>
      </x:c>
      <x:c r="W88" s="45" t="n">
        <x:v>0.4573055028462998</x:v>
      </x:c>
      <x:c r="X88" s="46" t="n">
        <x:v>45338.87657407407</x:v>
      </x:c>
      <x:c r="Y88" s="43" t="str">
        <x:v>https://www.sec.gov/Archives/edgar/data/1559720/000155972024000006/abnb-20231231.htm</x:v>
      </x:c>
    </x:row>
    <x:row r="89">
      <x:c r="A89" s="23" t="n">
        <x:v>14</x:v>
      </x:c>
      <x:c r="B89" s="23" t="str">
        <x:v>ABNB-2024Q1-GUIDE</x:v>
      </x:c>
      <x:c r="C89" s="23" t="str">
        <x:v>2024Q1</x:v>
      </x:c>
      <x:c r="D89" s="23" t="str">
        <x:v>2024Q2</x:v>
      </x:c>
      <x:c r="E89" s="24" t="n">
        <x:v>45420.83412037037</x:v>
      </x:c>
      <x:c r="F89" s="38" t="n">
        <x:v>2710</x:v>
      </x:c>
      <x:c r="G89" s="26" t="n">
        <x:v>0.12916666666666665</x:v>
      </x:c>
      <x:c r="H89" s="26" t="n">
        <x:v>-0.019292717086834665</x:v>
      </x:c>
      <x:c r="I89" s="26" t="str">
        <x:v>US_EMEA_REVENUE_WEIGHTED_COMPOSITE</x:v>
      </x:c>
      <x:c r="J89" s="26" t="n">
        <x:v>0.15341630867157216</x:v>
      </x:c>
      <x:c r="K89" s="26" t="n">
        <x:v>0.025346635726520572</x:v>
      </x:c>
      <x:c r="L89" s="23" t="str">
        <x:v>US:2024-02|EU:2023-12</x:v>
      </x:c>
      <x:c r="M89" s="39" t="n">
        <x:v>45411</x:v>
      </x:c>
      <x:c r="N89" s="40" t="b">
        <x:v>1</x:v>
      </x:c>
      <x:c r="O89" s="41" t="b">
        <x:v>0</x:v>
      </x:c>
      <x:c r="P89" s="40" t="b">
        <x:v>0</x:v>
      </x:c>
      <x:c r="Q89" s="42" t="str">
        <x:v>current_snapshot_diagnostic_only</x:v>
      </x:c>
      <x:c r="R89" s="42" t="str">
        <x:v>Current-snapshot diagnostic only; not approved forecast evidence.</x:v>
      </x:c>
      <x:c r="S89" s="43" t="n">
        <x:v>2023</x:v>
      </x:c>
      <x:c r="T89" s="44" t="n">
        <x:v>4290</x:v>
      </x:c>
      <x:c r="U89" s="44" t="n">
        <x:v>3615</x:v>
      </x:c>
      <x:c r="V89" s="45" t="n">
        <x:v>0.5426944971537002</x:v>
      </x:c>
      <x:c r="W89" s="45" t="n">
        <x:v>0.4573055028462998</x:v>
      </x:c>
      <x:c r="X89" s="46" t="n">
        <x:v>45338.87657407407</x:v>
      </x:c>
      <x:c r="Y89" s="43" t="str">
        <x:v>https://www.sec.gov/Archives/edgar/data/1559720/000155972024000006/abnb-20231231.htm</x:v>
      </x:c>
    </x:row>
    <x:row r="90">
      <x:c r="A90" s="23" t="n">
        <x:v>14</x:v>
      </x:c>
      <x:c r="B90" s="23" t="str">
        <x:v>ABNB-2024Q1-GUIDE</x:v>
      </x:c>
      <x:c r="C90" s="23" t="str">
        <x:v>2024Q1</x:v>
      </x:c>
      <x:c r="D90" s="23" t="str">
        <x:v>2024Q2</x:v>
      </x:c>
      <x:c r="E90" s="24" t="n">
        <x:v>45420.83412037037</x:v>
      </x:c>
      <x:c r="F90" s="38" t="n">
        <x:v>2710</x:v>
      </x:c>
      <x:c r="G90" s="26" t="n">
        <x:v>0.12916666666666665</x:v>
      </x:c>
      <x:c r="H90" s="26" t="n">
        <x:v>-0.019292717086834665</x:v>
      </x:c>
      <x:c r="I90" s="26" t="str">
        <x:v>EU_PLATFORM_MINUS_TOURISM</x:v>
      </x:c>
      <x:c r="J90" s="26"/>
      <x:c r="K90" s="26"/>
      <x:c r="L90" s="23" t="str"/>
      <x:c r="M90" s="39"/>
      <x:c r="N90" s="40" t="b">
        <x:v>0</x:v>
      </x:c>
      <x:c r="O90" s="41" t="b">
        <x:v>0</x:v>
      </x:c>
      <x:c r="P90" s="23"/>
      <x:c r="Q90" s="42" t="str">
        <x:v>current_snapshot_diagnostic_only</x:v>
      </x:c>
      <x:c r="R90" s="42" t="str">
        <x:v>Current-snapshot diagnostic only; not approved forecast evidence.</x:v>
      </x:c>
      <x:c r="S90" s="43" t="n">
        <x:v>2023</x:v>
      </x:c>
      <x:c r="T90" s="44" t="n">
        <x:v>4290</x:v>
      </x:c>
      <x:c r="U90" s="44" t="n">
        <x:v>3615</x:v>
      </x:c>
      <x:c r="V90" s="45" t="n">
        <x:v>0.5426944971537002</x:v>
      </x:c>
      <x:c r="W90" s="45" t="n">
        <x:v>0.4573055028462998</x:v>
      </x:c>
      <x:c r="X90" s="46" t="n">
        <x:v>45338.87657407407</x:v>
      </x:c>
      <x:c r="Y90" s="43" t="str">
        <x:v>https://www.sec.gov/Archives/edgar/data/1559720/000155972024000006/abnb-20231231.htm</x:v>
      </x:c>
    </x:row>
    <x:row r="91">
      <x:c r="A91" s="23" t="n">
        <x:v>15</x:v>
      </x:c>
      <x:c r="B91" s="23" t="str">
        <x:v>ABNB-2024Q2-GUIDE</x:v>
      </x:c>
      <x:c r="C91" s="23" t="str">
        <x:v>2024Q2</x:v>
      </x:c>
      <x:c r="D91" s="23" t="str">
        <x:v>2024Q3</x:v>
      </x:c>
      <x:c r="E91" s="24" t="n">
        <x:v>45510.83399305555</x:v>
      </x:c>
      <x:c r="F91" s="38" t="n">
        <x:v>3700</x:v>
      </x:c>
      <x:c r="G91" s="26" t="n">
        <x:v>0.10447761194029859</x:v>
      </x:c>
      <x:c r="H91" s="26" t="n">
        <x:v>-0.024689054726368065</x:v>
      </x:c>
      <x:c r="I91" s="26" t="str">
        <x:v>US_SFO_T3M_YOY</x:v>
      </x:c>
      <x:c r="J91" s="26" t="n">
        <x:v>0.04534022951720407</x:v>
      </x:c>
      <x:c r="K91" s="26" t="n">
        <x:v>-0.04645593477850318</x:v>
      </x:c>
      <x:c r="L91" s="23" t="str">
        <x:v>2024-05</x:v>
      </x:c>
      <x:c r="M91" s="39" t="n">
        <x:v>45503</x:v>
      </x:c>
      <x:c r="N91" s="40" t="b">
        <x:v>1</x:v>
      </x:c>
      <x:c r="O91" s="41" t="b">
        <x:v>0</x:v>
      </x:c>
      <x:c r="P91" s="40" t="b">
        <x:v>1</x:v>
      </x:c>
      <x:c r="Q91" s="42" t="str">
        <x:v>current_snapshot_diagnostic_only</x:v>
      </x:c>
      <x:c r="R91" s="42" t="str">
        <x:v>Current-snapshot diagnostic only; not approved forecast evidence.</x:v>
      </x:c>
      <x:c r="S91" s="43" t="n">
        <x:v>2023</x:v>
      </x:c>
      <x:c r="T91" s="44" t="n">
        <x:v>4290</x:v>
      </x:c>
      <x:c r="U91" s="44" t="n">
        <x:v>3615</x:v>
      </x:c>
      <x:c r="V91" s="45" t="n">
        <x:v>0.5426944971537002</x:v>
      </x:c>
      <x:c r="W91" s="45" t="n">
        <x:v>0.4573055028462998</x:v>
      </x:c>
      <x:c r="X91" s="46" t="n">
        <x:v>45338.87657407407</x:v>
      </x:c>
      <x:c r="Y91" s="43" t="str">
        <x:v>https://www.sec.gov/Archives/edgar/data/1559720/000155972024000006/abnb-20231231.htm</x:v>
      </x:c>
    </x:row>
    <x:row r="92">
      <x:c r="A92" s="23" t="n">
        <x:v>15</x:v>
      </x:c>
      <x:c r="B92" s="23" t="str">
        <x:v>ABNB-2024Q2-GUIDE</x:v>
      </x:c>
      <x:c r="C92" s="23" t="str">
        <x:v>2024Q2</x:v>
      </x:c>
      <x:c r="D92" s="23" t="str">
        <x:v>2024Q3</x:v>
      </x:c>
      <x:c r="E92" s="24" t="n">
        <x:v>45510.83399305555</x:v>
      </x:c>
      <x:c r="F92" s="38" t="n">
        <x:v>3700</x:v>
      </x:c>
      <x:c r="G92" s="26" t="n">
        <x:v>0.10447761194029859</x:v>
      </x:c>
      <x:c r="H92" s="26" t="n">
        <x:v>-0.024689054726368065</x:v>
      </x:c>
      <x:c r="I92" s="26" t="str">
        <x:v>EU_PLATFORM_T3M_YOY</x:v>
      </x:c>
      <x:c r="J92" s="26" t="n">
        <x:v>0.2832971005690179</x:v>
      </x:c>
      <x:c r="K92" s="26" t="n">
        <x:v>0.0567548114348011</x:v>
      </x:c>
      <x:c r="L92" s="23" t="str">
        <x:v>2024-03</x:v>
      </x:c>
      <x:c r="M92" s="39" t="n">
        <x:v>45502</x:v>
      </x:c>
      <x:c r="N92" s="40" t="b">
        <x:v>1</x:v>
      </x:c>
      <x:c r="O92" s="41" t="b">
        <x:v>0</x:v>
      </x:c>
      <x:c r="P92" s="40" t="b">
        <x:v>0</x:v>
      </x:c>
      <x:c r="Q92" s="42" t="str">
        <x:v>current_snapshot_diagnostic_only</x:v>
      </x:c>
      <x:c r="R92" s="42" t="str">
        <x:v>Current-snapshot diagnostic only; not approved forecast evidence.</x:v>
      </x:c>
      <x:c r="S92" s="43" t="n">
        <x:v>2023</x:v>
      </x:c>
      <x:c r="T92" s="44" t="n">
        <x:v>4290</x:v>
      </x:c>
      <x:c r="U92" s="44" t="n">
        <x:v>3615</x:v>
      </x:c>
      <x:c r="V92" s="45" t="n">
        <x:v>0.5426944971537002</x:v>
      </x:c>
      <x:c r="W92" s="45" t="n">
        <x:v>0.4573055028462998</x:v>
      </x:c>
      <x:c r="X92" s="46" t="n">
        <x:v>45338.87657407407</x:v>
      </x:c>
      <x:c r="Y92" s="43" t="str">
        <x:v>https://www.sec.gov/Archives/edgar/data/1559720/000155972024000006/abnb-20231231.htm</x:v>
      </x:c>
    </x:row>
    <x:row r="93">
      <x:c r="A93" s="23" t="n">
        <x:v>15</x:v>
      </x:c>
      <x:c r="B93" s="23" t="str">
        <x:v>ABNB-2024Q2-GUIDE</x:v>
      </x:c>
      <x:c r="C93" s="23" t="str">
        <x:v>2024Q2</x:v>
      </x:c>
      <x:c r="D93" s="23" t="str">
        <x:v>2024Q3</x:v>
      </x:c>
      <x:c r="E93" s="24" t="n">
        <x:v>45510.83399305555</x:v>
      </x:c>
      <x:c r="F93" s="38" t="n">
        <x:v>3700</x:v>
      </x:c>
      <x:c r="G93" s="26" t="n">
        <x:v>0.10447761194029859</x:v>
      </x:c>
      <x:c r="H93" s="26" t="n">
        <x:v>-0.024689054726368065</x:v>
      </x:c>
      <x:c r="I93" s="26" t="str">
        <x:v>EU_TOURISM_T3M_YOY</x:v>
      </x:c>
      <x:c r="J93" s="26" t="n">
        <x:v>0.04303425188090304</x:v>
      </x:c>
      <x:c r="K93" s="26"/>
      <x:c r="L93" s="23" t="str">
        <x:v>2024-05</x:v>
      </x:c>
      <x:c r="M93" s="39" t="n">
        <x:v>45503</x:v>
      </x:c>
      <x:c r="N93" s="40" t="b">
        <x:v>1</x:v>
      </x:c>
      <x:c r="O93" s="41" t="b">
        <x:v>0</x:v>
      </x:c>
      <x:c r="P93" s="23"/>
      <x:c r="Q93" s="42" t="str">
        <x:v>current_snapshot_diagnostic_only</x:v>
      </x:c>
      <x:c r="R93" s="42" t="str">
        <x:v>Current-snapshot diagnostic only; not approved forecast evidence.</x:v>
      </x:c>
      <x:c r="S93" s="43" t="n">
        <x:v>2023</x:v>
      </x:c>
      <x:c r="T93" s="44" t="n">
        <x:v>4290</x:v>
      </x:c>
      <x:c r="U93" s="44" t="n">
        <x:v>3615</x:v>
      </x:c>
      <x:c r="V93" s="45" t="n">
        <x:v>0.5426944971537002</x:v>
      </x:c>
      <x:c r="W93" s="45" t="n">
        <x:v>0.4573055028462998</x:v>
      </x:c>
      <x:c r="X93" s="46" t="n">
        <x:v>45338.87657407407</x:v>
      </x:c>
      <x:c r="Y93" s="43" t="str">
        <x:v>https://www.sec.gov/Archives/edgar/data/1559720/000155972024000006/abnb-20231231.htm</x:v>
      </x:c>
    </x:row>
    <x:row r="94">
      <x:c r="A94" s="23" t="n">
        <x:v>15</x:v>
      </x:c>
      <x:c r="B94" s="23" t="str">
        <x:v>ABNB-2024Q2-GUIDE</x:v>
      </x:c>
      <x:c r="C94" s="23" t="str">
        <x:v>2024Q2</x:v>
      </x:c>
      <x:c r="D94" s="23" t="str">
        <x:v>2024Q3</x:v>
      </x:c>
      <x:c r="E94" s="24" t="n">
        <x:v>45510.83399305555</x:v>
      </x:c>
      <x:c r="F94" s="38" t="n">
        <x:v>3700</x:v>
      </x:c>
      <x:c r="G94" s="26" t="n">
        <x:v>0.10447761194029859</x:v>
      </x:c>
      <x:c r="H94" s="26" t="n">
        <x:v>-0.024689054726368065</x:v>
      </x:c>
      <x:c r="I94" s="26" t="str">
        <x:v>US_EU_50_50_COMPOSITE</x:v>
      </x:c>
      <x:c r="J94" s="26" t="n">
        <x:v>0.164318665043111</x:v>
      </x:c>
      <x:c r="K94" s="26" t="n">
        <x:v>0.005149438328148959</x:v>
      </x:c>
      <x:c r="L94" s="23" t="str">
        <x:v>US:2024-05|EU:2024-03</x:v>
      </x:c>
      <x:c r="M94" s="39" t="n">
        <x:v>45503</x:v>
      </x:c>
      <x:c r="N94" s="40" t="b">
        <x:v>1</x:v>
      </x:c>
      <x:c r="O94" s="41" t="b">
        <x:v>0</x:v>
      </x:c>
      <x:c r="P94" s="40" t="b">
        <x:v>0</x:v>
      </x:c>
      <x:c r="Q94" s="42" t="str">
        <x:v>current_snapshot_diagnostic_only</x:v>
      </x:c>
      <x:c r="R94" s="42" t="str">
        <x:v>Current-snapshot diagnostic only; not approved forecast evidence.</x:v>
      </x:c>
      <x:c r="S94" s="43" t="n">
        <x:v>2023</x:v>
      </x:c>
      <x:c r="T94" s="44" t="n">
        <x:v>4290</x:v>
      </x:c>
      <x:c r="U94" s="44" t="n">
        <x:v>3615</x:v>
      </x:c>
      <x:c r="V94" s="45" t="n">
        <x:v>0.5426944971537002</x:v>
      </x:c>
      <x:c r="W94" s="45" t="n">
        <x:v>0.4573055028462998</x:v>
      </x:c>
      <x:c r="X94" s="46" t="n">
        <x:v>45338.87657407407</x:v>
      </x:c>
      <x:c r="Y94" s="43" t="str">
        <x:v>https://www.sec.gov/Archives/edgar/data/1559720/000155972024000006/abnb-20231231.htm</x:v>
      </x:c>
    </x:row>
    <x:row r="95">
      <x:c r="A95" s="23" t="n">
        <x:v>15</x:v>
      </x:c>
      <x:c r="B95" s="23" t="str">
        <x:v>ABNB-2024Q2-GUIDE</x:v>
      </x:c>
      <x:c r="C95" s="23" t="str">
        <x:v>2024Q2</x:v>
      </x:c>
      <x:c r="D95" s="23" t="str">
        <x:v>2024Q3</x:v>
      </x:c>
      <x:c r="E95" s="24" t="n">
        <x:v>45510.83399305555</x:v>
      </x:c>
      <x:c r="F95" s="38" t="n">
        <x:v>3700</x:v>
      </x:c>
      <x:c r="G95" s="26" t="n">
        <x:v>0.10447761194029859</x:v>
      </x:c>
      <x:c r="H95" s="26" t="n">
        <x:v>-0.024689054726368065</x:v>
      </x:c>
      <x:c r="I95" s="26" t="str">
        <x:v>US_EMEA_REVENUE_WEIGHTED_COMPOSITE</x:v>
      </x:c>
      <x:c r="J95" s="26" t="n">
        <x:v>0.15415921608928593</x:v>
      </x:c>
      <x:c r="K95" s="26" t="n">
        <x:v>0.0007429074177137673</x:v>
      </x:c>
      <x:c r="L95" s="23" t="str">
        <x:v>US:2024-05|EU:2024-03</x:v>
      </x:c>
      <x:c r="M95" s="39" t="n">
        <x:v>45503</x:v>
      </x:c>
      <x:c r="N95" s="40" t="b">
        <x:v>1</x:v>
      </x:c>
      <x:c r="O95" s="41" t="b">
        <x:v>0</x:v>
      </x:c>
      <x:c r="P95" s="40" t="b">
        <x:v>0</x:v>
      </x:c>
      <x:c r="Q95" s="42" t="str">
        <x:v>current_snapshot_diagnostic_only</x:v>
      </x:c>
      <x:c r="R95" s="42" t="str">
        <x:v>Current-snapshot diagnostic only; not approved forecast evidence.</x:v>
      </x:c>
      <x:c r="S95" s="43" t="n">
        <x:v>2023</x:v>
      </x:c>
      <x:c r="T95" s="44" t="n">
        <x:v>4290</x:v>
      </x:c>
      <x:c r="U95" s="44" t="n">
        <x:v>3615</x:v>
      </x:c>
      <x:c r="V95" s="45" t="n">
        <x:v>0.5426944971537002</x:v>
      </x:c>
      <x:c r="W95" s="45" t="n">
        <x:v>0.4573055028462998</x:v>
      </x:c>
      <x:c r="X95" s="46" t="n">
        <x:v>45338.87657407407</x:v>
      </x:c>
      <x:c r="Y95" s="43" t="str">
        <x:v>https://www.sec.gov/Archives/edgar/data/1559720/000155972024000006/abnb-20231231.htm</x:v>
      </x:c>
    </x:row>
    <x:row r="96">
      <x:c r="A96" s="23" t="n">
        <x:v>15</x:v>
      </x:c>
      <x:c r="B96" s="23" t="str">
        <x:v>ABNB-2024Q2-GUIDE</x:v>
      </x:c>
      <x:c r="C96" s="23" t="str">
        <x:v>2024Q2</x:v>
      </x:c>
      <x:c r="D96" s="23" t="str">
        <x:v>2024Q3</x:v>
      </x:c>
      <x:c r="E96" s="24" t="n">
        <x:v>45510.83399305555</x:v>
      </x:c>
      <x:c r="F96" s="38" t="n">
        <x:v>3700</x:v>
      </x:c>
      <x:c r="G96" s="26" t="n">
        <x:v>0.10447761194029859</x:v>
      </x:c>
      <x:c r="H96" s="26" t="n">
        <x:v>-0.024689054726368065</x:v>
      </x:c>
      <x:c r="I96" s="26" t="str">
        <x:v>EU_PLATFORM_MINUS_TOURISM</x:v>
      </x:c>
      <x:c r="J96" s="26" t="n">
        <x:v>0.24026284868811487</x:v>
      </x:c>
      <x:c r="K96" s="26"/>
      <x:c r="L96" s="23" t="str">
        <x:v>platform:2024-03|tourism:2024-05</x:v>
      </x:c>
      <x:c r="M96" s="39" t="n">
        <x:v>45503</x:v>
      </x:c>
      <x:c r="N96" s="40" t="b">
        <x:v>1</x:v>
      </x:c>
      <x:c r="O96" s="41" t="b">
        <x:v>0</x:v>
      </x:c>
      <x:c r="P96" s="23"/>
      <x:c r="Q96" s="42" t="str">
        <x:v>current_snapshot_diagnostic_only</x:v>
      </x:c>
      <x:c r="R96" s="42" t="str">
        <x:v>Current-snapshot diagnostic only; not approved forecast evidence.</x:v>
      </x:c>
      <x:c r="S96" s="43" t="n">
        <x:v>2023</x:v>
      </x:c>
      <x:c r="T96" s="44" t="n">
        <x:v>4290</x:v>
      </x:c>
      <x:c r="U96" s="44" t="n">
        <x:v>3615</x:v>
      </x:c>
      <x:c r="V96" s="45" t="n">
        <x:v>0.5426944971537002</x:v>
      </x:c>
      <x:c r="W96" s="45" t="n">
        <x:v>0.4573055028462998</x:v>
      </x:c>
      <x:c r="X96" s="46" t="n">
        <x:v>45338.87657407407</x:v>
      </x:c>
      <x:c r="Y96" s="43" t="str">
        <x:v>https://www.sec.gov/Archives/edgar/data/1559720/000155972024000006/abnb-20231231.htm</x:v>
      </x:c>
    </x:row>
    <x:row r="97">
      <x:c r="A97" s="23" t="n">
        <x:v>16</x:v>
      </x:c>
      <x:c r="B97" s="23" t="str">
        <x:v>ABNB-2024Q3-GUIDE</x:v>
      </x:c>
      <x:c r="C97" s="23" t="str">
        <x:v>2024Q3</x:v>
      </x:c>
      <x:c r="D97" s="23" t="str">
        <x:v>2024Q4</x:v>
      </x:c>
      <x:c r="E97" s="24" t="n">
        <x:v>45603.87568287037</x:v>
      </x:c>
      <x:c r="F97" s="38" t="n">
        <x:v>2415</x:v>
      </x:c>
      <x:c r="G97" s="26" t="n">
        <x:v>0.12325581395348828</x:v>
      </x:c>
      <x:c r="H97" s="26" t="n">
        <x:v>0.018778202013189693</x:v>
      </x:c>
      <x:c r="I97" s="26" t="str">
        <x:v>US_SFO_T3M_YOY</x:v>
      </x:c>
      <x:c r="J97" s="26" t="n">
        <x:v>0.009907857967141886</x:v>
      </x:c>
      <x:c r="K97" s="26" t="n">
        <x:v>-0.03543237155006218</x:v>
      </x:c>
      <x:c r="L97" s="23" t="str">
        <x:v>2024-08</x:v>
      </x:c>
      <x:c r="M97" s="39" t="n">
        <x:v>45595</x:v>
      </x:c>
      <x:c r="N97" s="40" t="b">
        <x:v>1</x:v>
      </x:c>
      <x:c r="O97" s="41" t="b">
        <x:v>0</x:v>
      </x:c>
      <x:c r="P97" s="40" t="b">
        <x:v>0</x:v>
      </x:c>
      <x:c r="Q97" s="42" t="str">
        <x:v>current_snapshot_diagnostic_only</x:v>
      </x:c>
      <x:c r="R97" s="42" t="str">
        <x:v>Current-snapshot diagnostic only; not approved forecast evidence.</x:v>
      </x:c>
      <x:c r="S97" s="43" t="n">
        <x:v>2023</x:v>
      </x:c>
      <x:c r="T97" s="44" t="n">
        <x:v>4290</x:v>
      </x:c>
      <x:c r="U97" s="44" t="n">
        <x:v>3615</x:v>
      </x:c>
      <x:c r="V97" s="45" t="n">
        <x:v>0.5426944971537002</x:v>
      </x:c>
      <x:c r="W97" s="45" t="n">
        <x:v>0.4573055028462998</x:v>
      </x:c>
      <x:c r="X97" s="46" t="n">
        <x:v>45338.87657407407</x:v>
      </x:c>
      <x:c r="Y97" s="43" t="str">
        <x:v>https://www.sec.gov/Archives/edgar/data/1559720/000155972024000006/abnb-20231231.htm</x:v>
      </x:c>
    </x:row>
    <x:row r="98">
      <x:c r="A98" s="23" t="n">
        <x:v>16</x:v>
      </x:c>
      <x:c r="B98" s="23" t="str">
        <x:v>ABNB-2024Q3-GUIDE</x:v>
      </x:c>
      <x:c r="C98" s="23" t="str">
        <x:v>2024Q3</x:v>
      </x:c>
      <x:c r="D98" s="23" t="str">
        <x:v>2024Q4</x:v>
      </x:c>
      <x:c r="E98" s="24" t="n">
        <x:v>45603.87568287037</x:v>
      </x:c>
      <x:c r="F98" s="38" t="n">
        <x:v>2415</x:v>
      </x:c>
      <x:c r="G98" s="26" t="n">
        <x:v>0.12325581395348828</x:v>
      </x:c>
      <x:c r="H98" s="26" t="n">
        <x:v>0.018778202013189693</x:v>
      </x:c>
      <x:c r="I98" s="26" t="str">
        <x:v>EU_PLATFORM_T3M_YOY</x:v>
      </x:c>
      <x:c r="J98" s="26" t="n">
        <x:v>0.16154119839349157</x:v>
      </x:c>
      <x:c r="K98" s="26" t="n">
        <x:v>-0.12175590217552634</x:v>
      </x:c>
      <x:c r="L98" s="23" t="str">
        <x:v>2024-06</x:v>
      </x:c>
      <x:c r="M98" s="39" t="n">
        <x:v>45593</x:v>
      </x:c>
      <x:c r="N98" s="40" t="b">
        <x:v>1</x:v>
      </x:c>
      <x:c r="O98" s="41" t="b">
        <x:v>0</x:v>
      </x:c>
      <x:c r="P98" s="40" t="b">
        <x:v>0</x:v>
      </x:c>
      <x:c r="Q98" s="42" t="str">
        <x:v>current_snapshot_diagnostic_only</x:v>
      </x:c>
      <x:c r="R98" s="42" t="str">
        <x:v>Current-snapshot diagnostic only; not approved forecast evidence.</x:v>
      </x:c>
      <x:c r="S98" s="43" t="n">
        <x:v>2023</x:v>
      </x:c>
      <x:c r="T98" s="44" t="n">
        <x:v>4290</x:v>
      </x:c>
      <x:c r="U98" s="44" t="n">
        <x:v>3615</x:v>
      </x:c>
      <x:c r="V98" s="45" t="n">
        <x:v>0.5426944971537002</x:v>
      </x:c>
      <x:c r="W98" s="45" t="n">
        <x:v>0.4573055028462998</x:v>
      </x:c>
      <x:c r="X98" s="46" t="n">
        <x:v>45338.87657407407</x:v>
      </x:c>
      <x:c r="Y98" s="43" t="str">
        <x:v>https://www.sec.gov/Archives/edgar/data/1559720/000155972024000006/abnb-20231231.htm</x:v>
      </x:c>
    </x:row>
    <x:row r="99">
      <x:c r="A99" s="23" t="n">
        <x:v>16</x:v>
      </x:c>
      <x:c r="B99" s="23" t="str">
        <x:v>ABNB-2024Q3-GUIDE</x:v>
      </x:c>
      <x:c r="C99" s="23" t="str">
        <x:v>2024Q3</x:v>
      </x:c>
      <x:c r="D99" s="23" t="str">
        <x:v>2024Q4</x:v>
      </x:c>
      <x:c r="E99" s="24" t="n">
        <x:v>45603.87568287037</x:v>
      </x:c>
      <x:c r="F99" s="38" t="n">
        <x:v>2415</x:v>
      </x:c>
      <x:c r="G99" s="26" t="n">
        <x:v>0.12325581395348828</x:v>
      </x:c>
      <x:c r="H99" s="26" t="n">
        <x:v>0.018778202013189693</x:v>
      </x:c>
      <x:c r="I99" s="26" t="str">
        <x:v>EU_TOURISM_T3M_YOY</x:v>
      </x:c>
      <x:c r="J99" s="26" t="n">
        <x:v>0.014494607910839896</x:v>
      </x:c>
      <x:c r="K99" s="26" t="n">
        <x:v>-0.028539643970063144</x:v>
      </x:c>
      <x:c r="L99" s="23" t="str">
        <x:v>2024-08</x:v>
      </x:c>
      <x:c r="M99" s="39" t="n">
        <x:v>45595</x:v>
      </x:c>
      <x:c r="N99" s="40" t="b">
        <x:v>1</x:v>
      </x:c>
      <x:c r="O99" s="41" t="b">
        <x:v>0</x:v>
      </x:c>
      <x:c r="P99" s="40" t="b">
        <x:v>0</x:v>
      </x:c>
      <x:c r="Q99" s="42" t="str">
        <x:v>current_snapshot_diagnostic_only</x:v>
      </x:c>
      <x:c r="R99" s="42" t="str">
        <x:v>Current-snapshot diagnostic only; not approved forecast evidence.</x:v>
      </x:c>
      <x:c r="S99" s="43" t="n">
        <x:v>2023</x:v>
      </x:c>
      <x:c r="T99" s="44" t="n">
        <x:v>4290</x:v>
      </x:c>
      <x:c r="U99" s="44" t="n">
        <x:v>3615</x:v>
      </x:c>
      <x:c r="V99" s="45" t="n">
        <x:v>0.5426944971537002</x:v>
      </x:c>
      <x:c r="W99" s="45" t="n">
        <x:v>0.4573055028462998</x:v>
      </x:c>
      <x:c r="X99" s="46" t="n">
        <x:v>45338.87657407407</x:v>
      </x:c>
      <x:c r="Y99" s="43" t="str">
        <x:v>https://www.sec.gov/Archives/edgar/data/1559720/000155972024000006/abnb-20231231.htm</x:v>
      </x:c>
    </x:row>
    <x:row r="100">
      <x:c r="A100" s="23" t="n">
        <x:v>16</x:v>
      </x:c>
      <x:c r="B100" s="23" t="str">
        <x:v>ABNB-2024Q3-GUIDE</x:v>
      </x:c>
      <x:c r="C100" s="23" t="str">
        <x:v>2024Q3</x:v>
      </x:c>
      <x:c r="D100" s="23" t="str">
        <x:v>2024Q4</x:v>
      </x:c>
      <x:c r="E100" s="24" t="n">
        <x:v>45603.87568287037</x:v>
      </x:c>
      <x:c r="F100" s="38" t="n">
        <x:v>2415</x:v>
      </x:c>
      <x:c r="G100" s="26" t="n">
        <x:v>0.12325581395348828</x:v>
      </x:c>
      <x:c r="H100" s="26" t="n">
        <x:v>0.018778202013189693</x:v>
      </x:c>
      <x:c r="I100" s="26" t="str">
        <x:v>US_EU_50_50_COMPOSITE</x:v>
      </x:c>
      <x:c r="J100" s="26" t="n">
        <x:v>0.08572452818031673</x:v>
      </x:c>
      <x:c r="K100" s="26" t="n">
        <x:v>-0.07859413686279426</x:v>
      </x:c>
      <x:c r="L100" s="23" t="str">
        <x:v>US:2024-08|EU:2024-06</x:v>
      </x:c>
      <x:c r="M100" s="39" t="n">
        <x:v>45595</x:v>
      </x:c>
      <x:c r="N100" s="40" t="b">
        <x:v>1</x:v>
      </x:c>
      <x:c r="O100" s="41" t="b">
        <x:v>0</x:v>
      </x:c>
      <x:c r="P100" s="40" t="b">
        <x:v>0</x:v>
      </x:c>
      <x:c r="Q100" s="42" t="str">
        <x:v>current_snapshot_diagnostic_only</x:v>
      </x:c>
      <x:c r="R100" s="42" t="str">
        <x:v>Current-snapshot diagnostic only; not approved forecast evidence.</x:v>
      </x:c>
      <x:c r="S100" s="43" t="n">
        <x:v>2023</x:v>
      </x:c>
      <x:c r="T100" s="44" t="n">
        <x:v>4290</x:v>
      </x:c>
      <x:c r="U100" s="44" t="n">
        <x:v>3615</x:v>
      </x:c>
      <x:c r="V100" s="45" t="n">
        <x:v>0.5426944971537002</x:v>
      </x:c>
      <x:c r="W100" s="45" t="n">
        <x:v>0.4573055028462998</x:v>
      </x:c>
      <x:c r="X100" s="46" t="n">
        <x:v>45338.87657407407</x:v>
      </x:c>
      <x:c r="Y100" s="43" t="str">
        <x:v>https://www.sec.gov/Archives/edgar/data/1559720/000155972024000006/abnb-20231231.htm</x:v>
      </x:c>
    </x:row>
    <x:row r="101">
      <x:c r="A101" s="23" t="n">
        <x:v>16</x:v>
      </x:c>
      <x:c r="B101" s="23" t="str">
        <x:v>ABNB-2024Q3-GUIDE</x:v>
      </x:c>
      <x:c r="C101" s="23" t="str">
        <x:v>2024Q3</x:v>
      </x:c>
      <x:c r="D101" s="23" t="str">
        <x:v>2024Q4</x:v>
      </x:c>
      <x:c r="E101" s="24" t="n">
        <x:v>45603.87568287037</x:v>
      </x:c>
      <x:c r="F101" s="38" t="n">
        <x:v>2415</x:v>
      </x:c>
      <x:c r="G101" s="26" t="n">
        <x:v>0.12325581395348828</x:v>
      </x:c>
      <x:c r="H101" s="26" t="n">
        <x:v>0.018778202013189693</x:v>
      </x:c>
      <x:c r="I101" s="26" t="str">
        <x:v>US_EMEA_REVENUE_WEIGHTED_COMPOSITE</x:v>
      </x:c>
      <x:c r="J101" s="26" t="n">
        <x:v>0.0792506189590779</x:v>
      </x:c>
      <x:c r="K101" s="26" t="n">
        <x:v>-0.07490859713020803</x:v>
      </x:c>
      <x:c r="L101" s="23" t="str">
        <x:v>US:2024-08|EU:2024-06</x:v>
      </x:c>
      <x:c r="M101" s="39" t="n">
        <x:v>45595</x:v>
      </x:c>
      <x:c r="N101" s="40" t="b">
        <x:v>1</x:v>
      </x:c>
      <x:c r="O101" s="41" t="b">
        <x:v>0</x:v>
      </x:c>
      <x:c r="P101" s="40" t="b">
        <x:v>0</x:v>
      </x:c>
      <x:c r="Q101" s="42" t="str">
        <x:v>current_snapshot_diagnostic_only</x:v>
      </x:c>
      <x:c r="R101" s="42" t="str">
        <x:v>Current-snapshot diagnostic only; not approved forecast evidence.</x:v>
      </x:c>
      <x:c r="S101" s="43" t="n">
        <x:v>2023</x:v>
      </x:c>
      <x:c r="T101" s="44" t="n">
        <x:v>4290</x:v>
      </x:c>
      <x:c r="U101" s="44" t="n">
        <x:v>3615</x:v>
      </x:c>
      <x:c r="V101" s="45" t="n">
        <x:v>0.5426944971537002</x:v>
      </x:c>
      <x:c r="W101" s="45" t="n">
        <x:v>0.4573055028462998</x:v>
      </x:c>
      <x:c r="X101" s="46" t="n">
        <x:v>45338.87657407407</x:v>
      </x:c>
      <x:c r="Y101" s="43" t="str">
        <x:v>https://www.sec.gov/Archives/edgar/data/1559720/000155972024000006/abnb-20231231.htm</x:v>
      </x:c>
    </x:row>
    <x:row r="102">
      <x:c r="A102" s="23" t="n">
        <x:v>16</x:v>
      </x:c>
      <x:c r="B102" s="23" t="str">
        <x:v>ABNB-2024Q3-GUIDE</x:v>
      </x:c>
      <x:c r="C102" s="23" t="str">
        <x:v>2024Q3</x:v>
      </x:c>
      <x:c r="D102" s="23" t="str">
        <x:v>2024Q4</x:v>
      </x:c>
      <x:c r="E102" s="24" t="n">
        <x:v>45603.87568287037</x:v>
      </x:c>
      <x:c r="F102" s="38" t="n">
        <x:v>2415</x:v>
      </x:c>
      <x:c r="G102" s="26" t="n">
        <x:v>0.12325581395348828</x:v>
      </x:c>
      <x:c r="H102" s="26" t="n">
        <x:v>0.018778202013189693</x:v>
      </x:c>
      <x:c r="I102" s="26" t="str">
        <x:v>EU_PLATFORM_MINUS_TOURISM</x:v>
      </x:c>
      <x:c r="J102" s="26" t="n">
        <x:v>0.14704659048265167</x:v>
      </x:c>
      <x:c r="K102" s="26" t="n">
        <x:v>-0.0932162582054632</x:v>
      </x:c>
      <x:c r="L102" s="23" t="str">
        <x:v>platform:2024-06|tourism:2024-08</x:v>
      </x:c>
      <x:c r="M102" s="39" t="n">
        <x:v>45595</x:v>
      </x:c>
      <x:c r="N102" s="40" t="b">
        <x:v>1</x:v>
      </x:c>
      <x:c r="O102" s="41" t="b">
        <x:v>0</x:v>
      </x:c>
      <x:c r="P102" s="40" t="b">
        <x:v>0</x:v>
      </x:c>
      <x:c r="Q102" s="42" t="str">
        <x:v>current_snapshot_diagnostic_only</x:v>
      </x:c>
      <x:c r="R102" s="42" t="str">
        <x:v>Current-snapshot diagnostic only; not approved forecast evidence.</x:v>
      </x:c>
      <x:c r="S102" s="43" t="n">
        <x:v>2023</x:v>
      </x:c>
      <x:c r="T102" s="44" t="n">
        <x:v>4290</x:v>
      </x:c>
      <x:c r="U102" s="44" t="n">
        <x:v>3615</x:v>
      </x:c>
      <x:c r="V102" s="45" t="n">
        <x:v>0.5426944971537002</x:v>
      </x:c>
      <x:c r="W102" s="45" t="n">
        <x:v>0.4573055028462998</x:v>
      </x:c>
      <x:c r="X102" s="46" t="n">
        <x:v>45338.87657407407</x:v>
      </x:c>
      <x:c r="Y102" s="43" t="str">
        <x:v>https://www.sec.gov/Archives/edgar/data/1559720/000155972024000006/abnb-20231231.htm</x:v>
      </x:c>
    </x:row>
    <x:row r="103">
      <x:c r="A103" s="23" t="n">
        <x:v>17</x:v>
      </x:c>
      <x:c r="B103" s="23" t="str">
        <x:v>ABNB-2024Q4-GUIDE</x:v>
      </x:c>
      <x:c r="C103" s="23" t="str">
        <x:v>2024Q4</x:v>
      </x:c>
      <x:c r="D103" s="23" t="str">
        <x:v>2025Q1</x:v>
      </x:c>
      <x:c r="E103" s="24" t="n">
        <x:v>45701.87684027778</x:v>
      </x:c>
      <x:c r="F103" s="38" t="n">
        <x:v>2250</x:v>
      </x:c>
      <x:c r="G103" s="26" t="n">
        <x:v>0.09756097560975618</x:v>
      </x:c>
      <x:c r="H103" s="26" t="n">
        <x:v>-0.025694838343732096</x:v>
      </x:c>
      <x:c r="I103" s="26" t="str">
        <x:v>US_SFO_T3M_YOY</x:v>
      </x:c>
      <x:c r="J103" s="26" t="n">
        <x:v>0.031189931605847043</x:v>
      </x:c>
      <x:c r="K103" s="26" t="n">
        <x:v>0.021282073638705157</x:v>
      </x:c>
      <x:c r="L103" s="23" t="str">
        <x:v>2024-11</x:v>
      </x:c>
      <x:c r="M103" s="39" t="n">
        <x:v>45686</x:v>
      </x:c>
      <x:c r="N103" s="40" t="b">
        <x:v>1</x:v>
      </x:c>
      <x:c r="O103" s="41" t="b">
        <x:v>0</x:v>
      </x:c>
      <x:c r="P103" s="40" t="b">
        <x:v>0</x:v>
      </x:c>
      <x:c r="Q103" s="42" t="str">
        <x:v>current_snapshot_diagnostic_only</x:v>
      </x:c>
      <x:c r="R103" s="42" t="str">
        <x:v>Current-snapshot diagnostic only; not approved forecast evidence.</x:v>
      </x:c>
      <x:c r="S103" s="43" t="n">
        <x:v>2023</x:v>
      </x:c>
      <x:c r="T103" s="44" t="n">
        <x:v>4290</x:v>
      </x:c>
      <x:c r="U103" s="44" t="n">
        <x:v>3615</x:v>
      </x:c>
      <x:c r="V103" s="45" t="n">
        <x:v>0.5426944971537002</x:v>
      </x:c>
      <x:c r="W103" s="45" t="n">
        <x:v>0.4573055028462998</x:v>
      </x:c>
      <x:c r="X103" s="46" t="n">
        <x:v>45338.87657407407</x:v>
      </x:c>
      <x:c r="Y103" s="43" t="str">
        <x:v>https://www.sec.gov/Archives/edgar/data/1559720/000155972024000006/abnb-20231231.htm</x:v>
      </x:c>
    </x:row>
    <x:row r="104">
      <x:c r="A104" s="23" t="n">
        <x:v>17</x:v>
      </x:c>
      <x:c r="B104" s="23" t="str">
        <x:v>ABNB-2024Q4-GUIDE</x:v>
      </x:c>
      <x:c r="C104" s="23" t="str">
        <x:v>2024Q4</x:v>
      </x:c>
      <x:c r="D104" s="23" t="str">
        <x:v>2025Q1</x:v>
      </x:c>
      <x:c r="E104" s="24" t="n">
        <x:v>45701.87684027778</x:v>
      </x:c>
      <x:c r="F104" s="38" t="n">
        <x:v>2250</x:v>
      </x:c>
      <x:c r="G104" s="26" t="n">
        <x:v>0.09756097560975618</x:v>
      </x:c>
      <x:c r="H104" s="26" t="n">
        <x:v>-0.025694838343732096</x:v>
      </x:c>
      <x:c r="I104" s="26" t="str">
        <x:v>EU_PLATFORM_T3M_YOY</x:v>
      </x:c>
      <x:c r="J104" s="26" t="n">
        <x:v>0.17954742792243072</x:v>
      </x:c>
      <x:c r="K104" s="26" t="n">
        <x:v>0.018006229528939155</x:v>
      </x:c>
      <x:c r="L104" s="23" t="str">
        <x:v>2024-09</x:v>
      </x:c>
      <x:c r="M104" s="39" t="n">
        <x:v>45685</x:v>
      </x:c>
      <x:c r="N104" s="40" t="b">
        <x:v>1</x:v>
      </x:c>
      <x:c r="O104" s="41" t="b">
        <x:v>0</x:v>
      </x:c>
      <x:c r="P104" s="40" t="b">
        <x:v>0</x:v>
      </x:c>
      <x:c r="Q104" s="42" t="str">
        <x:v>current_snapshot_diagnostic_only</x:v>
      </x:c>
      <x:c r="R104" s="42" t="str">
        <x:v>Current-snapshot diagnostic only; not approved forecast evidence.</x:v>
      </x:c>
      <x:c r="S104" s="43" t="n">
        <x:v>2023</x:v>
      </x:c>
      <x:c r="T104" s="44" t="n">
        <x:v>4290</x:v>
      </x:c>
      <x:c r="U104" s="44" t="n">
        <x:v>3615</x:v>
      </x:c>
      <x:c r="V104" s="45" t="n">
        <x:v>0.5426944971537002</x:v>
      </x:c>
      <x:c r="W104" s="45" t="n">
        <x:v>0.4573055028462998</x:v>
      </x:c>
      <x:c r="X104" s="46" t="n">
        <x:v>45338.87657407407</x:v>
      </x:c>
      <x:c r="Y104" s="43" t="str">
        <x:v>https://www.sec.gov/Archives/edgar/data/1559720/000155972024000006/abnb-20231231.htm</x:v>
      </x:c>
    </x:row>
    <x:row r="105">
      <x:c r="A105" s="23" t="n">
        <x:v>17</x:v>
      </x:c>
      <x:c r="B105" s="23" t="str">
        <x:v>ABNB-2024Q4-GUIDE</x:v>
      </x:c>
      <x:c r="C105" s="23" t="str">
        <x:v>2024Q4</x:v>
      </x:c>
      <x:c r="D105" s="23" t="str">
        <x:v>2025Q1</x:v>
      </x:c>
      <x:c r="E105" s="24" t="n">
        <x:v>45701.87684027778</x:v>
      </x:c>
      <x:c r="F105" s="38" t="n">
        <x:v>2250</x:v>
      </x:c>
      <x:c r="G105" s="26" t="n">
        <x:v>0.09756097560975618</x:v>
      </x:c>
      <x:c r="H105" s="26" t="n">
        <x:v>-0.025694838343732096</x:v>
      </x:c>
      <x:c r="I105" s="26" t="str">
        <x:v>EU_TOURISM_T3M_YOY</x:v>
      </x:c>
      <x:c r="J105" s="26" t="n">
        <x:v>0.031388536015484636</x:v>
      </x:c>
      <x:c r="K105" s="26" t="n">
        <x:v>0.01689392810464474</x:v>
      </x:c>
      <x:c r="L105" s="23" t="str">
        <x:v>2024-11</x:v>
      </x:c>
      <x:c r="M105" s="39" t="n">
        <x:v>45686</x:v>
      </x:c>
      <x:c r="N105" s="40" t="b">
        <x:v>1</x:v>
      </x:c>
      <x:c r="O105" s="41" t="b">
        <x:v>0</x:v>
      </x:c>
      <x:c r="P105" s="40" t="b">
        <x:v>0</x:v>
      </x:c>
      <x:c r="Q105" s="42" t="str">
        <x:v>current_snapshot_diagnostic_only</x:v>
      </x:c>
      <x:c r="R105" s="42" t="str">
        <x:v>Current-snapshot diagnostic only; not approved forecast evidence.</x:v>
      </x:c>
      <x:c r="S105" s="43" t="n">
        <x:v>2023</x:v>
      </x:c>
      <x:c r="T105" s="44" t="n">
        <x:v>4290</x:v>
      </x:c>
      <x:c r="U105" s="44" t="n">
        <x:v>3615</x:v>
      </x:c>
      <x:c r="V105" s="45" t="n">
        <x:v>0.5426944971537002</x:v>
      </x:c>
      <x:c r="W105" s="45" t="n">
        <x:v>0.4573055028462998</x:v>
      </x:c>
      <x:c r="X105" s="46" t="n">
        <x:v>45338.87657407407</x:v>
      </x:c>
      <x:c r="Y105" s="43" t="str">
        <x:v>https://www.sec.gov/Archives/edgar/data/1559720/000155972024000006/abnb-20231231.htm</x:v>
      </x:c>
    </x:row>
    <x:row r="106">
      <x:c r="A106" s="23" t="n">
        <x:v>17</x:v>
      </x:c>
      <x:c r="B106" s="23" t="str">
        <x:v>ABNB-2024Q4-GUIDE</x:v>
      </x:c>
      <x:c r="C106" s="23" t="str">
        <x:v>2024Q4</x:v>
      </x:c>
      <x:c r="D106" s="23" t="str">
        <x:v>2025Q1</x:v>
      </x:c>
      <x:c r="E106" s="24" t="n">
        <x:v>45701.87684027778</x:v>
      </x:c>
      <x:c r="F106" s="38" t="n">
        <x:v>2250</x:v>
      </x:c>
      <x:c r="G106" s="26" t="n">
        <x:v>0.09756097560975618</x:v>
      </x:c>
      <x:c r="H106" s="26" t="n">
        <x:v>-0.025694838343732096</x:v>
      </x:c>
      <x:c r="I106" s="26" t="str">
        <x:v>US_EU_50_50_COMPOSITE</x:v>
      </x:c>
      <x:c r="J106" s="26" t="n">
        <x:v>0.10536867976413888</x:v>
      </x:c>
      <x:c r="K106" s="26" t="n">
        <x:v>0.019644151583822156</x:v>
      </x:c>
      <x:c r="L106" s="23" t="str">
        <x:v>US:2024-11|EU:2024-09</x:v>
      </x:c>
      <x:c r="M106" s="39" t="n">
        <x:v>45686</x:v>
      </x:c>
      <x:c r="N106" s="40" t="b">
        <x:v>1</x:v>
      </x:c>
      <x:c r="O106" s="41" t="b">
        <x:v>0</x:v>
      </x:c>
      <x:c r="P106" s="40" t="b">
        <x:v>0</x:v>
      </x:c>
      <x:c r="Q106" s="42" t="str">
        <x:v>current_snapshot_diagnostic_only</x:v>
      </x:c>
      <x:c r="R106" s="42" t="str">
        <x:v>Current-snapshot diagnostic only; not approved forecast evidence.</x:v>
      </x:c>
      <x:c r="S106" s="43" t="n">
        <x:v>2023</x:v>
      </x:c>
      <x:c r="T106" s="44" t="n">
        <x:v>4290</x:v>
      </x:c>
      <x:c r="U106" s="44" t="n">
        <x:v>3615</x:v>
      </x:c>
      <x:c r="V106" s="45" t="n">
        <x:v>0.5426944971537002</x:v>
      </x:c>
      <x:c r="W106" s="45" t="n">
        <x:v>0.4573055028462998</x:v>
      </x:c>
      <x:c r="X106" s="46" t="n">
        <x:v>45338.87657407407</x:v>
      </x:c>
      <x:c r="Y106" s="43" t="str">
        <x:v>https://www.sec.gov/Archives/edgar/data/1559720/000155972024000006/abnb-20231231.htm</x:v>
      </x:c>
    </x:row>
    <x:row r="107">
      <x:c r="A107" s="23" t="n">
        <x:v>17</x:v>
      </x:c>
      <x:c r="B107" s="23" t="str">
        <x:v>ABNB-2024Q4-GUIDE</x:v>
      </x:c>
      <x:c r="C107" s="23" t="str">
        <x:v>2024Q4</x:v>
      </x:c>
      <x:c r="D107" s="23" t="str">
        <x:v>2025Q1</x:v>
      </x:c>
      <x:c r="E107" s="24" t="n">
        <x:v>45701.87684027778</x:v>
      </x:c>
      <x:c r="F107" s="38" t="n">
        <x:v>2250</x:v>
      </x:c>
      <x:c r="G107" s="26" t="n">
        <x:v>0.09756097560975618</x:v>
      </x:c>
      <x:c r="H107" s="26" t="n">
        <x:v>-0.025694838343732096</x:v>
      </x:c>
      <x:c r="I107" s="26" t="str">
        <x:v>US_EMEA_REVENUE_WEIGHTED_COMPOSITE</x:v>
      </x:c>
      <x:c r="J107" s="26" t="n">
        <x:v>0.09903463105992041</x:v>
      </x:c>
      <x:c r="K107" s="26" t="n">
        <x:v>0.01978401210084252</x:v>
      </x:c>
      <x:c r="L107" s="23" t="str">
        <x:v>US:2024-11|EU:2024-09</x:v>
      </x:c>
      <x:c r="M107" s="39" t="n">
        <x:v>45686</x:v>
      </x:c>
      <x:c r="N107" s="40" t="b">
        <x:v>1</x:v>
      </x:c>
      <x:c r="O107" s="41" t="b">
        <x:v>0</x:v>
      </x:c>
      <x:c r="P107" s="40" t="b">
        <x:v>0</x:v>
      </x:c>
      <x:c r="Q107" s="42" t="str">
        <x:v>current_snapshot_diagnostic_only</x:v>
      </x:c>
      <x:c r="R107" s="42" t="str">
        <x:v>Current-snapshot diagnostic only; not approved forecast evidence.</x:v>
      </x:c>
      <x:c r="S107" s="43" t="n">
        <x:v>2023</x:v>
      </x:c>
      <x:c r="T107" s="44" t="n">
        <x:v>4290</x:v>
      </x:c>
      <x:c r="U107" s="44" t="n">
        <x:v>3615</x:v>
      </x:c>
      <x:c r="V107" s="45" t="n">
        <x:v>0.5426944971537002</x:v>
      </x:c>
      <x:c r="W107" s="45" t="n">
        <x:v>0.4573055028462998</x:v>
      </x:c>
      <x:c r="X107" s="46" t="n">
        <x:v>45338.87657407407</x:v>
      </x:c>
      <x:c r="Y107" s="43" t="str">
        <x:v>https://www.sec.gov/Archives/edgar/data/1559720/000155972024000006/abnb-20231231.htm</x:v>
      </x:c>
    </x:row>
    <x:row r="108">
      <x:c r="A108" s="23" t="n">
        <x:v>17</x:v>
      </x:c>
      <x:c r="B108" s="23" t="str">
        <x:v>ABNB-2024Q4-GUIDE</x:v>
      </x:c>
      <x:c r="C108" s="23" t="str">
        <x:v>2024Q4</x:v>
      </x:c>
      <x:c r="D108" s="23" t="str">
        <x:v>2025Q1</x:v>
      </x:c>
      <x:c r="E108" s="24" t="n">
        <x:v>45701.87684027778</x:v>
      </x:c>
      <x:c r="F108" s="38" t="n">
        <x:v>2250</x:v>
      </x:c>
      <x:c r="G108" s="26" t="n">
        <x:v>0.09756097560975618</x:v>
      </x:c>
      <x:c r="H108" s="26" t="n">
        <x:v>-0.025694838343732096</x:v>
      </x:c>
      <x:c r="I108" s="26" t="str">
        <x:v>EU_PLATFORM_MINUS_TOURISM</x:v>
      </x:c>
      <x:c r="J108" s="26" t="n">
        <x:v>0.1481588919069461</x:v>
      </x:c>
      <x:c r="K108" s="26" t="n">
        <x:v>0.0011123014242944151</x:v>
      </x:c>
      <x:c r="L108" s="23" t="str">
        <x:v>platform:2024-09|tourism:2024-11</x:v>
      </x:c>
      <x:c r="M108" s="39" t="n">
        <x:v>45686</x:v>
      </x:c>
      <x:c r="N108" s="40" t="b">
        <x:v>1</x:v>
      </x:c>
      <x:c r="O108" s="41" t="b">
        <x:v>0</x:v>
      </x:c>
      <x:c r="P108" s="40" t="b">
        <x:v>0</x:v>
      </x:c>
      <x:c r="Q108" s="42" t="str">
        <x:v>current_snapshot_diagnostic_only</x:v>
      </x:c>
      <x:c r="R108" s="42" t="str">
        <x:v>Current-snapshot diagnostic only; not approved forecast evidence.</x:v>
      </x:c>
      <x:c r="S108" s="43" t="n">
        <x:v>2023</x:v>
      </x:c>
      <x:c r="T108" s="44" t="n">
        <x:v>4290</x:v>
      </x:c>
      <x:c r="U108" s="44" t="n">
        <x:v>3615</x:v>
      </x:c>
      <x:c r="V108" s="45" t="n">
        <x:v>0.5426944971537002</x:v>
      </x:c>
      <x:c r="W108" s="45" t="n">
        <x:v>0.4573055028462998</x:v>
      </x:c>
      <x:c r="X108" s="46" t="n">
        <x:v>45338.87657407407</x:v>
      </x:c>
      <x:c r="Y108" s="43" t="str">
        <x:v>https://www.sec.gov/Archives/edgar/data/1559720/000155972024000006/abnb-20231231.htm</x:v>
      </x:c>
    </x:row>
    <x:row r="109">
      <x:c r="A109" s="23" t="n">
        <x:v>18</x:v>
      </x:c>
      <x:c r="B109" s="23" t="str">
        <x:v>ABNB-2025Q1-GUIDE</x:v>
      </x:c>
      <x:c r="C109" s="23" t="str">
        <x:v>2025Q1</x:v>
      </x:c>
      <x:c r="D109" s="23" t="str">
        <x:v>2025Q2</x:v>
      </x:c>
      <x:c r="E109" s="24" t="n">
        <x:v>45778.834328703706</x:v>
      </x:c>
      <x:c r="F109" s="38" t="n">
        <x:v>3020</x:v>
      </x:c>
      <x:c r="G109" s="26" t="n">
        <x:v>0.11439114391143912</x:v>
      </x:c>
      <x:c r="H109" s="26" t="n">
        <x:v>0.016830168301682935</x:v>
      </x:c>
      <x:c r="I109" s="26" t="str">
        <x:v>US_SFO_T3M_YOY</x:v>
      </x:c>
      <x:c r="J109" s="26" t="n">
        <x:v>0.08760940934467532</x:v>
      </x:c>
      <x:c r="K109" s="26" t="n">
        <x:v>0.05641947773882827</x:v>
      </x:c>
      <x:c r="L109" s="23" t="str">
        <x:v>2025-02</x:v>
      </x:c>
      <x:c r="M109" s="39" t="n">
        <x:v>45776</x:v>
      </x:c>
      <x:c r="N109" s="40" t="b">
        <x:v>1</x:v>
      </x:c>
      <x:c r="O109" s="41" t="b">
        <x:v>0</x:v>
      </x:c>
      <x:c r="P109" s="40" t="b">
        <x:v>1</x:v>
      </x:c>
      <x:c r="Q109" s="42" t="str">
        <x:v>current_snapshot_diagnostic_only</x:v>
      </x:c>
      <x:c r="R109" s="42" t="str">
        <x:v>Current-snapshot diagnostic only; not approved forecast evidence.</x:v>
      </x:c>
      <x:c r="S109" s="43" t="n">
        <x:v>2024</x:v>
      </x:c>
      <x:c r="T109" s="44" t="n">
        <x:v>4640</x:v>
      </x:c>
      <x:c r="U109" s="44" t="n">
        <x:v>4135</x:v>
      </x:c>
      <x:c r="V109" s="45" t="n">
        <x:v>0.5287749287749288</x:v>
      </x:c>
      <x:c r="W109" s="45" t="n">
        <x:v>0.47122507122507123</x:v>
      </x:c>
      <x:c r="X109" s="46" t="n">
        <x:v>45701.87810185185</x:v>
      </x:c>
      <x:c r="Y109" s="43" t="str">
        <x:v>https://www.sec.gov/Archives/edgar/data/1559720/000155972025000010/abnb-20241231.htm</x:v>
      </x:c>
    </x:row>
    <x:row r="110">
      <x:c r="A110" s="23" t="n">
        <x:v>18</x:v>
      </x:c>
      <x:c r="B110" s="23" t="str">
        <x:v>ABNB-2025Q1-GUIDE</x:v>
      </x:c>
      <x:c r="C110" s="23" t="str">
        <x:v>2025Q1</x:v>
      </x:c>
      <x:c r="D110" s="23" t="str">
        <x:v>2025Q2</x:v>
      </x:c>
      <x:c r="E110" s="24" t="n">
        <x:v>45778.834328703706</x:v>
      </x:c>
      <x:c r="F110" s="38" t="n">
        <x:v>3020</x:v>
      </x:c>
      <x:c r="G110" s="26" t="n">
        <x:v>0.11439114391143912</x:v>
      </x:c>
      <x:c r="H110" s="26" t="n">
        <x:v>0.016830168301682935</x:v>
      </x:c>
      <x:c r="I110" s="26" t="str">
        <x:v>EU_PLATFORM_T3M_YOY</x:v>
      </x:c>
      <x:c r="J110" s="26" t="n">
        <x:v>0.1738216628561602</x:v>
      </x:c>
      <x:c r="K110" s="26" t="n">
        <x:v>-0.005725765066270538</x:v>
      </x:c>
      <x:c r="L110" s="23" t="str">
        <x:v>2024-12</x:v>
      </x:c>
      <x:c r="M110" s="39" t="n">
        <x:v>45777</x:v>
      </x:c>
      <x:c r="N110" s="40" t="b">
        <x:v>1</x:v>
      </x:c>
      <x:c r="O110" s="41" t="b">
        <x:v>0</x:v>
      </x:c>
      <x:c r="P110" s="40" t="b">
        <x:v>0</x:v>
      </x:c>
      <x:c r="Q110" s="42" t="str">
        <x:v>current_snapshot_diagnostic_only</x:v>
      </x:c>
      <x:c r="R110" s="42" t="str">
        <x:v>Current-snapshot diagnostic only; not approved forecast evidence.</x:v>
      </x:c>
      <x:c r="S110" s="43" t="n">
        <x:v>2024</x:v>
      </x:c>
      <x:c r="T110" s="44" t="n">
        <x:v>4640</x:v>
      </x:c>
      <x:c r="U110" s="44" t="n">
        <x:v>4135</x:v>
      </x:c>
      <x:c r="V110" s="45" t="n">
        <x:v>0.5287749287749288</x:v>
      </x:c>
      <x:c r="W110" s="45" t="n">
        <x:v>0.47122507122507123</x:v>
      </x:c>
      <x:c r="X110" s="46" t="n">
        <x:v>45701.87810185185</x:v>
      </x:c>
      <x:c r="Y110" s="43" t="str">
        <x:v>https://www.sec.gov/Archives/edgar/data/1559720/000155972025000010/abnb-20241231.htm</x:v>
      </x:c>
    </x:row>
    <x:row r="111">
      <x:c r="A111" s="23" t="n">
        <x:v>18</x:v>
      </x:c>
      <x:c r="B111" s="23" t="str">
        <x:v>ABNB-2025Q1-GUIDE</x:v>
      </x:c>
      <x:c r="C111" s="23" t="str">
        <x:v>2025Q1</x:v>
      </x:c>
      <x:c r="D111" s="23" t="str">
        <x:v>2025Q2</x:v>
      </x:c>
      <x:c r="E111" s="24" t="n">
        <x:v>45778.834328703706</x:v>
      </x:c>
      <x:c r="F111" s="38" t="n">
        <x:v>3020</x:v>
      </x:c>
      <x:c r="G111" s="26" t="n">
        <x:v>0.11439114391143912</x:v>
      </x:c>
      <x:c r="H111" s="26" t="n">
        <x:v>0.016830168301682935</x:v>
      </x:c>
      <x:c r="I111" s="26" t="str">
        <x:v>EU_TOURISM_T3M_YOY</x:v>
      </x:c>
      <x:c r="J111" s="26" t="n">
        <x:v>0.02980835793623382</x:v>
      </x:c>
      <x:c r="K111" s="26" t="n">
        <x:v>-0.0015801780792508158</x:v>
      </x:c>
      <x:c r="L111" s="23" t="str">
        <x:v>2025-02</x:v>
      </x:c>
      <x:c r="M111" s="39" t="n">
        <x:v>45776</x:v>
      </x:c>
      <x:c r="N111" s="40" t="b">
        <x:v>1</x:v>
      </x:c>
      <x:c r="O111" s="41" t="b">
        <x:v>0</x:v>
      </x:c>
      <x:c r="P111" s="40" t="b">
        <x:v>0</x:v>
      </x:c>
      <x:c r="Q111" s="42" t="str">
        <x:v>current_snapshot_diagnostic_only</x:v>
      </x:c>
      <x:c r="R111" s="42" t="str">
        <x:v>Current-snapshot diagnostic only; not approved forecast evidence.</x:v>
      </x:c>
      <x:c r="S111" s="43" t="n">
        <x:v>2024</x:v>
      </x:c>
      <x:c r="T111" s="44" t="n">
        <x:v>4640</x:v>
      </x:c>
      <x:c r="U111" s="44" t="n">
        <x:v>4135</x:v>
      </x:c>
      <x:c r="V111" s="45" t="n">
        <x:v>0.5287749287749288</x:v>
      </x:c>
      <x:c r="W111" s="45" t="n">
        <x:v>0.47122507122507123</x:v>
      </x:c>
      <x:c r="X111" s="46" t="n">
        <x:v>45701.87810185185</x:v>
      </x:c>
      <x:c r="Y111" s="43" t="str">
        <x:v>https://www.sec.gov/Archives/edgar/data/1559720/000155972025000010/abnb-20241231.htm</x:v>
      </x:c>
    </x:row>
    <x:row r="112">
      <x:c r="A112" s="23" t="n">
        <x:v>18</x:v>
      </x:c>
      <x:c r="B112" s="23" t="str">
        <x:v>ABNB-2025Q1-GUIDE</x:v>
      </x:c>
      <x:c r="C112" s="23" t="str">
        <x:v>2025Q1</x:v>
      </x:c>
      <x:c r="D112" s="23" t="str">
        <x:v>2025Q2</x:v>
      </x:c>
      <x:c r="E112" s="24" t="n">
        <x:v>45778.834328703706</x:v>
      </x:c>
      <x:c r="F112" s="38" t="n">
        <x:v>3020</x:v>
      </x:c>
      <x:c r="G112" s="26" t="n">
        <x:v>0.11439114391143912</x:v>
      </x:c>
      <x:c r="H112" s="26" t="n">
        <x:v>0.016830168301682935</x:v>
      </x:c>
      <x:c r="I112" s="26" t="str">
        <x:v>US_EU_50_50_COMPOSITE</x:v>
      </x:c>
      <x:c r="J112" s="26" t="n">
        <x:v>0.13071553610041775</x:v>
      </x:c>
      <x:c r="K112" s="26" t="n">
        <x:v>0.025346856336278867</x:v>
      </x:c>
      <x:c r="L112" s="23" t="str">
        <x:v>US:2025-02|EU:2024-12</x:v>
      </x:c>
      <x:c r="M112" s="39" t="n">
        <x:v>45777</x:v>
      </x:c>
      <x:c r="N112" s="40" t="b">
        <x:v>1</x:v>
      </x:c>
      <x:c r="O112" s="41" t="b">
        <x:v>0</x:v>
      </x:c>
      <x:c r="P112" s="40" t="b">
        <x:v>1</x:v>
      </x:c>
      <x:c r="Q112" s="42" t="str">
        <x:v>current_snapshot_diagnostic_only</x:v>
      </x:c>
      <x:c r="R112" s="42" t="str">
        <x:v>Current-snapshot diagnostic only; not approved forecast evidence.</x:v>
      </x:c>
      <x:c r="S112" s="43" t="n">
        <x:v>2024</x:v>
      </x:c>
      <x:c r="T112" s="44" t="n">
        <x:v>4640</x:v>
      </x:c>
      <x:c r="U112" s="44" t="n">
        <x:v>4135</x:v>
      </x:c>
      <x:c r="V112" s="45" t="n">
        <x:v>0.5287749287749288</x:v>
      </x:c>
      <x:c r="W112" s="45" t="n">
        <x:v>0.47122507122507123</x:v>
      </x:c>
      <x:c r="X112" s="46" t="n">
        <x:v>45701.87810185185</x:v>
      </x:c>
      <x:c r="Y112" s="43" t="str">
        <x:v>https://www.sec.gov/Archives/edgar/data/1559720/000155972025000010/abnb-20241231.htm</x:v>
      </x:c>
    </x:row>
    <x:row r="113">
      <x:c r="A113" s="23" t="n">
        <x:v>18</x:v>
      </x:c>
      <x:c r="B113" s="23" t="str">
        <x:v>ABNB-2025Q1-GUIDE</x:v>
      </x:c>
      <x:c r="C113" s="23" t="str">
        <x:v>2025Q1</x:v>
      </x:c>
      <x:c r="D113" s="23" t="str">
        <x:v>2025Q2</x:v>
      </x:c>
      <x:c r="E113" s="24" t="n">
        <x:v>45778.834328703706</x:v>
      </x:c>
      <x:c r="F113" s="38" t="n">
        <x:v>3020</x:v>
      </x:c>
      <x:c r="G113" s="26" t="n">
        <x:v>0.11439114391143912</x:v>
      </x:c>
      <x:c r="H113" s="26" t="n">
        <x:v>0.016830168301682935</x:v>
      </x:c>
      <x:c r="I113" s="26" t="str">
        <x:v>US_EMEA_REVENUE_WEIGHTED_COMPOSITE</x:v>
      </x:c>
      <x:c r="J113" s="26" t="n">
        <x:v>0.12823478464609867</x:v>
      </x:c>
      <x:c r="K113" s="26" t="n">
        <x:v>0.02920015358617825</x:v>
      </x:c>
      <x:c r="L113" s="23" t="str">
        <x:v>US:2025-02|EU:2024-12</x:v>
      </x:c>
      <x:c r="M113" s="39" t="n">
        <x:v>45777</x:v>
      </x:c>
      <x:c r="N113" s="40" t="b">
        <x:v>1</x:v>
      </x:c>
      <x:c r="O113" s="41" t="b">
        <x:v>0</x:v>
      </x:c>
      <x:c r="P113" s="40" t="b">
        <x:v>1</x:v>
      </x:c>
      <x:c r="Q113" s="42" t="str">
        <x:v>current_snapshot_diagnostic_only</x:v>
      </x:c>
      <x:c r="R113" s="42" t="str">
        <x:v>Current-snapshot diagnostic only; not approved forecast evidence.</x:v>
      </x:c>
      <x:c r="S113" s="43" t="n">
        <x:v>2024</x:v>
      </x:c>
      <x:c r="T113" s="44" t="n">
        <x:v>4640</x:v>
      </x:c>
      <x:c r="U113" s="44" t="n">
        <x:v>4135</x:v>
      </x:c>
      <x:c r="V113" s="45" t="n">
        <x:v>0.5287749287749288</x:v>
      </x:c>
      <x:c r="W113" s="45" t="n">
        <x:v>0.47122507122507123</x:v>
      </x:c>
      <x:c r="X113" s="46" t="n">
        <x:v>45701.87810185185</x:v>
      </x:c>
      <x:c r="Y113" s="43" t="str">
        <x:v>https://www.sec.gov/Archives/edgar/data/1559720/000155972025000010/abnb-20241231.htm</x:v>
      </x:c>
    </x:row>
    <x:row r="114">
      <x:c r="A114" s="23" t="n">
        <x:v>18</x:v>
      </x:c>
      <x:c r="B114" s="23" t="str">
        <x:v>ABNB-2025Q1-GUIDE</x:v>
      </x:c>
      <x:c r="C114" s="23" t="str">
        <x:v>2025Q1</x:v>
      </x:c>
      <x:c r="D114" s="23" t="str">
        <x:v>2025Q2</x:v>
      </x:c>
      <x:c r="E114" s="24" t="n">
        <x:v>45778.834328703706</x:v>
      </x:c>
      <x:c r="F114" s="38" t="n">
        <x:v>3020</x:v>
      </x:c>
      <x:c r="G114" s="26" t="n">
        <x:v>0.11439114391143912</x:v>
      </x:c>
      <x:c r="H114" s="26" t="n">
        <x:v>0.016830168301682935</x:v>
      </x:c>
      <x:c r="I114" s="26" t="str">
        <x:v>EU_PLATFORM_MINUS_TOURISM</x:v>
      </x:c>
      <x:c r="J114" s="26" t="n">
        <x:v>0.14401330491992637</x:v>
      </x:c>
      <x:c r="K114" s="26" t="n">
        <x:v>-0.004145586987019723</x:v>
      </x:c>
      <x:c r="L114" s="23" t="str">
        <x:v>platform:2024-12|tourism:2025-02</x:v>
      </x:c>
      <x:c r="M114" s="39" t="n">
        <x:v>45777</x:v>
      </x:c>
      <x:c r="N114" s="40" t="b">
        <x:v>1</x:v>
      </x:c>
      <x:c r="O114" s="41" t="b">
        <x:v>0</x:v>
      </x:c>
      <x:c r="P114" s="40" t="b">
        <x:v>0</x:v>
      </x:c>
      <x:c r="Q114" s="42" t="str">
        <x:v>current_snapshot_diagnostic_only</x:v>
      </x:c>
      <x:c r="R114" s="42" t="str">
        <x:v>Current-snapshot diagnostic only; not approved forecast evidence.</x:v>
      </x:c>
      <x:c r="S114" s="43" t="n">
        <x:v>2024</x:v>
      </x:c>
      <x:c r="T114" s="44" t="n">
        <x:v>4640</x:v>
      </x:c>
      <x:c r="U114" s="44" t="n">
        <x:v>4135</x:v>
      </x:c>
      <x:c r="V114" s="45" t="n">
        <x:v>0.5287749287749288</x:v>
      </x:c>
      <x:c r="W114" s="45" t="n">
        <x:v>0.47122507122507123</x:v>
      </x:c>
      <x:c r="X114" s="46" t="n">
        <x:v>45701.87810185185</x:v>
      </x:c>
      <x:c r="Y114" s="43" t="str">
        <x:v>https://www.sec.gov/Archives/edgar/data/1559720/000155972025000010/abnb-20241231.htm</x:v>
      </x:c>
    </x:row>
    <x:row r="115">
      <x:c r="A115" s="23" t="n">
        <x:v>19</x:v>
      </x:c>
      <x:c r="B115" s="23" t="str">
        <x:v>ABNB-2025Q2-GUIDE</x:v>
      </x:c>
      <x:c r="C115" s="23" t="str">
        <x:v>2025Q2</x:v>
      </x:c>
      <x:c r="D115" s="23" t="str">
        <x:v>2025Q3</x:v>
      </x:c>
      <x:c r="E115" s="24" t="n">
        <x:v>45875.83458333334</x:v>
      </x:c>
      <x:c r="F115" s="38" t="n">
        <x:v>4060</x:v>
      </x:c>
      <x:c r="G115" s="26" t="n">
        <x:v>0.09729729729729719</x:v>
      </x:c>
      <x:c r="H115" s="26" t="n">
        <x:v>-0.017093846614141928</x:v>
      </x:c>
      <x:c r="I115" s="26" t="str">
        <x:v>US_SFO_T3M_YOY</x:v>
      </x:c>
      <x:c r="J115" s="26" t="n">
        <x:v>0.06425482088686896</x:v>
      </x:c>
      <x:c r="K115" s="26" t="n">
        <x:v>-0.023354588457806358</x:v>
      </x:c>
      <x:c r="L115" s="23" t="str">
        <x:v>2025-05</x:v>
      </x:c>
      <x:c r="M115" s="39" t="n">
        <x:v>45868</x:v>
      </x:c>
      <x:c r="N115" s="40" t="b">
        <x:v>1</x:v>
      </x:c>
      <x:c r="O115" s="41" t="b">
        <x:v>0</x:v>
      </x:c>
      <x:c r="P115" s="40" t="b">
        <x:v>1</x:v>
      </x:c>
      <x:c r="Q115" s="42" t="str">
        <x:v>current_snapshot_diagnostic_only</x:v>
      </x:c>
      <x:c r="R115" s="42" t="str">
        <x:v>Current-snapshot diagnostic only; not approved forecast evidence.</x:v>
      </x:c>
      <x:c r="S115" s="43" t="n">
        <x:v>2024</x:v>
      </x:c>
      <x:c r="T115" s="44" t="n">
        <x:v>4640</x:v>
      </x:c>
      <x:c r="U115" s="44" t="n">
        <x:v>4135</x:v>
      </x:c>
      <x:c r="V115" s="45" t="n">
        <x:v>0.5287749287749288</x:v>
      </x:c>
      <x:c r="W115" s="45" t="n">
        <x:v>0.47122507122507123</x:v>
      </x:c>
      <x:c r="X115" s="46" t="n">
        <x:v>45701.87810185185</x:v>
      </x:c>
      <x:c r="Y115" s="43" t="str">
        <x:v>https://www.sec.gov/Archives/edgar/data/1559720/000155972025000010/abnb-20241231.htm</x:v>
      </x:c>
    </x:row>
    <x:row r="116">
      <x:c r="A116" s="23" t="n">
        <x:v>19</x:v>
      </x:c>
      <x:c r="B116" s="23" t="str">
        <x:v>ABNB-2025Q2-GUIDE</x:v>
      </x:c>
      <x:c r="C116" s="23" t="str">
        <x:v>2025Q2</x:v>
      </x:c>
      <x:c r="D116" s="23" t="str">
        <x:v>2025Q3</x:v>
      </x:c>
      <x:c r="E116" s="24" t="n">
        <x:v>45875.83458333334</x:v>
      </x:c>
      <x:c r="F116" s="38" t="n">
        <x:v>4060</x:v>
      </x:c>
      <x:c r="G116" s="26" t="n">
        <x:v>0.09729729729729719</x:v>
      </x:c>
      <x:c r="H116" s="26" t="n">
        <x:v>-0.017093846614141928</x:v>
      </x:c>
      <x:c r="I116" s="26" t="str">
        <x:v>EU_PLATFORM_T3M_YOY</x:v>
      </x:c>
      <x:c r="J116" s="26" t="n">
        <x:v>0.06294209952707974</x:v>
      </x:c>
      <x:c r="K116" s="26" t="n">
        <x:v>-0.11087956332908044</x:v>
      </x:c>
      <x:c r="L116" s="23" t="str">
        <x:v>2025-03</x:v>
      </x:c>
      <x:c r="M116" s="39" t="n">
        <x:v>45867</x:v>
      </x:c>
      <x:c r="N116" s="40" t="b">
        <x:v>1</x:v>
      </x:c>
      <x:c r="O116" s="41" t="b">
        <x:v>0</x:v>
      </x:c>
      <x:c r="P116" s="40" t="b">
        <x:v>1</x:v>
      </x:c>
      <x:c r="Q116" s="42" t="str">
        <x:v>current_snapshot_diagnostic_only</x:v>
      </x:c>
      <x:c r="R116" s="42" t="str">
        <x:v>Current-snapshot diagnostic only; not approved forecast evidence.</x:v>
      </x:c>
      <x:c r="S116" s="43" t="n">
        <x:v>2024</x:v>
      </x:c>
      <x:c r="T116" s="44" t="n">
        <x:v>4640</x:v>
      </x:c>
      <x:c r="U116" s="44" t="n">
        <x:v>4135</x:v>
      </x:c>
      <x:c r="V116" s="45" t="n">
        <x:v>0.5287749287749288</x:v>
      </x:c>
      <x:c r="W116" s="45" t="n">
        <x:v>0.47122507122507123</x:v>
      </x:c>
      <x:c r="X116" s="46" t="n">
        <x:v>45701.87810185185</x:v>
      </x:c>
      <x:c r="Y116" s="43" t="str">
        <x:v>https://www.sec.gov/Archives/edgar/data/1559720/000155972025000010/abnb-20241231.htm</x:v>
      </x:c>
    </x:row>
    <x:row r="117">
      <x:c r="A117" s="23" t="n">
        <x:v>19</x:v>
      </x:c>
      <x:c r="B117" s="23" t="str">
        <x:v>ABNB-2025Q2-GUIDE</x:v>
      </x:c>
      <x:c r="C117" s="23" t="str">
        <x:v>2025Q2</x:v>
      </x:c>
      <x:c r="D117" s="23" t="str">
        <x:v>2025Q3</x:v>
      </x:c>
      <x:c r="E117" s="24" t="n">
        <x:v>45875.83458333334</x:v>
      </x:c>
      <x:c r="F117" s="38" t="n">
        <x:v>4060</x:v>
      </x:c>
      <x:c r="G117" s="26" t="n">
        <x:v>0.09729729729729719</x:v>
      </x:c>
      <x:c r="H117" s="26" t="n">
        <x:v>-0.017093846614141928</x:v>
      </x:c>
      <x:c r="I117" s="26" t="str">
        <x:v>EU_TOURISM_T3M_YOY</x:v>
      </x:c>
      <x:c r="J117" s="26" t="n">
        <x:v>0.02352908554152444</x:v>
      </x:c>
      <x:c r="K117" s="26" t="n">
        <x:v>-0.006279272394709379</x:v>
      </x:c>
      <x:c r="L117" s="23" t="str">
        <x:v>2025-05</x:v>
      </x:c>
      <x:c r="M117" s="39" t="n">
        <x:v>45868</x:v>
      </x:c>
      <x:c r="N117" s="40" t="b">
        <x:v>1</x:v>
      </x:c>
      <x:c r="O117" s="41" t="b">
        <x:v>0</x:v>
      </x:c>
      <x:c r="P117" s="40" t="b">
        <x:v>1</x:v>
      </x:c>
      <x:c r="Q117" s="42" t="str">
        <x:v>current_snapshot_diagnostic_only</x:v>
      </x:c>
      <x:c r="R117" s="42" t="str">
        <x:v>Current-snapshot diagnostic only; not approved forecast evidence.</x:v>
      </x:c>
      <x:c r="S117" s="43" t="n">
        <x:v>2024</x:v>
      </x:c>
      <x:c r="T117" s="44" t="n">
        <x:v>4640</x:v>
      </x:c>
      <x:c r="U117" s="44" t="n">
        <x:v>4135</x:v>
      </x:c>
      <x:c r="V117" s="45" t="n">
        <x:v>0.5287749287749288</x:v>
      </x:c>
      <x:c r="W117" s="45" t="n">
        <x:v>0.47122507122507123</x:v>
      </x:c>
      <x:c r="X117" s="46" t="n">
        <x:v>45701.87810185185</x:v>
      </x:c>
      <x:c r="Y117" s="43" t="str">
        <x:v>https://www.sec.gov/Archives/edgar/data/1559720/000155972025000010/abnb-20241231.htm</x:v>
      </x:c>
    </x:row>
    <x:row r="118">
      <x:c r="A118" s="23" t="n">
        <x:v>19</x:v>
      </x:c>
      <x:c r="B118" s="23" t="str">
        <x:v>ABNB-2025Q2-GUIDE</x:v>
      </x:c>
      <x:c r="C118" s="23" t="str">
        <x:v>2025Q2</x:v>
      </x:c>
      <x:c r="D118" s="23" t="str">
        <x:v>2025Q3</x:v>
      </x:c>
      <x:c r="E118" s="24" t="n">
        <x:v>45875.83458333334</x:v>
      </x:c>
      <x:c r="F118" s="38" t="n">
        <x:v>4060</x:v>
      </x:c>
      <x:c r="G118" s="26" t="n">
        <x:v>0.09729729729729719</x:v>
      </x:c>
      <x:c r="H118" s="26" t="n">
        <x:v>-0.017093846614141928</x:v>
      </x:c>
      <x:c r="I118" s="26" t="str">
        <x:v>US_EU_50_50_COMPOSITE</x:v>
      </x:c>
      <x:c r="J118" s="26" t="n">
        <x:v>0.06359846020697435</x:v>
      </x:c>
      <x:c r="K118" s="26" t="n">
        <x:v>-0.0671170758934434</x:v>
      </x:c>
      <x:c r="L118" s="23" t="str">
        <x:v>US:2025-05|EU:2025-03</x:v>
      </x:c>
      <x:c r="M118" s="39" t="n">
        <x:v>45868</x:v>
      </x:c>
      <x:c r="N118" s="40" t="b">
        <x:v>1</x:v>
      </x:c>
      <x:c r="O118" s="41" t="b">
        <x:v>0</x:v>
      </x:c>
      <x:c r="P118" s="40" t="b">
        <x:v>1</x:v>
      </x:c>
      <x:c r="Q118" s="42" t="str">
        <x:v>current_snapshot_diagnostic_only</x:v>
      </x:c>
      <x:c r="R118" s="42" t="str">
        <x:v>Current-snapshot diagnostic only; not approved forecast evidence.</x:v>
      </x:c>
      <x:c r="S118" s="43" t="n">
        <x:v>2024</x:v>
      </x:c>
      <x:c r="T118" s="44" t="n">
        <x:v>4640</x:v>
      </x:c>
      <x:c r="U118" s="44" t="n">
        <x:v>4135</x:v>
      </x:c>
      <x:c r="V118" s="45" t="n">
        <x:v>0.5287749287749288</x:v>
      </x:c>
      <x:c r="W118" s="45" t="n">
        <x:v>0.47122507122507123</x:v>
      </x:c>
      <x:c r="X118" s="46" t="n">
        <x:v>45701.87810185185</x:v>
      </x:c>
      <x:c r="Y118" s="43" t="str">
        <x:v>https://www.sec.gov/Archives/edgar/data/1559720/000155972025000010/abnb-20241231.htm</x:v>
      </x:c>
    </x:row>
    <x:row r="119">
      <x:c r="A119" s="23" t="n">
        <x:v>19</x:v>
      </x:c>
      <x:c r="B119" s="23" t="str">
        <x:v>ABNB-2025Q2-GUIDE</x:v>
      </x:c>
      <x:c r="C119" s="23" t="str">
        <x:v>2025Q2</x:v>
      </x:c>
      <x:c r="D119" s="23" t="str">
        <x:v>2025Q3</x:v>
      </x:c>
      <x:c r="E119" s="24" t="n">
        <x:v>45875.83458333334</x:v>
      </x:c>
      <x:c r="F119" s="38" t="n">
        <x:v>4060</x:v>
      </x:c>
      <x:c r="G119" s="26" t="n">
        <x:v>0.09729729729729719</x:v>
      </x:c>
      <x:c r="H119" s="26" t="n">
        <x:v>-0.017093846614141928</x:v>
      </x:c>
      <x:c r="I119" s="26" t="str">
        <x:v>US_EMEA_REVENUE_WEIGHTED_COMPOSITE</x:v>
      </x:c>
      <x:c r="J119" s="26" t="n">
        <x:v>0.06363623367060361</x:v>
      </x:c>
      <x:c r="K119" s="26" t="n">
        <x:v>-0.06459855097549505</x:v>
      </x:c>
      <x:c r="L119" s="23" t="str">
        <x:v>US:2025-05|EU:2025-03</x:v>
      </x:c>
      <x:c r="M119" s="39" t="n">
        <x:v>45868</x:v>
      </x:c>
      <x:c r="N119" s="40" t="b">
        <x:v>1</x:v>
      </x:c>
      <x:c r="O119" s="41" t="b">
        <x:v>0</x:v>
      </x:c>
      <x:c r="P119" s="40" t="b">
        <x:v>1</x:v>
      </x:c>
      <x:c r="Q119" s="42" t="str">
        <x:v>current_snapshot_diagnostic_only</x:v>
      </x:c>
      <x:c r="R119" s="42" t="str">
        <x:v>Current-snapshot diagnostic only; not approved forecast evidence.</x:v>
      </x:c>
      <x:c r="S119" s="43" t="n">
        <x:v>2024</x:v>
      </x:c>
      <x:c r="T119" s="44" t="n">
        <x:v>4640</x:v>
      </x:c>
      <x:c r="U119" s="44" t="n">
        <x:v>4135</x:v>
      </x:c>
      <x:c r="V119" s="45" t="n">
        <x:v>0.5287749287749288</x:v>
      </x:c>
      <x:c r="W119" s="45" t="n">
        <x:v>0.47122507122507123</x:v>
      </x:c>
      <x:c r="X119" s="46" t="n">
        <x:v>45701.87810185185</x:v>
      </x:c>
      <x:c r="Y119" s="43" t="str">
        <x:v>https://www.sec.gov/Archives/edgar/data/1559720/000155972025000010/abnb-20241231.htm</x:v>
      </x:c>
    </x:row>
    <x:row r="120">
      <x:c r="A120" s="23" t="n">
        <x:v>19</x:v>
      </x:c>
      <x:c r="B120" s="23" t="str">
        <x:v>ABNB-2025Q2-GUIDE</x:v>
      </x:c>
      <x:c r="C120" s="23" t="str">
        <x:v>2025Q2</x:v>
      </x:c>
      <x:c r="D120" s="23" t="str">
        <x:v>2025Q3</x:v>
      </x:c>
      <x:c r="E120" s="24" t="n">
        <x:v>45875.83458333334</x:v>
      </x:c>
      <x:c r="F120" s="38" t="n">
        <x:v>4060</x:v>
      </x:c>
      <x:c r="G120" s="26" t="n">
        <x:v>0.09729729729729719</x:v>
      </x:c>
      <x:c r="H120" s="26" t="n">
        <x:v>-0.017093846614141928</x:v>
      </x:c>
      <x:c r="I120" s="26" t="str">
        <x:v>EU_PLATFORM_MINUS_TOURISM</x:v>
      </x:c>
      <x:c r="J120" s="26" t="n">
        <x:v>0.0394130139855553</x:v>
      </x:c>
      <x:c r="K120" s="26" t="n">
        <x:v>-0.10460029093437107</x:v>
      </x:c>
      <x:c r="L120" s="23" t="str">
        <x:v>platform:2025-03|tourism:2025-05</x:v>
      </x:c>
      <x:c r="M120" s="39" t="n">
        <x:v>45868</x:v>
      </x:c>
      <x:c r="N120" s="40" t="b">
        <x:v>1</x:v>
      </x:c>
      <x:c r="O120" s="41" t="b">
        <x:v>0</x:v>
      </x:c>
      <x:c r="P120" s="40" t="b">
        <x:v>1</x:v>
      </x:c>
      <x:c r="Q120" s="42" t="str">
        <x:v>current_snapshot_diagnostic_only</x:v>
      </x:c>
      <x:c r="R120" s="42" t="str">
        <x:v>Current-snapshot diagnostic only; not approved forecast evidence.</x:v>
      </x:c>
      <x:c r="S120" s="43" t="n">
        <x:v>2024</x:v>
      </x:c>
      <x:c r="T120" s="44" t="n">
        <x:v>4640</x:v>
      </x:c>
      <x:c r="U120" s="44" t="n">
        <x:v>4135</x:v>
      </x:c>
      <x:c r="V120" s="45" t="n">
        <x:v>0.5287749287749288</x:v>
      </x:c>
      <x:c r="W120" s="45" t="n">
        <x:v>0.47122507122507123</x:v>
      </x:c>
      <x:c r="X120" s="46" t="n">
        <x:v>45701.87810185185</x:v>
      </x:c>
      <x:c r="Y120" s="43" t="str">
        <x:v>https://www.sec.gov/Archives/edgar/data/1559720/000155972025000010/abnb-20241231.htm</x:v>
      </x:c>
    </x:row>
    <x:row r="121">
      <x:c r="A121" s="23" t="n">
        <x:v>20</x:v>
      </x:c>
      <x:c r="B121" s="23" t="str">
        <x:v>ABNB-2025Q3-GUIDE</x:v>
      </x:c>
      <x:c r="C121" s="23" t="str">
        <x:v>2025Q3</x:v>
      </x:c>
      <x:c r="D121" s="23" t="str">
        <x:v>2025Q4</x:v>
      </x:c>
      <x:c r="E121" s="24" t="n">
        <x:v>45967.8755787037</x:v>
      </x:c>
      <x:c r="F121" s="38" t="n">
        <x:v>2690</x:v>
      </x:c>
      <x:c r="G121" s="26" t="n">
        <x:v>0.11387163561076608</x:v>
      </x:c>
      <x:c r="H121" s="26" t="n">
        <x:v>0.016574338313468884</x:v>
      </x:c>
      <x:c r="I121" s="26" t="str">
        <x:v>US_SFO_T3M_YOY</x:v>
      </x:c>
      <x:c r="J121" s="26" t="n">
        <x:v>0.04868571404892075</x:v>
      </x:c>
      <x:c r="K121" s="26" t="n">
        <x:v>-0.01556910683794821</x:v>
      </x:c>
      <x:c r="L121" s="23" t="str">
        <x:v>2025-08</x:v>
      </x:c>
      <x:c r="M121" s="39" t="n">
        <x:v>45960</x:v>
      </x:c>
      <x:c r="N121" s="40" t="b">
        <x:v>1</x:v>
      </x:c>
      <x:c r="O121" s="41" t="b">
        <x:v>0</x:v>
      </x:c>
      <x:c r="P121" s="40" t="b">
        <x:v>0</x:v>
      </x:c>
      <x:c r="Q121" s="42" t="str">
        <x:v>current_snapshot_diagnostic_only</x:v>
      </x:c>
      <x:c r="R121" s="42" t="str">
        <x:v>Current-snapshot diagnostic only; not approved forecast evidence.</x:v>
      </x:c>
      <x:c r="S121" s="43" t="n">
        <x:v>2024</x:v>
      </x:c>
      <x:c r="T121" s="44" t="n">
        <x:v>4640</x:v>
      </x:c>
      <x:c r="U121" s="44" t="n">
        <x:v>4135</x:v>
      </x:c>
      <x:c r="V121" s="45" t="n">
        <x:v>0.5287749287749288</x:v>
      </x:c>
      <x:c r="W121" s="45" t="n">
        <x:v>0.47122507122507123</x:v>
      </x:c>
      <x:c r="X121" s="46" t="n">
        <x:v>45701.87810185185</x:v>
      </x:c>
      <x:c r="Y121" s="43" t="str">
        <x:v>https://www.sec.gov/Archives/edgar/data/1559720/000155972025000010/abnb-20241231.htm</x:v>
      </x:c>
    </x:row>
    <x:row r="122">
      <x:c r="A122" s="23" t="n">
        <x:v>20</x:v>
      </x:c>
      <x:c r="B122" s="23" t="str">
        <x:v>ABNB-2025Q3-GUIDE</x:v>
      </x:c>
      <x:c r="C122" s="23" t="str">
        <x:v>2025Q3</x:v>
      </x:c>
      <x:c r="D122" s="23" t="str">
        <x:v>2025Q4</x:v>
      </x:c>
      <x:c r="E122" s="24" t="n">
        <x:v>45967.8755787037</x:v>
      </x:c>
      <x:c r="F122" s="38" t="n">
        <x:v>2690</x:v>
      </x:c>
      <x:c r="G122" s="26" t="n">
        <x:v>0.11387163561076608</x:v>
      </x:c>
      <x:c r="H122" s="26" t="n">
        <x:v>0.016574338313468884</x:v>
      </x:c>
      <x:c r="I122" s="26" t="str">
        <x:v>EU_PLATFORM_T3M_YOY</x:v>
      </x:c>
      <x:c r="J122" s="26" t="n">
        <x:v>0.1764757000375028</x:v>
      </x:c>
      <x:c r="K122" s="26" t="n">
        <x:v>0.11353360051042305</x:v>
      </x:c>
      <x:c r="L122" s="23" t="str">
        <x:v>2025-06</x:v>
      </x:c>
      <x:c r="M122" s="39" t="n">
        <x:v>45958</x:v>
      </x:c>
      <x:c r="N122" s="40" t="b">
        <x:v>1</x:v>
      </x:c>
      <x:c r="O122" s="41" t="b">
        <x:v>0</x:v>
      </x:c>
      <x:c r="P122" s="40" t="b">
        <x:v>1</x:v>
      </x:c>
      <x:c r="Q122" s="42" t="str">
        <x:v>current_snapshot_diagnostic_only</x:v>
      </x:c>
      <x:c r="R122" s="42" t="str">
        <x:v>Current-snapshot diagnostic only; not approved forecast evidence.</x:v>
      </x:c>
      <x:c r="S122" s="43" t="n">
        <x:v>2024</x:v>
      </x:c>
      <x:c r="T122" s="44" t="n">
        <x:v>4640</x:v>
      </x:c>
      <x:c r="U122" s="44" t="n">
        <x:v>4135</x:v>
      </x:c>
      <x:c r="V122" s="45" t="n">
        <x:v>0.5287749287749288</x:v>
      </x:c>
      <x:c r="W122" s="45" t="n">
        <x:v>0.47122507122507123</x:v>
      </x:c>
      <x:c r="X122" s="46" t="n">
        <x:v>45701.87810185185</x:v>
      </x:c>
      <x:c r="Y122" s="43" t="str">
        <x:v>https://www.sec.gov/Archives/edgar/data/1559720/000155972025000010/abnb-20241231.htm</x:v>
      </x:c>
    </x:row>
    <x:row r="123">
      <x:c r="A123" s="23" t="n">
        <x:v>20</x:v>
      </x:c>
      <x:c r="B123" s="23" t="str">
        <x:v>ABNB-2025Q3-GUIDE</x:v>
      </x:c>
      <x:c r="C123" s="23" t="str">
        <x:v>2025Q3</x:v>
      </x:c>
      <x:c r="D123" s="23" t="str">
        <x:v>2025Q4</x:v>
      </x:c>
      <x:c r="E123" s="24" t="n">
        <x:v>45967.8755787037</x:v>
      </x:c>
      <x:c r="F123" s="38" t="n">
        <x:v>2690</x:v>
      </x:c>
      <x:c r="G123" s="26" t="n">
        <x:v>0.11387163561076608</x:v>
      </x:c>
      <x:c r="H123" s="26" t="n">
        <x:v>0.016574338313468884</x:v>
      </x:c>
      <x:c r="I123" s="26" t="str">
        <x:v>EU_TOURISM_T3M_YOY</x:v>
      </x:c>
      <x:c r="J123" s="26" t="n">
        <x:v>0.04913733186636371</x:v>
      </x:c>
      <x:c r="K123" s="26" t="n">
        <x:v>0.025608246324839268</x:v>
      </x:c>
      <x:c r="L123" s="23" t="str">
        <x:v>2025-08</x:v>
      </x:c>
      <x:c r="M123" s="39" t="n">
        <x:v>45960</x:v>
      </x:c>
      <x:c r="N123" s="40" t="b">
        <x:v>1</x:v>
      </x:c>
      <x:c r="O123" s="41" t="b">
        <x:v>0</x:v>
      </x:c>
      <x:c r="P123" s="40" t="b">
        <x:v>1</x:v>
      </x:c>
      <x:c r="Q123" s="42" t="str">
        <x:v>current_snapshot_diagnostic_only</x:v>
      </x:c>
      <x:c r="R123" s="42" t="str">
        <x:v>Current-snapshot diagnostic only; not approved forecast evidence.</x:v>
      </x:c>
      <x:c r="S123" s="43" t="n">
        <x:v>2024</x:v>
      </x:c>
      <x:c r="T123" s="44" t="n">
        <x:v>4640</x:v>
      </x:c>
      <x:c r="U123" s="44" t="n">
        <x:v>4135</x:v>
      </x:c>
      <x:c r="V123" s="45" t="n">
        <x:v>0.5287749287749288</x:v>
      </x:c>
      <x:c r="W123" s="45" t="n">
        <x:v>0.47122507122507123</x:v>
      </x:c>
      <x:c r="X123" s="46" t="n">
        <x:v>45701.87810185185</x:v>
      </x:c>
      <x:c r="Y123" s="43" t="str">
        <x:v>https://www.sec.gov/Archives/edgar/data/1559720/000155972025000010/abnb-20241231.htm</x:v>
      </x:c>
    </x:row>
    <x:row r="124">
      <x:c r="A124" s="23" t="n">
        <x:v>20</x:v>
      </x:c>
      <x:c r="B124" s="23" t="str">
        <x:v>ABNB-2025Q3-GUIDE</x:v>
      </x:c>
      <x:c r="C124" s="23" t="str">
        <x:v>2025Q3</x:v>
      </x:c>
      <x:c r="D124" s="23" t="str">
        <x:v>2025Q4</x:v>
      </x:c>
      <x:c r="E124" s="24" t="n">
        <x:v>45967.8755787037</x:v>
      </x:c>
      <x:c r="F124" s="38" t="n">
        <x:v>2690</x:v>
      </x:c>
      <x:c r="G124" s="26" t="n">
        <x:v>0.11387163561076608</x:v>
      </x:c>
      <x:c r="H124" s="26" t="n">
        <x:v>0.016574338313468884</x:v>
      </x:c>
      <x:c r="I124" s="26" t="str">
        <x:v>US_EU_50_50_COMPOSITE</x:v>
      </x:c>
      <x:c r="J124" s="26" t="n">
        <x:v>0.11258070704321177</x:v>
      </x:c>
      <x:c r="K124" s="26" t="n">
        <x:v>0.04898224683623742</x:v>
      </x:c>
      <x:c r="L124" s="23" t="str">
        <x:v>US:2025-08|EU:2025-06</x:v>
      </x:c>
      <x:c r="M124" s="39" t="n">
        <x:v>45960</x:v>
      </x:c>
      <x:c r="N124" s="40" t="b">
        <x:v>1</x:v>
      </x:c>
      <x:c r="O124" s="41" t="b">
        <x:v>0</x:v>
      </x:c>
      <x:c r="P124" s="40" t="b">
        <x:v>1</x:v>
      </x:c>
      <x:c r="Q124" s="42" t="str">
        <x:v>current_snapshot_diagnostic_only</x:v>
      </x:c>
      <x:c r="R124" s="42" t="str">
        <x:v>Current-snapshot diagnostic only; not approved forecast evidence.</x:v>
      </x:c>
      <x:c r="S124" s="43" t="n">
        <x:v>2024</x:v>
      </x:c>
      <x:c r="T124" s="44" t="n">
        <x:v>4640</x:v>
      </x:c>
      <x:c r="U124" s="44" t="n">
        <x:v>4135</x:v>
      </x:c>
      <x:c r="V124" s="45" t="n">
        <x:v>0.5287749287749288</x:v>
      </x:c>
      <x:c r="W124" s="45" t="n">
        <x:v>0.47122507122507123</x:v>
      </x:c>
      <x:c r="X124" s="46" t="n">
        <x:v>45701.87810185185</x:v>
      </x:c>
      <x:c r="Y124" s="43" t="str">
        <x:v>https://www.sec.gov/Archives/edgar/data/1559720/000155972025000010/abnb-20241231.htm</x:v>
      </x:c>
    </x:row>
    <x:row r="125">
      <x:c r="A125" s="23" t="n">
        <x:v>20</x:v>
      </x:c>
      <x:c r="B125" s="23" t="str">
        <x:v>ABNB-2025Q3-GUIDE</x:v>
      </x:c>
      <x:c r="C125" s="23" t="str">
        <x:v>2025Q3</x:v>
      </x:c>
      <x:c r="D125" s="23" t="str">
        <x:v>2025Q4</x:v>
      </x:c>
      <x:c r="E125" s="24" t="n">
        <x:v>45967.8755787037</x:v>
      </x:c>
      <x:c r="F125" s="38" t="n">
        <x:v>2690</x:v>
      </x:c>
      <x:c r="G125" s="26" t="n">
        <x:v>0.11387163561076608</x:v>
      </x:c>
      <x:c r="H125" s="26" t="n">
        <x:v>0.016574338313468884</x:v>
      </x:c>
      <x:c r="I125" s="26" t="str">
        <x:v>US_EMEA_REVENUE_WEIGHTED_COMPOSITE</x:v>
      </x:c>
      <x:c r="J125" s="26" t="n">
        <x:v>0.10890355929824118</x:v>
      </x:c>
      <x:c r="K125" s="26" t="n">
        <x:v>0.045267325627637564</x:v>
      </x:c>
      <x:c r="L125" s="23" t="str">
        <x:v>US:2025-08|EU:2025-06</x:v>
      </x:c>
      <x:c r="M125" s="39" t="n">
        <x:v>45960</x:v>
      </x:c>
      <x:c r="N125" s="40" t="b">
        <x:v>1</x:v>
      </x:c>
      <x:c r="O125" s="41" t="b">
        <x:v>0</x:v>
      </x:c>
      <x:c r="P125" s="40" t="b">
        <x:v>1</x:v>
      </x:c>
      <x:c r="Q125" s="42" t="str">
        <x:v>current_snapshot_diagnostic_only</x:v>
      </x:c>
      <x:c r="R125" s="42" t="str">
        <x:v>Current-snapshot diagnostic only; not approved forecast evidence.</x:v>
      </x:c>
      <x:c r="S125" s="43" t="n">
        <x:v>2024</x:v>
      </x:c>
      <x:c r="T125" s="44" t="n">
        <x:v>4640</x:v>
      </x:c>
      <x:c r="U125" s="44" t="n">
        <x:v>4135</x:v>
      </x:c>
      <x:c r="V125" s="45" t="n">
        <x:v>0.5287749287749288</x:v>
      </x:c>
      <x:c r="W125" s="45" t="n">
        <x:v>0.47122507122507123</x:v>
      </x:c>
      <x:c r="X125" s="46" t="n">
        <x:v>45701.87810185185</x:v>
      </x:c>
      <x:c r="Y125" s="43" t="str">
        <x:v>https://www.sec.gov/Archives/edgar/data/1559720/000155972025000010/abnb-20241231.htm</x:v>
      </x:c>
    </x:row>
    <x:row r="126">
      <x:c r="A126" s="23" t="n">
        <x:v>20</x:v>
      </x:c>
      <x:c r="B126" s="23" t="str">
        <x:v>ABNB-2025Q3-GUIDE</x:v>
      </x:c>
      <x:c r="C126" s="23" t="str">
        <x:v>2025Q3</x:v>
      </x:c>
      <x:c r="D126" s="23" t="str">
        <x:v>2025Q4</x:v>
      </x:c>
      <x:c r="E126" s="24" t="n">
        <x:v>45967.8755787037</x:v>
      </x:c>
      <x:c r="F126" s="38" t="n">
        <x:v>2690</x:v>
      </x:c>
      <x:c r="G126" s="26" t="n">
        <x:v>0.11387163561076608</x:v>
      </x:c>
      <x:c r="H126" s="26" t="n">
        <x:v>0.016574338313468884</x:v>
      </x:c>
      <x:c r="I126" s="26" t="str">
        <x:v>EU_PLATFORM_MINUS_TOURISM</x:v>
      </x:c>
      <x:c r="J126" s="26" t="n">
        <x:v>0.12733836817113908</x:v>
      </x:c>
      <x:c r="K126" s="26" t="n">
        <x:v>0.08792535418558378</x:v>
      </x:c>
      <x:c r="L126" s="23" t="str">
        <x:v>platform:2025-06|tourism:2025-08</x:v>
      </x:c>
      <x:c r="M126" s="39" t="n">
        <x:v>45960</x:v>
      </x:c>
      <x:c r="N126" s="40" t="b">
        <x:v>1</x:v>
      </x:c>
      <x:c r="O126" s="41" t="b">
        <x:v>0</x:v>
      </x:c>
      <x:c r="P126" s="40" t="b">
        <x:v>1</x:v>
      </x:c>
      <x:c r="Q126" s="42" t="str">
        <x:v>current_snapshot_diagnostic_only</x:v>
      </x:c>
      <x:c r="R126" s="42" t="str">
        <x:v>Current-snapshot diagnostic only; not approved forecast evidence.</x:v>
      </x:c>
      <x:c r="S126" s="43" t="n">
        <x:v>2024</x:v>
      </x:c>
      <x:c r="T126" s="44" t="n">
        <x:v>4640</x:v>
      </x:c>
      <x:c r="U126" s="44" t="n">
        <x:v>4135</x:v>
      </x:c>
      <x:c r="V126" s="45" t="n">
        <x:v>0.5287749287749288</x:v>
      </x:c>
      <x:c r="W126" s="45" t="n">
        <x:v>0.47122507122507123</x:v>
      </x:c>
      <x:c r="X126" s="46" t="n">
        <x:v>45701.87810185185</x:v>
      </x:c>
      <x:c r="Y126" s="43" t="str">
        <x:v>https://www.sec.gov/Archives/edgar/data/1559720/000155972025000010/abnb-20241231.htm</x:v>
      </x:c>
    </x:row>
    <x:row r="127">
      <x:c r="A127" s="23" t="n">
        <x:v>21</x:v>
      </x:c>
      <x:c r="B127" s="23" t="str">
        <x:v>ABNB-2025Q4-GUIDE</x:v>
      </x:c>
      <x:c r="C127" s="23" t="str">
        <x:v>2025Q4</x:v>
      </x:c>
      <x:c r="D127" s="23" t="str">
        <x:v>2026Q1</x:v>
      </x:c>
      <x:c r="E127" s="24" t="n">
        <x:v>46065.87634259259</x:v>
      </x:c>
      <x:c r="F127" s="38" t="n">
        <x:v>2610</x:v>
      </x:c>
      <x:c r="G127" s="26" t="n">
        <x:v>0.15999999999999992</x:v>
      </x:c>
      <x:c r="H127" s="26" t="n">
        <x:v>0.046128364389233845</x:v>
      </x:c>
      <x:c r="I127" s="26" t="str">
        <x:v>US_SFO_T3M_YOY</x:v>
      </x:c>
      <x:c r="J127" s="26" t="n">
        <x:v>0.015529226464800372</x:v>
      </x:c>
      <x:c r="K127" s="26" t="n">
        <x:v>-0.033156487584120375</x:v>
      </x:c>
      <x:c r="L127" s="23" t="str">
        <x:v>2025-11</x:v>
      </x:c>
      <x:c r="M127" s="39" t="n">
        <x:v>46051</x:v>
      </x:c>
      <x:c r="N127" s="40" t="b">
        <x:v>1</x:v>
      </x:c>
      <x:c r="O127" s="41" t="b">
        <x:v>0</x:v>
      </x:c>
      <x:c r="P127" s="40" t="b">
        <x:v>0</x:v>
      </x:c>
      <x:c r="Q127" s="42" t="str">
        <x:v>current_snapshot_diagnostic_only</x:v>
      </x:c>
      <x:c r="R127" s="42" t="str">
        <x:v>Current-snapshot diagnostic only; not approved forecast evidence.</x:v>
      </x:c>
      <x:c r="S127" s="43" t="n">
        <x:v>2024</x:v>
      </x:c>
      <x:c r="T127" s="44" t="n">
        <x:v>4640</x:v>
      </x:c>
      <x:c r="U127" s="44" t="n">
        <x:v>4135</x:v>
      </x:c>
      <x:c r="V127" s="45" t="n">
        <x:v>0.5287749287749288</x:v>
      </x:c>
      <x:c r="W127" s="45" t="n">
        <x:v>0.47122507122507123</x:v>
      </x:c>
      <x:c r="X127" s="46" t="n">
        <x:v>45701.87810185185</x:v>
      </x:c>
      <x:c r="Y127" s="43" t="str">
        <x:v>https://www.sec.gov/Archives/edgar/data/1559720/000155972025000010/abnb-20241231.htm</x:v>
      </x:c>
    </x:row>
    <x:row r="128">
      <x:c r="A128" s="23" t="n">
        <x:v>21</x:v>
      </x:c>
      <x:c r="B128" s="23" t="str">
        <x:v>ABNB-2025Q4-GUIDE</x:v>
      </x:c>
      <x:c r="C128" s="23" t="str">
        <x:v>2025Q4</x:v>
      </x:c>
      <x:c r="D128" s="23" t="str">
        <x:v>2026Q1</x:v>
      </x:c>
      <x:c r="E128" s="24" t="n">
        <x:v>46065.87634259259</x:v>
      </x:c>
      <x:c r="F128" s="38" t="n">
        <x:v>2610</x:v>
      </x:c>
      <x:c r="G128" s="26" t="n">
        <x:v>0.15999999999999992</x:v>
      </x:c>
      <x:c r="H128" s="26" t="n">
        <x:v>0.046128364389233845</x:v>
      </x:c>
      <x:c r="I128" s="26" t="str">
        <x:v>EU_PLATFORM_T3M_YOY</x:v>
      </x:c>
      <x:c r="J128" s="26" t="n">
        <x:v>0.09813597708420385</x:v>
      </x:c>
      <x:c r="K128" s="26" t="n">
        <x:v>-0.07833972295329894</x:v>
      </x:c>
      <x:c r="L128" s="23" t="str">
        <x:v>2025-09</x:v>
      </x:c>
      <x:c r="M128" s="39" t="n">
        <x:v>46050</x:v>
      </x:c>
      <x:c r="N128" s="40" t="b">
        <x:v>1</x:v>
      </x:c>
      <x:c r="O128" s="41" t="b">
        <x:v>0</x:v>
      </x:c>
      <x:c r="P128" s="40" t="b">
        <x:v>0</x:v>
      </x:c>
      <x:c r="Q128" s="42" t="str">
        <x:v>current_snapshot_diagnostic_only</x:v>
      </x:c>
      <x:c r="R128" s="42" t="str">
        <x:v>Current-snapshot diagnostic only; not approved forecast evidence.</x:v>
      </x:c>
      <x:c r="S128" s="43" t="n">
        <x:v>2024</x:v>
      </x:c>
      <x:c r="T128" s="44" t="n">
        <x:v>4640</x:v>
      </x:c>
      <x:c r="U128" s="44" t="n">
        <x:v>4135</x:v>
      </x:c>
      <x:c r="V128" s="45" t="n">
        <x:v>0.5287749287749288</x:v>
      </x:c>
      <x:c r="W128" s="45" t="n">
        <x:v>0.47122507122507123</x:v>
      </x:c>
      <x:c r="X128" s="46" t="n">
        <x:v>45701.87810185185</x:v>
      </x:c>
      <x:c r="Y128" s="43" t="str">
        <x:v>https://www.sec.gov/Archives/edgar/data/1559720/000155972025000010/abnb-20241231.htm</x:v>
      </x:c>
    </x:row>
    <x:row r="129">
      <x:c r="A129" s="23" t="n">
        <x:v>21</x:v>
      </x:c>
      <x:c r="B129" s="23" t="str">
        <x:v>ABNB-2025Q4-GUIDE</x:v>
      </x:c>
      <x:c r="C129" s="23" t="str">
        <x:v>2025Q4</x:v>
      </x:c>
      <x:c r="D129" s="23" t="str">
        <x:v>2026Q1</x:v>
      </x:c>
      <x:c r="E129" s="24" t="n">
        <x:v>46065.87634259259</x:v>
      </x:c>
      <x:c r="F129" s="38" t="n">
        <x:v>2610</x:v>
      </x:c>
      <x:c r="G129" s="26" t="n">
        <x:v>0.15999999999999992</x:v>
      </x:c>
      <x:c r="H129" s="26" t="n">
        <x:v>0.046128364389233845</x:v>
      </x:c>
      <x:c r="I129" s="26" t="str">
        <x:v>EU_TOURISM_T3M_YOY</x:v>
      </x:c>
      <x:c r="J129" s="26" t="n">
        <x:v>0.03989153416984714</x:v>
      </x:c>
      <x:c r="K129" s="26" t="n">
        <x:v>-0.009245797696516567</x:v>
      </x:c>
      <x:c r="L129" s="23" t="str">
        <x:v>2025-11</x:v>
      </x:c>
      <x:c r="M129" s="39" t="n">
        <x:v>46051</x:v>
      </x:c>
      <x:c r="N129" s="40" t="b">
        <x:v>1</x:v>
      </x:c>
      <x:c r="O129" s="41" t="b">
        <x:v>0</x:v>
      </x:c>
      <x:c r="P129" s="40" t="b">
        <x:v>0</x:v>
      </x:c>
      <x:c r="Q129" s="42" t="str">
        <x:v>current_snapshot_diagnostic_only</x:v>
      </x:c>
      <x:c r="R129" s="42" t="str">
        <x:v>Current-snapshot diagnostic only; not approved forecast evidence.</x:v>
      </x:c>
      <x:c r="S129" s="43" t="n">
        <x:v>2024</x:v>
      </x:c>
      <x:c r="T129" s="44" t="n">
        <x:v>4640</x:v>
      </x:c>
      <x:c r="U129" s="44" t="n">
        <x:v>4135</x:v>
      </x:c>
      <x:c r="V129" s="45" t="n">
        <x:v>0.5287749287749288</x:v>
      </x:c>
      <x:c r="W129" s="45" t="n">
        <x:v>0.47122507122507123</x:v>
      </x:c>
      <x:c r="X129" s="46" t="n">
        <x:v>45701.87810185185</x:v>
      </x:c>
      <x:c r="Y129" s="43" t="str">
        <x:v>https://www.sec.gov/Archives/edgar/data/1559720/000155972025000010/abnb-20241231.htm</x:v>
      </x:c>
    </x:row>
    <x:row r="130">
      <x:c r="A130" s="23" t="n">
        <x:v>21</x:v>
      </x:c>
      <x:c r="B130" s="23" t="str">
        <x:v>ABNB-2025Q4-GUIDE</x:v>
      </x:c>
      <x:c r="C130" s="23" t="str">
        <x:v>2025Q4</x:v>
      </x:c>
      <x:c r="D130" s="23" t="str">
        <x:v>2026Q1</x:v>
      </x:c>
      <x:c r="E130" s="24" t="n">
        <x:v>46065.87634259259</x:v>
      </x:c>
      <x:c r="F130" s="38" t="n">
        <x:v>2610</x:v>
      </x:c>
      <x:c r="G130" s="26" t="n">
        <x:v>0.15999999999999992</x:v>
      </x:c>
      <x:c r="H130" s="26" t="n">
        <x:v>0.046128364389233845</x:v>
      </x:c>
      <x:c r="I130" s="26" t="str">
        <x:v>US_EU_50_50_COMPOSITE</x:v>
      </x:c>
      <x:c r="J130" s="26" t="n">
        <x:v>0.05683260177450211</x:v>
      </x:c>
      <x:c r="K130" s="26" t="n">
        <x:v>-0.05574810526870966</x:v>
      </x:c>
      <x:c r="L130" s="23" t="str">
        <x:v>US:2025-11|EU:2025-09</x:v>
      </x:c>
      <x:c r="M130" s="39" t="n">
        <x:v>46051</x:v>
      </x:c>
      <x:c r="N130" s="40" t="b">
        <x:v>1</x:v>
      </x:c>
      <x:c r="O130" s="41" t="b">
        <x:v>0</x:v>
      </x:c>
      <x:c r="P130" s="40" t="b">
        <x:v>0</x:v>
      </x:c>
      <x:c r="Q130" s="42" t="str">
        <x:v>current_snapshot_diagnostic_only</x:v>
      </x:c>
      <x:c r="R130" s="42" t="str">
        <x:v>Current-snapshot diagnostic only; not approved forecast evidence.</x:v>
      </x:c>
      <x:c r="S130" s="43" t="n">
        <x:v>2024</x:v>
      </x:c>
      <x:c r="T130" s="44" t="n">
        <x:v>4640</x:v>
      </x:c>
      <x:c r="U130" s="44" t="n">
        <x:v>4135</x:v>
      </x:c>
      <x:c r="V130" s="45" t="n">
        <x:v>0.5287749287749288</x:v>
      </x:c>
      <x:c r="W130" s="45" t="n">
        <x:v>0.47122507122507123</x:v>
      </x:c>
      <x:c r="X130" s="46" t="n">
        <x:v>45701.87810185185</x:v>
      </x:c>
      <x:c r="Y130" s="43" t="str">
        <x:v>https://www.sec.gov/Archives/edgar/data/1559720/000155972025000010/abnb-20241231.htm</x:v>
      </x:c>
    </x:row>
    <x:row r="131">
      <x:c r="A131" s="23" t="n">
        <x:v>21</x:v>
      </x:c>
      <x:c r="B131" s="23" t="str">
        <x:v>ABNB-2025Q4-GUIDE</x:v>
      </x:c>
      <x:c r="C131" s="23" t="str">
        <x:v>2025Q4</x:v>
      </x:c>
      <x:c r="D131" s="23" t="str">
        <x:v>2026Q1</x:v>
      </x:c>
      <x:c r="E131" s="24" t="n">
        <x:v>46065.87634259259</x:v>
      </x:c>
      <x:c r="F131" s="38" t="n">
        <x:v>2610</x:v>
      </x:c>
      <x:c r="G131" s="26" t="n">
        <x:v>0.15999999999999992</x:v>
      </x:c>
      <x:c r="H131" s="26" t="n">
        <x:v>0.046128364389233845</x:v>
      </x:c>
      <x:c r="I131" s="26" t="str">
        <x:v>US_EMEA_REVENUE_WEIGHTED_COMPOSITE</x:v>
      </x:c>
      <x:c r="J131" s="26" t="n">
        <x:v>0.05445559840910047</x:v>
      </x:c>
      <x:c r="K131" s="26" t="n">
        <x:v>-0.05444796088914071</x:v>
      </x:c>
      <x:c r="L131" s="23" t="str">
        <x:v>US:2025-11|EU:2025-09</x:v>
      </x:c>
      <x:c r="M131" s="39" t="n">
        <x:v>46051</x:v>
      </x:c>
      <x:c r="N131" s="40" t="b">
        <x:v>1</x:v>
      </x:c>
      <x:c r="O131" s="41" t="b">
        <x:v>0</x:v>
      </x:c>
      <x:c r="P131" s="40" t="b">
        <x:v>0</x:v>
      </x:c>
      <x:c r="Q131" s="42" t="str">
        <x:v>current_snapshot_diagnostic_only</x:v>
      </x:c>
      <x:c r="R131" s="42" t="str">
        <x:v>Current-snapshot diagnostic only; not approved forecast evidence.</x:v>
      </x:c>
      <x:c r="S131" s="43" t="n">
        <x:v>2024</x:v>
      </x:c>
      <x:c r="T131" s="44" t="n">
        <x:v>4640</x:v>
      </x:c>
      <x:c r="U131" s="44" t="n">
        <x:v>4135</x:v>
      </x:c>
      <x:c r="V131" s="45" t="n">
        <x:v>0.5287749287749288</x:v>
      </x:c>
      <x:c r="W131" s="45" t="n">
        <x:v>0.47122507122507123</x:v>
      </x:c>
      <x:c r="X131" s="46" t="n">
        <x:v>45701.87810185185</x:v>
      </x:c>
      <x:c r="Y131" s="43" t="str">
        <x:v>https://www.sec.gov/Archives/edgar/data/1559720/000155972025000010/abnb-20241231.htm</x:v>
      </x:c>
    </x:row>
    <x:row r="132">
      <x:c r="A132" s="23" t="n">
        <x:v>21</x:v>
      </x:c>
      <x:c r="B132" s="23" t="str">
        <x:v>ABNB-2025Q4-GUIDE</x:v>
      </x:c>
      <x:c r="C132" s="23" t="str">
        <x:v>2025Q4</x:v>
      </x:c>
      <x:c r="D132" s="23" t="str">
        <x:v>2026Q1</x:v>
      </x:c>
      <x:c r="E132" s="24" t="n">
        <x:v>46065.87634259259</x:v>
      </x:c>
      <x:c r="F132" s="38" t="n">
        <x:v>2610</x:v>
      </x:c>
      <x:c r="G132" s="26" t="n">
        <x:v>0.15999999999999992</x:v>
      </x:c>
      <x:c r="H132" s="26" t="n">
        <x:v>0.046128364389233845</x:v>
      </x:c>
      <x:c r="I132" s="26" t="str">
        <x:v>EU_PLATFORM_MINUS_TOURISM</x:v>
      </x:c>
      <x:c r="J132" s="26" t="n">
        <x:v>0.05824444291435671</x:v>
      </x:c>
      <x:c r="K132" s="26" t="n">
        <x:v>-0.06909392525678237</x:v>
      </x:c>
      <x:c r="L132" s="23" t="str">
        <x:v>platform:2025-09|tourism:2025-11</x:v>
      </x:c>
      <x:c r="M132" s="39" t="n">
        <x:v>46051</x:v>
      </x:c>
      <x:c r="N132" s="40" t="b">
        <x:v>1</x:v>
      </x:c>
      <x:c r="O132" s="41" t="b">
        <x:v>0</x:v>
      </x:c>
      <x:c r="P132" s="40" t="b">
        <x:v>0</x:v>
      </x:c>
      <x:c r="Q132" s="42" t="str">
        <x:v>current_snapshot_diagnostic_only</x:v>
      </x:c>
      <x:c r="R132" s="42" t="str">
        <x:v>Current-snapshot diagnostic only; not approved forecast evidence.</x:v>
      </x:c>
      <x:c r="S132" s="43" t="n">
        <x:v>2024</x:v>
      </x:c>
      <x:c r="T132" s="44" t="n">
        <x:v>4640</x:v>
      </x:c>
      <x:c r="U132" s="44" t="n">
        <x:v>4135</x:v>
      </x:c>
      <x:c r="V132" s="45" t="n">
        <x:v>0.5287749287749288</x:v>
      </x:c>
      <x:c r="W132" s="45" t="n">
        <x:v>0.47122507122507123</x:v>
      </x:c>
      <x:c r="X132" s="46" t="n">
        <x:v>45701.87810185185</x:v>
      </x:c>
      <x:c r="Y132" s="43" t="str">
        <x:v>https://www.sec.gov/Archives/edgar/data/1559720/000155972025000010/abnb-20241231.htm</x:v>
      </x:c>
    </x:row>
    <x:row r="133">
      <x:c r="A133" s="23" t="n">
        <x:v>22</x:v>
      </x:c>
      <x:c r="B133" s="23" t="str">
        <x:v>ABNB-2026Q1-GUIDE</x:v>
      </x:c>
      <x:c r="C133" s="23" t="str">
        <x:v>2026Q1</x:v>
      </x:c>
      <x:c r="D133" s="23" t="str">
        <x:v>2026Q2</x:v>
      </x:c>
      <x:c r="E133" s="24" t="n">
        <x:v>46149.833645833336</x:v>
      </x:c>
      <x:c r="F133" s="38" t="n">
        <x:v>3570</x:v>
      </x:c>
      <x:c r="G133" s="26" t="n">
        <x:v>0.18211920529801318</x:v>
      </x:c>
      <x:c r="H133" s="26" t="n">
        <x:v>0.022119205298013256</x:v>
      </x:c>
      <x:c r="I133" s="26" t="str">
        <x:v>US_SFO_T3M_YOY</x:v>
      </x:c>
      <x:c r="J133" s="26" t="n">
        <x:v>0.007535260272465871</x:v>
      </x:c>
      <x:c r="K133" s="26" t="n">
        <x:v>-0.0079939661923345</x:v>
      </x:c>
      <x:c r="L133" s="23" t="str">
        <x:v>2026-02</x:v>
      </x:c>
      <x:c r="M133" s="39" t="n">
        <x:v>46141</x:v>
      </x:c>
      <x:c r="N133" s="40" t="b">
        <x:v>1</x:v>
      </x:c>
      <x:c r="O133" s="41" t="b">
        <x:v>0</x:v>
      </x:c>
      <x:c r="P133" s="40" t="b">
        <x:v>0</x:v>
      </x:c>
      <x:c r="Q133" s="42" t="str">
        <x:v>current_snapshot_diagnostic_only</x:v>
      </x:c>
      <x:c r="R133" s="42" t="str">
        <x:v>Current-snapshot diagnostic only; not approved forecast evidence.</x:v>
      </x:c>
      <x:c r="S133" s="43" t="n">
        <x:v>2025</x:v>
      </x:c>
      <x:c r="T133" s="44" t="n">
        <x:v>4814</x:v>
      </x:c>
      <x:c r="U133" s="44" t="n">
        <x:v>4729</x:v>
      </x:c>
      <x:c r="V133" s="45" t="n">
        <x:v>0.5044535261448182</x:v>
      </x:c>
      <x:c r="W133" s="45" t="n">
        <x:v>0.4955464738551818</x:v>
      </x:c>
      <x:c r="X133" s="46" t="n">
        <x:v>46065.878229166665</x:v>
      </x:c>
      <x:c r="Y133" s="43" t="str">
        <x:v>https://www.sec.gov/Archives/edgar/data/1559720/000155972026000004/abnb-20251231.htm</x:v>
      </x:c>
    </x:row>
    <x:row r="134">
      <x:c r="A134" s="23" t="n">
        <x:v>22</x:v>
      </x:c>
      <x:c r="B134" s="23" t="str">
        <x:v>ABNB-2026Q1-GUIDE</x:v>
      </x:c>
      <x:c r="C134" s="23" t="str">
        <x:v>2026Q1</x:v>
      </x:c>
      <x:c r="D134" s="23" t="str">
        <x:v>2026Q2</x:v>
      </x:c>
      <x:c r="E134" s="24" t="n">
        <x:v>46149.833645833336</x:v>
      </x:c>
      <x:c r="F134" s="38" t="n">
        <x:v>3570</x:v>
      </x:c>
      <x:c r="G134" s="26" t="n">
        <x:v>0.18211920529801318</x:v>
      </x:c>
      <x:c r="H134" s="26" t="n">
        <x:v>0.022119205298013256</x:v>
      </x:c>
      <x:c r="I134" s="26" t="str">
        <x:v>EU_PLATFORM_T3M_YOY</x:v>
      </x:c>
      <x:c r="J134" s="26" t="n">
        <x:v>0.10912506361000496</x:v>
      </x:c>
      <x:c r="K134" s="26" t="n">
        <x:v>0.010989086525801106</x:v>
      </x:c>
      <x:c r="L134" s="23" t="str">
        <x:v>2025-12</x:v>
      </x:c>
      <x:c r="M134" s="39" t="n">
        <x:v>46142</x:v>
      </x:c>
      <x:c r="N134" s="40" t="b">
        <x:v>1</x:v>
      </x:c>
      <x:c r="O134" s="41" t="b">
        <x:v>0</x:v>
      </x:c>
      <x:c r="P134" s="40" t="b">
        <x:v>1</x:v>
      </x:c>
      <x:c r="Q134" s="42" t="str">
        <x:v>current_snapshot_diagnostic_only</x:v>
      </x:c>
      <x:c r="R134" s="42" t="str">
        <x:v>Current-snapshot diagnostic only; not approved forecast evidence.</x:v>
      </x:c>
      <x:c r="S134" s="43" t="n">
        <x:v>2025</x:v>
      </x:c>
      <x:c r="T134" s="44" t="n">
        <x:v>4814</x:v>
      </x:c>
      <x:c r="U134" s="44" t="n">
        <x:v>4729</x:v>
      </x:c>
      <x:c r="V134" s="45" t="n">
        <x:v>0.5044535261448182</x:v>
      </x:c>
      <x:c r="W134" s="45" t="n">
        <x:v>0.4955464738551818</x:v>
      </x:c>
      <x:c r="X134" s="46" t="n">
        <x:v>46065.878229166665</x:v>
      </x:c>
      <x:c r="Y134" s="43" t="str">
        <x:v>https://www.sec.gov/Archives/edgar/data/1559720/000155972026000004/abnb-20251231.htm</x:v>
      </x:c>
    </x:row>
    <x:row r="135">
      <x:c r="A135" s="23" t="n">
        <x:v>22</x:v>
      </x:c>
      <x:c r="B135" s="23" t="str">
        <x:v>ABNB-2026Q1-GUIDE</x:v>
      </x:c>
      <x:c r="C135" s="23" t="str">
        <x:v>2026Q1</x:v>
      </x:c>
      <x:c r="D135" s="23" t="str">
        <x:v>2026Q2</x:v>
      </x:c>
      <x:c r="E135" s="24" t="n">
        <x:v>46149.833645833336</x:v>
      </x:c>
      <x:c r="F135" s="38" t="n">
        <x:v>3570</x:v>
      </x:c>
      <x:c r="G135" s="26" t="n">
        <x:v>0.18211920529801318</x:v>
      </x:c>
      <x:c r="H135" s="26" t="n">
        <x:v>0.022119205298013256</x:v>
      </x:c>
      <x:c r="I135" s="26" t="str">
        <x:v>EU_TOURISM_T3M_YOY</x:v>
      </x:c>
      <x:c r="J135" s="26" t="n">
        <x:v>0.04067736427571922</x:v>
      </x:c>
      <x:c r="K135" s="26" t="n">
        <x:v>0.0007858301058720762</x:v>
      </x:c>
      <x:c r="L135" s="23" t="str">
        <x:v>2026-02</x:v>
      </x:c>
      <x:c r="M135" s="39" t="n">
        <x:v>46141</x:v>
      </x:c>
      <x:c r="N135" s="40" t="b">
        <x:v>1</x:v>
      </x:c>
      <x:c r="O135" s="41" t="b">
        <x:v>0</x:v>
      </x:c>
      <x:c r="P135" s="40" t="b">
        <x:v>1</x:v>
      </x:c>
      <x:c r="Q135" s="42" t="str">
        <x:v>current_snapshot_diagnostic_only</x:v>
      </x:c>
      <x:c r="R135" s="42" t="str">
        <x:v>Current-snapshot diagnostic only; not approved forecast evidence.</x:v>
      </x:c>
      <x:c r="S135" s="43" t="n">
        <x:v>2025</x:v>
      </x:c>
      <x:c r="T135" s="44" t="n">
        <x:v>4814</x:v>
      </x:c>
      <x:c r="U135" s="44" t="n">
        <x:v>4729</x:v>
      </x:c>
      <x:c r="V135" s="45" t="n">
        <x:v>0.5044535261448182</x:v>
      </x:c>
      <x:c r="W135" s="45" t="n">
        <x:v>0.4955464738551818</x:v>
      </x:c>
      <x:c r="X135" s="46" t="n">
        <x:v>46065.878229166665</x:v>
      </x:c>
      <x:c r="Y135" s="43" t="str">
        <x:v>https://www.sec.gov/Archives/edgar/data/1559720/000155972026000004/abnb-20251231.htm</x:v>
      </x:c>
    </x:row>
    <x:row r="136">
      <x:c r="A136" s="23" t="n">
        <x:v>22</x:v>
      </x:c>
      <x:c r="B136" s="23" t="str">
        <x:v>ABNB-2026Q1-GUIDE</x:v>
      </x:c>
      <x:c r="C136" s="23" t="str">
        <x:v>2026Q1</x:v>
      </x:c>
      <x:c r="D136" s="23" t="str">
        <x:v>2026Q2</x:v>
      </x:c>
      <x:c r="E136" s="24" t="n">
        <x:v>46149.833645833336</x:v>
      </x:c>
      <x:c r="F136" s="38" t="n">
        <x:v>3570</x:v>
      </x:c>
      <x:c r="G136" s="26" t="n">
        <x:v>0.18211920529801318</x:v>
      </x:c>
      <x:c r="H136" s="26" t="n">
        <x:v>0.022119205298013256</x:v>
      </x:c>
      <x:c r="I136" s="26" t="str">
        <x:v>US_EU_50_50_COMPOSITE</x:v>
      </x:c>
      <x:c r="J136" s="26" t="n">
        <x:v>0.058330161941235414</x:v>
      </x:c>
      <x:c r="K136" s="26" t="n">
        <x:v>0.0014975601667333027</x:v>
      </x:c>
      <x:c r="L136" s="23" t="str">
        <x:v>US:2026-02|EU:2025-12</x:v>
      </x:c>
      <x:c r="M136" s="39" t="n">
        <x:v>46142</x:v>
      </x:c>
      <x:c r="N136" s="40" t="b">
        <x:v>1</x:v>
      </x:c>
      <x:c r="O136" s="41" t="b">
        <x:v>0</x:v>
      </x:c>
      <x:c r="P136" s="40" t="b">
        <x:v>1</x:v>
      </x:c>
      <x:c r="Q136" s="42" t="str">
        <x:v>current_snapshot_diagnostic_only</x:v>
      </x:c>
      <x:c r="R136" s="42" t="str">
        <x:v>Current-snapshot diagnostic only; not approved forecast evidence.</x:v>
      </x:c>
      <x:c r="S136" s="43" t="n">
        <x:v>2025</x:v>
      </x:c>
      <x:c r="T136" s="44" t="n">
        <x:v>4814</x:v>
      </x:c>
      <x:c r="U136" s="44" t="n">
        <x:v>4729</x:v>
      </x:c>
      <x:c r="V136" s="45" t="n">
        <x:v>0.5044535261448182</x:v>
      </x:c>
      <x:c r="W136" s="45" t="n">
        <x:v>0.4955464738551818</x:v>
      </x:c>
      <x:c r="X136" s="46" t="n">
        <x:v>46065.878229166665</x:v>
      </x:c>
      <x:c r="Y136" s="43" t="str">
        <x:v>https://www.sec.gov/Archives/edgar/data/1559720/000155972026000004/abnb-20251231.htm</x:v>
      </x:c>
    </x:row>
    <x:row r="137">
      <x:c r="A137" s="23" t="n">
        <x:v>22</x:v>
      </x:c>
      <x:c r="B137" s="23" t="str">
        <x:v>ABNB-2026Q1-GUIDE</x:v>
      </x:c>
      <x:c r="C137" s="23" t="str">
        <x:v>2026Q1</x:v>
      </x:c>
      <x:c r="D137" s="23" t="str">
        <x:v>2026Q2</x:v>
      </x:c>
      <x:c r="E137" s="24" t="n">
        <x:v>46149.833645833336</x:v>
      </x:c>
      <x:c r="F137" s="38" t="n">
        <x:v>3570</x:v>
      </x:c>
      <x:c r="G137" s="26" t="n">
        <x:v>0.18211920529801318</x:v>
      </x:c>
      <x:c r="H137" s="26" t="n">
        <x:v>0.022119205298013256</x:v>
      </x:c>
      <x:c r="I137" s="26" t="str">
        <x:v>US_EMEA_REVENUE_WEIGHTED_COMPOSITE</x:v>
      </x:c>
      <x:c r="J137" s="26" t="n">
        <x:v>0.057877729096024746</x:v>
      </x:c>
      <x:c r="K137" s="26" t="n">
        <x:v>0.003422130686924277</x:v>
      </x:c>
      <x:c r="L137" s="23" t="str">
        <x:v>US:2026-02|EU:2025-12</x:v>
      </x:c>
      <x:c r="M137" s="39" t="n">
        <x:v>46142</x:v>
      </x:c>
      <x:c r="N137" s="40" t="b">
        <x:v>1</x:v>
      </x:c>
      <x:c r="O137" s="41" t="b">
        <x:v>0</x:v>
      </x:c>
      <x:c r="P137" s="40" t="b">
        <x:v>1</x:v>
      </x:c>
      <x:c r="Q137" s="42" t="str">
        <x:v>current_snapshot_diagnostic_only</x:v>
      </x:c>
      <x:c r="R137" s="42" t="str">
        <x:v>Current-snapshot diagnostic only; not approved forecast evidence.</x:v>
      </x:c>
      <x:c r="S137" s="43" t="n">
        <x:v>2025</x:v>
      </x:c>
      <x:c r="T137" s="44" t="n">
        <x:v>4814</x:v>
      </x:c>
      <x:c r="U137" s="44" t="n">
        <x:v>4729</x:v>
      </x:c>
      <x:c r="V137" s="45" t="n">
        <x:v>0.5044535261448182</x:v>
      </x:c>
      <x:c r="W137" s="45" t="n">
        <x:v>0.4955464738551818</x:v>
      </x:c>
      <x:c r="X137" s="46" t="n">
        <x:v>46065.878229166665</x:v>
      </x:c>
      <x:c r="Y137" s="43" t="str">
        <x:v>https://www.sec.gov/Archives/edgar/data/1559720/000155972026000004/abnb-20251231.htm</x:v>
      </x:c>
    </x:row>
    <x:row r="138">
      <x:c r="A138" s="23" t="n">
        <x:v>22</x:v>
      </x:c>
      <x:c r="B138" s="23" t="str">
        <x:v>ABNB-2026Q1-GUIDE</x:v>
      </x:c>
      <x:c r="C138" s="23" t="str">
        <x:v>2026Q1</x:v>
      </x:c>
      <x:c r="D138" s="23" t="str">
        <x:v>2026Q2</x:v>
      </x:c>
      <x:c r="E138" s="24" t="n">
        <x:v>46149.833645833336</x:v>
      </x:c>
      <x:c r="F138" s="38" t="n">
        <x:v>3570</x:v>
      </x:c>
      <x:c r="G138" s="26" t="n">
        <x:v>0.18211920529801318</x:v>
      </x:c>
      <x:c r="H138" s="26" t="n">
        <x:v>0.022119205298013256</x:v>
      </x:c>
      <x:c r="I138" s="26" t="str">
        <x:v>EU_PLATFORM_MINUS_TOURISM</x:v>
      </x:c>
      <x:c r="J138" s="26" t="n">
        <x:v>0.06844769933428574</x:v>
      </x:c>
      <x:c r="K138" s="26" t="n">
        <x:v>0.01020325641992903</x:v>
      </x:c>
      <x:c r="L138" s="23" t="str">
        <x:v>platform:2025-12|tourism:2026-02</x:v>
      </x:c>
      <x:c r="M138" s="39" t="n">
        <x:v>46142</x:v>
      </x:c>
      <x:c r="N138" s="40" t="b">
        <x:v>1</x:v>
      </x:c>
      <x:c r="O138" s="41" t="b">
        <x:v>0</x:v>
      </x:c>
      <x:c r="P138" s="40" t="b">
        <x:v>1</x:v>
      </x:c>
      <x:c r="Q138" s="42" t="str">
        <x:v>current_snapshot_diagnostic_only</x:v>
      </x:c>
      <x:c r="R138" s="42" t="str">
        <x:v>Current-snapshot diagnostic only; not approved forecast evidence.</x:v>
      </x:c>
      <x:c r="S138" s="43" t="n">
        <x:v>2025</x:v>
      </x:c>
      <x:c r="T138" s="44" t="n">
        <x:v>4814</x:v>
      </x:c>
      <x:c r="U138" s="44" t="n">
        <x:v>4729</x:v>
      </x:c>
      <x:c r="V138" s="45" t="n">
        <x:v>0.5044535261448182</x:v>
      </x:c>
      <x:c r="W138" s="45" t="n">
        <x:v>0.4955464738551818</x:v>
      </x:c>
      <x:c r="X138" s="46" t="n">
        <x:v>46065.878229166665</x:v>
      </x:c>
      <x:c r="Y138" s="43" t="str">
        <x:v>https://www.sec.gov/Archives/edgar/data/1559720/000155972026000004/abnb-20251231.htm</x:v>
      </x:c>
    </x:row>
    <x:row r="139">
      <x:c r="A139" s="23" t="n">
        <x:v>23</x:v>
      </x:c>
      <x:c r="B139" s="23" t="str">
        <x:v>ABNB-2026Q2-GUIDE</x:v>
      </x:c>
      <x:c r="C139" s="23" t="str">
        <x:v>2026Q2</x:v>
      </x:c>
      <x:c r="D139" s="23" t="str">
        <x:v>2026Q3</x:v>
      </x:c>
      <x:c r="E139" s="24" t="n">
        <x:v>46240.835335648146</x:v>
      </x:c>
      <x:c r="F139" s="38" t="n">
        <x:v>4730</x:v>
      </x:c>
      <x:c r="G139" s="26" t="n">
        <x:v>0.1650246305418719</x:v>
      </x:c>
      <x:c r="H139" s="26" t="n">
        <x:v>-0.01709457475614129</x:v>
      </x:c>
      <x:c r="I139" s="26" t="str">
        <x:v>US_SFO_T3M_YOY</x:v>
      </x:c>
      <x:c r="J139" s="26" t="n">
        <x:v>0.0248817643193191</x:v>
      </x:c>
      <x:c r="K139" s="26" t="n">
        <x:v>0.01734650404685323</x:v>
      </x:c>
      <x:c r="L139" s="23" t="str">
        <x:v>2026-05</x:v>
      </x:c>
      <x:c r="M139" s="39" t="n">
        <x:v>46233</x:v>
      </x:c>
      <x:c r="N139" s="40" t="b">
        <x:v>1</x:v>
      </x:c>
      <x:c r="O139" s="41" t="b">
        <x:v>0</x:v>
      </x:c>
      <x:c r="P139" s="40" t="b">
        <x:v>0</x:v>
      </x:c>
      <x:c r="Q139" s="42" t="str">
        <x:v>current_snapshot_diagnostic_only</x:v>
      </x:c>
      <x:c r="R139" s="42" t="str">
        <x:v>Current-snapshot diagnostic only; not approved forecast evidence.</x:v>
      </x:c>
      <x:c r="S139" s="43" t="n">
        <x:v>2025</x:v>
      </x:c>
      <x:c r="T139" s="44" t="n">
        <x:v>4814</x:v>
      </x:c>
      <x:c r="U139" s="44" t="n">
        <x:v>4729</x:v>
      </x:c>
      <x:c r="V139" s="45" t="n">
        <x:v>0.5044535261448182</x:v>
      </x:c>
      <x:c r="W139" s="45" t="n">
        <x:v>0.4955464738551818</x:v>
      </x:c>
      <x:c r="X139" s="46" t="n">
        <x:v>46065.878229166665</x:v>
      </x:c>
      <x:c r="Y139" s="43" t="str">
        <x:v>https://www.sec.gov/Archives/edgar/data/1559720/000155972026000004/abnb-20251231.htm</x:v>
      </x:c>
    </x:row>
    <x:row r="140">
      <x:c r="A140" s="23" t="n">
        <x:v>23</x:v>
      </x:c>
      <x:c r="B140" s="23" t="str">
        <x:v>ABNB-2026Q2-GUIDE</x:v>
      </x:c>
      <x:c r="C140" s="23" t="str">
        <x:v>2026Q2</x:v>
      </x:c>
      <x:c r="D140" s="23" t="str">
        <x:v>2026Q3</x:v>
      </x:c>
      <x:c r="E140" s="24" t="n">
        <x:v>46240.835335648146</x:v>
      </x:c>
      <x:c r="F140" s="38" t="n">
        <x:v>4730</x:v>
      </x:c>
      <x:c r="G140" s="26" t="n">
        <x:v>0.1650246305418719</x:v>
      </x:c>
      <x:c r="H140" s="26" t="n">
        <x:v>-0.01709457475614129</x:v>
      </x:c>
      <x:c r="I140" s="26" t="str">
        <x:v>EU_PLATFORM_T3M_YOY</x:v>
      </x:c>
      <x:c r="J140" s="26" t="n">
        <x:v>0.09729179104208607</x:v>
      </x:c>
      <x:c r="K140" s="26" t="n">
        <x:v>-0.011833272567918884</x:v>
      </x:c>
      <x:c r="L140" s="23" t="str">
        <x:v>2026-03</x:v>
      </x:c>
      <x:c r="M140" s="39" t="n">
        <x:v>46232</x:v>
      </x:c>
      <x:c r="N140" s="40" t="b">
        <x:v>1</x:v>
      </x:c>
      <x:c r="O140" s="41" t="b">
        <x:v>0</x:v>
      </x:c>
      <x:c r="P140" s="40" t="b">
        <x:v>1</x:v>
      </x:c>
      <x:c r="Q140" s="42" t="str">
        <x:v>current_snapshot_diagnostic_only</x:v>
      </x:c>
      <x:c r="R140" s="42" t="str">
        <x:v>Current-snapshot diagnostic only; not approved forecast evidence.</x:v>
      </x:c>
      <x:c r="S140" s="43" t="n">
        <x:v>2025</x:v>
      </x:c>
      <x:c r="T140" s="44" t="n">
        <x:v>4814</x:v>
      </x:c>
      <x:c r="U140" s="44" t="n">
        <x:v>4729</x:v>
      </x:c>
      <x:c r="V140" s="45" t="n">
        <x:v>0.5044535261448182</x:v>
      </x:c>
      <x:c r="W140" s="45" t="n">
        <x:v>0.4955464738551818</x:v>
      </x:c>
      <x:c r="X140" s="46" t="n">
        <x:v>46065.878229166665</x:v>
      </x:c>
      <x:c r="Y140" s="43" t="str">
        <x:v>https://www.sec.gov/Archives/edgar/data/1559720/000155972026000004/abnb-20251231.htm</x:v>
      </x:c>
    </x:row>
    <x:row r="141">
      <x:c r="A141" s="23" t="n">
        <x:v>23</x:v>
      </x:c>
      <x:c r="B141" s="23" t="str">
        <x:v>ABNB-2026Q2-GUIDE</x:v>
      </x:c>
      <x:c r="C141" s="23" t="str">
        <x:v>2026Q2</x:v>
      </x:c>
      <x:c r="D141" s="23" t="str">
        <x:v>2026Q3</x:v>
      </x:c>
      <x:c r="E141" s="24" t="n">
        <x:v>46240.835335648146</x:v>
      </x:c>
      <x:c r="F141" s="38" t="n">
        <x:v>4730</x:v>
      </x:c>
      <x:c r="G141" s="26" t="n">
        <x:v>0.1650246305418719</x:v>
      </x:c>
      <x:c r="H141" s="26" t="n">
        <x:v>-0.01709457475614129</x:v>
      </x:c>
      <x:c r="I141" s="26" t="str">
        <x:v>EU_TOURISM_T3M_YOY</x:v>
      </x:c>
      <x:c r="J141" s="26" t="n">
        <x:v>0.03249226212940104</x:v>
      </x:c>
      <x:c r="K141" s="26" t="n">
        <x:v>-0.00818510214631818</x:v>
      </x:c>
      <x:c r="L141" s="23" t="str">
        <x:v>2026-05</x:v>
      </x:c>
      <x:c r="M141" s="39" t="n">
        <x:v>46233</x:v>
      </x:c>
      <x:c r="N141" s="40" t="b">
        <x:v>1</x:v>
      </x:c>
      <x:c r="O141" s="41" t="b">
        <x:v>0</x:v>
      </x:c>
      <x:c r="P141" s="40" t="b">
        <x:v>1</x:v>
      </x:c>
      <x:c r="Q141" s="42" t="str">
        <x:v>current_snapshot_diagnostic_only</x:v>
      </x:c>
      <x:c r="R141" s="42" t="str">
        <x:v>Current-snapshot diagnostic only; not approved forecast evidence.</x:v>
      </x:c>
      <x:c r="S141" s="43" t="n">
        <x:v>2025</x:v>
      </x:c>
      <x:c r="T141" s="44" t="n">
        <x:v>4814</x:v>
      </x:c>
      <x:c r="U141" s="44" t="n">
        <x:v>4729</x:v>
      </x:c>
      <x:c r="V141" s="45" t="n">
        <x:v>0.5044535261448182</x:v>
      </x:c>
      <x:c r="W141" s="45" t="n">
        <x:v>0.4955464738551818</x:v>
      </x:c>
      <x:c r="X141" s="46" t="n">
        <x:v>46065.878229166665</x:v>
      </x:c>
      <x:c r="Y141" s="43" t="str">
        <x:v>https://www.sec.gov/Archives/edgar/data/1559720/000155972026000004/abnb-20251231.htm</x:v>
      </x:c>
    </x:row>
    <x:row r="142">
      <x:c r="A142" s="23" t="n">
        <x:v>23</x:v>
      </x:c>
      <x:c r="B142" s="23" t="str">
        <x:v>ABNB-2026Q2-GUIDE</x:v>
      </x:c>
      <x:c r="C142" s="23" t="str">
        <x:v>2026Q2</x:v>
      </x:c>
      <x:c r="D142" s="23" t="str">
        <x:v>2026Q3</x:v>
      </x:c>
      <x:c r="E142" s="24" t="n">
        <x:v>46240.835335648146</x:v>
      </x:c>
      <x:c r="F142" s="38" t="n">
        <x:v>4730</x:v>
      </x:c>
      <x:c r="G142" s="26" t="n">
        <x:v>0.1650246305418719</x:v>
      </x:c>
      <x:c r="H142" s="26" t="n">
        <x:v>-0.01709457475614129</x:v>
      </x:c>
      <x:c r="I142" s="26" t="str">
        <x:v>US_EU_50_50_COMPOSITE</x:v>
      </x:c>
      <x:c r="J142" s="26" t="n">
        <x:v>0.061086777680702586</x:v>
      </x:c>
      <x:c r="K142" s="26" t="n">
        <x:v>0.002756615739467172</x:v>
      </x:c>
      <x:c r="L142" s="23" t="str">
        <x:v>US:2026-05|EU:2026-03</x:v>
      </x:c>
      <x:c r="M142" s="39" t="n">
        <x:v>46233</x:v>
      </x:c>
      <x:c r="N142" s="40" t="b">
        <x:v>1</x:v>
      </x:c>
      <x:c r="O142" s="41" t="b">
        <x:v>0</x:v>
      </x:c>
      <x:c r="P142" s="40" t="b">
        <x:v>0</x:v>
      </x:c>
      <x:c r="Q142" s="42" t="str">
        <x:v>current_snapshot_diagnostic_only</x:v>
      </x:c>
      <x:c r="R142" s="42" t="str">
        <x:v>Current-snapshot diagnostic only; not approved forecast evidence.</x:v>
      </x:c>
      <x:c r="S142" s="43" t="n">
        <x:v>2025</x:v>
      </x:c>
      <x:c r="T142" s="44" t="n">
        <x:v>4814</x:v>
      </x:c>
      <x:c r="U142" s="44" t="n">
        <x:v>4729</x:v>
      </x:c>
      <x:c r="V142" s="45" t="n">
        <x:v>0.5044535261448182</x:v>
      </x:c>
      <x:c r="W142" s="45" t="n">
        <x:v>0.4955464738551818</x:v>
      </x:c>
      <x:c r="X142" s="46" t="n">
        <x:v>46065.878229166665</x:v>
      </x:c>
      <x:c r="Y142" s="43" t="str">
        <x:v>https://www.sec.gov/Archives/edgar/data/1559720/000155972026000004/abnb-20251231.htm</x:v>
      </x:c>
    </x:row>
    <x:row r="143">
      <x:c r="A143" s="23" t="n">
        <x:v>23</x:v>
      </x:c>
      <x:c r="B143" s="23" t="str">
        <x:v>ABNB-2026Q2-GUIDE</x:v>
      </x:c>
      <x:c r="C143" s="23" t="str">
        <x:v>2026Q2</x:v>
      </x:c>
      <x:c r="D143" s="23" t="str">
        <x:v>2026Q3</x:v>
      </x:c>
      <x:c r="E143" s="24" t="n">
        <x:v>46240.835335648146</x:v>
      </x:c>
      <x:c r="F143" s="38" t="n">
        <x:v>4730</x:v>
      </x:c>
      <x:c r="G143" s="26" t="n">
        <x:v>0.1650246305418719</x:v>
      </x:c>
      <x:c r="H143" s="26" t="n">
        <x:v>-0.01709457475614129</x:v>
      </x:c>
      <x:c r="I143" s="26" t="str">
        <x:v>US_EMEA_REVENUE_WEIGHTED_COMPOSITE</x:v>
      </x:c>
      <x:c r="J143" s="26" t="n">
        <x:v>0.06076429773354576</x:v>
      </x:c>
      <x:c r="K143" s="26" t="n">
        <x:v>0.0028865686375210142</x:v>
      </x:c>
      <x:c r="L143" s="23" t="str">
        <x:v>US:2026-05|EU:2026-03</x:v>
      </x:c>
      <x:c r="M143" s="39" t="n">
        <x:v>46233</x:v>
      </x:c>
      <x:c r="N143" s="40" t="b">
        <x:v>1</x:v>
      </x:c>
      <x:c r="O143" s="41" t="b">
        <x:v>0</x:v>
      </x:c>
      <x:c r="P143" s="40" t="b">
        <x:v>0</x:v>
      </x:c>
      <x:c r="Q143" s="42" t="str">
        <x:v>current_snapshot_diagnostic_only</x:v>
      </x:c>
      <x:c r="R143" s="42" t="str">
        <x:v>Current-snapshot diagnostic only; not approved forecast evidence.</x:v>
      </x:c>
      <x:c r="S143" s="43" t="n">
        <x:v>2025</x:v>
      </x:c>
      <x:c r="T143" s="44" t="n">
        <x:v>4814</x:v>
      </x:c>
      <x:c r="U143" s="44" t="n">
        <x:v>4729</x:v>
      </x:c>
      <x:c r="V143" s="45" t="n">
        <x:v>0.5044535261448182</x:v>
      </x:c>
      <x:c r="W143" s="45" t="n">
        <x:v>0.4955464738551818</x:v>
      </x:c>
      <x:c r="X143" s="46" t="n">
        <x:v>46065.878229166665</x:v>
      </x:c>
      <x:c r="Y143" s="43" t="str">
        <x:v>https://www.sec.gov/Archives/edgar/data/1559720/000155972026000004/abnb-20251231.htm</x:v>
      </x:c>
    </x:row>
    <x:row r="144">
      <x:c r="A144" s="23" t="n">
        <x:v>23</x:v>
      </x:c>
      <x:c r="B144" s="23" t="str">
        <x:v>ABNB-2026Q2-GUIDE</x:v>
      </x:c>
      <x:c r="C144" s="23" t="str">
        <x:v>2026Q2</x:v>
      </x:c>
      <x:c r="D144" s="23" t="str">
        <x:v>2026Q3</x:v>
      </x:c>
      <x:c r="E144" s="24" t="n">
        <x:v>46240.835335648146</x:v>
      </x:c>
      <x:c r="F144" s="38" t="n">
        <x:v>4730</x:v>
      </x:c>
      <x:c r="G144" s="26" t="n">
        <x:v>0.1650246305418719</x:v>
      </x:c>
      <x:c r="H144" s="26" t="n">
        <x:v>-0.01709457475614129</x:v>
      </x:c>
      <x:c r="I144" s="26" t="str">
        <x:v>EU_PLATFORM_MINUS_TOURISM</x:v>
      </x:c>
      <x:c r="J144" s="26" t="n">
        <x:v>0.06479952891268503</x:v>
      </x:c>
      <x:c r="K144" s="26" t="n">
        <x:v>-0.003648170421600705</x:v>
      </x:c>
      <x:c r="L144" s="23" t="str">
        <x:v>platform:2026-03|tourism:2026-05</x:v>
      </x:c>
      <x:c r="M144" s="39" t="n">
        <x:v>46233</x:v>
      </x:c>
      <x:c r="N144" s="40" t="b">
        <x:v>1</x:v>
      </x:c>
      <x:c r="O144" s="41" t="b">
        <x:v>0</x:v>
      </x:c>
      <x:c r="P144" s="40" t="b">
        <x:v>1</x:v>
      </x:c>
      <x:c r="Q144" s="42" t="str">
        <x:v>current_snapshot_diagnostic_only</x:v>
      </x:c>
      <x:c r="R144" s="42" t="str">
        <x:v>Current-snapshot diagnostic only; not approved forecast evidence.</x:v>
      </x:c>
      <x:c r="S144" s="43" t="n">
        <x:v>2025</x:v>
      </x:c>
      <x:c r="T144" s="44" t="n">
        <x:v>4814</x:v>
      </x:c>
      <x:c r="U144" s="44" t="n">
        <x:v>4729</x:v>
      </x:c>
      <x:c r="V144" s="45" t="n">
        <x:v>0.5044535261448182</x:v>
      </x:c>
      <x:c r="W144" s="45" t="n">
        <x:v>0.4955464738551818</x:v>
      </x:c>
      <x:c r="X144" s="46" t="n">
        <x:v>46065.878229166665</x:v>
      </x:c>
      <x:c r="Y144" s="43" t="str">
        <x:v>https://www.sec.gov/Archives/edgar/data/1559720/000155972026000004/abnb-20251231.htm</x:v>
      </x:c>
    </x:row>
  </x:sheetData>
  <x:mergeCells>
    <x:mergeCell ref="A1:Y2"/>
    <x:mergeCell ref="A3:Y3"/>
  </x:mergeCells>
  <x:pageMargins left="0.7" right="0.7" top="0.75" bottom="0.75" header="0.3" footer="0.3"/>
  <x:tableParts count="1">
    <x:tablePart xmlns:r="http://schemas.openxmlformats.org/officeDocument/2006/relationships" r:id="R60aa567879d647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58" hidden="0" customWidth="1"/>
    <x:col min="4" max="4" width="17" hidden="0" customWidth="1"/>
    <x:col min="5" max="5" width="16" hidden="0" customWidth="1"/>
    <x:col min="6" max="6" width="11" hidden="0" customWidth="1"/>
    <x:col min="7" max="7" width="14" hidden="0" customWidth="1"/>
    <x:col min="8" max="8" width="15" hidden="0" customWidth="1"/>
    <x:col min="9" max="9" width="15" hidden="0" customWidth="1"/>
    <x:col min="10" max="10" width="20" hidden="0" customWidth="1"/>
    <x:col min="11" max="11" width="21" hidden="0" customWidth="1"/>
    <x:col min="12" max="12" width="12" hidden="0" customWidth="1"/>
    <x:col min="13" max="13" width="20" hidden="0" customWidth="1"/>
    <x:col min="14" max="14" width="62" hidden="0" customWidth="1"/>
    <x:col min="15" max="15" width="66" hidden="0" customWidth="1"/>
  </x:cols>
  <x:sheetData>
    <x:row r="1" ht="25" customHeight="1">
      <x:c r="A1" s="3" t="str">
        <x:v>Descriptive comparison against Airbnb guidance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32" customHeight="1">
      <x:c r="A3" s="7" t="str">
        <x:v>These correlations use current snapshots retroactively aligned with fixed lags. Ranking is for hypothesis prioritization—not a backtest, alpha claim, or model-selection result.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6">
      <x:c r="A6" s="16" t="str">
        <x:v>Descriptive rank</x:v>
      </x:c>
      <x:c r="B6" s="17" t="str">
        <x:v>Feature ID</x:v>
      </x:c>
      <x:c r="C6" s="17" t="str">
        <x:v>Feature</x:v>
      </x:c>
      <x:c r="D6" s="17" t="str">
        <x:v>Diagnostic events</x:v>
      </x:c>
      <x:c r="E6" s="17" t="str">
        <x:v>Strict PIT events</x:v>
      </x:c>
      <x:c r="F6" s="17" t="str">
        <x:v>Level n</x:v>
      </x:c>
      <x:c r="G6" s="17" t="str">
        <x:v>Level Pearson</x:v>
      </x:c>
      <x:c r="H6" s="17" t="str">
        <x:v>Level Spearman</x:v>
      </x:c>
      <x:c r="I6" s="17" t="str">
        <x:v>Acceleration n</x:v>
      </x:c>
      <x:c r="J6" s="17" t="str">
        <x:v>Acceleration Pearson</x:v>
      </x:c>
      <x:c r="K6" s="17" t="str">
        <x:v>Acceleration Spearman</x:v>
      </x:c>
      <x:c r="L6" s="17" t="str">
        <x:v>Direction n</x:v>
      </x:c>
      <x:c r="M6" s="17" t="str">
        <x:v>Direction concordance</x:v>
      </x:c>
      <x:c r="N6" s="17" t="str">
        <x:v>What it says</x:v>
      </x:c>
      <x:c r="O6" s="18" t="str">
        <x:v>Next research use</x:v>
      </x:c>
    </x:row>
    <x:row r="7" ht="62" customHeight="1">
      <x:c r="A7" s="23" t="n">
        <x:v>1</x:v>
      </x:c>
      <x:c r="B7" s="23" t="str">
        <x:v>US_EMEA_REVENUE_WEIGHTED_COMPOSITE</x:v>
      </x:c>
      <x:c r="C7" s="23" t="str">
        <x:v>Revenue-weighted U.S. airport + EMEA-proxy platform-nights composite</x:v>
      </x:c>
      <x:c r="D7" s="23" t="n">
        <x:v>17</x:v>
      </x:c>
      <x:c r="E7" s="50" t="n">
        <x:v>0</x:v>
      </x:c>
      <x:c r="F7" s="23" t="n">
        <x:v>16</x:v>
      </x:c>
      <x:c r="G7" s="51" t="n">
        <x:v>0.7841064501675482</x:v>
      </x:c>
      <x:c r="H7" s="51" t="n">
        <x:v>0.38823529411764707</x:v>
      </x:c>
      <x:c r="I7" s="51" t="n">
        <x:v>15</x:v>
      </x:c>
      <x:c r="J7" s="51" t="n">
        <x:v>-0.6270051347600837</x:v>
      </x:c>
      <x:c r="K7" s="51" t="n">
        <x:v>-0.5035714285714286</x:v>
      </x:c>
      <x:c r="L7" s="51" t="n">
        <x:v>15</x:v>
      </x:c>
      <x:c r="M7" s="52" t="n">
        <x:v>0.5333333333333333</x:v>
      </x:c>
      <x:c r="N7" s="23" t="str">
        <x:v>Narrowly highest level Pearson, but the gain versus both 50/50 and SFO is immaterial; rank and acceleration tests do not improve.</x:v>
      </x:c>
      <x:c r="O7" s="23" t="str">
        <x:v>Use as the economically correct primary specification, then validate prospectively rather than claiming new edge.</x:v>
      </x:c>
    </x:row>
    <x:row r="8" ht="62" customHeight="1">
      <x:c r="A8" s="23" t="n">
        <x:v>2</x:v>
      </x:c>
      <x:c r="B8" s="23" t="str">
        <x:v>US_SFO_T3M_YOY</x:v>
      </x:c>
      <x:c r="C8" s="23" t="str">
        <x:v>U.S. airport activity — SFO trailing 3-month YoY</x:v>
      </x:c>
      <x:c r="D8" s="23" t="n">
        <x:v>17</x:v>
      </x:c>
      <x:c r="E8" s="50" t="n">
        <x:v>0</x:v>
      </x:c>
      <x:c r="F8" s="23" t="n">
        <x:v>16</x:v>
      </x:c>
      <x:c r="G8" s="51" t="n">
        <x:v>0.7814175538227165</x:v>
      </x:c>
      <x:c r="H8" s="51" t="n">
        <x:v>0.42058823529411765</x:v>
      </x:c>
      <x:c r="I8" s="51" t="n">
        <x:v>15</x:v>
      </x:c>
      <x:c r="J8" s="51" t="n">
        <x:v>-0.647627656261942</x:v>
      </x:c>
      <x:c r="K8" s="51" t="n">
        <x:v>-0.4607142857142857</x:v>
      </x:c>
      <x:c r="L8" s="51" t="n">
        <x:v>15</x:v>
      </x:c>
      <x:c r="M8" s="52" t="n">
        <x:v>0.5333333333333333</x:v>
      </x:c>
      <x:c r="N8" s="23" t="str">
        <x:v>Highest guidance-level relationship in this sample; acceleration relationship is negative and direction agreement is only modest.</x:v>
      </x:c>
      <x:c r="O8" s="23" t="str">
        <x:v>Keep as the U.S. activity anchor, then add a second independently governed airport before calling it a U.S. breadth factor.</x:v>
      </x:c>
    </x:row>
    <x:row r="9" ht="62" customHeight="1">
      <x:c r="A9" s="23" t="n">
        <x:v>3</x:v>
      </x:c>
      <x:c r="B9" s="23" t="str">
        <x:v>US_EU_50_50_COMPOSITE</x:v>
      </x:c>
      <x:c r="C9" s="23" t="str">
        <x:v>Equal-weight U.S. airport + EU platform-nights composite</x:v>
      </x:c>
      <x:c r="D9" s="23" t="n">
        <x:v>17</x:v>
      </x:c>
      <x:c r="E9" s="50" t="n">
        <x:v>0</x:v>
      </x:c>
      <x:c r="F9" s="23" t="n">
        <x:v>16</x:v>
      </x:c>
      <x:c r="G9" s="51" t="n">
        <x:v>0.7765794502572413</x:v>
      </x:c>
      <x:c r="H9" s="51" t="n">
        <x:v>0.38823529411764707</x:v>
      </x:c>
      <x:c r="I9" s="51" t="n">
        <x:v>15</x:v>
      </x:c>
      <x:c r="J9" s="51" t="n">
        <x:v>-0.6196703073941663</x:v>
      </x:c>
      <x:c r="K9" s="51" t="n">
        <x:v>-0.5035714285714286</x:v>
      </x:c>
      <x:c r="L9" s="51" t="n">
        <x:v>15</x:v>
      </x:c>
      <x:c r="M9" s="52" t="n">
        <x:v>0.5333333333333333</x:v>
      </x:c>
      <x:c r="N9" s="23" t="str">
        <x:v>Equal weighting is retained only as a benchmark; it is not Airbnb's disclosed geographic mix.</x:v>
      </x:c>
      <x:c r="O9" s="23" t="str">
        <x:v>Use only as the control against the point-in-time revenue-weighted specification.</x:v>
      </x:c>
    </x:row>
    <x:row r="10" ht="62" customHeight="1">
      <x:c r="A10" s="23" t="n">
        <x:v>4</x:v>
      </x:c>
      <x:c r="B10" s="23" t="str">
        <x:v>EU_PLATFORM_T3M_YOY</x:v>
      </x:c>
      <x:c r="C10" s="23" t="str">
        <x:v>EU27 collaborative-platform nights trailing 3-month YoY</x:v>
      </x:c>
      <x:c r="D10" s="23" t="n">
        <x:v>23</x:v>
      </x:c>
      <x:c r="E10" s="50" t="n">
        <x:v>0</x:v>
      </x:c>
      <x:c r="F10" s="23" t="n">
        <x:v>16</x:v>
      </x:c>
      <x:c r="G10" s="51" t="n">
        <x:v>0.7252353818401869</x:v>
      </x:c>
      <x:c r="H10" s="51" t="n">
        <x:v>0.38529411764705884</x:v>
      </x:c>
      <x:c r="I10" s="51" t="n">
        <x:v>15</x:v>
      </x:c>
      <x:c r="J10" s="51" t="n">
        <x:v>-0.507686528025413</x:v>
      </x:c>
      <x:c r="K10" s="51" t="n">
        <x:v>-0.45714285714285713</x:v>
      </x:c>
      <x:c r="L10" s="51" t="n">
        <x:v>15</x:v>
      </x:c>
      <x:c r="M10" s="52" t="n">
        <x:v>0.4666666666666667</x:v>
      </x:c>
      <x:c r="N10" s="23" t="str">
        <x:v>Strongest independent accommodation-native signal; distinct from general tourism nights.</x:v>
      </x:c>
      <x:c r="O10" s="23" t="str">
        <x:v>Prioritize prospective archiving because this is closest to Airbnb's platform accommodation mechanism.</x:v>
      </x:c>
    </x:row>
    <x:row r="11" ht="62" customHeight="1">
      <x:c r="A11" s="23" t="n">
        <x:v>5</x:v>
      </x:c>
      <x:c r="B11" s="23" t="str">
        <x:v>EU_TOURISM_T3M_YOY</x:v>
      </x:c>
      <x:c r="C11" s="23" t="str">
        <x:v>EU27 total tourism nights trailing 3-month YoY</x:v>
      </x:c>
      <x:c r="D11" s="23" t="n">
        <x:v>9</x:v>
      </x:c>
      <x:c r="E11" s="50" t="n">
        <x:v>0</x:v>
      </x:c>
      <x:c r="F11" s="23" t="n">
        <x:v>9</x:v>
      </x:c>
      <x:c r="G11" s="51" t="n">
        <x:v>0.22784225091795765</x:v>
      </x:c>
      <x:c r="H11" s="51" t="n">
        <x:v>0.18333333333333332</x:v>
      </x:c>
      <x:c r="I11" s="51" t="n">
        <x:v>9</x:v>
      </x:c>
      <x:c r="J11" s="51" t="n">
        <x:v>0.13238662491553954</x:v>
      </x:c>
      <x:c r="K11" s="51" t="n">
        <x:v>-0.03333333333333333</x:v>
      </x:c>
      <x:c r="L11" s="51" t="n">
        <x:v>8</x:v>
      </x:c>
      <x:c r="M11" s="52" t="n">
        <x:v>0.5</x:v>
      </x:c>
      <x:c r="N11" s="23" t="str">
        <x:v>Weak guidance-level relationship in a shorter nine-event sample.</x:v>
      </x:c>
      <x:c r="O11" s="23" t="str">
        <x:v>Use as a macro tourism control, not the primary predictor.</x:v>
      </x:c>
    </x:row>
    <x:row r="12" ht="62" customHeight="1">
      <x:c r="A12" s="23" t="n">
        <x:v>6</x:v>
      </x:c>
      <x:c r="B12" s="23" t="str">
        <x:v>EU_PLATFORM_MINUS_TOURISM</x:v>
      </x:c>
      <x:c r="C12" s="23" t="str">
        <x:v>EU platform-night growth minus total-tourism growth</x:v>
      </x:c>
      <x:c r="D12" s="23" t="n">
        <x:v>9</x:v>
      </x:c>
      <x:c r="E12" s="50" t="n">
        <x:v>0</x:v>
      </x:c>
      <x:c r="F12" s="23" t="n">
        <x:v>9</x:v>
      </x:c>
      <x:c r="G12" s="51" t="n">
        <x:v>-0.5260512012344686</x:v>
      </x:c>
      <x:c r="H12" s="51" t="n">
        <x:v>-0.25</x:v>
      </x:c>
      <x:c r="I12" s="51" t="n">
        <x:v>9</x:v>
      </x:c>
      <x:c r="J12" s="51" t="n">
        <x:v>-0.31901871525503744</x:v>
      </x:c>
      <x:c r="K12" s="51" t="n">
        <x:v>-0.43333333333333335</x:v>
      </x:c>
      <x:c r="L12" s="51" t="n">
        <x:v>8</x:v>
      </x:c>
      <x:c r="M12" s="52" t="n">
        <x:v>0.5</x:v>
      </x:c>
      <x:c r="N12" s="23" t="str">
        <x:v>Negative relationship in a short sample; may represent platform-share mix rather than revenue growth.</x:v>
      </x:c>
      <x:c r="O12" s="23" t="str">
        <x:v>Treat as a regime/mix diagnostic and preregister its expected sign before testing.</x:v>
      </x:c>
    </x:row>
  </x:sheetData>
  <x:mergeCells>
    <x:mergeCell ref="A1:O2"/>
    <x:mergeCell ref="A3:O3"/>
  </x:mergeCells>
  <x:conditionalFormatting sqref="G7:G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2fab66eed245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9" hidden="0" customWidth="1"/>
    <x:col min="4" max="4" width="20" hidden="0" customWidth="1"/>
    <x:col min="5" max="5" width="19" hidden="0" customWidth="1"/>
    <x:col min="6" max="6" width="18" hidden="0" customWidth="1"/>
    <x:col min="7" max="7" width="19" hidden="0" customWidth="1"/>
    <x:col min="8" max="8" width="21" hidden="0" customWidth="1"/>
    <x:col min="9" max="9" width="64" hidden="0" customWidth="1"/>
    <x:col min="10" max="10" width="62" hidden="0" customWidth="1"/>
  </x:cols>
  <x:sheetData>
    <x:row r="1" ht="25" customHeight="1">
      <x:c r="A1" s="3" t="str">
        <x:v>Point-in-time U.S. / EMEA revenue weights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2" customHeight="1">
      <x:c r="A3" s="7" t="str">
        <x:v>Airbnb does not disclose Europe-only revenue. EMEA is the closest official proxy; weights are normalized within the two modeled sleeves and never fitted to guidance outcomes.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6">
      <x:c r="A6" s="16" t="str">
        <x:v>Fiscal year</x:v>
      </x:c>
      <x:c r="B6" s="17" t="str">
        <x:v>10-K accepted (UTC)</x:v>
      </x:c>
      <x:c r="C6" s="17" t="str">
        <x:v>U.S. revenue ($mm)</x:v>
      </x:c>
      <x:c r="D6" s="17" t="str">
        <x:v>EMEA revenue ($mm)</x:v>
      </x:c>
      <x:c r="E6" s="17" t="str">
        <x:v>Total revenue ($mm)</x:v>
      </x:c>
      <x:c r="F6" s="17" t="str">
        <x:v>U.S. sleeve weight</x:v>
      </x:c>
      <x:c r="G6" s="17" t="str">
        <x:v>EMEA sleeve weight</x:v>
      </x:c>
      <x:c r="H6" s="17" t="str">
        <x:v>Covered revenue share</x:v>
      </x:c>
      <x:c r="I6" s="17" t="str">
        <x:v>Scope</x:v>
      </x:c>
      <x:c r="J6" s="18" t="str">
        <x:v>Official filing</x:v>
      </x:c>
    </x:row>
    <x:row r="7">
      <x:c r="A7" s="23" t="n">
        <x:v>2021</x:v>
      </x:c>
      <x:c r="B7" s="24" t="n">
        <x:v>44617.88138888889</x:v>
      </x:c>
      <x:c r="C7" s="38" t="n">
        <x:v>2996</x:v>
      </x:c>
      <x:c r="D7" s="38" t="n">
        <x:v>1931</x:v>
      </x:c>
      <x:c r="E7" s="38" t="n">
        <x:v>5992</x:v>
      </x:c>
      <x:c r="F7" s="54" t="n">
        <x:f>C7/(C7+D7)</x:f>
        <x:v>0.6080779378932413</x:v>
      </x:c>
      <x:c r="G7" s="54" t="n">
        <x:f>D7/(C7+D7)</x:f>
        <x:v>0.3919220621067587</x:v>
      </x:c>
      <x:c r="H7" s="54" t="n">
        <x:f>(C7+D7)/E7</x:f>
        <x:v>0.8222630173564753</x:v>
      </x:c>
      <x:c r="I7" s="23" t="str">
        <x:v>Normalized within U.S. + EMEA covered sleeves; EMEA is the official proxy for Europe.</x:v>
      </x:c>
      <x:c r="J7" s="23" t="str">
        <x:v>https://www.sec.gov/Archives/edgar/data/1559720/000155972022000006/abnb-20211231.htm</x:v>
      </x:c>
    </x:row>
    <x:row r="8">
      <x:c r="A8" s="23" t="n">
        <x:v>2022</x:v>
      </x:c>
      <x:c r="B8" s="24" t="n">
        <x:v>44974.879907407405</x:v>
      </x:c>
      <x:c r="C8" s="38" t="n">
        <x:v>3890</x:v>
      </x:c>
      <x:c r="D8" s="38" t="n">
        <x:v>2924</x:v>
      </x:c>
      <x:c r="E8" s="38" t="n">
        <x:v>8399</x:v>
      </x:c>
      <x:c r="F8" s="54" t="n">
        <x:f>C8/(C8+D8)</x:f>
        <x:v>0.5708834751981215</x:v>
      </x:c>
      <x:c r="G8" s="54" t="n">
        <x:f>D8/(C8+D8)</x:f>
        <x:v>0.4291165248018785</x:v>
      </x:c>
      <x:c r="H8" s="54" t="n">
        <x:f>(C8+D8)/E8</x:f>
        <x:v>0.8112870579830932</x:v>
      </x:c>
      <x:c r="I8" s="23" t="str">
        <x:v>Normalized within U.S. + EMEA covered sleeves; EMEA is the official proxy for Europe.</x:v>
      </x:c>
      <x:c r="J8" s="23" t="str">
        <x:v>https://www.sec.gov/Archives/edgar/data/1559720/000155972023000003/abnb-20221231.htm</x:v>
      </x:c>
    </x:row>
    <x:row r="9">
      <x:c r="A9" s="23" t="n">
        <x:v>2023</x:v>
      </x:c>
      <x:c r="B9" s="24" t="n">
        <x:v>45338.87657407407</x:v>
      </x:c>
      <x:c r="C9" s="38" t="n">
        <x:v>4290</x:v>
      </x:c>
      <x:c r="D9" s="38" t="n">
        <x:v>3615</x:v>
      </x:c>
      <x:c r="E9" s="38" t="n">
        <x:v>9917</x:v>
      </x:c>
      <x:c r="F9" s="54" t="n">
        <x:f>C9/(C9+D9)</x:f>
        <x:v>0.5426944971537002</x:v>
      </x:c>
      <x:c r="G9" s="54" t="n">
        <x:f>D9/(C9+D9)</x:f>
        <x:v>0.4573055028462998</x:v>
      </x:c>
      <x:c r="H9" s="54" t="n">
        <x:f>(C9+D9)/E9</x:f>
        <x:v>0.7971160633256025</x:v>
      </x:c>
      <x:c r="I9" s="23" t="str">
        <x:v>Normalized within U.S. + EMEA covered sleeves; EMEA is the official proxy for Europe.</x:v>
      </x:c>
      <x:c r="J9" s="23" t="str">
        <x:v>https://www.sec.gov/Archives/edgar/data/1559720/000155972024000006/abnb-20231231.htm</x:v>
      </x:c>
    </x:row>
    <x:row r="10">
      <x:c r="A10" s="23" t="n">
        <x:v>2024</x:v>
      </x:c>
      <x:c r="B10" s="24" t="n">
        <x:v>45701.87810185185</x:v>
      </x:c>
      <x:c r="C10" s="38" t="n">
        <x:v>4640</x:v>
      </x:c>
      <x:c r="D10" s="38" t="n">
        <x:v>4135</x:v>
      </x:c>
      <x:c r="E10" s="38" t="n">
        <x:v>10842</x:v>
      </x:c>
      <x:c r="F10" s="54" t="n">
        <x:f>C10/(C10+D10)</x:f>
        <x:v>0.5287749287749288</x:v>
      </x:c>
      <x:c r="G10" s="54" t="n">
        <x:f>D10/(C10+D10)</x:f>
        <x:v>0.47122507122507123</x:v>
      </x:c>
      <x:c r="H10" s="54" t="n">
        <x:f>(C10+D10)/E10</x:f>
        <x:v>0.8093525179856115</x:v>
      </x:c>
      <x:c r="I10" s="23" t="str">
        <x:v>Normalized within U.S. + EMEA covered sleeves; EMEA is the official proxy for Europe.</x:v>
      </x:c>
      <x:c r="J10" s="23" t="str">
        <x:v>https://www.sec.gov/Archives/edgar/data/1559720/000155972025000010/abnb-20241231.htm</x:v>
      </x:c>
    </x:row>
    <x:row r="11">
      <x:c r="A11" s="23" t="n">
        <x:v>2025</x:v>
      </x:c>
      <x:c r="B11" s="24" t="n">
        <x:v>46065.878229166665</x:v>
      </x:c>
      <x:c r="C11" s="38" t="n">
        <x:v>4814</x:v>
      </x:c>
      <x:c r="D11" s="38" t="n">
        <x:v>4729</x:v>
      </x:c>
      <x:c r="E11" s="38" t="n">
        <x:v>12241</x:v>
      </x:c>
      <x:c r="F11" s="54" t="n">
        <x:f>C11/(C11+D11)</x:f>
        <x:v>0.5044535261448182</x:v>
      </x:c>
      <x:c r="G11" s="54" t="n">
        <x:f>D11/(C11+D11)</x:f>
        <x:v>0.4955464738551818</x:v>
      </x:c>
      <x:c r="H11" s="54" t="n">
        <x:f>(C11+D11)/E11</x:f>
        <x:v>0.7795931704926068</x:v>
      </x:c>
      <x:c r="I11" s="23" t="str">
        <x:v>Normalized within U.S. + EMEA covered sleeves; EMEA is the official proxy for Europe.</x:v>
      </x:c>
      <x:c r="J11" s="23" t="str">
        <x:v>https://www.sec.gov/Archives/edgar/data/1559720/000155972026000004/abnb-20251231.htm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ec6573ca2b9340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3" max="3" width="17" hidden="0" customWidth="1"/>
    <x:col min="4" max="4" width="20" hidden="0" customWidth="1"/>
    <x:col min="5" max="5" width="86" hidden="0" customWidth="1"/>
    <x:col min="6" max="6" width="4" hidden="0" customWidth="1"/>
    <x:col min="7" max="7" width="4" hidden="0" customWidth="1"/>
  </x:cols>
  <x:sheetData>
    <x:row r="1" ht="25" customHeight="1">
      <x:c r="A1" s="63" t="str">
        <x:v>Revenue-weighted composite usability score</x:v>
      </x:c>
      <x:c r="B1" s="63"/>
      <x:c r="C1" s="63"/>
      <x:c r="D1" s="63"/>
      <x:c r="E1" s="63"/>
      <x:c r="F1" s="63"/>
      <x:c r="G1" s="63"/>
    </x:row>
    <x:row r="2" ht="25" customHeight="1">
      <x:c r="A2" s="63"/>
      <x:c r="B2" s="63"/>
      <x:c r="C2" s="63"/>
      <x:c r="D2" s="63"/>
      <x:c r="E2" s="63"/>
      <x:c r="F2" s="63"/>
      <x:c r="G2" s="63"/>
    </x:row>
    <x:row r="3" ht="32" customHeight="1">
      <x:c r="A3" s="7" t="str">
        <x:v>A fixed six-part rubric separates economic relevance from evidence quality. Point-in-time integrity carries the largest weight and currently scores zero.</x:v>
      </x:c>
      <x:c r="B3" s="7"/>
      <x:c r="C3" s="7"/>
      <x:c r="D3" s="7"/>
      <x:c r="E3" s="7"/>
      <x:c r="F3" s="7"/>
      <x:c r="G3" s="7"/>
    </x:row>
    <x:row r="4">
      <x:c r="A4" s="23"/>
      <x:c r="B4" s="23"/>
      <x:c r="C4" s="23"/>
      <x:c r="D4" s="23"/>
      <x:c r="E4" s="23"/>
      <x:c r="F4" s="23"/>
      <x:c r="G4" s="23"/>
    </x:row>
    <x:row r="5">
      <x:c r="A5" s="64" t="str">
        <x:v>Weighted scorecard</x:v>
      </x:c>
      <x:c r="B5" s="64"/>
      <x:c r="C5" s="64"/>
      <x:c r="D5" s="64"/>
      <x:c r="E5" s="64"/>
      <x:c r="F5" s="64"/>
      <x:c r="G5" s="64"/>
    </x:row>
    <x:row r="6">
      <x:c r="A6" s="23"/>
      <x:c r="B6" s="23"/>
      <x:c r="C6" s="23"/>
      <x:c r="D6" s="23"/>
      <x:c r="E6" s="23"/>
      <x:c r="F6" s="23"/>
      <x:c r="G6" s="23"/>
    </x:row>
    <x:row r="7">
      <x:c r="A7" s="16" t="str">
        <x:v>Dimension</x:v>
      </x:c>
      <x:c r="B7" s="17" t="str">
        <x:v>Weight</x:v>
      </x:c>
      <x:c r="C7" s="17" t="str">
        <x:v>Score (0–10)</x:v>
      </x:c>
      <x:c r="D7" s="17" t="str">
        <x:v>Weighted points</x:v>
      </x:c>
      <x:c r="E7" s="18" t="str">
        <x:v>Evidence</x:v>
      </x:c>
      <x:c r="F7" s="23"/>
      <x:c r="G7" s="23"/>
    </x:row>
    <x:row r="8">
      <x:c r="A8" s="23" t="str">
        <x:v>Economic directness</x:v>
      </x:c>
      <x:c r="B8" s="52" t="n">
        <x:v>0.2</x:v>
      </x:c>
      <x:c r="C8" s="57" t="n">
        <x:v>8</x:v>
      </x:c>
      <x:c r="D8" s="57" t="n">
        <x:f>B8*C8</x:f>
        <x:v>1.6</x:v>
      </x:c>
      <x:c r="E8" s="23" t="str">
        <x:v>Airport passengers and platform accommodation nights both map directly to travel demand and booked stays.</x:v>
      </x:c>
      <x:c r="F8" s="23"/>
      <x:c r="G8" s="23"/>
    </x:row>
    <x:row r="9">
      <x:c r="A9" s="23" t="str">
        <x:v>Geographic representativeness</x:v>
      </x:c>
      <x:c r="B9" s="52" t="n">
        <x:v>0.2</x:v>
      </x:c>
      <x:c r="C9" s="57" t="n">
        <x:v>5</x:v>
      </x:c>
      <x:c r="D9" s="57" t="n">
        <x:f>B9*C9</x:f>
        <x:v>1</x:v>
      </x:c>
      <x:c r="E9" s="23" t="str">
        <x:v>Official revenue weights improve the mix, but SFO is one U.S. airport and EU27 activity is only a proxy for EMEA.</x:v>
      </x:c>
      <x:c r="F9" s="23"/>
      <x:c r="G9" s="23"/>
    </x:row>
    <x:row r="10">
      <x:c r="A10" s="23" t="str">
        <x:v>Timeliness and frequency</x:v>
      </x:c>
      <x:c r="B10" s="52" t="n">
        <x:v>0.15</x:v>
      </x:c>
      <x:c r="C10" s="57" t="n">
        <x:v>6</x:v>
      </x:c>
      <x:c r="D10" s="57" t="n">
        <x:f>B10*C10</x:f>
        <x:v>0.8999999999999999</x:v>
      </x:c>
      <x:c r="E10" s="23" t="str">
        <x:v>Monthly data are useful, but the diagnostic requires conservative 60-day and 120-day lags.</x:v>
      </x:c>
      <x:c r="F10" s="23"/>
      <x:c r="G10" s="23"/>
    </x:row>
    <x:row r="11">
      <x:c r="A11" s="23" t="str">
        <x:v>Point-in-time integrity</x:v>
      </x:c>
      <x:c r="B11" s="52" t="n">
        <x:v>0.25</x:v>
      </x:c>
      <x:c r="C11" s="57" t="n">
        <x:v>0</x:v>
      </x:c>
      <x:c r="D11" s="57" t="n">
        <x:f>B11*C11</x:f>
        <x:v>0</x:v>
      </x:c>
      <x:c r="E11" s="23" t="str">
        <x:v>Zero strict point-in-time event-feature rows; current snapshots cannot support a historical forecast test.</x:v>
      </x:c>
      <x:c r="F11" s="23"/>
      <x:c r="G11" s="23"/>
    </x:row>
    <x:row r="12">
      <x:c r="A12" s="23" t="str">
        <x:v>Stability and robustness</x:v>
      </x:c>
      <x:c r="B12" s="52" t="n">
        <x:v>0.1</x:v>
      </x:c>
      <x:c r="C12" s="57" t="n">
        <x:v>4</x:v>
      </x:c>
      <x:c r="D12" s="57" t="n">
        <x:f>B12*C12</x:f>
        <x:v>0.4</x:v>
      </x:c>
      <x:c r="E12" s="23" t="str">
        <x:v>Only 16 comparable events; rank correlation is modest and acceleration correlation is unstable.</x:v>
      </x:c>
      <x:c r="F12" s="23"/>
      <x:c r="G12" s="23"/>
    </x:row>
    <x:row r="13">
      <x:c r="A13" s="23" t="str">
        <x:v>Incremental diagnostic value</x:v>
      </x:c>
      <x:c r="B13" s="52" t="n">
        <x:v>0.1</x:v>
      </x:c>
      <x:c r="C13" s="57" t="n">
        <x:v>2</x:v>
      </x:c>
      <x:c r="D13" s="57" t="n">
        <x:f>B13*C13</x:f>
        <x:v>0.2</x:v>
      </x:c>
      <x:c r="E13" s="23" t="str">
        <x:v>Level-Pearson change versus 50/50 is +0.008; versus SFO alone is +0.003.</x:v>
      </x:c>
      <x:c r="F13" s="23"/>
      <x:c r="G13" s="23"/>
    </x:row>
    <x:row r="14">
      <x:c r="A14" s="23"/>
      <x:c r="B14" s="23"/>
      <x:c r="C14" s="23"/>
      <x:c r="D14" s="23"/>
      <x:c r="E14" s="23"/>
      <x:c r="F14" s="23"/>
      <x:c r="G14" s="23"/>
    </x:row>
    <x:row r="15">
      <x:c r="A15" s="65" t="str">
        <x:v>Total usability score</x:v>
      </x:c>
      <x:c r="B15" s="66" t="n">
        <x:f>SUM(D8:D13)</x:f>
        <x:v>4.1</x:v>
      </x:c>
      <x:c r="C15" s="67" t="str">
        <x:v>/10</x:v>
      </x:c>
      <x:c r="D15" s="67"/>
      <x:c r="E15" s="67"/>
      <x:c r="F15" s="23"/>
      <x:c r="G15" s="23"/>
    </x:row>
    <x:row r="16">
      <x:c r="A16" s="65" t="str">
        <x:v>Rating</x:v>
      </x:c>
      <x:c r="B16" s="67" t="str">
        <x:v>Research/hypothesis use only</x:v>
      </x:c>
      <x:c r="C16" s="67"/>
      <x:c r="D16" s="67"/>
      <x:c r="E16" s="67"/>
      <x:c r="F16" s="23"/>
      <x:c r="G16" s="23"/>
    </x:row>
    <x:row r="17">
      <x:c r="A17" s="65" t="str">
        <x:v>Forecast deployment gate</x:v>
      </x:c>
      <x:c r="B17" s="68" t="str">
        <x:v>FAIL — zero strict point-in-time rows</x:v>
      </x:c>
      <x:c r="C17" s="68"/>
      <x:c r="D17" s="68"/>
      <x:c r="E17" s="68"/>
      <x:c r="F17" s="23"/>
      <x:c r="G17" s="23"/>
    </x:row>
    <x:row r="18">
      <x:c r="A18" s="23"/>
      <x:c r="B18" s="23"/>
      <x:c r="C18" s="23"/>
      <x:c r="D18" s="23"/>
      <x:c r="E18" s="23"/>
      <x:c r="F18" s="23"/>
      <x:c r="G18" s="23"/>
    </x:row>
    <x:row r="19">
      <x:c r="A19" s="23"/>
      <x:c r="B19" s="23"/>
      <x:c r="C19" s="23"/>
      <x:c r="D19" s="23"/>
      <x:c r="E19" s="23"/>
      <x:c r="F19" s="23"/>
      <x:c r="G19" s="23"/>
    </x:row>
    <x:row r="20">
      <x:c r="A20" s="64" t="str">
        <x:v>Observed diagnostic test</x:v>
      </x:c>
      <x:c r="B20" s="64"/>
      <x:c r="C20" s="64"/>
      <x:c r="D20" s="64"/>
      <x:c r="E20" s="64"/>
      <x:c r="F20" s="64"/>
      <x:c r="G20" s="64"/>
    </x:row>
    <x:row r="21">
      <x:c r="A21" s="23"/>
      <x:c r="B21" s="23"/>
      <x:c r="C21" s="23"/>
      <x:c r="D21" s="23"/>
      <x:c r="E21" s="23"/>
      <x:c r="F21" s="23"/>
      <x:c r="G21" s="23"/>
    </x:row>
    <x:row r="22">
      <x:c r="A22" s="16" t="str">
        <x:v>Metric</x:v>
      </x:c>
      <x:c r="B22" s="18" t="str">
        <x:v>Result</x:v>
      </x:c>
      <x:c r="C22" s="23"/>
      <x:c r="D22" s="23"/>
      <x:c r="E22" s="23"/>
      <x:c r="F22" s="23"/>
      <x:c r="G22" s="23"/>
    </x:row>
    <x:row r="23">
      <x:c r="A23" s="23" t="str">
        <x:v>Guidance-level Pearson</x:v>
      </x:c>
      <x:c r="B23" s="69" t="n">
        <x:v>0.7841064501675482</x:v>
      </x:c>
      <x:c r="C23" s="23"/>
      <x:c r="D23" s="23"/>
      <x:c r="E23" s="23"/>
      <x:c r="F23" s="23"/>
      <x:c r="G23" s="23"/>
    </x:row>
    <x:row r="24">
      <x:c r="A24" s="23" t="str">
        <x:v>Guidance-level Spearman</x:v>
      </x:c>
      <x:c r="B24" s="69" t="n">
        <x:v>0.38823529411764707</x:v>
      </x:c>
      <x:c r="C24" s="23"/>
      <x:c r="D24" s="23"/>
      <x:c r="E24" s="23"/>
      <x:c r="F24" s="23"/>
      <x:c r="G24" s="23"/>
    </x:row>
    <x:row r="25">
      <x:c r="A25" s="23" t="str">
        <x:v>Pearson delta vs 50/50</x:v>
      </x:c>
      <x:c r="B25" s="69" t="n">
        <x:v>0.00752699991030692</x:v>
      </x:c>
      <x:c r="C25" s="23"/>
      <x:c r="D25" s="23"/>
      <x:c r="E25" s="23"/>
      <x:c r="F25" s="23"/>
      <x:c r="G25" s="23"/>
    </x:row>
    <x:row r="26">
      <x:c r="A26" s="23" t="str">
        <x:v>Pearson delta vs SFO</x:v>
      </x:c>
      <x:c r="B26" s="69" t="n">
        <x:v>0.002688896344831715</x:v>
      </x:c>
      <x:c r="C26" s="23"/>
      <x:c r="D26" s="23"/>
      <x:c r="E26" s="23"/>
      <x:c r="F26" s="23"/>
      <x:c r="G26" s="23"/>
    </x:row>
    <x:row r="27">
      <x:c r="A27" s="23" t="str">
        <x:v>Acceleration Pearson</x:v>
      </x:c>
      <x:c r="B27" s="69" t="n">
        <x:v>-0.6270051347600837</x:v>
      </x:c>
      <x:c r="C27" s="23"/>
      <x:c r="D27" s="23"/>
      <x:c r="E27" s="23"/>
      <x:c r="F27" s="23"/>
      <x:c r="G27" s="23"/>
    </x:row>
    <x:row r="28">
      <x:c r="A28" s="23" t="str">
        <x:v>Direction concordance</x:v>
      </x:c>
      <x:c r="B28" s="70" t="n">
        <x:v>0.5333333333333333</x:v>
      </x:c>
      <x:c r="C28" s="23"/>
      <x:c r="D28" s="23"/>
      <x:c r="E28" s="23"/>
      <x:c r="F28" s="23"/>
      <x:c r="G28" s="23"/>
    </x:row>
  </x:sheetData>
  <x:mergeCells>
    <x:mergeCell ref="A1:G2"/>
    <x:mergeCell ref="A3:G3"/>
    <x:mergeCell ref="A5:G5"/>
    <x:mergeCell ref="A20:G20"/>
  </x:mergeCells>
  <x:pageMargins left="0.7" right="0.7" top="0.75" bottom="0.75" header="0.3" footer="0.3"/>
  <x:tableParts count="1">
    <x:tablePart xmlns:r="http://schemas.openxmlformats.org/officeDocument/2006/relationships" r:id="Re223d01d6bd54f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9" hidden="0" customWidth="1"/>
    <x:col min="4" max="4" width="16" hidden="0" customWidth="1"/>
    <x:col min="5" max="5" width="42" hidden="0" customWidth="1"/>
    <x:col min="6" max="6" width="16" hidden="0" customWidth="1"/>
    <x:col min="7" max="7" width="38" hidden="0" customWidth="1"/>
    <x:col min="8" max="8" width="18" hidden="0" customWidth="1"/>
    <x:col min="9" max="9" width="27" hidden="0" customWidth="1"/>
    <x:col min="10" max="10" width="15" hidden="0" customWidth="1"/>
    <x:col min="11" max="11" width="15" hidden="0" customWidth="1"/>
    <x:col min="12" max="12" width="23" hidden="0" customWidth="1"/>
    <x:col min="13" max="13" width="23" hidden="0" customWidth="1"/>
    <x:col min="14" max="14" width="23" hidden="0" customWidth="1"/>
    <x:col min="15" max="15" width="18" hidden="0" customWidth="1"/>
    <x:col min="16" max="16" width="36" hidden="0" customWidth="1"/>
  </x:cols>
  <x:sheetData>
    <x:row r="1" ht="25" customHeight="1">
      <x:c r="A1" s="3" t="str">
        <x:v>Compiled U.S. and European observations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2" customHeight="1">
      <x:c r="A3" s="7" t="str">
        <x:v>A normalized 525-row research dataset: SFO airport passengers plus EU27 collaborative-platform and total-tourism nights.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6">
      <x:c r="A6" s="16" t="str">
        <x:v>Observation ID</x:v>
      </x:c>
      <x:c r="B6" s="17" t="str">
        <x:v>Source ID</x:v>
      </x:c>
      <x:c r="C6" s="17" t="str">
        <x:v>Provider</x:v>
      </x:c>
      <x:c r="D6" s="17" t="str">
        <x:v>Region</x:v>
      </x:c>
      <x:c r="E6" s="17" t="str">
        <x:v>Geography</x:v>
      </x:c>
      <x:c r="F6" s="17" t="str">
        <x:v>Reference period</x:v>
      </x:c>
      <x:c r="G6" s="17" t="str">
        <x:v>Metric</x:v>
      </x:c>
      <x:c r="H6" s="17" t="str">
        <x:v>Segment 1</x:v>
      </x:c>
      <x:c r="I6" s="17" t="str">
        <x:v>Segment 2</x:v>
      </x:c>
      <x:c r="J6" s="17" t="str">
        <x:v>Value</x:v>
      </x:c>
      <x:c r="K6" s="17" t="str">
        <x:v>Unit</x:v>
      </x:c>
      <x:c r="L6" s="17" t="str">
        <x:v>Observed first available</x:v>
      </x:c>
      <x:c r="M6" s="17" t="str">
        <x:v>Source loaded at</x:v>
      </x:c>
      <x:c r="N6" s="17" t="str">
        <x:v>Collected at</x:v>
      </x:c>
      <x:c r="O6" s="17" t="str">
        <x:v>Included in feature</x:v>
      </x:c>
      <x:c r="P6" s="18" t="str">
        <x:v>PIT treatment</x:v>
      </x:c>
    </x:row>
    <x:row r="7">
      <x:c r="A7" s="23" t="str">
        <x:v>1c562a287d5eae5ae9e4</x:v>
      </x:c>
      <x:c r="B7" s="23" t="str">
        <x:v>EUROSTAT_PLATFORM_NIGHTS_COUNTRY</x:v>
      </x:c>
      <x:c r="C7" s="23" t="str">
        <x:v>Eurostat</x:v>
      </x:c>
      <x:c r="D7" s="23" t="str">
        <x:v>Europe</x:v>
      </x:c>
      <x:c r="E7" s="23" t="str">
        <x:v>European Union - 27 countries (from 2020)</x:v>
      </x:c>
      <x:c r="F7" s="23" t="str">
        <x:v>2018-01</x:v>
      </x:c>
      <x:c r="G7" s="23" t="str">
        <x:v>Nights spent</x:v>
      </x:c>
      <x:c r="H7" s="23" t="str">
        <x:v>Total</x:v>
      </x:c>
      <x:c r="I7" s="23" t="str">
        <x:v>January</x:v>
      </x:c>
      <x:c r="J7" s="72" t="n">
        <x:v>15529049</x:v>
      </x:c>
      <x:c r="K7" s="23" t="str">
        <x:v>Number</x:v>
      </x:c>
      <x:c r="L7" s="24" t="n">
        <x:v>46268.868252314816</x:v>
      </x:c>
      <x:c r="M7" s="24" t="str">
        <x:v>2026-07-02T11:00:00+0200</x:v>
      </x:c>
      <x:c r="N7" s="24" t="n">
        <x:v>46268.868252314816</x:v>
      </x:c>
      <x:c r="O7" s="40" t="b">
        <x:v>1</x:v>
      </x:c>
      <x:c r="P7" s="42" t="str">
        <x:v>current_snapshot_diagnostic_only</x:v>
      </x:c>
    </x:row>
    <x:row r="8">
      <x:c r="A8" s="23" t="str">
        <x:v>fdcc76580ed5729e05f5</x:v>
      </x:c>
      <x:c r="B8" s="23" t="str">
        <x:v>EUROSTAT_PLATFORM_NIGHTS_COUNTRY</x:v>
      </x:c>
      <x:c r="C8" s="23" t="str">
        <x:v>Eurostat</x:v>
      </x:c>
      <x:c r="D8" s="23" t="str">
        <x:v>Europe</x:v>
      </x:c>
      <x:c r="E8" s="23" t="str">
        <x:v>European Union - 27 countries (from 2020)</x:v>
      </x:c>
      <x:c r="F8" s="23" t="str">
        <x:v>2018-02</x:v>
      </x:c>
      <x:c r="G8" s="23" t="str">
        <x:v>Nights spent</x:v>
      </x:c>
      <x:c r="H8" s="23" t="str">
        <x:v>Total</x:v>
      </x:c>
      <x:c r="I8" s="23" t="str">
        <x:v>February</x:v>
      </x:c>
      <x:c r="J8" s="72" t="n">
        <x:v>18592014</x:v>
      </x:c>
      <x:c r="K8" s="23" t="str">
        <x:v>Number</x:v>
      </x:c>
      <x:c r="L8" s="24" t="n">
        <x:v>46268.868252314816</x:v>
      </x:c>
      <x:c r="M8" s="24" t="str">
        <x:v>2026-07-02T11:00:00+0200</x:v>
      </x:c>
      <x:c r="N8" s="24" t="n">
        <x:v>46268.868252314816</x:v>
      </x:c>
      <x:c r="O8" s="40" t="b">
        <x:v>1</x:v>
      </x:c>
      <x:c r="P8" s="42" t="str">
        <x:v>current_snapshot_diagnostic_only</x:v>
      </x:c>
    </x:row>
    <x:row r="9">
      <x:c r="A9" s="23" t="str">
        <x:v>01cbabcb55c2514efd4e</x:v>
      </x:c>
      <x:c r="B9" s="23" t="str">
        <x:v>EUROSTAT_PLATFORM_NIGHTS_COUNTRY</x:v>
      </x:c>
      <x:c r="C9" s="23" t="str">
        <x:v>Eurostat</x:v>
      </x:c>
      <x:c r="D9" s="23" t="str">
        <x:v>Europe</x:v>
      </x:c>
      <x:c r="E9" s="23" t="str">
        <x:v>European Union - 27 countries (from 2020)</x:v>
      </x:c>
      <x:c r="F9" s="23" t="str">
        <x:v>2018-03</x:v>
      </x:c>
      <x:c r="G9" s="23" t="str">
        <x:v>Nights spent</x:v>
      </x:c>
      <x:c r="H9" s="23" t="str">
        <x:v>Total</x:v>
      </x:c>
      <x:c r="I9" s="23" t="str">
        <x:v>March</x:v>
      </x:c>
      <x:c r="J9" s="72" t="n">
        <x:v>23628485</x:v>
      </x:c>
      <x:c r="K9" s="23" t="str">
        <x:v>Number</x:v>
      </x:c>
      <x:c r="L9" s="24" t="n">
        <x:v>46268.868252314816</x:v>
      </x:c>
      <x:c r="M9" s="24" t="str">
        <x:v>2026-07-02T11:00:00+0200</x:v>
      </x:c>
      <x:c r="N9" s="24" t="n">
        <x:v>46268.868252314816</x:v>
      </x:c>
      <x:c r="O9" s="40" t="b">
        <x:v>1</x:v>
      </x:c>
      <x:c r="P9" s="42" t="str">
        <x:v>current_snapshot_diagnostic_only</x:v>
      </x:c>
    </x:row>
    <x:row r="10">
      <x:c r="A10" s="23" t="str">
        <x:v>c5151f3d58866b420594</x:v>
      </x:c>
      <x:c r="B10" s="23" t="str">
        <x:v>EUROSTAT_PLATFORM_NIGHTS_COUNTRY</x:v>
      </x:c>
      <x:c r="C10" s="23" t="str">
        <x:v>Eurostat</x:v>
      </x:c>
      <x:c r="D10" s="23" t="str">
        <x:v>Europe</x:v>
      </x:c>
      <x:c r="E10" s="23" t="str">
        <x:v>European Union - 27 countries (from 2020)</x:v>
      </x:c>
      <x:c r="F10" s="23" t="str">
        <x:v>2018-04</x:v>
      </x:c>
      <x:c r="G10" s="23" t="str">
        <x:v>Nights spent</x:v>
      </x:c>
      <x:c r="H10" s="23" t="str">
        <x:v>Total</x:v>
      </x:c>
      <x:c r="I10" s="23" t="str">
        <x:v>April</x:v>
      </x:c>
      <x:c r="J10" s="72" t="n">
        <x:v>27942458</x:v>
      </x:c>
      <x:c r="K10" s="23" t="str">
        <x:v>Number</x:v>
      </x:c>
      <x:c r="L10" s="24" t="n">
        <x:v>46268.868252314816</x:v>
      </x:c>
      <x:c r="M10" s="24" t="str">
        <x:v>2026-07-02T11:00:00+0200</x:v>
      </x:c>
      <x:c r="N10" s="24" t="n">
        <x:v>46268.868252314816</x:v>
      </x:c>
      <x:c r="O10" s="40" t="b">
        <x:v>1</x:v>
      </x:c>
      <x:c r="P10" s="42" t="str">
        <x:v>current_snapshot_diagnostic_only</x:v>
      </x:c>
    </x:row>
    <x:row r="11">
      <x:c r="A11" s="23" t="str">
        <x:v>9dc263873be74ed17706</x:v>
      </x:c>
      <x:c r="B11" s="23" t="str">
        <x:v>EUROSTAT_PLATFORM_NIGHTS_COUNTRY</x:v>
      </x:c>
      <x:c r="C11" s="23" t="str">
        <x:v>Eurostat</x:v>
      </x:c>
      <x:c r="D11" s="23" t="str">
        <x:v>Europe</x:v>
      </x:c>
      <x:c r="E11" s="23" t="str">
        <x:v>European Union - 27 countries (from 2020)</x:v>
      </x:c>
      <x:c r="F11" s="23" t="str">
        <x:v>2018-05</x:v>
      </x:c>
      <x:c r="G11" s="23" t="str">
        <x:v>Nights spent</x:v>
      </x:c>
      <x:c r="H11" s="23" t="str">
        <x:v>Total</x:v>
      </x:c>
      <x:c r="I11" s="23" t="str">
        <x:v>May</x:v>
      </x:c>
      <x:c r="J11" s="72" t="n">
        <x:v>34465513</x:v>
      </x:c>
      <x:c r="K11" s="23" t="str">
        <x:v>Number</x:v>
      </x:c>
      <x:c r="L11" s="24" t="n">
        <x:v>46268.868252314816</x:v>
      </x:c>
      <x:c r="M11" s="24" t="str">
        <x:v>2026-07-02T11:00:00+0200</x:v>
      </x:c>
      <x:c r="N11" s="24" t="n">
        <x:v>46268.868252314816</x:v>
      </x:c>
      <x:c r="O11" s="40" t="b">
        <x:v>1</x:v>
      </x:c>
      <x:c r="P11" s="42" t="str">
        <x:v>current_snapshot_diagnostic_only</x:v>
      </x:c>
    </x:row>
    <x:row r="12">
      <x:c r="A12" s="23" t="str">
        <x:v>7314ff9a612408042c63</x:v>
      </x:c>
      <x:c r="B12" s="23" t="str">
        <x:v>EUROSTAT_PLATFORM_NIGHTS_COUNTRY</x:v>
      </x:c>
      <x:c r="C12" s="23" t="str">
        <x:v>Eurostat</x:v>
      </x:c>
      <x:c r="D12" s="23" t="str">
        <x:v>Europe</x:v>
      </x:c>
      <x:c r="E12" s="23" t="str">
        <x:v>European Union - 27 countries (from 2020)</x:v>
      </x:c>
      <x:c r="F12" s="23" t="str">
        <x:v>2018-06</x:v>
      </x:c>
      <x:c r="G12" s="23" t="str">
        <x:v>Nights spent</x:v>
      </x:c>
      <x:c r="H12" s="23" t="str">
        <x:v>Total</x:v>
      </x:c>
      <x:c r="I12" s="23" t="str">
        <x:v>June</x:v>
      </x:c>
      <x:c r="J12" s="72" t="n">
        <x:v>43406487</x:v>
      </x:c>
      <x:c r="K12" s="23" t="str">
        <x:v>Number</x:v>
      </x:c>
      <x:c r="L12" s="24" t="n">
        <x:v>46268.868252314816</x:v>
      </x:c>
      <x:c r="M12" s="24" t="str">
        <x:v>2026-07-02T11:00:00+0200</x:v>
      </x:c>
      <x:c r="N12" s="24" t="n">
        <x:v>46268.868252314816</x:v>
      </x:c>
      <x:c r="O12" s="40" t="b">
        <x:v>1</x:v>
      </x:c>
      <x:c r="P12" s="42" t="str">
        <x:v>current_snapshot_diagnostic_only</x:v>
      </x:c>
    </x:row>
    <x:row r="13">
      <x:c r="A13" s="23" t="str">
        <x:v>3316df031d87b0244fcd</x:v>
      </x:c>
      <x:c r="B13" s="23" t="str">
        <x:v>EUROSTAT_PLATFORM_NIGHTS_COUNTRY</x:v>
      </x:c>
      <x:c r="C13" s="23" t="str">
        <x:v>Eurostat</x:v>
      </x:c>
      <x:c r="D13" s="23" t="str">
        <x:v>Europe</x:v>
      </x:c>
      <x:c r="E13" s="23" t="str">
        <x:v>European Union - 27 countries (from 2020)</x:v>
      </x:c>
      <x:c r="F13" s="23" t="str">
        <x:v>2018-07</x:v>
      </x:c>
      <x:c r="G13" s="23" t="str">
        <x:v>Nights spent</x:v>
      </x:c>
      <x:c r="H13" s="23" t="str">
        <x:v>Total</x:v>
      </x:c>
      <x:c r="I13" s="23" t="str">
        <x:v>July</x:v>
      </x:c>
      <x:c r="J13" s="72" t="n">
        <x:v>76117667</x:v>
      </x:c>
      <x:c r="K13" s="23" t="str">
        <x:v>Number</x:v>
      </x:c>
      <x:c r="L13" s="24" t="n">
        <x:v>46268.868252314816</x:v>
      </x:c>
      <x:c r="M13" s="24" t="str">
        <x:v>2026-07-02T11:00:00+0200</x:v>
      </x:c>
      <x:c r="N13" s="24" t="n">
        <x:v>46268.868252314816</x:v>
      </x:c>
      <x:c r="O13" s="40" t="b">
        <x:v>1</x:v>
      </x:c>
      <x:c r="P13" s="42" t="str">
        <x:v>current_snapshot_diagnostic_only</x:v>
      </x:c>
    </x:row>
    <x:row r="14">
      <x:c r="A14" s="23" t="str">
        <x:v>238ec29644e8f7fc7963</x:v>
      </x:c>
      <x:c r="B14" s="23" t="str">
        <x:v>EUROSTAT_PLATFORM_NIGHTS_COUNTRY</x:v>
      </x:c>
      <x:c r="C14" s="23" t="str">
        <x:v>Eurostat</x:v>
      </x:c>
      <x:c r="D14" s="23" t="str">
        <x:v>Europe</x:v>
      </x:c>
      <x:c r="E14" s="23" t="str">
        <x:v>European Union - 27 countries (from 2020)</x:v>
      </x:c>
      <x:c r="F14" s="23" t="str">
        <x:v>2018-08</x:v>
      </x:c>
      <x:c r="G14" s="23" t="str">
        <x:v>Nights spent</x:v>
      </x:c>
      <x:c r="H14" s="23" t="str">
        <x:v>Total</x:v>
      </x:c>
      <x:c r="I14" s="23" t="str">
        <x:v>August</x:v>
      </x:c>
      <x:c r="J14" s="72" t="n">
        <x:v>83546771</x:v>
      </x:c>
      <x:c r="K14" s="23" t="str">
        <x:v>Number</x:v>
      </x:c>
      <x:c r="L14" s="24" t="n">
        <x:v>46268.868252314816</x:v>
      </x:c>
      <x:c r="M14" s="24" t="str">
        <x:v>2026-07-02T11:00:00+0200</x:v>
      </x:c>
      <x:c r="N14" s="24" t="n">
        <x:v>46268.868252314816</x:v>
      </x:c>
      <x:c r="O14" s="40" t="b">
        <x:v>1</x:v>
      </x:c>
      <x:c r="P14" s="42" t="str">
        <x:v>current_snapshot_diagnostic_only</x:v>
      </x:c>
    </x:row>
    <x:row r="15">
      <x:c r="A15" s="23" t="str">
        <x:v>9abbda9cf312c939c47a</x:v>
      </x:c>
      <x:c r="B15" s="23" t="str">
        <x:v>EUROSTAT_PLATFORM_NIGHTS_COUNTRY</x:v>
      </x:c>
      <x:c r="C15" s="23" t="str">
        <x:v>Eurostat</x:v>
      </x:c>
      <x:c r="D15" s="23" t="str">
        <x:v>Europe</x:v>
      </x:c>
      <x:c r="E15" s="23" t="str">
        <x:v>European Union - 27 countries (from 2020)</x:v>
      </x:c>
      <x:c r="F15" s="23" t="str">
        <x:v>2018-09</x:v>
      </x:c>
      <x:c r="G15" s="23" t="str">
        <x:v>Nights spent</x:v>
      </x:c>
      <x:c r="H15" s="23" t="str">
        <x:v>Total</x:v>
      </x:c>
      <x:c r="I15" s="23" t="str">
        <x:v>September</x:v>
      </x:c>
      <x:c r="J15" s="72" t="n">
        <x:v>43132226</x:v>
      </x:c>
      <x:c r="K15" s="23" t="str">
        <x:v>Number</x:v>
      </x:c>
      <x:c r="L15" s="24" t="n">
        <x:v>46268.868252314816</x:v>
      </x:c>
      <x:c r="M15" s="24" t="str">
        <x:v>2026-07-02T11:00:00+0200</x:v>
      </x:c>
      <x:c r="N15" s="24" t="n">
        <x:v>46268.868252314816</x:v>
      </x:c>
      <x:c r="O15" s="40" t="b">
        <x:v>1</x:v>
      </x:c>
      <x:c r="P15" s="42" t="str">
        <x:v>current_snapshot_diagnostic_only</x:v>
      </x:c>
    </x:row>
    <x:row r="16">
      <x:c r="A16" s="23" t="str">
        <x:v>cfc02fbb6410c6d4f268</x:v>
      </x:c>
      <x:c r="B16" s="23" t="str">
        <x:v>EUROSTAT_PLATFORM_NIGHTS_COUNTRY</x:v>
      </x:c>
      <x:c r="C16" s="23" t="str">
        <x:v>Eurostat</x:v>
      </x:c>
      <x:c r="D16" s="23" t="str">
        <x:v>Europe</x:v>
      </x:c>
      <x:c r="E16" s="23" t="str">
        <x:v>European Union - 27 countries (from 2020)</x:v>
      </x:c>
      <x:c r="F16" s="23" t="str">
        <x:v>2018-10</x:v>
      </x:c>
      <x:c r="G16" s="23" t="str">
        <x:v>Nights spent</x:v>
      </x:c>
      <x:c r="H16" s="23" t="str">
        <x:v>Total</x:v>
      </x:c>
      <x:c r="I16" s="23" t="str">
        <x:v>October</x:v>
      </x:c>
      <x:c r="J16" s="72" t="n">
        <x:v>31947547</x:v>
      </x:c>
      <x:c r="K16" s="23" t="str">
        <x:v>Number</x:v>
      </x:c>
      <x:c r="L16" s="24" t="n">
        <x:v>46268.868252314816</x:v>
      </x:c>
      <x:c r="M16" s="24" t="str">
        <x:v>2026-07-02T11:00:00+0200</x:v>
      </x:c>
      <x:c r="N16" s="24" t="n">
        <x:v>46268.868252314816</x:v>
      </x:c>
      <x:c r="O16" s="40" t="b">
        <x:v>1</x:v>
      </x:c>
      <x:c r="P16" s="42" t="str">
        <x:v>current_snapshot_diagnostic_only</x:v>
      </x:c>
    </x:row>
    <x:row r="17">
      <x:c r="A17" s="23" t="str">
        <x:v>78cf7b2f1b860f17a768</x:v>
      </x:c>
      <x:c r="B17" s="23" t="str">
        <x:v>EUROSTAT_PLATFORM_NIGHTS_COUNTRY</x:v>
      </x:c>
      <x:c r="C17" s="23" t="str">
        <x:v>Eurostat</x:v>
      </x:c>
      <x:c r="D17" s="23" t="str">
        <x:v>Europe</x:v>
      </x:c>
      <x:c r="E17" s="23" t="str">
        <x:v>European Union - 27 countries (from 2020)</x:v>
      </x:c>
      <x:c r="F17" s="23" t="str">
        <x:v>2018-11</x:v>
      </x:c>
      <x:c r="G17" s="23" t="str">
        <x:v>Nights spent</x:v>
      </x:c>
      <x:c r="H17" s="23" t="str">
        <x:v>Total</x:v>
      </x:c>
      <x:c r="I17" s="23" t="str">
        <x:v>November</x:v>
      </x:c>
      <x:c r="J17" s="72" t="n">
        <x:v>18365997</x:v>
      </x:c>
      <x:c r="K17" s="23" t="str">
        <x:v>Number</x:v>
      </x:c>
      <x:c r="L17" s="24" t="n">
        <x:v>46268.868252314816</x:v>
      </x:c>
      <x:c r="M17" s="24" t="str">
        <x:v>2026-07-02T11:00:00+0200</x:v>
      </x:c>
      <x:c r="N17" s="24" t="n">
        <x:v>46268.868252314816</x:v>
      </x:c>
      <x:c r="O17" s="40" t="b">
        <x:v>1</x:v>
      </x:c>
      <x:c r="P17" s="42" t="str">
        <x:v>current_snapshot_diagnostic_only</x:v>
      </x:c>
    </x:row>
    <x:row r="18">
      <x:c r="A18" s="23" t="str">
        <x:v>f159d75805e99265671d</x:v>
      </x:c>
      <x:c r="B18" s="23" t="str">
        <x:v>EUROSTAT_PLATFORM_NIGHTS_COUNTRY</x:v>
      </x:c>
      <x:c r="C18" s="23" t="str">
        <x:v>Eurostat</x:v>
      </x:c>
      <x:c r="D18" s="23" t="str">
        <x:v>Europe</x:v>
      </x:c>
      <x:c r="E18" s="23" t="str">
        <x:v>European Union - 27 countries (from 2020)</x:v>
      </x:c>
      <x:c r="F18" s="23" t="str">
        <x:v>2018-12</x:v>
      </x:c>
      <x:c r="G18" s="23" t="str">
        <x:v>Nights spent</x:v>
      </x:c>
      <x:c r="H18" s="23" t="str">
        <x:v>Total</x:v>
      </x:c>
      <x:c r="I18" s="23" t="str">
        <x:v>December</x:v>
      </x:c>
      <x:c r="J18" s="72" t="n">
        <x:v>25240485</x:v>
      </x:c>
      <x:c r="K18" s="23" t="str">
        <x:v>Number</x:v>
      </x:c>
      <x:c r="L18" s="24" t="n">
        <x:v>46268.868252314816</x:v>
      </x:c>
      <x:c r="M18" s="24" t="str">
        <x:v>2026-07-02T11:00:00+0200</x:v>
      </x:c>
      <x:c r="N18" s="24" t="n">
        <x:v>46268.868252314816</x:v>
      </x:c>
      <x:c r="O18" s="40" t="b">
        <x:v>1</x:v>
      </x:c>
      <x:c r="P18" s="42" t="str">
        <x:v>current_snapshot_diagnostic_only</x:v>
      </x:c>
    </x:row>
    <x:row r="19">
      <x:c r="A19" s="23" t="str">
        <x:v>0c2ed172db1d3f764561</x:v>
      </x:c>
      <x:c r="B19" s="23" t="str">
        <x:v>EUROSTAT_PLATFORM_NIGHTS_COUNTRY</x:v>
      </x:c>
      <x:c r="C19" s="23" t="str">
        <x:v>Eurostat</x:v>
      </x:c>
      <x:c r="D19" s="23" t="str">
        <x:v>Europe</x:v>
      </x:c>
      <x:c r="E19" s="23" t="str">
        <x:v>European Union - 27 countries (from 2020)</x:v>
      </x:c>
      <x:c r="F19" s="23" t="str">
        <x:v>2019-01</x:v>
      </x:c>
      <x:c r="G19" s="23" t="str">
        <x:v>Nights spent</x:v>
      </x:c>
      <x:c r="H19" s="23" t="str">
        <x:v>Total</x:v>
      </x:c>
      <x:c r="I19" s="23" t="str">
        <x:v>January</x:v>
      </x:c>
      <x:c r="J19" s="72" t="n">
        <x:v>18459351</x:v>
      </x:c>
      <x:c r="K19" s="23" t="str">
        <x:v>Number</x:v>
      </x:c>
      <x:c r="L19" s="24" t="n">
        <x:v>46268.868252314816</x:v>
      </x:c>
      <x:c r="M19" s="24" t="str">
        <x:v>2026-07-02T11:00:00+0200</x:v>
      </x:c>
      <x:c r="N19" s="24" t="n">
        <x:v>46268.868252314816</x:v>
      </x:c>
      <x:c r="O19" s="40" t="b">
        <x:v>1</x:v>
      </x:c>
      <x:c r="P19" s="42" t="str">
        <x:v>current_snapshot_diagnostic_only</x:v>
      </x:c>
    </x:row>
    <x:row r="20">
      <x:c r="A20" s="23" t="str">
        <x:v>ef9a8161873f20c71858</x:v>
      </x:c>
      <x:c r="B20" s="23" t="str">
        <x:v>EUROSTAT_PLATFORM_NIGHTS_COUNTRY</x:v>
      </x:c>
      <x:c r="C20" s="23" t="str">
        <x:v>Eurostat</x:v>
      </x:c>
      <x:c r="D20" s="23" t="str">
        <x:v>Europe</x:v>
      </x:c>
      <x:c r="E20" s="23" t="str">
        <x:v>European Union - 27 countries (from 2020)</x:v>
      </x:c>
      <x:c r="F20" s="23" t="str">
        <x:v>2019-02</x:v>
      </x:c>
      <x:c r="G20" s="23" t="str">
        <x:v>Nights spent</x:v>
      </x:c>
      <x:c r="H20" s="23" t="str">
        <x:v>Total</x:v>
      </x:c>
      <x:c r="I20" s="23" t="str">
        <x:v>February</x:v>
      </x:c>
      <x:c r="J20" s="72" t="n">
        <x:v>22020746</x:v>
      </x:c>
      <x:c r="K20" s="23" t="str">
        <x:v>Number</x:v>
      </x:c>
      <x:c r="L20" s="24" t="n">
        <x:v>46268.868252314816</x:v>
      </x:c>
      <x:c r="M20" s="24" t="str">
        <x:v>2026-07-02T11:00:00+0200</x:v>
      </x:c>
      <x:c r="N20" s="24" t="n">
        <x:v>46268.868252314816</x:v>
      </x:c>
      <x:c r="O20" s="40" t="b">
        <x:v>1</x:v>
      </x:c>
      <x:c r="P20" s="42" t="str">
        <x:v>current_snapshot_diagnostic_only</x:v>
      </x:c>
    </x:row>
    <x:row r="21">
      <x:c r="A21" s="23" t="str">
        <x:v>dcc34f21a328d9299d10</x:v>
      </x:c>
      <x:c r="B21" s="23" t="str">
        <x:v>EUROSTAT_PLATFORM_NIGHTS_COUNTRY</x:v>
      </x:c>
      <x:c r="C21" s="23" t="str">
        <x:v>Eurostat</x:v>
      </x:c>
      <x:c r="D21" s="23" t="str">
        <x:v>Europe</x:v>
      </x:c>
      <x:c r="E21" s="23" t="str">
        <x:v>European Union - 27 countries (from 2020)</x:v>
      </x:c>
      <x:c r="F21" s="23" t="str">
        <x:v>2019-03</x:v>
      </x:c>
      <x:c r="G21" s="23" t="str">
        <x:v>Nights spent</x:v>
      </x:c>
      <x:c r="H21" s="23" t="str">
        <x:v>Total</x:v>
      </x:c>
      <x:c r="I21" s="23" t="str">
        <x:v>March</x:v>
      </x:c>
      <x:c r="J21" s="72" t="n">
        <x:v>24009578</x:v>
      </x:c>
      <x:c r="K21" s="23" t="str">
        <x:v>Number</x:v>
      </x:c>
      <x:c r="L21" s="24" t="n">
        <x:v>46268.868252314816</x:v>
      </x:c>
      <x:c r="M21" s="24" t="str">
        <x:v>2026-07-02T11:00:00+0200</x:v>
      </x:c>
      <x:c r="N21" s="24" t="n">
        <x:v>46268.868252314816</x:v>
      </x:c>
      <x:c r="O21" s="40" t="b">
        <x:v>1</x:v>
      </x:c>
      <x:c r="P21" s="42" t="str">
        <x:v>current_snapshot_diagnostic_only</x:v>
      </x:c>
    </x:row>
    <x:row r="22">
      <x:c r="A22" s="23" t="str">
        <x:v>80d0a5f5e850db048b61</x:v>
      </x:c>
      <x:c r="B22" s="23" t="str">
        <x:v>EUROSTAT_PLATFORM_NIGHTS_COUNTRY</x:v>
      </x:c>
      <x:c r="C22" s="23" t="str">
        <x:v>Eurostat</x:v>
      </x:c>
      <x:c r="D22" s="23" t="str">
        <x:v>Europe</x:v>
      </x:c>
      <x:c r="E22" s="23" t="str">
        <x:v>European Union - 27 countries (from 2020)</x:v>
      </x:c>
      <x:c r="F22" s="23" t="str">
        <x:v>2019-04</x:v>
      </x:c>
      <x:c r="G22" s="23" t="str">
        <x:v>Nights spent</x:v>
      </x:c>
      <x:c r="H22" s="23" t="str">
        <x:v>Total</x:v>
      </x:c>
      <x:c r="I22" s="23" t="str">
        <x:v>April</x:v>
      </x:c>
      <x:c r="J22" s="72" t="n">
        <x:v>38096664</x:v>
      </x:c>
      <x:c r="K22" s="23" t="str">
        <x:v>Number</x:v>
      </x:c>
      <x:c r="L22" s="24" t="n">
        <x:v>46268.868252314816</x:v>
      </x:c>
      <x:c r="M22" s="24" t="str">
        <x:v>2026-07-02T11:00:00+0200</x:v>
      </x:c>
      <x:c r="N22" s="24" t="n">
        <x:v>46268.868252314816</x:v>
      </x:c>
      <x:c r="O22" s="40" t="b">
        <x:v>1</x:v>
      </x:c>
      <x:c r="P22" s="42" t="str">
        <x:v>current_snapshot_diagnostic_only</x:v>
      </x:c>
    </x:row>
    <x:row r="23">
      <x:c r="A23" s="23" t="str">
        <x:v>d06448d1bcb7939e5749</x:v>
      </x:c>
      <x:c r="B23" s="23" t="str">
        <x:v>EUROSTAT_PLATFORM_NIGHTS_COUNTRY</x:v>
      </x:c>
      <x:c r="C23" s="23" t="str">
        <x:v>Eurostat</x:v>
      </x:c>
      <x:c r="D23" s="23" t="str">
        <x:v>Europe</x:v>
      </x:c>
      <x:c r="E23" s="23" t="str">
        <x:v>European Union - 27 countries (from 2020)</x:v>
      </x:c>
      <x:c r="F23" s="23" t="str">
        <x:v>2019-05</x:v>
      </x:c>
      <x:c r="G23" s="23" t="str">
        <x:v>Nights spent</x:v>
      </x:c>
      <x:c r="H23" s="23" t="str">
        <x:v>Total</x:v>
      </x:c>
      <x:c r="I23" s="23" t="str">
        <x:v>May</x:v>
      </x:c>
      <x:c r="J23" s="72" t="n">
        <x:v>36750474</x:v>
      </x:c>
      <x:c r="K23" s="23" t="str">
        <x:v>Number</x:v>
      </x:c>
      <x:c r="L23" s="24" t="n">
        <x:v>46268.868252314816</x:v>
      </x:c>
      <x:c r="M23" s="24" t="str">
        <x:v>2026-07-02T11:00:00+0200</x:v>
      </x:c>
      <x:c r="N23" s="24" t="n">
        <x:v>46268.868252314816</x:v>
      </x:c>
      <x:c r="O23" s="40" t="b">
        <x:v>1</x:v>
      </x:c>
      <x:c r="P23" s="42" t="str">
        <x:v>current_snapshot_diagnostic_only</x:v>
      </x:c>
    </x:row>
    <x:row r="24">
      <x:c r="A24" s="23" t="str">
        <x:v>83f1bc8c2b1b0840fdf5</x:v>
      </x:c>
      <x:c r="B24" s="23" t="str">
        <x:v>EUROSTAT_PLATFORM_NIGHTS_COUNTRY</x:v>
      </x:c>
      <x:c r="C24" s="23" t="str">
        <x:v>Eurostat</x:v>
      </x:c>
      <x:c r="D24" s="23" t="str">
        <x:v>Europe</x:v>
      </x:c>
      <x:c r="E24" s="23" t="str">
        <x:v>European Union - 27 countries (from 2020)</x:v>
      </x:c>
      <x:c r="F24" s="23" t="str">
        <x:v>2019-06</x:v>
      </x:c>
      <x:c r="G24" s="23" t="str">
        <x:v>Nights spent</x:v>
      </x:c>
      <x:c r="H24" s="23" t="str">
        <x:v>Total</x:v>
      </x:c>
      <x:c r="I24" s="23" t="str">
        <x:v>June</x:v>
      </x:c>
      <x:c r="J24" s="72" t="n">
        <x:v>53933269</x:v>
      </x:c>
      <x:c r="K24" s="23" t="str">
        <x:v>Number</x:v>
      </x:c>
      <x:c r="L24" s="24" t="n">
        <x:v>46268.868252314816</x:v>
      </x:c>
      <x:c r="M24" s="24" t="str">
        <x:v>2026-07-02T11:00:00+0200</x:v>
      </x:c>
      <x:c r="N24" s="24" t="n">
        <x:v>46268.868252314816</x:v>
      </x:c>
      <x:c r="O24" s="40" t="b">
        <x:v>1</x:v>
      </x:c>
      <x:c r="P24" s="42" t="str">
        <x:v>current_snapshot_diagnostic_only</x:v>
      </x:c>
    </x:row>
    <x:row r="25">
      <x:c r="A25" s="23" t="str">
        <x:v>e62974c0922d4d4ad73b</x:v>
      </x:c>
      <x:c r="B25" s="23" t="str">
        <x:v>EUROSTAT_PLATFORM_NIGHTS_COUNTRY</x:v>
      </x:c>
      <x:c r="C25" s="23" t="str">
        <x:v>Eurostat</x:v>
      </x:c>
      <x:c r="D25" s="23" t="str">
        <x:v>Europe</x:v>
      </x:c>
      <x:c r="E25" s="23" t="str">
        <x:v>European Union - 27 countries (from 2020)</x:v>
      </x:c>
      <x:c r="F25" s="23" t="str">
        <x:v>2019-07</x:v>
      </x:c>
      <x:c r="G25" s="23" t="str">
        <x:v>Nights spent</x:v>
      </x:c>
      <x:c r="H25" s="23" t="str">
        <x:v>Total</x:v>
      </x:c>
      <x:c r="I25" s="23" t="str">
        <x:v>July</x:v>
      </x:c>
      <x:c r="J25" s="72" t="n">
        <x:v>85759459</x:v>
      </x:c>
      <x:c r="K25" s="23" t="str">
        <x:v>Number</x:v>
      </x:c>
      <x:c r="L25" s="24" t="n">
        <x:v>46268.868252314816</x:v>
      </x:c>
      <x:c r="M25" s="24" t="str">
        <x:v>2026-07-02T11:00:00+0200</x:v>
      </x:c>
      <x:c r="N25" s="24" t="n">
        <x:v>46268.868252314816</x:v>
      </x:c>
      <x:c r="O25" s="40" t="b">
        <x:v>1</x:v>
      </x:c>
      <x:c r="P25" s="42" t="str">
        <x:v>current_snapshot_diagnostic_only</x:v>
      </x:c>
    </x:row>
    <x:row r="26">
      <x:c r="A26" s="23" t="str">
        <x:v>29d22764e3434982090d</x:v>
      </x:c>
      <x:c r="B26" s="23" t="str">
        <x:v>EUROSTAT_PLATFORM_NIGHTS_COUNTRY</x:v>
      </x:c>
      <x:c r="C26" s="23" t="str">
        <x:v>Eurostat</x:v>
      </x:c>
      <x:c r="D26" s="23" t="str">
        <x:v>Europe</x:v>
      </x:c>
      <x:c r="E26" s="23" t="str">
        <x:v>European Union - 27 countries (from 2020)</x:v>
      </x:c>
      <x:c r="F26" s="23" t="str">
        <x:v>2019-08</x:v>
      </x:c>
      <x:c r="G26" s="23" t="str">
        <x:v>Nights spent</x:v>
      </x:c>
      <x:c r="H26" s="23" t="str">
        <x:v>Total</x:v>
      </x:c>
      <x:c r="I26" s="23" t="str">
        <x:v>August</x:v>
      </x:c>
      <x:c r="J26" s="72" t="n">
        <x:v>96922990</x:v>
      </x:c>
      <x:c r="K26" s="23" t="str">
        <x:v>Number</x:v>
      </x:c>
      <x:c r="L26" s="24" t="n">
        <x:v>46268.868252314816</x:v>
      </x:c>
      <x:c r="M26" s="24" t="str">
        <x:v>2026-07-02T11:00:00+0200</x:v>
      </x:c>
      <x:c r="N26" s="24" t="n">
        <x:v>46268.868252314816</x:v>
      </x:c>
      <x:c r="O26" s="40" t="b">
        <x:v>1</x:v>
      </x:c>
      <x:c r="P26" s="42" t="str">
        <x:v>current_snapshot_diagnostic_only</x:v>
      </x:c>
    </x:row>
    <x:row r="27">
      <x:c r="A27" s="23" t="str">
        <x:v>c254bdc1c61aac4df66a</x:v>
      </x:c>
      <x:c r="B27" s="23" t="str">
        <x:v>EUROSTAT_PLATFORM_NIGHTS_COUNTRY</x:v>
      </x:c>
      <x:c r="C27" s="23" t="str">
        <x:v>Eurostat</x:v>
      </x:c>
      <x:c r="D27" s="23" t="str">
        <x:v>Europe</x:v>
      </x:c>
      <x:c r="E27" s="23" t="str">
        <x:v>European Union - 27 countries (from 2020)</x:v>
      </x:c>
      <x:c r="F27" s="23" t="str">
        <x:v>2019-09</x:v>
      </x:c>
      <x:c r="G27" s="23" t="str">
        <x:v>Nights spent</x:v>
      </x:c>
      <x:c r="H27" s="23" t="str">
        <x:v>Total</x:v>
      </x:c>
      <x:c r="I27" s="23" t="str">
        <x:v>September</x:v>
      </x:c>
      <x:c r="J27" s="72" t="n">
        <x:v>47721484</x:v>
      </x:c>
      <x:c r="K27" s="23" t="str">
        <x:v>Number</x:v>
      </x:c>
      <x:c r="L27" s="24" t="n">
        <x:v>46268.868252314816</x:v>
      </x:c>
      <x:c r="M27" s="24" t="str">
        <x:v>2026-07-02T11:00:00+0200</x:v>
      </x:c>
      <x:c r="N27" s="24" t="n">
        <x:v>46268.868252314816</x:v>
      </x:c>
      <x:c r="O27" s="40" t="b">
        <x:v>1</x:v>
      </x:c>
      <x:c r="P27" s="42" t="str">
        <x:v>current_snapshot_diagnostic_only</x:v>
      </x:c>
    </x:row>
    <x:row r="28">
      <x:c r="A28" s="23" t="str">
        <x:v>1d7cf1a56f09a68e1ee5</x:v>
      </x:c>
      <x:c r="B28" s="23" t="str">
        <x:v>EUROSTAT_PLATFORM_NIGHTS_COUNTRY</x:v>
      </x:c>
      <x:c r="C28" s="23" t="str">
        <x:v>Eurostat</x:v>
      </x:c>
      <x:c r="D28" s="23" t="str">
        <x:v>Europe</x:v>
      </x:c>
      <x:c r="E28" s="23" t="str">
        <x:v>European Union - 27 countries (from 2020)</x:v>
      </x:c>
      <x:c r="F28" s="23" t="str">
        <x:v>2019-10</x:v>
      </x:c>
      <x:c r="G28" s="23" t="str">
        <x:v>Nights spent</x:v>
      </x:c>
      <x:c r="H28" s="23" t="str">
        <x:v>Total</x:v>
      </x:c>
      <x:c r="I28" s="23" t="str">
        <x:v>October</x:v>
      </x:c>
      <x:c r="J28" s="72" t="n">
        <x:v>37510350</x:v>
      </x:c>
      <x:c r="K28" s="23" t="str">
        <x:v>Number</x:v>
      </x:c>
      <x:c r="L28" s="24" t="n">
        <x:v>46268.868252314816</x:v>
      </x:c>
      <x:c r="M28" s="24" t="str">
        <x:v>2026-07-02T11:00:00+0200</x:v>
      </x:c>
      <x:c r="N28" s="24" t="n">
        <x:v>46268.868252314816</x:v>
      </x:c>
      <x:c r="O28" s="40" t="b">
        <x:v>1</x:v>
      </x:c>
      <x:c r="P28" s="42" t="str">
        <x:v>current_snapshot_diagnostic_only</x:v>
      </x:c>
    </x:row>
    <x:row r="29">
      <x:c r="A29" s="23" t="str">
        <x:v>61f98ca8821bb0f8619b</x:v>
      </x:c>
      <x:c r="B29" s="23" t="str">
        <x:v>EUROSTAT_PLATFORM_NIGHTS_COUNTRY</x:v>
      </x:c>
      <x:c r="C29" s="23" t="str">
        <x:v>Eurostat</x:v>
      </x:c>
      <x:c r="D29" s="23" t="str">
        <x:v>Europe</x:v>
      </x:c>
      <x:c r="E29" s="23" t="str">
        <x:v>European Union - 27 countries (from 2020)</x:v>
      </x:c>
      <x:c r="F29" s="23" t="str">
        <x:v>2019-11</x:v>
      </x:c>
      <x:c r="G29" s="23" t="str">
        <x:v>Nights spent</x:v>
      </x:c>
      <x:c r="H29" s="23" t="str">
        <x:v>Total</x:v>
      </x:c>
      <x:c r="I29" s="23" t="str">
        <x:v>November</x:v>
      </x:c>
      <x:c r="J29" s="72" t="n">
        <x:v>21390040</x:v>
      </x:c>
      <x:c r="K29" s="23" t="str">
        <x:v>Number</x:v>
      </x:c>
      <x:c r="L29" s="24" t="n">
        <x:v>46268.868252314816</x:v>
      </x:c>
      <x:c r="M29" s="24" t="str">
        <x:v>2026-07-02T11:00:00+0200</x:v>
      </x:c>
      <x:c r="N29" s="24" t="n">
        <x:v>46268.868252314816</x:v>
      </x:c>
      <x:c r="O29" s="40" t="b">
        <x:v>1</x:v>
      </x:c>
      <x:c r="P29" s="42" t="str">
        <x:v>current_snapshot_diagnostic_only</x:v>
      </x:c>
    </x:row>
    <x:row r="30">
      <x:c r="A30" s="23" t="str">
        <x:v>ddf50ccfa04a6ba967fc</x:v>
      </x:c>
      <x:c r="B30" s="23" t="str">
        <x:v>EUROSTAT_PLATFORM_NIGHTS_COUNTRY</x:v>
      </x:c>
      <x:c r="C30" s="23" t="str">
        <x:v>Eurostat</x:v>
      </x:c>
      <x:c r="D30" s="23" t="str">
        <x:v>Europe</x:v>
      </x:c>
      <x:c r="E30" s="23" t="str">
        <x:v>European Union - 27 countries (from 2020)</x:v>
      </x:c>
      <x:c r="F30" s="23" t="str">
        <x:v>2019-12</x:v>
      </x:c>
      <x:c r="G30" s="23" t="str">
        <x:v>Nights spent</x:v>
      </x:c>
      <x:c r="H30" s="23" t="str">
        <x:v>Total</x:v>
      </x:c>
      <x:c r="I30" s="23" t="str">
        <x:v>December</x:v>
      </x:c>
      <x:c r="J30" s="72" t="n">
        <x:v>29364132</x:v>
      </x:c>
      <x:c r="K30" s="23" t="str">
        <x:v>Number</x:v>
      </x:c>
      <x:c r="L30" s="24" t="n">
        <x:v>46268.868252314816</x:v>
      </x:c>
      <x:c r="M30" s="24" t="str">
        <x:v>2026-07-02T11:00:00+0200</x:v>
      </x:c>
      <x:c r="N30" s="24" t="n">
        <x:v>46268.868252314816</x:v>
      </x:c>
      <x:c r="O30" s="40" t="b">
        <x:v>1</x:v>
      </x:c>
      <x:c r="P30" s="42" t="str">
        <x:v>current_snapshot_diagnostic_only</x:v>
      </x:c>
    </x:row>
    <x:row r="31">
      <x:c r="A31" s="23" t="str">
        <x:v>fe35216f3502ded07245</x:v>
      </x:c>
      <x:c r="B31" s="23" t="str">
        <x:v>EUROSTAT_PLATFORM_NIGHTS_COUNTRY</x:v>
      </x:c>
      <x:c r="C31" s="23" t="str">
        <x:v>Eurostat</x:v>
      </x:c>
      <x:c r="D31" s="23" t="str">
        <x:v>Europe</x:v>
      </x:c>
      <x:c r="E31" s="23" t="str">
        <x:v>European Union - 27 countries (from 2020)</x:v>
      </x:c>
      <x:c r="F31" s="23" t="str">
        <x:v>2020-01</x:v>
      </x:c>
      <x:c r="G31" s="23" t="str">
        <x:v>Nights spent</x:v>
      </x:c>
      <x:c r="H31" s="23" t="str">
        <x:v>Total</x:v>
      </x:c>
      <x:c r="I31" s="23" t="str">
        <x:v>January</x:v>
      </x:c>
      <x:c r="J31" s="72" t="n">
        <x:v>22580670</x:v>
      </x:c>
      <x:c r="K31" s="23" t="str">
        <x:v>Number</x:v>
      </x:c>
      <x:c r="L31" s="24" t="n">
        <x:v>46268.868252314816</x:v>
      </x:c>
      <x:c r="M31" s="24" t="str">
        <x:v>2026-07-02T11:00:00+0200</x:v>
      </x:c>
      <x:c r="N31" s="24" t="n">
        <x:v>46268.868252314816</x:v>
      </x:c>
      <x:c r="O31" s="40" t="b">
        <x:v>1</x:v>
      </x:c>
      <x:c r="P31" s="42" t="str">
        <x:v>current_snapshot_diagnostic_only</x:v>
      </x:c>
    </x:row>
    <x:row r="32">
      <x:c r="A32" s="23" t="str">
        <x:v>662e5fea4d752a5ed1bb</x:v>
      </x:c>
      <x:c r="B32" s="23" t="str">
        <x:v>EUROSTAT_PLATFORM_NIGHTS_COUNTRY</x:v>
      </x:c>
      <x:c r="C32" s="23" t="str">
        <x:v>Eurostat</x:v>
      </x:c>
      <x:c r="D32" s="23" t="str">
        <x:v>Europe</x:v>
      </x:c>
      <x:c r="E32" s="23" t="str">
        <x:v>European Union - 27 countries (from 2020)</x:v>
      </x:c>
      <x:c r="F32" s="23" t="str">
        <x:v>2020-02</x:v>
      </x:c>
      <x:c r="G32" s="23" t="str">
        <x:v>Nights spent</x:v>
      </x:c>
      <x:c r="H32" s="23" t="str">
        <x:v>Total</x:v>
      </x:c>
      <x:c r="I32" s="23" t="str">
        <x:v>February</x:v>
      </x:c>
      <x:c r="J32" s="72" t="n">
        <x:v>27865430</x:v>
      </x:c>
      <x:c r="K32" s="23" t="str">
        <x:v>Number</x:v>
      </x:c>
      <x:c r="L32" s="24" t="n">
        <x:v>46268.868252314816</x:v>
      </x:c>
      <x:c r="M32" s="24" t="str">
        <x:v>2026-07-02T11:00:00+0200</x:v>
      </x:c>
      <x:c r="N32" s="24" t="n">
        <x:v>46268.868252314816</x:v>
      </x:c>
      <x:c r="O32" s="40" t="b">
        <x:v>1</x:v>
      </x:c>
      <x:c r="P32" s="42" t="str">
        <x:v>current_snapshot_diagnostic_only</x:v>
      </x:c>
    </x:row>
    <x:row r="33">
      <x:c r="A33" s="23" t="str">
        <x:v>6235827ef5e2fb3851b2</x:v>
      </x:c>
      <x:c r="B33" s="23" t="str">
        <x:v>EUROSTAT_PLATFORM_NIGHTS_COUNTRY</x:v>
      </x:c>
      <x:c r="C33" s="23" t="str">
        <x:v>Eurostat</x:v>
      </x:c>
      <x:c r="D33" s="23" t="str">
        <x:v>Europe</x:v>
      </x:c>
      <x:c r="E33" s="23" t="str">
        <x:v>European Union - 27 countries (from 2020)</x:v>
      </x:c>
      <x:c r="F33" s="23" t="str">
        <x:v>2020-03</x:v>
      </x:c>
      <x:c r="G33" s="23" t="str">
        <x:v>Nights spent</x:v>
      </x:c>
      <x:c r="H33" s="23" t="str">
        <x:v>Total</x:v>
      </x:c>
      <x:c r="I33" s="23" t="str">
        <x:v>March</x:v>
      </x:c>
      <x:c r="J33" s="72" t="n">
        <x:v>11912666</x:v>
      </x:c>
      <x:c r="K33" s="23" t="str">
        <x:v>Number</x:v>
      </x:c>
      <x:c r="L33" s="24" t="n">
        <x:v>46268.868252314816</x:v>
      </x:c>
      <x:c r="M33" s="24" t="str">
        <x:v>2026-07-02T11:00:00+0200</x:v>
      </x:c>
      <x:c r="N33" s="24" t="n">
        <x:v>46268.868252314816</x:v>
      </x:c>
      <x:c r="O33" s="40" t="b">
        <x:v>1</x:v>
      </x:c>
      <x:c r="P33" s="42" t="str">
        <x:v>current_snapshot_diagnostic_only</x:v>
      </x:c>
    </x:row>
    <x:row r="34">
      <x:c r="A34" s="23" t="str">
        <x:v>5efcbc6c6e59d3e979f5</x:v>
      </x:c>
      <x:c r="B34" s="23" t="str">
        <x:v>EUROSTAT_PLATFORM_NIGHTS_COUNTRY</x:v>
      </x:c>
      <x:c r="C34" s="23" t="str">
        <x:v>Eurostat</x:v>
      </x:c>
      <x:c r="D34" s="23" t="str">
        <x:v>Europe</x:v>
      </x:c>
      <x:c r="E34" s="23" t="str">
        <x:v>European Union - 27 countries (from 2020)</x:v>
      </x:c>
      <x:c r="F34" s="23" t="str">
        <x:v>2020-04</x:v>
      </x:c>
      <x:c r="G34" s="23" t="str">
        <x:v>Nights spent</x:v>
      </x:c>
      <x:c r="H34" s="23" t="str">
        <x:v>Total</x:v>
      </x:c>
      <x:c r="I34" s="23" t="str">
        <x:v>April</x:v>
      </x:c>
      <x:c r="J34" s="72" t="n">
        <x:v>2613741</x:v>
      </x:c>
      <x:c r="K34" s="23" t="str">
        <x:v>Number</x:v>
      </x:c>
      <x:c r="L34" s="24" t="n">
        <x:v>46268.868252314816</x:v>
      </x:c>
      <x:c r="M34" s="24" t="str">
        <x:v>2026-07-02T11:00:00+0200</x:v>
      </x:c>
      <x:c r="N34" s="24" t="n">
        <x:v>46268.868252314816</x:v>
      </x:c>
      <x:c r="O34" s="40" t="b">
        <x:v>1</x:v>
      </x:c>
      <x:c r="P34" s="42" t="str">
        <x:v>current_snapshot_diagnostic_only</x:v>
      </x:c>
    </x:row>
    <x:row r="35">
      <x:c r="A35" s="23" t="str">
        <x:v>8dbc796f28014c5f6d48</x:v>
      </x:c>
      <x:c r="B35" s="23" t="str">
        <x:v>EUROSTAT_PLATFORM_NIGHTS_COUNTRY</x:v>
      </x:c>
      <x:c r="C35" s="23" t="str">
        <x:v>Eurostat</x:v>
      </x:c>
      <x:c r="D35" s="23" t="str">
        <x:v>Europe</x:v>
      </x:c>
      <x:c r="E35" s="23" t="str">
        <x:v>European Union - 27 countries (from 2020)</x:v>
      </x:c>
      <x:c r="F35" s="23" t="str">
        <x:v>2020-05</x:v>
      </x:c>
      <x:c r="G35" s="23" t="str">
        <x:v>Nights spent</x:v>
      </x:c>
      <x:c r="H35" s="23" t="str">
        <x:v>Total</x:v>
      </x:c>
      <x:c r="I35" s="23" t="str">
        <x:v>May</x:v>
      </x:c>
      <x:c r="J35" s="72" t="n">
        <x:v>5299509</x:v>
      </x:c>
      <x:c r="K35" s="23" t="str">
        <x:v>Number</x:v>
      </x:c>
      <x:c r="L35" s="24" t="n">
        <x:v>46268.868252314816</x:v>
      </x:c>
      <x:c r="M35" s="24" t="str">
        <x:v>2026-07-02T11:00:00+0200</x:v>
      </x:c>
      <x:c r="N35" s="24" t="n">
        <x:v>46268.868252314816</x:v>
      </x:c>
      <x:c r="O35" s="40" t="b">
        <x:v>1</x:v>
      </x:c>
      <x:c r="P35" s="42" t="str">
        <x:v>current_snapshot_diagnostic_only</x:v>
      </x:c>
    </x:row>
    <x:row r="36">
      <x:c r="A36" s="23" t="str">
        <x:v>c9b49297130d5a9f278a</x:v>
      </x:c>
      <x:c r="B36" s="23" t="str">
        <x:v>EUROSTAT_PLATFORM_NIGHTS_COUNTRY</x:v>
      </x:c>
      <x:c r="C36" s="23" t="str">
        <x:v>Eurostat</x:v>
      </x:c>
      <x:c r="D36" s="23" t="str">
        <x:v>Europe</x:v>
      </x:c>
      <x:c r="E36" s="23" t="str">
        <x:v>European Union - 27 countries (from 2020)</x:v>
      </x:c>
      <x:c r="F36" s="23" t="str">
        <x:v>2020-06</x:v>
      </x:c>
      <x:c r="G36" s="23" t="str">
        <x:v>Nights spent</x:v>
      </x:c>
      <x:c r="H36" s="23" t="str">
        <x:v>Total</x:v>
      </x:c>
      <x:c r="I36" s="23" t="str">
        <x:v>June</x:v>
      </x:c>
      <x:c r="J36" s="72" t="n">
        <x:v>15555793</x:v>
      </x:c>
      <x:c r="K36" s="23" t="str">
        <x:v>Number</x:v>
      </x:c>
      <x:c r="L36" s="24" t="n">
        <x:v>46268.868252314816</x:v>
      </x:c>
      <x:c r="M36" s="24" t="str">
        <x:v>2026-07-02T11:00:00+0200</x:v>
      </x:c>
      <x:c r="N36" s="24" t="n">
        <x:v>46268.868252314816</x:v>
      </x:c>
      <x:c r="O36" s="40" t="b">
        <x:v>1</x:v>
      </x:c>
      <x:c r="P36" s="42" t="str">
        <x:v>current_snapshot_diagnostic_only</x:v>
      </x:c>
    </x:row>
    <x:row r="37">
      <x:c r="A37" s="23" t="str">
        <x:v>21aa05f384e8dc090bcd</x:v>
      </x:c>
      <x:c r="B37" s="23" t="str">
        <x:v>EUROSTAT_PLATFORM_NIGHTS_COUNTRY</x:v>
      </x:c>
      <x:c r="C37" s="23" t="str">
        <x:v>Eurostat</x:v>
      </x:c>
      <x:c r="D37" s="23" t="str">
        <x:v>Europe</x:v>
      </x:c>
      <x:c r="E37" s="23" t="str">
        <x:v>European Union - 27 countries (from 2020)</x:v>
      </x:c>
      <x:c r="F37" s="23" t="str">
        <x:v>2020-07</x:v>
      </x:c>
      <x:c r="G37" s="23" t="str">
        <x:v>Nights spent</x:v>
      </x:c>
      <x:c r="H37" s="23" t="str">
        <x:v>Total</x:v>
      </x:c>
      <x:c r="I37" s="23" t="str">
        <x:v>July</x:v>
      </x:c>
      <x:c r="J37" s="72" t="n">
        <x:v>53001306</x:v>
      </x:c>
      <x:c r="K37" s="23" t="str">
        <x:v>Number</x:v>
      </x:c>
      <x:c r="L37" s="24" t="n">
        <x:v>46268.868252314816</x:v>
      </x:c>
      <x:c r="M37" s="24" t="str">
        <x:v>2026-07-02T11:00:00+0200</x:v>
      </x:c>
      <x:c r="N37" s="24" t="n">
        <x:v>46268.868252314816</x:v>
      </x:c>
      <x:c r="O37" s="40" t="b">
        <x:v>1</x:v>
      </x:c>
      <x:c r="P37" s="42" t="str">
        <x:v>current_snapshot_diagnostic_only</x:v>
      </x:c>
    </x:row>
    <x:row r="38">
      <x:c r="A38" s="23" t="str">
        <x:v>0d1cf22d883ef2d0ccc6</x:v>
      </x:c>
      <x:c r="B38" s="23" t="str">
        <x:v>EUROSTAT_PLATFORM_NIGHTS_COUNTRY</x:v>
      </x:c>
      <x:c r="C38" s="23" t="str">
        <x:v>Eurostat</x:v>
      </x:c>
      <x:c r="D38" s="23" t="str">
        <x:v>Europe</x:v>
      </x:c>
      <x:c r="E38" s="23" t="str">
        <x:v>European Union - 27 countries (from 2020)</x:v>
      </x:c>
      <x:c r="F38" s="23" t="str">
        <x:v>2020-08</x:v>
      </x:c>
      <x:c r="G38" s="23" t="str">
        <x:v>Nights spent</x:v>
      </x:c>
      <x:c r="H38" s="23" t="str">
        <x:v>Total</x:v>
      </x:c>
      <x:c r="I38" s="23" t="str">
        <x:v>August</x:v>
      </x:c>
      <x:c r="J38" s="72" t="n">
        <x:v>71996057</x:v>
      </x:c>
      <x:c r="K38" s="23" t="str">
        <x:v>Number</x:v>
      </x:c>
      <x:c r="L38" s="24" t="n">
        <x:v>46268.868252314816</x:v>
      </x:c>
      <x:c r="M38" s="24" t="str">
        <x:v>2026-07-02T11:00:00+0200</x:v>
      </x:c>
      <x:c r="N38" s="24" t="n">
        <x:v>46268.868252314816</x:v>
      </x:c>
      <x:c r="O38" s="40" t="b">
        <x:v>1</x:v>
      </x:c>
      <x:c r="P38" s="42" t="str">
        <x:v>current_snapshot_diagnostic_only</x:v>
      </x:c>
    </x:row>
    <x:row r="39">
      <x:c r="A39" s="23" t="str">
        <x:v>9d642461b1ac229487dc</x:v>
      </x:c>
      <x:c r="B39" s="23" t="str">
        <x:v>EUROSTAT_PLATFORM_NIGHTS_COUNTRY</x:v>
      </x:c>
      <x:c r="C39" s="23" t="str">
        <x:v>Eurostat</x:v>
      </x:c>
      <x:c r="D39" s="23" t="str">
        <x:v>Europe</x:v>
      </x:c>
      <x:c r="E39" s="23" t="str">
        <x:v>European Union - 27 countries (from 2020)</x:v>
      </x:c>
      <x:c r="F39" s="23" t="str">
        <x:v>2020-09</x:v>
      </x:c>
      <x:c r="G39" s="23" t="str">
        <x:v>Nights spent</x:v>
      </x:c>
      <x:c r="H39" s="23" t="str">
        <x:v>Total</x:v>
      </x:c>
      <x:c r="I39" s="23" t="str">
        <x:v>September</x:v>
      </x:c>
      <x:c r="J39" s="72" t="n">
        <x:v>26808780</x:v>
      </x:c>
      <x:c r="K39" s="23" t="str">
        <x:v>Number</x:v>
      </x:c>
      <x:c r="L39" s="24" t="n">
        <x:v>46268.868252314816</x:v>
      </x:c>
      <x:c r="M39" s="24" t="str">
        <x:v>2026-07-02T11:00:00+0200</x:v>
      </x:c>
      <x:c r="N39" s="24" t="n">
        <x:v>46268.868252314816</x:v>
      </x:c>
      <x:c r="O39" s="40" t="b">
        <x:v>1</x:v>
      </x:c>
      <x:c r="P39" s="42" t="str">
        <x:v>current_snapshot_diagnostic_only</x:v>
      </x:c>
    </x:row>
    <x:row r="40">
      <x:c r="A40" s="23" t="str">
        <x:v>84860a6ac8934e0aa22a</x:v>
      </x:c>
      <x:c r="B40" s="23" t="str">
        <x:v>EUROSTAT_PLATFORM_NIGHTS_COUNTRY</x:v>
      </x:c>
      <x:c r="C40" s="23" t="str">
        <x:v>Eurostat</x:v>
      </x:c>
      <x:c r="D40" s="23" t="str">
        <x:v>Europe</x:v>
      </x:c>
      <x:c r="E40" s="23" t="str">
        <x:v>European Union - 27 countries (from 2020)</x:v>
      </x:c>
      <x:c r="F40" s="23" t="str">
        <x:v>2020-10</x:v>
      </x:c>
      <x:c r="G40" s="23" t="str">
        <x:v>Nights spent</x:v>
      </x:c>
      <x:c r="H40" s="23" t="str">
        <x:v>Total</x:v>
      </x:c>
      <x:c r="I40" s="23" t="str">
        <x:v>October</x:v>
      </x:c>
      <x:c r="J40" s="72" t="n">
        <x:v>18445829</x:v>
      </x:c>
      <x:c r="K40" s="23" t="str">
        <x:v>Number</x:v>
      </x:c>
      <x:c r="L40" s="24" t="n">
        <x:v>46268.868252314816</x:v>
      </x:c>
      <x:c r="M40" s="24" t="str">
        <x:v>2026-07-02T11:00:00+0200</x:v>
      </x:c>
      <x:c r="N40" s="24" t="n">
        <x:v>46268.868252314816</x:v>
      </x:c>
      <x:c r="O40" s="40" t="b">
        <x:v>1</x:v>
      </x:c>
      <x:c r="P40" s="42" t="str">
        <x:v>current_snapshot_diagnostic_only</x:v>
      </x:c>
    </x:row>
    <x:row r="41">
      <x:c r="A41" s="23" t="str">
        <x:v>173fe255655812e4b017</x:v>
      </x:c>
      <x:c r="B41" s="23" t="str">
        <x:v>EUROSTAT_PLATFORM_NIGHTS_COUNTRY</x:v>
      </x:c>
      <x:c r="C41" s="23" t="str">
        <x:v>Eurostat</x:v>
      </x:c>
      <x:c r="D41" s="23" t="str">
        <x:v>Europe</x:v>
      </x:c>
      <x:c r="E41" s="23" t="str">
        <x:v>European Union - 27 countries (from 2020)</x:v>
      </x:c>
      <x:c r="F41" s="23" t="str">
        <x:v>2020-11</x:v>
      </x:c>
      <x:c r="G41" s="23" t="str">
        <x:v>Nights spent</x:v>
      </x:c>
      <x:c r="H41" s="23" t="str">
        <x:v>Total</x:v>
      </x:c>
      <x:c r="I41" s="23" t="str">
        <x:v>November</x:v>
      </x:c>
      <x:c r="J41" s="72" t="n">
        <x:v>6039150</x:v>
      </x:c>
      <x:c r="K41" s="23" t="str">
        <x:v>Number</x:v>
      </x:c>
      <x:c r="L41" s="24" t="n">
        <x:v>46268.868252314816</x:v>
      </x:c>
      <x:c r="M41" s="24" t="str">
        <x:v>2026-07-02T11:00:00+0200</x:v>
      </x:c>
      <x:c r="N41" s="24" t="n">
        <x:v>46268.868252314816</x:v>
      </x:c>
      <x:c r="O41" s="40" t="b">
        <x:v>1</x:v>
      </x:c>
      <x:c r="P41" s="42" t="str">
        <x:v>current_snapshot_diagnostic_only</x:v>
      </x:c>
    </x:row>
    <x:row r="42">
      <x:c r="A42" s="23" t="str">
        <x:v>631461246e7bbd076ecb</x:v>
      </x:c>
      <x:c r="B42" s="23" t="str">
        <x:v>EUROSTAT_PLATFORM_NIGHTS_COUNTRY</x:v>
      </x:c>
      <x:c r="C42" s="23" t="str">
        <x:v>Eurostat</x:v>
      </x:c>
      <x:c r="D42" s="23" t="str">
        <x:v>Europe</x:v>
      </x:c>
      <x:c r="E42" s="23" t="str">
        <x:v>European Union - 27 countries (from 2020)</x:v>
      </x:c>
      <x:c r="F42" s="23" t="str">
        <x:v>2020-12</x:v>
      </x:c>
      <x:c r="G42" s="23" t="str">
        <x:v>Nights spent</x:v>
      </x:c>
      <x:c r="H42" s="23" t="str">
        <x:v>Total</x:v>
      </x:c>
      <x:c r="I42" s="23" t="str">
        <x:v>December</x:v>
      </x:c>
      <x:c r="J42" s="72" t="n">
        <x:v>9579124</x:v>
      </x:c>
      <x:c r="K42" s="23" t="str">
        <x:v>Number</x:v>
      </x:c>
      <x:c r="L42" s="24" t="n">
        <x:v>46268.868252314816</x:v>
      </x:c>
      <x:c r="M42" s="24" t="str">
        <x:v>2026-07-02T11:00:00+0200</x:v>
      </x:c>
      <x:c r="N42" s="24" t="n">
        <x:v>46268.868252314816</x:v>
      </x:c>
      <x:c r="O42" s="40" t="b">
        <x:v>1</x:v>
      </x:c>
      <x:c r="P42" s="42" t="str">
        <x:v>current_snapshot_diagnostic_only</x:v>
      </x:c>
    </x:row>
    <x:row r="43">
      <x:c r="A43" s="23" t="str">
        <x:v>f7a3b7e16beb23af560e</x:v>
      </x:c>
      <x:c r="B43" s="23" t="str">
        <x:v>EUROSTAT_PLATFORM_NIGHTS_COUNTRY</x:v>
      </x:c>
      <x:c r="C43" s="23" t="str">
        <x:v>Eurostat</x:v>
      </x:c>
      <x:c r="D43" s="23" t="str">
        <x:v>Europe</x:v>
      </x:c>
      <x:c r="E43" s="23" t="str">
        <x:v>European Union - 27 countries (from 2020)</x:v>
      </x:c>
      <x:c r="F43" s="23" t="str">
        <x:v>2021-01</x:v>
      </x:c>
      <x:c r="G43" s="23" t="str">
        <x:v>Nights spent</x:v>
      </x:c>
      <x:c r="H43" s="23" t="str">
        <x:v>Total</x:v>
      </x:c>
      <x:c r="I43" s="23" t="str">
        <x:v>January</x:v>
      </x:c>
      <x:c r="J43" s="72" t="n">
        <x:v>7443189</x:v>
      </x:c>
      <x:c r="K43" s="23" t="str">
        <x:v>Number</x:v>
      </x:c>
      <x:c r="L43" s="24" t="n">
        <x:v>46268.868252314816</x:v>
      </x:c>
      <x:c r="M43" s="24" t="str">
        <x:v>2026-07-02T11:00:00+0200</x:v>
      </x:c>
      <x:c r="N43" s="24" t="n">
        <x:v>46268.868252314816</x:v>
      </x:c>
      <x:c r="O43" s="40" t="b">
        <x:v>1</x:v>
      </x:c>
      <x:c r="P43" s="42" t="str">
        <x:v>current_snapshot_diagnostic_only</x:v>
      </x:c>
    </x:row>
    <x:row r="44">
      <x:c r="A44" s="23" t="str">
        <x:v>8a1209b50839bd299887</x:v>
      </x:c>
      <x:c r="B44" s="23" t="str">
        <x:v>EUROSTAT_PLATFORM_NIGHTS_COUNTRY</x:v>
      </x:c>
      <x:c r="C44" s="23" t="str">
        <x:v>Eurostat</x:v>
      </x:c>
      <x:c r="D44" s="23" t="str">
        <x:v>Europe</x:v>
      </x:c>
      <x:c r="E44" s="23" t="str">
        <x:v>European Union - 27 countries (from 2020)</x:v>
      </x:c>
      <x:c r="F44" s="23" t="str">
        <x:v>2021-02</x:v>
      </x:c>
      <x:c r="G44" s="23" t="str">
        <x:v>Nights spent</x:v>
      </x:c>
      <x:c r="H44" s="23" t="str">
        <x:v>Total</x:v>
      </x:c>
      <x:c r="I44" s="23" t="str">
        <x:v>February</x:v>
      </x:c>
      <x:c r="J44" s="72" t="n">
        <x:v>10165287</x:v>
      </x:c>
      <x:c r="K44" s="23" t="str">
        <x:v>Number</x:v>
      </x:c>
      <x:c r="L44" s="24" t="n">
        <x:v>46268.868252314816</x:v>
      </x:c>
      <x:c r="M44" s="24" t="str">
        <x:v>2026-07-02T11:00:00+0200</x:v>
      </x:c>
      <x:c r="N44" s="24" t="n">
        <x:v>46268.868252314816</x:v>
      </x:c>
      <x:c r="O44" s="40" t="b">
        <x:v>1</x:v>
      </x:c>
      <x:c r="P44" s="42" t="str">
        <x:v>current_snapshot_diagnostic_only</x:v>
      </x:c>
    </x:row>
    <x:row r="45">
      <x:c r="A45" s="23" t="str">
        <x:v>ebd40af4647c6e21bdbe</x:v>
      </x:c>
      <x:c r="B45" s="23" t="str">
        <x:v>EUROSTAT_PLATFORM_NIGHTS_COUNTRY</x:v>
      </x:c>
      <x:c r="C45" s="23" t="str">
        <x:v>Eurostat</x:v>
      </x:c>
      <x:c r="D45" s="23" t="str">
        <x:v>Europe</x:v>
      </x:c>
      <x:c r="E45" s="23" t="str">
        <x:v>European Union - 27 countries (from 2020)</x:v>
      </x:c>
      <x:c r="F45" s="23" t="str">
        <x:v>2021-03</x:v>
      </x:c>
      <x:c r="G45" s="23" t="str">
        <x:v>Nights spent</x:v>
      </x:c>
      <x:c r="H45" s="23" t="str">
        <x:v>Total</x:v>
      </x:c>
      <x:c r="I45" s="23" t="str">
        <x:v>March</x:v>
      </x:c>
      <x:c r="J45" s="72" t="n">
        <x:v>9481818</x:v>
      </x:c>
      <x:c r="K45" s="23" t="str">
        <x:v>Number</x:v>
      </x:c>
      <x:c r="L45" s="24" t="n">
        <x:v>46268.868252314816</x:v>
      </x:c>
      <x:c r="M45" s="24" t="str">
        <x:v>2026-07-02T11:00:00+0200</x:v>
      </x:c>
      <x:c r="N45" s="24" t="n">
        <x:v>46268.868252314816</x:v>
      </x:c>
      <x:c r="O45" s="40" t="b">
        <x:v>1</x:v>
      </x:c>
      <x:c r="P45" s="42" t="str">
        <x:v>current_snapshot_diagnostic_only</x:v>
      </x:c>
    </x:row>
    <x:row r="46">
      <x:c r="A46" s="23" t="str">
        <x:v>9d7656ec974ceb632c9b</x:v>
      </x:c>
      <x:c r="B46" s="23" t="str">
        <x:v>EUROSTAT_PLATFORM_NIGHTS_COUNTRY</x:v>
      </x:c>
      <x:c r="C46" s="23" t="str">
        <x:v>Eurostat</x:v>
      </x:c>
      <x:c r="D46" s="23" t="str">
        <x:v>Europe</x:v>
      </x:c>
      <x:c r="E46" s="23" t="str">
        <x:v>European Union - 27 countries (from 2020)</x:v>
      </x:c>
      <x:c r="F46" s="23" t="str">
        <x:v>2021-04</x:v>
      </x:c>
      <x:c r="G46" s="23" t="str">
        <x:v>Nights spent</x:v>
      </x:c>
      <x:c r="H46" s="23" t="str">
        <x:v>Total</x:v>
      </x:c>
      <x:c r="I46" s="23" t="str">
        <x:v>April</x:v>
      </x:c>
      <x:c r="J46" s="72" t="n">
        <x:v>9260819</x:v>
      </x:c>
      <x:c r="K46" s="23" t="str">
        <x:v>Number</x:v>
      </x:c>
      <x:c r="L46" s="24" t="n">
        <x:v>46268.868252314816</x:v>
      </x:c>
      <x:c r="M46" s="24" t="str">
        <x:v>2026-07-02T11:00:00+0200</x:v>
      </x:c>
      <x:c r="N46" s="24" t="n">
        <x:v>46268.868252314816</x:v>
      </x:c>
      <x:c r="O46" s="40" t="b">
        <x:v>1</x:v>
      </x:c>
      <x:c r="P46" s="42" t="str">
        <x:v>current_snapshot_diagnostic_only</x:v>
      </x:c>
    </x:row>
    <x:row r="47">
      <x:c r="A47" s="23" t="str">
        <x:v>244847597025beb5a20b</x:v>
      </x:c>
      <x:c r="B47" s="23" t="str">
        <x:v>EUROSTAT_PLATFORM_NIGHTS_COUNTRY</x:v>
      </x:c>
      <x:c r="C47" s="23" t="str">
        <x:v>Eurostat</x:v>
      </x:c>
      <x:c r="D47" s="23" t="str">
        <x:v>Europe</x:v>
      </x:c>
      <x:c r="E47" s="23" t="str">
        <x:v>European Union - 27 countries (from 2020)</x:v>
      </x:c>
      <x:c r="F47" s="23" t="str">
        <x:v>2021-05</x:v>
      </x:c>
      <x:c r="G47" s="23" t="str">
        <x:v>Nights spent</x:v>
      </x:c>
      <x:c r="H47" s="23" t="str">
        <x:v>Total</x:v>
      </x:c>
      <x:c r="I47" s="23" t="str">
        <x:v>May</x:v>
      </x:c>
      <x:c r="J47" s="72" t="n">
        <x:v>18223659</x:v>
      </x:c>
      <x:c r="K47" s="23" t="str">
        <x:v>Number</x:v>
      </x:c>
      <x:c r="L47" s="24" t="n">
        <x:v>46268.868252314816</x:v>
      </x:c>
      <x:c r="M47" s="24" t="str">
        <x:v>2026-07-02T11:00:00+0200</x:v>
      </x:c>
      <x:c r="N47" s="24" t="n">
        <x:v>46268.868252314816</x:v>
      </x:c>
      <x:c r="O47" s="40" t="b">
        <x:v>1</x:v>
      </x:c>
      <x:c r="P47" s="42" t="str">
        <x:v>current_snapshot_diagnostic_only</x:v>
      </x:c>
    </x:row>
    <x:row r="48">
      <x:c r="A48" s="23" t="str">
        <x:v>bc4df36be55664892919</x:v>
      </x:c>
      <x:c r="B48" s="23" t="str">
        <x:v>EUROSTAT_PLATFORM_NIGHTS_COUNTRY</x:v>
      </x:c>
      <x:c r="C48" s="23" t="str">
        <x:v>Eurostat</x:v>
      </x:c>
      <x:c r="D48" s="23" t="str">
        <x:v>Europe</x:v>
      </x:c>
      <x:c r="E48" s="23" t="str">
        <x:v>European Union - 27 countries (from 2020)</x:v>
      </x:c>
      <x:c r="F48" s="23" t="str">
        <x:v>2021-06</x:v>
      </x:c>
      <x:c r="G48" s="23" t="str">
        <x:v>Nights spent</x:v>
      </x:c>
      <x:c r="H48" s="23" t="str">
        <x:v>Total</x:v>
      </x:c>
      <x:c r="I48" s="23" t="str">
        <x:v>June</x:v>
      </x:c>
      <x:c r="J48" s="72" t="n">
        <x:v>29205659</x:v>
      </x:c>
      <x:c r="K48" s="23" t="str">
        <x:v>Number</x:v>
      </x:c>
      <x:c r="L48" s="24" t="n">
        <x:v>46268.868252314816</x:v>
      </x:c>
      <x:c r="M48" s="24" t="str">
        <x:v>2026-07-02T11:00:00+0200</x:v>
      </x:c>
      <x:c r="N48" s="24" t="n">
        <x:v>46268.868252314816</x:v>
      </x:c>
      <x:c r="O48" s="40" t="b">
        <x:v>1</x:v>
      </x:c>
      <x:c r="P48" s="42" t="str">
        <x:v>current_snapshot_diagnostic_only</x:v>
      </x:c>
    </x:row>
    <x:row r="49">
      <x:c r="A49" s="23" t="str">
        <x:v>4d840cadddb4c857e12b</x:v>
      </x:c>
      <x:c r="B49" s="23" t="str">
        <x:v>EUROSTAT_PLATFORM_NIGHTS_COUNTRY</x:v>
      </x:c>
      <x:c r="C49" s="23" t="str">
        <x:v>Eurostat</x:v>
      </x:c>
      <x:c r="D49" s="23" t="str">
        <x:v>Europe</x:v>
      </x:c>
      <x:c r="E49" s="23" t="str">
        <x:v>European Union - 27 countries (from 2020)</x:v>
      </x:c>
      <x:c r="F49" s="23" t="str">
        <x:v>2021-07</x:v>
      </x:c>
      <x:c r="G49" s="23" t="str">
        <x:v>Nights spent</x:v>
      </x:c>
      <x:c r="H49" s="23" t="str">
        <x:v>Total</x:v>
      </x:c>
      <x:c r="I49" s="23" t="str">
        <x:v>July</x:v>
      </x:c>
      <x:c r="J49" s="72" t="n">
        <x:v>73675646</x:v>
      </x:c>
      <x:c r="K49" s="23" t="str">
        <x:v>Number</x:v>
      </x:c>
      <x:c r="L49" s="24" t="n">
        <x:v>46268.868252314816</x:v>
      </x:c>
      <x:c r="M49" s="24" t="str">
        <x:v>2026-07-02T11:00:00+0200</x:v>
      </x:c>
      <x:c r="N49" s="24" t="n">
        <x:v>46268.868252314816</x:v>
      </x:c>
      <x:c r="O49" s="40" t="b">
        <x:v>1</x:v>
      </x:c>
      <x:c r="P49" s="42" t="str">
        <x:v>current_snapshot_diagnostic_only</x:v>
      </x:c>
    </x:row>
    <x:row r="50">
      <x:c r="A50" s="23" t="str">
        <x:v>bf53d91d9538468a59b2</x:v>
      </x:c>
      <x:c r="B50" s="23" t="str">
        <x:v>EUROSTAT_PLATFORM_NIGHTS_COUNTRY</x:v>
      </x:c>
      <x:c r="C50" s="23" t="str">
        <x:v>Eurostat</x:v>
      </x:c>
      <x:c r="D50" s="23" t="str">
        <x:v>Europe</x:v>
      </x:c>
      <x:c r="E50" s="23" t="str">
        <x:v>European Union - 27 countries (from 2020)</x:v>
      </x:c>
      <x:c r="F50" s="23" t="str">
        <x:v>2021-08</x:v>
      </x:c>
      <x:c r="G50" s="23" t="str">
        <x:v>Nights spent</x:v>
      </x:c>
      <x:c r="H50" s="23" t="str">
        <x:v>Total</x:v>
      </x:c>
      <x:c r="I50" s="23" t="str">
        <x:v>August</x:v>
      </x:c>
      <x:c r="J50" s="72" t="n">
        <x:v>88391014</x:v>
      </x:c>
      <x:c r="K50" s="23" t="str">
        <x:v>Number</x:v>
      </x:c>
      <x:c r="L50" s="24" t="n">
        <x:v>46268.868252314816</x:v>
      </x:c>
      <x:c r="M50" s="24" t="str">
        <x:v>2026-07-02T11:00:00+0200</x:v>
      </x:c>
      <x:c r="N50" s="24" t="n">
        <x:v>46268.868252314816</x:v>
      </x:c>
      <x:c r="O50" s="40" t="b">
        <x:v>1</x:v>
      </x:c>
      <x:c r="P50" s="42" t="str">
        <x:v>current_snapshot_diagnostic_only</x:v>
      </x:c>
    </x:row>
    <x:row r="51">
      <x:c r="A51" s="23" t="str">
        <x:v>361e2f14ebd3edde9ff4</x:v>
      </x:c>
      <x:c r="B51" s="23" t="str">
        <x:v>EUROSTAT_PLATFORM_NIGHTS_COUNTRY</x:v>
      </x:c>
      <x:c r="C51" s="23" t="str">
        <x:v>Eurostat</x:v>
      </x:c>
      <x:c r="D51" s="23" t="str">
        <x:v>Europe</x:v>
      </x:c>
      <x:c r="E51" s="23" t="str">
        <x:v>European Union - 27 countries (from 2020)</x:v>
      </x:c>
      <x:c r="F51" s="23" t="str">
        <x:v>2021-09</x:v>
      </x:c>
      <x:c r="G51" s="23" t="str">
        <x:v>Nights spent</x:v>
      </x:c>
      <x:c r="H51" s="23" t="str">
        <x:v>Total</x:v>
      </x:c>
      <x:c r="I51" s="23" t="str">
        <x:v>September</x:v>
      </x:c>
      <x:c r="J51" s="72" t="n">
        <x:v>40272082</x:v>
      </x:c>
      <x:c r="K51" s="23" t="str">
        <x:v>Number</x:v>
      </x:c>
      <x:c r="L51" s="24" t="n">
        <x:v>46268.868252314816</x:v>
      </x:c>
      <x:c r="M51" s="24" t="str">
        <x:v>2026-07-02T11:00:00+0200</x:v>
      </x:c>
      <x:c r="N51" s="24" t="n">
        <x:v>46268.868252314816</x:v>
      </x:c>
      <x:c r="O51" s="40" t="b">
        <x:v>1</x:v>
      </x:c>
      <x:c r="P51" s="42" t="str">
        <x:v>current_snapshot_diagnostic_only</x:v>
      </x:c>
    </x:row>
    <x:row r="52">
      <x:c r="A52" s="23" t="str">
        <x:v>e70843349fcd45a51f4d</x:v>
      </x:c>
      <x:c r="B52" s="23" t="str">
        <x:v>EUROSTAT_PLATFORM_NIGHTS_COUNTRY</x:v>
      </x:c>
      <x:c r="C52" s="23" t="str">
        <x:v>Eurostat</x:v>
      </x:c>
      <x:c r="D52" s="23" t="str">
        <x:v>Europe</x:v>
      </x:c>
      <x:c r="E52" s="23" t="str">
        <x:v>European Union - 27 countries (from 2020)</x:v>
      </x:c>
      <x:c r="F52" s="23" t="str">
        <x:v>2021-10</x:v>
      </x:c>
      <x:c r="G52" s="23" t="str">
        <x:v>Nights spent</x:v>
      </x:c>
      <x:c r="H52" s="23" t="str">
        <x:v>Total</x:v>
      </x:c>
      <x:c r="I52" s="23" t="str">
        <x:v>October</x:v>
      </x:c>
      <x:c r="J52" s="72" t="n">
        <x:v>33472194</x:v>
      </x:c>
      <x:c r="K52" s="23" t="str">
        <x:v>Number</x:v>
      </x:c>
      <x:c r="L52" s="24" t="n">
        <x:v>46268.868252314816</x:v>
      </x:c>
      <x:c r="M52" s="24" t="str">
        <x:v>2026-07-02T11:00:00+0200</x:v>
      </x:c>
      <x:c r="N52" s="24" t="n">
        <x:v>46268.868252314816</x:v>
      </x:c>
      <x:c r="O52" s="40" t="b">
        <x:v>1</x:v>
      </x:c>
      <x:c r="P52" s="42" t="str">
        <x:v>current_snapshot_diagnostic_only</x:v>
      </x:c>
    </x:row>
    <x:row r="53">
      <x:c r="A53" s="23" t="str">
        <x:v>ae21e33e32b9ee479915</x:v>
      </x:c>
      <x:c r="B53" s="23" t="str">
        <x:v>EUROSTAT_PLATFORM_NIGHTS_COUNTRY</x:v>
      </x:c>
      <x:c r="C53" s="23" t="str">
        <x:v>Eurostat</x:v>
      </x:c>
      <x:c r="D53" s="23" t="str">
        <x:v>Europe</x:v>
      </x:c>
      <x:c r="E53" s="23" t="str">
        <x:v>European Union - 27 countries (from 2020)</x:v>
      </x:c>
      <x:c r="F53" s="23" t="str">
        <x:v>2021-11</x:v>
      </x:c>
      <x:c r="G53" s="23" t="str">
        <x:v>Nights spent</x:v>
      </x:c>
      <x:c r="H53" s="23" t="str">
        <x:v>Total</x:v>
      </x:c>
      <x:c r="I53" s="23" t="str">
        <x:v>November</x:v>
      </x:c>
      <x:c r="J53" s="72" t="n">
        <x:v>19792501</x:v>
      </x:c>
      <x:c r="K53" s="23" t="str">
        <x:v>Number</x:v>
      </x:c>
      <x:c r="L53" s="24" t="n">
        <x:v>46268.868252314816</x:v>
      </x:c>
      <x:c r="M53" s="24" t="str">
        <x:v>2026-07-02T11:00:00+0200</x:v>
      </x:c>
      <x:c r="N53" s="24" t="n">
        <x:v>46268.868252314816</x:v>
      </x:c>
      <x:c r="O53" s="40" t="b">
        <x:v>1</x:v>
      </x:c>
      <x:c r="P53" s="42" t="str">
        <x:v>current_snapshot_diagnostic_only</x:v>
      </x:c>
    </x:row>
    <x:row r="54">
      <x:c r="A54" s="23" t="str">
        <x:v>9c68ca5f7c2ef7f7ec49</x:v>
      </x:c>
      <x:c r="B54" s="23" t="str">
        <x:v>EUROSTAT_PLATFORM_NIGHTS_COUNTRY</x:v>
      </x:c>
      <x:c r="C54" s="23" t="str">
        <x:v>Eurostat</x:v>
      </x:c>
      <x:c r="D54" s="23" t="str">
        <x:v>Europe</x:v>
      </x:c>
      <x:c r="E54" s="23" t="str">
        <x:v>European Union - 27 countries (from 2020)</x:v>
      </x:c>
      <x:c r="F54" s="23" t="str">
        <x:v>2021-12</x:v>
      </x:c>
      <x:c r="G54" s="23" t="str">
        <x:v>Nights spent</x:v>
      </x:c>
      <x:c r="H54" s="23" t="str">
        <x:v>Total</x:v>
      </x:c>
      <x:c r="I54" s="23" t="str">
        <x:v>December</x:v>
      </x:c>
      <x:c r="J54" s="72" t="n">
        <x:v>24533784</x:v>
      </x:c>
      <x:c r="K54" s="23" t="str">
        <x:v>Number</x:v>
      </x:c>
      <x:c r="L54" s="24" t="n">
        <x:v>46268.868252314816</x:v>
      </x:c>
      <x:c r="M54" s="24" t="str">
        <x:v>2026-07-02T11:00:00+0200</x:v>
      </x:c>
      <x:c r="N54" s="24" t="n">
        <x:v>46268.868252314816</x:v>
      </x:c>
      <x:c r="O54" s="40" t="b">
        <x:v>1</x:v>
      </x:c>
      <x:c r="P54" s="42" t="str">
        <x:v>current_snapshot_diagnostic_only</x:v>
      </x:c>
    </x:row>
    <x:row r="55">
      <x:c r="A55" s="23" t="str">
        <x:v>d13fb86982e02eaa62de</x:v>
      </x:c>
      <x:c r="B55" s="23" t="str">
        <x:v>EUROSTAT_PLATFORM_NIGHTS_COUNTRY</x:v>
      </x:c>
      <x:c r="C55" s="23" t="str">
        <x:v>Eurostat</x:v>
      </x:c>
      <x:c r="D55" s="23" t="str">
        <x:v>Europe</x:v>
      </x:c>
      <x:c r="E55" s="23" t="str">
        <x:v>European Union - 27 countries (from 2020)</x:v>
      </x:c>
      <x:c r="F55" s="23" t="str">
        <x:v>2022-01</x:v>
      </x:c>
      <x:c r="G55" s="23" t="str">
        <x:v>Nights spent</x:v>
      </x:c>
      <x:c r="H55" s="23" t="str">
        <x:v>Total</x:v>
      </x:c>
      <x:c r="I55" s="23" t="str">
        <x:v>January</x:v>
      </x:c>
      <x:c r="J55" s="72" t="n">
        <x:v>19549503</x:v>
      </x:c>
      <x:c r="K55" s="23" t="str">
        <x:v>Number</x:v>
      </x:c>
      <x:c r="L55" s="24" t="n">
        <x:v>46268.868252314816</x:v>
      </x:c>
      <x:c r="M55" s="24" t="str">
        <x:v>2026-07-02T11:00:00+0200</x:v>
      </x:c>
      <x:c r="N55" s="24" t="n">
        <x:v>46268.868252314816</x:v>
      </x:c>
      <x:c r="O55" s="40" t="b">
        <x:v>1</x:v>
      </x:c>
      <x:c r="P55" s="42" t="str">
        <x:v>current_snapshot_diagnostic_only</x:v>
      </x:c>
    </x:row>
    <x:row r="56">
      <x:c r="A56" s="23" t="str">
        <x:v>3800863c0e7b22031388</x:v>
      </x:c>
      <x:c r="B56" s="23" t="str">
        <x:v>EUROSTAT_PLATFORM_NIGHTS_COUNTRY</x:v>
      </x:c>
      <x:c r="C56" s="23" t="str">
        <x:v>Eurostat</x:v>
      </x:c>
      <x:c r="D56" s="23" t="str">
        <x:v>Europe</x:v>
      </x:c>
      <x:c r="E56" s="23" t="str">
        <x:v>European Union - 27 countries (from 2020)</x:v>
      </x:c>
      <x:c r="F56" s="23" t="str">
        <x:v>2022-02</x:v>
      </x:c>
      <x:c r="G56" s="23" t="str">
        <x:v>Nights spent</x:v>
      </x:c>
      <x:c r="H56" s="23" t="str">
        <x:v>Total</x:v>
      </x:c>
      <x:c r="I56" s="23" t="str">
        <x:v>February</x:v>
      </x:c>
      <x:c r="J56" s="72" t="n">
        <x:v>26150855</x:v>
      </x:c>
      <x:c r="K56" s="23" t="str">
        <x:v>Number</x:v>
      </x:c>
      <x:c r="L56" s="24" t="n">
        <x:v>46268.868252314816</x:v>
      </x:c>
      <x:c r="M56" s="24" t="str">
        <x:v>2026-07-02T11:00:00+0200</x:v>
      </x:c>
      <x:c r="N56" s="24" t="n">
        <x:v>46268.868252314816</x:v>
      </x:c>
      <x:c r="O56" s="40" t="b">
        <x:v>1</x:v>
      </x:c>
      <x:c r="P56" s="42" t="str">
        <x:v>current_snapshot_diagnostic_only</x:v>
      </x:c>
    </x:row>
    <x:row r="57">
      <x:c r="A57" s="23" t="str">
        <x:v>2e1d9c5f2e7e3c953bfe</x:v>
      </x:c>
      <x:c r="B57" s="23" t="str">
        <x:v>EUROSTAT_PLATFORM_NIGHTS_COUNTRY</x:v>
      </x:c>
      <x:c r="C57" s="23" t="str">
        <x:v>Eurostat</x:v>
      </x:c>
      <x:c r="D57" s="23" t="str">
        <x:v>Europe</x:v>
      </x:c>
      <x:c r="E57" s="23" t="str">
        <x:v>European Union - 27 countries (from 2020)</x:v>
      </x:c>
      <x:c r="F57" s="23" t="str">
        <x:v>2022-03</x:v>
      </x:c>
      <x:c r="G57" s="23" t="str">
        <x:v>Nights spent</x:v>
      </x:c>
      <x:c r="H57" s="23" t="str">
        <x:v>Total</x:v>
      </x:c>
      <x:c r="I57" s="23" t="str">
        <x:v>March</x:v>
      </x:c>
      <x:c r="J57" s="72" t="n">
        <x:v>26301281</x:v>
      </x:c>
      <x:c r="K57" s="23" t="str">
        <x:v>Number</x:v>
      </x:c>
      <x:c r="L57" s="24" t="n">
        <x:v>46268.868252314816</x:v>
      </x:c>
      <x:c r="M57" s="24" t="str">
        <x:v>2026-07-02T11:00:00+0200</x:v>
      </x:c>
      <x:c r="N57" s="24" t="n">
        <x:v>46268.868252314816</x:v>
      </x:c>
      <x:c r="O57" s="40" t="b">
        <x:v>1</x:v>
      </x:c>
      <x:c r="P57" s="42" t="str">
        <x:v>current_snapshot_diagnostic_only</x:v>
      </x:c>
    </x:row>
    <x:row r="58">
      <x:c r="A58" s="23" t="str">
        <x:v>db545e32cd521d9d411c</x:v>
      </x:c>
      <x:c r="B58" s="23" t="str">
        <x:v>EUROSTAT_PLATFORM_NIGHTS_COUNTRY</x:v>
      </x:c>
      <x:c r="C58" s="23" t="str">
        <x:v>Eurostat</x:v>
      </x:c>
      <x:c r="D58" s="23" t="str">
        <x:v>Europe</x:v>
      </x:c>
      <x:c r="E58" s="23" t="str">
        <x:v>European Union - 27 countries (from 2020)</x:v>
      </x:c>
      <x:c r="F58" s="23" t="str">
        <x:v>2022-04</x:v>
      </x:c>
      <x:c r="G58" s="23" t="str">
        <x:v>Nights spent</x:v>
      </x:c>
      <x:c r="H58" s="23" t="str">
        <x:v>Total</x:v>
      </x:c>
      <x:c r="I58" s="23" t="str">
        <x:v>April</x:v>
      </x:c>
      <x:c r="J58" s="72" t="n">
        <x:v>42165464</x:v>
      </x:c>
      <x:c r="K58" s="23" t="str">
        <x:v>Number</x:v>
      </x:c>
      <x:c r="L58" s="24" t="n">
        <x:v>46268.868252314816</x:v>
      </x:c>
      <x:c r="M58" s="24" t="str">
        <x:v>2026-07-02T11:00:00+0200</x:v>
      </x:c>
      <x:c r="N58" s="24" t="n">
        <x:v>46268.868252314816</x:v>
      </x:c>
      <x:c r="O58" s="40" t="b">
        <x:v>1</x:v>
      </x:c>
      <x:c r="P58" s="42" t="str">
        <x:v>current_snapshot_diagnostic_only</x:v>
      </x:c>
    </x:row>
    <x:row r="59">
      <x:c r="A59" s="23" t="str">
        <x:v>54fdf350a474a0fa16ac</x:v>
      </x:c>
      <x:c r="B59" s="23" t="str">
        <x:v>EUROSTAT_PLATFORM_NIGHTS_COUNTRY</x:v>
      </x:c>
      <x:c r="C59" s="23" t="str">
        <x:v>Eurostat</x:v>
      </x:c>
      <x:c r="D59" s="23" t="str">
        <x:v>Europe</x:v>
      </x:c>
      <x:c r="E59" s="23" t="str">
        <x:v>European Union - 27 countries (from 2020)</x:v>
      </x:c>
      <x:c r="F59" s="23" t="str">
        <x:v>2022-05</x:v>
      </x:c>
      <x:c r="G59" s="23" t="str">
        <x:v>Nights spent</x:v>
      </x:c>
      <x:c r="H59" s="23" t="str">
        <x:v>Total</x:v>
      </x:c>
      <x:c r="I59" s="23" t="str">
        <x:v>May</x:v>
      </x:c>
      <x:c r="J59" s="72" t="n">
        <x:v>42033383</x:v>
      </x:c>
      <x:c r="K59" s="23" t="str">
        <x:v>Number</x:v>
      </x:c>
      <x:c r="L59" s="24" t="n">
        <x:v>46268.868252314816</x:v>
      </x:c>
      <x:c r="M59" s="24" t="str">
        <x:v>2026-07-02T11:00:00+0200</x:v>
      </x:c>
      <x:c r="N59" s="24" t="n">
        <x:v>46268.868252314816</x:v>
      </x:c>
      <x:c r="O59" s="40" t="b">
        <x:v>1</x:v>
      </x:c>
      <x:c r="P59" s="42" t="str">
        <x:v>current_snapshot_diagnostic_only</x:v>
      </x:c>
    </x:row>
    <x:row r="60">
      <x:c r="A60" s="23" t="str">
        <x:v>62037b17a1de132570f8</x:v>
      </x:c>
      <x:c r="B60" s="23" t="str">
        <x:v>EUROSTAT_PLATFORM_NIGHTS_COUNTRY</x:v>
      </x:c>
      <x:c r="C60" s="23" t="str">
        <x:v>Eurostat</x:v>
      </x:c>
      <x:c r="D60" s="23" t="str">
        <x:v>Europe</x:v>
      </x:c>
      <x:c r="E60" s="23" t="str">
        <x:v>European Union - 27 countries (from 2020)</x:v>
      </x:c>
      <x:c r="F60" s="23" t="str">
        <x:v>2022-06</x:v>
      </x:c>
      <x:c r="G60" s="23" t="str">
        <x:v>Nights spent</x:v>
      </x:c>
      <x:c r="H60" s="23" t="str">
        <x:v>Total</x:v>
      </x:c>
      <x:c r="I60" s="23" t="str">
        <x:v>June</x:v>
      </x:c>
      <x:c r="J60" s="72" t="n">
        <x:v>59608120</x:v>
      </x:c>
      <x:c r="K60" s="23" t="str">
        <x:v>Number</x:v>
      </x:c>
      <x:c r="L60" s="24" t="n">
        <x:v>46268.868252314816</x:v>
      </x:c>
      <x:c r="M60" s="24" t="str">
        <x:v>2026-07-02T11:00:00+0200</x:v>
      </x:c>
      <x:c r="N60" s="24" t="n">
        <x:v>46268.868252314816</x:v>
      </x:c>
      <x:c r="O60" s="40" t="b">
        <x:v>1</x:v>
      </x:c>
      <x:c r="P60" s="42" t="str">
        <x:v>current_snapshot_diagnostic_only</x:v>
      </x:c>
    </x:row>
    <x:row r="61">
      <x:c r="A61" s="23" t="str">
        <x:v>c7501282974c28180e8d</x:v>
      </x:c>
      <x:c r="B61" s="23" t="str">
        <x:v>EUROSTAT_PLATFORM_NIGHTS_COUNTRY</x:v>
      </x:c>
      <x:c r="C61" s="23" t="str">
        <x:v>Eurostat</x:v>
      </x:c>
      <x:c r="D61" s="23" t="str">
        <x:v>Europe</x:v>
      </x:c>
      <x:c r="E61" s="23" t="str">
        <x:v>European Union - 27 countries (from 2020)</x:v>
      </x:c>
      <x:c r="F61" s="23" t="str">
        <x:v>2022-07</x:v>
      </x:c>
      <x:c r="G61" s="23" t="str">
        <x:v>Nights spent</x:v>
      </x:c>
      <x:c r="H61" s="23" t="str">
        <x:v>Total</x:v>
      </x:c>
      <x:c r="I61" s="23" t="str">
        <x:v>July</x:v>
      </x:c>
      <x:c r="J61" s="72" t="n">
        <x:v>104482845</x:v>
      </x:c>
      <x:c r="K61" s="23" t="str">
        <x:v>Number</x:v>
      </x:c>
      <x:c r="L61" s="24" t="n">
        <x:v>46268.868252314816</x:v>
      </x:c>
      <x:c r="M61" s="24" t="str">
        <x:v>2026-07-02T11:00:00+0200</x:v>
      </x:c>
      <x:c r="N61" s="24" t="n">
        <x:v>46268.868252314816</x:v>
      </x:c>
      <x:c r="O61" s="40" t="b">
        <x:v>1</x:v>
      </x:c>
      <x:c r="P61" s="42" t="str">
        <x:v>current_snapshot_diagnostic_only</x:v>
      </x:c>
    </x:row>
    <x:row r="62">
      <x:c r="A62" s="23" t="str">
        <x:v>52521756c8eaeff12198</x:v>
      </x:c>
      <x:c r="B62" s="23" t="str">
        <x:v>EUROSTAT_PLATFORM_NIGHTS_COUNTRY</x:v>
      </x:c>
      <x:c r="C62" s="23" t="str">
        <x:v>Eurostat</x:v>
      </x:c>
      <x:c r="D62" s="23" t="str">
        <x:v>Europe</x:v>
      </x:c>
      <x:c r="E62" s="23" t="str">
        <x:v>European Union - 27 countries (from 2020)</x:v>
      </x:c>
      <x:c r="F62" s="23" t="str">
        <x:v>2022-08</x:v>
      </x:c>
      <x:c r="G62" s="23" t="str">
        <x:v>Nights spent</x:v>
      </x:c>
      <x:c r="H62" s="23" t="str">
        <x:v>Total</x:v>
      </x:c>
      <x:c r="I62" s="23" t="str">
        <x:v>August</x:v>
      </x:c>
      <x:c r="J62" s="72" t="n">
        <x:v>111567545</x:v>
      </x:c>
      <x:c r="K62" s="23" t="str">
        <x:v>Number</x:v>
      </x:c>
      <x:c r="L62" s="24" t="n">
        <x:v>46268.868252314816</x:v>
      </x:c>
      <x:c r="M62" s="24" t="str">
        <x:v>2026-07-02T11:00:00+0200</x:v>
      </x:c>
      <x:c r="N62" s="24" t="n">
        <x:v>46268.868252314816</x:v>
      </x:c>
      <x:c r="O62" s="40" t="b">
        <x:v>1</x:v>
      </x:c>
      <x:c r="P62" s="42" t="str">
        <x:v>current_snapshot_diagnostic_only</x:v>
      </x:c>
    </x:row>
    <x:row r="63">
      <x:c r="A63" s="23" t="str">
        <x:v>e76e592c9f3a91aef5c0</x:v>
      </x:c>
      <x:c r="B63" s="23" t="str">
        <x:v>EUROSTAT_PLATFORM_NIGHTS_COUNTRY</x:v>
      </x:c>
      <x:c r="C63" s="23" t="str">
        <x:v>Eurostat</x:v>
      </x:c>
      <x:c r="D63" s="23" t="str">
        <x:v>Europe</x:v>
      </x:c>
      <x:c r="E63" s="23" t="str">
        <x:v>European Union - 27 countries (from 2020)</x:v>
      </x:c>
      <x:c r="F63" s="23" t="str">
        <x:v>2022-09</x:v>
      </x:c>
      <x:c r="G63" s="23" t="str">
        <x:v>Nights spent</x:v>
      </x:c>
      <x:c r="H63" s="23" t="str">
        <x:v>Total</x:v>
      </x:c>
      <x:c r="I63" s="23" t="str">
        <x:v>September</x:v>
      </x:c>
      <x:c r="J63" s="72" t="n">
        <x:v>56779129</x:v>
      </x:c>
      <x:c r="K63" s="23" t="str">
        <x:v>Number</x:v>
      </x:c>
      <x:c r="L63" s="24" t="n">
        <x:v>46268.868252314816</x:v>
      </x:c>
      <x:c r="M63" s="24" t="str">
        <x:v>2026-07-02T11:00:00+0200</x:v>
      </x:c>
      <x:c r="N63" s="24" t="n">
        <x:v>46268.868252314816</x:v>
      </x:c>
      <x:c r="O63" s="40" t="b">
        <x:v>1</x:v>
      </x:c>
      <x:c r="P63" s="42" t="str">
        <x:v>current_snapshot_diagnostic_only</x:v>
      </x:c>
    </x:row>
    <x:row r="64">
      <x:c r="A64" s="23" t="str">
        <x:v>391e909f8a2da6e12f9c</x:v>
      </x:c>
      <x:c r="B64" s="23" t="str">
        <x:v>EUROSTAT_PLATFORM_NIGHTS_COUNTRY</x:v>
      </x:c>
      <x:c r="C64" s="23" t="str">
        <x:v>Eurostat</x:v>
      </x:c>
      <x:c r="D64" s="23" t="str">
        <x:v>Europe</x:v>
      </x:c>
      <x:c r="E64" s="23" t="str">
        <x:v>European Union - 27 countries (from 2020)</x:v>
      </x:c>
      <x:c r="F64" s="23" t="str">
        <x:v>2022-10</x:v>
      </x:c>
      <x:c r="G64" s="23" t="str">
        <x:v>Nights spent</x:v>
      </x:c>
      <x:c r="H64" s="23" t="str">
        <x:v>Total</x:v>
      </x:c>
      <x:c r="I64" s="23" t="str">
        <x:v>October</x:v>
      </x:c>
      <x:c r="J64" s="72" t="n">
        <x:v>45387903</x:v>
      </x:c>
      <x:c r="K64" s="23" t="str">
        <x:v>Number</x:v>
      </x:c>
      <x:c r="L64" s="24" t="n">
        <x:v>46268.868252314816</x:v>
      </x:c>
      <x:c r="M64" s="24" t="str">
        <x:v>2026-07-02T11:00:00+0200</x:v>
      </x:c>
      <x:c r="N64" s="24" t="n">
        <x:v>46268.868252314816</x:v>
      </x:c>
      <x:c r="O64" s="40" t="b">
        <x:v>1</x:v>
      </x:c>
      <x:c r="P64" s="42" t="str">
        <x:v>current_snapshot_diagnostic_only</x:v>
      </x:c>
    </x:row>
    <x:row r="65">
      <x:c r="A65" s="23" t="str">
        <x:v>84f671eb4a4b9d6a7dfe</x:v>
      </x:c>
      <x:c r="B65" s="23" t="str">
        <x:v>EUROSTAT_PLATFORM_NIGHTS_COUNTRY</x:v>
      </x:c>
      <x:c r="C65" s="23" t="str">
        <x:v>Eurostat</x:v>
      </x:c>
      <x:c r="D65" s="23" t="str">
        <x:v>Europe</x:v>
      </x:c>
      <x:c r="E65" s="23" t="str">
        <x:v>European Union - 27 countries (from 2020)</x:v>
      </x:c>
      <x:c r="F65" s="23" t="str">
        <x:v>2022-11</x:v>
      </x:c>
      <x:c r="G65" s="23" t="str">
        <x:v>Nights spent</x:v>
      </x:c>
      <x:c r="H65" s="23" t="str">
        <x:v>Total</x:v>
      </x:c>
      <x:c r="I65" s="23" t="str">
        <x:v>November</x:v>
      </x:c>
      <x:c r="J65" s="72" t="n">
        <x:v>26503852</x:v>
      </x:c>
      <x:c r="K65" s="23" t="str">
        <x:v>Number</x:v>
      </x:c>
      <x:c r="L65" s="24" t="n">
        <x:v>46268.868252314816</x:v>
      </x:c>
      <x:c r="M65" s="24" t="str">
        <x:v>2026-07-02T11:00:00+0200</x:v>
      </x:c>
      <x:c r="N65" s="24" t="n">
        <x:v>46268.868252314816</x:v>
      </x:c>
      <x:c r="O65" s="40" t="b">
        <x:v>1</x:v>
      </x:c>
      <x:c r="P65" s="42" t="str">
        <x:v>current_snapshot_diagnostic_only</x:v>
      </x:c>
    </x:row>
    <x:row r="66">
      <x:c r="A66" s="23" t="str">
        <x:v>0543c25a45b57887d057</x:v>
      </x:c>
      <x:c r="B66" s="23" t="str">
        <x:v>EUROSTAT_PLATFORM_NIGHTS_COUNTRY</x:v>
      </x:c>
      <x:c r="C66" s="23" t="str">
        <x:v>Eurostat</x:v>
      </x:c>
      <x:c r="D66" s="23" t="str">
        <x:v>Europe</x:v>
      </x:c>
      <x:c r="E66" s="23" t="str">
        <x:v>European Union - 27 countries (from 2020)</x:v>
      </x:c>
      <x:c r="F66" s="23" t="str">
        <x:v>2022-12</x:v>
      </x:c>
      <x:c r="G66" s="23" t="str">
        <x:v>Nights spent</x:v>
      </x:c>
      <x:c r="H66" s="23" t="str">
        <x:v>Total</x:v>
      </x:c>
      <x:c r="I66" s="23" t="str">
        <x:v>December</x:v>
      </x:c>
      <x:c r="J66" s="72" t="n">
        <x:v>36017016</x:v>
      </x:c>
      <x:c r="K66" s="23" t="str">
        <x:v>Number</x:v>
      </x:c>
      <x:c r="L66" s="24" t="n">
        <x:v>46268.868252314816</x:v>
      </x:c>
      <x:c r="M66" s="24" t="str">
        <x:v>2026-07-02T11:00:00+0200</x:v>
      </x:c>
      <x:c r="N66" s="24" t="n">
        <x:v>46268.868252314816</x:v>
      </x:c>
      <x:c r="O66" s="40" t="b">
        <x:v>1</x:v>
      </x:c>
      <x:c r="P66" s="42" t="str">
        <x:v>current_snapshot_diagnostic_only</x:v>
      </x:c>
    </x:row>
    <x:row r="67">
      <x:c r="A67" s="23" t="str">
        <x:v>1c868e4468d92048773e</x:v>
      </x:c>
      <x:c r="B67" s="23" t="str">
        <x:v>EUROSTAT_PLATFORM_NIGHTS_COUNTRY</x:v>
      </x:c>
      <x:c r="C67" s="23" t="str">
        <x:v>Eurostat</x:v>
      </x:c>
      <x:c r="D67" s="23" t="str">
        <x:v>Europe</x:v>
      </x:c>
      <x:c r="E67" s="23" t="str">
        <x:v>European Union - 27 countries (from 2020)</x:v>
      </x:c>
      <x:c r="F67" s="23" t="str">
        <x:v>2023-01</x:v>
      </x:c>
      <x:c r="G67" s="23" t="str">
        <x:v>Nights spent</x:v>
      </x:c>
      <x:c r="H67" s="23" t="str">
        <x:v>Total</x:v>
      </x:c>
      <x:c r="I67" s="23" t="str">
        <x:v>January</x:v>
      </x:c>
      <x:c r="J67" s="72" t="n">
        <x:v>28542775</x:v>
      </x:c>
      <x:c r="K67" s="23" t="str">
        <x:v>Number</x:v>
      </x:c>
      <x:c r="L67" s="24" t="n">
        <x:v>46268.868252314816</x:v>
      </x:c>
      <x:c r="M67" s="24" t="str">
        <x:v>2026-07-02T11:00:00+0200</x:v>
      </x:c>
      <x:c r="N67" s="24" t="n">
        <x:v>46268.868252314816</x:v>
      </x:c>
      <x:c r="O67" s="40" t="b">
        <x:v>1</x:v>
      </x:c>
      <x:c r="P67" s="42" t="str">
        <x:v>current_snapshot_diagnostic_only</x:v>
      </x:c>
    </x:row>
    <x:row r="68">
      <x:c r="A68" s="23" t="str">
        <x:v>1f47d4f832ae23d9630d</x:v>
      </x:c>
      <x:c r="B68" s="23" t="str">
        <x:v>EUROSTAT_PLATFORM_NIGHTS_COUNTRY</x:v>
      </x:c>
      <x:c r="C68" s="23" t="str">
        <x:v>Eurostat</x:v>
      </x:c>
      <x:c r="D68" s="23" t="str">
        <x:v>Europe</x:v>
      </x:c>
      <x:c r="E68" s="23" t="str">
        <x:v>European Union - 27 countries (from 2020)</x:v>
      </x:c>
      <x:c r="F68" s="23" t="str">
        <x:v>2023-02</x:v>
      </x:c>
      <x:c r="G68" s="23" t="str">
        <x:v>Nights spent</x:v>
      </x:c>
      <x:c r="H68" s="23" t="str">
        <x:v>Total</x:v>
      </x:c>
      <x:c r="I68" s="23" t="str">
        <x:v>February</x:v>
      </x:c>
      <x:c r="J68" s="72" t="n">
        <x:v>34604141</x:v>
      </x:c>
      <x:c r="K68" s="23" t="str">
        <x:v>Number</x:v>
      </x:c>
      <x:c r="L68" s="24" t="n">
        <x:v>46268.868252314816</x:v>
      </x:c>
      <x:c r="M68" s="24" t="str">
        <x:v>2026-07-02T11:00:00+0200</x:v>
      </x:c>
      <x:c r="N68" s="24" t="n">
        <x:v>46268.868252314816</x:v>
      </x:c>
      <x:c r="O68" s="40" t="b">
        <x:v>1</x:v>
      </x:c>
      <x:c r="P68" s="42" t="str">
        <x:v>current_snapshot_diagnostic_only</x:v>
      </x:c>
    </x:row>
    <x:row r="69">
      <x:c r="A69" s="23" t="str">
        <x:v>7b4e305c744ce30b1cb8</x:v>
      </x:c>
      <x:c r="B69" s="23" t="str">
        <x:v>EUROSTAT_PLATFORM_NIGHTS_COUNTRY</x:v>
      </x:c>
      <x:c r="C69" s="23" t="str">
        <x:v>Eurostat</x:v>
      </x:c>
      <x:c r="D69" s="23" t="str">
        <x:v>Europe</x:v>
      </x:c>
      <x:c r="E69" s="23" t="str">
        <x:v>European Union - 27 countries (from 2020)</x:v>
      </x:c>
      <x:c r="F69" s="23" t="str">
        <x:v>2023-03</x:v>
      </x:c>
      <x:c r="G69" s="23" t="str">
        <x:v>Nights spent</x:v>
      </x:c>
      <x:c r="H69" s="23" t="str">
        <x:v>Total</x:v>
      </x:c>
      <x:c r="I69" s="23" t="str">
        <x:v>March</x:v>
      </x:c>
      <x:c r="J69" s="72" t="n">
        <x:v>33251102</x:v>
      </x:c>
      <x:c r="K69" s="23" t="str">
        <x:v>Number</x:v>
      </x:c>
      <x:c r="L69" s="24" t="n">
        <x:v>46268.868252314816</x:v>
      </x:c>
      <x:c r="M69" s="24" t="str">
        <x:v>2026-07-02T11:00:00+0200</x:v>
      </x:c>
      <x:c r="N69" s="24" t="n">
        <x:v>46268.868252314816</x:v>
      </x:c>
      <x:c r="O69" s="40" t="b">
        <x:v>1</x:v>
      </x:c>
      <x:c r="P69" s="42" t="str">
        <x:v>current_snapshot_diagnostic_only</x:v>
      </x:c>
    </x:row>
    <x:row r="70">
      <x:c r="A70" s="23" t="str">
        <x:v>9d4021575cd122502c99</x:v>
      </x:c>
      <x:c r="B70" s="23" t="str">
        <x:v>EUROSTAT_PLATFORM_NIGHTS_COUNTRY</x:v>
      </x:c>
      <x:c r="C70" s="23" t="str">
        <x:v>Eurostat</x:v>
      </x:c>
      <x:c r="D70" s="23" t="str">
        <x:v>Europe</x:v>
      </x:c>
      <x:c r="E70" s="23" t="str">
        <x:v>European Union - 27 countries (from 2020)</x:v>
      </x:c>
      <x:c r="F70" s="23" t="str">
        <x:v>2023-04</x:v>
      </x:c>
      <x:c r="G70" s="23" t="str">
        <x:v>Nights spent</x:v>
      </x:c>
      <x:c r="H70" s="23" t="str">
        <x:v>Total</x:v>
      </x:c>
      <x:c r="I70" s="23" t="str">
        <x:v>April</x:v>
      </x:c>
      <x:c r="J70" s="72" t="n">
        <x:v>54479415</x:v>
      </x:c>
      <x:c r="K70" s="23" t="str">
        <x:v>Number</x:v>
      </x:c>
      <x:c r="L70" s="24" t="n">
        <x:v>46268.868252314816</x:v>
      </x:c>
      <x:c r="M70" s="24" t="str">
        <x:v>2026-07-02T11:00:00+0200</x:v>
      </x:c>
      <x:c r="N70" s="24" t="n">
        <x:v>46268.868252314816</x:v>
      </x:c>
      <x:c r="O70" s="40" t="b">
        <x:v>1</x:v>
      </x:c>
      <x:c r="P70" s="42" t="str">
        <x:v>current_snapshot_diagnostic_only</x:v>
      </x:c>
    </x:row>
    <x:row r="71">
      <x:c r="A71" s="23" t="str">
        <x:v>00d337789432b41d8e1c</x:v>
      </x:c>
      <x:c r="B71" s="23" t="str">
        <x:v>EUROSTAT_PLATFORM_NIGHTS_COUNTRY</x:v>
      </x:c>
      <x:c r="C71" s="23" t="str">
        <x:v>Eurostat</x:v>
      </x:c>
      <x:c r="D71" s="23" t="str">
        <x:v>Europe</x:v>
      </x:c>
      <x:c r="E71" s="23" t="str">
        <x:v>European Union - 27 countries (from 2020)</x:v>
      </x:c>
      <x:c r="F71" s="23" t="str">
        <x:v>2023-05</x:v>
      </x:c>
      <x:c r="G71" s="23" t="str">
        <x:v>Nights spent</x:v>
      </x:c>
      <x:c r="H71" s="23" t="str">
        <x:v>Total</x:v>
      </x:c>
      <x:c r="I71" s="23" t="str">
        <x:v>May</x:v>
      </x:c>
      <x:c r="J71" s="72" t="n">
        <x:v>55461965</x:v>
      </x:c>
      <x:c r="K71" s="23" t="str">
        <x:v>Number</x:v>
      </x:c>
      <x:c r="L71" s="24" t="n">
        <x:v>46268.868252314816</x:v>
      </x:c>
      <x:c r="M71" s="24" t="str">
        <x:v>2026-07-02T11:00:00+0200</x:v>
      </x:c>
      <x:c r="N71" s="24" t="n">
        <x:v>46268.868252314816</x:v>
      </x:c>
      <x:c r="O71" s="40" t="b">
        <x:v>1</x:v>
      </x:c>
      <x:c r="P71" s="42" t="str">
        <x:v>current_snapshot_diagnostic_only</x:v>
      </x:c>
    </x:row>
    <x:row r="72">
      <x:c r="A72" s="23" t="str">
        <x:v>f6fbd3353731dae774f7</x:v>
      </x:c>
      <x:c r="B72" s="23" t="str">
        <x:v>EUROSTAT_PLATFORM_NIGHTS_COUNTRY</x:v>
      </x:c>
      <x:c r="C72" s="23" t="str">
        <x:v>Eurostat</x:v>
      </x:c>
      <x:c r="D72" s="23" t="str">
        <x:v>Europe</x:v>
      </x:c>
      <x:c r="E72" s="23" t="str">
        <x:v>European Union - 27 countries (from 2020)</x:v>
      </x:c>
      <x:c r="F72" s="23" t="str">
        <x:v>2023-06</x:v>
      </x:c>
      <x:c r="G72" s="23" t="str">
        <x:v>Nights spent</x:v>
      </x:c>
      <x:c r="H72" s="23" t="str">
        <x:v>Total</x:v>
      </x:c>
      <x:c r="I72" s="23" t="str">
        <x:v>June</x:v>
      </x:c>
      <x:c r="J72" s="72" t="n">
        <x:v>69841055</x:v>
      </x:c>
      <x:c r="K72" s="23" t="str">
        <x:v>Number</x:v>
      </x:c>
      <x:c r="L72" s="24" t="n">
        <x:v>46268.868252314816</x:v>
      </x:c>
      <x:c r="M72" s="24" t="str">
        <x:v>2026-07-02T11:00:00+0200</x:v>
      </x:c>
      <x:c r="N72" s="24" t="n">
        <x:v>46268.868252314816</x:v>
      </x:c>
      <x:c r="O72" s="40" t="b">
        <x:v>1</x:v>
      </x:c>
      <x:c r="P72" s="42" t="str">
        <x:v>current_snapshot_diagnostic_only</x:v>
      </x:c>
    </x:row>
    <x:row r="73">
      <x:c r="A73" s="23" t="str">
        <x:v>f929a8f91f5f5f2dd4be</x:v>
      </x:c>
      <x:c r="B73" s="23" t="str">
        <x:v>EUROSTAT_PLATFORM_NIGHTS_COUNTRY</x:v>
      </x:c>
      <x:c r="C73" s="23" t="str">
        <x:v>Eurostat</x:v>
      </x:c>
      <x:c r="D73" s="23" t="str">
        <x:v>Europe</x:v>
      </x:c>
      <x:c r="E73" s="23" t="str">
        <x:v>European Union - 27 countries (from 2020)</x:v>
      </x:c>
      <x:c r="F73" s="23" t="str">
        <x:v>2023-07</x:v>
      </x:c>
      <x:c r="G73" s="23" t="str">
        <x:v>Nights spent</x:v>
      </x:c>
      <x:c r="H73" s="23" t="str">
        <x:v>Total</x:v>
      </x:c>
      <x:c r="I73" s="23" t="str">
        <x:v>July</x:v>
      </x:c>
      <x:c r="J73" s="72" t="n">
        <x:v>116050361</x:v>
      </x:c>
      <x:c r="K73" s="23" t="str">
        <x:v>Number</x:v>
      </x:c>
      <x:c r="L73" s="24" t="n">
        <x:v>46268.868252314816</x:v>
      </x:c>
      <x:c r="M73" s="24" t="str">
        <x:v>2026-07-02T11:00:00+0200</x:v>
      </x:c>
      <x:c r="N73" s="24" t="n">
        <x:v>46268.868252314816</x:v>
      </x:c>
      <x:c r="O73" s="40" t="b">
        <x:v>1</x:v>
      </x:c>
      <x:c r="P73" s="42" t="str">
        <x:v>current_snapshot_diagnostic_only</x:v>
      </x:c>
    </x:row>
    <x:row r="74">
      <x:c r="A74" s="23" t="str">
        <x:v>d7a2c6b30736170a9275</x:v>
      </x:c>
      <x:c r="B74" s="23" t="str">
        <x:v>EUROSTAT_PLATFORM_NIGHTS_COUNTRY</x:v>
      </x:c>
      <x:c r="C74" s="23" t="str">
        <x:v>Eurostat</x:v>
      </x:c>
      <x:c r="D74" s="23" t="str">
        <x:v>Europe</x:v>
      </x:c>
      <x:c r="E74" s="23" t="str">
        <x:v>European Union - 27 countries (from 2020)</x:v>
      </x:c>
      <x:c r="F74" s="23" t="str">
        <x:v>2023-08</x:v>
      </x:c>
      <x:c r="G74" s="23" t="str">
        <x:v>Nights spent</x:v>
      </x:c>
      <x:c r="H74" s="23" t="str">
        <x:v>Total</x:v>
      </x:c>
      <x:c r="I74" s="23" t="str">
        <x:v>August</x:v>
      </x:c>
      <x:c r="J74" s="72" t="n">
        <x:v>125102699</x:v>
      </x:c>
      <x:c r="K74" s="23" t="str">
        <x:v>Number</x:v>
      </x:c>
      <x:c r="L74" s="24" t="n">
        <x:v>46268.868252314816</x:v>
      </x:c>
      <x:c r="M74" s="24" t="str">
        <x:v>2026-07-02T11:00:00+0200</x:v>
      </x:c>
      <x:c r="N74" s="24" t="n">
        <x:v>46268.868252314816</x:v>
      </x:c>
      <x:c r="O74" s="40" t="b">
        <x:v>1</x:v>
      </x:c>
      <x:c r="P74" s="42" t="str">
        <x:v>current_snapshot_diagnostic_only</x:v>
      </x:c>
    </x:row>
    <x:row r="75">
      <x:c r="A75" s="23" t="str">
        <x:v>e5149669f37c88732b07</x:v>
      </x:c>
      <x:c r="B75" s="23" t="str">
        <x:v>EUROSTAT_PLATFORM_NIGHTS_COUNTRY</x:v>
      </x:c>
      <x:c r="C75" s="23" t="str">
        <x:v>Eurostat</x:v>
      </x:c>
      <x:c r="D75" s="23" t="str">
        <x:v>Europe</x:v>
      </x:c>
      <x:c r="E75" s="23" t="str">
        <x:v>European Union - 27 countries (from 2020)</x:v>
      </x:c>
      <x:c r="F75" s="23" t="str">
        <x:v>2023-09</x:v>
      </x:c>
      <x:c r="G75" s="23" t="str">
        <x:v>Nights spent</x:v>
      </x:c>
      <x:c r="H75" s="23" t="str">
        <x:v>Total</x:v>
      </x:c>
      <x:c r="I75" s="23" t="str">
        <x:v>September</x:v>
      </x:c>
      <x:c r="J75" s="72" t="n">
        <x:v>69296539</x:v>
      </x:c>
      <x:c r="K75" s="23" t="str">
        <x:v>Number</x:v>
      </x:c>
      <x:c r="L75" s="24" t="n">
        <x:v>46268.868252314816</x:v>
      </x:c>
      <x:c r="M75" s="24" t="str">
        <x:v>2026-07-02T11:00:00+0200</x:v>
      </x:c>
      <x:c r="N75" s="24" t="n">
        <x:v>46268.868252314816</x:v>
      </x:c>
      <x:c r="O75" s="40" t="b">
        <x:v>1</x:v>
      </x:c>
      <x:c r="P75" s="42" t="str">
        <x:v>current_snapshot_diagnostic_only</x:v>
      </x:c>
    </x:row>
    <x:row r="76">
      <x:c r="A76" s="23" t="str">
        <x:v>d6b37bab9c65e872b47f</x:v>
      </x:c>
      <x:c r="B76" s="23" t="str">
        <x:v>EUROSTAT_PLATFORM_NIGHTS_COUNTRY</x:v>
      </x:c>
      <x:c r="C76" s="23" t="str">
        <x:v>Eurostat</x:v>
      </x:c>
      <x:c r="D76" s="23" t="str">
        <x:v>Europe</x:v>
      </x:c>
      <x:c r="E76" s="23" t="str">
        <x:v>European Union - 27 countries (from 2020)</x:v>
      </x:c>
      <x:c r="F76" s="23" t="str">
        <x:v>2023-10</x:v>
      </x:c>
      <x:c r="G76" s="23" t="str">
        <x:v>Nights spent</x:v>
      </x:c>
      <x:c r="H76" s="23" t="str">
        <x:v>Total</x:v>
      </x:c>
      <x:c r="I76" s="23" t="str">
        <x:v>October</x:v>
      </x:c>
      <x:c r="J76" s="72" t="n">
        <x:v>55288067</x:v>
      </x:c>
      <x:c r="K76" s="23" t="str">
        <x:v>Number</x:v>
      </x:c>
      <x:c r="L76" s="24" t="n">
        <x:v>46268.868252314816</x:v>
      </x:c>
      <x:c r="M76" s="24" t="str">
        <x:v>2026-07-02T11:00:00+0200</x:v>
      </x:c>
      <x:c r="N76" s="24" t="n">
        <x:v>46268.868252314816</x:v>
      </x:c>
      <x:c r="O76" s="40" t="b">
        <x:v>1</x:v>
      </x:c>
      <x:c r="P76" s="42" t="str">
        <x:v>current_snapshot_diagnostic_only</x:v>
      </x:c>
    </x:row>
    <x:row r="77">
      <x:c r="A77" s="23" t="str">
        <x:v>8e7ec369dd5e58e76834</x:v>
      </x:c>
      <x:c r="B77" s="23" t="str">
        <x:v>EUROSTAT_PLATFORM_NIGHTS_COUNTRY</x:v>
      </x:c>
      <x:c r="C77" s="23" t="str">
        <x:v>Eurostat</x:v>
      </x:c>
      <x:c r="D77" s="23" t="str">
        <x:v>Europe</x:v>
      </x:c>
      <x:c r="E77" s="23" t="str">
        <x:v>European Union - 27 countries (from 2020)</x:v>
      </x:c>
      <x:c r="F77" s="23" t="str">
        <x:v>2023-11</x:v>
      </x:c>
      <x:c r="G77" s="23" t="str">
        <x:v>Nights spent</x:v>
      </x:c>
      <x:c r="H77" s="23" t="str">
        <x:v>Total</x:v>
      </x:c>
      <x:c r="I77" s="23" t="str">
        <x:v>November</x:v>
      </x:c>
      <x:c r="J77" s="72" t="n">
        <x:v>31769933</x:v>
      </x:c>
      <x:c r="K77" s="23" t="str">
        <x:v>Number</x:v>
      </x:c>
      <x:c r="L77" s="24" t="n">
        <x:v>46268.868252314816</x:v>
      </x:c>
      <x:c r="M77" s="24" t="str">
        <x:v>2026-07-02T11:00:00+0200</x:v>
      </x:c>
      <x:c r="N77" s="24" t="n">
        <x:v>46268.868252314816</x:v>
      </x:c>
      <x:c r="O77" s="40" t="b">
        <x:v>1</x:v>
      </x:c>
      <x:c r="P77" s="42" t="str">
        <x:v>current_snapshot_diagnostic_only</x:v>
      </x:c>
    </x:row>
    <x:row r="78">
      <x:c r="A78" s="23" t="str">
        <x:v>fd674db4d780e96c21e3</x:v>
      </x:c>
      <x:c r="B78" s="23" t="str">
        <x:v>EUROSTAT_PLATFORM_NIGHTS_COUNTRY</x:v>
      </x:c>
      <x:c r="C78" s="23" t="str">
        <x:v>Eurostat</x:v>
      </x:c>
      <x:c r="D78" s="23" t="str">
        <x:v>Europe</x:v>
      </x:c>
      <x:c r="E78" s="23" t="str">
        <x:v>European Union - 27 countries (from 2020)</x:v>
      </x:c>
      <x:c r="F78" s="23" t="str">
        <x:v>2023-12</x:v>
      </x:c>
      <x:c r="G78" s="23" t="str">
        <x:v>Nights spent</x:v>
      </x:c>
      <x:c r="H78" s="23" t="str">
        <x:v>Total</x:v>
      </x:c>
      <x:c r="I78" s="23" t="str">
        <x:v>December</x:v>
      </x:c>
      <x:c r="J78" s="72" t="n">
        <x:v>45296671</x:v>
      </x:c>
      <x:c r="K78" s="23" t="str">
        <x:v>Number</x:v>
      </x:c>
      <x:c r="L78" s="24" t="n">
        <x:v>46268.868252314816</x:v>
      </x:c>
      <x:c r="M78" s="24" t="str">
        <x:v>2026-07-02T11:00:00+0200</x:v>
      </x:c>
      <x:c r="N78" s="24" t="n">
        <x:v>46268.868252314816</x:v>
      </x:c>
      <x:c r="O78" s="40" t="b">
        <x:v>1</x:v>
      </x:c>
      <x:c r="P78" s="42" t="str">
        <x:v>current_snapshot_diagnostic_only</x:v>
      </x:c>
    </x:row>
    <x:row r="79">
      <x:c r="A79" s="23" t="str">
        <x:v>3260ef82f045c6171c7a</x:v>
      </x:c>
      <x:c r="B79" s="23" t="str">
        <x:v>EUROSTAT_PLATFORM_NIGHTS_COUNTRY</x:v>
      </x:c>
      <x:c r="C79" s="23" t="str">
        <x:v>Eurostat</x:v>
      </x:c>
      <x:c r="D79" s="23" t="str">
        <x:v>Europe</x:v>
      </x:c>
      <x:c r="E79" s="23" t="str">
        <x:v>European Union - 27 countries (from 2020)</x:v>
      </x:c>
      <x:c r="F79" s="23" t="str">
        <x:v>2024-01</x:v>
      </x:c>
      <x:c r="G79" s="23" t="str">
        <x:v>Nights spent</x:v>
      </x:c>
      <x:c r="H79" s="23" t="str">
        <x:v>Total</x:v>
      </x:c>
      <x:c r="I79" s="23" t="str">
        <x:v>January</x:v>
      </x:c>
      <x:c r="J79" s="72" t="n">
        <x:v>33315803</x:v>
      </x:c>
      <x:c r="K79" s="23" t="str">
        <x:v>Number</x:v>
      </x:c>
      <x:c r="L79" s="24" t="n">
        <x:v>46268.868252314816</x:v>
      </x:c>
      <x:c r="M79" s="24" t="str">
        <x:v>2026-07-02T11:00:00+0200</x:v>
      </x:c>
      <x:c r="N79" s="24" t="n">
        <x:v>46268.868252314816</x:v>
      </x:c>
      <x:c r="O79" s="40" t="b">
        <x:v>1</x:v>
      </x:c>
      <x:c r="P79" s="42" t="str">
        <x:v>current_snapshot_diagnostic_only</x:v>
      </x:c>
    </x:row>
    <x:row r="80">
      <x:c r="A80" s="23" t="str">
        <x:v>c66ef746be73d0bc64e5</x:v>
      </x:c>
      <x:c r="B80" s="23" t="str">
        <x:v>EUROSTAT_PLATFORM_NIGHTS_COUNTRY</x:v>
      </x:c>
      <x:c r="C80" s="23" t="str">
        <x:v>Eurostat</x:v>
      </x:c>
      <x:c r="D80" s="23" t="str">
        <x:v>Europe</x:v>
      </x:c>
      <x:c r="E80" s="23" t="str">
        <x:v>European Union - 27 countries (from 2020)</x:v>
      </x:c>
      <x:c r="F80" s="23" t="str">
        <x:v>2024-02</x:v>
      </x:c>
      <x:c r="G80" s="23" t="str">
        <x:v>Nights spent</x:v>
      </x:c>
      <x:c r="H80" s="23" t="str">
        <x:v>Total</x:v>
      </x:c>
      <x:c r="I80" s="23" t="str">
        <x:v>February</x:v>
      </x:c>
      <x:c r="J80" s="72" t="n">
        <x:v>41164689</x:v>
      </x:c>
      <x:c r="K80" s="23" t="str">
        <x:v>Number</x:v>
      </x:c>
      <x:c r="L80" s="24" t="n">
        <x:v>46268.868252314816</x:v>
      </x:c>
      <x:c r="M80" s="24" t="str">
        <x:v>2026-07-02T11:00:00+0200</x:v>
      </x:c>
      <x:c r="N80" s="24" t="n">
        <x:v>46268.868252314816</x:v>
      </x:c>
      <x:c r="O80" s="40" t="b">
        <x:v>1</x:v>
      </x:c>
      <x:c r="P80" s="42" t="str">
        <x:v>current_snapshot_diagnostic_only</x:v>
      </x:c>
    </x:row>
    <x:row r="81">
      <x:c r="A81" s="23" t="str">
        <x:v>287ff2b2b2c4312a662e</x:v>
      </x:c>
      <x:c r="B81" s="23" t="str">
        <x:v>EUROSTAT_PLATFORM_NIGHTS_COUNTRY</x:v>
      </x:c>
      <x:c r="C81" s="23" t="str">
        <x:v>Eurostat</x:v>
      </x:c>
      <x:c r="D81" s="23" t="str">
        <x:v>Europe</x:v>
      </x:c>
      <x:c r="E81" s="23" t="str">
        <x:v>European Union - 27 countries (from 2020)</x:v>
      </x:c>
      <x:c r="F81" s="23" t="str">
        <x:v>2024-03</x:v>
      </x:c>
      <x:c r="G81" s="23" t="str">
        <x:v>Nights spent</x:v>
      </x:c>
      <x:c r="H81" s="23" t="str">
        <x:v>Total</x:v>
      </x:c>
      <x:c r="I81" s="23" t="str">
        <x:v>March</x:v>
      </x:c>
      <x:c r="J81" s="72" t="n">
        <x:v>49226805</x:v>
      </x:c>
      <x:c r="K81" s="23" t="str">
        <x:v>Number</x:v>
      </x:c>
      <x:c r="L81" s="24" t="n">
        <x:v>46268.868252314816</x:v>
      </x:c>
      <x:c r="M81" s="24" t="str">
        <x:v>2026-07-02T11:00:00+0200</x:v>
      </x:c>
      <x:c r="N81" s="24" t="n">
        <x:v>46268.868252314816</x:v>
      </x:c>
      <x:c r="O81" s="40" t="b">
        <x:v>1</x:v>
      </x:c>
      <x:c r="P81" s="42" t="str">
        <x:v>current_snapshot_diagnostic_only</x:v>
      </x:c>
    </x:row>
    <x:row r="82">
      <x:c r="A82" s="23" t="str">
        <x:v>e896ff6bb966492751fc</x:v>
      </x:c>
      <x:c r="B82" s="23" t="str">
        <x:v>EUROSTAT_PLATFORM_NIGHTS_COUNTRY</x:v>
      </x:c>
      <x:c r="C82" s="23" t="str">
        <x:v>Eurostat</x:v>
      </x:c>
      <x:c r="D82" s="23" t="str">
        <x:v>Europe</x:v>
      </x:c>
      <x:c r="E82" s="23" t="str">
        <x:v>European Union - 27 countries (from 2020)</x:v>
      </x:c>
      <x:c r="F82" s="23" t="str">
        <x:v>2024-04</x:v>
      </x:c>
      <x:c r="G82" s="23" t="str">
        <x:v>Nights spent</x:v>
      </x:c>
      <x:c r="H82" s="23" t="str">
        <x:v>Total</x:v>
      </x:c>
      <x:c r="I82" s="23" t="str">
        <x:v>April</x:v>
      </x:c>
      <x:c r="J82" s="72" t="n">
        <x:v>53512230</x:v>
      </x:c>
      <x:c r="K82" s="23" t="str">
        <x:v>Number</x:v>
      </x:c>
      <x:c r="L82" s="24" t="n">
        <x:v>46268.868252314816</x:v>
      </x:c>
      <x:c r="M82" s="24" t="str">
        <x:v>2026-07-02T11:00:00+0200</x:v>
      </x:c>
      <x:c r="N82" s="24" t="n">
        <x:v>46268.868252314816</x:v>
      </x:c>
      <x:c r="O82" s="40" t="b">
        <x:v>1</x:v>
      </x:c>
      <x:c r="P82" s="42" t="str">
        <x:v>current_snapshot_diagnostic_only</x:v>
      </x:c>
    </x:row>
    <x:row r="83">
      <x:c r="A83" s="23" t="str">
        <x:v>0cf2cd3f10c37d83084e</x:v>
      </x:c>
      <x:c r="B83" s="23" t="str">
        <x:v>EUROSTAT_PLATFORM_NIGHTS_COUNTRY</x:v>
      </x:c>
      <x:c r="C83" s="23" t="str">
        <x:v>Eurostat</x:v>
      </x:c>
      <x:c r="D83" s="23" t="str">
        <x:v>Europe</x:v>
      </x:c>
      <x:c r="E83" s="23" t="str">
        <x:v>European Union - 27 countries (from 2020)</x:v>
      </x:c>
      <x:c r="F83" s="23" t="str">
        <x:v>2024-05</x:v>
      </x:c>
      <x:c r="G83" s="23" t="str">
        <x:v>Nights spent</x:v>
      </x:c>
      <x:c r="H83" s="23" t="str">
        <x:v>Total</x:v>
      </x:c>
      <x:c r="I83" s="23" t="str">
        <x:v>May</x:v>
      </x:c>
      <x:c r="J83" s="72" t="n">
        <x:v>73033084</x:v>
      </x:c>
      <x:c r="K83" s="23" t="str">
        <x:v>Number</x:v>
      </x:c>
      <x:c r="L83" s="24" t="n">
        <x:v>46268.868252314816</x:v>
      </x:c>
      <x:c r="M83" s="24" t="str">
        <x:v>2026-07-02T11:00:00+0200</x:v>
      </x:c>
      <x:c r="N83" s="24" t="n">
        <x:v>46268.868252314816</x:v>
      </x:c>
      <x:c r="O83" s="40" t="b">
        <x:v>1</x:v>
      </x:c>
      <x:c r="P83" s="42" t="str">
        <x:v>current_snapshot_diagnostic_only</x:v>
      </x:c>
    </x:row>
    <x:row r="84">
      <x:c r="A84" s="23" t="str">
        <x:v>29e5fe981017b9fd4345</x:v>
      </x:c>
      <x:c r="B84" s="23" t="str">
        <x:v>EUROSTAT_PLATFORM_NIGHTS_COUNTRY</x:v>
      </x:c>
      <x:c r="C84" s="23" t="str">
        <x:v>Eurostat</x:v>
      </x:c>
      <x:c r="D84" s="23" t="str">
        <x:v>Europe</x:v>
      </x:c>
      <x:c r="E84" s="23" t="str">
        <x:v>European Union - 27 countries (from 2020)</x:v>
      </x:c>
      <x:c r="F84" s="23" t="str">
        <x:v>2024-06</x:v>
      </x:c>
      <x:c r="G84" s="23" t="str">
        <x:v>Nights spent</x:v>
      </x:c>
      <x:c r="H84" s="23" t="str">
        <x:v>Total</x:v>
      </x:c>
      <x:c r="I84" s="23" t="str">
        <x:v>June</x:v>
      </x:c>
      <x:c r="J84" s="72" t="n">
        <x:v>82279391</x:v>
      </x:c>
      <x:c r="K84" s="23" t="str">
        <x:v>Number</x:v>
      </x:c>
      <x:c r="L84" s="24" t="n">
        <x:v>46268.868252314816</x:v>
      </x:c>
      <x:c r="M84" s="24" t="str">
        <x:v>2026-07-02T11:00:00+0200</x:v>
      </x:c>
      <x:c r="N84" s="24" t="n">
        <x:v>46268.868252314816</x:v>
      </x:c>
      <x:c r="O84" s="40" t="b">
        <x:v>1</x:v>
      </x:c>
      <x:c r="P84" s="42" t="str">
        <x:v>current_snapshot_diagnostic_only</x:v>
      </x:c>
    </x:row>
    <x:row r="85">
      <x:c r="A85" s="23" t="str">
        <x:v>7b81a2f76c33106c79a8</x:v>
      </x:c>
      <x:c r="B85" s="23" t="str">
        <x:v>EUROSTAT_PLATFORM_NIGHTS_COUNTRY</x:v>
      </x:c>
      <x:c r="C85" s="23" t="str">
        <x:v>Eurostat</x:v>
      </x:c>
      <x:c r="D85" s="23" t="str">
        <x:v>Europe</x:v>
      </x:c>
      <x:c r="E85" s="23" t="str">
        <x:v>European Union - 27 countries (from 2020)</x:v>
      </x:c>
      <x:c r="F85" s="23" t="str">
        <x:v>2024-07</x:v>
      </x:c>
      <x:c r="G85" s="23" t="str">
        <x:v>Nights spent</x:v>
      </x:c>
      <x:c r="H85" s="23" t="str">
        <x:v>Total</x:v>
      </x:c>
      <x:c r="I85" s="23" t="str">
        <x:v>July</x:v>
      </x:c>
      <x:c r="J85" s="72" t="n">
        <x:v>135023789</x:v>
      </x:c>
      <x:c r="K85" s="23" t="str">
        <x:v>Number</x:v>
      </x:c>
      <x:c r="L85" s="24" t="n">
        <x:v>46268.868252314816</x:v>
      </x:c>
      <x:c r="M85" s="24" t="str">
        <x:v>2026-07-02T11:00:00+0200</x:v>
      </x:c>
      <x:c r="N85" s="24" t="n">
        <x:v>46268.868252314816</x:v>
      </x:c>
      <x:c r="O85" s="40" t="b">
        <x:v>1</x:v>
      </x:c>
      <x:c r="P85" s="42" t="str">
        <x:v>current_snapshot_diagnostic_only</x:v>
      </x:c>
    </x:row>
    <x:row r="86">
      <x:c r="A86" s="23" t="str">
        <x:v>c6b947952a87255c29dc</x:v>
      </x:c>
      <x:c r="B86" s="23" t="str">
        <x:v>EUROSTAT_PLATFORM_NIGHTS_COUNTRY</x:v>
      </x:c>
      <x:c r="C86" s="23" t="str">
        <x:v>Eurostat</x:v>
      </x:c>
      <x:c r="D86" s="23" t="str">
        <x:v>Europe</x:v>
      </x:c>
      <x:c r="E86" s="23" t="str">
        <x:v>European Union - 27 countries (from 2020)</x:v>
      </x:c>
      <x:c r="F86" s="23" t="str">
        <x:v>2024-08</x:v>
      </x:c>
      <x:c r="G86" s="23" t="str">
        <x:v>Nights spent</x:v>
      </x:c>
      <x:c r="H86" s="23" t="str">
        <x:v>Total</x:v>
      </x:c>
      <x:c r="I86" s="23" t="str">
        <x:v>August</x:v>
      </x:c>
      <x:c r="J86" s="72" t="n">
        <x:v>152155667</x:v>
      </x:c>
      <x:c r="K86" s="23" t="str">
        <x:v>Number</x:v>
      </x:c>
      <x:c r="L86" s="24" t="n">
        <x:v>46268.868252314816</x:v>
      </x:c>
      <x:c r="M86" s="24" t="str">
        <x:v>2026-07-02T11:00:00+0200</x:v>
      </x:c>
      <x:c r="N86" s="24" t="n">
        <x:v>46268.868252314816</x:v>
      </x:c>
      <x:c r="O86" s="40" t="b">
        <x:v>1</x:v>
      </x:c>
      <x:c r="P86" s="42" t="str">
        <x:v>current_snapshot_diagnostic_only</x:v>
      </x:c>
    </x:row>
    <x:row r="87">
      <x:c r="A87" s="23" t="str">
        <x:v>83d3904a1b2074e1386a</x:v>
      </x:c>
      <x:c r="B87" s="23" t="str">
        <x:v>EUROSTAT_PLATFORM_NIGHTS_COUNTRY</x:v>
      </x:c>
      <x:c r="C87" s="23" t="str">
        <x:v>Eurostat</x:v>
      </x:c>
      <x:c r="D87" s="23" t="str">
        <x:v>Europe</x:v>
      </x:c>
      <x:c r="E87" s="23" t="str">
        <x:v>European Union - 27 countries (from 2020)</x:v>
      </x:c>
      <x:c r="F87" s="23" t="str">
        <x:v>2024-09</x:v>
      </x:c>
      <x:c r="G87" s="23" t="str">
        <x:v>Nights spent</x:v>
      </x:c>
      <x:c r="H87" s="23" t="str">
        <x:v>Total</x:v>
      </x:c>
      <x:c r="I87" s="23" t="str">
        <x:v>September</x:v>
      </x:c>
      <x:c r="J87" s="72" t="n">
        <x:v>79010570</x:v>
      </x:c>
      <x:c r="K87" s="23" t="str">
        <x:v>Number</x:v>
      </x:c>
      <x:c r="L87" s="24" t="n">
        <x:v>46268.868252314816</x:v>
      </x:c>
      <x:c r="M87" s="24" t="str">
        <x:v>2026-07-02T11:00:00+0200</x:v>
      </x:c>
      <x:c r="N87" s="24" t="n">
        <x:v>46268.868252314816</x:v>
      </x:c>
      <x:c r="O87" s="40" t="b">
        <x:v>1</x:v>
      </x:c>
      <x:c r="P87" s="42" t="str">
        <x:v>current_snapshot_diagnostic_only</x:v>
      </x:c>
    </x:row>
    <x:row r="88">
      <x:c r="A88" s="23" t="str">
        <x:v>4d6973bb7721e92425eb</x:v>
      </x:c>
      <x:c r="B88" s="23" t="str">
        <x:v>EUROSTAT_PLATFORM_NIGHTS_COUNTRY</x:v>
      </x:c>
      <x:c r="C88" s="23" t="str">
        <x:v>Eurostat</x:v>
      </x:c>
      <x:c r="D88" s="23" t="str">
        <x:v>Europe</x:v>
      </x:c>
      <x:c r="E88" s="23" t="str">
        <x:v>European Union - 27 countries (from 2020)</x:v>
      </x:c>
      <x:c r="F88" s="23" t="str">
        <x:v>2024-10</x:v>
      </x:c>
      <x:c r="G88" s="23" t="str">
        <x:v>Nights spent</x:v>
      </x:c>
      <x:c r="H88" s="23" t="str">
        <x:v>Total</x:v>
      </x:c>
      <x:c r="I88" s="23" t="str">
        <x:v>October</x:v>
      </x:c>
      <x:c r="J88" s="72" t="n">
        <x:v>65043063</x:v>
      </x:c>
      <x:c r="K88" s="23" t="str">
        <x:v>Number</x:v>
      </x:c>
      <x:c r="L88" s="24" t="n">
        <x:v>46268.868252314816</x:v>
      </x:c>
      <x:c r="M88" s="24" t="str">
        <x:v>2026-07-02T11:00:00+0200</x:v>
      </x:c>
      <x:c r="N88" s="24" t="n">
        <x:v>46268.868252314816</x:v>
      </x:c>
      <x:c r="O88" s="40" t="b">
        <x:v>1</x:v>
      </x:c>
      <x:c r="P88" s="42" t="str">
        <x:v>current_snapshot_diagnostic_only</x:v>
      </x:c>
    </x:row>
    <x:row r="89">
      <x:c r="A89" s="23" t="str">
        <x:v>502dc041d571332b489d</x:v>
      </x:c>
      <x:c r="B89" s="23" t="str">
        <x:v>EUROSTAT_PLATFORM_NIGHTS_COUNTRY</x:v>
      </x:c>
      <x:c r="C89" s="23" t="str">
        <x:v>Eurostat</x:v>
      </x:c>
      <x:c r="D89" s="23" t="str">
        <x:v>Europe</x:v>
      </x:c>
      <x:c r="E89" s="23" t="str">
        <x:v>European Union - 27 countries (from 2020)</x:v>
      </x:c>
      <x:c r="F89" s="23" t="str">
        <x:v>2024-11</x:v>
      </x:c>
      <x:c r="G89" s="23" t="str">
        <x:v>Nights spent</x:v>
      </x:c>
      <x:c r="H89" s="23" t="str">
        <x:v>Total</x:v>
      </x:c>
      <x:c r="I89" s="23" t="str">
        <x:v>November</x:v>
      </x:c>
      <x:c r="J89" s="72" t="n">
        <x:v>38585361</x:v>
      </x:c>
      <x:c r="K89" s="23" t="str">
        <x:v>Number</x:v>
      </x:c>
      <x:c r="L89" s="24" t="n">
        <x:v>46268.868252314816</x:v>
      </x:c>
      <x:c r="M89" s="24" t="str">
        <x:v>2026-07-02T11:00:00+0200</x:v>
      </x:c>
      <x:c r="N89" s="24" t="n">
        <x:v>46268.868252314816</x:v>
      </x:c>
      <x:c r="O89" s="40" t="b">
        <x:v>1</x:v>
      </x:c>
      <x:c r="P89" s="42" t="str">
        <x:v>current_snapshot_diagnostic_only</x:v>
      </x:c>
    </x:row>
    <x:row r="90">
      <x:c r="A90" s="23" t="str">
        <x:v>6cfa14ab3c78bba0aff0</x:v>
      </x:c>
      <x:c r="B90" s="23" t="str">
        <x:v>EUROSTAT_PLATFORM_NIGHTS_COUNTRY</x:v>
      </x:c>
      <x:c r="C90" s="23" t="str">
        <x:v>Eurostat</x:v>
      </x:c>
      <x:c r="D90" s="23" t="str">
        <x:v>Europe</x:v>
      </x:c>
      <x:c r="E90" s="23" t="str">
        <x:v>European Union - 27 countries (from 2020)</x:v>
      </x:c>
      <x:c r="F90" s="23" t="str">
        <x:v>2024-12</x:v>
      </x:c>
      <x:c r="G90" s="23" t="str">
        <x:v>Nights spent</x:v>
      </x:c>
      <x:c r="H90" s="23" t="str">
        <x:v>Total</x:v>
      </x:c>
      <x:c r="I90" s="23" t="str">
        <x:v>December</x:v>
      </x:c>
      <x:c r="J90" s="72" t="n">
        <x:v>51732356</x:v>
      </x:c>
      <x:c r="K90" s="23" t="str">
        <x:v>Number</x:v>
      </x:c>
      <x:c r="L90" s="24" t="n">
        <x:v>46268.868252314816</x:v>
      </x:c>
      <x:c r="M90" s="24" t="str">
        <x:v>2026-07-02T11:00:00+0200</x:v>
      </x:c>
      <x:c r="N90" s="24" t="n">
        <x:v>46268.868252314816</x:v>
      </x:c>
      <x:c r="O90" s="40" t="b">
        <x:v>1</x:v>
      </x:c>
      <x:c r="P90" s="42" t="str">
        <x:v>current_snapshot_diagnostic_only</x:v>
      </x:c>
    </x:row>
    <x:row r="91">
      <x:c r="A91" s="23" t="str">
        <x:v>1801eebaa418b038a150</x:v>
      </x:c>
      <x:c r="B91" s="23" t="str">
        <x:v>EUROSTAT_PLATFORM_NIGHTS_COUNTRY</x:v>
      </x:c>
      <x:c r="C91" s="23" t="str">
        <x:v>Eurostat</x:v>
      </x:c>
      <x:c r="D91" s="23" t="str">
        <x:v>Europe</x:v>
      </x:c>
      <x:c r="E91" s="23" t="str">
        <x:v>European Union - 27 countries (from 2020)</x:v>
      </x:c>
      <x:c r="F91" s="23" t="str">
        <x:v>2025-01</x:v>
      </x:c>
      <x:c r="G91" s="23" t="str">
        <x:v>Nights spent</x:v>
      </x:c>
      <x:c r="H91" s="23" t="str">
        <x:v>Total</x:v>
      </x:c>
      <x:c r="I91" s="23" t="str">
        <x:v>January</x:v>
      </x:c>
      <x:c r="J91" s="72" t="n">
        <x:v>39232359</x:v>
      </x:c>
      <x:c r="K91" s="23" t="str">
        <x:v>Number</x:v>
      </x:c>
      <x:c r="L91" s="24" t="n">
        <x:v>46268.868252314816</x:v>
      </x:c>
      <x:c r="M91" s="24" t="str">
        <x:v>2026-07-02T11:00:00+0200</x:v>
      </x:c>
      <x:c r="N91" s="24" t="n">
        <x:v>46268.868252314816</x:v>
      </x:c>
      <x:c r="O91" s="40" t="b">
        <x:v>1</x:v>
      </x:c>
      <x:c r="P91" s="42" t="str">
        <x:v>current_snapshot_diagnostic_only</x:v>
      </x:c>
    </x:row>
    <x:row r="92">
      <x:c r="A92" s="23" t="str">
        <x:v>62fa9858d7306bb420d4</x:v>
      </x:c>
      <x:c r="B92" s="23" t="str">
        <x:v>EUROSTAT_PLATFORM_NIGHTS_COUNTRY</x:v>
      </x:c>
      <x:c r="C92" s="23" t="str">
        <x:v>Eurostat</x:v>
      </x:c>
      <x:c r="D92" s="23" t="str">
        <x:v>Europe</x:v>
      </x:c>
      <x:c r="E92" s="23" t="str">
        <x:v>European Union - 27 countries (from 2020)</x:v>
      </x:c>
      <x:c r="F92" s="23" t="str">
        <x:v>2025-02</x:v>
      </x:c>
      <x:c r="G92" s="23" t="str">
        <x:v>Nights spent</x:v>
      </x:c>
      <x:c r="H92" s="23" t="str">
        <x:v>Total</x:v>
      </x:c>
      <x:c r="I92" s="23" t="str">
        <x:v>February</x:v>
      </x:c>
      <x:c r="J92" s="72" t="n">
        <x:v>46601550</x:v>
      </x:c>
      <x:c r="K92" s="23" t="str">
        <x:v>Number</x:v>
      </x:c>
      <x:c r="L92" s="24" t="n">
        <x:v>46268.868252314816</x:v>
      </x:c>
      <x:c r="M92" s="24" t="str">
        <x:v>2026-07-02T11:00:00+0200</x:v>
      </x:c>
      <x:c r="N92" s="24" t="n">
        <x:v>46268.868252314816</x:v>
      </x:c>
      <x:c r="O92" s="40" t="b">
        <x:v>1</x:v>
      </x:c>
      <x:c r="P92" s="42" t="str">
        <x:v>current_snapshot_diagnostic_only</x:v>
      </x:c>
    </x:row>
    <x:row r="93">
      <x:c r="A93" s="23" t="str">
        <x:v>2c2de3c4b9f6b5c3fec1</x:v>
      </x:c>
      <x:c r="B93" s="23" t="str">
        <x:v>EUROSTAT_PLATFORM_NIGHTS_COUNTRY</x:v>
      </x:c>
      <x:c r="C93" s="23" t="str">
        <x:v>Eurostat</x:v>
      </x:c>
      <x:c r="D93" s="23" t="str">
        <x:v>Europe</x:v>
      </x:c>
      <x:c r="E93" s="23" t="str">
        <x:v>European Union - 27 countries (from 2020)</x:v>
      </x:c>
      <x:c r="F93" s="23" t="str">
        <x:v>2025-03</x:v>
      </x:c>
      <x:c r="G93" s="23" t="str">
        <x:v>Nights spent</x:v>
      </x:c>
      <x:c r="H93" s="23" t="str">
        <x:v>Total</x:v>
      </x:c>
      <x:c r="I93" s="23" t="str">
        <x:v>March</x:v>
      </x:c>
      <x:c r="J93" s="72" t="n">
        <x:v>45659785</x:v>
      </x:c>
      <x:c r="K93" s="23" t="str">
        <x:v>Number</x:v>
      </x:c>
      <x:c r="L93" s="24" t="n">
        <x:v>46268.868252314816</x:v>
      </x:c>
      <x:c r="M93" s="24" t="str">
        <x:v>2026-07-02T11:00:00+0200</x:v>
      </x:c>
      <x:c r="N93" s="24" t="n">
        <x:v>46268.868252314816</x:v>
      </x:c>
      <x:c r="O93" s="40" t="b">
        <x:v>1</x:v>
      </x:c>
      <x:c r="P93" s="42" t="str">
        <x:v>current_snapshot_diagnostic_only</x:v>
      </x:c>
    </x:row>
    <x:row r="94">
      <x:c r="A94" s="23" t="str">
        <x:v>e880890c1eb5ab0ec1fc</x:v>
      </x:c>
      <x:c r="B94" s="23" t="str">
        <x:v>EUROSTAT_PLATFORM_NIGHTS_COUNTRY</x:v>
      </x:c>
      <x:c r="C94" s="23" t="str">
        <x:v>Eurostat</x:v>
      </x:c>
      <x:c r="D94" s="23" t="str">
        <x:v>Europe</x:v>
      </x:c>
      <x:c r="E94" s="23" t="str">
        <x:v>European Union - 27 countries (from 2020)</x:v>
      </x:c>
      <x:c r="F94" s="23" t="str">
        <x:v>2025-04</x:v>
      </x:c>
      <x:c r="G94" s="23" t="str">
        <x:v>Nights spent</x:v>
      </x:c>
      <x:c r="H94" s="23" t="str">
        <x:v>Total</x:v>
      </x:c>
      <x:c r="I94" s="23" t="str">
        <x:v>April</x:v>
      </x:c>
      <x:c r="J94" s="72" t="n">
        <x:v>71734163</x:v>
      </x:c>
      <x:c r="K94" s="23" t="str">
        <x:v>Number</x:v>
      </x:c>
      <x:c r="L94" s="24" t="n">
        <x:v>46268.868252314816</x:v>
      </x:c>
      <x:c r="M94" s="24" t="str">
        <x:v>2026-07-02T11:00:00+0200</x:v>
      </x:c>
      <x:c r="N94" s="24" t="n">
        <x:v>46268.868252314816</x:v>
      </x:c>
      <x:c r="O94" s="40" t="b">
        <x:v>1</x:v>
      </x:c>
      <x:c r="P94" s="42" t="str">
        <x:v>current_snapshot_diagnostic_only</x:v>
      </x:c>
    </x:row>
    <x:row r="95">
      <x:c r="A95" s="23" t="str">
        <x:v>fdef46509aa6ca3fbc47</x:v>
      </x:c>
      <x:c r="B95" s="23" t="str">
        <x:v>EUROSTAT_PLATFORM_NIGHTS_COUNTRY</x:v>
      </x:c>
      <x:c r="C95" s="23" t="str">
        <x:v>Eurostat</x:v>
      </x:c>
      <x:c r="D95" s="23" t="str">
        <x:v>Europe</x:v>
      </x:c>
      <x:c r="E95" s="23" t="str">
        <x:v>European Union - 27 countries (from 2020)</x:v>
      </x:c>
      <x:c r="F95" s="23" t="str">
        <x:v>2025-05</x:v>
      </x:c>
      <x:c r="G95" s="23" t="str">
        <x:v>Nights spent</x:v>
      </x:c>
      <x:c r="H95" s="23" t="str">
        <x:v>Total</x:v>
      </x:c>
      <x:c r="I95" s="23" t="str">
        <x:v>May</x:v>
      </x:c>
      <x:c r="J95" s="72" t="n">
        <x:v>76820477</x:v>
      </x:c>
      <x:c r="K95" s="23" t="str">
        <x:v>Number</x:v>
      </x:c>
      <x:c r="L95" s="24" t="n">
        <x:v>46268.868252314816</x:v>
      </x:c>
      <x:c r="M95" s="24" t="str">
        <x:v>2026-07-02T11:00:00+0200</x:v>
      </x:c>
      <x:c r="N95" s="24" t="n">
        <x:v>46268.868252314816</x:v>
      </x:c>
      <x:c r="O95" s="40" t="b">
        <x:v>1</x:v>
      </x:c>
      <x:c r="P95" s="42" t="str">
        <x:v>current_snapshot_diagnostic_only</x:v>
      </x:c>
    </x:row>
    <x:row r="96">
      <x:c r="A96" s="23" t="str">
        <x:v>7ad2fdf5f9ac012b6a40</x:v>
      </x:c>
      <x:c r="B96" s="23" t="str">
        <x:v>EUROSTAT_PLATFORM_NIGHTS_COUNTRY</x:v>
      </x:c>
      <x:c r="C96" s="23" t="str">
        <x:v>Eurostat</x:v>
      </x:c>
      <x:c r="D96" s="23" t="str">
        <x:v>Europe</x:v>
      </x:c>
      <x:c r="E96" s="23" t="str">
        <x:v>European Union - 27 countries (from 2020)</x:v>
      </x:c>
      <x:c r="F96" s="23" t="str">
        <x:v>2025-06</x:v>
      </x:c>
      <x:c r="G96" s="23" t="str">
        <x:v>Nights spent</x:v>
      </x:c>
      <x:c r="H96" s="23" t="str">
        <x:v>Total</x:v>
      </x:c>
      <x:c r="I96" s="23" t="str">
        <x:v>June</x:v>
      </x:c>
      <x:c r="J96" s="72" t="n">
        <x:v>97122551</x:v>
      </x:c>
      <x:c r="K96" s="23" t="str">
        <x:v>Number</x:v>
      </x:c>
      <x:c r="L96" s="24" t="n">
        <x:v>46268.868252314816</x:v>
      </x:c>
      <x:c r="M96" s="24" t="str">
        <x:v>2026-07-02T11:00:00+0200</x:v>
      </x:c>
      <x:c r="N96" s="24" t="n">
        <x:v>46268.868252314816</x:v>
      </x:c>
      <x:c r="O96" s="40" t="b">
        <x:v>1</x:v>
      </x:c>
      <x:c r="P96" s="42" t="str">
        <x:v>current_snapshot_diagnostic_only</x:v>
      </x:c>
    </x:row>
    <x:row r="97">
      <x:c r="A97" s="23" t="str">
        <x:v>d040f35d00e8ee16e19a</x:v>
      </x:c>
      <x:c r="B97" s="23" t="str">
        <x:v>EUROSTAT_PLATFORM_NIGHTS_COUNTRY</x:v>
      </x:c>
      <x:c r="C97" s="23" t="str">
        <x:v>Eurostat</x:v>
      </x:c>
      <x:c r="D97" s="23" t="str">
        <x:v>Europe</x:v>
      </x:c>
      <x:c r="E97" s="23" t="str">
        <x:v>European Union - 27 countries (from 2020)</x:v>
      </x:c>
      <x:c r="F97" s="23" t="str">
        <x:v>2025-07</x:v>
      </x:c>
      <x:c r="G97" s="23" t="str">
        <x:v>Nights spent</x:v>
      </x:c>
      <x:c r="H97" s="23" t="str">
        <x:v>Total</x:v>
      </x:c>
      <x:c r="I97" s="23" t="str">
        <x:v>July</x:v>
      </x:c>
      <x:c r="J97" s="72" t="n">
        <x:v>149105431</x:v>
      </x:c>
      <x:c r="K97" s="23" t="str">
        <x:v>Number</x:v>
      </x:c>
      <x:c r="L97" s="24" t="n">
        <x:v>46268.868252314816</x:v>
      </x:c>
      <x:c r="M97" s="24" t="str">
        <x:v>2026-07-02T11:00:00+0200</x:v>
      </x:c>
      <x:c r="N97" s="24" t="n">
        <x:v>46268.868252314816</x:v>
      </x:c>
      <x:c r="O97" s="40" t="b">
        <x:v>1</x:v>
      </x:c>
      <x:c r="P97" s="42" t="str">
        <x:v>current_snapshot_diagnostic_only</x:v>
      </x:c>
    </x:row>
    <x:row r="98">
      <x:c r="A98" s="23" t="str">
        <x:v>d952e4970dd959cc932a</x:v>
      </x:c>
      <x:c r="B98" s="23" t="str">
        <x:v>EUROSTAT_PLATFORM_NIGHTS_COUNTRY</x:v>
      </x:c>
      <x:c r="C98" s="23" t="str">
        <x:v>Eurostat</x:v>
      </x:c>
      <x:c r="D98" s="23" t="str">
        <x:v>Europe</x:v>
      </x:c>
      <x:c r="E98" s="23" t="str">
        <x:v>European Union - 27 countries (from 2020)</x:v>
      </x:c>
      <x:c r="F98" s="23" t="str">
        <x:v>2025-08</x:v>
      </x:c>
      <x:c r="G98" s="23" t="str">
        <x:v>Nights spent</x:v>
      </x:c>
      <x:c r="H98" s="23" t="str">
        <x:v>Total</x:v>
      </x:c>
      <x:c r="I98" s="23" t="str">
        <x:v>August</x:v>
      </x:c>
      <x:c r="J98" s="72" t="n">
        <x:v>166183536</x:v>
      </x:c>
      <x:c r="K98" s="23" t="str">
        <x:v>Number</x:v>
      </x:c>
      <x:c r="L98" s="24" t="n">
        <x:v>46268.868252314816</x:v>
      </x:c>
      <x:c r="M98" s="24" t="str">
        <x:v>2026-07-02T11:00:00+0200</x:v>
      </x:c>
      <x:c r="N98" s="24" t="n">
        <x:v>46268.868252314816</x:v>
      </x:c>
      <x:c r="O98" s="40" t="b">
        <x:v>1</x:v>
      </x:c>
      <x:c r="P98" s="42" t="str">
        <x:v>current_snapshot_diagnostic_only</x:v>
      </x:c>
    </x:row>
    <x:row r="99">
      <x:c r="A99" s="23" t="str">
        <x:v>39c173020957c567d563</x:v>
      </x:c>
      <x:c r="B99" s="23" t="str">
        <x:v>EUROSTAT_PLATFORM_NIGHTS_COUNTRY</x:v>
      </x:c>
      <x:c r="C99" s="23" t="str">
        <x:v>Eurostat</x:v>
      </x:c>
      <x:c r="D99" s="23" t="str">
        <x:v>Europe</x:v>
      </x:c>
      <x:c r="E99" s="23" t="str">
        <x:v>European Union - 27 countries (from 2020)</x:v>
      </x:c>
      <x:c r="F99" s="23" t="str">
        <x:v>2025-09</x:v>
      </x:c>
      <x:c r="G99" s="23" t="str">
        <x:v>Nights spent</x:v>
      </x:c>
      <x:c r="H99" s="23" t="str">
        <x:v>Total</x:v>
      </x:c>
      <x:c r="I99" s="23" t="str">
        <x:v>September</x:v>
      </x:c>
      <x:c r="J99" s="72" t="n">
        <x:v>86837475</x:v>
      </x:c>
      <x:c r="K99" s="23" t="str">
        <x:v>Number</x:v>
      </x:c>
      <x:c r="L99" s="24" t="n">
        <x:v>46268.868252314816</x:v>
      </x:c>
      <x:c r="M99" s="24" t="str">
        <x:v>2026-07-02T11:00:00+0200</x:v>
      </x:c>
      <x:c r="N99" s="24" t="n">
        <x:v>46268.868252314816</x:v>
      </x:c>
      <x:c r="O99" s="40" t="b">
        <x:v>1</x:v>
      </x:c>
      <x:c r="P99" s="42" t="str">
        <x:v>current_snapshot_diagnostic_only</x:v>
      </x:c>
    </x:row>
    <x:row r="100">
      <x:c r="A100" s="23" t="str">
        <x:v>e16104f0d904869a5731</x:v>
      </x:c>
      <x:c r="B100" s="23" t="str">
        <x:v>EUROSTAT_PLATFORM_NIGHTS_COUNTRY</x:v>
      </x:c>
      <x:c r="C100" s="23" t="str">
        <x:v>Eurostat</x:v>
      </x:c>
      <x:c r="D100" s="23" t="str">
        <x:v>Europe</x:v>
      </x:c>
      <x:c r="E100" s="23" t="str">
        <x:v>European Union - 27 countries (from 2020)</x:v>
      </x:c>
      <x:c r="F100" s="23" t="str">
        <x:v>2025-10</x:v>
      </x:c>
      <x:c r="G100" s="23" t="str">
        <x:v>Nights spent</x:v>
      </x:c>
      <x:c r="H100" s="23" t="str">
        <x:v>Total</x:v>
      </x:c>
      <x:c r="I100" s="23" t="str">
        <x:v>October</x:v>
      </x:c>
      <x:c r="J100" s="72" t="n">
        <x:v>72021163</x:v>
      </x:c>
      <x:c r="K100" s="23" t="str">
        <x:v>Number</x:v>
      </x:c>
      <x:c r="L100" s="24" t="n">
        <x:v>46268.868252314816</x:v>
      </x:c>
      <x:c r="M100" s="24" t="str">
        <x:v>2026-07-02T11:00:00+0200</x:v>
      </x:c>
      <x:c r="N100" s="24" t="n">
        <x:v>46268.868252314816</x:v>
      </x:c>
      <x:c r="O100" s="40" t="b">
        <x:v>1</x:v>
      </x:c>
      <x:c r="P100" s="42" t="str">
        <x:v>current_snapshot_diagnostic_only</x:v>
      </x:c>
    </x:row>
    <x:row r="101">
      <x:c r="A101" s="23" t="str">
        <x:v>77415aa2cb8faaa37b34</x:v>
      </x:c>
      <x:c r="B101" s="23" t="str">
        <x:v>EUROSTAT_PLATFORM_NIGHTS_COUNTRY</x:v>
      </x:c>
      <x:c r="C101" s="23" t="str">
        <x:v>Eurostat</x:v>
      </x:c>
      <x:c r="D101" s="23" t="str">
        <x:v>Europe</x:v>
      </x:c>
      <x:c r="E101" s="23" t="str">
        <x:v>European Union - 27 countries (from 2020)</x:v>
      </x:c>
      <x:c r="F101" s="23" t="str">
        <x:v>2025-11</x:v>
      </x:c>
      <x:c r="G101" s="23" t="str">
        <x:v>Nights spent</x:v>
      </x:c>
      <x:c r="H101" s="23" t="str">
        <x:v>Total</x:v>
      </x:c>
      <x:c r="I101" s="23" t="str">
        <x:v>November</x:v>
      </x:c>
      <x:c r="J101" s="72" t="n">
        <x:v>41553941</x:v>
      </x:c>
      <x:c r="K101" s="23" t="str">
        <x:v>Number</x:v>
      </x:c>
      <x:c r="L101" s="24" t="n">
        <x:v>46268.868252314816</x:v>
      </x:c>
      <x:c r="M101" s="24" t="str">
        <x:v>2026-07-02T11:00:00+0200</x:v>
      </x:c>
      <x:c r="N101" s="24" t="n">
        <x:v>46268.868252314816</x:v>
      </x:c>
      <x:c r="O101" s="40" t="b">
        <x:v>1</x:v>
      </x:c>
      <x:c r="P101" s="42" t="str">
        <x:v>current_snapshot_diagnostic_only</x:v>
      </x:c>
    </x:row>
    <x:row r="102">
      <x:c r="A102" s="23" t="str">
        <x:v>f3cdc1bc2ecdb83f864c</x:v>
      </x:c>
      <x:c r="B102" s="23" t="str">
        <x:v>EUROSTAT_PLATFORM_NIGHTS_COUNTRY</x:v>
      </x:c>
      <x:c r="C102" s="23" t="str">
        <x:v>Eurostat</x:v>
      </x:c>
      <x:c r="D102" s="23" t="str">
        <x:v>Europe</x:v>
      </x:c>
      <x:c r="E102" s="23" t="str">
        <x:v>European Union - 27 countries (from 2020)</x:v>
      </x:c>
      <x:c r="F102" s="23" t="str">
        <x:v>2025-12</x:v>
      </x:c>
      <x:c r="G102" s="23" t="str">
        <x:v>Nights spent</x:v>
      </x:c>
      <x:c r="H102" s="23" t="str">
        <x:v>Total</x:v>
      </x:c>
      <x:c r="I102" s="23" t="str">
        <x:v>December</x:v>
      </x:c>
      <x:c r="J102" s="72" t="n">
        <x:v>58739431</x:v>
      </x:c>
      <x:c r="K102" s="23" t="str">
        <x:v>Number</x:v>
      </x:c>
      <x:c r="L102" s="24" t="n">
        <x:v>46268.868252314816</x:v>
      </x:c>
      <x:c r="M102" s="24" t="str">
        <x:v>2026-07-02T11:00:00+0200</x:v>
      </x:c>
      <x:c r="N102" s="24" t="n">
        <x:v>46268.868252314816</x:v>
      </x:c>
      <x:c r="O102" s="40" t="b">
        <x:v>1</x:v>
      </x:c>
      <x:c r="P102" s="42" t="str">
        <x:v>current_snapshot_diagnostic_only</x:v>
      </x:c>
    </x:row>
    <x:row r="103">
      <x:c r="A103" s="23" t="str">
        <x:v>f51aa034249bbe008758</x:v>
      </x:c>
      <x:c r="B103" s="23" t="str">
        <x:v>EUROSTAT_PLATFORM_NIGHTS_COUNTRY</x:v>
      </x:c>
      <x:c r="C103" s="23" t="str">
        <x:v>Eurostat</x:v>
      </x:c>
      <x:c r="D103" s="23" t="str">
        <x:v>Europe</x:v>
      </x:c>
      <x:c r="E103" s="23" t="str">
        <x:v>European Union - 27 countries (from 2020)</x:v>
      </x:c>
      <x:c r="F103" s="23" t="str">
        <x:v>2026-01</x:v>
      </x:c>
      <x:c r="G103" s="23" t="str">
        <x:v>Nights spent</x:v>
      </x:c>
      <x:c r="H103" s="23" t="str">
        <x:v>Total</x:v>
      </x:c>
      <x:c r="I103" s="23" t="str">
        <x:v>January</x:v>
      </x:c>
      <x:c r="J103" s="72" t="n">
        <x:v>43077288</x:v>
      </x:c>
      <x:c r="K103" s="23" t="str">
        <x:v>Number</x:v>
      </x:c>
      <x:c r="L103" s="24" t="n">
        <x:v>46268.868252314816</x:v>
      </x:c>
      <x:c r="M103" s="24" t="str">
        <x:v>2026-07-02T11:00:00+0200</x:v>
      </x:c>
      <x:c r="N103" s="24" t="n">
        <x:v>46268.868252314816</x:v>
      </x:c>
      <x:c r="O103" s="40" t="b">
        <x:v>1</x:v>
      </x:c>
      <x:c r="P103" s="42" t="str">
        <x:v>current_snapshot_diagnostic_only</x:v>
      </x:c>
    </x:row>
    <x:row r="104">
      <x:c r="A104" s="23" t="str">
        <x:v>fb04a38cce8631fddc23</x:v>
      </x:c>
      <x:c r="B104" s="23" t="str">
        <x:v>EUROSTAT_PLATFORM_NIGHTS_COUNTRY</x:v>
      </x:c>
      <x:c r="C104" s="23" t="str">
        <x:v>Eurostat</x:v>
      </x:c>
      <x:c r="D104" s="23" t="str">
        <x:v>Europe</x:v>
      </x:c>
      <x:c r="E104" s="23" t="str">
        <x:v>European Union - 27 countries (from 2020)</x:v>
      </x:c>
      <x:c r="F104" s="23" t="str">
        <x:v>2026-02</x:v>
      </x:c>
      <x:c r="G104" s="23" t="str">
        <x:v>Nights spent</x:v>
      </x:c>
      <x:c r="H104" s="23" t="str">
        <x:v>Total</x:v>
      </x:c>
      <x:c r="I104" s="23" t="str">
        <x:v>February</x:v>
      </x:c>
      <x:c r="J104" s="72" t="n">
        <x:v>50342297</x:v>
      </x:c>
      <x:c r="K104" s="23" t="str">
        <x:v>Number</x:v>
      </x:c>
      <x:c r="L104" s="24" t="n">
        <x:v>46268.868252314816</x:v>
      </x:c>
      <x:c r="M104" s="24" t="str">
        <x:v>2026-07-02T11:00:00+0200</x:v>
      </x:c>
      <x:c r="N104" s="24" t="n">
        <x:v>46268.868252314816</x:v>
      </x:c>
      <x:c r="O104" s="40" t="b">
        <x:v>1</x:v>
      </x:c>
      <x:c r="P104" s="42" t="str">
        <x:v>current_snapshot_diagnostic_only</x:v>
      </x:c>
    </x:row>
    <x:row r="105">
      <x:c r="A105" s="23" t="str">
        <x:v>0a1f1330a83b1a245763</x:v>
      </x:c>
      <x:c r="B105" s="23" t="str">
        <x:v>EUROSTAT_PLATFORM_NIGHTS_COUNTRY</x:v>
      </x:c>
      <x:c r="C105" s="23" t="str">
        <x:v>Eurostat</x:v>
      </x:c>
      <x:c r="D105" s="23" t="str">
        <x:v>Europe</x:v>
      </x:c>
      <x:c r="E105" s="23" t="str">
        <x:v>European Union - 27 countries (from 2020)</x:v>
      </x:c>
      <x:c r="F105" s="23" t="str">
        <x:v>2026-03</x:v>
      </x:c>
      <x:c r="G105" s="23" t="str">
        <x:v>Nights spent</x:v>
      </x:c>
      <x:c r="H105" s="23" t="str">
        <x:v>Total</x:v>
      </x:c>
      <x:c r="I105" s="23" t="str">
        <x:v>March</x:v>
      </x:c>
      <x:c r="J105" s="72" t="n">
        <x:v>50867366</x:v>
      </x:c>
      <x:c r="K105" s="23" t="str">
        <x:v>Number</x:v>
      </x:c>
      <x:c r="L105" s="24" t="n">
        <x:v>46268.868252314816</x:v>
      </x:c>
      <x:c r="M105" s="24" t="str">
        <x:v>2026-07-02T11:00:00+0200</x:v>
      </x:c>
      <x:c r="N105" s="24" t="n">
        <x:v>46268.868252314816</x:v>
      </x:c>
      <x:c r="O105" s="40" t="b">
        <x:v>1</x:v>
      </x:c>
      <x:c r="P105" s="42" t="str">
        <x:v>current_snapshot_diagnostic_only</x:v>
      </x:c>
    </x:row>
    <x:row r="106">
      <x:c r="A106" s="23" t="str">
        <x:v>8722fe60d322e5c80ac0</x:v>
      </x:c>
      <x:c r="B106" s="23" t="str">
        <x:v>EUROSTAT_TOURISM_NIGHTS</x:v>
      </x:c>
      <x:c r="C106" s="23" t="str">
        <x:v>Eurostat</x:v>
      </x:c>
      <x:c r="D106" s="23" t="str">
        <x:v>Europe</x:v>
      </x:c>
      <x:c r="E106" s="23" t="str">
        <x:v>European Union - 27 countries (from 2020)</x:v>
      </x:c>
      <x:c r="F106" s="23" t="str">
        <x:v>2023-01</x:v>
      </x:c>
      <x:c r="G106" s="23" t="str">
        <x:v>Nights spent at tourist accommodation establishments</x:v>
      </x:c>
      <x:c r="H106" s="23" t="str">
        <x:v>Total</x:v>
      </x:c>
      <x:c r="I106" s="23" t="str">
        <x:v>Hotels; holiday and other short-stay accommodation; camping grounds, recreational vehicle parks and trailer parks</x:v>
      </x:c>
      <x:c r="J106" s="72" t="n">
        <x:v>128261070</x:v>
      </x:c>
      <x:c r="K106" s="23" t="str">
        <x:v>Number</x:v>
      </x:c>
      <x:c r="L106" s="24" t="n">
        <x:v>46268.868252314816</x:v>
      </x:c>
      <x:c r="M106" s="24" t="str">
        <x:v>2026-08-31T23:00:00+0200</x:v>
      </x:c>
      <x:c r="N106" s="24" t="n">
        <x:v>46268.868252314816</x:v>
      </x:c>
      <x:c r="O106" s="40" t="b">
        <x:v>1</x:v>
      </x:c>
      <x:c r="P106" s="42" t="str">
        <x:v>current_snapshot_diagnostic_only</x:v>
      </x:c>
    </x:row>
    <x:row r="107">
      <x:c r="A107" s="23" t="str">
        <x:v>b10204afee1dd3c4950d</x:v>
      </x:c>
      <x:c r="B107" s="23" t="str">
        <x:v>EUROSTAT_TOURISM_NIGHTS</x:v>
      </x:c>
      <x:c r="C107" s="23" t="str">
        <x:v>Eurostat</x:v>
      </x:c>
      <x:c r="D107" s="23" t="str">
        <x:v>Europe</x:v>
      </x:c>
      <x:c r="E107" s="23" t="str">
        <x:v>European Union - 27 countries (from 2020)</x:v>
      </x:c>
      <x:c r="F107" s="23" t="str">
        <x:v>2023-02</x:v>
      </x:c>
      <x:c r="G107" s="23" t="str">
        <x:v>Nights spent at tourist accommodation establishments</x:v>
      </x:c>
      <x:c r="H107" s="23" t="str">
        <x:v>Total</x:v>
      </x:c>
      <x:c r="I107" s="23" t="str">
        <x:v>Hotels; holiday and other short-stay accommodation; camping grounds, recreational vehicle parks and trailer parks</x:v>
      </x:c>
      <x:c r="J107" s="72" t="n">
        <x:v>141308003</x:v>
      </x:c>
      <x:c r="K107" s="23" t="str">
        <x:v>Number</x:v>
      </x:c>
      <x:c r="L107" s="24" t="n">
        <x:v>46268.868252314816</x:v>
      </x:c>
      <x:c r="M107" s="24" t="str">
        <x:v>2026-08-31T23:00:00+0200</x:v>
      </x:c>
      <x:c r="N107" s="24" t="n">
        <x:v>46268.868252314816</x:v>
      </x:c>
      <x:c r="O107" s="40" t="b">
        <x:v>1</x:v>
      </x:c>
      <x:c r="P107" s="42" t="str">
        <x:v>current_snapshot_diagnostic_only</x:v>
      </x:c>
    </x:row>
    <x:row r="108">
      <x:c r="A108" s="23" t="str">
        <x:v>7f2f857f0674a3a0eb3c</x:v>
      </x:c>
      <x:c r="B108" s="23" t="str">
        <x:v>EUROSTAT_TOURISM_NIGHTS</x:v>
      </x:c>
      <x:c r="C108" s="23" t="str">
        <x:v>Eurostat</x:v>
      </x:c>
      <x:c r="D108" s="23" t="str">
        <x:v>Europe</x:v>
      </x:c>
      <x:c r="E108" s="23" t="str">
        <x:v>European Union - 27 countries (from 2020)</x:v>
      </x:c>
      <x:c r="F108" s="23" t="str">
        <x:v>2023-03</x:v>
      </x:c>
      <x:c r="G108" s="23" t="str">
        <x:v>Nights spent at tourist accommodation establishments</x:v>
      </x:c>
      <x:c r="H108" s="23" t="str">
        <x:v>Total</x:v>
      </x:c>
      <x:c r="I108" s="23" t="str">
        <x:v>Hotels; holiday and other short-stay accommodation; camping grounds, recreational vehicle parks and trailer parks</x:v>
      </x:c>
      <x:c r="J108" s="72" t="n">
        <x:v>156330581</x:v>
      </x:c>
      <x:c r="K108" s="23" t="str">
        <x:v>Number</x:v>
      </x:c>
      <x:c r="L108" s="24" t="n">
        <x:v>46268.868252314816</x:v>
      </x:c>
      <x:c r="M108" s="24" t="str">
        <x:v>2026-08-31T23:00:00+0200</x:v>
      </x:c>
      <x:c r="N108" s="24" t="n">
        <x:v>46268.868252314816</x:v>
      </x:c>
      <x:c r="O108" s="40" t="b">
        <x:v>1</x:v>
      </x:c>
      <x:c r="P108" s="42" t="str">
        <x:v>current_snapshot_diagnostic_only</x:v>
      </x:c>
    </x:row>
    <x:row r="109">
      <x:c r="A109" s="23" t="str">
        <x:v>4d62e28e05d0aaf97287</x:v>
      </x:c>
      <x:c r="B109" s="23" t="str">
        <x:v>EUROSTAT_TOURISM_NIGHTS</x:v>
      </x:c>
      <x:c r="C109" s="23" t="str">
        <x:v>Eurostat</x:v>
      </x:c>
      <x:c r="D109" s="23" t="str">
        <x:v>Europe</x:v>
      </x:c>
      <x:c r="E109" s="23" t="str">
        <x:v>European Union - 27 countries (from 2020)</x:v>
      </x:c>
      <x:c r="F109" s="23" t="str">
        <x:v>2023-04</x:v>
      </x:c>
      <x:c r="G109" s="23" t="str">
        <x:v>Nights spent at tourist accommodation establishments</x:v>
      </x:c>
      <x:c r="H109" s="23" t="str">
        <x:v>Total</x:v>
      </x:c>
      <x:c r="I109" s="23" t="str">
        <x:v>Hotels; holiday and other short-stay accommodation; camping grounds, recreational vehicle parks and trailer parks</x:v>
      </x:c>
      <x:c r="J109" s="72" t="n">
        <x:v>212138638</x:v>
      </x:c>
      <x:c r="K109" s="23" t="str">
        <x:v>Number</x:v>
      </x:c>
      <x:c r="L109" s="24" t="n">
        <x:v>46268.868252314816</x:v>
      </x:c>
      <x:c r="M109" s="24" t="str">
        <x:v>2026-08-31T23:00:00+0200</x:v>
      </x:c>
      <x:c r="N109" s="24" t="n">
        <x:v>46268.868252314816</x:v>
      </x:c>
      <x:c r="O109" s="40" t="b">
        <x:v>1</x:v>
      </x:c>
      <x:c r="P109" s="42" t="str">
        <x:v>current_snapshot_diagnostic_only</x:v>
      </x:c>
    </x:row>
    <x:row r="110">
      <x:c r="A110" s="23" t="str">
        <x:v>8dcf300a8f100c9b98df</x:v>
      </x:c>
      <x:c r="B110" s="23" t="str">
        <x:v>EUROSTAT_TOURISM_NIGHTS</x:v>
      </x:c>
      <x:c r="C110" s="23" t="str">
        <x:v>Eurostat</x:v>
      </x:c>
      <x:c r="D110" s="23" t="str">
        <x:v>Europe</x:v>
      </x:c>
      <x:c r="E110" s="23" t="str">
        <x:v>European Union - 27 countries (from 2020)</x:v>
      </x:c>
      <x:c r="F110" s="23" t="str">
        <x:v>2023-05</x:v>
      </x:c>
      <x:c r="G110" s="23" t="str">
        <x:v>Nights spent at tourist accommodation establishments</x:v>
      </x:c>
      <x:c r="H110" s="23" t="str">
        <x:v>Total</x:v>
      </x:c>
      <x:c r="I110" s="23" t="str">
        <x:v>Hotels; holiday and other short-stay accommodation; camping grounds, recreational vehicle parks and trailer parks</x:v>
      </x:c>
      <x:c r="J110" s="72" t="n">
        <x:v>252263612</x:v>
      </x:c>
      <x:c r="K110" s="23" t="str">
        <x:v>Number</x:v>
      </x:c>
      <x:c r="L110" s="24" t="n">
        <x:v>46268.868252314816</x:v>
      </x:c>
      <x:c r="M110" s="24" t="str">
        <x:v>2026-08-31T23:00:00+0200</x:v>
      </x:c>
      <x:c r="N110" s="24" t="n">
        <x:v>46268.868252314816</x:v>
      </x:c>
      <x:c r="O110" s="40" t="b">
        <x:v>1</x:v>
      </x:c>
      <x:c r="P110" s="42" t="str">
        <x:v>current_snapshot_diagnostic_only</x:v>
      </x:c>
    </x:row>
    <x:row r="111">
      <x:c r="A111" s="23" t="str">
        <x:v>8f8a33232e1b2c73a2c4</x:v>
      </x:c>
      <x:c r="B111" s="23" t="str">
        <x:v>EUROSTAT_TOURISM_NIGHTS</x:v>
      </x:c>
      <x:c r="C111" s="23" t="str">
        <x:v>Eurostat</x:v>
      </x:c>
      <x:c r="D111" s="23" t="str">
        <x:v>Europe</x:v>
      </x:c>
      <x:c r="E111" s="23" t="str">
        <x:v>European Union - 27 countries (from 2020)</x:v>
      </x:c>
      <x:c r="F111" s="23" t="str">
        <x:v>2023-06</x:v>
      </x:c>
      <x:c r="G111" s="23" t="str">
        <x:v>Nights spent at tourist accommodation establishments</x:v>
      </x:c>
      <x:c r="H111" s="23" t="str">
        <x:v>Total</x:v>
      </x:c>
      <x:c r="I111" s="23" t="str">
        <x:v>Hotels; holiday and other short-stay accommodation; camping grounds, recreational vehicle parks and trailer parks</x:v>
      </x:c>
      <x:c r="J111" s="72" t="n">
        <x:v>314870198</x:v>
      </x:c>
      <x:c r="K111" s="23" t="str">
        <x:v>Number</x:v>
      </x:c>
      <x:c r="L111" s="24" t="n">
        <x:v>46268.868252314816</x:v>
      </x:c>
      <x:c r="M111" s="24" t="str">
        <x:v>2026-08-31T23:00:00+0200</x:v>
      </x:c>
      <x:c r="N111" s="24" t="n">
        <x:v>46268.868252314816</x:v>
      </x:c>
      <x:c r="O111" s="40" t="b">
        <x:v>1</x:v>
      </x:c>
      <x:c r="P111" s="42" t="str">
        <x:v>current_snapshot_diagnostic_only</x:v>
      </x:c>
    </x:row>
    <x:row r="112">
      <x:c r="A112" s="23" t="str">
        <x:v>bf3cac7aab0d34d4ec7d</x:v>
      </x:c>
      <x:c r="B112" s="23" t="str">
        <x:v>EUROSTAT_TOURISM_NIGHTS</x:v>
      </x:c>
      <x:c r="C112" s="23" t="str">
        <x:v>Eurostat</x:v>
      </x:c>
      <x:c r="D112" s="23" t="str">
        <x:v>Europe</x:v>
      </x:c>
      <x:c r="E112" s="23" t="str">
        <x:v>European Union - 27 countries (from 2020)</x:v>
      </x:c>
      <x:c r="F112" s="23" t="str">
        <x:v>2023-07</x:v>
      </x:c>
      <x:c r="G112" s="23" t="str">
        <x:v>Nights spent at tourist accommodation establishments</x:v>
      </x:c>
      <x:c r="H112" s="23" t="str">
        <x:v>Total</x:v>
      </x:c>
      <x:c r="I112" s="23" t="str">
        <x:v>Hotels; holiday and other short-stay accommodation; camping grounds, recreational vehicle parks and trailer parks</x:v>
      </x:c>
      <x:c r="J112" s="72" t="n">
        <x:v>450219450</x:v>
      </x:c>
      <x:c r="K112" s="23" t="str">
        <x:v>Number</x:v>
      </x:c>
      <x:c r="L112" s="24" t="n">
        <x:v>46268.868252314816</x:v>
      </x:c>
      <x:c r="M112" s="24" t="str">
        <x:v>2026-08-31T23:00:00+0200</x:v>
      </x:c>
      <x:c r="N112" s="24" t="n">
        <x:v>46268.868252314816</x:v>
      </x:c>
      <x:c r="O112" s="40" t="b">
        <x:v>1</x:v>
      </x:c>
      <x:c r="P112" s="42" t="str">
        <x:v>current_snapshot_diagnostic_only</x:v>
      </x:c>
    </x:row>
    <x:row r="113">
      <x:c r="A113" s="23" t="str">
        <x:v>25f7af824980ac62e68c</x:v>
      </x:c>
      <x:c r="B113" s="23" t="str">
        <x:v>EUROSTAT_TOURISM_NIGHTS</x:v>
      </x:c>
      <x:c r="C113" s="23" t="str">
        <x:v>Eurostat</x:v>
      </x:c>
      <x:c r="D113" s="23" t="str">
        <x:v>Europe</x:v>
      </x:c>
      <x:c r="E113" s="23" t="str">
        <x:v>European Union - 27 countries (from 2020)</x:v>
      </x:c>
      <x:c r="F113" s="23" t="str">
        <x:v>2023-08</x:v>
      </x:c>
      <x:c r="G113" s="23" t="str">
        <x:v>Nights spent at tourist accommodation establishments</x:v>
      </x:c>
      <x:c r="H113" s="23" t="str">
        <x:v>Total</x:v>
      </x:c>
      <x:c r="I113" s="23" t="str">
        <x:v>Hotels; holiday and other short-stay accommodation; camping grounds, recreational vehicle parks and trailer parks</x:v>
      </x:c>
      <x:c r="J113" s="72" t="n">
        <x:v>480366946</x:v>
      </x:c>
      <x:c r="K113" s="23" t="str">
        <x:v>Number</x:v>
      </x:c>
      <x:c r="L113" s="24" t="n">
        <x:v>46268.868252314816</x:v>
      </x:c>
      <x:c r="M113" s="24" t="str">
        <x:v>2026-08-31T23:00:00+0200</x:v>
      </x:c>
      <x:c r="N113" s="24" t="n">
        <x:v>46268.868252314816</x:v>
      </x:c>
      <x:c r="O113" s="40" t="b">
        <x:v>1</x:v>
      </x:c>
      <x:c r="P113" s="42" t="str">
        <x:v>current_snapshot_diagnostic_only</x:v>
      </x:c>
    </x:row>
    <x:row r="114">
      <x:c r="A114" s="23" t="str">
        <x:v>931010f62751f3d5da81</x:v>
      </x:c>
      <x:c r="B114" s="23" t="str">
        <x:v>EUROSTAT_TOURISM_NIGHTS</x:v>
      </x:c>
      <x:c r="C114" s="23" t="str">
        <x:v>Eurostat</x:v>
      </x:c>
      <x:c r="D114" s="23" t="str">
        <x:v>Europe</x:v>
      </x:c>
      <x:c r="E114" s="23" t="str">
        <x:v>European Union - 27 countries (from 2020)</x:v>
      </x:c>
      <x:c r="F114" s="23" t="str">
        <x:v>2023-09</x:v>
      </x:c>
      <x:c r="G114" s="23" t="str">
        <x:v>Nights spent at tourist accommodation establishments</x:v>
      </x:c>
      <x:c r="H114" s="23" t="str">
        <x:v>Total</x:v>
      </x:c>
      <x:c r="I114" s="23" t="str">
        <x:v>Hotels; holiday and other short-stay accommodation; camping grounds, recreational vehicle parks and trailer parks</x:v>
      </x:c>
      <x:c r="J114" s="72" t="n">
        <x:v>302929582</x:v>
      </x:c>
      <x:c r="K114" s="23" t="str">
        <x:v>Number</x:v>
      </x:c>
      <x:c r="L114" s="24" t="n">
        <x:v>46268.868252314816</x:v>
      </x:c>
      <x:c r="M114" s="24" t="str">
        <x:v>2026-08-31T23:00:00+0200</x:v>
      </x:c>
      <x:c r="N114" s="24" t="n">
        <x:v>46268.868252314816</x:v>
      </x:c>
      <x:c r="O114" s="40" t="b">
        <x:v>1</x:v>
      </x:c>
      <x:c r="P114" s="42" t="str">
        <x:v>current_snapshot_diagnostic_only</x:v>
      </x:c>
    </x:row>
    <x:row r="115">
      <x:c r="A115" s="23" t="str">
        <x:v>f45681a0fca973206337</x:v>
      </x:c>
      <x:c r="B115" s="23" t="str">
        <x:v>EUROSTAT_TOURISM_NIGHTS</x:v>
      </x:c>
      <x:c r="C115" s="23" t="str">
        <x:v>Eurostat</x:v>
      </x:c>
      <x:c r="D115" s="23" t="str">
        <x:v>Europe</x:v>
      </x:c>
      <x:c r="E115" s="23" t="str">
        <x:v>European Union - 27 countries (from 2020)</x:v>
      </x:c>
      <x:c r="F115" s="23" t="str">
        <x:v>2023-10</x:v>
      </x:c>
      <x:c r="G115" s="23" t="str">
        <x:v>Nights spent at tourist accommodation establishments</x:v>
      </x:c>
      <x:c r="H115" s="23" t="str">
        <x:v>Total</x:v>
      </x:c>
      <x:c r="I115" s="23" t="str">
        <x:v>Hotels; holiday and other short-stay accommodation; camping grounds, recreational vehicle parks and trailer parks</x:v>
      </x:c>
      <x:c r="J115" s="72" t="n">
        <x:v>215757024</x:v>
      </x:c>
      <x:c r="K115" s="23" t="str">
        <x:v>Number</x:v>
      </x:c>
      <x:c r="L115" s="24" t="n">
        <x:v>46268.868252314816</x:v>
      </x:c>
      <x:c r="M115" s="24" t="str">
        <x:v>2026-08-31T23:00:00+0200</x:v>
      </x:c>
      <x:c r="N115" s="24" t="n">
        <x:v>46268.868252314816</x:v>
      </x:c>
      <x:c r="O115" s="40" t="b">
        <x:v>1</x:v>
      </x:c>
      <x:c r="P115" s="42" t="str">
        <x:v>current_snapshot_diagnostic_only</x:v>
      </x:c>
    </x:row>
    <x:row r="116">
      <x:c r="A116" s="23" t="str">
        <x:v>98a649030f2a34b7d135</x:v>
      </x:c>
      <x:c r="B116" s="23" t="str">
        <x:v>EUROSTAT_TOURISM_NIGHTS</x:v>
      </x:c>
      <x:c r="C116" s="23" t="str">
        <x:v>Eurostat</x:v>
      </x:c>
      <x:c r="D116" s="23" t="str">
        <x:v>Europe</x:v>
      </x:c>
      <x:c r="E116" s="23" t="str">
        <x:v>European Union - 27 countries (from 2020)</x:v>
      </x:c>
      <x:c r="F116" s="23" t="str">
        <x:v>2023-11</x:v>
      </x:c>
      <x:c r="G116" s="23" t="str">
        <x:v>Nights spent at tourist accommodation establishments</x:v>
      </x:c>
      <x:c r="H116" s="23" t="str">
        <x:v>Total</x:v>
      </x:c>
      <x:c r="I116" s="23" t="str">
        <x:v>Hotels; holiday and other short-stay accommodation; camping grounds, recreational vehicle parks and trailer parks</x:v>
      </x:c>
      <x:c r="J116" s="72" t="n">
        <x:v>135637603</x:v>
      </x:c>
      <x:c r="K116" s="23" t="str">
        <x:v>Number</x:v>
      </x:c>
      <x:c r="L116" s="24" t="n">
        <x:v>46268.868252314816</x:v>
      </x:c>
      <x:c r="M116" s="24" t="str">
        <x:v>2026-08-31T23:00:00+0200</x:v>
      </x:c>
      <x:c r="N116" s="24" t="n">
        <x:v>46268.868252314816</x:v>
      </x:c>
      <x:c r="O116" s="40" t="b">
        <x:v>1</x:v>
      </x:c>
      <x:c r="P116" s="42" t="str">
        <x:v>current_snapshot_diagnostic_only</x:v>
      </x:c>
    </x:row>
    <x:row r="117">
      <x:c r="A117" s="23" t="str">
        <x:v>68d7892b7760ce460c9c</x:v>
      </x:c>
      <x:c r="B117" s="23" t="str">
        <x:v>EUROSTAT_TOURISM_NIGHTS</x:v>
      </x:c>
      <x:c r="C117" s="23" t="str">
        <x:v>Eurostat</x:v>
      </x:c>
      <x:c r="D117" s="23" t="str">
        <x:v>Europe</x:v>
      </x:c>
      <x:c r="E117" s="23" t="str">
        <x:v>European Union - 27 countries (from 2020)</x:v>
      </x:c>
      <x:c r="F117" s="23" t="str">
        <x:v>2023-12</x:v>
      </x:c>
      <x:c r="G117" s="23" t="str">
        <x:v>Nights spent at tourist accommodation establishments</x:v>
      </x:c>
      <x:c r="H117" s="23" t="str">
        <x:v>Total</x:v>
      </x:c>
      <x:c r="I117" s="23" t="str">
        <x:v>Hotels; holiday and other short-stay accommodation; camping grounds, recreational vehicle parks and trailer parks</x:v>
      </x:c>
      <x:c r="J117" s="72" t="n">
        <x:v>145031853</x:v>
      </x:c>
      <x:c r="K117" s="23" t="str">
        <x:v>Number</x:v>
      </x:c>
      <x:c r="L117" s="24" t="n">
        <x:v>46268.868252314816</x:v>
      </x:c>
      <x:c r="M117" s="24" t="str">
        <x:v>2026-08-31T23:00:00+0200</x:v>
      </x:c>
      <x:c r="N117" s="24" t="n">
        <x:v>46268.868252314816</x:v>
      </x:c>
      <x:c r="O117" s="40" t="b">
        <x:v>1</x:v>
      </x:c>
      <x:c r="P117" s="42" t="str">
        <x:v>current_snapshot_diagnostic_only</x:v>
      </x:c>
    </x:row>
    <x:row r="118">
      <x:c r="A118" s="23" t="str">
        <x:v>b6b90a969c928b8e2fd0</x:v>
      </x:c>
      <x:c r="B118" s="23" t="str">
        <x:v>EUROSTAT_TOURISM_NIGHTS</x:v>
      </x:c>
      <x:c r="C118" s="23" t="str">
        <x:v>Eurostat</x:v>
      </x:c>
      <x:c r="D118" s="23" t="str">
        <x:v>Europe</x:v>
      </x:c>
      <x:c r="E118" s="23" t="str">
        <x:v>European Union - 27 countries (from 2020)</x:v>
      </x:c>
      <x:c r="F118" s="23" t="str">
        <x:v>2024-01</x:v>
      </x:c>
      <x:c r="G118" s="23" t="str">
        <x:v>Nights spent at tourist accommodation establishments</x:v>
      </x:c>
      <x:c r="H118" s="23" t="str">
        <x:v>Total</x:v>
      </x:c>
      <x:c r="I118" s="23" t="str">
        <x:v>Hotels; holiday and other short-stay accommodation; camping grounds, recreational vehicle parks and trailer parks</x:v>
      </x:c>
      <x:c r="J118" s="72" t="n">
        <x:v>134839115</x:v>
      </x:c>
      <x:c r="K118" s="23" t="str">
        <x:v>Number</x:v>
      </x:c>
      <x:c r="L118" s="24" t="n">
        <x:v>46268.868252314816</x:v>
      </x:c>
      <x:c r="M118" s="24" t="str">
        <x:v>2026-08-31T23:00:00+0200</x:v>
      </x:c>
      <x:c r="N118" s="24" t="n">
        <x:v>46268.868252314816</x:v>
      </x:c>
      <x:c r="O118" s="40" t="b">
        <x:v>1</x:v>
      </x:c>
      <x:c r="P118" s="42" t="str">
        <x:v>current_snapshot_diagnostic_only</x:v>
      </x:c>
    </x:row>
    <x:row r="119">
      <x:c r="A119" s="23" t="str">
        <x:v>2246304048b711c998bc</x:v>
      </x:c>
      <x:c r="B119" s="23" t="str">
        <x:v>EUROSTAT_TOURISM_NIGHTS</x:v>
      </x:c>
      <x:c r="C119" s="23" t="str">
        <x:v>Eurostat</x:v>
      </x:c>
      <x:c r="D119" s="23" t="str">
        <x:v>Europe</x:v>
      </x:c>
      <x:c r="E119" s="23" t="str">
        <x:v>European Union - 27 countries (from 2020)</x:v>
      </x:c>
      <x:c r="F119" s="23" t="str">
        <x:v>2024-02</x:v>
      </x:c>
      <x:c r="G119" s="23" t="str">
        <x:v>Nights spent at tourist accommodation establishments</x:v>
      </x:c>
      <x:c r="H119" s="23" t="str">
        <x:v>Total</x:v>
      </x:c>
      <x:c r="I119" s="23" t="str">
        <x:v>Hotels; holiday and other short-stay accommodation; camping grounds, recreational vehicle parks and trailer parks</x:v>
      </x:c>
      <x:c r="J119" s="72" t="n">
        <x:v>149952675</x:v>
      </x:c>
      <x:c r="K119" s="23" t="str">
        <x:v>Number</x:v>
      </x:c>
      <x:c r="L119" s="24" t="n">
        <x:v>46268.868252314816</x:v>
      </x:c>
      <x:c r="M119" s="24" t="str">
        <x:v>2026-08-31T23:00:00+0200</x:v>
      </x:c>
      <x:c r="N119" s="24" t="n">
        <x:v>46268.868252314816</x:v>
      </x:c>
      <x:c r="O119" s="40" t="b">
        <x:v>1</x:v>
      </x:c>
      <x:c r="P119" s="42" t="str">
        <x:v>current_snapshot_diagnostic_only</x:v>
      </x:c>
    </x:row>
    <x:row r="120">
      <x:c r="A120" s="23" t="str">
        <x:v>047efe4c878e1ac88ff7</x:v>
      </x:c>
      <x:c r="B120" s="23" t="str">
        <x:v>EUROSTAT_TOURISM_NIGHTS</x:v>
      </x:c>
      <x:c r="C120" s="23" t="str">
        <x:v>Eurostat</x:v>
      </x:c>
      <x:c r="D120" s="23" t="str">
        <x:v>Europe</x:v>
      </x:c>
      <x:c r="E120" s="23" t="str">
        <x:v>European Union - 27 countries (from 2020)</x:v>
      </x:c>
      <x:c r="F120" s="23" t="str">
        <x:v>2024-03</x:v>
      </x:c>
      <x:c r="G120" s="23" t="str">
        <x:v>Nights spent at tourist accommodation establishments</x:v>
      </x:c>
      <x:c r="H120" s="23" t="str">
        <x:v>Total</x:v>
      </x:c>
      <x:c r="I120" s="23" t="str">
        <x:v>Hotels; holiday and other short-stay accommodation; camping grounds, recreational vehicle parks and trailer parks</x:v>
      </x:c>
      <x:c r="J120" s="72" t="n">
        <x:v>178161960</x:v>
      </x:c>
      <x:c r="K120" s="23" t="str">
        <x:v>Number</x:v>
      </x:c>
      <x:c r="L120" s="24" t="n">
        <x:v>46268.868252314816</x:v>
      </x:c>
      <x:c r="M120" s="24" t="str">
        <x:v>2026-08-31T23:00:00+0200</x:v>
      </x:c>
      <x:c r="N120" s="24" t="n">
        <x:v>46268.868252314816</x:v>
      </x:c>
      <x:c r="O120" s="40" t="b">
        <x:v>1</x:v>
      </x:c>
      <x:c r="P120" s="42" t="str">
        <x:v>current_snapshot_diagnostic_only</x:v>
      </x:c>
    </x:row>
    <x:row r="121">
      <x:c r="A121" s="23" t="str">
        <x:v>e94048316506564ad279</x:v>
      </x:c>
      <x:c r="B121" s="23" t="str">
        <x:v>EUROSTAT_TOURISM_NIGHTS</x:v>
      </x:c>
      <x:c r="C121" s="23" t="str">
        <x:v>Eurostat</x:v>
      </x:c>
      <x:c r="D121" s="23" t="str">
        <x:v>Europe</x:v>
      </x:c>
      <x:c r="E121" s="23" t="str">
        <x:v>European Union - 27 countries (from 2020)</x:v>
      </x:c>
      <x:c r="F121" s="23" t="str">
        <x:v>2024-04</x:v>
      </x:c>
      <x:c r="G121" s="23" t="str">
        <x:v>Nights spent at tourist accommodation establishments</x:v>
      </x:c>
      <x:c r="H121" s="23" t="str">
        <x:v>Total</x:v>
      </x:c>
      <x:c r="I121" s="23" t="str">
        <x:v>Hotels; holiday and other short-stay accommodation; camping grounds, recreational vehicle parks and trailer parks</x:v>
      </x:c>
      <x:c r="J121" s="72" t="n">
        <x:v>196076697</x:v>
      </x:c>
      <x:c r="K121" s="23" t="str">
        <x:v>Number</x:v>
      </x:c>
      <x:c r="L121" s="24" t="n">
        <x:v>46268.868252314816</x:v>
      </x:c>
      <x:c r="M121" s="24" t="str">
        <x:v>2026-08-31T23:00:00+0200</x:v>
      </x:c>
      <x:c r="N121" s="24" t="n">
        <x:v>46268.868252314816</x:v>
      </x:c>
      <x:c r="O121" s="40" t="b">
        <x:v>1</x:v>
      </x:c>
      <x:c r="P121" s="42" t="str">
        <x:v>current_snapshot_diagnostic_only</x:v>
      </x:c>
    </x:row>
    <x:row r="122">
      <x:c r="A122" s="23" t="str">
        <x:v>e560c27b463f4b1822f3</x:v>
      </x:c>
      <x:c r="B122" s="23" t="str">
        <x:v>EUROSTAT_TOURISM_NIGHTS</x:v>
      </x:c>
      <x:c r="C122" s="23" t="str">
        <x:v>Eurostat</x:v>
      </x:c>
      <x:c r="D122" s="23" t="str">
        <x:v>Europe</x:v>
      </x:c>
      <x:c r="E122" s="23" t="str">
        <x:v>European Union - 27 countries (from 2020)</x:v>
      </x:c>
      <x:c r="F122" s="23" t="str">
        <x:v>2024-05</x:v>
      </x:c>
      <x:c r="G122" s="23" t="str">
        <x:v>Nights spent at tourist accommodation establishments</x:v>
      </x:c>
      <x:c r="H122" s="23" t="str">
        <x:v>Total</x:v>
      </x:c>
      <x:c r="I122" s="23" t="str">
        <x:v>Hotels; holiday and other short-stay accommodation; camping grounds, recreational vehicle parks and trailer parks</x:v>
      </x:c>
      <x:c r="J122" s="72" t="n">
        <x:v>273206947</x:v>
      </x:c>
      <x:c r="K122" s="23" t="str">
        <x:v>Number</x:v>
      </x:c>
      <x:c r="L122" s="24" t="n">
        <x:v>46268.868252314816</x:v>
      </x:c>
      <x:c r="M122" s="24" t="str">
        <x:v>2026-08-31T23:00:00+0200</x:v>
      </x:c>
      <x:c r="N122" s="24" t="n">
        <x:v>46268.868252314816</x:v>
      </x:c>
      <x:c r="O122" s="40" t="b">
        <x:v>1</x:v>
      </x:c>
      <x:c r="P122" s="42" t="str">
        <x:v>current_snapshot_diagnostic_only</x:v>
      </x:c>
    </x:row>
    <x:row r="123">
      <x:c r="A123" s="23" t="str">
        <x:v>59ceb7509ea132b7a34e</x:v>
      </x:c>
      <x:c r="B123" s="23" t="str">
        <x:v>EUROSTAT_TOURISM_NIGHTS</x:v>
      </x:c>
      <x:c r="C123" s="23" t="str">
        <x:v>Eurostat</x:v>
      </x:c>
      <x:c r="D123" s="23" t="str">
        <x:v>Europe</x:v>
      </x:c>
      <x:c r="E123" s="23" t="str">
        <x:v>European Union - 27 countries (from 2020)</x:v>
      </x:c>
      <x:c r="F123" s="23" t="str">
        <x:v>2024-06</x:v>
      </x:c>
      <x:c r="G123" s="23" t="str">
        <x:v>Nights spent at tourist accommodation establishments</x:v>
      </x:c>
      <x:c r="H123" s="23" t="str">
        <x:v>Total</x:v>
      </x:c>
      <x:c r="I123" s="23" t="str">
        <x:v>Hotels; holiday and other short-stay accommodation; camping grounds, recreational vehicle parks and trailer parks</x:v>
      </x:c>
      <x:c r="J123" s="72" t="n">
        <x:v>316479922</x:v>
      </x:c>
      <x:c r="K123" s="23" t="str">
        <x:v>Number</x:v>
      </x:c>
      <x:c r="L123" s="24" t="n">
        <x:v>46268.868252314816</x:v>
      </x:c>
      <x:c r="M123" s="24" t="str">
        <x:v>2026-08-31T23:00:00+0200</x:v>
      </x:c>
      <x:c r="N123" s="24" t="n">
        <x:v>46268.868252314816</x:v>
      </x:c>
      <x:c r="O123" s="40" t="b">
        <x:v>1</x:v>
      </x:c>
      <x:c r="P123" s="42" t="str">
        <x:v>current_snapshot_diagnostic_only</x:v>
      </x:c>
    </x:row>
    <x:row r="124">
      <x:c r="A124" s="23" t="str">
        <x:v>f8a74b4e821972fa784a</x:v>
      </x:c>
      <x:c r="B124" s="23" t="str">
        <x:v>EUROSTAT_TOURISM_NIGHTS</x:v>
      </x:c>
      <x:c r="C124" s="23" t="str">
        <x:v>Eurostat</x:v>
      </x:c>
      <x:c r="D124" s="23" t="str">
        <x:v>Europe</x:v>
      </x:c>
      <x:c r="E124" s="23" t="str">
        <x:v>European Union - 27 countries (from 2020)</x:v>
      </x:c>
      <x:c r="F124" s="23" t="str">
        <x:v>2024-07</x:v>
      </x:c>
      <x:c r="G124" s="23" t="str">
        <x:v>Nights spent at tourist accommodation establishments</x:v>
      </x:c>
      <x:c r="H124" s="23" t="str">
        <x:v>Total</x:v>
      </x:c>
      <x:c r="I124" s="23" t="str">
        <x:v>Hotels; holiday and other short-stay accommodation; camping grounds, recreational vehicle parks and trailer parks</x:v>
      </x:c>
      <x:c r="J124" s="72" t="n">
        <x:v>452120873</x:v>
      </x:c>
      <x:c r="K124" s="23" t="str">
        <x:v>Number</x:v>
      </x:c>
      <x:c r="L124" s="24" t="n">
        <x:v>46268.868252314816</x:v>
      </x:c>
      <x:c r="M124" s="24" t="str">
        <x:v>2026-08-31T23:00:00+0200</x:v>
      </x:c>
      <x:c r="N124" s="24" t="n">
        <x:v>46268.868252314816</x:v>
      </x:c>
      <x:c r="O124" s="40" t="b">
        <x:v>1</x:v>
      </x:c>
      <x:c r="P124" s="42" t="str">
        <x:v>current_snapshot_diagnostic_only</x:v>
      </x:c>
    </x:row>
    <x:row r="125">
      <x:c r="A125" s="23" t="str">
        <x:v>b2948d20698d38776f4d</x:v>
      </x:c>
      <x:c r="B125" s="23" t="str">
        <x:v>EUROSTAT_TOURISM_NIGHTS</x:v>
      </x:c>
      <x:c r="C125" s="23" t="str">
        <x:v>Eurostat</x:v>
      </x:c>
      <x:c r="D125" s="23" t="str">
        <x:v>Europe</x:v>
      </x:c>
      <x:c r="E125" s="23" t="str">
        <x:v>European Union - 27 countries (from 2020)</x:v>
      </x:c>
      <x:c r="F125" s="23" t="str">
        <x:v>2024-08</x:v>
      </x:c>
      <x:c r="G125" s="23" t="str">
        <x:v>Nights spent at tourist accommodation establishments</x:v>
      </x:c>
      <x:c r="H125" s="23" t="str">
        <x:v>Total</x:v>
      </x:c>
      <x:c r="I125" s="23" t="str">
        <x:v>Hotels; holiday and other short-stay accommodation; camping grounds, recreational vehicle parks and trailer parks</x:v>
      </x:c>
      <x:c r="J125" s="72" t="n">
        <x:v>494908204</x:v>
      </x:c>
      <x:c r="K125" s="23" t="str">
        <x:v>Number</x:v>
      </x:c>
      <x:c r="L125" s="24" t="n">
        <x:v>46268.868252314816</x:v>
      </x:c>
      <x:c r="M125" s="24" t="str">
        <x:v>2026-08-31T23:00:00+0200</x:v>
      </x:c>
      <x:c r="N125" s="24" t="n">
        <x:v>46268.868252314816</x:v>
      </x:c>
      <x:c r="O125" s="40" t="b">
        <x:v>1</x:v>
      </x:c>
      <x:c r="P125" s="42" t="str">
        <x:v>current_snapshot_diagnostic_only</x:v>
      </x:c>
    </x:row>
    <x:row r="126">
      <x:c r="A126" s="23" t="str">
        <x:v>f0d14273766d662163e7</x:v>
      </x:c>
      <x:c r="B126" s="23" t="str">
        <x:v>EUROSTAT_TOURISM_NIGHTS</x:v>
      </x:c>
      <x:c r="C126" s="23" t="str">
        <x:v>Eurostat</x:v>
      </x:c>
      <x:c r="D126" s="23" t="str">
        <x:v>Europe</x:v>
      </x:c>
      <x:c r="E126" s="23" t="str">
        <x:v>European Union - 27 countries (from 2020)</x:v>
      </x:c>
      <x:c r="F126" s="23" t="str">
        <x:v>2024-09</x:v>
      </x:c>
      <x:c r="G126" s="23" t="str">
        <x:v>Nights spent at tourist accommodation establishments</x:v>
      </x:c>
      <x:c r="H126" s="23" t="str">
        <x:v>Total</x:v>
      </x:c>
      <x:c r="I126" s="23" t="str">
        <x:v>Hotels; holiday and other short-stay accommodation; camping grounds, recreational vehicle parks and trailer parks</x:v>
      </x:c>
      <x:c r="J126" s="72" t="n">
        <x:v>302012865</x:v>
      </x:c>
      <x:c r="K126" s="23" t="str">
        <x:v>Number</x:v>
      </x:c>
      <x:c r="L126" s="24" t="n">
        <x:v>46268.868252314816</x:v>
      </x:c>
      <x:c r="M126" s="24" t="str">
        <x:v>2026-08-31T23:00:00+0200</x:v>
      </x:c>
      <x:c r="N126" s="24" t="n">
        <x:v>46268.868252314816</x:v>
      </x:c>
      <x:c r="O126" s="40" t="b">
        <x:v>1</x:v>
      </x:c>
      <x:c r="P126" s="42" t="str">
        <x:v>current_snapshot_diagnostic_only</x:v>
      </x:c>
    </x:row>
    <x:row r="127">
      <x:c r="A127" s="23" t="str">
        <x:v>fbc4814f46544b0bbc94</x:v>
      </x:c>
      <x:c r="B127" s="23" t="str">
        <x:v>EUROSTAT_TOURISM_NIGHTS</x:v>
      </x:c>
      <x:c r="C127" s="23" t="str">
        <x:v>Eurostat</x:v>
      </x:c>
      <x:c r="D127" s="23" t="str">
        <x:v>Europe</x:v>
      </x:c>
      <x:c r="E127" s="23" t="str">
        <x:v>European Union - 27 countries (from 2020)</x:v>
      </x:c>
      <x:c r="F127" s="23" t="str">
        <x:v>2024-10</x:v>
      </x:c>
      <x:c r="G127" s="23" t="str">
        <x:v>Nights spent at tourist accommodation establishments</x:v>
      </x:c>
      <x:c r="H127" s="23" t="str">
        <x:v>Total</x:v>
      </x:c>
      <x:c r="I127" s="23" t="str">
        <x:v>Hotels; holiday and other short-stay accommodation; camping grounds, recreational vehicle parks and trailer parks</x:v>
      </x:c>
      <x:c r="J127" s="72" t="n">
        <x:v>227905090</x:v>
      </x:c>
      <x:c r="K127" s="23" t="str">
        <x:v>Number</x:v>
      </x:c>
      <x:c r="L127" s="24" t="n">
        <x:v>46268.868252314816</x:v>
      </x:c>
      <x:c r="M127" s="24" t="str">
        <x:v>2026-08-31T23:00:00+0200</x:v>
      </x:c>
      <x:c r="N127" s="24" t="n">
        <x:v>46268.868252314816</x:v>
      </x:c>
      <x:c r="O127" s="40" t="b">
        <x:v>1</x:v>
      </x:c>
      <x:c r="P127" s="42" t="str">
        <x:v>current_snapshot_diagnostic_only</x:v>
      </x:c>
    </x:row>
    <x:row r="128">
      <x:c r="A128" s="23" t="str">
        <x:v>d36e22041364441f228b</x:v>
      </x:c>
      <x:c r="B128" s="23" t="str">
        <x:v>EUROSTAT_TOURISM_NIGHTS</x:v>
      </x:c>
      <x:c r="C128" s="23" t="str">
        <x:v>Eurostat</x:v>
      </x:c>
      <x:c r="D128" s="23" t="str">
        <x:v>Europe</x:v>
      </x:c>
      <x:c r="E128" s="23" t="str">
        <x:v>European Union - 27 countries (from 2020)</x:v>
      </x:c>
      <x:c r="F128" s="23" t="str">
        <x:v>2024-11</x:v>
      </x:c>
      <x:c r="G128" s="23" t="str">
        <x:v>Nights spent at tourist accommodation establishments</x:v>
      </x:c>
      <x:c r="H128" s="23" t="str">
        <x:v>Total</x:v>
      </x:c>
      <x:c r="I128" s="23" t="str">
        <x:v>Hotels; holiday and other short-stay accommodation; camping grounds, recreational vehicle parks and trailer parks</x:v>
      </x:c>
      <x:c r="J128" s="72" t="n">
        <x:v>144944533</x:v>
      </x:c>
      <x:c r="K128" s="23" t="str">
        <x:v>Number</x:v>
      </x:c>
      <x:c r="L128" s="24" t="n">
        <x:v>46268.868252314816</x:v>
      </x:c>
      <x:c r="M128" s="24" t="str">
        <x:v>2026-08-31T23:00:00+0200</x:v>
      </x:c>
      <x:c r="N128" s="24" t="n">
        <x:v>46268.868252314816</x:v>
      </x:c>
      <x:c r="O128" s="40" t="b">
        <x:v>1</x:v>
      </x:c>
      <x:c r="P128" s="42" t="str">
        <x:v>current_snapshot_diagnostic_only</x:v>
      </x:c>
    </x:row>
    <x:row r="129">
      <x:c r="A129" s="23" t="str">
        <x:v>d130a686ffb5e7737097</x:v>
      </x:c>
      <x:c r="B129" s="23" t="str">
        <x:v>EUROSTAT_TOURISM_NIGHTS</x:v>
      </x:c>
      <x:c r="C129" s="23" t="str">
        <x:v>Eurostat</x:v>
      </x:c>
      <x:c r="D129" s="23" t="str">
        <x:v>Europe</x:v>
      </x:c>
      <x:c r="E129" s="23" t="str">
        <x:v>European Union - 27 countries (from 2020)</x:v>
      </x:c>
      <x:c r="F129" s="23" t="str">
        <x:v>2024-12</x:v>
      </x:c>
      <x:c r="G129" s="23" t="str">
        <x:v>Nights spent at tourist accommodation establishments</x:v>
      </x:c>
      <x:c r="H129" s="23" t="str">
        <x:v>Total</x:v>
      </x:c>
      <x:c r="I129" s="23" t="str">
        <x:v>Hotels; holiday and other short-stay accommodation; camping grounds, recreational vehicle parks and trailer parks</x:v>
      </x:c>
      <x:c r="J129" s="72" t="n">
        <x:v>151354666</x:v>
      </x:c>
      <x:c r="K129" s="23" t="str">
        <x:v>Number</x:v>
      </x:c>
      <x:c r="L129" s="24" t="n">
        <x:v>46268.868252314816</x:v>
      </x:c>
      <x:c r="M129" s="24" t="str">
        <x:v>2026-08-31T23:00:00+0200</x:v>
      </x:c>
      <x:c r="N129" s="24" t="n">
        <x:v>46268.868252314816</x:v>
      </x:c>
      <x:c r="O129" s="40" t="b">
        <x:v>1</x:v>
      </x:c>
      <x:c r="P129" s="42" t="str">
        <x:v>current_snapshot_diagnostic_only</x:v>
      </x:c>
    </x:row>
    <x:row r="130">
      <x:c r="A130" s="23" t="str">
        <x:v>fbe5dd1b8d60cb6f1a8d</x:v>
      </x:c>
      <x:c r="B130" s="23" t="str">
        <x:v>EUROSTAT_TOURISM_NIGHTS</x:v>
      </x:c>
      <x:c r="C130" s="23" t="str">
        <x:v>Eurostat</x:v>
      </x:c>
      <x:c r="D130" s="23" t="str">
        <x:v>Europe</x:v>
      </x:c>
      <x:c r="E130" s="23" t="str">
        <x:v>European Union - 27 countries (from 2020)</x:v>
      </x:c>
      <x:c r="F130" s="23" t="str">
        <x:v>2025-01</x:v>
      </x:c>
      <x:c r="G130" s="23" t="str">
        <x:v>Nights spent at tourist accommodation establishments</x:v>
      </x:c>
      <x:c r="H130" s="23" t="str">
        <x:v>Total</x:v>
      </x:c>
      <x:c r="I130" s="23" t="str">
        <x:v>Hotels; holiday and other short-stay accommodation; camping grounds, recreational vehicle parks and trailer parks</x:v>
      </x:c>
      <x:c r="J130" s="72" t="n">
        <x:v>140906892</x:v>
      </x:c>
      <x:c r="K130" s="23" t="str">
        <x:v>Number</x:v>
      </x:c>
      <x:c r="L130" s="24" t="n">
        <x:v>46268.868252314816</x:v>
      </x:c>
      <x:c r="M130" s="24" t="str">
        <x:v>2026-08-31T23:00:00+0200</x:v>
      </x:c>
      <x:c r="N130" s="24" t="n">
        <x:v>46268.868252314816</x:v>
      </x:c>
      <x:c r="O130" s="40" t="b">
        <x:v>1</x:v>
      </x:c>
      <x:c r="P130" s="42" t="str">
        <x:v>current_snapshot_diagnostic_only</x:v>
      </x:c>
    </x:row>
    <x:row r="131">
      <x:c r="A131" s="23" t="str">
        <x:v>ad7cb4e577aff8e88812</x:v>
      </x:c>
      <x:c r="B131" s="23" t="str">
        <x:v>EUROSTAT_TOURISM_NIGHTS</x:v>
      </x:c>
      <x:c r="C131" s="23" t="str">
        <x:v>Eurostat</x:v>
      </x:c>
      <x:c r="D131" s="23" t="str">
        <x:v>Europe</x:v>
      </x:c>
      <x:c r="E131" s="23" t="str">
        <x:v>European Union - 27 countries (from 2020)</x:v>
      </x:c>
      <x:c r="F131" s="23" t="str">
        <x:v>2025-02</x:v>
      </x:c>
      <x:c r="G131" s="23" t="str">
        <x:v>Nights spent at tourist accommodation establishments</x:v>
      </x:c>
      <x:c r="H131" s="23" t="str">
        <x:v>Total</x:v>
      </x:c>
      <x:c r="I131" s="23" t="str">
        <x:v>Hotels; holiday and other short-stay accommodation; camping grounds, recreational vehicle parks and trailer parks</x:v>
      </x:c>
      <x:c r="J131" s="72" t="n">
        <x:v>150374422</x:v>
      </x:c>
      <x:c r="K131" s="23" t="str">
        <x:v>Number</x:v>
      </x:c>
      <x:c r="L131" s="24" t="n">
        <x:v>46268.868252314816</x:v>
      </x:c>
      <x:c r="M131" s="24" t="str">
        <x:v>2026-08-31T23:00:00+0200</x:v>
      </x:c>
      <x:c r="N131" s="24" t="n">
        <x:v>46268.868252314816</x:v>
      </x:c>
      <x:c r="O131" s="40" t="b">
        <x:v>1</x:v>
      </x:c>
      <x:c r="P131" s="42" t="str">
        <x:v>current_snapshot_diagnostic_only</x:v>
      </x:c>
    </x:row>
    <x:row r="132">
      <x:c r="A132" s="23" t="str">
        <x:v>7872a28b745f4ff4c5e2</x:v>
      </x:c>
      <x:c r="B132" s="23" t="str">
        <x:v>EUROSTAT_TOURISM_NIGHTS</x:v>
      </x:c>
      <x:c r="C132" s="23" t="str">
        <x:v>Eurostat</x:v>
      </x:c>
      <x:c r="D132" s="23" t="str">
        <x:v>Europe</x:v>
      </x:c>
      <x:c r="E132" s="23" t="str">
        <x:v>European Union - 27 countries (from 2020)</x:v>
      </x:c>
      <x:c r="F132" s="23" t="str">
        <x:v>2025-03</x:v>
      </x:c>
      <x:c r="G132" s="23" t="str">
        <x:v>Nights spent at tourist accommodation establishments</x:v>
      </x:c>
      <x:c r="H132" s="23" t="str">
        <x:v>Total</x:v>
      </x:c>
      <x:c r="I132" s="23" t="str">
        <x:v>Hotels; holiday and other short-stay accommodation; camping grounds, recreational vehicle parks and trailer parks</x:v>
      </x:c>
      <x:c r="J132" s="72" t="n">
        <x:v>168147807</x:v>
      </x:c>
      <x:c r="K132" s="23" t="str">
        <x:v>Number</x:v>
      </x:c>
      <x:c r="L132" s="24" t="n">
        <x:v>46268.868252314816</x:v>
      </x:c>
      <x:c r="M132" s="24" t="str">
        <x:v>2026-08-31T23:00:00+0200</x:v>
      </x:c>
      <x:c r="N132" s="24" t="n">
        <x:v>46268.868252314816</x:v>
      </x:c>
      <x:c r="O132" s="40" t="b">
        <x:v>1</x:v>
      </x:c>
      <x:c r="P132" s="42" t="str">
        <x:v>current_snapshot_diagnostic_only</x:v>
      </x:c>
    </x:row>
    <x:row r="133">
      <x:c r="A133" s="23" t="str">
        <x:v>c3d4ea9ae5da555e9031</x:v>
      </x:c>
      <x:c r="B133" s="23" t="str">
        <x:v>EUROSTAT_TOURISM_NIGHTS</x:v>
      </x:c>
      <x:c r="C133" s="23" t="str">
        <x:v>Eurostat</x:v>
      </x:c>
      <x:c r="D133" s="23" t="str">
        <x:v>Europe</x:v>
      </x:c>
      <x:c r="E133" s="23" t="str">
        <x:v>European Union - 27 countries (from 2020)</x:v>
      </x:c>
      <x:c r="F133" s="23" t="str">
        <x:v>2025-04</x:v>
      </x:c>
      <x:c r="G133" s="23" t="str">
        <x:v>Nights spent at tourist accommodation establishments</x:v>
      </x:c>
      <x:c r="H133" s="23" t="str">
        <x:v>Total</x:v>
      </x:c>
      <x:c r="I133" s="23" t="str">
        <x:v>Hotels; holiday and other short-stay accommodation; camping grounds, recreational vehicle parks and trailer parks</x:v>
      </x:c>
      <x:c r="J133" s="72" t="n">
        <x:v>223030944</x:v>
      </x:c>
      <x:c r="K133" s="23" t="str">
        <x:v>Number</x:v>
      </x:c>
      <x:c r="L133" s="24" t="n">
        <x:v>46268.868252314816</x:v>
      </x:c>
      <x:c r="M133" s="24" t="str">
        <x:v>2026-08-31T23:00:00+0200</x:v>
      </x:c>
      <x:c r="N133" s="24" t="n">
        <x:v>46268.868252314816</x:v>
      </x:c>
      <x:c r="O133" s="40" t="b">
        <x:v>1</x:v>
      </x:c>
      <x:c r="P133" s="42" t="str">
        <x:v>current_snapshot_diagnostic_only</x:v>
      </x:c>
    </x:row>
    <x:row r="134">
      <x:c r="A134" s="23" t="str">
        <x:v>26673ff33e4037464b25</x:v>
      </x:c>
      <x:c r="B134" s="23" t="str">
        <x:v>EUROSTAT_TOURISM_NIGHTS</x:v>
      </x:c>
      <x:c r="C134" s="23" t="str">
        <x:v>Eurostat</x:v>
      </x:c>
      <x:c r="D134" s="23" t="str">
        <x:v>Europe</x:v>
      </x:c>
      <x:c r="E134" s="23" t="str">
        <x:v>European Union - 27 countries (from 2020)</x:v>
      </x:c>
      <x:c r="F134" s="23" t="str">
        <x:v>2025-05</x:v>
      </x:c>
      <x:c r="G134" s="23" t="str">
        <x:v>Nights spent at tourist accommodation establishments</x:v>
      </x:c>
      <x:c r="H134" s="23" t="str">
        <x:v>Total</x:v>
      </x:c>
      <x:c r="I134" s="23" t="str">
        <x:v>Hotels; holiday and other short-stay accommodation; camping grounds, recreational vehicle parks and trailer parks</x:v>
      </x:c>
      <x:c r="J134" s="72" t="n">
        <x:v>271500656</x:v>
      </x:c>
      <x:c r="K134" s="23" t="str">
        <x:v>Number</x:v>
      </x:c>
      <x:c r="L134" s="24" t="n">
        <x:v>46268.868252314816</x:v>
      </x:c>
      <x:c r="M134" s="24" t="str">
        <x:v>2026-08-31T23:00:00+0200</x:v>
      </x:c>
      <x:c r="N134" s="24" t="n">
        <x:v>46268.868252314816</x:v>
      </x:c>
      <x:c r="O134" s="40" t="b">
        <x:v>1</x:v>
      </x:c>
      <x:c r="P134" s="42" t="str">
        <x:v>current_snapshot_diagnostic_only</x:v>
      </x:c>
    </x:row>
    <x:row r="135">
      <x:c r="A135" s="23" t="str">
        <x:v>3a1b4bb498e4f246371d</x:v>
      </x:c>
      <x:c r="B135" s="23" t="str">
        <x:v>EUROSTAT_TOURISM_NIGHTS</x:v>
      </x:c>
      <x:c r="C135" s="23" t="str">
        <x:v>Eurostat</x:v>
      </x:c>
      <x:c r="D135" s="23" t="str">
        <x:v>Europe</x:v>
      </x:c>
      <x:c r="E135" s="23" t="str">
        <x:v>European Union - 27 countries (from 2020)</x:v>
      </x:c>
      <x:c r="F135" s="23" t="str">
        <x:v>2025-06</x:v>
      </x:c>
      <x:c r="G135" s="23" t="str">
        <x:v>Nights spent at tourist accommodation establishments</x:v>
      </x:c>
      <x:c r="H135" s="23" t="str">
        <x:v>Total</x:v>
      </x:c>
      <x:c r="I135" s="23" t="str">
        <x:v>Hotels; holiday and other short-stay accommodation; camping grounds, recreational vehicle parks and trailer parks</x:v>
      </x:c>
      <x:c r="J135" s="72" t="n">
        <x:v>345351155</x:v>
      </x:c>
      <x:c r="K135" s="23" t="str">
        <x:v>Number</x:v>
      </x:c>
      <x:c r="L135" s="24" t="n">
        <x:v>46268.868252314816</x:v>
      </x:c>
      <x:c r="M135" s="24" t="str">
        <x:v>2026-08-31T23:00:00+0200</x:v>
      </x:c>
      <x:c r="N135" s="24" t="n">
        <x:v>46268.868252314816</x:v>
      </x:c>
      <x:c r="O135" s="40" t="b">
        <x:v>1</x:v>
      </x:c>
      <x:c r="P135" s="42" t="str">
        <x:v>current_snapshot_diagnostic_only</x:v>
      </x:c>
    </x:row>
    <x:row r="136">
      <x:c r="A136" s="23" t="str">
        <x:v>6e7d3525b4bdc5e51953</x:v>
      </x:c>
      <x:c r="B136" s="23" t="str">
        <x:v>EUROSTAT_TOURISM_NIGHTS</x:v>
      </x:c>
      <x:c r="C136" s="23" t="str">
        <x:v>Eurostat</x:v>
      </x:c>
      <x:c r="D136" s="23" t="str">
        <x:v>Europe</x:v>
      </x:c>
      <x:c r="E136" s="23" t="str">
        <x:v>European Union - 27 countries (from 2020)</x:v>
      </x:c>
      <x:c r="F136" s="23" t="str">
        <x:v>2025-07</x:v>
      </x:c>
      <x:c r="G136" s="23" t="str">
        <x:v>Nights spent at tourist accommodation establishments</x:v>
      </x:c>
      <x:c r="H136" s="23" t="str">
        <x:v>Total</x:v>
      </x:c>
      <x:c r="I136" s="23" t="str">
        <x:v>Hotels; holiday and other short-stay accommodation; camping grounds, recreational vehicle parks and trailer parks</x:v>
      </x:c>
      <x:c r="J136" s="72" t="n">
        <x:v>468706247</x:v>
      </x:c>
      <x:c r="K136" s="23" t="str">
        <x:v>Number</x:v>
      </x:c>
      <x:c r="L136" s="24" t="n">
        <x:v>46268.868252314816</x:v>
      </x:c>
      <x:c r="M136" s="24" t="str">
        <x:v>2026-08-31T23:00:00+0200</x:v>
      </x:c>
      <x:c r="N136" s="24" t="n">
        <x:v>46268.868252314816</x:v>
      </x:c>
      <x:c r="O136" s="40" t="b">
        <x:v>1</x:v>
      </x:c>
      <x:c r="P136" s="42" t="str">
        <x:v>current_snapshot_diagnostic_only</x:v>
      </x:c>
    </x:row>
    <x:row r="137">
      <x:c r="A137" s="23" t="str">
        <x:v>24a70c94885040eddc2e</x:v>
      </x:c>
      <x:c r="B137" s="23" t="str">
        <x:v>EUROSTAT_TOURISM_NIGHTS</x:v>
      </x:c>
      <x:c r="C137" s="23" t="str">
        <x:v>Eurostat</x:v>
      </x:c>
      <x:c r="D137" s="23" t="str">
        <x:v>Europe</x:v>
      </x:c>
      <x:c r="E137" s="23" t="str">
        <x:v>European Union - 27 countries (from 2020)</x:v>
      </x:c>
      <x:c r="F137" s="23" t="str">
        <x:v>2025-08</x:v>
      </x:c>
      <x:c r="G137" s="23" t="str">
        <x:v>Nights spent at tourist accommodation establishments</x:v>
      </x:c>
      <x:c r="H137" s="23" t="str">
        <x:v>Total</x:v>
      </x:c>
      <x:c r="I137" s="23" t="str">
        <x:v>Hotels; holiday and other short-stay accommodation; camping grounds, recreational vehicle parks and trailer parks</x:v>
      </x:c>
      <x:c r="J137" s="72" t="n">
        <x:v>511537058</x:v>
      </x:c>
      <x:c r="K137" s="23" t="str">
        <x:v>Number</x:v>
      </x:c>
      <x:c r="L137" s="24" t="n">
        <x:v>46268.868252314816</x:v>
      </x:c>
      <x:c r="M137" s="24" t="str">
        <x:v>2026-08-31T23:00:00+0200</x:v>
      </x:c>
      <x:c r="N137" s="24" t="n">
        <x:v>46268.868252314816</x:v>
      </x:c>
      <x:c r="O137" s="40" t="b">
        <x:v>1</x:v>
      </x:c>
      <x:c r="P137" s="42" t="str">
        <x:v>current_snapshot_diagnostic_only</x:v>
      </x:c>
    </x:row>
    <x:row r="138">
      <x:c r="A138" s="23" t="str">
        <x:v>2c81974323b4c66f9335</x:v>
      </x:c>
      <x:c r="B138" s="23" t="str">
        <x:v>EUROSTAT_TOURISM_NIGHTS</x:v>
      </x:c>
      <x:c r="C138" s="23" t="str">
        <x:v>Eurostat</x:v>
      </x:c>
      <x:c r="D138" s="23" t="str">
        <x:v>Europe</x:v>
      </x:c>
      <x:c r="E138" s="23" t="str">
        <x:v>European Union - 27 countries (from 2020)</x:v>
      </x:c>
      <x:c r="F138" s="23" t="str">
        <x:v>2025-09</x:v>
      </x:c>
      <x:c r="G138" s="23" t="str">
        <x:v>Nights spent at tourist accommodation establishments</x:v>
      </x:c>
      <x:c r="H138" s="23" t="str">
        <x:v>Total</x:v>
      </x:c>
      <x:c r="I138" s="23" t="str">
        <x:v>Hotels; holiday and other short-stay accommodation; camping grounds, recreational vehicle parks and trailer parks</x:v>
      </x:c>
      <x:c r="J138" s="72" t="n">
        <x:v>314627802</x:v>
      </x:c>
      <x:c r="K138" s="23" t="str">
        <x:v>Number</x:v>
      </x:c>
      <x:c r="L138" s="24" t="n">
        <x:v>46268.868252314816</x:v>
      </x:c>
      <x:c r="M138" s="24" t="str">
        <x:v>2026-08-31T23:00:00+0200</x:v>
      </x:c>
      <x:c r="N138" s="24" t="n">
        <x:v>46268.868252314816</x:v>
      </x:c>
      <x:c r="O138" s="40" t="b">
        <x:v>1</x:v>
      </x:c>
      <x:c r="P138" s="42" t="str">
        <x:v>current_snapshot_diagnostic_only</x:v>
      </x:c>
    </x:row>
    <x:row r="139">
      <x:c r="A139" s="23" t="str">
        <x:v>cabe66b5cf20c4661f92</x:v>
      </x:c>
      <x:c r="B139" s="23" t="str">
        <x:v>EUROSTAT_TOURISM_NIGHTS</x:v>
      </x:c>
      <x:c r="C139" s="23" t="str">
        <x:v>Eurostat</x:v>
      </x:c>
      <x:c r="D139" s="23" t="str">
        <x:v>Europe</x:v>
      </x:c>
      <x:c r="E139" s="23" t="str">
        <x:v>European Union - 27 countries (from 2020)</x:v>
      </x:c>
      <x:c r="F139" s="23" t="str">
        <x:v>2025-10</x:v>
      </x:c>
      <x:c r="G139" s="23" t="str">
        <x:v>Nights spent at tourist accommodation establishments</x:v>
      </x:c>
      <x:c r="H139" s="23" t="str">
        <x:v>Total</x:v>
      </x:c>
      <x:c r="I139" s="23" t="str">
        <x:v>Hotels; holiday and other short-stay accommodation; camping grounds, recreational vehicle parks and trailer parks</x:v>
      </x:c>
      <x:c r="J139" s="72" t="n">
        <x:v>238641087</x:v>
      </x:c>
      <x:c r="K139" s="23" t="str">
        <x:v>Number</x:v>
      </x:c>
      <x:c r="L139" s="24" t="n">
        <x:v>46268.868252314816</x:v>
      </x:c>
      <x:c r="M139" s="24" t="str">
        <x:v>2026-08-31T23:00:00+0200</x:v>
      </x:c>
      <x:c r="N139" s="24" t="n">
        <x:v>46268.868252314816</x:v>
      </x:c>
      <x:c r="O139" s="40" t="b">
        <x:v>1</x:v>
      </x:c>
      <x:c r="P139" s="42" t="str">
        <x:v>current_snapshot_diagnostic_only</x:v>
      </x:c>
    </x:row>
    <x:row r="140">
      <x:c r="A140" s="23" t="str">
        <x:v>e1b3ea03019b6996e3c7</x:v>
      </x:c>
      <x:c r="B140" s="23" t="str">
        <x:v>EUROSTAT_TOURISM_NIGHTS</x:v>
      </x:c>
      <x:c r="C140" s="23" t="str">
        <x:v>Eurostat</x:v>
      </x:c>
      <x:c r="D140" s="23" t="str">
        <x:v>Europe</x:v>
      </x:c>
      <x:c r="E140" s="23" t="str">
        <x:v>European Union - 27 countries (from 2020)</x:v>
      </x:c>
      <x:c r="F140" s="23" t="str">
        <x:v>2025-11</x:v>
      </x:c>
      <x:c r="G140" s="23" t="str">
        <x:v>Nights spent at tourist accommodation establishments</x:v>
      </x:c>
      <x:c r="H140" s="23" t="str">
        <x:v>Total</x:v>
      </x:c>
      <x:c r="I140" s="23" t="str">
        <x:v>Hotels; holiday and other short-stay accommodation; camping grounds, recreational vehicle parks and trailer parks</x:v>
      </x:c>
      <x:c r="J140" s="72" t="n">
        <x:v>148514899</x:v>
      </x:c>
      <x:c r="K140" s="23" t="str">
        <x:v>Number</x:v>
      </x:c>
      <x:c r="L140" s="24" t="n">
        <x:v>46268.868252314816</x:v>
      </x:c>
      <x:c r="M140" s="24" t="str">
        <x:v>2026-08-31T23:00:00+0200</x:v>
      </x:c>
      <x:c r="N140" s="24" t="n">
        <x:v>46268.868252314816</x:v>
      </x:c>
      <x:c r="O140" s="40" t="b">
        <x:v>1</x:v>
      </x:c>
      <x:c r="P140" s="42" t="str">
        <x:v>current_snapshot_diagnostic_only</x:v>
      </x:c>
    </x:row>
    <x:row r="141">
      <x:c r="A141" s="23" t="str">
        <x:v>7c4b15e2dff9cb2576da</x:v>
      </x:c>
      <x:c r="B141" s="23" t="str">
        <x:v>EUROSTAT_TOURISM_NIGHTS</x:v>
      </x:c>
      <x:c r="C141" s="23" t="str">
        <x:v>Eurostat</x:v>
      </x:c>
      <x:c r="D141" s="23" t="str">
        <x:v>Europe</x:v>
      </x:c>
      <x:c r="E141" s="23" t="str">
        <x:v>European Union - 27 countries (from 2020)</x:v>
      </x:c>
      <x:c r="F141" s="23" t="str">
        <x:v>2025-12</x:v>
      </x:c>
      <x:c r="G141" s="23" t="str">
        <x:v>Nights spent at tourist accommodation establishments</x:v>
      </x:c>
      <x:c r="H141" s="23" t="str">
        <x:v>Total</x:v>
      </x:c>
      <x:c r="I141" s="23" t="str">
        <x:v>Hotels; holiday and other short-stay accommodation; camping grounds, recreational vehicle parks and trailer parks</x:v>
      </x:c>
      <x:c r="J141" s="72" t="n">
        <x:v>162603157</x:v>
      </x:c>
      <x:c r="K141" s="23" t="str">
        <x:v>Number</x:v>
      </x:c>
      <x:c r="L141" s="24" t="n">
        <x:v>46268.868252314816</x:v>
      </x:c>
      <x:c r="M141" s="24" t="str">
        <x:v>2026-08-31T23:00:00+0200</x:v>
      </x:c>
      <x:c r="N141" s="24" t="n">
        <x:v>46268.868252314816</x:v>
      </x:c>
      <x:c r="O141" s="40" t="b">
        <x:v>1</x:v>
      </x:c>
      <x:c r="P141" s="42" t="str">
        <x:v>current_snapshot_diagnostic_only</x:v>
      </x:c>
    </x:row>
    <x:row r="142">
      <x:c r="A142" s="23" t="str">
        <x:v>35babccb743d1fe915ab</x:v>
      </x:c>
      <x:c r="B142" s="23" t="str">
        <x:v>EUROSTAT_TOURISM_NIGHTS</x:v>
      </x:c>
      <x:c r="C142" s="23" t="str">
        <x:v>Eurostat</x:v>
      </x:c>
      <x:c r="D142" s="23" t="str">
        <x:v>Europe</x:v>
      </x:c>
      <x:c r="E142" s="23" t="str">
        <x:v>European Union - 27 countries (from 2020)</x:v>
      </x:c>
      <x:c r="F142" s="23" t="str">
        <x:v>2026-01</x:v>
      </x:c>
      <x:c r="G142" s="23" t="str">
        <x:v>Nights spent at tourist accommodation establishments</x:v>
      </x:c>
      <x:c r="H142" s="23" t="str">
        <x:v>Total</x:v>
      </x:c>
      <x:c r="I142" s="23" t="str">
        <x:v>Hotels; holiday and other short-stay accommodation; camping grounds, recreational vehicle parks and trailer parks</x:v>
      </x:c>
      <x:c r="J142" s="72" t="n">
        <x:v>143493958</x:v>
      </x:c>
      <x:c r="K142" s="23" t="str">
        <x:v>Number</x:v>
      </x:c>
      <x:c r="L142" s="24" t="n">
        <x:v>46268.868252314816</x:v>
      </x:c>
      <x:c r="M142" s="24" t="str">
        <x:v>2026-08-31T23:00:00+0200</x:v>
      </x:c>
      <x:c r="N142" s="24" t="n">
        <x:v>46268.868252314816</x:v>
      </x:c>
      <x:c r="O142" s="40" t="b">
        <x:v>1</x:v>
      </x:c>
      <x:c r="P142" s="42" t="str">
        <x:v>current_snapshot_diagnostic_only</x:v>
      </x:c>
    </x:row>
    <x:row r="143">
      <x:c r="A143" s="23" t="str">
        <x:v>7d2c149afdaf033b61ea</x:v>
      </x:c>
      <x:c r="B143" s="23" t="str">
        <x:v>EUROSTAT_TOURISM_NIGHTS</x:v>
      </x:c>
      <x:c r="C143" s="23" t="str">
        <x:v>Eurostat</x:v>
      </x:c>
      <x:c r="D143" s="23" t="str">
        <x:v>Europe</x:v>
      </x:c>
      <x:c r="E143" s="23" t="str">
        <x:v>European Union - 27 countries (from 2020)</x:v>
      </x:c>
      <x:c r="F143" s="23" t="str">
        <x:v>2026-02</x:v>
      </x:c>
      <x:c r="G143" s="23" t="str">
        <x:v>Nights spent at tourist accommodation establishments</x:v>
      </x:c>
      <x:c r="H143" s="23" t="str">
        <x:v>Total</x:v>
      </x:c>
      <x:c r="I143" s="23" t="str">
        <x:v>Hotels; holiday and other short-stay accommodation; camping grounds, recreational vehicle parks and trailer parks</x:v>
      </x:c>
      <x:c r="J143" s="72" t="n">
        <x:v>154544130</x:v>
      </x:c>
      <x:c r="K143" s="23" t="str">
        <x:v>Number</x:v>
      </x:c>
      <x:c r="L143" s="24" t="n">
        <x:v>46268.868252314816</x:v>
      </x:c>
      <x:c r="M143" s="24" t="str">
        <x:v>2026-08-31T23:00:00+0200</x:v>
      </x:c>
      <x:c r="N143" s="24" t="n">
        <x:v>46268.868252314816</x:v>
      </x:c>
      <x:c r="O143" s="40" t="b">
        <x:v>1</x:v>
      </x:c>
      <x:c r="P143" s="42" t="str">
        <x:v>current_snapshot_diagnostic_only</x:v>
      </x:c>
    </x:row>
    <x:row r="144">
      <x:c r="A144" s="23" t="str">
        <x:v>d3a63127752394c53c20</x:v>
      </x:c>
      <x:c r="B144" s="23" t="str">
        <x:v>EUROSTAT_TOURISM_NIGHTS</x:v>
      </x:c>
      <x:c r="C144" s="23" t="str">
        <x:v>Eurostat</x:v>
      </x:c>
      <x:c r="D144" s="23" t="str">
        <x:v>Europe</x:v>
      </x:c>
      <x:c r="E144" s="23" t="str">
        <x:v>European Union - 27 countries (from 2020)</x:v>
      </x:c>
      <x:c r="F144" s="23" t="str">
        <x:v>2026-03</x:v>
      </x:c>
      <x:c r="G144" s="23" t="str">
        <x:v>Nights spent at tourist accommodation establishments</x:v>
      </x:c>
      <x:c r="H144" s="23" t="str">
        <x:v>Total</x:v>
      </x:c>
      <x:c r="I144" s="23" t="str">
        <x:v>Hotels; holiday and other short-stay accommodation; camping grounds, recreational vehicle parks and trailer parks</x:v>
      </x:c>
      <x:c r="J144" s="72" t="n">
        <x:v>173228759</x:v>
      </x:c>
      <x:c r="K144" s="23" t="str">
        <x:v>Number</x:v>
      </x:c>
      <x:c r="L144" s="24" t="n">
        <x:v>46268.868252314816</x:v>
      </x:c>
      <x:c r="M144" s="24" t="str">
        <x:v>2026-08-31T23:00:00+0200</x:v>
      </x:c>
      <x:c r="N144" s="24" t="n">
        <x:v>46268.868252314816</x:v>
      </x:c>
      <x:c r="O144" s="40" t="b">
        <x:v>1</x:v>
      </x:c>
      <x:c r="P144" s="42" t="str">
        <x:v>current_snapshot_diagnostic_only</x:v>
      </x:c>
    </x:row>
    <x:row r="145">
      <x:c r="A145" s="23" t="str">
        <x:v>4cb6b4bcc12e7dbcd1d4</x:v>
      </x:c>
      <x:c r="B145" s="23" t="str">
        <x:v>EUROSTAT_TOURISM_NIGHTS</x:v>
      </x:c>
      <x:c r="C145" s="23" t="str">
        <x:v>Eurostat</x:v>
      </x:c>
      <x:c r="D145" s="23" t="str">
        <x:v>Europe</x:v>
      </x:c>
      <x:c r="E145" s="23" t="str">
        <x:v>European Union - 27 countries (from 2020)</x:v>
      </x:c>
      <x:c r="F145" s="23" t="str">
        <x:v>2026-04</x:v>
      </x:c>
      <x:c r="G145" s="23" t="str">
        <x:v>Nights spent at tourist accommodation establishments</x:v>
      </x:c>
      <x:c r="H145" s="23" t="str">
        <x:v>Total</x:v>
      </x:c>
      <x:c r="I145" s="23" t="str">
        <x:v>Hotels; holiday and other short-stay accommodation; camping grounds, recreational vehicle parks and trailer parks</x:v>
      </x:c>
      <x:c r="J145" s="72" t="n">
        <x:v>223862164</x:v>
      </x:c>
      <x:c r="K145" s="23" t="str">
        <x:v>Number</x:v>
      </x:c>
      <x:c r="L145" s="24" t="n">
        <x:v>46268.868252314816</x:v>
      </x:c>
      <x:c r="M145" s="24" t="str">
        <x:v>2026-08-31T23:00:00+0200</x:v>
      </x:c>
      <x:c r="N145" s="24" t="n">
        <x:v>46268.868252314816</x:v>
      </x:c>
      <x:c r="O145" s="40" t="b">
        <x:v>1</x:v>
      </x:c>
      <x:c r="P145" s="42" t="str">
        <x:v>current_snapshot_diagnostic_only</x:v>
      </x:c>
    </x:row>
    <x:row r="146">
      <x:c r="A146" s="23" t="str">
        <x:v>0300b8711f0fb7ac6a68</x:v>
      </x:c>
      <x:c r="B146" s="23" t="str">
        <x:v>EUROSTAT_TOURISM_NIGHTS</x:v>
      </x:c>
      <x:c r="C146" s="23" t="str">
        <x:v>Eurostat</x:v>
      </x:c>
      <x:c r="D146" s="23" t="str">
        <x:v>Europe</x:v>
      </x:c>
      <x:c r="E146" s="23" t="str">
        <x:v>European Union - 27 countries (from 2020)</x:v>
      </x:c>
      <x:c r="F146" s="23" t="str">
        <x:v>2026-05</x:v>
      </x:c>
      <x:c r="G146" s="23" t="str">
        <x:v>Nights spent at tourist accommodation establishments</x:v>
      </x:c>
      <x:c r="H146" s="23" t="str">
        <x:v>Total</x:v>
      </x:c>
      <x:c r="I146" s="23" t="str">
        <x:v>Hotels; holiday and other short-stay accommodation; camping grounds, recreational vehicle parks and trailer parks</x:v>
      </x:c>
      <x:c r="J146" s="72" t="n">
        <x:v>287120437</x:v>
      </x:c>
      <x:c r="K146" s="23" t="str">
        <x:v>Number</x:v>
      </x:c>
      <x:c r="L146" s="24" t="n">
        <x:v>46268.868252314816</x:v>
      </x:c>
      <x:c r="M146" s="24" t="str">
        <x:v>2026-08-31T23:00:00+0200</x:v>
      </x:c>
      <x:c r="N146" s="24" t="n">
        <x:v>46268.868252314816</x:v>
      </x:c>
      <x:c r="O146" s="40" t="b">
        <x:v>1</x:v>
      </x:c>
      <x:c r="P146" s="42" t="str">
        <x:v>current_snapshot_diagnostic_only</x:v>
      </x:c>
    </x:row>
    <x:row r="147">
      <x:c r="A147" s="23" t="str">
        <x:v>dbc98a6f525cc55dade1</x:v>
      </x:c>
      <x:c r="B147" s="23" t="str">
        <x:v>EUROSTAT_TOURISM_NIGHTS</x:v>
      </x:c>
      <x:c r="C147" s="23" t="str">
        <x:v>Eurostat</x:v>
      </x:c>
      <x:c r="D147" s="23" t="str">
        <x:v>Europe</x:v>
      </x:c>
      <x:c r="E147" s="23" t="str">
        <x:v>European Union - 27 countries (from 2020)</x:v>
      </x:c>
      <x:c r="F147" s="23" t="str">
        <x:v>2026-06</x:v>
      </x:c>
      <x:c r="G147" s="23" t="str">
        <x:v>Nights spent at tourist accommodation establishments</x:v>
      </x:c>
      <x:c r="H147" s="23" t="str">
        <x:v>Total</x:v>
      </x:c>
      <x:c r="I147" s="23" t="str">
        <x:v>Hotels; holiday and other short-stay accommodation; camping grounds, recreational vehicle parks and trailer parks</x:v>
      </x:c>
      <x:c r="J147" s="72" t="n">
        <x:v>338846238</x:v>
      </x:c>
      <x:c r="K147" s="23" t="str">
        <x:v>Number</x:v>
      </x:c>
      <x:c r="L147" s="24" t="n">
        <x:v>46268.868252314816</x:v>
      </x:c>
      <x:c r="M147" s="24" t="str">
        <x:v>2026-08-31T23:00:00+0200</x:v>
      </x:c>
      <x:c r="N147" s="24" t="n">
        <x:v>46268.868252314816</x:v>
      </x:c>
      <x:c r="O147" s="40" t="b">
        <x:v>1</x:v>
      </x:c>
      <x:c r="P147" s="42" t="str">
        <x:v>current_snapshot_diagnostic_only</x:v>
      </x:c>
    </x:row>
    <x:row r="148">
      <x:c r="A148" s="23" t="str">
        <x:v>db20a763dfc497583282</x:v>
      </x:c>
      <x:c r="B148" s="23" t="str">
        <x:v>SFO_AIR_PASSENGERS</x:v>
      </x:c>
      <x:c r="C148" s="23" t="str">
        <x:v>City and County of San Francisco</x:v>
      </x:c>
      <x:c r="D148" s="23" t="str">
        <x:v>United States</x:v>
      </x:c>
      <x:c r="E148" s="23" t="str">
        <x:v>San Francisco International Airport</x:v>
      </x:c>
      <x:c r="F148" s="23" t="str">
        <x:v>2021-01</x:v>
      </x:c>
      <x:c r="G148" s="23" t="str">
        <x:v>Deplaned</x:v>
      </x:c>
      <x:c r="H148" s="23" t="str">
        <x:v>Domestic</x:v>
      </x:c>
      <x:c r="I148" s="23" t="str">
        <x:v>Deplaned</x:v>
      </x:c>
      <x:c r="J148" s="72" t="n">
        <x:v>317864</x:v>
      </x:c>
      <x:c r="K148" s="23" t="str">
        <x:v>passengers</x:v>
      </x:c>
      <x:c r="L148" s="24" t="str"/>
      <x:c r="M148" s="24" t="n">
        <x:v>46256.6280787037</x:v>
      </x:c>
      <x:c r="N148" s="24" t="n">
        <x:v>46268.86863425926</x:v>
      </x:c>
      <x:c r="O148" s="40" t="b">
        <x:v>1</x:v>
      </x:c>
      <x:c r="P148" s="42" t="str">
        <x:v>current_snapshot_diagnostic_only</x:v>
      </x:c>
    </x:row>
    <x:row r="149">
      <x:c r="A149" s="23" t="str">
        <x:v>17af3b673941ee633632</x:v>
      </x:c>
      <x:c r="B149" s="23" t="str">
        <x:v>SFO_AIR_PASSENGERS</x:v>
      </x:c>
      <x:c r="C149" s="23" t="str">
        <x:v>City and County of San Francisco</x:v>
      </x:c>
      <x:c r="D149" s="23" t="str">
        <x:v>United States</x:v>
      </x:c>
      <x:c r="E149" s="23" t="str">
        <x:v>San Francisco International Airport</x:v>
      </x:c>
      <x:c r="F149" s="23" t="str">
        <x:v>2021-01</x:v>
      </x:c>
      <x:c r="G149" s="23" t="str">
        <x:v>Enplaned</x:v>
      </x:c>
      <x:c r="H149" s="23" t="str">
        <x:v>Domestic</x:v>
      </x:c>
      <x:c r="I149" s="23" t="str">
        <x:v>Enplaned</x:v>
      </x:c>
      <x:c r="J149" s="72" t="n">
        <x:v>310903</x:v>
      </x:c>
      <x:c r="K149" s="23" t="str">
        <x:v>passengers</x:v>
      </x:c>
      <x:c r="L149" s="24" t="str"/>
      <x:c r="M149" s="24" t="n">
        <x:v>46256.6280787037</x:v>
      </x:c>
      <x:c r="N149" s="24" t="n">
        <x:v>46268.86863425926</x:v>
      </x:c>
      <x:c r="O149" s="40" t="b">
        <x:v>1</x:v>
      </x:c>
      <x:c r="P149" s="42" t="str">
        <x:v>current_snapshot_diagnostic_only</x:v>
      </x:c>
    </x:row>
    <x:row r="150">
      <x:c r="A150" s="23" t="str">
        <x:v>92085a38c43ecd557eb5</x:v>
      </x:c>
      <x:c r="B150" s="23" t="str">
        <x:v>SFO_AIR_PASSENGERS</x:v>
      </x:c>
      <x:c r="C150" s="23" t="str">
        <x:v>City and County of San Francisco</x:v>
      </x:c>
      <x:c r="D150" s="23" t="str">
        <x:v>United States</x:v>
      </x:c>
      <x:c r="E150" s="23" t="str">
        <x:v>San Francisco International Airport</x:v>
      </x:c>
      <x:c r="F150" s="23" t="str">
        <x:v>2021-01</x:v>
      </x:c>
      <x:c r="G150" s="23" t="str">
        <x:v>Deplaned</x:v>
      </x:c>
      <x:c r="H150" s="23" t="str">
        <x:v>International</x:v>
      </x:c>
      <x:c r="I150" s="23" t="str">
        <x:v>Deplaned</x:v>
      </x:c>
      <x:c r="J150" s="72" t="n">
        <x:v>82924</x:v>
      </x:c>
      <x:c r="K150" s="23" t="str">
        <x:v>passengers</x:v>
      </x:c>
      <x:c r="L150" s="24" t="str"/>
      <x:c r="M150" s="24" t="n">
        <x:v>46256.6280787037</x:v>
      </x:c>
      <x:c r="N150" s="24" t="n">
        <x:v>46268.86863425926</x:v>
      </x:c>
      <x:c r="O150" s="40" t="b">
        <x:v>1</x:v>
      </x:c>
      <x:c r="P150" s="42" t="str">
        <x:v>current_snapshot_diagnostic_only</x:v>
      </x:c>
    </x:row>
    <x:row r="151">
      <x:c r="A151" s="23" t="str">
        <x:v>f84865cc679558135ed7</x:v>
      </x:c>
      <x:c r="B151" s="23" t="str">
        <x:v>SFO_AIR_PASSENGERS</x:v>
      </x:c>
      <x:c r="C151" s="23" t="str">
        <x:v>City and County of San Francisco</x:v>
      </x:c>
      <x:c r="D151" s="23" t="str">
        <x:v>United States</x:v>
      </x:c>
      <x:c r="E151" s="23" t="str">
        <x:v>San Francisco International Airport</x:v>
      </x:c>
      <x:c r="F151" s="23" t="str">
        <x:v>2021-01</x:v>
      </x:c>
      <x:c r="G151" s="23" t="str">
        <x:v>Enplaned</x:v>
      </x:c>
      <x:c r="H151" s="23" t="str">
        <x:v>International</x:v>
      </x:c>
      <x:c r="I151" s="23" t="str">
        <x:v>Enplaned</x:v>
      </x:c>
      <x:c r="J151" s="72" t="n">
        <x:v>58217</x:v>
      </x:c>
      <x:c r="K151" s="23" t="str">
        <x:v>passengers</x:v>
      </x:c>
      <x:c r="L151" s="24" t="str"/>
      <x:c r="M151" s="24" t="n">
        <x:v>46256.6280787037</x:v>
      </x:c>
      <x:c r="N151" s="24" t="n">
        <x:v>46268.86863425926</x:v>
      </x:c>
      <x:c r="O151" s="40" t="b">
        <x:v>1</x:v>
      </x:c>
      <x:c r="P151" s="42" t="str">
        <x:v>current_snapshot_diagnostic_only</x:v>
      </x:c>
    </x:row>
    <x:row r="152">
      <x:c r="A152" s="23" t="str">
        <x:v>b049130c9775ed547a02</x:v>
      </x:c>
      <x:c r="B152" s="23" t="str">
        <x:v>SFO_AIR_PASSENGERS</x:v>
      </x:c>
      <x:c r="C152" s="23" t="str">
        <x:v>City and County of San Francisco</x:v>
      </x:c>
      <x:c r="D152" s="23" t="str">
        <x:v>United States</x:v>
      </x:c>
      <x:c r="E152" s="23" t="str">
        <x:v>San Francisco International Airport</x:v>
      </x:c>
      <x:c r="F152" s="23" t="str">
        <x:v>2021-02</x:v>
      </x:c>
      <x:c r="G152" s="23" t="str">
        <x:v>Deplaned</x:v>
      </x:c>
      <x:c r="H152" s="23" t="str">
        <x:v>Domestic</x:v>
      </x:c>
      <x:c r="I152" s="23" t="str">
        <x:v>Deplaned</x:v>
      </x:c>
      <x:c r="J152" s="72" t="n">
        <x:v>319027</x:v>
      </x:c>
      <x:c r="K152" s="23" t="str">
        <x:v>passengers</x:v>
      </x:c>
      <x:c r="L152" s="24" t="str"/>
      <x:c r="M152" s="24" t="n">
        <x:v>46256.6280787037</x:v>
      </x:c>
      <x:c r="N152" s="24" t="n">
        <x:v>46268.86863425926</x:v>
      </x:c>
      <x:c r="O152" s="40" t="b">
        <x:v>1</x:v>
      </x:c>
      <x:c r="P152" s="42" t="str">
        <x:v>current_snapshot_diagnostic_only</x:v>
      </x:c>
    </x:row>
    <x:row r="153">
      <x:c r="A153" s="23" t="str">
        <x:v>ef5a8b7ca42be9c6cbf9</x:v>
      </x:c>
      <x:c r="B153" s="23" t="str">
        <x:v>SFO_AIR_PASSENGERS</x:v>
      </x:c>
      <x:c r="C153" s="23" t="str">
        <x:v>City and County of San Francisco</x:v>
      </x:c>
      <x:c r="D153" s="23" t="str">
        <x:v>United States</x:v>
      </x:c>
      <x:c r="E153" s="23" t="str">
        <x:v>San Francisco International Airport</x:v>
      </x:c>
      <x:c r="F153" s="23" t="str">
        <x:v>2021-02</x:v>
      </x:c>
      <x:c r="G153" s="23" t="str">
        <x:v>Enplaned</x:v>
      </x:c>
      <x:c r="H153" s="23" t="str">
        <x:v>Domestic</x:v>
      </x:c>
      <x:c r="I153" s="23" t="str">
        <x:v>Enplaned</x:v>
      </x:c>
      <x:c r="J153" s="72" t="n">
        <x:v>323763</x:v>
      </x:c>
      <x:c r="K153" s="23" t="str">
        <x:v>passengers</x:v>
      </x:c>
      <x:c r="L153" s="24" t="str"/>
      <x:c r="M153" s="24" t="n">
        <x:v>46256.6280787037</x:v>
      </x:c>
      <x:c r="N153" s="24" t="n">
        <x:v>46268.86863425926</x:v>
      </x:c>
      <x:c r="O153" s="40" t="b">
        <x:v>1</x:v>
      </x:c>
      <x:c r="P153" s="42" t="str">
        <x:v>current_snapshot_diagnostic_only</x:v>
      </x:c>
    </x:row>
    <x:row r="154">
      <x:c r="A154" s="23" t="str">
        <x:v>ba9fc50a16fe90ef5d02</x:v>
      </x:c>
      <x:c r="B154" s="23" t="str">
        <x:v>SFO_AIR_PASSENGERS</x:v>
      </x:c>
      <x:c r="C154" s="23" t="str">
        <x:v>City and County of San Francisco</x:v>
      </x:c>
      <x:c r="D154" s="23" t="str">
        <x:v>United States</x:v>
      </x:c>
      <x:c r="E154" s="23" t="str">
        <x:v>San Francisco International Airport</x:v>
      </x:c>
      <x:c r="F154" s="23" t="str">
        <x:v>2021-02</x:v>
      </x:c>
      <x:c r="G154" s="23" t="str">
        <x:v>Thru / Transit</x:v>
      </x:c>
      <x:c r="H154" s="23" t="str">
        <x:v>Domestic</x:v>
      </x:c>
      <x:c r="I154" s="23" t="str">
        <x:v>Thru / Transit</x:v>
      </x:c>
      <x:c r="J154" s="72" t="n">
        <x:v>121</x:v>
      </x:c>
      <x:c r="K154" s="23" t="str">
        <x:v>passengers</x:v>
      </x:c>
      <x:c r="L154" s="24" t="str"/>
      <x:c r="M154" s="24" t="n">
        <x:v>46256.6280787037</x:v>
      </x:c>
      <x:c r="N154" s="24" t="n">
        <x:v>46268.86863425926</x:v>
      </x:c>
      <x:c r="O154" s="40" t="b">
        <x:v>0</x:v>
      </x:c>
      <x:c r="P154" s="42" t="str">
        <x:v>current_snapshot_diagnostic_only</x:v>
      </x:c>
    </x:row>
    <x:row r="155">
      <x:c r="A155" s="23" t="str">
        <x:v>579061fb2679670b08de</x:v>
      </x:c>
      <x:c r="B155" s="23" t="str">
        <x:v>SFO_AIR_PASSENGERS</x:v>
      </x:c>
      <x:c r="C155" s="23" t="str">
        <x:v>City and County of San Francisco</x:v>
      </x:c>
      <x:c r="D155" s="23" t="str">
        <x:v>United States</x:v>
      </x:c>
      <x:c r="E155" s="23" t="str">
        <x:v>San Francisco International Airport</x:v>
      </x:c>
      <x:c r="F155" s="23" t="str">
        <x:v>2021-02</x:v>
      </x:c>
      <x:c r="G155" s="23" t="str">
        <x:v>Deplaned</x:v>
      </x:c>
      <x:c r="H155" s="23" t="str">
        <x:v>International</x:v>
      </x:c>
      <x:c r="I155" s="23" t="str">
        <x:v>Deplaned</x:v>
      </x:c>
      <x:c r="J155" s="72" t="n">
        <x:v>48541</x:v>
      </x:c>
      <x:c r="K155" s="23" t="str">
        <x:v>passengers</x:v>
      </x:c>
      <x:c r="L155" s="24" t="str"/>
      <x:c r="M155" s="24" t="n">
        <x:v>46256.6280787037</x:v>
      </x:c>
      <x:c r="N155" s="24" t="n">
        <x:v>46268.86863425926</x:v>
      </x:c>
      <x:c r="O155" s="40" t="b">
        <x:v>1</x:v>
      </x:c>
      <x:c r="P155" s="42" t="str">
        <x:v>current_snapshot_diagnostic_only</x:v>
      </x:c>
    </x:row>
    <x:row r="156">
      <x:c r="A156" s="23" t="str">
        <x:v>1371a14d7d2bd24cbd66</x:v>
      </x:c>
      <x:c r="B156" s="23" t="str">
        <x:v>SFO_AIR_PASSENGERS</x:v>
      </x:c>
      <x:c r="C156" s="23" t="str">
        <x:v>City and County of San Francisco</x:v>
      </x:c>
      <x:c r="D156" s="23" t="str">
        <x:v>United States</x:v>
      </x:c>
      <x:c r="E156" s="23" t="str">
        <x:v>San Francisco International Airport</x:v>
      </x:c>
      <x:c r="F156" s="23" t="str">
        <x:v>2021-02</x:v>
      </x:c>
      <x:c r="G156" s="23" t="str">
        <x:v>Enplaned</x:v>
      </x:c>
      <x:c r="H156" s="23" t="str">
        <x:v>International</x:v>
      </x:c>
      <x:c r="I156" s="23" t="str">
        <x:v>Enplaned</x:v>
      </x:c>
      <x:c r="J156" s="72" t="n">
        <x:v>44872</x:v>
      </x:c>
      <x:c r="K156" s="23" t="str">
        <x:v>passengers</x:v>
      </x:c>
      <x:c r="L156" s="24" t="str"/>
      <x:c r="M156" s="24" t="n">
        <x:v>46256.6280787037</x:v>
      </x:c>
      <x:c r="N156" s="24" t="n">
        <x:v>46268.86863425926</x:v>
      </x:c>
      <x:c r="O156" s="40" t="b">
        <x:v>1</x:v>
      </x:c>
      <x:c r="P156" s="42" t="str">
        <x:v>current_snapshot_diagnostic_only</x:v>
      </x:c>
    </x:row>
    <x:row r="157">
      <x:c r="A157" s="23" t="str">
        <x:v>4c16e6a5013d596b8917</x:v>
      </x:c>
      <x:c r="B157" s="23" t="str">
        <x:v>SFO_AIR_PASSENGERS</x:v>
      </x:c>
      <x:c r="C157" s="23" t="str">
        <x:v>City and County of San Francisco</x:v>
      </x:c>
      <x:c r="D157" s="23" t="str">
        <x:v>United States</x:v>
      </x:c>
      <x:c r="E157" s="23" t="str">
        <x:v>San Francisco International Airport</x:v>
      </x:c>
      <x:c r="F157" s="23" t="str">
        <x:v>2021-03</x:v>
      </x:c>
      <x:c r="G157" s="23" t="str">
        <x:v>Deplaned</x:v>
      </x:c>
      <x:c r="H157" s="23" t="str">
        <x:v>Domestic</x:v>
      </x:c>
      <x:c r="I157" s="23" t="str">
        <x:v>Deplaned</x:v>
      </x:c>
      <x:c r="J157" s="72" t="n">
        <x:v>510330</x:v>
      </x:c>
      <x:c r="K157" s="23" t="str">
        <x:v>passengers</x:v>
      </x:c>
      <x:c r="L157" s="24" t="str"/>
      <x:c r="M157" s="24" t="n">
        <x:v>46256.6280787037</x:v>
      </x:c>
      <x:c r="N157" s="24" t="n">
        <x:v>46268.86863425926</x:v>
      </x:c>
      <x:c r="O157" s="40" t="b">
        <x:v>1</x:v>
      </x:c>
      <x:c r="P157" s="42" t="str">
        <x:v>current_snapshot_diagnostic_only</x:v>
      </x:c>
    </x:row>
    <x:row r="158">
      <x:c r="A158" s="23" t="str">
        <x:v>43b3738dd288b04d8af2</x:v>
      </x:c>
      <x:c r="B158" s="23" t="str">
        <x:v>SFO_AIR_PASSENGERS</x:v>
      </x:c>
      <x:c r="C158" s="23" t="str">
        <x:v>City and County of San Francisco</x:v>
      </x:c>
      <x:c r="D158" s="23" t="str">
        <x:v>United States</x:v>
      </x:c>
      <x:c r="E158" s="23" t="str">
        <x:v>San Francisco International Airport</x:v>
      </x:c>
      <x:c r="F158" s="23" t="str">
        <x:v>2021-03</x:v>
      </x:c>
      <x:c r="G158" s="23" t="str">
        <x:v>Enplaned</x:v>
      </x:c>
      <x:c r="H158" s="23" t="str">
        <x:v>Domestic</x:v>
      </x:c>
      <x:c r="I158" s="23" t="str">
        <x:v>Enplaned</x:v>
      </x:c>
      <x:c r="J158" s="72" t="n">
        <x:v>519436</x:v>
      </x:c>
      <x:c r="K158" s="23" t="str">
        <x:v>passengers</x:v>
      </x:c>
      <x:c r="L158" s="24" t="str"/>
      <x:c r="M158" s="24" t="n">
        <x:v>46256.6280787037</x:v>
      </x:c>
      <x:c r="N158" s="24" t="n">
        <x:v>46268.86863425926</x:v>
      </x:c>
      <x:c r="O158" s="40" t="b">
        <x:v>1</x:v>
      </x:c>
      <x:c r="P158" s="42" t="str">
        <x:v>current_snapshot_diagnostic_only</x:v>
      </x:c>
    </x:row>
    <x:row r="159">
      <x:c r="A159" s="23" t="str">
        <x:v>797d9525228ea3afed3a</x:v>
      </x:c>
      <x:c r="B159" s="23" t="str">
        <x:v>SFO_AIR_PASSENGERS</x:v>
      </x:c>
      <x:c r="C159" s="23" t="str">
        <x:v>City and County of San Francisco</x:v>
      </x:c>
      <x:c r="D159" s="23" t="str">
        <x:v>United States</x:v>
      </x:c>
      <x:c r="E159" s="23" t="str">
        <x:v>San Francisco International Airport</x:v>
      </x:c>
      <x:c r="F159" s="23" t="str">
        <x:v>2021-03</x:v>
      </x:c>
      <x:c r="G159" s="23" t="str">
        <x:v>Thru / Transit</x:v>
      </x:c>
      <x:c r="H159" s="23" t="str">
        <x:v>Domestic</x:v>
      </x:c>
      <x:c r="I159" s="23" t="str">
        <x:v>Thru / Transit</x:v>
      </x:c>
      <x:c r="J159" s="72" t="n">
        <x:v>176</x:v>
      </x:c>
      <x:c r="K159" s="23" t="str">
        <x:v>passengers</x:v>
      </x:c>
      <x:c r="L159" s="24" t="str"/>
      <x:c r="M159" s="24" t="n">
        <x:v>46256.6280787037</x:v>
      </x:c>
      <x:c r="N159" s="24" t="n">
        <x:v>46268.86863425926</x:v>
      </x:c>
      <x:c r="O159" s="40" t="b">
        <x:v>0</x:v>
      </x:c>
      <x:c r="P159" s="42" t="str">
        <x:v>current_snapshot_diagnostic_only</x:v>
      </x:c>
    </x:row>
    <x:row r="160">
      <x:c r="A160" s="23" t="str">
        <x:v>1c3e6904f7a7978f6dbc</x:v>
      </x:c>
      <x:c r="B160" s="23" t="str">
        <x:v>SFO_AIR_PASSENGERS</x:v>
      </x:c>
      <x:c r="C160" s="23" t="str">
        <x:v>City and County of San Francisco</x:v>
      </x:c>
      <x:c r="D160" s="23" t="str">
        <x:v>United States</x:v>
      </x:c>
      <x:c r="E160" s="23" t="str">
        <x:v>San Francisco International Airport</x:v>
      </x:c>
      <x:c r="F160" s="23" t="str">
        <x:v>2021-03</x:v>
      </x:c>
      <x:c r="G160" s="23" t="str">
        <x:v>Deplaned</x:v>
      </x:c>
      <x:c r="H160" s="23" t="str">
        <x:v>International</x:v>
      </x:c>
      <x:c r="I160" s="23" t="str">
        <x:v>Deplaned</x:v>
      </x:c>
      <x:c r="J160" s="72" t="n">
        <x:v>65992</x:v>
      </x:c>
      <x:c r="K160" s="23" t="str">
        <x:v>passengers</x:v>
      </x:c>
      <x:c r="L160" s="24" t="str"/>
      <x:c r="M160" s="24" t="n">
        <x:v>46256.6280787037</x:v>
      </x:c>
      <x:c r="N160" s="24" t="n">
        <x:v>46268.86863425926</x:v>
      </x:c>
      <x:c r="O160" s="40" t="b">
        <x:v>1</x:v>
      </x:c>
      <x:c r="P160" s="42" t="str">
        <x:v>current_snapshot_diagnostic_only</x:v>
      </x:c>
    </x:row>
    <x:row r="161">
      <x:c r="A161" s="23" t="str">
        <x:v>3b3aaf2e3bc57b2466bc</x:v>
      </x:c>
      <x:c r="B161" s="23" t="str">
        <x:v>SFO_AIR_PASSENGERS</x:v>
      </x:c>
      <x:c r="C161" s="23" t="str">
        <x:v>City and County of San Francisco</x:v>
      </x:c>
      <x:c r="D161" s="23" t="str">
        <x:v>United States</x:v>
      </x:c>
      <x:c r="E161" s="23" t="str">
        <x:v>San Francisco International Airport</x:v>
      </x:c>
      <x:c r="F161" s="23" t="str">
        <x:v>2021-03</x:v>
      </x:c>
      <x:c r="G161" s="23" t="str">
        <x:v>Enplaned</x:v>
      </x:c>
      <x:c r="H161" s="23" t="str">
        <x:v>International</x:v>
      </x:c>
      <x:c r="I161" s="23" t="str">
        <x:v>Enplaned</x:v>
      </x:c>
      <x:c r="J161" s="72" t="n">
        <x:v>64086</x:v>
      </x:c>
      <x:c r="K161" s="23" t="str">
        <x:v>passengers</x:v>
      </x:c>
      <x:c r="L161" s="24" t="str"/>
      <x:c r="M161" s="24" t="n">
        <x:v>46256.6280787037</x:v>
      </x:c>
      <x:c r="N161" s="24" t="n">
        <x:v>46268.86863425926</x:v>
      </x:c>
      <x:c r="O161" s="40" t="b">
        <x:v>1</x:v>
      </x:c>
      <x:c r="P161" s="42" t="str">
        <x:v>current_snapshot_diagnostic_only</x:v>
      </x:c>
    </x:row>
    <x:row r="162">
      <x:c r="A162" s="23" t="str">
        <x:v>cd814e9538e510cd97c6</x:v>
      </x:c>
      <x:c r="B162" s="23" t="str">
        <x:v>SFO_AIR_PASSENGERS</x:v>
      </x:c>
      <x:c r="C162" s="23" t="str">
        <x:v>City and County of San Francisco</x:v>
      </x:c>
      <x:c r="D162" s="23" t="str">
        <x:v>United States</x:v>
      </x:c>
      <x:c r="E162" s="23" t="str">
        <x:v>San Francisco International Airport</x:v>
      </x:c>
      <x:c r="F162" s="23" t="str">
        <x:v>2021-04</x:v>
      </x:c>
      <x:c r="G162" s="23" t="str">
        <x:v>Deplaned</x:v>
      </x:c>
      <x:c r="H162" s="23" t="str">
        <x:v>Domestic</x:v>
      </x:c>
      <x:c r="I162" s="23" t="str">
        <x:v>Deplaned</x:v>
      </x:c>
      <x:c r="J162" s="72" t="n">
        <x:v>644294</x:v>
      </x:c>
      <x:c r="K162" s="23" t="str">
        <x:v>passengers</x:v>
      </x:c>
      <x:c r="L162" s="24" t="str"/>
      <x:c r="M162" s="24" t="n">
        <x:v>46256.6280787037</x:v>
      </x:c>
      <x:c r="N162" s="24" t="n">
        <x:v>46268.86863425926</x:v>
      </x:c>
      <x:c r="O162" s="40" t="b">
        <x:v>1</x:v>
      </x:c>
      <x:c r="P162" s="42" t="str">
        <x:v>current_snapshot_diagnostic_only</x:v>
      </x:c>
    </x:row>
    <x:row r="163">
      <x:c r="A163" s="23" t="str">
        <x:v>810c47f0c9ed5ce3d6d6</x:v>
      </x:c>
      <x:c r="B163" s="23" t="str">
        <x:v>SFO_AIR_PASSENGERS</x:v>
      </x:c>
      <x:c r="C163" s="23" t="str">
        <x:v>City and County of San Francisco</x:v>
      </x:c>
      <x:c r="D163" s="23" t="str">
        <x:v>United States</x:v>
      </x:c>
      <x:c r="E163" s="23" t="str">
        <x:v>San Francisco International Airport</x:v>
      </x:c>
      <x:c r="F163" s="23" t="str">
        <x:v>2021-04</x:v>
      </x:c>
      <x:c r="G163" s="23" t="str">
        <x:v>Enplaned</x:v>
      </x:c>
      <x:c r="H163" s="23" t="str">
        <x:v>Domestic</x:v>
      </x:c>
      <x:c r="I163" s="23" t="str">
        <x:v>Enplaned</x:v>
      </x:c>
      <x:c r="J163" s="72" t="n">
        <x:v>670120</x:v>
      </x:c>
      <x:c r="K163" s="23" t="str">
        <x:v>passengers</x:v>
      </x:c>
      <x:c r="L163" s="24" t="str"/>
      <x:c r="M163" s="24" t="n">
        <x:v>46256.6280787037</x:v>
      </x:c>
      <x:c r="N163" s="24" t="n">
        <x:v>46268.86863425926</x:v>
      </x:c>
      <x:c r="O163" s="40" t="b">
        <x:v>1</x:v>
      </x:c>
      <x:c r="P163" s="42" t="str">
        <x:v>current_snapshot_diagnostic_only</x:v>
      </x:c>
    </x:row>
    <x:row r="164">
      <x:c r="A164" s="23" t="str">
        <x:v>7a20d13235f680c76235</x:v>
      </x:c>
      <x:c r="B164" s="23" t="str">
        <x:v>SFO_AIR_PASSENGERS</x:v>
      </x:c>
      <x:c r="C164" s="23" t="str">
        <x:v>City and County of San Francisco</x:v>
      </x:c>
      <x:c r="D164" s="23" t="str">
        <x:v>United States</x:v>
      </x:c>
      <x:c r="E164" s="23" t="str">
        <x:v>San Francisco International Airport</x:v>
      </x:c>
      <x:c r="F164" s="23" t="str">
        <x:v>2021-04</x:v>
      </x:c>
      <x:c r="G164" s="23" t="str">
        <x:v>Thru / Transit</x:v>
      </x:c>
      <x:c r="H164" s="23" t="str">
        <x:v>Domestic</x:v>
      </x:c>
      <x:c r="I164" s="23" t="str">
        <x:v>Thru / Transit</x:v>
      </x:c>
      <x:c r="J164" s="72" t="n">
        <x:v>32</x:v>
      </x:c>
      <x:c r="K164" s="23" t="str">
        <x:v>passengers</x:v>
      </x:c>
      <x:c r="L164" s="24" t="str"/>
      <x:c r="M164" s="24" t="n">
        <x:v>46256.6280787037</x:v>
      </x:c>
      <x:c r="N164" s="24" t="n">
        <x:v>46268.86863425926</x:v>
      </x:c>
      <x:c r="O164" s="40" t="b">
        <x:v>0</x:v>
      </x:c>
      <x:c r="P164" s="42" t="str">
        <x:v>current_snapshot_diagnostic_only</x:v>
      </x:c>
    </x:row>
    <x:row r="165">
      <x:c r="A165" s="23" t="str">
        <x:v>b34670b85331a1c9844c</x:v>
      </x:c>
      <x:c r="B165" s="23" t="str">
        <x:v>SFO_AIR_PASSENGERS</x:v>
      </x:c>
      <x:c r="C165" s="23" t="str">
        <x:v>City and County of San Francisco</x:v>
      </x:c>
      <x:c r="D165" s="23" t="str">
        <x:v>United States</x:v>
      </x:c>
      <x:c r="E165" s="23" t="str">
        <x:v>San Francisco International Airport</x:v>
      </x:c>
      <x:c r="F165" s="23" t="str">
        <x:v>2021-04</x:v>
      </x:c>
      <x:c r="G165" s="23" t="str">
        <x:v>Deplaned</x:v>
      </x:c>
      <x:c r="H165" s="23" t="str">
        <x:v>International</x:v>
      </x:c>
      <x:c r="I165" s="23" t="str">
        <x:v>Deplaned</x:v>
      </x:c>
      <x:c r="J165" s="72" t="n">
        <x:v>75547</x:v>
      </x:c>
      <x:c r="K165" s="23" t="str">
        <x:v>passengers</x:v>
      </x:c>
      <x:c r="L165" s="24" t="str"/>
      <x:c r="M165" s="24" t="n">
        <x:v>46256.6280787037</x:v>
      </x:c>
      <x:c r="N165" s="24" t="n">
        <x:v>46268.86863425926</x:v>
      </x:c>
      <x:c r="O165" s="40" t="b">
        <x:v>1</x:v>
      </x:c>
      <x:c r="P165" s="42" t="str">
        <x:v>current_snapshot_diagnostic_only</x:v>
      </x:c>
    </x:row>
    <x:row r="166">
      <x:c r="A166" s="23" t="str">
        <x:v>2fc5cc7e67ab88a207f4</x:v>
      </x:c>
      <x:c r="B166" s="23" t="str">
        <x:v>SFO_AIR_PASSENGERS</x:v>
      </x:c>
      <x:c r="C166" s="23" t="str">
        <x:v>City and County of San Francisco</x:v>
      </x:c>
      <x:c r="D166" s="23" t="str">
        <x:v>United States</x:v>
      </x:c>
      <x:c r="E166" s="23" t="str">
        <x:v>San Francisco International Airport</x:v>
      </x:c>
      <x:c r="F166" s="23" t="str">
        <x:v>2021-04</x:v>
      </x:c>
      <x:c r="G166" s="23" t="str">
        <x:v>Enplaned</x:v>
      </x:c>
      <x:c r="H166" s="23" t="str">
        <x:v>International</x:v>
      </x:c>
      <x:c r="I166" s="23" t="str">
        <x:v>Enplaned</x:v>
      </x:c>
      <x:c r="J166" s="72" t="n">
        <x:v>65951</x:v>
      </x:c>
      <x:c r="K166" s="23" t="str">
        <x:v>passengers</x:v>
      </x:c>
      <x:c r="L166" s="24" t="str"/>
      <x:c r="M166" s="24" t="n">
        <x:v>46256.6280787037</x:v>
      </x:c>
      <x:c r="N166" s="24" t="n">
        <x:v>46268.86863425926</x:v>
      </x:c>
      <x:c r="O166" s="40" t="b">
        <x:v>1</x:v>
      </x:c>
      <x:c r="P166" s="42" t="str">
        <x:v>current_snapshot_diagnostic_only</x:v>
      </x:c>
    </x:row>
    <x:row r="167">
      <x:c r="A167" s="23" t="str">
        <x:v>6bc9c1e390e58692ba4e</x:v>
      </x:c>
      <x:c r="B167" s="23" t="str">
        <x:v>SFO_AIR_PASSENGERS</x:v>
      </x:c>
      <x:c r="C167" s="23" t="str">
        <x:v>City and County of San Francisco</x:v>
      </x:c>
      <x:c r="D167" s="23" t="str">
        <x:v>United States</x:v>
      </x:c>
      <x:c r="E167" s="23" t="str">
        <x:v>San Francisco International Airport</x:v>
      </x:c>
      <x:c r="F167" s="23" t="str">
        <x:v>2021-05</x:v>
      </x:c>
      <x:c r="G167" s="23" t="str">
        <x:v>Deplaned</x:v>
      </x:c>
      <x:c r="H167" s="23" t="str">
        <x:v>Domestic</x:v>
      </x:c>
      <x:c r="I167" s="23" t="str">
        <x:v>Deplaned</x:v>
      </x:c>
      <x:c r="J167" s="72" t="n">
        <x:v>781341</x:v>
      </x:c>
      <x:c r="K167" s="23" t="str">
        <x:v>passengers</x:v>
      </x:c>
      <x:c r="L167" s="24" t="str"/>
      <x:c r="M167" s="24" t="n">
        <x:v>46256.6280787037</x:v>
      </x:c>
      <x:c r="N167" s="24" t="n">
        <x:v>46268.86863425926</x:v>
      </x:c>
      <x:c r="O167" s="40" t="b">
        <x:v>1</x:v>
      </x:c>
      <x:c r="P167" s="42" t="str">
        <x:v>current_snapshot_diagnostic_only</x:v>
      </x:c>
    </x:row>
    <x:row r="168">
      <x:c r="A168" s="23" t="str">
        <x:v>1f47d1a2aa4d5349881b</x:v>
      </x:c>
      <x:c r="B168" s="23" t="str">
        <x:v>SFO_AIR_PASSENGERS</x:v>
      </x:c>
      <x:c r="C168" s="23" t="str">
        <x:v>City and County of San Francisco</x:v>
      </x:c>
      <x:c r="D168" s="23" t="str">
        <x:v>United States</x:v>
      </x:c>
      <x:c r="E168" s="23" t="str">
        <x:v>San Francisco International Airport</x:v>
      </x:c>
      <x:c r="F168" s="23" t="str">
        <x:v>2021-05</x:v>
      </x:c>
      <x:c r="G168" s="23" t="str">
        <x:v>Enplaned</x:v>
      </x:c>
      <x:c r="H168" s="23" t="str">
        <x:v>Domestic</x:v>
      </x:c>
      <x:c r="I168" s="23" t="str">
        <x:v>Enplaned</x:v>
      </x:c>
      <x:c r="J168" s="72" t="n">
        <x:v>787048</x:v>
      </x:c>
      <x:c r="K168" s="23" t="str">
        <x:v>passengers</x:v>
      </x:c>
      <x:c r="L168" s="24" t="str"/>
      <x:c r="M168" s="24" t="n">
        <x:v>46256.6280787037</x:v>
      </x:c>
      <x:c r="N168" s="24" t="n">
        <x:v>46268.86863425926</x:v>
      </x:c>
      <x:c r="O168" s="40" t="b">
        <x:v>1</x:v>
      </x:c>
      <x:c r="P168" s="42" t="str">
        <x:v>current_snapshot_diagnostic_only</x:v>
      </x:c>
    </x:row>
    <x:row r="169">
      <x:c r="A169" s="23" t="str">
        <x:v>c3f7c31b126e0ea11884</x:v>
      </x:c>
      <x:c r="B169" s="23" t="str">
        <x:v>SFO_AIR_PASSENGERS</x:v>
      </x:c>
      <x:c r="C169" s="23" t="str">
        <x:v>City and County of San Francisco</x:v>
      </x:c>
      <x:c r="D169" s="23" t="str">
        <x:v>United States</x:v>
      </x:c>
      <x:c r="E169" s="23" t="str">
        <x:v>San Francisco International Airport</x:v>
      </x:c>
      <x:c r="F169" s="23" t="str">
        <x:v>2021-05</x:v>
      </x:c>
      <x:c r="G169" s="23" t="str">
        <x:v>Deplaned</x:v>
      </x:c>
      <x:c r="H169" s="23" t="str">
        <x:v>International</x:v>
      </x:c>
      <x:c r="I169" s="23" t="str">
        <x:v>Deplaned</x:v>
      </x:c>
      <x:c r="J169" s="72" t="n">
        <x:v>83735</x:v>
      </x:c>
      <x:c r="K169" s="23" t="str">
        <x:v>passengers</x:v>
      </x:c>
      <x:c r="L169" s="24" t="str"/>
      <x:c r="M169" s="24" t="n">
        <x:v>46256.6280787037</x:v>
      </x:c>
      <x:c r="N169" s="24" t="n">
        <x:v>46268.86863425926</x:v>
      </x:c>
      <x:c r="O169" s="40" t="b">
        <x:v>1</x:v>
      </x:c>
      <x:c r="P169" s="42" t="str">
        <x:v>current_snapshot_diagnostic_only</x:v>
      </x:c>
    </x:row>
    <x:row r="170">
      <x:c r="A170" s="23" t="str">
        <x:v>bce6eb09d80e2f7c750a</x:v>
      </x:c>
      <x:c r="B170" s="23" t="str">
        <x:v>SFO_AIR_PASSENGERS</x:v>
      </x:c>
      <x:c r="C170" s="23" t="str">
        <x:v>City and County of San Francisco</x:v>
      </x:c>
      <x:c r="D170" s="23" t="str">
        <x:v>United States</x:v>
      </x:c>
      <x:c r="E170" s="23" t="str">
        <x:v>San Francisco International Airport</x:v>
      </x:c>
      <x:c r="F170" s="23" t="str">
        <x:v>2021-05</x:v>
      </x:c>
      <x:c r="G170" s="23" t="str">
        <x:v>Enplaned</x:v>
      </x:c>
      <x:c r="H170" s="23" t="str">
        <x:v>International</x:v>
      </x:c>
      <x:c r="I170" s="23" t="str">
        <x:v>Enplaned</x:v>
      </x:c>
      <x:c r="J170" s="72" t="n">
        <x:v>86897</x:v>
      </x:c>
      <x:c r="K170" s="23" t="str">
        <x:v>passengers</x:v>
      </x:c>
      <x:c r="L170" s="24" t="str"/>
      <x:c r="M170" s="24" t="n">
        <x:v>46256.6280787037</x:v>
      </x:c>
      <x:c r="N170" s="24" t="n">
        <x:v>46268.86863425926</x:v>
      </x:c>
      <x:c r="O170" s="40" t="b">
        <x:v>1</x:v>
      </x:c>
      <x:c r="P170" s="42" t="str">
        <x:v>current_snapshot_diagnostic_only</x:v>
      </x:c>
    </x:row>
    <x:row r="171">
      <x:c r="A171" s="23" t="str">
        <x:v>5ab3f7a3f41e08216d7b</x:v>
      </x:c>
      <x:c r="B171" s="23" t="str">
        <x:v>SFO_AIR_PASSENGERS</x:v>
      </x:c>
      <x:c r="C171" s="23" t="str">
        <x:v>City and County of San Francisco</x:v>
      </x:c>
      <x:c r="D171" s="23" t="str">
        <x:v>United States</x:v>
      </x:c>
      <x:c r="E171" s="23" t="str">
        <x:v>San Francisco International Airport</x:v>
      </x:c>
      <x:c r="F171" s="23" t="str">
        <x:v>2021-06</x:v>
      </x:c>
      <x:c r="G171" s="23" t="str">
        <x:v>Deplaned</x:v>
      </x:c>
      <x:c r="H171" s="23" t="str">
        <x:v>Domestic</x:v>
      </x:c>
      <x:c r="I171" s="23" t="str">
        <x:v>Deplaned</x:v>
      </x:c>
      <x:c r="J171" s="72" t="n">
        <x:v>970205</x:v>
      </x:c>
      <x:c r="K171" s="23" t="str">
        <x:v>passengers</x:v>
      </x:c>
      <x:c r="L171" s="24" t="str"/>
      <x:c r="M171" s="24" t="n">
        <x:v>46256.6280787037</x:v>
      </x:c>
      <x:c r="N171" s="24" t="n">
        <x:v>46268.86863425926</x:v>
      </x:c>
      <x:c r="O171" s="40" t="b">
        <x:v>1</x:v>
      </x:c>
      <x:c r="P171" s="42" t="str">
        <x:v>current_snapshot_diagnostic_only</x:v>
      </x:c>
    </x:row>
    <x:row r="172">
      <x:c r="A172" s="23" t="str">
        <x:v>191528e9b7e5892ca823</x:v>
      </x:c>
      <x:c r="B172" s="23" t="str">
        <x:v>SFO_AIR_PASSENGERS</x:v>
      </x:c>
      <x:c r="C172" s="23" t="str">
        <x:v>City and County of San Francisco</x:v>
      </x:c>
      <x:c r="D172" s="23" t="str">
        <x:v>United States</x:v>
      </x:c>
      <x:c r="E172" s="23" t="str">
        <x:v>San Francisco International Airport</x:v>
      </x:c>
      <x:c r="F172" s="23" t="str">
        <x:v>2021-06</x:v>
      </x:c>
      <x:c r="G172" s="23" t="str">
        <x:v>Enplaned</x:v>
      </x:c>
      <x:c r="H172" s="23" t="str">
        <x:v>Domestic</x:v>
      </x:c>
      <x:c r="I172" s="23" t="str">
        <x:v>Enplaned</x:v>
      </x:c>
      <x:c r="J172" s="72" t="n">
        <x:v>1006372</x:v>
      </x:c>
      <x:c r="K172" s="23" t="str">
        <x:v>passengers</x:v>
      </x:c>
      <x:c r="L172" s="24" t="str"/>
      <x:c r="M172" s="24" t="n">
        <x:v>46256.6280787037</x:v>
      </x:c>
      <x:c r="N172" s="24" t="n">
        <x:v>46268.86863425926</x:v>
      </x:c>
      <x:c r="O172" s="40" t="b">
        <x:v>1</x:v>
      </x:c>
      <x:c r="P172" s="42" t="str">
        <x:v>current_snapshot_diagnostic_only</x:v>
      </x:c>
    </x:row>
    <x:row r="173">
      <x:c r="A173" s="23" t="str">
        <x:v>50036914cb5d29ee66ff</x:v>
      </x:c>
      <x:c r="B173" s="23" t="str">
        <x:v>SFO_AIR_PASSENGERS</x:v>
      </x:c>
      <x:c r="C173" s="23" t="str">
        <x:v>City and County of San Francisco</x:v>
      </x:c>
      <x:c r="D173" s="23" t="str">
        <x:v>United States</x:v>
      </x:c>
      <x:c r="E173" s="23" t="str">
        <x:v>San Francisco International Airport</x:v>
      </x:c>
      <x:c r="F173" s="23" t="str">
        <x:v>2021-06</x:v>
      </x:c>
      <x:c r="G173" s="23" t="str">
        <x:v>Thru / Transit</x:v>
      </x:c>
      <x:c r="H173" s="23" t="str">
        <x:v>Domestic</x:v>
      </x:c>
      <x:c r="I173" s="23" t="str">
        <x:v>Thru / Transit</x:v>
      </x:c>
      <x:c r="J173" s="72" t="n">
        <x:v>144</x:v>
      </x:c>
      <x:c r="K173" s="23" t="str">
        <x:v>passengers</x:v>
      </x:c>
      <x:c r="L173" s="24" t="str"/>
      <x:c r="M173" s="24" t="n">
        <x:v>46256.6280787037</x:v>
      </x:c>
      <x:c r="N173" s="24" t="n">
        <x:v>46268.86863425926</x:v>
      </x:c>
      <x:c r="O173" s="40" t="b">
        <x:v>0</x:v>
      </x:c>
      <x:c r="P173" s="42" t="str">
        <x:v>current_snapshot_diagnostic_only</x:v>
      </x:c>
    </x:row>
    <x:row r="174">
      <x:c r="A174" s="23" t="str">
        <x:v>bd53ed8adfa25b0594c2</x:v>
      </x:c>
      <x:c r="B174" s="23" t="str">
        <x:v>SFO_AIR_PASSENGERS</x:v>
      </x:c>
      <x:c r="C174" s="23" t="str">
        <x:v>City and County of San Francisco</x:v>
      </x:c>
      <x:c r="D174" s="23" t="str">
        <x:v>United States</x:v>
      </x:c>
      <x:c r="E174" s="23" t="str">
        <x:v>San Francisco International Airport</x:v>
      </x:c>
      <x:c r="F174" s="23" t="str">
        <x:v>2021-06</x:v>
      </x:c>
      <x:c r="G174" s="23" t="str">
        <x:v>Deplaned</x:v>
      </x:c>
      <x:c r="H174" s="23" t="str">
        <x:v>International</x:v>
      </x:c>
      <x:c r="I174" s="23" t="str">
        <x:v>Deplaned</x:v>
      </x:c>
      <x:c r="J174" s="72" t="n">
        <x:v>125848</x:v>
      </x:c>
      <x:c r="K174" s="23" t="str">
        <x:v>passengers</x:v>
      </x:c>
      <x:c r="L174" s="24" t="str"/>
      <x:c r="M174" s="24" t="n">
        <x:v>46256.6280787037</x:v>
      </x:c>
      <x:c r="N174" s="24" t="n">
        <x:v>46268.86863425926</x:v>
      </x:c>
      <x:c r="O174" s="40" t="b">
        <x:v>1</x:v>
      </x:c>
      <x:c r="P174" s="42" t="str">
        <x:v>current_snapshot_diagnostic_only</x:v>
      </x:c>
    </x:row>
    <x:row r="175">
      <x:c r="A175" s="23" t="str">
        <x:v>e972a59c1bba1ceee158</x:v>
      </x:c>
      <x:c r="B175" s="23" t="str">
        <x:v>SFO_AIR_PASSENGERS</x:v>
      </x:c>
      <x:c r="C175" s="23" t="str">
        <x:v>City and County of San Francisco</x:v>
      </x:c>
      <x:c r="D175" s="23" t="str">
        <x:v>United States</x:v>
      </x:c>
      <x:c r="E175" s="23" t="str">
        <x:v>San Francisco International Airport</x:v>
      </x:c>
      <x:c r="F175" s="23" t="str">
        <x:v>2021-06</x:v>
      </x:c>
      <x:c r="G175" s="23" t="str">
        <x:v>Enplaned</x:v>
      </x:c>
      <x:c r="H175" s="23" t="str">
        <x:v>International</x:v>
      </x:c>
      <x:c r="I175" s="23" t="str">
        <x:v>Enplaned</x:v>
      </x:c>
      <x:c r="J175" s="72" t="n">
        <x:v>142970</x:v>
      </x:c>
      <x:c r="K175" s="23" t="str">
        <x:v>passengers</x:v>
      </x:c>
      <x:c r="L175" s="24" t="str"/>
      <x:c r="M175" s="24" t="n">
        <x:v>46256.6280787037</x:v>
      </x:c>
      <x:c r="N175" s="24" t="n">
        <x:v>46268.86863425926</x:v>
      </x:c>
      <x:c r="O175" s="40" t="b">
        <x:v>1</x:v>
      </x:c>
      <x:c r="P175" s="42" t="str">
        <x:v>current_snapshot_diagnostic_only</x:v>
      </x:c>
    </x:row>
    <x:row r="176">
      <x:c r="A176" s="23" t="str">
        <x:v>0c0002b064b495b18a62</x:v>
      </x:c>
      <x:c r="B176" s="23" t="str">
        <x:v>SFO_AIR_PASSENGERS</x:v>
      </x:c>
      <x:c r="C176" s="23" t="str">
        <x:v>City and County of San Francisco</x:v>
      </x:c>
      <x:c r="D176" s="23" t="str">
        <x:v>United States</x:v>
      </x:c>
      <x:c r="E176" s="23" t="str">
        <x:v>San Francisco International Airport</x:v>
      </x:c>
      <x:c r="F176" s="23" t="str">
        <x:v>2021-07</x:v>
      </x:c>
      <x:c r="G176" s="23" t="str">
        <x:v>Deplaned</x:v>
      </x:c>
      <x:c r="H176" s="23" t="str">
        <x:v>Domestic</x:v>
      </x:c>
      <x:c r="I176" s="23" t="str">
        <x:v>Deplaned</x:v>
      </x:c>
      <x:c r="J176" s="72" t="n">
        <x:v>1184454</x:v>
      </x:c>
      <x:c r="K176" s="23" t="str">
        <x:v>passengers</x:v>
      </x:c>
      <x:c r="L176" s="24" t="str"/>
      <x:c r="M176" s="24" t="n">
        <x:v>46256.6280787037</x:v>
      </x:c>
      <x:c r="N176" s="24" t="n">
        <x:v>46268.86863425926</x:v>
      </x:c>
      <x:c r="O176" s="40" t="b">
        <x:v>1</x:v>
      </x:c>
      <x:c r="P176" s="42" t="str">
        <x:v>current_snapshot_diagnostic_only</x:v>
      </x:c>
    </x:row>
    <x:row r="177">
      <x:c r="A177" s="23" t="str">
        <x:v>d3bf410cba8f70e2f2ef</x:v>
      </x:c>
      <x:c r="B177" s="23" t="str">
        <x:v>SFO_AIR_PASSENGERS</x:v>
      </x:c>
      <x:c r="C177" s="23" t="str">
        <x:v>City and County of San Francisco</x:v>
      </x:c>
      <x:c r="D177" s="23" t="str">
        <x:v>United States</x:v>
      </x:c>
      <x:c r="E177" s="23" t="str">
        <x:v>San Francisco International Airport</x:v>
      </x:c>
      <x:c r="F177" s="23" t="str">
        <x:v>2021-07</x:v>
      </x:c>
      <x:c r="G177" s="23" t="str">
        <x:v>Enplaned</x:v>
      </x:c>
      <x:c r="H177" s="23" t="str">
        <x:v>Domestic</x:v>
      </x:c>
      <x:c r="I177" s="23" t="str">
        <x:v>Enplaned</x:v>
      </x:c>
      <x:c r="J177" s="72" t="n">
        <x:v>1178760</x:v>
      </x:c>
      <x:c r="K177" s="23" t="str">
        <x:v>passengers</x:v>
      </x:c>
      <x:c r="L177" s="24" t="str"/>
      <x:c r="M177" s="24" t="n">
        <x:v>46256.6280787037</x:v>
      </x:c>
      <x:c r="N177" s="24" t="n">
        <x:v>46268.86863425926</x:v>
      </x:c>
      <x:c r="O177" s="40" t="b">
        <x:v>1</x:v>
      </x:c>
      <x:c r="P177" s="42" t="str">
        <x:v>current_snapshot_diagnostic_only</x:v>
      </x:c>
    </x:row>
    <x:row r="178">
      <x:c r="A178" s="23" t="str">
        <x:v>6cbaeb1767f3ff71c01e</x:v>
      </x:c>
      <x:c r="B178" s="23" t="str">
        <x:v>SFO_AIR_PASSENGERS</x:v>
      </x:c>
      <x:c r="C178" s="23" t="str">
        <x:v>City and County of San Francisco</x:v>
      </x:c>
      <x:c r="D178" s="23" t="str">
        <x:v>United States</x:v>
      </x:c>
      <x:c r="E178" s="23" t="str">
        <x:v>San Francisco International Airport</x:v>
      </x:c>
      <x:c r="F178" s="23" t="str">
        <x:v>2021-07</x:v>
      </x:c>
      <x:c r="G178" s="23" t="str">
        <x:v>Thru / Transit</x:v>
      </x:c>
      <x:c r="H178" s="23" t="str">
        <x:v>Domestic</x:v>
      </x:c>
      <x:c r="I178" s="23" t="str">
        <x:v>Thru / Transit</x:v>
      </x:c>
      <x:c r="J178" s="72" t="n">
        <x:v>336</x:v>
      </x:c>
      <x:c r="K178" s="23" t="str">
        <x:v>passengers</x:v>
      </x:c>
      <x:c r="L178" s="24" t="str"/>
      <x:c r="M178" s="24" t="n">
        <x:v>46256.6280787037</x:v>
      </x:c>
      <x:c r="N178" s="24" t="n">
        <x:v>46268.86863425926</x:v>
      </x:c>
      <x:c r="O178" s="40" t="b">
        <x:v>0</x:v>
      </x:c>
      <x:c r="P178" s="42" t="str">
        <x:v>current_snapshot_diagnostic_only</x:v>
      </x:c>
    </x:row>
    <x:row r="179">
      <x:c r="A179" s="23" t="str">
        <x:v>d5b65486a198e3c4931c</x:v>
      </x:c>
      <x:c r="B179" s="23" t="str">
        <x:v>SFO_AIR_PASSENGERS</x:v>
      </x:c>
      <x:c r="C179" s="23" t="str">
        <x:v>City and County of San Francisco</x:v>
      </x:c>
      <x:c r="D179" s="23" t="str">
        <x:v>United States</x:v>
      </x:c>
      <x:c r="E179" s="23" t="str">
        <x:v>San Francisco International Airport</x:v>
      </x:c>
      <x:c r="F179" s="23" t="str">
        <x:v>2021-07</x:v>
      </x:c>
      <x:c r="G179" s="23" t="str">
        <x:v>Deplaned</x:v>
      </x:c>
      <x:c r="H179" s="23" t="str">
        <x:v>International</x:v>
      </x:c>
      <x:c r="I179" s="23" t="str">
        <x:v>Deplaned</x:v>
      </x:c>
      <x:c r="J179" s="72" t="n">
        <x:v>186977</x:v>
      </x:c>
      <x:c r="K179" s="23" t="str">
        <x:v>passengers</x:v>
      </x:c>
      <x:c r="L179" s="24" t="str"/>
      <x:c r="M179" s="24" t="n">
        <x:v>46256.6280787037</x:v>
      </x:c>
      <x:c r="N179" s="24" t="n">
        <x:v>46268.86863425926</x:v>
      </x:c>
      <x:c r="O179" s="40" t="b">
        <x:v>1</x:v>
      </x:c>
      <x:c r="P179" s="42" t="str">
        <x:v>current_snapshot_diagnostic_only</x:v>
      </x:c>
    </x:row>
    <x:row r="180">
      <x:c r="A180" s="23" t="str">
        <x:v>ca648a948f6f07e3b72a</x:v>
      </x:c>
      <x:c r="B180" s="23" t="str">
        <x:v>SFO_AIR_PASSENGERS</x:v>
      </x:c>
      <x:c r="C180" s="23" t="str">
        <x:v>City and County of San Francisco</x:v>
      </x:c>
      <x:c r="D180" s="23" t="str">
        <x:v>United States</x:v>
      </x:c>
      <x:c r="E180" s="23" t="str">
        <x:v>San Francisco International Airport</x:v>
      </x:c>
      <x:c r="F180" s="23" t="str">
        <x:v>2021-07</x:v>
      </x:c>
      <x:c r="G180" s="23" t="str">
        <x:v>Enplaned</x:v>
      </x:c>
      <x:c r="H180" s="23" t="str">
        <x:v>International</x:v>
      </x:c>
      <x:c r="I180" s="23" t="str">
        <x:v>Enplaned</x:v>
      </x:c>
      <x:c r="J180" s="72" t="n">
        <x:v>181483</x:v>
      </x:c>
      <x:c r="K180" s="23" t="str">
        <x:v>passengers</x:v>
      </x:c>
      <x:c r="L180" s="24" t="str"/>
      <x:c r="M180" s="24" t="n">
        <x:v>46256.6280787037</x:v>
      </x:c>
      <x:c r="N180" s="24" t="n">
        <x:v>46268.86863425926</x:v>
      </x:c>
      <x:c r="O180" s="40" t="b">
        <x:v>1</x:v>
      </x:c>
      <x:c r="P180" s="42" t="str">
        <x:v>current_snapshot_diagnostic_only</x:v>
      </x:c>
    </x:row>
    <x:row r="181">
      <x:c r="A181" s="23" t="str">
        <x:v>747943f6184ec0d9a926</x:v>
      </x:c>
      <x:c r="B181" s="23" t="str">
        <x:v>SFO_AIR_PASSENGERS</x:v>
      </x:c>
      <x:c r="C181" s="23" t="str">
        <x:v>City and County of San Francisco</x:v>
      </x:c>
      <x:c r="D181" s="23" t="str">
        <x:v>United States</x:v>
      </x:c>
      <x:c r="E181" s="23" t="str">
        <x:v>San Francisco International Airport</x:v>
      </x:c>
      <x:c r="F181" s="23" t="str">
        <x:v>2021-08</x:v>
      </x:c>
      <x:c r="G181" s="23" t="str">
        <x:v>Deplaned</x:v>
      </x:c>
      <x:c r="H181" s="23" t="str">
        <x:v>Domestic</x:v>
      </x:c>
      <x:c r="I181" s="23" t="str">
        <x:v>Deplaned</x:v>
      </x:c>
      <x:c r="J181" s="72" t="n">
        <x:v>1129065</x:v>
      </x:c>
      <x:c r="K181" s="23" t="str">
        <x:v>passengers</x:v>
      </x:c>
      <x:c r="L181" s="24" t="str"/>
      <x:c r="M181" s="24" t="n">
        <x:v>46256.6280787037</x:v>
      </x:c>
      <x:c r="N181" s="24" t="n">
        <x:v>46268.86863425926</x:v>
      </x:c>
      <x:c r="O181" s="40" t="b">
        <x:v>1</x:v>
      </x:c>
      <x:c r="P181" s="42" t="str">
        <x:v>current_snapshot_diagnostic_only</x:v>
      </x:c>
    </x:row>
    <x:row r="182">
      <x:c r="A182" s="23" t="str">
        <x:v>7ff47b25233ebb8467d2</x:v>
      </x:c>
      <x:c r="B182" s="23" t="str">
        <x:v>SFO_AIR_PASSENGERS</x:v>
      </x:c>
      <x:c r="C182" s="23" t="str">
        <x:v>City and County of San Francisco</x:v>
      </x:c>
      <x:c r="D182" s="23" t="str">
        <x:v>United States</x:v>
      </x:c>
      <x:c r="E182" s="23" t="str">
        <x:v>San Francisco International Airport</x:v>
      </x:c>
      <x:c r="F182" s="23" t="str">
        <x:v>2021-08</x:v>
      </x:c>
      <x:c r="G182" s="23" t="str">
        <x:v>Enplaned</x:v>
      </x:c>
      <x:c r="H182" s="23" t="str">
        <x:v>Domestic</x:v>
      </x:c>
      <x:c r="I182" s="23" t="str">
        <x:v>Enplaned</x:v>
      </x:c>
      <x:c r="J182" s="72" t="n">
        <x:v>1121854</x:v>
      </x:c>
      <x:c r="K182" s="23" t="str">
        <x:v>passengers</x:v>
      </x:c>
      <x:c r="L182" s="24" t="str"/>
      <x:c r="M182" s="24" t="n">
        <x:v>46256.6280787037</x:v>
      </x:c>
      <x:c r="N182" s="24" t="n">
        <x:v>46268.86863425926</x:v>
      </x:c>
      <x:c r="O182" s="40" t="b">
        <x:v>1</x:v>
      </x:c>
      <x:c r="P182" s="42" t="str">
        <x:v>current_snapshot_diagnostic_only</x:v>
      </x:c>
    </x:row>
    <x:row r="183">
      <x:c r="A183" s="23" t="str">
        <x:v>3dc371c1916989a1bbd2</x:v>
      </x:c>
      <x:c r="B183" s="23" t="str">
        <x:v>SFO_AIR_PASSENGERS</x:v>
      </x:c>
      <x:c r="C183" s="23" t="str">
        <x:v>City and County of San Francisco</x:v>
      </x:c>
      <x:c r="D183" s="23" t="str">
        <x:v>United States</x:v>
      </x:c>
      <x:c r="E183" s="23" t="str">
        <x:v>San Francisco International Airport</x:v>
      </x:c>
      <x:c r="F183" s="23" t="str">
        <x:v>2021-08</x:v>
      </x:c>
      <x:c r="G183" s="23" t="str">
        <x:v>Thru / Transit</x:v>
      </x:c>
      <x:c r="H183" s="23" t="str">
        <x:v>Domestic</x:v>
      </x:c>
      <x:c r="I183" s="23" t="str">
        <x:v>Thru / Transit</x:v>
      </x:c>
      <x:c r="J183" s="72" t="n">
        <x:v>263</x:v>
      </x:c>
      <x:c r="K183" s="23" t="str">
        <x:v>passengers</x:v>
      </x:c>
      <x:c r="L183" s="24" t="str"/>
      <x:c r="M183" s="24" t="n">
        <x:v>46256.6280787037</x:v>
      </x:c>
      <x:c r="N183" s="24" t="n">
        <x:v>46268.86863425926</x:v>
      </x:c>
      <x:c r="O183" s="40" t="b">
        <x:v>0</x:v>
      </x:c>
      <x:c r="P183" s="42" t="str">
        <x:v>current_snapshot_diagnostic_only</x:v>
      </x:c>
    </x:row>
    <x:row r="184">
      <x:c r="A184" s="23" t="str">
        <x:v>db5f7b6de255d11c8914</x:v>
      </x:c>
      <x:c r="B184" s="23" t="str">
        <x:v>SFO_AIR_PASSENGERS</x:v>
      </x:c>
      <x:c r="C184" s="23" t="str">
        <x:v>City and County of San Francisco</x:v>
      </x:c>
      <x:c r="D184" s="23" t="str">
        <x:v>United States</x:v>
      </x:c>
      <x:c r="E184" s="23" t="str">
        <x:v>San Francisco International Airport</x:v>
      </x:c>
      <x:c r="F184" s="23" t="str">
        <x:v>2021-08</x:v>
      </x:c>
      <x:c r="G184" s="23" t="str">
        <x:v>Deplaned</x:v>
      </x:c>
      <x:c r="H184" s="23" t="str">
        <x:v>International</x:v>
      </x:c>
      <x:c r="I184" s="23" t="str">
        <x:v>Deplaned</x:v>
      </x:c>
      <x:c r="J184" s="72" t="n">
        <x:v>227668</x:v>
      </x:c>
      <x:c r="K184" s="23" t="str">
        <x:v>passengers</x:v>
      </x:c>
      <x:c r="L184" s="24" t="str"/>
      <x:c r="M184" s="24" t="n">
        <x:v>46256.6280787037</x:v>
      </x:c>
      <x:c r="N184" s="24" t="n">
        <x:v>46268.86863425926</x:v>
      </x:c>
      <x:c r="O184" s="40" t="b">
        <x:v>1</x:v>
      </x:c>
      <x:c r="P184" s="42" t="str">
        <x:v>current_snapshot_diagnostic_only</x:v>
      </x:c>
    </x:row>
    <x:row r="185">
      <x:c r="A185" s="23" t="str">
        <x:v>5617a81fe69dd3a4d744</x:v>
      </x:c>
      <x:c r="B185" s="23" t="str">
        <x:v>SFO_AIR_PASSENGERS</x:v>
      </x:c>
      <x:c r="C185" s="23" t="str">
        <x:v>City and County of San Francisco</x:v>
      </x:c>
      <x:c r="D185" s="23" t="str">
        <x:v>United States</x:v>
      </x:c>
      <x:c r="E185" s="23" t="str">
        <x:v>San Francisco International Airport</x:v>
      </x:c>
      <x:c r="F185" s="23" t="str">
        <x:v>2021-08</x:v>
      </x:c>
      <x:c r="G185" s="23" t="str">
        <x:v>Enplaned</x:v>
      </x:c>
      <x:c r="H185" s="23" t="str">
        <x:v>International</x:v>
      </x:c>
      <x:c r="I185" s="23" t="str">
        <x:v>Enplaned</x:v>
      </x:c>
      <x:c r="J185" s="72" t="n">
        <x:v>170304</x:v>
      </x:c>
      <x:c r="K185" s="23" t="str">
        <x:v>passengers</x:v>
      </x:c>
      <x:c r="L185" s="24" t="str"/>
      <x:c r="M185" s="24" t="n">
        <x:v>46256.6280787037</x:v>
      </x:c>
      <x:c r="N185" s="24" t="n">
        <x:v>46268.86863425926</x:v>
      </x:c>
      <x:c r="O185" s="40" t="b">
        <x:v>1</x:v>
      </x:c>
      <x:c r="P185" s="42" t="str">
        <x:v>current_snapshot_diagnostic_only</x:v>
      </x:c>
    </x:row>
    <x:row r="186">
      <x:c r="A186" s="23" t="str">
        <x:v>33bb893297dbb64ebdf6</x:v>
      </x:c>
      <x:c r="B186" s="23" t="str">
        <x:v>SFO_AIR_PASSENGERS</x:v>
      </x:c>
      <x:c r="C186" s="23" t="str">
        <x:v>City and County of San Francisco</x:v>
      </x:c>
      <x:c r="D186" s="23" t="str">
        <x:v>United States</x:v>
      </x:c>
      <x:c r="E186" s="23" t="str">
        <x:v>San Francisco International Airport</x:v>
      </x:c>
      <x:c r="F186" s="23" t="str">
        <x:v>2021-09</x:v>
      </x:c>
      <x:c r="G186" s="23" t="str">
        <x:v>Deplaned</x:v>
      </x:c>
      <x:c r="H186" s="23" t="str">
        <x:v>Domestic</x:v>
      </x:c>
      <x:c r="I186" s="23" t="str">
        <x:v>Deplaned</x:v>
      </x:c>
      <x:c r="J186" s="72" t="n">
        <x:v>1037899</x:v>
      </x:c>
      <x:c r="K186" s="23" t="str">
        <x:v>passengers</x:v>
      </x:c>
      <x:c r="L186" s="24" t="str"/>
      <x:c r="M186" s="24" t="n">
        <x:v>46256.6280787037</x:v>
      </x:c>
      <x:c r="N186" s="24" t="n">
        <x:v>46268.86863425926</x:v>
      </x:c>
      <x:c r="O186" s="40" t="b">
        <x:v>1</x:v>
      </x:c>
      <x:c r="P186" s="42" t="str">
        <x:v>current_snapshot_diagnostic_only</x:v>
      </x:c>
    </x:row>
    <x:row r="187">
      <x:c r="A187" s="23" t="str">
        <x:v>deb17f80535b2ac5a1c7</x:v>
      </x:c>
      <x:c r="B187" s="23" t="str">
        <x:v>SFO_AIR_PASSENGERS</x:v>
      </x:c>
      <x:c r="C187" s="23" t="str">
        <x:v>City and County of San Francisco</x:v>
      </x:c>
      <x:c r="D187" s="23" t="str">
        <x:v>United States</x:v>
      </x:c>
      <x:c r="E187" s="23" t="str">
        <x:v>San Francisco International Airport</x:v>
      </x:c>
      <x:c r="F187" s="23" t="str">
        <x:v>2021-09</x:v>
      </x:c>
      <x:c r="G187" s="23" t="str">
        <x:v>Enplaned</x:v>
      </x:c>
      <x:c r="H187" s="23" t="str">
        <x:v>Domestic</x:v>
      </x:c>
      <x:c r="I187" s="23" t="str">
        <x:v>Enplaned</x:v>
      </x:c>
      <x:c r="J187" s="72" t="n">
        <x:v>1044634</x:v>
      </x:c>
      <x:c r="K187" s="23" t="str">
        <x:v>passengers</x:v>
      </x:c>
      <x:c r="L187" s="24" t="str"/>
      <x:c r="M187" s="24" t="n">
        <x:v>46256.6280787037</x:v>
      </x:c>
      <x:c r="N187" s="24" t="n">
        <x:v>46268.86863425926</x:v>
      </x:c>
      <x:c r="O187" s="40" t="b">
        <x:v>1</x:v>
      </x:c>
      <x:c r="P187" s="42" t="str">
        <x:v>current_snapshot_diagnostic_only</x:v>
      </x:c>
    </x:row>
    <x:row r="188">
      <x:c r="A188" s="23" t="str">
        <x:v>f451893d2ff605a5ff1b</x:v>
      </x:c>
      <x:c r="B188" s="23" t="str">
        <x:v>SFO_AIR_PASSENGERS</x:v>
      </x:c>
      <x:c r="C188" s="23" t="str">
        <x:v>City and County of San Francisco</x:v>
      </x:c>
      <x:c r="D188" s="23" t="str">
        <x:v>United States</x:v>
      </x:c>
      <x:c r="E188" s="23" t="str">
        <x:v>San Francisco International Airport</x:v>
      </x:c>
      <x:c r="F188" s="23" t="str">
        <x:v>2021-09</x:v>
      </x:c>
      <x:c r="G188" s="23" t="str">
        <x:v>Thru / Transit</x:v>
      </x:c>
      <x:c r="H188" s="23" t="str">
        <x:v>Domestic</x:v>
      </x:c>
      <x:c r="I188" s="23" t="str">
        <x:v>Thru / Transit</x:v>
      </x:c>
      <x:c r="J188" s="72" t="n">
        <x:v>42</x:v>
      </x:c>
      <x:c r="K188" s="23" t="str">
        <x:v>passengers</x:v>
      </x:c>
      <x:c r="L188" s="24" t="str"/>
      <x:c r="M188" s="24" t="n">
        <x:v>46256.6280787037</x:v>
      </x:c>
      <x:c r="N188" s="24" t="n">
        <x:v>46268.86863425926</x:v>
      </x:c>
      <x:c r="O188" s="40" t="b">
        <x:v>0</x:v>
      </x:c>
      <x:c r="P188" s="42" t="str">
        <x:v>current_snapshot_diagnostic_only</x:v>
      </x:c>
    </x:row>
    <x:row r="189">
      <x:c r="A189" s="23" t="str">
        <x:v>e4169017466d1077e867</x:v>
      </x:c>
      <x:c r="B189" s="23" t="str">
        <x:v>SFO_AIR_PASSENGERS</x:v>
      </x:c>
      <x:c r="C189" s="23" t="str">
        <x:v>City and County of San Francisco</x:v>
      </x:c>
      <x:c r="D189" s="23" t="str">
        <x:v>United States</x:v>
      </x:c>
      <x:c r="E189" s="23" t="str">
        <x:v>San Francisco International Airport</x:v>
      </x:c>
      <x:c r="F189" s="23" t="str">
        <x:v>2021-09</x:v>
      </x:c>
      <x:c r="G189" s="23" t="str">
        <x:v>Deplaned</x:v>
      </x:c>
      <x:c r="H189" s="23" t="str">
        <x:v>International</x:v>
      </x:c>
      <x:c r="I189" s="23" t="str">
        <x:v>Deplaned</x:v>
      </x:c>
      <x:c r="J189" s="72" t="n">
        <x:v>176803</x:v>
      </x:c>
      <x:c r="K189" s="23" t="str">
        <x:v>passengers</x:v>
      </x:c>
      <x:c r="L189" s="24" t="str"/>
      <x:c r="M189" s="24" t="n">
        <x:v>46256.6280787037</x:v>
      </x:c>
      <x:c r="N189" s="24" t="n">
        <x:v>46268.86863425926</x:v>
      </x:c>
      <x:c r="O189" s="40" t="b">
        <x:v>1</x:v>
      </x:c>
      <x:c r="P189" s="42" t="str">
        <x:v>current_snapshot_diagnostic_only</x:v>
      </x:c>
    </x:row>
    <x:row r="190">
      <x:c r="A190" s="23" t="str">
        <x:v>0e3981f8e1d297998d81</x:v>
      </x:c>
      <x:c r="B190" s="23" t="str">
        <x:v>SFO_AIR_PASSENGERS</x:v>
      </x:c>
      <x:c r="C190" s="23" t="str">
        <x:v>City and County of San Francisco</x:v>
      </x:c>
      <x:c r="D190" s="23" t="str">
        <x:v>United States</x:v>
      </x:c>
      <x:c r="E190" s="23" t="str">
        <x:v>San Francisco International Airport</x:v>
      </x:c>
      <x:c r="F190" s="23" t="str">
        <x:v>2021-09</x:v>
      </x:c>
      <x:c r="G190" s="23" t="str">
        <x:v>Enplaned</x:v>
      </x:c>
      <x:c r="H190" s="23" t="str">
        <x:v>International</x:v>
      </x:c>
      <x:c r="I190" s="23" t="str">
        <x:v>Enplaned</x:v>
      </x:c>
      <x:c r="J190" s="72" t="n">
        <x:v>160481</x:v>
      </x:c>
      <x:c r="K190" s="23" t="str">
        <x:v>passengers</x:v>
      </x:c>
      <x:c r="L190" s="24" t="str"/>
      <x:c r="M190" s="24" t="n">
        <x:v>46256.6280787037</x:v>
      </x:c>
      <x:c r="N190" s="24" t="n">
        <x:v>46268.86863425926</x:v>
      </x:c>
      <x:c r="O190" s="40" t="b">
        <x:v>1</x:v>
      </x:c>
      <x:c r="P190" s="42" t="str">
        <x:v>current_snapshot_diagnostic_only</x:v>
      </x:c>
    </x:row>
    <x:row r="191">
      <x:c r="A191" s="23" t="str">
        <x:v>6f877ceac5f19ee7a21f</x:v>
      </x:c>
      <x:c r="B191" s="23" t="str">
        <x:v>SFO_AIR_PASSENGERS</x:v>
      </x:c>
      <x:c r="C191" s="23" t="str">
        <x:v>City and County of San Francisco</x:v>
      </x:c>
      <x:c r="D191" s="23" t="str">
        <x:v>United States</x:v>
      </x:c>
      <x:c r="E191" s="23" t="str">
        <x:v>San Francisco International Airport</x:v>
      </x:c>
      <x:c r="F191" s="23" t="str">
        <x:v>2021-10</x:v>
      </x:c>
      <x:c r="G191" s="23" t="str">
        <x:v>Deplaned</x:v>
      </x:c>
      <x:c r="H191" s="23" t="str">
        <x:v>Domestic</x:v>
      </x:c>
      <x:c r="I191" s="23" t="str">
        <x:v>Deplaned</x:v>
      </x:c>
      <x:c r="J191" s="72" t="n">
        <x:v>1186580</x:v>
      </x:c>
      <x:c r="K191" s="23" t="str">
        <x:v>passengers</x:v>
      </x:c>
      <x:c r="L191" s="24" t="str"/>
      <x:c r="M191" s="24" t="n">
        <x:v>46256.6280787037</x:v>
      </x:c>
      <x:c r="N191" s="24" t="n">
        <x:v>46268.86863425926</x:v>
      </x:c>
      <x:c r="O191" s="40" t="b">
        <x:v>1</x:v>
      </x:c>
      <x:c r="P191" s="42" t="str">
        <x:v>current_snapshot_diagnostic_only</x:v>
      </x:c>
    </x:row>
    <x:row r="192">
      <x:c r="A192" s="23" t="str">
        <x:v>c8b68ef393c044b06d2c</x:v>
      </x:c>
      <x:c r="B192" s="23" t="str">
        <x:v>SFO_AIR_PASSENGERS</x:v>
      </x:c>
      <x:c r="C192" s="23" t="str">
        <x:v>City and County of San Francisco</x:v>
      </x:c>
      <x:c r="D192" s="23" t="str">
        <x:v>United States</x:v>
      </x:c>
      <x:c r="E192" s="23" t="str">
        <x:v>San Francisco International Airport</x:v>
      </x:c>
      <x:c r="F192" s="23" t="str">
        <x:v>2021-10</x:v>
      </x:c>
      <x:c r="G192" s="23" t="str">
        <x:v>Enplaned</x:v>
      </x:c>
      <x:c r="H192" s="23" t="str">
        <x:v>Domestic</x:v>
      </x:c>
      <x:c r="I192" s="23" t="str">
        <x:v>Enplaned</x:v>
      </x:c>
      <x:c r="J192" s="72" t="n">
        <x:v>1177345</x:v>
      </x:c>
      <x:c r="K192" s="23" t="str">
        <x:v>passengers</x:v>
      </x:c>
      <x:c r="L192" s="24" t="str"/>
      <x:c r="M192" s="24" t="n">
        <x:v>46256.6280787037</x:v>
      </x:c>
      <x:c r="N192" s="24" t="n">
        <x:v>46268.86863425926</x:v>
      </x:c>
      <x:c r="O192" s="40" t="b">
        <x:v>1</x:v>
      </x:c>
      <x:c r="P192" s="42" t="str">
        <x:v>current_snapshot_diagnostic_only</x:v>
      </x:c>
    </x:row>
    <x:row r="193">
      <x:c r="A193" s="23" t="str">
        <x:v>27eeb67e0b8994695f2c</x:v>
      </x:c>
      <x:c r="B193" s="23" t="str">
        <x:v>SFO_AIR_PASSENGERS</x:v>
      </x:c>
      <x:c r="C193" s="23" t="str">
        <x:v>City and County of San Francisco</x:v>
      </x:c>
      <x:c r="D193" s="23" t="str">
        <x:v>United States</x:v>
      </x:c>
      <x:c r="E193" s="23" t="str">
        <x:v>San Francisco International Airport</x:v>
      </x:c>
      <x:c r="F193" s="23" t="str">
        <x:v>2021-10</x:v>
      </x:c>
      <x:c r="G193" s="23" t="str">
        <x:v>Thru / Transit</x:v>
      </x:c>
      <x:c r="H193" s="23" t="str">
        <x:v>Domestic</x:v>
      </x:c>
      <x:c r="I193" s="23" t="str">
        <x:v>Thru / Transit</x:v>
      </x:c>
      <x:c r="J193" s="72" t="n">
        <x:v>158</x:v>
      </x:c>
      <x:c r="K193" s="23" t="str">
        <x:v>passengers</x:v>
      </x:c>
      <x:c r="L193" s="24" t="str"/>
      <x:c r="M193" s="24" t="n">
        <x:v>46256.6280787037</x:v>
      </x:c>
      <x:c r="N193" s="24" t="n">
        <x:v>46268.86863425926</x:v>
      </x:c>
      <x:c r="O193" s="40" t="b">
        <x:v>0</x:v>
      </x:c>
      <x:c r="P193" s="42" t="str">
        <x:v>current_snapshot_diagnostic_only</x:v>
      </x:c>
    </x:row>
    <x:row r="194">
      <x:c r="A194" s="23" t="str">
        <x:v>8b62e88cff53d41bb198</x:v>
      </x:c>
      <x:c r="B194" s="23" t="str">
        <x:v>SFO_AIR_PASSENGERS</x:v>
      </x:c>
      <x:c r="C194" s="23" t="str">
        <x:v>City and County of San Francisco</x:v>
      </x:c>
      <x:c r="D194" s="23" t="str">
        <x:v>United States</x:v>
      </x:c>
      <x:c r="E194" s="23" t="str">
        <x:v>San Francisco International Airport</x:v>
      </x:c>
      <x:c r="F194" s="23" t="str">
        <x:v>2021-10</x:v>
      </x:c>
      <x:c r="G194" s="23" t="str">
        <x:v>Deplaned</x:v>
      </x:c>
      <x:c r="H194" s="23" t="str">
        <x:v>International</x:v>
      </x:c>
      <x:c r="I194" s="23" t="str">
        <x:v>Deplaned</x:v>
      </x:c>
      <x:c r="J194" s="72" t="n">
        <x:v>179442</x:v>
      </x:c>
      <x:c r="K194" s="23" t="str">
        <x:v>passengers</x:v>
      </x:c>
      <x:c r="L194" s="24" t="str"/>
      <x:c r="M194" s="24" t="n">
        <x:v>46256.6280787037</x:v>
      </x:c>
      <x:c r="N194" s="24" t="n">
        <x:v>46268.86863425926</x:v>
      </x:c>
      <x:c r="O194" s="40" t="b">
        <x:v>1</x:v>
      </x:c>
      <x:c r="P194" s="42" t="str">
        <x:v>current_snapshot_diagnostic_only</x:v>
      </x:c>
    </x:row>
    <x:row r="195">
      <x:c r="A195" s="23" t="str">
        <x:v>268ba26abe3df0efe7e1</x:v>
      </x:c>
      <x:c r="B195" s="23" t="str">
        <x:v>SFO_AIR_PASSENGERS</x:v>
      </x:c>
      <x:c r="C195" s="23" t="str">
        <x:v>City and County of San Francisco</x:v>
      </x:c>
      <x:c r="D195" s="23" t="str">
        <x:v>United States</x:v>
      </x:c>
      <x:c r="E195" s="23" t="str">
        <x:v>San Francisco International Airport</x:v>
      </x:c>
      <x:c r="F195" s="23" t="str">
        <x:v>2021-10</x:v>
      </x:c>
      <x:c r="G195" s="23" t="str">
        <x:v>Enplaned</x:v>
      </x:c>
      <x:c r="H195" s="23" t="str">
        <x:v>International</x:v>
      </x:c>
      <x:c r="I195" s="23" t="str">
        <x:v>Enplaned</x:v>
      </x:c>
      <x:c r="J195" s="72" t="n">
        <x:v>168113</x:v>
      </x:c>
      <x:c r="K195" s="23" t="str">
        <x:v>passengers</x:v>
      </x:c>
      <x:c r="L195" s="24" t="str"/>
      <x:c r="M195" s="24" t="n">
        <x:v>46256.6280787037</x:v>
      </x:c>
      <x:c r="N195" s="24" t="n">
        <x:v>46268.86863425926</x:v>
      </x:c>
      <x:c r="O195" s="40" t="b">
        <x:v>1</x:v>
      </x:c>
      <x:c r="P195" s="42" t="str">
        <x:v>current_snapshot_diagnostic_only</x:v>
      </x:c>
    </x:row>
    <x:row r="196">
      <x:c r="A196" s="23" t="str">
        <x:v>4f941efc0ee7d0e43810</x:v>
      </x:c>
      <x:c r="B196" s="23" t="str">
        <x:v>SFO_AIR_PASSENGERS</x:v>
      </x:c>
      <x:c r="C196" s="23" t="str">
        <x:v>City and County of San Francisco</x:v>
      </x:c>
      <x:c r="D196" s="23" t="str">
        <x:v>United States</x:v>
      </x:c>
      <x:c r="E196" s="23" t="str">
        <x:v>San Francisco International Airport</x:v>
      </x:c>
      <x:c r="F196" s="23" t="str">
        <x:v>2021-11</x:v>
      </x:c>
      <x:c r="G196" s="23" t="str">
        <x:v>Deplaned</x:v>
      </x:c>
      <x:c r="H196" s="23" t="str">
        <x:v>Domestic</x:v>
      </x:c>
      <x:c r="I196" s="23" t="str">
        <x:v>Deplaned</x:v>
      </x:c>
      <x:c r="J196" s="72" t="n">
        <x:v>1180931</x:v>
      </x:c>
      <x:c r="K196" s="23" t="str">
        <x:v>passengers</x:v>
      </x:c>
      <x:c r="L196" s="24" t="str"/>
      <x:c r="M196" s="24" t="n">
        <x:v>46256.6280787037</x:v>
      </x:c>
      <x:c r="N196" s="24" t="n">
        <x:v>46268.86863425926</x:v>
      </x:c>
      <x:c r="O196" s="40" t="b">
        <x:v>1</x:v>
      </x:c>
      <x:c r="P196" s="42" t="str">
        <x:v>current_snapshot_diagnostic_only</x:v>
      </x:c>
    </x:row>
    <x:row r="197">
      <x:c r="A197" s="23" t="str">
        <x:v>74de6952328a72d389d2</x:v>
      </x:c>
      <x:c r="B197" s="23" t="str">
        <x:v>SFO_AIR_PASSENGERS</x:v>
      </x:c>
      <x:c r="C197" s="23" t="str">
        <x:v>City and County of San Francisco</x:v>
      </x:c>
      <x:c r="D197" s="23" t="str">
        <x:v>United States</x:v>
      </x:c>
      <x:c r="E197" s="23" t="str">
        <x:v>San Francisco International Airport</x:v>
      </x:c>
      <x:c r="F197" s="23" t="str">
        <x:v>2021-11</x:v>
      </x:c>
      <x:c r="G197" s="23" t="str">
        <x:v>Enplaned</x:v>
      </x:c>
      <x:c r="H197" s="23" t="str">
        <x:v>Domestic</x:v>
      </x:c>
      <x:c r="I197" s="23" t="str">
        <x:v>Enplaned</x:v>
      </x:c>
      <x:c r="J197" s="72" t="n">
        <x:v>1201975</x:v>
      </x:c>
      <x:c r="K197" s="23" t="str">
        <x:v>passengers</x:v>
      </x:c>
      <x:c r="L197" s="24" t="str"/>
      <x:c r="M197" s="24" t="n">
        <x:v>46256.6280787037</x:v>
      </x:c>
      <x:c r="N197" s="24" t="n">
        <x:v>46268.86863425926</x:v>
      </x:c>
      <x:c r="O197" s="40" t="b">
        <x:v>1</x:v>
      </x:c>
      <x:c r="P197" s="42" t="str">
        <x:v>current_snapshot_diagnostic_only</x:v>
      </x:c>
    </x:row>
    <x:row r="198">
      <x:c r="A198" s="23" t="str">
        <x:v>ba909bbff223277f040e</x:v>
      </x:c>
      <x:c r="B198" s="23" t="str">
        <x:v>SFO_AIR_PASSENGERS</x:v>
      </x:c>
      <x:c r="C198" s="23" t="str">
        <x:v>City and County of San Francisco</x:v>
      </x:c>
      <x:c r="D198" s="23" t="str">
        <x:v>United States</x:v>
      </x:c>
      <x:c r="E198" s="23" t="str">
        <x:v>San Francisco International Airport</x:v>
      </x:c>
      <x:c r="F198" s="23" t="str">
        <x:v>2021-11</x:v>
      </x:c>
      <x:c r="G198" s="23" t="str">
        <x:v>Thru / Transit</x:v>
      </x:c>
      <x:c r="H198" s="23" t="str">
        <x:v>Domestic</x:v>
      </x:c>
      <x:c r="I198" s="23" t="str">
        <x:v>Thru / Transit</x:v>
      </x:c>
      <x:c r="J198" s="72" t="n">
        <x:v>432</x:v>
      </x:c>
      <x:c r="K198" s="23" t="str">
        <x:v>passengers</x:v>
      </x:c>
      <x:c r="L198" s="24" t="str"/>
      <x:c r="M198" s="24" t="n">
        <x:v>46256.6280787037</x:v>
      </x:c>
      <x:c r="N198" s="24" t="n">
        <x:v>46268.86863425926</x:v>
      </x:c>
      <x:c r="O198" s="40" t="b">
        <x:v>0</x:v>
      </x:c>
      <x:c r="P198" s="42" t="str">
        <x:v>current_snapshot_diagnostic_only</x:v>
      </x:c>
    </x:row>
    <x:row r="199">
      <x:c r="A199" s="23" t="str">
        <x:v>9b5fec1ca2fd540bfed8</x:v>
      </x:c>
      <x:c r="B199" s="23" t="str">
        <x:v>SFO_AIR_PASSENGERS</x:v>
      </x:c>
      <x:c r="C199" s="23" t="str">
        <x:v>City and County of San Francisco</x:v>
      </x:c>
      <x:c r="D199" s="23" t="str">
        <x:v>United States</x:v>
      </x:c>
      <x:c r="E199" s="23" t="str">
        <x:v>San Francisco International Airport</x:v>
      </x:c>
      <x:c r="F199" s="23" t="str">
        <x:v>2021-11</x:v>
      </x:c>
      <x:c r="G199" s="23" t="str">
        <x:v>Deplaned</x:v>
      </x:c>
      <x:c r="H199" s="23" t="str">
        <x:v>International</x:v>
      </x:c>
      <x:c r="I199" s="23" t="str">
        <x:v>Deplaned</x:v>
      </x:c>
      <x:c r="J199" s="72" t="n">
        <x:v>212397</x:v>
      </x:c>
      <x:c r="K199" s="23" t="str">
        <x:v>passengers</x:v>
      </x:c>
      <x:c r="L199" s="24" t="str"/>
      <x:c r="M199" s="24" t="n">
        <x:v>46256.6280787037</x:v>
      </x:c>
      <x:c r="N199" s="24" t="n">
        <x:v>46268.86863425926</x:v>
      </x:c>
      <x:c r="O199" s="40" t="b">
        <x:v>1</x:v>
      </x:c>
      <x:c r="P199" s="42" t="str">
        <x:v>current_snapshot_diagnostic_only</x:v>
      </x:c>
    </x:row>
    <x:row r="200">
      <x:c r="A200" s="23" t="str">
        <x:v>97238079af9ff2f58f6f</x:v>
      </x:c>
      <x:c r="B200" s="23" t="str">
        <x:v>SFO_AIR_PASSENGERS</x:v>
      </x:c>
      <x:c r="C200" s="23" t="str">
        <x:v>City and County of San Francisco</x:v>
      </x:c>
      <x:c r="D200" s="23" t="str">
        <x:v>United States</x:v>
      </x:c>
      <x:c r="E200" s="23" t="str">
        <x:v>San Francisco International Airport</x:v>
      </x:c>
      <x:c r="F200" s="23" t="str">
        <x:v>2021-11</x:v>
      </x:c>
      <x:c r="G200" s="23" t="str">
        <x:v>Enplaned</x:v>
      </x:c>
      <x:c r="H200" s="23" t="str">
        <x:v>International</x:v>
      </x:c>
      <x:c r="I200" s="23" t="str">
        <x:v>Enplaned</x:v>
      </x:c>
      <x:c r="J200" s="72" t="n">
        <x:v>202215</x:v>
      </x:c>
      <x:c r="K200" s="23" t="str">
        <x:v>passengers</x:v>
      </x:c>
      <x:c r="L200" s="24" t="str"/>
      <x:c r="M200" s="24" t="n">
        <x:v>46256.6280787037</x:v>
      </x:c>
      <x:c r="N200" s="24" t="n">
        <x:v>46268.86863425926</x:v>
      </x:c>
      <x:c r="O200" s="40" t="b">
        <x:v>1</x:v>
      </x:c>
      <x:c r="P200" s="42" t="str">
        <x:v>current_snapshot_diagnostic_only</x:v>
      </x:c>
    </x:row>
    <x:row r="201">
      <x:c r="A201" s="23" t="str">
        <x:v>593f6adfb53b63fa2292</x:v>
      </x:c>
      <x:c r="B201" s="23" t="str">
        <x:v>SFO_AIR_PASSENGERS</x:v>
      </x:c>
      <x:c r="C201" s="23" t="str">
        <x:v>City and County of San Francisco</x:v>
      </x:c>
      <x:c r="D201" s="23" t="str">
        <x:v>United States</x:v>
      </x:c>
      <x:c r="E201" s="23" t="str">
        <x:v>San Francisco International Airport</x:v>
      </x:c>
      <x:c r="F201" s="23" t="str">
        <x:v>2021-11</x:v>
      </x:c>
      <x:c r="G201" s="23" t="str">
        <x:v>Thru / Transit</x:v>
      </x:c>
      <x:c r="H201" s="23" t="str">
        <x:v>International</x:v>
      </x:c>
      <x:c r="I201" s="23" t="str">
        <x:v>Thru / Transit</x:v>
      </x:c>
      <x:c r="J201" s="72" t="n">
        <x:v>1731</x:v>
      </x:c>
      <x:c r="K201" s="23" t="str">
        <x:v>passengers</x:v>
      </x:c>
      <x:c r="L201" s="24" t="str"/>
      <x:c r="M201" s="24" t="n">
        <x:v>46256.6280787037</x:v>
      </x:c>
      <x:c r="N201" s="24" t="n">
        <x:v>46268.86863425926</x:v>
      </x:c>
      <x:c r="O201" s="40" t="b">
        <x:v>0</x:v>
      </x:c>
      <x:c r="P201" s="42" t="str">
        <x:v>current_snapshot_diagnostic_only</x:v>
      </x:c>
    </x:row>
    <x:row r="202">
      <x:c r="A202" s="23" t="str">
        <x:v>6338335b8762496f4b04</x:v>
      </x:c>
      <x:c r="B202" s="23" t="str">
        <x:v>SFO_AIR_PASSENGERS</x:v>
      </x:c>
      <x:c r="C202" s="23" t="str">
        <x:v>City and County of San Francisco</x:v>
      </x:c>
      <x:c r="D202" s="23" t="str">
        <x:v>United States</x:v>
      </x:c>
      <x:c r="E202" s="23" t="str">
        <x:v>San Francisco International Airport</x:v>
      </x:c>
      <x:c r="F202" s="23" t="str">
        <x:v>2021-12</x:v>
      </x:c>
      <x:c r="G202" s="23" t="str">
        <x:v>Deplaned</x:v>
      </x:c>
      <x:c r="H202" s="23" t="str">
        <x:v>Domestic</x:v>
      </x:c>
      <x:c r="I202" s="23" t="str">
        <x:v>Deplaned</x:v>
      </x:c>
      <x:c r="J202" s="72" t="n">
        <x:v>1179924</x:v>
      </x:c>
      <x:c r="K202" s="23" t="str">
        <x:v>passengers</x:v>
      </x:c>
      <x:c r="L202" s="24" t="str"/>
      <x:c r="M202" s="24" t="n">
        <x:v>46256.6280787037</x:v>
      </x:c>
      <x:c r="N202" s="24" t="n">
        <x:v>46268.86863425926</x:v>
      </x:c>
      <x:c r="O202" s="40" t="b">
        <x:v>1</x:v>
      </x:c>
      <x:c r="P202" s="42" t="str">
        <x:v>current_snapshot_diagnostic_only</x:v>
      </x:c>
    </x:row>
    <x:row r="203">
      <x:c r="A203" s="23" t="str">
        <x:v>66e75310c6fcd9873cc8</x:v>
      </x:c>
      <x:c r="B203" s="23" t="str">
        <x:v>SFO_AIR_PASSENGERS</x:v>
      </x:c>
      <x:c r="C203" s="23" t="str">
        <x:v>City and County of San Francisco</x:v>
      </x:c>
      <x:c r="D203" s="23" t="str">
        <x:v>United States</x:v>
      </x:c>
      <x:c r="E203" s="23" t="str">
        <x:v>San Francisco International Airport</x:v>
      </x:c>
      <x:c r="F203" s="23" t="str">
        <x:v>2021-12</x:v>
      </x:c>
      <x:c r="G203" s="23" t="str">
        <x:v>Enplaned</x:v>
      </x:c>
      <x:c r="H203" s="23" t="str">
        <x:v>Domestic</x:v>
      </x:c>
      <x:c r="I203" s="23" t="str">
        <x:v>Enplaned</x:v>
      </x:c>
      <x:c r="J203" s="72" t="n">
        <x:v>1205517</x:v>
      </x:c>
      <x:c r="K203" s="23" t="str">
        <x:v>passengers</x:v>
      </x:c>
      <x:c r="L203" s="24" t="str"/>
      <x:c r="M203" s="24" t="n">
        <x:v>46256.6280787037</x:v>
      </x:c>
      <x:c r="N203" s="24" t="n">
        <x:v>46268.86863425926</x:v>
      </x:c>
      <x:c r="O203" s="40" t="b">
        <x:v>1</x:v>
      </x:c>
      <x:c r="P203" s="42" t="str">
        <x:v>current_snapshot_diagnostic_only</x:v>
      </x:c>
    </x:row>
    <x:row r="204">
      <x:c r="A204" s="23" t="str">
        <x:v>760e9c8570325282b614</x:v>
      </x:c>
      <x:c r="B204" s="23" t="str">
        <x:v>SFO_AIR_PASSENGERS</x:v>
      </x:c>
      <x:c r="C204" s="23" t="str">
        <x:v>City and County of San Francisco</x:v>
      </x:c>
      <x:c r="D204" s="23" t="str">
        <x:v>United States</x:v>
      </x:c>
      <x:c r="E204" s="23" t="str">
        <x:v>San Francisco International Airport</x:v>
      </x:c>
      <x:c r="F204" s="23" t="str">
        <x:v>2021-12</x:v>
      </x:c>
      <x:c r="G204" s="23" t="str">
        <x:v>Thru / Transit</x:v>
      </x:c>
      <x:c r="H204" s="23" t="str">
        <x:v>Domestic</x:v>
      </x:c>
      <x:c r="I204" s="23" t="str">
        <x:v>Thru / Transit</x:v>
      </x:c>
      <x:c r="J204" s="72" t="n">
        <x:v>214</x:v>
      </x:c>
      <x:c r="K204" s="23" t="str">
        <x:v>passengers</x:v>
      </x:c>
      <x:c r="L204" s="24" t="str"/>
      <x:c r="M204" s="24" t="n">
        <x:v>46256.6280787037</x:v>
      </x:c>
      <x:c r="N204" s="24" t="n">
        <x:v>46268.86863425926</x:v>
      </x:c>
      <x:c r="O204" s="40" t="b">
        <x:v>0</x:v>
      </x:c>
      <x:c r="P204" s="42" t="str">
        <x:v>current_snapshot_diagnostic_only</x:v>
      </x:c>
    </x:row>
    <x:row r="205">
      <x:c r="A205" s="23" t="str">
        <x:v>6382c003d9082b123110</x:v>
      </x:c>
      <x:c r="B205" s="23" t="str">
        <x:v>SFO_AIR_PASSENGERS</x:v>
      </x:c>
      <x:c r="C205" s="23" t="str">
        <x:v>City and County of San Francisco</x:v>
      </x:c>
      <x:c r="D205" s="23" t="str">
        <x:v>United States</x:v>
      </x:c>
      <x:c r="E205" s="23" t="str">
        <x:v>San Francisco International Airport</x:v>
      </x:c>
      <x:c r="F205" s="23" t="str">
        <x:v>2021-12</x:v>
      </x:c>
      <x:c r="G205" s="23" t="str">
        <x:v>Deplaned</x:v>
      </x:c>
      <x:c r="H205" s="23" t="str">
        <x:v>International</x:v>
      </x:c>
      <x:c r="I205" s="23" t="str">
        <x:v>Deplaned</x:v>
      </x:c>
      <x:c r="J205" s="72" t="n">
        <x:v>255511</x:v>
      </x:c>
      <x:c r="K205" s="23" t="str">
        <x:v>passengers</x:v>
      </x:c>
      <x:c r="L205" s="24" t="str"/>
      <x:c r="M205" s="24" t="n">
        <x:v>46256.6280787037</x:v>
      </x:c>
      <x:c r="N205" s="24" t="n">
        <x:v>46268.86863425926</x:v>
      </x:c>
      <x:c r="O205" s="40" t="b">
        <x:v>1</x:v>
      </x:c>
      <x:c r="P205" s="42" t="str">
        <x:v>current_snapshot_diagnostic_only</x:v>
      </x:c>
    </x:row>
    <x:row r="206">
      <x:c r="A206" s="23" t="str">
        <x:v>6380aa5f2eea0f87034a</x:v>
      </x:c>
      <x:c r="B206" s="23" t="str">
        <x:v>SFO_AIR_PASSENGERS</x:v>
      </x:c>
      <x:c r="C206" s="23" t="str">
        <x:v>City and County of San Francisco</x:v>
      </x:c>
      <x:c r="D206" s="23" t="str">
        <x:v>United States</x:v>
      </x:c>
      <x:c r="E206" s="23" t="str">
        <x:v>San Francisco International Airport</x:v>
      </x:c>
      <x:c r="F206" s="23" t="str">
        <x:v>2021-12</x:v>
      </x:c>
      <x:c r="G206" s="23" t="str">
        <x:v>Enplaned</x:v>
      </x:c>
      <x:c r="H206" s="23" t="str">
        <x:v>International</x:v>
      </x:c>
      <x:c r="I206" s="23" t="str">
        <x:v>Enplaned</x:v>
      </x:c>
      <x:c r="J206" s="72" t="n">
        <x:v>268864</x:v>
      </x:c>
      <x:c r="K206" s="23" t="str">
        <x:v>passengers</x:v>
      </x:c>
      <x:c r="L206" s="24" t="str"/>
      <x:c r="M206" s="24" t="n">
        <x:v>46256.6280787037</x:v>
      </x:c>
      <x:c r="N206" s="24" t="n">
        <x:v>46268.86863425926</x:v>
      </x:c>
      <x:c r="O206" s="40" t="b">
        <x:v>1</x:v>
      </x:c>
      <x:c r="P206" s="42" t="str">
        <x:v>current_snapshot_diagnostic_only</x:v>
      </x:c>
    </x:row>
    <x:row r="207">
      <x:c r="A207" s="23" t="str">
        <x:v>7bfb78f76d51a92b8a88</x:v>
      </x:c>
      <x:c r="B207" s="23" t="str">
        <x:v>SFO_AIR_PASSENGERS</x:v>
      </x:c>
      <x:c r="C207" s="23" t="str">
        <x:v>City and County of San Francisco</x:v>
      </x:c>
      <x:c r="D207" s="23" t="str">
        <x:v>United States</x:v>
      </x:c>
      <x:c r="E207" s="23" t="str">
        <x:v>San Francisco International Airport</x:v>
      </x:c>
      <x:c r="F207" s="23" t="str">
        <x:v>2021-12</x:v>
      </x:c>
      <x:c r="G207" s="23" t="str">
        <x:v>Thru / Transit</x:v>
      </x:c>
      <x:c r="H207" s="23" t="str">
        <x:v>International</x:v>
      </x:c>
      <x:c r="I207" s="23" t="str">
        <x:v>Thru / Transit</x:v>
      </x:c>
      <x:c r="J207" s="72" t="n">
        <x:v>5425</x:v>
      </x:c>
      <x:c r="K207" s="23" t="str">
        <x:v>passengers</x:v>
      </x:c>
      <x:c r="L207" s="24" t="str"/>
      <x:c r="M207" s="24" t="n">
        <x:v>46256.6280787037</x:v>
      </x:c>
      <x:c r="N207" s="24" t="n">
        <x:v>46268.86863425926</x:v>
      </x:c>
      <x:c r="O207" s="40" t="b">
        <x:v>0</x:v>
      </x:c>
      <x:c r="P207" s="42" t="str">
        <x:v>current_snapshot_diagnostic_only</x:v>
      </x:c>
    </x:row>
    <x:row r="208">
      <x:c r="A208" s="23" t="str">
        <x:v>d7a81e049caf7de825d7</x:v>
      </x:c>
      <x:c r="B208" s="23" t="str">
        <x:v>SFO_AIR_PASSENGERS</x:v>
      </x:c>
      <x:c r="C208" s="23" t="str">
        <x:v>City and County of San Francisco</x:v>
      </x:c>
      <x:c r="D208" s="23" t="str">
        <x:v>United States</x:v>
      </x:c>
      <x:c r="E208" s="23" t="str">
        <x:v>San Francisco International Airport</x:v>
      </x:c>
      <x:c r="F208" s="23" t="str">
        <x:v>2022-01</x:v>
      </x:c>
      <x:c r="G208" s="23" t="str">
        <x:v>Deplaned</x:v>
      </x:c>
      <x:c r="H208" s="23" t="str">
        <x:v>Domestic</x:v>
      </x:c>
      <x:c r="I208" s="23" t="str">
        <x:v>Deplaned</x:v>
      </x:c>
      <x:c r="J208" s="72" t="n">
        <x:v>861511</x:v>
      </x:c>
      <x:c r="K208" s="23" t="str">
        <x:v>passengers</x:v>
      </x:c>
      <x:c r="L208" s="24" t="str"/>
      <x:c r="M208" s="24" t="n">
        <x:v>46256.6280787037</x:v>
      </x:c>
      <x:c r="N208" s="24" t="n">
        <x:v>46268.86863425926</x:v>
      </x:c>
      <x:c r="O208" s="40" t="b">
        <x:v>1</x:v>
      </x:c>
      <x:c r="P208" s="42" t="str">
        <x:v>current_snapshot_diagnostic_only</x:v>
      </x:c>
    </x:row>
    <x:row r="209">
      <x:c r="A209" s="23" t="str">
        <x:v>f786037a7ecdf4e94b79</x:v>
      </x:c>
      <x:c r="B209" s="23" t="str">
        <x:v>SFO_AIR_PASSENGERS</x:v>
      </x:c>
      <x:c r="C209" s="23" t="str">
        <x:v>City and County of San Francisco</x:v>
      </x:c>
      <x:c r="D209" s="23" t="str">
        <x:v>United States</x:v>
      </x:c>
      <x:c r="E209" s="23" t="str">
        <x:v>San Francisco International Airport</x:v>
      </x:c>
      <x:c r="F209" s="23" t="str">
        <x:v>2022-01</x:v>
      </x:c>
      <x:c r="G209" s="23" t="str">
        <x:v>Enplaned</x:v>
      </x:c>
      <x:c r="H209" s="23" t="str">
        <x:v>Domestic</x:v>
      </x:c>
      <x:c r="I209" s="23" t="str">
        <x:v>Enplaned</x:v>
      </x:c>
      <x:c r="J209" s="72" t="n">
        <x:v>816277</x:v>
      </x:c>
      <x:c r="K209" s="23" t="str">
        <x:v>passengers</x:v>
      </x:c>
      <x:c r="L209" s="24" t="str"/>
      <x:c r="M209" s="24" t="n">
        <x:v>46256.6280787037</x:v>
      </x:c>
      <x:c r="N209" s="24" t="n">
        <x:v>46268.86863425926</x:v>
      </x:c>
      <x:c r="O209" s="40" t="b">
        <x:v>1</x:v>
      </x:c>
      <x:c r="P209" s="42" t="str">
        <x:v>current_snapshot_diagnostic_only</x:v>
      </x:c>
    </x:row>
    <x:row r="210">
      <x:c r="A210" s="23" t="str">
        <x:v>56f7d62a208206fdcd8d</x:v>
      </x:c>
      <x:c r="B210" s="23" t="str">
        <x:v>SFO_AIR_PASSENGERS</x:v>
      </x:c>
      <x:c r="C210" s="23" t="str">
        <x:v>City and County of San Francisco</x:v>
      </x:c>
      <x:c r="D210" s="23" t="str">
        <x:v>United States</x:v>
      </x:c>
      <x:c r="E210" s="23" t="str">
        <x:v>San Francisco International Airport</x:v>
      </x:c>
      <x:c r="F210" s="23" t="str">
        <x:v>2022-01</x:v>
      </x:c>
      <x:c r="G210" s="23" t="str">
        <x:v>Thru / Transit</x:v>
      </x:c>
      <x:c r="H210" s="23" t="str">
        <x:v>Domestic</x:v>
      </x:c>
      <x:c r="I210" s="23" t="str">
        <x:v>Thru / Transit</x:v>
      </x:c>
      <x:c r="J210" s="72" t="n">
        <x:v>670</x:v>
      </x:c>
      <x:c r="K210" s="23" t="str">
        <x:v>passengers</x:v>
      </x:c>
      <x:c r="L210" s="24" t="str"/>
      <x:c r="M210" s="24" t="n">
        <x:v>46256.6280787037</x:v>
      </x:c>
      <x:c r="N210" s="24" t="n">
        <x:v>46268.86863425926</x:v>
      </x:c>
      <x:c r="O210" s="40" t="b">
        <x:v>0</x:v>
      </x:c>
      <x:c r="P210" s="42" t="str">
        <x:v>current_snapshot_diagnostic_only</x:v>
      </x:c>
    </x:row>
    <x:row r="211">
      <x:c r="A211" s="23" t="str">
        <x:v>780e41c748c6b6032b20</x:v>
      </x:c>
      <x:c r="B211" s="23" t="str">
        <x:v>SFO_AIR_PASSENGERS</x:v>
      </x:c>
      <x:c r="C211" s="23" t="str">
        <x:v>City and County of San Francisco</x:v>
      </x:c>
      <x:c r="D211" s="23" t="str">
        <x:v>United States</x:v>
      </x:c>
      <x:c r="E211" s="23" t="str">
        <x:v>San Francisco International Airport</x:v>
      </x:c>
      <x:c r="F211" s="23" t="str">
        <x:v>2022-01</x:v>
      </x:c>
      <x:c r="G211" s="23" t="str">
        <x:v>Deplaned</x:v>
      </x:c>
      <x:c r="H211" s="23" t="str">
        <x:v>International</x:v>
      </x:c>
      <x:c r="I211" s="23" t="str">
        <x:v>Deplaned</x:v>
      </x:c>
      <x:c r="J211" s="72" t="n">
        <x:v>220432</x:v>
      </x:c>
      <x:c r="K211" s="23" t="str">
        <x:v>passengers</x:v>
      </x:c>
      <x:c r="L211" s="24" t="str"/>
      <x:c r="M211" s="24" t="n">
        <x:v>46256.6280787037</x:v>
      </x:c>
      <x:c r="N211" s="24" t="n">
        <x:v>46268.86863425926</x:v>
      </x:c>
      <x:c r="O211" s="40" t="b">
        <x:v>1</x:v>
      </x:c>
      <x:c r="P211" s="42" t="str">
        <x:v>current_snapshot_diagnostic_only</x:v>
      </x:c>
    </x:row>
    <x:row r="212">
      <x:c r="A212" s="23" t="str">
        <x:v>891b7139602fa1dbab05</x:v>
      </x:c>
      <x:c r="B212" s="23" t="str">
        <x:v>SFO_AIR_PASSENGERS</x:v>
      </x:c>
      <x:c r="C212" s="23" t="str">
        <x:v>City and County of San Francisco</x:v>
      </x:c>
      <x:c r="D212" s="23" t="str">
        <x:v>United States</x:v>
      </x:c>
      <x:c r="E212" s="23" t="str">
        <x:v>San Francisco International Airport</x:v>
      </x:c>
      <x:c r="F212" s="23" t="str">
        <x:v>2022-01</x:v>
      </x:c>
      <x:c r="G212" s="23" t="str">
        <x:v>Enplaned</x:v>
      </x:c>
      <x:c r="H212" s="23" t="str">
        <x:v>International</x:v>
      </x:c>
      <x:c r="I212" s="23" t="str">
        <x:v>Enplaned</x:v>
      </x:c>
      <x:c r="J212" s="72" t="n">
        <x:v>189220</x:v>
      </x:c>
      <x:c r="K212" s="23" t="str">
        <x:v>passengers</x:v>
      </x:c>
      <x:c r="L212" s="24" t="str"/>
      <x:c r="M212" s="24" t="n">
        <x:v>46256.6280787037</x:v>
      </x:c>
      <x:c r="N212" s="24" t="n">
        <x:v>46268.86863425926</x:v>
      </x:c>
      <x:c r="O212" s="40" t="b">
        <x:v>1</x:v>
      </x:c>
      <x:c r="P212" s="42" t="str">
        <x:v>current_snapshot_diagnostic_only</x:v>
      </x:c>
    </x:row>
    <x:row r="213">
      <x:c r="A213" s="23" t="str">
        <x:v>52aad961354c836743cf</x:v>
      </x:c>
      <x:c r="B213" s="23" t="str">
        <x:v>SFO_AIR_PASSENGERS</x:v>
      </x:c>
      <x:c r="C213" s="23" t="str">
        <x:v>City and County of San Francisco</x:v>
      </x:c>
      <x:c r="D213" s="23" t="str">
        <x:v>United States</x:v>
      </x:c>
      <x:c r="E213" s="23" t="str">
        <x:v>San Francisco International Airport</x:v>
      </x:c>
      <x:c r="F213" s="23" t="str">
        <x:v>2022-01</x:v>
      </x:c>
      <x:c r="G213" s="23" t="str">
        <x:v>Thru / Transit</x:v>
      </x:c>
      <x:c r="H213" s="23" t="str">
        <x:v>International</x:v>
      </x:c>
      <x:c r="I213" s="23" t="str">
        <x:v>Thru / Transit</x:v>
      </x:c>
      <x:c r="J213" s="72" t="n">
        <x:v>4458</x:v>
      </x:c>
      <x:c r="K213" s="23" t="str">
        <x:v>passengers</x:v>
      </x:c>
      <x:c r="L213" s="24" t="str"/>
      <x:c r="M213" s="24" t="n">
        <x:v>46256.6280787037</x:v>
      </x:c>
      <x:c r="N213" s="24" t="n">
        <x:v>46268.86863425926</x:v>
      </x:c>
      <x:c r="O213" s="40" t="b">
        <x:v>0</x:v>
      </x:c>
      <x:c r="P213" s="42" t="str">
        <x:v>current_snapshot_diagnostic_only</x:v>
      </x:c>
    </x:row>
    <x:row r="214">
      <x:c r="A214" s="23" t="str">
        <x:v>a1ae3c38aea20ac94597</x:v>
      </x:c>
      <x:c r="B214" s="23" t="str">
        <x:v>SFO_AIR_PASSENGERS</x:v>
      </x:c>
      <x:c r="C214" s="23" t="str">
        <x:v>City and County of San Francisco</x:v>
      </x:c>
      <x:c r="D214" s="23" t="str">
        <x:v>United States</x:v>
      </x:c>
      <x:c r="E214" s="23" t="str">
        <x:v>San Francisco International Airport</x:v>
      </x:c>
      <x:c r="F214" s="23" t="str">
        <x:v>2022-02</x:v>
      </x:c>
      <x:c r="G214" s="23" t="str">
        <x:v>Deplaned</x:v>
      </x:c>
      <x:c r="H214" s="23" t="str">
        <x:v>Domestic</x:v>
      </x:c>
      <x:c r="I214" s="23" t="str">
        <x:v>Deplaned</x:v>
      </x:c>
      <x:c r="J214" s="72" t="n">
        <x:v>949781</x:v>
      </x:c>
      <x:c r="K214" s="23" t="str">
        <x:v>passengers</x:v>
      </x:c>
      <x:c r="L214" s="24" t="str"/>
      <x:c r="M214" s="24" t="n">
        <x:v>46256.6280787037</x:v>
      </x:c>
      <x:c r="N214" s="24" t="n">
        <x:v>46268.86863425926</x:v>
      </x:c>
      <x:c r="O214" s="40" t="b">
        <x:v>1</x:v>
      </x:c>
      <x:c r="P214" s="42" t="str">
        <x:v>current_snapshot_diagnostic_only</x:v>
      </x:c>
    </x:row>
    <x:row r="215">
      <x:c r="A215" s="23" t="str">
        <x:v>4b6563294eeff85f00ec</x:v>
      </x:c>
      <x:c r="B215" s="23" t="str">
        <x:v>SFO_AIR_PASSENGERS</x:v>
      </x:c>
      <x:c r="C215" s="23" t="str">
        <x:v>City and County of San Francisco</x:v>
      </x:c>
      <x:c r="D215" s="23" t="str">
        <x:v>United States</x:v>
      </x:c>
      <x:c r="E215" s="23" t="str">
        <x:v>San Francisco International Airport</x:v>
      </x:c>
      <x:c r="F215" s="23" t="str">
        <x:v>2022-02</x:v>
      </x:c>
      <x:c r="G215" s="23" t="str">
        <x:v>Enplaned</x:v>
      </x:c>
      <x:c r="H215" s="23" t="str">
        <x:v>Domestic</x:v>
      </x:c>
      <x:c r="I215" s="23" t="str">
        <x:v>Enplaned</x:v>
      </x:c>
      <x:c r="J215" s="72" t="n">
        <x:v>948859</x:v>
      </x:c>
      <x:c r="K215" s="23" t="str">
        <x:v>passengers</x:v>
      </x:c>
      <x:c r="L215" s="24" t="str"/>
      <x:c r="M215" s="24" t="n">
        <x:v>46256.6280787037</x:v>
      </x:c>
      <x:c r="N215" s="24" t="n">
        <x:v>46268.86863425926</x:v>
      </x:c>
      <x:c r="O215" s="40" t="b">
        <x:v>1</x:v>
      </x:c>
      <x:c r="P215" s="42" t="str">
        <x:v>current_snapshot_diagnostic_only</x:v>
      </x:c>
    </x:row>
    <x:row r="216">
      <x:c r="A216" s="23" t="str">
        <x:v>059bdfc1e331c9deb6f5</x:v>
      </x:c>
      <x:c r="B216" s="23" t="str">
        <x:v>SFO_AIR_PASSENGERS</x:v>
      </x:c>
      <x:c r="C216" s="23" t="str">
        <x:v>City and County of San Francisco</x:v>
      </x:c>
      <x:c r="D216" s="23" t="str">
        <x:v>United States</x:v>
      </x:c>
      <x:c r="E216" s="23" t="str">
        <x:v>San Francisco International Airport</x:v>
      </x:c>
      <x:c r="F216" s="23" t="str">
        <x:v>2022-02</x:v>
      </x:c>
      <x:c r="G216" s="23" t="str">
        <x:v>Thru / Transit</x:v>
      </x:c>
      <x:c r="H216" s="23" t="str">
        <x:v>Domestic</x:v>
      </x:c>
      <x:c r="I216" s="23" t="str">
        <x:v>Thru / Transit</x:v>
      </x:c>
      <x:c r="J216" s="72" t="n">
        <x:v>364</x:v>
      </x:c>
      <x:c r="K216" s="23" t="str">
        <x:v>passengers</x:v>
      </x:c>
      <x:c r="L216" s="24" t="str"/>
      <x:c r="M216" s="24" t="n">
        <x:v>46256.6280787037</x:v>
      </x:c>
      <x:c r="N216" s="24" t="n">
        <x:v>46268.86863425926</x:v>
      </x:c>
      <x:c r="O216" s="40" t="b">
        <x:v>0</x:v>
      </x:c>
      <x:c r="P216" s="42" t="str">
        <x:v>current_snapshot_diagnostic_only</x:v>
      </x:c>
    </x:row>
    <x:row r="217">
      <x:c r="A217" s="23" t="str">
        <x:v>f5c7b7c9944825893f8e</x:v>
      </x:c>
      <x:c r="B217" s="23" t="str">
        <x:v>SFO_AIR_PASSENGERS</x:v>
      </x:c>
      <x:c r="C217" s="23" t="str">
        <x:v>City and County of San Francisco</x:v>
      </x:c>
      <x:c r="D217" s="23" t="str">
        <x:v>United States</x:v>
      </x:c>
      <x:c r="E217" s="23" t="str">
        <x:v>San Francisco International Airport</x:v>
      </x:c>
      <x:c r="F217" s="23" t="str">
        <x:v>2022-02</x:v>
      </x:c>
      <x:c r="G217" s="23" t="str">
        <x:v>Deplaned</x:v>
      </x:c>
      <x:c r="H217" s="23" t="str">
        <x:v>International</x:v>
      </x:c>
      <x:c r="I217" s="23" t="str">
        <x:v>Deplaned</x:v>
      </x:c>
      <x:c r="J217" s="72" t="n">
        <x:v>177361</x:v>
      </x:c>
      <x:c r="K217" s="23" t="str">
        <x:v>passengers</x:v>
      </x:c>
      <x:c r="L217" s="24" t="str"/>
      <x:c r="M217" s="24" t="n">
        <x:v>46256.6280787037</x:v>
      </x:c>
      <x:c r="N217" s="24" t="n">
        <x:v>46268.86863425926</x:v>
      </x:c>
      <x:c r="O217" s="40" t="b">
        <x:v>1</x:v>
      </x:c>
      <x:c r="P217" s="42" t="str">
        <x:v>current_snapshot_diagnostic_only</x:v>
      </x:c>
    </x:row>
    <x:row r="218">
      <x:c r="A218" s="23" t="str">
        <x:v>bb18af2135df89ce81bd</x:v>
      </x:c>
      <x:c r="B218" s="23" t="str">
        <x:v>SFO_AIR_PASSENGERS</x:v>
      </x:c>
      <x:c r="C218" s="23" t="str">
        <x:v>City and County of San Francisco</x:v>
      </x:c>
      <x:c r="D218" s="23" t="str">
        <x:v>United States</x:v>
      </x:c>
      <x:c r="E218" s="23" t="str">
        <x:v>San Francisco International Airport</x:v>
      </x:c>
      <x:c r="F218" s="23" t="str">
        <x:v>2022-02</x:v>
      </x:c>
      <x:c r="G218" s="23" t="str">
        <x:v>Enplaned</x:v>
      </x:c>
      <x:c r="H218" s="23" t="str">
        <x:v>International</x:v>
      </x:c>
      <x:c r="I218" s="23" t="str">
        <x:v>Enplaned</x:v>
      </x:c>
      <x:c r="J218" s="72" t="n">
        <x:v>176899</x:v>
      </x:c>
      <x:c r="K218" s="23" t="str">
        <x:v>passengers</x:v>
      </x:c>
      <x:c r="L218" s="24" t="str"/>
      <x:c r="M218" s="24" t="n">
        <x:v>46256.6280787037</x:v>
      </x:c>
      <x:c r="N218" s="24" t="n">
        <x:v>46268.86863425926</x:v>
      </x:c>
      <x:c r="O218" s="40" t="b">
        <x:v>1</x:v>
      </x:c>
      <x:c r="P218" s="42" t="str">
        <x:v>current_snapshot_diagnostic_only</x:v>
      </x:c>
    </x:row>
    <x:row r="219">
      <x:c r="A219" s="23" t="str">
        <x:v>b7449847b4f35ab01bbe</x:v>
      </x:c>
      <x:c r="B219" s="23" t="str">
        <x:v>SFO_AIR_PASSENGERS</x:v>
      </x:c>
      <x:c r="C219" s="23" t="str">
        <x:v>City and County of San Francisco</x:v>
      </x:c>
      <x:c r="D219" s="23" t="str">
        <x:v>United States</x:v>
      </x:c>
      <x:c r="E219" s="23" t="str">
        <x:v>San Francisco International Airport</x:v>
      </x:c>
      <x:c r="F219" s="23" t="str">
        <x:v>2022-02</x:v>
      </x:c>
      <x:c r="G219" s="23" t="str">
        <x:v>Thru / Transit</x:v>
      </x:c>
      <x:c r="H219" s="23" t="str">
        <x:v>International</x:v>
      </x:c>
      <x:c r="I219" s="23" t="str">
        <x:v>Thru / Transit</x:v>
      </x:c>
      <x:c r="J219" s="72" t="n">
        <x:v>2818</x:v>
      </x:c>
      <x:c r="K219" s="23" t="str">
        <x:v>passengers</x:v>
      </x:c>
      <x:c r="L219" s="24" t="str"/>
      <x:c r="M219" s="24" t="n">
        <x:v>46256.6280787037</x:v>
      </x:c>
      <x:c r="N219" s="24" t="n">
        <x:v>46268.86863425926</x:v>
      </x:c>
      <x:c r="O219" s="40" t="b">
        <x:v>0</x:v>
      </x:c>
      <x:c r="P219" s="42" t="str">
        <x:v>current_snapshot_diagnostic_only</x:v>
      </x:c>
    </x:row>
    <x:row r="220">
      <x:c r="A220" s="23" t="str">
        <x:v>4fcaaa4023a60fae9275</x:v>
      </x:c>
      <x:c r="B220" s="23" t="str">
        <x:v>SFO_AIR_PASSENGERS</x:v>
      </x:c>
      <x:c r="C220" s="23" t="str">
        <x:v>City and County of San Francisco</x:v>
      </x:c>
      <x:c r="D220" s="23" t="str">
        <x:v>United States</x:v>
      </x:c>
      <x:c r="E220" s="23" t="str">
        <x:v>San Francisco International Airport</x:v>
      </x:c>
      <x:c r="F220" s="23" t="str">
        <x:v>2022-03</x:v>
      </x:c>
      <x:c r="G220" s="23" t="str">
        <x:v>Deplaned</x:v>
      </x:c>
      <x:c r="H220" s="23" t="str">
        <x:v>Domestic</x:v>
      </x:c>
      <x:c r="I220" s="23" t="str">
        <x:v>Deplaned</x:v>
      </x:c>
      <x:c r="J220" s="72" t="n">
        <x:v>1266950</x:v>
      </x:c>
      <x:c r="K220" s="23" t="str">
        <x:v>passengers</x:v>
      </x:c>
      <x:c r="L220" s="24" t="str"/>
      <x:c r="M220" s="24" t="n">
        <x:v>46256.6280787037</x:v>
      </x:c>
      <x:c r="N220" s="24" t="n">
        <x:v>46268.86863425926</x:v>
      </x:c>
      <x:c r="O220" s="40" t="b">
        <x:v>1</x:v>
      </x:c>
      <x:c r="P220" s="42" t="str">
        <x:v>current_snapshot_diagnostic_only</x:v>
      </x:c>
    </x:row>
    <x:row r="221">
      <x:c r="A221" s="23" t="str">
        <x:v>4b7e9662fb56282dd925</x:v>
      </x:c>
      <x:c r="B221" s="23" t="str">
        <x:v>SFO_AIR_PASSENGERS</x:v>
      </x:c>
      <x:c r="C221" s="23" t="str">
        <x:v>City and County of San Francisco</x:v>
      </x:c>
      <x:c r="D221" s="23" t="str">
        <x:v>United States</x:v>
      </x:c>
      <x:c r="E221" s="23" t="str">
        <x:v>San Francisco International Airport</x:v>
      </x:c>
      <x:c r="F221" s="23" t="str">
        <x:v>2022-03</x:v>
      </x:c>
      <x:c r="G221" s="23" t="str">
        <x:v>Enplaned</x:v>
      </x:c>
      <x:c r="H221" s="23" t="str">
        <x:v>Domestic</x:v>
      </x:c>
      <x:c r="I221" s="23" t="str">
        <x:v>Enplaned</x:v>
      </x:c>
      <x:c r="J221" s="72" t="n">
        <x:v>1292133</x:v>
      </x:c>
      <x:c r="K221" s="23" t="str">
        <x:v>passengers</x:v>
      </x:c>
      <x:c r="L221" s="24" t="str"/>
      <x:c r="M221" s="24" t="n">
        <x:v>46256.6280787037</x:v>
      </x:c>
      <x:c r="N221" s="24" t="n">
        <x:v>46268.86863425926</x:v>
      </x:c>
      <x:c r="O221" s="40" t="b">
        <x:v>1</x:v>
      </x:c>
      <x:c r="P221" s="42" t="str">
        <x:v>current_snapshot_diagnostic_only</x:v>
      </x:c>
    </x:row>
    <x:row r="222">
      <x:c r="A222" s="23" t="str">
        <x:v>92316960f9576a90bccf</x:v>
      </x:c>
      <x:c r="B222" s="23" t="str">
        <x:v>SFO_AIR_PASSENGERS</x:v>
      </x:c>
      <x:c r="C222" s="23" t="str">
        <x:v>City and County of San Francisco</x:v>
      </x:c>
      <x:c r="D222" s="23" t="str">
        <x:v>United States</x:v>
      </x:c>
      <x:c r="E222" s="23" t="str">
        <x:v>San Francisco International Airport</x:v>
      </x:c>
      <x:c r="F222" s="23" t="str">
        <x:v>2022-03</x:v>
      </x:c>
      <x:c r="G222" s="23" t="str">
        <x:v>Thru / Transit</x:v>
      </x:c>
      <x:c r="H222" s="23" t="str">
        <x:v>Domestic</x:v>
      </x:c>
      <x:c r="I222" s="23" t="str">
        <x:v>Thru / Transit</x:v>
      </x:c>
      <x:c r="J222" s="72" t="n">
        <x:v>837</x:v>
      </x:c>
      <x:c r="K222" s="23" t="str">
        <x:v>passengers</x:v>
      </x:c>
      <x:c r="L222" s="24" t="str"/>
      <x:c r="M222" s="24" t="n">
        <x:v>46256.6280787037</x:v>
      </x:c>
      <x:c r="N222" s="24" t="n">
        <x:v>46268.86863425926</x:v>
      </x:c>
      <x:c r="O222" s="40" t="b">
        <x:v>0</x:v>
      </x:c>
      <x:c r="P222" s="42" t="str">
        <x:v>current_snapshot_diagnostic_only</x:v>
      </x:c>
    </x:row>
    <x:row r="223">
      <x:c r="A223" s="23" t="str">
        <x:v>4f3d22669e9afd6a6ef8</x:v>
      </x:c>
      <x:c r="B223" s="23" t="str">
        <x:v>SFO_AIR_PASSENGERS</x:v>
      </x:c>
      <x:c r="C223" s="23" t="str">
        <x:v>City and County of San Francisco</x:v>
      </x:c>
      <x:c r="D223" s="23" t="str">
        <x:v>United States</x:v>
      </x:c>
      <x:c r="E223" s="23" t="str">
        <x:v>San Francisco International Airport</x:v>
      </x:c>
      <x:c r="F223" s="23" t="str">
        <x:v>2022-03</x:v>
      </x:c>
      <x:c r="G223" s="23" t="str">
        <x:v>Deplaned</x:v>
      </x:c>
      <x:c r="H223" s="23" t="str">
        <x:v>International</x:v>
      </x:c>
      <x:c r="I223" s="23" t="str">
        <x:v>Deplaned</x:v>
      </x:c>
      <x:c r="J223" s="72" t="n">
        <x:v>261974</x:v>
      </x:c>
      <x:c r="K223" s="23" t="str">
        <x:v>passengers</x:v>
      </x:c>
      <x:c r="L223" s="24" t="str"/>
      <x:c r="M223" s="24" t="n">
        <x:v>46256.6280787037</x:v>
      </x:c>
      <x:c r="N223" s="24" t="n">
        <x:v>46268.86863425926</x:v>
      </x:c>
      <x:c r="O223" s="40" t="b">
        <x:v>1</x:v>
      </x:c>
      <x:c r="P223" s="42" t="str">
        <x:v>current_snapshot_diagnostic_only</x:v>
      </x:c>
    </x:row>
    <x:row r="224">
      <x:c r="A224" s="23" t="str">
        <x:v>56902de4e50442086cd1</x:v>
      </x:c>
      <x:c r="B224" s="23" t="str">
        <x:v>SFO_AIR_PASSENGERS</x:v>
      </x:c>
      <x:c r="C224" s="23" t="str">
        <x:v>City and County of San Francisco</x:v>
      </x:c>
      <x:c r="D224" s="23" t="str">
        <x:v>United States</x:v>
      </x:c>
      <x:c r="E224" s="23" t="str">
        <x:v>San Francisco International Airport</x:v>
      </x:c>
      <x:c r="F224" s="23" t="str">
        <x:v>2022-03</x:v>
      </x:c>
      <x:c r="G224" s="23" t="str">
        <x:v>Enplaned</x:v>
      </x:c>
      <x:c r="H224" s="23" t="str">
        <x:v>International</x:v>
      </x:c>
      <x:c r="I224" s="23" t="str">
        <x:v>Enplaned</x:v>
      </x:c>
      <x:c r="J224" s="72" t="n">
        <x:v>267142</x:v>
      </x:c>
      <x:c r="K224" s="23" t="str">
        <x:v>passengers</x:v>
      </x:c>
      <x:c r="L224" s="24" t="str"/>
      <x:c r="M224" s="24" t="n">
        <x:v>46256.6280787037</x:v>
      </x:c>
      <x:c r="N224" s="24" t="n">
        <x:v>46268.86863425926</x:v>
      </x:c>
      <x:c r="O224" s="40" t="b">
        <x:v>1</x:v>
      </x:c>
      <x:c r="P224" s="42" t="str">
        <x:v>current_snapshot_diagnostic_only</x:v>
      </x:c>
    </x:row>
    <x:row r="225">
      <x:c r="A225" s="23" t="str">
        <x:v>8b5396c3029a6e5f3502</x:v>
      </x:c>
      <x:c r="B225" s="23" t="str">
        <x:v>SFO_AIR_PASSENGERS</x:v>
      </x:c>
      <x:c r="C225" s="23" t="str">
        <x:v>City and County of San Francisco</x:v>
      </x:c>
      <x:c r="D225" s="23" t="str">
        <x:v>United States</x:v>
      </x:c>
      <x:c r="E225" s="23" t="str">
        <x:v>San Francisco International Airport</x:v>
      </x:c>
      <x:c r="F225" s="23" t="str">
        <x:v>2022-03</x:v>
      </x:c>
      <x:c r="G225" s="23" t="str">
        <x:v>Thru / Transit</x:v>
      </x:c>
      <x:c r="H225" s="23" t="str">
        <x:v>International</x:v>
      </x:c>
      <x:c r="I225" s="23" t="str">
        <x:v>Thru / Transit</x:v>
      </x:c>
      <x:c r="J225" s="72" t="n">
        <x:v>3431</x:v>
      </x:c>
      <x:c r="K225" s="23" t="str">
        <x:v>passengers</x:v>
      </x:c>
      <x:c r="L225" s="24" t="str"/>
      <x:c r="M225" s="24" t="n">
        <x:v>46256.6280787037</x:v>
      </x:c>
      <x:c r="N225" s="24" t="n">
        <x:v>46268.86863425926</x:v>
      </x:c>
      <x:c r="O225" s="40" t="b">
        <x:v>0</x:v>
      </x:c>
      <x:c r="P225" s="42" t="str">
        <x:v>current_snapshot_diagnostic_only</x:v>
      </x:c>
    </x:row>
    <x:row r="226">
      <x:c r="A226" s="23" t="str">
        <x:v>1f99988f1a6fe1ab4a6c</x:v>
      </x:c>
      <x:c r="B226" s="23" t="str">
        <x:v>SFO_AIR_PASSENGERS</x:v>
      </x:c>
      <x:c r="C226" s="23" t="str">
        <x:v>City and County of San Francisco</x:v>
      </x:c>
      <x:c r="D226" s="23" t="str">
        <x:v>United States</x:v>
      </x:c>
      <x:c r="E226" s="23" t="str">
        <x:v>San Francisco International Airport</x:v>
      </x:c>
      <x:c r="F226" s="23" t="str">
        <x:v>2022-04</x:v>
      </x:c>
      <x:c r="G226" s="23" t="str">
        <x:v>Deplaned</x:v>
      </x:c>
      <x:c r="H226" s="23" t="str">
        <x:v>Domestic</x:v>
      </x:c>
      <x:c r="I226" s="23" t="str">
        <x:v>Deplaned</x:v>
      </x:c>
      <x:c r="J226" s="72" t="n">
        <x:v>1372781</x:v>
      </x:c>
      <x:c r="K226" s="23" t="str">
        <x:v>passengers</x:v>
      </x:c>
      <x:c r="L226" s="24" t="str"/>
      <x:c r="M226" s="24" t="n">
        <x:v>46256.6280787037</x:v>
      </x:c>
      <x:c r="N226" s="24" t="n">
        <x:v>46268.86863425926</x:v>
      </x:c>
      <x:c r="O226" s="40" t="b">
        <x:v>1</x:v>
      </x:c>
      <x:c r="P226" s="42" t="str">
        <x:v>current_snapshot_diagnostic_only</x:v>
      </x:c>
    </x:row>
    <x:row r="227">
      <x:c r="A227" s="23" t="str">
        <x:v>ee7b8e42736fd2411150</x:v>
      </x:c>
      <x:c r="B227" s="23" t="str">
        <x:v>SFO_AIR_PASSENGERS</x:v>
      </x:c>
      <x:c r="C227" s="23" t="str">
        <x:v>City and County of San Francisco</x:v>
      </x:c>
      <x:c r="D227" s="23" t="str">
        <x:v>United States</x:v>
      </x:c>
      <x:c r="E227" s="23" t="str">
        <x:v>San Francisco International Airport</x:v>
      </x:c>
      <x:c r="F227" s="23" t="str">
        <x:v>2022-04</x:v>
      </x:c>
      <x:c r="G227" s="23" t="str">
        <x:v>Enplaned</x:v>
      </x:c>
      <x:c r="H227" s="23" t="str">
        <x:v>Domestic</x:v>
      </x:c>
      <x:c r="I227" s="23" t="str">
        <x:v>Enplaned</x:v>
      </x:c>
      <x:c r="J227" s="72" t="n">
        <x:v>1347394</x:v>
      </x:c>
      <x:c r="K227" s="23" t="str">
        <x:v>passengers</x:v>
      </x:c>
      <x:c r="L227" s="24" t="str"/>
      <x:c r="M227" s="24" t="n">
        <x:v>46256.6280787037</x:v>
      </x:c>
      <x:c r="N227" s="24" t="n">
        <x:v>46268.86863425926</x:v>
      </x:c>
      <x:c r="O227" s="40" t="b">
        <x:v>1</x:v>
      </x:c>
      <x:c r="P227" s="42" t="str">
        <x:v>current_snapshot_diagnostic_only</x:v>
      </x:c>
    </x:row>
    <x:row r="228">
      <x:c r="A228" s="23" t="str">
        <x:v>2c641b50b6b09ac38515</x:v>
      </x:c>
      <x:c r="B228" s="23" t="str">
        <x:v>SFO_AIR_PASSENGERS</x:v>
      </x:c>
      <x:c r="C228" s="23" t="str">
        <x:v>City and County of San Francisco</x:v>
      </x:c>
      <x:c r="D228" s="23" t="str">
        <x:v>United States</x:v>
      </x:c>
      <x:c r="E228" s="23" t="str">
        <x:v>San Francisco International Airport</x:v>
      </x:c>
      <x:c r="F228" s="23" t="str">
        <x:v>2022-04</x:v>
      </x:c>
      <x:c r="G228" s="23" t="str">
        <x:v>Thru / Transit</x:v>
      </x:c>
      <x:c r="H228" s="23" t="str">
        <x:v>Domestic</x:v>
      </x:c>
      <x:c r="I228" s="23" t="str">
        <x:v>Thru / Transit</x:v>
      </x:c>
      <x:c r="J228" s="72" t="n">
        <x:v>585</x:v>
      </x:c>
      <x:c r="K228" s="23" t="str">
        <x:v>passengers</x:v>
      </x:c>
      <x:c r="L228" s="24" t="str"/>
      <x:c r="M228" s="24" t="n">
        <x:v>46256.6280787037</x:v>
      </x:c>
      <x:c r="N228" s="24" t="n">
        <x:v>46268.86863425926</x:v>
      </x:c>
      <x:c r="O228" s="40" t="b">
        <x:v>0</x:v>
      </x:c>
      <x:c r="P228" s="42" t="str">
        <x:v>current_snapshot_diagnostic_only</x:v>
      </x:c>
    </x:row>
    <x:row r="229">
      <x:c r="A229" s="23" t="str">
        <x:v>530c03c76962dca3d83a</x:v>
      </x:c>
      <x:c r="B229" s="23" t="str">
        <x:v>SFO_AIR_PASSENGERS</x:v>
      </x:c>
      <x:c r="C229" s="23" t="str">
        <x:v>City and County of San Francisco</x:v>
      </x:c>
      <x:c r="D229" s="23" t="str">
        <x:v>United States</x:v>
      </x:c>
      <x:c r="E229" s="23" t="str">
        <x:v>San Francisco International Airport</x:v>
      </x:c>
      <x:c r="F229" s="23" t="str">
        <x:v>2022-04</x:v>
      </x:c>
      <x:c r="G229" s="23" t="str">
        <x:v>Deplaned</x:v>
      </x:c>
      <x:c r="H229" s="23" t="str">
        <x:v>International</x:v>
      </x:c>
      <x:c r="I229" s="23" t="str">
        <x:v>Deplaned</x:v>
      </x:c>
      <x:c r="J229" s="72" t="n">
        <x:v>347684</x:v>
      </x:c>
      <x:c r="K229" s="23" t="str">
        <x:v>passengers</x:v>
      </x:c>
      <x:c r="L229" s="24" t="str"/>
      <x:c r="M229" s="24" t="n">
        <x:v>46256.6280787037</x:v>
      </x:c>
      <x:c r="N229" s="24" t="n">
        <x:v>46268.86863425926</x:v>
      </x:c>
      <x:c r="O229" s="40" t="b">
        <x:v>1</x:v>
      </x:c>
      <x:c r="P229" s="42" t="str">
        <x:v>current_snapshot_diagnostic_only</x:v>
      </x:c>
    </x:row>
    <x:row r="230">
      <x:c r="A230" s="23" t="str">
        <x:v>bac7ad47b5bf77cb59aa</x:v>
      </x:c>
      <x:c r="B230" s="23" t="str">
        <x:v>SFO_AIR_PASSENGERS</x:v>
      </x:c>
      <x:c r="C230" s="23" t="str">
        <x:v>City and County of San Francisco</x:v>
      </x:c>
      <x:c r="D230" s="23" t="str">
        <x:v>United States</x:v>
      </x:c>
      <x:c r="E230" s="23" t="str">
        <x:v>San Francisco International Airport</x:v>
      </x:c>
      <x:c r="F230" s="23" t="str">
        <x:v>2022-04</x:v>
      </x:c>
      <x:c r="G230" s="23" t="str">
        <x:v>Enplaned</x:v>
      </x:c>
      <x:c r="H230" s="23" t="str">
        <x:v>International</x:v>
      </x:c>
      <x:c r="I230" s="23" t="str">
        <x:v>Enplaned</x:v>
      </x:c>
      <x:c r="J230" s="72" t="n">
        <x:v>337859</x:v>
      </x:c>
      <x:c r="K230" s="23" t="str">
        <x:v>passengers</x:v>
      </x:c>
      <x:c r="L230" s="24" t="str"/>
      <x:c r="M230" s="24" t="n">
        <x:v>46256.6280787037</x:v>
      </x:c>
      <x:c r="N230" s="24" t="n">
        <x:v>46268.86863425926</x:v>
      </x:c>
      <x:c r="O230" s="40" t="b">
        <x:v>1</x:v>
      </x:c>
      <x:c r="P230" s="42" t="str">
        <x:v>current_snapshot_diagnostic_only</x:v>
      </x:c>
    </x:row>
    <x:row r="231">
      <x:c r="A231" s="23" t="str">
        <x:v>82409e9e0c633d682874</x:v>
      </x:c>
      <x:c r="B231" s="23" t="str">
        <x:v>SFO_AIR_PASSENGERS</x:v>
      </x:c>
      <x:c r="C231" s="23" t="str">
        <x:v>City and County of San Francisco</x:v>
      </x:c>
      <x:c r="D231" s="23" t="str">
        <x:v>United States</x:v>
      </x:c>
      <x:c r="E231" s="23" t="str">
        <x:v>San Francisco International Airport</x:v>
      </x:c>
      <x:c r="F231" s="23" t="str">
        <x:v>2022-04</x:v>
      </x:c>
      <x:c r="G231" s="23" t="str">
        <x:v>Thru / Transit</x:v>
      </x:c>
      <x:c r="H231" s="23" t="str">
        <x:v>International</x:v>
      </x:c>
      <x:c r="I231" s="23" t="str">
        <x:v>Thru / Transit</x:v>
      </x:c>
      <x:c r="J231" s="72" t="n">
        <x:v>5063</x:v>
      </x:c>
      <x:c r="K231" s="23" t="str">
        <x:v>passengers</x:v>
      </x:c>
      <x:c r="L231" s="24" t="str"/>
      <x:c r="M231" s="24" t="n">
        <x:v>46256.6280787037</x:v>
      </x:c>
      <x:c r="N231" s="24" t="n">
        <x:v>46268.86863425926</x:v>
      </x:c>
      <x:c r="O231" s="40" t="b">
        <x:v>0</x:v>
      </x:c>
      <x:c r="P231" s="42" t="str">
        <x:v>current_snapshot_diagnostic_only</x:v>
      </x:c>
    </x:row>
    <x:row r="232">
      <x:c r="A232" s="23" t="str">
        <x:v>770c4e63b1d2579c8651</x:v>
      </x:c>
      <x:c r="B232" s="23" t="str">
        <x:v>SFO_AIR_PASSENGERS</x:v>
      </x:c>
      <x:c r="C232" s="23" t="str">
        <x:v>City and County of San Francisco</x:v>
      </x:c>
      <x:c r="D232" s="23" t="str">
        <x:v>United States</x:v>
      </x:c>
      <x:c r="E232" s="23" t="str">
        <x:v>San Francisco International Airport</x:v>
      </x:c>
      <x:c r="F232" s="23" t="str">
        <x:v>2022-05</x:v>
      </x:c>
      <x:c r="G232" s="23" t="str">
        <x:v>Deplaned</x:v>
      </x:c>
      <x:c r="H232" s="23" t="str">
        <x:v>Domestic</x:v>
      </x:c>
      <x:c r="I232" s="23" t="str">
        <x:v>Deplaned</x:v>
      </x:c>
      <x:c r="J232" s="72" t="n">
        <x:v>1430583</x:v>
      </x:c>
      <x:c r="K232" s="23" t="str">
        <x:v>passengers</x:v>
      </x:c>
      <x:c r="L232" s="24" t="str"/>
      <x:c r="M232" s="24" t="n">
        <x:v>46256.6280787037</x:v>
      </x:c>
      <x:c r="N232" s="24" t="n">
        <x:v>46268.86863425926</x:v>
      </x:c>
      <x:c r="O232" s="40" t="b">
        <x:v>1</x:v>
      </x:c>
      <x:c r="P232" s="42" t="str">
        <x:v>current_snapshot_diagnostic_only</x:v>
      </x:c>
    </x:row>
    <x:row r="233">
      <x:c r="A233" s="23" t="str">
        <x:v>5fd16916f49b5a30157b</x:v>
      </x:c>
      <x:c r="B233" s="23" t="str">
        <x:v>SFO_AIR_PASSENGERS</x:v>
      </x:c>
      <x:c r="C233" s="23" t="str">
        <x:v>City and County of San Francisco</x:v>
      </x:c>
      <x:c r="D233" s="23" t="str">
        <x:v>United States</x:v>
      </x:c>
      <x:c r="E233" s="23" t="str">
        <x:v>San Francisco International Airport</x:v>
      </x:c>
      <x:c r="F233" s="23" t="str">
        <x:v>2022-05</x:v>
      </x:c>
      <x:c r="G233" s="23" t="str">
        <x:v>Enplaned</x:v>
      </x:c>
      <x:c r="H233" s="23" t="str">
        <x:v>Domestic</x:v>
      </x:c>
      <x:c r="I233" s="23" t="str">
        <x:v>Enplaned</x:v>
      </x:c>
      <x:c r="J233" s="72" t="n">
        <x:v>1409528</x:v>
      </x:c>
      <x:c r="K233" s="23" t="str">
        <x:v>passengers</x:v>
      </x:c>
      <x:c r="L233" s="24" t="str"/>
      <x:c r="M233" s="24" t="n">
        <x:v>46256.6280787037</x:v>
      </x:c>
      <x:c r="N233" s="24" t="n">
        <x:v>46268.86863425926</x:v>
      </x:c>
      <x:c r="O233" s="40" t="b">
        <x:v>1</x:v>
      </x:c>
      <x:c r="P233" s="42" t="str">
        <x:v>current_snapshot_diagnostic_only</x:v>
      </x:c>
    </x:row>
    <x:row r="234">
      <x:c r="A234" s="23" t="str">
        <x:v>a54695282d002a2555a9</x:v>
      </x:c>
      <x:c r="B234" s="23" t="str">
        <x:v>SFO_AIR_PASSENGERS</x:v>
      </x:c>
      <x:c r="C234" s="23" t="str">
        <x:v>City and County of San Francisco</x:v>
      </x:c>
      <x:c r="D234" s="23" t="str">
        <x:v>United States</x:v>
      </x:c>
      <x:c r="E234" s="23" t="str">
        <x:v>San Francisco International Airport</x:v>
      </x:c>
      <x:c r="F234" s="23" t="str">
        <x:v>2022-05</x:v>
      </x:c>
      <x:c r="G234" s="23" t="str">
        <x:v>Thru / Transit</x:v>
      </x:c>
      <x:c r="H234" s="23" t="str">
        <x:v>Domestic</x:v>
      </x:c>
      <x:c r="I234" s="23" t="str">
        <x:v>Thru / Transit</x:v>
      </x:c>
      <x:c r="J234" s="72" t="n">
        <x:v>668</x:v>
      </x:c>
      <x:c r="K234" s="23" t="str">
        <x:v>passengers</x:v>
      </x:c>
      <x:c r="L234" s="24" t="str"/>
      <x:c r="M234" s="24" t="n">
        <x:v>46256.6280787037</x:v>
      </x:c>
      <x:c r="N234" s="24" t="n">
        <x:v>46268.86863425926</x:v>
      </x:c>
      <x:c r="O234" s="40" t="b">
        <x:v>0</x:v>
      </x:c>
      <x:c r="P234" s="42" t="str">
        <x:v>current_snapshot_diagnostic_only</x:v>
      </x:c>
    </x:row>
    <x:row r="235">
      <x:c r="A235" s="23" t="str">
        <x:v>d5c9a662d2ee5ee6b5c7</x:v>
      </x:c>
      <x:c r="B235" s="23" t="str">
        <x:v>SFO_AIR_PASSENGERS</x:v>
      </x:c>
      <x:c r="C235" s="23" t="str">
        <x:v>City and County of San Francisco</x:v>
      </x:c>
      <x:c r="D235" s="23" t="str">
        <x:v>United States</x:v>
      </x:c>
      <x:c r="E235" s="23" t="str">
        <x:v>San Francisco International Airport</x:v>
      </x:c>
      <x:c r="F235" s="23" t="str">
        <x:v>2022-05</x:v>
      </x:c>
      <x:c r="G235" s="23" t="str">
        <x:v>Deplaned</x:v>
      </x:c>
      <x:c r="H235" s="23" t="str">
        <x:v>International</x:v>
      </x:c>
      <x:c r="I235" s="23" t="str">
        <x:v>Deplaned</x:v>
      </x:c>
      <x:c r="J235" s="72" t="n">
        <x:v>400532</x:v>
      </x:c>
      <x:c r="K235" s="23" t="str">
        <x:v>passengers</x:v>
      </x:c>
      <x:c r="L235" s="24" t="str"/>
      <x:c r="M235" s="24" t="n">
        <x:v>46256.6280787037</x:v>
      </x:c>
      <x:c r="N235" s="24" t="n">
        <x:v>46268.86863425926</x:v>
      </x:c>
      <x:c r="O235" s="40" t="b">
        <x:v>1</x:v>
      </x:c>
      <x:c r="P235" s="42" t="str">
        <x:v>current_snapshot_diagnostic_only</x:v>
      </x:c>
    </x:row>
    <x:row r="236">
      <x:c r="A236" s="23" t="str">
        <x:v>697886c47c9284784b74</x:v>
      </x:c>
      <x:c r="B236" s="23" t="str">
        <x:v>SFO_AIR_PASSENGERS</x:v>
      </x:c>
      <x:c r="C236" s="23" t="str">
        <x:v>City and County of San Francisco</x:v>
      </x:c>
      <x:c r="D236" s="23" t="str">
        <x:v>United States</x:v>
      </x:c>
      <x:c r="E236" s="23" t="str">
        <x:v>San Francisco International Airport</x:v>
      </x:c>
      <x:c r="F236" s="23" t="str">
        <x:v>2022-05</x:v>
      </x:c>
      <x:c r="G236" s="23" t="str">
        <x:v>Enplaned</x:v>
      </x:c>
      <x:c r="H236" s="23" t="str">
        <x:v>International</x:v>
      </x:c>
      <x:c r="I236" s="23" t="str">
        <x:v>Enplaned</x:v>
      </x:c>
      <x:c r="J236" s="72" t="n">
        <x:v>429788</x:v>
      </x:c>
      <x:c r="K236" s="23" t="str">
        <x:v>passengers</x:v>
      </x:c>
      <x:c r="L236" s="24" t="str"/>
      <x:c r="M236" s="24" t="n">
        <x:v>46256.6280787037</x:v>
      </x:c>
      <x:c r="N236" s="24" t="n">
        <x:v>46268.86863425926</x:v>
      </x:c>
      <x:c r="O236" s="40" t="b">
        <x:v>1</x:v>
      </x:c>
      <x:c r="P236" s="42" t="str">
        <x:v>current_snapshot_diagnostic_only</x:v>
      </x:c>
    </x:row>
    <x:row r="237">
      <x:c r="A237" s="23" t="str">
        <x:v>491e1bb8819bd4bffe62</x:v>
      </x:c>
      <x:c r="B237" s="23" t="str">
        <x:v>SFO_AIR_PASSENGERS</x:v>
      </x:c>
      <x:c r="C237" s="23" t="str">
        <x:v>City and County of San Francisco</x:v>
      </x:c>
      <x:c r="D237" s="23" t="str">
        <x:v>United States</x:v>
      </x:c>
      <x:c r="E237" s="23" t="str">
        <x:v>San Francisco International Airport</x:v>
      </x:c>
      <x:c r="F237" s="23" t="str">
        <x:v>2022-05</x:v>
      </x:c>
      <x:c r="G237" s="23" t="str">
        <x:v>Thru / Transit</x:v>
      </x:c>
      <x:c r="H237" s="23" t="str">
        <x:v>International</x:v>
      </x:c>
      <x:c r="I237" s="23" t="str">
        <x:v>Thru / Transit</x:v>
      </x:c>
      <x:c r="J237" s="72" t="n">
        <x:v>5014</x:v>
      </x:c>
      <x:c r="K237" s="23" t="str">
        <x:v>passengers</x:v>
      </x:c>
      <x:c r="L237" s="24" t="str"/>
      <x:c r="M237" s="24" t="n">
        <x:v>46256.6280787037</x:v>
      </x:c>
      <x:c r="N237" s="24" t="n">
        <x:v>46268.86863425926</x:v>
      </x:c>
      <x:c r="O237" s="40" t="b">
        <x:v>0</x:v>
      </x:c>
      <x:c r="P237" s="42" t="str">
        <x:v>current_snapshot_diagnostic_only</x:v>
      </x:c>
    </x:row>
    <x:row r="238">
      <x:c r="A238" s="23" t="str">
        <x:v>294581f9987876255fe7</x:v>
      </x:c>
      <x:c r="B238" s="23" t="str">
        <x:v>SFO_AIR_PASSENGERS</x:v>
      </x:c>
      <x:c r="C238" s="23" t="str">
        <x:v>City and County of San Francisco</x:v>
      </x:c>
      <x:c r="D238" s="23" t="str">
        <x:v>United States</x:v>
      </x:c>
      <x:c r="E238" s="23" t="str">
        <x:v>San Francisco International Airport</x:v>
      </x:c>
      <x:c r="F238" s="23" t="str">
        <x:v>2022-06</x:v>
      </x:c>
      <x:c r="G238" s="23" t="str">
        <x:v>Deplaned</x:v>
      </x:c>
      <x:c r="H238" s="23" t="str">
        <x:v>Domestic</x:v>
      </x:c>
      <x:c r="I238" s="23" t="str">
        <x:v>Deplaned</x:v>
      </x:c>
      <x:c r="J238" s="72" t="n">
        <x:v>1502481</x:v>
      </x:c>
      <x:c r="K238" s="23" t="str">
        <x:v>passengers</x:v>
      </x:c>
      <x:c r="L238" s="24" t="str"/>
      <x:c r="M238" s="24" t="n">
        <x:v>46256.6280787037</x:v>
      </x:c>
      <x:c r="N238" s="24" t="n">
        <x:v>46268.86863425926</x:v>
      </x:c>
      <x:c r="O238" s="40" t="b">
        <x:v>1</x:v>
      </x:c>
      <x:c r="P238" s="42" t="str">
        <x:v>current_snapshot_diagnostic_only</x:v>
      </x:c>
    </x:row>
    <x:row r="239">
      <x:c r="A239" s="23" t="str">
        <x:v>23db81d433eabdbc59a4</x:v>
      </x:c>
      <x:c r="B239" s="23" t="str">
        <x:v>SFO_AIR_PASSENGERS</x:v>
      </x:c>
      <x:c r="C239" s="23" t="str">
        <x:v>City and County of San Francisco</x:v>
      </x:c>
      <x:c r="D239" s="23" t="str">
        <x:v>United States</x:v>
      </x:c>
      <x:c r="E239" s="23" t="str">
        <x:v>San Francisco International Airport</x:v>
      </x:c>
      <x:c r="F239" s="23" t="str">
        <x:v>2022-06</x:v>
      </x:c>
      <x:c r="G239" s="23" t="str">
        <x:v>Enplaned</x:v>
      </x:c>
      <x:c r="H239" s="23" t="str">
        <x:v>Domestic</x:v>
      </x:c>
      <x:c r="I239" s="23" t="str">
        <x:v>Enplaned</x:v>
      </x:c>
      <x:c r="J239" s="72" t="n">
        <x:v>1545758</x:v>
      </x:c>
      <x:c r="K239" s="23" t="str">
        <x:v>passengers</x:v>
      </x:c>
      <x:c r="L239" s="24" t="str"/>
      <x:c r="M239" s="24" t="n">
        <x:v>46256.6280787037</x:v>
      </x:c>
      <x:c r="N239" s="24" t="n">
        <x:v>46268.86863425926</x:v>
      </x:c>
      <x:c r="O239" s="40" t="b">
        <x:v>1</x:v>
      </x:c>
      <x:c r="P239" s="42" t="str">
        <x:v>current_snapshot_diagnostic_only</x:v>
      </x:c>
    </x:row>
    <x:row r="240">
      <x:c r="A240" s="23" t="str">
        <x:v>0b3402094bd2b3f81623</x:v>
      </x:c>
      <x:c r="B240" s="23" t="str">
        <x:v>SFO_AIR_PASSENGERS</x:v>
      </x:c>
      <x:c r="C240" s="23" t="str">
        <x:v>City and County of San Francisco</x:v>
      </x:c>
      <x:c r="D240" s="23" t="str">
        <x:v>United States</x:v>
      </x:c>
      <x:c r="E240" s="23" t="str">
        <x:v>San Francisco International Airport</x:v>
      </x:c>
      <x:c r="F240" s="23" t="str">
        <x:v>2022-06</x:v>
      </x:c>
      <x:c r="G240" s="23" t="str">
        <x:v>Thru / Transit</x:v>
      </x:c>
      <x:c r="H240" s="23" t="str">
        <x:v>Domestic</x:v>
      </x:c>
      <x:c r="I240" s="23" t="str">
        <x:v>Thru / Transit</x:v>
      </x:c>
      <x:c r="J240" s="72" t="n">
        <x:v>624</x:v>
      </x:c>
      <x:c r="K240" s="23" t="str">
        <x:v>passengers</x:v>
      </x:c>
      <x:c r="L240" s="24" t="str"/>
      <x:c r="M240" s="24" t="n">
        <x:v>46256.6280787037</x:v>
      </x:c>
      <x:c r="N240" s="24" t="n">
        <x:v>46268.86863425926</x:v>
      </x:c>
      <x:c r="O240" s="40" t="b">
        <x:v>0</x:v>
      </x:c>
      <x:c r="P240" s="42" t="str">
        <x:v>current_snapshot_diagnostic_only</x:v>
      </x:c>
    </x:row>
    <x:row r="241">
      <x:c r="A241" s="23" t="str">
        <x:v>24e828cd82db3b21337b</x:v>
      </x:c>
      <x:c r="B241" s="23" t="str">
        <x:v>SFO_AIR_PASSENGERS</x:v>
      </x:c>
      <x:c r="C241" s="23" t="str">
        <x:v>City and County of San Francisco</x:v>
      </x:c>
      <x:c r="D241" s="23" t="str">
        <x:v>United States</x:v>
      </x:c>
      <x:c r="E241" s="23" t="str">
        <x:v>San Francisco International Airport</x:v>
      </x:c>
      <x:c r="F241" s="23" t="str">
        <x:v>2022-06</x:v>
      </x:c>
      <x:c r="G241" s="23" t="str">
        <x:v>Deplaned</x:v>
      </x:c>
      <x:c r="H241" s="23" t="str">
        <x:v>International</x:v>
      </x:c>
      <x:c r="I241" s="23" t="str">
        <x:v>Deplaned</x:v>
      </x:c>
      <x:c r="J241" s="72" t="n">
        <x:v>486070</x:v>
      </x:c>
      <x:c r="K241" s="23" t="str">
        <x:v>passengers</x:v>
      </x:c>
      <x:c r="L241" s="24" t="str"/>
      <x:c r="M241" s="24" t="n">
        <x:v>46256.6280787037</x:v>
      </x:c>
      <x:c r="N241" s="24" t="n">
        <x:v>46268.86863425926</x:v>
      </x:c>
      <x:c r="O241" s="40" t="b">
        <x:v>1</x:v>
      </x:c>
      <x:c r="P241" s="42" t="str">
        <x:v>current_snapshot_diagnostic_only</x:v>
      </x:c>
    </x:row>
    <x:row r="242">
      <x:c r="A242" s="23" t="str">
        <x:v>a8e1f422bdb544ec889e</x:v>
      </x:c>
      <x:c r="B242" s="23" t="str">
        <x:v>SFO_AIR_PASSENGERS</x:v>
      </x:c>
      <x:c r="C242" s="23" t="str">
        <x:v>City and County of San Francisco</x:v>
      </x:c>
      <x:c r="D242" s="23" t="str">
        <x:v>United States</x:v>
      </x:c>
      <x:c r="E242" s="23" t="str">
        <x:v>San Francisco International Airport</x:v>
      </x:c>
      <x:c r="F242" s="23" t="str">
        <x:v>2022-06</x:v>
      </x:c>
      <x:c r="G242" s="23" t="str">
        <x:v>Enplaned</x:v>
      </x:c>
      <x:c r="H242" s="23" t="str">
        <x:v>International</x:v>
      </x:c>
      <x:c r="I242" s="23" t="str">
        <x:v>Enplaned</x:v>
      </x:c>
      <x:c r="J242" s="72" t="n">
        <x:v>553847</x:v>
      </x:c>
      <x:c r="K242" s="23" t="str">
        <x:v>passengers</x:v>
      </x:c>
      <x:c r="L242" s="24" t="str"/>
      <x:c r="M242" s="24" t="n">
        <x:v>46256.6280787037</x:v>
      </x:c>
      <x:c r="N242" s="24" t="n">
        <x:v>46268.86863425926</x:v>
      </x:c>
      <x:c r="O242" s="40" t="b">
        <x:v>1</x:v>
      </x:c>
      <x:c r="P242" s="42" t="str">
        <x:v>current_snapshot_diagnostic_only</x:v>
      </x:c>
    </x:row>
    <x:row r="243">
      <x:c r="A243" s="23" t="str">
        <x:v>5383a7197cd79c4ca152</x:v>
      </x:c>
      <x:c r="B243" s="23" t="str">
        <x:v>SFO_AIR_PASSENGERS</x:v>
      </x:c>
      <x:c r="C243" s="23" t="str">
        <x:v>City and County of San Francisco</x:v>
      </x:c>
      <x:c r="D243" s="23" t="str">
        <x:v>United States</x:v>
      </x:c>
      <x:c r="E243" s="23" t="str">
        <x:v>San Francisco International Airport</x:v>
      </x:c>
      <x:c r="F243" s="23" t="str">
        <x:v>2022-06</x:v>
      </x:c>
      <x:c r="G243" s="23" t="str">
        <x:v>Thru / Transit</x:v>
      </x:c>
      <x:c r="H243" s="23" t="str">
        <x:v>International</x:v>
      </x:c>
      <x:c r="I243" s="23" t="str">
        <x:v>Thru / Transit</x:v>
      </x:c>
      <x:c r="J243" s="72" t="n">
        <x:v>5898</x:v>
      </x:c>
      <x:c r="K243" s="23" t="str">
        <x:v>passengers</x:v>
      </x:c>
      <x:c r="L243" s="24" t="str"/>
      <x:c r="M243" s="24" t="n">
        <x:v>46256.6280787037</x:v>
      </x:c>
      <x:c r="N243" s="24" t="n">
        <x:v>46268.86863425926</x:v>
      </x:c>
      <x:c r="O243" s="40" t="b">
        <x:v>0</x:v>
      </x:c>
      <x:c r="P243" s="42" t="str">
        <x:v>current_snapshot_diagnostic_only</x:v>
      </x:c>
    </x:row>
    <x:row r="244">
      <x:c r="A244" s="23" t="str">
        <x:v>927466ac8da273f97f3f</x:v>
      </x:c>
      <x:c r="B244" s="23" t="str">
        <x:v>SFO_AIR_PASSENGERS</x:v>
      </x:c>
      <x:c r="C244" s="23" t="str">
        <x:v>City and County of San Francisco</x:v>
      </x:c>
      <x:c r="D244" s="23" t="str">
        <x:v>United States</x:v>
      </x:c>
      <x:c r="E244" s="23" t="str">
        <x:v>San Francisco International Airport</x:v>
      </x:c>
      <x:c r="F244" s="23" t="str">
        <x:v>2022-07</x:v>
      </x:c>
      <x:c r="G244" s="23" t="str">
        <x:v>Deplaned</x:v>
      </x:c>
      <x:c r="H244" s="23" t="str">
        <x:v>Domestic</x:v>
      </x:c>
      <x:c r="I244" s="23" t="str">
        <x:v>Deplaned</x:v>
      </x:c>
      <x:c r="J244" s="72" t="n">
        <x:v>1552069</x:v>
      </x:c>
      <x:c r="K244" s="23" t="str">
        <x:v>passengers</x:v>
      </x:c>
      <x:c r="L244" s="24" t="str"/>
      <x:c r="M244" s="24" t="n">
        <x:v>46256.6280787037</x:v>
      </x:c>
      <x:c r="N244" s="24" t="n">
        <x:v>46268.86863425926</x:v>
      </x:c>
      <x:c r="O244" s="40" t="b">
        <x:v>1</x:v>
      </x:c>
      <x:c r="P244" s="42" t="str">
        <x:v>current_snapshot_diagnostic_only</x:v>
      </x:c>
    </x:row>
    <x:row r="245">
      <x:c r="A245" s="23" t="str">
        <x:v>6dd753802c53419d7a2e</x:v>
      </x:c>
      <x:c r="B245" s="23" t="str">
        <x:v>SFO_AIR_PASSENGERS</x:v>
      </x:c>
      <x:c r="C245" s="23" t="str">
        <x:v>City and County of San Francisco</x:v>
      </x:c>
      <x:c r="D245" s="23" t="str">
        <x:v>United States</x:v>
      </x:c>
      <x:c r="E245" s="23" t="str">
        <x:v>San Francisco International Airport</x:v>
      </x:c>
      <x:c r="F245" s="23" t="str">
        <x:v>2022-07</x:v>
      </x:c>
      <x:c r="G245" s="23" t="str">
        <x:v>Enplaned</x:v>
      </x:c>
      <x:c r="H245" s="23" t="str">
        <x:v>Domestic</x:v>
      </x:c>
      <x:c r="I245" s="23" t="str">
        <x:v>Enplaned</x:v>
      </x:c>
      <x:c r="J245" s="72" t="n">
        <x:v>1510404</x:v>
      </x:c>
      <x:c r="K245" s="23" t="str">
        <x:v>passengers</x:v>
      </x:c>
      <x:c r="L245" s="24" t="str"/>
      <x:c r="M245" s="24" t="n">
        <x:v>46256.6280787037</x:v>
      </x:c>
      <x:c r="N245" s="24" t="n">
        <x:v>46268.86863425926</x:v>
      </x:c>
      <x:c r="O245" s="40" t="b">
        <x:v>1</x:v>
      </x:c>
      <x:c r="P245" s="42" t="str">
        <x:v>current_snapshot_diagnostic_only</x:v>
      </x:c>
    </x:row>
    <x:row r="246">
      <x:c r="A246" s="23" t="str">
        <x:v>a4fdfa4ea7648f47bbba</x:v>
      </x:c>
      <x:c r="B246" s="23" t="str">
        <x:v>SFO_AIR_PASSENGERS</x:v>
      </x:c>
      <x:c r="C246" s="23" t="str">
        <x:v>City and County of San Francisco</x:v>
      </x:c>
      <x:c r="D246" s="23" t="str">
        <x:v>United States</x:v>
      </x:c>
      <x:c r="E246" s="23" t="str">
        <x:v>San Francisco International Airport</x:v>
      </x:c>
      <x:c r="F246" s="23" t="str">
        <x:v>2022-07</x:v>
      </x:c>
      <x:c r="G246" s="23" t="str">
        <x:v>Thru / Transit</x:v>
      </x:c>
      <x:c r="H246" s="23" t="str">
        <x:v>Domestic</x:v>
      </x:c>
      <x:c r="I246" s="23" t="str">
        <x:v>Thru / Transit</x:v>
      </x:c>
      <x:c r="J246" s="72" t="n">
        <x:v>1358</x:v>
      </x:c>
      <x:c r="K246" s="23" t="str">
        <x:v>passengers</x:v>
      </x:c>
      <x:c r="L246" s="24" t="str"/>
      <x:c r="M246" s="24" t="n">
        <x:v>46256.6280787037</x:v>
      </x:c>
      <x:c r="N246" s="24" t="n">
        <x:v>46268.86863425926</x:v>
      </x:c>
      <x:c r="O246" s="40" t="b">
        <x:v>0</x:v>
      </x:c>
      <x:c r="P246" s="42" t="str">
        <x:v>current_snapshot_diagnostic_only</x:v>
      </x:c>
    </x:row>
    <x:row r="247">
      <x:c r="A247" s="23" t="str">
        <x:v>f0aec9446438f3f0cd07</x:v>
      </x:c>
      <x:c r="B247" s="23" t="str">
        <x:v>SFO_AIR_PASSENGERS</x:v>
      </x:c>
      <x:c r="C247" s="23" t="str">
        <x:v>City and County of San Francisco</x:v>
      </x:c>
      <x:c r="D247" s="23" t="str">
        <x:v>United States</x:v>
      </x:c>
      <x:c r="E247" s="23" t="str">
        <x:v>San Francisco International Airport</x:v>
      </x:c>
      <x:c r="F247" s="23" t="str">
        <x:v>2022-07</x:v>
      </x:c>
      <x:c r="G247" s="23" t="str">
        <x:v>Deplaned</x:v>
      </x:c>
      <x:c r="H247" s="23" t="str">
        <x:v>International</x:v>
      </x:c>
      <x:c r="I247" s="23" t="str">
        <x:v>Deplaned</x:v>
      </x:c>
      <x:c r="J247" s="72" t="n">
        <x:v>597311</x:v>
      </x:c>
      <x:c r="K247" s="23" t="str">
        <x:v>passengers</x:v>
      </x:c>
      <x:c r="L247" s="24" t="str"/>
      <x:c r="M247" s="24" t="n">
        <x:v>46256.6280787037</x:v>
      </x:c>
      <x:c r="N247" s="24" t="n">
        <x:v>46268.86863425926</x:v>
      </x:c>
      <x:c r="O247" s="40" t="b">
        <x:v>1</x:v>
      </x:c>
      <x:c r="P247" s="42" t="str">
        <x:v>current_snapshot_diagnostic_only</x:v>
      </x:c>
    </x:row>
    <x:row r="248">
      <x:c r="A248" s="23" t="str">
        <x:v>2868114c4bb4a09591f5</x:v>
      </x:c>
      <x:c r="B248" s="23" t="str">
        <x:v>SFO_AIR_PASSENGERS</x:v>
      </x:c>
      <x:c r="C248" s="23" t="str">
        <x:v>City and County of San Francisco</x:v>
      </x:c>
      <x:c r="D248" s="23" t="str">
        <x:v>United States</x:v>
      </x:c>
      <x:c r="E248" s="23" t="str">
        <x:v>San Francisco International Airport</x:v>
      </x:c>
      <x:c r="F248" s="23" t="str">
        <x:v>2022-07</x:v>
      </x:c>
      <x:c r="G248" s="23" t="str">
        <x:v>Enplaned</x:v>
      </x:c>
      <x:c r="H248" s="23" t="str">
        <x:v>International</x:v>
      </x:c>
      <x:c r="I248" s="23" t="str">
        <x:v>Enplaned</x:v>
      </x:c>
      <x:c r="J248" s="72" t="n">
        <x:v>549506</x:v>
      </x:c>
      <x:c r="K248" s="23" t="str">
        <x:v>passengers</x:v>
      </x:c>
      <x:c r="L248" s="24" t="str"/>
      <x:c r="M248" s="24" t="n">
        <x:v>46256.6280787037</x:v>
      </x:c>
      <x:c r="N248" s="24" t="n">
        <x:v>46268.86863425926</x:v>
      </x:c>
      <x:c r="O248" s="40" t="b">
        <x:v>1</x:v>
      </x:c>
      <x:c r="P248" s="42" t="str">
        <x:v>current_snapshot_diagnostic_only</x:v>
      </x:c>
    </x:row>
    <x:row r="249">
      <x:c r="A249" s="23" t="str">
        <x:v>7fab5e7579f4ab9f8335</x:v>
      </x:c>
      <x:c r="B249" s="23" t="str">
        <x:v>SFO_AIR_PASSENGERS</x:v>
      </x:c>
      <x:c r="C249" s="23" t="str">
        <x:v>City and County of San Francisco</x:v>
      </x:c>
      <x:c r="D249" s="23" t="str">
        <x:v>United States</x:v>
      </x:c>
      <x:c r="E249" s="23" t="str">
        <x:v>San Francisco International Airport</x:v>
      </x:c>
      <x:c r="F249" s="23" t="str">
        <x:v>2022-07</x:v>
      </x:c>
      <x:c r="G249" s="23" t="str">
        <x:v>Thru / Transit</x:v>
      </x:c>
      <x:c r="H249" s="23" t="str">
        <x:v>International</x:v>
      </x:c>
      <x:c r="I249" s="23" t="str">
        <x:v>Thru / Transit</x:v>
      </x:c>
      <x:c r="J249" s="72" t="n">
        <x:v>7363</x:v>
      </x:c>
      <x:c r="K249" s="23" t="str">
        <x:v>passengers</x:v>
      </x:c>
      <x:c r="L249" s="24" t="str"/>
      <x:c r="M249" s="24" t="n">
        <x:v>46256.6280787037</x:v>
      </x:c>
      <x:c r="N249" s="24" t="n">
        <x:v>46268.86863425926</x:v>
      </x:c>
      <x:c r="O249" s="40" t="b">
        <x:v>0</x:v>
      </x:c>
      <x:c r="P249" s="42" t="str">
        <x:v>current_snapshot_diagnostic_only</x:v>
      </x:c>
    </x:row>
    <x:row r="250">
      <x:c r="A250" s="23" t="str">
        <x:v>6e2e1b78ff1177135a4d</x:v>
      </x:c>
      <x:c r="B250" s="23" t="str">
        <x:v>SFO_AIR_PASSENGERS</x:v>
      </x:c>
      <x:c r="C250" s="23" t="str">
        <x:v>City and County of San Francisco</x:v>
      </x:c>
      <x:c r="D250" s="23" t="str">
        <x:v>United States</x:v>
      </x:c>
      <x:c r="E250" s="23" t="str">
        <x:v>San Francisco International Airport</x:v>
      </x:c>
      <x:c r="F250" s="23" t="str">
        <x:v>2022-08</x:v>
      </x:c>
      <x:c r="G250" s="23" t="str">
        <x:v>Deplaned</x:v>
      </x:c>
      <x:c r="H250" s="23" t="str">
        <x:v>Domestic</x:v>
      </x:c>
      <x:c r="I250" s="23" t="str">
        <x:v>Deplaned</x:v>
      </x:c>
      <x:c r="J250" s="72" t="n">
        <x:v>1509891</x:v>
      </x:c>
      <x:c r="K250" s="23" t="str">
        <x:v>passengers</x:v>
      </x:c>
      <x:c r="L250" s="24" t="str"/>
      <x:c r="M250" s="24" t="n">
        <x:v>46256.6280787037</x:v>
      </x:c>
      <x:c r="N250" s="24" t="n">
        <x:v>46268.86863425926</x:v>
      </x:c>
      <x:c r="O250" s="40" t="b">
        <x:v>1</x:v>
      </x:c>
      <x:c r="P250" s="42" t="str">
        <x:v>current_snapshot_diagnostic_only</x:v>
      </x:c>
    </x:row>
    <x:row r="251">
      <x:c r="A251" s="23" t="str">
        <x:v>8c56f4d1a66c555400c8</x:v>
      </x:c>
      <x:c r="B251" s="23" t="str">
        <x:v>SFO_AIR_PASSENGERS</x:v>
      </x:c>
      <x:c r="C251" s="23" t="str">
        <x:v>City and County of San Francisco</x:v>
      </x:c>
      <x:c r="D251" s="23" t="str">
        <x:v>United States</x:v>
      </x:c>
      <x:c r="E251" s="23" t="str">
        <x:v>San Francisco International Airport</x:v>
      </x:c>
      <x:c r="F251" s="23" t="str">
        <x:v>2022-08</x:v>
      </x:c>
      <x:c r="G251" s="23" t="str">
        <x:v>Enplaned</x:v>
      </x:c>
      <x:c r="H251" s="23" t="str">
        <x:v>Domestic</x:v>
      </x:c>
      <x:c r="I251" s="23" t="str">
        <x:v>Enplaned</x:v>
      </x:c>
      <x:c r="J251" s="72" t="n">
        <x:v>1483142</x:v>
      </x:c>
      <x:c r="K251" s="23" t="str">
        <x:v>passengers</x:v>
      </x:c>
      <x:c r="L251" s="24" t="str"/>
      <x:c r="M251" s="24" t="n">
        <x:v>46256.6280787037</x:v>
      </x:c>
      <x:c r="N251" s="24" t="n">
        <x:v>46268.86863425926</x:v>
      </x:c>
      <x:c r="O251" s="40" t="b">
        <x:v>1</x:v>
      </x:c>
      <x:c r="P251" s="42" t="str">
        <x:v>current_snapshot_diagnostic_only</x:v>
      </x:c>
    </x:row>
    <x:row r="252">
      <x:c r="A252" s="23" t="str">
        <x:v>aef44461214f45867f89</x:v>
      </x:c>
      <x:c r="B252" s="23" t="str">
        <x:v>SFO_AIR_PASSENGERS</x:v>
      </x:c>
      <x:c r="C252" s="23" t="str">
        <x:v>City and County of San Francisco</x:v>
      </x:c>
      <x:c r="D252" s="23" t="str">
        <x:v>United States</x:v>
      </x:c>
      <x:c r="E252" s="23" t="str">
        <x:v>San Francisco International Airport</x:v>
      </x:c>
      <x:c r="F252" s="23" t="str">
        <x:v>2022-08</x:v>
      </x:c>
      <x:c r="G252" s="23" t="str">
        <x:v>Thru / Transit</x:v>
      </x:c>
      <x:c r="H252" s="23" t="str">
        <x:v>Domestic</x:v>
      </x:c>
      <x:c r="I252" s="23" t="str">
        <x:v>Thru / Transit</x:v>
      </x:c>
      <x:c r="J252" s="72" t="n">
        <x:v>207</x:v>
      </x:c>
      <x:c r="K252" s="23" t="str">
        <x:v>passengers</x:v>
      </x:c>
      <x:c r="L252" s="24" t="str"/>
      <x:c r="M252" s="24" t="n">
        <x:v>46256.6280787037</x:v>
      </x:c>
      <x:c r="N252" s="24" t="n">
        <x:v>46268.86863425926</x:v>
      </x:c>
      <x:c r="O252" s="40" t="b">
        <x:v>0</x:v>
      </x:c>
      <x:c r="P252" s="42" t="str">
        <x:v>current_snapshot_diagnostic_only</x:v>
      </x:c>
    </x:row>
    <x:row r="253">
      <x:c r="A253" s="23" t="str">
        <x:v>02dfe2b7d3740ac6d6da</x:v>
      </x:c>
      <x:c r="B253" s="23" t="str">
        <x:v>SFO_AIR_PASSENGERS</x:v>
      </x:c>
      <x:c r="C253" s="23" t="str">
        <x:v>City and County of San Francisco</x:v>
      </x:c>
      <x:c r="D253" s="23" t="str">
        <x:v>United States</x:v>
      </x:c>
      <x:c r="E253" s="23" t="str">
        <x:v>San Francisco International Airport</x:v>
      </x:c>
      <x:c r="F253" s="23" t="str">
        <x:v>2022-08</x:v>
      </x:c>
      <x:c r="G253" s="23" t="str">
        <x:v>Deplaned</x:v>
      </x:c>
      <x:c r="H253" s="23" t="str">
        <x:v>International</x:v>
      </x:c>
      <x:c r="I253" s="23" t="str">
        <x:v>Deplaned</x:v>
      </x:c>
      <x:c r="J253" s="72" t="n">
        <x:v>582652</x:v>
      </x:c>
      <x:c r="K253" s="23" t="str">
        <x:v>passengers</x:v>
      </x:c>
      <x:c r="L253" s="24" t="str"/>
      <x:c r="M253" s="24" t="n">
        <x:v>46256.6280787037</x:v>
      </x:c>
      <x:c r="N253" s="24" t="n">
        <x:v>46268.86863425926</x:v>
      </x:c>
      <x:c r="O253" s="40" t="b">
        <x:v>1</x:v>
      </x:c>
      <x:c r="P253" s="42" t="str">
        <x:v>current_snapshot_diagnostic_only</x:v>
      </x:c>
    </x:row>
    <x:row r="254">
      <x:c r="A254" s="23" t="str">
        <x:v>e747a792da0fcc9027c7</x:v>
      </x:c>
      <x:c r="B254" s="23" t="str">
        <x:v>SFO_AIR_PASSENGERS</x:v>
      </x:c>
      <x:c r="C254" s="23" t="str">
        <x:v>City and County of San Francisco</x:v>
      </x:c>
      <x:c r="D254" s="23" t="str">
        <x:v>United States</x:v>
      </x:c>
      <x:c r="E254" s="23" t="str">
        <x:v>San Francisco International Airport</x:v>
      </x:c>
      <x:c r="F254" s="23" t="str">
        <x:v>2022-08</x:v>
      </x:c>
      <x:c r="G254" s="23" t="str">
        <x:v>Enplaned</x:v>
      </x:c>
      <x:c r="H254" s="23" t="str">
        <x:v>International</x:v>
      </x:c>
      <x:c r="I254" s="23" t="str">
        <x:v>Enplaned</x:v>
      </x:c>
      <x:c r="J254" s="72" t="n">
        <x:v>523271</x:v>
      </x:c>
      <x:c r="K254" s="23" t="str">
        <x:v>passengers</x:v>
      </x:c>
      <x:c r="L254" s="24" t="str"/>
      <x:c r="M254" s="24" t="n">
        <x:v>46256.6280787037</x:v>
      </x:c>
      <x:c r="N254" s="24" t="n">
        <x:v>46268.86863425926</x:v>
      </x:c>
      <x:c r="O254" s="40" t="b">
        <x:v>1</x:v>
      </x:c>
      <x:c r="P254" s="42" t="str">
        <x:v>current_snapshot_diagnostic_only</x:v>
      </x:c>
    </x:row>
    <x:row r="255">
      <x:c r="A255" s="23" t="str">
        <x:v>027e0dae48318b15bf56</x:v>
      </x:c>
      <x:c r="B255" s="23" t="str">
        <x:v>SFO_AIR_PASSENGERS</x:v>
      </x:c>
      <x:c r="C255" s="23" t="str">
        <x:v>City and County of San Francisco</x:v>
      </x:c>
      <x:c r="D255" s="23" t="str">
        <x:v>United States</x:v>
      </x:c>
      <x:c r="E255" s="23" t="str">
        <x:v>San Francisco International Airport</x:v>
      </x:c>
      <x:c r="F255" s="23" t="str">
        <x:v>2022-08</x:v>
      </x:c>
      <x:c r="G255" s="23" t="str">
        <x:v>Thru / Transit</x:v>
      </x:c>
      <x:c r="H255" s="23" t="str">
        <x:v>International</x:v>
      </x:c>
      <x:c r="I255" s="23" t="str">
        <x:v>Thru / Transit</x:v>
      </x:c>
      <x:c r="J255" s="72" t="n">
        <x:v>7265</x:v>
      </x:c>
      <x:c r="K255" s="23" t="str">
        <x:v>passengers</x:v>
      </x:c>
      <x:c r="L255" s="24" t="str"/>
      <x:c r="M255" s="24" t="n">
        <x:v>46256.6280787037</x:v>
      </x:c>
      <x:c r="N255" s="24" t="n">
        <x:v>46268.86863425926</x:v>
      </x:c>
      <x:c r="O255" s="40" t="b">
        <x:v>0</x:v>
      </x:c>
      <x:c r="P255" s="42" t="str">
        <x:v>current_snapshot_diagnostic_only</x:v>
      </x:c>
    </x:row>
    <x:row r="256">
      <x:c r="A256" s="23" t="str">
        <x:v>b3d681b8db994b1c694e</x:v>
      </x:c>
      <x:c r="B256" s="23" t="str">
        <x:v>SFO_AIR_PASSENGERS</x:v>
      </x:c>
      <x:c r="C256" s="23" t="str">
        <x:v>City and County of San Francisco</x:v>
      </x:c>
      <x:c r="D256" s="23" t="str">
        <x:v>United States</x:v>
      </x:c>
      <x:c r="E256" s="23" t="str">
        <x:v>San Francisco International Airport</x:v>
      </x:c>
      <x:c r="F256" s="23" t="str">
        <x:v>2022-09</x:v>
      </x:c>
      <x:c r="G256" s="23" t="str">
        <x:v>Deplaned</x:v>
      </x:c>
      <x:c r="H256" s="23" t="str">
        <x:v>Domestic</x:v>
      </x:c>
      <x:c r="I256" s="23" t="str">
        <x:v>Deplaned</x:v>
      </x:c>
      <x:c r="J256" s="72" t="n">
        <x:v>1439952</x:v>
      </x:c>
      <x:c r="K256" s="23" t="str">
        <x:v>passengers</x:v>
      </x:c>
      <x:c r="L256" s="24" t="str"/>
      <x:c r="M256" s="24" t="n">
        <x:v>46256.6280787037</x:v>
      </x:c>
      <x:c r="N256" s="24" t="n">
        <x:v>46268.86863425926</x:v>
      </x:c>
      <x:c r="O256" s="40" t="b">
        <x:v>1</x:v>
      </x:c>
      <x:c r="P256" s="42" t="str">
        <x:v>current_snapshot_diagnostic_only</x:v>
      </x:c>
    </x:row>
    <x:row r="257">
      <x:c r="A257" s="23" t="str">
        <x:v>9dd24d1c12683f5d3b75</x:v>
      </x:c>
      <x:c r="B257" s="23" t="str">
        <x:v>SFO_AIR_PASSENGERS</x:v>
      </x:c>
      <x:c r="C257" s="23" t="str">
        <x:v>City and County of San Francisco</x:v>
      </x:c>
      <x:c r="D257" s="23" t="str">
        <x:v>United States</x:v>
      </x:c>
      <x:c r="E257" s="23" t="str">
        <x:v>San Francisco International Airport</x:v>
      </x:c>
      <x:c r="F257" s="23" t="str">
        <x:v>2022-09</x:v>
      </x:c>
      <x:c r="G257" s="23" t="str">
        <x:v>Enplaned</x:v>
      </x:c>
      <x:c r="H257" s="23" t="str">
        <x:v>Domestic</x:v>
      </x:c>
      <x:c r="I257" s="23" t="str">
        <x:v>Enplaned</x:v>
      </x:c>
      <x:c r="J257" s="72" t="n">
        <x:v>1446118</x:v>
      </x:c>
      <x:c r="K257" s="23" t="str">
        <x:v>passengers</x:v>
      </x:c>
      <x:c r="L257" s="24" t="str"/>
      <x:c r="M257" s="24" t="n">
        <x:v>46256.6280787037</x:v>
      </x:c>
      <x:c r="N257" s="24" t="n">
        <x:v>46268.86863425926</x:v>
      </x:c>
      <x:c r="O257" s="40" t="b">
        <x:v>1</x:v>
      </x:c>
      <x:c r="P257" s="42" t="str">
        <x:v>current_snapshot_diagnostic_only</x:v>
      </x:c>
    </x:row>
    <x:row r="258">
      <x:c r="A258" s="23" t="str">
        <x:v>fc5ba4e90af25d322392</x:v>
      </x:c>
      <x:c r="B258" s="23" t="str">
        <x:v>SFO_AIR_PASSENGERS</x:v>
      </x:c>
      <x:c r="C258" s="23" t="str">
        <x:v>City and County of San Francisco</x:v>
      </x:c>
      <x:c r="D258" s="23" t="str">
        <x:v>United States</x:v>
      </x:c>
      <x:c r="E258" s="23" t="str">
        <x:v>San Francisco International Airport</x:v>
      </x:c>
      <x:c r="F258" s="23" t="str">
        <x:v>2022-09</x:v>
      </x:c>
      <x:c r="G258" s="23" t="str">
        <x:v>Thru / Transit</x:v>
      </x:c>
      <x:c r="H258" s="23" t="str">
        <x:v>Domestic</x:v>
      </x:c>
      <x:c r="I258" s="23" t="str">
        <x:v>Thru / Transit</x:v>
      </x:c>
      <x:c r="J258" s="72" t="n">
        <x:v>196</x:v>
      </x:c>
      <x:c r="K258" s="23" t="str">
        <x:v>passengers</x:v>
      </x:c>
      <x:c r="L258" s="24" t="str"/>
      <x:c r="M258" s="24" t="n">
        <x:v>46256.6280787037</x:v>
      </x:c>
      <x:c r="N258" s="24" t="n">
        <x:v>46268.86863425926</x:v>
      </x:c>
      <x:c r="O258" s="40" t="b">
        <x:v>0</x:v>
      </x:c>
      <x:c r="P258" s="42" t="str">
        <x:v>current_snapshot_diagnostic_only</x:v>
      </x:c>
    </x:row>
    <x:row r="259">
      <x:c r="A259" s="23" t="str">
        <x:v>1c352a0c31b260461d81</x:v>
      </x:c>
      <x:c r="B259" s="23" t="str">
        <x:v>SFO_AIR_PASSENGERS</x:v>
      </x:c>
      <x:c r="C259" s="23" t="str">
        <x:v>City and County of San Francisco</x:v>
      </x:c>
      <x:c r="D259" s="23" t="str">
        <x:v>United States</x:v>
      </x:c>
      <x:c r="E259" s="23" t="str">
        <x:v>San Francisco International Airport</x:v>
      </x:c>
      <x:c r="F259" s="23" t="str">
        <x:v>2022-09</x:v>
      </x:c>
      <x:c r="G259" s="23" t="str">
        <x:v>Deplaned</x:v>
      </x:c>
      <x:c r="H259" s="23" t="str">
        <x:v>International</x:v>
      </x:c>
      <x:c r="I259" s="23" t="str">
        <x:v>Deplaned</x:v>
      </x:c>
      <x:c r="J259" s="72" t="n">
        <x:v>501084</x:v>
      </x:c>
      <x:c r="K259" s="23" t="str">
        <x:v>passengers</x:v>
      </x:c>
      <x:c r="L259" s="24" t="str"/>
      <x:c r="M259" s="24" t="n">
        <x:v>46256.6280787037</x:v>
      </x:c>
      <x:c r="N259" s="24" t="n">
        <x:v>46268.86863425926</x:v>
      </x:c>
      <x:c r="O259" s="40" t="b">
        <x:v>1</x:v>
      </x:c>
      <x:c r="P259" s="42" t="str">
        <x:v>current_snapshot_diagnostic_only</x:v>
      </x:c>
    </x:row>
    <x:row r="260">
      <x:c r="A260" s="23" t="str">
        <x:v>9b3eab2852f584da2600</x:v>
      </x:c>
      <x:c r="B260" s="23" t="str">
        <x:v>SFO_AIR_PASSENGERS</x:v>
      </x:c>
      <x:c r="C260" s="23" t="str">
        <x:v>City and County of San Francisco</x:v>
      </x:c>
      <x:c r="D260" s="23" t="str">
        <x:v>United States</x:v>
      </x:c>
      <x:c r="E260" s="23" t="str">
        <x:v>San Francisco International Airport</x:v>
      </x:c>
      <x:c r="F260" s="23" t="str">
        <x:v>2022-09</x:v>
      </x:c>
      <x:c r="G260" s="23" t="str">
        <x:v>Enplaned</x:v>
      </x:c>
      <x:c r="H260" s="23" t="str">
        <x:v>International</x:v>
      </x:c>
      <x:c r="I260" s="23" t="str">
        <x:v>Enplaned</x:v>
      </x:c>
      <x:c r="J260" s="72" t="n">
        <x:v>494761</x:v>
      </x:c>
      <x:c r="K260" s="23" t="str">
        <x:v>passengers</x:v>
      </x:c>
      <x:c r="L260" s="24" t="str"/>
      <x:c r="M260" s="24" t="n">
        <x:v>46256.6280787037</x:v>
      </x:c>
      <x:c r="N260" s="24" t="n">
        <x:v>46268.86863425926</x:v>
      </x:c>
      <x:c r="O260" s="40" t="b">
        <x:v>1</x:v>
      </x:c>
      <x:c r="P260" s="42" t="str">
        <x:v>current_snapshot_diagnostic_only</x:v>
      </x:c>
    </x:row>
    <x:row r="261">
      <x:c r="A261" s="23" t="str">
        <x:v>24b50fd37e0810bd4bb0</x:v>
      </x:c>
      <x:c r="B261" s="23" t="str">
        <x:v>SFO_AIR_PASSENGERS</x:v>
      </x:c>
      <x:c r="C261" s="23" t="str">
        <x:v>City and County of San Francisco</x:v>
      </x:c>
      <x:c r="D261" s="23" t="str">
        <x:v>United States</x:v>
      </x:c>
      <x:c r="E261" s="23" t="str">
        <x:v>San Francisco International Airport</x:v>
      </x:c>
      <x:c r="F261" s="23" t="str">
        <x:v>2022-09</x:v>
      </x:c>
      <x:c r="G261" s="23" t="str">
        <x:v>Thru / Transit</x:v>
      </x:c>
      <x:c r="H261" s="23" t="str">
        <x:v>International</x:v>
      </x:c>
      <x:c r="I261" s="23" t="str">
        <x:v>Thru / Transit</x:v>
      </x:c>
      <x:c r="J261" s="72" t="n">
        <x:v>6132</x:v>
      </x:c>
      <x:c r="K261" s="23" t="str">
        <x:v>passengers</x:v>
      </x:c>
      <x:c r="L261" s="24" t="str"/>
      <x:c r="M261" s="24" t="n">
        <x:v>46256.6280787037</x:v>
      </x:c>
      <x:c r="N261" s="24" t="n">
        <x:v>46268.86863425926</x:v>
      </x:c>
      <x:c r="O261" s="40" t="b">
        <x:v>0</x:v>
      </x:c>
      <x:c r="P261" s="42" t="str">
        <x:v>current_snapshot_diagnostic_only</x:v>
      </x:c>
    </x:row>
    <x:row r="262">
      <x:c r="A262" s="23" t="str">
        <x:v>4b977071c60b71d6c63c</x:v>
      </x:c>
      <x:c r="B262" s="23" t="str">
        <x:v>SFO_AIR_PASSENGERS</x:v>
      </x:c>
      <x:c r="C262" s="23" t="str">
        <x:v>City and County of San Francisco</x:v>
      </x:c>
      <x:c r="D262" s="23" t="str">
        <x:v>United States</x:v>
      </x:c>
      <x:c r="E262" s="23" t="str">
        <x:v>San Francisco International Airport</x:v>
      </x:c>
      <x:c r="F262" s="23" t="str">
        <x:v>2022-10</x:v>
      </x:c>
      <x:c r="G262" s="23" t="str">
        <x:v>Deplaned</x:v>
      </x:c>
      <x:c r="H262" s="23" t="str">
        <x:v>Domestic</x:v>
      </x:c>
      <x:c r="I262" s="23" t="str">
        <x:v>Deplaned</x:v>
      </x:c>
      <x:c r="J262" s="72" t="n">
        <x:v>1508708</x:v>
      </x:c>
      <x:c r="K262" s="23" t="str">
        <x:v>passengers</x:v>
      </x:c>
      <x:c r="L262" s="24" t="str"/>
      <x:c r="M262" s="24" t="n">
        <x:v>46256.6280787037</x:v>
      </x:c>
      <x:c r="N262" s="24" t="n">
        <x:v>46268.86863425926</x:v>
      </x:c>
      <x:c r="O262" s="40" t="b">
        <x:v>1</x:v>
      </x:c>
      <x:c r="P262" s="42" t="str">
        <x:v>current_snapshot_diagnostic_only</x:v>
      </x:c>
    </x:row>
    <x:row r="263">
      <x:c r="A263" s="23" t="str">
        <x:v>1157a4355ba45d521025</x:v>
      </x:c>
      <x:c r="B263" s="23" t="str">
        <x:v>SFO_AIR_PASSENGERS</x:v>
      </x:c>
      <x:c r="C263" s="23" t="str">
        <x:v>City and County of San Francisco</x:v>
      </x:c>
      <x:c r="D263" s="23" t="str">
        <x:v>United States</x:v>
      </x:c>
      <x:c r="E263" s="23" t="str">
        <x:v>San Francisco International Airport</x:v>
      </x:c>
      <x:c r="F263" s="23" t="str">
        <x:v>2022-10</x:v>
      </x:c>
      <x:c r="G263" s="23" t="str">
        <x:v>Enplaned</x:v>
      </x:c>
      <x:c r="H263" s="23" t="str">
        <x:v>Domestic</x:v>
      </x:c>
      <x:c r="I263" s="23" t="str">
        <x:v>Enplaned</x:v>
      </x:c>
      <x:c r="J263" s="72" t="n">
        <x:v>1501270</x:v>
      </x:c>
      <x:c r="K263" s="23" t="str">
        <x:v>passengers</x:v>
      </x:c>
      <x:c r="L263" s="24" t="str"/>
      <x:c r="M263" s="24" t="n">
        <x:v>46256.6280787037</x:v>
      </x:c>
      <x:c r="N263" s="24" t="n">
        <x:v>46268.86863425926</x:v>
      </x:c>
      <x:c r="O263" s="40" t="b">
        <x:v>1</x:v>
      </x:c>
      <x:c r="P263" s="42" t="str">
        <x:v>current_snapshot_diagnostic_only</x:v>
      </x:c>
    </x:row>
    <x:row r="264">
      <x:c r="A264" s="23" t="str">
        <x:v>5851d4736167e745be14</x:v>
      </x:c>
      <x:c r="B264" s="23" t="str">
        <x:v>SFO_AIR_PASSENGERS</x:v>
      </x:c>
      <x:c r="C264" s="23" t="str">
        <x:v>City and County of San Francisco</x:v>
      </x:c>
      <x:c r="D264" s="23" t="str">
        <x:v>United States</x:v>
      </x:c>
      <x:c r="E264" s="23" t="str">
        <x:v>San Francisco International Airport</x:v>
      </x:c>
      <x:c r="F264" s="23" t="str">
        <x:v>2022-10</x:v>
      </x:c>
      <x:c r="G264" s="23" t="str">
        <x:v>Thru / Transit</x:v>
      </x:c>
      <x:c r="H264" s="23" t="str">
        <x:v>Domestic</x:v>
      </x:c>
      <x:c r="I264" s="23" t="str">
        <x:v>Thru / Transit</x:v>
      </x:c>
      <x:c r="J264" s="72" t="n">
        <x:v>180</x:v>
      </x:c>
      <x:c r="K264" s="23" t="str">
        <x:v>passengers</x:v>
      </x:c>
      <x:c r="L264" s="24" t="str"/>
      <x:c r="M264" s="24" t="n">
        <x:v>46256.6280787037</x:v>
      </x:c>
      <x:c r="N264" s="24" t="n">
        <x:v>46268.86863425926</x:v>
      </x:c>
      <x:c r="O264" s="40" t="b">
        <x:v>0</x:v>
      </x:c>
      <x:c r="P264" s="42" t="str">
        <x:v>current_snapshot_diagnostic_only</x:v>
      </x:c>
    </x:row>
    <x:row r="265">
      <x:c r="A265" s="23" t="str">
        <x:v>bc6977310d69bc0626ed</x:v>
      </x:c>
      <x:c r="B265" s="23" t="str">
        <x:v>SFO_AIR_PASSENGERS</x:v>
      </x:c>
      <x:c r="C265" s="23" t="str">
        <x:v>City and County of San Francisco</x:v>
      </x:c>
      <x:c r="D265" s="23" t="str">
        <x:v>United States</x:v>
      </x:c>
      <x:c r="E265" s="23" t="str">
        <x:v>San Francisco International Airport</x:v>
      </x:c>
      <x:c r="F265" s="23" t="str">
        <x:v>2022-10</x:v>
      </x:c>
      <x:c r="G265" s="23" t="str">
        <x:v>Deplaned</x:v>
      </x:c>
      <x:c r="H265" s="23" t="str">
        <x:v>International</x:v>
      </x:c>
      <x:c r="I265" s="23" t="str">
        <x:v>Deplaned</x:v>
      </x:c>
      <x:c r="J265" s="72" t="n">
        <x:v>479963</x:v>
      </x:c>
      <x:c r="K265" s="23" t="str">
        <x:v>passengers</x:v>
      </x:c>
      <x:c r="L265" s="24" t="str"/>
      <x:c r="M265" s="24" t="n">
        <x:v>46256.6280787037</x:v>
      </x:c>
      <x:c r="N265" s="24" t="n">
        <x:v>46268.86863425926</x:v>
      </x:c>
      <x:c r="O265" s="40" t="b">
        <x:v>1</x:v>
      </x:c>
      <x:c r="P265" s="42" t="str">
        <x:v>current_snapshot_diagnostic_only</x:v>
      </x:c>
    </x:row>
    <x:row r="266">
      <x:c r="A266" s="23" t="str">
        <x:v>e4b74eaf97e58d48a6d1</x:v>
      </x:c>
      <x:c r="B266" s="23" t="str">
        <x:v>SFO_AIR_PASSENGERS</x:v>
      </x:c>
      <x:c r="C266" s="23" t="str">
        <x:v>City and County of San Francisco</x:v>
      </x:c>
      <x:c r="D266" s="23" t="str">
        <x:v>United States</x:v>
      </x:c>
      <x:c r="E266" s="23" t="str">
        <x:v>San Francisco International Airport</x:v>
      </x:c>
      <x:c r="F266" s="23" t="str">
        <x:v>2022-10</x:v>
      </x:c>
      <x:c r="G266" s="23" t="str">
        <x:v>Enplaned</x:v>
      </x:c>
      <x:c r="H266" s="23" t="str">
        <x:v>International</x:v>
      </x:c>
      <x:c r="I266" s="23" t="str">
        <x:v>Enplaned</x:v>
      </x:c>
      <x:c r="J266" s="72" t="n">
        <x:v>476022</x:v>
      </x:c>
      <x:c r="K266" s="23" t="str">
        <x:v>passengers</x:v>
      </x:c>
      <x:c r="L266" s="24" t="str"/>
      <x:c r="M266" s="24" t="n">
        <x:v>46256.6280787037</x:v>
      </x:c>
      <x:c r="N266" s="24" t="n">
        <x:v>46268.86863425926</x:v>
      </x:c>
      <x:c r="O266" s="40" t="b">
        <x:v>1</x:v>
      </x:c>
      <x:c r="P266" s="42" t="str">
        <x:v>current_snapshot_diagnostic_only</x:v>
      </x:c>
    </x:row>
    <x:row r="267">
      <x:c r="A267" s="23" t="str">
        <x:v>08ba8e84f67e6bd2e667</x:v>
      </x:c>
      <x:c r="B267" s="23" t="str">
        <x:v>SFO_AIR_PASSENGERS</x:v>
      </x:c>
      <x:c r="C267" s="23" t="str">
        <x:v>City and County of San Francisco</x:v>
      </x:c>
      <x:c r="D267" s="23" t="str">
        <x:v>United States</x:v>
      </x:c>
      <x:c r="E267" s="23" t="str">
        <x:v>San Francisco International Airport</x:v>
      </x:c>
      <x:c r="F267" s="23" t="str">
        <x:v>2022-10</x:v>
      </x:c>
      <x:c r="G267" s="23" t="str">
        <x:v>Thru / Transit</x:v>
      </x:c>
      <x:c r="H267" s="23" t="str">
        <x:v>International</x:v>
      </x:c>
      <x:c r="I267" s="23" t="str">
        <x:v>Thru / Transit</x:v>
      </x:c>
      <x:c r="J267" s="72" t="n">
        <x:v>6303</x:v>
      </x:c>
      <x:c r="K267" s="23" t="str">
        <x:v>passengers</x:v>
      </x:c>
      <x:c r="L267" s="24" t="str"/>
      <x:c r="M267" s="24" t="n">
        <x:v>46256.6280787037</x:v>
      </x:c>
      <x:c r="N267" s="24" t="n">
        <x:v>46268.86863425926</x:v>
      </x:c>
      <x:c r="O267" s="40" t="b">
        <x:v>0</x:v>
      </x:c>
      <x:c r="P267" s="42" t="str">
        <x:v>current_snapshot_diagnostic_only</x:v>
      </x:c>
    </x:row>
    <x:row r="268">
      <x:c r="A268" s="23" t="str">
        <x:v>242c730fac422164a90e</x:v>
      </x:c>
      <x:c r="B268" s="23" t="str">
        <x:v>SFO_AIR_PASSENGERS</x:v>
      </x:c>
      <x:c r="C268" s="23" t="str">
        <x:v>City and County of San Francisco</x:v>
      </x:c>
      <x:c r="D268" s="23" t="str">
        <x:v>United States</x:v>
      </x:c>
      <x:c r="E268" s="23" t="str">
        <x:v>San Francisco International Airport</x:v>
      </x:c>
      <x:c r="F268" s="23" t="str">
        <x:v>2022-11</x:v>
      </x:c>
      <x:c r="G268" s="23" t="str">
        <x:v>Deplaned</x:v>
      </x:c>
      <x:c r="H268" s="23" t="str">
        <x:v>Domestic</x:v>
      </x:c>
      <x:c r="I268" s="23" t="str">
        <x:v>Deplaned</x:v>
      </x:c>
      <x:c r="J268" s="72" t="n">
        <x:v>1379417</x:v>
      </x:c>
      <x:c r="K268" s="23" t="str">
        <x:v>passengers</x:v>
      </x:c>
      <x:c r="L268" s="24" t="str"/>
      <x:c r="M268" s="24" t="n">
        <x:v>46256.6280787037</x:v>
      </x:c>
      <x:c r="N268" s="24" t="n">
        <x:v>46268.86863425926</x:v>
      </x:c>
      <x:c r="O268" s="40" t="b">
        <x:v>1</x:v>
      </x:c>
      <x:c r="P268" s="42" t="str">
        <x:v>current_snapshot_diagnostic_only</x:v>
      </x:c>
    </x:row>
    <x:row r="269">
      <x:c r="A269" s="23" t="str">
        <x:v>6d412f569030c05a28cd</x:v>
      </x:c>
      <x:c r="B269" s="23" t="str">
        <x:v>SFO_AIR_PASSENGERS</x:v>
      </x:c>
      <x:c r="C269" s="23" t="str">
        <x:v>City and County of San Francisco</x:v>
      </x:c>
      <x:c r="D269" s="23" t="str">
        <x:v>United States</x:v>
      </x:c>
      <x:c r="E269" s="23" t="str">
        <x:v>San Francisco International Airport</x:v>
      </x:c>
      <x:c r="F269" s="23" t="str">
        <x:v>2022-11</x:v>
      </x:c>
      <x:c r="G269" s="23" t="str">
        <x:v>Enplaned</x:v>
      </x:c>
      <x:c r="H269" s="23" t="str">
        <x:v>Domestic</x:v>
      </x:c>
      <x:c r="I269" s="23" t="str">
        <x:v>Enplaned</x:v>
      </x:c>
      <x:c r="J269" s="72" t="n">
        <x:v>1387182</x:v>
      </x:c>
      <x:c r="K269" s="23" t="str">
        <x:v>passengers</x:v>
      </x:c>
      <x:c r="L269" s="24" t="str"/>
      <x:c r="M269" s="24" t="n">
        <x:v>46256.6280787037</x:v>
      </x:c>
      <x:c r="N269" s="24" t="n">
        <x:v>46268.86863425926</x:v>
      </x:c>
      <x:c r="O269" s="40" t="b">
        <x:v>1</x:v>
      </x:c>
      <x:c r="P269" s="42" t="str">
        <x:v>current_snapshot_diagnostic_only</x:v>
      </x:c>
    </x:row>
    <x:row r="270">
      <x:c r="A270" s="23" t="str">
        <x:v>edb6489c386a72ae60c4</x:v>
      </x:c>
      <x:c r="B270" s="23" t="str">
        <x:v>SFO_AIR_PASSENGERS</x:v>
      </x:c>
      <x:c r="C270" s="23" t="str">
        <x:v>City and County of San Francisco</x:v>
      </x:c>
      <x:c r="D270" s="23" t="str">
        <x:v>United States</x:v>
      </x:c>
      <x:c r="E270" s="23" t="str">
        <x:v>San Francisco International Airport</x:v>
      </x:c>
      <x:c r="F270" s="23" t="str">
        <x:v>2022-11</x:v>
      </x:c>
      <x:c r="G270" s="23" t="str">
        <x:v>Thru / Transit</x:v>
      </x:c>
      <x:c r="H270" s="23" t="str">
        <x:v>Domestic</x:v>
      </x:c>
      <x:c r="I270" s="23" t="str">
        <x:v>Thru / Transit</x:v>
      </x:c>
      <x:c r="J270" s="72" t="n">
        <x:v>195</x:v>
      </x:c>
      <x:c r="K270" s="23" t="str">
        <x:v>passengers</x:v>
      </x:c>
      <x:c r="L270" s="24" t="str"/>
      <x:c r="M270" s="24" t="n">
        <x:v>46256.6280787037</x:v>
      </x:c>
      <x:c r="N270" s="24" t="n">
        <x:v>46268.86863425926</x:v>
      </x:c>
      <x:c r="O270" s="40" t="b">
        <x:v>0</x:v>
      </x:c>
      <x:c r="P270" s="42" t="str">
        <x:v>current_snapshot_diagnostic_only</x:v>
      </x:c>
    </x:row>
    <x:row r="271">
      <x:c r="A271" s="23" t="str">
        <x:v>ed23639bc03930be1ebb</x:v>
      </x:c>
      <x:c r="B271" s="23" t="str">
        <x:v>SFO_AIR_PASSENGERS</x:v>
      </x:c>
      <x:c r="C271" s="23" t="str">
        <x:v>City and County of San Francisco</x:v>
      </x:c>
      <x:c r="D271" s="23" t="str">
        <x:v>United States</x:v>
      </x:c>
      <x:c r="E271" s="23" t="str">
        <x:v>San Francisco International Airport</x:v>
      </x:c>
      <x:c r="F271" s="23" t="str">
        <x:v>2022-11</x:v>
      </x:c>
      <x:c r="G271" s="23" t="str">
        <x:v>Deplaned</x:v>
      </x:c>
      <x:c r="H271" s="23" t="str">
        <x:v>International</x:v>
      </x:c>
      <x:c r="I271" s="23" t="str">
        <x:v>Deplaned</x:v>
      </x:c>
      <x:c r="J271" s="72" t="n">
        <x:v>429342</x:v>
      </x:c>
      <x:c r="K271" s="23" t="str">
        <x:v>passengers</x:v>
      </x:c>
      <x:c r="L271" s="24" t="str"/>
      <x:c r="M271" s="24" t="n">
        <x:v>46256.6280787037</x:v>
      </x:c>
      <x:c r="N271" s="24" t="n">
        <x:v>46268.86863425926</x:v>
      </x:c>
      <x:c r="O271" s="40" t="b">
        <x:v>1</x:v>
      </x:c>
      <x:c r="P271" s="42" t="str">
        <x:v>current_snapshot_diagnostic_only</x:v>
      </x:c>
    </x:row>
    <x:row r="272">
      <x:c r="A272" s="23" t="str">
        <x:v>beeb342c460691efd43f</x:v>
      </x:c>
      <x:c r="B272" s="23" t="str">
        <x:v>SFO_AIR_PASSENGERS</x:v>
      </x:c>
      <x:c r="C272" s="23" t="str">
        <x:v>City and County of San Francisco</x:v>
      </x:c>
      <x:c r="D272" s="23" t="str">
        <x:v>United States</x:v>
      </x:c>
      <x:c r="E272" s="23" t="str">
        <x:v>San Francisco International Airport</x:v>
      </x:c>
      <x:c r="F272" s="23" t="str">
        <x:v>2022-11</x:v>
      </x:c>
      <x:c r="G272" s="23" t="str">
        <x:v>Enplaned</x:v>
      </x:c>
      <x:c r="H272" s="23" t="str">
        <x:v>International</x:v>
      </x:c>
      <x:c r="I272" s="23" t="str">
        <x:v>Enplaned</x:v>
      </x:c>
      <x:c r="J272" s="72" t="n">
        <x:v>453850</x:v>
      </x:c>
      <x:c r="K272" s="23" t="str">
        <x:v>passengers</x:v>
      </x:c>
      <x:c r="L272" s="24" t="str"/>
      <x:c r="M272" s="24" t="n">
        <x:v>46256.6280787037</x:v>
      </x:c>
      <x:c r="N272" s="24" t="n">
        <x:v>46268.86863425926</x:v>
      </x:c>
      <x:c r="O272" s="40" t="b">
        <x:v>1</x:v>
      </x:c>
      <x:c r="P272" s="42" t="str">
        <x:v>current_snapshot_diagnostic_only</x:v>
      </x:c>
    </x:row>
    <x:row r="273">
      <x:c r="A273" s="23" t="str">
        <x:v>44f95c66505653650626</x:v>
      </x:c>
      <x:c r="B273" s="23" t="str">
        <x:v>SFO_AIR_PASSENGERS</x:v>
      </x:c>
      <x:c r="C273" s="23" t="str">
        <x:v>City and County of San Francisco</x:v>
      </x:c>
      <x:c r="D273" s="23" t="str">
        <x:v>United States</x:v>
      </x:c>
      <x:c r="E273" s="23" t="str">
        <x:v>San Francisco International Airport</x:v>
      </x:c>
      <x:c r="F273" s="23" t="str">
        <x:v>2022-11</x:v>
      </x:c>
      <x:c r="G273" s="23" t="str">
        <x:v>Thru / Transit</x:v>
      </x:c>
      <x:c r="H273" s="23" t="str">
        <x:v>International</x:v>
      </x:c>
      <x:c r="I273" s="23" t="str">
        <x:v>Thru / Transit</x:v>
      </x:c>
      <x:c r="J273" s="72" t="n">
        <x:v>4512</x:v>
      </x:c>
      <x:c r="K273" s="23" t="str">
        <x:v>passengers</x:v>
      </x:c>
      <x:c r="L273" s="24" t="str"/>
      <x:c r="M273" s="24" t="n">
        <x:v>46256.6280787037</x:v>
      </x:c>
      <x:c r="N273" s="24" t="n">
        <x:v>46268.86863425926</x:v>
      </x:c>
      <x:c r="O273" s="40" t="b">
        <x:v>0</x:v>
      </x:c>
      <x:c r="P273" s="42" t="str">
        <x:v>current_snapshot_diagnostic_only</x:v>
      </x:c>
    </x:row>
    <x:row r="274">
      <x:c r="A274" s="23" t="str">
        <x:v>a6bf72c0cf39b31281c1</x:v>
      </x:c>
      <x:c r="B274" s="23" t="str">
        <x:v>SFO_AIR_PASSENGERS</x:v>
      </x:c>
      <x:c r="C274" s="23" t="str">
        <x:v>City and County of San Francisco</x:v>
      </x:c>
      <x:c r="D274" s="23" t="str">
        <x:v>United States</x:v>
      </x:c>
      <x:c r="E274" s="23" t="str">
        <x:v>San Francisco International Airport</x:v>
      </x:c>
      <x:c r="F274" s="23" t="str">
        <x:v>2022-12</x:v>
      </x:c>
      <x:c r="G274" s="23" t="str">
        <x:v>Deplaned</x:v>
      </x:c>
      <x:c r="H274" s="23" t="str">
        <x:v>Domestic</x:v>
      </x:c>
      <x:c r="I274" s="23" t="str">
        <x:v>Deplaned</x:v>
      </x:c>
      <x:c r="J274" s="72" t="n">
        <x:v>1353634</x:v>
      </x:c>
      <x:c r="K274" s="23" t="str">
        <x:v>passengers</x:v>
      </x:c>
      <x:c r="L274" s="24" t="str"/>
      <x:c r="M274" s="24" t="n">
        <x:v>46256.6280787037</x:v>
      </x:c>
      <x:c r="N274" s="24" t="n">
        <x:v>46268.86863425926</x:v>
      </x:c>
      <x:c r="O274" s="40" t="b">
        <x:v>1</x:v>
      </x:c>
      <x:c r="P274" s="42" t="str">
        <x:v>current_snapshot_diagnostic_only</x:v>
      </x:c>
    </x:row>
    <x:row r="275">
      <x:c r="A275" s="23" t="str">
        <x:v>2977513551966b7f850b</x:v>
      </x:c>
      <x:c r="B275" s="23" t="str">
        <x:v>SFO_AIR_PASSENGERS</x:v>
      </x:c>
      <x:c r="C275" s="23" t="str">
        <x:v>City and County of San Francisco</x:v>
      </x:c>
      <x:c r="D275" s="23" t="str">
        <x:v>United States</x:v>
      </x:c>
      <x:c r="E275" s="23" t="str">
        <x:v>San Francisco International Airport</x:v>
      </x:c>
      <x:c r="F275" s="23" t="str">
        <x:v>2022-12</x:v>
      </x:c>
      <x:c r="G275" s="23" t="str">
        <x:v>Enplaned</x:v>
      </x:c>
      <x:c r="H275" s="23" t="str">
        <x:v>Domestic</x:v>
      </x:c>
      <x:c r="I275" s="23" t="str">
        <x:v>Enplaned</x:v>
      </x:c>
      <x:c r="J275" s="72" t="n">
        <x:v>1382565</x:v>
      </x:c>
      <x:c r="K275" s="23" t="str">
        <x:v>passengers</x:v>
      </x:c>
      <x:c r="L275" s="24" t="str"/>
      <x:c r="M275" s="24" t="n">
        <x:v>46256.6280787037</x:v>
      </x:c>
      <x:c r="N275" s="24" t="n">
        <x:v>46268.86863425926</x:v>
      </x:c>
      <x:c r="O275" s="40" t="b">
        <x:v>1</x:v>
      </x:c>
      <x:c r="P275" s="42" t="str">
        <x:v>current_snapshot_diagnostic_only</x:v>
      </x:c>
    </x:row>
    <x:row r="276">
      <x:c r="A276" s="23" t="str">
        <x:v>98b2ce7f1990ea969968</x:v>
      </x:c>
      <x:c r="B276" s="23" t="str">
        <x:v>SFO_AIR_PASSENGERS</x:v>
      </x:c>
      <x:c r="C276" s="23" t="str">
        <x:v>City and County of San Francisco</x:v>
      </x:c>
      <x:c r="D276" s="23" t="str">
        <x:v>United States</x:v>
      </x:c>
      <x:c r="E276" s="23" t="str">
        <x:v>San Francisco International Airport</x:v>
      </x:c>
      <x:c r="F276" s="23" t="str">
        <x:v>2022-12</x:v>
      </x:c>
      <x:c r="G276" s="23" t="str">
        <x:v>Thru / Transit</x:v>
      </x:c>
      <x:c r="H276" s="23" t="str">
        <x:v>Domestic</x:v>
      </x:c>
      <x:c r="I276" s="23" t="str">
        <x:v>Thru / Transit</x:v>
      </x:c>
      <x:c r="J276" s="72" t="n">
        <x:v>3129</x:v>
      </x:c>
      <x:c r="K276" s="23" t="str">
        <x:v>passengers</x:v>
      </x:c>
      <x:c r="L276" s="24" t="str"/>
      <x:c r="M276" s="24" t="n">
        <x:v>46256.6280787037</x:v>
      </x:c>
      <x:c r="N276" s="24" t="n">
        <x:v>46268.86863425926</x:v>
      </x:c>
      <x:c r="O276" s="40" t="b">
        <x:v>0</x:v>
      </x:c>
      <x:c r="P276" s="42" t="str">
        <x:v>current_snapshot_diagnostic_only</x:v>
      </x:c>
    </x:row>
    <x:row r="277">
      <x:c r="A277" s="23" t="str">
        <x:v>1820c81759e49eade87e</x:v>
      </x:c>
      <x:c r="B277" s="23" t="str">
        <x:v>SFO_AIR_PASSENGERS</x:v>
      </x:c>
      <x:c r="C277" s="23" t="str">
        <x:v>City and County of San Francisco</x:v>
      </x:c>
      <x:c r="D277" s="23" t="str">
        <x:v>United States</x:v>
      </x:c>
      <x:c r="E277" s="23" t="str">
        <x:v>San Francisco International Airport</x:v>
      </x:c>
      <x:c r="F277" s="23" t="str">
        <x:v>2022-12</x:v>
      </x:c>
      <x:c r="G277" s="23" t="str">
        <x:v>Deplaned</x:v>
      </x:c>
      <x:c r="H277" s="23" t="str">
        <x:v>International</x:v>
      </x:c>
      <x:c r="I277" s="23" t="str">
        <x:v>Deplaned</x:v>
      </x:c>
      <x:c r="J277" s="72" t="n">
        <x:v>476740</x:v>
      </x:c>
      <x:c r="K277" s="23" t="str">
        <x:v>passengers</x:v>
      </x:c>
      <x:c r="L277" s="24" t="str"/>
      <x:c r="M277" s="24" t="n">
        <x:v>46256.6280787037</x:v>
      </x:c>
      <x:c r="N277" s="24" t="n">
        <x:v>46268.86863425926</x:v>
      </x:c>
      <x:c r="O277" s="40" t="b">
        <x:v>1</x:v>
      </x:c>
      <x:c r="P277" s="42" t="str">
        <x:v>current_snapshot_diagnostic_only</x:v>
      </x:c>
    </x:row>
    <x:row r="278">
      <x:c r="A278" s="23" t="str">
        <x:v>52ca385fa8feb6475cea</x:v>
      </x:c>
      <x:c r="B278" s="23" t="str">
        <x:v>SFO_AIR_PASSENGERS</x:v>
      </x:c>
      <x:c r="C278" s="23" t="str">
        <x:v>City and County of San Francisco</x:v>
      </x:c>
      <x:c r="D278" s="23" t="str">
        <x:v>United States</x:v>
      </x:c>
      <x:c r="E278" s="23" t="str">
        <x:v>San Francisco International Airport</x:v>
      </x:c>
      <x:c r="F278" s="23" t="str">
        <x:v>2022-12</x:v>
      </x:c>
      <x:c r="G278" s="23" t="str">
        <x:v>Enplaned</x:v>
      </x:c>
      <x:c r="H278" s="23" t="str">
        <x:v>International</x:v>
      </x:c>
      <x:c r="I278" s="23" t="str">
        <x:v>Enplaned</x:v>
      </x:c>
      <x:c r="J278" s="72" t="n">
        <x:v>524777</x:v>
      </x:c>
      <x:c r="K278" s="23" t="str">
        <x:v>passengers</x:v>
      </x:c>
      <x:c r="L278" s="24" t="str"/>
      <x:c r="M278" s="24" t="n">
        <x:v>46256.6280787037</x:v>
      </x:c>
      <x:c r="N278" s="24" t="n">
        <x:v>46268.86863425926</x:v>
      </x:c>
      <x:c r="O278" s="40" t="b">
        <x:v>1</x:v>
      </x:c>
      <x:c r="P278" s="42" t="str">
        <x:v>current_snapshot_diagnostic_only</x:v>
      </x:c>
    </x:row>
    <x:row r="279">
      <x:c r="A279" s="23" t="str">
        <x:v>82ae684f4d9ca3a98177</x:v>
      </x:c>
      <x:c r="B279" s="23" t="str">
        <x:v>SFO_AIR_PASSENGERS</x:v>
      </x:c>
      <x:c r="C279" s="23" t="str">
        <x:v>City and County of San Francisco</x:v>
      </x:c>
      <x:c r="D279" s="23" t="str">
        <x:v>United States</x:v>
      </x:c>
      <x:c r="E279" s="23" t="str">
        <x:v>San Francisco International Airport</x:v>
      </x:c>
      <x:c r="F279" s="23" t="str">
        <x:v>2022-12</x:v>
      </x:c>
      <x:c r="G279" s="23" t="str">
        <x:v>Thru / Transit</x:v>
      </x:c>
      <x:c r="H279" s="23" t="str">
        <x:v>International</x:v>
      </x:c>
      <x:c r="I279" s="23" t="str">
        <x:v>Thru / Transit</x:v>
      </x:c>
      <x:c r="J279" s="72" t="n">
        <x:v>5313</x:v>
      </x:c>
      <x:c r="K279" s="23" t="str">
        <x:v>passengers</x:v>
      </x:c>
      <x:c r="L279" s="24" t="str"/>
      <x:c r="M279" s="24" t="n">
        <x:v>46256.6280787037</x:v>
      </x:c>
      <x:c r="N279" s="24" t="n">
        <x:v>46268.86863425926</x:v>
      </x:c>
      <x:c r="O279" s="40" t="b">
        <x:v>0</x:v>
      </x:c>
      <x:c r="P279" s="42" t="str">
        <x:v>current_snapshot_diagnostic_only</x:v>
      </x:c>
    </x:row>
    <x:row r="280">
      <x:c r="A280" s="23" t="str">
        <x:v>d220bf4cff7c9a4dd488</x:v>
      </x:c>
      <x:c r="B280" s="23" t="str">
        <x:v>SFO_AIR_PASSENGERS</x:v>
      </x:c>
      <x:c r="C280" s="23" t="str">
        <x:v>City and County of San Francisco</x:v>
      </x:c>
      <x:c r="D280" s="23" t="str">
        <x:v>United States</x:v>
      </x:c>
      <x:c r="E280" s="23" t="str">
        <x:v>San Francisco International Airport</x:v>
      </x:c>
      <x:c r="F280" s="23" t="str">
        <x:v>2023-01</x:v>
      </x:c>
      <x:c r="G280" s="23" t="str">
        <x:v>Deplaned</x:v>
      </x:c>
      <x:c r="H280" s="23" t="str">
        <x:v>Domestic</x:v>
      </x:c>
      <x:c r="I280" s="23" t="str">
        <x:v>Deplaned</x:v>
      </x:c>
      <x:c r="J280" s="72" t="n">
        <x:v>1243440</x:v>
      </x:c>
      <x:c r="K280" s="23" t="str">
        <x:v>passengers</x:v>
      </x:c>
      <x:c r="L280" s="24" t="str"/>
      <x:c r="M280" s="24" t="n">
        <x:v>46256.6280787037</x:v>
      </x:c>
      <x:c r="N280" s="24" t="n">
        <x:v>46268.86863425926</x:v>
      </x:c>
      <x:c r="O280" s="40" t="b">
        <x:v>1</x:v>
      </x:c>
      <x:c r="P280" s="42" t="str">
        <x:v>current_snapshot_diagnostic_only</x:v>
      </x:c>
    </x:row>
    <x:row r="281">
      <x:c r="A281" s="23" t="str">
        <x:v>1a4ada3ac0b305b7ac10</x:v>
      </x:c>
      <x:c r="B281" s="23" t="str">
        <x:v>SFO_AIR_PASSENGERS</x:v>
      </x:c>
      <x:c r="C281" s="23" t="str">
        <x:v>City and County of San Francisco</x:v>
      </x:c>
      <x:c r="D281" s="23" t="str">
        <x:v>United States</x:v>
      </x:c>
      <x:c r="E281" s="23" t="str">
        <x:v>San Francisco International Airport</x:v>
      </x:c>
      <x:c r="F281" s="23" t="str">
        <x:v>2023-01</x:v>
      </x:c>
      <x:c r="G281" s="23" t="str">
        <x:v>Enplaned</x:v>
      </x:c>
      <x:c r="H281" s="23" t="str">
        <x:v>Domestic</x:v>
      </x:c>
      <x:c r="I281" s="23" t="str">
        <x:v>Enplaned</x:v>
      </x:c>
      <x:c r="J281" s="72" t="n">
        <x:v>1164679</x:v>
      </x:c>
      <x:c r="K281" s="23" t="str">
        <x:v>passengers</x:v>
      </x:c>
      <x:c r="L281" s="24" t="str"/>
      <x:c r="M281" s="24" t="n">
        <x:v>46256.6280787037</x:v>
      </x:c>
      <x:c r="N281" s="24" t="n">
        <x:v>46268.86863425926</x:v>
      </x:c>
      <x:c r="O281" s="40" t="b">
        <x:v>1</x:v>
      </x:c>
      <x:c r="P281" s="42" t="str">
        <x:v>current_snapshot_diagnostic_only</x:v>
      </x:c>
    </x:row>
    <x:row r="282">
      <x:c r="A282" s="23" t="str">
        <x:v>c7c684192531f662a460</x:v>
      </x:c>
      <x:c r="B282" s="23" t="str">
        <x:v>SFO_AIR_PASSENGERS</x:v>
      </x:c>
      <x:c r="C282" s="23" t="str">
        <x:v>City and County of San Francisco</x:v>
      </x:c>
      <x:c r="D282" s="23" t="str">
        <x:v>United States</x:v>
      </x:c>
      <x:c r="E282" s="23" t="str">
        <x:v>San Francisco International Airport</x:v>
      </x:c>
      <x:c r="F282" s="23" t="str">
        <x:v>2023-01</x:v>
      </x:c>
      <x:c r="G282" s="23" t="str">
        <x:v>Thru / Transit</x:v>
      </x:c>
      <x:c r="H282" s="23" t="str">
        <x:v>Domestic</x:v>
      </x:c>
      <x:c r="I282" s="23" t="str">
        <x:v>Thru / Transit</x:v>
      </x:c>
      <x:c r="J282" s="72" t="n">
        <x:v>232</x:v>
      </x:c>
      <x:c r="K282" s="23" t="str">
        <x:v>passengers</x:v>
      </x:c>
      <x:c r="L282" s="24" t="str"/>
      <x:c r="M282" s="24" t="n">
        <x:v>46256.6280787037</x:v>
      </x:c>
      <x:c r="N282" s="24" t="n">
        <x:v>46268.86863425926</x:v>
      </x:c>
      <x:c r="O282" s="40" t="b">
        <x:v>0</x:v>
      </x:c>
      <x:c r="P282" s="42" t="str">
        <x:v>current_snapshot_diagnostic_only</x:v>
      </x:c>
    </x:row>
    <x:row r="283">
      <x:c r="A283" s="23" t="str">
        <x:v>7c511bf788e7ab17e8eb</x:v>
      </x:c>
      <x:c r="B283" s="23" t="str">
        <x:v>SFO_AIR_PASSENGERS</x:v>
      </x:c>
      <x:c r="C283" s="23" t="str">
        <x:v>City and County of San Francisco</x:v>
      </x:c>
      <x:c r="D283" s="23" t="str">
        <x:v>United States</x:v>
      </x:c>
      <x:c r="E283" s="23" t="str">
        <x:v>San Francisco International Airport</x:v>
      </x:c>
      <x:c r="F283" s="23" t="str">
        <x:v>2023-01</x:v>
      </x:c>
      <x:c r="G283" s="23" t="str">
        <x:v>Deplaned</x:v>
      </x:c>
      <x:c r="H283" s="23" t="str">
        <x:v>International</x:v>
      </x:c>
      <x:c r="I283" s="23" t="str">
        <x:v>Deplaned</x:v>
      </x:c>
      <x:c r="J283" s="72" t="n">
        <x:v>504071</x:v>
      </x:c>
      <x:c r="K283" s="23" t="str">
        <x:v>passengers</x:v>
      </x:c>
      <x:c r="L283" s="24" t="str"/>
      <x:c r="M283" s="24" t="n">
        <x:v>46256.6280787037</x:v>
      </x:c>
      <x:c r="N283" s="24" t="n">
        <x:v>46268.86863425926</x:v>
      </x:c>
      <x:c r="O283" s="40" t="b">
        <x:v>1</x:v>
      </x:c>
      <x:c r="P283" s="42" t="str">
        <x:v>current_snapshot_diagnostic_only</x:v>
      </x:c>
    </x:row>
    <x:row r="284">
      <x:c r="A284" s="23" t="str">
        <x:v>5ad19f6a235e51fcf279</x:v>
      </x:c>
      <x:c r="B284" s="23" t="str">
        <x:v>SFO_AIR_PASSENGERS</x:v>
      </x:c>
      <x:c r="C284" s="23" t="str">
        <x:v>City and County of San Francisco</x:v>
      </x:c>
      <x:c r="D284" s="23" t="str">
        <x:v>United States</x:v>
      </x:c>
      <x:c r="E284" s="23" t="str">
        <x:v>San Francisco International Airport</x:v>
      </x:c>
      <x:c r="F284" s="23" t="str">
        <x:v>2023-01</x:v>
      </x:c>
      <x:c r="G284" s="23" t="str">
        <x:v>Enplaned</x:v>
      </x:c>
      <x:c r="H284" s="23" t="str">
        <x:v>International</x:v>
      </x:c>
      <x:c r="I284" s="23" t="str">
        <x:v>Enplaned</x:v>
      </x:c>
      <x:c r="J284" s="72" t="n">
        <x:v>443248</x:v>
      </x:c>
      <x:c r="K284" s="23" t="str">
        <x:v>passengers</x:v>
      </x:c>
      <x:c r="L284" s="24" t="str"/>
      <x:c r="M284" s="24" t="n">
        <x:v>46256.6280787037</x:v>
      </x:c>
      <x:c r="N284" s="24" t="n">
        <x:v>46268.86863425926</x:v>
      </x:c>
      <x:c r="O284" s="40" t="b">
        <x:v>1</x:v>
      </x:c>
      <x:c r="P284" s="42" t="str">
        <x:v>current_snapshot_diagnostic_only</x:v>
      </x:c>
    </x:row>
    <x:row r="285">
      <x:c r="A285" s="23" t="str">
        <x:v>78fdbebfc1c87fbe97b7</x:v>
      </x:c>
      <x:c r="B285" s="23" t="str">
        <x:v>SFO_AIR_PASSENGERS</x:v>
      </x:c>
      <x:c r="C285" s="23" t="str">
        <x:v>City and County of San Francisco</x:v>
      </x:c>
      <x:c r="D285" s="23" t="str">
        <x:v>United States</x:v>
      </x:c>
      <x:c r="E285" s="23" t="str">
        <x:v>San Francisco International Airport</x:v>
      </x:c>
      <x:c r="F285" s="23" t="str">
        <x:v>2023-01</x:v>
      </x:c>
      <x:c r="G285" s="23" t="str">
        <x:v>Thru / Transit</x:v>
      </x:c>
      <x:c r="H285" s="23" t="str">
        <x:v>International</x:v>
      </x:c>
      <x:c r="I285" s="23" t="str">
        <x:v>Thru / Transit</x:v>
      </x:c>
      <x:c r="J285" s="72" t="n">
        <x:v>4516</x:v>
      </x:c>
      <x:c r="K285" s="23" t="str">
        <x:v>passengers</x:v>
      </x:c>
      <x:c r="L285" s="24" t="str"/>
      <x:c r="M285" s="24" t="n">
        <x:v>46256.6280787037</x:v>
      </x:c>
      <x:c r="N285" s="24" t="n">
        <x:v>46268.86863425926</x:v>
      </x:c>
      <x:c r="O285" s="40" t="b">
        <x:v>0</x:v>
      </x:c>
      <x:c r="P285" s="42" t="str">
        <x:v>current_snapshot_diagnostic_only</x:v>
      </x:c>
    </x:row>
    <x:row r="286">
      <x:c r="A286" s="23" t="str">
        <x:v>2fac699a19879e93d11a</x:v>
      </x:c>
      <x:c r="B286" s="23" t="str">
        <x:v>SFO_AIR_PASSENGERS</x:v>
      </x:c>
      <x:c r="C286" s="23" t="str">
        <x:v>City and County of San Francisco</x:v>
      </x:c>
      <x:c r="D286" s="23" t="str">
        <x:v>United States</x:v>
      </x:c>
      <x:c r="E286" s="23" t="str">
        <x:v>San Francisco International Airport</x:v>
      </x:c>
      <x:c r="F286" s="23" t="str">
        <x:v>2023-02</x:v>
      </x:c>
      <x:c r="G286" s="23" t="str">
        <x:v>Deplaned</x:v>
      </x:c>
      <x:c r="H286" s="23" t="str">
        <x:v>Domestic</x:v>
      </x:c>
      <x:c r="I286" s="23" t="str">
        <x:v>Deplaned</x:v>
      </x:c>
      <x:c r="J286" s="72" t="n">
        <x:v>1160258</x:v>
      </x:c>
      <x:c r="K286" s="23" t="str">
        <x:v>passengers</x:v>
      </x:c>
      <x:c r="L286" s="24" t="str"/>
      <x:c r="M286" s="24" t="n">
        <x:v>46256.6280787037</x:v>
      </x:c>
      <x:c r="N286" s="24" t="n">
        <x:v>46268.86863425926</x:v>
      </x:c>
      <x:c r="O286" s="40" t="b">
        <x:v>1</x:v>
      </x:c>
      <x:c r="P286" s="42" t="str">
        <x:v>current_snapshot_diagnostic_only</x:v>
      </x:c>
    </x:row>
    <x:row r="287">
      <x:c r="A287" s="23" t="str">
        <x:v>86a4595c0639f7104a1a</x:v>
      </x:c>
      <x:c r="B287" s="23" t="str">
        <x:v>SFO_AIR_PASSENGERS</x:v>
      </x:c>
      <x:c r="C287" s="23" t="str">
        <x:v>City and County of San Francisco</x:v>
      </x:c>
      <x:c r="D287" s="23" t="str">
        <x:v>United States</x:v>
      </x:c>
      <x:c r="E287" s="23" t="str">
        <x:v>San Francisco International Airport</x:v>
      </x:c>
      <x:c r="F287" s="23" t="str">
        <x:v>2023-02</x:v>
      </x:c>
      <x:c r="G287" s="23" t="str">
        <x:v>Enplaned</x:v>
      </x:c>
      <x:c r="H287" s="23" t="str">
        <x:v>Domestic</x:v>
      </x:c>
      <x:c r="I287" s="23" t="str">
        <x:v>Enplaned</x:v>
      </x:c>
      <x:c r="J287" s="72" t="n">
        <x:v>1169702</x:v>
      </x:c>
      <x:c r="K287" s="23" t="str">
        <x:v>passengers</x:v>
      </x:c>
      <x:c r="L287" s="24" t="str"/>
      <x:c r="M287" s="24" t="n">
        <x:v>46256.6280787037</x:v>
      </x:c>
      <x:c r="N287" s="24" t="n">
        <x:v>46268.86863425926</x:v>
      </x:c>
      <x:c r="O287" s="40" t="b">
        <x:v>1</x:v>
      </x:c>
      <x:c r="P287" s="42" t="str">
        <x:v>current_snapshot_diagnostic_only</x:v>
      </x:c>
    </x:row>
    <x:row r="288">
      <x:c r="A288" s="23" t="str">
        <x:v>bfe9d87a43a08469ed19</x:v>
      </x:c>
      <x:c r="B288" s="23" t="str">
        <x:v>SFO_AIR_PASSENGERS</x:v>
      </x:c>
      <x:c r="C288" s="23" t="str">
        <x:v>City and County of San Francisco</x:v>
      </x:c>
      <x:c r="D288" s="23" t="str">
        <x:v>United States</x:v>
      </x:c>
      <x:c r="E288" s="23" t="str">
        <x:v>San Francisco International Airport</x:v>
      </x:c>
      <x:c r="F288" s="23" t="str">
        <x:v>2023-02</x:v>
      </x:c>
      <x:c r="G288" s="23" t="str">
        <x:v>Thru / Transit</x:v>
      </x:c>
      <x:c r="H288" s="23" t="str">
        <x:v>Domestic</x:v>
      </x:c>
      <x:c r="I288" s="23" t="str">
        <x:v>Thru / Transit</x:v>
      </x:c>
      <x:c r="J288" s="72" t="n">
        <x:v>237</x:v>
      </x:c>
      <x:c r="K288" s="23" t="str">
        <x:v>passengers</x:v>
      </x:c>
      <x:c r="L288" s="24" t="str"/>
      <x:c r="M288" s="24" t="n">
        <x:v>46256.6280787037</x:v>
      </x:c>
      <x:c r="N288" s="24" t="n">
        <x:v>46268.86863425926</x:v>
      </x:c>
      <x:c r="O288" s="40" t="b">
        <x:v>0</x:v>
      </x:c>
      <x:c r="P288" s="42" t="str">
        <x:v>current_snapshot_diagnostic_only</x:v>
      </x:c>
    </x:row>
    <x:row r="289">
      <x:c r="A289" s="23" t="str">
        <x:v>7444ae20f57dbba3567e</x:v>
      </x:c>
      <x:c r="B289" s="23" t="str">
        <x:v>SFO_AIR_PASSENGERS</x:v>
      </x:c>
      <x:c r="C289" s="23" t="str">
        <x:v>City and County of San Francisco</x:v>
      </x:c>
      <x:c r="D289" s="23" t="str">
        <x:v>United States</x:v>
      </x:c>
      <x:c r="E289" s="23" t="str">
        <x:v>San Francisco International Airport</x:v>
      </x:c>
      <x:c r="F289" s="23" t="str">
        <x:v>2023-02</x:v>
      </x:c>
      <x:c r="G289" s="23" t="str">
        <x:v>Deplaned</x:v>
      </x:c>
      <x:c r="H289" s="23" t="str">
        <x:v>International</x:v>
      </x:c>
      <x:c r="I289" s="23" t="str">
        <x:v>Deplaned</x:v>
      </x:c>
      <x:c r="J289" s="72" t="n">
        <x:v>404469</x:v>
      </x:c>
      <x:c r="K289" s="23" t="str">
        <x:v>passengers</x:v>
      </x:c>
      <x:c r="L289" s="24" t="str"/>
      <x:c r="M289" s="24" t="n">
        <x:v>46256.6280787037</x:v>
      </x:c>
      <x:c r="N289" s="24" t="n">
        <x:v>46268.86863425926</x:v>
      </x:c>
      <x:c r="O289" s="40" t="b">
        <x:v>1</x:v>
      </x:c>
      <x:c r="P289" s="42" t="str">
        <x:v>current_snapshot_diagnostic_only</x:v>
      </x:c>
    </x:row>
    <x:row r="290">
      <x:c r="A290" s="23" t="str">
        <x:v>c00fa19046ed2a8c57d2</x:v>
      </x:c>
      <x:c r="B290" s="23" t="str">
        <x:v>SFO_AIR_PASSENGERS</x:v>
      </x:c>
      <x:c r="C290" s="23" t="str">
        <x:v>City and County of San Francisco</x:v>
      </x:c>
      <x:c r="D290" s="23" t="str">
        <x:v>United States</x:v>
      </x:c>
      <x:c r="E290" s="23" t="str">
        <x:v>San Francisco International Airport</x:v>
      </x:c>
      <x:c r="F290" s="23" t="str">
        <x:v>2023-02</x:v>
      </x:c>
      <x:c r="G290" s="23" t="str">
        <x:v>Enplaned</x:v>
      </x:c>
      <x:c r="H290" s="23" t="str">
        <x:v>International</x:v>
      </x:c>
      <x:c r="I290" s="23" t="str">
        <x:v>Enplaned</x:v>
      </x:c>
      <x:c r="J290" s="72" t="n">
        <x:v>401047</x:v>
      </x:c>
      <x:c r="K290" s="23" t="str">
        <x:v>passengers</x:v>
      </x:c>
      <x:c r="L290" s="24" t="str"/>
      <x:c r="M290" s="24" t="n">
        <x:v>46256.6280787037</x:v>
      </x:c>
      <x:c r="N290" s="24" t="n">
        <x:v>46268.86863425926</x:v>
      </x:c>
      <x:c r="O290" s="40" t="b">
        <x:v>1</x:v>
      </x:c>
      <x:c r="P290" s="42" t="str">
        <x:v>current_snapshot_diagnostic_only</x:v>
      </x:c>
    </x:row>
    <x:row r="291">
      <x:c r="A291" s="23" t="str">
        <x:v>a748524980639e375043</x:v>
      </x:c>
      <x:c r="B291" s="23" t="str">
        <x:v>SFO_AIR_PASSENGERS</x:v>
      </x:c>
      <x:c r="C291" s="23" t="str">
        <x:v>City and County of San Francisco</x:v>
      </x:c>
      <x:c r="D291" s="23" t="str">
        <x:v>United States</x:v>
      </x:c>
      <x:c r="E291" s="23" t="str">
        <x:v>San Francisco International Airport</x:v>
      </x:c>
      <x:c r="F291" s="23" t="str">
        <x:v>2023-02</x:v>
      </x:c>
      <x:c r="G291" s="23" t="str">
        <x:v>Thru / Transit</x:v>
      </x:c>
      <x:c r="H291" s="23" t="str">
        <x:v>International</x:v>
      </x:c>
      <x:c r="I291" s="23" t="str">
        <x:v>Thru / Transit</x:v>
      </x:c>
      <x:c r="J291" s="72" t="n">
        <x:v>2686</x:v>
      </x:c>
      <x:c r="K291" s="23" t="str">
        <x:v>passengers</x:v>
      </x:c>
      <x:c r="L291" s="24" t="str"/>
      <x:c r="M291" s="24" t="n">
        <x:v>46256.6280787037</x:v>
      </x:c>
      <x:c r="N291" s="24" t="n">
        <x:v>46268.86863425926</x:v>
      </x:c>
      <x:c r="O291" s="40" t="b">
        <x:v>0</x:v>
      </x:c>
      <x:c r="P291" s="42" t="str">
        <x:v>current_snapshot_diagnostic_only</x:v>
      </x:c>
    </x:row>
    <x:row r="292">
      <x:c r="A292" s="23" t="str">
        <x:v>f22f9ffb4bd2d35c747d</x:v>
      </x:c>
      <x:c r="B292" s="23" t="str">
        <x:v>SFO_AIR_PASSENGERS</x:v>
      </x:c>
      <x:c r="C292" s="23" t="str">
        <x:v>City and County of San Francisco</x:v>
      </x:c>
      <x:c r="D292" s="23" t="str">
        <x:v>United States</x:v>
      </x:c>
      <x:c r="E292" s="23" t="str">
        <x:v>San Francisco International Airport</x:v>
      </x:c>
      <x:c r="F292" s="23" t="str">
        <x:v>2023-03</x:v>
      </x:c>
      <x:c r="G292" s="23" t="str">
        <x:v>Deplaned</x:v>
      </x:c>
      <x:c r="H292" s="23" t="str">
        <x:v>Domestic</x:v>
      </x:c>
      <x:c r="I292" s="23" t="str">
        <x:v>Deplaned</x:v>
      </x:c>
      <x:c r="J292" s="72" t="n">
        <x:v>1391828</x:v>
      </x:c>
      <x:c r="K292" s="23" t="str">
        <x:v>passengers</x:v>
      </x:c>
      <x:c r="L292" s="24" t="str"/>
      <x:c r="M292" s="24" t="n">
        <x:v>46256.6280787037</x:v>
      </x:c>
      <x:c r="N292" s="24" t="n">
        <x:v>46268.86863425926</x:v>
      </x:c>
      <x:c r="O292" s="40" t="b">
        <x:v>1</x:v>
      </x:c>
      <x:c r="P292" s="42" t="str">
        <x:v>current_snapshot_diagnostic_only</x:v>
      </x:c>
    </x:row>
    <x:row r="293">
      <x:c r="A293" s="23" t="str">
        <x:v>2ce126f9d132e44b6228</x:v>
      </x:c>
      <x:c r="B293" s="23" t="str">
        <x:v>SFO_AIR_PASSENGERS</x:v>
      </x:c>
      <x:c r="C293" s="23" t="str">
        <x:v>City and County of San Francisco</x:v>
      </x:c>
      <x:c r="D293" s="23" t="str">
        <x:v>United States</x:v>
      </x:c>
      <x:c r="E293" s="23" t="str">
        <x:v>San Francisco International Airport</x:v>
      </x:c>
      <x:c r="F293" s="23" t="str">
        <x:v>2023-03</x:v>
      </x:c>
      <x:c r="G293" s="23" t="str">
        <x:v>Enplaned</x:v>
      </x:c>
      <x:c r="H293" s="23" t="str">
        <x:v>Domestic</x:v>
      </x:c>
      <x:c r="I293" s="23" t="str">
        <x:v>Enplaned</x:v>
      </x:c>
      <x:c r="J293" s="72" t="n">
        <x:v>1436756</x:v>
      </x:c>
      <x:c r="K293" s="23" t="str">
        <x:v>passengers</x:v>
      </x:c>
      <x:c r="L293" s="24" t="str"/>
      <x:c r="M293" s="24" t="n">
        <x:v>46256.6280787037</x:v>
      </x:c>
      <x:c r="N293" s="24" t="n">
        <x:v>46268.86863425926</x:v>
      </x:c>
      <x:c r="O293" s="40" t="b">
        <x:v>1</x:v>
      </x:c>
      <x:c r="P293" s="42" t="str">
        <x:v>current_snapshot_diagnostic_only</x:v>
      </x:c>
    </x:row>
    <x:row r="294">
      <x:c r="A294" s="23" t="str">
        <x:v>afd5ddea4fc4e4250c9e</x:v>
      </x:c>
      <x:c r="B294" s="23" t="str">
        <x:v>SFO_AIR_PASSENGERS</x:v>
      </x:c>
      <x:c r="C294" s="23" t="str">
        <x:v>City and County of San Francisco</x:v>
      </x:c>
      <x:c r="D294" s="23" t="str">
        <x:v>United States</x:v>
      </x:c>
      <x:c r="E294" s="23" t="str">
        <x:v>San Francisco International Airport</x:v>
      </x:c>
      <x:c r="F294" s="23" t="str">
        <x:v>2023-03</x:v>
      </x:c>
      <x:c r="G294" s="23" t="str">
        <x:v>Thru / Transit</x:v>
      </x:c>
      <x:c r="H294" s="23" t="str">
        <x:v>Domestic</x:v>
      </x:c>
      <x:c r="I294" s="23" t="str">
        <x:v>Thru / Transit</x:v>
      </x:c>
      <x:c r="J294" s="72" t="n">
        <x:v>282</x:v>
      </x:c>
      <x:c r="K294" s="23" t="str">
        <x:v>passengers</x:v>
      </x:c>
      <x:c r="L294" s="24" t="str"/>
      <x:c r="M294" s="24" t="n">
        <x:v>46256.6280787037</x:v>
      </x:c>
      <x:c r="N294" s="24" t="n">
        <x:v>46268.86863425926</x:v>
      </x:c>
      <x:c r="O294" s="40" t="b">
        <x:v>0</x:v>
      </x:c>
      <x:c r="P294" s="42" t="str">
        <x:v>current_snapshot_diagnostic_only</x:v>
      </x:c>
    </x:row>
    <x:row r="295">
      <x:c r="A295" s="23" t="str">
        <x:v>60fd79850d8c118bbcfe</x:v>
      </x:c>
      <x:c r="B295" s="23" t="str">
        <x:v>SFO_AIR_PASSENGERS</x:v>
      </x:c>
      <x:c r="C295" s="23" t="str">
        <x:v>City and County of San Francisco</x:v>
      </x:c>
      <x:c r="D295" s="23" t="str">
        <x:v>United States</x:v>
      </x:c>
      <x:c r="E295" s="23" t="str">
        <x:v>San Francisco International Airport</x:v>
      </x:c>
      <x:c r="F295" s="23" t="str">
        <x:v>2023-03</x:v>
      </x:c>
      <x:c r="G295" s="23" t="str">
        <x:v>Deplaned</x:v>
      </x:c>
      <x:c r="H295" s="23" t="str">
        <x:v>International</x:v>
      </x:c>
      <x:c r="I295" s="23" t="str">
        <x:v>Deplaned</x:v>
      </x:c>
      <x:c r="J295" s="72" t="n">
        <x:v>519727</x:v>
      </x:c>
      <x:c r="K295" s="23" t="str">
        <x:v>passengers</x:v>
      </x:c>
      <x:c r="L295" s="24" t="str"/>
      <x:c r="M295" s="24" t="n">
        <x:v>46256.6280787037</x:v>
      </x:c>
      <x:c r="N295" s="24" t="n">
        <x:v>46268.86863425926</x:v>
      </x:c>
      <x:c r="O295" s="40" t="b">
        <x:v>1</x:v>
      </x:c>
      <x:c r="P295" s="42" t="str">
        <x:v>current_snapshot_diagnostic_only</x:v>
      </x:c>
    </x:row>
    <x:row r="296">
      <x:c r="A296" s="23" t="str">
        <x:v>c261234c543cd5e9817f</x:v>
      </x:c>
      <x:c r="B296" s="23" t="str">
        <x:v>SFO_AIR_PASSENGERS</x:v>
      </x:c>
      <x:c r="C296" s="23" t="str">
        <x:v>City and County of San Francisco</x:v>
      </x:c>
      <x:c r="D296" s="23" t="str">
        <x:v>United States</x:v>
      </x:c>
      <x:c r="E296" s="23" t="str">
        <x:v>San Francisco International Airport</x:v>
      </x:c>
      <x:c r="F296" s="23" t="str">
        <x:v>2023-03</x:v>
      </x:c>
      <x:c r="G296" s="23" t="str">
        <x:v>Enplaned</x:v>
      </x:c>
      <x:c r="H296" s="23" t="str">
        <x:v>International</x:v>
      </x:c>
      <x:c r="I296" s="23" t="str">
        <x:v>Enplaned</x:v>
      </x:c>
      <x:c r="J296" s="72" t="n">
        <x:v>515385</x:v>
      </x:c>
      <x:c r="K296" s="23" t="str">
        <x:v>passengers</x:v>
      </x:c>
      <x:c r="L296" s="24" t="str"/>
      <x:c r="M296" s="24" t="n">
        <x:v>46256.6280787037</x:v>
      </x:c>
      <x:c r="N296" s="24" t="n">
        <x:v>46268.86863425926</x:v>
      </x:c>
      <x:c r="O296" s="40" t="b">
        <x:v>1</x:v>
      </x:c>
      <x:c r="P296" s="42" t="str">
        <x:v>current_snapshot_diagnostic_only</x:v>
      </x:c>
    </x:row>
    <x:row r="297">
      <x:c r="A297" s="23" t="str">
        <x:v>8358d9f5d167f25d4065</x:v>
      </x:c>
      <x:c r="B297" s="23" t="str">
        <x:v>SFO_AIR_PASSENGERS</x:v>
      </x:c>
      <x:c r="C297" s="23" t="str">
        <x:v>City and County of San Francisco</x:v>
      </x:c>
      <x:c r="D297" s="23" t="str">
        <x:v>United States</x:v>
      </x:c>
      <x:c r="E297" s="23" t="str">
        <x:v>San Francisco International Airport</x:v>
      </x:c>
      <x:c r="F297" s="23" t="str">
        <x:v>2023-03</x:v>
      </x:c>
      <x:c r="G297" s="23" t="str">
        <x:v>Thru / Transit</x:v>
      </x:c>
      <x:c r="H297" s="23" t="str">
        <x:v>International</x:v>
      </x:c>
      <x:c r="I297" s="23" t="str">
        <x:v>Thru / Transit</x:v>
      </x:c>
      <x:c r="J297" s="72" t="n">
        <x:v>3539</x:v>
      </x:c>
      <x:c r="K297" s="23" t="str">
        <x:v>passengers</x:v>
      </x:c>
      <x:c r="L297" s="24" t="str"/>
      <x:c r="M297" s="24" t="n">
        <x:v>46256.6280787037</x:v>
      </x:c>
      <x:c r="N297" s="24" t="n">
        <x:v>46268.86863425926</x:v>
      </x:c>
      <x:c r="O297" s="40" t="b">
        <x:v>0</x:v>
      </x:c>
      <x:c r="P297" s="42" t="str">
        <x:v>current_snapshot_diagnostic_only</x:v>
      </x:c>
    </x:row>
    <x:row r="298">
      <x:c r="A298" s="23" t="str">
        <x:v>f4594f4ea71af64e8b9a</x:v>
      </x:c>
      <x:c r="B298" s="23" t="str">
        <x:v>SFO_AIR_PASSENGERS</x:v>
      </x:c>
      <x:c r="C298" s="23" t="str">
        <x:v>City and County of San Francisco</x:v>
      </x:c>
      <x:c r="D298" s="23" t="str">
        <x:v>United States</x:v>
      </x:c>
      <x:c r="E298" s="23" t="str">
        <x:v>San Francisco International Airport</x:v>
      </x:c>
      <x:c r="F298" s="23" t="str">
        <x:v>2023-04</x:v>
      </x:c>
      <x:c r="G298" s="23" t="str">
        <x:v>Deplaned</x:v>
      </x:c>
      <x:c r="H298" s="23" t="str">
        <x:v>Domestic</x:v>
      </x:c>
      <x:c r="I298" s="23" t="str">
        <x:v>Deplaned</x:v>
      </x:c>
      <x:c r="J298" s="72" t="n">
        <x:v>1450194</x:v>
      </x:c>
      <x:c r="K298" s="23" t="str">
        <x:v>passengers</x:v>
      </x:c>
      <x:c r="L298" s="24" t="str"/>
      <x:c r="M298" s="24" t="n">
        <x:v>46256.6280787037</x:v>
      </x:c>
      <x:c r="N298" s="24" t="n">
        <x:v>46268.86863425926</x:v>
      </x:c>
      <x:c r="O298" s="40" t="b">
        <x:v>1</x:v>
      </x:c>
      <x:c r="P298" s="42" t="str">
        <x:v>current_snapshot_diagnostic_only</x:v>
      </x:c>
    </x:row>
    <x:row r="299">
      <x:c r="A299" s="23" t="str">
        <x:v>b760df545b42a82b6f83</x:v>
      </x:c>
      <x:c r="B299" s="23" t="str">
        <x:v>SFO_AIR_PASSENGERS</x:v>
      </x:c>
      <x:c r="C299" s="23" t="str">
        <x:v>City and County of San Francisco</x:v>
      </x:c>
      <x:c r="D299" s="23" t="str">
        <x:v>United States</x:v>
      </x:c>
      <x:c r="E299" s="23" t="str">
        <x:v>San Francisco International Airport</x:v>
      </x:c>
      <x:c r="F299" s="23" t="str">
        <x:v>2023-04</x:v>
      </x:c>
      <x:c r="G299" s="23" t="str">
        <x:v>Enplaned</x:v>
      </x:c>
      <x:c r="H299" s="23" t="str">
        <x:v>Domestic</x:v>
      </x:c>
      <x:c r="I299" s="23" t="str">
        <x:v>Enplaned</x:v>
      </x:c>
      <x:c r="J299" s="72" t="n">
        <x:v>1435437</x:v>
      </x:c>
      <x:c r="K299" s="23" t="str">
        <x:v>passengers</x:v>
      </x:c>
      <x:c r="L299" s="24" t="str"/>
      <x:c r="M299" s="24" t="n">
        <x:v>46256.6280787037</x:v>
      </x:c>
      <x:c r="N299" s="24" t="n">
        <x:v>46268.86863425926</x:v>
      </x:c>
      <x:c r="O299" s="40" t="b">
        <x:v>1</x:v>
      </x:c>
      <x:c r="P299" s="42" t="str">
        <x:v>current_snapshot_diagnostic_only</x:v>
      </x:c>
    </x:row>
    <x:row r="300">
      <x:c r="A300" s="23" t="str">
        <x:v>fdc6fccdd86fbca3c838</x:v>
      </x:c>
      <x:c r="B300" s="23" t="str">
        <x:v>SFO_AIR_PASSENGERS</x:v>
      </x:c>
      <x:c r="C300" s="23" t="str">
        <x:v>City and County of San Francisco</x:v>
      </x:c>
      <x:c r="D300" s="23" t="str">
        <x:v>United States</x:v>
      </x:c>
      <x:c r="E300" s="23" t="str">
        <x:v>San Francisco International Airport</x:v>
      </x:c>
      <x:c r="F300" s="23" t="str">
        <x:v>2023-04</x:v>
      </x:c>
      <x:c r="G300" s="23" t="str">
        <x:v>Thru / Transit</x:v>
      </x:c>
      <x:c r="H300" s="23" t="str">
        <x:v>Domestic</x:v>
      </x:c>
      <x:c r="I300" s="23" t="str">
        <x:v>Thru / Transit</x:v>
      </x:c>
      <x:c r="J300" s="72" t="n">
        <x:v>728</x:v>
      </x:c>
      <x:c r="K300" s="23" t="str">
        <x:v>passengers</x:v>
      </x:c>
      <x:c r="L300" s="24" t="str"/>
      <x:c r="M300" s="24" t="n">
        <x:v>46256.6280787037</x:v>
      </x:c>
      <x:c r="N300" s="24" t="n">
        <x:v>46268.86863425926</x:v>
      </x:c>
      <x:c r="O300" s="40" t="b">
        <x:v>0</x:v>
      </x:c>
      <x:c r="P300" s="42" t="str">
        <x:v>current_snapshot_diagnostic_only</x:v>
      </x:c>
    </x:row>
    <x:row r="301">
      <x:c r="A301" s="23" t="str">
        <x:v>9891c5a05f4834d67b5a</x:v>
      </x:c>
      <x:c r="B301" s="23" t="str">
        <x:v>SFO_AIR_PASSENGERS</x:v>
      </x:c>
      <x:c r="C301" s="23" t="str">
        <x:v>City and County of San Francisco</x:v>
      </x:c>
      <x:c r="D301" s="23" t="str">
        <x:v>United States</x:v>
      </x:c>
      <x:c r="E301" s="23" t="str">
        <x:v>San Francisco International Airport</x:v>
      </x:c>
      <x:c r="F301" s="23" t="str">
        <x:v>2023-04</x:v>
      </x:c>
      <x:c r="G301" s="23" t="str">
        <x:v>Deplaned</x:v>
      </x:c>
      <x:c r="H301" s="23" t="str">
        <x:v>International</x:v>
      </x:c>
      <x:c r="I301" s="23" t="str">
        <x:v>Deplaned</x:v>
      </x:c>
      <x:c r="J301" s="72" t="n">
        <x:v>560897</x:v>
      </x:c>
      <x:c r="K301" s="23" t="str">
        <x:v>passengers</x:v>
      </x:c>
      <x:c r="L301" s="24" t="str"/>
      <x:c r="M301" s="24" t="n">
        <x:v>46256.6280787037</x:v>
      </x:c>
      <x:c r="N301" s="24" t="n">
        <x:v>46268.86863425926</x:v>
      </x:c>
      <x:c r="O301" s="40" t="b">
        <x:v>1</x:v>
      </x:c>
      <x:c r="P301" s="42" t="str">
        <x:v>current_snapshot_diagnostic_only</x:v>
      </x:c>
    </x:row>
    <x:row r="302">
      <x:c r="A302" s="23" t="str">
        <x:v>0bcc8504f3c9aa032c7b</x:v>
      </x:c>
      <x:c r="B302" s="23" t="str">
        <x:v>SFO_AIR_PASSENGERS</x:v>
      </x:c>
      <x:c r="C302" s="23" t="str">
        <x:v>City and County of San Francisco</x:v>
      </x:c>
      <x:c r="D302" s="23" t="str">
        <x:v>United States</x:v>
      </x:c>
      <x:c r="E302" s="23" t="str">
        <x:v>San Francisco International Airport</x:v>
      </x:c>
      <x:c r="F302" s="23" t="str">
        <x:v>2023-04</x:v>
      </x:c>
      <x:c r="G302" s="23" t="str">
        <x:v>Enplaned</x:v>
      </x:c>
      <x:c r="H302" s="23" t="str">
        <x:v>International</x:v>
      </x:c>
      <x:c r="I302" s="23" t="str">
        <x:v>Enplaned</x:v>
      </x:c>
      <x:c r="J302" s="72" t="n">
        <x:v>526734</x:v>
      </x:c>
      <x:c r="K302" s="23" t="str">
        <x:v>passengers</x:v>
      </x:c>
      <x:c r="L302" s="24" t="str"/>
      <x:c r="M302" s="24" t="n">
        <x:v>46256.6280787037</x:v>
      </x:c>
      <x:c r="N302" s="24" t="n">
        <x:v>46268.86863425926</x:v>
      </x:c>
      <x:c r="O302" s="40" t="b">
        <x:v>1</x:v>
      </x:c>
      <x:c r="P302" s="42" t="str">
        <x:v>current_snapshot_diagnostic_only</x:v>
      </x:c>
    </x:row>
    <x:row r="303">
      <x:c r="A303" s="23" t="str">
        <x:v>11442160e2086ef8e74e</x:v>
      </x:c>
      <x:c r="B303" s="23" t="str">
        <x:v>SFO_AIR_PASSENGERS</x:v>
      </x:c>
      <x:c r="C303" s="23" t="str">
        <x:v>City and County of San Francisco</x:v>
      </x:c>
      <x:c r="D303" s="23" t="str">
        <x:v>United States</x:v>
      </x:c>
      <x:c r="E303" s="23" t="str">
        <x:v>San Francisco International Airport</x:v>
      </x:c>
      <x:c r="F303" s="23" t="str">
        <x:v>2023-04</x:v>
      </x:c>
      <x:c r="G303" s="23" t="str">
        <x:v>Thru / Transit</x:v>
      </x:c>
      <x:c r="H303" s="23" t="str">
        <x:v>International</x:v>
      </x:c>
      <x:c r="I303" s="23" t="str">
        <x:v>Thru / Transit</x:v>
      </x:c>
      <x:c r="J303" s="72" t="n">
        <x:v>5327</x:v>
      </x:c>
      <x:c r="K303" s="23" t="str">
        <x:v>passengers</x:v>
      </x:c>
      <x:c r="L303" s="24" t="str"/>
      <x:c r="M303" s="24" t="n">
        <x:v>46256.6280787037</x:v>
      </x:c>
      <x:c r="N303" s="24" t="n">
        <x:v>46268.86863425926</x:v>
      </x:c>
      <x:c r="O303" s="40" t="b">
        <x:v>0</x:v>
      </x:c>
      <x:c r="P303" s="42" t="str">
        <x:v>current_snapshot_diagnostic_only</x:v>
      </x:c>
    </x:row>
    <x:row r="304">
      <x:c r="A304" s="23" t="str">
        <x:v>1ae9bacbb0fa50af1829</x:v>
      </x:c>
      <x:c r="B304" s="23" t="str">
        <x:v>SFO_AIR_PASSENGERS</x:v>
      </x:c>
      <x:c r="C304" s="23" t="str">
        <x:v>City and County of San Francisco</x:v>
      </x:c>
      <x:c r="D304" s="23" t="str">
        <x:v>United States</x:v>
      </x:c>
      <x:c r="E304" s="23" t="str">
        <x:v>San Francisco International Airport</x:v>
      </x:c>
      <x:c r="F304" s="23" t="str">
        <x:v>2023-05</x:v>
      </x:c>
      <x:c r="G304" s="23" t="str">
        <x:v>Deplaned</x:v>
      </x:c>
      <x:c r="H304" s="23" t="str">
        <x:v>Domestic</x:v>
      </x:c>
      <x:c r="I304" s="23" t="str">
        <x:v>Deplaned</x:v>
      </x:c>
      <x:c r="J304" s="72" t="n">
        <x:v>1594317</x:v>
      </x:c>
      <x:c r="K304" s="23" t="str">
        <x:v>passengers</x:v>
      </x:c>
      <x:c r="L304" s="24" t="str"/>
      <x:c r="M304" s="24" t="n">
        <x:v>46256.6280787037</x:v>
      </x:c>
      <x:c r="N304" s="24" t="n">
        <x:v>46268.86863425926</x:v>
      </x:c>
      <x:c r="O304" s="40" t="b">
        <x:v>1</x:v>
      </x:c>
      <x:c r="P304" s="42" t="str">
        <x:v>current_snapshot_diagnostic_only</x:v>
      </x:c>
    </x:row>
    <x:row r="305">
      <x:c r="A305" s="23" t="str">
        <x:v>91510cc9aa411011f568</x:v>
      </x:c>
      <x:c r="B305" s="23" t="str">
        <x:v>SFO_AIR_PASSENGERS</x:v>
      </x:c>
      <x:c r="C305" s="23" t="str">
        <x:v>City and County of San Francisco</x:v>
      </x:c>
      <x:c r="D305" s="23" t="str">
        <x:v>United States</x:v>
      </x:c>
      <x:c r="E305" s="23" t="str">
        <x:v>San Francisco International Airport</x:v>
      </x:c>
      <x:c r="F305" s="23" t="str">
        <x:v>2023-05</x:v>
      </x:c>
      <x:c r="G305" s="23" t="str">
        <x:v>Enplaned</x:v>
      </x:c>
      <x:c r="H305" s="23" t="str">
        <x:v>Domestic</x:v>
      </x:c>
      <x:c r="I305" s="23" t="str">
        <x:v>Enplaned</x:v>
      </x:c>
      <x:c r="J305" s="72" t="n">
        <x:v>1564568</x:v>
      </x:c>
      <x:c r="K305" s="23" t="str">
        <x:v>passengers</x:v>
      </x:c>
      <x:c r="L305" s="24" t="str"/>
      <x:c r="M305" s="24" t="n">
        <x:v>46256.6280787037</x:v>
      </x:c>
      <x:c r="N305" s="24" t="n">
        <x:v>46268.86863425926</x:v>
      </x:c>
      <x:c r="O305" s="40" t="b">
        <x:v>1</x:v>
      </x:c>
      <x:c r="P305" s="42" t="str">
        <x:v>current_snapshot_diagnostic_only</x:v>
      </x:c>
    </x:row>
    <x:row r="306">
      <x:c r="A306" s="23" t="str">
        <x:v>2010b3932c6ceacb4cc1</x:v>
      </x:c>
      <x:c r="B306" s="23" t="str">
        <x:v>SFO_AIR_PASSENGERS</x:v>
      </x:c>
      <x:c r="C306" s="23" t="str">
        <x:v>City and County of San Francisco</x:v>
      </x:c>
      <x:c r="D306" s="23" t="str">
        <x:v>United States</x:v>
      </x:c>
      <x:c r="E306" s="23" t="str">
        <x:v>San Francisco International Airport</x:v>
      </x:c>
      <x:c r="F306" s="23" t="str">
        <x:v>2023-05</x:v>
      </x:c>
      <x:c r="G306" s="23" t="str">
        <x:v>Thru / Transit</x:v>
      </x:c>
      <x:c r="H306" s="23" t="str">
        <x:v>Domestic</x:v>
      </x:c>
      <x:c r="I306" s="23" t="str">
        <x:v>Thru / Transit</x:v>
      </x:c>
      <x:c r="J306" s="72" t="n">
        <x:v>372</x:v>
      </x:c>
      <x:c r="K306" s="23" t="str">
        <x:v>passengers</x:v>
      </x:c>
      <x:c r="L306" s="24" t="str"/>
      <x:c r="M306" s="24" t="n">
        <x:v>46256.6280787037</x:v>
      </x:c>
      <x:c r="N306" s="24" t="n">
        <x:v>46268.86863425926</x:v>
      </x:c>
      <x:c r="O306" s="40" t="b">
        <x:v>0</x:v>
      </x:c>
      <x:c r="P306" s="42" t="str">
        <x:v>current_snapshot_diagnostic_only</x:v>
      </x:c>
    </x:row>
    <x:row r="307">
      <x:c r="A307" s="23" t="str">
        <x:v>c70fae1ddad590b8d171</x:v>
      </x:c>
      <x:c r="B307" s="23" t="str">
        <x:v>SFO_AIR_PASSENGERS</x:v>
      </x:c>
      <x:c r="C307" s="23" t="str">
        <x:v>City and County of San Francisco</x:v>
      </x:c>
      <x:c r="D307" s="23" t="str">
        <x:v>United States</x:v>
      </x:c>
      <x:c r="E307" s="23" t="str">
        <x:v>San Francisco International Airport</x:v>
      </x:c>
      <x:c r="F307" s="23" t="str">
        <x:v>2023-05</x:v>
      </x:c>
      <x:c r="G307" s="23" t="str">
        <x:v>Deplaned</x:v>
      </x:c>
      <x:c r="H307" s="23" t="str">
        <x:v>International</x:v>
      </x:c>
      <x:c r="I307" s="23" t="str">
        <x:v>Deplaned</x:v>
      </x:c>
      <x:c r="J307" s="72" t="n">
        <x:v>579585</x:v>
      </x:c>
      <x:c r="K307" s="23" t="str">
        <x:v>passengers</x:v>
      </x:c>
      <x:c r="L307" s="24" t="str"/>
      <x:c r="M307" s="24" t="n">
        <x:v>46256.6280787037</x:v>
      </x:c>
      <x:c r="N307" s="24" t="n">
        <x:v>46268.86863425926</x:v>
      </x:c>
      <x:c r="O307" s="40" t="b">
        <x:v>1</x:v>
      </x:c>
      <x:c r="P307" s="42" t="str">
        <x:v>current_snapshot_diagnostic_only</x:v>
      </x:c>
    </x:row>
    <x:row r="308">
      <x:c r="A308" s="23" t="str">
        <x:v>cd82b531affd6c26a191</x:v>
      </x:c>
      <x:c r="B308" s="23" t="str">
        <x:v>SFO_AIR_PASSENGERS</x:v>
      </x:c>
      <x:c r="C308" s="23" t="str">
        <x:v>City and County of San Francisco</x:v>
      </x:c>
      <x:c r="D308" s="23" t="str">
        <x:v>United States</x:v>
      </x:c>
      <x:c r="E308" s="23" t="str">
        <x:v>San Francisco International Airport</x:v>
      </x:c>
      <x:c r="F308" s="23" t="str">
        <x:v>2023-05</x:v>
      </x:c>
      <x:c r="G308" s="23" t="str">
        <x:v>Enplaned</x:v>
      </x:c>
      <x:c r="H308" s="23" t="str">
        <x:v>International</x:v>
      </x:c>
      <x:c r="I308" s="23" t="str">
        <x:v>Enplaned</x:v>
      </x:c>
      <x:c r="J308" s="72" t="n">
        <x:v>629583</x:v>
      </x:c>
      <x:c r="K308" s="23" t="str">
        <x:v>passengers</x:v>
      </x:c>
      <x:c r="L308" s="24" t="str"/>
      <x:c r="M308" s="24" t="n">
        <x:v>46256.6280787037</x:v>
      </x:c>
      <x:c r="N308" s="24" t="n">
        <x:v>46268.86863425926</x:v>
      </x:c>
      <x:c r="O308" s="40" t="b">
        <x:v>1</x:v>
      </x:c>
      <x:c r="P308" s="42" t="str">
        <x:v>current_snapshot_diagnostic_only</x:v>
      </x:c>
    </x:row>
    <x:row r="309">
      <x:c r="A309" s="23" t="str">
        <x:v>17f4b9de6cbd0357acf3</x:v>
      </x:c>
      <x:c r="B309" s="23" t="str">
        <x:v>SFO_AIR_PASSENGERS</x:v>
      </x:c>
      <x:c r="C309" s="23" t="str">
        <x:v>City and County of San Francisco</x:v>
      </x:c>
      <x:c r="D309" s="23" t="str">
        <x:v>United States</x:v>
      </x:c>
      <x:c r="E309" s="23" t="str">
        <x:v>San Francisco International Airport</x:v>
      </x:c>
      <x:c r="F309" s="23" t="str">
        <x:v>2023-05</x:v>
      </x:c>
      <x:c r="G309" s="23" t="str">
        <x:v>Thru / Transit</x:v>
      </x:c>
      <x:c r="H309" s="23" t="str">
        <x:v>International</x:v>
      </x:c>
      <x:c r="I309" s="23" t="str">
        <x:v>Thru / Transit</x:v>
      </x:c>
      <x:c r="J309" s="72" t="n">
        <x:v>5361</x:v>
      </x:c>
      <x:c r="K309" s="23" t="str">
        <x:v>passengers</x:v>
      </x:c>
      <x:c r="L309" s="24" t="str"/>
      <x:c r="M309" s="24" t="n">
        <x:v>46256.6280787037</x:v>
      </x:c>
      <x:c r="N309" s="24" t="n">
        <x:v>46268.86863425926</x:v>
      </x:c>
      <x:c r="O309" s="40" t="b">
        <x:v>0</x:v>
      </x:c>
      <x:c r="P309" s="42" t="str">
        <x:v>current_snapshot_diagnostic_only</x:v>
      </x:c>
    </x:row>
    <x:row r="310">
      <x:c r="A310" s="23" t="str">
        <x:v>61238fe0cca961570593</x:v>
      </x:c>
      <x:c r="B310" s="23" t="str">
        <x:v>SFO_AIR_PASSENGERS</x:v>
      </x:c>
      <x:c r="C310" s="23" t="str">
        <x:v>City and County of San Francisco</x:v>
      </x:c>
      <x:c r="D310" s="23" t="str">
        <x:v>United States</x:v>
      </x:c>
      <x:c r="E310" s="23" t="str">
        <x:v>San Francisco International Airport</x:v>
      </x:c>
      <x:c r="F310" s="23" t="str">
        <x:v>2023-06</x:v>
      </x:c>
      <x:c r="G310" s="23" t="str">
        <x:v>Deplaned</x:v>
      </x:c>
      <x:c r="H310" s="23" t="str">
        <x:v>Domestic</x:v>
      </x:c>
      <x:c r="I310" s="23" t="str">
        <x:v>Deplaned</x:v>
      </x:c>
      <x:c r="J310" s="72" t="n">
        <x:v>1620418</x:v>
      </x:c>
      <x:c r="K310" s="23" t="str">
        <x:v>passengers</x:v>
      </x:c>
      <x:c r="L310" s="24" t="str"/>
      <x:c r="M310" s="24" t="n">
        <x:v>46256.6280787037</x:v>
      </x:c>
      <x:c r="N310" s="24" t="n">
        <x:v>46268.86863425926</x:v>
      </x:c>
      <x:c r="O310" s="40" t="b">
        <x:v>1</x:v>
      </x:c>
      <x:c r="P310" s="42" t="str">
        <x:v>current_snapshot_diagnostic_only</x:v>
      </x:c>
    </x:row>
    <x:row r="311">
      <x:c r="A311" s="23" t="str">
        <x:v>445f8f9bf9b11c9eb215</x:v>
      </x:c>
      <x:c r="B311" s="23" t="str">
        <x:v>SFO_AIR_PASSENGERS</x:v>
      </x:c>
      <x:c r="C311" s="23" t="str">
        <x:v>City and County of San Francisco</x:v>
      </x:c>
      <x:c r="D311" s="23" t="str">
        <x:v>United States</x:v>
      </x:c>
      <x:c r="E311" s="23" t="str">
        <x:v>San Francisco International Airport</x:v>
      </x:c>
      <x:c r="F311" s="23" t="str">
        <x:v>2023-06</x:v>
      </x:c>
      <x:c r="G311" s="23" t="str">
        <x:v>Enplaned</x:v>
      </x:c>
      <x:c r="H311" s="23" t="str">
        <x:v>Domestic</x:v>
      </x:c>
      <x:c r="I311" s="23" t="str">
        <x:v>Enplaned</x:v>
      </x:c>
      <x:c r="J311" s="72" t="n">
        <x:v>1695181</x:v>
      </x:c>
      <x:c r="K311" s="23" t="str">
        <x:v>passengers</x:v>
      </x:c>
      <x:c r="L311" s="24" t="str"/>
      <x:c r="M311" s="24" t="n">
        <x:v>46256.6280787037</x:v>
      </x:c>
      <x:c r="N311" s="24" t="n">
        <x:v>46268.86863425926</x:v>
      </x:c>
      <x:c r="O311" s="40" t="b">
        <x:v>1</x:v>
      </x:c>
      <x:c r="P311" s="42" t="str">
        <x:v>current_snapshot_diagnostic_only</x:v>
      </x:c>
    </x:row>
    <x:row r="312">
      <x:c r="A312" s="23" t="str">
        <x:v>040c1c555442fd123050</x:v>
      </x:c>
      <x:c r="B312" s="23" t="str">
        <x:v>SFO_AIR_PASSENGERS</x:v>
      </x:c>
      <x:c r="C312" s="23" t="str">
        <x:v>City and County of San Francisco</x:v>
      </x:c>
      <x:c r="D312" s="23" t="str">
        <x:v>United States</x:v>
      </x:c>
      <x:c r="E312" s="23" t="str">
        <x:v>San Francisco International Airport</x:v>
      </x:c>
      <x:c r="F312" s="23" t="str">
        <x:v>2023-06</x:v>
      </x:c>
      <x:c r="G312" s="23" t="str">
        <x:v>Thru / Transit</x:v>
      </x:c>
      <x:c r="H312" s="23" t="str">
        <x:v>Domestic</x:v>
      </x:c>
      <x:c r="I312" s="23" t="str">
        <x:v>Thru / Transit</x:v>
      </x:c>
      <x:c r="J312" s="72" t="n">
        <x:v>2219</x:v>
      </x:c>
      <x:c r="K312" s="23" t="str">
        <x:v>passengers</x:v>
      </x:c>
      <x:c r="L312" s="24" t="str"/>
      <x:c r="M312" s="24" t="n">
        <x:v>46256.6280787037</x:v>
      </x:c>
      <x:c r="N312" s="24" t="n">
        <x:v>46268.86863425926</x:v>
      </x:c>
      <x:c r="O312" s="40" t="b">
        <x:v>0</x:v>
      </x:c>
      <x:c r="P312" s="42" t="str">
        <x:v>current_snapshot_diagnostic_only</x:v>
      </x:c>
    </x:row>
    <x:row r="313">
      <x:c r="A313" s="23" t="str">
        <x:v>efb128996ef655e4c6f5</x:v>
      </x:c>
      <x:c r="B313" s="23" t="str">
        <x:v>SFO_AIR_PASSENGERS</x:v>
      </x:c>
      <x:c r="C313" s="23" t="str">
        <x:v>City and County of San Francisco</x:v>
      </x:c>
      <x:c r="D313" s="23" t="str">
        <x:v>United States</x:v>
      </x:c>
      <x:c r="E313" s="23" t="str">
        <x:v>San Francisco International Airport</x:v>
      </x:c>
      <x:c r="F313" s="23" t="str">
        <x:v>2023-06</x:v>
      </x:c>
      <x:c r="G313" s="23" t="str">
        <x:v>Deplaned</x:v>
      </x:c>
      <x:c r="H313" s="23" t="str">
        <x:v>International</x:v>
      </x:c>
      <x:c r="I313" s="23" t="str">
        <x:v>Deplaned</x:v>
      </x:c>
      <x:c r="J313" s="72" t="n">
        <x:v>645639</x:v>
      </x:c>
      <x:c r="K313" s="23" t="str">
        <x:v>passengers</x:v>
      </x:c>
      <x:c r="L313" s="24" t="str"/>
      <x:c r="M313" s="24" t="n">
        <x:v>46256.6280787037</x:v>
      </x:c>
      <x:c r="N313" s="24" t="n">
        <x:v>46268.86863425926</x:v>
      </x:c>
      <x:c r="O313" s="40" t="b">
        <x:v>1</x:v>
      </x:c>
      <x:c r="P313" s="42" t="str">
        <x:v>current_snapshot_diagnostic_only</x:v>
      </x:c>
    </x:row>
    <x:row r="314">
      <x:c r="A314" s="23" t="str">
        <x:v>b73c8c3215e959aad4ee</x:v>
      </x:c>
      <x:c r="B314" s="23" t="str">
        <x:v>SFO_AIR_PASSENGERS</x:v>
      </x:c>
      <x:c r="C314" s="23" t="str">
        <x:v>City and County of San Francisco</x:v>
      </x:c>
      <x:c r="D314" s="23" t="str">
        <x:v>United States</x:v>
      </x:c>
      <x:c r="E314" s="23" t="str">
        <x:v>San Francisco International Airport</x:v>
      </x:c>
      <x:c r="F314" s="23" t="str">
        <x:v>2023-06</x:v>
      </x:c>
      <x:c r="G314" s="23" t="str">
        <x:v>Enplaned</x:v>
      </x:c>
      <x:c r="H314" s="23" t="str">
        <x:v>International</x:v>
      </x:c>
      <x:c r="I314" s="23" t="str">
        <x:v>Enplaned</x:v>
      </x:c>
      <x:c r="J314" s="72" t="n">
        <x:v>704380</x:v>
      </x:c>
      <x:c r="K314" s="23" t="str">
        <x:v>passengers</x:v>
      </x:c>
      <x:c r="L314" s="24" t="str"/>
      <x:c r="M314" s="24" t="n">
        <x:v>46256.6280787037</x:v>
      </x:c>
      <x:c r="N314" s="24" t="n">
        <x:v>46268.86863425926</x:v>
      </x:c>
      <x:c r="O314" s="40" t="b">
        <x:v>1</x:v>
      </x:c>
      <x:c r="P314" s="42" t="str">
        <x:v>current_snapshot_diagnostic_only</x:v>
      </x:c>
    </x:row>
    <x:row r="315">
      <x:c r="A315" s="23" t="str">
        <x:v>c246d007b0799768863d</x:v>
      </x:c>
      <x:c r="B315" s="23" t="str">
        <x:v>SFO_AIR_PASSENGERS</x:v>
      </x:c>
      <x:c r="C315" s="23" t="str">
        <x:v>City and County of San Francisco</x:v>
      </x:c>
      <x:c r="D315" s="23" t="str">
        <x:v>United States</x:v>
      </x:c>
      <x:c r="E315" s="23" t="str">
        <x:v>San Francisco International Airport</x:v>
      </x:c>
      <x:c r="F315" s="23" t="str">
        <x:v>2023-06</x:v>
      </x:c>
      <x:c r="G315" s="23" t="str">
        <x:v>Thru / Transit</x:v>
      </x:c>
      <x:c r="H315" s="23" t="str">
        <x:v>International</x:v>
      </x:c>
      <x:c r="I315" s="23" t="str">
        <x:v>Thru / Transit</x:v>
      </x:c>
      <x:c r="J315" s="72" t="n">
        <x:v>5851</x:v>
      </x:c>
      <x:c r="K315" s="23" t="str">
        <x:v>passengers</x:v>
      </x:c>
      <x:c r="L315" s="24" t="str"/>
      <x:c r="M315" s="24" t="n">
        <x:v>46256.6280787037</x:v>
      </x:c>
      <x:c r="N315" s="24" t="n">
        <x:v>46268.86863425926</x:v>
      </x:c>
      <x:c r="O315" s="40" t="b">
        <x:v>0</x:v>
      </x:c>
      <x:c r="P315" s="42" t="str">
        <x:v>current_snapshot_diagnostic_only</x:v>
      </x:c>
    </x:row>
    <x:row r="316">
      <x:c r="A316" s="23" t="str">
        <x:v>a5b04b6f81694d2c200b</x:v>
      </x:c>
      <x:c r="B316" s="23" t="str">
        <x:v>SFO_AIR_PASSENGERS</x:v>
      </x:c>
      <x:c r="C316" s="23" t="str">
        <x:v>City and County of San Francisco</x:v>
      </x:c>
      <x:c r="D316" s="23" t="str">
        <x:v>United States</x:v>
      </x:c>
      <x:c r="E316" s="23" t="str">
        <x:v>San Francisco International Airport</x:v>
      </x:c>
      <x:c r="F316" s="23" t="str">
        <x:v>2023-07</x:v>
      </x:c>
      <x:c r="G316" s="23" t="str">
        <x:v>Deplaned</x:v>
      </x:c>
      <x:c r="H316" s="23" t="str">
        <x:v>Domestic</x:v>
      </x:c>
      <x:c r="I316" s="23" t="str">
        <x:v>Deplaned</x:v>
      </x:c>
      <x:c r="J316" s="72" t="n">
        <x:v>1768316</x:v>
      </x:c>
      <x:c r="K316" s="23" t="str">
        <x:v>passengers</x:v>
      </x:c>
      <x:c r="L316" s="24" t="str"/>
      <x:c r="M316" s="24" t="n">
        <x:v>46256.6280787037</x:v>
      </x:c>
      <x:c r="N316" s="24" t="n">
        <x:v>46268.86863425926</x:v>
      </x:c>
      <x:c r="O316" s="40" t="b">
        <x:v>1</x:v>
      </x:c>
      <x:c r="P316" s="42" t="str">
        <x:v>current_snapshot_diagnostic_only</x:v>
      </x:c>
    </x:row>
    <x:row r="317">
      <x:c r="A317" s="23" t="str">
        <x:v>6889cce09ddfd1193354</x:v>
      </x:c>
      <x:c r="B317" s="23" t="str">
        <x:v>SFO_AIR_PASSENGERS</x:v>
      </x:c>
      <x:c r="C317" s="23" t="str">
        <x:v>City and County of San Francisco</x:v>
      </x:c>
      <x:c r="D317" s="23" t="str">
        <x:v>United States</x:v>
      </x:c>
      <x:c r="E317" s="23" t="str">
        <x:v>San Francisco International Airport</x:v>
      </x:c>
      <x:c r="F317" s="23" t="str">
        <x:v>2023-07</x:v>
      </x:c>
      <x:c r="G317" s="23" t="str">
        <x:v>Enplaned</x:v>
      </x:c>
      <x:c r="H317" s="23" t="str">
        <x:v>Domestic</x:v>
      </x:c>
      <x:c r="I317" s="23" t="str">
        <x:v>Enplaned</x:v>
      </x:c>
      <x:c r="J317" s="72" t="n">
        <x:v>1727174</x:v>
      </x:c>
      <x:c r="K317" s="23" t="str">
        <x:v>passengers</x:v>
      </x:c>
      <x:c r="L317" s="24" t="str"/>
      <x:c r="M317" s="24" t="n">
        <x:v>46256.6280787037</x:v>
      </x:c>
      <x:c r="N317" s="24" t="n">
        <x:v>46268.86863425926</x:v>
      </x:c>
      <x:c r="O317" s="40" t="b">
        <x:v>1</x:v>
      </x:c>
      <x:c r="P317" s="42" t="str">
        <x:v>current_snapshot_diagnostic_only</x:v>
      </x:c>
    </x:row>
    <x:row r="318">
      <x:c r="A318" s="23" t="str">
        <x:v>eaebe5f8e6e1de458e38</x:v>
      </x:c>
      <x:c r="B318" s="23" t="str">
        <x:v>SFO_AIR_PASSENGERS</x:v>
      </x:c>
      <x:c r="C318" s="23" t="str">
        <x:v>City and County of San Francisco</x:v>
      </x:c>
      <x:c r="D318" s="23" t="str">
        <x:v>United States</x:v>
      </x:c>
      <x:c r="E318" s="23" t="str">
        <x:v>San Francisco International Airport</x:v>
      </x:c>
      <x:c r="F318" s="23" t="str">
        <x:v>2023-07</x:v>
      </x:c>
      <x:c r="G318" s="23" t="str">
        <x:v>Thru / Transit</x:v>
      </x:c>
      <x:c r="H318" s="23" t="str">
        <x:v>Domestic</x:v>
      </x:c>
      <x:c r="I318" s="23" t="str">
        <x:v>Thru / Transit</x:v>
      </x:c>
      <x:c r="J318" s="72" t="n">
        <x:v>1057</x:v>
      </x:c>
      <x:c r="K318" s="23" t="str">
        <x:v>passengers</x:v>
      </x:c>
      <x:c r="L318" s="24" t="str"/>
      <x:c r="M318" s="24" t="n">
        <x:v>46256.6280787037</x:v>
      </x:c>
      <x:c r="N318" s="24" t="n">
        <x:v>46268.86863425926</x:v>
      </x:c>
      <x:c r="O318" s="40" t="b">
        <x:v>0</x:v>
      </x:c>
      <x:c r="P318" s="42" t="str">
        <x:v>current_snapshot_diagnostic_only</x:v>
      </x:c>
    </x:row>
    <x:row r="319">
      <x:c r="A319" s="23" t="str">
        <x:v>77b5caa72fb582fa5ac9</x:v>
      </x:c>
      <x:c r="B319" s="23" t="str">
        <x:v>SFO_AIR_PASSENGERS</x:v>
      </x:c>
      <x:c r="C319" s="23" t="str">
        <x:v>City and County of San Francisco</x:v>
      </x:c>
      <x:c r="D319" s="23" t="str">
        <x:v>United States</x:v>
      </x:c>
      <x:c r="E319" s="23" t="str">
        <x:v>San Francisco International Airport</x:v>
      </x:c>
      <x:c r="F319" s="23" t="str">
        <x:v>2023-07</x:v>
      </x:c>
      <x:c r="G319" s="23" t="str">
        <x:v>Deplaned</x:v>
      </x:c>
      <x:c r="H319" s="23" t="str">
        <x:v>International</x:v>
      </x:c>
      <x:c r="I319" s="23" t="str">
        <x:v>Deplaned</x:v>
      </x:c>
      <x:c r="J319" s="72" t="n">
        <x:v>765026</x:v>
      </x:c>
      <x:c r="K319" s="23" t="str">
        <x:v>passengers</x:v>
      </x:c>
      <x:c r="L319" s="24" t="str"/>
      <x:c r="M319" s="24" t="n">
        <x:v>46256.6280787037</x:v>
      </x:c>
      <x:c r="N319" s="24" t="n">
        <x:v>46268.86863425926</x:v>
      </x:c>
      <x:c r="O319" s="40" t="b">
        <x:v>1</x:v>
      </x:c>
      <x:c r="P319" s="42" t="str">
        <x:v>current_snapshot_diagnostic_only</x:v>
      </x:c>
    </x:row>
    <x:row r="320">
      <x:c r="A320" s="23" t="str">
        <x:v>607bec1cbf5f5954316c</x:v>
      </x:c>
      <x:c r="B320" s="23" t="str">
        <x:v>SFO_AIR_PASSENGERS</x:v>
      </x:c>
      <x:c r="C320" s="23" t="str">
        <x:v>City and County of San Francisco</x:v>
      </x:c>
      <x:c r="D320" s="23" t="str">
        <x:v>United States</x:v>
      </x:c>
      <x:c r="E320" s="23" t="str">
        <x:v>San Francisco International Airport</x:v>
      </x:c>
      <x:c r="F320" s="23" t="str">
        <x:v>2023-07</x:v>
      </x:c>
      <x:c r="G320" s="23" t="str">
        <x:v>Enplaned</x:v>
      </x:c>
      <x:c r="H320" s="23" t="str">
        <x:v>International</x:v>
      </x:c>
      <x:c r="I320" s="23" t="str">
        <x:v>Enplaned</x:v>
      </x:c>
      <x:c r="J320" s="72" t="n">
        <x:v>692148</x:v>
      </x:c>
      <x:c r="K320" s="23" t="str">
        <x:v>passengers</x:v>
      </x:c>
      <x:c r="L320" s="24" t="str"/>
      <x:c r="M320" s="24" t="n">
        <x:v>46256.6280787037</x:v>
      </x:c>
      <x:c r="N320" s="24" t="n">
        <x:v>46268.86863425926</x:v>
      </x:c>
      <x:c r="O320" s="40" t="b">
        <x:v>1</x:v>
      </x:c>
      <x:c r="P320" s="42" t="str">
        <x:v>current_snapshot_diagnostic_only</x:v>
      </x:c>
    </x:row>
    <x:row r="321">
      <x:c r="A321" s="23" t="str">
        <x:v>2270750b15c4b02507b7</x:v>
      </x:c>
      <x:c r="B321" s="23" t="str">
        <x:v>SFO_AIR_PASSENGERS</x:v>
      </x:c>
      <x:c r="C321" s="23" t="str">
        <x:v>City and County of San Francisco</x:v>
      </x:c>
      <x:c r="D321" s="23" t="str">
        <x:v>United States</x:v>
      </x:c>
      <x:c r="E321" s="23" t="str">
        <x:v>San Francisco International Airport</x:v>
      </x:c>
      <x:c r="F321" s="23" t="str">
        <x:v>2023-07</x:v>
      </x:c>
      <x:c r="G321" s="23" t="str">
        <x:v>Thru / Transit</x:v>
      </x:c>
      <x:c r="H321" s="23" t="str">
        <x:v>International</x:v>
      </x:c>
      <x:c r="I321" s="23" t="str">
        <x:v>Thru / Transit</x:v>
      </x:c>
      <x:c r="J321" s="72" t="n">
        <x:v>6936</x:v>
      </x:c>
      <x:c r="K321" s="23" t="str">
        <x:v>passengers</x:v>
      </x:c>
      <x:c r="L321" s="24" t="str"/>
      <x:c r="M321" s="24" t="n">
        <x:v>46256.6280787037</x:v>
      </x:c>
      <x:c r="N321" s="24" t="n">
        <x:v>46268.86863425926</x:v>
      </x:c>
      <x:c r="O321" s="40" t="b">
        <x:v>0</x:v>
      </x:c>
      <x:c r="P321" s="42" t="str">
        <x:v>current_snapshot_diagnostic_only</x:v>
      </x:c>
    </x:row>
    <x:row r="322">
      <x:c r="A322" s="23" t="str">
        <x:v>6f3c14c73e1f33cd37cc</x:v>
      </x:c>
      <x:c r="B322" s="23" t="str">
        <x:v>SFO_AIR_PASSENGERS</x:v>
      </x:c>
      <x:c r="C322" s="23" t="str">
        <x:v>City and County of San Francisco</x:v>
      </x:c>
      <x:c r="D322" s="23" t="str">
        <x:v>United States</x:v>
      </x:c>
      <x:c r="E322" s="23" t="str">
        <x:v>San Francisco International Airport</x:v>
      </x:c>
      <x:c r="F322" s="23" t="str">
        <x:v>2023-08</x:v>
      </x:c>
      <x:c r="G322" s="23" t="str">
        <x:v>Deplaned</x:v>
      </x:c>
      <x:c r="H322" s="23" t="str">
        <x:v>Domestic</x:v>
      </x:c>
      <x:c r="I322" s="23" t="str">
        <x:v>Deplaned</x:v>
      </x:c>
      <x:c r="J322" s="72" t="n">
        <x:v>1672314</x:v>
      </x:c>
      <x:c r="K322" s="23" t="str">
        <x:v>passengers</x:v>
      </x:c>
      <x:c r="L322" s="24" t="str"/>
      <x:c r="M322" s="24" t="n">
        <x:v>46256.6280787037</x:v>
      </x:c>
      <x:c r="N322" s="24" t="n">
        <x:v>46268.86863425926</x:v>
      </x:c>
      <x:c r="O322" s="40" t="b">
        <x:v>1</x:v>
      </x:c>
      <x:c r="P322" s="42" t="str">
        <x:v>current_snapshot_diagnostic_only</x:v>
      </x:c>
    </x:row>
    <x:row r="323">
      <x:c r="A323" s="23" t="str">
        <x:v>877f9f8493fd273bb8e6</x:v>
      </x:c>
      <x:c r="B323" s="23" t="str">
        <x:v>SFO_AIR_PASSENGERS</x:v>
      </x:c>
      <x:c r="C323" s="23" t="str">
        <x:v>City and County of San Francisco</x:v>
      </x:c>
      <x:c r="D323" s="23" t="str">
        <x:v>United States</x:v>
      </x:c>
      <x:c r="E323" s="23" t="str">
        <x:v>San Francisco International Airport</x:v>
      </x:c>
      <x:c r="F323" s="23" t="str">
        <x:v>2023-08</x:v>
      </x:c>
      <x:c r="G323" s="23" t="str">
        <x:v>Enplaned</x:v>
      </x:c>
      <x:c r="H323" s="23" t="str">
        <x:v>Domestic</x:v>
      </x:c>
      <x:c r="I323" s="23" t="str">
        <x:v>Enplaned</x:v>
      </x:c>
      <x:c r="J323" s="72" t="n">
        <x:v>1665705</x:v>
      </x:c>
      <x:c r="K323" s="23" t="str">
        <x:v>passengers</x:v>
      </x:c>
      <x:c r="L323" s="24" t="str"/>
      <x:c r="M323" s="24" t="n">
        <x:v>46256.6280787037</x:v>
      </x:c>
      <x:c r="N323" s="24" t="n">
        <x:v>46268.86863425926</x:v>
      </x:c>
      <x:c r="O323" s="40" t="b">
        <x:v>1</x:v>
      </x:c>
      <x:c r="P323" s="42" t="str">
        <x:v>current_snapshot_diagnostic_only</x:v>
      </x:c>
    </x:row>
    <x:row r="324">
      <x:c r="A324" s="23" t="str">
        <x:v>b05dd9ee71b001952260</x:v>
      </x:c>
      <x:c r="B324" s="23" t="str">
        <x:v>SFO_AIR_PASSENGERS</x:v>
      </x:c>
      <x:c r="C324" s="23" t="str">
        <x:v>City and County of San Francisco</x:v>
      </x:c>
      <x:c r="D324" s="23" t="str">
        <x:v>United States</x:v>
      </x:c>
      <x:c r="E324" s="23" t="str">
        <x:v>San Francisco International Airport</x:v>
      </x:c>
      <x:c r="F324" s="23" t="str">
        <x:v>2023-08</x:v>
      </x:c>
      <x:c r="G324" s="23" t="str">
        <x:v>Thru / Transit</x:v>
      </x:c>
      <x:c r="H324" s="23" t="str">
        <x:v>Domestic</x:v>
      </x:c>
      <x:c r="I324" s="23" t="str">
        <x:v>Thru / Transit</x:v>
      </x:c>
      <x:c r="J324" s="72" t="n">
        <x:v>1200</x:v>
      </x:c>
      <x:c r="K324" s="23" t="str">
        <x:v>passengers</x:v>
      </x:c>
      <x:c r="L324" s="24" t="str"/>
      <x:c r="M324" s="24" t="n">
        <x:v>46256.6280787037</x:v>
      </x:c>
      <x:c r="N324" s="24" t="n">
        <x:v>46268.86863425926</x:v>
      </x:c>
      <x:c r="O324" s="40" t="b">
        <x:v>0</x:v>
      </x:c>
      <x:c r="P324" s="42" t="str">
        <x:v>current_snapshot_diagnostic_only</x:v>
      </x:c>
    </x:row>
    <x:row r="325">
      <x:c r="A325" s="23" t="str">
        <x:v>fadccc190d09954de51c</x:v>
      </x:c>
      <x:c r="B325" s="23" t="str">
        <x:v>SFO_AIR_PASSENGERS</x:v>
      </x:c>
      <x:c r="C325" s="23" t="str">
        <x:v>City and County of San Francisco</x:v>
      </x:c>
      <x:c r="D325" s="23" t="str">
        <x:v>United States</x:v>
      </x:c>
      <x:c r="E325" s="23" t="str">
        <x:v>San Francisco International Airport</x:v>
      </x:c>
      <x:c r="F325" s="23" t="str">
        <x:v>2023-08</x:v>
      </x:c>
      <x:c r="G325" s="23" t="str">
        <x:v>Deplaned</x:v>
      </x:c>
      <x:c r="H325" s="23" t="str">
        <x:v>International</x:v>
      </x:c>
      <x:c r="I325" s="23" t="str">
        <x:v>Deplaned</x:v>
      </x:c>
      <x:c r="J325" s="72" t="n">
        <x:v>728878</x:v>
      </x:c>
      <x:c r="K325" s="23" t="str">
        <x:v>passengers</x:v>
      </x:c>
      <x:c r="L325" s="24" t="str"/>
      <x:c r="M325" s="24" t="n">
        <x:v>46256.6280787037</x:v>
      </x:c>
      <x:c r="N325" s="24" t="n">
        <x:v>46268.86863425926</x:v>
      </x:c>
      <x:c r="O325" s="40" t="b">
        <x:v>1</x:v>
      </x:c>
      <x:c r="P325" s="42" t="str">
        <x:v>current_snapshot_diagnostic_only</x:v>
      </x:c>
    </x:row>
    <x:row r="326">
      <x:c r="A326" s="23" t="str">
        <x:v>8d4f722713f38a6a0001</x:v>
      </x:c>
      <x:c r="B326" s="23" t="str">
        <x:v>SFO_AIR_PASSENGERS</x:v>
      </x:c>
      <x:c r="C326" s="23" t="str">
        <x:v>City and County of San Francisco</x:v>
      </x:c>
      <x:c r="D326" s="23" t="str">
        <x:v>United States</x:v>
      </x:c>
      <x:c r="E326" s="23" t="str">
        <x:v>San Francisco International Airport</x:v>
      </x:c>
      <x:c r="F326" s="23" t="str">
        <x:v>2023-08</x:v>
      </x:c>
      <x:c r="G326" s="23" t="str">
        <x:v>Enplaned</x:v>
      </x:c>
      <x:c r="H326" s="23" t="str">
        <x:v>International</x:v>
      </x:c>
      <x:c r="I326" s="23" t="str">
        <x:v>Enplaned</x:v>
      </x:c>
      <x:c r="J326" s="72" t="n">
        <x:v>651926</x:v>
      </x:c>
      <x:c r="K326" s="23" t="str">
        <x:v>passengers</x:v>
      </x:c>
      <x:c r="L326" s="24" t="str"/>
      <x:c r="M326" s="24" t="n">
        <x:v>46256.6280787037</x:v>
      </x:c>
      <x:c r="N326" s="24" t="n">
        <x:v>46268.86863425926</x:v>
      </x:c>
      <x:c r="O326" s="40" t="b">
        <x:v>1</x:v>
      </x:c>
      <x:c r="P326" s="42" t="str">
        <x:v>current_snapshot_diagnostic_only</x:v>
      </x:c>
    </x:row>
    <x:row r="327">
      <x:c r="A327" s="23" t="str">
        <x:v>1f520c53f6062a92c9bc</x:v>
      </x:c>
      <x:c r="B327" s="23" t="str">
        <x:v>SFO_AIR_PASSENGERS</x:v>
      </x:c>
      <x:c r="C327" s="23" t="str">
        <x:v>City and County of San Francisco</x:v>
      </x:c>
      <x:c r="D327" s="23" t="str">
        <x:v>United States</x:v>
      </x:c>
      <x:c r="E327" s="23" t="str">
        <x:v>San Francisco International Airport</x:v>
      </x:c>
      <x:c r="F327" s="23" t="str">
        <x:v>2023-08</x:v>
      </x:c>
      <x:c r="G327" s="23" t="str">
        <x:v>Thru / Transit</x:v>
      </x:c>
      <x:c r="H327" s="23" t="str">
        <x:v>International</x:v>
      </x:c>
      <x:c r="I327" s="23" t="str">
        <x:v>Thru / Transit</x:v>
      </x:c>
      <x:c r="J327" s="72" t="n">
        <x:v>7650</x:v>
      </x:c>
      <x:c r="K327" s="23" t="str">
        <x:v>passengers</x:v>
      </x:c>
      <x:c r="L327" s="24" t="str"/>
      <x:c r="M327" s="24" t="n">
        <x:v>46256.6280787037</x:v>
      </x:c>
      <x:c r="N327" s="24" t="n">
        <x:v>46268.86863425926</x:v>
      </x:c>
      <x:c r="O327" s="40" t="b">
        <x:v>0</x:v>
      </x:c>
      <x:c r="P327" s="42" t="str">
        <x:v>current_snapshot_diagnostic_only</x:v>
      </x:c>
    </x:row>
    <x:row r="328">
      <x:c r="A328" s="23" t="str">
        <x:v>bbf972d7b8e9a7d7ee0e</x:v>
      </x:c>
      <x:c r="B328" s="23" t="str">
        <x:v>SFO_AIR_PASSENGERS</x:v>
      </x:c>
      <x:c r="C328" s="23" t="str">
        <x:v>City and County of San Francisco</x:v>
      </x:c>
      <x:c r="D328" s="23" t="str">
        <x:v>United States</x:v>
      </x:c>
      <x:c r="E328" s="23" t="str">
        <x:v>San Francisco International Airport</x:v>
      </x:c>
      <x:c r="F328" s="23" t="str">
        <x:v>2023-09</x:v>
      </x:c>
      <x:c r="G328" s="23" t="str">
        <x:v>Deplaned</x:v>
      </x:c>
      <x:c r="H328" s="23" t="str">
        <x:v>Domestic</x:v>
      </x:c>
      <x:c r="I328" s="23" t="str">
        <x:v>Deplaned</x:v>
      </x:c>
      <x:c r="J328" s="72" t="n">
        <x:v>1532866</x:v>
      </x:c>
      <x:c r="K328" s="23" t="str">
        <x:v>passengers</x:v>
      </x:c>
      <x:c r="L328" s="24" t="str"/>
      <x:c r="M328" s="24" t="n">
        <x:v>46256.6280787037</x:v>
      </x:c>
      <x:c r="N328" s="24" t="n">
        <x:v>46268.86863425926</x:v>
      </x:c>
      <x:c r="O328" s="40" t="b">
        <x:v>1</x:v>
      </x:c>
      <x:c r="P328" s="42" t="str">
        <x:v>current_snapshot_diagnostic_only</x:v>
      </x:c>
    </x:row>
    <x:row r="329">
      <x:c r="A329" s="23" t="str">
        <x:v>4d3352a59685fac60794</x:v>
      </x:c>
      <x:c r="B329" s="23" t="str">
        <x:v>SFO_AIR_PASSENGERS</x:v>
      </x:c>
      <x:c r="C329" s="23" t="str">
        <x:v>City and County of San Francisco</x:v>
      </x:c>
      <x:c r="D329" s="23" t="str">
        <x:v>United States</x:v>
      </x:c>
      <x:c r="E329" s="23" t="str">
        <x:v>San Francisco International Airport</x:v>
      </x:c>
      <x:c r="F329" s="23" t="str">
        <x:v>2023-09</x:v>
      </x:c>
      <x:c r="G329" s="23" t="str">
        <x:v>Enplaned</x:v>
      </x:c>
      <x:c r="H329" s="23" t="str">
        <x:v>Domestic</x:v>
      </x:c>
      <x:c r="I329" s="23" t="str">
        <x:v>Enplaned</x:v>
      </x:c>
      <x:c r="J329" s="72" t="n">
        <x:v>1539656</x:v>
      </x:c>
      <x:c r="K329" s="23" t="str">
        <x:v>passengers</x:v>
      </x:c>
      <x:c r="L329" s="24" t="str"/>
      <x:c r="M329" s="24" t="n">
        <x:v>46256.6280787037</x:v>
      </x:c>
      <x:c r="N329" s="24" t="n">
        <x:v>46268.86863425926</x:v>
      </x:c>
      <x:c r="O329" s="40" t="b">
        <x:v>1</x:v>
      </x:c>
      <x:c r="P329" s="42" t="str">
        <x:v>current_snapshot_diagnostic_only</x:v>
      </x:c>
    </x:row>
    <x:row r="330">
      <x:c r="A330" s="23" t="str">
        <x:v>9e810e08d8624ac97ae9</x:v>
      </x:c>
      <x:c r="B330" s="23" t="str">
        <x:v>SFO_AIR_PASSENGERS</x:v>
      </x:c>
      <x:c r="C330" s="23" t="str">
        <x:v>City and County of San Francisco</x:v>
      </x:c>
      <x:c r="D330" s="23" t="str">
        <x:v>United States</x:v>
      </x:c>
      <x:c r="E330" s="23" t="str">
        <x:v>San Francisco International Airport</x:v>
      </x:c>
      <x:c r="F330" s="23" t="str">
        <x:v>2023-09</x:v>
      </x:c>
      <x:c r="G330" s="23" t="str">
        <x:v>Thru / Transit</x:v>
      </x:c>
      <x:c r="H330" s="23" t="str">
        <x:v>Domestic</x:v>
      </x:c>
      <x:c r="I330" s="23" t="str">
        <x:v>Thru / Transit</x:v>
      </x:c>
      <x:c r="J330" s="72" t="n">
        <x:v>1679</x:v>
      </x:c>
      <x:c r="K330" s="23" t="str">
        <x:v>passengers</x:v>
      </x:c>
      <x:c r="L330" s="24" t="str"/>
      <x:c r="M330" s="24" t="n">
        <x:v>46256.6280787037</x:v>
      </x:c>
      <x:c r="N330" s="24" t="n">
        <x:v>46268.86863425926</x:v>
      </x:c>
      <x:c r="O330" s="40" t="b">
        <x:v>0</x:v>
      </x:c>
      <x:c r="P330" s="42" t="str">
        <x:v>current_snapshot_diagnostic_only</x:v>
      </x:c>
    </x:row>
    <x:row r="331">
      <x:c r="A331" s="23" t="str">
        <x:v>15f5fdb76063a036eea2</x:v>
      </x:c>
      <x:c r="B331" s="23" t="str">
        <x:v>SFO_AIR_PASSENGERS</x:v>
      </x:c>
      <x:c r="C331" s="23" t="str">
        <x:v>City and County of San Francisco</x:v>
      </x:c>
      <x:c r="D331" s="23" t="str">
        <x:v>United States</x:v>
      </x:c>
      <x:c r="E331" s="23" t="str">
        <x:v>San Francisco International Airport</x:v>
      </x:c>
      <x:c r="F331" s="23" t="str">
        <x:v>2023-09</x:v>
      </x:c>
      <x:c r="G331" s="23" t="str">
        <x:v>Deplaned</x:v>
      </x:c>
      <x:c r="H331" s="23" t="str">
        <x:v>International</x:v>
      </x:c>
      <x:c r="I331" s="23" t="str">
        <x:v>Deplaned</x:v>
      </x:c>
      <x:c r="J331" s="72" t="n">
        <x:v>641017</x:v>
      </x:c>
      <x:c r="K331" s="23" t="str">
        <x:v>passengers</x:v>
      </x:c>
      <x:c r="L331" s="24" t="str"/>
      <x:c r="M331" s="24" t="n">
        <x:v>46256.6280787037</x:v>
      </x:c>
      <x:c r="N331" s="24" t="n">
        <x:v>46268.86863425926</x:v>
      </x:c>
      <x:c r="O331" s="40" t="b">
        <x:v>1</x:v>
      </x:c>
      <x:c r="P331" s="42" t="str">
        <x:v>current_snapshot_diagnostic_only</x:v>
      </x:c>
    </x:row>
    <x:row r="332">
      <x:c r="A332" s="23" t="str">
        <x:v>f6fb731591df269453c6</x:v>
      </x:c>
      <x:c r="B332" s="23" t="str">
        <x:v>SFO_AIR_PASSENGERS</x:v>
      </x:c>
      <x:c r="C332" s="23" t="str">
        <x:v>City and County of San Francisco</x:v>
      </x:c>
      <x:c r="D332" s="23" t="str">
        <x:v>United States</x:v>
      </x:c>
      <x:c r="E332" s="23" t="str">
        <x:v>San Francisco International Airport</x:v>
      </x:c>
      <x:c r="F332" s="23" t="str">
        <x:v>2023-09</x:v>
      </x:c>
      <x:c r="G332" s="23" t="str">
        <x:v>Enplaned</x:v>
      </x:c>
      <x:c r="H332" s="23" t="str">
        <x:v>International</x:v>
      </x:c>
      <x:c r="I332" s="23" t="str">
        <x:v>Enplaned</x:v>
      </x:c>
      <x:c r="J332" s="72" t="n">
        <x:v>627877</x:v>
      </x:c>
      <x:c r="K332" s="23" t="str">
        <x:v>passengers</x:v>
      </x:c>
      <x:c r="L332" s="24" t="str"/>
      <x:c r="M332" s="24" t="n">
        <x:v>46256.6280787037</x:v>
      </x:c>
      <x:c r="N332" s="24" t="n">
        <x:v>46268.86863425926</x:v>
      </x:c>
      <x:c r="O332" s="40" t="b">
        <x:v>1</x:v>
      </x:c>
      <x:c r="P332" s="42" t="str">
        <x:v>current_snapshot_diagnostic_only</x:v>
      </x:c>
    </x:row>
    <x:row r="333">
      <x:c r="A333" s="23" t="str">
        <x:v>e3dd35ca2cc718fb9c80</x:v>
      </x:c>
      <x:c r="B333" s="23" t="str">
        <x:v>SFO_AIR_PASSENGERS</x:v>
      </x:c>
      <x:c r="C333" s="23" t="str">
        <x:v>City and County of San Francisco</x:v>
      </x:c>
      <x:c r="D333" s="23" t="str">
        <x:v>United States</x:v>
      </x:c>
      <x:c r="E333" s="23" t="str">
        <x:v>San Francisco International Airport</x:v>
      </x:c>
      <x:c r="F333" s="23" t="str">
        <x:v>2023-09</x:v>
      </x:c>
      <x:c r="G333" s="23" t="str">
        <x:v>Thru / Transit</x:v>
      </x:c>
      <x:c r="H333" s="23" t="str">
        <x:v>International</x:v>
      </x:c>
      <x:c r="I333" s="23" t="str">
        <x:v>Thru / Transit</x:v>
      </x:c>
      <x:c r="J333" s="72" t="n">
        <x:v>6714</x:v>
      </x:c>
      <x:c r="K333" s="23" t="str">
        <x:v>passengers</x:v>
      </x:c>
      <x:c r="L333" s="24" t="str"/>
      <x:c r="M333" s="24" t="n">
        <x:v>46256.6280787037</x:v>
      </x:c>
      <x:c r="N333" s="24" t="n">
        <x:v>46268.86863425926</x:v>
      </x:c>
      <x:c r="O333" s="40" t="b">
        <x:v>0</x:v>
      </x:c>
      <x:c r="P333" s="42" t="str">
        <x:v>current_snapshot_diagnostic_only</x:v>
      </x:c>
    </x:row>
    <x:row r="334">
      <x:c r="A334" s="23" t="str">
        <x:v>a369d16cf83415f32880</x:v>
      </x:c>
      <x:c r="B334" s="23" t="str">
        <x:v>SFO_AIR_PASSENGERS</x:v>
      </x:c>
      <x:c r="C334" s="23" t="str">
        <x:v>City and County of San Francisco</x:v>
      </x:c>
      <x:c r="D334" s="23" t="str">
        <x:v>United States</x:v>
      </x:c>
      <x:c r="E334" s="23" t="str">
        <x:v>San Francisco International Airport</x:v>
      </x:c>
      <x:c r="F334" s="23" t="str">
        <x:v>2023-10</x:v>
      </x:c>
      <x:c r="G334" s="23" t="str">
        <x:v>Deplaned</x:v>
      </x:c>
      <x:c r="H334" s="23" t="str">
        <x:v>Domestic</x:v>
      </x:c>
      <x:c r="I334" s="23" t="str">
        <x:v>Deplaned</x:v>
      </x:c>
      <x:c r="J334" s="72" t="n">
        <x:v>1610524</x:v>
      </x:c>
      <x:c r="K334" s="23" t="str">
        <x:v>passengers</x:v>
      </x:c>
      <x:c r="L334" s="24" t="str"/>
      <x:c r="M334" s="24" t="n">
        <x:v>46256.6280787037</x:v>
      </x:c>
      <x:c r="N334" s="24" t="n">
        <x:v>46268.86863425926</x:v>
      </x:c>
      <x:c r="O334" s="40" t="b">
        <x:v>1</x:v>
      </x:c>
      <x:c r="P334" s="42" t="str">
        <x:v>current_snapshot_diagnostic_only</x:v>
      </x:c>
    </x:row>
    <x:row r="335">
      <x:c r="A335" s="23" t="str">
        <x:v>c6933030124df25d91f3</x:v>
      </x:c>
      <x:c r="B335" s="23" t="str">
        <x:v>SFO_AIR_PASSENGERS</x:v>
      </x:c>
      <x:c r="C335" s="23" t="str">
        <x:v>City and County of San Francisco</x:v>
      </x:c>
      <x:c r="D335" s="23" t="str">
        <x:v>United States</x:v>
      </x:c>
      <x:c r="E335" s="23" t="str">
        <x:v>San Francisco International Airport</x:v>
      </x:c>
      <x:c r="F335" s="23" t="str">
        <x:v>2023-10</x:v>
      </x:c>
      <x:c r="G335" s="23" t="str">
        <x:v>Enplaned</x:v>
      </x:c>
      <x:c r="H335" s="23" t="str">
        <x:v>Domestic</x:v>
      </x:c>
      <x:c r="I335" s="23" t="str">
        <x:v>Enplaned</x:v>
      </x:c>
      <x:c r="J335" s="72" t="n">
        <x:v>1598854</x:v>
      </x:c>
      <x:c r="K335" s="23" t="str">
        <x:v>passengers</x:v>
      </x:c>
      <x:c r="L335" s="24" t="str"/>
      <x:c r="M335" s="24" t="n">
        <x:v>46256.6280787037</x:v>
      </x:c>
      <x:c r="N335" s="24" t="n">
        <x:v>46268.86863425926</x:v>
      </x:c>
      <x:c r="O335" s="40" t="b">
        <x:v>1</x:v>
      </x:c>
      <x:c r="P335" s="42" t="str">
        <x:v>current_snapshot_diagnostic_only</x:v>
      </x:c>
    </x:row>
    <x:row r="336">
      <x:c r="A336" s="23" t="str">
        <x:v>d7fa3b929f2b534d8628</x:v>
      </x:c>
      <x:c r="B336" s="23" t="str">
        <x:v>SFO_AIR_PASSENGERS</x:v>
      </x:c>
      <x:c r="C336" s="23" t="str">
        <x:v>City and County of San Francisco</x:v>
      </x:c>
      <x:c r="D336" s="23" t="str">
        <x:v>United States</x:v>
      </x:c>
      <x:c r="E336" s="23" t="str">
        <x:v>San Francisco International Airport</x:v>
      </x:c>
      <x:c r="F336" s="23" t="str">
        <x:v>2023-10</x:v>
      </x:c>
      <x:c r="G336" s="23" t="str">
        <x:v>Thru / Transit</x:v>
      </x:c>
      <x:c r="H336" s="23" t="str">
        <x:v>Domestic</x:v>
      </x:c>
      <x:c r="I336" s="23" t="str">
        <x:v>Thru / Transit</x:v>
      </x:c>
      <x:c r="J336" s="72" t="n">
        <x:v>2575</x:v>
      </x:c>
      <x:c r="K336" s="23" t="str">
        <x:v>passengers</x:v>
      </x:c>
      <x:c r="L336" s="24" t="str"/>
      <x:c r="M336" s="24" t="n">
        <x:v>46256.6280787037</x:v>
      </x:c>
      <x:c r="N336" s="24" t="n">
        <x:v>46268.86863425926</x:v>
      </x:c>
      <x:c r="O336" s="40" t="b">
        <x:v>0</x:v>
      </x:c>
      <x:c r="P336" s="42" t="str">
        <x:v>current_snapshot_diagnostic_only</x:v>
      </x:c>
    </x:row>
    <x:row r="337">
      <x:c r="A337" s="23" t="str">
        <x:v>27a452afd6e2324e11d6</x:v>
      </x:c>
      <x:c r="B337" s="23" t="str">
        <x:v>SFO_AIR_PASSENGERS</x:v>
      </x:c>
      <x:c r="C337" s="23" t="str">
        <x:v>City and County of San Francisco</x:v>
      </x:c>
      <x:c r="D337" s="23" t="str">
        <x:v>United States</x:v>
      </x:c>
      <x:c r="E337" s="23" t="str">
        <x:v>San Francisco International Airport</x:v>
      </x:c>
      <x:c r="F337" s="23" t="str">
        <x:v>2023-10</x:v>
      </x:c>
      <x:c r="G337" s="23" t="str">
        <x:v>Deplaned</x:v>
      </x:c>
      <x:c r="H337" s="23" t="str">
        <x:v>International</x:v>
      </x:c>
      <x:c r="I337" s="23" t="str">
        <x:v>Deplaned</x:v>
      </x:c>
      <x:c r="J337" s="72" t="n">
        <x:v>606758</x:v>
      </x:c>
      <x:c r="K337" s="23" t="str">
        <x:v>passengers</x:v>
      </x:c>
      <x:c r="L337" s="24" t="str"/>
      <x:c r="M337" s="24" t="n">
        <x:v>46256.6280787037</x:v>
      </x:c>
      <x:c r="N337" s="24" t="n">
        <x:v>46268.86863425926</x:v>
      </x:c>
      <x:c r="O337" s="40" t="b">
        <x:v>1</x:v>
      </x:c>
      <x:c r="P337" s="42" t="str">
        <x:v>current_snapshot_diagnostic_only</x:v>
      </x:c>
    </x:row>
    <x:row r="338">
      <x:c r="A338" s="23" t="str">
        <x:v>47ff0bb6f177d1419328</x:v>
      </x:c>
      <x:c r="B338" s="23" t="str">
        <x:v>SFO_AIR_PASSENGERS</x:v>
      </x:c>
      <x:c r="C338" s="23" t="str">
        <x:v>City and County of San Francisco</x:v>
      </x:c>
      <x:c r="D338" s="23" t="str">
        <x:v>United States</x:v>
      </x:c>
      <x:c r="E338" s="23" t="str">
        <x:v>San Francisco International Airport</x:v>
      </x:c>
      <x:c r="F338" s="23" t="str">
        <x:v>2023-10</x:v>
      </x:c>
      <x:c r="G338" s="23" t="str">
        <x:v>Enplaned</x:v>
      </x:c>
      <x:c r="H338" s="23" t="str">
        <x:v>International</x:v>
      </x:c>
      <x:c r="I338" s="23" t="str">
        <x:v>Enplaned</x:v>
      </x:c>
      <x:c r="J338" s="72" t="n">
        <x:v>618645</x:v>
      </x:c>
      <x:c r="K338" s="23" t="str">
        <x:v>passengers</x:v>
      </x:c>
      <x:c r="L338" s="24" t="str"/>
      <x:c r="M338" s="24" t="n">
        <x:v>46256.6280787037</x:v>
      </x:c>
      <x:c r="N338" s="24" t="n">
        <x:v>46268.86863425926</x:v>
      </x:c>
      <x:c r="O338" s="40" t="b">
        <x:v>1</x:v>
      </x:c>
      <x:c r="P338" s="42" t="str">
        <x:v>current_snapshot_diagnostic_only</x:v>
      </x:c>
    </x:row>
    <x:row r="339">
      <x:c r="A339" s="23" t="str">
        <x:v>d09d4ba836937e111c14</x:v>
      </x:c>
      <x:c r="B339" s="23" t="str">
        <x:v>SFO_AIR_PASSENGERS</x:v>
      </x:c>
      <x:c r="C339" s="23" t="str">
        <x:v>City and County of San Francisco</x:v>
      </x:c>
      <x:c r="D339" s="23" t="str">
        <x:v>United States</x:v>
      </x:c>
      <x:c r="E339" s="23" t="str">
        <x:v>San Francisco International Airport</x:v>
      </x:c>
      <x:c r="F339" s="23" t="str">
        <x:v>2023-10</x:v>
      </x:c>
      <x:c r="G339" s="23" t="str">
        <x:v>Thru / Transit</x:v>
      </x:c>
      <x:c r="H339" s="23" t="str">
        <x:v>International</x:v>
      </x:c>
      <x:c r="I339" s="23" t="str">
        <x:v>Thru / Transit</x:v>
      </x:c>
      <x:c r="J339" s="72" t="n">
        <x:v>6581</x:v>
      </x:c>
      <x:c r="K339" s="23" t="str">
        <x:v>passengers</x:v>
      </x:c>
      <x:c r="L339" s="24" t="str"/>
      <x:c r="M339" s="24" t="n">
        <x:v>46256.6280787037</x:v>
      </x:c>
      <x:c r="N339" s="24" t="n">
        <x:v>46268.86863425926</x:v>
      </x:c>
      <x:c r="O339" s="40" t="b">
        <x:v>0</x:v>
      </x:c>
      <x:c r="P339" s="42" t="str">
        <x:v>current_snapshot_diagnostic_only</x:v>
      </x:c>
    </x:row>
    <x:row r="340">
      <x:c r="A340" s="23" t="str">
        <x:v>6dc5bcd8fae250ae54fa</x:v>
      </x:c>
      <x:c r="B340" s="23" t="str">
        <x:v>SFO_AIR_PASSENGERS</x:v>
      </x:c>
      <x:c r="C340" s="23" t="str">
        <x:v>City and County of San Francisco</x:v>
      </x:c>
      <x:c r="D340" s="23" t="str">
        <x:v>United States</x:v>
      </x:c>
      <x:c r="E340" s="23" t="str">
        <x:v>San Francisco International Airport</x:v>
      </x:c>
      <x:c r="F340" s="23" t="str">
        <x:v>2023-11</x:v>
      </x:c>
      <x:c r="G340" s="23" t="str">
        <x:v>Deplaned</x:v>
      </x:c>
      <x:c r="H340" s="23" t="str">
        <x:v>Domestic</x:v>
      </x:c>
      <x:c r="I340" s="23" t="str">
        <x:v>Deplaned</x:v>
      </x:c>
      <x:c r="J340" s="72" t="n">
        <x:v>1503925</x:v>
      </x:c>
      <x:c r="K340" s="23" t="str">
        <x:v>passengers</x:v>
      </x:c>
      <x:c r="L340" s="24" t="str"/>
      <x:c r="M340" s="24" t="n">
        <x:v>46256.6280787037</x:v>
      </x:c>
      <x:c r="N340" s="24" t="n">
        <x:v>46268.86863425926</x:v>
      </x:c>
      <x:c r="O340" s="40" t="b">
        <x:v>1</x:v>
      </x:c>
      <x:c r="P340" s="42" t="str">
        <x:v>current_snapshot_diagnostic_only</x:v>
      </x:c>
    </x:row>
    <x:row r="341">
      <x:c r="A341" s="23" t="str">
        <x:v>6ec3246a303a0e759c1f</x:v>
      </x:c>
      <x:c r="B341" s="23" t="str">
        <x:v>SFO_AIR_PASSENGERS</x:v>
      </x:c>
      <x:c r="C341" s="23" t="str">
        <x:v>City and County of San Francisco</x:v>
      </x:c>
      <x:c r="D341" s="23" t="str">
        <x:v>United States</x:v>
      </x:c>
      <x:c r="E341" s="23" t="str">
        <x:v>San Francisco International Airport</x:v>
      </x:c>
      <x:c r="F341" s="23" t="str">
        <x:v>2023-11</x:v>
      </x:c>
      <x:c r="G341" s="23" t="str">
        <x:v>Enplaned</x:v>
      </x:c>
      <x:c r="H341" s="23" t="str">
        <x:v>Domestic</x:v>
      </x:c>
      <x:c r="I341" s="23" t="str">
        <x:v>Enplaned</x:v>
      </x:c>
      <x:c r="J341" s="72" t="n">
        <x:v>1510254</x:v>
      </x:c>
      <x:c r="K341" s="23" t="str">
        <x:v>passengers</x:v>
      </x:c>
      <x:c r="L341" s="24" t="str"/>
      <x:c r="M341" s="24" t="n">
        <x:v>46256.6280787037</x:v>
      </x:c>
      <x:c r="N341" s="24" t="n">
        <x:v>46268.86863425926</x:v>
      </x:c>
      <x:c r="O341" s="40" t="b">
        <x:v>1</x:v>
      </x:c>
      <x:c r="P341" s="42" t="str">
        <x:v>current_snapshot_diagnostic_only</x:v>
      </x:c>
    </x:row>
    <x:row r="342">
      <x:c r="A342" s="23" t="str">
        <x:v>dfd684501cb3b9485119</x:v>
      </x:c>
      <x:c r="B342" s="23" t="str">
        <x:v>SFO_AIR_PASSENGERS</x:v>
      </x:c>
      <x:c r="C342" s="23" t="str">
        <x:v>City and County of San Francisco</x:v>
      </x:c>
      <x:c r="D342" s="23" t="str">
        <x:v>United States</x:v>
      </x:c>
      <x:c r="E342" s="23" t="str">
        <x:v>San Francisco International Airport</x:v>
      </x:c>
      <x:c r="F342" s="23" t="str">
        <x:v>2023-11</x:v>
      </x:c>
      <x:c r="G342" s="23" t="str">
        <x:v>Thru / Transit</x:v>
      </x:c>
      <x:c r="H342" s="23" t="str">
        <x:v>Domestic</x:v>
      </x:c>
      <x:c r="I342" s="23" t="str">
        <x:v>Thru / Transit</x:v>
      </x:c>
      <x:c r="J342" s="72" t="n">
        <x:v>952</x:v>
      </x:c>
      <x:c r="K342" s="23" t="str">
        <x:v>passengers</x:v>
      </x:c>
      <x:c r="L342" s="24" t="str"/>
      <x:c r="M342" s="24" t="n">
        <x:v>46256.6280787037</x:v>
      </x:c>
      <x:c r="N342" s="24" t="n">
        <x:v>46268.86863425926</x:v>
      </x:c>
      <x:c r="O342" s="40" t="b">
        <x:v>0</x:v>
      </x:c>
      <x:c r="P342" s="42" t="str">
        <x:v>current_snapshot_diagnostic_only</x:v>
      </x:c>
    </x:row>
    <x:row r="343">
      <x:c r="A343" s="23" t="str">
        <x:v>3d00b94e2c70b7c25fa5</x:v>
      </x:c>
      <x:c r="B343" s="23" t="str">
        <x:v>SFO_AIR_PASSENGERS</x:v>
      </x:c>
      <x:c r="C343" s="23" t="str">
        <x:v>City and County of San Francisco</x:v>
      </x:c>
      <x:c r="D343" s="23" t="str">
        <x:v>United States</x:v>
      </x:c>
      <x:c r="E343" s="23" t="str">
        <x:v>San Francisco International Airport</x:v>
      </x:c>
      <x:c r="F343" s="23" t="str">
        <x:v>2023-11</x:v>
      </x:c>
      <x:c r="G343" s="23" t="str">
        <x:v>Deplaned</x:v>
      </x:c>
      <x:c r="H343" s="23" t="str">
        <x:v>International</x:v>
      </x:c>
      <x:c r="I343" s="23" t="str">
        <x:v>Deplaned</x:v>
      </x:c>
      <x:c r="J343" s="72" t="n">
        <x:v>533882</x:v>
      </x:c>
      <x:c r="K343" s="23" t="str">
        <x:v>passengers</x:v>
      </x:c>
      <x:c r="L343" s="24" t="str"/>
      <x:c r="M343" s="24" t="n">
        <x:v>46256.6280787037</x:v>
      </x:c>
      <x:c r="N343" s="24" t="n">
        <x:v>46268.86863425926</x:v>
      </x:c>
      <x:c r="O343" s="40" t="b">
        <x:v>1</x:v>
      </x:c>
      <x:c r="P343" s="42" t="str">
        <x:v>current_snapshot_diagnostic_only</x:v>
      </x:c>
    </x:row>
    <x:row r="344">
      <x:c r="A344" s="23" t="str">
        <x:v>2a0b040c4ba1017fcfe7</x:v>
      </x:c>
      <x:c r="B344" s="23" t="str">
        <x:v>SFO_AIR_PASSENGERS</x:v>
      </x:c>
      <x:c r="C344" s="23" t="str">
        <x:v>City and County of San Francisco</x:v>
      </x:c>
      <x:c r="D344" s="23" t="str">
        <x:v>United States</x:v>
      </x:c>
      <x:c r="E344" s="23" t="str">
        <x:v>San Francisco International Airport</x:v>
      </x:c>
      <x:c r="F344" s="23" t="str">
        <x:v>2023-11</x:v>
      </x:c>
      <x:c r="G344" s="23" t="str">
        <x:v>Enplaned</x:v>
      </x:c>
      <x:c r="H344" s="23" t="str">
        <x:v>International</x:v>
      </x:c>
      <x:c r="I344" s="23" t="str">
        <x:v>Enplaned</x:v>
      </x:c>
      <x:c r="J344" s="72" t="n">
        <x:v>561054</x:v>
      </x:c>
      <x:c r="K344" s="23" t="str">
        <x:v>passengers</x:v>
      </x:c>
      <x:c r="L344" s="24" t="str"/>
      <x:c r="M344" s="24" t="n">
        <x:v>46256.6280787037</x:v>
      </x:c>
      <x:c r="N344" s="24" t="n">
        <x:v>46268.86863425926</x:v>
      </x:c>
      <x:c r="O344" s="40" t="b">
        <x:v>1</x:v>
      </x:c>
      <x:c r="P344" s="42" t="str">
        <x:v>current_snapshot_diagnostic_only</x:v>
      </x:c>
    </x:row>
    <x:row r="345">
      <x:c r="A345" s="23" t="str">
        <x:v>08a53f317e398b535c86</x:v>
      </x:c>
      <x:c r="B345" s="23" t="str">
        <x:v>SFO_AIR_PASSENGERS</x:v>
      </x:c>
      <x:c r="C345" s="23" t="str">
        <x:v>City and County of San Francisco</x:v>
      </x:c>
      <x:c r="D345" s="23" t="str">
        <x:v>United States</x:v>
      </x:c>
      <x:c r="E345" s="23" t="str">
        <x:v>San Francisco International Airport</x:v>
      </x:c>
      <x:c r="F345" s="23" t="str">
        <x:v>2023-11</x:v>
      </x:c>
      <x:c r="G345" s="23" t="str">
        <x:v>Thru / Transit</x:v>
      </x:c>
      <x:c r="H345" s="23" t="str">
        <x:v>International</x:v>
      </x:c>
      <x:c r="I345" s="23" t="str">
        <x:v>Thru / Transit</x:v>
      </x:c>
      <x:c r="J345" s="72" t="n">
        <x:v>5227</x:v>
      </x:c>
      <x:c r="K345" s="23" t="str">
        <x:v>passengers</x:v>
      </x:c>
      <x:c r="L345" s="24" t="str"/>
      <x:c r="M345" s="24" t="n">
        <x:v>46256.6280787037</x:v>
      </x:c>
      <x:c r="N345" s="24" t="n">
        <x:v>46268.86863425926</x:v>
      </x:c>
      <x:c r="O345" s="40" t="b">
        <x:v>0</x:v>
      </x:c>
      <x:c r="P345" s="42" t="str">
        <x:v>current_snapshot_diagnostic_only</x:v>
      </x:c>
    </x:row>
    <x:row r="346">
      <x:c r="A346" s="23" t="str">
        <x:v>bebdd7bfbc9573d06360</x:v>
      </x:c>
      <x:c r="B346" s="23" t="str">
        <x:v>SFO_AIR_PASSENGERS</x:v>
      </x:c>
      <x:c r="C346" s="23" t="str">
        <x:v>City and County of San Francisco</x:v>
      </x:c>
      <x:c r="D346" s="23" t="str">
        <x:v>United States</x:v>
      </x:c>
      <x:c r="E346" s="23" t="str">
        <x:v>San Francisco International Airport</x:v>
      </x:c>
      <x:c r="F346" s="23" t="str">
        <x:v>2023-12</x:v>
      </x:c>
      <x:c r="G346" s="23" t="str">
        <x:v>Deplaned</x:v>
      </x:c>
      <x:c r="H346" s="23" t="str">
        <x:v>Domestic</x:v>
      </x:c>
      <x:c r="I346" s="23" t="str">
        <x:v>Deplaned</x:v>
      </x:c>
      <x:c r="J346" s="72" t="n">
        <x:v>1454360</x:v>
      </x:c>
      <x:c r="K346" s="23" t="str">
        <x:v>passengers</x:v>
      </x:c>
      <x:c r="L346" s="24" t="str"/>
      <x:c r="M346" s="24" t="n">
        <x:v>46256.6280787037</x:v>
      </x:c>
      <x:c r="N346" s="24" t="n">
        <x:v>46268.86863425926</x:v>
      </x:c>
      <x:c r="O346" s="40" t="b">
        <x:v>1</x:v>
      </x:c>
      <x:c r="P346" s="42" t="str">
        <x:v>current_snapshot_diagnostic_only</x:v>
      </x:c>
    </x:row>
    <x:row r="347">
      <x:c r="A347" s="23" t="str">
        <x:v>e31935f383ec52afb1c3</x:v>
      </x:c>
      <x:c r="B347" s="23" t="str">
        <x:v>SFO_AIR_PASSENGERS</x:v>
      </x:c>
      <x:c r="C347" s="23" t="str">
        <x:v>City and County of San Francisco</x:v>
      </x:c>
      <x:c r="D347" s="23" t="str">
        <x:v>United States</x:v>
      </x:c>
      <x:c r="E347" s="23" t="str">
        <x:v>San Francisco International Airport</x:v>
      </x:c>
      <x:c r="F347" s="23" t="str">
        <x:v>2023-12</x:v>
      </x:c>
      <x:c r="G347" s="23" t="str">
        <x:v>Enplaned</x:v>
      </x:c>
      <x:c r="H347" s="23" t="str">
        <x:v>Domestic</x:v>
      </x:c>
      <x:c r="I347" s="23" t="str">
        <x:v>Enplaned</x:v>
      </x:c>
      <x:c r="J347" s="72" t="n">
        <x:v>1486226</x:v>
      </x:c>
      <x:c r="K347" s="23" t="str">
        <x:v>passengers</x:v>
      </x:c>
      <x:c r="L347" s="24" t="str"/>
      <x:c r="M347" s="24" t="n">
        <x:v>46256.6280787037</x:v>
      </x:c>
      <x:c r="N347" s="24" t="n">
        <x:v>46268.86863425926</x:v>
      </x:c>
      <x:c r="O347" s="40" t="b">
        <x:v>1</x:v>
      </x:c>
      <x:c r="P347" s="42" t="str">
        <x:v>current_snapshot_diagnostic_only</x:v>
      </x:c>
    </x:row>
    <x:row r="348">
      <x:c r="A348" s="23" t="str">
        <x:v>0ba7da3212c185afc2ab</x:v>
      </x:c>
      <x:c r="B348" s="23" t="str">
        <x:v>SFO_AIR_PASSENGERS</x:v>
      </x:c>
      <x:c r="C348" s="23" t="str">
        <x:v>City and County of San Francisco</x:v>
      </x:c>
      <x:c r="D348" s="23" t="str">
        <x:v>United States</x:v>
      </x:c>
      <x:c r="E348" s="23" t="str">
        <x:v>San Francisco International Airport</x:v>
      </x:c>
      <x:c r="F348" s="23" t="str">
        <x:v>2023-12</x:v>
      </x:c>
      <x:c r="G348" s="23" t="str">
        <x:v>Thru / Transit</x:v>
      </x:c>
      <x:c r="H348" s="23" t="str">
        <x:v>Domestic</x:v>
      </x:c>
      <x:c r="I348" s="23" t="str">
        <x:v>Thru / Transit</x:v>
      </x:c>
      <x:c r="J348" s="72" t="n">
        <x:v>540</x:v>
      </x:c>
      <x:c r="K348" s="23" t="str">
        <x:v>passengers</x:v>
      </x:c>
      <x:c r="L348" s="24" t="str"/>
      <x:c r="M348" s="24" t="n">
        <x:v>46256.6280787037</x:v>
      </x:c>
      <x:c r="N348" s="24" t="n">
        <x:v>46268.86863425926</x:v>
      </x:c>
      <x:c r="O348" s="40" t="b">
        <x:v>0</x:v>
      </x:c>
      <x:c r="P348" s="42" t="str">
        <x:v>current_snapshot_diagnostic_only</x:v>
      </x:c>
    </x:row>
    <x:row r="349">
      <x:c r="A349" s="23" t="str">
        <x:v>0651b2135272a4a6b2af</x:v>
      </x:c>
      <x:c r="B349" s="23" t="str">
        <x:v>SFO_AIR_PASSENGERS</x:v>
      </x:c>
      <x:c r="C349" s="23" t="str">
        <x:v>City and County of San Francisco</x:v>
      </x:c>
      <x:c r="D349" s="23" t="str">
        <x:v>United States</x:v>
      </x:c>
      <x:c r="E349" s="23" t="str">
        <x:v>San Francisco International Airport</x:v>
      </x:c>
      <x:c r="F349" s="23" t="str">
        <x:v>2023-12</x:v>
      </x:c>
      <x:c r="G349" s="23" t="str">
        <x:v>Deplaned</x:v>
      </x:c>
      <x:c r="H349" s="23" t="str">
        <x:v>International</x:v>
      </x:c>
      <x:c r="I349" s="23" t="str">
        <x:v>Deplaned</x:v>
      </x:c>
      <x:c r="J349" s="72" t="n">
        <x:v>578125</x:v>
      </x:c>
      <x:c r="K349" s="23" t="str">
        <x:v>passengers</x:v>
      </x:c>
      <x:c r="L349" s="24" t="str"/>
      <x:c r="M349" s="24" t="n">
        <x:v>46256.6280787037</x:v>
      </x:c>
      <x:c r="N349" s="24" t="n">
        <x:v>46268.86863425926</x:v>
      </x:c>
      <x:c r="O349" s="40" t="b">
        <x:v>1</x:v>
      </x:c>
      <x:c r="P349" s="42" t="str">
        <x:v>current_snapshot_diagnostic_only</x:v>
      </x:c>
    </x:row>
    <x:row r="350">
      <x:c r="A350" s="23" t="str">
        <x:v>249b4c96f43f456bc72e</x:v>
      </x:c>
      <x:c r="B350" s="23" t="str">
        <x:v>SFO_AIR_PASSENGERS</x:v>
      </x:c>
      <x:c r="C350" s="23" t="str">
        <x:v>City and County of San Francisco</x:v>
      </x:c>
      <x:c r="D350" s="23" t="str">
        <x:v>United States</x:v>
      </x:c>
      <x:c r="E350" s="23" t="str">
        <x:v>San Francisco International Airport</x:v>
      </x:c>
      <x:c r="F350" s="23" t="str">
        <x:v>2023-12</x:v>
      </x:c>
      <x:c r="G350" s="23" t="str">
        <x:v>Enplaned</x:v>
      </x:c>
      <x:c r="H350" s="23" t="str">
        <x:v>International</x:v>
      </x:c>
      <x:c r="I350" s="23" t="str">
        <x:v>Enplaned</x:v>
      </x:c>
      <x:c r="J350" s="72" t="n">
        <x:v>625867</x:v>
      </x:c>
      <x:c r="K350" s="23" t="str">
        <x:v>passengers</x:v>
      </x:c>
      <x:c r="L350" s="24" t="str"/>
      <x:c r="M350" s="24" t="n">
        <x:v>46256.6280787037</x:v>
      </x:c>
      <x:c r="N350" s="24" t="n">
        <x:v>46268.86863425926</x:v>
      </x:c>
      <x:c r="O350" s="40" t="b">
        <x:v>1</x:v>
      </x:c>
      <x:c r="P350" s="42" t="str">
        <x:v>current_snapshot_diagnostic_only</x:v>
      </x:c>
    </x:row>
    <x:row r="351">
      <x:c r="A351" s="23" t="str">
        <x:v>4c706014fa97cb5e126b</x:v>
      </x:c>
      <x:c r="B351" s="23" t="str">
        <x:v>SFO_AIR_PASSENGERS</x:v>
      </x:c>
      <x:c r="C351" s="23" t="str">
        <x:v>City and County of San Francisco</x:v>
      </x:c>
      <x:c r="D351" s="23" t="str">
        <x:v>United States</x:v>
      </x:c>
      <x:c r="E351" s="23" t="str">
        <x:v>San Francisco International Airport</x:v>
      </x:c>
      <x:c r="F351" s="23" t="str">
        <x:v>2023-12</x:v>
      </x:c>
      <x:c r="G351" s="23" t="str">
        <x:v>Thru / Transit</x:v>
      </x:c>
      <x:c r="H351" s="23" t="str">
        <x:v>International</x:v>
      </x:c>
      <x:c r="I351" s="23" t="str">
        <x:v>Thru / Transit</x:v>
      </x:c>
      <x:c r="J351" s="72" t="n">
        <x:v>6186</x:v>
      </x:c>
      <x:c r="K351" s="23" t="str">
        <x:v>passengers</x:v>
      </x:c>
      <x:c r="L351" s="24" t="str"/>
      <x:c r="M351" s="24" t="n">
        <x:v>46256.6280787037</x:v>
      </x:c>
      <x:c r="N351" s="24" t="n">
        <x:v>46268.86863425926</x:v>
      </x:c>
      <x:c r="O351" s="40" t="b">
        <x:v>0</x:v>
      </x:c>
      <x:c r="P351" s="42" t="str">
        <x:v>current_snapshot_diagnostic_only</x:v>
      </x:c>
    </x:row>
    <x:row r="352">
      <x:c r="A352" s="23" t="str">
        <x:v>13fa4011f2a71a5444ee</x:v>
      </x:c>
      <x:c r="B352" s="23" t="str">
        <x:v>SFO_AIR_PASSENGERS</x:v>
      </x:c>
      <x:c r="C352" s="23" t="str">
        <x:v>City and County of San Francisco</x:v>
      </x:c>
      <x:c r="D352" s="23" t="str">
        <x:v>United States</x:v>
      </x:c>
      <x:c r="E352" s="23" t="str">
        <x:v>San Francisco International Airport</x:v>
      </x:c>
      <x:c r="F352" s="23" t="str">
        <x:v>2024-01</x:v>
      </x:c>
      <x:c r="G352" s="23" t="str">
        <x:v>Deplaned</x:v>
      </x:c>
      <x:c r="H352" s="23" t="str">
        <x:v>Domestic</x:v>
      </x:c>
      <x:c r="I352" s="23" t="str">
        <x:v>Deplaned</x:v>
      </x:c>
      <x:c r="J352" s="72" t="n">
        <x:v>1267167</x:v>
      </x:c>
      <x:c r="K352" s="23" t="str">
        <x:v>passengers</x:v>
      </x:c>
      <x:c r="L352" s="24" t="str"/>
      <x:c r="M352" s="24" t="n">
        <x:v>46256.6280787037</x:v>
      </x:c>
      <x:c r="N352" s="24" t="n">
        <x:v>46268.86863425926</x:v>
      </x:c>
      <x:c r="O352" s="40" t="b">
        <x:v>1</x:v>
      </x:c>
      <x:c r="P352" s="42" t="str">
        <x:v>current_snapshot_diagnostic_only</x:v>
      </x:c>
    </x:row>
    <x:row r="353">
      <x:c r="A353" s="23" t="str">
        <x:v>bdc5ea4c0339022e0888</x:v>
      </x:c>
      <x:c r="B353" s="23" t="str">
        <x:v>SFO_AIR_PASSENGERS</x:v>
      </x:c>
      <x:c r="C353" s="23" t="str">
        <x:v>City and County of San Francisco</x:v>
      </x:c>
      <x:c r="D353" s="23" t="str">
        <x:v>United States</x:v>
      </x:c>
      <x:c r="E353" s="23" t="str">
        <x:v>San Francisco International Airport</x:v>
      </x:c>
      <x:c r="F353" s="23" t="str">
        <x:v>2024-01</x:v>
      </x:c>
      <x:c r="G353" s="23" t="str">
        <x:v>Enplaned</x:v>
      </x:c>
      <x:c r="H353" s="23" t="str">
        <x:v>Domestic</x:v>
      </x:c>
      <x:c r="I353" s="23" t="str">
        <x:v>Enplaned</x:v>
      </x:c>
      <x:c r="J353" s="72" t="n">
        <x:v>1200712</x:v>
      </x:c>
      <x:c r="K353" s="23" t="str">
        <x:v>passengers</x:v>
      </x:c>
      <x:c r="L353" s="24" t="str"/>
      <x:c r="M353" s="24" t="n">
        <x:v>46256.6280787037</x:v>
      </x:c>
      <x:c r="N353" s="24" t="n">
        <x:v>46268.86863425926</x:v>
      </x:c>
      <x:c r="O353" s="40" t="b">
        <x:v>1</x:v>
      </x:c>
      <x:c r="P353" s="42" t="str">
        <x:v>current_snapshot_diagnostic_only</x:v>
      </x:c>
    </x:row>
    <x:row r="354">
      <x:c r="A354" s="23" t="str">
        <x:v>cb84ba11bf9076f0787c</x:v>
      </x:c>
      <x:c r="B354" s="23" t="str">
        <x:v>SFO_AIR_PASSENGERS</x:v>
      </x:c>
      <x:c r="C354" s="23" t="str">
        <x:v>City and County of San Francisco</x:v>
      </x:c>
      <x:c r="D354" s="23" t="str">
        <x:v>United States</x:v>
      </x:c>
      <x:c r="E354" s="23" t="str">
        <x:v>San Francisco International Airport</x:v>
      </x:c>
      <x:c r="F354" s="23" t="str">
        <x:v>2024-01</x:v>
      </x:c>
      <x:c r="G354" s="23" t="str">
        <x:v>Thru / Transit</x:v>
      </x:c>
      <x:c r="H354" s="23" t="str">
        <x:v>Domestic</x:v>
      </x:c>
      <x:c r="I354" s="23" t="str">
        <x:v>Thru / Transit</x:v>
      </x:c>
      <x:c r="J354" s="72" t="n">
        <x:v>1590</x:v>
      </x:c>
      <x:c r="K354" s="23" t="str">
        <x:v>passengers</x:v>
      </x:c>
      <x:c r="L354" s="24" t="str"/>
      <x:c r="M354" s="24" t="n">
        <x:v>46256.6280787037</x:v>
      </x:c>
      <x:c r="N354" s="24" t="n">
        <x:v>46268.86863425926</x:v>
      </x:c>
      <x:c r="O354" s="40" t="b">
        <x:v>0</x:v>
      </x:c>
      <x:c r="P354" s="42" t="str">
        <x:v>current_snapshot_diagnostic_only</x:v>
      </x:c>
    </x:row>
    <x:row r="355">
      <x:c r="A355" s="23" t="str">
        <x:v>7a72098cfc97f2bab0c2</x:v>
      </x:c>
      <x:c r="B355" s="23" t="str">
        <x:v>SFO_AIR_PASSENGERS</x:v>
      </x:c>
      <x:c r="C355" s="23" t="str">
        <x:v>City and County of San Francisco</x:v>
      </x:c>
      <x:c r="D355" s="23" t="str">
        <x:v>United States</x:v>
      </x:c>
      <x:c r="E355" s="23" t="str">
        <x:v>San Francisco International Airport</x:v>
      </x:c>
      <x:c r="F355" s="23" t="str">
        <x:v>2024-01</x:v>
      </x:c>
      <x:c r="G355" s="23" t="str">
        <x:v>Deplaned</x:v>
      </x:c>
      <x:c r="H355" s="23" t="str">
        <x:v>International</x:v>
      </x:c>
      <x:c r="I355" s="23" t="str">
        <x:v>Deplaned</x:v>
      </x:c>
      <x:c r="J355" s="72" t="n">
        <x:v>595137</x:v>
      </x:c>
      <x:c r="K355" s="23" t="str">
        <x:v>passengers</x:v>
      </x:c>
      <x:c r="L355" s="24" t="str"/>
      <x:c r="M355" s="24" t="n">
        <x:v>46256.6280787037</x:v>
      </x:c>
      <x:c r="N355" s="24" t="n">
        <x:v>46268.86863425926</x:v>
      </x:c>
      <x:c r="O355" s="40" t="b">
        <x:v>1</x:v>
      </x:c>
      <x:c r="P355" s="42" t="str">
        <x:v>current_snapshot_diagnostic_only</x:v>
      </x:c>
    </x:row>
    <x:row r="356">
      <x:c r="A356" s="23" t="str">
        <x:v>be7e71c0f7273d28a629</x:v>
      </x:c>
      <x:c r="B356" s="23" t="str">
        <x:v>SFO_AIR_PASSENGERS</x:v>
      </x:c>
      <x:c r="C356" s="23" t="str">
        <x:v>City and County of San Francisco</x:v>
      </x:c>
      <x:c r="D356" s="23" t="str">
        <x:v>United States</x:v>
      </x:c>
      <x:c r="E356" s="23" t="str">
        <x:v>San Francisco International Airport</x:v>
      </x:c>
      <x:c r="F356" s="23" t="str">
        <x:v>2024-01</x:v>
      </x:c>
      <x:c r="G356" s="23" t="str">
        <x:v>Enplaned</x:v>
      </x:c>
      <x:c r="H356" s="23" t="str">
        <x:v>International</x:v>
      </x:c>
      <x:c r="I356" s="23" t="str">
        <x:v>Enplaned</x:v>
      </x:c>
      <x:c r="J356" s="72" t="n">
        <x:v>545936</x:v>
      </x:c>
      <x:c r="K356" s="23" t="str">
        <x:v>passengers</x:v>
      </x:c>
      <x:c r="L356" s="24" t="str"/>
      <x:c r="M356" s="24" t="n">
        <x:v>46256.6280787037</x:v>
      </x:c>
      <x:c r="N356" s="24" t="n">
        <x:v>46268.86863425926</x:v>
      </x:c>
      <x:c r="O356" s="40" t="b">
        <x:v>1</x:v>
      </x:c>
      <x:c r="P356" s="42" t="str">
        <x:v>current_snapshot_diagnostic_only</x:v>
      </x:c>
    </x:row>
    <x:row r="357">
      <x:c r="A357" s="23" t="str">
        <x:v>6820f67115d9f8226408</x:v>
      </x:c>
      <x:c r="B357" s="23" t="str">
        <x:v>SFO_AIR_PASSENGERS</x:v>
      </x:c>
      <x:c r="C357" s="23" t="str">
        <x:v>City and County of San Francisco</x:v>
      </x:c>
      <x:c r="D357" s="23" t="str">
        <x:v>United States</x:v>
      </x:c>
      <x:c r="E357" s="23" t="str">
        <x:v>San Francisco International Airport</x:v>
      </x:c>
      <x:c r="F357" s="23" t="str">
        <x:v>2024-01</x:v>
      </x:c>
      <x:c r="G357" s="23" t="str">
        <x:v>Thru / Transit</x:v>
      </x:c>
      <x:c r="H357" s="23" t="str">
        <x:v>International</x:v>
      </x:c>
      <x:c r="I357" s="23" t="str">
        <x:v>Thru / Transit</x:v>
      </x:c>
      <x:c r="J357" s="72" t="n">
        <x:v>5785</x:v>
      </x:c>
      <x:c r="K357" s="23" t="str">
        <x:v>passengers</x:v>
      </x:c>
      <x:c r="L357" s="24" t="str"/>
      <x:c r="M357" s="24" t="n">
        <x:v>46256.6280787037</x:v>
      </x:c>
      <x:c r="N357" s="24" t="n">
        <x:v>46268.86863425926</x:v>
      </x:c>
      <x:c r="O357" s="40" t="b">
        <x:v>0</x:v>
      </x:c>
      <x:c r="P357" s="42" t="str">
        <x:v>current_snapshot_diagnostic_only</x:v>
      </x:c>
    </x:row>
    <x:row r="358">
      <x:c r="A358" s="23" t="str">
        <x:v>c07be1353fa596d76c37</x:v>
      </x:c>
      <x:c r="B358" s="23" t="str">
        <x:v>SFO_AIR_PASSENGERS</x:v>
      </x:c>
      <x:c r="C358" s="23" t="str">
        <x:v>City and County of San Francisco</x:v>
      </x:c>
      <x:c r="D358" s="23" t="str">
        <x:v>United States</x:v>
      </x:c>
      <x:c r="E358" s="23" t="str">
        <x:v>San Francisco International Airport</x:v>
      </x:c>
      <x:c r="F358" s="23" t="str">
        <x:v>2024-02</x:v>
      </x:c>
      <x:c r="G358" s="23" t="str">
        <x:v>Deplaned</x:v>
      </x:c>
      <x:c r="H358" s="23" t="str">
        <x:v>Domestic</x:v>
      </x:c>
      <x:c r="I358" s="23" t="str">
        <x:v>Deplaned</x:v>
      </x:c>
      <x:c r="J358" s="72" t="n">
        <x:v>1193668</x:v>
      </x:c>
      <x:c r="K358" s="23" t="str">
        <x:v>passengers</x:v>
      </x:c>
      <x:c r="L358" s="24" t="str"/>
      <x:c r="M358" s="24" t="n">
        <x:v>46256.6280787037</x:v>
      </x:c>
      <x:c r="N358" s="24" t="n">
        <x:v>46268.86863425926</x:v>
      </x:c>
      <x:c r="O358" s="40" t="b">
        <x:v>1</x:v>
      </x:c>
      <x:c r="P358" s="42" t="str">
        <x:v>current_snapshot_diagnostic_only</x:v>
      </x:c>
    </x:row>
    <x:row r="359">
      <x:c r="A359" s="23" t="str">
        <x:v>5baeabf3a138ab46fcaf</x:v>
      </x:c>
      <x:c r="B359" s="23" t="str">
        <x:v>SFO_AIR_PASSENGERS</x:v>
      </x:c>
      <x:c r="C359" s="23" t="str">
        <x:v>City and County of San Francisco</x:v>
      </x:c>
      <x:c r="D359" s="23" t="str">
        <x:v>United States</x:v>
      </x:c>
      <x:c r="E359" s="23" t="str">
        <x:v>San Francisco International Airport</x:v>
      </x:c>
      <x:c r="F359" s="23" t="str">
        <x:v>2024-02</x:v>
      </x:c>
      <x:c r="G359" s="23" t="str">
        <x:v>Enplaned</x:v>
      </x:c>
      <x:c r="H359" s="23" t="str">
        <x:v>Domestic</x:v>
      </x:c>
      <x:c r="I359" s="23" t="str">
        <x:v>Enplaned</x:v>
      </x:c>
      <x:c r="J359" s="72" t="n">
        <x:v>1212939</x:v>
      </x:c>
      <x:c r="K359" s="23" t="str">
        <x:v>passengers</x:v>
      </x:c>
      <x:c r="L359" s="24" t="str"/>
      <x:c r="M359" s="24" t="n">
        <x:v>46256.6280787037</x:v>
      </x:c>
      <x:c r="N359" s="24" t="n">
        <x:v>46268.86863425926</x:v>
      </x:c>
      <x:c r="O359" s="40" t="b">
        <x:v>1</x:v>
      </x:c>
      <x:c r="P359" s="42" t="str">
        <x:v>current_snapshot_diagnostic_only</x:v>
      </x:c>
    </x:row>
    <x:row r="360">
      <x:c r="A360" s="23" t="str">
        <x:v>aacd26a0d2956db7b218</x:v>
      </x:c>
      <x:c r="B360" s="23" t="str">
        <x:v>SFO_AIR_PASSENGERS</x:v>
      </x:c>
      <x:c r="C360" s="23" t="str">
        <x:v>City and County of San Francisco</x:v>
      </x:c>
      <x:c r="D360" s="23" t="str">
        <x:v>United States</x:v>
      </x:c>
      <x:c r="E360" s="23" t="str">
        <x:v>San Francisco International Airport</x:v>
      </x:c>
      <x:c r="F360" s="23" t="str">
        <x:v>2024-02</x:v>
      </x:c>
      <x:c r="G360" s="23" t="str">
        <x:v>Thru / Transit</x:v>
      </x:c>
      <x:c r="H360" s="23" t="str">
        <x:v>Domestic</x:v>
      </x:c>
      <x:c r="I360" s="23" t="str">
        <x:v>Thru / Transit</x:v>
      </x:c>
      <x:c r="J360" s="72" t="n">
        <x:v>732</x:v>
      </x:c>
      <x:c r="K360" s="23" t="str">
        <x:v>passengers</x:v>
      </x:c>
      <x:c r="L360" s="24" t="str"/>
      <x:c r="M360" s="24" t="n">
        <x:v>46256.6280787037</x:v>
      </x:c>
      <x:c r="N360" s="24" t="n">
        <x:v>46268.86863425926</x:v>
      </x:c>
      <x:c r="O360" s="40" t="b">
        <x:v>0</x:v>
      </x:c>
      <x:c r="P360" s="42" t="str">
        <x:v>current_snapshot_diagnostic_only</x:v>
      </x:c>
    </x:row>
    <x:row r="361">
      <x:c r="A361" s="23" t="str">
        <x:v>5aa948398fcd025b6693</x:v>
      </x:c>
      <x:c r="B361" s="23" t="str">
        <x:v>SFO_AIR_PASSENGERS</x:v>
      </x:c>
      <x:c r="C361" s="23" t="str">
        <x:v>City and County of San Francisco</x:v>
      </x:c>
      <x:c r="D361" s="23" t="str">
        <x:v>United States</x:v>
      </x:c>
      <x:c r="E361" s="23" t="str">
        <x:v>San Francisco International Airport</x:v>
      </x:c>
      <x:c r="F361" s="23" t="str">
        <x:v>2024-02</x:v>
      </x:c>
      <x:c r="G361" s="23" t="str">
        <x:v>Deplaned</x:v>
      </x:c>
      <x:c r="H361" s="23" t="str">
        <x:v>International</x:v>
      </x:c>
      <x:c r="I361" s="23" t="str">
        <x:v>Deplaned</x:v>
      </x:c>
      <x:c r="J361" s="72" t="n">
        <x:v>501672</x:v>
      </x:c>
      <x:c r="K361" s="23" t="str">
        <x:v>passengers</x:v>
      </x:c>
      <x:c r="L361" s="24" t="str"/>
      <x:c r="M361" s="24" t="n">
        <x:v>46256.6280787037</x:v>
      </x:c>
      <x:c r="N361" s="24" t="n">
        <x:v>46268.86863425926</x:v>
      </x:c>
      <x:c r="O361" s="40" t="b">
        <x:v>1</x:v>
      </x:c>
      <x:c r="P361" s="42" t="str">
        <x:v>current_snapshot_diagnostic_only</x:v>
      </x:c>
    </x:row>
    <x:row r="362">
      <x:c r="A362" s="23" t="str">
        <x:v>929006630b551a633d60</x:v>
      </x:c>
      <x:c r="B362" s="23" t="str">
        <x:v>SFO_AIR_PASSENGERS</x:v>
      </x:c>
      <x:c r="C362" s="23" t="str">
        <x:v>City and County of San Francisco</x:v>
      </x:c>
      <x:c r="D362" s="23" t="str">
        <x:v>United States</x:v>
      </x:c>
      <x:c r="E362" s="23" t="str">
        <x:v>San Francisco International Airport</x:v>
      </x:c>
      <x:c r="F362" s="23" t="str">
        <x:v>2024-02</x:v>
      </x:c>
      <x:c r="G362" s="23" t="str">
        <x:v>Enplaned</x:v>
      </x:c>
      <x:c r="H362" s="23" t="str">
        <x:v>International</x:v>
      </x:c>
      <x:c r="I362" s="23" t="str">
        <x:v>Enplaned</x:v>
      </x:c>
      <x:c r="J362" s="72" t="n">
        <x:v>505770</x:v>
      </x:c>
      <x:c r="K362" s="23" t="str">
        <x:v>passengers</x:v>
      </x:c>
      <x:c r="L362" s="24" t="str"/>
      <x:c r="M362" s="24" t="n">
        <x:v>46256.6280787037</x:v>
      </x:c>
      <x:c r="N362" s="24" t="n">
        <x:v>46268.86863425926</x:v>
      </x:c>
      <x:c r="O362" s="40" t="b">
        <x:v>1</x:v>
      </x:c>
      <x:c r="P362" s="42" t="str">
        <x:v>current_snapshot_diagnostic_only</x:v>
      </x:c>
    </x:row>
    <x:row r="363">
      <x:c r="A363" s="23" t="str">
        <x:v>e39324536d6c13517171</x:v>
      </x:c>
      <x:c r="B363" s="23" t="str">
        <x:v>SFO_AIR_PASSENGERS</x:v>
      </x:c>
      <x:c r="C363" s="23" t="str">
        <x:v>City and County of San Francisco</x:v>
      </x:c>
      <x:c r="D363" s="23" t="str">
        <x:v>United States</x:v>
      </x:c>
      <x:c r="E363" s="23" t="str">
        <x:v>San Francisco International Airport</x:v>
      </x:c>
      <x:c r="F363" s="23" t="str">
        <x:v>2024-02</x:v>
      </x:c>
      <x:c r="G363" s="23" t="str">
        <x:v>Thru / Transit</x:v>
      </x:c>
      <x:c r="H363" s="23" t="str">
        <x:v>International</x:v>
      </x:c>
      <x:c r="I363" s="23" t="str">
        <x:v>Thru / Transit</x:v>
      </x:c>
      <x:c r="J363" s="72" t="n">
        <x:v>3066</x:v>
      </x:c>
      <x:c r="K363" s="23" t="str">
        <x:v>passengers</x:v>
      </x:c>
      <x:c r="L363" s="24" t="str"/>
      <x:c r="M363" s="24" t="n">
        <x:v>46256.6280787037</x:v>
      </x:c>
      <x:c r="N363" s="24" t="n">
        <x:v>46268.86863425926</x:v>
      </x:c>
      <x:c r="O363" s="40" t="b">
        <x:v>0</x:v>
      </x:c>
      <x:c r="P363" s="42" t="str">
        <x:v>current_snapshot_diagnostic_only</x:v>
      </x:c>
    </x:row>
    <x:row r="364">
      <x:c r="A364" s="23" t="str">
        <x:v>95d4429063cf18923265</x:v>
      </x:c>
      <x:c r="B364" s="23" t="str">
        <x:v>SFO_AIR_PASSENGERS</x:v>
      </x:c>
      <x:c r="C364" s="23" t="str">
        <x:v>City and County of San Francisco</x:v>
      </x:c>
      <x:c r="D364" s="23" t="str">
        <x:v>United States</x:v>
      </x:c>
      <x:c r="E364" s="23" t="str">
        <x:v>San Francisco International Airport</x:v>
      </x:c>
      <x:c r="F364" s="23" t="str">
        <x:v>2024-03</x:v>
      </x:c>
      <x:c r="G364" s="23" t="str">
        <x:v>Deplaned</x:v>
      </x:c>
      <x:c r="H364" s="23" t="str">
        <x:v>Domestic</x:v>
      </x:c>
      <x:c r="I364" s="23" t="str">
        <x:v>Deplaned</x:v>
      </x:c>
      <x:c r="J364" s="72" t="n">
        <x:v>1421389</x:v>
      </x:c>
      <x:c r="K364" s="23" t="str">
        <x:v>passengers</x:v>
      </x:c>
      <x:c r="L364" s="24" t="str"/>
      <x:c r="M364" s="24" t="n">
        <x:v>46256.6280787037</x:v>
      </x:c>
      <x:c r="N364" s="24" t="n">
        <x:v>46268.86863425926</x:v>
      </x:c>
      <x:c r="O364" s="40" t="b">
        <x:v>1</x:v>
      </x:c>
      <x:c r="P364" s="42" t="str">
        <x:v>current_snapshot_diagnostic_only</x:v>
      </x:c>
    </x:row>
    <x:row r="365">
      <x:c r="A365" s="23" t="str">
        <x:v>6c24ef05f94e13066690</x:v>
      </x:c>
      <x:c r="B365" s="23" t="str">
        <x:v>SFO_AIR_PASSENGERS</x:v>
      </x:c>
      <x:c r="C365" s="23" t="str">
        <x:v>City and County of San Francisco</x:v>
      </x:c>
      <x:c r="D365" s="23" t="str">
        <x:v>United States</x:v>
      </x:c>
      <x:c r="E365" s="23" t="str">
        <x:v>San Francisco International Airport</x:v>
      </x:c>
      <x:c r="F365" s="23" t="str">
        <x:v>2024-03</x:v>
      </x:c>
      <x:c r="G365" s="23" t="str">
        <x:v>Enplaned</x:v>
      </x:c>
      <x:c r="H365" s="23" t="str">
        <x:v>Domestic</x:v>
      </x:c>
      <x:c r="I365" s="23" t="str">
        <x:v>Enplaned</x:v>
      </x:c>
      <x:c r="J365" s="72" t="n">
        <x:v>1471385</x:v>
      </x:c>
      <x:c r="K365" s="23" t="str">
        <x:v>passengers</x:v>
      </x:c>
      <x:c r="L365" s="24" t="str"/>
      <x:c r="M365" s="24" t="n">
        <x:v>46256.6280787037</x:v>
      </x:c>
      <x:c r="N365" s="24" t="n">
        <x:v>46268.86863425926</x:v>
      </x:c>
      <x:c r="O365" s="40" t="b">
        <x:v>1</x:v>
      </x:c>
      <x:c r="P365" s="42" t="str">
        <x:v>current_snapshot_diagnostic_only</x:v>
      </x:c>
    </x:row>
    <x:row r="366">
      <x:c r="A366" s="23" t="str">
        <x:v>a837826b044844d60f22</x:v>
      </x:c>
      <x:c r="B366" s="23" t="str">
        <x:v>SFO_AIR_PASSENGERS</x:v>
      </x:c>
      <x:c r="C366" s="23" t="str">
        <x:v>City and County of San Francisco</x:v>
      </x:c>
      <x:c r="D366" s="23" t="str">
        <x:v>United States</x:v>
      </x:c>
      <x:c r="E366" s="23" t="str">
        <x:v>San Francisco International Airport</x:v>
      </x:c>
      <x:c r="F366" s="23" t="str">
        <x:v>2024-03</x:v>
      </x:c>
      <x:c r="G366" s="23" t="str">
        <x:v>Thru / Transit</x:v>
      </x:c>
      <x:c r="H366" s="23" t="str">
        <x:v>Domestic</x:v>
      </x:c>
      <x:c r="I366" s="23" t="str">
        <x:v>Thru / Transit</x:v>
      </x:c>
      <x:c r="J366" s="72" t="n">
        <x:v>361</x:v>
      </x:c>
      <x:c r="K366" s="23" t="str">
        <x:v>passengers</x:v>
      </x:c>
      <x:c r="L366" s="24" t="str"/>
      <x:c r="M366" s="24" t="n">
        <x:v>46256.6280787037</x:v>
      </x:c>
      <x:c r="N366" s="24" t="n">
        <x:v>46268.86863425926</x:v>
      </x:c>
      <x:c r="O366" s="40" t="b">
        <x:v>0</x:v>
      </x:c>
      <x:c r="P366" s="42" t="str">
        <x:v>current_snapshot_diagnostic_only</x:v>
      </x:c>
    </x:row>
    <x:row r="367">
      <x:c r="A367" s="23" t="str">
        <x:v>22e6c294646bc1b75c4b</x:v>
      </x:c>
      <x:c r="B367" s="23" t="str">
        <x:v>SFO_AIR_PASSENGERS</x:v>
      </x:c>
      <x:c r="C367" s="23" t="str">
        <x:v>City and County of San Francisco</x:v>
      </x:c>
      <x:c r="D367" s="23" t="str">
        <x:v>United States</x:v>
      </x:c>
      <x:c r="E367" s="23" t="str">
        <x:v>San Francisco International Airport</x:v>
      </x:c>
      <x:c r="F367" s="23" t="str">
        <x:v>2024-03</x:v>
      </x:c>
      <x:c r="G367" s="23" t="str">
        <x:v>Deplaned</x:v>
      </x:c>
      <x:c r="H367" s="23" t="str">
        <x:v>International</x:v>
      </x:c>
      <x:c r="I367" s="23" t="str">
        <x:v>Deplaned</x:v>
      </x:c>
      <x:c r="J367" s="72" t="n">
        <x:v>622068</x:v>
      </x:c>
      <x:c r="K367" s="23" t="str">
        <x:v>passengers</x:v>
      </x:c>
      <x:c r="L367" s="24" t="str"/>
      <x:c r="M367" s="24" t="n">
        <x:v>46256.6280787037</x:v>
      </x:c>
      <x:c r="N367" s="24" t="n">
        <x:v>46268.86863425926</x:v>
      </x:c>
      <x:c r="O367" s="40" t="b">
        <x:v>1</x:v>
      </x:c>
      <x:c r="P367" s="42" t="str">
        <x:v>current_snapshot_diagnostic_only</x:v>
      </x:c>
    </x:row>
    <x:row r="368">
      <x:c r="A368" s="23" t="str">
        <x:v>1b1a291465e0c010c1e6</x:v>
      </x:c>
      <x:c r="B368" s="23" t="str">
        <x:v>SFO_AIR_PASSENGERS</x:v>
      </x:c>
      <x:c r="C368" s="23" t="str">
        <x:v>City and County of San Francisco</x:v>
      </x:c>
      <x:c r="D368" s="23" t="str">
        <x:v>United States</x:v>
      </x:c>
      <x:c r="E368" s="23" t="str">
        <x:v>San Francisco International Airport</x:v>
      </x:c>
      <x:c r="F368" s="23" t="str">
        <x:v>2024-03</x:v>
      </x:c>
      <x:c r="G368" s="23" t="str">
        <x:v>Enplaned</x:v>
      </x:c>
      <x:c r="H368" s="23" t="str">
        <x:v>International</x:v>
      </x:c>
      <x:c r="I368" s="23" t="str">
        <x:v>Enplaned</x:v>
      </x:c>
      <x:c r="J368" s="72" t="n">
        <x:v>613302</x:v>
      </x:c>
      <x:c r="K368" s="23" t="str">
        <x:v>passengers</x:v>
      </x:c>
      <x:c r="L368" s="24" t="str"/>
      <x:c r="M368" s="24" t="n">
        <x:v>46256.6280787037</x:v>
      </x:c>
      <x:c r="N368" s="24" t="n">
        <x:v>46268.86863425926</x:v>
      </x:c>
      <x:c r="O368" s="40" t="b">
        <x:v>1</x:v>
      </x:c>
      <x:c r="P368" s="42" t="str">
        <x:v>current_snapshot_diagnostic_only</x:v>
      </x:c>
    </x:row>
    <x:row r="369">
      <x:c r="A369" s="23" t="str">
        <x:v>3438883fcedee98fc7bd</x:v>
      </x:c>
      <x:c r="B369" s="23" t="str">
        <x:v>SFO_AIR_PASSENGERS</x:v>
      </x:c>
      <x:c r="C369" s="23" t="str">
        <x:v>City and County of San Francisco</x:v>
      </x:c>
      <x:c r="D369" s="23" t="str">
        <x:v>United States</x:v>
      </x:c>
      <x:c r="E369" s="23" t="str">
        <x:v>San Francisco International Airport</x:v>
      </x:c>
      <x:c r="F369" s="23" t="str">
        <x:v>2024-03</x:v>
      </x:c>
      <x:c r="G369" s="23" t="str">
        <x:v>Thru / Transit</x:v>
      </x:c>
      <x:c r="H369" s="23" t="str">
        <x:v>International</x:v>
      </x:c>
      <x:c r="I369" s="23" t="str">
        <x:v>Thru / Transit</x:v>
      </x:c>
      <x:c r="J369" s="72" t="n">
        <x:v>4238</x:v>
      </x:c>
      <x:c r="K369" s="23" t="str">
        <x:v>passengers</x:v>
      </x:c>
      <x:c r="L369" s="24" t="str"/>
      <x:c r="M369" s="24" t="n">
        <x:v>46256.6280787037</x:v>
      </x:c>
      <x:c r="N369" s="24" t="n">
        <x:v>46268.86863425926</x:v>
      </x:c>
      <x:c r="O369" s="40" t="b">
        <x:v>0</x:v>
      </x:c>
      <x:c r="P369" s="42" t="str">
        <x:v>current_snapshot_diagnostic_only</x:v>
      </x:c>
    </x:row>
    <x:row r="370">
      <x:c r="A370" s="23" t="str">
        <x:v>6fdac3baf8cd03e06480</x:v>
      </x:c>
      <x:c r="B370" s="23" t="str">
        <x:v>SFO_AIR_PASSENGERS</x:v>
      </x:c>
      <x:c r="C370" s="23" t="str">
        <x:v>City and County of San Francisco</x:v>
      </x:c>
      <x:c r="D370" s="23" t="str">
        <x:v>United States</x:v>
      </x:c>
      <x:c r="E370" s="23" t="str">
        <x:v>San Francisco International Airport</x:v>
      </x:c>
      <x:c r="F370" s="23" t="str">
        <x:v>2024-04</x:v>
      </x:c>
      <x:c r="G370" s="23" t="str">
        <x:v>Deplaned</x:v>
      </x:c>
      <x:c r="H370" s="23" t="str">
        <x:v>Domestic</x:v>
      </x:c>
      <x:c r="I370" s="23" t="str">
        <x:v>Deplaned</x:v>
      </x:c>
      <x:c r="J370" s="72" t="n">
        <x:v>1454392</x:v>
      </x:c>
      <x:c r="K370" s="23" t="str">
        <x:v>passengers</x:v>
      </x:c>
      <x:c r="L370" s="24" t="str"/>
      <x:c r="M370" s="24" t="n">
        <x:v>46256.6280787037</x:v>
      </x:c>
      <x:c r="N370" s="24" t="n">
        <x:v>46268.86863425926</x:v>
      </x:c>
      <x:c r="O370" s="40" t="b">
        <x:v>1</x:v>
      </x:c>
      <x:c r="P370" s="42" t="str">
        <x:v>current_snapshot_diagnostic_only</x:v>
      </x:c>
    </x:row>
    <x:row r="371">
      <x:c r="A371" s="23" t="str">
        <x:v>8cc04f7f0dcc56567288</x:v>
      </x:c>
      <x:c r="B371" s="23" t="str">
        <x:v>SFO_AIR_PASSENGERS</x:v>
      </x:c>
      <x:c r="C371" s="23" t="str">
        <x:v>City and County of San Francisco</x:v>
      </x:c>
      <x:c r="D371" s="23" t="str">
        <x:v>United States</x:v>
      </x:c>
      <x:c r="E371" s="23" t="str">
        <x:v>San Francisco International Airport</x:v>
      </x:c>
      <x:c r="F371" s="23" t="str">
        <x:v>2024-04</x:v>
      </x:c>
      <x:c r="G371" s="23" t="str">
        <x:v>Enplaned</x:v>
      </x:c>
      <x:c r="H371" s="23" t="str">
        <x:v>Domestic</x:v>
      </x:c>
      <x:c r="I371" s="23" t="str">
        <x:v>Enplaned</x:v>
      </x:c>
      <x:c r="J371" s="72" t="n">
        <x:v>1439938</x:v>
      </x:c>
      <x:c r="K371" s="23" t="str">
        <x:v>passengers</x:v>
      </x:c>
      <x:c r="L371" s="24" t="str"/>
      <x:c r="M371" s="24" t="n">
        <x:v>46256.6280787037</x:v>
      </x:c>
      <x:c r="N371" s="24" t="n">
        <x:v>46268.86863425926</x:v>
      </x:c>
      <x:c r="O371" s="40" t="b">
        <x:v>1</x:v>
      </x:c>
      <x:c r="P371" s="42" t="str">
        <x:v>current_snapshot_diagnostic_only</x:v>
      </x:c>
    </x:row>
    <x:row r="372">
      <x:c r="A372" s="23" t="str">
        <x:v>2685b23b2bb259f4dff5</x:v>
      </x:c>
      <x:c r="B372" s="23" t="str">
        <x:v>SFO_AIR_PASSENGERS</x:v>
      </x:c>
      <x:c r="C372" s="23" t="str">
        <x:v>City and County of San Francisco</x:v>
      </x:c>
      <x:c r="D372" s="23" t="str">
        <x:v>United States</x:v>
      </x:c>
      <x:c r="E372" s="23" t="str">
        <x:v>San Francisco International Airport</x:v>
      </x:c>
      <x:c r="F372" s="23" t="str">
        <x:v>2024-04</x:v>
      </x:c>
      <x:c r="G372" s="23" t="str">
        <x:v>Thru / Transit</x:v>
      </x:c>
      <x:c r="H372" s="23" t="str">
        <x:v>Domestic</x:v>
      </x:c>
      <x:c r="I372" s="23" t="str">
        <x:v>Thru / Transit</x:v>
      </x:c>
      <x:c r="J372" s="72" t="n">
        <x:v>521</x:v>
      </x:c>
      <x:c r="K372" s="23" t="str">
        <x:v>passengers</x:v>
      </x:c>
      <x:c r="L372" s="24" t="str"/>
      <x:c r="M372" s="24" t="n">
        <x:v>46256.6280787037</x:v>
      </x:c>
      <x:c r="N372" s="24" t="n">
        <x:v>46268.86863425926</x:v>
      </x:c>
      <x:c r="O372" s="40" t="b">
        <x:v>0</x:v>
      </x:c>
      <x:c r="P372" s="42" t="str">
        <x:v>current_snapshot_diagnostic_only</x:v>
      </x:c>
    </x:row>
    <x:row r="373">
      <x:c r="A373" s="23" t="str">
        <x:v>3e662d00158c01d5d01c</x:v>
      </x:c>
      <x:c r="B373" s="23" t="str">
        <x:v>SFO_AIR_PASSENGERS</x:v>
      </x:c>
      <x:c r="C373" s="23" t="str">
        <x:v>City and County of San Francisco</x:v>
      </x:c>
      <x:c r="D373" s="23" t="str">
        <x:v>United States</x:v>
      </x:c>
      <x:c r="E373" s="23" t="str">
        <x:v>San Francisco International Airport</x:v>
      </x:c>
      <x:c r="F373" s="23" t="str">
        <x:v>2024-04</x:v>
      </x:c>
      <x:c r="G373" s="23" t="str">
        <x:v>Deplaned</x:v>
      </x:c>
      <x:c r="H373" s="23" t="str">
        <x:v>International</x:v>
      </x:c>
      <x:c r="I373" s="23" t="str">
        <x:v>Deplaned</x:v>
      </x:c>
      <x:c r="J373" s="72" t="n">
        <x:v>658393</x:v>
      </x:c>
      <x:c r="K373" s="23" t="str">
        <x:v>passengers</x:v>
      </x:c>
      <x:c r="L373" s="24" t="str"/>
      <x:c r="M373" s="24" t="n">
        <x:v>46256.6280787037</x:v>
      </x:c>
      <x:c r="N373" s="24" t="n">
        <x:v>46268.86863425926</x:v>
      </x:c>
      <x:c r="O373" s="40" t="b">
        <x:v>1</x:v>
      </x:c>
      <x:c r="P373" s="42" t="str">
        <x:v>current_snapshot_diagnostic_only</x:v>
      </x:c>
    </x:row>
    <x:row r="374">
      <x:c r="A374" s="23" t="str">
        <x:v>f1f7a6423feef45952b1</x:v>
      </x:c>
      <x:c r="B374" s="23" t="str">
        <x:v>SFO_AIR_PASSENGERS</x:v>
      </x:c>
      <x:c r="C374" s="23" t="str">
        <x:v>City and County of San Francisco</x:v>
      </x:c>
      <x:c r="D374" s="23" t="str">
        <x:v>United States</x:v>
      </x:c>
      <x:c r="E374" s="23" t="str">
        <x:v>San Francisco International Airport</x:v>
      </x:c>
      <x:c r="F374" s="23" t="str">
        <x:v>2024-04</x:v>
      </x:c>
      <x:c r="G374" s="23" t="str">
        <x:v>Enplaned</x:v>
      </x:c>
      <x:c r="H374" s="23" t="str">
        <x:v>International</x:v>
      </x:c>
      <x:c r="I374" s="23" t="str">
        <x:v>Enplaned</x:v>
      </x:c>
      <x:c r="J374" s="72" t="n">
        <x:v>579114</x:v>
      </x:c>
      <x:c r="K374" s="23" t="str">
        <x:v>passengers</x:v>
      </x:c>
      <x:c r="L374" s="24" t="str"/>
      <x:c r="M374" s="24" t="n">
        <x:v>46256.6280787037</x:v>
      </x:c>
      <x:c r="N374" s="24" t="n">
        <x:v>46268.86863425926</x:v>
      </x:c>
      <x:c r="O374" s="40" t="b">
        <x:v>1</x:v>
      </x:c>
      <x:c r="P374" s="42" t="str">
        <x:v>current_snapshot_diagnostic_only</x:v>
      </x:c>
    </x:row>
    <x:row r="375">
      <x:c r="A375" s="23" t="str">
        <x:v>7f3cbcce9c4d66774edd</x:v>
      </x:c>
      <x:c r="B375" s="23" t="str">
        <x:v>SFO_AIR_PASSENGERS</x:v>
      </x:c>
      <x:c r="C375" s="23" t="str">
        <x:v>City and County of San Francisco</x:v>
      </x:c>
      <x:c r="D375" s="23" t="str">
        <x:v>United States</x:v>
      </x:c>
      <x:c r="E375" s="23" t="str">
        <x:v>San Francisco International Airport</x:v>
      </x:c>
      <x:c r="F375" s="23" t="str">
        <x:v>2024-04</x:v>
      </x:c>
      <x:c r="G375" s="23" t="str">
        <x:v>Thru / Transit</x:v>
      </x:c>
      <x:c r="H375" s="23" t="str">
        <x:v>International</x:v>
      </x:c>
      <x:c r="I375" s="23" t="str">
        <x:v>Thru / Transit</x:v>
      </x:c>
      <x:c r="J375" s="72" t="n">
        <x:v>5025</x:v>
      </x:c>
      <x:c r="K375" s="23" t="str">
        <x:v>passengers</x:v>
      </x:c>
      <x:c r="L375" s="24" t="str"/>
      <x:c r="M375" s="24" t="n">
        <x:v>46256.6280787037</x:v>
      </x:c>
      <x:c r="N375" s="24" t="n">
        <x:v>46268.86863425926</x:v>
      </x:c>
      <x:c r="O375" s="40" t="b">
        <x:v>0</x:v>
      </x:c>
      <x:c r="P375" s="42" t="str">
        <x:v>current_snapshot_diagnostic_only</x:v>
      </x:c>
    </x:row>
    <x:row r="376">
      <x:c r="A376" s="23" t="str">
        <x:v>7d66fa3b1a680574b554</x:v>
      </x:c>
      <x:c r="B376" s="23" t="str">
        <x:v>SFO_AIR_PASSENGERS</x:v>
      </x:c>
      <x:c r="C376" s="23" t="str">
        <x:v>City and County of San Francisco</x:v>
      </x:c>
      <x:c r="D376" s="23" t="str">
        <x:v>United States</x:v>
      </x:c>
      <x:c r="E376" s="23" t="str">
        <x:v>San Francisco International Airport</x:v>
      </x:c>
      <x:c r="F376" s="23" t="str">
        <x:v>2024-05</x:v>
      </x:c>
      <x:c r="G376" s="23" t="str">
        <x:v>Deplaned</x:v>
      </x:c>
      <x:c r="H376" s="23" t="str">
        <x:v>Domestic</x:v>
      </x:c>
      <x:c r="I376" s="23" t="str">
        <x:v>Deplaned</x:v>
      </x:c>
      <x:c r="J376" s="72" t="n">
        <x:v>1582969</x:v>
      </x:c>
      <x:c r="K376" s="23" t="str">
        <x:v>passengers</x:v>
      </x:c>
      <x:c r="L376" s="24" t="str"/>
      <x:c r="M376" s="24" t="n">
        <x:v>46256.6280787037</x:v>
      </x:c>
      <x:c r="N376" s="24" t="n">
        <x:v>46268.86863425926</x:v>
      </x:c>
      <x:c r="O376" s="40" t="b">
        <x:v>1</x:v>
      </x:c>
      <x:c r="P376" s="42" t="str">
        <x:v>current_snapshot_diagnostic_only</x:v>
      </x:c>
    </x:row>
    <x:row r="377">
      <x:c r="A377" s="23" t="str">
        <x:v>12c607a130e27d319197</x:v>
      </x:c>
      <x:c r="B377" s="23" t="str">
        <x:v>SFO_AIR_PASSENGERS</x:v>
      </x:c>
      <x:c r="C377" s="23" t="str">
        <x:v>City and County of San Francisco</x:v>
      </x:c>
      <x:c r="D377" s="23" t="str">
        <x:v>United States</x:v>
      </x:c>
      <x:c r="E377" s="23" t="str">
        <x:v>San Francisco International Airport</x:v>
      </x:c>
      <x:c r="F377" s="23" t="str">
        <x:v>2024-05</x:v>
      </x:c>
      <x:c r="G377" s="23" t="str">
        <x:v>Enplaned</x:v>
      </x:c>
      <x:c r="H377" s="23" t="str">
        <x:v>Domestic</x:v>
      </x:c>
      <x:c r="I377" s="23" t="str">
        <x:v>Enplaned</x:v>
      </x:c>
      <x:c r="J377" s="72" t="n">
        <x:v>1542895</x:v>
      </x:c>
      <x:c r="K377" s="23" t="str">
        <x:v>passengers</x:v>
      </x:c>
      <x:c r="L377" s="24" t="str"/>
      <x:c r="M377" s="24" t="n">
        <x:v>46256.6280787037</x:v>
      </x:c>
      <x:c r="N377" s="24" t="n">
        <x:v>46268.86863425926</x:v>
      </x:c>
      <x:c r="O377" s="40" t="b">
        <x:v>1</x:v>
      </x:c>
      <x:c r="P377" s="42" t="str">
        <x:v>current_snapshot_diagnostic_only</x:v>
      </x:c>
    </x:row>
    <x:row r="378">
      <x:c r="A378" s="23" t="str">
        <x:v>df55204f894c63a0d3b7</x:v>
      </x:c>
      <x:c r="B378" s="23" t="str">
        <x:v>SFO_AIR_PASSENGERS</x:v>
      </x:c>
      <x:c r="C378" s="23" t="str">
        <x:v>City and County of San Francisco</x:v>
      </x:c>
      <x:c r="D378" s="23" t="str">
        <x:v>United States</x:v>
      </x:c>
      <x:c r="E378" s="23" t="str">
        <x:v>San Francisco International Airport</x:v>
      </x:c>
      <x:c r="F378" s="23" t="str">
        <x:v>2024-05</x:v>
      </x:c>
      <x:c r="G378" s="23" t="str">
        <x:v>Thru / Transit</x:v>
      </x:c>
      <x:c r="H378" s="23" t="str">
        <x:v>Domestic</x:v>
      </x:c>
      <x:c r="I378" s="23" t="str">
        <x:v>Thru / Transit</x:v>
      </x:c>
      <x:c r="J378" s="72" t="n">
        <x:v>774</x:v>
      </x:c>
      <x:c r="K378" s="23" t="str">
        <x:v>passengers</x:v>
      </x:c>
      <x:c r="L378" s="24" t="str"/>
      <x:c r="M378" s="24" t="n">
        <x:v>46256.6280787037</x:v>
      </x:c>
      <x:c r="N378" s="24" t="n">
        <x:v>46268.86863425926</x:v>
      </x:c>
      <x:c r="O378" s="40" t="b">
        <x:v>0</x:v>
      </x:c>
      <x:c r="P378" s="42" t="str">
        <x:v>current_snapshot_diagnostic_only</x:v>
      </x:c>
    </x:row>
    <x:row r="379">
      <x:c r="A379" s="23" t="str">
        <x:v>bdda4eeed92b9843e765</x:v>
      </x:c>
      <x:c r="B379" s="23" t="str">
        <x:v>SFO_AIR_PASSENGERS</x:v>
      </x:c>
      <x:c r="C379" s="23" t="str">
        <x:v>City and County of San Francisco</x:v>
      </x:c>
      <x:c r="D379" s="23" t="str">
        <x:v>United States</x:v>
      </x:c>
      <x:c r="E379" s="23" t="str">
        <x:v>San Francisco International Airport</x:v>
      </x:c>
      <x:c r="F379" s="23" t="str">
        <x:v>2024-05</x:v>
      </x:c>
      <x:c r="G379" s="23" t="str">
        <x:v>Deplaned</x:v>
      </x:c>
      <x:c r="H379" s="23" t="str">
        <x:v>International</x:v>
      </x:c>
      <x:c r="I379" s="23" t="str">
        <x:v>Deplaned</x:v>
      </x:c>
      <x:c r="J379" s="72" t="n">
        <x:v>654016</x:v>
      </x:c>
      <x:c r="K379" s="23" t="str">
        <x:v>passengers</x:v>
      </x:c>
      <x:c r="L379" s="24" t="str"/>
      <x:c r="M379" s="24" t="n">
        <x:v>46256.6280787037</x:v>
      </x:c>
      <x:c r="N379" s="24" t="n">
        <x:v>46268.86863425926</x:v>
      </x:c>
      <x:c r="O379" s="40" t="b">
        <x:v>1</x:v>
      </x:c>
      <x:c r="P379" s="42" t="str">
        <x:v>current_snapshot_diagnostic_only</x:v>
      </x:c>
    </x:row>
    <x:row r="380">
      <x:c r="A380" s="23" t="str">
        <x:v>a2f31cc2b4bf9b9bbf04</x:v>
      </x:c>
      <x:c r="B380" s="23" t="str">
        <x:v>SFO_AIR_PASSENGERS</x:v>
      </x:c>
      <x:c r="C380" s="23" t="str">
        <x:v>City and County of San Francisco</x:v>
      </x:c>
      <x:c r="D380" s="23" t="str">
        <x:v>United States</x:v>
      </x:c>
      <x:c r="E380" s="23" t="str">
        <x:v>San Francisco International Airport</x:v>
      </x:c>
      <x:c r="F380" s="23" t="str">
        <x:v>2024-05</x:v>
      </x:c>
      <x:c r="G380" s="23" t="str">
        <x:v>Enplaned</x:v>
      </x:c>
      <x:c r="H380" s="23" t="str">
        <x:v>International</x:v>
      </x:c>
      <x:c r="I380" s="23" t="str">
        <x:v>Enplaned</x:v>
      </x:c>
      <x:c r="J380" s="72" t="n">
        <x:v>718528</x:v>
      </x:c>
      <x:c r="K380" s="23" t="str">
        <x:v>passengers</x:v>
      </x:c>
      <x:c r="L380" s="24" t="str"/>
      <x:c r="M380" s="24" t="n">
        <x:v>46256.6280787037</x:v>
      </x:c>
      <x:c r="N380" s="24" t="n">
        <x:v>46268.86863425926</x:v>
      </x:c>
      <x:c r="O380" s="40" t="b">
        <x:v>1</x:v>
      </x:c>
      <x:c r="P380" s="42" t="str">
        <x:v>current_snapshot_diagnostic_only</x:v>
      </x:c>
    </x:row>
    <x:row r="381">
      <x:c r="A381" s="23" t="str">
        <x:v>4c646696e2efc12400a4</x:v>
      </x:c>
      <x:c r="B381" s="23" t="str">
        <x:v>SFO_AIR_PASSENGERS</x:v>
      </x:c>
      <x:c r="C381" s="23" t="str">
        <x:v>City and County of San Francisco</x:v>
      </x:c>
      <x:c r="D381" s="23" t="str">
        <x:v>United States</x:v>
      </x:c>
      <x:c r="E381" s="23" t="str">
        <x:v>San Francisco International Airport</x:v>
      </x:c>
      <x:c r="F381" s="23" t="str">
        <x:v>2024-05</x:v>
      </x:c>
      <x:c r="G381" s="23" t="str">
        <x:v>Thru / Transit</x:v>
      </x:c>
      <x:c r="H381" s="23" t="str">
        <x:v>International</x:v>
      </x:c>
      <x:c r="I381" s="23" t="str">
        <x:v>Thru / Transit</x:v>
      </x:c>
      <x:c r="J381" s="72" t="n">
        <x:v>5406</x:v>
      </x:c>
      <x:c r="K381" s="23" t="str">
        <x:v>passengers</x:v>
      </x:c>
      <x:c r="L381" s="24" t="str"/>
      <x:c r="M381" s="24" t="n">
        <x:v>46256.6280787037</x:v>
      </x:c>
      <x:c r="N381" s="24" t="n">
        <x:v>46268.86863425926</x:v>
      </x:c>
      <x:c r="O381" s="40" t="b">
        <x:v>0</x:v>
      </x:c>
      <x:c r="P381" s="42" t="str">
        <x:v>current_snapshot_diagnostic_only</x:v>
      </x:c>
    </x:row>
    <x:row r="382">
      <x:c r="A382" s="23" t="str">
        <x:v>c53def24805b4c181c32</x:v>
      </x:c>
      <x:c r="B382" s="23" t="str">
        <x:v>SFO_AIR_PASSENGERS</x:v>
      </x:c>
      <x:c r="C382" s="23" t="str">
        <x:v>City and County of San Francisco</x:v>
      </x:c>
      <x:c r="D382" s="23" t="str">
        <x:v>United States</x:v>
      </x:c>
      <x:c r="E382" s="23" t="str">
        <x:v>San Francisco International Airport</x:v>
      </x:c>
      <x:c r="F382" s="23" t="str">
        <x:v>2024-06</x:v>
      </x:c>
      <x:c r="G382" s="23" t="str">
        <x:v>Deplaned</x:v>
      </x:c>
      <x:c r="H382" s="23" t="str">
        <x:v>Domestic</x:v>
      </x:c>
      <x:c r="I382" s="23" t="str">
        <x:v>Deplaned</x:v>
      </x:c>
      <x:c r="J382" s="72" t="n">
        <x:v>1534279</x:v>
      </x:c>
      <x:c r="K382" s="23" t="str">
        <x:v>passengers</x:v>
      </x:c>
      <x:c r="L382" s="24" t="str"/>
      <x:c r="M382" s="24" t="n">
        <x:v>46256.6280787037</x:v>
      </x:c>
      <x:c r="N382" s="24" t="n">
        <x:v>46268.86863425926</x:v>
      </x:c>
      <x:c r="O382" s="40" t="b">
        <x:v>1</x:v>
      </x:c>
      <x:c r="P382" s="42" t="str">
        <x:v>current_snapshot_diagnostic_only</x:v>
      </x:c>
    </x:row>
    <x:row r="383">
      <x:c r="A383" s="23" t="str">
        <x:v>eae758b7d06f3248f8a2</x:v>
      </x:c>
      <x:c r="B383" s="23" t="str">
        <x:v>SFO_AIR_PASSENGERS</x:v>
      </x:c>
      <x:c r="C383" s="23" t="str">
        <x:v>City and County of San Francisco</x:v>
      </x:c>
      <x:c r="D383" s="23" t="str">
        <x:v>United States</x:v>
      </x:c>
      <x:c r="E383" s="23" t="str">
        <x:v>San Francisco International Airport</x:v>
      </x:c>
      <x:c r="F383" s="23" t="str">
        <x:v>2024-06</x:v>
      </x:c>
      <x:c r="G383" s="23" t="str">
        <x:v>Enplaned</x:v>
      </x:c>
      <x:c r="H383" s="23" t="str">
        <x:v>Domestic</x:v>
      </x:c>
      <x:c r="I383" s="23" t="str">
        <x:v>Enplaned</x:v>
      </x:c>
      <x:c r="J383" s="72" t="n">
        <x:v>1588124</x:v>
      </x:c>
      <x:c r="K383" s="23" t="str">
        <x:v>passengers</x:v>
      </x:c>
      <x:c r="L383" s="24" t="str"/>
      <x:c r="M383" s="24" t="n">
        <x:v>46256.6280787037</x:v>
      </x:c>
      <x:c r="N383" s="24" t="n">
        <x:v>46268.86863425926</x:v>
      </x:c>
      <x:c r="O383" s="40" t="b">
        <x:v>1</x:v>
      </x:c>
      <x:c r="P383" s="42" t="str">
        <x:v>current_snapshot_diagnostic_only</x:v>
      </x:c>
    </x:row>
    <x:row r="384">
      <x:c r="A384" s="23" t="str">
        <x:v>845eb42ae52c263df1df</x:v>
      </x:c>
      <x:c r="B384" s="23" t="str">
        <x:v>SFO_AIR_PASSENGERS</x:v>
      </x:c>
      <x:c r="C384" s="23" t="str">
        <x:v>City and County of San Francisco</x:v>
      </x:c>
      <x:c r="D384" s="23" t="str">
        <x:v>United States</x:v>
      </x:c>
      <x:c r="E384" s="23" t="str">
        <x:v>San Francisco International Airport</x:v>
      </x:c>
      <x:c r="F384" s="23" t="str">
        <x:v>2024-06</x:v>
      </x:c>
      <x:c r="G384" s="23" t="str">
        <x:v>Thru / Transit</x:v>
      </x:c>
      <x:c r="H384" s="23" t="str">
        <x:v>Domestic</x:v>
      </x:c>
      <x:c r="I384" s="23" t="str">
        <x:v>Thru / Transit</x:v>
      </x:c>
      <x:c r="J384" s="72" t="n">
        <x:v>885</x:v>
      </x:c>
      <x:c r="K384" s="23" t="str">
        <x:v>passengers</x:v>
      </x:c>
      <x:c r="L384" s="24" t="str"/>
      <x:c r="M384" s="24" t="n">
        <x:v>46256.6280787037</x:v>
      </x:c>
      <x:c r="N384" s="24" t="n">
        <x:v>46268.86863425926</x:v>
      </x:c>
      <x:c r="O384" s="40" t="b">
        <x:v>0</x:v>
      </x:c>
      <x:c r="P384" s="42" t="str">
        <x:v>current_snapshot_diagnostic_only</x:v>
      </x:c>
    </x:row>
    <x:row r="385">
      <x:c r="A385" s="23" t="str">
        <x:v>486aa904fa2e6ce0561a</x:v>
      </x:c>
      <x:c r="B385" s="23" t="str">
        <x:v>SFO_AIR_PASSENGERS</x:v>
      </x:c>
      <x:c r="C385" s="23" t="str">
        <x:v>City and County of San Francisco</x:v>
      </x:c>
      <x:c r="D385" s="23" t="str">
        <x:v>United States</x:v>
      </x:c>
      <x:c r="E385" s="23" t="str">
        <x:v>San Francisco International Airport</x:v>
      </x:c>
      <x:c r="F385" s="23" t="str">
        <x:v>2024-06</x:v>
      </x:c>
      <x:c r="G385" s="23" t="str">
        <x:v>Deplaned</x:v>
      </x:c>
      <x:c r="H385" s="23" t="str">
        <x:v>International</x:v>
      </x:c>
      <x:c r="I385" s="23" t="str">
        <x:v>Deplaned</x:v>
      </x:c>
      <x:c r="J385" s="72" t="n">
        <x:v>733594</x:v>
      </x:c>
      <x:c r="K385" s="23" t="str">
        <x:v>passengers</x:v>
      </x:c>
      <x:c r="L385" s="24" t="str"/>
      <x:c r="M385" s="24" t="n">
        <x:v>46256.6280787037</x:v>
      </x:c>
      <x:c r="N385" s="24" t="n">
        <x:v>46268.86863425926</x:v>
      </x:c>
      <x:c r="O385" s="40" t="b">
        <x:v>1</x:v>
      </x:c>
      <x:c r="P385" s="42" t="str">
        <x:v>current_snapshot_diagnostic_only</x:v>
      </x:c>
    </x:row>
    <x:row r="386">
      <x:c r="A386" s="23" t="str">
        <x:v>48bf576e66b301ab9a4e</x:v>
      </x:c>
      <x:c r="B386" s="23" t="str">
        <x:v>SFO_AIR_PASSENGERS</x:v>
      </x:c>
      <x:c r="C386" s="23" t="str">
        <x:v>City and County of San Francisco</x:v>
      </x:c>
      <x:c r="D386" s="23" t="str">
        <x:v>United States</x:v>
      </x:c>
      <x:c r="E386" s="23" t="str">
        <x:v>San Francisco International Airport</x:v>
      </x:c>
      <x:c r="F386" s="23" t="str">
        <x:v>2024-06</x:v>
      </x:c>
      <x:c r="G386" s="23" t="str">
        <x:v>Enplaned</x:v>
      </x:c>
      <x:c r="H386" s="23" t="str">
        <x:v>International</x:v>
      </x:c>
      <x:c r="I386" s="23" t="str">
        <x:v>Enplaned</x:v>
      </x:c>
      <x:c r="J386" s="72" t="n">
        <x:v>791507</x:v>
      </x:c>
      <x:c r="K386" s="23" t="str">
        <x:v>passengers</x:v>
      </x:c>
      <x:c r="L386" s="24" t="str"/>
      <x:c r="M386" s="24" t="n">
        <x:v>46256.6280787037</x:v>
      </x:c>
      <x:c r="N386" s="24" t="n">
        <x:v>46268.86863425926</x:v>
      </x:c>
      <x:c r="O386" s="40" t="b">
        <x:v>1</x:v>
      </x:c>
      <x:c r="P386" s="42" t="str">
        <x:v>current_snapshot_diagnostic_only</x:v>
      </x:c>
    </x:row>
    <x:row r="387">
      <x:c r="A387" s="23" t="str">
        <x:v>9ab905cfaef0f867f180</x:v>
      </x:c>
      <x:c r="B387" s="23" t="str">
        <x:v>SFO_AIR_PASSENGERS</x:v>
      </x:c>
      <x:c r="C387" s="23" t="str">
        <x:v>City and County of San Francisco</x:v>
      </x:c>
      <x:c r="D387" s="23" t="str">
        <x:v>United States</x:v>
      </x:c>
      <x:c r="E387" s="23" t="str">
        <x:v>San Francisco International Airport</x:v>
      </x:c>
      <x:c r="F387" s="23" t="str">
        <x:v>2024-06</x:v>
      </x:c>
      <x:c r="G387" s="23" t="str">
        <x:v>Thru / Transit</x:v>
      </x:c>
      <x:c r="H387" s="23" t="str">
        <x:v>International</x:v>
      </x:c>
      <x:c r="I387" s="23" t="str">
        <x:v>Thru / Transit</x:v>
      </x:c>
      <x:c r="J387" s="72" t="n">
        <x:v>5682</x:v>
      </x:c>
      <x:c r="K387" s="23" t="str">
        <x:v>passengers</x:v>
      </x:c>
      <x:c r="L387" s="24" t="str"/>
      <x:c r="M387" s="24" t="n">
        <x:v>46256.6280787037</x:v>
      </x:c>
      <x:c r="N387" s="24" t="n">
        <x:v>46268.86863425926</x:v>
      </x:c>
      <x:c r="O387" s="40" t="b">
        <x:v>0</x:v>
      </x:c>
      <x:c r="P387" s="42" t="str">
        <x:v>current_snapshot_diagnostic_only</x:v>
      </x:c>
    </x:row>
    <x:row r="388">
      <x:c r="A388" s="23" t="str">
        <x:v>af014e0b255da240e614</x:v>
      </x:c>
      <x:c r="B388" s="23" t="str">
        <x:v>SFO_AIR_PASSENGERS</x:v>
      </x:c>
      <x:c r="C388" s="23" t="str">
        <x:v>City and County of San Francisco</x:v>
      </x:c>
      <x:c r="D388" s="23" t="str">
        <x:v>United States</x:v>
      </x:c>
      <x:c r="E388" s="23" t="str">
        <x:v>San Francisco International Airport</x:v>
      </x:c>
      <x:c r="F388" s="23" t="str">
        <x:v>2024-07</x:v>
      </x:c>
      <x:c r="G388" s="23" t="str">
        <x:v>Deplaned</x:v>
      </x:c>
      <x:c r="H388" s="23" t="str">
        <x:v>Domestic</x:v>
      </x:c>
      <x:c r="I388" s="23" t="str">
        <x:v>Deplaned</x:v>
      </x:c>
      <x:c r="J388" s="72" t="n">
        <x:v>1698179</x:v>
      </x:c>
      <x:c r="K388" s="23" t="str">
        <x:v>passengers</x:v>
      </x:c>
      <x:c r="L388" s="24" t="str"/>
      <x:c r="M388" s="24" t="n">
        <x:v>46256.6280787037</x:v>
      </x:c>
      <x:c r="N388" s="24" t="n">
        <x:v>46268.86863425926</x:v>
      </x:c>
      <x:c r="O388" s="40" t="b">
        <x:v>1</x:v>
      </x:c>
      <x:c r="P388" s="42" t="str">
        <x:v>current_snapshot_diagnostic_only</x:v>
      </x:c>
    </x:row>
    <x:row r="389">
      <x:c r="A389" s="23" t="str">
        <x:v>d272d3bf32566897131a</x:v>
      </x:c>
      <x:c r="B389" s="23" t="str">
        <x:v>SFO_AIR_PASSENGERS</x:v>
      </x:c>
      <x:c r="C389" s="23" t="str">
        <x:v>City and County of San Francisco</x:v>
      </x:c>
      <x:c r="D389" s="23" t="str">
        <x:v>United States</x:v>
      </x:c>
      <x:c r="E389" s="23" t="str">
        <x:v>San Francisco International Airport</x:v>
      </x:c>
      <x:c r="F389" s="23" t="str">
        <x:v>2024-07</x:v>
      </x:c>
      <x:c r="G389" s="23" t="str">
        <x:v>Enplaned</x:v>
      </x:c>
      <x:c r="H389" s="23" t="str">
        <x:v>Domestic</x:v>
      </x:c>
      <x:c r="I389" s="23" t="str">
        <x:v>Enplaned</x:v>
      </x:c>
      <x:c r="J389" s="72" t="n">
        <x:v>1680554</x:v>
      </x:c>
      <x:c r="K389" s="23" t="str">
        <x:v>passengers</x:v>
      </x:c>
      <x:c r="L389" s="24" t="str"/>
      <x:c r="M389" s="24" t="n">
        <x:v>46256.6280787037</x:v>
      </x:c>
      <x:c r="N389" s="24" t="n">
        <x:v>46268.86863425926</x:v>
      </x:c>
      <x:c r="O389" s="40" t="b">
        <x:v>1</x:v>
      </x:c>
      <x:c r="P389" s="42" t="str">
        <x:v>current_snapshot_diagnostic_only</x:v>
      </x:c>
    </x:row>
    <x:row r="390">
      <x:c r="A390" s="23" t="str">
        <x:v>6e859fe4faa9d23649d4</x:v>
      </x:c>
      <x:c r="B390" s="23" t="str">
        <x:v>SFO_AIR_PASSENGERS</x:v>
      </x:c>
      <x:c r="C390" s="23" t="str">
        <x:v>City and County of San Francisco</x:v>
      </x:c>
      <x:c r="D390" s="23" t="str">
        <x:v>United States</x:v>
      </x:c>
      <x:c r="E390" s="23" t="str">
        <x:v>San Francisco International Airport</x:v>
      </x:c>
      <x:c r="F390" s="23" t="str">
        <x:v>2024-07</x:v>
      </x:c>
      <x:c r="G390" s="23" t="str">
        <x:v>Thru / Transit</x:v>
      </x:c>
      <x:c r="H390" s="23" t="str">
        <x:v>Domestic</x:v>
      </x:c>
      <x:c r="I390" s="23" t="str">
        <x:v>Thru / Transit</x:v>
      </x:c>
      <x:c r="J390" s="72" t="n">
        <x:v>2096</x:v>
      </x:c>
      <x:c r="K390" s="23" t="str">
        <x:v>passengers</x:v>
      </x:c>
      <x:c r="L390" s="24" t="str"/>
      <x:c r="M390" s="24" t="n">
        <x:v>46256.6280787037</x:v>
      </x:c>
      <x:c r="N390" s="24" t="n">
        <x:v>46268.86863425926</x:v>
      </x:c>
      <x:c r="O390" s="40" t="b">
        <x:v>0</x:v>
      </x:c>
      <x:c r="P390" s="42" t="str">
        <x:v>current_snapshot_diagnostic_only</x:v>
      </x:c>
    </x:row>
    <x:row r="391">
      <x:c r="A391" s="23" t="str">
        <x:v>04057dd983d5b8b20b5f</x:v>
      </x:c>
      <x:c r="B391" s="23" t="str">
        <x:v>SFO_AIR_PASSENGERS</x:v>
      </x:c>
      <x:c r="C391" s="23" t="str">
        <x:v>City and County of San Francisco</x:v>
      </x:c>
      <x:c r="D391" s="23" t="str">
        <x:v>United States</x:v>
      </x:c>
      <x:c r="E391" s="23" t="str">
        <x:v>San Francisco International Airport</x:v>
      </x:c>
      <x:c r="F391" s="23" t="str">
        <x:v>2024-07</x:v>
      </x:c>
      <x:c r="G391" s="23" t="str">
        <x:v>Deplaned</x:v>
      </x:c>
      <x:c r="H391" s="23" t="str">
        <x:v>International</x:v>
      </x:c>
      <x:c r="I391" s="23" t="str">
        <x:v>Deplaned</x:v>
      </x:c>
      <x:c r="J391" s="72" t="n">
        <x:v>830185</x:v>
      </x:c>
      <x:c r="K391" s="23" t="str">
        <x:v>passengers</x:v>
      </x:c>
      <x:c r="L391" s="24" t="str"/>
      <x:c r="M391" s="24" t="n">
        <x:v>46256.6280787037</x:v>
      </x:c>
      <x:c r="N391" s="24" t="n">
        <x:v>46268.86863425926</x:v>
      </x:c>
      <x:c r="O391" s="40" t="b">
        <x:v>1</x:v>
      </x:c>
      <x:c r="P391" s="42" t="str">
        <x:v>current_snapshot_diagnostic_only</x:v>
      </x:c>
    </x:row>
    <x:row r="392">
      <x:c r="A392" s="23" t="str">
        <x:v>6cef1a28d6ccdeafd754</x:v>
      </x:c>
      <x:c r="B392" s="23" t="str">
        <x:v>SFO_AIR_PASSENGERS</x:v>
      </x:c>
      <x:c r="C392" s="23" t="str">
        <x:v>City and County of San Francisco</x:v>
      </x:c>
      <x:c r="D392" s="23" t="str">
        <x:v>United States</x:v>
      </x:c>
      <x:c r="E392" s="23" t="str">
        <x:v>San Francisco International Airport</x:v>
      </x:c>
      <x:c r="F392" s="23" t="str">
        <x:v>2024-07</x:v>
      </x:c>
      <x:c r="G392" s="23" t="str">
        <x:v>Enplaned</x:v>
      </x:c>
      <x:c r="H392" s="23" t="str">
        <x:v>International</x:v>
      </x:c>
      <x:c r="I392" s="23" t="str">
        <x:v>Enplaned</x:v>
      </x:c>
      <x:c r="J392" s="72" t="n">
        <x:v>771176</x:v>
      </x:c>
      <x:c r="K392" s="23" t="str">
        <x:v>passengers</x:v>
      </x:c>
      <x:c r="L392" s="24" t="str"/>
      <x:c r="M392" s="24" t="n">
        <x:v>46256.6280787037</x:v>
      </x:c>
      <x:c r="N392" s="24" t="n">
        <x:v>46268.86863425926</x:v>
      </x:c>
      <x:c r="O392" s="40" t="b">
        <x:v>1</x:v>
      </x:c>
      <x:c r="P392" s="42" t="str">
        <x:v>current_snapshot_diagnostic_only</x:v>
      </x:c>
    </x:row>
    <x:row r="393">
      <x:c r="A393" s="23" t="str">
        <x:v>24e0275bdaf941e42eee</x:v>
      </x:c>
      <x:c r="B393" s="23" t="str">
        <x:v>SFO_AIR_PASSENGERS</x:v>
      </x:c>
      <x:c r="C393" s="23" t="str">
        <x:v>City and County of San Francisco</x:v>
      </x:c>
      <x:c r="D393" s="23" t="str">
        <x:v>United States</x:v>
      </x:c>
      <x:c r="E393" s="23" t="str">
        <x:v>San Francisco International Airport</x:v>
      </x:c>
      <x:c r="F393" s="23" t="str">
        <x:v>2024-07</x:v>
      </x:c>
      <x:c r="G393" s="23" t="str">
        <x:v>Thru / Transit</x:v>
      </x:c>
      <x:c r="H393" s="23" t="str">
        <x:v>International</x:v>
      </x:c>
      <x:c r="I393" s="23" t="str">
        <x:v>Thru / Transit</x:v>
      </x:c>
      <x:c r="J393" s="72" t="n">
        <x:v>7654</x:v>
      </x:c>
      <x:c r="K393" s="23" t="str">
        <x:v>passengers</x:v>
      </x:c>
      <x:c r="L393" s="24" t="str"/>
      <x:c r="M393" s="24" t="n">
        <x:v>46256.6280787037</x:v>
      </x:c>
      <x:c r="N393" s="24" t="n">
        <x:v>46268.86863425926</x:v>
      </x:c>
      <x:c r="O393" s="40" t="b">
        <x:v>0</x:v>
      </x:c>
      <x:c r="P393" s="42" t="str">
        <x:v>current_snapshot_diagnostic_only</x:v>
      </x:c>
    </x:row>
    <x:row r="394">
      <x:c r="A394" s="23" t="str">
        <x:v>bc3acef196384c09fa59</x:v>
      </x:c>
      <x:c r="B394" s="23" t="str">
        <x:v>SFO_AIR_PASSENGERS</x:v>
      </x:c>
      <x:c r="C394" s="23" t="str">
        <x:v>City and County of San Francisco</x:v>
      </x:c>
      <x:c r="D394" s="23" t="str">
        <x:v>United States</x:v>
      </x:c>
      <x:c r="E394" s="23" t="str">
        <x:v>San Francisco International Airport</x:v>
      </x:c>
      <x:c r="F394" s="23" t="str">
        <x:v>2024-08</x:v>
      </x:c>
      <x:c r="G394" s="23" t="str">
        <x:v>Deplaned</x:v>
      </x:c>
      <x:c r="H394" s="23" t="str">
        <x:v>Domestic</x:v>
      </x:c>
      <x:c r="I394" s="23" t="str">
        <x:v>Deplaned</x:v>
      </x:c>
      <x:c r="J394" s="72" t="n">
        <x:v>1671128</x:v>
      </x:c>
      <x:c r="K394" s="23" t="str">
        <x:v>passengers</x:v>
      </x:c>
      <x:c r="L394" s="24" t="str"/>
      <x:c r="M394" s="24" t="n">
        <x:v>46256.6280787037</x:v>
      </x:c>
      <x:c r="N394" s="24" t="n">
        <x:v>46268.86863425926</x:v>
      </x:c>
      <x:c r="O394" s="40" t="b">
        <x:v>1</x:v>
      </x:c>
      <x:c r="P394" s="42" t="str">
        <x:v>current_snapshot_diagnostic_only</x:v>
      </x:c>
    </x:row>
    <x:row r="395">
      <x:c r="A395" s="23" t="str">
        <x:v>bccce2474f3c95360f1d</x:v>
      </x:c>
      <x:c r="B395" s="23" t="str">
        <x:v>SFO_AIR_PASSENGERS</x:v>
      </x:c>
      <x:c r="C395" s="23" t="str">
        <x:v>City and County of San Francisco</x:v>
      </x:c>
      <x:c r="D395" s="23" t="str">
        <x:v>United States</x:v>
      </x:c>
      <x:c r="E395" s="23" t="str">
        <x:v>San Francisco International Airport</x:v>
      </x:c>
      <x:c r="F395" s="23" t="str">
        <x:v>2024-08</x:v>
      </x:c>
      <x:c r="G395" s="23" t="str">
        <x:v>Enplaned</x:v>
      </x:c>
      <x:c r="H395" s="23" t="str">
        <x:v>Domestic</x:v>
      </x:c>
      <x:c r="I395" s="23" t="str">
        <x:v>Enplaned</x:v>
      </x:c>
      <x:c r="J395" s="72" t="n">
        <x:v>1683238</x:v>
      </x:c>
      <x:c r="K395" s="23" t="str">
        <x:v>passengers</x:v>
      </x:c>
      <x:c r="L395" s="24" t="str"/>
      <x:c r="M395" s="24" t="n">
        <x:v>46256.6280787037</x:v>
      </x:c>
      <x:c r="N395" s="24" t="n">
        <x:v>46268.86863425926</x:v>
      </x:c>
      <x:c r="O395" s="40" t="b">
        <x:v>1</x:v>
      </x:c>
      <x:c r="P395" s="42" t="str">
        <x:v>current_snapshot_diagnostic_only</x:v>
      </x:c>
    </x:row>
    <x:row r="396">
      <x:c r="A396" s="23" t="str">
        <x:v>fea18ebb2bab902f1735</x:v>
      </x:c>
      <x:c r="B396" s="23" t="str">
        <x:v>SFO_AIR_PASSENGERS</x:v>
      </x:c>
      <x:c r="C396" s="23" t="str">
        <x:v>City and County of San Francisco</x:v>
      </x:c>
      <x:c r="D396" s="23" t="str">
        <x:v>United States</x:v>
      </x:c>
      <x:c r="E396" s="23" t="str">
        <x:v>San Francisco International Airport</x:v>
      </x:c>
      <x:c r="F396" s="23" t="str">
        <x:v>2024-08</x:v>
      </x:c>
      <x:c r="G396" s="23" t="str">
        <x:v>Thru / Transit</x:v>
      </x:c>
      <x:c r="H396" s="23" t="str">
        <x:v>Domestic</x:v>
      </x:c>
      <x:c r="I396" s="23" t="str">
        <x:v>Thru / Transit</x:v>
      </x:c>
      <x:c r="J396" s="72" t="n">
        <x:v>478</x:v>
      </x:c>
      <x:c r="K396" s="23" t="str">
        <x:v>passengers</x:v>
      </x:c>
      <x:c r="L396" s="24" t="str"/>
      <x:c r="M396" s="24" t="n">
        <x:v>46256.6280787037</x:v>
      </x:c>
      <x:c r="N396" s="24" t="n">
        <x:v>46268.86863425926</x:v>
      </x:c>
      <x:c r="O396" s="40" t="b">
        <x:v>0</x:v>
      </x:c>
      <x:c r="P396" s="42" t="str">
        <x:v>current_snapshot_diagnostic_only</x:v>
      </x:c>
    </x:row>
    <x:row r="397">
      <x:c r="A397" s="23" t="str">
        <x:v>84342c954c94f229573c</x:v>
      </x:c>
      <x:c r="B397" s="23" t="str">
        <x:v>SFO_AIR_PASSENGERS</x:v>
      </x:c>
      <x:c r="C397" s="23" t="str">
        <x:v>City and County of San Francisco</x:v>
      </x:c>
      <x:c r="D397" s="23" t="str">
        <x:v>United States</x:v>
      </x:c>
      <x:c r="E397" s="23" t="str">
        <x:v>San Francisco International Airport</x:v>
      </x:c>
      <x:c r="F397" s="23" t="str">
        <x:v>2024-08</x:v>
      </x:c>
      <x:c r="G397" s="23" t="str">
        <x:v>Deplaned</x:v>
      </x:c>
      <x:c r="H397" s="23" t="str">
        <x:v>International</x:v>
      </x:c>
      <x:c r="I397" s="23" t="str">
        <x:v>Deplaned</x:v>
      </x:c>
      <x:c r="J397" s="72" t="n">
        <x:v>794765</x:v>
      </x:c>
      <x:c r="K397" s="23" t="str">
        <x:v>passengers</x:v>
      </x:c>
      <x:c r="L397" s="24" t="str"/>
      <x:c r="M397" s="24" t="n">
        <x:v>46256.6280787037</x:v>
      </x:c>
      <x:c r="N397" s="24" t="n">
        <x:v>46268.86863425926</x:v>
      </x:c>
      <x:c r="O397" s="40" t="b">
        <x:v>1</x:v>
      </x:c>
      <x:c r="P397" s="42" t="str">
        <x:v>current_snapshot_diagnostic_only</x:v>
      </x:c>
    </x:row>
    <x:row r="398">
      <x:c r="A398" s="23" t="str">
        <x:v>98ead8217e3ab750bb89</x:v>
      </x:c>
      <x:c r="B398" s="23" t="str">
        <x:v>SFO_AIR_PASSENGERS</x:v>
      </x:c>
      <x:c r="C398" s="23" t="str">
        <x:v>City and County of San Francisco</x:v>
      </x:c>
      <x:c r="D398" s="23" t="str">
        <x:v>United States</x:v>
      </x:c>
      <x:c r="E398" s="23" t="str">
        <x:v>San Francisco International Airport</x:v>
      </x:c>
      <x:c r="F398" s="23" t="str">
        <x:v>2024-08</x:v>
      </x:c>
      <x:c r="G398" s="23" t="str">
        <x:v>Enplaned</x:v>
      </x:c>
      <x:c r="H398" s="23" t="str">
        <x:v>International</x:v>
      </x:c>
      <x:c r="I398" s="23" t="str">
        <x:v>Enplaned</x:v>
      </x:c>
      <x:c r="J398" s="72" t="n">
        <x:v>702426</x:v>
      </x:c>
      <x:c r="K398" s="23" t="str">
        <x:v>passengers</x:v>
      </x:c>
      <x:c r="L398" s="24" t="str"/>
      <x:c r="M398" s="24" t="n">
        <x:v>46256.6280787037</x:v>
      </x:c>
      <x:c r="N398" s="24" t="n">
        <x:v>46268.86863425926</x:v>
      </x:c>
      <x:c r="O398" s="40" t="b">
        <x:v>1</x:v>
      </x:c>
      <x:c r="P398" s="42" t="str">
        <x:v>current_snapshot_diagnostic_only</x:v>
      </x:c>
    </x:row>
    <x:row r="399">
      <x:c r="A399" s="23" t="str">
        <x:v>579cbb6eb5d0ffa7e587</x:v>
      </x:c>
      <x:c r="B399" s="23" t="str">
        <x:v>SFO_AIR_PASSENGERS</x:v>
      </x:c>
      <x:c r="C399" s="23" t="str">
        <x:v>City and County of San Francisco</x:v>
      </x:c>
      <x:c r="D399" s="23" t="str">
        <x:v>United States</x:v>
      </x:c>
      <x:c r="E399" s="23" t="str">
        <x:v>San Francisco International Airport</x:v>
      </x:c>
      <x:c r="F399" s="23" t="str">
        <x:v>2024-08</x:v>
      </x:c>
      <x:c r="G399" s="23" t="str">
        <x:v>Thru / Transit</x:v>
      </x:c>
      <x:c r="H399" s="23" t="str">
        <x:v>International</x:v>
      </x:c>
      <x:c r="I399" s="23" t="str">
        <x:v>Thru / Transit</x:v>
      </x:c>
      <x:c r="J399" s="72" t="n">
        <x:v>8033</x:v>
      </x:c>
      <x:c r="K399" s="23" t="str">
        <x:v>passengers</x:v>
      </x:c>
      <x:c r="L399" s="24" t="str"/>
      <x:c r="M399" s="24" t="n">
        <x:v>46256.6280787037</x:v>
      </x:c>
      <x:c r="N399" s="24" t="n">
        <x:v>46268.86863425926</x:v>
      </x:c>
      <x:c r="O399" s="40" t="b">
        <x:v>0</x:v>
      </x:c>
      <x:c r="P399" s="42" t="str">
        <x:v>current_snapshot_diagnostic_only</x:v>
      </x:c>
    </x:row>
    <x:row r="400">
      <x:c r="A400" s="23" t="str">
        <x:v>5fd172130cd4025e7b88</x:v>
      </x:c>
      <x:c r="B400" s="23" t="str">
        <x:v>SFO_AIR_PASSENGERS</x:v>
      </x:c>
      <x:c r="C400" s="23" t="str">
        <x:v>City and County of San Francisco</x:v>
      </x:c>
      <x:c r="D400" s="23" t="str">
        <x:v>United States</x:v>
      </x:c>
      <x:c r="E400" s="23" t="str">
        <x:v>San Francisco International Airport</x:v>
      </x:c>
      <x:c r="F400" s="23" t="str">
        <x:v>2024-09</x:v>
      </x:c>
      <x:c r="G400" s="23" t="str">
        <x:v>Deplaned</x:v>
      </x:c>
      <x:c r="H400" s="23" t="str">
        <x:v>Domestic</x:v>
      </x:c>
      <x:c r="I400" s="23" t="str">
        <x:v>Deplaned</x:v>
      </x:c>
      <x:c r="J400" s="72" t="n">
        <x:v>1541410</x:v>
      </x:c>
      <x:c r="K400" s="23" t="str">
        <x:v>passengers</x:v>
      </x:c>
      <x:c r="L400" s="24" t="str"/>
      <x:c r="M400" s="24" t="n">
        <x:v>46256.6280787037</x:v>
      </x:c>
      <x:c r="N400" s="24" t="n">
        <x:v>46268.86863425926</x:v>
      </x:c>
      <x:c r="O400" s="40" t="b">
        <x:v>1</x:v>
      </x:c>
      <x:c r="P400" s="42" t="str">
        <x:v>current_snapshot_diagnostic_only</x:v>
      </x:c>
    </x:row>
    <x:row r="401">
      <x:c r="A401" s="23" t="str">
        <x:v>bc001c33cc77ce679035</x:v>
      </x:c>
      <x:c r="B401" s="23" t="str">
        <x:v>SFO_AIR_PASSENGERS</x:v>
      </x:c>
      <x:c r="C401" s="23" t="str">
        <x:v>City and County of San Francisco</x:v>
      </x:c>
      <x:c r="D401" s="23" t="str">
        <x:v>United States</x:v>
      </x:c>
      <x:c r="E401" s="23" t="str">
        <x:v>San Francisco International Airport</x:v>
      </x:c>
      <x:c r="F401" s="23" t="str">
        <x:v>2024-09</x:v>
      </x:c>
      <x:c r="G401" s="23" t="str">
        <x:v>Enplaned</x:v>
      </x:c>
      <x:c r="H401" s="23" t="str">
        <x:v>Domestic</x:v>
      </x:c>
      <x:c r="I401" s="23" t="str">
        <x:v>Enplaned</x:v>
      </x:c>
      <x:c r="J401" s="72" t="n">
        <x:v>1539322</x:v>
      </x:c>
      <x:c r="K401" s="23" t="str">
        <x:v>passengers</x:v>
      </x:c>
      <x:c r="L401" s="24" t="str"/>
      <x:c r="M401" s="24" t="n">
        <x:v>46256.6280787037</x:v>
      </x:c>
      <x:c r="N401" s="24" t="n">
        <x:v>46268.86863425926</x:v>
      </x:c>
      <x:c r="O401" s="40" t="b">
        <x:v>1</x:v>
      </x:c>
      <x:c r="P401" s="42" t="str">
        <x:v>current_snapshot_diagnostic_only</x:v>
      </x:c>
    </x:row>
    <x:row r="402">
      <x:c r="A402" s="23" t="str">
        <x:v>6ba66709e68f8e52b86f</x:v>
      </x:c>
      <x:c r="B402" s="23" t="str">
        <x:v>SFO_AIR_PASSENGERS</x:v>
      </x:c>
      <x:c r="C402" s="23" t="str">
        <x:v>City and County of San Francisco</x:v>
      </x:c>
      <x:c r="D402" s="23" t="str">
        <x:v>United States</x:v>
      </x:c>
      <x:c r="E402" s="23" t="str">
        <x:v>San Francisco International Airport</x:v>
      </x:c>
      <x:c r="F402" s="23" t="str">
        <x:v>2024-09</x:v>
      </x:c>
      <x:c r="G402" s="23" t="str">
        <x:v>Thru / Transit</x:v>
      </x:c>
      <x:c r="H402" s="23" t="str">
        <x:v>Domestic</x:v>
      </x:c>
      <x:c r="I402" s="23" t="str">
        <x:v>Thru / Transit</x:v>
      </x:c>
      <x:c r="J402" s="72" t="n">
        <x:v>53</x:v>
      </x:c>
      <x:c r="K402" s="23" t="str">
        <x:v>passengers</x:v>
      </x:c>
      <x:c r="L402" s="24" t="str"/>
      <x:c r="M402" s="24" t="n">
        <x:v>46256.6280787037</x:v>
      </x:c>
      <x:c r="N402" s="24" t="n">
        <x:v>46268.86863425926</x:v>
      </x:c>
      <x:c r="O402" s="40" t="b">
        <x:v>0</x:v>
      </x:c>
      <x:c r="P402" s="42" t="str">
        <x:v>current_snapshot_diagnostic_only</x:v>
      </x:c>
    </x:row>
    <x:row r="403">
      <x:c r="A403" s="23" t="str">
        <x:v>3bd1bed9e9aaed543a5f</x:v>
      </x:c>
      <x:c r="B403" s="23" t="str">
        <x:v>SFO_AIR_PASSENGERS</x:v>
      </x:c>
      <x:c r="C403" s="23" t="str">
        <x:v>City and County of San Francisco</x:v>
      </x:c>
      <x:c r="D403" s="23" t="str">
        <x:v>United States</x:v>
      </x:c>
      <x:c r="E403" s="23" t="str">
        <x:v>San Francisco International Airport</x:v>
      </x:c>
      <x:c r="F403" s="23" t="str">
        <x:v>2024-09</x:v>
      </x:c>
      <x:c r="G403" s="23" t="str">
        <x:v>Deplaned</x:v>
      </x:c>
      <x:c r="H403" s="23" t="str">
        <x:v>International</x:v>
      </x:c>
      <x:c r="I403" s="23" t="str">
        <x:v>Deplaned</x:v>
      </x:c>
      <x:c r="J403" s="72" t="n">
        <x:v>668699</x:v>
      </x:c>
      <x:c r="K403" s="23" t="str">
        <x:v>passengers</x:v>
      </x:c>
      <x:c r="L403" s="24" t="str"/>
      <x:c r="M403" s="24" t="n">
        <x:v>46256.6280787037</x:v>
      </x:c>
      <x:c r="N403" s="24" t="n">
        <x:v>46268.86863425926</x:v>
      </x:c>
      <x:c r="O403" s="40" t="b">
        <x:v>1</x:v>
      </x:c>
      <x:c r="P403" s="42" t="str">
        <x:v>current_snapshot_diagnostic_only</x:v>
      </x:c>
    </x:row>
    <x:row r="404">
      <x:c r="A404" s="23" t="str">
        <x:v>260ae4e909b62a633529</x:v>
      </x:c>
      <x:c r="B404" s="23" t="str">
        <x:v>SFO_AIR_PASSENGERS</x:v>
      </x:c>
      <x:c r="C404" s="23" t="str">
        <x:v>City and County of San Francisco</x:v>
      </x:c>
      <x:c r="D404" s="23" t="str">
        <x:v>United States</x:v>
      </x:c>
      <x:c r="E404" s="23" t="str">
        <x:v>San Francisco International Airport</x:v>
      </x:c>
      <x:c r="F404" s="23" t="str">
        <x:v>2024-09</x:v>
      </x:c>
      <x:c r="G404" s="23" t="str">
        <x:v>Enplaned</x:v>
      </x:c>
      <x:c r="H404" s="23" t="str">
        <x:v>International</x:v>
      </x:c>
      <x:c r="I404" s="23" t="str">
        <x:v>Enplaned</x:v>
      </x:c>
      <x:c r="J404" s="72" t="n">
        <x:v>653167</x:v>
      </x:c>
      <x:c r="K404" s="23" t="str">
        <x:v>passengers</x:v>
      </x:c>
      <x:c r="L404" s="24" t="str"/>
      <x:c r="M404" s="24" t="n">
        <x:v>46256.6280787037</x:v>
      </x:c>
      <x:c r="N404" s="24" t="n">
        <x:v>46268.86863425926</x:v>
      </x:c>
      <x:c r="O404" s="40" t="b">
        <x:v>1</x:v>
      </x:c>
      <x:c r="P404" s="42" t="str">
        <x:v>current_snapshot_diagnostic_only</x:v>
      </x:c>
    </x:row>
    <x:row r="405">
      <x:c r="A405" s="23" t="str">
        <x:v>8bf05fbbcf7f143f63a9</x:v>
      </x:c>
      <x:c r="B405" s="23" t="str">
        <x:v>SFO_AIR_PASSENGERS</x:v>
      </x:c>
      <x:c r="C405" s="23" t="str">
        <x:v>City and County of San Francisco</x:v>
      </x:c>
      <x:c r="D405" s="23" t="str">
        <x:v>United States</x:v>
      </x:c>
      <x:c r="E405" s="23" t="str">
        <x:v>San Francisco International Airport</x:v>
      </x:c>
      <x:c r="F405" s="23" t="str">
        <x:v>2024-09</x:v>
      </x:c>
      <x:c r="G405" s="23" t="str">
        <x:v>Thru / Transit</x:v>
      </x:c>
      <x:c r="H405" s="23" t="str">
        <x:v>International</x:v>
      </x:c>
      <x:c r="I405" s="23" t="str">
        <x:v>Thru / Transit</x:v>
      </x:c>
      <x:c r="J405" s="72" t="n">
        <x:v>6801</x:v>
      </x:c>
      <x:c r="K405" s="23" t="str">
        <x:v>passengers</x:v>
      </x:c>
      <x:c r="L405" s="24" t="str"/>
      <x:c r="M405" s="24" t="n">
        <x:v>46256.6280787037</x:v>
      </x:c>
      <x:c r="N405" s="24" t="n">
        <x:v>46268.86863425926</x:v>
      </x:c>
      <x:c r="O405" s="40" t="b">
        <x:v>0</x:v>
      </x:c>
      <x:c r="P405" s="42" t="str">
        <x:v>current_snapshot_diagnostic_only</x:v>
      </x:c>
    </x:row>
    <x:row r="406">
      <x:c r="A406" s="23" t="str">
        <x:v>e635517eadb93e32e472</x:v>
      </x:c>
      <x:c r="B406" s="23" t="str">
        <x:v>SFO_AIR_PASSENGERS</x:v>
      </x:c>
      <x:c r="C406" s="23" t="str">
        <x:v>City and County of San Francisco</x:v>
      </x:c>
      <x:c r="D406" s="23" t="str">
        <x:v>United States</x:v>
      </x:c>
      <x:c r="E406" s="23" t="str">
        <x:v>San Francisco International Airport</x:v>
      </x:c>
      <x:c r="F406" s="23" t="str">
        <x:v>2024-10</x:v>
      </x:c>
      <x:c r="G406" s="23" t="str">
        <x:v>Deplaned</x:v>
      </x:c>
      <x:c r="H406" s="23" t="str">
        <x:v>Domestic</x:v>
      </x:c>
      <x:c r="I406" s="23" t="str">
        <x:v>Deplaned</x:v>
      </x:c>
      <x:c r="J406" s="72" t="n">
        <x:v>1665511</x:v>
      </x:c>
      <x:c r="K406" s="23" t="str">
        <x:v>passengers</x:v>
      </x:c>
      <x:c r="L406" s="24" t="str"/>
      <x:c r="M406" s="24" t="n">
        <x:v>46256.6280787037</x:v>
      </x:c>
      <x:c r="N406" s="24" t="n">
        <x:v>46268.86863425926</x:v>
      </x:c>
      <x:c r="O406" s="40" t="b">
        <x:v>1</x:v>
      </x:c>
      <x:c r="P406" s="42" t="str">
        <x:v>current_snapshot_diagnostic_only</x:v>
      </x:c>
    </x:row>
    <x:row r="407">
      <x:c r="A407" s="23" t="str">
        <x:v>c742052099a69090b758</x:v>
      </x:c>
      <x:c r="B407" s="23" t="str">
        <x:v>SFO_AIR_PASSENGERS</x:v>
      </x:c>
      <x:c r="C407" s="23" t="str">
        <x:v>City and County of San Francisco</x:v>
      </x:c>
      <x:c r="D407" s="23" t="str">
        <x:v>United States</x:v>
      </x:c>
      <x:c r="E407" s="23" t="str">
        <x:v>San Francisco International Airport</x:v>
      </x:c>
      <x:c r="F407" s="23" t="str">
        <x:v>2024-10</x:v>
      </x:c>
      <x:c r="G407" s="23" t="str">
        <x:v>Enplaned</x:v>
      </x:c>
      <x:c r="H407" s="23" t="str">
        <x:v>Domestic</x:v>
      </x:c>
      <x:c r="I407" s="23" t="str">
        <x:v>Enplaned</x:v>
      </x:c>
      <x:c r="J407" s="72" t="n">
        <x:v>1663745</x:v>
      </x:c>
      <x:c r="K407" s="23" t="str">
        <x:v>passengers</x:v>
      </x:c>
      <x:c r="L407" s="24" t="str"/>
      <x:c r="M407" s="24" t="n">
        <x:v>46256.6280787037</x:v>
      </x:c>
      <x:c r="N407" s="24" t="n">
        <x:v>46268.86863425926</x:v>
      </x:c>
      <x:c r="O407" s="40" t="b">
        <x:v>1</x:v>
      </x:c>
      <x:c r="P407" s="42" t="str">
        <x:v>current_snapshot_diagnostic_only</x:v>
      </x:c>
    </x:row>
    <x:row r="408">
      <x:c r="A408" s="23" t="str">
        <x:v>edc8bac2011de52f4c59</x:v>
      </x:c>
      <x:c r="B408" s="23" t="str">
        <x:v>SFO_AIR_PASSENGERS</x:v>
      </x:c>
      <x:c r="C408" s="23" t="str">
        <x:v>City and County of San Francisco</x:v>
      </x:c>
      <x:c r="D408" s="23" t="str">
        <x:v>United States</x:v>
      </x:c>
      <x:c r="E408" s="23" t="str">
        <x:v>San Francisco International Airport</x:v>
      </x:c>
      <x:c r="F408" s="23" t="str">
        <x:v>2024-10</x:v>
      </x:c>
      <x:c r="G408" s="23" t="str">
        <x:v>Thru / Transit</x:v>
      </x:c>
      <x:c r="H408" s="23" t="str">
        <x:v>Domestic</x:v>
      </x:c>
      <x:c r="I408" s="23" t="str">
        <x:v>Thru / Transit</x:v>
      </x:c>
      <x:c r="J408" s="72" t="n">
        <x:v>139</x:v>
      </x:c>
      <x:c r="K408" s="23" t="str">
        <x:v>passengers</x:v>
      </x:c>
      <x:c r="L408" s="24" t="str"/>
      <x:c r="M408" s="24" t="n">
        <x:v>46256.6280787037</x:v>
      </x:c>
      <x:c r="N408" s="24" t="n">
        <x:v>46268.86863425926</x:v>
      </x:c>
      <x:c r="O408" s="40" t="b">
        <x:v>0</x:v>
      </x:c>
      <x:c r="P408" s="42" t="str">
        <x:v>current_snapshot_diagnostic_only</x:v>
      </x:c>
    </x:row>
    <x:row r="409">
      <x:c r="A409" s="23" t="str">
        <x:v>bc4338383bfb875ff64d</x:v>
      </x:c>
      <x:c r="B409" s="23" t="str">
        <x:v>SFO_AIR_PASSENGERS</x:v>
      </x:c>
      <x:c r="C409" s="23" t="str">
        <x:v>City and County of San Francisco</x:v>
      </x:c>
      <x:c r="D409" s="23" t="str">
        <x:v>United States</x:v>
      </x:c>
      <x:c r="E409" s="23" t="str">
        <x:v>San Francisco International Airport</x:v>
      </x:c>
      <x:c r="F409" s="23" t="str">
        <x:v>2024-10</x:v>
      </x:c>
      <x:c r="G409" s="23" t="str">
        <x:v>Deplaned</x:v>
      </x:c>
      <x:c r="H409" s="23" t="str">
        <x:v>International</x:v>
      </x:c>
      <x:c r="I409" s="23" t="str">
        <x:v>Deplaned</x:v>
      </x:c>
      <x:c r="J409" s="72" t="n">
        <x:v>653757</x:v>
      </x:c>
      <x:c r="K409" s="23" t="str">
        <x:v>passengers</x:v>
      </x:c>
      <x:c r="L409" s="24" t="str"/>
      <x:c r="M409" s="24" t="n">
        <x:v>46256.6280787037</x:v>
      </x:c>
      <x:c r="N409" s="24" t="n">
        <x:v>46268.86863425926</x:v>
      </x:c>
      <x:c r="O409" s="40" t="b">
        <x:v>1</x:v>
      </x:c>
      <x:c r="P409" s="42" t="str">
        <x:v>current_snapshot_diagnostic_only</x:v>
      </x:c>
    </x:row>
    <x:row r="410">
      <x:c r="A410" s="23" t="str">
        <x:v>c6a6a89bd941408940ac</x:v>
      </x:c>
      <x:c r="B410" s="23" t="str">
        <x:v>SFO_AIR_PASSENGERS</x:v>
      </x:c>
      <x:c r="C410" s="23" t="str">
        <x:v>City and County of San Francisco</x:v>
      </x:c>
      <x:c r="D410" s="23" t="str">
        <x:v>United States</x:v>
      </x:c>
      <x:c r="E410" s="23" t="str">
        <x:v>San Francisco International Airport</x:v>
      </x:c>
      <x:c r="F410" s="23" t="str">
        <x:v>2024-10</x:v>
      </x:c>
      <x:c r="G410" s="23" t="str">
        <x:v>Enplaned</x:v>
      </x:c>
      <x:c r="H410" s="23" t="str">
        <x:v>International</x:v>
      </x:c>
      <x:c r="I410" s="23" t="str">
        <x:v>Enplaned</x:v>
      </x:c>
      <x:c r="J410" s="72" t="n">
        <x:v>681335</x:v>
      </x:c>
      <x:c r="K410" s="23" t="str">
        <x:v>passengers</x:v>
      </x:c>
      <x:c r="L410" s="24" t="str"/>
      <x:c r="M410" s="24" t="n">
        <x:v>46256.6280787037</x:v>
      </x:c>
      <x:c r="N410" s="24" t="n">
        <x:v>46268.86863425926</x:v>
      </x:c>
      <x:c r="O410" s="40" t="b">
        <x:v>1</x:v>
      </x:c>
      <x:c r="P410" s="42" t="str">
        <x:v>current_snapshot_diagnostic_only</x:v>
      </x:c>
    </x:row>
    <x:row r="411">
      <x:c r="A411" s="23" t="str">
        <x:v>0305fe558c7fc5acca5f</x:v>
      </x:c>
      <x:c r="B411" s="23" t="str">
        <x:v>SFO_AIR_PASSENGERS</x:v>
      </x:c>
      <x:c r="C411" s="23" t="str">
        <x:v>City and County of San Francisco</x:v>
      </x:c>
      <x:c r="D411" s="23" t="str">
        <x:v>United States</x:v>
      </x:c>
      <x:c r="E411" s="23" t="str">
        <x:v>San Francisco International Airport</x:v>
      </x:c>
      <x:c r="F411" s="23" t="str">
        <x:v>2024-10</x:v>
      </x:c>
      <x:c r="G411" s="23" t="str">
        <x:v>Thru / Transit</x:v>
      </x:c>
      <x:c r="H411" s="23" t="str">
        <x:v>International</x:v>
      </x:c>
      <x:c r="I411" s="23" t="str">
        <x:v>Thru / Transit</x:v>
      </x:c>
      <x:c r="J411" s="72" t="n">
        <x:v>6730</x:v>
      </x:c>
      <x:c r="K411" s="23" t="str">
        <x:v>passengers</x:v>
      </x:c>
      <x:c r="L411" s="24" t="str"/>
      <x:c r="M411" s="24" t="n">
        <x:v>46256.6280787037</x:v>
      </x:c>
      <x:c r="N411" s="24" t="n">
        <x:v>46268.86863425926</x:v>
      </x:c>
      <x:c r="O411" s="40" t="b">
        <x:v>0</x:v>
      </x:c>
      <x:c r="P411" s="42" t="str">
        <x:v>current_snapshot_diagnostic_only</x:v>
      </x:c>
    </x:row>
    <x:row r="412">
      <x:c r="A412" s="23" t="str">
        <x:v>de0c3bed44580c8ef3de</x:v>
      </x:c>
      <x:c r="B412" s="23" t="str">
        <x:v>SFO_AIR_PASSENGERS</x:v>
      </x:c>
      <x:c r="C412" s="23" t="str">
        <x:v>City and County of San Francisco</x:v>
      </x:c>
      <x:c r="D412" s="23" t="str">
        <x:v>United States</x:v>
      </x:c>
      <x:c r="E412" s="23" t="str">
        <x:v>San Francisco International Airport</x:v>
      </x:c>
      <x:c r="F412" s="23" t="str">
        <x:v>2024-11</x:v>
      </x:c>
      <x:c r="G412" s="23" t="str">
        <x:v>Deplaned</x:v>
      </x:c>
      <x:c r="H412" s="23" t="str">
        <x:v>Domestic</x:v>
      </x:c>
      <x:c r="I412" s="23" t="str">
        <x:v>Deplaned</x:v>
      </x:c>
      <x:c r="J412" s="72" t="n">
        <x:v>1510968</x:v>
      </x:c>
      <x:c r="K412" s="23" t="str">
        <x:v>passengers</x:v>
      </x:c>
      <x:c r="L412" s="24" t="str"/>
      <x:c r="M412" s="24" t="n">
        <x:v>46256.6280787037</x:v>
      </x:c>
      <x:c r="N412" s="24" t="n">
        <x:v>46268.86863425926</x:v>
      </x:c>
      <x:c r="O412" s="40" t="b">
        <x:v>1</x:v>
      </x:c>
      <x:c r="P412" s="42" t="str">
        <x:v>current_snapshot_diagnostic_only</x:v>
      </x:c>
    </x:row>
    <x:row r="413">
      <x:c r="A413" s="23" t="str">
        <x:v>1f650b924fcf4f0601c6</x:v>
      </x:c>
      <x:c r="B413" s="23" t="str">
        <x:v>SFO_AIR_PASSENGERS</x:v>
      </x:c>
      <x:c r="C413" s="23" t="str">
        <x:v>City and County of San Francisco</x:v>
      </x:c>
      <x:c r="D413" s="23" t="str">
        <x:v>United States</x:v>
      </x:c>
      <x:c r="E413" s="23" t="str">
        <x:v>San Francisco International Airport</x:v>
      </x:c>
      <x:c r="F413" s="23" t="str">
        <x:v>2024-11</x:v>
      </x:c>
      <x:c r="G413" s="23" t="str">
        <x:v>Enplaned</x:v>
      </x:c>
      <x:c r="H413" s="23" t="str">
        <x:v>Domestic</x:v>
      </x:c>
      <x:c r="I413" s="23" t="str">
        <x:v>Enplaned</x:v>
      </x:c>
      <x:c r="J413" s="72" t="n">
        <x:v>1537805</x:v>
      </x:c>
      <x:c r="K413" s="23" t="str">
        <x:v>passengers</x:v>
      </x:c>
      <x:c r="L413" s="24" t="str"/>
      <x:c r="M413" s="24" t="n">
        <x:v>46256.6280787037</x:v>
      </x:c>
      <x:c r="N413" s="24" t="n">
        <x:v>46268.86863425926</x:v>
      </x:c>
      <x:c r="O413" s="40" t="b">
        <x:v>1</x:v>
      </x:c>
      <x:c r="P413" s="42" t="str">
        <x:v>current_snapshot_diagnostic_only</x:v>
      </x:c>
    </x:row>
    <x:row r="414">
      <x:c r="A414" s="23" t="str">
        <x:v>e433594e14c4cf4294cc</x:v>
      </x:c>
      <x:c r="B414" s="23" t="str">
        <x:v>SFO_AIR_PASSENGERS</x:v>
      </x:c>
      <x:c r="C414" s="23" t="str">
        <x:v>City and County of San Francisco</x:v>
      </x:c>
      <x:c r="D414" s="23" t="str">
        <x:v>United States</x:v>
      </x:c>
      <x:c r="E414" s="23" t="str">
        <x:v>San Francisco International Airport</x:v>
      </x:c>
      <x:c r="F414" s="23" t="str">
        <x:v>2024-11</x:v>
      </x:c>
      <x:c r="G414" s="23" t="str">
        <x:v>Thru / Transit</x:v>
      </x:c>
      <x:c r="H414" s="23" t="str">
        <x:v>Domestic</x:v>
      </x:c>
      <x:c r="I414" s="23" t="str">
        <x:v>Thru / Transit</x:v>
      </x:c>
      <x:c r="J414" s="72" t="n">
        <x:v>474</x:v>
      </x:c>
      <x:c r="K414" s="23" t="str">
        <x:v>passengers</x:v>
      </x:c>
      <x:c r="L414" s="24" t="str"/>
      <x:c r="M414" s="24" t="n">
        <x:v>46256.6280787037</x:v>
      </x:c>
      <x:c r="N414" s="24" t="n">
        <x:v>46268.86863425926</x:v>
      </x:c>
      <x:c r="O414" s="40" t="b">
        <x:v>0</x:v>
      </x:c>
      <x:c r="P414" s="42" t="str">
        <x:v>current_snapshot_diagnostic_only</x:v>
      </x:c>
    </x:row>
    <x:row r="415">
      <x:c r="A415" s="23" t="str">
        <x:v>75e35871e82065b46171</x:v>
      </x:c>
      <x:c r="B415" s="23" t="str">
        <x:v>SFO_AIR_PASSENGERS</x:v>
      </x:c>
      <x:c r="C415" s="23" t="str">
        <x:v>City and County of San Francisco</x:v>
      </x:c>
      <x:c r="D415" s="23" t="str">
        <x:v>United States</x:v>
      </x:c>
      <x:c r="E415" s="23" t="str">
        <x:v>San Francisco International Airport</x:v>
      </x:c>
      <x:c r="F415" s="23" t="str">
        <x:v>2024-11</x:v>
      </x:c>
      <x:c r="G415" s="23" t="str">
        <x:v>Deplaned</x:v>
      </x:c>
      <x:c r="H415" s="23" t="str">
        <x:v>International</x:v>
      </x:c>
      <x:c r="I415" s="23" t="str">
        <x:v>Deplaned</x:v>
      </x:c>
      <x:c r="J415" s="72" t="n">
        <x:v>562023</x:v>
      </x:c>
      <x:c r="K415" s="23" t="str">
        <x:v>passengers</x:v>
      </x:c>
      <x:c r="L415" s="24" t="str"/>
      <x:c r="M415" s="24" t="n">
        <x:v>46256.6280787037</x:v>
      </x:c>
      <x:c r="N415" s="24" t="n">
        <x:v>46268.86863425926</x:v>
      </x:c>
      <x:c r="O415" s="40" t="b">
        <x:v>1</x:v>
      </x:c>
      <x:c r="P415" s="42" t="str">
        <x:v>current_snapshot_diagnostic_only</x:v>
      </x:c>
    </x:row>
    <x:row r="416">
      <x:c r="A416" s="23" t="str">
        <x:v>a4c6b4e335720faa4602</x:v>
      </x:c>
      <x:c r="B416" s="23" t="str">
        <x:v>SFO_AIR_PASSENGERS</x:v>
      </x:c>
      <x:c r="C416" s="23" t="str">
        <x:v>City and County of San Francisco</x:v>
      </x:c>
      <x:c r="D416" s="23" t="str">
        <x:v>United States</x:v>
      </x:c>
      <x:c r="E416" s="23" t="str">
        <x:v>San Francisco International Airport</x:v>
      </x:c>
      <x:c r="F416" s="23" t="str">
        <x:v>2024-11</x:v>
      </x:c>
      <x:c r="G416" s="23" t="str">
        <x:v>Enplaned</x:v>
      </x:c>
      <x:c r="H416" s="23" t="str">
        <x:v>International</x:v>
      </x:c>
      <x:c r="I416" s="23" t="str">
        <x:v>Enplaned</x:v>
      </x:c>
      <x:c r="J416" s="72" t="n">
        <x:v>609462</x:v>
      </x:c>
      <x:c r="K416" s="23" t="str">
        <x:v>passengers</x:v>
      </x:c>
      <x:c r="L416" s="24" t="str"/>
      <x:c r="M416" s="24" t="n">
        <x:v>46256.6280787037</x:v>
      </x:c>
      <x:c r="N416" s="24" t="n">
        <x:v>46268.86863425926</x:v>
      </x:c>
      <x:c r="O416" s="40" t="b">
        <x:v>1</x:v>
      </x:c>
      <x:c r="P416" s="42" t="str">
        <x:v>current_snapshot_diagnostic_only</x:v>
      </x:c>
    </x:row>
    <x:row r="417">
      <x:c r="A417" s="23" t="str">
        <x:v>4f0f3ecf5d5e0ac7674f</x:v>
      </x:c>
      <x:c r="B417" s="23" t="str">
        <x:v>SFO_AIR_PASSENGERS</x:v>
      </x:c>
      <x:c r="C417" s="23" t="str">
        <x:v>City and County of San Francisco</x:v>
      </x:c>
      <x:c r="D417" s="23" t="str">
        <x:v>United States</x:v>
      </x:c>
      <x:c r="E417" s="23" t="str">
        <x:v>San Francisco International Airport</x:v>
      </x:c>
      <x:c r="F417" s="23" t="str">
        <x:v>2024-11</x:v>
      </x:c>
      <x:c r="G417" s="23" t="str">
        <x:v>Thru / Transit</x:v>
      </x:c>
      <x:c r="H417" s="23" t="str">
        <x:v>International</x:v>
      </x:c>
      <x:c r="I417" s="23" t="str">
        <x:v>Thru / Transit</x:v>
      </x:c>
      <x:c r="J417" s="72" t="n">
        <x:v>4018</x:v>
      </x:c>
      <x:c r="K417" s="23" t="str">
        <x:v>passengers</x:v>
      </x:c>
      <x:c r="L417" s="24" t="str"/>
      <x:c r="M417" s="24" t="n">
        <x:v>46256.6280787037</x:v>
      </x:c>
      <x:c r="N417" s="24" t="n">
        <x:v>46268.86863425926</x:v>
      </x:c>
      <x:c r="O417" s="40" t="b">
        <x:v>0</x:v>
      </x:c>
      <x:c r="P417" s="42" t="str">
        <x:v>current_snapshot_diagnostic_only</x:v>
      </x:c>
    </x:row>
    <x:row r="418">
      <x:c r="A418" s="23" t="str">
        <x:v>6d0fb61a4b62959aa7c2</x:v>
      </x:c>
      <x:c r="B418" s="23" t="str">
        <x:v>SFO_AIR_PASSENGERS</x:v>
      </x:c>
      <x:c r="C418" s="23" t="str">
        <x:v>City and County of San Francisco</x:v>
      </x:c>
      <x:c r="D418" s="23" t="str">
        <x:v>United States</x:v>
      </x:c>
      <x:c r="E418" s="23" t="str">
        <x:v>San Francisco International Airport</x:v>
      </x:c>
      <x:c r="F418" s="23" t="str">
        <x:v>2024-12</x:v>
      </x:c>
      <x:c r="G418" s="23" t="str">
        <x:v>Deplaned</x:v>
      </x:c>
      <x:c r="H418" s="23" t="str">
        <x:v>Domestic</x:v>
      </x:c>
      <x:c r="I418" s="23" t="str">
        <x:v>Deplaned</x:v>
      </x:c>
      <x:c r="J418" s="72" t="n">
        <x:v>1631996</x:v>
      </x:c>
      <x:c r="K418" s="23" t="str">
        <x:v>passengers</x:v>
      </x:c>
      <x:c r="L418" s="24" t="str"/>
      <x:c r="M418" s="24" t="n">
        <x:v>46256.6280787037</x:v>
      </x:c>
      <x:c r="N418" s="24" t="n">
        <x:v>46268.86863425926</x:v>
      </x:c>
      <x:c r="O418" s="40" t="b">
        <x:v>1</x:v>
      </x:c>
      <x:c r="P418" s="42" t="str">
        <x:v>current_snapshot_diagnostic_only</x:v>
      </x:c>
    </x:row>
    <x:row r="419">
      <x:c r="A419" s="23" t="str">
        <x:v>8eeb1fd18a49c9eafa70</x:v>
      </x:c>
      <x:c r="B419" s="23" t="str">
        <x:v>SFO_AIR_PASSENGERS</x:v>
      </x:c>
      <x:c r="C419" s="23" t="str">
        <x:v>City and County of San Francisco</x:v>
      </x:c>
      <x:c r="D419" s="23" t="str">
        <x:v>United States</x:v>
      </x:c>
      <x:c r="E419" s="23" t="str">
        <x:v>San Francisco International Airport</x:v>
      </x:c>
      <x:c r="F419" s="23" t="str">
        <x:v>2024-12</x:v>
      </x:c>
      <x:c r="G419" s="23" t="str">
        <x:v>Enplaned</x:v>
      </x:c>
      <x:c r="H419" s="23" t="str">
        <x:v>Domestic</x:v>
      </x:c>
      <x:c r="I419" s="23" t="str">
        <x:v>Enplaned</x:v>
      </x:c>
      <x:c r="J419" s="72" t="n">
        <x:v>1644309</x:v>
      </x:c>
      <x:c r="K419" s="23" t="str">
        <x:v>passengers</x:v>
      </x:c>
      <x:c r="L419" s="24" t="str"/>
      <x:c r="M419" s="24" t="n">
        <x:v>46256.6280787037</x:v>
      </x:c>
      <x:c r="N419" s="24" t="n">
        <x:v>46268.86863425926</x:v>
      </x:c>
      <x:c r="O419" s="40" t="b">
        <x:v>1</x:v>
      </x:c>
      <x:c r="P419" s="42" t="str">
        <x:v>current_snapshot_diagnostic_only</x:v>
      </x:c>
    </x:row>
    <x:row r="420">
      <x:c r="A420" s="23" t="str">
        <x:v>41bb867a494f077b62fb</x:v>
      </x:c>
      <x:c r="B420" s="23" t="str">
        <x:v>SFO_AIR_PASSENGERS</x:v>
      </x:c>
      <x:c r="C420" s="23" t="str">
        <x:v>City and County of San Francisco</x:v>
      </x:c>
      <x:c r="D420" s="23" t="str">
        <x:v>United States</x:v>
      </x:c>
      <x:c r="E420" s="23" t="str">
        <x:v>San Francisco International Airport</x:v>
      </x:c>
      <x:c r="F420" s="23" t="str">
        <x:v>2024-12</x:v>
      </x:c>
      <x:c r="G420" s="23" t="str">
        <x:v>Thru / Transit</x:v>
      </x:c>
      <x:c r="H420" s="23" t="str">
        <x:v>Domestic</x:v>
      </x:c>
      <x:c r="I420" s="23" t="str">
        <x:v>Thru / Transit</x:v>
      </x:c>
      <x:c r="J420" s="72" t="n">
        <x:v>1024</x:v>
      </x:c>
      <x:c r="K420" s="23" t="str">
        <x:v>passengers</x:v>
      </x:c>
      <x:c r="L420" s="24" t="str"/>
      <x:c r="M420" s="24" t="n">
        <x:v>46256.6280787037</x:v>
      </x:c>
      <x:c r="N420" s="24" t="n">
        <x:v>46268.86863425926</x:v>
      </x:c>
      <x:c r="O420" s="40" t="b">
        <x:v>0</x:v>
      </x:c>
      <x:c r="P420" s="42" t="str">
        <x:v>current_snapshot_diagnostic_only</x:v>
      </x:c>
    </x:row>
    <x:row r="421">
      <x:c r="A421" s="23" t="str">
        <x:v>acfb519ac6a5f9ec1e3a</x:v>
      </x:c>
      <x:c r="B421" s="23" t="str">
        <x:v>SFO_AIR_PASSENGERS</x:v>
      </x:c>
      <x:c r="C421" s="23" t="str">
        <x:v>City and County of San Francisco</x:v>
      </x:c>
      <x:c r="D421" s="23" t="str">
        <x:v>United States</x:v>
      </x:c>
      <x:c r="E421" s="23" t="str">
        <x:v>San Francisco International Airport</x:v>
      </x:c>
      <x:c r="F421" s="23" t="str">
        <x:v>2024-12</x:v>
      </x:c>
      <x:c r="G421" s="23" t="str">
        <x:v>Deplaned</x:v>
      </x:c>
      <x:c r="H421" s="23" t="str">
        <x:v>International</x:v>
      </x:c>
      <x:c r="I421" s="23" t="str">
        <x:v>Deplaned</x:v>
      </x:c>
      <x:c r="J421" s="72" t="n">
        <x:v>631829</x:v>
      </x:c>
      <x:c r="K421" s="23" t="str">
        <x:v>passengers</x:v>
      </x:c>
      <x:c r="L421" s="24" t="str"/>
      <x:c r="M421" s="24" t="n">
        <x:v>46256.6280787037</x:v>
      </x:c>
      <x:c r="N421" s="24" t="n">
        <x:v>46268.86863425926</x:v>
      </x:c>
      <x:c r="O421" s="40" t="b">
        <x:v>1</x:v>
      </x:c>
      <x:c r="P421" s="42" t="str">
        <x:v>current_snapshot_diagnostic_only</x:v>
      </x:c>
    </x:row>
    <x:row r="422">
      <x:c r="A422" s="23" t="str">
        <x:v>290d19af1e7bca14df7a</x:v>
      </x:c>
      <x:c r="B422" s="23" t="str">
        <x:v>SFO_AIR_PASSENGERS</x:v>
      </x:c>
      <x:c r="C422" s="23" t="str">
        <x:v>City and County of San Francisco</x:v>
      </x:c>
      <x:c r="D422" s="23" t="str">
        <x:v>United States</x:v>
      </x:c>
      <x:c r="E422" s="23" t="str">
        <x:v>San Francisco International Airport</x:v>
      </x:c>
      <x:c r="F422" s="23" t="str">
        <x:v>2024-12</x:v>
      </x:c>
      <x:c r="G422" s="23" t="str">
        <x:v>Enplaned</x:v>
      </x:c>
      <x:c r="H422" s="23" t="str">
        <x:v>International</x:v>
      </x:c>
      <x:c r="I422" s="23" t="str">
        <x:v>Enplaned</x:v>
      </x:c>
      <x:c r="J422" s="72" t="n">
        <x:v>677897</x:v>
      </x:c>
      <x:c r="K422" s="23" t="str">
        <x:v>passengers</x:v>
      </x:c>
      <x:c r="L422" s="24" t="str"/>
      <x:c r="M422" s="24" t="n">
        <x:v>46256.6280787037</x:v>
      </x:c>
      <x:c r="N422" s="24" t="n">
        <x:v>46268.86863425926</x:v>
      </x:c>
      <x:c r="O422" s="40" t="b">
        <x:v>1</x:v>
      </x:c>
      <x:c r="P422" s="42" t="str">
        <x:v>current_snapshot_diagnostic_only</x:v>
      </x:c>
    </x:row>
    <x:row r="423">
      <x:c r="A423" s="23" t="str">
        <x:v>00e4212a641325e052ed</x:v>
      </x:c>
      <x:c r="B423" s="23" t="str">
        <x:v>SFO_AIR_PASSENGERS</x:v>
      </x:c>
      <x:c r="C423" s="23" t="str">
        <x:v>City and County of San Francisco</x:v>
      </x:c>
      <x:c r="D423" s="23" t="str">
        <x:v>United States</x:v>
      </x:c>
      <x:c r="E423" s="23" t="str">
        <x:v>San Francisco International Airport</x:v>
      </x:c>
      <x:c r="F423" s="23" t="str">
        <x:v>2024-12</x:v>
      </x:c>
      <x:c r="G423" s="23" t="str">
        <x:v>Thru / Transit</x:v>
      </x:c>
      <x:c r="H423" s="23" t="str">
        <x:v>International</x:v>
      </x:c>
      <x:c r="I423" s="23" t="str">
        <x:v>Thru / Transit</x:v>
      </x:c>
      <x:c r="J423" s="72" t="n">
        <x:v>5594</x:v>
      </x:c>
      <x:c r="K423" s="23" t="str">
        <x:v>passengers</x:v>
      </x:c>
      <x:c r="L423" s="24" t="str"/>
      <x:c r="M423" s="24" t="n">
        <x:v>46256.6280787037</x:v>
      </x:c>
      <x:c r="N423" s="24" t="n">
        <x:v>46268.86863425926</x:v>
      </x:c>
      <x:c r="O423" s="40" t="b">
        <x:v>0</x:v>
      </x:c>
      <x:c r="P423" s="42" t="str">
        <x:v>current_snapshot_diagnostic_only</x:v>
      </x:c>
    </x:row>
    <x:row r="424">
      <x:c r="A424" s="23" t="str">
        <x:v>70b5fe38663968271b20</x:v>
      </x:c>
      <x:c r="B424" s="23" t="str">
        <x:v>SFO_AIR_PASSENGERS</x:v>
      </x:c>
      <x:c r="C424" s="23" t="str">
        <x:v>City and County of San Francisco</x:v>
      </x:c>
      <x:c r="D424" s="23" t="str">
        <x:v>United States</x:v>
      </x:c>
      <x:c r="E424" s="23" t="str">
        <x:v>San Francisco International Airport</x:v>
      </x:c>
      <x:c r="F424" s="23" t="str">
        <x:v>2025-01</x:v>
      </x:c>
      <x:c r="G424" s="23" t="str">
        <x:v>Deplaned</x:v>
      </x:c>
      <x:c r="H424" s="23" t="str">
        <x:v>Domestic</x:v>
      </x:c>
      <x:c r="I424" s="23" t="str">
        <x:v>Deplaned</x:v>
      </x:c>
      <x:c r="J424" s="72" t="n">
        <x:v>1408687</x:v>
      </x:c>
      <x:c r="K424" s="23" t="str">
        <x:v>passengers</x:v>
      </x:c>
      <x:c r="L424" s="24" t="str"/>
      <x:c r="M424" s="24" t="n">
        <x:v>46256.6280787037</x:v>
      </x:c>
      <x:c r="N424" s="24" t="n">
        <x:v>46268.86863425926</x:v>
      </x:c>
      <x:c r="O424" s="40" t="b">
        <x:v>1</x:v>
      </x:c>
      <x:c r="P424" s="42" t="str">
        <x:v>current_snapshot_diagnostic_only</x:v>
      </x:c>
    </x:row>
    <x:row r="425">
      <x:c r="A425" s="23" t="str">
        <x:v>73eb634ad6c70be39660</x:v>
      </x:c>
      <x:c r="B425" s="23" t="str">
        <x:v>SFO_AIR_PASSENGERS</x:v>
      </x:c>
      <x:c r="C425" s="23" t="str">
        <x:v>City and County of San Francisco</x:v>
      </x:c>
      <x:c r="D425" s="23" t="str">
        <x:v>United States</x:v>
      </x:c>
      <x:c r="E425" s="23" t="str">
        <x:v>San Francisco International Airport</x:v>
      </x:c>
      <x:c r="F425" s="23" t="str">
        <x:v>2025-01</x:v>
      </x:c>
      <x:c r="G425" s="23" t="str">
        <x:v>Enplaned</x:v>
      </x:c>
      <x:c r="H425" s="23" t="str">
        <x:v>Domestic</x:v>
      </x:c>
      <x:c r="I425" s="23" t="str">
        <x:v>Enplaned</x:v>
      </x:c>
      <x:c r="J425" s="72" t="n">
        <x:v>1345740</x:v>
      </x:c>
      <x:c r="K425" s="23" t="str">
        <x:v>passengers</x:v>
      </x:c>
      <x:c r="L425" s="24" t="str"/>
      <x:c r="M425" s="24" t="n">
        <x:v>46256.6280787037</x:v>
      </x:c>
      <x:c r="N425" s="24" t="n">
        <x:v>46268.86863425926</x:v>
      </x:c>
      <x:c r="O425" s="40" t="b">
        <x:v>1</x:v>
      </x:c>
      <x:c r="P425" s="42" t="str">
        <x:v>current_snapshot_diagnostic_only</x:v>
      </x:c>
    </x:row>
    <x:row r="426">
      <x:c r="A426" s="23" t="str">
        <x:v>7cc84fcaa52b5a829f21</x:v>
      </x:c>
      <x:c r="B426" s="23" t="str">
        <x:v>SFO_AIR_PASSENGERS</x:v>
      </x:c>
      <x:c r="C426" s="23" t="str">
        <x:v>City and County of San Francisco</x:v>
      </x:c>
      <x:c r="D426" s="23" t="str">
        <x:v>United States</x:v>
      </x:c>
      <x:c r="E426" s="23" t="str">
        <x:v>San Francisco International Airport</x:v>
      </x:c>
      <x:c r="F426" s="23" t="str">
        <x:v>2025-01</x:v>
      </x:c>
      <x:c r="G426" s="23" t="str">
        <x:v>Thru / Transit</x:v>
      </x:c>
      <x:c r="H426" s="23" t="str">
        <x:v>Domestic</x:v>
      </x:c>
      <x:c r="I426" s="23" t="str">
        <x:v>Thru / Transit</x:v>
      </x:c>
      <x:c r="J426" s="72" t="n">
        <x:v>1245</x:v>
      </x:c>
      <x:c r="K426" s="23" t="str">
        <x:v>passengers</x:v>
      </x:c>
      <x:c r="L426" s="24" t="str"/>
      <x:c r="M426" s="24" t="n">
        <x:v>46256.6280787037</x:v>
      </x:c>
      <x:c r="N426" s="24" t="n">
        <x:v>46268.86863425926</x:v>
      </x:c>
      <x:c r="O426" s="40" t="b">
        <x:v>0</x:v>
      </x:c>
      <x:c r="P426" s="42" t="str">
        <x:v>current_snapshot_diagnostic_only</x:v>
      </x:c>
    </x:row>
    <x:row r="427">
      <x:c r="A427" s="23" t="str">
        <x:v>f2872dd2244b86723da5</x:v>
      </x:c>
      <x:c r="B427" s="23" t="str">
        <x:v>SFO_AIR_PASSENGERS</x:v>
      </x:c>
      <x:c r="C427" s="23" t="str">
        <x:v>City and County of San Francisco</x:v>
      </x:c>
      <x:c r="D427" s="23" t="str">
        <x:v>United States</x:v>
      </x:c>
      <x:c r="E427" s="23" t="str">
        <x:v>San Francisco International Airport</x:v>
      </x:c>
      <x:c r="F427" s="23" t="str">
        <x:v>2025-01</x:v>
      </x:c>
      <x:c r="G427" s="23" t="str">
        <x:v>Deplaned</x:v>
      </x:c>
      <x:c r="H427" s="23" t="str">
        <x:v>International</x:v>
      </x:c>
      <x:c r="I427" s="23" t="str">
        <x:v>Deplaned</x:v>
      </x:c>
      <x:c r="J427" s="72" t="n">
        <x:v>664455</x:v>
      </x:c>
      <x:c r="K427" s="23" t="str">
        <x:v>passengers</x:v>
      </x:c>
      <x:c r="L427" s="24" t="str"/>
      <x:c r="M427" s="24" t="n">
        <x:v>46256.6280787037</x:v>
      </x:c>
      <x:c r="N427" s="24" t="n">
        <x:v>46268.86863425926</x:v>
      </x:c>
      <x:c r="O427" s="40" t="b">
        <x:v>1</x:v>
      </x:c>
      <x:c r="P427" s="42" t="str">
        <x:v>current_snapshot_diagnostic_only</x:v>
      </x:c>
    </x:row>
    <x:row r="428">
      <x:c r="A428" s="23" t="str">
        <x:v>853f3746ad7e2b1378e2</x:v>
      </x:c>
      <x:c r="B428" s="23" t="str">
        <x:v>SFO_AIR_PASSENGERS</x:v>
      </x:c>
      <x:c r="C428" s="23" t="str">
        <x:v>City and County of San Francisco</x:v>
      </x:c>
      <x:c r="D428" s="23" t="str">
        <x:v>United States</x:v>
      </x:c>
      <x:c r="E428" s="23" t="str">
        <x:v>San Francisco International Airport</x:v>
      </x:c>
      <x:c r="F428" s="23" t="str">
        <x:v>2025-01</x:v>
      </x:c>
      <x:c r="G428" s="23" t="str">
        <x:v>Enplaned</x:v>
      </x:c>
      <x:c r="H428" s="23" t="str">
        <x:v>International</x:v>
      </x:c>
      <x:c r="I428" s="23" t="str">
        <x:v>Enplaned</x:v>
      </x:c>
      <x:c r="J428" s="72" t="n">
        <x:v>600429</x:v>
      </x:c>
      <x:c r="K428" s="23" t="str">
        <x:v>passengers</x:v>
      </x:c>
      <x:c r="L428" s="24" t="str"/>
      <x:c r="M428" s="24" t="n">
        <x:v>46256.6280787037</x:v>
      </x:c>
      <x:c r="N428" s="24" t="n">
        <x:v>46268.86863425926</x:v>
      </x:c>
      <x:c r="O428" s="40" t="b">
        <x:v>1</x:v>
      </x:c>
      <x:c r="P428" s="42" t="str">
        <x:v>current_snapshot_diagnostic_only</x:v>
      </x:c>
    </x:row>
    <x:row r="429">
      <x:c r="A429" s="23" t="str">
        <x:v>4a3a6940562d0785f864</x:v>
      </x:c>
      <x:c r="B429" s="23" t="str">
        <x:v>SFO_AIR_PASSENGERS</x:v>
      </x:c>
      <x:c r="C429" s="23" t="str">
        <x:v>City and County of San Francisco</x:v>
      </x:c>
      <x:c r="D429" s="23" t="str">
        <x:v>United States</x:v>
      </x:c>
      <x:c r="E429" s="23" t="str">
        <x:v>San Francisco International Airport</x:v>
      </x:c>
      <x:c r="F429" s="23" t="str">
        <x:v>2025-01</x:v>
      </x:c>
      <x:c r="G429" s="23" t="str">
        <x:v>Thru / Transit</x:v>
      </x:c>
      <x:c r="H429" s="23" t="str">
        <x:v>International</x:v>
      </x:c>
      <x:c r="I429" s="23" t="str">
        <x:v>Thru / Transit</x:v>
      </x:c>
      <x:c r="J429" s="72" t="n">
        <x:v>5259</x:v>
      </x:c>
      <x:c r="K429" s="23" t="str">
        <x:v>passengers</x:v>
      </x:c>
      <x:c r="L429" s="24" t="str"/>
      <x:c r="M429" s="24" t="n">
        <x:v>46256.6280787037</x:v>
      </x:c>
      <x:c r="N429" s="24" t="n">
        <x:v>46268.86863425926</x:v>
      </x:c>
      <x:c r="O429" s="40" t="b">
        <x:v>0</x:v>
      </x:c>
      <x:c r="P429" s="42" t="str">
        <x:v>current_snapshot_diagnostic_only</x:v>
      </x:c>
    </x:row>
    <x:row r="430">
      <x:c r="A430" s="23" t="str">
        <x:v>abd2055c33ebda978633</x:v>
      </x:c>
      <x:c r="B430" s="23" t="str">
        <x:v>SFO_AIR_PASSENGERS</x:v>
      </x:c>
      <x:c r="C430" s="23" t="str">
        <x:v>City and County of San Francisco</x:v>
      </x:c>
      <x:c r="D430" s="23" t="str">
        <x:v>United States</x:v>
      </x:c>
      <x:c r="E430" s="23" t="str">
        <x:v>San Francisco International Airport</x:v>
      </x:c>
      <x:c r="F430" s="23" t="str">
        <x:v>2025-02</x:v>
      </x:c>
      <x:c r="G430" s="23" t="str">
        <x:v>Deplaned</x:v>
      </x:c>
      <x:c r="H430" s="23" t="str">
        <x:v>Domestic</x:v>
      </x:c>
      <x:c r="I430" s="23" t="str">
        <x:v>Deplaned</x:v>
      </x:c>
      <x:c r="J430" s="72" t="n">
        <x:v>1248027</x:v>
      </x:c>
      <x:c r="K430" s="23" t="str">
        <x:v>passengers</x:v>
      </x:c>
      <x:c r="L430" s="24" t="str"/>
      <x:c r="M430" s="24" t="n">
        <x:v>46256.6280787037</x:v>
      </x:c>
      <x:c r="N430" s="24" t="n">
        <x:v>46268.86863425926</x:v>
      </x:c>
      <x:c r="O430" s="40" t="b">
        <x:v>1</x:v>
      </x:c>
      <x:c r="P430" s="42" t="str">
        <x:v>current_snapshot_diagnostic_only</x:v>
      </x:c>
    </x:row>
    <x:row r="431">
      <x:c r="A431" s="23" t="str">
        <x:v>8f9d095bfc07e32d930c</x:v>
      </x:c>
      <x:c r="B431" s="23" t="str">
        <x:v>SFO_AIR_PASSENGERS</x:v>
      </x:c>
      <x:c r="C431" s="23" t="str">
        <x:v>City and County of San Francisco</x:v>
      </x:c>
      <x:c r="D431" s="23" t="str">
        <x:v>United States</x:v>
      </x:c>
      <x:c r="E431" s="23" t="str">
        <x:v>San Francisco International Airport</x:v>
      </x:c>
      <x:c r="F431" s="23" t="str">
        <x:v>2025-02</x:v>
      </x:c>
      <x:c r="G431" s="23" t="str">
        <x:v>Enplaned</x:v>
      </x:c>
      <x:c r="H431" s="23" t="str">
        <x:v>Domestic</x:v>
      </x:c>
      <x:c r="I431" s="23" t="str">
        <x:v>Enplaned</x:v>
      </x:c>
      <x:c r="J431" s="72" t="n">
        <x:v>1262859</x:v>
      </x:c>
      <x:c r="K431" s="23" t="str">
        <x:v>passengers</x:v>
      </x:c>
      <x:c r="L431" s="24" t="str"/>
      <x:c r="M431" s="24" t="n">
        <x:v>46256.6280787037</x:v>
      </x:c>
      <x:c r="N431" s="24" t="n">
        <x:v>46268.86863425926</x:v>
      </x:c>
      <x:c r="O431" s="40" t="b">
        <x:v>1</x:v>
      </x:c>
      <x:c r="P431" s="42" t="str">
        <x:v>current_snapshot_diagnostic_only</x:v>
      </x:c>
    </x:row>
    <x:row r="432">
      <x:c r="A432" s="23" t="str">
        <x:v>e602c2f87e55442e6d55</x:v>
      </x:c>
      <x:c r="B432" s="23" t="str">
        <x:v>SFO_AIR_PASSENGERS</x:v>
      </x:c>
      <x:c r="C432" s="23" t="str">
        <x:v>City and County of San Francisco</x:v>
      </x:c>
      <x:c r="D432" s="23" t="str">
        <x:v>United States</x:v>
      </x:c>
      <x:c r="E432" s="23" t="str">
        <x:v>San Francisco International Airport</x:v>
      </x:c>
      <x:c r="F432" s="23" t="str">
        <x:v>2025-02</x:v>
      </x:c>
      <x:c r="G432" s="23" t="str">
        <x:v>Thru / Transit</x:v>
      </x:c>
      <x:c r="H432" s="23" t="str">
        <x:v>Domestic</x:v>
      </x:c>
      <x:c r="I432" s="23" t="str">
        <x:v>Thru / Transit</x:v>
      </x:c>
      <x:c r="J432" s="72" t="n">
        <x:v>59</x:v>
      </x:c>
      <x:c r="K432" s="23" t="str">
        <x:v>passengers</x:v>
      </x:c>
      <x:c r="L432" s="24" t="str"/>
      <x:c r="M432" s="24" t="n">
        <x:v>46256.6280787037</x:v>
      </x:c>
      <x:c r="N432" s="24" t="n">
        <x:v>46268.86863425926</x:v>
      </x:c>
      <x:c r="O432" s="40" t="b">
        <x:v>0</x:v>
      </x:c>
      <x:c r="P432" s="42" t="str">
        <x:v>current_snapshot_diagnostic_only</x:v>
      </x:c>
    </x:row>
    <x:row r="433">
      <x:c r="A433" s="23" t="str">
        <x:v>75feebc8e2b0476c5f61</x:v>
      </x:c>
      <x:c r="B433" s="23" t="str">
        <x:v>SFO_AIR_PASSENGERS</x:v>
      </x:c>
      <x:c r="C433" s="23" t="str">
        <x:v>City and County of San Francisco</x:v>
      </x:c>
      <x:c r="D433" s="23" t="str">
        <x:v>United States</x:v>
      </x:c>
      <x:c r="E433" s="23" t="str">
        <x:v>San Francisco International Airport</x:v>
      </x:c>
      <x:c r="F433" s="23" t="str">
        <x:v>2025-02</x:v>
      </x:c>
      <x:c r="G433" s="23" t="str">
        <x:v>Deplaned</x:v>
      </x:c>
      <x:c r="H433" s="23" t="str">
        <x:v>International</x:v>
      </x:c>
      <x:c r="I433" s="23" t="str">
        <x:v>Deplaned</x:v>
      </x:c>
      <x:c r="J433" s="72" t="n">
        <x:v>516544</x:v>
      </x:c>
      <x:c r="K433" s="23" t="str">
        <x:v>passengers</x:v>
      </x:c>
      <x:c r="L433" s="24" t="str"/>
      <x:c r="M433" s="24" t="n">
        <x:v>46256.6280787037</x:v>
      </x:c>
      <x:c r="N433" s="24" t="n">
        <x:v>46268.86863425926</x:v>
      </x:c>
      <x:c r="O433" s="40" t="b">
        <x:v>1</x:v>
      </x:c>
      <x:c r="P433" s="42" t="str">
        <x:v>current_snapshot_diagnostic_only</x:v>
      </x:c>
    </x:row>
    <x:row r="434">
      <x:c r="A434" s="23" t="str">
        <x:v>0dd5a4c34745a5b5cedb</x:v>
      </x:c>
      <x:c r="B434" s="23" t="str">
        <x:v>SFO_AIR_PASSENGERS</x:v>
      </x:c>
      <x:c r="C434" s="23" t="str">
        <x:v>City and County of San Francisco</x:v>
      </x:c>
      <x:c r="D434" s="23" t="str">
        <x:v>United States</x:v>
      </x:c>
      <x:c r="E434" s="23" t="str">
        <x:v>San Francisco International Airport</x:v>
      </x:c>
      <x:c r="F434" s="23" t="str">
        <x:v>2025-02</x:v>
      </x:c>
      <x:c r="G434" s="23" t="str">
        <x:v>Enplaned</x:v>
      </x:c>
      <x:c r="H434" s="23" t="str">
        <x:v>International</x:v>
      </x:c>
      <x:c r="I434" s="23" t="str">
        <x:v>Enplaned</x:v>
      </x:c>
      <x:c r="J434" s="72" t="n">
        <x:v>513192</x:v>
      </x:c>
      <x:c r="K434" s="23" t="str">
        <x:v>passengers</x:v>
      </x:c>
      <x:c r="L434" s="24" t="str"/>
      <x:c r="M434" s="24" t="n">
        <x:v>46256.6280787037</x:v>
      </x:c>
      <x:c r="N434" s="24" t="n">
        <x:v>46268.86863425926</x:v>
      </x:c>
      <x:c r="O434" s="40" t="b">
        <x:v>1</x:v>
      </x:c>
      <x:c r="P434" s="42" t="str">
        <x:v>current_snapshot_diagnostic_only</x:v>
      </x:c>
    </x:row>
    <x:row r="435">
      <x:c r="A435" s="23" t="str">
        <x:v>756758f349da23c46a78</x:v>
      </x:c>
      <x:c r="B435" s="23" t="str">
        <x:v>SFO_AIR_PASSENGERS</x:v>
      </x:c>
      <x:c r="C435" s="23" t="str">
        <x:v>City and County of San Francisco</x:v>
      </x:c>
      <x:c r="D435" s="23" t="str">
        <x:v>United States</x:v>
      </x:c>
      <x:c r="E435" s="23" t="str">
        <x:v>San Francisco International Airport</x:v>
      </x:c>
      <x:c r="F435" s="23" t="str">
        <x:v>2025-02</x:v>
      </x:c>
      <x:c r="G435" s="23" t="str">
        <x:v>Thru / Transit</x:v>
      </x:c>
      <x:c r="H435" s="23" t="str">
        <x:v>International</x:v>
      </x:c>
      <x:c r="I435" s="23" t="str">
        <x:v>Thru / Transit</x:v>
      </x:c>
      <x:c r="J435" s="72" t="n">
        <x:v>4159</x:v>
      </x:c>
      <x:c r="K435" s="23" t="str">
        <x:v>passengers</x:v>
      </x:c>
      <x:c r="L435" s="24" t="str"/>
      <x:c r="M435" s="24" t="n">
        <x:v>46256.6280787037</x:v>
      </x:c>
      <x:c r="N435" s="24" t="n">
        <x:v>46268.86863425926</x:v>
      </x:c>
      <x:c r="O435" s="40" t="b">
        <x:v>0</x:v>
      </x:c>
      <x:c r="P435" s="42" t="str">
        <x:v>current_snapshot_diagnostic_only</x:v>
      </x:c>
    </x:row>
    <x:row r="436">
      <x:c r="A436" s="23" t="str">
        <x:v>542fdfaa79e5914adc43</x:v>
      </x:c>
      <x:c r="B436" s="23" t="str">
        <x:v>SFO_AIR_PASSENGERS</x:v>
      </x:c>
      <x:c r="C436" s="23" t="str">
        <x:v>City and County of San Francisco</x:v>
      </x:c>
      <x:c r="D436" s="23" t="str">
        <x:v>United States</x:v>
      </x:c>
      <x:c r="E436" s="23" t="str">
        <x:v>San Francisco International Airport</x:v>
      </x:c>
      <x:c r="F436" s="23" t="str">
        <x:v>2025-03</x:v>
      </x:c>
      <x:c r="G436" s="23" t="str">
        <x:v>Deplaned</x:v>
      </x:c>
      <x:c r="H436" s="23" t="str">
        <x:v>Domestic</x:v>
      </x:c>
      <x:c r="I436" s="23" t="str">
        <x:v>Deplaned</x:v>
      </x:c>
      <x:c r="J436" s="72" t="n">
        <x:v>1508643</x:v>
      </x:c>
      <x:c r="K436" s="23" t="str">
        <x:v>passengers</x:v>
      </x:c>
      <x:c r="L436" s="24" t="str"/>
      <x:c r="M436" s="24" t="n">
        <x:v>46256.6280787037</x:v>
      </x:c>
      <x:c r="N436" s="24" t="n">
        <x:v>46268.86863425926</x:v>
      </x:c>
      <x:c r="O436" s="40" t="b">
        <x:v>1</x:v>
      </x:c>
      <x:c r="P436" s="42" t="str">
        <x:v>current_snapshot_diagnostic_only</x:v>
      </x:c>
    </x:row>
    <x:row r="437">
      <x:c r="A437" s="23" t="str">
        <x:v>1be9763242f4a057e0f6</x:v>
      </x:c>
      <x:c r="B437" s="23" t="str">
        <x:v>SFO_AIR_PASSENGERS</x:v>
      </x:c>
      <x:c r="C437" s="23" t="str">
        <x:v>City and County of San Francisco</x:v>
      </x:c>
      <x:c r="D437" s="23" t="str">
        <x:v>United States</x:v>
      </x:c>
      <x:c r="E437" s="23" t="str">
        <x:v>San Francisco International Airport</x:v>
      </x:c>
      <x:c r="F437" s="23" t="str">
        <x:v>2025-03</x:v>
      </x:c>
      <x:c r="G437" s="23" t="str">
        <x:v>Enplaned</x:v>
      </x:c>
      <x:c r="H437" s="23" t="str">
        <x:v>Domestic</x:v>
      </x:c>
      <x:c r="I437" s="23" t="str">
        <x:v>Enplaned</x:v>
      </x:c>
      <x:c r="J437" s="72" t="n">
        <x:v>1527213</x:v>
      </x:c>
      <x:c r="K437" s="23" t="str">
        <x:v>passengers</x:v>
      </x:c>
      <x:c r="L437" s="24" t="str"/>
      <x:c r="M437" s="24" t="n">
        <x:v>46256.6280787037</x:v>
      </x:c>
      <x:c r="N437" s="24" t="n">
        <x:v>46268.86863425926</x:v>
      </x:c>
      <x:c r="O437" s="40" t="b">
        <x:v>1</x:v>
      </x:c>
      <x:c r="P437" s="42" t="str">
        <x:v>current_snapshot_diagnostic_only</x:v>
      </x:c>
    </x:row>
    <x:row r="438">
      <x:c r="A438" s="23" t="str">
        <x:v>b6e5fce54e9d546b454d</x:v>
      </x:c>
      <x:c r="B438" s="23" t="str">
        <x:v>SFO_AIR_PASSENGERS</x:v>
      </x:c>
      <x:c r="C438" s="23" t="str">
        <x:v>City and County of San Francisco</x:v>
      </x:c>
      <x:c r="D438" s="23" t="str">
        <x:v>United States</x:v>
      </x:c>
      <x:c r="E438" s="23" t="str">
        <x:v>San Francisco International Airport</x:v>
      </x:c>
      <x:c r="F438" s="23" t="str">
        <x:v>2025-03</x:v>
      </x:c>
      <x:c r="G438" s="23" t="str">
        <x:v>Thru / Transit</x:v>
      </x:c>
      <x:c r="H438" s="23" t="str">
        <x:v>Domestic</x:v>
      </x:c>
      <x:c r="I438" s="23" t="str">
        <x:v>Thru / Transit</x:v>
      </x:c>
      <x:c r="J438" s="72" t="n">
        <x:v>498</x:v>
      </x:c>
      <x:c r="K438" s="23" t="str">
        <x:v>passengers</x:v>
      </x:c>
      <x:c r="L438" s="24" t="str"/>
      <x:c r="M438" s="24" t="n">
        <x:v>46256.6280787037</x:v>
      </x:c>
      <x:c r="N438" s="24" t="n">
        <x:v>46268.86863425926</x:v>
      </x:c>
      <x:c r="O438" s="40" t="b">
        <x:v>0</x:v>
      </x:c>
      <x:c r="P438" s="42" t="str">
        <x:v>current_snapshot_diagnostic_only</x:v>
      </x:c>
    </x:row>
    <x:row r="439">
      <x:c r="A439" s="23" t="str">
        <x:v>8b2c911e719527b46e4b</x:v>
      </x:c>
      <x:c r="B439" s="23" t="str">
        <x:v>SFO_AIR_PASSENGERS</x:v>
      </x:c>
      <x:c r="C439" s="23" t="str">
        <x:v>City and County of San Francisco</x:v>
      </x:c>
      <x:c r="D439" s="23" t="str">
        <x:v>United States</x:v>
      </x:c>
      <x:c r="E439" s="23" t="str">
        <x:v>San Francisco International Airport</x:v>
      </x:c>
      <x:c r="F439" s="23" t="str">
        <x:v>2025-03</x:v>
      </x:c>
      <x:c r="G439" s="23" t="str">
        <x:v>Deplaned</x:v>
      </x:c>
      <x:c r="H439" s="23" t="str">
        <x:v>International</x:v>
      </x:c>
      <x:c r="I439" s="23" t="str">
        <x:v>Deplaned</x:v>
      </x:c>
      <x:c r="J439" s="72" t="n">
        <x:v>622500</x:v>
      </x:c>
      <x:c r="K439" s="23" t="str">
        <x:v>passengers</x:v>
      </x:c>
      <x:c r="L439" s="24" t="str"/>
      <x:c r="M439" s="24" t="n">
        <x:v>46256.6280787037</x:v>
      </x:c>
      <x:c r="N439" s="24" t="n">
        <x:v>46268.86863425926</x:v>
      </x:c>
      <x:c r="O439" s="40" t="b">
        <x:v>1</x:v>
      </x:c>
      <x:c r="P439" s="42" t="str">
        <x:v>current_snapshot_diagnostic_only</x:v>
      </x:c>
    </x:row>
    <x:row r="440">
      <x:c r="A440" s="23" t="str">
        <x:v>af37ed07e80c47b810ee</x:v>
      </x:c>
      <x:c r="B440" s="23" t="str">
        <x:v>SFO_AIR_PASSENGERS</x:v>
      </x:c>
      <x:c r="C440" s="23" t="str">
        <x:v>City and County of San Francisco</x:v>
      </x:c>
      <x:c r="D440" s="23" t="str">
        <x:v>United States</x:v>
      </x:c>
      <x:c r="E440" s="23" t="str">
        <x:v>San Francisco International Airport</x:v>
      </x:c>
      <x:c r="F440" s="23" t="str">
        <x:v>2025-03</x:v>
      </x:c>
      <x:c r="G440" s="23" t="str">
        <x:v>Enplaned</x:v>
      </x:c>
      <x:c r="H440" s="23" t="str">
        <x:v>International</x:v>
      </x:c>
      <x:c r="I440" s="23" t="str">
        <x:v>Enplaned</x:v>
      </x:c>
      <x:c r="J440" s="72" t="n">
        <x:v>613597</x:v>
      </x:c>
      <x:c r="K440" s="23" t="str">
        <x:v>passengers</x:v>
      </x:c>
      <x:c r="L440" s="24" t="str"/>
      <x:c r="M440" s="24" t="n">
        <x:v>46256.6280787037</x:v>
      </x:c>
      <x:c r="N440" s="24" t="n">
        <x:v>46268.86863425926</x:v>
      </x:c>
      <x:c r="O440" s="40" t="b">
        <x:v>1</x:v>
      </x:c>
      <x:c r="P440" s="42" t="str">
        <x:v>current_snapshot_diagnostic_only</x:v>
      </x:c>
    </x:row>
    <x:row r="441">
      <x:c r="A441" s="23" t="str">
        <x:v>53c5d90a6fb4060e9cec</x:v>
      </x:c>
      <x:c r="B441" s="23" t="str">
        <x:v>SFO_AIR_PASSENGERS</x:v>
      </x:c>
      <x:c r="C441" s="23" t="str">
        <x:v>City and County of San Francisco</x:v>
      </x:c>
      <x:c r="D441" s="23" t="str">
        <x:v>United States</x:v>
      </x:c>
      <x:c r="E441" s="23" t="str">
        <x:v>San Francisco International Airport</x:v>
      </x:c>
      <x:c r="F441" s="23" t="str">
        <x:v>2025-03</x:v>
      </x:c>
      <x:c r="G441" s="23" t="str">
        <x:v>Thru / Transit</x:v>
      </x:c>
      <x:c r="H441" s="23" t="str">
        <x:v>International</x:v>
      </x:c>
      <x:c r="I441" s="23" t="str">
        <x:v>Thru / Transit</x:v>
      </x:c>
      <x:c r="J441" s="72" t="n">
        <x:v>4480</x:v>
      </x:c>
      <x:c r="K441" s="23" t="str">
        <x:v>passengers</x:v>
      </x:c>
      <x:c r="L441" s="24" t="str"/>
      <x:c r="M441" s="24" t="n">
        <x:v>46256.6280787037</x:v>
      </x:c>
      <x:c r="N441" s="24" t="n">
        <x:v>46268.86863425926</x:v>
      </x:c>
      <x:c r="O441" s="40" t="b">
        <x:v>0</x:v>
      </x:c>
      <x:c r="P441" s="42" t="str">
        <x:v>current_snapshot_diagnostic_only</x:v>
      </x:c>
    </x:row>
    <x:row r="442">
      <x:c r="A442" s="23" t="str">
        <x:v>805eae9452cf7bc99675</x:v>
      </x:c>
      <x:c r="B442" s="23" t="str">
        <x:v>SFO_AIR_PASSENGERS</x:v>
      </x:c>
      <x:c r="C442" s="23" t="str">
        <x:v>City and County of San Francisco</x:v>
      </x:c>
      <x:c r="D442" s="23" t="str">
        <x:v>United States</x:v>
      </x:c>
      <x:c r="E442" s="23" t="str">
        <x:v>San Francisco International Airport</x:v>
      </x:c>
      <x:c r="F442" s="23" t="str">
        <x:v>2025-04</x:v>
      </x:c>
      <x:c r="G442" s="23" t="str">
        <x:v>Deplaned</x:v>
      </x:c>
      <x:c r="H442" s="23" t="str">
        <x:v>Domestic</x:v>
      </x:c>
      <x:c r="I442" s="23" t="str">
        <x:v>Deplaned</x:v>
      </x:c>
      <x:c r="J442" s="72" t="n">
        <x:v>1589361</x:v>
      </x:c>
      <x:c r="K442" s="23" t="str">
        <x:v>passengers</x:v>
      </x:c>
      <x:c r="L442" s="24" t="str"/>
      <x:c r="M442" s="24" t="n">
        <x:v>46256.6280787037</x:v>
      </x:c>
      <x:c r="N442" s="24" t="n">
        <x:v>46268.86863425926</x:v>
      </x:c>
      <x:c r="O442" s="40" t="b">
        <x:v>1</x:v>
      </x:c>
      <x:c r="P442" s="42" t="str">
        <x:v>current_snapshot_diagnostic_only</x:v>
      </x:c>
    </x:row>
    <x:row r="443">
      <x:c r="A443" s="23" t="str">
        <x:v>d98cd33ca6235b5195ad</x:v>
      </x:c>
      <x:c r="B443" s="23" t="str">
        <x:v>SFO_AIR_PASSENGERS</x:v>
      </x:c>
      <x:c r="C443" s="23" t="str">
        <x:v>City and County of San Francisco</x:v>
      </x:c>
      <x:c r="D443" s="23" t="str">
        <x:v>United States</x:v>
      </x:c>
      <x:c r="E443" s="23" t="str">
        <x:v>San Francisco International Airport</x:v>
      </x:c>
      <x:c r="F443" s="23" t="str">
        <x:v>2025-04</x:v>
      </x:c>
      <x:c r="G443" s="23" t="str">
        <x:v>Enplaned</x:v>
      </x:c>
      <x:c r="H443" s="23" t="str">
        <x:v>Domestic</x:v>
      </x:c>
      <x:c r="I443" s="23" t="str">
        <x:v>Enplaned</x:v>
      </x:c>
      <x:c r="J443" s="72" t="n">
        <x:v>1570286</x:v>
      </x:c>
      <x:c r="K443" s="23" t="str">
        <x:v>passengers</x:v>
      </x:c>
      <x:c r="L443" s="24" t="str"/>
      <x:c r="M443" s="24" t="n">
        <x:v>46256.6280787037</x:v>
      </x:c>
      <x:c r="N443" s="24" t="n">
        <x:v>46268.86863425926</x:v>
      </x:c>
      <x:c r="O443" s="40" t="b">
        <x:v>1</x:v>
      </x:c>
      <x:c r="P443" s="42" t="str">
        <x:v>current_snapshot_diagnostic_only</x:v>
      </x:c>
    </x:row>
    <x:row r="444">
      <x:c r="A444" s="23" t="str">
        <x:v>630a8851b77f37a0ffbd</x:v>
      </x:c>
      <x:c r="B444" s="23" t="str">
        <x:v>SFO_AIR_PASSENGERS</x:v>
      </x:c>
      <x:c r="C444" s="23" t="str">
        <x:v>City and County of San Francisco</x:v>
      </x:c>
      <x:c r="D444" s="23" t="str">
        <x:v>United States</x:v>
      </x:c>
      <x:c r="E444" s="23" t="str">
        <x:v>San Francisco International Airport</x:v>
      </x:c>
      <x:c r="F444" s="23" t="str">
        <x:v>2025-04</x:v>
      </x:c>
      <x:c r="G444" s="23" t="str">
        <x:v>Thru / Transit</x:v>
      </x:c>
      <x:c r="H444" s="23" t="str">
        <x:v>Domestic</x:v>
      </x:c>
      <x:c r="I444" s="23" t="str">
        <x:v>Thru / Transit</x:v>
      </x:c>
      <x:c r="J444" s="72" t="n">
        <x:v>738</x:v>
      </x:c>
      <x:c r="K444" s="23" t="str">
        <x:v>passengers</x:v>
      </x:c>
      <x:c r="L444" s="24" t="str"/>
      <x:c r="M444" s="24" t="n">
        <x:v>46256.6280787037</x:v>
      </x:c>
      <x:c r="N444" s="24" t="n">
        <x:v>46268.86863425926</x:v>
      </x:c>
      <x:c r="O444" s="40" t="b">
        <x:v>0</x:v>
      </x:c>
      <x:c r="P444" s="42" t="str">
        <x:v>current_snapshot_diagnostic_only</x:v>
      </x:c>
    </x:row>
    <x:row r="445">
      <x:c r="A445" s="23" t="str">
        <x:v>a9c8b128aa64df1ff5cc</x:v>
      </x:c>
      <x:c r="B445" s="23" t="str">
        <x:v>SFO_AIR_PASSENGERS</x:v>
      </x:c>
      <x:c r="C445" s="23" t="str">
        <x:v>City and County of San Francisco</x:v>
      </x:c>
      <x:c r="D445" s="23" t="str">
        <x:v>United States</x:v>
      </x:c>
      <x:c r="E445" s="23" t="str">
        <x:v>San Francisco International Airport</x:v>
      </x:c>
      <x:c r="F445" s="23" t="str">
        <x:v>2025-04</x:v>
      </x:c>
      <x:c r="G445" s="23" t="str">
        <x:v>Deplaned</x:v>
      </x:c>
      <x:c r="H445" s="23" t="str">
        <x:v>International</x:v>
      </x:c>
      <x:c r="I445" s="23" t="str">
        <x:v>Deplaned</x:v>
      </x:c>
      <x:c r="J445" s="72" t="n">
        <x:v>675249</x:v>
      </x:c>
      <x:c r="K445" s="23" t="str">
        <x:v>passengers</x:v>
      </x:c>
      <x:c r="L445" s="24" t="str"/>
      <x:c r="M445" s="24" t="n">
        <x:v>46256.6280787037</x:v>
      </x:c>
      <x:c r="N445" s="24" t="n">
        <x:v>46268.86863425926</x:v>
      </x:c>
      <x:c r="O445" s="40" t="b">
        <x:v>1</x:v>
      </x:c>
      <x:c r="P445" s="42" t="str">
        <x:v>current_snapshot_diagnostic_only</x:v>
      </x:c>
    </x:row>
    <x:row r="446">
      <x:c r="A446" s="23" t="str">
        <x:v>2646140c9868a37e63ca</x:v>
      </x:c>
      <x:c r="B446" s="23" t="str">
        <x:v>SFO_AIR_PASSENGERS</x:v>
      </x:c>
      <x:c r="C446" s="23" t="str">
        <x:v>City and County of San Francisco</x:v>
      </x:c>
      <x:c r="D446" s="23" t="str">
        <x:v>United States</x:v>
      </x:c>
      <x:c r="E446" s="23" t="str">
        <x:v>San Francisco International Airport</x:v>
      </x:c>
      <x:c r="F446" s="23" t="str">
        <x:v>2025-04</x:v>
      </x:c>
      <x:c r="G446" s="23" t="str">
        <x:v>Enplaned</x:v>
      </x:c>
      <x:c r="H446" s="23" t="str">
        <x:v>International</x:v>
      </x:c>
      <x:c r="I446" s="23" t="str">
        <x:v>Enplaned</x:v>
      </x:c>
      <x:c r="J446" s="72" t="n">
        <x:v>616199</x:v>
      </x:c>
      <x:c r="K446" s="23" t="str">
        <x:v>passengers</x:v>
      </x:c>
      <x:c r="L446" s="24" t="str"/>
      <x:c r="M446" s="24" t="n">
        <x:v>46256.6280787037</x:v>
      </x:c>
      <x:c r="N446" s="24" t="n">
        <x:v>46268.86863425926</x:v>
      </x:c>
      <x:c r="O446" s="40" t="b">
        <x:v>1</x:v>
      </x:c>
      <x:c r="P446" s="42" t="str">
        <x:v>current_snapshot_diagnostic_only</x:v>
      </x:c>
    </x:row>
    <x:row r="447">
      <x:c r="A447" s="23" t="str">
        <x:v>0ca5dfcb2a0859a245c1</x:v>
      </x:c>
      <x:c r="B447" s="23" t="str">
        <x:v>SFO_AIR_PASSENGERS</x:v>
      </x:c>
      <x:c r="C447" s="23" t="str">
        <x:v>City and County of San Francisco</x:v>
      </x:c>
      <x:c r="D447" s="23" t="str">
        <x:v>United States</x:v>
      </x:c>
      <x:c r="E447" s="23" t="str">
        <x:v>San Francisco International Airport</x:v>
      </x:c>
      <x:c r="F447" s="23" t="str">
        <x:v>2025-04</x:v>
      </x:c>
      <x:c r="G447" s="23" t="str">
        <x:v>Thru / Transit</x:v>
      </x:c>
      <x:c r="H447" s="23" t="str">
        <x:v>International</x:v>
      </x:c>
      <x:c r="I447" s="23" t="str">
        <x:v>Thru / Transit</x:v>
      </x:c>
      <x:c r="J447" s="72" t="n">
        <x:v>5315</x:v>
      </x:c>
      <x:c r="K447" s="23" t="str">
        <x:v>passengers</x:v>
      </x:c>
      <x:c r="L447" s="24" t="str"/>
      <x:c r="M447" s="24" t="n">
        <x:v>46256.6280787037</x:v>
      </x:c>
      <x:c r="N447" s="24" t="n">
        <x:v>46268.86863425926</x:v>
      </x:c>
      <x:c r="O447" s="40" t="b">
        <x:v>0</x:v>
      </x:c>
      <x:c r="P447" s="42" t="str">
        <x:v>current_snapshot_diagnostic_only</x:v>
      </x:c>
    </x:row>
    <x:row r="448">
      <x:c r="A448" s="23" t="str">
        <x:v>09c92d29236233324ea3</x:v>
      </x:c>
      <x:c r="B448" s="23" t="str">
        <x:v>SFO_AIR_PASSENGERS</x:v>
      </x:c>
      <x:c r="C448" s="23" t="str">
        <x:v>City and County of San Francisco</x:v>
      </x:c>
      <x:c r="D448" s="23" t="str">
        <x:v>United States</x:v>
      </x:c>
      <x:c r="E448" s="23" t="str">
        <x:v>San Francisco International Airport</x:v>
      </x:c>
      <x:c r="F448" s="23" t="str">
        <x:v>2025-05</x:v>
      </x:c>
      <x:c r="G448" s="23" t="str">
        <x:v>Deplaned</x:v>
      </x:c>
      <x:c r="H448" s="23" t="str">
        <x:v>Domestic</x:v>
      </x:c>
      <x:c r="I448" s="23" t="str">
        <x:v>Deplaned</x:v>
      </x:c>
      <x:c r="J448" s="72" t="n">
        <x:v>1753083</x:v>
      </x:c>
      <x:c r="K448" s="23" t="str">
        <x:v>passengers</x:v>
      </x:c>
      <x:c r="L448" s="24" t="str"/>
      <x:c r="M448" s="24" t="n">
        <x:v>46256.6280787037</x:v>
      </x:c>
      <x:c r="N448" s="24" t="n">
        <x:v>46268.86863425926</x:v>
      </x:c>
      <x:c r="O448" s="40" t="b">
        <x:v>1</x:v>
      </x:c>
      <x:c r="P448" s="42" t="str">
        <x:v>current_snapshot_diagnostic_only</x:v>
      </x:c>
    </x:row>
    <x:row r="449">
      <x:c r="A449" s="23" t="str">
        <x:v>efb771b1878bf4e15443</x:v>
      </x:c>
      <x:c r="B449" s="23" t="str">
        <x:v>SFO_AIR_PASSENGERS</x:v>
      </x:c>
      <x:c r="C449" s="23" t="str">
        <x:v>City and County of San Francisco</x:v>
      </x:c>
      <x:c r="D449" s="23" t="str">
        <x:v>United States</x:v>
      </x:c>
      <x:c r="E449" s="23" t="str">
        <x:v>San Francisco International Airport</x:v>
      </x:c>
      <x:c r="F449" s="23" t="str">
        <x:v>2025-05</x:v>
      </x:c>
      <x:c r="G449" s="23" t="str">
        <x:v>Enplaned</x:v>
      </x:c>
      <x:c r="H449" s="23" t="str">
        <x:v>Domestic</x:v>
      </x:c>
      <x:c r="I449" s="23" t="str">
        <x:v>Enplaned</x:v>
      </x:c>
      <x:c r="J449" s="72" t="n">
        <x:v>1716295</x:v>
      </x:c>
      <x:c r="K449" s="23" t="str">
        <x:v>passengers</x:v>
      </x:c>
      <x:c r="L449" s="24" t="str"/>
      <x:c r="M449" s="24" t="n">
        <x:v>46256.6280787037</x:v>
      </x:c>
      <x:c r="N449" s="24" t="n">
        <x:v>46268.86863425926</x:v>
      </x:c>
      <x:c r="O449" s="40" t="b">
        <x:v>1</x:v>
      </x:c>
      <x:c r="P449" s="42" t="str">
        <x:v>current_snapshot_diagnostic_only</x:v>
      </x:c>
    </x:row>
    <x:row r="450">
      <x:c r="A450" s="23" t="str">
        <x:v>d0ad34e18597d54d74e9</x:v>
      </x:c>
      <x:c r="B450" s="23" t="str">
        <x:v>SFO_AIR_PASSENGERS</x:v>
      </x:c>
      <x:c r="C450" s="23" t="str">
        <x:v>City and County of San Francisco</x:v>
      </x:c>
      <x:c r="D450" s="23" t="str">
        <x:v>United States</x:v>
      </x:c>
      <x:c r="E450" s="23" t="str">
        <x:v>San Francisco International Airport</x:v>
      </x:c>
      <x:c r="F450" s="23" t="str">
        <x:v>2025-05</x:v>
      </x:c>
      <x:c r="G450" s="23" t="str">
        <x:v>Thru / Transit</x:v>
      </x:c>
      <x:c r="H450" s="23" t="str">
        <x:v>Domestic</x:v>
      </x:c>
      <x:c r="I450" s="23" t="str">
        <x:v>Thru / Transit</x:v>
      </x:c>
      <x:c r="J450" s="72" t="n">
        <x:v>61</x:v>
      </x:c>
      <x:c r="K450" s="23" t="str">
        <x:v>passengers</x:v>
      </x:c>
      <x:c r="L450" s="24" t="str"/>
      <x:c r="M450" s="24" t="n">
        <x:v>46256.6280787037</x:v>
      </x:c>
      <x:c r="N450" s="24" t="n">
        <x:v>46268.86863425926</x:v>
      </x:c>
      <x:c r="O450" s="40" t="b">
        <x:v>0</x:v>
      </x:c>
      <x:c r="P450" s="42" t="str">
        <x:v>current_snapshot_diagnostic_only</x:v>
      </x:c>
    </x:row>
    <x:row r="451">
      <x:c r="A451" s="23" t="str">
        <x:v>3b3cd6a76dc5b2a9e73c</x:v>
      </x:c>
      <x:c r="B451" s="23" t="str">
        <x:v>SFO_AIR_PASSENGERS</x:v>
      </x:c>
      <x:c r="C451" s="23" t="str">
        <x:v>City and County of San Francisco</x:v>
      </x:c>
      <x:c r="D451" s="23" t="str">
        <x:v>United States</x:v>
      </x:c>
      <x:c r="E451" s="23" t="str">
        <x:v>San Francisco International Airport</x:v>
      </x:c>
      <x:c r="F451" s="23" t="str">
        <x:v>2025-05</x:v>
      </x:c>
      <x:c r="G451" s="23" t="str">
        <x:v>Deplaned</x:v>
      </x:c>
      <x:c r="H451" s="23" t="str">
        <x:v>International</x:v>
      </x:c>
      <x:c r="I451" s="23" t="str">
        <x:v>Deplaned</x:v>
      </x:c>
      <x:c r="J451" s="72" t="n">
        <x:v>663958</x:v>
      </x:c>
      <x:c r="K451" s="23" t="str">
        <x:v>passengers</x:v>
      </x:c>
      <x:c r="L451" s="24" t="str"/>
      <x:c r="M451" s="24" t="n">
        <x:v>46256.6280787037</x:v>
      </x:c>
      <x:c r="N451" s="24" t="n">
        <x:v>46268.86863425926</x:v>
      </x:c>
      <x:c r="O451" s="40" t="b">
        <x:v>1</x:v>
      </x:c>
      <x:c r="P451" s="42" t="str">
        <x:v>current_snapshot_diagnostic_only</x:v>
      </x:c>
    </x:row>
    <x:row r="452">
      <x:c r="A452" s="23" t="str">
        <x:v>b96b030a5d5ab12015fb</x:v>
      </x:c>
      <x:c r="B452" s="23" t="str">
        <x:v>SFO_AIR_PASSENGERS</x:v>
      </x:c>
      <x:c r="C452" s="23" t="str">
        <x:v>City and County of San Francisco</x:v>
      </x:c>
      <x:c r="D452" s="23" t="str">
        <x:v>United States</x:v>
      </x:c>
      <x:c r="E452" s="23" t="str">
        <x:v>San Francisco International Airport</x:v>
      </x:c>
      <x:c r="F452" s="23" t="str">
        <x:v>2025-05</x:v>
      </x:c>
      <x:c r="G452" s="23" t="str">
        <x:v>Enplaned</x:v>
      </x:c>
      <x:c r="H452" s="23" t="str">
        <x:v>International</x:v>
      </x:c>
      <x:c r="I452" s="23" t="str">
        <x:v>Enplaned</x:v>
      </x:c>
      <x:c r="J452" s="72" t="n">
        <x:v>721793</x:v>
      </x:c>
      <x:c r="K452" s="23" t="str">
        <x:v>passengers</x:v>
      </x:c>
      <x:c r="L452" s="24" t="str"/>
      <x:c r="M452" s="24" t="n">
        <x:v>46256.6280787037</x:v>
      </x:c>
      <x:c r="N452" s="24" t="n">
        <x:v>46268.86863425926</x:v>
      </x:c>
      <x:c r="O452" s="40" t="b">
        <x:v>1</x:v>
      </x:c>
      <x:c r="P452" s="42" t="str">
        <x:v>current_snapshot_diagnostic_only</x:v>
      </x:c>
    </x:row>
    <x:row r="453">
      <x:c r="A453" s="23" t="str">
        <x:v>c328c0356e9e0d054ef6</x:v>
      </x:c>
      <x:c r="B453" s="23" t="str">
        <x:v>SFO_AIR_PASSENGERS</x:v>
      </x:c>
      <x:c r="C453" s="23" t="str">
        <x:v>City and County of San Francisco</x:v>
      </x:c>
      <x:c r="D453" s="23" t="str">
        <x:v>United States</x:v>
      </x:c>
      <x:c r="E453" s="23" t="str">
        <x:v>San Francisco International Airport</x:v>
      </x:c>
      <x:c r="F453" s="23" t="str">
        <x:v>2025-05</x:v>
      </x:c>
      <x:c r="G453" s="23" t="str">
        <x:v>Thru / Transit</x:v>
      </x:c>
      <x:c r="H453" s="23" t="str">
        <x:v>International</x:v>
      </x:c>
      <x:c r="I453" s="23" t="str">
        <x:v>Thru / Transit</x:v>
      </x:c>
      <x:c r="J453" s="72" t="n">
        <x:v>6053</x:v>
      </x:c>
      <x:c r="K453" s="23" t="str">
        <x:v>passengers</x:v>
      </x:c>
      <x:c r="L453" s="24" t="str"/>
      <x:c r="M453" s="24" t="n">
        <x:v>46256.6280787037</x:v>
      </x:c>
      <x:c r="N453" s="24" t="n">
        <x:v>46268.86863425926</x:v>
      </x:c>
      <x:c r="O453" s="40" t="b">
        <x:v>0</x:v>
      </x:c>
      <x:c r="P453" s="42" t="str">
        <x:v>current_snapshot_diagnostic_only</x:v>
      </x:c>
    </x:row>
    <x:row r="454">
      <x:c r="A454" s="23" t="str">
        <x:v>d847f5b1ccd970faa2a2</x:v>
      </x:c>
      <x:c r="B454" s="23" t="str">
        <x:v>SFO_AIR_PASSENGERS</x:v>
      </x:c>
      <x:c r="C454" s="23" t="str">
        <x:v>City and County of San Francisco</x:v>
      </x:c>
      <x:c r="D454" s="23" t="str">
        <x:v>United States</x:v>
      </x:c>
      <x:c r="E454" s="23" t="str">
        <x:v>San Francisco International Airport</x:v>
      </x:c>
      <x:c r="F454" s="23" t="str">
        <x:v>2025-06</x:v>
      </x:c>
      <x:c r="G454" s="23" t="str">
        <x:v>Deplaned</x:v>
      </x:c>
      <x:c r="H454" s="23" t="str">
        <x:v>Domestic</x:v>
      </x:c>
      <x:c r="I454" s="23" t="str">
        <x:v>Deplaned</x:v>
      </x:c>
      <x:c r="J454" s="72" t="n">
        <x:v>1749920</x:v>
      </x:c>
      <x:c r="K454" s="23" t="str">
        <x:v>passengers</x:v>
      </x:c>
      <x:c r="L454" s="24" t="str"/>
      <x:c r="M454" s="24" t="n">
        <x:v>46256.6280787037</x:v>
      </x:c>
      <x:c r="N454" s="24" t="n">
        <x:v>46268.86863425926</x:v>
      </x:c>
      <x:c r="O454" s="40" t="b">
        <x:v>1</x:v>
      </x:c>
      <x:c r="P454" s="42" t="str">
        <x:v>current_snapshot_diagnostic_only</x:v>
      </x:c>
    </x:row>
    <x:row r="455">
      <x:c r="A455" s="23" t="str">
        <x:v>5af36bd872884c21119b</x:v>
      </x:c>
      <x:c r="B455" s="23" t="str">
        <x:v>SFO_AIR_PASSENGERS</x:v>
      </x:c>
      <x:c r="C455" s="23" t="str">
        <x:v>City and County of San Francisco</x:v>
      </x:c>
      <x:c r="D455" s="23" t="str">
        <x:v>United States</x:v>
      </x:c>
      <x:c r="E455" s="23" t="str">
        <x:v>San Francisco International Airport</x:v>
      </x:c>
      <x:c r="F455" s="23" t="str">
        <x:v>2025-06</x:v>
      </x:c>
      <x:c r="G455" s="23" t="str">
        <x:v>Enplaned</x:v>
      </x:c>
      <x:c r="H455" s="23" t="str">
        <x:v>Domestic</x:v>
      </x:c>
      <x:c r="I455" s="23" t="str">
        <x:v>Enplaned</x:v>
      </x:c>
      <x:c r="J455" s="72" t="n">
        <x:v>1818883</x:v>
      </x:c>
      <x:c r="K455" s="23" t="str">
        <x:v>passengers</x:v>
      </x:c>
      <x:c r="L455" s="24" t="str"/>
      <x:c r="M455" s="24" t="n">
        <x:v>46256.6280787037</x:v>
      </x:c>
      <x:c r="N455" s="24" t="n">
        <x:v>46268.86863425926</x:v>
      </x:c>
      <x:c r="O455" s="40" t="b">
        <x:v>1</x:v>
      </x:c>
      <x:c r="P455" s="42" t="str">
        <x:v>current_snapshot_diagnostic_only</x:v>
      </x:c>
    </x:row>
    <x:row r="456">
      <x:c r="A456" s="23" t="str">
        <x:v>f2ff0e4e10d23443795d</x:v>
      </x:c>
      <x:c r="B456" s="23" t="str">
        <x:v>SFO_AIR_PASSENGERS</x:v>
      </x:c>
      <x:c r="C456" s="23" t="str">
        <x:v>City and County of San Francisco</x:v>
      </x:c>
      <x:c r="D456" s="23" t="str">
        <x:v>United States</x:v>
      </x:c>
      <x:c r="E456" s="23" t="str">
        <x:v>San Francisco International Airport</x:v>
      </x:c>
      <x:c r="F456" s="23" t="str">
        <x:v>2025-06</x:v>
      </x:c>
      <x:c r="G456" s="23" t="str">
        <x:v>Thru / Transit</x:v>
      </x:c>
      <x:c r="H456" s="23" t="str">
        <x:v>Domestic</x:v>
      </x:c>
      <x:c r="I456" s="23" t="str">
        <x:v>Thru / Transit</x:v>
      </x:c>
      <x:c r="J456" s="72" t="n">
        <x:v>2549</x:v>
      </x:c>
      <x:c r="K456" s="23" t="str">
        <x:v>passengers</x:v>
      </x:c>
      <x:c r="L456" s="24" t="str"/>
      <x:c r="M456" s="24" t="n">
        <x:v>46256.6280787037</x:v>
      </x:c>
      <x:c r="N456" s="24" t="n">
        <x:v>46268.86863425926</x:v>
      </x:c>
      <x:c r="O456" s="40" t="b">
        <x:v>0</x:v>
      </x:c>
      <x:c r="P456" s="42" t="str">
        <x:v>current_snapshot_diagnostic_only</x:v>
      </x:c>
    </x:row>
    <x:row r="457">
      <x:c r="A457" s="23" t="str">
        <x:v>9e6cf1fb66b33790c993</x:v>
      </x:c>
      <x:c r="B457" s="23" t="str">
        <x:v>SFO_AIR_PASSENGERS</x:v>
      </x:c>
      <x:c r="C457" s="23" t="str">
        <x:v>City and County of San Francisco</x:v>
      </x:c>
      <x:c r="D457" s="23" t="str">
        <x:v>United States</x:v>
      </x:c>
      <x:c r="E457" s="23" t="str">
        <x:v>San Francisco International Airport</x:v>
      </x:c>
      <x:c r="F457" s="23" t="str">
        <x:v>2025-06</x:v>
      </x:c>
      <x:c r="G457" s="23" t="str">
        <x:v>Deplaned</x:v>
      </x:c>
      <x:c r="H457" s="23" t="str">
        <x:v>International</x:v>
      </x:c>
      <x:c r="I457" s="23" t="str">
        <x:v>Deplaned</x:v>
      </x:c>
      <x:c r="J457" s="72" t="n">
        <x:v>729843</x:v>
      </x:c>
      <x:c r="K457" s="23" t="str">
        <x:v>passengers</x:v>
      </x:c>
      <x:c r="L457" s="24" t="str"/>
      <x:c r="M457" s="24" t="n">
        <x:v>46256.6280787037</x:v>
      </x:c>
      <x:c r="N457" s="24" t="n">
        <x:v>46268.86863425926</x:v>
      </x:c>
      <x:c r="O457" s="40" t="b">
        <x:v>1</x:v>
      </x:c>
      <x:c r="P457" s="42" t="str">
        <x:v>current_snapshot_diagnostic_only</x:v>
      </x:c>
    </x:row>
    <x:row r="458">
      <x:c r="A458" s="23" t="str">
        <x:v>602435339040e530c7a1</x:v>
      </x:c>
      <x:c r="B458" s="23" t="str">
        <x:v>SFO_AIR_PASSENGERS</x:v>
      </x:c>
      <x:c r="C458" s="23" t="str">
        <x:v>City and County of San Francisco</x:v>
      </x:c>
      <x:c r="D458" s="23" t="str">
        <x:v>United States</x:v>
      </x:c>
      <x:c r="E458" s="23" t="str">
        <x:v>San Francisco International Airport</x:v>
      </x:c>
      <x:c r="F458" s="23" t="str">
        <x:v>2025-06</x:v>
      </x:c>
      <x:c r="G458" s="23" t="str">
        <x:v>Enplaned</x:v>
      </x:c>
      <x:c r="H458" s="23" t="str">
        <x:v>International</x:v>
      </x:c>
      <x:c r="I458" s="23" t="str">
        <x:v>Enplaned</x:v>
      </x:c>
      <x:c r="J458" s="72" t="n">
        <x:v>814990</x:v>
      </x:c>
      <x:c r="K458" s="23" t="str">
        <x:v>passengers</x:v>
      </x:c>
      <x:c r="L458" s="24" t="str"/>
      <x:c r="M458" s="24" t="n">
        <x:v>46256.6280787037</x:v>
      </x:c>
      <x:c r="N458" s="24" t="n">
        <x:v>46268.86863425926</x:v>
      </x:c>
      <x:c r="O458" s="40" t="b">
        <x:v>1</x:v>
      </x:c>
      <x:c r="P458" s="42" t="str">
        <x:v>current_snapshot_diagnostic_only</x:v>
      </x:c>
    </x:row>
    <x:row r="459">
      <x:c r="A459" s="23" t="str">
        <x:v>b24409b9339c9e3e2290</x:v>
      </x:c>
      <x:c r="B459" s="23" t="str">
        <x:v>SFO_AIR_PASSENGERS</x:v>
      </x:c>
      <x:c r="C459" s="23" t="str">
        <x:v>City and County of San Francisco</x:v>
      </x:c>
      <x:c r="D459" s="23" t="str">
        <x:v>United States</x:v>
      </x:c>
      <x:c r="E459" s="23" t="str">
        <x:v>San Francisco International Airport</x:v>
      </x:c>
      <x:c r="F459" s="23" t="str">
        <x:v>2025-06</x:v>
      </x:c>
      <x:c r="G459" s="23" t="str">
        <x:v>Thru / Transit</x:v>
      </x:c>
      <x:c r="H459" s="23" t="str">
        <x:v>International</x:v>
      </x:c>
      <x:c r="I459" s="23" t="str">
        <x:v>Thru / Transit</x:v>
      </x:c>
      <x:c r="J459" s="72" t="n">
        <x:v>7581</x:v>
      </x:c>
      <x:c r="K459" s="23" t="str">
        <x:v>passengers</x:v>
      </x:c>
      <x:c r="L459" s="24" t="str"/>
      <x:c r="M459" s="24" t="n">
        <x:v>46256.6280787037</x:v>
      </x:c>
      <x:c r="N459" s="24" t="n">
        <x:v>46268.86863425926</x:v>
      </x:c>
      <x:c r="O459" s="40" t="b">
        <x:v>0</x:v>
      </x:c>
      <x:c r="P459" s="42" t="str">
        <x:v>current_snapshot_diagnostic_only</x:v>
      </x:c>
    </x:row>
    <x:row r="460">
      <x:c r="A460" s="23" t="str">
        <x:v>6d2922fd6a5c620ec0a6</x:v>
      </x:c>
      <x:c r="B460" s="23" t="str">
        <x:v>SFO_AIR_PASSENGERS</x:v>
      </x:c>
      <x:c r="C460" s="23" t="str">
        <x:v>City and County of San Francisco</x:v>
      </x:c>
      <x:c r="D460" s="23" t="str">
        <x:v>United States</x:v>
      </x:c>
      <x:c r="E460" s="23" t="str">
        <x:v>San Francisco International Airport</x:v>
      </x:c>
      <x:c r="F460" s="23" t="str">
        <x:v>2025-07</x:v>
      </x:c>
      <x:c r="G460" s="23" t="str">
        <x:v>Deplaned</x:v>
      </x:c>
      <x:c r="H460" s="23" t="str">
        <x:v>Domestic</x:v>
      </x:c>
      <x:c r="I460" s="23" t="str">
        <x:v>Deplaned</x:v>
      </x:c>
      <x:c r="J460" s="72" t="n">
        <x:v>1857530</x:v>
      </x:c>
      <x:c r="K460" s="23" t="str">
        <x:v>passengers</x:v>
      </x:c>
      <x:c r="L460" s="24" t="str"/>
      <x:c r="M460" s="24" t="n">
        <x:v>46256.6280787037</x:v>
      </x:c>
      <x:c r="N460" s="24" t="n">
        <x:v>46268.86863425926</x:v>
      </x:c>
      <x:c r="O460" s="40" t="b">
        <x:v>1</x:v>
      </x:c>
      <x:c r="P460" s="42" t="str">
        <x:v>current_snapshot_diagnostic_only</x:v>
      </x:c>
    </x:row>
    <x:row r="461">
      <x:c r="A461" s="23" t="str">
        <x:v>5a1999ddd8a92f683134</x:v>
      </x:c>
      <x:c r="B461" s="23" t="str">
        <x:v>SFO_AIR_PASSENGERS</x:v>
      </x:c>
      <x:c r="C461" s="23" t="str">
        <x:v>City and County of San Francisco</x:v>
      </x:c>
      <x:c r="D461" s="23" t="str">
        <x:v>United States</x:v>
      </x:c>
      <x:c r="E461" s="23" t="str">
        <x:v>San Francisco International Airport</x:v>
      </x:c>
      <x:c r="F461" s="23" t="str">
        <x:v>2025-07</x:v>
      </x:c>
      <x:c r="G461" s="23" t="str">
        <x:v>Enplaned</x:v>
      </x:c>
      <x:c r="H461" s="23" t="str">
        <x:v>Domestic</x:v>
      </x:c>
      <x:c r="I461" s="23" t="str">
        <x:v>Enplaned</x:v>
      </x:c>
      <x:c r="J461" s="72" t="n">
        <x:v>1822073</x:v>
      </x:c>
      <x:c r="K461" s="23" t="str">
        <x:v>passengers</x:v>
      </x:c>
      <x:c r="L461" s="24" t="str"/>
      <x:c r="M461" s="24" t="n">
        <x:v>46256.6280787037</x:v>
      </x:c>
      <x:c r="N461" s="24" t="n">
        <x:v>46268.86863425926</x:v>
      </x:c>
      <x:c r="O461" s="40" t="b">
        <x:v>1</x:v>
      </x:c>
      <x:c r="P461" s="42" t="str">
        <x:v>current_snapshot_diagnostic_only</x:v>
      </x:c>
    </x:row>
    <x:row r="462">
      <x:c r="A462" s="23" t="str">
        <x:v>6c9291220ec78ca84608</x:v>
      </x:c>
      <x:c r="B462" s="23" t="str">
        <x:v>SFO_AIR_PASSENGERS</x:v>
      </x:c>
      <x:c r="C462" s="23" t="str">
        <x:v>City and County of San Francisco</x:v>
      </x:c>
      <x:c r="D462" s="23" t="str">
        <x:v>United States</x:v>
      </x:c>
      <x:c r="E462" s="23" t="str">
        <x:v>San Francisco International Airport</x:v>
      </x:c>
      <x:c r="F462" s="23" t="str">
        <x:v>2025-07</x:v>
      </x:c>
      <x:c r="G462" s="23" t="str">
        <x:v>Thru / Transit</x:v>
      </x:c>
      <x:c r="H462" s="23" t="str">
        <x:v>Domestic</x:v>
      </x:c>
      <x:c r="I462" s="23" t="str">
        <x:v>Thru / Transit</x:v>
      </x:c>
      <x:c r="J462" s="72" t="n">
        <x:v>1682</x:v>
      </x:c>
      <x:c r="K462" s="23" t="str">
        <x:v>passengers</x:v>
      </x:c>
      <x:c r="L462" s="24" t="str"/>
      <x:c r="M462" s="24" t="n">
        <x:v>46256.6280787037</x:v>
      </x:c>
      <x:c r="N462" s="24" t="n">
        <x:v>46268.86863425926</x:v>
      </x:c>
      <x:c r="O462" s="40" t="b">
        <x:v>0</x:v>
      </x:c>
      <x:c r="P462" s="42" t="str">
        <x:v>current_snapshot_diagnostic_only</x:v>
      </x:c>
    </x:row>
    <x:row r="463">
      <x:c r="A463" s="23" t="str">
        <x:v>f47c077242db88d835f6</x:v>
      </x:c>
      <x:c r="B463" s="23" t="str">
        <x:v>SFO_AIR_PASSENGERS</x:v>
      </x:c>
      <x:c r="C463" s="23" t="str">
        <x:v>City and County of San Francisco</x:v>
      </x:c>
      <x:c r="D463" s="23" t="str">
        <x:v>United States</x:v>
      </x:c>
      <x:c r="E463" s="23" t="str">
        <x:v>San Francisco International Airport</x:v>
      </x:c>
      <x:c r="F463" s="23" t="str">
        <x:v>2025-07</x:v>
      </x:c>
      <x:c r="G463" s="23" t="str">
        <x:v>Deplaned</x:v>
      </x:c>
      <x:c r="H463" s="23" t="str">
        <x:v>International</x:v>
      </x:c>
      <x:c r="I463" s="23" t="str">
        <x:v>Deplaned</x:v>
      </x:c>
      <x:c r="J463" s="72" t="n">
        <x:v>830896</x:v>
      </x:c>
      <x:c r="K463" s="23" t="str">
        <x:v>passengers</x:v>
      </x:c>
      <x:c r="L463" s="24" t="str"/>
      <x:c r="M463" s="24" t="n">
        <x:v>46256.6280787037</x:v>
      </x:c>
      <x:c r="N463" s="24" t="n">
        <x:v>46268.86863425926</x:v>
      </x:c>
      <x:c r="O463" s="40" t="b">
        <x:v>1</x:v>
      </x:c>
      <x:c r="P463" s="42" t="str">
        <x:v>current_snapshot_diagnostic_only</x:v>
      </x:c>
    </x:row>
    <x:row r="464">
      <x:c r="A464" s="23" t="str">
        <x:v>1da33c526b403daaf6d6</x:v>
      </x:c>
      <x:c r="B464" s="23" t="str">
        <x:v>SFO_AIR_PASSENGERS</x:v>
      </x:c>
      <x:c r="C464" s="23" t="str">
        <x:v>City and County of San Francisco</x:v>
      </x:c>
      <x:c r="D464" s="23" t="str">
        <x:v>United States</x:v>
      </x:c>
      <x:c r="E464" s="23" t="str">
        <x:v>San Francisco International Airport</x:v>
      </x:c>
      <x:c r="F464" s="23" t="str">
        <x:v>2025-07</x:v>
      </x:c>
      <x:c r="G464" s="23" t="str">
        <x:v>Enplaned</x:v>
      </x:c>
      <x:c r="H464" s="23" t="str">
        <x:v>International</x:v>
      </x:c>
      <x:c r="I464" s="23" t="str">
        <x:v>Enplaned</x:v>
      </x:c>
      <x:c r="J464" s="72" t="n">
        <x:v>746504</x:v>
      </x:c>
      <x:c r="K464" s="23" t="str">
        <x:v>passengers</x:v>
      </x:c>
      <x:c r="L464" s="24" t="str"/>
      <x:c r="M464" s="24" t="n">
        <x:v>46256.6280787037</x:v>
      </x:c>
      <x:c r="N464" s="24" t="n">
        <x:v>46268.86863425926</x:v>
      </x:c>
      <x:c r="O464" s="40" t="b">
        <x:v>1</x:v>
      </x:c>
      <x:c r="P464" s="42" t="str">
        <x:v>current_snapshot_diagnostic_only</x:v>
      </x:c>
    </x:row>
    <x:row r="465">
      <x:c r="A465" s="23" t="str">
        <x:v>b0bb488255c842f630be</x:v>
      </x:c>
      <x:c r="B465" s="23" t="str">
        <x:v>SFO_AIR_PASSENGERS</x:v>
      </x:c>
      <x:c r="C465" s="23" t="str">
        <x:v>City and County of San Francisco</x:v>
      </x:c>
      <x:c r="D465" s="23" t="str">
        <x:v>United States</x:v>
      </x:c>
      <x:c r="E465" s="23" t="str">
        <x:v>San Francisco International Airport</x:v>
      </x:c>
      <x:c r="F465" s="23" t="str">
        <x:v>2025-07</x:v>
      </x:c>
      <x:c r="G465" s="23" t="str">
        <x:v>Thru / Transit</x:v>
      </x:c>
      <x:c r="H465" s="23" t="str">
        <x:v>International</x:v>
      </x:c>
      <x:c r="I465" s="23" t="str">
        <x:v>Thru / Transit</x:v>
      </x:c>
      <x:c r="J465" s="72" t="n">
        <x:v>10578</x:v>
      </x:c>
      <x:c r="K465" s="23" t="str">
        <x:v>passengers</x:v>
      </x:c>
      <x:c r="L465" s="24" t="str"/>
      <x:c r="M465" s="24" t="n">
        <x:v>46256.6280787037</x:v>
      </x:c>
      <x:c r="N465" s="24" t="n">
        <x:v>46268.86863425926</x:v>
      </x:c>
      <x:c r="O465" s="40" t="b">
        <x:v>0</x:v>
      </x:c>
      <x:c r="P465" s="42" t="str">
        <x:v>current_snapshot_diagnostic_only</x:v>
      </x:c>
    </x:row>
    <x:row r="466">
      <x:c r="A466" s="23" t="str">
        <x:v>35b6fca582d028ee8b09</x:v>
      </x:c>
      <x:c r="B466" s="23" t="str">
        <x:v>SFO_AIR_PASSENGERS</x:v>
      </x:c>
      <x:c r="C466" s="23" t="str">
        <x:v>City and County of San Francisco</x:v>
      </x:c>
      <x:c r="D466" s="23" t="str">
        <x:v>United States</x:v>
      </x:c>
      <x:c r="E466" s="23" t="str">
        <x:v>San Francisco International Airport</x:v>
      </x:c>
      <x:c r="F466" s="23" t="str">
        <x:v>2025-08</x:v>
      </x:c>
      <x:c r="G466" s="23" t="str">
        <x:v>Deplaned</x:v>
      </x:c>
      <x:c r="H466" s="23" t="str">
        <x:v>Domestic</x:v>
      </x:c>
      <x:c r="I466" s="23" t="str">
        <x:v>Deplaned</x:v>
      </x:c>
      <x:c r="J466" s="72" t="n">
        <x:v>1577390</x:v>
      </x:c>
      <x:c r="K466" s="23" t="str">
        <x:v>passengers</x:v>
      </x:c>
      <x:c r="L466" s="24" t="str"/>
      <x:c r="M466" s="24" t="n">
        <x:v>46256.6280787037</x:v>
      </x:c>
      <x:c r="N466" s="24" t="n">
        <x:v>46268.86863425926</x:v>
      </x:c>
      <x:c r="O466" s="40" t="b">
        <x:v>1</x:v>
      </x:c>
      <x:c r="P466" s="42" t="str">
        <x:v>current_snapshot_diagnostic_only</x:v>
      </x:c>
    </x:row>
    <x:row r="467">
      <x:c r="A467" s="23" t="str">
        <x:v>6cd715ab52fd2e3779a9</x:v>
      </x:c>
      <x:c r="B467" s="23" t="str">
        <x:v>SFO_AIR_PASSENGERS</x:v>
      </x:c>
      <x:c r="C467" s="23" t="str">
        <x:v>City and County of San Francisco</x:v>
      </x:c>
      <x:c r="D467" s="23" t="str">
        <x:v>United States</x:v>
      </x:c>
      <x:c r="E467" s="23" t="str">
        <x:v>San Francisco International Airport</x:v>
      </x:c>
      <x:c r="F467" s="23" t="str">
        <x:v>2025-08</x:v>
      </x:c>
      <x:c r="G467" s="23" t="str">
        <x:v>Enplaned</x:v>
      </x:c>
      <x:c r="H467" s="23" t="str">
        <x:v>Domestic</x:v>
      </x:c>
      <x:c r="I467" s="23" t="str">
        <x:v>Enplaned</x:v>
      </x:c>
      <x:c r="J467" s="72" t="n">
        <x:v>1777051</x:v>
      </x:c>
      <x:c r="K467" s="23" t="str">
        <x:v>passengers</x:v>
      </x:c>
      <x:c r="L467" s="24" t="str"/>
      <x:c r="M467" s="24" t="n">
        <x:v>46256.6280787037</x:v>
      </x:c>
      <x:c r="N467" s="24" t="n">
        <x:v>46268.86863425926</x:v>
      </x:c>
      <x:c r="O467" s="40" t="b">
        <x:v>1</x:v>
      </x:c>
      <x:c r="P467" s="42" t="str">
        <x:v>current_snapshot_diagnostic_only</x:v>
      </x:c>
    </x:row>
    <x:row r="468">
      <x:c r="A468" s="23" t="str">
        <x:v>a996223bffeb29f3fdb8</x:v>
      </x:c>
      <x:c r="B468" s="23" t="str">
        <x:v>SFO_AIR_PASSENGERS</x:v>
      </x:c>
      <x:c r="C468" s="23" t="str">
        <x:v>City and County of San Francisco</x:v>
      </x:c>
      <x:c r="D468" s="23" t="str">
        <x:v>United States</x:v>
      </x:c>
      <x:c r="E468" s="23" t="str">
        <x:v>San Francisco International Airport</x:v>
      </x:c>
      <x:c r="F468" s="23" t="str">
        <x:v>2025-08</x:v>
      </x:c>
      <x:c r="G468" s="23" t="str">
        <x:v>Thru / Transit</x:v>
      </x:c>
      <x:c r="H468" s="23" t="str">
        <x:v>Domestic</x:v>
      </x:c>
      <x:c r="I468" s="23" t="str">
        <x:v>Thru / Transit</x:v>
      </x:c>
      <x:c r="J468" s="72" t="n">
        <x:v>2482</x:v>
      </x:c>
      <x:c r="K468" s="23" t="str">
        <x:v>passengers</x:v>
      </x:c>
      <x:c r="L468" s="24" t="str"/>
      <x:c r="M468" s="24" t="n">
        <x:v>46256.6280787037</x:v>
      </x:c>
      <x:c r="N468" s="24" t="n">
        <x:v>46268.86863425926</x:v>
      </x:c>
      <x:c r="O468" s="40" t="b">
        <x:v>0</x:v>
      </x:c>
      <x:c r="P468" s="42" t="str">
        <x:v>current_snapshot_diagnostic_only</x:v>
      </x:c>
    </x:row>
    <x:row r="469">
      <x:c r="A469" s="23" t="str">
        <x:v>e992ccbb4d7f5a663da8</x:v>
      </x:c>
      <x:c r="B469" s="23" t="str">
        <x:v>SFO_AIR_PASSENGERS</x:v>
      </x:c>
      <x:c r="C469" s="23" t="str">
        <x:v>City and County of San Francisco</x:v>
      </x:c>
      <x:c r="D469" s="23" t="str">
        <x:v>United States</x:v>
      </x:c>
      <x:c r="E469" s="23" t="str">
        <x:v>San Francisco International Airport</x:v>
      </x:c>
      <x:c r="F469" s="23" t="str">
        <x:v>2025-08</x:v>
      </x:c>
      <x:c r="G469" s="23" t="str">
        <x:v>Deplaned</x:v>
      </x:c>
      <x:c r="H469" s="23" t="str">
        <x:v>International</x:v>
      </x:c>
      <x:c r="I469" s="23" t="str">
        <x:v>Deplaned</x:v>
      </x:c>
      <x:c r="J469" s="72" t="n">
        <x:v>765505</x:v>
      </x:c>
      <x:c r="K469" s="23" t="str">
        <x:v>passengers</x:v>
      </x:c>
      <x:c r="L469" s="24" t="str"/>
      <x:c r="M469" s="24" t="n">
        <x:v>46256.6280787037</x:v>
      </x:c>
      <x:c r="N469" s="24" t="n">
        <x:v>46268.86863425926</x:v>
      </x:c>
      <x:c r="O469" s="40" t="b">
        <x:v>1</x:v>
      </x:c>
      <x:c r="P469" s="42" t="str">
        <x:v>current_snapshot_diagnostic_only</x:v>
      </x:c>
    </x:row>
    <x:row r="470">
      <x:c r="A470" s="23" t="str">
        <x:v>5ac847c7c33bd7d7174d</x:v>
      </x:c>
      <x:c r="B470" s="23" t="str">
        <x:v>SFO_AIR_PASSENGERS</x:v>
      </x:c>
      <x:c r="C470" s="23" t="str">
        <x:v>City and County of San Francisco</x:v>
      </x:c>
      <x:c r="D470" s="23" t="str">
        <x:v>United States</x:v>
      </x:c>
      <x:c r="E470" s="23" t="str">
        <x:v>San Francisco International Airport</x:v>
      </x:c>
      <x:c r="F470" s="23" t="str">
        <x:v>2025-08</x:v>
      </x:c>
      <x:c r="G470" s="23" t="str">
        <x:v>Enplaned</x:v>
      </x:c>
      <x:c r="H470" s="23" t="str">
        <x:v>International</x:v>
      </x:c>
      <x:c r="I470" s="23" t="str">
        <x:v>Enplaned</x:v>
      </x:c>
      <x:c r="J470" s="72" t="n">
        <x:v>693498</x:v>
      </x:c>
      <x:c r="K470" s="23" t="str">
        <x:v>passengers</x:v>
      </x:c>
      <x:c r="L470" s="24" t="str"/>
      <x:c r="M470" s="24" t="n">
        <x:v>46256.6280787037</x:v>
      </x:c>
      <x:c r="N470" s="24" t="n">
        <x:v>46268.86863425926</x:v>
      </x:c>
      <x:c r="O470" s="40" t="b">
        <x:v>1</x:v>
      </x:c>
      <x:c r="P470" s="42" t="str">
        <x:v>current_snapshot_diagnostic_only</x:v>
      </x:c>
    </x:row>
    <x:row r="471">
      <x:c r="A471" s="23" t="str">
        <x:v>ccfe53162ecbca4ae5bb</x:v>
      </x:c>
      <x:c r="B471" s="23" t="str">
        <x:v>SFO_AIR_PASSENGERS</x:v>
      </x:c>
      <x:c r="C471" s="23" t="str">
        <x:v>City and County of San Francisco</x:v>
      </x:c>
      <x:c r="D471" s="23" t="str">
        <x:v>United States</x:v>
      </x:c>
      <x:c r="E471" s="23" t="str">
        <x:v>San Francisco International Airport</x:v>
      </x:c>
      <x:c r="F471" s="23" t="str">
        <x:v>2025-08</x:v>
      </x:c>
      <x:c r="G471" s="23" t="str">
        <x:v>Thru / Transit</x:v>
      </x:c>
      <x:c r="H471" s="23" t="str">
        <x:v>International</x:v>
      </x:c>
      <x:c r="I471" s="23" t="str">
        <x:v>Thru / Transit</x:v>
      </x:c>
      <x:c r="J471" s="72" t="n">
        <x:v>8359</x:v>
      </x:c>
      <x:c r="K471" s="23" t="str">
        <x:v>passengers</x:v>
      </x:c>
      <x:c r="L471" s="24" t="str"/>
      <x:c r="M471" s="24" t="n">
        <x:v>46256.6280787037</x:v>
      </x:c>
      <x:c r="N471" s="24" t="n">
        <x:v>46268.86863425926</x:v>
      </x:c>
      <x:c r="O471" s="40" t="b">
        <x:v>0</x:v>
      </x:c>
      <x:c r="P471" s="42" t="str">
        <x:v>current_snapshot_diagnostic_only</x:v>
      </x:c>
    </x:row>
    <x:row r="472">
      <x:c r="A472" s="23" t="str">
        <x:v>7dc95bf697c186b4b291</x:v>
      </x:c>
      <x:c r="B472" s="23" t="str">
        <x:v>SFO_AIR_PASSENGERS</x:v>
      </x:c>
      <x:c r="C472" s="23" t="str">
        <x:v>City and County of San Francisco</x:v>
      </x:c>
      <x:c r="D472" s="23" t="str">
        <x:v>United States</x:v>
      </x:c>
      <x:c r="E472" s="23" t="str">
        <x:v>San Francisco International Airport</x:v>
      </x:c>
      <x:c r="F472" s="23" t="str">
        <x:v>2025-09</x:v>
      </x:c>
      <x:c r="G472" s="23" t="str">
        <x:v>Deplaned</x:v>
      </x:c>
      <x:c r="H472" s="23" t="str">
        <x:v>Domestic</x:v>
      </x:c>
      <x:c r="I472" s="23" t="str">
        <x:v>Deplaned</x:v>
      </x:c>
      <x:c r="J472" s="72" t="n">
        <x:v>1586922</x:v>
      </x:c>
      <x:c r="K472" s="23" t="str">
        <x:v>passengers</x:v>
      </x:c>
      <x:c r="L472" s="24" t="str"/>
      <x:c r="M472" s="24" t="n">
        <x:v>46256.6280787037</x:v>
      </x:c>
      <x:c r="N472" s="24" t="n">
        <x:v>46268.86863425926</x:v>
      </x:c>
      <x:c r="O472" s="40" t="b">
        <x:v>1</x:v>
      </x:c>
      <x:c r="P472" s="42" t="str">
        <x:v>current_snapshot_diagnostic_only</x:v>
      </x:c>
    </x:row>
    <x:row r="473">
      <x:c r="A473" s="23" t="str">
        <x:v>ece5b020d77cee9505db</x:v>
      </x:c>
      <x:c r="B473" s="23" t="str">
        <x:v>SFO_AIR_PASSENGERS</x:v>
      </x:c>
      <x:c r="C473" s="23" t="str">
        <x:v>City and County of San Francisco</x:v>
      </x:c>
      <x:c r="D473" s="23" t="str">
        <x:v>United States</x:v>
      </x:c>
      <x:c r="E473" s="23" t="str">
        <x:v>San Francisco International Airport</x:v>
      </x:c>
      <x:c r="F473" s="23" t="str">
        <x:v>2025-09</x:v>
      </x:c>
      <x:c r="G473" s="23" t="str">
        <x:v>Enplaned</x:v>
      </x:c>
      <x:c r="H473" s="23" t="str">
        <x:v>Domestic</x:v>
      </x:c>
      <x:c r="I473" s="23" t="str">
        <x:v>Enplaned</x:v>
      </x:c>
      <x:c r="J473" s="72" t="n">
        <x:v>1573408</x:v>
      </x:c>
      <x:c r="K473" s="23" t="str">
        <x:v>passengers</x:v>
      </x:c>
      <x:c r="L473" s="24" t="str"/>
      <x:c r="M473" s="24" t="n">
        <x:v>46256.6280787037</x:v>
      </x:c>
      <x:c r="N473" s="24" t="n">
        <x:v>46268.86863425926</x:v>
      </x:c>
      <x:c r="O473" s="40" t="b">
        <x:v>1</x:v>
      </x:c>
      <x:c r="P473" s="42" t="str">
        <x:v>current_snapshot_diagnostic_only</x:v>
      </x:c>
    </x:row>
    <x:row r="474">
      <x:c r="A474" s="23" t="str">
        <x:v>dd127c6270fa1d1d9b63</x:v>
      </x:c>
      <x:c r="B474" s="23" t="str">
        <x:v>SFO_AIR_PASSENGERS</x:v>
      </x:c>
      <x:c r="C474" s="23" t="str">
        <x:v>City and County of San Francisco</x:v>
      </x:c>
      <x:c r="D474" s="23" t="str">
        <x:v>United States</x:v>
      </x:c>
      <x:c r="E474" s="23" t="str">
        <x:v>San Francisco International Airport</x:v>
      </x:c>
      <x:c r="F474" s="23" t="str">
        <x:v>2025-09</x:v>
      </x:c>
      <x:c r="G474" s="23" t="str">
        <x:v>Thru / Transit</x:v>
      </x:c>
      <x:c r="H474" s="23" t="str">
        <x:v>Domestic</x:v>
      </x:c>
      <x:c r="I474" s="23" t="str">
        <x:v>Thru / Transit</x:v>
      </x:c>
      <x:c r="J474" s="72" t="n">
        <x:v>565</x:v>
      </x:c>
      <x:c r="K474" s="23" t="str">
        <x:v>passengers</x:v>
      </x:c>
      <x:c r="L474" s="24" t="str"/>
      <x:c r="M474" s="24" t="n">
        <x:v>46256.6280787037</x:v>
      </x:c>
      <x:c r="N474" s="24" t="n">
        <x:v>46268.86863425926</x:v>
      </x:c>
      <x:c r="O474" s="40" t="b">
        <x:v>0</x:v>
      </x:c>
      <x:c r="P474" s="42" t="str">
        <x:v>current_snapshot_diagnostic_only</x:v>
      </x:c>
    </x:row>
    <x:row r="475">
      <x:c r="A475" s="23" t="str">
        <x:v>05ecbd1cab2af7badff3</x:v>
      </x:c>
      <x:c r="B475" s="23" t="str">
        <x:v>SFO_AIR_PASSENGERS</x:v>
      </x:c>
      <x:c r="C475" s="23" t="str">
        <x:v>City and County of San Francisco</x:v>
      </x:c>
      <x:c r="D475" s="23" t="str">
        <x:v>United States</x:v>
      </x:c>
      <x:c r="E475" s="23" t="str">
        <x:v>San Francisco International Airport</x:v>
      </x:c>
      <x:c r="F475" s="23" t="str">
        <x:v>2025-09</x:v>
      </x:c>
      <x:c r="G475" s="23" t="str">
        <x:v>Deplaned</x:v>
      </x:c>
      <x:c r="H475" s="23" t="str">
        <x:v>International</x:v>
      </x:c>
      <x:c r="I475" s="23" t="str">
        <x:v>Deplaned</x:v>
      </x:c>
      <x:c r="J475" s="72" t="n">
        <x:v>626692</x:v>
      </x:c>
      <x:c r="K475" s="23" t="str">
        <x:v>passengers</x:v>
      </x:c>
      <x:c r="L475" s="24" t="str"/>
      <x:c r="M475" s="24" t="n">
        <x:v>46256.6280787037</x:v>
      </x:c>
      <x:c r="N475" s="24" t="n">
        <x:v>46268.86863425926</x:v>
      </x:c>
      <x:c r="O475" s="40" t="b">
        <x:v>1</x:v>
      </x:c>
      <x:c r="P475" s="42" t="str">
        <x:v>current_snapshot_diagnostic_only</x:v>
      </x:c>
    </x:row>
    <x:row r="476">
      <x:c r="A476" s="23" t="str">
        <x:v>6b796537cdcce2d84367</x:v>
      </x:c>
      <x:c r="B476" s="23" t="str">
        <x:v>SFO_AIR_PASSENGERS</x:v>
      </x:c>
      <x:c r="C476" s="23" t="str">
        <x:v>City and County of San Francisco</x:v>
      </x:c>
      <x:c r="D476" s="23" t="str">
        <x:v>United States</x:v>
      </x:c>
      <x:c r="E476" s="23" t="str">
        <x:v>San Francisco International Airport</x:v>
      </x:c>
      <x:c r="F476" s="23" t="str">
        <x:v>2025-09</x:v>
      </x:c>
      <x:c r="G476" s="23" t="str">
        <x:v>Enplaned</x:v>
      </x:c>
      <x:c r="H476" s="23" t="str">
        <x:v>International</x:v>
      </x:c>
      <x:c r="I476" s="23" t="str">
        <x:v>Enplaned</x:v>
      </x:c>
      <x:c r="J476" s="72" t="n">
        <x:v>627565</x:v>
      </x:c>
      <x:c r="K476" s="23" t="str">
        <x:v>passengers</x:v>
      </x:c>
      <x:c r="L476" s="24" t="str"/>
      <x:c r="M476" s="24" t="n">
        <x:v>46256.6280787037</x:v>
      </x:c>
      <x:c r="N476" s="24" t="n">
        <x:v>46268.86863425926</x:v>
      </x:c>
      <x:c r="O476" s="40" t="b">
        <x:v>1</x:v>
      </x:c>
      <x:c r="P476" s="42" t="str">
        <x:v>current_snapshot_diagnostic_only</x:v>
      </x:c>
    </x:row>
    <x:row r="477">
      <x:c r="A477" s="23" t="str">
        <x:v>113baa9511d0d9b5ada7</x:v>
      </x:c>
      <x:c r="B477" s="23" t="str">
        <x:v>SFO_AIR_PASSENGERS</x:v>
      </x:c>
      <x:c r="C477" s="23" t="str">
        <x:v>City and County of San Francisco</x:v>
      </x:c>
      <x:c r="D477" s="23" t="str">
        <x:v>United States</x:v>
      </x:c>
      <x:c r="E477" s="23" t="str">
        <x:v>San Francisco International Airport</x:v>
      </x:c>
      <x:c r="F477" s="23" t="str">
        <x:v>2025-09</x:v>
      </x:c>
      <x:c r="G477" s="23" t="str">
        <x:v>Thru / Transit</x:v>
      </x:c>
      <x:c r="H477" s="23" t="str">
        <x:v>International</x:v>
      </x:c>
      <x:c r="I477" s="23" t="str">
        <x:v>Thru / Transit</x:v>
      </x:c>
      <x:c r="J477" s="72" t="n">
        <x:v>6470</x:v>
      </x:c>
      <x:c r="K477" s="23" t="str">
        <x:v>passengers</x:v>
      </x:c>
      <x:c r="L477" s="24" t="str"/>
      <x:c r="M477" s="24" t="n">
        <x:v>46256.6280787037</x:v>
      </x:c>
      <x:c r="N477" s="24" t="n">
        <x:v>46268.86863425926</x:v>
      </x:c>
      <x:c r="O477" s="40" t="b">
        <x:v>0</x:v>
      </x:c>
      <x:c r="P477" s="42" t="str">
        <x:v>current_snapshot_diagnostic_only</x:v>
      </x:c>
    </x:row>
    <x:row r="478">
      <x:c r="A478" s="23" t="str">
        <x:v>0130c4f16a4f06b48563</x:v>
      </x:c>
      <x:c r="B478" s="23" t="str">
        <x:v>SFO_AIR_PASSENGERS</x:v>
      </x:c>
      <x:c r="C478" s="23" t="str">
        <x:v>City and County of San Francisco</x:v>
      </x:c>
      <x:c r="D478" s="23" t="str">
        <x:v>United States</x:v>
      </x:c>
      <x:c r="E478" s="23" t="str">
        <x:v>San Francisco International Airport</x:v>
      </x:c>
      <x:c r="F478" s="23" t="str">
        <x:v>2025-10</x:v>
      </x:c>
      <x:c r="G478" s="23" t="str">
        <x:v>Deplaned</x:v>
      </x:c>
      <x:c r="H478" s="23" t="str">
        <x:v>Domestic</x:v>
      </x:c>
      <x:c r="I478" s="23" t="str">
        <x:v>Deplaned</x:v>
      </x:c>
      <x:c r="J478" s="72" t="n">
        <x:v>1730442</x:v>
      </x:c>
      <x:c r="K478" s="23" t="str">
        <x:v>passengers</x:v>
      </x:c>
      <x:c r="L478" s="24" t="str"/>
      <x:c r="M478" s="24" t="n">
        <x:v>46256.6280787037</x:v>
      </x:c>
      <x:c r="N478" s="24" t="n">
        <x:v>46268.86863425926</x:v>
      </x:c>
      <x:c r="O478" s="40" t="b">
        <x:v>1</x:v>
      </x:c>
      <x:c r="P478" s="42" t="str">
        <x:v>current_snapshot_diagnostic_only</x:v>
      </x:c>
    </x:row>
    <x:row r="479">
      <x:c r="A479" s="23" t="str">
        <x:v>7e0fd7d3fb7a46619955</x:v>
      </x:c>
      <x:c r="B479" s="23" t="str">
        <x:v>SFO_AIR_PASSENGERS</x:v>
      </x:c>
      <x:c r="C479" s="23" t="str">
        <x:v>City and County of San Francisco</x:v>
      </x:c>
      <x:c r="D479" s="23" t="str">
        <x:v>United States</x:v>
      </x:c>
      <x:c r="E479" s="23" t="str">
        <x:v>San Francisco International Airport</x:v>
      </x:c>
      <x:c r="F479" s="23" t="str">
        <x:v>2025-10</x:v>
      </x:c>
      <x:c r="G479" s="23" t="str">
        <x:v>Enplaned</x:v>
      </x:c>
      <x:c r="H479" s="23" t="str">
        <x:v>Domestic</x:v>
      </x:c>
      <x:c r="I479" s="23" t="str">
        <x:v>Enplaned</x:v>
      </x:c>
      <x:c r="J479" s="72" t="n">
        <x:v>1727835</x:v>
      </x:c>
      <x:c r="K479" s="23" t="str">
        <x:v>passengers</x:v>
      </x:c>
      <x:c r="L479" s="24" t="str"/>
      <x:c r="M479" s="24" t="n">
        <x:v>46256.6280787037</x:v>
      </x:c>
      <x:c r="N479" s="24" t="n">
        <x:v>46268.86863425926</x:v>
      </x:c>
      <x:c r="O479" s="40" t="b">
        <x:v>1</x:v>
      </x:c>
      <x:c r="P479" s="42" t="str">
        <x:v>current_snapshot_diagnostic_only</x:v>
      </x:c>
    </x:row>
    <x:row r="480">
      <x:c r="A480" s="23" t="str">
        <x:v>ab795313b0422f9cdb63</x:v>
      </x:c>
      <x:c r="B480" s="23" t="str">
        <x:v>SFO_AIR_PASSENGERS</x:v>
      </x:c>
      <x:c r="C480" s="23" t="str">
        <x:v>City and County of San Francisco</x:v>
      </x:c>
      <x:c r="D480" s="23" t="str">
        <x:v>United States</x:v>
      </x:c>
      <x:c r="E480" s="23" t="str">
        <x:v>San Francisco International Airport</x:v>
      </x:c>
      <x:c r="F480" s="23" t="str">
        <x:v>2025-10</x:v>
      </x:c>
      <x:c r="G480" s="23" t="str">
        <x:v>Thru / Transit</x:v>
      </x:c>
      <x:c r="H480" s="23" t="str">
        <x:v>Domestic</x:v>
      </x:c>
      <x:c r="I480" s="23" t="str">
        <x:v>Thru / Transit</x:v>
      </x:c>
      <x:c r="J480" s="72" t="n">
        <x:v>498</x:v>
      </x:c>
      <x:c r="K480" s="23" t="str">
        <x:v>passengers</x:v>
      </x:c>
      <x:c r="L480" s="24" t="str"/>
      <x:c r="M480" s="24" t="n">
        <x:v>46256.6280787037</x:v>
      </x:c>
      <x:c r="N480" s="24" t="n">
        <x:v>46268.86863425926</x:v>
      </x:c>
      <x:c r="O480" s="40" t="b">
        <x:v>0</x:v>
      </x:c>
      <x:c r="P480" s="42" t="str">
        <x:v>current_snapshot_diagnostic_only</x:v>
      </x:c>
    </x:row>
    <x:row r="481">
      <x:c r="A481" s="23" t="str">
        <x:v>4d1422ae21f0468d65e4</x:v>
      </x:c>
      <x:c r="B481" s="23" t="str">
        <x:v>SFO_AIR_PASSENGERS</x:v>
      </x:c>
      <x:c r="C481" s="23" t="str">
        <x:v>City and County of San Francisco</x:v>
      </x:c>
      <x:c r="D481" s="23" t="str">
        <x:v>United States</x:v>
      </x:c>
      <x:c r="E481" s="23" t="str">
        <x:v>San Francisco International Airport</x:v>
      </x:c>
      <x:c r="F481" s="23" t="str">
        <x:v>2025-10</x:v>
      </x:c>
      <x:c r="G481" s="23" t="str">
        <x:v>Deplaned</x:v>
      </x:c>
      <x:c r="H481" s="23" t="str">
        <x:v>International</x:v>
      </x:c>
      <x:c r="I481" s="23" t="str">
        <x:v>Deplaned</x:v>
      </x:c>
      <x:c r="J481" s="72" t="n">
        <x:v>643247</x:v>
      </x:c>
      <x:c r="K481" s="23" t="str">
        <x:v>passengers</x:v>
      </x:c>
      <x:c r="L481" s="24" t="str"/>
      <x:c r="M481" s="24" t="n">
        <x:v>46256.6280787037</x:v>
      </x:c>
      <x:c r="N481" s="24" t="n">
        <x:v>46268.86863425926</x:v>
      </x:c>
      <x:c r="O481" s="40" t="b">
        <x:v>1</x:v>
      </x:c>
      <x:c r="P481" s="42" t="str">
        <x:v>current_snapshot_diagnostic_only</x:v>
      </x:c>
    </x:row>
    <x:row r="482">
      <x:c r="A482" s="23" t="str">
        <x:v>0a156f16205ed6e27587</x:v>
      </x:c>
      <x:c r="B482" s="23" t="str">
        <x:v>SFO_AIR_PASSENGERS</x:v>
      </x:c>
      <x:c r="C482" s="23" t="str">
        <x:v>City and County of San Francisco</x:v>
      </x:c>
      <x:c r="D482" s="23" t="str">
        <x:v>United States</x:v>
      </x:c>
      <x:c r="E482" s="23" t="str">
        <x:v>San Francisco International Airport</x:v>
      </x:c>
      <x:c r="F482" s="23" t="str">
        <x:v>2025-10</x:v>
      </x:c>
      <x:c r="G482" s="23" t="str">
        <x:v>Enplaned</x:v>
      </x:c>
      <x:c r="H482" s="23" t="str">
        <x:v>International</x:v>
      </x:c>
      <x:c r="I482" s="23" t="str">
        <x:v>Enplaned</x:v>
      </x:c>
      <x:c r="J482" s="72" t="n">
        <x:v>686807</x:v>
      </x:c>
      <x:c r="K482" s="23" t="str">
        <x:v>passengers</x:v>
      </x:c>
      <x:c r="L482" s="24" t="str"/>
      <x:c r="M482" s="24" t="n">
        <x:v>46256.6280787037</x:v>
      </x:c>
      <x:c r="N482" s="24" t="n">
        <x:v>46268.86863425926</x:v>
      </x:c>
      <x:c r="O482" s="40" t="b">
        <x:v>1</x:v>
      </x:c>
      <x:c r="P482" s="42" t="str">
        <x:v>current_snapshot_diagnostic_only</x:v>
      </x:c>
    </x:row>
    <x:row r="483">
      <x:c r="A483" s="23" t="str">
        <x:v>5ca28c332f5cfc6cbf7b</x:v>
      </x:c>
      <x:c r="B483" s="23" t="str">
        <x:v>SFO_AIR_PASSENGERS</x:v>
      </x:c>
      <x:c r="C483" s="23" t="str">
        <x:v>City and County of San Francisco</x:v>
      </x:c>
      <x:c r="D483" s="23" t="str">
        <x:v>United States</x:v>
      </x:c>
      <x:c r="E483" s="23" t="str">
        <x:v>San Francisco International Airport</x:v>
      </x:c>
      <x:c r="F483" s="23" t="str">
        <x:v>2025-10</x:v>
      </x:c>
      <x:c r="G483" s="23" t="str">
        <x:v>Thru / Transit</x:v>
      </x:c>
      <x:c r="H483" s="23" t="str">
        <x:v>International</x:v>
      </x:c>
      <x:c r="I483" s="23" t="str">
        <x:v>Thru / Transit</x:v>
      </x:c>
      <x:c r="J483" s="72" t="n">
        <x:v>7157</x:v>
      </x:c>
      <x:c r="K483" s="23" t="str">
        <x:v>passengers</x:v>
      </x:c>
      <x:c r="L483" s="24" t="str"/>
      <x:c r="M483" s="24" t="n">
        <x:v>46256.6280787037</x:v>
      </x:c>
      <x:c r="N483" s="24" t="n">
        <x:v>46268.86863425926</x:v>
      </x:c>
      <x:c r="O483" s="40" t="b">
        <x:v>0</x:v>
      </x:c>
      <x:c r="P483" s="42" t="str">
        <x:v>current_snapshot_diagnostic_only</x:v>
      </x:c>
    </x:row>
    <x:row r="484">
      <x:c r="A484" s="23" t="str">
        <x:v>f13ab4056798bb99db57</x:v>
      </x:c>
      <x:c r="B484" s="23" t="str">
        <x:v>SFO_AIR_PASSENGERS</x:v>
      </x:c>
      <x:c r="C484" s="23" t="str">
        <x:v>City and County of San Francisco</x:v>
      </x:c>
      <x:c r="D484" s="23" t="str">
        <x:v>United States</x:v>
      </x:c>
      <x:c r="E484" s="23" t="str">
        <x:v>San Francisco International Airport</x:v>
      </x:c>
      <x:c r="F484" s="23" t="str">
        <x:v>2025-11</x:v>
      </x:c>
      <x:c r="G484" s="23" t="str">
        <x:v>Deplaned</x:v>
      </x:c>
      <x:c r="H484" s="23" t="str">
        <x:v>Domestic</x:v>
      </x:c>
      <x:c r="I484" s="23" t="str">
        <x:v>Deplaned</x:v>
      </x:c>
      <x:c r="J484" s="72" t="n">
        <x:v>1535865</x:v>
      </x:c>
      <x:c r="K484" s="23" t="str">
        <x:v>passengers</x:v>
      </x:c>
      <x:c r="L484" s="24" t="str"/>
      <x:c r="M484" s="24" t="n">
        <x:v>46256.6280787037</x:v>
      </x:c>
      <x:c r="N484" s="24" t="n">
        <x:v>46268.86863425926</x:v>
      </x:c>
      <x:c r="O484" s="40" t="b">
        <x:v>1</x:v>
      </x:c>
      <x:c r="P484" s="42" t="str">
        <x:v>current_snapshot_diagnostic_only</x:v>
      </x:c>
    </x:row>
    <x:row r="485">
      <x:c r="A485" s="23" t="str">
        <x:v>25d5b0e70ff50e1d7506</x:v>
      </x:c>
      <x:c r="B485" s="23" t="str">
        <x:v>SFO_AIR_PASSENGERS</x:v>
      </x:c>
      <x:c r="C485" s="23" t="str">
        <x:v>City and County of San Francisco</x:v>
      </x:c>
      <x:c r="D485" s="23" t="str">
        <x:v>United States</x:v>
      </x:c>
      <x:c r="E485" s="23" t="str">
        <x:v>San Francisco International Airport</x:v>
      </x:c>
      <x:c r="F485" s="23" t="str">
        <x:v>2025-11</x:v>
      </x:c>
      <x:c r="G485" s="23" t="str">
        <x:v>Enplaned</x:v>
      </x:c>
      <x:c r="H485" s="23" t="str">
        <x:v>Domestic</x:v>
      </x:c>
      <x:c r="I485" s="23" t="str">
        <x:v>Enplaned</x:v>
      </x:c>
      <x:c r="J485" s="72" t="n">
        <x:v>1550486</x:v>
      </x:c>
      <x:c r="K485" s="23" t="str">
        <x:v>passengers</x:v>
      </x:c>
      <x:c r="L485" s="24" t="str"/>
      <x:c r="M485" s="24" t="n">
        <x:v>46256.6280787037</x:v>
      </x:c>
      <x:c r="N485" s="24" t="n">
        <x:v>46268.86863425926</x:v>
      </x:c>
      <x:c r="O485" s="40" t="b">
        <x:v>1</x:v>
      </x:c>
      <x:c r="P485" s="42" t="str">
        <x:v>current_snapshot_diagnostic_only</x:v>
      </x:c>
    </x:row>
    <x:row r="486">
      <x:c r="A486" s="23" t="str">
        <x:v>b68f76e02a4977a93af6</x:v>
      </x:c>
      <x:c r="B486" s="23" t="str">
        <x:v>SFO_AIR_PASSENGERS</x:v>
      </x:c>
      <x:c r="C486" s="23" t="str">
        <x:v>City and County of San Francisco</x:v>
      </x:c>
      <x:c r="D486" s="23" t="str">
        <x:v>United States</x:v>
      </x:c>
      <x:c r="E486" s="23" t="str">
        <x:v>San Francisco International Airport</x:v>
      </x:c>
      <x:c r="F486" s="23" t="str">
        <x:v>2025-11</x:v>
      </x:c>
      <x:c r="G486" s="23" t="str">
        <x:v>Thru / Transit</x:v>
      </x:c>
      <x:c r="H486" s="23" t="str">
        <x:v>Domestic</x:v>
      </x:c>
      <x:c r="I486" s="23" t="str">
        <x:v>Thru / Transit</x:v>
      </x:c>
      <x:c r="J486" s="72" t="n">
        <x:v>511</x:v>
      </x:c>
      <x:c r="K486" s="23" t="str">
        <x:v>passengers</x:v>
      </x:c>
      <x:c r="L486" s="24" t="str"/>
      <x:c r="M486" s="24" t="n">
        <x:v>46256.6280787037</x:v>
      </x:c>
      <x:c r="N486" s="24" t="n">
        <x:v>46268.86863425926</x:v>
      </x:c>
      <x:c r="O486" s="40" t="b">
        <x:v>0</x:v>
      </x:c>
      <x:c r="P486" s="42" t="str">
        <x:v>current_snapshot_diagnostic_only</x:v>
      </x:c>
    </x:row>
    <x:row r="487">
      <x:c r="A487" s="23" t="str">
        <x:v>e9f0ff8e8be1da27a0e5</x:v>
      </x:c>
      <x:c r="B487" s="23" t="str">
        <x:v>SFO_AIR_PASSENGERS</x:v>
      </x:c>
      <x:c r="C487" s="23" t="str">
        <x:v>City and County of San Francisco</x:v>
      </x:c>
      <x:c r="D487" s="23" t="str">
        <x:v>United States</x:v>
      </x:c>
      <x:c r="E487" s="23" t="str">
        <x:v>San Francisco International Airport</x:v>
      </x:c>
      <x:c r="F487" s="23" t="str">
        <x:v>2025-11</x:v>
      </x:c>
      <x:c r="G487" s="23" t="str">
        <x:v>Deplaned</x:v>
      </x:c>
      <x:c r="H487" s="23" t="str">
        <x:v>International</x:v>
      </x:c>
      <x:c r="I487" s="23" t="str">
        <x:v>Deplaned</x:v>
      </x:c>
      <x:c r="J487" s="72" t="n">
        <x:v>584335</x:v>
      </x:c>
      <x:c r="K487" s="23" t="str">
        <x:v>passengers</x:v>
      </x:c>
      <x:c r="L487" s="24" t="str"/>
      <x:c r="M487" s="24" t="n">
        <x:v>46256.6280787037</x:v>
      </x:c>
      <x:c r="N487" s="24" t="n">
        <x:v>46268.86863425926</x:v>
      </x:c>
      <x:c r="O487" s="40" t="b">
        <x:v>1</x:v>
      </x:c>
      <x:c r="P487" s="42" t="str">
        <x:v>current_snapshot_diagnostic_only</x:v>
      </x:c>
    </x:row>
    <x:row r="488">
      <x:c r="A488" s="23" t="str">
        <x:v>278653c3932e5857e62e</x:v>
      </x:c>
      <x:c r="B488" s="23" t="str">
        <x:v>SFO_AIR_PASSENGERS</x:v>
      </x:c>
      <x:c r="C488" s="23" t="str">
        <x:v>City and County of San Francisco</x:v>
      </x:c>
      <x:c r="D488" s="23" t="str">
        <x:v>United States</x:v>
      </x:c>
      <x:c r="E488" s="23" t="str">
        <x:v>San Francisco International Airport</x:v>
      </x:c>
      <x:c r="F488" s="23" t="str">
        <x:v>2025-11</x:v>
      </x:c>
      <x:c r="G488" s="23" t="str">
        <x:v>Enplaned</x:v>
      </x:c>
      <x:c r="H488" s="23" t="str">
        <x:v>International</x:v>
      </x:c>
      <x:c r="I488" s="23" t="str">
        <x:v>Enplaned</x:v>
      </x:c>
      <x:c r="J488" s="72" t="n">
        <x:v>619940</x:v>
      </x:c>
      <x:c r="K488" s="23" t="str">
        <x:v>passengers</x:v>
      </x:c>
      <x:c r="L488" s="24" t="str"/>
      <x:c r="M488" s="24" t="n">
        <x:v>46256.6280787037</x:v>
      </x:c>
      <x:c r="N488" s="24" t="n">
        <x:v>46268.86863425926</x:v>
      </x:c>
      <x:c r="O488" s="40" t="b">
        <x:v>1</x:v>
      </x:c>
      <x:c r="P488" s="42" t="str">
        <x:v>current_snapshot_diagnostic_only</x:v>
      </x:c>
    </x:row>
    <x:row r="489">
      <x:c r="A489" s="23" t="str">
        <x:v>de5c65119789e6540821</x:v>
      </x:c>
      <x:c r="B489" s="23" t="str">
        <x:v>SFO_AIR_PASSENGERS</x:v>
      </x:c>
      <x:c r="C489" s="23" t="str">
        <x:v>City and County of San Francisco</x:v>
      </x:c>
      <x:c r="D489" s="23" t="str">
        <x:v>United States</x:v>
      </x:c>
      <x:c r="E489" s="23" t="str">
        <x:v>San Francisco International Airport</x:v>
      </x:c>
      <x:c r="F489" s="23" t="str">
        <x:v>2025-11</x:v>
      </x:c>
      <x:c r="G489" s="23" t="str">
        <x:v>Thru / Transit</x:v>
      </x:c>
      <x:c r="H489" s="23" t="str">
        <x:v>International</x:v>
      </x:c>
      <x:c r="I489" s="23" t="str">
        <x:v>Thru / Transit</x:v>
      </x:c>
      <x:c r="J489" s="72" t="n">
        <x:v>4555</x:v>
      </x:c>
      <x:c r="K489" s="23" t="str">
        <x:v>passengers</x:v>
      </x:c>
      <x:c r="L489" s="24" t="str"/>
      <x:c r="M489" s="24" t="n">
        <x:v>46256.6280787037</x:v>
      </x:c>
      <x:c r="N489" s="24" t="n">
        <x:v>46268.86863425926</x:v>
      </x:c>
      <x:c r="O489" s="40" t="b">
        <x:v>0</x:v>
      </x:c>
      <x:c r="P489" s="42" t="str">
        <x:v>current_snapshot_diagnostic_only</x:v>
      </x:c>
    </x:row>
    <x:row r="490">
      <x:c r="A490" s="23" t="str">
        <x:v>2e8ee5b705950686284c</x:v>
      </x:c>
      <x:c r="B490" s="23" t="str">
        <x:v>SFO_AIR_PASSENGERS</x:v>
      </x:c>
      <x:c r="C490" s="23" t="str">
        <x:v>City and County of San Francisco</x:v>
      </x:c>
      <x:c r="D490" s="23" t="str">
        <x:v>United States</x:v>
      </x:c>
      <x:c r="E490" s="23" t="str">
        <x:v>San Francisco International Airport</x:v>
      </x:c>
      <x:c r="F490" s="23" t="str">
        <x:v>2025-12</x:v>
      </x:c>
      <x:c r="G490" s="23" t="str">
        <x:v>Deplaned</x:v>
      </x:c>
      <x:c r="H490" s="23" t="str">
        <x:v>Domestic</x:v>
      </x:c>
      <x:c r="I490" s="23" t="str">
        <x:v>Deplaned</x:v>
      </x:c>
      <x:c r="J490" s="72" t="n">
        <x:v>1597312</x:v>
      </x:c>
      <x:c r="K490" s="23" t="str">
        <x:v>passengers</x:v>
      </x:c>
      <x:c r="L490" s="24" t="str"/>
      <x:c r="M490" s="24" t="n">
        <x:v>46256.6280787037</x:v>
      </x:c>
      <x:c r="N490" s="24" t="n">
        <x:v>46268.86863425926</x:v>
      </x:c>
      <x:c r="O490" s="40" t="b">
        <x:v>1</x:v>
      </x:c>
      <x:c r="P490" s="42" t="str">
        <x:v>current_snapshot_diagnostic_only</x:v>
      </x:c>
    </x:row>
    <x:row r="491">
      <x:c r="A491" s="23" t="str">
        <x:v>4a48498c756445a45e3e</x:v>
      </x:c>
      <x:c r="B491" s="23" t="str">
        <x:v>SFO_AIR_PASSENGERS</x:v>
      </x:c>
      <x:c r="C491" s="23" t="str">
        <x:v>City and County of San Francisco</x:v>
      </x:c>
      <x:c r="D491" s="23" t="str">
        <x:v>United States</x:v>
      </x:c>
      <x:c r="E491" s="23" t="str">
        <x:v>San Francisco International Airport</x:v>
      </x:c>
      <x:c r="F491" s="23" t="str">
        <x:v>2025-12</x:v>
      </x:c>
      <x:c r="G491" s="23" t="str">
        <x:v>Enplaned</x:v>
      </x:c>
      <x:c r="H491" s="23" t="str">
        <x:v>Domestic</x:v>
      </x:c>
      <x:c r="I491" s="23" t="str">
        <x:v>Enplaned</x:v>
      </x:c>
      <x:c r="J491" s="72" t="n">
        <x:v>1610972</x:v>
      </x:c>
      <x:c r="K491" s="23" t="str">
        <x:v>passengers</x:v>
      </x:c>
      <x:c r="L491" s="24" t="str"/>
      <x:c r="M491" s="24" t="n">
        <x:v>46256.6280787037</x:v>
      </x:c>
      <x:c r="N491" s="24" t="n">
        <x:v>46268.86863425926</x:v>
      </x:c>
      <x:c r="O491" s="40" t="b">
        <x:v>1</x:v>
      </x:c>
      <x:c r="P491" s="42" t="str">
        <x:v>current_snapshot_diagnostic_only</x:v>
      </x:c>
    </x:row>
    <x:row r="492">
      <x:c r="A492" s="23" t="str">
        <x:v>f9ece5e5dc8822ae1ac6</x:v>
      </x:c>
      <x:c r="B492" s="23" t="str">
        <x:v>SFO_AIR_PASSENGERS</x:v>
      </x:c>
      <x:c r="C492" s="23" t="str">
        <x:v>City and County of San Francisco</x:v>
      </x:c>
      <x:c r="D492" s="23" t="str">
        <x:v>United States</x:v>
      </x:c>
      <x:c r="E492" s="23" t="str">
        <x:v>San Francisco International Airport</x:v>
      </x:c>
      <x:c r="F492" s="23" t="str">
        <x:v>2025-12</x:v>
      </x:c>
      <x:c r="G492" s="23" t="str">
        <x:v>Thru / Transit</x:v>
      </x:c>
      <x:c r="H492" s="23" t="str">
        <x:v>Domestic</x:v>
      </x:c>
      <x:c r="I492" s="23" t="str">
        <x:v>Thru / Transit</x:v>
      </x:c>
      <x:c r="J492" s="72" t="n">
        <x:v>491</x:v>
      </x:c>
      <x:c r="K492" s="23" t="str">
        <x:v>passengers</x:v>
      </x:c>
      <x:c r="L492" s="24" t="str"/>
      <x:c r="M492" s="24" t="n">
        <x:v>46256.6280787037</x:v>
      </x:c>
      <x:c r="N492" s="24" t="n">
        <x:v>46268.86863425926</x:v>
      </x:c>
      <x:c r="O492" s="40" t="b">
        <x:v>0</x:v>
      </x:c>
      <x:c r="P492" s="42" t="str">
        <x:v>current_snapshot_diagnostic_only</x:v>
      </x:c>
    </x:row>
    <x:row r="493">
      <x:c r="A493" s="23" t="str">
        <x:v>3e7c8285a0a6ad3ca083</x:v>
      </x:c>
      <x:c r="B493" s="23" t="str">
        <x:v>SFO_AIR_PASSENGERS</x:v>
      </x:c>
      <x:c r="C493" s="23" t="str">
        <x:v>City and County of San Francisco</x:v>
      </x:c>
      <x:c r="D493" s="23" t="str">
        <x:v>United States</x:v>
      </x:c>
      <x:c r="E493" s="23" t="str">
        <x:v>San Francisco International Airport</x:v>
      </x:c>
      <x:c r="F493" s="23" t="str">
        <x:v>2025-12</x:v>
      </x:c>
      <x:c r="G493" s="23" t="str">
        <x:v>Deplaned</x:v>
      </x:c>
      <x:c r="H493" s="23" t="str">
        <x:v>International</x:v>
      </x:c>
      <x:c r="I493" s="23" t="str">
        <x:v>Deplaned</x:v>
      </x:c>
      <x:c r="J493" s="72" t="n">
        <x:v>642221</x:v>
      </x:c>
      <x:c r="K493" s="23" t="str">
        <x:v>passengers</x:v>
      </x:c>
      <x:c r="L493" s="24" t="str"/>
      <x:c r="M493" s="24" t="n">
        <x:v>46256.6280787037</x:v>
      </x:c>
      <x:c r="N493" s="24" t="n">
        <x:v>46268.86863425926</x:v>
      </x:c>
      <x:c r="O493" s="40" t="b">
        <x:v>1</x:v>
      </x:c>
      <x:c r="P493" s="42" t="str">
        <x:v>current_snapshot_diagnostic_only</x:v>
      </x:c>
    </x:row>
    <x:row r="494">
      <x:c r="A494" s="23" t="str">
        <x:v>19b463329492ddf49149</x:v>
      </x:c>
      <x:c r="B494" s="23" t="str">
        <x:v>SFO_AIR_PASSENGERS</x:v>
      </x:c>
      <x:c r="C494" s="23" t="str">
        <x:v>City and County of San Francisco</x:v>
      </x:c>
      <x:c r="D494" s="23" t="str">
        <x:v>United States</x:v>
      </x:c>
      <x:c r="E494" s="23" t="str">
        <x:v>San Francisco International Airport</x:v>
      </x:c>
      <x:c r="F494" s="23" t="str">
        <x:v>2025-12</x:v>
      </x:c>
      <x:c r="G494" s="23" t="str">
        <x:v>Enplaned</x:v>
      </x:c>
      <x:c r="H494" s="23" t="str">
        <x:v>International</x:v>
      </x:c>
      <x:c r="I494" s="23" t="str">
        <x:v>Enplaned</x:v>
      </x:c>
      <x:c r="J494" s="72" t="n">
        <x:v>693191</x:v>
      </x:c>
      <x:c r="K494" s="23" t="str">
        <x:v>passengers</x:v>
      </x:c>
      <x:c r="L494" s="24" t="str"/>
      <x:c r="M494" s="24" t="n">
        <x:v>46256.6280787037</x:v>
      </x:c>
      <x:c r="N494" s="24" t="n">
        <x:v>46268.86863425926</x:v>
      </x:c>
      <x:c r="O494" s="40" t="b">
        <x:v>1</x:v>
      </x:c>
      <x:c r="P494" s="42" t="str">
        <x:v>current_snapshot_diagnostic_only</x:v>
      </x:c>
    </x:row>
    <x:row r="495">
      <x:c r="A495" s="23" t="str">
        <x:v>9c3677e4f90b15c64385</x:v>
      </x:c>
      <x:c r="B495" s="23" t="str">
        <x:v>SFO_AIR_PASSENGERS</x:v>
      </x:c>
      <x:c r="C495" s="23" t="str">
        <x:v>City and County of San Francisco</x:v>
      </x:c>
      <x:c r="D495" s="23" t="str">
        <x:v>United States</x:v>
      </x:c>
      <x:c r="E495" s="23" t="str">
        <x:v>San Francisco International Airport</x:v>
      </x:c>
      <x:c r="F495" s="23" t="str">
        <x:v>2025-12</x:v>
      </x:c>
      <x:c r="G495" s="23" t="str">
        <x:v>Thru / Transit</x:v>
      </x:c>
      <x:c r="H495" s="23" t="str">
        <x:v>International</x:v>
      </x:c>
      <x:c r="I495" s="23" t="str">
        <x:v>Thru / Transit</x:v>
      </x:c>
      <x:c r="J495" s="72" t="n">
        <x:v>5245</x:v>
      </x:c>
      <x:c r="K495" s="23" t="str">
        <x:v>passengers</x:v>
      </x:c>
      <x:c r="L495" s="24" t="str"/>
      <x:c r="M495" s="24" t="n">
        <x:v>46256.6280787037</x:v>
      </x:c>
      <x:c r="N495" s="24" t="n">
        <x:v>46268.86863425926</x:v>
      </x:c>
      <x:c r="O495" s="40" t="b">
        <x:v>0</x:v>
      </x:c>
      <x:c r="P495" s="42" t="str">
        <x:v>current_snapshot_diagnostic_only</x:v>
      </x:c>
    </x:row>
    <x:row r="496">
      <x:c r="A496" s="23" t="str">
        <x:v>52accdbd906448374c14</x:v>
      </x:c>
      <x:c r="B496" s="23" t="str">
        <x:v>SFO_AIR_PASSENGERS</x:v>
      </x:c>
      <x:c r="C496" s="23" t="str">
        <x:v>City and County of San Francisco</x:v>
      </x:c>
      <x:c r="D496" s="23" t="str">
        <x:v>United States</x:v>
      </x:c>
      <x:c r="E496" s="23" t="str">
        <x:v>San Francisco International Airport</x:v>
      </x:c>
      <x:c r="F496" s="23" t="str">
        <x:v>2026-01</x:v>
      </x:c>
      <x:c r="G496" s="23" t="str">
        <x:v>Deplaned</x:v>
      </x:c>
      <x:c r="H496" s="23" t="str">
        <x:v>Domestic</x:v>
      </x:c>
      <x:c r="I496" s="23" t="str">
        <x:v>Deplaned</x:v>
      </x:c>
      <x:c r="J496" s="72" t="n">
        <x:v>1396847</x:v>
      </x:c>
      <x:c r="K496" s="23" t="str">
        <x:v>passengers</x:v>
      </x:c>
      <x:c r="L496" s="24" t="str"/>
      <x:c r="M496" s="24" t="n">
        <x:v>46256.6280787037</x:v>
      </x:c>
      <x:c r="N496" s="24" t="n">
        <x:v>46268.86863425926</x:v>
      </x:c>
      <x:c r="O496" s="40" t="b">
        <x:v>1</x:v>
      </x:c>
      <x:c r="P496" s="42" t="str">
        <x:v>current_snapshot_diagnostic_only</x:v>
      </x:c>
    </x:row>
    <x:row r="497">
      <x:c r="A497" s="23" t="str">
        <x:v>396db70d645fa0349103</x:v>
      </x:c>
      <x:c r="B497" s="23" t="str">
        <x:v>SFO_AIR_PASSENGERS</x:v>
      </x:c>
      <x:c r="C497" s="23" t="str">
        <x:v>City and County of San Francisco</x:v>
      </x:c>
      <x:c r="D497" s="23" t="str">
        <x:v>United States</x:v>
      </x:c>
      <x:c r="E497" s="23" t="str">
        <x:v>San Francisco International Airport</x:v>
      </x:c>
      <x:c r="F497" s="23" t="str">
        <x:v>2026-01</x:v>
      </x:c>
      <x:c r="G497" s="23" t="str">
        <x:v>Enplaned</x:v>
      </x:c>
      <x:c r="H497" s="23" t="str">
        <x:v>Domestic</x:v>
      </x:c>
      <x:c r="I497" s="23" t="str">
        <x:v>Enplaned</x:v>
      </x:c>
      <x:c r="J497" s="72" t="n">
        <x:v>1343003</x:v>
      </x:c>
      <x:c r="K497" s="23" t="str">
        <x:v>passengers</x:v>
      </x:c>
      <x:c r="L497" s="24" t="str"/>
      <x:c r="M497" s="24" t="n">
        <x:v>46256.6280787037</x:v>
      </x:c>
      <x:c r="N497" s="24" t="n">
        <x:v>46268.86863425926</x:v>
      </x:c>
      <x:c r="O497" s="40" t="b">
        <x:v>1</x:v>
      </x:c>
      <x:c r="P497" s="42" t="str">
        <x:v>current_snapshot_diagnostic_only</x:v>
      </x:c>
    </x:row>
    <x:row r="498">
      <x:c r="A498" s="23" t="str">
        <x:v>d37b7c1233d8abc369c9</x:v>
      </x:c>
      <x:c r="B498" s="23" t="str">
        <x:v>SFO_AIR_PASSENGERS</x:v>
      </x:c>
      <x:c r="C498" s="23" t="str">
        <x:v>City and County of San Francisco</x:v>
      </x:c>
      <x:c r="D498" s="23" t="str">
        <x:v>United States</x:v>
      </x:c>
      <x:c r="E498" s="23" t="str">
        <x:v>San Francisco International Airport</x:v>
      </x:c>
      <x:c r="F498" s="23" t="str">
        <x:v>2026-01</x:v>
      </x:c>
      <x:c r="G498" s="23" t="str">
        <x:v>Thru / Transit</x:v>
      </x:c>
      <x:c r="H498" s="23" t="str">
        <x:v>Domestic</x:v>
      </x:c>
      <x:c r="I498" s="23" t="str">
        <x:v>Thru / Transit</x:v>
      </x:c>
      <x:c r="J498" s="72" t="n">
        <x:v>831</x:v>
      </x:c>
      <x:c r="K498" s="23" t="str">
        <x:v>passengers</x:v>
      </x:c>
      <x:c r="L498" s="24" t="str"/>
      <x:c r="M498" s="24" t="n">
        <x:v>46256.6280787037</x:v>
      </x:c>
      <x:c r="N498" s="24" t="n">
        <x:v>46268.86863425926</x:v>
      </x:c>
      <x:c r="O498" s="40" t="b">
        <x:v>0</x:v>
      </x:c>
      <x:c r="P498" s="42" t="str">
        <x:v>current_snapshot_diagnostic_only</x:v>
      </x:c>
    </x:row>
    <x:row r="499">
      <x:c r="A499" s="23" t="str">
        <x:v>e3690a4716cb513a2481</x:v>
      </x:c>
      <x:c r="B499" s="23" t="str">
        <x:v>SFO_AIR_PASSENGERS</x:v>
      </x:c>
      <x:c r="C499" s="23" t="str">
        <x:v>City and County of San Francisco</x:v>
      </x:c>
      <x:c r="D499" s="23" t="str">
        <x:v>United States</x:v>
      </x:c>
      <x:c r="E499" s="23" t="str">
        <x:v>San Francisco International Airport</x:v>
      </x:c>
      <x:c r="F499" s="23" t="str">
        <x:v>2026-01</x:v>
      </x:c>
      <x:c r="G499" s="23" t="str">
        <x:v>Deplaned</x:v>
      </x:c>
      <x:c r="H499" s="23" t="str">
        <x:v>International</x:v>
      </x:c>
      <x:c r="I499" s="23" t="str">
        <x:v>Deplaned</x:v>
      </x:c>
      <x:c r="J499" s="72" t="n">
        <x:v>663903</x:v>
      </x:c>
      <x:c r="K499" s="23" t="str">
        <x:v>passengers</x:v>
      </x:c>
      <x:c r="L499" s="24" t="str"/>
      <x:c r="M499" s="24" t="n">
        <x:v>46256.6280787037</x:v>
      </x:c>
      <x:c r="N499" s="24" t="n">
        <x:v>46268.86863425926</x:v>
      </x:c>
      <x:c r="O499" s="40" t="b">
        <x:v>1</x:v>
      </x:c>
      <x:c r="P499" s="42" t="str">
        <x:v>current_snapshot_diagnostic_only</x:v>
      </x:c>
    </x:row>
    <x:row r="500">
      <x:c r="A500" s="23" t="str">
        <x:v>49c0942f47f00b6fbaaf</x:v>
      </x:c>
      <x:c r="B500" s="23" t="str">
        <x:v>SFO_AIR_PASSENGERS</x:v>
      </x:c>
      <x:c r="C500" s="23" t="str">
        <x:v>City and County of San Francisco</x:v>
      </x:c>
      <x:c r="D500" s="23" t="str">
        <x:v>United States</x:v>
      </x:c>
      <x:c r="E500" s="23" t="str">
        <x:v>San Francisco International Airport</x:v>
      </x:c>
      <x:c r="F500" s="23" t="str">
        <x:v>2026-01</x:v>
      </x:c>
      <x:c r="G500" s="23" t="str">
        <x:v>Enplaned</x:v>
      </x:c>
      <x:c r="H500" s="23" t="str">
        <x:v>International</x:v>
      </x:c>
      <x:c r="I500" s="23" t="str">
        <x:v>Enplaned</x:v>
      </x:c>
      <x:c r="J500" s="72" t="n">
        <x:v>591760</x:v>
      </x:c>
      <x:c r="K500" s="23" t="str">
        <x:v>passengers</x:v>
      </x:c>
      <x:c r="L500" s="24" t="str"/>
      <x:c r="M500" s="24" t="n">
        <x:v>46256.6280787037</x:v>
      </x:c>
      <x:c r="N500" s="24" t="n">
        <x:v>46268.86863425926</x:v>
      </x:c>
      <x:c r="O500" s="40" t="b">
        <x:v>1</x:v>
      </x:c>
      <x:c r="P500" s="42" t="str">
        <x:v>current_snapshot_diagnostic_only</x:v>
      </x:c>
    </x:row>
    <x:row r="501">
      <x:c r="A501" s="23" t="str">
        <x:v>f9eef7617a944f7f4680</x:v>
      </x:c>
      <x:c r="B501" s="23" t="str">
        <x:v>SFO_AIR_PASSENGERS</x:v>
      </x:c>
      <x:c r="C501" s="23" t="str">
        <x:v>City and County of San Francisco</x:v>
      </x:c>
      <x:c r="D501" s="23" t="str">
        <x:v>United States</x:v>
      </x:c>
      <x:c r="E501" s="23" t="str">
        <x:v>San Francisco International Airport</x:v>
      </x:c>
      <x:c r="F501" s="23" t="str">
        <x:v>2026-01</x:v>
      </x:c>
      <x:c r="G501" s="23" t="str">
        <x:v>Thru / Transit</x:v>
      </x:c>
      <x:c r="H501" s="23" t="str">
        <x:v>International</x:v>
      </x:c>
      <x:c r="I501" s="23" t="str">
        <x:v>Thru / Transit</x:v>
      </x:c>
      <x:c r="J501" s="72" t="n">
        <x:v>4927</x:v>
      </x:c>
      <x:c r="K501" s="23" t="str">
        <x:v>passengers</x:v>
      </x:c>
      <x:c r="L501" s="24" t="str"/>
      <x:c r="M501" s="24" t="n">
        <x:v>46256.6280787037</x:v>
      </x:c>
      <x:c r="N501" s="24" t="n">
        <x:v>46268.86863425926</x:v>
      </x:c>
      <x:c r="O501" s="40" t="b">
        <x:v>0</x:v>
      </x:c>
      <x:c r="P501" s="42" t="str">
        <x:v>current_snapshot_diagnostic_only</x:v>
      </x:c>
    </x:row>
    <x:row r="502">
      <x:c r="A502" s="23" t="str">
        <x:v>7060a5ebfcfe042def9a</x:v>
      </x:c>
      <x:c r="B502" s="23" t="str">
        <x:v>SFO_AIR_PASSENGERS</x:v>
      </x:c>
      <x:c r="C502" s="23" t="str">
        <x:v>City and County of San Francisco</x:v>
      </x:c>
      <x:c r="D502" s="23" t="str">
        <x:v>United States</x:v>
      </x:c>
      <x:c r="E502" s="23" t="str">
        <x:v>San Francisco International Airport</x:v>
      </x:c>
      <x:c r="F502" s="23" t="str">
        <x:v>2026-02</x:v>
      </x:c>
      <x:c r="G502" s="23" t="str">
        <x:v>Deplaned</x:v>
      </x:c>
      <x:c r="H502" s="23" t="str">
        <x:v>Domestic</x:v>
      </x:c>
      <x:c r="I502" s="23" t="str">
        <x:v>Deplaned</x:v>
      </x:c>
      <x:c r="J502" s="72" t="n">
        <x:v>1319171</x:v>
      </x:c>
      <x:c r="K502" s="23" t="str">
        <x:v>passengers</x:v>
      </x:c>
      <x:c r="L502" s="24" t="str"/>
      <x:c r="M502" s="24" t="n">
        <x:v>46256.6280787037</x:v>
      </x:c>
      <x:c r="N502" s="24" t="n">
        <x:v>46268.86863425926</x:v>
      </x:c>
      <x:c r="O502" s="40" t="b">
        <x:v>1</x:v>
      </x:c>
      <x:c r="P502" s="42" t="str">
        <x:v>current_snapshot_diagnostic_only</x:v>
      </x:c>
    </x:row>
    <x:row r="503">
      <x:c r="A503" s="23" t="str">
        <x:v>3187e701454129dee7e3</x:v>
      </x:c>
      <x:c r="B503" s="23" t="str">
        <x:v>SFO_AIR_PASSENGERS</x:v>
      </x:c>
      <x:c r="C503" s="23" t="str">
        <x:v>City and County of San Francisco</x:v>
      </x:c>
      <x:c r="D503" s="23" t="str">
        <x:v>United States</x:v>
      </x:c>
      <x:c r="E503" s="23" t="str">
        <x:v>San Francisco International Airport</x:v>
      </x:c>
      <x:c r="F503" s="23" t="str">
        <x:v>2026-02</x:v>
      </x:c>
      <x:c r="G503" s="23" t="str">
        <x:v>Enplaned</x:v>
      </x:c>
      <x:c r="H503" s="23" t="str">
        <x:v>Domestic</x:v>
      </x:c>
      <x:c r="I503" s="23" t="str">
        <x:v>Enplaned</x:v>
      </x:c>
      <x:c r="J503" s="72" t="n">
        <x:v>1313366</x:v>
      </x:c>
      <x:c r="K503" s="23" t="str">
        <x:v>passengers</x:v>
      </x:c>
      <x:c r="L503" s="24" t="str"/>
      <x:c r="M503" s="24" t="n">
        <x:v>46256.6280787037</x:v>
      </x:c>
      <x:c r="N503" s="24" t="n">
        <x:v>46268.86863425926</x:v>
      </x:c>
      <x:c r="O503" s="40" t="b">
        <x:v>1</x:v>
      </x:c>
      <x:c r="P503" s="42" t="str">
        <x:v>current_snapshot_diagnostic_only</x:v>
      </x:c>
    </x:row>
    <x:row r="504">
      <x:c r="A504" s="23" t="str">
        <x:v>3699848aa209fc9f011a</x:v>
      </x:c>
      <x:c r="B504" s="23" t="str">
        <x:v>SFO_AIR_PASSENGERS</x:v>
      </x:c>
      <x:c r="C504" s="23" t="str">
        <x:v>City and County of San Francisco</x:v>
      </x:c>
      <x:c r="D504" s="23" t="str">
        <x:v>United States</x:v>
      </x:c>
      <x:c r="E504" s="23" t="str">
        <x:v>San Francisco International Airport</x:v>
      </x:c>
      <x:c r="F504" s="23" t="str">
        <x:v>2026-02</x:v>
      </x:c>
      <x:c r="G504" s="23" t="str">
        <x:v>Thru / Transit</x:v>
      </x:c>
      <x:c r="H504" s="23" t="str">
        <x:v>Domestic</x:v>
      </x:c>
      <x:c r="I504" s="23" t="str">
        <x:v>Thru / Transit</x:v>
      </x:c>
      <x:c r="J504" s="72" t="n">
        <x:v>277</x:v>
      </x:c>
      <x:c r="K504" s="23" t="str">
        <x:v>passengers</x:v>
      </x:c>
      <x:c r="L504" s="24" t="str"/>
      <x:c r="M504" s="24" t="n">
        <x:v>46256.6280787037</x:v>
      </x:c>
      <x:c r="N504" s="24" t="n">
        <x:v>46268.86863425926</x:v>
      </x:c>
      <x:c r="O504" s="40" t="b">
        <x:v>0</x:v>
      </x:c>
      <x:c r="P504" s="42" t="str">
        <x:v>current_snapshot_diagnostic_only</x:v>
      </x:c>
    </x:row>
    <x:row r="505">
      <x:c r="A505" s="23" t="str">
        <x:v>0adba336adb030637d73</x:v>
      </x:c>
      <x:c r="B505" s="23" t="str">
        <x:v>SFO_AIR_PASSENGERS</x:v>
      </x:c>
      <x:c r="C505" s="23" t="str">
        <x:v>City and County of San Francisco</x:v>
      </x:c>
      <x:c r="D505" s="23" t="str">
        <x:v>United States</x:v>
      </x:c>
      <x:c r="E505" s="23" t="str">
        <x:v>San Francisco International Airport</x:v>
      </x:c>
      <x:c r="F505" s="23" t="str">
        <x:v>2026-02</x:v>
      </x:c>
      <x:c r="G505" s="23" t="str">
        <x:v>Deplaned</x:v>
      </x:c>
      <x:c r="H505" s="23" t="str">
        <x:v>International</x:v>
      </x:c>
      <x:c r="I505" s="23" t="str">
        <x:v>Deplaned</x:v>
      </x:c>
      <x:c r="J505" s="72" t="n">
        <x:v>532033</x:v>
      </x:c>
      <x:c r="K505" s="23" t="str">
        <x:v>passengers</x:v>
      </x:c>
      <x:c r="L505" s="24" t="str"/>
      <x:c r="M505" s="24" t="n">
        <x:v>46256.6280787037</x:v>
      </x:c>
      <x:c r="N505" s="24" t="n">
        <x:v>46268.86863425926</x:v>
      </x:c>
      <x:c r="O505" s="40" t="b">
        <x:v>1</x:v>
      </x:c>
      <x:c r="P505" s="42" t="str">
        <x:v>current_snapshot_diagnostic_only</x:v>
      </x:c>
    </x:row>
    <x:row r="506">
      <x:c r="A506" s="23" t="str">
        <x:v>7a8911c4cbcb640bd91c</x:v>
      </x:c>
      <x:c r="B506" s="23" t="str">
        <x:v>SFO_AIR_PASSENGERS</x:v>
      </x:c>
      <x:c r="C506" s="23" t="str">
        <x:v>City and County of San Francisco</x:v>
      </x:c>
      <x:c r="D506" s="23" t="str">
        <x:v>United States</x:v>
      </x:c>
      <x:c r="E506" s="23" t="str">
        <x:v>San Francisco International Airport</x:v>
      </x:c>
      <x:c r="F506" s="23" t="str">
        <x:v>2026-02</x:v>
      </x:c>
      <x:c r="G506" s="23" t="str">
        <x:v>Enplaned</x:v>
      </x:c>
      <x:c r="H506" s="23" t="str">
        <x:v>International</x:v>
      </x:c>
      <x:c r="I506" s="23" t="str">
        <x:v>Enplaned</x:v>
      </x:c>
      <x:c r="J506" s="72" t="n">
        <x:v>533708</x:v>
      </x:c>
      <x:c r="K506" s="23" t="str">
        <x:v>passengers</x:v>
      </x:c>
      <x:c r="L506" s="24" t="str"/>
      <x:c r="M506" s="24" t="n">
        <x:v>46256.6280787037</x:v>
      </x:c>
      <x:c r="N506" s="24" t="n">
        <x:v>46268.86863425926</x:v>
      </x:c>
      <x:c r="O506" s="40" t="b">
        <x:v>1</x:v>
      </x:c>
      <x:c r="P506" s="42" t="str">
        <x:v>current_snapshot_diagnostic_only</x:v>
      </x:c>
    </x:row>
    <x:row r="507">
      <x:c r="A507" s="23" t="str">
        <x:v>5808e7e242fc052f8553</x:v>
      </x:c>
      <x:c r="B507" s="23" t="str">
        <x:v>SFO_AIR_PASSENGERS</x:v>
      </x:c>
      <x:c r="C507" s="23" t="str">
        <x:v>City and County of San Francisco</x:v>
      </x:c>
      <x:c r="D507" s="23" t="str">
        <x:v>United States</x:v>
      </x:c>
      <x:c r="E507" s="23" t="str">
        <x:v>San Francisco International Airport</x:v>
      </x:c>
      <x:c r="F507" s="23" t="str">
        <x:v>2026-02</x:v>
      </x:c>
      <x:c r="G507" s="23" t="str">
        <x:v>Thru / Transit</x:v>
      </x:c>
      <x:c r="H507" s="23" t="str">
        <x:v>International</x:v>
      </x:c>
      <x:c r="I507" s="23" t="str">
        <x:v>Thru / Transit</x:v>
      </x:c>
      <x:c r="J507" s="72" t="n">
        <x:v>2643</x:v>
      </x:c>
      <x:c r="K507" s="23" t="str">
        <x:v>passengers</x:v>
      </x:c>
      <x:c r="L507" s="24" t="str"/>
      <x:c r="M507" s="24" t="n">
        <x:v>46256.6280787037</x:v>
      </x:c>
      <x:c r="N507" s="24" t="n">
        <x:v>46268.86863425926</x:v>
      </x:c>
      <x:c r="O507" s="40" t="b">
        <x:v>0</x:v>
      </x:c>
      <x:c r="P507" s="42" t="str">
        <x:v>current_snapshot_diagnostic_only</x:v>
      </x:c>
    </x:row>
    <x:row r="508">
      <x:c r="A508" s="23" t="str">
        <x:v>3ef8f5edd204183f0c94</x:v>
      </x:c>
      <x:c r="B508" s="23" t="str">
        <x:v>SFO_AIR_PASSENGERS</x:v>
      </x:c>
      <x:c r="C508" s="23" t="str">
        <x:v>City and County of San Francisco</x:v>
      </x:c>
      <x:c r="D508" s="23" t="str">
        <x:v>United States</x:v>
      </x:c>
      <x:c r="E508" s="23" t="str">
        <x:v>San Francisco International Airport</x:v>
      </x:c>
      <x:c r="F508" s="23" t="str">
        <x:v>2026-03</x:v>
      </x:c>
      <x:c r="G508" s="23" t="str">
        <x:v>Deplaned</x:v>
      </x:c>
      <x:c r="H508" s="23" t="str">
        <x:v>Domestic</x:v>
      </x:c>
      <x:c r="I508" s="23" t="str">
        <x:v>Deplaned</x:v>
      </x:c>
      <x:c r="J508" s="72" t="n">
        <x:v>1598113</x:v>
      </x:c>
      <x:c r="K508" s="23" t="str">
        <x:v>passengers</x:v>
      </x:c>
      <x:c r="L508" s="24" t="str"/>
      <x:c r="M508" s="24" t="n">
        <x:v>46256.6280787037</x:v>
      </x:c>
      <x:c r="N508" s="24" t="n">
        <x:v>46268.86863425926</x:v>
      </x:c>
      <x:c r="O508" s="40" t="b">
        <x:v>1</x:v>
      </x:c>
      <x:c r="P508" s="42" t="str">
        <x:v>current_snapshot_diagnostic_only</x:v>
      </x:c>
    </x:row>
    <x:row r="509">
      <x:c r="A509" s="23" t="str">
        <x:v>68ae42c3d2c17a25e42b</x:v>
      </x:c>
      <x:c r="B509" s="23" t="str">
        <x:v>SFO_AIR_PASSENGERS</x:v>
      </x:c>
      <x:c r="C509" s="23" t="str">
        <x:v>City and County of San Francisco</x:v>
      </x:c>
      <x:c r="D509" s="23" t="str">
        <x:v>United States</x:v>
      </x:c>
      <x:c r="E509" s="23" t="str">
        <x:v>San Francisco International Airport</x:v>
      </x:c>
      <x:c r="F509" s="23" t="str">
        <x:v>2026-03</x:v>
      </x:c>
      <x:c r="G509" s="23" t="str">
        <x:v>Enplaned</x:v>
      </x:c>
      <x:c r="H509" s="23" t="str">
        <x:v>Domestic</x:v>
      </x:c>
      <x:c r="I509" s="23" t="str">
        <x:v>Enplaned</x:v>
      </x:c>
      <x:c r="J509" s="72" t="n">
        <x:v>1628636</x:v>
      </x:c>
      <x:c r="K509" s="23" t="str">
        <x:v>passengers</x:v>
      </x:c>
      <x:c r="L509" s="24" t="str"/>
      <x:c r="M509" s="24" t="n">
        <x:v>46256.6280787037</x:v>
      </x:c>
      <x:c r="N509" s="24" t="n">
        <x:v>46268.86863425926</x:v>
      </x:c>
      <x:c r="O509" s="40" t="b">
        <x:v>1</x:v>
      </x:c>
      <x:c r="P509" s="42" t="str">
        <x:v>current_snapshot_diagnostic_only</x:v>
      </x:c>
    </x:row>
    <x:row r="510">
      <x:c r="A510" s="23" t="str">
        <x:v>ea7a7624e8cb9bdfe451</x:v>
      </x:c>
      <x:c r="B510" s="23" t="str">
        <x:v>SFO_AIR_PASSENGERS</x:v>
      </x:c>
      <x:c r="C510" s="23" t="str">
        <x:v>City and County of San Francisco</x:v>
      </x:c>
      <x:c r="D510" s="23" t="str">
        <x:v>United States</x:v>
      </x:c>
      <x:c r="E510" s="23" t="str">
        <x:v>San Francisco International Airport</x:v>
      </x:c>
      <x:c r="F510" s="23" t="str">
        <x:v>2026-03</x:v>
      </x:c>
      <x:c r="G510" s="23" t="str">
        <x:v>Thru / Transit</x:v>
      </x:c>
      <x:c r="H510" s="23" t="str">
        <x:v>Domestic</x:v>
      </x:c>
      <x:c r="I510" s="23" t="str">
        <x:v>Thru / Transit</x:v>
      </x:c>
      <x:c r="J510" s="72" t="n">
        <x:v>1145</x:v>
      </x:c>
      <x:c r="K510" s="23" t="str">
        <x:v>passengers</x:v>
      </x:c>
      <x:c r="L510" s="24" t="str"/>
      <x:c r="M510" s="24" t="n">
        <x:v>46256.6280787037</x:v>
      </x:c>
      <x:c r="N510" s="24" t="n">
        <x:v>46268.86863425926</x:v>
      </x:c>
      <x:c r="O510" s="40" t="b">
        <x:v>0</x:v>
      </x:c>
      <x:c r="P510" s="42" t="str">
        <x:v>current_snapshot_diagnostic_only</x:v>
      </x:c>
    </x:row>
    <x:row r="511">
      <x:c r="A511" s="23" t="str">
        <x:v>ca0522339172711410f7</x:v>
      </x:c>
      <x:c r="B511" s="23" t="str">
        <x:v>SFO_AIR_PASSENGERS</x:v>
      </x:c>
      <x:c r="C511" s="23" t="str">
        <x:v>City and County of San Francisco</x:v>
      </x:c>
      <x:c r="D511" s="23" t="str">
        <x:v>United States</x:v>
      </x:c>
      <x:c r="E511" s="23" t="str">
        <x:v>San Francisco International Airport</x:v>
      </x:c>
      <x:c r="F511" s="23" t="str">
        <x:v>2026-03</x:v>
      </x:c>
      <x:c r="G511" s="23" t="str">
        <x:v>Deplaned</x:v>
      </x:c>
      <x:c r="H511" s="23" t="str">
        <x:v>International</x:v>
      </x:c>
      <x:c r="I511" s="23" t="str">
        <x:v>Deplaned</x:v>
      </x:c>
      <x:c r="J511" s="72" t="n">
        <x:v>658660</x:v>
      </x:c>
      <x:c r="K511" s="23" t="str">
        <x:v>passengers</x:v>
      </x:c>
      <x:c r="L511" s="24" t="str"/>
      <x:c r="M511" s="24" t="n">
        <x:v>46256.6280787037</x:v>
      </x:c>
      <x:c r="N511" s="24" t="n">
        <x:v>46268.86863425926</x:v>
      </x:c>
      <x:c r="O511" s="40" t="b">
        <x:v>1</x:v>
      </x:c>
      <x:c r="P511" s="42" t="str">
        <x:v>current_snapshot_diagnostic_only</x:v>
      </x:c>
    </x:row>
    <x:row r="512">
      <x:c r="A512" s="23" t="str">
        <x:v>2b9ca1c0f8925576f498</x:v>
      </x:c>
      <x:c r="B512" s="23" t="str">
        <x:v>SFO_AIR_PASSENGERS</x:v>
      </x:c>
      <x:c r="C512" s="23" t="str">
        <x:v>City and County of San Francisco</x:v>
      </x:c>
      <x:c r="D512" s="23" t="str">
        <x:v>United States</x:v>
      </x:c>
      <x:c r="E512" s="23" t="str">
        <x:v>San Francisco International Airport</x:v>
      </x:c>
      <x:c r="F512" s="23" t="str">
        <x:v>2026-03</x:v>
      </x:c>
      <x:c r="G512" s="23" t="str">
        <x:v>Enplaned</x:v>
      </x:c>
      <x:c r="H512" s="23" t="str">
        <x:v>International</x:v>
      </x:c>
      <x:c r="I512" s="23" t="str">
        <x:v>Enplaned</x:v>
      </x:c>
      <x:c r="J512" s="72" t="n">
        <x:v>655465</x:v>
      </x:c>
      <x:c r="K512" s="23" t="str">
        <x:v>passengers</x:v>
      </x:c>
      <x:c r="L512" s="24" t="str"/>
      <x:c r="M512" s="24" t="n">
        <x:v>46256.6280787037</x:v>
      </x:c>
      <x:c r="N512" s="24" t="n">
        <x:v>46268.86863425926</x:v>
      </x:c>
      <x:c r="O512" s="40" t="b">
        <x:v>1</x:v>
      </x:c>
      <x:c r="P512" s="42" t="str">
        <x:v>current_snapshot_diagnostic_only</x:v>
      </x:c>
    </x:row>
    <x:row r="513">
      <x:c r="A513" s="23" t="str">
        <x:v>2225f85d766dc695255c</x:v>
      </x:c>
      <x:c r="B513" s="23" t="str">
        <x:v>SFO_AIR_PASSENGERS</x:v>
      </x:c>
      <x:c r="C513" s="23" t="str">
        <x:v>City and County of San Francisco</x:v>
      </x:c>
      <x:c r="D513" s="23" t="str">
        <x:v>United States</x:v>
      </x:c>
      <x:c r="E513" s="23" t="str">
        <x:v>San Francisco International Airport</x:v>
      </x:c>
      <x:c r="F513" s="23" t="str">
        <x:v>2026-03</x:v>
      </x:c>
      <x:c r="G513" s="23" t="str">
        <x:v>Thru / Transit</x:v>
      </x:c>
      <x:c r="H513" s="23" t="str">
        <x:v>International</x:v>
      </x:c>
      <x:c r="I513" s="23" t="str">
        <x:v>Thru / Transit</x:v>
      </x:c>
      <x:c r="J513" s="72" t="n">
        <x:v>4130</x:v>
      </x:c>
      <x:c r="K513" s="23" t="str">
        <x:v>passengers</x:v>
      </x:c>
      <x:c r="L513" s="24" t="str"/>
      <x:c r="M513" s="24" t="n">
        <x:v>46256.6280787037</x:v>
      </x:c>
      <x:c r="N513" s="24" t="n">
        <x:v>46268.86863425926</x:v>
      </x:c>
      <x:c r="O513" s="40" t="b">
        <x:v>0</x:v>
      </x:c>
      <x:c r="P513" s="42" t="str">
        <x:v>current_snapshot_diagnostic_only</x:v>
      </x:c>
    </x:row>
    <x:row r="514">
      <x:c r="A514" s="23" t="str">
        <x:v>60f1429dbb0a6b1191a5</x:v>
      </x:c>
      <x:c r="B514" s="23" t="str">
        <x:v>SFO_AIR_PASSENGERS</x:v>
      </x:c>
      <x:c r="C514" s="23" t="str">
        <x:v>City and County of San Francisco</x:v>
      </x:c>
      <x:c r="D514" s="23" t="str">
        <x:v>United States</x:v>
      </x:c>
      <x:c r="E514" s="23" t="str">
        <x:v>San Francisco International Airport</x:v>
      </x:c>
      <x:c r="F514" s="23" t="str">
        <x:v>2026-04</x:v>
      </x:c>
      <x:c r="G514" s="23" t="str">
        <x:v>Deplaned</x:v>
      </x:c>
      <x:c r="H514" s="23" t="str">
        <x:v>Domestic</x:v>
      </x:c>
      <x:c r="I514" s="23" t="str">
        <x:v>Deplaned</x:v>
      </x:c>
      <x:c r="J514" s="72" t="n">
        <x:v>1609829</x:v>
      </x:c>
      <x:c r="K514" s="23" t="str">
        <x:v>passengers</x:v>
      </x:c>
      <x:c r="L514" s="24" t="str"/>
      <x:c r="M514" s="24" t="n">
        <x:v>46256.6280787037</x:v>
      </x:c>
      <x:c r="N514" s="24" t="n">
        <x:v>46268.86863425926</x:v>
      </x:c>
      <x:c r="O514" s="40" t="b">
        <x:v>1</x:v>
      </x:c>
      <x:c r="P514" s="42" t="str">
        <x:v>current_snapshot_diagnostic_only</x:v>
      </x:c>
    </x:row>
    <x:row r="515">
      <x:c r="A515" s="23" t="str">
        <x:v>b101234c408c8a3779fe</x:v>
      </x:c>
      <x:c r="B515" s="23" t="str">
        <x:v>SFO_AIR_PASSENGERS</x:v>
      </x:c>
      <x:c r="C515" s="23" t="str">
        <x:v>City and County of San Francisco</x:v>
      </x:c>
      <x:c r="D515" s="23" t="str">
        <x:v>United States</x:v>
      </x:c>
      <x:c r="E515" s="23" t="str">
        <x:v>San Francisco International Airport</x:v>
      </x:c>
      <x:c r="F515" s="23" t="str">
        <x:v>2026-04</x:v>
      </x:c>
      <x:c r="G515" s="23" t="str">
        <x:v>Enplaned</x:v>
      </x:c>
      <x:c r="H515" s="23" t="str">
        <x:v>Domestic</x:v>
      </x:c>
      <x:c r="I515" s="23" t="str">
        <x:v>Enplaned</x:v>
      </x:c>
      <x:c r="J515" s="72" t="n">
        <x:v>1615215</x:v>
      </x:c>
      <x:c r="K515" s="23" t="str">
        <x:v>passengers</x:v>
      </x:c>
      <x:c r="L515" s="24" t="str"/>
      <x:c r="M515" s="24" t="n">
        <x:v>46256.6280787037</x:v>
      </x:c>
      <x:c r="N515" s="24" t="n">
        <x:v>46268.86863425926</x:v>
      </x:c>
      <x:c r="O515" s="40" t="b">
        <x:v>1</x:v>
      </x:c>
      <x:c r="P515" s="42" t="str">
        <x:v>current_snapshot_diagnostic_only</x:v>
      </x:c>
    </x:row>
    <x:row r="516">
      <x:c r="A516" s="23" t="str">
        <x:v>941b790a1f82fa52285a</x:v>
      </x:c>
      <x:c r="B516" s="23" t="str">
        <x:v>SFO_AIR_PASSENGERS</x:v>
      </x:c>
      <x:c r="C516" s="23" t="str">
        <x:v>City and County of San Francisco</x:v>
      </x:c>
      <x:c r="D516" s="23" t="str">
        <x:v>United States</x:v>
      </x:c>
      <x:c r="E516" s="23" t="str">
        <x:v>San Francisco International Airport</x:v>
      </x:c>
      <x:c r="F516" s="23" t="str">
        <x:v>2026-04</x:v>
      </x:c>
      <x:c r="G516" s="23" t="str">
        <x:v>Thru / Transit</x:v>
      </x:c>
      <x:c r="H516" s="23" t="str">
        <x:v>Domestic</x:v>
      </x:c>
      <x:c r="I516" s="23" t="str">
        <x:v>Thru / Transit</x:v>
      </x:c>
      <x:c r="J516" s="72" t="n">
        <x:v>1022</x:v>
      </x:c>
      <x:c r="K516" s="23" t="str">
        <x:v>passengers</x:v>
      </x:c>
      <x:c r="L516" s="24" t="str"/>
      <x:c r="M516" s="24" t="n">
        <x:v>46256.6280787037</x:v>
      </x:c>
      <x:c r="N516" s="24" t="n">
        <x:v>46268.86863425926</x:v>
      </x:c>
      <x:c r="O516" s="40" t="b">
        <x:v>0</x:v>
      </x:c>
      <x:c r="P516" s="42" t="str">
        <x:v>current_snapshot_diagnostic_only</x:v>
      </x:c>
    </x:row>
    <x:row r="517">
      <x:c r="A517" s="23" t="str">
        <x:v>957cf12ca91271136c3f</x:v>
      </x:c>
      <x:c r="B517" s="23" t="str">
        <x:v>SFO_AIR_PASSENGERS</x:v>
      </x:c>
      <x:c r="C517" s="23" t="str">
        <x:v>City and County of San Francisco</x:v>
      </x:c>
      <x:c r="D517" s="23" t="str">
        <x:v>United States</x:v>
      </x:c>
      <x:c r="E517" s="23" t="str">
        <x:v>San Francisco International Airport</x:v>
      </x:c>
      <x:c r="F517" s="23" t="str">
        <x:v>2026-04</x:v>
      </x:c>
      <x:c r="G517" s="23" t="str">
        <x:v>Deplaned</x:v>
      </x:c>
      <x:c r="H517" s="23" t="str">
        <x:v>International</x:v>
      </x:c>
      <x:c r="I517" s="23" t="str">
        <x:v>Deplaned</x:v>
      </x:c>
      <x:c r="J517" s="72" t="n">
        <x:v>669376</x:v>
      </x:c>
      <x:c r="K517" s="23" t="str">
        <x:v>passengers</x:v>
      </x:c>
      <x:c r="L517" s="24" t="str"/>
      <x:c r="M517" s="24" t="n">
        <x:v>46256.6280787037</x:v>
      </x:c>
      <x:c r="N517" s="24" t="n">
        <x:v>46268.86863425926</x:v>
      </x:c>
      <x:c r="O517" s="40" t="b">
        <x:v>1</x:v>
      </x:c>
      <x:c r="P517" s="42" t="str">
        <x:v>current_snapshot_diagnostic_only</x:v>
      </x:c>
    </x:row>
    <x:row r="518">
      <x:c r="A518" s="23" t="str">
        <x:v>d0e54e19cc493c226330</x:v>
      </x:c>
      <x:c r="B518" s="23" t="str">
        <x:v>SFO_AIR_PASSENGERS</x:v>
      </x:c>
      <x:c r="C518" s="23" t="str">
        <x:v>City and County of San Francisco</x:v>
      </x:c>
      <x:c r="D518" s="23" t="str">
        <x:v>United States</x:v>
      </x:c>
      <x:c r="E518" s="23" t="str">
        <x:v>San Francisco International Airport</x:v>
      </x:c>
      <x:c r="F518" s="23" t="str">
        <x:v>2026-04</x:v>
      </x:c>
      <x:c r="G518" s="23" t="str">
        <x:v>Enplaned</x:v>
      </x:c>
      <x:c r="H518" s="23" t="str">
        <x:v>International</x:v>
      </x:c>
      <x:c r="I518" s="23" t="str">
        <x:v>Enplaned</x:v>
      </x:c>
      <x:c r="J518" s="72" t="n">
        <x:v>603151</x:v>
      </x:c>
      <x:c r="K518" s="23" t="str">
        <x:v>passengers</x:v>
      </x:c>
      <x:c r="L518" s="24" t="str"/>
      <x:c r="M518" s="24" t="n">
        <x:v>46256.6280787037</x:v>
      </x:c>
      <x:c r="N518" s="24" t="n">
        <x:v>46268.86863425926</x:v>
      </x:c>
      <x:c r="O518" s="40" t="b">
        <x:v>1</x:v>
      </x:c>
      <x:c r="P518" s="42" t="str">
        <x:v>current_snapshot_diagnostic_only</x:v>
      </x:c>
    </x:row>
    <x:row r="519">
      <x:c r="A519" s="23" t="str">
        <x:v>c6fe733f83008d156f60</x:v>
      </x:c>
      <x:c r="B519" s="23" t="str">
        <x:v>SFO_AIR_PASSENGERS</x:v>
      </x:c>
      <x:c r="C519" s="23" t="str">
        <x:v>City and County of San Francisco</x:v>
      </x:c>
      <x:c r="D519" s="23" t="str">
        <x:v>United States</x:v>
      </x:c>
      <x:c r="E519" s="23" t="str">
        <x:v>San Francisco International Airport</x:v>
      </x:c>
      <x:c r="F519" s="23" t="str">
        <x:v>2026-04</x:v>
      </x:c>
      <x:c r="G519" s="23" t="str">
        <x:v>Thru / Transit</x:v>
      </x:c>
      <x:c r="H519" s="23" t="str">
        <x:v>International</x:v>
      </x:c>
      <x:c r="I519" s="23" t="str">
        <x:v>Thru / Transit</x:v>
      </x:c>
      <x:c r="J519" s="72" t="n">
        <x:v>5622</x:v>
      </x:c>
      <x:c r="K519" s="23" t="str">
        <x:v>passengers</x:v>
      </x:c>
      <x:c r="L519" s="24" t="str"/>
      <x:c r="M519" s="24" t="n">
        <x:v>46256.6280787037</x:v>
      </x:c>
      <x:c r="N519" s="24" t="n">
        <x:v>46268.86863425926</x:v>
      </x:c>
      <x:c r="O519" s="40" t="b">
        <x:v>0</x:v>
      </x:c>
      <x:c r="P519" s="42" t="str">
        <x:v>current_snapshot_diagnostic_only</x:v>
      </x:c>
    </x:row>
    <x:row r="520">
      <x:c r="A520" s="23" t="str">
        <x:v>5189770178e0a270f60f</x:v>
      </x:c>
      <x:c r="B520" s="23" t="str">
        <x:v>SFO_AIR_PASSENGERS</x:v>
      </x:c>
      <x:c r="C520" s="23" t="str">
        <x:v>City and County of San Francisco</x:v>
      </x:c>
      <x:c r="D520" s="23" t="str">
        <x:v>United States</x:v>
      </x:c>
      <x:c r="E520" s="23" t="str">
        <x:v>San Francisco International Airport</x:v>
      </x:c>
      <x:c r="F520" s="23" t="str">
        <x:v>2026-05</x:v>
      </x:c>
      <x:c r="G520" s="23" t="str">
        <x:v>Deplaned</x:v>
      </x:c>
      <x:c r="H520" s="23" t="str">
        <x:v>Domestic</x:v>
      </x:c>
      <x:c r="I520" s="23" t="str">
        <x:v>Deplaned</x:v>
      </x:c>
      <x:c r="J520" s="72" t="n">
        <x:v>1778611</x:v>
      </x:c>
      <x:c r="K520" s="23" t="str">
        <x:v>passengers</x:v>
      </x:c>
      <x:c r="L520" s="24" t="str"/>
      <x:c r="M520" s="24" t="n">
        <x:v>46256.6280787037</x:v>
      </x:c>
      <x:c r="N520" s="24" t="n">
        <x:v>46268.86863425926</x:v>
      </x:c>
      <x:c r="O520" s="40" t="b">
        <x:v>1</x:v>
      </x:c>
      <x:c r="P520" s="42" t="str">
        <x:v>current_snapshot_diagnostic_only</x:v>
      </x:c>
    </x:row>
    <x:row r="521">
      <x:c r="A521" s="23" t="str">
        <x:v>7a494253064b90559f8a</x:v>
      </x:c>
      <x:c r="B521" s="23" t="str">
        <x:v>SFO_AIR_PASSENGERS</x:v>
      </x:c>
      <x:c r="C521" s="23" t="str">
        <x:v>City and County of San Francisco</x:v>
      </x:c>
      <x:c r="D521" s="23" t="str">
        <x:v>United States</x:v>
      </x:c>
      <x:c r="E521" s="23" t="str">
        <x:v>San Francisco International Airport</x:v>
      </x:c>
      <x:c r="F521" s="23" t="str">
        <x:v>2026-05</x:v>
      </x:c>
      <x:c r="G521" s="23" t="str">
        <x:v>Enplaned</x:v>
      </x:c>
      <x:c r="H521" s="23" t="str">
        <x:v>Domestic</x:v>
      </x:c>
      <x:c r="I521" s="23" t="str">
        <x:v>Enplaned</x:v>
      </x:c>
      <x:c r="J521" s="72" t="n">
        <x:v>1741674</x:v>
      </x:c>
      <x:c r="K521" s="23" t="str">
        <x:v>passengers</x:v>
      </x:c>
      <x:c r="L521" s="24" t="str"/>
      <x:c r="M521" s="24" t="n">
        <x:v>46256.6280787037</x:v>
      </x:c>
      <x:c r="N521" s="24" t="n">
        <x:v>46268.86863425926</x:v>
      </x:c>
      <x:c r="O521" s="40" t="b">
        <x:v>1</x:v>
      </x:c>
      <x:c r="P521" s="42" t="str">
        <x:v>current_snapshot_diagnostic_only</x:v>
      </x:c>
    </x:row>
    <x:row r="522">
      <x:c r="A522" s="23" t="str">
        <x:v>1119f8a462d5f4f73dbb</x:v>
      </x:c>
      <x:c r="B522" s="23" t="str">
        <x:v>SFO_AIR_PASSENGERS</x:v>
      </x:c>
      <x:c r="C522" s="23" t="str">
        <x:v>City and County of San Francisco</x:v>
      </x:c>
      <x:c r="D522" s="23" t="str">
        <x:v>United States</x:v>
      </x:c>
      <x:c r="E522" s="23" t="str">
        <x:v>San Francisco International Airport</x:v>
      </x:c>
      <x:c r="F522" s="23" t="str">
        <x:v>2026-05</x:v>
      </x:c>
      <x:c r="G522" s="23" t="str">
        <x:v>Thru / Transit</x:v>
      </x:c>
      <x:c r="H522" s="23" t="str">
        <x:v>Domestic</x:v>
      </x:c>
      <x:c r="I522" s="23" t="str">
        <x:v>Thru / Transit</x:v>
      </x:c>
      <x:c r="J522" s="72" t="n">
        <x:v>429</x:v>
      </x:c>
      <x:c r="K522" s="23" t="str">
        <x:v>passengers</x:v>
      </x:c>
      <x:c r="L522" s="24" t="str"/>
      <x:c r="M522" s="24" t="n">
        <x:v>46256.6280787037</x:v>
      </x:c>
      <x:c r="N522" s="24" t="n">
        <x:v>46268.86863425926</x:v>
      </x:c>
      <x:c r="O522" s="40" t="b">
        <x:v>0</x:v>
      </x:c>
      <x:c r="P522" s="42" t="str">
        <x:v>current_snapshot_diagnostic_only</x:v>
      </x:c>
    </x:row>
    <x:row r="523">
      <x:c r="A523" s="23" t="str">
        <x:v>ea1b3de0686e5d81ba6e</x:v>
      </x:c>
      <x:c r="B523" s="23" t="str">
        <x:v>SFO_AIR_PASSENGERS</x:v>
      </x:c>
      <x:c r="C523" s="23" t="str">
        <x:v>City and County of San Francisco</x:v>
      </x:c>
      <x:c r="D523" s="23" t="str">
        <x:v>United States</x:v>
      </x:c>
      <x:c r="E523" s="23" t="str">
        <x:v>San Francisco International Airport</x:v>
      </x:c>
      <x:c r="F523" s="23" t="str">
        <x:v>2026-05</x:v>
      </x:c>
      <x:c r="G523" s="23" t="str">
        <x:v>Deplaned</x:v>
      </x:c>
      <x:c r="H523" s="23" t="str">
        <x:v>International</x:v>
      </x:c>
      <x:c r="I523" s="23" t="str">
        <x:v>Deplaned</x:v>
      </x:c>
      <x:c r="J523" s="72" t="n">
        <x:v>655025</x:v>
      </x:c>
      <x:c r="K523" s="23" t="str">
        <x:v>passengers</x:v>
      </x:c>
      <x:c r="L523" s="24" t="str"/>
      <x:c r="M523" s="24" t="n">
        <x:v>46256.6280787037</x:v>
      </x:c>
      <x:c r="N523" s="24" t="n">
        <x:v>46268.86863425926</x:v>
      </x:c>
      <x:c r="O523" s="40" t="b">
        <x:v>1</x:v>
      </x:c>
      <x:c r="P523" s="42" t="str">
        <x:v>current_snapshot_diagnostic_only</x:v>
      </x:c>
    </x:row>
    <x:row r="524">
      <x:c r="A524" s="23" t="str">
        <x:v>b563cf01ceb6443ccf22</x:v>
      </x:c>
      <x:c r="B524" s="23" t="str">
        <x:v>SFO_AIR_PASSENGERS</x:v>
      </x:c>
      <x:c r="C524" s="23" t="str">
        <x:v>City and County of San Francisco</x:v>
      </x:c>
      <x:c r="D524" s="23" t="str">
        <x:v>United States</x:v>
      </x:c>
      <x:c r="E524" s="23" t="str">
        <x:v>San Francisco International Airport</x:v>
      </x:c>
      <x:c r="F524" s="23" t="str">
        <x:v>2026-05</x:v>
      </x:c>
      <x:c r="G524" s="23" t="str">
        <x:v>Enplaned</x:v>
      </x:c>
      <x:c r="H524" s="23" t="str">
        <x:v>International</x:v>
      </x:c>
      <x:c r="I524" s="23" t="str">
        <x:v>Enplaned</x:v>
      </x:c>
      <x:c r="J524" s="72" t="n">
        <x:v>702271</x:v>
      </x:c>
      <x:c r="K524" s="23" t="str">
        <x:v>passengers</x:v>
      </x:c>
      <x:c r="L524" s="24" t="str"/>
      <x:c r="M524" s="24" t="n">
        <x:v>46256.6280787037</x:v>
      </x:c>
      <x:c r="N524" s="24" t="n">
        <x:v>46268.86863425926</x:v>
      </x:c>
      <x:c r="O524" s="40" t="b">
        <x:v>1</x:v>
      </x:c>
      <x:c r="P524" s="42" t="str">
        <x:v>current_snapshot_diagnostic_only</x:v>
      </x:c>
    </x:row>
    <x:row r="525">
      <x:c r="A525" s="23" t="str">
        <x:v>484012ddc82130326c26</x:v>
      </x:c>
      <x:c r="B525" s="23" t="str">
        <x:v>SFO_AIR_PASSENGERS</x:v>
      </x:c>
      <x:c r="C525" s="23" t="str">
        <x:v>City and County of San Francisco</x:v>
      </x:c>
      <x:c r="D525" s="23" t="str">
        <x:v>United States</x:v>
      </x:c>
      <x:c r="E525" s="23" t="str">
        <x:v>San Francisco International Airport</x:v>
      </x:c>
      <x:c r="F525" s="23" t="str">
        <x:v>2026-05</x:v>
      </x:c>
      <x:c r="G525" s="23" t="str">
        <x:v>Thru / Transit</x:v>
      </x:c>
      <x:c r="H525" s="23" t="str">
        <x:v>International</x:v>
      </x:c>
      <x:c r="I525" s="23" t="str">
        <x:v>Thru / Transit</x:v>
      </x:c>
      <x:c r="J525" s="72" t="n">
        <x:v>6055</x:v>
      </x:c>
      <x:c r="K525" s="23" t="str">
        <x:v>passengers</x:v>
      </x:c>
      <x:c r="L525" s="24" t="str"/>
      <x:c r="M525" s="24" t="n">
        <x:v>46256.6280787037</x:v>
      </x:c>
      <x:c r="N525" s="24" t="n">
        <x:v>46268.86863425926</x:v>
      </x:c>
      <x:c r="O525" s="40" t="b">
        <x:v>0</x:v>
      </x:c>
      <x:c r="P525" s="42" t="str">
        <x:v>current_snapshot_diagnostic_only</x:v>
      </x:c>
    </x:row>
    <x:row r="526">
      <x:c r="A526" s="23" t="str">
        <x:v>9352527b9d417400fc91</x:v>
      </x:c>
      <x:c r="B526" s="23" t="str">
        <x:v>SFO_AIR_PASSENGERS</x:v>
      </x:c>
      <x:c r="C526" s="23" t="str">
        <x:v>City and County of San Francisco</x:v>
      </x:c>
      <x:c r="D526" s="23" t="str">
        <x:v>United States</x:v>
      </x:c>
      <x:c r="E526" s="23" t="str">
        <x:v>San Francisco International Airport</x:v>
      </x:c>
      <x:c r="F526" s="23" t="str">
        <x:v>2026-06</x:v>
      </x:c>
      <x:c r="G526" s="23" t="str">
        <x:v>Deplaned</x:v>
      </x:c>
      <x:c r="H526" s="23" t="str">
        <x:v>Domestic</x:v>
      </x:c>
      <x:c r="I526" s="23" t="str">
        <x:v>Deplaned</x:v>
      </x:c>
      <x:c r="J526" s="72" t="n">
        <x:v>1816210</x:v>
      </x:c>
      <x:c r="K526" s="23" t="str">
        <x:v>passengers</x:v>
      </x:c>
      <x:c r="L526" s="24" t="str"/>
      <x:c r="M526" s="24" t="n">
        <x:v>46256.6280787037</x:v>
      </x:c>
      <x:c r="N526" s="24" t="n">
        <x:v>46268.86863425926</x:v>
      </x:c>
      <x:c r="O526" s="40" t="b">
        <x:v>1</x:v>
      </x:c>
      <x:c r="P526" s="42" t="str">
        <x:v>current_snapshot_diagnostic_only</x:v>
      </x:c>
    </x:row>
    <x:row r="527">
      <x:c r="A527" s="23" t="str">
        <x:v>641299f2e3044f8a6a94</x:v>
      </x:c>
      <x:c r="B527" s="23" t="str">
        <x:v>SFO_AIR_PASSENGERS</x:v>
      </x:c>
      <x:c r="C527" s="23" t="str">
        <x:v>City and County of San Francisco</x:v>
      </x:c>
      <x:c r="D527" s="23" t="str">
        <x:v>United States</x:v>
      </x:c>
      <x:c r="E527" s="23" t="str">
        <x:v>San Francisco International Airport</x:v>
      </x:c>
      <x:c r="F527" s="23" t="str">
        <x:v>2026-06</x:v>
      </x:c>
      <x:c r="G527" s="23" t="str">
        <x:v>Enplaned</x:v>
      </x:c>
      <x:c r="H527" s="23" t="str">
        <x:v>Domestic</x:v>
      </x:c>
      <x:c r="I527" s="23" t="str">
        <x:v>Enplaned</x:v>
      </x:c>
      <x:c r="J527" s="72" t="n">
        <x:v>1892805</x:v>
      </x:c>
      <x:c r="K527" s="23" t="str">
        <x:v>passengers</x:v>
      </x:c>
      <x:c r="L527" s="24" t="str"/>
      <x:c r="M527" s="24" t="n">
        <x:v>46256.6280787037</x:v>
      </x:c>
      <x:c r="N527" s="24" t="n">
        <x:v>46268.86863425926</x:v>
      </x:c>
      <x:c r="O527" s="40" t="b">
        <x:v>1</x:v>
      </x:c>
      <x:c r="P527" s="42" t="str">
        <x:v>current_snapshot_diagnostic_only</x:v>
      </x:c>
    </x:row>
    <x:row r="528">
      <x:c r="A528" s="23" t="str">
        <x:v>50a4fc1be5fb8c9e7ada</x:v>
      </x:c>
      <x:c r="B528" s="23" t="str">
        <x:v>SFO_AIR_PASSENGERS</x:v>
      </x:c>
      <x:c r="C528" s="23" t="str">
        <x:v>City and County of San Francisco</x:v>
      </x:c>
      <x:c r="D528" s="23" t="str">
        <x:v>United States</x:v>
      </x:c>
      <x:c r="E528" s="23" t="str">
        <x:v>San Francisco International Airport</x:v>
      </x:c>
      <x:c r="F528" s="23" t="str">
        <x:v>2026-06</x:v>
      </x:c>
      <x:c r="G528" s="23" t="str">
        <x:v>Thru / Transit</x:v>
      </x:c>
      <x:c r="H528" s="23" t="str">
        <x:v>Domestic</x:v>
      </x:c>
      <x:c r="I528" s="23" t="str">
        <x:v>Thru / Transit</x:v>
      </x:c>
      <x:c r="J528" s="72" t="n">
        <x:v>1363</x:v>
      </x:c>
      <x:c r="K528" s="23" t="str">
        <x:v>passengers</x:v>
      </x:c>
      <x:c r="L528" s="24" t="str"/>
      <x:c r="M528" s="24" t="n">
        <x:v>46256.6280787037</x:v>
      </x:c>
      <x:c r="N528" s="24" t="n">
        <x:v>46268.86863425926</x:v>
      </x:c>
      <x:c r="O528" s="40" t="b">
        <x:v>0</x:v>
      </x:c>
      <x:c r="P528" s="42" t="str">
        <x:v>current_snapshot_diagnostic_only</x:v>
      </x:c>
    </x:row>
    <x:row r="529">
      <x:c r="A529" s="23" t="str">
        <x:v>abe03cf74226b268e4c0</x:v>
      </x:c>
      <x:c r="B529" s="23" t="str">
        <x:v>SFO_AIR_PASSENGERS</x:v>
      </x:c>
      <x:c r="C529" s="23" t="str">
        <x:v>City and County of San Francisco</x:v>
      </x:c>
      <x:c r="D529" s="23" t="str">
        <x:v>United States</x:v>
      </x:c>
      <x:c r="E529" s="23" t="str">
        <x:v>San Francisco International Airport</x:v>
      </x:c>
      <x:c r="F529" s="23" t="str">
        <x:v>2026-06</x:v>
      </x:c>
      <x:c r="G529" s="23" t="str">
        <x:v>Deplaned</x:v>
      </x:c>
      <x:c r="H529" s="23" t="str">
        <x:v>International</x:v>
      </x:c>
      <x:c r="I529" s="23" t="str">
        <x:v>Deplaned</x:v>
      </x:c>
      <x:c r="J529" s="72" t="n">
        <x:v>706652</x:v>
      </x:c>
      <x:c r="K529" s="23" t="str">
        <x:v>passengers</x:v>
      </x:c>
      <x:c r="L529" s="24" t="str"/>
      <x:c r="M529" s="24" t="n">
        <x:v>46256.6280787037</x:v>
      </x:c>
      <x:c r="N529" s="24" t="n">
        <x:v>46268.86863425926</x:v>
      </x:c>
      <x:c r="O529" s="40" t="b">
        <x:v>1</x:v>
      </x:c>
      <x:c r="P529" s="42" t="str">
        <x:v>current_snapshot_diagnostic_only</x:v>
      </x:c>
    </x:row>
    <x:row r="530">
      <x:c r="A530" s="23" t="str">
        <x:v>db70dff9af4341facc89</x:v>
      </x:c>
      <x:c r="B530" s="23" t="str">
        <x:v>SFO_AIR_PASSENGERS</x:v>
      </x:c>
      <x:c r="C530" s="23" t="str">
        <x:v>City and County of San Francisco</x:v>
      </x:c>
      <x:c r="D530" s="23" t="str">
        <x:v>United States</x:v>
      </x:c>
      <x:c r="E530" s="23" t="str">
        <x:v>San Francisco International Airport</x:v>
      </x:c>
      <x:c r="F530" s="23" t="str">
        <x:v>2026-06</x:v>
      </x:c>
      <x:c r="G530" s="23" t="str">
        <x:v>Enplaned</x:v>
      </x:c>
      <x:c r="H530" s="23" t="str">
        <x:v>International</x:v>
      </x:c>
      <x:c r="I530" s="23" t="str">
        <x:v>Enplaned</x:v>
      </x:c>
      <x:c r="J530" s="72" t="n">
        <x:v>779906</x:v>
      </x:c>
      <x:c r="K530" s="23" t="str">
        <x:v>passengers</x:v>
      </x:c>
      <x:c r="L530" s="24" t="str"/>
      <x:c r="M530" s="24" t="n">
        <x:v>46256.6280787037</x:v>
      </x:c>
      <x:c r="N530" s="24" t="n">
        <x:v>46268.86863425926</x:v>
      </x:c>
      <x:c r="O530" s="40" t="b">
        <x:v>1</x:v>
      </x:c>
      <x:c r="P530" s="42" t="str">
        <x:v>current_snapshot_diagnostic_only</x:v>
      </x:c>
    </x:row>
    <x:row r="531">
      <x:c r="A531" s="23" t="str">
        <x:v>37e269223f3af6eb3640</x:v>
      </x:c>
      <x:c r="B531" s="23" t="str">
        <x:v>SFO_AIR_PASSENGERS</x:v>
      </x:c>
      <x:c r="C531" s="23" t="str">
        <x:v>City and County of San Francisco</x:v>
      </x:c>
      <x:c r="D531" s="23" t="str">
        <x:v>United States</x:v>
      </x:c>
      <x:c r="E531" s="23" t="str">
        <x:v>San Francisco International Airport</x:v>
      </x:c>
      <x:c r="F531" s="23" t="str">
        <x:v>2026-06</x:v>
      </x:c>
      <x:c r="G531" s="23" t="str">
        <x:v>Thru / Transit</x:v>
      </x:c>
      <x:c r="H531" s="23" t="str">
        <x:v>International</x:v>
      </x:c>
      <x:c r="I531" s="23" t="str">
        <x:v>Thru / Transit</x:v>
      </x:c>
      <x:c r="J531" s="72" t="n">
        <x:v>6450</x:v>
      </x:c>
      <x:c r="K531" s="23" t="str">
        <x:v>passengers</x:v>
      </x:c>
      <x:c r="L531" s="24" t="str"/>
      <x:c r="M531" s="24" t="n">
        <x:v>46256.6280787037</x:v>
      </x:c>
      <x:c r="N531" s="24" t="n">
        <x:v>46268.86863425926</x:v>
      </x:c>
      <x:c r="O531" s="40" t="b">
        <x:v>0</x:v>
      </x:c>
      <x:c r="P531" s="42" t="str">
        <x:v>current_snapshot_diagnostic_only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29b2023e83d148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6" hidden="0" customWidth="1"/>
    <x:col min="4" max="4" width="54" hidden="0" customWidth="1"/>
    <x:col min="5" max="5" width="24" hidden="0" customWidth="1"/>
    <x:col min="6" max="6" width="32" hidden="0" customWidth="1"/>
    <x:col min="7" max="7" width="14" hidden="0" customWidth="1"/>
    <x:col min="8" max="8" width="14" hidden="0" customWidth="1"/>
    <x:col min="9" max="9" width="72" hidden="0" customWidth="1"/>
    <x:col min="10" max="10" width="58" hidden="0" customWidth="1"/>
  </x:cols>
  <x:sheetData>
    <x:row r="1" ht="25" customHeight="1">
      <x:c r="A1" s="3" t="str">
        <x:v>Fifteen-source U.S./Europe permission and collection audit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2" customHeight="1">
      <x:c r="A3" s="7" t="str">
        <x:v>Only approved or previously governed payloads enter the compiled dataset. Blocked and inconclusive sources remain visible with zero rows.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6">
      <x:c r="A6" s="16" t="str">
        <x:v>Source ID</x:v>
      </x:c>
      <x:c r="B6" s="17" t="str">
        <x:v>Region</x:v>
      </x:c>
      <x:c r="C6" s="17" t="str">
        <x:v>Provider</x:v>
      </x:c>
      <x:c r="D6" s="17" t="str">
        <x:v>Dataset</x:v>
      </x:c>
      <x:c r="E6" s="17" t="str">
        <x:v>Gate result</x:v>
      </x:c>
      <x:c r="F6" s="17" t="str">
        <x:v>Collection outcome</x:v>
      </x:c>
      <x:c r="G6" s="17" t="str">
        <x:v>Compiled rows</x:v>
      </x:c>
      <x:c r="H6" s="17" t="str">
        <x:v>Strict PIT rows</x:v>
      </x:c>
      <x:c r="I6" s="17" t="str">
        <x:v>Reason</x:v>
      </x:c>
      <x:c r="J6" s="18" t="str">
        <x:v>Source URL</x:v>
      </x:c>
    </x:row>
    <x:row r="7">
      <x:c r="A7" s="23" t="str">
        <x:v>EUROSTAT_PLATFORM_NIGHTS_COUNTRY</x:v>
      </x:c>
      <x:c r="B7" s="23" t="str">
        <x:v>Europe</x:v>
      </x:c>
      <x:c r="C7" s="23" t="str">
        <x:v>Eurostat</x:v>
      </x:c>
      <x:c r="D7" s="23" t="str">
        <x:v>Collaborative-platform nights by country</x:v>
      </x:c>
      <x:c r="E7" s="42" t="str">
        <x:v>governed_snapshot_reuse</x:v>
      </x:c>
      <x:c r="F7" s="42" t="str">
        <x:v>compiled_current_snapshot</x:v>
      </x:c>
      <x:c r="G7" s="72" t="n">
        <x:v>99</x:v>
      </x:c>
      <x:c r="H7" s="74" t="n">
        <x:v>0</x:v>
      </x:c>
      <x:c r="I7" s="23" t="str">
        <x:v>Official EU27 collaborative-platform nights; current snapshot is diagnostic/prospective only.</x:v>
      </x:c>
      <x:c r="J7" s="23" t="str">
        <x:v>https://ec.europa.eu/eurostat/</x:v>
      </x:c>
    </x:row>
    <x:row r="8">
      <x:c r="A8" s="23" t="str">
        <x:v>EUROSTAT_TOURISM_NIGHTS</x:v>
      </x:c>
      <x:c r="B8" s="23" t="str">
        <x:v>Europe</x:v>
      </x:c>
      <x:c r="C8" s="23" t="str">
        <x:v>Eurostat</x:v>
      </x:c>
      <x:c r="D8" s="23" t="str">
        <x:v>Tourism nights at accommodation establishments</x:v>
      </x:c>
      <x:c r="E8" s="42" t="str">
        <x:v>governed_snapshot_reuse</x:v>
      </x:c>
      <x:c r="F8" s="42" t="str">
        <x:v>compiled_current_snapshot</x:v>
      </x:c>
      <x:c r="G8" s="72" t="n">
        <x:v>42</x:v>
      </x:c>
      <x:c r="H8" s="74" t="n">
        <x:v>0</x:v>
      </x:c>
      <x:c r="I8" s="23" t="str">
        <x:v>Official EU27 total-tourism nights control; current snapshot is diagnostic/prospective only.</x:v>
      </x:c>
      <x:c r="J8" s="23" t="str">
        <x:v>https://ec.europa.eu/eurostat/</x:v>
      </x:c>
    </x:row>
    <x:row r="9">
      <x:c r="A9" s="23" t="str">
        <x:v>BLS_CPI_LODGING</x:v>
      </x:c>
      <x:c r="B9" s="23" t="str">
        <x:v>United States</x:v>
      </x:c>
      <x:c r="C9" s="23" t="str">
        <x:v>U.S. Bureau of Labor Statistics</x:v>
      </x:c>
      <x:c r="D9" s="23" t="str">
        <x:v>Consumer Price Index for other lodging away from home CUUR0000SEHB02</x:v>
      </x:c>
      <x:c r="E9" s="42" t="str">
        <x:v>blocked_or_inconclusive</x:v>
      </x:c>
      <x:c r="F9" s="42" t="str">
        <x:v>not_collected</x:v>
      </x:c>
      <x:c r="G9" s="72" t="n">
        <x:v>0</x:v>
      </x:c>
      <x:c r="H9" s="74" t="n">
        <x:v>0</x:v>
      </x:c>
      <x:c r="I9" s="23" t="str">
        <x:v>robots guidance does not clearly allow the intended paths</x:v>
      </x:c>
      <x:c r="J9" s="23" t="str">
        <x:v>https://api.bls.gov/publicAPI/v1/timeseries/data/CUUR0000SEHB02; https://www.bls.gov/cpi/additional-resources/index-publication-level.htm</x:v>
      </x:c>
    </x:row>
    <x:row r="10">
      <x:c r="A10" s="23" t="str">
        <x:v>BTS_T100</x:v>
      </x:c>
      <x:c r="B10" s="23" t="str">
        <x:v>United States</x:v>
      </x:c>
      <x:c r="C10" s="23" t="str">
        <x:v>U.S. Bureau of Transportation Statistics</x:v>
      </x:c>
      <x:c r="D10" s="23" t="str">
        <x:v>T-100 domestic and international segment traffic</x:v>
      </x:c>
      <x:c r="E10" s="42" t="str">
        <x:v>blocked_or_inconclusive</x:v>
      </x:c>
      <x:c r="F10" s="42" t="str">
        <x:v>not_collected_provider_stop</x:v>
      </x:c>
      <x:c r="G10" s="72" t="n">
        <x:v>0</x:v>
      </x:c>
      <x:c r="H10" s="74" t="n">
        <x:v>0</x:v>
      </x:c>
      <x:c r="I10" s="23" t="str">
        <x:v>Robots unresolved after 404/403; no payload.</x:v>
      </x:c>
      <x:c r="J10" s="23" t="str">
        <x:v>https://www.transtats.bts.gov/</x:v>
      </x:c>
    </x:row>
    <x:row r="11">
      <x:c r="A11" s="23" t="str">
        <x:v>CENSUS_QSS_ACCOMMODATION</x:v>
      </x:c>
      <x:c r="B11" s="23" t="str">
        <x:v>United States</x:v>
      </x:c>
      <x:c r="C11" s="23" t="str">
        <x:v>U.S. Census Bureau</x:v>
      </x:c>
      <x:c r="D11" s="23" t="str">
        <x:v>Quarterly Services Survey accommodation revenue estimates for NAICS 721</x:v>
      </x:c>
      <x:c r="E11" s="42" t="str">
        <x:v>blocked_or_inconclusive</x:v>
      </x:c>
      <x:c r="F11" s="42" t="str">
        <x:v>not_collected</x:v>
      </x:c>
      <x:c r="G11" s="72" t="n">
        <x:v>0</x:v>
      </x:c>
      <x:c r="H11" s="74" t="n">
        <x:v>0</x:v>
      </x:c>
      <x:c r="I11" s="23" t="str">
        <x:v>source is not publicly accessible | robots guidance does not clearly allow the intended paths</x:v>
      </x:c>
      <x:c r="J11" s="23" t="str">
        <x:v>https://api.census.gov/data/timeseries/qss.html</x:v>
      </x:c>
    </x:row>
    <x:row r="12">
      <x:c r="A12" s="23" t="str">
        <x:v>FHWA_TVT_VMT</x:v>
      </x:c>
      <x:c r="B12" s="23" t="str">
        <x:v>United States</x:v>
      </x:c>
      <x:c r="C12" s="23" t="str">
        <x:v>Federal Highway Administration Office of Highway Policy Information</x:v>
      </x:c>
      <x:c r="D12" s="23" t="str">
        <x:v>Traffic Volume Trends monthly vehicle miles traveled reports and workbooks</x:v>
      </x:c>
      <x:c r="E12" s="42" t="str">
        <x:v>blocked_or_inconclusive</x:v>
      </x:c>
      <x:c r="F12" s="42" t="str">
        <x:v>not_collected_robots_disallowed</x:v>
      </x:c>
      <x:c r="G12" s="72" t="n">
        <x:v>0</x:v>
      </x:c>
      <x:c r="H12" s="74" t="n">
        <x:v>0</x:v>
      </x:c>
      <x:c r="I12" s="23" t="str">
        <x:v>Workbook directory explicitly disallowed; index-only Allow does not extend to payloads.</x:v>
      </x:c>
      <x:c r="J12" s="23" t="str">
        <x:v>https://www.fhwa.dot.gov/policyinformation/travel_monitoring/tvt.cfm</x:v>
      </x:c>
    </x:row>
    <x:row r="13">
      <x:c r="A13" s="23" t="str">
        <x:v>FTA_NTD_MONTHLY_RIDERSHIP</x:v>
      </x:c>
      <x:c r="B13" s="23" t="str">
        <x:v>United States</x:v>
      </x:c>
      <x:c r="C13" s="23" t="str">
        <x:v>Federal Transit Administration National Transit Database</x:v>
      </x:c>
      <x:c r="D13" s="23" t="str">
        <x:v>Raw Monthly Ridership no adjustments or estimates</x:v>
      </x:c>
      <x:c r="E13" s="42" t="str">
        <x:v>blocked_or_inconclusive</x:v>
      </x:c>
      <x:c r="F13" s="42" t="str">
        <x:v>not_collected_provider_stop</x:v>
      </x:c>
      <x:c r="G13" s="72" t="n">
        <x:v>0</x:v>
      </x:c>
      <x:c r="H13" s="74" t="n">
        <x:v>0</x:v>
      </x:c>
      <x:c r="I13" s="23" t="str">
        <x:v>Robots request 403; permission unresolved.</x:v>
      </x:c>
      <x:c r="J13" s="23" t="str">
        <x:v>https://www.transit.dot.gov/ntd/monthly-ridership; https://www.transit.dot.gov/ntd/data-product/monthly-modal-time-series-safety-and-service</x:v>
      </x:c>
    </x:row>
    <x:row r="14">
      <x:c r="A14" s="23" t="str">
        <x:v>LAX_TERMINAL_PASSENGERS</x:v>
      </x:c>
      <x:c r="B14" s="23" t="str">
        <x:v>United States</x:v>
      </x:c>
      <x:c r="C14" s="23" t="str">
        <x:v>Los Angeles World Airports via City of Los Angeles Open Data</x:v>
      </x:c>
      <x:c r="D14" s="23" t="str">
        <x:v>Los Angeles International Airport Passenger Traffic by Terminal</x:v>
      </x:c>
      <x:c r="E14" s="42" t="str">
        <x:v>blocked_or_inconclusive</x:v>
      </x:c>
      <x:c r="F14" s="42" t="str">
        <x:v>not_collected_provider_stop</x:v>
      </x:c>
      <x:c r="G14" s="72" t="n">
        <x:v>0</x:v>
      </x:c>
      <x:c r="H14" s="74" t="n">
        <x:v>0</x:v>
      </x:c>
      <x:c r="I14" s="23" t="str">
        <x:v>Terms page triggered conservative stop; robots does not explicitly Allow /resource.</x:v>
      </x:c>
      <x:c r="J14" s="23" t="str">
        <x:v>https://data.lacity.org/Transportation/LAX-Passenger-Traffic-by-Terminal/g3qu-7q2u</x:v>
      </x:c>
    </x:row>
    <x:row r="15">
      <x:c r="A15" s="23" t="str">
        <x:v>NOLA_STR_PERMIT_EVENTS</x:v>
      </x:c>
      <x:c r="B15" s="23" t="str">
        <x:v>United States</x:v>
      </x:c>
      <x:c r="C15" s="23" t="str">
        <x:v>City of New Orleans</x:v>
      </x:c>
      <x:c r="D15" s="23" t="str">
        <x:v>New Orleans short-term-rental permit applications</x:v>
      </x:c>
      <x:c r="E15" s="42" t="str">
        <x:v>blocked_or_inconclusive</x:v>
      </x:c>
      <x:c r="F15" s="42" t="str">
        <x:v>not_collected</x:v>
      </x:c>
      <x:c r="G15" s="72" t="n">
        <x:v>0</x:v>
      </x:c>
      <x:c r="H15" s="74" t="n">
        <x:v>0</x:v>
      </x:c>
      <x:c r="I15" s="23" t="str">
        <x:v>terms do not clearly permit automation | robots guidance does not clearly allow the intended paths | CAPTCHA is required</x:v>
      </x:c>
      <x:c r="J15" s="23" t="str">
        <x:v>https://data.nola.gov/Housing-Land-Use-and-Blight/Map-of-Short-Term-Rental-License-Applications/j5u3-2ueh</x:v>
      </x:c>
    </x:row>
    <x:row r="16">
      <x:c r="A16" s="23" t="str">
        <x:v>NPS_VISITOR_USE</x:v>
      </x:c>
      <x:c r="B16" s="23" t="str">
        <x:v>United States</x:v>
      </x:c>
      <x:c r="C16" s="23" t="str">
        <x:v>National Park Service Social Science Program</x:v>
      </x:c>
      <x:c r="D16" s="23" t="str">
        <x:v>NPS Visitor Use Statistics monthly visitation and overnight stays</x:v>
      </x:c>
      <x:c r="E16" s="42" t="str">
        <x:v>blocked_or_inconclusive</x:v>
      </x:c>
      <x:c r="F16" s="42" t="str">
        <x:v>not_collected_robots_disallowed</x:v>
      </x:c>
      <x:c r="G16" s="72" t="n">
        <x:v>0</x:v>
      </x:c>
      <x:c r="H16" s="74" t="n">
        <x:v>0</x:v>
      </x:c>
      <x:c r="I16" s="23" t="str">
        <x:v>Exact robots says Disallow: /.</x:v>
      </x:c>
      <x:c r="J16" s="23" t="str">
        <x:v>https://irmaservices.nps.gov/v3/rest/Stats/help; https://home.nps.gov/subjects/socialscience/statistics-faq.htm</x:v>
      </x:c>
    </x:row>
    <x:row r="17">
      <x:c r="A17" s="23" t="str">
        <x:v>NYC_OSE_STR_SNAPSHOTS</x:v>
      </x:c>
      <x:c r="B17" s="23" t="str">
        <x:v>United States</x:v>
      </x:c>
      <x:c r="C17" s="23" t="str">
        <x:v>NYC Mayor's Office of Special Enforcement</x:v>
      </x:c>
      <x:c r="D17" s="23" t="str">
        <x:v>NYC short-term-rental registration snapshots</x:v>
      </x:c>
      <x:c r="E17" s="42" t="str">
        <x:v>blocked_or_inconclusive</x:v>
      </x:c>
      <x:c r="F17" s="42" t="str">
        <x:v>not_collected</x:v>
      </x:c>
      <x:c r="G17" s="72" t="n">
        <x:v>0</x:v>
      </x:c>
      <x:c r="H17" s="74" t="n">
        <x:v>0</x:v>
      </x:c>
      <x:c r="I17" s="23" t="str">
        <x:v>terms do not clearly permit automation | robots guidance does not clearly allow the intended paths | collection includes personal data</x:v>
      </x:c>
      <x:c r="J17" s="23" t="str">
        <x:v>https://www.nyc.gov/site/specialenforcement/registration-law/registration-and-listing-data.page</x:v>
      </x:c>
    </x:row>
    <x:row r="18">
      <x:c r="A18" s="23" t="str">
        <x:v>PANYNJ_AIRPORT_PARKING</x:v>
      </x:c>
      <x:c r="B18" s="23" t="str">
        <x:v>United States</x:v>
      </x:c>
      <x:c r="C18" s="23" t="str">
        <x:v>Port Authority of New York and New Jersey via New York State Open Data</x:v>
      </x:c>
      <x:c r="D18" s="23" t="str">
        <x:v>Port Authority Airport Parking Counts</x:v>
      </x:c>
      <x:c r="E18" s="42" t="str">
        <x:v>blocked_or_inconclusive</x:v>
      </x:c>
      <x:c r="F18" s="42" t="str">
        <x:v>not_collected_permission_unclear</x:v>
      </x:c>
      <x:c r="G18" s="72" t="n">
        <x:v>0</x:v>
      </x:c>
      <x:c r="H18" s="74" t="n">
        <x:v>0</x:v>
      </x:c>
      <x:c r="I18" s="23" t="str">
        <x:v>Neither terms nor robots affirmatively authorizes the exact automated /resource request.</x:v>
      </x:c>
      <x:c r="J18" s="23" t="str">
        <x:v>https://data.ny.gov/Transportation/Port-Authority-Airport-Parking-Counts/h87k-kqb6</x:v>
      </x:c>
    </x:row>
    <x:row r="19">
      <x:c r="A19" s="23" t="str">
        <x:v>SAN_DIEGO_STRO_ACTIVE</x:v>
      </x:c>
      <x:c r="B19" s="23" t="str">
        <x:v>United States</x:v>
      </x:c>
      <x:c r="C19" s="23" t="str">
        <x:v>City of San Diego</x:v>
      </x:c>
      <x:c r="D19" s="23" t="str">
        <x:v>Active licenses for Short-Term Residential Occupancy</x:v>
      </x:c>
      <x:c r="E19" s="42" t="str">
        <x:v>blocked_or_inconclusive</x:v>
      </x:c>
      <x:c r="F19" s="42" t="str">
        <x:v>not_collected</x:v>
      </x:c>
      <x:c r="G19" s="72" t="n">
        <x:v>0</x:v>
      </x:c>
      <x:c r="H19" s="74" t="n">
        <x:v>0</x:v>
      </x:c>
      <x:c r="I19" s="23" t="str">
        <x:v>terms do not clearly permit automation | robots guidance does not clearly allow the intended paths | collection includes personal data</x:v>
      </x:c>
      <x:c r="J19" s="23" t="str">
        <x:v>https://data.sandiego.gov/datasets/stro-licenses/</x:v>
      </x:c>
    </x:row>
    <x:row r="20">
      <x:c r="A20" s="23" t="str">
        <x:v>SFO_AIR_PASSENGERS</x:v>
      </x:c>
      <x:c r="B20" s="23" t="str">
        <x:v>United States</x:v>
      </x:c>
      <x:c r="C20" s="23" t="str">
        <x:v>City and County of San Francisco</x:v>
      </x:c>
      <x:c r="D20" s="23" t="str">
        <x:v>Air Traffic Passenger Statistics</x:v>
      </x:c>
      <x:c r="E20" s="42" t="str">
        <x:v>allowed/reused</x:v>
      </x:c>
      <x:c r="F20" s="42" t="str">
        <x:v>reused_governed_current_snapshot</x:v>
      </x:c>
      <x:c r="G20" s="72" t="n">
        <x:v>384</x:v>
      </x:c>
      <x:c r="H20" s="74" t="n">
        <x:v>0</x:v>
      </x:c>
      <x:c r="I20" s="23" t="str">
        <x:v>Useful aggregate monthly history, but all rows are current-snapshot observations unavailable for retrospective PIT testing.</x:v>
      </x:c>
      <x:c r="J20" s="23" t="str">
        <x:v>https://data.sfgov.org/Transportation/Air-Traffic-Passenger-Statistics/rkru-6vcg</x:v>
      </x:c>
    </x:row>
    <x:row r="21">
      <x:c r="A21" s="23" t="str">
        <x:v>TSA_CHECKPOINT</x:v>
      </x:c>
      <x:c r="B21" s="23" t="str">
        <x:v>United States</x:v>
      </x:c>
      <x:c r="C21" s="23" t="str">
        <x:v>U.S. Transportation Security Administration</x:v>
      </x:c>
      <x:c r="D21" s="23" t="str">
        <x:v>Daily TSA checkpoint travel numbers</x:v>
      </x:c>
      <x:c r="E21" s="42" t="str">
        <x:v>blocked_or_inconclusive</x:v>
      </x:c>
      <x:c r="F21" s="42" t="str">
        <x:v>not_collected_provider_stop</x:v>
      </x:c>
      <x:c r="G21" s="72" t="n">
        <x:v>0</x:v>
      </x:c>
      <x:c r="H21" s="74" t="n">
        <x:v>0</x:v>
      </x:c>
      <x:c r="I21" s="23" t="str">
        <x:v>HTTP 403 on robots; no exact-path permission.</x:v>
      </x:c>
      <x:c r="J21" s="23" t="str">
        <x:v>https://www.tsa.gov/travel/passenger-volumes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2f93fb20552a46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  <x:col min="3" max="3" width="22" hidden="0" customWidth="1"/>
    <x:col min="4" max="4" width="5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5" customHeight="1">
      <x:c r="A1" s="3" t="str">
        <x:v>Methodology and evidence controls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The purpose is to prioritize hypotheses for prospective collection while preventing snapshot backfill from being mislabeled as historical forecast evidence.</x:v>
      </x:c>
      <x:c r="B3" s="7"/>
      <x:c r="C3" s="7"/>
      <x:c r="D3" s="7"/>
      <x:c r="E3" s="7"/>
      <x:c r="F3" s="7"/>
      <x:c r="G3" s="7"/>
      <x:c r="H3" s="7"/>
    </x:row>
    <x:row r="5">
      <x:c r="A5" s="55" t="str">
        <x:v>Predeclared transformations</x:v>
      </x:c>
      <x:c r="B5" s="55"/>
      <x:c r="C5" s="55"/>
      <x:c r="D5" s="55"/>
      <x:c r="E5" s="55"/>
      <x:c r="F5" s="55"/>
      <x:c r="G5" s="55"/>
      <x:c r="H5" s="55"/>
    </x:row>
    <x:row r="7">
      <x:c r="A7" s="16" t="str">
        <x:v>Feature</x:v>
      </x:c>
      <x:c r="B7" s="17" t="str">
        <x:v>Transformation</x:v>
      </x:c>
      <x:c r="C7" s="17" t="str">
        <x:v>Diagnostic lag</x:v>
      </x:c>
      <x:c r="D7" s="18" t="str">
        <x:v>Operating bridge</x:v>
      </x:c>
    </x:row>
    <x:row r="8">
      <x:c r="A8" s="23" t="str">
        <x:v>U.S. SFO airport activity</x:v>
      </x:c>
      <x:c r="B8" s="23" t="str">
        <x:v>Enplaned + deplaned passengers; trailing 3-month YoY</x:v>
      </x:c>
      <x:c r="C8" s="23" t="str">
        <x:v>60 days</x:v>
      </x:c>
      <x:c r="D8" s="23" t="str">
        <x:v>Realized travel activity → accommodation demand</x:v>
      </x:c>
    </x:row>
    <x:row r="9">
      <x:c r="A9" s="23" t="str">
        <x:v>EU27 platform nights</x:v>
      </x:c>
      <x:c r="B9" s="23" t="str">
        <x:v>Collaborative-platform nights; trailing 3-month YoY</x:v>
      </x:c>
      <x:c r="C9" s="23" t="str">
        <x:v>120 days</x:v>
      </x:c>
      <x:c r="D9" s="23" t="str">
        <x:v>Platform accommodation demand → Airbnb nights/revenue</x:v>
      </x:c>
    </x:row>
    <x:row r="10">
      <x:c r="A10" s="23" t="str">
        <x:v>EU27 total tourism nights</x:v>
      </x:c>
      <x:c r="B10" s="23" t="str">
        <x:v>All tourist-accommodation nights; trailing 3-month YoY</x:v>
      </x:c>
      <x:c r="C10" s="23" t="str">
        <x:v>60 days</x:v>
      </x:c>
      <x:c r="D10" s="23" t="str">
        <x:v>Macro tourism control</x:v>
      </x:c>
    </x:row>
    <x:row r="11">
      <x:c r="A11" s="23" t="str">
        <x:v>Primary U.S.–EMEA composite</x:v>
      </x:c>
      <x:c r="B11" s="23" t="str">
        <x:v>Latest available Airbnb U.S./EMEA revenue weights</x:v>
      </x:c>
      <x:c r="C11" s="23" t="str">
        <x:v>Maximum component lag and filing date</x:v>
      </x:c>
      <x:c r="D11" s="23" t="str">
        <x:v>Official economic mix; normalized within covered sleeves</x:v>
      </x:c>
    </x:row>
    <x:row r="12">
      <x:c r="A12" s="23" t="str">
        <x:v>50/50 benchmark</x:v>
      </x:c>
      <x:c r="B12" s="23" t="str">
        <x:v>50% U.S. activity + 50% EU platform nights</x:v>
      </x:c>
      <x:c r="C12" s="23" t="str">
        <x:v>Maximum component lag</x:v>
      </x:c>
      <x:c r="D12" s="23" t="str">
        <x:v>Control only; never weighted by row count</x:v>
      </x:c>
    </x:row>
    <x:row r="13">
      <x:c r="A13" s="23"/>
      <x:c r="B13" s="23"/>
      <x:c r="C13" s="23"/>
      <x:c r="D13" s="23"/>
    </x:row>
    <x:row r="14">
      <x:c r="A14" s="64" t="str">
        <x:v>Guidance comparison</x:v>
      </x:c>
      <x:c r="B14" s="64"/>
      <x:c r="C14" s="64"/>
      <x:c r="D14" s="64"/>
      <x:c r="E14" s="55"/>
      <x:c r="F14" s="55"/>
      <x:c r="G14" s="55"/>
      <x:c r="H14" s="55"/>
    </x:row>
    <x:row r="15">
      <x:c r="A15" s="23"/>
      <x:c r="B15" s="23"/>
      <x:c r="C15" s="23"/>
      <x:c r="D15" s="23"/>
    </x:row>
    <x:row r="16">
      <x:c r="A16" s="16" t="str">
        <x:v>Measure</x:v>
      </x:c>
      <x:c r="B16" s="18" t="str">
        <x:v>Definition</x:v>
      </x:c>
      <x:c r="C16" s="23"/>
      <x:c r="D16" s="23"/>
    </x:row>
    <x:row r="17">
      <x:c r="A17" s="23" t="str">
        <x:v>Guidance-growth level</x:v>
      </x:c>
      <x:c r="B17" s="23" t="str">
        <x:v>Current guided-quarter midpoint / same guided quarter one year earlier − 1</x:v>
      </x:c>
      <x:c r="C17" s="23"/>
      <x:c r="D17" s="23"/>
    </x:row>
    <x:row r="18">
      <x:c r="A18" s="23" t="str">
        <x:v>Guidance acceleration</x:v>
      </x:c>
      <x:c r="B18" s="23" t="str">
        <x:v>Current guidance-growth level − prior event guidance-growth level</x:v>
      </x:c>
      <x:c r="C18" s="23"/>
      <x:c r="D18" s="23"/>
    </x:row>
    <x:row r="19">
      <x:c r="A19" s="23" t="str">
        <x:v>Direction concordance</x:v>
      </x:c>
      <x:c r="B19" s="23" t="str">
        <x:v>Sign of feature change agrees with sign of guidance acceleration</x:v>
      </x:c>
      <x:c r="C19" s="23"/>
      <x:c r="D19" s="23"/>
    </x:row>
    <x:row r="20">
      <x:c r="A20" s="23" t="str">
        <x:v>Statistics</x:v>
      </x:c>
      <x:c r="B20" s="23" t="str">
        <x:v>Fixed Pearson, Spearman, and direction concordance; no tuning or search</x:v>
      </x:c>
      <x:c r="C20" s="23"/>
      <x:c r="D20" s="23"/>
    </x:row>
    <x:row r="21">
      <x:c r="A21" s="23"/>
      <x:c r="B21" s="23"/>
      <x:c r="C21" s="23"/>
      <x:c r="D21" s="23"/>
    </x:row>
    <x:row r="22">
      <x:c r="A22" s="23"/>
      <x:c r="B22" s="23"/>
      <x:c r="C22" s="23"/>
      <x:c r="D22" s="23"/>
    </x:row>
    <x:row r="23">
      <x:c r="A23" s="64" t="str">
        <x:v>Evidence status</x:v>
      </x:c>
      <x:c r="B23" s="64"/>
      <x:c r="C23" s="64"/>
      <x:c r="D23" s="64"/>
      <x:c r="E23" s="55"/>
      <x:c r="F23" s="55"/>
      <x:c r="G23" s="55"/>
      <x:c r="H23" s="55"/>
    </x:row>
    <x:row r="24">
      <x:c r="A24" s="23"/>
      <x:c r="B24" s="23"/>
      <x:c r="C24" s="23"/>
      <x:c r="D24" s="23"/>
    </x:row>
    <x:row r="25">
      <x:c r="A25" s="16" t="str">
        <x:v>Control</x:v>
      </x:c>
      <x:c r="B25" s="18" t="str">
        <x:v>Treatment</x:v>
      </x:c>
      <x:c r="C25" s="23"/>
      <x:c r="D25" s="23"/>
    </x:row>
    <x:row r="26">
      <x:c r="A26" s="23" t="str">
        <x:v>Historical availability</x:v>
      </x:c>
      <x:c r="B26" s="23" t="str">
        <x:v>Observed provider first-availability timestamp must be strictly earlier than the guidance cutoff</x:v>
      </x:c>
      <x:c r="C26" s="23"/>
      <x:c r="D26" s="23"/>
    </x:row>
    <x:row r="27">
      <x:c r="A27" s="23" t="str">
        <x:v>Current snapshots</x:v>
      </x:c>
      <x:c r="B27" s="23" t="str">
        <x:v>Diagnostic/prospective only; historical reference dates do not create historical vintages</x:v>
      </x:c>
      <x:c r="C27" s="23"/>
      <x:c r="D27" s="23"/>
    </x:row>
    <x:row r="28">
      <x:c r="A28" s="23" t="str">
        <x:v>Assumed lag</x:v>
      </x:c>
      <x:c r="B28" s="23" t="str">
        <x:v>Used only to prevent reference-period look-ahead in descriptive alignment; it is not publication evidence</x:v>
      </x:c>
      <x:c r="C28" s="23"/>
      <x:c r="D28" s="23"/>
    </x:row>
    <x:row r="29">
      <x:c r="A29" s="23" t="str">
        <x:v>Strict PIT result</x:v>
      </x:c>
      <x:c r="B29" s="68" t="str">
        <x:v>Zero event-feature rows qualify</x:v>
      </x:c>
      <x:c r="C29" s="23"/>
      <x:c r="D29" s="23"/>
    </x:row>
    <x:row r="30">
      <x:c r="A30" s="23" t="str">
        <x:v>Model status</x:v>
      </x:c>
      <x:c r="B30" s="68" t="str">
        <x:v>HYPOTHESIS PRIORITIZATION ONLY — NOT APPROVED FOR FORECASTING</x:v>
      </x:c>
      <x:c r="C30" s="23"/>
      <x:c r="D30" s="23"/>
    </x:row>
    <x:row r="31">
      <x:c r="A31" s="23" t="str">
        <x:v>Next evidence step</x:v>
      </x:c>
      <x:c r="B31" s="23" t="str">
        <x:v>Archive immutable releases prospectively, then run a preregistered walk-forward comparison</x:v>
      </x:c>
      <x:c r="C31" s="23"/>
      <x:c r="D31" s="23"/>
    </x:row>
  </x:sheetData>
  <x:mergeCells>
    <x:mergeCell ref="A1:H2"/>
    <x:mergeCell ref="A3:H3"/>
    <x:mergeCell ref="A5:H5"/>
    <x:mergeCell ref="A14:H14"/>
    <x:mergeCell ref="A23:H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62" hidden="0" customWidth="1"/>
  </x:cols>
  <x:sheetData>
    <x:row r="1" ht="25" customHeight="1">
      <x:c r="A1" s="3" t="str">
        <x:v>Workbook validation checks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32" customHeight="1">
      <x:c r="A3" s="7" t="str">
        <x:v>All checks should be OK. The zero strict-PIT count is an expected evidence-control result.</x:v>
      </x:c>
      <x:c r="B3" s="7"/>
      <x:c r="C3" s="7"/>
      <x:c r="D3" s="7"/>
      <x:c r="E3" s="7"/>
      <x:c r="F3" s="7"/>
      <x:c r="G3" s="7"/>
    </x:row>
    <x:row r="5">
      <x:c r="A5" s="16" t="str">
        <x:v>Check</x:v>
      </x:c>
      <x:c r="B5" s="17" t="str">
        <x:v>Actual</x:v>
      </x:c>
      <x:c r="C5" s="17" t="str">
        <x:v>Expected</x:v>
      </x:c>
      <x:c r="D5" s="17" t="str">
        <x:v>Difference</x:v>
      </x:c>
      <x:c r="E5" s="17" t="str">
        <x:v>Tolerance</x:v>
      </x:c>
      <x:c r="F5" s="17" t="str">
        <x:v>Status</x:v>
      </x:c>
      <x:c r="G5" s="18" t="str">
        <x:v>Notes</x:v>
      </x:c>
    </x:row>
    <x:row r="6">
      <x:c r="A6" s="23" t="str">
        <x:v>Source candidates</x:v>
      </x:c>
      <x:c r="B6" s="77" t="n">
        <x:f>COUNTA('Source &amp; Permissions'!$A$7:$A$21)</x:f>
        <x:v>15</x:v>
      </x:c>
      <x:c r="C6" s="23" t="n">
        <x:v>15</x:v>
      </x:c>
      <x:c r="D6" s="23" t="n">
        <x:f>B6-C6</x:f>
        <x:v>0</x:v>
      </x:c>
      <x:c r="E6" s="23" t="n">
        <x:v>0</x:v>
      </x:c>
      <x:c r="F6" s="23" t="str">
        <x:f>IF(ABS(D6)&lt;=E6,"OK","REVIEW")</x:f>
        <x:v>OK</x:v>
      </x:c>
      <x:c r="G6" s="23" t="str">
        <x:v>Fifteen U.S./Europe source candidates are visible</x:v>
      </x:c>
    </x:row>
    <x:row r="7">
      <x:c r="A7" s="23" t="str">
        <x:v>Compiled observations</x:v>
      </x:c>
      <x:c r="B7" s="77" t="n">
        <x:f>COUNTA('Observations'!$A$7:$A$531)</x:f>
        <x:v>525</x:v>
      </x:c>
      <x:c r="C7" s="23" t="n">
        <x:v>525</x:v>
      </x:c>
      <x:c r="D7" s="23" t="n">
        <x:f>B7-C7</x:f>
        <x:v>0</x:v>
      </x:c>
      <x:c r="E7" s="23" t="n">
        <x:v>0</x:v>
      </x:c>
      <x:c r="F7" s="23" t="str">
        <x:f>IF(ABS(D7)&lt;=E7,"OK","REVIEW")</x:f>
        <x:v>OK</x:v>
      </x:c>
      <x:c r="G7" s="23" t="str">
        <x:v>384 U.S. rows + 141 European rows</x:v>
      </x:c>
    </x:row>
    <x:row r="8">
      <x:c r="A8" s="23" t="str">
        <x:v>Guidance events</x:v>
      </x:c>
      <x:c r="B8" s="77" t="n">
        <x:f>COUNTA('Guidance History'!$B$7:$B$29)</x:f>
        <x:v>23</x:v>
      </x:c>
      <x:c r="C8" s="23" t="n">
        <x:v>23</x:v>
      </x:c>
      <x:c r="D8" s="23" t="n">
        <x:f>B8-C8</x:f>
        <x:v>0</x:v>
      </x:c>
      <x:c r="E8" s="23" t="n">
        <x:v>0</x:v>
      </x:c>
      <x:c r="F8" s="23" t="str">
        <x:f>IF(ABS(D8)&lt;=E8,"OK","REVIEW")</x:f>
        <x:v>OK</x:v>
      </x:c>
      <x:c r="G8" s="23" t="str">
        <x:v>Canonical guidance history</x:v>
      </x:c>
    </x:row>
    <x:row r="9">
      <x:c r="A9" s="23" t="str">
        <x:v>Event-feature rows</x:v>
      </x:c>
      <x:c r="B9" s="77" t="n">
        <x:f>COUNTA('Event Panel'!$A$7:$A$144)</x:f>
        <x:v>138</x:v>
      </x:c>
      <x:c r="C9" s="23" t="n">
        <x:v>138</x:v>
      </x:c>
      <x:c r="D9" s="23" t="n">
        <x:f>B9-C9</x:f>
        <x:v>0</x:v>
      </x:c>
      <x:c r="E9" s="23" t="n">
        <x:v>0</x:v>
      </x:c>
      <x:c r="F9" s="23" t="str">
        <x:f>IF(ABS(D9)&lt;=E9,"OK","REVIEW")</x:f>
        <x:v>OK</x:v>
      </x:c>
      <x:c r="G9" s="23" t="str">
        <x:v>23 events × six fixed evaluated features</x:v>
      </x:c>
    </x:row>
    <x:row r="10">
      <x:c r="A10" s="23" t="str">
        <x:v>Feature specifications</x:v>
      </x:c>
      <x:c r="B10" s="77" t="n">
        <x:f>COUNTA('Comparison'!$B$7:$B$12)</x:f>
        <x:v>6</x:v>
      </x:c>
      <x:c r="C10" s="23" t="n">
        <x:v>6</x:v>
      </x:c>
      <x:c r="D10" s="23" t="n">
        <x:f>B10-C10</x:f>
        <x:v>0</x:v>
      </x:c>
      <x:c r="E10" s="23" t="n">
        <x:v>0</x:v>
      </x:c>
      <x:c r="F10" s="23" t="str">
        <x:f>IF(ABS(D10)&lt;=E10,"OK","REVIEW")</x:f>
        <x:v>OK</x:v>
      </x:c>
      <x:c r="G10" s="23" t="str">
        <x:v>No in-sample feature search</x:v>
      </x:c>
    </x:row>
    <x:row r="11">
      <x:c r="A11" s="23" t="str">
        <x:v>Strict PIT event-feature rows</x:v>
      </x:c>
      <x:c r="B11" s="77" t="n">
        <x:f>COUNTIF('Event Panel'!$O$7:$O$144,TRUE)</x:f>
        <x:v>0</x:v>
      </x:c>
      <x:c r="C11" s="23" t="n">
        <x:v>0</x:v>
      </x:c>
      <x:c r="D11" s="23" t="n">
        <x:f>B11-C11</x:f>
        <x:v>0</x:v>
      </x:c>
      <x:c r="E11" s="23" t="n">
        <x:v>0</x:v>
      </x:c>
      <x:c r="F11" s="23" t="str">
        <x:f>IF(ABS(D11)&lt;=E11,"OK","REVIEW")</x:f>
        <x:v>OK</x:v>
      </x:c>
      <x:c r="G11" s="23" t="str">
        <x:v>Expected zero for current snapshots</x:v>
      </x:c>
    </x:row>
    <x:row r="12">
      <x:c r="A12" s="23" t="str">
        <x:v>Numeric guidance events</x:v>
      </x:c>
      <x:c r="B12" s="77" t="n">
        <x:f>COUNT('Guidance History'!$I$7:$I$29)</x:f>
        <x:v>20</x:v>
      </x:c>
      <x:c r="C12" s="23" t="n">
        <x:v>20</x:v>
      </x:c>
      <x:c r="D12" s="23" t="n">
        <x:f>B12-C12</x:f>
        <x:v>0</x:v>
      </x:c>
      <x:c r="E12" s="23" t="n">
        <x:v>0</x:v>
      </x:c>
      <x:c r="F12" s="23" t="str">
        <x:f>IF(ABS(D12)&lt;=E12,"OK","REVIEW")</x:f>
        <x:v>OK</x:v>
      </x:c>
      <x:c r="G12" s="23" t="str">
        <x:v>Three qualitative events remain blank</x:v>
      </x:c>
    </x:row>
    <x:row r="13">
      <x:c r="A13" s="23" t="str">
        <x:v>Revenue-weight vintages</x:v>
      </x:c>
      <x:c r="B13" s="77" t="n">
        <x:f>COUNTA('Revenue Weights'!$A$7:$A$11)</x:f>
        <x:v>5</x:v>
      </x:c>
      <x:c r="C13" s="23" t="n">
        <x:v>5</x:v>
      </x:c>
      <x:c r="D13" s="23" t="n">
        <x:f>B13-C13</x:f>
        <x:v>0</x:v>
      </x:c>
      <x:c r="E13" s="23" t="n">
        <x:v>0</x:v>
      </x:c>
      <x:c r="F13" s="23" t="str">
        <x:f>IF(ABS(D13)&lt;=E13,"OK","REVIEW")</x:f>
        <x:v>OK</x:v>
      </x:c>
      <x:c r="G13" s="23" t="str">
        <x:v>FY2021–FY2025 official filings</x:v>
      </x:c>
    </x:row>
    <x:row r="14">
      <x:c r="A14" s="65" t="str">
        <x:v>Overall status</x:v>
      </x:c>
      <x:c r="B14" s="65"/>
      <x:c r="C14" s="65"/>
      <x:c r="D14" s="65"/>
      <x:c r="E14" s="65"/>
      <x:c r="F14" s="23"/>
      <x:c r="G14" s="23"/>
    </x:row>
    <x:row r="15">
      <x:c r="A15" s="78" t="str">
        <x:f>IF(COUNTIF(F6:F13,"REVIEW")=0,"OK — DIAGNOSTIC PANEL VALIDATED / NOT PIT-APPROVED","REVIEW REQUIRED")</x:f>
        <x:v>OK — DIAGNOSTIC PANEL VALIDATED / NOT PIT-APPROVED</x:v>
      </x:c>
      <x:c r="B15" s="78"/>
      <x:c r="C15" s="78"/>
      <x:c r="D15" s="78"/>
      <x:c r="E15" s="78"/>
      <x:c r="F15" s="23"/>
      <x:c r="G15" s="23"/>
    </x:row>
  </x:sheetData>
  <x:mergeCells>
    <x:mergeCell ref="A1:G2"/>
    <x:mergeCell ref="A3:G3"/>
    <x:mergeCell ref="A14:E14"/>
    <x:mergeCell ref="A15:E15"/>
  </x:mergeCells>
  <x:conditionalFormatting sqref="F6:F13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</x:worksheet>
</file>