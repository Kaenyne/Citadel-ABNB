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6acbe53a6b4872" /></Relationships>
</file>

<file path=xl/workbook.xml><?xml version="1.0" encoding="utf-8"?>
<x:workbook xmlns:x="http://schemas.openxmlformats.org/spreadsheetml/2006/main">
  <x:sheets>
    <x:sheet xmlns:r="http://schemas.openxmlformats.org/officeDocument/2006/relationships" name="Cover" sheetId="1" r:id="R124c92310b244b0c"/>
    <x:sheet xmlns:r="http://schemas.openxmlformats.org/officeDocument/2006/relationships" name="Guidance Events" sheetId="2" r:id="Rff17dd121b254541"/>
    <x:sheet xmlns:r="http://schemas.openxmlformats.org/officeDocument/2006/relationships" name="Consensus Request" sheetId="3" r:id="R9689b013c9b244f3"/>
    <x:sheet xmlns:r="http://schemas.openxmlformats.org/officeDocument/2006/relationships" name="Price Request" sheetId="4" r:id="R9ebbf70dd80d4a0b"/>
    <x:sheet xmlns:r="http://schemas.openxmlformats.org/officeDocument/2006/relationships" name="Field Definitions" sheetId="5" r:id="R2c49988b2cb74b54"/>
    <x:sheet xmlns:r="http://schemas.openxmlformats.org/officeDocument/2006/relationships" name="Checks" sheetId="6" r:id="Rc866017c442b428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yyyy-mm-dd"/>
  </x:numFmts>
  <x:fonts count="9">
    <x:font>
      <x:sz val="11"/>
      <x:name val="Carlito"/>
    </x:font>
    <x:font>
      <x:b/>
      <x:sz val="18"/>
      <x:color rgb="FFFFFFFF"/>
      <x:name val="Carlito"/>
    </x:font>
    <x:font>
      <x:b/>
      <x:sz val="11"/>
      <x:name val="Carlito"/>
    </x:font>
    <x:font>
      <x:sz val="11"/>
      <x:color rgb="FF000000"/>
      <x:name val="Carlito"/>
    </x:font>
    <x:font>
      <x:b/>
      <x:sz val="11"/>
      <x:color rgb="FFC00000"/>
      <x:name val="Carlito"/>
    </x:font>
    <x:font>
      <x:b/>
      <x:sz val="11"/>
      <x:color rgb="FFFFFFFF"/>
      <x:name val="Carlito"/>
    </x:font>
    <x:font>
      <x:sz val="11"/>
      <x:color rgb="FF0000FF"/>
      <x:name val="Carlito"/>
    </x:font>
    <x:font>
      <x:sz val="11"/>
      <x:color rgb="FF008000"/>
      <x:name val="Carlito"/>
    </x:font>
    <x:font>
      <x:b/>
      <x:sz val="11"/>
      <x:color rgb="FF9C0006"/>
      <x:name val="Carlito"/>
    </x:font>
  </x:fonts>
  <x:fills count="9">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CE4D6"/>
      </x:patternFill>
    </x:fill>
    <x:fill>
      <x:patternFill patternType="solid">
        <x:fgColor rgb="FF1F4E78"/>
      </x:patternFill>
    </x:fill>
    <x:fill>
      <x:patternFill patternType="solid">
        <x:fgColor rgb="FFF7F9FC"/>
      </x:patternFill>
    </x:fill>
    <x:fill>
      <x:patternFill patternType="solid">
        <x:fgColor rgb="FFFFF2CC"/>
      </x:patternFill>
    </x:fill>
    <x:fill>
      <x:patternFill patternType="solid">
        <x:fgColor rgb="FFE2F0D9"/>
      </x:patternFill>
    </x:fill>
  </x:fills>
  <x:borders count="10">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rder>
    <x:border>
      <x:top style="thin">
        <x:color rgb="FFD9E1F2"/>
      </x:top>
    </x:border>
    <x:border>
      <x:right style="thin">
        <x:color rgb="FFD9E1F2"/>
      </x:right>
      <x:top style="thin">
        <x:color rgb="FFD9E1F2"/>
      </x:top>
    </x:border>
    <x:border>
      <x:left style="thin">
        <x:color rgb="FFD9E1F2"/>
      </x:left>
    </x:border>
    <x:border>
      <x:right style="thin">
        <x:color rgb="FFD9E1F2"/>
      </x:right>
    </x:border>
    <x:border>
      <x:left style="thin">
        <x:color rgb="FFD9E1F2"/>
      </x:left>
      <x:bottom style="thin">
        <x:color rgb="FFD9E1F2"/>
      </x:bottom>
    </x:border>
    <x:border>
      <x:bottom style="thin">
        <x:color rgb="FFD9E1F2"/>
      </x:bottom>
    </x:border>
    <x:border>
      <x:right style="thin">
        <x:color rgb="FFD9E1F2"/>
      </x:right>
      <x:bottom style="thin">
        <x:color rgb="FFD9E1F2"/>
      </x:bottom>
    </x:border>
  </x:borders>
  <x:cellStyleXfs count="1">
    <x:xf numFmtId="0" fontId="0" fillId="0" borderId="0"/>
  </x:cellStyleXfs>
  <x:cellXfs count="6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0" fillId="6" borderId="0" xfId="0" applyNumberFormat="1" applyFont="1" applyFill="1" applyBorder="1"/>
    <x:xf numFmtId="0" fontId="0" fillId="6" borderId="2" xfId="0" applyNumberFormat="1" applyFont="1" applyFill="1" applyBorder="1"/>
    <x:xf numFmtId="0" fontId="0" fillId="6" borderId="3" xfId="0" applyNumberFormat="1" applyFont="1" applyFill="1" applyBorder="1"/>
    <x:xf numFmtId="0" fontId="0" fillId="6" borderId="4" xfId="0" applyNumberFormat="1" applyFont="1" applyFill="1" applyBorder="1"/>
    <x:xf numFmtId="0" fontId="0" fillId="6" borderId="5"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0" fillId="6" borderId="2" xfId="0" applyNumberFormat="1" applyFont="1" applyFill="1" applyBorder="1" applyAlignment="1">
      <x:alignment wrapText="1"/>
    </x:xf>
    <x:xf numFmtId="0" fontId="0" fillId="6" borderId="3" xfId="0" applyNumberFormat="1" applyFont="1" applyFill="1" applyBorder="1" applyAlignment="1">
      <x:alignment wrapText="1"/>
    </x:xf>
    <x:xf numFmtId="0" fontId="0" fillId="6" borderId="4"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6"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2" xfId="0" applyNumberFormat="1" applyFont="1" applyFill="1" applyBorder="1" applyAlignment="1">
      <x:alignment vertical="top" wrapText="1"/>
    </x:xf>
    <x:xf numFmtId="0" fontId="0" fillId="6" borderId="3"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6" borderId="5"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6" xfId="0" applyNumberFormat="1" applyFont="1" applyFill="1" applyBorder="1" applyAlignment="1">
      <x:alignment vertical="top" wrapText="1"/>
    </x:xf>
    <x:xf numFmtId="0" fontId="0" fillId="6" borderId="7"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5" fillId="2" borderId="0" xfId="0" applyNumberFormat="1" applyFont="1" applyFill="1" applyBorder="1"/>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vertical="center" wrapText="1"/>
    </x:xf>
    <x:xf numFmtId="200" fontId="3" fillId="0" borderId="1" xfId="0" applyNumberFormat="1" applyFont="1" applyFill="1" applyBorder="1" applyAlignment="1">
      <x:alignment vertical="top" wrapText="1"/>
    </x:xf>
    <x:xf numFmtId="0" fontId="0"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200" fontId="6" fillId="0" borderId="1" xfId="0" applyNumberFormat="1" applyFont="1" applyFill="1" applyBorder="1" applyAlignment="1">
      <x:alignment vertical="top" wrapText="1"/>
    </x:xf>
    <x:xf numFmtId="200" fontId="3" fillId="7" borderId="1" xfId="0" applyNumberFormat="1" applyFont="1" applyFill="1" applyBorder="1" applyAlignment="1">
      <x:alignment vertical="top" wrapText="1"/>
    </x:xf>
    <x:xf numFmtId="0" fontId="2" fillId="3" borderId="0" xfId="0" applyNumberFormat="1" applyFont="1" applyFill="1" applyBorder="1" applyAlignment="1">
      <x:alignment wrapText="1"/>
    </x:xf>
    <x:xf numFmtId="201" fontId="3" fillId="7" borderId="1" xfId="0" applyNumberFormat="1" applyFont="1" applyFill="1" applyBorder="1" applyAlignment="1">
      <x:alignment vertical="top" wrapText="1"/>
    </x:xf>
  </x:cellXfs>
  <x:cellStyles count="1">
    <x:cellStyle name="Normal" xfId="0"/>
  </x:cellStyles>
  <x:dxfs count="4">
    <x:dxf>
      <x:font>
        <x:b/>
        <x:color rgb="FF006100"/>
      </x:font>
      <x:fill>
        <x:patternFill patternType="solid">
          <x:bgColor rgb="FFE2F0D9"/>
        </x:patternFill>
      </x:fill>
    </x:dxf>
    <x:dxf>
      <x:font>
        <x:b/>
        <x:color rgb="FF9C0006"/>
      </x:font>
      <x:fill>
        <x:patternFill patternType="solid">
          <x:bgColor rgb="FFFCE4D6"/>
        </x:patternFill>
      </x:fill>
    </x:dxf>
    <x:dxf>
      <x:font>
        <x:b/>
        <x:color rgb="FF006100"/>
      </x:font>
      <x:fill>
        <x:patternFill patternType="solid">
          <x:bgColor rgb="FFE2F0D9"/>
        </x:patternFill>
      </x:fill>
    </x:dxf>
    <x:dxf>
      <x:font>
        <x:b/>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d5b40f3911414a" /><Relationship Type="http://schemas.openxmlformats.org/officeDocument/2006/relationships/theme" Target="/xl/theme/theme1.xml" Id="Raf070b8546674d0e" /><Relationship Type="http://schemas.openxmlformats.org/officeDocument/2006/relationships/sharedStrings" Target="/xl/sharedStrings.xml" Id="R1467c344e13749f7" /><Relationship Type="http://schemas.openxmlformats.org/officeDocument/2006/relationships/worksheet" Target="/xl/worksheets/sheet1.xml" Id="R124c92310b244b0c" /><Relationship Type="http://schemas.openxmlformats.org/officeDocument/2006/relationships/worksheet" Target="/xl/worksheets/sheet2.xml" Id="Rff17dd121b254541" /><Relationship Type="http://schemas.openxmlformats.org/officeDocument/2006/relationships/worksheet" Target="/xl/worksheets/sheet3.xml" Id="R9689b013c9b244f3" /><Relationship Type="http://schemas.openxmlformats.org/officeDocument/2006/relationships/worksheet" Target="/xl/worksheets/sheet4.xml" Id="R9ebbf70dd80d4a0b" /><Relationship Type="http://schemas.openxmlformats.org/officeDocument/2006/relationships/worksheet" Target="/xl/worksheets/sheet5.xml" Id="R2c49988b2cb74b54" /><Relationship Type="http://schemas.openxmlformats.org/officeDocument/2006/relationships/worksheet" Target="/xl/worksheets/sheet6.xml" Id="Rc866017c442b428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46" hidden="0" customWidth="1"/>
    <x:col min="3" max="3" width="18" hidden="0" customWidth="1"/>
    <x:col min="4" max="4" width="28" hidden="0" customWidth="1"/>
    <x:col min="5" max="5" width="15" hidden="0" customWidth="1"/>
    <x:col min="6" max="6" width="15" hidden="0" customWidth="1"/>
    <x:col min="7" max="7" width="15" hidden="0" customWidth="1"/>
    <x:col min="8" max="8" width="15" hidden="0" customWidth="1"/>
  </x:cols>
  <x:sheetData>
    <x:row r="1" ht="18" customHeight="1">
      <x:c r="A1" s="3" t="str">
        <x:v>ABNB Point-in-Time Consensus &amp; Price Request</x:v>
      </x:c>
    </x:row>
    <x:row r="2" ht="18" customHeight="1"/>
    <x:row r="3" ht="18" customHeight="1"/>
    <x:row r="4" ht="30" customHeight="1">
      <x:c r="A4" s="7" t="str">
        <x:v>Issuer</x:v>
      </x:c>
      <x:c r="B4" s="11" t="str">
        <x:v>Airbnb, Inc.</x:v>
      </x:c>
    </x:row>
    <x:row r="5" ht="30" customHeight="1">
      <x:c r="A5" s="7" t="str">
        <x:v>Security</x:v>
      </x:c>
      <x:c r="B5" s="11" t="str">
        <x:v>ABNB US Equity</x:v>
      </x:c>
    </x:row>
    <x:row r="6" ht="30" customHeight="1">
      <x:c r="A6" s="7" t="str">
        <x:v>Purpose</x:v>
      </x:c>
      <x:c r="B6" s="11" t="str">
        <x:v>Populate point-in-time expectations that were observable strictly before each management guidance event.</x:v>
      </x:c>
    </x:row>
    <x:row r="7" ht="30" customHeight="1">
      <x:c r="A7" s="7" t="str">
        <x:v>Research cutoff</x:v>
      </x:c>
      <x:c r="B7" s="11" t="str">
        <x:v>2026-09-02 23:59:59 America/New_York</x:v>
      </x:c>
    </x:row>
    <x:row r="8" ht="30" customHeight="1">
      <x:c r="A8" s="7" t="str">
        <x:v>Currency / units</x:v>
      </x:c>
      <x:c r="B8" s="11" t="str">
        <x:v>USD millions unless the requested metric states otherwise</x:v>
      </x:c>
    </x:row>
    <x:row r="9" ht="30" customHeight="1">
      <x:c r="A9" s="7" t="str">
        <x:v>Execution status</x:v>
      </x:c>
      <x:c r="B9" s="13" t="str">
        <x:v>NOT EXECUTED — USER APPROVAL REQUIRED</x:v>
      </x:c>
    </x:row>
    <x:row r="10" ht="30" customHeight="1">
      <x:c r="A10" s="7" t="str">
        <x:v>Leakage rule</x:v>
      </x:c>
      <x:c r="B10" s="11" t="str">
        <x:v>Never substitute current/latest consensus for a historical pre-event snapshot.</x:v>
      </x:c>
    </x:row>
    <x:row r="11" ht="30" customHeight="1">
      <x:c r="A11" s="7" t="str">
        <x:v>Return instruction</x:v>
      </x:c>
      <x:c r="B11" s="11" t="str">
        <x:v>Return the completed workbook plus the raw Bloomberg export; retain as-of timestamps, field names, overrides, currency, period labels, and analyst counts.</x:v>
      </x:c>
    </x:row>
    <x:row r="12" ht="18" customHeight="1"/>
    <x:row r="13" ht="18" customHeight="1">
      <x:c r="A13" s="16" t="str">
        <x:v>Instructions to the Bloomberg operator</x:v>
      </x:c>
    </x:row>
    <x:row r="14" ht="22" customHeight="1">
      <x:c r="A14" s="35" t="str">
        <x:v>1. Use a point-in-time Bloomberg estimate history function or BQL workflow, not the current BEST snapshot.
2. For each event, select the latest consensus snapshot timestamp strictly earlier than Event timestamp UTC. Preferred snapshot is the prior U.S. market close; also return the closest eligible intraday snapshot if Bloomberg stores one.
3. Map the estimate to the explicitly listed target fiscal quarter. Do not infer period offset from today's date.
4. Return mean, median, high, low, analyst count, currency, snapshot timestamp, fiscal-period label, Bloomberg field/mnemonic, and every override used.
5. Leave unavailable values blank and explain the reason. Never backfill from a later snapshot.
6. Do not run this paid-terminal request until the user separately authorizes Bloomberg extraction.</x:v>
      </x:c>
      <x:c r="B14" s="36"/>
      <x:c r="C14" s="36"/>
      <x:c r="D14" s="36"/>
      <x:c r="E14" s="36"/>
      <x:c r="F14" s="36"/>
      <x:c r="G14" s="36"/>
      <x:c r="H14" s="37"/>
    </x:row>
    <x:row r="15" ht="22" customHeight="1">
      <x:c r="A15" s="38"/>
      <x:c r="B15" s="39"/>
      <x:c r="C15" s="39"/>
      <x:c r="D15" s="39"/>
      <x:c r="E15" s="39"/>
      <x:c r="F15" s="39"/>
      <x:c r="G15" s="39"/>
      <x:c r="H15" s="40"/>
    </x:row>
    <x:row r="16" ht="22" customHeight="1">
      <x:c r="A16" s="38"/>
      <x:c r="B16" s="39"/>
      <x:c r="C16" s="39"/>
      <x:c r="D16" s="39"/>
      <x:c r="E16" s="39"/>
      <x:c r="F16" s="39"/>
      <x:c r="G16" s="39"/>
      <x:c r="H16" s="40"/>
    </x:row>
    <x:row r="17" ht="22" customHeight="1">
      <x:c r="A17" s="38"/>
      <x:c r="B17" s="39"/>
      <x:c r="C17" s="39"/>
      <x:c r="D17" s="39"/>
      <x:c r="E17" s="39"/>
      <x:c r="F17" s="39"/>
      <x:c r="G17" s="39"/>
      <x:c r="H17" s="40"/>
    </x:row>
    <x:row r="18" ht="22" customHeight="1">
      <x:c r="A18" s="38"/>
      <x:c r="B18" s="39"/>
      <x:c r="C18" s="39"/>
      <x:c r="D18" s="39"/>
      <x:c r="E18" s="39"/>
      <x:c r="F18" s="39"/>
      <x:c r="G18" s="39"/>
      <x:c r="H18" s="40"/>
    </x:row>
    <x:row r="19" ht="22" customHeight="1">
      <x:c r="A19" s="38"/>
      <x:c r="B19" s="39"/>
      <x:c r="C19" s="39"/>
      <x:c r="D19" s="39"/>
      <x:c r="E19" s="39"/>
      <x:c r="F19" s="39"/>
      <x:c r="G19" s="39"/>
      <x:c r="H19" s="40"/>
    </x:row>
    <x:row r="20" ht="22" customHeight="1">
      <x:c r="A20" s="41"/>
      <x:c r="B20" s="42"/>
      <x:c r="C20" s="42"/>
      <x:c r="D20" s="42"/>
      <x:c r="E20" s="42"/>
      <x:c r="F20" s="42"/>
      <x:c r="G20" s="42"/>
      <x:c r="H20" s="43"/>
    </x:row>
    <x:row r="21" ht="18" customHeight="1"/>
    <x:row r="22" ht="18" customHeight="1">
      <x:c r="A22" s="16" t="str">
        <x:v>Color legend</x:v>
      </x:c>
    </x:row>
    <x:row r="23" ht="18" customHeight="1">
      <x:c r="A23" s="44" t="str">
        <x:v>Blue font</x:v>
      </x:c>
      <x:c r="B23" s="11" t="str">
        <x:v>Operator-entered request settings</x:v>
      </x:c>
      <x:c r="C23" s="46" t="str">
        <x:v>Yellow fill</x:v>
      </x:c>
      <x:c r="D23" s="11" t="str">
        <x:v>Returned values still needed</x:v>
      </x:c>
    </x:row>
    <x:row r="24" ht="18" customHeight="1">
      <x:c r="A24" s="45" t="str">
        <x:v>Green font</x:v>
      </x:c>
      <x:c r="B24" s="11" t="str">
        <x:v>Internal workbook link/formula</x:v>
      </x:c>
      <x:c r="C24" s="12" t="str">
        <x:v>Red fill</x:v>
      </x:c>
      <x:c r="D24" s="11" t="str">
        <x:v>Approval or leakage warning</x:v>
      </x:c>
    </x:row>
    <x:row r="25" ht="18" customHeight="1">
      <x:c r="A25" s="11" t="str">
        <x:v>Black font</x:v>
      </x:c>
      <x:c r="B25" s="11" t="str">
        <x:v>Static metadata/calculation</x:v>
      </x:c>
      <x:c r="C25" s="47" t="str">
        <x:v>Green fill</x:v>
      </x:c>
      <x:c r="D25" s="11" t="str">
        <x:v>Completed check</x:v>
      </x:c>
    </x:row>
  </x:sheetData>
  <x:mergeCells>
    <x:mergeCell ref="A1:H2"/>
    <x:mergeCell ref="A13:H13"/>
    <x:mergeCell ref="A14:H20"/>
    <x:mergeCell ref="A22:D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24" hidden="0" customWidth="1"/>
    <x:col min="4" max="4" width="15" hidden="0" customWidth="1"/>
    <x:col min="5" max="5" width="15" hidden="0" customWidth="1"/>
    <x:col min="6" max="6" width="15" hidden="0" customWidth="1"/>
    <x:col min="7" max="7" width="34" hidden="0" customWidth="1"/>
    <x:col min="8" max="8" width="62" hidden="0" customWidth="1"/>
  </x:cols>
  <x:sheetData>
    <x:row r="1" ht="24" customHeight="1">
      <x:c r="A1" s="3" t="str">
        <x:v>Guidance Event Clock — Official Public Sources</x:v>
      </x:c>
    </x:row>
    <x:row r="2" ht="24" customHeight="1"/>
    <x:row r="4">
      <x:c r="A4" s="51" t="str">
        <x:v>Event ID</x:v>
      </x:c>
      <x:c r="B4" s="51" t="str">
        <x:v>Reported quarter</x:v>
      </x:c>
      <x:c r="C4" s="51" t="str">
        <x:v>Event timestamp UTC</x:v>
      </x:c>
      <x:c r="D4" s="51" t="str">
        <x:v>Release timing</x:v>
      </x:c>
      <x:c r="E4" s="51" t="str">
        <x:v>Target quarter</x:v>
      </x:c>
      <x:c r="F4" s="51" t="str">
        <x:v>Guide type</x:v>
      </x:c>
      <x:c r="G4" s="51" t="str">
        <x:v>Official source ID</x:v>
      </x:c>
      <x:c r="H4" s="51" t="str">
        <x:v>Official SEC URL</x:v>
      </x:c>
    </x:row>
    <x:row r="5">
      <x:c r="A5" s="11" t="str">
        <x:v>ABNB-2020Q4-INITIAL</x:v>
      </x:c>
      <x:c r="B5" s="11" t="str">
        <x:v>2020Q4</x:v>
      </x:c>
      <x:c r="C5" s="52" t="n">
        <x:v>44252.916666666664</x:v>
      </x:c>
      <x:c r="D5" s="11" t="str">
        <x:v>after_close</x:v>
      </x:c>
      <x:c r="E5" s="11" t="str">
        <x:v>2021Q1</x:v>
      </x:c>
      <x:c r="F5" s="11" t="str">
        <x:v>qualitative</x:v>
      </x:c>
      <x:c r="G5" s="11" t="str">
        <x:v>ABNB-2020Q4-SHAREHOLDER-LETTER</x:v>
      </x:c>
      <x:c r="H5" s="45" t="str">
        <x:v>https://www.sec.gov/Archives/edgar/data/1559720/000119312521056952/d147144dex991.htm</x:v>
      </x:c>
    </x:row>
    <x:row r="6">
      <x:c r="A6" s="11" t="str">
        <x:v>ABNB-2021Q1-INITIAL</x:v>
      </x:c>
      <x:c r="B6" s="11" t="str">
        <x:v>2021Q1</x:v>
      </x:c>
      <x:c r="C6" s="52" t="n">
        <x:v>44329.875</x:v>
      </x:c>
      <x:c r="D6" s="11" t="str">
        <x:v>after_close</x:v>
      </x:c>
      <x:c r="E6" s="11" t="str">
        <x:v>2021Q2</x:v>
      </x:c>
      <x:c r="F6" s="11" t="str">
        <x:v>qualitative</x:v>
      </x:c>
      <x:c r="G6" s="11" t="str">
        <x:v>ABNB-2021Q1-SHAREHOLDER-LETTER</x:v>
      </x:c>
      <x:c r="H6" s="45" t="str">
        <x:v>https://www.sec.gov/Archives/edgar/data/1559720/000119312521160458/d476842dex991.htm</x:v>
      </x:c>
    </x:row>
    <x:row r="7">
      <x:c r="A7" s="11" t="str">
        <x:v>ABNB-2021Q2-INITIAL</x:v>
      </x:c>
      <x:c r="B7" s="11" t="str">
        <x:v>2021Q2</x:v>
      </x:c>
      <x:c r="C7" s="52" t="n">
        <x:v>44420.875</x:v>
      </x:c>
      <x:c r="D7" s="11" t="str">
        <x:v>after_close</x:v>
      </x:c>
      <x:c r="E7" s="11" t="str">
        <x:v>2021Q3</x:v>
      </x:c>
      <x:c r="F7" s="11" t="str">
        <x:v>qualitative</x:v>
      </x:c>
      <x:c r="G7" s="11" t="str">
        <x:v>ABNB-2021Q2-SHAREHOLDER-LETTER</x:v>
      </x:c>
      <x:c r="H7" s="45" t="str">
        <x:v>https://www.sec.gov/Archives/edgar/data/1559720/000119312521244643/d212971dex991.htm</x:v>
      </x:c>
    </x:row>
    <x:row r="8">
      <x:c r="A8" s="11" t="str">
        <x:v>ABNB-2021Q3-INITIAL</x:v>
      </x:c>
      <x:c r="B8" s="11" t="str">
        <x:v>2021Q3</x:v>
      </x:c>
      <x:c r="C8" s="52" t="n">
        <x:v>44504.895833333336</x:v>
      </x:c>
      <x:c r="D8" s="11" t="str">
        <x:v>after_close</x:v>
      </x:c>
      <x:c r="E8" s="11" t="str">
        <x:v>2021Q4</x:v>
      </x:c>
      <x:c r="F8" s="11" t="str">
        <x:v>absolute_range</x:v>
      </x:c>
      <x:c r="G8" s="11" t="str">
        <x:v>ABNB-2021Q3-SHAREHOLDER-LETTER</x:v>
      </x:c>
      <x:c r="H8" s="45" t="str">
        <x:v>https://www.sec.gov/Archives/edgar/data/1559720/000119312521320113/d245727dex991.htm</x:v>
      </x:c>
    </x:row>
    <x:row r="9">
      <x:c r="A9" s="11" t="str">
        <x:v>ABNB-2021Q4-INITIAL</x:v>
      </x:c>
      <x:c r="B9" s="11" t="str">
        <x:v>2021Q4</x:v>
      </x:c>
      <x:c r="C9" s="52" t="n">
        <x:v>44607.895833333336</x:v>
      </x:c>
      <x:c r="D9" s="11" t="str">
        <x:v>after_close</x:v>
      </x:c>
      <x:c r="E9" s="11" t="str">
        <x:v>2022Q1</x:v>
      </x:c>
      <x:c r="F9" s="11" t="str">
        <x:v>absolute_range</x:v>
      </x:c>
      <x:c r="G9" s="11" t="str">
        <x:v>ABNB-2021Q4-SHAREHOLDER-LETTER</x:v>
      </x:c>
      <x:c r="H9" s="45" t="str">
        <x:v>https://www.sec.gov/Archives/edgar/data/1559720/000119312522043371/d251410dex991.htm</x:v>
      </x:c>
    </x:row>
    <x:row r="10">
      <x:c r="A10" s="11" t="str">
        <x:v>ABNB-2022Q1-INITIAL</x:v>
      </x:c>
      <x:c r="B10" s="11" t="str">
        <x:v>2022Q1</x:v>
      </x:c>
      <x:c r="C10" s="52" t="n">
        <x:v>44684.895833333336</x:v>
      </x:c>
      <x:c r="D10" s="11" t="str">
        <x:v>after_close</x:v>
      </x:c>
      <x:c r="E10" s="11" t="str">
        <x:v>2022Q2</x:v>
      </x:c>
      <x:c r="F10" s="11" t="str">
        <x:v>absolute_range</x:v>
      </x:c>
      <x:c r="G10" s="11" t="str">
        <x:v>ABNB-2022Q1-SHAREHOLDER-LETTER</x:v>
      </x:c>
      <x:c r="H10" s="45" t="str">
        <x:v>https://www.sec.gov/Archives/edgar/data/1559720/000119312522138654/d711122dex991.htm</x:v>
      </x:c>
    </x:row>
    <x:row r="11">
      <x:c r="A11" s="11" t="str">
        <x:v>ABNB-2022Q2-INITIAL</x:v>
      </x:c>
      <x:c r="B11" s="11" t="str">
        <x:v>2022Q2</x:v>
      </x:c>
      <x:c r="C11" s="52" t="n">
        <x:v>44775.854166666664</x:v>
      </x:c>
      <x:c r="D11" s="11" t="str">
        <x:v>after_close</x:v>
      </x:c>
      <x:c r="E11" s="11" t="str">
        <x:v>2022Q3</x:v>
      </x:c>
      <x:c r="F11" s="11" t="str">
        <x:v>absolute_range</x:v>
      </x:c>
      <x:c r="G11" s="11" t="str">
        <x:v>ABNB-2022Q2-SHAREHOLDER-LETTER</x:v>
      </x:c>
      <x:c r="H11" s="45" t="str">
        <x:v>https://www.sec.gov/Archives/edgar/data/1559720/000119312522210001/d353427dex991.htm</x:v>
      </x:c>
    </x:row>
    <x:row r="12">
      <x:c r="A12" s="11" t="str">
        <x:v>ABNB-2022Q3-INITIAL</x:v>
      </x:c>
      <x:c r="B12" s="11" t="str">
        <x:v>2022Q3</x:v>
      </x:c>
      <x:c r="C12" s="52" t="n">
        <x:v>44866.854166666664</x:v>
      </x:c>
      <x:c r="D12" s="11" t="str">
        <x:v>after_close</x:v>
      </x:c>
      <x:c r="E12" s="11" t="str">
        <x:v>2022Q4</x:v>
      </x:c>
      <x:c r="F12" s="11" t="str">
        <x:v>absolute_range</x:v>
      </x:c>
      <x:c r="G12" s="11" t="str">
        <x:v>ABNB-2022Q3-SHAREHOLDER-LETTER</x:v>
      </x:c>
      <x:c r="H12" s="45" t="str">
        <x:v>https://www.sec.gov/Archives/edgar/data/1559720/000119312522274904/d408297dex991.htm</x:v>
      </x:c>
    </x:row>
    <x:row r="13">
      <x:c r="A13" s="11" t="str">
        <x:v>ABNB-2022Q4-INITIAL</x:v>
      </x:c>
      <x:c r="B13" s="11" t="str">
        <x:v>2022Q4</x:v>
      </x:c>
      <x:c r="C13" s="52" t="n">
        <x:v>44971.895833333336</x:v>
      </x:c>
      <x:c r="D13" s="11" t="str">
        <x:v>after_close</x:v>
      </x:c>
      <x:c r="E13" s="11" t="str">
        <x:v>2023Q1</x:v>
      </x:c>
      <x:c r="F13" s="11" t="str">
        <x:v>absolute_range</x:v>
      </x:c>
      <x:c r="G13" s="11" t="str">
        <x:v>ABNB-2022Q4-SHAREHOLDER-LETTER</x:v>
      </x:c>
      <x:c r="H13" s="45" t="str">
        <x:v>https://www.sec.gov/Archives/edgar/data/1559720/000119312523039008/d451233dex991.htm</x:v>
      </x:c>
    </x:row>
    <x:row r="14">
      <x:c r="A14" s="11" t="str">
        <x:v>ABNB-2023Q1-INITIAL</x:v>
      </x:c>
      <x:c r="B14" s="11" t="str">
        <x:v>2023Q1</x:v>
      </x:c>
      <x:c r="C14" s="52" t="n">
        <x:v>45055.854166666664</x:v>
      </x:c>
      <x:c r="D14" s="11" t="str">
        <x:v>after_close</x:v>
      </x:c>
      <x:c r="E14" s="11" t="str">
        <x:v>2023Q2</x:v>
      </x:c>
      <x:c r="F14" s="11" t="str">
        <x:v>absolute_range</x:v>
      </x:c>
      <x:c r="G14" s="11" t="str">
        <x:v>ABNB-2023Q1-SHAREHOLDER-LETTER</x:v>
      </x:c>
      <x:c r="H14" s="45" t="str">
        <x:v>https://www.sec.gov/Archives/edgar/data/1559720/000119312523139392/d453262dex991.htm</x:v>
      </x:c>
    </x:row>
    <x:row r="15">
      <x:c r="A15" s="11" t="str">
        <x:v>ABNB-2023Q2-INITIAL</x:v>
      </x:c>
      <x:c r="B15" s="11" t="str">
        <x:v>2023Q2</x:v>
      </x:c>
      <x:c r="C15" s="52" t="n">
        <x:v>45141.854166666664</x:v>
      </x:c>
      <x:c r="D15" s="11" t="str">
        <x:v>after_close</x:v>
      </x:c>
      <x:c r="E15" s="11" t="str">
        <x:v>2023Q3</x:v>
      </x:c>
      <x:c r="F15" s="11" t="str">
        <x:v>absolute_range</x:v>
      </x:c>
      <x:c r="G15" s="11" t="str">
        <x:v>ABNB-2023Q2-SHAREHOLDER-LETTER</x:v>
      </x:c>
      <x:c r="H15" s="45" t="str">
        <x:v>https://www.sec.gov/Archives/edgar/data/1559720/000119312523202832/d446942dex991.htm</x:v>
      </x:c>
    </x:row>
    <x:row r="16">
      <x:c r="A16" s="11" t="str">
        <x:v>ABNB-2023Q3-INITIAL</x:v>
      </x:c>
      <x:c r="B16" s="11" t="str">
        <x:v>2023Q3</x:v>
      </x:c>
      <x:c r="C16" s="52" t="n">
        <x:v>45231.854166666664</x:v>
      </x:c>
      <x:c r="D16" s="11" t="str">
        <x:v>after_close</x:v>
      </x:c>
      <x:c r="E16" s="11" t="str">
        <x:v>2023Q4</x:v>
      </x:c>
      <x:c r="F16" s="11" t="str">
        <x:v>absolute_range</x:v>
      </x:c>
      <x:c r="G16" s="11" t="str">
        <x:v>ABNB-2023Q3-SHAREHOLDER-LETTER</x:v>
      </x:c>
      <x:c r="H16" s="45" t="str">
        <x:v>https://www.sec.gov/Archives/edgar/data/1559720/000119312523268164/d481318dex991.htm</x:v>
      </x:c>
    </x:row>
    <x:row r="17">
      <x:c r="A17" s="11" t="str">
        <x:v>ABNB-2023Q4-INITIAL</x:v>
      </x:c>
      <x:c r="B17" s="11" t="str">
        <x:v>2023Q4</x:v>
      </x:c>
      <x:c r="C17" s="52" t="n">
        <x:v>45335.895833333336</x:v>
      </x:c>
      <x:c r="D17" s="11" t="str">
        <x:v>after_close</x:v>
      </x:c>
      <x:c r="E17" s="11" t="str">
        <x:v>2024Q1</x:v>
      </x:c>
      <x:c r="F17" s="11" t="str">
        <x:v>absolute_range</x:v>
      </x:c>
      <x:c r="G17" s="11" t="str">
        <x:v>ABNB-2023Q4-SHAREHOLDER-LETTER</x:v>
      </x:c>
      <x:c r="H17" s="45" t="str">
        <x:v>https://www.sec.gov/Archives/edgar/data/1559720/000119312524033706/d646462dex991.htm</x:v>
      </x:c>
    </x:row>
    <x:row r="18">
      <x:c r="A18" s="11" t="str">
        <x:v>ABNB-2024Q1-INITIAL</x:v>
      </x:c>
      <x:c r="B18" s="11" t="str">
        <x:v>2024Q1</x:v>
      </x:c>
      <x:c r="C18" s="52" t="n">
        <x:v>45420.854166666664</x:v>
      </x:c>
      <x:c r="D18" s="11" t="str">
        <x:v>after_close</x:v>
      </x:c>
      <x:c r="E18" s="11" t="str">
        <x:v>2024Q2</x:v>
      </x:c>
      <x:c r="F18" s="11" t="str">
        <x:v>absolute_range</x:v>
      </x:c>
      <x:c r="G18" s="11" t="str">
        <x:v>ABNB-2024Q1-SHAREHOLDER-LETTER</x:v>
      </x:c>
      <x:c r="H18" s="45" t="str">
        <x:v>https://www.sec.gov/Archives/edgar/data/1559720/000119312524134183/d813800dex991.htm</x:v>
      </x:c>
    </x:row>
    <x:row r="19">
      <x:c r="A19" s="11" t="str">
        <x:v>ABNB-2024Q2-INITIAL</x:v>
      </x:c>
      <x:c r="B19" s="11" t="str">
        <x:v>2024Q2</x:v>
      </x:c>
      <x:c r="C19" s="52" t="n">
        <x:v>45510.854166666664</x:v>
      </x:c>
      <x:c r="D19" s="11" t="str">
        <x:v>after_close</x:v>
      </x:c>
      <x:c r="E19" s="11" t="str">
        <x:v>2024Q3</x:v>
      </x:c>
      <x:c r="F19" s="11" t="str">
        <x:v>absolute_range</x:v>
      </x:c>
      <x:c r="G19" s="11" t="str">
        <x:v>ABNB-2024Q2-SHAREHOLDER-LETTER</x:v>
      </x:c>
      <x:c r="H19" s="45" t="str">
        <x:v>https://www.sec.gov/Archives/edgar/data/1559720/000119312524194849/d831385dex991.htm</x:v>
      </x:c>
    </x:row>
    <x:row r="20">
      <x:c r="A20" s="11" t="str">
        <x:v>ABNB-2024Q3-INITIAL</x:v>
      </x:c>
      <x:c r="B20" s="11" t="str">
        <x:v>2024Q3</x:v>
      </x:c>
      <x:c r="C20" s="52" t="n">
        <x:v>45603.895833333336</x:v>
      </x:c>
      <x:c r="D20" s="11" t="str">
        <x:v>after_close</x:v>
      </x:c>
      <x:c r="E20" s="11" t="str">
        <x:v>2024Q4</x:v>
      </x:c>
      <x:c r="F20" s="11" t="str">
        <x:v>absolute_range</x:v>
      </x:c>
      <x:c r="G20" s="11" t="str">
        <x:v>ABNB-2024Q3-SHAREHOLDER-LETTER</x:v>
      </x:c>
      <x:c r="H20" s="45" t="str">
        <x:v>https://www.sec.gov/Archives/edgar/data/1559720/000119312524253103/d886752dex991.htm</x:v>
      </x:c>
    </x:row>
    <x:row r="21">
      <x:c r="A21" s="11" t="str">
        <x:v>ABNB-2024Q4-INITIAL</x:v>
      </x:c>
      <x:c r="B21" s="11" t="str">
        <x:v>2024Q4</x:v>
      </x:c>
      <x:c r="C21" s="52" t="n">
        <x:v>45701.895833333336</x:v>
      </x:c>
      <x:c r="D21" s="11" t="str">
        <x:v>after_close</x:v>
      </x:c>
      <x:c r="E21" s="11" t="str">
        <x:v>2025Q1</x:v>
      </x:c>
      <x:c r="F21" s="11" t="str">
        <x:v>absolute_range</x:v>
      </x:c>
      <x:c r="G21" s="11" t="str">
        <x:v>ABNB-2024Q4-SHAREHOLDER-LETTER</x:v>
      </x:c>
      <x:c r="H21" s="45" t="str">
        <x:v>https://www.sec.gov/Archives/edgar/data/1559720/000119312525026054/d915198dex991.htm</x:v>
      </x:c>
    </x:row>
    <x:row r="22">
      <x:c r="A22" s="11" t="str">
        <x:v>ABNB-2025Q1-INITIAL</x:v>
      </x:c>
      <x:c r="B22" s="11" t="str">
        <x:v>2025Q1</x:v>
      </x:c>
      <x:c r="C22" s="52" t="n">
        <x:v>45778.854166666664</x:v>
      </x:c>
      <x:c r="D22" s="11" t="str">
        <x:v>after_close</x:v>
      </x:c>
      <x:c r="E22" s="11" t="str">
        <x:v>2025Q2</x:v>
      </x:c>
      <x:c r="F22" s="11" t="str">
        <x:v>absolute_range</x:v>
      </x:c>
      <x:c r="G22" s="11" t="str">
        <x:v>ABNB-2025Q1-SHAREHOLDER-LETTER</x:v>
      </x:c>
      <x:c r="H22" s="45" t="str">
        <x:v>https://www.sec.gov/Archives/edgar/data/1559720/000119312525109934/d40594dex991.htm</x:v>
      </x:c>
    </x:row>
    <x:row r="23">
      <x:c r="A23" s="11" t="str">
        <x:v>ABNB-2025Q2-INITIAL</x:v>
      </x:c>
      <x:c r="B23" s="11" t="str">
        <x:v>2025Q2</x:v>
      </x:c>
      <x:c r="C23" s="52" t="n">
        <x:v>45875.854166666664</x:v>
      </x:c>
      <x:c r="D23" s="11" t="str">
        <x:v>after_close</x:v>
      </x:c>
      <x:c r="E23" s="11" t="str">
        <x:v>2025Q3</x:v>
      </x:c>
      <x:c r="F23" s="11" t="str">
        <x:v>absolute_range</x:v>
      </x:c>
      <x:c r="G23" s="11" t="str">
        <x:v>ABNB-2025Q2-SHAREHOLDER-LETTER</x:v>
      </x:c>
      <x:c r="H23" s="45" t="str">
        <x:v>https://www.sec.gov/Archives/edgar/data/1559720/000119312525174438/d17531dex991.htm</x:v>
      </x:c>
    </x:row>
    <x:row r="24">
      <x:c r="A24" s="11" t="str">
        <x:v>ABNB-2025Q3-INITIAL</x:v>
      </x:c>
      <x:c r="B24" s="11" t="str">
        <x:v>2025Q3</x:v>
      </x:c>
      <x:c r="C24" s="52" t="n">
        <x:v>45967.895833333336</x:v>
      </x:c>
      <x:c r="D24" s="11" t="str">
        <x:v>after_close</x:v>
      </x:c>
      <x:c r="E24" s="11" t="str">
        <x:v>2025Q4</x:v>
      </x:c>
      <x:c r="F24" s="11" t="str">
        <x:v>absolute_range</x:v>
      </x:c>
      <x:c r="G24" s="11" t="str">
        <x:v>ABNB-2025Q3-SHAREHOLDER-LETTER</x:v>
      </x:c>
      <x:c r="H24" s="45" t="str">
        <x:v>https://www.sec.gov/Archives/edgar/data/1559720/000119312525269432/d40503dex991.htm</x:v>
      </x:c>
    </x:row>
    <x:row r="25">
      <x:c r="A25" s="11" t="str">
        <x:v>ABNB-2025Q4-INITIAL</x:v>
      </x:c>
      <x:c r="B25" s="11" t="str">
        <x:v>2025Q4</x:v>
      </x:c>
      <x:c r="C25" s="52" t="n">
        <x:v>46065.916666666664</x:v>
      </x:c>
      <x:c r="D25" s="11" t="str">
        <x:v>after_close</x:v>
      </x:c>
      <x:c r="E25" s="11" t="str">
        <x:v>2026Q1</x:v>
      </x:c>
      <x:c r="F25" s="11" t="str">
        <x:v>absolute_range</x:v>
      </x:c>
      <x:c r="G25" s="11" t="str">
        <x:v>ABNB-2025Q4-SHAREHOLDER-LETTER</x:v>
      </x:c>
      <x:c r="H25" s="45" t="str">
        <x:v>https://www.sec.gov/Archives/edgar/data/1559720/000119312526048670/d58192dex991.htm</x:v>
      </x:c>
    </x:row>
    <x:row r="26">
      <x:c r="A26" s="11" t="str">
        <x:v>ABNB-2026Q1-INITIAL</x:v>
      </x:c>
      <x:c r="B26" s="11" t="str">
        <x:v>2026Q1</x:v>
      </x:c>
      <x:c r="C26" s="52" t="n">
        <x:v>46149.875</x:v>
      </x:c>
      <x:c r="D26" s="11" t="str">
        <x:v>after_close</x:v>
      </x:c>
      <x:c r="E26" s="11" t="str">
        <x:v>2026Q2</x:v>
      </x:c>
      <x:c r="F26" s="11" t="str">
        <x:v>absolute_range</x:v>
      </x:c>
      <x:c r="G26" s="11" t="str">
        <x:v>ABNB-2026Q1-SHAREHOLDER-LETTER</x:v>
      </x:c>
      <x:c r="H26" s="45" t="str">
        <x:v>https://www.sec.gov/Archives/edgar/data/1559720/000119312526211816/d23351dex991.htm</x:v>
      </x:c>
    </x:row>
    <x:row r="27">
      <x:c r="A27" s="11" t="str">
        <x:v>ABNB-2026Q2-INITIAL</x:v>
      </x:c>
      <x:c r="B27" s="11" t="str">
        <x:v>2026Q2</x:v>
      </x:c>
      <x:c r="C27" s="52" t="n">
        <x:v>46240.875</x:v>
      </x:c>
      <x:c r="D27" s="11" t="str">
        <x:v>after_close</x:v>
      </x:c>
      <x:c r="E27" s="11" t="str">
        <x:v>2026Q3</x:v>
      </x:c>
      <x:c r="F27" s="11" t="str">
        <x:v>absolute_range</x:v>
      </x:c>
      <x:c r="G27" s="11" t="str">
        <x:v>ABNB-2026Q2-SHAREHOLDER-LETTER</x:v>
      </x:c>
      <x:c r="H27" s="45" t="str">
        <x:v>https://www.sec.gov/Archives/edgar/data/1559720/000119312526337928/d70413dex991.htm</x:v>
      </x:c>
    </x:row>
  </x:sheetData>
  <x:mergeCells>
    <x:mergeCell ref="A1: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3" max="3" width="28" hidden="0" customWidth="1"/>
    <x:col min="8" max="8" width="28" hidden="0" customWidth="1"/>
    <x:col min="9" max="9" width="28" hidden="0" customWidth="1"/>
    <x:col min="10" max="10" width="28" hidden="0" customWidth="1"/>
    <x:col min="11" max="11" width="28" hidden="0" customWidth="1"/>
    <x:col min="16" max="16" width="28" hidden="0" customWidth="1"/>
    <x:col min="17" max="17" width="28" hidden="0" customWidth="1"/>
    <x:col min="19" max="19" width="28" hidden="0" customWidth="1"/>
    <x:col min="20" max="20" width="28" hidden="0" customWidth="1"/>
    <x:col min="21" max="21" width="28" hidden="0" customWidth="1"/>
    <x:col min="22" max="22" width="28" hidden="0" customWidth="1"/>
    <x:col min="4" max="4" width="20" hidden="0" customWidth="1"/>
    <x:col min="5" max="5" width="20" hidden="0" customWidth="1"/>
    <x:col min="6" max="6" width="20" hidden="0" customWidth="1"/>
    <x:col min="7" max="7" width="20" hidden="0" customWidth="1"/>
    <x:col min="12" max="12" width="20" hidden="0" customWidth="1"/>
    <x:col min="13" max="13" width="20" hidden="0" customWidth="1"/>
    <x:col min="14" max="14" width="20" hidden="0" customWidth="1"/>
    <x:col min="15" max="15" width="20" hidden="0" customWidth="1"/>
    <x:col min="18" max="18" width="20" hidden="0" customWidth="1"/>
  </x:cols>
  <x:sheetData>
    <x:row r="1" ht="24" customHeight="1">
      <x:c r="A1" s="3" t="str">
        <x:v>Revenue Consensus Snapshot Request — Five Statistics Per Guidance Event</x:v>
      </x:c>
    </x:row>
    <x:row r="2" ht="24" customHeight="1"/>
    <x:row r="3">
      <x:c r="A3" s="55" t="str">
        <x:v>Required object: latest eligible consensus snapshot strictly before the event timestamp. Preferred Bloomberg family: point-in-time BEST estimate history for Sales/Revenue. Current BEST_SALES without an as-of constraint is prohibited.</x:v>
      </x:c>
      <x:c r="B3" s="55"/>
      <x:c r="C3" s="55"/>
      <x:c r="D3" s="55"/>
      <x:c r="E3" s="55"/>
      <x:c r="F3" s="55"/>
      <x:c r="G3" s="55"/>
      <x:c r="H3" s="55"/>
      <x:c r="I3" s="55"/>
      <x:c r="J3" s="55"/>
      <x:c r="K3" s="55"/>
      <x:c r="L3" s="55"/>
      <x:c r="M3" s="55"/>
      <x:c r="N3" s="55"/>
      <x:c r="O3" s="55"/>
      <x:c r="P3" s="55"/>
      <x:c r="Q3" s="55"/>
      <x:c r="R3" s="55"/>
      <x:c r="S3" s="55"/>
      <x:c r="T3" s="55"/>
      <x:c r="U3" s="55"/>
      <x:c r="V3" s="55"/>
    </x:row>
    <x:row r="5">
      <x:c r="A5" s="51" t="str">
        <x:v>Request ID</x:v>
      </x:c>
      <x:c r="B5" s="51" t="str">
        <x:v>Security</x:v>
      </x:c>
      <x:c r="C5" s="51" t="str">
        <x:v>Event ID</x:v>
      </x:c>
      <x:c r="D5" s="51" t="str">
        <x:v>Event timestamp UTC</x:v>
      </x:c>
      <x:c r="E5" s="51" t="str">
        <x:v>Preferred snapshot rule</x:v>
      </x:c>
      <x:c r="F5" s="51" t="str">
        <x:v>Target fiscal quarter</x:v>
      </x:c>
      <x:c r="G5" s="51" t="str">
        <x:v>Metric</x:v>
      </x:c>
      <x:c r="H5" s="51" t="str">
        <x:v>Preferred field family</x:v>
      </x:c>
      <x:c r="I5" s="51" t="str">
        <x:v>Required statistic</x:v>
      </x:c>
      <x:c r="J5" s="51" t="str">
        <x:v>Required as-of condition</x:v>
      </x:c>
      <x:c r="K5" s="51" t="str">
        <x:v>Suggested period override</x:v>
      </x:c>
      <x:c r="L5" s="51" t="str">
        <x:v>Returned value</x:v>
      </x:c>
      <x:c r="M5" s="51" t="str">
        <x:v>Returned currency</x:v>
      </x:c>
      <x:c r="N5" s="51" t="str">
        <x:v>Returned snapshot UTC</x:v>
      </x:c>
      <x:c r="O5" s="51" t="str">
        <x:v>Returned fiscal period</x:v>
      </x:c>
      <x:c r="P5" s="51" t="str">
        <x:v>Returned field/mnemonic</x:v>
      </x:c>
      <x:c r="Q5" s="51" t="str">
        <x:v>Returned overrides</x:v>
      </x:c>
      <x:c r="R5" s="51" t="str">
        <x:v>Returned analyst count</x:v>
      </x:c>
      <x:c r="S5" s="51" t="str">
        <x:v>Source/workbook tab</x:v>
      </x:c>
      <x:c r="T5" s="51" t="str">
        <x:v>Availability status</x:v>
      </x:c>
      <x:c r="U5" s="51" t="str">
        <x:v>Operator notes</x:v>
      </x:c>
      <x:c r="V5" s="51" t="str">
        <x:v>Leakage check</x:v>
      </x:c>
    </x:row>
    <x:row r="6">
      <x:c r="A6" s="11" t="str">
        <x:v>ABNB-2020Q4-INITIAL-REVENUE-MEAN</x:v>
      </x:c>
      <x:c r="B6" s="44" t="str">
        <x:v>ABNB US Equity</x:v>
      </x:c>
      <x:c r="C6" s="44" t="str">
        <x:v>ABNB-2020Q4-INITIAL</x:v>
      </x:c>
      <x:c r="D6" s="56" t="n">
        <x:v>44252.916666666664</x:v>
      </x:c>
      <x:c r="E6" s="44" t="str">
        <x:v>Prior U.S. close; closest eligible intraday snapshot as secondary</x:v>
      </x:c>
      <x:c r="F6" s="44" t="str">
        <x:v>2021Q1</x:v>
      </x:c>
      <x:c r="G6" s="44" t="str">
        <x:v>Revenue / Sales</x:v>
      </x:c>
      <x:c r="H6" s="44" t="str">
        <x:v>BEST_SALES (point-in-time history)</x:v>
      </x:c>
      <x:c r="I6" s="44" t="str">
        <x:v>mean</x:v>
      </x:c>
      <x:c r="J6" s="44" t="str">
        <x:v>&lt; 2021-02-25T22:00:00Z</x:v>
      </x:c>
      <x:c r="K6" s="44" t="str">
        <x:v>Exact 2021Q1; do not use rolling offset</x:v>
      </x:c>
      <x:c r="L6" s="46" t="str"/>
      <x:c r="M6" s="46" t="str"/>
      <x:c r="N6" s="57" t="str"/>
      <x:c r="O6" s="46" t="str"/>
      <x:c r="P6" s="46" t="str"/>
      <x:c r="Q6" s="46" t="str"/>
      <x:c r="R6" s="46" t="str"/>
      <x:c r="S6" s="11" t="str"/>
      <x:c r="T6" s="46" t="str">
        <x:v>pending_paid_authorization</x:v>
      </x:c>
      <x:c r="U6" s="46" t="str"/>
      <x:c r="V6" s="11" t="str">
        <x:f>IF(OR(L6="",N6=""),"PENDING",IF(N6&lt;D6,"PASS","FAIL: snapshot not pre-event"))</x:f>
        <x:v>PENDING</x:v>
      </x:c>
    </x:row>
    <x:row r="7">
      <x:c r="A7" s="11" t="str">
        <x:v>ABNB-2020Q4-INITIAL-REVENUE-MEDIAN</x:v>
      </x:c>
      <x:c r="B7" s="44" t="str">
        <x:v>ABNB US Equity</x:v>
      </x:c>
      <x:c r="C7" s="44" t="str">
        <x:v>ABNB-2020Q4-INITIAL</x:v>
      </x:c>
      <x:c r="D7" s="56" t="n">
        <x:v>44252.916666666664</x:v>
      </x:c>
      <x:c r="E7" s="44" t="str">
        <x:v>Prior U.S. close; closest eligible intraday snapshot as secondary</x:v>
      </x:c>
      <x:c r="F7" s="44" t="str">
        <x:v>2021Q1</x:v>
      </x:c>
      <x:c r="G7" s="44" t="str">
        <x:v>Revenue / Sales</x:v>
      </x:c>
      <x:c r="H7" s="44" t="str">
        <x:v>BEST_SALES_MEDIAN or point-in-time equivalent</x:v>
      </x:c>
      <x:c r="I7" s="44" t="str">
        <x:v>median</x:v>
      </x:c>
      <x:c r="J7" s="44" t="str">
        <x:v>&lt; 2021-02-25T22:00:00Z</x:v>
      </x:c>
      <x:c r="K7" s="44" t="str">
        <x:v>Exact 2021Q1; do not use rolling offset</x:v>
      </x:c>
      <x:c r="L7" s="46" t="str"/>
      <x:c r="M7" s="46" t="str"/>
      <x:c r="N7" s="57" t="str"/>
      <x:c r="O7" s="46" t="str"/>
      <x:c r="P7" s="46" t="str"/>
      <x:c r="Q7" s="46" t="str"/>
      <x:c r="R7" s="46" t="str"/>
      <x:c r="S7" s="11" t="str"/>
      <x:c r="T7" s="46" t="str">
        <x:v>pending_paid_authorization</x:v>
      </x:c>
      <x:c r="U7" s="46" t="str"/>
      <x:c r="V7" s="11" t="str">
        <x:f>IF(OR(L7="",N7=""),"PENDING",IF(N7&lt;D7,"PASS","FAIL: snapshot not pre-event"))</x:f>
        <x:v>PENDING</x:v>
      </x:c>
    </x:row>
    <x:row r="8">
      <x:c r="A8" s="11" t="str">
        <x:v>ABNB-2020Q4-INITIAL-REVENUE-HIGH</x:v>
      </x:c>
      <x:c r="B8" s="44" t="str">
        <x:v>ABNB US Equity</x:v>
      </x:c>
      <x:c r="C8" s="44" t="str">
        <x:v>ABNB-2020Q4-INITIAL</x:v>
      </x:c>
      <x:c r="D8" s="56" t="n">
        <x:v>44252.916666666664</x:v>
      </x:c>
      <x:c r="E8" s="44" t="str">
        <x:v>Prior U.S. close; closest eligible intraday snapshot as secondary</x:v>
      </x:c>
      <x:c r="F8" s="44" t="str">
        <x:v>2021Q1</x:v>
      </x:c>
      <x:c r="G8" s="44" t="str">
        <x:v>Revenue / Sales</x:v>
      </x:c>
      <x:c r="H8" s="44" t="str">
        <x:v>BEST_SALES_HIGH or point-in-time equivalent</x:v>
      </x:c>
      <x:c r="I8" s="44" t="str">
        <x:v>high</x:v>
      </x:c>
      <x:c r="J8" s="44" t="str">
        <x:v>&lt; 2021-02-25T22:00:00Z</x:v>
      </x:c>
      <x:c r="K8" s="44" t="str">
        <x:v>Exact 2021Q1; do not use rolling offset</x:v>
      </x:c>
      <x:c r="L8" s="46" t="str"/>
      <x:c r="M8" s="46" t="str"/>
      <x:c r="N8" s="57" t="str"/>
      <x:c r="O8" s="46" t="str"/>
      <x:c r="P8" s="46" t="str"/>
      <x:c r="Q8" s="46" t="str"/>
      <x:c r="R8" s="46" t="str"/>
      <x:c r="S8" s="11" t="str"/>
      <x:c r="T8" s="46" t="str">
        <x:v>pending_paid_authorization</x:v>
      </x:c>
      <x:c r="U8" s="46" t="str"/>
      <x:c r="V8" s="11" t="str">
        <x:f>IF(OR(L8="",N8=""),"PENDING",IF(N8&lt;D8,"PASS","FAIL: snapshot not pre-event"))</x:f>
        <x:v>PENDING</x:v>
      </x:c>
    </x:row>
    <x:row r="9">
      <x:c r="A9" s="11" t="str">
        <x:v>ABNB-2020Q4-INITIAL-REVENUE-LOW</x:v>
      </x:c>
      <x:c r="B9" s="44" t="str">
        <x:v>ABNB US Equity</x:v>
      </x:c>
      <x:c r="C9" s="44" t="str">
        <x:v>ABNB-2020Q4-INITIAL</x:v>
      </x:c>
      <x:c r="D9" s="56" t="n">
        <x:v>44252.916666666664</x:v>
      </x:c>
      <x:c r="E9" s="44" t="str">
        <x:v>Prior U.S. close; closest eligible intraday snapshot as secondary</x:v>
      </x:c>
      <x:c r="F9" s="44" t="str">
        <x:v>2021Q1</x:v>
      </x:c>
      <x:c r="G9" s="44" t="str">
        <x:v>Revenue / Sales</x:v>
      </x:c>
      <x:c r="H9" s="44" t="str">
        <x:v>BEST_SALES_LOW or point-in-time equivalent</x:v>
      </x:c>
      <x:c r="I9" s="44" t="str">
        <x:v>low</x:v>
      </x:c>
      <x:c r="J9" s="44" t="str">
        <x:v>&lt; 2021-02-25T22:00:00Z</x:v>
      </x:c>
      <x:c r="K9" s="44" t="str">
        <x:v>Exact 2021Q1; do not use rolling offset</x:v>
      </x:c>
      <x:c r="L9" s="46" t="str"/>
      <x:c r="M9" s="46" t="str"/>
      <x:c r="N9" s="57" t="str"/>
      <x:c r="O9" s="46" t="str"/>
      <x:c r="P9" s="46" t="str"/>
      <x:c r="Q9" s="46" t="str"/>
      <x:c r="R9" s="46" t="str"/>
      <x:c r="S9" s="11" t="str"/>
      <x:c r="T9" s="46" t="str">
        <x:v>pending_paid_authorization</x:v>
      </x:c>
      <x:c r="U9" s="46" t="str"/>
      <x:c r="V9" s="11" t="str">
        <x:f>IF(OR(L9="",N9=""),"PENDING",IF(N9&lt;D9,"PASS","FAIL: snapshot not pre-event"))</x:f>
        <x:v>PENDING</x:v>
      </x:c>
    </x:row>
    <x:row r="10">
      <x:c r="A10" s="11" t="str">
        <x:v>ABNB-2020Q4-INITIAL-REVENUE-ANALYST_COUNT</x:v>
      </x:c>
      <x:c r="B10" s="44" t="str">
        <x:v>ABNB US Equity</x:v>
      </x:c>
      <x:c r="C10" s="44" t="str">
        <x:v>ABNB-2020Q4-INITIAL</x:v>
      </x:c>
      <x:c r="D10" s="56" t="n">
        <x:v>44252.916666666664</x:v>
      </x:c>
      <x:c r="E10" s="44" t="str">
        <x:v>Prior U.S. close; closest eligible intraday snapshot as secondary</x:v>
      </x:c>
      <x:c r="F10" s="44" t="str">
        <x:v>2021Q1</x:v>
      </x:c>
      <x:c r="G10" s="44" t="str">
        <x:v>Revenue / Sales</x:v>
      </x:c>
      <x:c r="H10" s="44" t="str">
        <x:v>BEST_SALES_NUM_EST or point-in-time equivalent</x:v>
      </x:c>
      <x:c r="I10" s="44" t="str">
        <x:v>analyst_count</x:v>
      </x:c>
      <x:c r="J10" s="44" t="str">
        <x:v>&lt; 2021-02-25T22:00:00Z</x:v>
      </x:c>
      <x:c r="K10" s="44" t="str">
        <x:v>Exact 2021Q1; do not use rolling offset</x:v>
      </x:c>
      <x:c r="L10" s="46" t="str"/>
      <x:c r="M10" s="46" t="str"/>
      <x:c r="N10" s="57" t="str"/>
      <x:c r="O10" s="46" t="str"/>
      <x:c r="P10" s="46" t="str"/>
      <x:c r="Q10" s="46" t="str"/>
      <x:c r="R10" s="46" t="str"/>
      <x:c r="S10" s="11" t="str"/>
      <x:c r="T10" s="46" t="str">
        <x:v>pending_paid_authorization</x:v>
      </x:c>
      <x:c r="U10" s="46" t="str"/>
      <x:c r="V10" s="11" t="str">
        <x:f>IF(OR(L10="",N10=""),"PENDING",IF(N10&lt;D10,"PASS","FAIL: snapshot not pre-event"))</x:f>
        <x:v>PENDING</x:v>
      </x:c>
    </x:row>
    <x:row r="11">
      <x:c r="A11" s="11" t="str">
        <x:v>ABNB-2021Q1-INITIAL-REVENUE-MEAN</x:v>
      </x:c>
      <x:c r="B11" s="44" t="str">
        <x:v>ABNB US Equity</x:v>
      </x:c>
      <x:c r="C11" s="44" t="str">
        <x:v>ABNB-2021Q1-INITIAL</x:v>
      </x:c>
      <x:c r="D11" s="56" t="n">
        <x:v>44329.875</x:v>
      </x:c>
      <x:c r="E11" s="44" t="str">
        <x:v>Prior U.S. close; closest eligible intraday snapshot as secondary</x:v>
      </x:c>
      <x:c r="F11" s="44" t="str">
        <x:v>2021Q2</x:v>
      </x:c>
      <x:c r="G11" s="44" t="str">
        <x:v>Revenue / Sales</x:v>
      </x:c>
      <x:c r="H11" s="44" t="str">
        <x:v>BEST_SALES (point-in-time history)</x:v>
      </x:c>
      <x:c r="I11" s="44" t="str">
        <x:v>mean</x:v>
      </x:c>
      <x:c r="J11" s="44" t="str">
        <x:v>&lt; 2021-05-13T21:00:00Z</x:v>
      </x:c>
      <x:c r="K11" s="44" t="str">
        <x:v>Exact 2021Q2; do not use rolling offset</x:v>
      </x:c>
      <x:c r="L11" s="46" t="str"/>
      <x:c r="M11" s="46" t="str"/>
      <x:c r="N11" s="57" t="str"/>
      <x:c r="O11" s="46" t="str"/>
      <x:c r="P11" s="46" t="str"/>
      <x:c r="Q11" s="46" t="str"/>
      <x:c r="R11" s="46" t="str"/>
      <x:c r="S11" s="11" t="str"/>
      <x:c r="T11" s="46" t="str">
        <x:v>pending_paid_authorization</x:v>
      </x:c>
      <x:c r="U11" s="46" t="str"/>
      <x:c r="V11" s="11" t="str">
        <x:f>IF(OR(L11="",N11=""),"PENDING",IF(N11&lt;D11,"PASS","FAIL: snapshot not pre-event"))</x:f>
        <x:v>PENDING</x:v>
      </x:c>
    </x:row>
    <x:row r="12">
      <x:c r="A12" s="11" t="str">
        <x:v>ABNB-2021Q1-INITIAL-REVENUE-MEDIAN</x:v>
      </x:c>
      <x:c r="B12" s="44" t="str">
        <x:v>ABNB US Equity</x:v>
      </x:c>
      <x:c r="C12" s="44" t="str">
        <x:v>ABNB-2021Q1-INITIAL</x:v>
      </x:c>
      <x:c r="D12" s="56" t="n">
        <x:v>44329.875</x:v>
      </x:c>
      <x:c r="E12" s="44" t="str">
        <x:v>Prior U.S. close; closest eligible intraday snapshot as secondary</x:v>
      </x:c>
      <x:c r="F12" s="44" t="str">
        <x:v>2021Q2</x:v>
      </x:c>
      <x:c r="G12" s="44" t="str">
        <x:v>Revenue / Sales</x:v>
      </x:c>
      <x:c r="H12" s="44" t="str">
        <x:v>BEST_SALES_MEDIAN or point-in-time equivalent</x:v>
      </x:c>
      <x:c r="I12" s="44" t="str">
        <x:v>median</x:v>
      </x:c>
      <x:c r="J12" s="44" t="str">
        <x:v>&lt; 2021-05-13T21:00:00Z</x:v>
      </x:c>
      <x:c r="K12" s="44" t="str">
        <x:v>Exact 2021Q2; do not use rolling offset</x:v>
      </x:c>
      <x:c r="L12" s="46" t="str"/>
      <x:c r="M12" s="46" t="str"/>
      <x:c r="N12" s="57" t="str"/>
      <x:c r="O12" s="46" t="str"/>
      <x:c r="P12" s="46" t="str"/>
      <x:c r="Q12" s="46" t="str"/>
      <x:c r="R12" s="46" t="str"/>
      <x:c r="S12" s="11" t="str"/>
      <x:c r="T12" s="46" t="str">
        <x:v>pending_paid_authorization</x:v>
      </x:c>
      <x:c r="U12" s="46" t="str"/>
      <x:c r="V12" s="11" t="str">
        <x:f>IF(OR(L12="",N12=""),"PENDING",IF(N12&lt;D12,"PASS","FAIL: snapshot not pre-event"))</x:f>
        <x:v>PENDING</x:v>
      </x:c>
    </x:row>
    <x:row r="13">
      <x:c r="A13" s="11" t="str">
        <x:v>ABNB-2021Q1-INITIAL-REVENUE-HIGH</x:v>
      </x:c>
      <x:c r="B13" s="44" t="str">
        <x:v>ABNB US Equity</x:v>
      </x:c>
      <x:c r="C13" s="44" t="str">
        <x:v>ABNB-2021Q1-INITIAL</x:v>
      </x:c>
      <x:c r="D13" s="56" t="n">
        <x:v>44329.875</x:v>
      </x:c>
      <x:c r="E13" s="44" t="str">
        <x:v>Prior U.S. close; closest eligible intraday snapshot as secondary</x:v>
      </x:c>
      <x:c r="F13" s="44" t="str">
        <x:v>2021Q2</x:v>
      </x:c>
      <x:c r="G13" s="44" t="str">
        <x:v>Revenue / Sales</x:v>
      </x:c>
      <x:c r="H13" s="44" t="str">
        <x:v>BEST_SALES_HIGH or point-in-time equivalent</x:v>
      </x:c>
      <x:c r="I13" s="44" t="str">
        <x:v>high</x:v>
      </x:c>
      <x:c r="J13" s="44" t="str">
        <x:v>&lt; 2021-05-13T21:00:00Z</x:v>
      </x:c>
      <x:c r="K13" s="44" t="str">
        <x:v>Exact 2021Q2; do not use rolling offset</x:v>
      </x:c>
      <x:c r="L13" s="46" t="str"/>
      <x:c r="M13" s="46" t="str"/>
      <x:c r="N13" s="57" t="str"/>
      <x:c r="O13" s="46" t="str"/>
      <x:c r="P13" s="46" t="str"/>
      <x:c r="Q13" s="46" t="str"/>
      <x:c r="R13" s="46" t="str"/>
      <x:c r="S13" s="11" t="str"/>
      <x:c r="T13" s="46" t="str">
        <x:v>pending_paid_authorization</x:v>
      </x:c>
      <x:c r="U13" s="46" t="str"/>
      <x:c r="V13" s="11" t="str">
        <x:f>IF(OR(L13="",N13=""),"PENDING",IF(N13&lt;D13,"PASS","FAIL: snapshot not pre-event"))</x:f>
        <x:v>PENDING</x:v>
      </x:c>
    </x:row>
    <x:row r="14">
      <x:c r="A14" s="11" t="str">
        <x:v>ABNB-2021Q1-INITIAL-REVENUE-LOW</x:v>
      </x:c>
      <x:c r="B14" s="44" t="str">
        <x:v>ABNB US Equity</x:v>
      </x:c>
      <x:c r="C14" s="44" t="str">
        <x:v>ABNB-2021Q1-INITIAL</x:v>
      </x:c>
      <x:c r="D14" s="56" t="n">
        <x:v>44329.875</x:v>
      </x:c>
      <x:c r="E14" s="44" t="str">
        <x:v>Prior U.S. close; closest eligible intraday snapshot as secondary</x:v>
      </x:c>
      <x:c r="F14" s="44" t="str">
        <x:v>2021Q2</x:v>
      </x:c>
      <x:c r="G14" s="44" t="str">
        <x:v>Revenue / Sales</x:v>
      </x:c>
      <x:c r="H14" s="44" t="str">
        <x:v>BEST_SALES_LOW or point-in-time equivalent</x:v>
      </x:c>
      <x:c r="I14" s="44" t="str">
        <x:v>low</x:v>
      </x:c>
      <x:c r="J14" s="44" t="str">
        <x:v>&lt; 2021-05-13T21:00:00Z</x:v>
      </x:c>
      <x:c r="K14" s="44" t="str">
        <x:v>Exact 2021Q2; do not use rolling offset</x:v>
      </x:c>
      <x:c r="L14" s="46" t="str"/>
      <x:c r="M14" s="46" t="str"/>
      <x:c r="N14" s="57" t="str"/>
      <x:c r="O14" s="46" t="str"/>
      <x:c r="P14" s="46" t="str"/>
      <x:c r="Q14" s="46" t="str"/>
      <x:c r="R14" s="46" t="str"/>
      <x:c r="S14" s="11" t="str"/>
      <x:c r="T14" s="46" t="str">
        <x:v>pending_paid_authorization</x:v>
      </x:c>
      <x:c r="U14" s="46" t="str"/>
      <x:c r="V14" s="11" t="str">
        <x:f>IF(OR(L14="",N14=""),"PENDING",IF(N14&lt;D14,"PASS","FAIL: snapshot not pre-event"))</x:f>
        <x:v>PENDING</x:v>
      </x:c>
    </x:row>
    <x:row r="15">
      <x:c r="A15" s="11" t="str">
        <x:v>ABNB-2021Q1-INITIAL-REVENUE-ANALYST_COUNT</x:v>
      </x:c>
      <x:c r="B15" s="44" t="str">
        <x:v>ABNB US Equity</x:v>
      </x:c>
      <x:c r="C15" s="44" t="str">
        <x:v>ABNB-2021Q1-INITIAL</x:v>
      </x:c>
      <x:c r="D15" s="56" t="n">
        <x:v>44329.875</x:v>
      </x:c>
      <x:c r="E15" s="44" t="str">
        <x:v>Prior U.S. close; closest eligible intraday snapshot as secondary</x:v>
      </x:c>
      <x:c r="F15" s="44" t="str">
        <x:v>2021Q2</x:v>
      </x:c>
      <x:c r="G15" s="44" t="str">
        <x:v>Revenue / Sales</x:v>
      </x:c>
      <x:c r="H15" s="44" t="str">
        <x:v>BEST_SALES_NUM_EST or point-in-time equivalent</x:v>
      </x:c>
      <x:c r="I15" s="44" t="str">
        <x:v>analyst_count</x:v>
      </x:c>
      <x:c r="J15" s="44" t="str">
        <x:v>&lt; 2021-05-13T21:00:00Z</x:v>
      </x:c>
      <x:c r="K15" s="44" t="str">
        <x:v>Exact 2021Q2; do not use rolling offset</x:v>
      </x:c>
      <x:c r="L15" s="46" t="str"/>
      <x:c r="M15" s="46" t="str"/>
      <x:c r="N15" s="57" t="str"/>
      <x:c r="O15" s="46" t="str"/>
      <x:c r="P15" s="46" t="str"/>
      <x:c r="Q15" s="46" t="str"/>
      <x:c r="R15" s="46" t="str"/>
      <x:c r="S15" s="11" t="str"/>
      <x:c r="T15" s="46" t="str">
        <x:v>pending_paid_authorization</x:v>
      </x:c>
      <x:c r="U15" s="46" t="str"/>
      <x:c r="V15" s="11" t="str">
        <x:f>IF(OR(L15="",N15=""),"PENDING",IF(N15&lt;D15,"PASS","FAIL: snapshot not pre-event"))</x:f>
        <x:v>PENDING</x:v>
      </x:c>
    </x:row>
    <x:row r="16">
      <x:c r="A16" s="11" t="str">
        <x:v>ABNB-2021Q2-INITIAL-REVENUE-MEAN</x:v>
      </x:c>
      <x:c r="B16" s="44" t="str">
        <x:v>ABNB US Equity</x:v>
      </x:c>
      <x:c r="C16" s="44" t="str">
        <x:v>ABNB-2021Q2-INITIAL</x:v>
      </x:c>
      <x:c r="D16" s="56" t="n">
        <x:v>44420.875</x:v>
      </x:c>
      <x:c r="E16" s="44" t="str">
        <x:v>Prior U.S. close; closest eligible intraday snapshot as secondary</x:v>
      </x:c>
      <x:c r="F16" s="44" t="str">
        <x:v>2021Q3</x:v>
      </x:c>
      <x:c r="G16" s="44" t="str">
        <x:v>Revenue / Sales</x:v>
      </x:c>
      <x:c r="H16" s="44" t="str">
        <x:v>BEST_SALES (point-in-time history)</x:v>
      </x:c>
      <x:c r="I16" s="44" t="str">
        <x:v>mean</x:v>
      </x:c>
      <x:c r="J16" s="44" t="str">
        <x:v>&lt; 2021-08-12T21:00:00Z</x:v>
      </x:c>
      <x:c r="K16" s="44" t="str">
        <x:v>Exact 2021Q3; do not use rolling offset</x:v>
      </x:c>
      <x:c r="L16" s="46" t="str"/>
      <x:c r="M16" s="46" t="str"/>
      <x:c r="N16" s="57" t="str"/>
      <x:c r="O16" s="46" t="str"/>
      <x:c r="P16" s="46" t="str"/>
      <x:c r="Q16" s="46" t="str"/>
      <x:c r="R16" s="46" t="str"/>
      <x:c r="S16" s="11" t="str"/>
      <x:c r="T16" s="46" t="str">
        <x:v>pending_paid_authorization</x:v>
      </x:c>
      <x:c r="U16" s="46" t="str"/>
      <x:c r="V16" s="11" t="str">
        <x:f>IF(OR(L16="",N16=""),"PENDING",IF(N16&lt;D16,"PASS","FAIL: snapshot not pre-event"))</x:f>
        <x:v>PENDING</x:v>
      </x:c>
    </x:row>
    <x:row r="17">
      <x:c r="A17" s="11" t="str">
        <x:v>ABNB-2021Q2-INITIAL-REVENUE-MEDIAN</x:v>
      </x:c>
      <x:c r="B17" s="44" t="str">
        <x:v>ABNB US Equity</x:v>
      </x:c>
      <x:c r="C17" s="44" t="str">
        <x:v>ABNB-2021Q2-INITIAL</x:v>
      </x:c>
      <x:c r="D17" s="56" t="n">
        <x:v>44420.875</x:v>
      </x:c>
      <x:c r="E17" s="44" t="str">
        <x:v>Prior U.S. close; closest eligible intraday snapshot as secondary</x:v>
      </x:c>
      <x:c r="F17" s="44" t="str">
        <x:v>2021Q3</x:v>
      </x:c>
      <x:c r="G17" s="44" t="str">
        <x:v>Revenue / Sales</x:v>
      </x:c>
      <x:c r="H17" s="44" t="str">
        <x:v>BEST_SALES_MEDIAN or point-in-time equivalent</x:v>
      </x:c>
      <x:c r="I17" s="44" t="str">
        <x:v>median</x:v>
      </x:c>
      <x:c r="J17" s="44" t="str">
        <x:v>&lt; 2021-08-12T21:00:00Z</x:v>
      </x:c>
      <x:c r="K17" s="44" t="str">
        <x:v>Exact 2021Q3; do not use rolling offset</x:v>
      </x:c>
      <x:c r="L17" s="46" t="str"/>
      <x:c r="M17" s="46" t="str"/>
      <x:c r="N17" s="57" t="str"/>
      <x:c r="O17" s="46" t="str"/>
      <x:c r="P17" s="46" t="str"/>
      <x:c r="Q17" s="46" t="str"/>
      <x:c r="R17" s="46" t="str"/>
      <x:c r="S17" s="11" t="str"/>
      <x:c r="T17" s="46" t="str">
        <x:v>pending_paid_authorization</x:v>
      </x:c>
      <x:c r="U17" s="46" t="str"/>
      <x:c r="V17" s="11" t="str">
        <x:f>IF(OR(L17="",N17=""),"PENDING",IF(N17&lt;D17,"PASS","FAIL: snapshot not pre-event"))</x:f>
        <x:v>PENDING</x:v>
      </x:c>
    </x:row>
    <x:row r="18">
      <x:c r="A18" s="11" t="str">
        <x:v>ABNB-2021Q2-INITIAL-REVENUE-HIGH</x:v>
      </x:c>
      <x:c r="B18" s="44" t="str">
        <x:v>ABNB US Equity</x:v>
      </x:c>
      <x:c r="C18" s="44" t="str">
        <x:v>ABNB-2021Q2-INITIAL</x:v>
      </x:c>
      <x:c r="D18" s="56" t="n">
        <x:v>44420.875</x:v>
      </x:c>
      <x:c r="E18" s="44" t="str">
        <x:v>Prior U.S. close; closest eligible intraday snapshot as secondary</x:v>
      </x:c>
      <x:c r="F18" s="44" t="str">
        <x:v>2021Q3</x:v>
      </x:c>
      <x:c r="G18" s="44" t="str">
        <x:v>Revenue / Sales</x:v>
      </x:c>
      <x:c r="H18" s="44" t="str">
        <x:v>BEST_SALES_HIGH or point-in-time equivalent</x:v>
      </x:c>
      <x:c r="I18" s="44" t="str">
        <x:v>high</x:v>
      </x:c>
      <x:c r="J18" s="44" t="str">
        <x:v>&lt; 2021-08-12T21:00:00Z</x:v>
      </x:c>
      <x:c r="K18" s="44" t="str">
        <x:v>Exact 2021Q3; do not use rolling offset</x:v>
      </x:c>
      <x:c r="L18" s="46" t="str"/>
      <x:c r="M18" s="46" t="str"/>
      <x:c r="N18" s="57" t="str"/>
      <x:c r="O18" s="46" t="str"/>
      <x:c r="P18" s="46" t="str"/>
      <x:c r="Q18" s="46" t="str"/>
      <x:c r="R18" s="46" t="str"/>
      <x:c r="S18" s="11" t="str"/>
      <x:c r="T18" s="46" t="str">
        <x:v>pending_paid_authorization</x:v>
      </x:c>
      <x:c r="U18" s="46" t="str"/>
      <x:c r="V18" s="11" t="str">
        <x:f>IF(OR(L18="",N18=""),"PENDING",IF(N18&lt;D18,"PASS","FAIL: snapshot not pre-event"))</x:f>
        <x:v>PENDING</x:v>
      </x:c>
    </x:row>
    <x:row r="19">
      <x:c r="A19" s="11" t="str">
        <x:v>ABNB-2021Q2-INITIAL-REVENUE-LOW</x:v>
      </x:c>
      <x:c r="B19" s="44" t="str">
        <x:v>ABNB US Equity</x:v>
      </x:c>
      <x:c r="C19" s="44" t="str">
        <x:v>ABNB-2021Q2-INITIAL</x:v>
      </x:c>
      <x:c r="D19" s="56" t="n">
        <x:v>44420.875</x:v>
      </x:c>
      <x:c r="E19" s="44" t="str">
        <x:v>Prior U.S. close; closest eligible intraday snapshot as secondary</x:v>
      </x:c>
      <x:c r="F19" s="44" t="str">
        <x:v>2021Q3</x:v>
      </x:c>
      <x:c r="G19" s="44" t="str">
        <x:v>Revenue / Sales</x:v>
      </x:c>
      <x:c r="H19" s="44" t="str">
        <x:v>BEST_SALES_LOW or point-in-time equivalent</x:v>
      </x:c>
      <x:c r="I19" s="44" t="str">
        <x:v>low</x:v>
      </x:c>
      <x:c r="J19" s="44" t="str">
        <x:v>&lt; 2021-08-12T21:00:00Z</x:v>
      </x:c>
      <x:c r="K19" s="44" t="str">
        <x:v>Exact 2021Q3; do not use rolling offset</x:v>
      </x:c>
      <x:c r="L19" s="46" t="str"/>
      <x:c r="M19" s="46" t="str"/>
      <x:c r="N19" s="57" t="str"/>
      <x:c r="O19" s="46" t="str"/>
      <x:c r="P19" s="46" t="str"/>
      <x:c r="Q19" s="46" t="str"/>
      <x:c r="R19" s="46" t="str"/>
      <x:c r="S19" s="11" t="str"/>
      <x:c r="T19" s="46" t="str">
        <x:v>pending_paid_authorization</x:v>
      </x:c>
      <x:c r="U19" s="46" t="str"/>
      <x:c r="V19" s="11" t="str">
        <x:f>IF(OR(L19="",N19=""),"PENDING",IF(N19&lt;D19,"PASS","FAIL: snapshot not pre-event"))</x:f>
        <x:v>PENDING</x:v>
      </x:c>
    </x:row>
    <x:row r="20">
      <x:c r="A20" s="11" t="str">
        <x:v>ABNB-2021Q2-INITIAL-REVENUE-ANALYST_COUNT</x:v>
      </x:c>
      <x:c r="B20" s="44" t="str">
        <x:v>ABNB US Equity</x:v>
      </x:c>
      <x:c r="C20" s="44" t="str">
        <x:v>ABNB-2021Q2-INITIAL</x:v>
      </x:c>
      <x:c r="D20" s="56" t="n">
        <x:v>44420.875</x:v>
      </x:c>
      <x:c r="E20" s="44" t="str">
        <x:v>Prior U.S. close; closest eligible intraday snapshot as secondary</x:v>
      </x:c>
      <x:c r="F20" s="44" t="str">
        <x:v>2021Q3</x:v>
      </x:c>
      <x:c r="G20" s="44" t="str">
        <x:v>Revenue / Sales</x:v>
      </x:c>
      <x:c r="H20" s="44" t="str">
        <x:v>BEST_SALES_NUM_EST or point-in-time equivalent</x:v>
      </x:c>
      <x:c r="I20" s="44" t="str">
        <x:v>analyst_count</x:v>
      </x:c>
      <x:c r="J20" s="44" t="str">
        <x:v>&lt; 2021-08-12T21:00:00Z</x:v>
      </x:c>
      <x:c r="K20" s="44" t="str">
        <x:v>Exact 2021Q3; do not use rolling offset</x:v>
      </x:c>
      <x:c r="L20" s="46" t="str"/>
      <x:c r="M20" s="46" t="str"/>
      <x:c r="N20" s="57" t="str"/>
      <x:c r="O20" s="46" t="str"/>
      <x:c r="P20" s="46" t="str"/>
      <x:c r="Q20" s="46" t="str"/>
      <x:c r="R20" s="46" t="str"/>
      <x:c r="S20" s="11" t="str"/>
      <x:c r="T20" s="46" t="str">
        <x:v>pending_paid_authorization</x:v>
      </x:c>
      <x:c r="U20" s="46" t="str"/>
      <x:c r="V20" s="11" t="str">
        <x:f>IF(OR(L20="",N20=""),"PENDING",IF(N20&lt;D20,"PASS","FAIL: snapshot not pre-event"))</x:f>
        <x:v>PENDING</x:v>
      </x:c>
    </x:row>
    <x:row r="21">
      <x:c r="A21" s="11" t="str">
        <x:v>ABNB-2021Q3-INITIAL-REVENUE-MEAN</x:v>
      </x:c>
      <x:c r="B21" s="44" t="str">
        <x:v>ABNB US Equity</x:v>
      </x:c>
      <x:c r="C21" s="44" t="str">
        <x:v>ABNB-2021Q3-INITIAL</x:v>
      </x:c>
      <x:c r="D21" s="56" t="n">
        <x:v>44504.895833333336</x:v>
      </x:c>
      <x:c r="E21" s="44" t="str">
        <x:v>Prior U.S. close; closest eligible intraday snapshot as secondary</x:v>
      </x:c>
      <x:c r="F21" s="44" t="str">
        <x:v>2021Q4</x:v>
      </x:c>
      <x:c r="G21" s="44" t="str">
        <x:v>Revenue / Sales</x:v>
      </x:c>
      <x:c r="H21" s="44" t="str">
        <x:v>BEST_SALES (point-in-time history)</x:v>
      </x:c>
      <x:c r="I21" s="44" t="str">
        <x:v>mean</x:v>
      </x:c>
      <x:c r="J21" s="44" t="str">
        <x:v>&lt; 2021-11-04T21:30:00Z</x:v>
      </x:c>
      <x:c r="K21" s="44" t="str">
        <x:v>Exact 2021Q4; do not use rolling offset</x:v>
      </x:c>
      <x:c r="L21" s="46" t="str"/>
      <x:c r="M21" s="46" t="str"/>
      <x:c r="N21" s="57" t="str"/>
      <x:c r="O21" s="46" t="str"/>
      <x:c r="P21" s="46" t="str"/>
      <x:c r="Q21" s="46" t="str"/>
      <x:c r="R21" s="46" t="str"/>
      <x:c r="S21" s="11" t="str"/>
      <x:c r="T21" s="46" t="str">
        <x:v>pending_paid_authorization</x:v>
      </x:c>
      <x:c r="U21" s="46" t="str"/>
      <x:c r="V21" s="11" t="str">
        <x:f>IF(OR(L21="",N21=""),"PENDING",IF(N21&lt;D21,"PASS","FAIL: snapshot not pre-event"))</x:f>
        <x:v>PENDING</x:v>
      </x:c>
    </x:row>
    <x:row r="22">
      <x:c r="A22" s="11" t="str">
        <x:v>ABNB-2021Q3-INITIAL-REVENUE-MEDIAN</x:v>
      </x:c>
      <x:c r="B22" s="44" t="str">
        <x:v>ABNB US Equity</x:v>
      </x:c>
      <x:c r="C22" s="44" t="str">
        <x:v>ABNB-2021Q3-INITIAL</x:v>
      </x:c>
      <x:c r="D22" s="56" t="n">
        <x:v>44504.895833333336</x:v>
      </x:c>
      <x:c r="E22" s="44" t="str">
        <x:v>Prior U.S. close; closest eligible intraday snapshot as secondary</x:v>
      </x:c>
      <x:c r="F22" s="44" t="str">
        <x:v>2021Q4</x:v>
      </x:c>
      <x:c r="G22" s="44" t="str">
        <x:v>Revenue / Sales</x:v>
      </x:c>
      <x:c r="H22" s="44" t="str">
        <x:v>BEST_SALES_MEDIAN or point-in-time equivalent</x:v>
      </x:c>
      <x:c r="I22" s="44" t="str">
        <x:v>median</x:v>
      </x:c>
      <x:c r="J22" s="44" t="str">
        <x:v>&lt; 2021-11-04T21:30:00Z</x:v>
      </x:c>
      <x:c r="K22" s="44" t="str">
        <x:v>Exact 2021Q4; do not use rolling offset</x:v>
      </x:c>
      <x:c r="L22" s="46" t="str"/>
      <x:c r="M22" s="46" t="str"/>
      <x:c r="N22" s="57" t="str"/>
      <x:c r="O22" s="46" t="str"/>
      <x:c r="P22" s="46" t="str"/>
      <x:c r="Q22" s="46" t="str"/>
      <x:c r="R22" s="46" t="str"/>
      <x:c r="S22" s="11" t="str"/>
      <x:c r="T22" s="46" t="str">
        <x:v>pending_paid_authorization</x:v>
      </x:c>
      <x:c r="U22" s="46" t="str"/>
      <x:c r="V22" s="11" t="str">
        <x:f>IF(OR(L22="",N22=""),"PENDING",IF(N22&lt;D22,"PASS","FAIL: snapshot not pre-event"))</x:f>
        <x:v>PENDING</x:v>
      </x:c>
    </x:row>
    <x:row r="23">
      <x:c r="A23" s="11" t="str">
        <x:v>ABNB-2021Q3-INITIAL-REVENUE-HIGH</x:v>
      </x:c>
      <x:c r="B23" s="44" t="str">
        <x:v>ABNB US Equity</x:v>
      </x:c>
      <x:c r="C23" s="44" t="str">
        <x:v>ABNB-2021Q3-INITIAL</x:v>
      </x:c>
      <x:c r="D23" s="56" t="n">
        <x:v>44504.895833333336</x:v>
      </x:c>
      <x:c r="E23" s="44" t="str">
        <x:v>Prior U.S. close; closest eligible intraday snapshot as secondary</x:v>
      </x:c>
      <x:c r="F23" s="44" t="str">
        <x:v>2021Q4</x:v>
      </x:c>
      <x:c r="G23" s="44" t="str">
        <x:v>Revenue / Sales</x:v>
      </x:c>
      <x:c r="H23" s="44" t="str">
        <x:v>BEST_SALES_HIGH or point-in-time equivalent</x:v>
      </x:c>
      <x:c r="I23" s="44" t="str">
        <x:v>high</x:v>
      </x:c>
      <x:c r="J23" s="44" t="str">
        <x:v>&lt; 2021-11-04T21:30:00Z</x:v>
      </x:c>
      <x:c r="K23" s="44" t="str">
        <x:v>Exact 2021Q4; do not use rolling offset</x:v>
      </x:c>
      <x:c r="L23" s="46" t="str"/>
      <x:c r="M23" s="46" t="str"/>
      <x:c r="N23" s="57" t="str"/>
      <x:c r="O23" s="46" t="str"/>
      <x:c r="P23" s="46" t="str"/>
      <x:c r="Q23" s="46" t="str"/>
      <x:c r="R23" s="46" t="str"/>
      <x:c r="S23" s="11" t="str"/>
      <x:c r="T23" s="46" t="str">
        <x:v>pending_paid_authorization</x:v>
      </x:c>
      <x:c r="U23" s="46" t="str"/>
      <x:c r="V23" s="11" t="str">
        <x:f>IF(OR(L23="",N23=""),"PENDING",IF(N23&lt;D23,"PASS","FAIL: snapshot not pre-event"))</x:f>
        <x:v>PENDING</x:v>
      </x:c>
    </x:row>
    <x:row r="24">
      <x:c r="A24" s="11" t="str">
        <x:v>ABNB-2021Q3-INITIAL-REVENUE-LOW</x:v>
      </x:c>
      <x:c r="B24" s="44" t="str">
        <x:v>ABNB US Equity</x:v>
      </x:c>
      <x:c r="C24" s="44" t="str">
        <x:v>ABNB-2021Q3-INITIAL</x:v>
      </x:c>
      <x:c r="D24" s="56" t="n">
        <x:v>44504.895833333336</x:v>
      </x:c>
      <x:c r="E24" s="44" t="str">
        <x:v>Prior U.S. close; closest eligible intraday snapshot as secondary</x:v>
      </x:c>
      <x:c r="F24" s="44" t="str">
        <x:v>2021Q4</x:v>
      </x:c>
      <x:c r="G24" s="44" t="str">
        <x:v>Revenue / Sales</x:v>
      </x:c>
      <x:c r="H24" s="44" t="str">
        <x:v>BEST_SALES_LOW or point-in-time equivalent</x:v>
      </x:c>
      <x:c r="I24" s="44" t="str">
        <x:v>low</x:v>
      </x:c>
      <x:c r="J24" s="44" t="str">
        <x:v>&lt; 2021-11-04T21:30:00Z</x:v>
      </x:c>
      <x:c r="K24" s="44" t="str">
        <x:v>Exact 2021Q4; do not use rolling offset</x:v>
      </x:c>
      <x:c r="L24" s="46" t="str"/>
      <x:c r="M24" s="46" t="str"/>
      <x:c r="N24" s="57" t="str"/>
      <x:c r="O24" s="46" t="str"/>
      <x:c r="P24" s="46" t="str"/>
      <x:c r="Q24" s="46" t="str"/>
      <x:c r="R24" s="46" t="str"/>
      <x:c r="S24" s="11" t="str"/>
      <x:c r="T24" s="46" t="str">
        <x:v>pending_paid_authorization</x:v>
      </x:c>
      <x:c r="U24" s="46" t="str"/>
      <x:c r="V24" s="11" t="str">
        <x:f>IF(OR(L24="",N24=""),"PENDING",IF(N24&lt;D24,"PASS","FAIL: snapshot not pre-event"))</x:f>
        <x:v>PENDING</x:v>
      </x:c>
    </x:row>
    <x:row r="25">
      <x:c r="A25" s="11" t="str">
        <x:v>ABNB-2021Q3-INITIAL-REVENUE-ANALYST_COUNT</x:v>
      </x:c>
      <x:c r="B25" s="44" t="str">
        <x:v>ABNB US Equity</x:v>
      </x:c>
      <x:c r="C25" s="44" t="str">
        <x:v>ABNB-2021Q3-INITIAL</x:v>
      </x:c>
      <x:c r="D25" s="56" t="n">
        <x:v>44504.895833333336</x:v>
      </x:c>
      <x:c r="E25" s="44" t="str">
        <x:v>Prior U.S. close; closest eligible intraday snapshot as secondary</x:v>
      </x:c>
      <x:c r="F25" s="44" t="str">
        <x:v>2021Q4</x:v>
      </x:c>
      <x:c r="G25" s="44" t="str">
        <x:v>Revenue / Sales</x:v>
      </x:c>
      <x:c r="H25" s="44" t="str">
        <x:v>BEST_SALES_NUM_EST or point-in-time equivalent</x:v>
      </x:c>
      <x:c r="I25" s="44" t="str">
        <x:v>analyst_count</x:v>
      </x:c>
      <x:c r="J25" s="44" t="str">
        <x:v>&lt; 2021-11-04T21:30:00Z</x:v>
      </x:c>
      <x:c r="K25" s="44" t="str">
        <x:v>Exact 2021Q4; do not use rolling offset</x:v>
      </x:c>
      <x:c r="L25" s="46" t="str"/>
      <x:c r="M25" s="46" t="str"/>
      <x:c r="N25" s="57" t="str"/>
      <x:c r="O25" s="46" t="str"/>
      <x:c r="P25" s="46" t="str"/>
      <x:c r="Q25" s="46" t="str"/>
      <x:c r="R25" s="46" t="str"/>
      <x:c r="S25" s="11" t="str"/>
      <x:c r="T25" s="46" t="str">
        <x:v>pending_paid_authorization</x:v>
      </x:c>
      <x:c r="U25" s="46" t="str"/>
      <x:c r="V25" s="11" t="str">
        <x:f>IF(OR(L25="",N25=""),"PENDING",IF(N25&lt;D25,"PASS","FAIL: snapshot not pre-event"))</x:f>
        <x:v>PENDING</x:v>
      </x:c>
    </x:row>
    <x:row r="26">
      <x:c r="A26" s="11" t="str">
        <x:v>ABNB-2021Q4-INITIAL-REVENUE-MEAN</x:v>
      </x:c>
      <x:c r="B26" s="44" t="str">
        <x:v>ABNB US Equity</x:v>
      </x:c>
      <x:c r="C26" s="44" t="str">
        <x:v>ABNB-2021Q4-INITIAL</x:v>
      </x:c>
      <x:c r="D26" s="56" t="n">
        <x:v>44607.895833333336</x:v>
      </x:c>
      <x:c r="E26" s="44" t="str">
        <x:v>Prior U.S. close; closest eligible intraday snapshot as secondary</x:v>
      </x:c>
      <x:c r="F26" s="44" t="str">
        <x:v>2022Q1</x:v>
      </x:c>
      <x:c r="G26" s="44" t="str">
        <x:v>Revenue / Sales</x:v>
      </x:c>
      <x:c r="H26" s="44" t="str">
        <x:v>BEST_SALES (point-in-time history)</x:v>
      </x:c>
      <x:c r="I26" s="44" t="str">
        <x:v>mean</x:v>
      </x:c>
      <x:c r="J26" s="44" t="str">
        <x:v>&lt; 2022-02-15T21:30:00Z</x:v>
      </x:c>
      <x:c r="K26" s="44" t="str">
        <x:v>Exact 2022Q1; do not use rolling offset</x:v>
      </x:c>
      <x:c r="L26" s="46" t="str"/>
      <x:c r="M26" s="46" t="str"/>
      <x:c r="N26" s="57" t="str"/>
      <x:c r="O26" s="46" t="str"/>
      <x:c r="P26" s="46" t="str"/>
      <x:c r="Q26" s="46" t="str"/>
      <x:c r="R26" s="46" t="str"/>
      <x:c r="S26" s="11" t="str"/>
      <x:c r="T26" s="46" t="str">
        <x:v>pending_paid_authorization</x:v>
      </x:c>
      <x:c r="U26" s="46" t="str"/>
      <x:c r="V26" s="11" t="str">
        <x:f>IF(OR(L26="",N26=""),"PENDING",IF(N26&lt;D26,"PASS","FAIL: snapshot not pre-event"))</x:f>
        <x:v>PENDING</x:v>
      </x:c>
    </x:row>
    <x:row r="27">
      <x:c r="A27" s="11" t="str">
        <x:v>ABNB-2021Q4-INITIAL-REVENUE-MEDIAN</x:v>
      </x:c>
      <x:c r="B27" s="44" t="str">
        <x:v>ABNB US Equity</x:v>
      </x:c>
      <x:c r="C27" s="44" t="str">
        <x:v>ABNB-2021Q4-INITIAL</x:v>
      </x:c>
      <x:c r="D27" s="56" t="n">
        <x:v>44607.895833333336</x:v>
      </x:c>
      <x:c r="E27" s="44" t="str">
        <x:v>Prior U.S. close; closest eligible intraday snapshot as secondary</x:v>
      </x:c>
      <x:c r="F27" s="44" t="str">
        <x:v>2022Q1</x:v>
      </x:c>
      <x:c r="G27" s="44" t="str">
        <x:v>Revenue / Sales</x:v>
      </x:c>
      <x:c r="H27" s="44" t="str">
        <x:v>BEST_SALES_MEDIAN or point-in-time equivalent</x:v>
      </x:c>
      <x:c r="I27" s="44" t="str">
        <x:v>median</x:v>
      </x:c>
      <x:c r="J27" s="44" t="str">
        <x:v>&lt; 2022-02-15T21:30:00Z</x:v>
      </x:c>
      <x:c r="K27" s="44" t="str">
        <x:v>Exact 2022Q1; do not use rolling offset</x:v>
      </x:c>
      <x:c r="L27" s="46" t="str"/>
      <x:c r="M27" s="46" t="str"/>
      <x:c r="N27" s="57" t="str"/>
      <x:c r="O27" s="46" t="str"/>
      <x:c r="P27" s="46" t="str"/>
      <x:c r="Q27" s="46" t="str"/>
      <x:c r="R27" s="46" t="str"/>
      <x:c r="S27" s="11" t="str"/>
      <x:c r="T27" s="46" t="str">
        <x:v>pending_paid_authorization</x:v>
      </x:c>
      <x:c r="U27" s="46" t="str"/>
      <x:c r="V27" s="11" t="str">
        <x:f>IF(OR(L27="",N27=""),"PENDING",IF(N27&lt;D27,"PASS","FAIL: snapshot not pre-event"))</x:f>
        <x:v>PENDING</x:v>
      </x:c>
    </x:row>
    <x:row r="28">
      <x:c r="A28" s="11" t="str">
        <x:v>ABNB-2021Q4-INITIAL-REVENUE-HIGH</x:v>
      </x:c>
      <x:c r="B28" s="44" t="str">
        <x:v>ABNB US Equity</x:v>
      </x:c>
      <x:c r="C28" s="44" t="str">
        <x:v>ABNB-2021Q4-INITIAL</x:v>
      </x:c>
      <x:c r="D28" s="56" t="n">
        <x:v>44607.895833333336</x:v>
      </x:c>
      <x:c r="E28" s="44" t="str">
        <x:v>Prior U.S. close; closest eligible intraday snapshot as secondary</x:v>
      </x:c>
      <x:c r="F28" s="44" t="str">
        <x:v>2022Q1</x:v>
      </x:c>
      <x:c r="G28" s="44" t="str">
        <x:v>Revenue / Sales</x:v>
      </x:c>
      <x:c r="H28" s="44" t="str">
        <x:v>BEST_SALES_HIGH or point-in-time equivalent</x:v>
      </x:c>
      <x:c r="I28" s="44" t="str">
        <x:v>high</x:v>
      </x:c>
      <x:c r="J28" s="44" t="str">
        <x:v>&lt; 2022-02-15T21:30:00Z</x:v>
      </x:c>
      <x:c r="K28" s="44" t="str">
        <x:v>Exact 2022Q1; do not use rolling offset</x:v>
      </x:c>
      <x:c r="L28" s="46" t="str"/>
      <x:c r="M28" s="46" t="str"/>
      <x:c r="N28" s="57" t="str"/>
      <x:c r="O28" s="46" t="str"/>
      <x:c r="P28" s="46" t="str"/>
      <x:c r="Q28" s="46" t="str"/>
      <x:c r="R28" s="46" t="str"/>
      <x:c r="S28" s="11" t="str"/>
      <x:c r="T28" s="46" t="str">
        <x:v>pending_paid_authorization</x:v>
      </x:c>
      <x:c r="U28" s="46" t="str"/>
      <x:c r="V28" s="11" t="str">
        <x:f>IF(OR(L28="",N28=""),"PENDING",IF(N28&lt;D28,"PASS","FAIL: snapshot not pre-event"))</x:f>
        <x:v>PENDING</x:v>
      </x:c>
    </x:row>
    <x:row r="29">
      <x:c r="A29" s="11" t="str">
        <x:v>ABNB-2021Q4-INITIAL-REVENUE-LOW</x:v>
      </x:c>
      <x:c r="B29" s="44" t="str">
        <x:v>ABNB US Equity</x:v>
      </x:c>
      <x:c r="C29" s="44" t="str">
        <x:v>ABNB-2021Q4-INITIAL</x:v>
      </x:c>
      <x:c r="D29" s="56" t="n">
        <x:v>44607.895833333336</x:v>
      </x:c>
      <x:c r="E29" s="44" t="str">
        <x:v>Prior U.S. close; closest eligible intraday snapshot as secondary</x:v>
      </x:c>
      <x:c r="F29" s="44" t="str">
        <x:v>2022Q1</x:v>
      </x:c>
      <x:c r="G29" s="44" t="str">
        <x:v>Revenue / Sales</x:v>
      </x:c>
      <x:c r="H29" s="44" t="str">
        <x:v>BEST_SALES_LOW or point-in-time equivalent</x:v>
      </x:c>
      <x:c r="I29" s="44" t="str">
        <x:v>low</x:v>
      </x:c>
      <x:c r="J29" s="44" t="str">
        <x:v>&lt; 2022-02-15T21:30:00Z</x:v>
      </x:c>
      <x:c r="K29" s="44" t="str">
        <x:v>Exact 2022Q1; do not use rolling offset</x:v>
      </x:c>
      <x:c r="L29" s="46" t="str"/>
      <x:c r="M29" s="46" t="str"/>
      <x:c r="N29" s="57" t="str"/>
      <x:c r="O29" s="46" t="str"/>
      <x:c r="P29" s="46" t="str"/>
      <x:c r="Q29" s="46" t="str"/>
      <x:c r="R29" s="46" t="str"/>
      <x:c r="S29" s="11" t="str"/>
      <x:c r="T29" s="46" t="str">
        <x:v>pending_paid_authorization</x:v>
      </x:c>
      <x:c r="U29" s="46" t="str"/>
      <x:c r="V29" s="11" t="str">
        <x:f>IF(OR(L29="",N29=""),"PENDING",IF(N29&lt;D29,"PASS","FAIL: snapshot not pre-event"))</x:f>
        <x:v>PENDING</x:v>
      </x:c>
    </x:row>
    <x:row r="30">
      <x:c r="A30" s="11" t="str">
        <x:v>ABNB-2021Q4-INITIAL-REVENUE-ANALYST_COUNT</x:v>
      </x:c>
      <x:c r="B30" s="44" t="str">
        <x:v>ABNB US Equity</x:v>
      </x:c>
      <x:c r="C30" s="44" t="str">
        <x:v>ABNB-2021Q4-INITIAL</x:v>
      </x:c>
      <x:c r="D30" s="56" t="n">
        <x:v>44607.895833333336</x:v>
      </x:c>
      <x:c r="E30" s="44" t="str">
        <x:v>Prior U.S. close; closest eligible intraday snapshot as secondary</x:v>
      </x:c>
      <x:c r="F30" s="44" t="str">
        <x:v>2022Q1</x:v>
      </x:c>
      <x:c r="G30" s="44" t="str">
        <x:v>Revenue / Sales</x:v>
      </x:c>
      <x:c r="H30" s="44" t="str">
        <x:v>BEST_SALES_NUM_EST or point-in-time equivalent</x:v>
      </x:c>
      <x:c r="I30" s="44" t="str">
        <x:v>analyst_count</x:v>
      </x:c>
      <x:c r="J30" s="44" t="str">
        <x:v>&lt; 2022-02-15T21:30:00Z</x:v>
      </x:c>
      <x:c r="K30" s="44" t="str">
        <x:v>Exact 2022Q1; do not use rolling offset</x:v>
      </x:c>
      <x:c r="L30" s="46" t="str"/>
      <x:c r="M30" s="46" t="str"/>
      <x:c r="N30" s="57" t="str"/>
      <x:c r="O30" s="46" t="str"/>
      <x:c r="P30" s="46" t="str"/>
      <x:c r="Q30" s="46" t="str"/>
      <x:c r="R30" s="46" t="str"/>
      <x:c r="S30" s="11" t="str"/>
      <x:c r="T30" s="46" t="str">
        <x:v>pending_paid_authorization</x:v>
      </x:c>
      <x:c r="U30" s="46" t="str"/>
      <x:c r="V30" s="11" t="str">
        <x:f>IF(OR(L30="",N30=""),"PENDING",IF(N30&lt;D30,"PASS","FAIL: snapshot not pre-event"))</x:f>
        <x:v>PENDING</x:v>
      </x:c>
    </x:row>
    <x:row r="31">
      <x:c r="A31" s="11" t="str">
        <x:v>ABNB-2022Q1-INITIAL-REVENUE-MEAN</x:v>
      </x:c>
      <x:c r="B31" s="44" t="str">
        <x:v>ABNB US Equity</x:v>
      </x:c>
      <x:c r="C31" s="44" t="str">
        <x:v>ABNB-2022Q1-INITIAL</x:v>
      </x:c>
      <x:c r="D31" s="56" t="n">
        <x:v>44684.895833333336</x:v>
      </x:c>
      <x:c r="E31" s="44" t="str">
        <x:v>Prior U.S. close; closest eligible intraday snapshot as secondary</x:v>
      </x:c>
      <x:c r="F31" s="44" t="str">
        <x:v>2022Q2</x:v>
      </x:c>
      <x:c r="G31" s="44" t="str">
        <x:v>Revenue / Sales</x:v>
      </x:c>
      <x:c r="H31" s="44" t="str">
        <x:v>BEST_SALES (point-in-time history)</x:v>
      </x:c>
      <x:c r="I31" s="44" t="str">
        <x:v>mean</x:v>
      </x:c>
      <x:c r="J31" s="44" t="str">
        <x:v>&lt; 2022-05-03T21:30:00Z</x:v>
      </x:c>
      <x:c r="K31" s="44" t="str">
        <x:v>Exact 2022Q2; do not use rolling offset</x:v>
      </x:c>
      <x:c r="L31" s="46" t="str"/>
      <x:c r="M31" s="46" t="str"/>
      <x:c r="N31" s="57" t="str"/>
      <x:c r="O31" s="46" t="str"/>
      <x:c r="P31" s="46" t="str"/>
      <x:c r="Q31" s="46" t="str"/>
      <x:c r="R31" s="46" t="str"/>
      <x:c r="S31" s="11" t="str"/>
      <x:c r="T31" s="46" t="str">
        <x:v>pending_paid_authorization</x:v>
      </x:c>
      <x:c r="U31" s="46" t="str"/>
      <x:c r="V31" s="11" t="str">
        <x:f>IF(OR(L31="",N31=""),"PENDING",IF(N31&lt;D31,"PASS","FAIL: snapshot not pre-event"))</x:f>
        <x:v>PENDING</x:v>
      </x:c>
    </x:row>
    <x:row r="32">
      <x:c r="A32" s="11" t="str">
        <x:v>ABNB-2022Q1-INITIAL-REVENUE-MEDIAN</x:v>
      </x:c>
      <x:c r="B32" s="44" t="str">
        <x:v>ABNB US Equity</x:v>
      </x:c>
      <x:c r="C32" s="44" t="str">
        <x:v>ABNB-2022Q1-INITIAL</x:v>
      </x:c>
      <x:c r="D32" s="56" t="n">
        <x:v>44684.895833333336</x:v>
      </x:c>
      <x:c r="E32" s="44" t="str">
        <x:v>Prior U.S. close; closest eligible intraday snapshot as secondary</x:v>
      </x:c>
      <x:c r="F32" s="44" t="str">
        <x:v>2022Q2</x:v>
      </x:c>
      <x:c r="G32" s="44" t="str">
        <x:v>Revenue / Sales</x:v>
      </x:c>
      <x:c r="H32" s="44" t="str">
        <x:v>BEST_SALES_MEDIAN or point-in-time equivalent</x:v>
      </x:c>
      <x:c r="I32" s="44" t="str">
        <x:v>median</x:v>
      </x:c>
      <x:c r="J32" s="44" t="str">
        <x:v>&lt; 2022-05-03T21:30:00Z</x:v>
      </x:c>
      <x:c r="K32" s="44" t="str">
        <x:v>Exact 2022Q2; do not use rolling offset</x:v>
      </x:c>
      <x:c r="L32" s="46" t="str"/>
      <x:c r="M32" s="46" t="str"/>
      <x:c r="N32" s="57" t="str"/>
      <x:c r="O32" s="46" t="str"/>
      <x:c r="P32" s="46" t="str"/>
      <x:c r="Q32" s="46" t="str"/>
      <x:c r="R32" s="46" t="str"/>
      <x:c r="S32" s="11" t="str"/>
      <x:c r="T32" s="46" t="str">
        <x:v>pending_paid_authorization</x:v>
      </x:c>
      <x:c r="U32" s="46" t="str"/>
      <x:c r="V32" s="11" t="str">
        <x:f>IF(OR(L32="",N32=""),"PENDING",IF(N32&lt;D32,"PASS","FAIL: snapshot not pre-event"))</x:f>
        <x:v>PENDING</x:v>
      </x:c>
    </x:row>
    <x:row r="33">
      <x:c r="A33" s="11" t="str">
        <x:v>ABNB-2022Q1-INITIAL-REVENUE-HIGH</x:v>
      </x:c>
      <x:c r="B33" s="44" t="str">
        <x:v>ABNB US Equity</x:v>
      </x:c>
      <x:c r="C33" s="44" t="str">
        <x:v>ABNB-2022Q1-INITIAL</x:v>
      </x:c>
      <x:c r="D33" s="56" t="n">
        <x:v>44684.895833333336</x:v>
      </x:c>
      <x:c r="E33" s="44" t="str">
        <x:v>Prior U.S. close; closest eligible intraday snapshot as secondary</x:v>
      </x:c>
      <x:c r="F33" s="44" t="str">
        <x:v>2022Q2</x:v>
      </x:c>
      <x:c r="G33" s="44" t="str">
        <x:v>Revenue / Sales</x:v>
      </x:c>
      <x:c r="H33" s="44" t="str">
        <x:v>BEST_SALES_HIGH or point-in-time equivalent</x:v>
      </x:c>
      <x:c r="I33" s="44" t="str">
        <x:v>high</x:v>
      </x:c>
      <x:c r="J33" s="44" t="str">
        <x:v>&lt; 2022-05-03T21:30:00Z</x:v>
      </x:c>
      <x:c r="K33" s="44" t="str">
        <x:v>Exact 2022Q2; do not use rolling offset</x:v>
      </x:c>
      <x:c r="L33" s="46" t="str"/>
      <x:c r="M33" s="46" t="str"/>
      <x:c r="N33" s="57" t="str"/>
      <x:c r="O33" s="46" t="str"/>
      <x:c r="P33" s="46" t="str"/>
      <x:c r="Q33" s="46" t="str"/>
      <x:c r="R33" s="46" t="str"/>
      <x:c r="S33" s="11" t="str"/>
      <x:c r="T33" s="46" t="str">
        <x:v>pending_paid_authorization</x:v>
      </x:c>
      <x:c r="U33" s="46" t="str"/>
      <x:c r="V33" s="11" t="str">
        <x:f>IF(OR(L33="",N33=""),"PENDING",IF(N33&lt;D33,"PASS","FAIL: snapshot not pre-event"))</x:f>
        <x:v>PENDING</x:v>
      </x:c>
    </x:row>
    <x:row r="34">
      <x:c r="A34" s="11" t="str">
        <x:v>ABNB-2022Q1-INITIAL-REVENUE-LOW</x:v>
      </x:c>
      <x:c r="B34" s="44" t="str">
        <x:v>ABNB US Equity</x:v>
      </x:c>
      <x:c r="C34" s="44" t="str">
        <x:v>ABNB-2022Q1-INITIAL</x:v>
      </x:c>
      <x:c r="D34" s="56" t="n">
        <x:v>44684.895833333336</x:v>
      </x:c>
      <x:c r="E34" s="44" t="str">
        <x:v>Prior U.S. close; closest eligible intraday snapshot as secondary</x:v>
      </x:c>
      <x:c r="F34" s="44" t="str">
        <x:v>2022Q2</x:v>
      </x:c>
      <x:c r="G34" s="44" t="str">
        <x:v>Revenue / Sales</x:v>
      </x:c>
      <x:c r="H34" s="44" t="str">
        <x:v>BEST_SALES_LOW or point-in-time equivalent</x:v>
      </x:c>
      <x:c r="I34" s="44" t="str">
        <x:v>low</x:v>
      </x:c>
      <x:c r="J34" s="44" t="str">
        <x:v>&lt; 2022-05-03T21:30:00Z</x:v>
      </x:c>
      <x:c r="K34" s="44" t="str">
        <x:v>Exact 2022Q2; do not use rolling offset</x:v>
      </x:c>
      <x:c r="L34" s="46" t="str"/>
      <x:c r="M34" s="46" t="str"/>
      <x:c r="N34" s="57" t="str"/>
      <x:c r="O34" s="46" t="str"/>
      <x:c r="P34" s="46" t="str"/>
      <x:c r="Q34" s="46" t="str"/>
      <x:c r="R34" s="46" t="str"/>
      <x:c r="S34" s="11" t="str"/>
      <x:c r="T34" s="46" t="str">
        <x:v>pending_paid_authorization</x:v>
      </x:c>
      <x:c r="U34" s="46" t="str"/>
      <x:c r="V34" s="11" t="str">
        <x:f>IF(OR(L34="",N34=""),"PENDING",IF(N34&lt;D34,"PASS","FAIL: snapshot not pre-event"))</x:f>
        <x:v>PENDING</x:v>
      </x:c>
    </x:row>
    <x:row r="35">
      <x:c r="A35" s="11" t="str">
        <x:v>ABNB-2022Q1-INITIAL-REVENUE-ANALYST_COUNT</x:v>
      </x:c>
      <x:c r="B35" s="44" t="str">
        <x:v>ABNB US Equity</x:v>
      </x:c>
      <x:c r="C35" s="44" t="str">
        <x:v>ABNB-2022Q1-INITIAL</x:v>
      </x:c>
      <x:c r="D35" s="56" t="n">
        <x:v>44684.895833333336</x:v>
      </x:c>
      <x:c r="E35" s="44" t="str">
        <x:v>Prior U.S. close; closest eligible intraday snapshot as secondary</x:v>
      </x:c>
      <x:c r="F35" s="44" t="str">
        <x:v>2022Q2</x:v>
      </x:c>
      <x:c r="G35" s="44" t="str">
        <x:v>Revenue / Sales</x:v>
      </x:c>
      <x:c r="H35" s="44" t="str">
        <x:v>BEST_SALES_NUM_EST or point-in-time equivalent</x:v>
      </x:c>
      <x:c r="I35" s="44" t="str">
        <x:v>analyst_count</x:v>
      </x:c>
      <x:c r="J35" s="44" t="str">
        <x:v>&lt; 2022-05-03T21:30:00Z</x:v>
      </x:c>
      <x:c r="K35" s="44" t="str">
        <x:v>Exact 2022Q2; do not use rolling offset</x:v>
      </x:c>
      <x:c r="L35" s="46" t="str"/>
      <x:c r="M35" s="46" t="str"/>
      <x:c r="N35" s="57" t="str"/>
      <x:c r="O35" s="46" t="str"/>
      <x:c r="P35" s="46" t="str"/>
      <x:c r="Q35" s="46" t="str"/>
      <x:c r="R35" s="46" t="str"/>
      <x:c r="S35" s="11" t="str"/>
      <x:c r="T35" s="46" t="str">
        <x:v>pending_paid_authorization</x:v>
      </x:c>
      <x:c r="U35" s="46" t="str"/>
      <x:c r="V35" s="11" t="str">
        <x:f>IF(OR(L35="",N35=""),"PENDING",IF(N35&lt;D35,"PASS","FAIL: snapshot not pre-event"))</x:f>
        <x:v>PENDING</x:v>
      </x:c>
    </x:row>
    <x:row r="36">
      <x:c r="A36" s="11" t="str">
        <x:v>ABNB-2022Q2-INITIAL-REVENUE-MEAN</x:v>
      </x:c>
      <x:c r="B36" s="44" t="str">
        <x:v>ABNB US Equity</x:v>
      </x:c>
      <x:c r="C36" s="44" t="str">
        <x:v>ABNB-2022Q2-INITIAL</x:v>
      </x:c>
      <x:c r="D36" s="56" t="n">
        <x:v>44775.854166666664</x:v>
      </x:c>
      <x:c r="E36" s="44" t="str">
        <x:v>Prior U.S. close; closest eligible intraday snapshot as secondary</x:v>
      </x:c>
      <x:c r="F36" s="44" t="str">
        <x:v>2022Q3</x:v>
      </x:c>
      <x:c r="G36" s="44" t="str">
        <x:v>Revenue / Sales</x:v>
      </x:c>
      <x:c r="H36" s="44" t="str">
        <x:v>BEST_SALES (point-in-time history)</x:v>
      </x:c>
      <x:c r="I36" s="44" t="str">
        <x:v>mean</x:v>
      </x:c>
      <x:c r="J36" s="44" t="str">
        <x:v>&lt; 2022-08-02T20:30:00Z</x:v>
      </x:c>
      <x:c r="K36" s="44" t="str">
        <x:v>Exact 2022Q3; do not use rolling offset</x:v>
      </x:c>
      <x:c r="L36" s="46" t="str"/>
      <x:c r="M36" s="46" t="str"/>
      <x:c r="N36" s="57" t="str"/>
      <x:c r="O36" s="46" t="str"/>
      <x:c r="P36" s="46" t="str"/>
      <x:c r="Q36" s="46" t="str"/>
      <x:c r="R36" s="46" t="str"/>
      <x:c r="S36" s="11" t="str"/>
      <x:c r="T36" s="46" t="str">
        <x:v>pending_paid_authorization</x:v>
      </x:c>
      <x:c r="U36" s="46" t="str"/>
      <x:c r="V36" s="11" t="str">
        <x:f>IF(OR(L36="",N36=""),"PENDING",IF(N36&lt;D36,"PASS","FAIL: snapshot not pre-event"))</x:f>
        <x:v>PENDING</x:v>
      </x:c>
    </x:row>
    <x:row r="37">
      <x:c r="A37" s="11" t="str">
        <x:v>ABNB-2022Q2-INITIAL-REVENUE-MEDIAN</x:v>
      </x:c>
      <x:c r="B37" s="44" t="str">
        <x:v>ABNB US Equity</x:v>
      </x:c>
      <x:c r="C37" s="44" t="str">
        <x:v>ABNB-2022Q2-INITIAL</x:v>
      </x:c>
      <x:c r="D37" s="56" t="n">
        <x:v>44775.854166666664</x:v>
      </x:c>
      <x:c r="E37" s="44" t="str">
        <x:v>Prior U.S. close; closest eligible intraday snapshot as secondary</x:v>
      </x:c>
      <x:c r="F37" s="44" t="str">
        <x:v>2022Q3</x:v>
      </x:c>
      <x:c r="G37" s="44" t="str">
        <x:v>Revenue / Sales</x:v>
      </x:c>
      <x:c r="H37" s="44" t="str">
        <x:v>BEST_SALES_MEDIAN or point-in-time equivalent</x:v>
      </x:c>
      <x:c r="I37" s="44" t="str">
        <x:v>median</x:v>
      </x:c>
      <x:c r="J37" s="44" t="str">
        <x:v>&lt; 2022-08-02T20:30:00Z</x:v>
      </x:c>
      <x:c r="K37" s="44" t="str">
        <x:v>Exact 2022Q3; do not use rolling offset</x:v>
      </x:c>
      <x:c r="L37" s="46" t="str"/>
      <x:c r="M37" s="46" t="str"/>
      <x:c r="N37" s="57" t="str"/>
      <x:c r="O37" s="46" t="str"/>
      <x:c r="P37" s="46" t="str"/>
      <x:c r="Q37" s="46" t="str"/>
      <x:c r="R37" s="46" t="str"/>
      <x:c r="S37" s="11" t="str"/>
      <x:c r="T37" s="46" t="str">
        <x:v>pending_paid_authorization</x:v>
      </x:c>
      <x:c r="U37" s="46" t="str"/>
      <x:c r="V37" s="11" t="str">
        <x:f>IF(OR(L37="",N37=""),"PENDING",IF(N37&lt;D37,"PASS","FAIL: snapshot not pre-event"))</x:f>
        <x:v>PENDING</x:v>
      </x:c>
    </x:row>
    <x:row r="38">
      <x:c r="A38" s="11" t="str">
        <x:v>ABNB-2022Q2-INITIAL-REVENUE-HIGH</x:v>
      </x:c>
      <x:c r="B38" s="44" t="str">
        <x:v>ABNB US Equity</x:v>
      </x:c>
      <x:c r="C38" s="44" t="str">
        <x:v>ABNB-2022Q2-INITIAL</x:v>
      </x:c>
      <x:c r="D38" s="56" t="n">
        <x:v>44775.854166666664</x:v>
      </x:c>
      <x:c r="E38" s="44" t="str">
        <x:v>Prior U.S. close; closest eligible intraday snapshot as secondary</x:v>
      </x:c>
      <x:c r="F38" s="44" t="str">
        <x:v>2022Q3</x:v>
      </x:c>
      <x:c r="G38" s="44" t="str">
        <x:v>Revenue / Sales</x:v>
      </x:c>
      <x:c r="H38" s="44" t="str">
        <x:v>BEST_SALES_HIGH or point-in-time equivalent</x:v>
      </x:c>
      <x:c r="I38" s="44" t="str">
        <x:v>high</x:v>
      </x:c>
      <x:c r="J38" s="44" t="str">
        <x:v>&lt; 2022-08-02T20:30:00Z</x:v>
      </x:c>
      <x:c r="K38" s="44" t="str">
        <x:v>Exact 2022Q3; do not use rolling offset</x:v>
      </x:c>
      <x:c r="L38" s="46" t="str"/>
      <x:c r="M38" s="46" t="str"/>
      <x:c r="N38" s="57" t="str"/>
      <x:c r="O38" s="46" t="str"/>
      <x:c r="P38" s="46" t="str"/>
      <x:c r="Q38" s="46" t="str"/>
      <x:c r="R38" s="46" t="str"/>
      <x:c r="S38" s="11" t="str"/>
      <x:c r="T38" s="46" t="str">
        <x:v>pending_paid_authorization</x:v>
      </x:c>
      <x:c r="U38" s="46" t="str"/>
      <x:c r="V38" s="11" t="str">
        <x:f>IF(OR(L38="",N38=""),"PENDING",IF(N38&lt;D38,"PASS","FAIL: snapshot not pre-event"))</x:f>
        <x:v>PENDING</x:v>
      </x:c>
    </x:row>
    <x:row r="39">
      <x:c r="A39" s="11" t="str">
        <x:v>ABNB-2022Q2-INITIAL-REVENUE-LOW</x:v>
      </x:c>
      <x:c r="B39" s="44" t="str">
        <x:v>ABNB US Equity</x:v>
      </x:c>
      <x:c r="C39" s="44" t="str">
        <x:v>ABNB-2022Q2-INITIAL</x:v>
      </x:c>
      <x:c r="D39" s="56" t="n">
        <x:v>44775.854166666664</x:v>
      </x:c>
      <x:c r="E39" s="44" t="str">
        <x:v>Prior U.S. close; closest eligible intraday snapshot as secondary</x:v>
      </x:c>
      <x:c r="F39" s="44" t="str">
        <x:v>2022Q3</x:v>
      </x:c>
      <x:c r="G39" s="44" t="str">
        <x:v>Revenue / Sales</x:v>
      </x:c>
      <x:c r="H39" s="44" t="str">
        <x:v>BEST_SALES_LOW or point-in-time equivalent</x:v>
      </x:c>
      <x:c r="I39" s="44" t="str">
        <x:v>low</x:v>
      </x:c>
      <x:c r="J39" s="44" t="str">
        <x:v>&lt; 2022-08-02T20:30:00Z</x:v>
      </x:c>
      <x:c r="K39" s="44" t="str">
        <x:v>Exact 2022Q3; do not use rolling offset</x:v>
      </x:c>
      <x:c r="L39" s="46" t="str"/>
      <x:c r="M39" s="46" t="str"/>
      <x:c r="N39" s="57" t="str"/>
      <x:c r="O39" s="46" t="str"/>
      <x:c r="P39" s="46" t="str"/>
      <x:c r="Q39" s="46" t="str"/>
      <x:c r="R39" s="46" t="str"/>
      <x:c r="S39" s="11" t="str"/>
      <x:c r="T39" s="46" t="str">
        <x:v>pending_paid_authorization</x:v>
      </x:c>
      <x:c r="U39" s="46" t="str"/>
      <x:c r="V39" s="11" t="str">
        <x:f>IF(OR(L39="",N39=""),"PENDING",IF(N39&lt;D39,"PASS","FAIL: snapshot not pre-event"))</x:f>
        <x:v>PENDING</x:v>
      </x:c>
    </x:row>
    <x:row r="40">
      <x:c r="A40" s="11" t="str">
        <x:v>ABNB-2022Q2-INITIAL-REVENUE-ANALYST_COUNT</x:v>
      </x:c>
      <x:c r="B40" s="44" t="str">
        <x:v>ABNB US Equity</x:v>
      </x:c>
      <x:c r="C40" s="44" t="str">
        <x:v>ABNB-2022Q2-INITIAL</x:v>
      </x:c>
      <x:c r="D40" s="56" t="n">
        <x:v>44775.854166666664</x:v>
      </x:c>
      <x:c r="E40" s="44" t="str">
        <x:v>Prior U.S. close; closest eligible intraday snapshot as secondary</x:v>
      </x:c>
      <x:c r="F40" s="44" t="str">
        <x:v>2022Q3</x:v>
      </x:c>
      <x:c r="G40" s="44" t="str">
        <x:v>Revenue / Sales</x:v>
      </x:c>
      <x:c r="H40" s="44" t="str">
        <x:v>BEST_SALES_NUM_EST or point-in-time equivalent</x:v>
      </x:c>
      <x:c r="I40" s="44" t="str">
        <x:v>analyst_count</x:v>
      </x:c>
      <x:c r="J40" s="44" t="str">
        <x:v>&lt; 2022-08-02T20:30:00Z</x:v>
      </x:c>
      <x:c r="K40" s="44" t="str">
        <x:v>Exact 2022Q3; do not use rolling offset</x:v>
      </x:c>
      <x:c r="L40" s="46" t="str"/>
      <x:c r="M40" s="46" t="str"/>
      <x:c r="N40" s="57" t="str"/>
      <x:c r="O40" s="46" t="str"/>
      <x:c r="P40" s="46" t="str"/>
      <x:c r="Q40" s="46" t="str"/>
      <x:c r="R40" s="46" t="str"/>
      <x:c r="S40" s="11" t="str"/>
      <x:c r="T40" s="46" t="str">
        <x:v>pending_paid_authorization</x:v>
      </x:c>
      <x:c r="U40" s="46" t="str"/>
      <x:c r="V40" s="11" t="str">
        <x:f>IF(OR(L40="",N40=""),"PENDING",IF(N40&lt;D40,"PASS","FAIL: snapshot not pre-event"))</x:f>
        <x:v>PENDING</x:v>
      </x:c>
    </x:row>
    <x:row r="41">
      <x:c r="A41" s="11" t="str">
        <x:v>ABNB-2022Q3-INITIAL-REVENUE-MEAN</x:v>
      </x:c>
      <x:c r="B41" s="44" t="str">
        <x:v>ABNB US Equity</x:v>
      </x:c>
      <x:c r="C41" s="44" t="str">
        <x:v>ABNB-2022Q3-INITIAL</x:v>
      </x:c>
      <x:c r="D41" s="56" t="n">
        <x:v>44866.854166666664</x:v>
      </x:c>
      <x:c r="E41" s="44" t="str">
        <x:v>Prior U.S. close; closest eligible intraday snapshot as secondary</x:v>
      </x:c>
      <x:c r="F41" s="44" t="str">
        <x:v>2022Q4</x:v>
      </x:c>
      <x:c r="G41" s="44" t="str">
        <x:v>Revenue / Sales</x:v>
      </x:c>
      <x:c r="H41" s="44" t="str">
        <x:v>BEST_SALES (point-in-time history)</x:v>
      </x:c>
      <x:c r="I41" s="44" t="str">
        <x:v>mean</x:v>
      </x:c>
      <x:c r="J41" s="44" t="str">
        <x:v>&lt; 2022-11-01T20:30:00Z</x:v>
      </x:c>
      <x:c r="K41" s="44" t="str">
        <x:v>Exact 2022Q4; do not use rolling offset</x:v>
      </x:c>
      <x:c r="L41" s="46" t="str"/>
      <x:c r="M41" s="46" t="str"/>
      <x:c r="N41" s="57" t="str"/>
      <x:c r="O41" s="46" t="str"/>
      <x:c r="P41" s="46" t="str"/>
      <x:c r="Q41" s="46" t="str"/>
      <x:c r="R41" s="46" t="str"/>
      <x:c r="S41" s="11" t="str"/>
      <x:c r="T41" s="46" t="str">
        <x:v>pending_paid_authorization</x:v>
      </x:c>
      <x:c r="U41" s="46" t="str"/>
      <x:c r="V41" s="11" t="str">
        <x:f>IF(OR(L41="",N41=""),"PENDING",IF(N41&lt;D41,"PASS","FAIL: snapshot not pre-event"))</x:f>
        <x:v>PENDING</x:v>
      </x:c>
    </x:row>
    <x:row r="42">
      <x:c r="A42" s="11" t="str">
        <x:v>ABNB-2022Q3-INITIAL-REVENUE-MEDIAN</x:v>
      </x:c>
      <x:c r="B42" s="44" t="str">
        <x:v>ABNB US Equity</x:v>
      </x:c>
      <x:c r="C42" s="44" t="str">
        <x:v>ABNB-2022Q3-INITIAL</x:v>
      </x:c>
      <x:c r="D42" s="56" t="n">
        <x:v>44866.854166666664</x:v>
      </x:c>
      <x:c r="E42" s="44" t="str">
        <x:v>Prior U.S. close; closest eligible intraday snapshot as secondary</x:v>
      </x:c>
      <x:c r="F42" s="44" t="str">
        <x:v>2022Q4</x:v>
      </x:c>
      <x:c r="G42" s="44" t="str">
        <x:v>Revenue / Sales</x:v>
      </x:c>
      <x:c r="H42" s="44" t="str">
        <x:v>BEST_SALES_MEDIAN or point-in-time equivalent</x:v>
      </x:c>
      <x:c r="I42" s="44" t="str">
        <x:v>median</x:v>
      </x:c>
      <x:c r="J42" s="44" t="str">
        <x:v>&lt; 2022-11-01T20:30:00Z</x:v>
      </x:c>
      <x:c r="K42" s="44" t="str">
        <x:v>Exact 2022Q4; do not use rolling offset</x:v>
      </x:c>
      <x:c r="L42" s="46" t="str"/>
      <x:c r="M42" s="46" t="str"/>
      <x:c r="N42" s="57" t="str"/>
      <x:c r="O42" s="46" t="str"/>
      <x:c r="P42" s="46" t="str"/>
      <x:c r="Q42" s="46" t="str"/>
      <x:c r="R42" s="46" t="str"/>
      <x:c r="S42" s="11" t="str"/>
      <x:c r="T42" s="46" t="str">
        <x:v>pending_paid_authorization</x:v>
      </x:c>
      <x:c r="U42" s="46" t="str"/>
      <x:c r="V42" s="11" t="str">
        <x:f>IF(OR(L42="",N42=""),"PENDING",IF(N42&lt;D42,"PASS","FAIL: snapshot not pre-event"))</x:f>
        <x:v>PENDING</x:v>
      </x:c>
    </x:row>
    <x:row r="43">
      <x:c r="A43" s="11" t="str">
        <x:v>ABNB-2022Q3-INITIAL-REVENUE-HIGH</x:v>
      </x:c>
      <x:c r="B43" s="44" t="str">
        <x:v>ABNB US Equity</x:v>
      </x:c>
      <x:c r="C43" s="44" t="str">
        <x:v>ABNB-2022Q3-INITIAL</x:v>
      </x:c>
      <x:c r="D43" s="56" t="n">
        <x:v>44866.854166666664</x:v>
      </x:c>
      <x:c r="E43" s="44" t="str">
        <x:v>Prior U.S. close; closest eligible intraday snapshot as secondary</x:v>
      </x:c>
      <x:c r="F43" s="44" t="str">
        <x:v>2022Q4</x:v>
      </x:c>
      <x:c r="G43" s="44" t="str">
        <x:v>Revenue / Sales</x:v>
      </x:c>
      <x:c r="H43" s="44" t="str">
        <x:v>BEST_SALES_HIGH or point-in-time equivalent</x:v>
      </x:c>
      <x:c r="I43" s="44" t="str">
        <x:v>high</x:v>
      </x:c>
      <x:c r="J43" s="44" t="str">
        <x:v>&lt; 2022-11-01T20:30:00Z</x:v>
      </x:c>
      <x:c r="K43" s="44" t="str">
        <x:v>Exact 2022Q4; do not use rolling offset</x:v>
      </x:c>
      <x:c r="L43" s="46" t="str"/>
      <x:c r="M43" s="46" t="str"/>
      <x:c r="N43" s="57" t="str"/>
      <x:c r="O43" s="46" t="str"/>
      <x:c r="P43" s="46" t="str"/>
      <x:c r="Q43" s="46" t="str"/>
      <x:c r="R43" s="46" t="str"/>
      <x:c r="S43" s="11" t="str"/>
      <x:c r="T43" s="46" t="str">
        <x:v>pending_paid_authorization</x:v>
      </x:c>
      <x:c r="U43" s="46" t="str"/>
      <x:c r="V43" s="11" t="str">
        <x:f>IF(OR(L43="",N43=""),"PENDING",IF(N43&lt;D43,"PASS","FAIL: snapshot not pre-event"))</x:f>
        <x:v>PENDING</x:v>
      </x:c>
    </x:row>
    <x:row r="44">
      <x:c r="A44" s="11" t="str">
        <x:v>ABNB-2022Q3-INITIAL-REVENUE-LOW</x:v>
      </x:c>
      <x:c r="B44" s="44" t="str">
        <x:v>ABNB US Equity</x:v>
      </x:c>
      <x:c r="C44" s="44" t="str">
        <x:v>ABNB-2022Q3-INITIAL</x:v>
      </x:c>
      <x:c r="D44" s="56" t="n">
        <x:v>44866.854166666664</x:v>
      </x:c>
      <x:c r="E44" s="44" t="str">
        <x:v>Prior U.S. close; closest eligible intraday snapshot as secondary</x:v>
      </x:c>
      <x:c r="F44" s="44" t="str">
        <x:v>2022Q4</x:v>
      </x:c>
      <x:c r="G44" s="44" t="str">
        <x:v>Revenue / Sales</x:v>
      </x:c>
      <x:c r="H44" s="44" t="str">
        <x:v>BEST_SALES_LOW or point-in-time equivalent</x:v>
      </x:c>
      <x:c r="I44" s="44" t="str">
        <x:v>low</x:v>
      </x:c>
      <x:c r="J44" s="44" t="str">
        <x:v>&lt; 2022-11-01T20:30:00Z</x:v>
      </x:c>
      <x:c r="K44" s="44" t="str">
        <x:v>Exact 2022Q4; do not use rolling offset</x:v>
      </x:c>
      <x:c r="L44" s="46" t="str"/>
      <x:c r="M44" s="46" t="str"/>
      <x:c r="N44" s="57" t="str"/>
      <x:c r="O44" s="46" t="str"/>
      <x:c r="P44" s="46" t="str"/>
      <x:c r="Q44" s="46" t="str"/>
      <x:c r="R44" s="46" t="str"/>
      <x:c r="S44" s="11" t="str"/>
      <x:c r="T44" s="46" t="str">
        <x:v>pending_paid_authorization</x:v>
      </x:c>
      <x:c r="U44" s="46" t="str"/>
      <x:c r="V44" s="11" t="str">
        <x:f>IF(OR(L44="",N44=""),"PENDING",IF(N44&lt;D44,"PASS","FAIL: snapshot not pre-event"))</x:f>
        <x:v>PENDING</x:v>
      </x:c>
    </x:row>
    <x:row r="45">
      <x:c r="A45" s="11" t="str">
        <x:v>ABNB-2022Q3-INITIAL-REVENUE-ANALYST_COUNT</x:v>
      </x:c>
      <x:c r="B45" s="44" t="str">
        <x:v>ABNB US Equity</x:v>
      </x:c>
      <x:c r="C45" s="44" t="str">
        <x:v>ABNB-2022Q3-INITIAL</x:v>
      </x:c>
      <x:c r="D45" s="56" t="n">
        <x:v>44866.854166666664</x:v>
      </x:c>
      <x:c r="E45" s="44" t="str">
        <x:v>Prior U.S. close; closest eligible intraday snapshot as secondary</x:v>
      </x:c>
      <x:c r="F45" s="44" t="str">
        <x:v>2022Q4</x:v>
      </x:c>
      <x:c r="G45" s="44" t="str">
        <x:v>Revenue / Sales</x:v>
      </x:c>
      <x:c r="H45" s="44" t="str">
        <x:v>BEST_SALES_NUM_EST or point-in-time equivalent</x:v>
      </x:c>
      <x:c r="I45" s="44" t="str">
        <x:v>analyst_count</x:v>
      </x:c>
      <x:c r="J45" s="44" t="str">
        <x:v>&lt; 2022-11-01T20:30:00Z</x:v>
      </x:c>
      <x:c r="K45" s="44" t="str">
        <x:v>Exact 2022Q4; do not use rolling offset</x:v>
      </x:c>
      <x:c r="L45" s="46" t="str"/>
      <x:c r="M45" s="46" t="str"/>
      <x:c r="N45" s="57" t="str"/>
      <x:c r="O45" s="46" t="str"/>
      <x:c r="P45" s="46" t="str"/>
      <x:c r="Q45" s="46" t="str"/>
      <x:c r="R45" s="46" t="str"/>
      <x:c r="S45" s="11" t="str"/>
      <x:c r="T45" s="46" t="str">
        <x:v>pending_paid_authorization</x:v>
      </x:c>
      <x:c r="U45" s="46" t="str"/>
      <x:c r="V45" s="11" t="str">
        <x:f>IF(OR(L45="",N45=""),"PENDING",IF(N45&lt;D45,"PASS","FAIL: snapshot not pre-event"))</x:f>
        <x:v>PENDING</x:v>
      </x:c>
    </x:row>
    <x:row r="46">
      <x:c r="A46" s="11" t="str">
        <x:v>ABNB-2022Q4-INITIAL-REVENUE-MEAN</x:v>
      </x:c>
      <x:c r="B46" s="44" t="str">
        <x:v>ABNB US Equity</x:v>
      </x:c>
      <x:c r="C46" s="44" t="str">
        <x:v>ABNB-2022Q4-INITIAL</x:v>
      </x:c>
      <x:c r="D46" s="56" t="n">
        <x:v>44971.895833333336</x:v>
      </x:c>
      <x:c r="E46" s="44" t="str">
        <x:v>Prior U.S. close; closest eligible intraday snapshot as secondary</x:v>
      </x:c>
      <x:c r="F46" s="44" t="str">
        <x:v>2023Q1</x:v>
      </x:c>
      <x:c r="G46" s="44" t="str">
        <x:v>Revenue / Sales</x:v>
      </x:c>
      <x:c r="H46" s="44" t="str">
        <x:v>BEST_SALES (point-in-time history)</x:v>
      </x:c>
      <x:c r="I46" s="44" t="str">
        <x:v>mean</x:v>
      </x:c>
      <x:c r="J46" s="44" t="str">
        <x:v>&lt; 2023-02-14T21:30:00Z</x:v>
      </x:c>
      <x:c r="K46" s="44" t="str">
        <x:v>Exact 2023Q1; do not use rolling offset</x:v>
      </x:c>
      <x:c r="L46" s="46" t="str"/>
      <x:c r="M46" s="46" t="str"/>
      <x:c r="N46" s="57" t="str"/>
      <x:c r="O46" s="46" t="str"/>
      <x:c r="P46" s="46" t="str"/>
      <x:c r="Q46" s="46" t="str"/>
      <x:c r="R46" s="46" t="str"/>
      <x:c r="S46" s="11" t="str"/>
      <x:c r="T46" s="46" t="str">
        <x:v>pending_paid_authorization</x:v>
      </x:c>
      <x:c r="U46" s="46" t="str"/>
      <x:c r="V46" s="11" t="str">
        <x:f>IF(OR(L46="",N46=""),"PENDING",IF(N46&lt;D46,"PASS","FAIL: snapshot not pre-event"))</x:f>
        <x:v>PENDING</x:v>
      </x:c>
    </x:row>
    <x:row r="47">
      <x:c r="A47" s="11" t="str">
        <x:v>ABNB-2022Q4-INITIAL-REVENUE-MEDIAN</x:v>
      </x:c>
      <x:c r="B47" s="44" t="str">
        <x:v>ABNB US Equity</x:v>
      </x:c>
      <x:c r="C47" s="44" t="str">
        <x:v>ABNB-2022Q4-INITIAL</x:v>
      </x:c>
      <x:c r="D47" s="56" t="n">
        <x:v>44971.895833333336</x:v>
      </x:c>
      <x:c r="E47" s="44" t="str">
        <x:v>Prior U.S. close; closest eligible intraday snapshot as secondary</x:v>
      </x:c>
      <x:c r="F47" s="44" t="str">
        <x:v>2023Q1</x:v>
      </x:c>
      <x:c r="G47" s="44" t="str">
        <x:v>Revenue / Sales</x:v>
      </x:c>
      <x:c r="H47" s="44" t="str">
        <x:v>BEST_SALES_MEDIAN or point-in-time equivalent</x:v>
      </x:c>
      <x:c r="I47" s="44" t="str">
        <x:v>median</x:v>
      </x:c>
      <x:c r="J47" s="44" t="str">
        <x:v>&lt; 2023-02-14T21:30:00Z</x:v>
      </x:c>
      <x:c r="K47" s="44" t="str">
        <x:v>Exact 2023Q1; do not use rolling offset</x:v>
      </x:c>
      <x:c r="L47" s="46" t="str"/>
      <x:c r="M47" s="46" t="str"/>
      <x:c r="N47" s="57" t="str"/>
      <x:c r="O47" s="46" t="str"/>
      <x:c r="P47" s="46" t="str"/>
      <x:c r="Q47" s="46" t="str"/>
      <x:c r="R47" s="46" t="str"/>
      <x:c r="S47" s="11" t="str"/>
      <x:c r="T47" s="46" t="str">
        <x:v>pending_paid_authorization</x:v>
      </x:c>
      <x:c r="U47" s="46" t="str"/>
      <x:c r="V47" s="11" t="str">
        <x:f>IF(OR(L47="",N47=""),"PENDING",IF(N47&lt;D47,"PASS","FAIL: snapshot not pre-event"))</x:f>
        <x:v>PENDING</x:v>
      </x:c>
    </x:row>
    <x:row r="48">
      <x:c r="A48" s="11" t="str">
        <x:v>ABNB-2022Q4-INITIAL-REVENUE-HIGH</x:v>
      </x:c>
      <x:c r="B48" s="44" t="str">
        <x:v>ABNB US Equity</x:v>
      </x:c>
      <x:c r="C48" s="44" t="str">
        <x:v>ABNB-2022Q4-INITIAL</x:v>
      </x:c>
      <x:c r="D48" s="56" t="n">
        <x:v>44971.895833333336</x:v>
      </x:c>
      <x:c r="E48" s="44" t="str">
        <x:v>Prior U.S. close; closest eligible intraday snapshot as secondary</x:v>
      </x:c>
      <x:c r="F48" s="44" t="str">
        <x:v>2023Q1</x:v>
      </x:c>
      <x:c r="G48" s="44" t="str">
        <x:v>Revenue / Sales</x:v>
      </x:c>
      <x:c r="H48" s="44" t="str">
        <x:v>BEST_SALES_HIGH or point-in-time equivalent</x:v>
      </x:c>
      <x:c r="I48" s="44" t="str">
        <x:v>high</x:v>
      </x:c>
      <x:c r="J48" s="44" t="str">
        <x:v>&lt; 2023-02-14T21:30:00Z</x:v>
      </x:c>
      <x:c r="K48" s="44" t="str">
        <x:v>Exact 2023Q1; do not use rolling offset</x:v>
      </x:c>
      <x:c r="L48" s="46" t="str"/>
      <x:c r="M48" s="46" t="str"/>
      <x:c r="N48" s="57" t="str"/>
      <x:c r="O48" s="46" t="str"/>
      <x:c r="P48" s="46" t="str"/>
      <x:c r="Q48" s="46" t="str"/>
      <x:c r="R48" s="46" t="str"/>
      <x:c r="S48" s="11" t="str"/>
      <x:c r="T48" s="46" t="str">
        <x:v>pending_paid_authorization</x:v>
      </x:c>
      <x:c r="U48" s="46" t="str"/>
      <x:c r="V48" s="11" t="str">
        <x:f>IF(OR(L48="",N48=""),"PENDING",IF(N48&lt;D48,"PASS","FAIL: snapshot not pre-event"))</x:f>
        <x:v>PENDING</x:v>
      </x:c>
    </x:row>
    <x:row r="49">
      <x:c r="A49" s="11" t="str">
        <x:v>ABNB-2022Q4-INITIAL-REVENUE-LOW</x:v>
      </x:c>
      <x:c r="B49" s="44" t="str">
        <x:v>ABNB US Equity</x:v>
      </x:c>
      <x:c r="C49" s="44" t="str">
        <x:v>ABNB-2022Q4-INITIAL</x:v>
      </x:c>
      <x:c r="D49" s="56" t="n">
        <x:v>44971.895833333336</x:v>
      </x:c>
      <x:c r="E49" s="44" t="str">
        <x:v>Prior U.S. close; closest eligible intraday snapshot as secondary</x:v>
      </x:c>
      <x:c r="F49" s="44" t="str">
        <x:v>2023Q1</x:v>
      </x:c>
      <x:c r="G49" s="44" t="str">
        <x:v>Revenue / Sales</x:v>
      </x:c>
      <x:c r="H49" s="44" t="str">
        <x:v>BEST_SALES_LOW or point-in-time equivalent</x:v>
      </x:c>
      <x:c r="I49" s="44" t="str">
        <x:v>low</x:v>
      </x:c>
      <x:c r="J49" s="44" t="str">
        <x:v>&lt; 2023-02-14T21:30:00Z</x:v>
      </x:c>
      <x:c r="K49" s="44" t="str">
        <x:v>Exact 2023Q1; do not use rolling offset</x:v>
      </x:c>
      <x:c r="L49" s="46" t="str"/>
      <x:c r="M49" s="46" t="str"/>
      <x:c r="N49" s="57" t="str"/>
      <x:c r="O49" s="46" t="str"/>
      <x:c r="P49" s="46" t="str"/>
      <x:c r="Q49" s="46" t="str"/>
      <x:c r="R49" s="46" t="str"/>
      <x:c r="S49" s="11" t="str"/>
      <x:c r="T49" s="46" t="str">
        <x:v>pending_paid_authorization</x:v>
      </x:c>
      <x:c r="U49" s="46" t="str"/>
      <x:c r="V49" s="11" t="str">
        <x:f>IF(OR(L49="",N49=""),"PENDING",IF(N49&lt;D49,"PASS","FAIL: snapshot not pre-event"))</x:f>
        <x:v>PENDING</x:v>
      </x:c>
    </x:row>
    <x:row r="50">
      <x:c r="A50" s="11" t="str">
        <x:v>ABNB-2022Q4-INITIAL-REVENUE-ANALYST_COUNT</x:v>
      </x:c>
      <x:c r="B50" s="44" t="str">
        <x:v>ABNB US Equity</x:v>
      </x:c>
      <x:c r="C50" s="44" t="str">
        <x:v>ABNB-2022Q4-INITIAL</x:v>
      </x:c>
      <x:c r="D50" s="56" t="n">
        <x:v>44971.895833333336</x:v>
      </x:c>
      <x:c r="E50" s="44" t="str">
        <x:v>Prior U.S. close; closest eligible intraday snapshot as secondary</x:v>
      </x:c>
      <x:c r="F50" s="44" t="str">
        <x:v>2023Q1</x:v>
      </x:c>
      <x:c r="G50" s="44" t="str">
        <x:v>Revenue / Sales</x:v>
      </x:c>
      <x:c r="H50" s="44" t="str">
        <x:v>BEST_SALES_NUM_EST or point-in-time equivalent</x:v>
      </x:c>
      <x:c r="I50" s="44" t="str">
        <x:v>analyst_count</x:v>
      </x:c>
      <x:c r="J50" s="44" t="str">
        <x:v>&lt; 2023-02-14T21:30:00Z</x:v>
      </x:c>
      <x:c r="K50" s="44" t="str">
        <x:v>Exact 2023Q1; do not use rolling offset</x:v>
      </x:c>
      <x:c r="L50" s="46" t="str"/>
      <x:c r="M50" s="46" t="str"/>
      <x:c r="N50" s="57" t="str"/>
      <x:c r="O50" s="46" t="str"/>
      <x:c r="P50" s="46" t="str"/>
      <x:c r="Q50" s="46" t="str"/>
      <x:c r="R50" s="46" t="str"/>
      <x:c r="S50" s="11" t="str"/>
      <x:c r="T50" s="46" t="str">
        <x:v>pending_paid_authorization</x:v>
      </x:c>
      <x:c r="U50" s="46" t="str"/>
      <x:c r="V50" s="11" t="str">
        <x:f>IF(OR(L50="",N50=""),"PENDING",IF(N50&lt;D50,"PASS","FAIL: snapshot not pre-event"))</x:f>
        <x:v>PENDING</x:v>
      </x:c>
    </x:row>
    <x:row r="51">
      <x:c r="A51" s="11" t="str">
        <x:v>ABNB-2023Q1-INITIAL-REVENUE-MEAN</x:v>
      </x:c>
      <x:c r="B51" s="44" t="str">
        <x:v>ABNB US Equity</x:v>
      </x:c>
      <x:c r="C51" s="44" t="str">
        <x:v>ABNB-2023Q1-INITIAL</x:v>
      </x:c>
      <x:c r="D51" s="56" t="n">
        <x:v>45055.854166666664</x:v>
      </x:c>
      <x:c r="E51" s="44" t="str">
        <x:v>Prior U.S. close; closest eligible intraday snapshot as secondary</x:v>
      </x:c>
      <x:c r="F51" s="44" t="str">
        <x:v>2023Q2</x:v>
      </x:c>
      <x:c r="G51" s="44" t="str">
        <x:v>Revenue / Sales</x:v>
      </x:c>
      <x:c r="H51" s="44" t="str">
        <x:v>BEST_SALES (point-in-time history)</x:v>
      </x:c>
      <x:c r="I51" s="44" t="str">
        <x:v>mean</x:v>
      </x:c>
      <x:c r="J51" s="44" t="str">
        <x:v>&lt; 2023-05-09T20:30:00Z</x:v>
      </x:c>
      <x:c r="K51" s="44" t="str">
        <x:v>Exact 2023Q2; do not use rolling offset</x:v>
      </x:c>
      <x:c r="L51" s="46" t="str"/>
      <x:c r="M51" s="46" t="str"/>
      <x:c r="N51" s="57" t="str"/>
      <x:c r="O51" s="46" t="str"/>
      <x:c r="P51" s="46" t="str"/>
      <x:c r="Q51" s="46" t="str"/>
      <x:c r="R51" s="46" t="str"/>
      <x:c r="S51" s="11" t="str"/>
      <x:c r="T51" s="46" t="str">
        <x:v>pending_paid_authorization</x:v>
      </x:c>
      <x:c r="U51" s="46" t="str"/>
      <x:c r="V51" s="11" t="str">
        <x:f>IF(OR(L51="",N51=""),"PENDING",IF(N51&lt;D51,"PASS","FAIL: snapshot not pre-event"))</x:f>
        <x:v>PENDING</x:v>
      </x:c>
    </x:row>
    <x:row r="52">
      <x:c r="A52" s="11" t="str">
        <x:v>ABNB-2023Q1-INITIAL-REVENUE-MEDIAN</x:v>
      </x:c>
      <x:c r="B52" s="44" t="str">
        <x:v>ABNB US Equity</x:v>
      </x:c>
      <x:c r="C52" s="44" t="str">
        <x:v>ABNB-2023Q1-INITIAL</x:v>
      </x:c>
      <x:c r="D52" s="56" t="n">
        <x:v>45055.854166666664</x:v>
      </x:c>
      <x:c r="E52" s="44" t="str">
        <x:v>Prior U.S. close; closest eligible intraday snapshot as secondary</x:v>
      </x:c>
      <x:c r="F52" s="44" t="str">
        <x:v>2023Q2</x:v>
      </x:c>
      <x:c r="G52" s="44" t="str">
        <x:v>Revenue / Sales</x:v>
      </x:c>
      <x:c r="H52" s="44" t="str">
        <x:v>BEST_SALES_MEDIAN or point-in-time equivalent</x:v>
      </x:c>
      <x:c r="I52" s="44" t="str">
        <x:v>median</x:v>
      </x:c>
      <x:c r="J52" s="44" t="str">
        <x:v>&lt; 2023-05-09T20:30:00Z</x:v>
      </x:c>
      <x:c r="K52" s="44" t="str">
        <x:v>Exact 2023Q2; do not use rolling offset</x:v>
      </x:c>
      <x:c r="L52" s="46" t="str"/>
      <x:c r="M52" s="46" t="str"/>
      <x:c r="N52" s="57" t="str"/>
      <x:c r="O52" s="46" t="str"/>
      <x:c r="P52" s="46" t="str"/>
      <x:c r="Q52" s="46" t="str"/>
      <x:c r="R52" s="46" t="str"/>
      <x:c r="S52" s="11" t="str"/>
      <x:c r="T52" s="46" t="str">
        <x:v>pending_paid_authorization</x:v>
      </x:c>
      <x:c r="U52" s="46" t="str"/>
      <x:c r="V52" s="11" t="str">
        <x:f>IF(OR(L52="",N52=""),"PENDING",IF(N52&lt;D52,"PASS","FAIL: snapshot not pre-event"))</x:f>
        <x:v>PENDING</x:v>
      </x:c>
    </x:row>
    <x:row r="53">
      <x:c r="A53" s="11" t="str">
        <x:v>ABNB-2023Q1-INITIAL-REVENUE-HIGH</x:v>
      </x:c>
      <x:c r="B53" s="44" t="str">
        <x:v>ABNB US Equity</x:v>
      </x:c>
      <x:c r="C53" s="44" t="str">
        <x:v>ABNB-2023Q1-INITIAL</x:v>
      </x:c>
      <x:c r="D53" s="56" t="n">
        <x:v>45055.854166666664</x:v>
      </x:c>
      <x:c r="E53" s="44" t="str">
        <x:v>Prior U.S. close; closest eligible intraday snapshot as secondary</x:v>
      </x:c>
      <x:c r="F53" s="44" t="str">
        <x:v>2023Q2</x:v>
      </x:c>
      <x:c r="G53" s="44" t="str">
        <x:v>Revenue / Sales</x:v>
      </x:c>
      <x:c r="H53" s="44" t="str">
        <x:v>BEST_SALES_HIGH or point-in-time equivalent</x:v>
      </x:c>
      <x:c r="I53" s="44" t="str">
        <x:v>high</x:v>
      </x:c>
      <x:c r="J53" s="44" t="str">
        <x:v>&lt; 2023-05-09T20:30:00Z</x:v>
      </x:c>
      <x:c r="K53" s="44" t="str">
        <x:v>Exact 2023Q2; do not use rolling offset</x:v>
      </x:c>
      <x:c r="L53" s="46" t="str"/>
      <x:c r="M53" s="46" t="str"/>
      <x:c r="N53" s="57" t="str"/>
      <x:c r="O53" s="46" t="str"/>
      <x:c r="P53" s="46" t="str"/>
      <x:c r="Q53" s="46" t="str"/>
      <x:c r="R53" s="46" t="str"/>
      <x:c r="S53" s="11" t="str"/>
      <x:c r="T53" s="46" t="str">
        <x:v>pending_paid_authorization</x:v>
      </x:c>
      <x:c r="U53" s="46" t="str"/>
      <x:c r="V53" s="11" t="str">
        <x:f>IF(OR(L53="",N53=""),"PENDING",IF(N53&lt;D53,"PASS","FAIL: snapshot not pre-event"))</x:f>
        <x:v>PENDING</x:v>
      </x:c>
    </x:row>
    <x:row r="54">
      <x:c r="A54" s="11" t="str">
        <x:v>ABNB-2023Q1-INITIAL-REVENUE-LOW</x:v>
      </x:c>
      <x:c r="B54" s="44" t="str">
        <x:v>ABNB US Equity</x:v>
      </x:c>
      <x:c r="C54" s="44" t="str">
        <x:v>ABNB-2023Q1-INITIAL</x:v>
      </x:c>
      <x:c r="D54" s="56" t="n">
        <x:v>45055.854166666664</x:v>
      </x:c>
      <x:c r="E54" s="44" t="str">
        <x:v>Prior U.S. close; closest eligible intraday snapshot as secondary</x:v>
      </x:c>
      <x:c r="F54" s="44" t="str">
        <x:v>2023Q2</x:v>
      </x:c>
      <x:c r="G54" s="44" t="str">
        <x:v>Revenue / Sales</x:v>
      </x:c>
      <x:c r="H54" s="44" t="str">
        <x:v>BEST_SALES_LOW or point-in-time equivalent</x:v>
      </x:c>
      <x:c r="I54" s="44" t="str">
        <x:v>low</x:v>
      </x:c>
      <x:c r="J54" s="44" t="str">
        <x:v>&lt; 2023-05-09T20:30:00Z</x:v>
      </x:c>
      <x:c r="K54" s="44" t="str">
        <x:v>Exact 2023Q2; do not use rolling offset</x:v>
      </x:c>
      <x:c r="L54" s="46" t="str"/>
      <x:c r="M54" s="46" t="str"/>
      <x:c r="N54" s="57" t="str"/>
      <x:c r="O54" s="46" t="str"/>
      <x:c r="P54" s="46" t="str"/>
      <x:c r="Q54" s="46" t="str"/>
      <x:c r="R54" s="46" t="str"/>
      <x:c r="S54" s="11" t="str"/>
      <x:c r="T54" s="46" t="str">
        <x:v>pending_paid_authorization</x:v>
      </x:c>
      <x:c r="U54" s="46" t="str"/>
      <x:c r="V54" s="11" t="str">
        <x:f>IF(OR(L54="",N54=""),"PENDING",IF(N54&lt;D54,"PASS","FAIL: snapshot not pre-event"))</x:f>
        <x:v>PENDING</x:v>
      </x:c>
    </x:row>
    <x:row r="55">
      <x:c r="A55" s="11" t="str">
        <x:v>ABNB-2023Q1-INITIAL-REVENUE-ANALYST_COUNT</x:v>
      </x:c>
      <x:c r="B55" s="44" t="str">
        <x:v>ABNB US Equity</x:v>
      </x:c>
      <x:c r="C55" s="44" t="str">
        <x:v>ABNB-2023Q1-INITIAL</x:v>
      </x:c>
      <x:c r="D55" s="56" t="n">
        <x:v>45055.854166666664</x:v>
      </x:c>
      <x:c r="E55" s="44" t="str">
        <x:v>Prior U.S. close; closest eligible intraday snapshot as secondary</x:v>
      </x:c>
      <x:c r="F55" s="44" t="str">
        <x:v>2023Q2</x:v>
      </x:c>
      <x:c r="G55" s="44" t="str">
        <x:v>Revenue / Sales</x:v>
      </x:c>
      <x:c r="H55" s="44" t="str">
        <x:v>BEST_SALES_NUM_EST or point-in-time equivalent</x:v>
      </x:c>
      <x:c r="I55" s="44" t="str">
        <x:v>analyst_count</x:v>
      </x:c>
      <x:c r="J55" s="44" t="str">
        <x:v>&lt; 2023-05-09T20:30:00Z</x:v>
      </x:c>
      <x:c r="K55" s="44" t="str">
        <x:v>Exact 2023Q2; do not use rolling offset</x:v>
      </x:c>
      <x:c r="L55" s="46" t="str"/>
      <x:c r="M55" s="46" t="str"/>
      <x:c r="N55" s="57" t="str"/>
      <x:c r="O55" s="46" t="str"/>
      <x:c r="P55" s="46" t="str"/>
      <x:c r="Q55" s="46" t="str"/>
      <x:c r="R55" s="46" t="str"/>
      <x:c r="S55" s="11" t="str"/>
      <x:c r="T55" s="46" t="str">
        <x:v>pending_paid_authorization</x:v>
      </x:c>
      <x:c r="U55" s="46" t="str"/>
      <x:c r="V55" s="11" t="str">
        <x:f>IF(OR(L55="",N55=""),"PENDING",IF(N55&lt;D55,"PASS","FAIL: snapshot not pre-event"))</x:f>
        <x:v>PENDING</x:v>
      </x:c>
    </x:row>
    <x:row r="56">
      <x:c r="A56" s="11" t="str">
        <x:v>ABNB-2023Q2-INITIAL-REVENUE-MEAN</x:v>
      </x:c>
      <x:c r="B56" s="44" t="str">
        <x:v>ABNB US Equity</x:v>
      </x:c>
      <x:c r="C56" s="44" t="str">
        <x:v>ABNB-2023Q2-INITIAL</x:v>
      </x:c>
      <x:c r="D56" s="56" t="n">
        <x:v>45141.854166666664</x:v>
      </x:c>
      <x:c r="E56" s="44" t="str">
        <x:v>Prior U.S. close; closest eligible intraday snapshot as secondary</x:v>
      </x:c>
      <x:c r="F56" s="44" t="str">
        <x:v>2023Q3</x:v>
      </x:c>
      <x:c r="G56" s="44" t="str">
        <x:v>Revenue / Sales</x:v>
      </x:c>
      <x:c r="H56" s="44" t="str">
        <x:v>BEST_SALES (point-in-time history)</x:v>
      </x:c>
      <x:c r="I56" s="44" t="str">
        <x:v>mean</x:v>
      </x:c>
      <x:c r="J56" s="44" t="str">
        <x:v>&lt; 2023-08-03T20:30:00Z</x:v>
      </x:c>
      <x:c r="K56" s="44" t="str">
        <x:v>Exact 2023Q3; do not use rolling offset</x:v>
      </x:c>
      <x:c r="L56" s="46" t="str"/>
      <x:c r="M56" s="46" t="str"/>
      <x:c r="N56" s="57" t="str"/>
      <x:c r="O56" s="46" t="str"/>
      <x:c r="P56" s="46" t="str"/>
      <x:c r="Q56" s="46" t="str"/>
      <x:c r="R56" s="46" t="str"/>
      <x:c r="S56" s="11" t="str"/>
      <x:c r="T56" s="46" t="str">
        <x:v>pending_paid_authorization</x:v>
      </x:c>
      <x:c r="U56" s="46" t="str"/>
      <x:c r="V56" s="11" t="str">
        <x:f>IF(OR(L56="",N56=""),"PENDING",IF(N56&lt;D56,"PASS","FAIL: snapshot not pre-event"))</x:f>
        <x:v>PENDING</x:v>
      </x:c>
    </x:row>
    <x:row r="57">
      <x:c r="A57" s="11" t="str">
        <x:v>ABNB-2023Q2-INITIAL-REVENUE-MEDIAN</x:v>
      </x:c>
      <x:c r="B57" s="44" t="str">
        <x:v>ABNB US Equity</x:v>
      </x:c>
      <x:c r="C57" s="44" t="str">
        <x:v>ABNB-2023Q2-INITIAL</x:v>
      </x:c>
      <x:c r="D57" s="56" t="n">
        <x:v>45141.854166666664</x:v>
      </x:c>
      <x:c r="E57" s="44" t="str">
        <x:v>Prior U.S. close; closest eligible intraday snapshot as secondary</x:v>
      </x:c>
      <x:c r="F57" s="44" t="str">
        <x:v>2023Q3</x:v>
      </x:c>
      <x:c r="G57" s="44" t="str">
        <x:v>Revenue / Sales</x:v>
      </x:c>
      <x:c r="H57" s="44" t="str">
        <x:v>BEST_SALES_MEDIAN or point-in-time equivalent</x:v>
      </x:c>
      <x:c r="I57" s="44" t="str">
        <x:v>median</x:v>
      </x:c>
      <x:c r="J57" s="44" t="str">
        <x:v>&lt; 2023-08-03T20:30:00Z</x:v>
      </x:c>
      <x:c r="K57" s="44" t="str">
        <x:v>Exact 2023Q3; do not use rolling offset</x:v>
      </x:c>
      <x:c r="L57" s="46" t="str"/>
      <x:c r="M57" s="46" t="str"/>
      <x:c r="N57" s="57" t="str"/>
      <x:c r="O57" s="46" t="str"/>
      <x:c r="P57" s="46" t="str"/>
      <x:c r="Q57" s="46" t="str"/>
      <x:c r="R57" s="46" t="str"/>
      <x:c r="S57" s="11" t="str"/>
      <x:c r="T57" s="46" t="str">
        <x:v>pending_paid_authorization</x:v>
      </x:c>
      <x:c r="U57" s="46" t="str"/>
      <x:c r="V57" s="11" t="str">
        <x:f>IF(OR(L57="",N57=""),"PENDING",IF(N57&lt;D57,"PASS","FAIL: snapshot not pre-event"))</x:f>
        <x:v>PENDING</x:v>
      </x:c>
    </x:row>
    <x:row r="58">
      <x:c r="A58" s="11" t="str">
        <x:v>ABNB-2023Q2-INITIAL-REVENUE-HIGH</x:v>
      </x:c>
      <x:c r="B58" s="44" t="str">
        <x:v>ABNB US Equity</x:v>
      </x:c>
      <x:c r="C58" s="44" t="str">
        <x:v>ABNB-2023Q2-INITIAL</x:v>
      </x:c>
      <x:c r="D58" s="56" t="n">
        <x:v>45141.854166666664</x:v>
      </x:c>
      <x:c r="E58" s="44" t="str">
        <x:v>Prior U.S. close; closest eligible intraday snapshot as secondary</x:v>
      </x:c>
      <x:c r="F58" s="44" t="str">
        <x:v>2023Q3</x:v>
      </x:c>
      <x:c r="G58" s="44" t="str">
        <x:v>Revenue / Sales</x:v>
      </x:c>
      <x:c r="H58" s="44" t="str">
        <x:v>BEST_SALES_HIGH or point-in-time equivalent</x:v>
      </x:c>
      <x:c r="I58" s="44" t="str">
        <x:v>high</x:v>
      </x:c>
      <x:c r="J58" s="44" t="str">
        <x:v>&lt; 2023-08-03T20:30:00Z</x:v>
      </x:c>
      <x:c r="K58" s="44" t="str">
        <x:v>Exact 2023Q3; do not use rolling offset</x:v>
      </x:c>
      <x:c r="L58" s="46" t="str"/>
      <x:c r="M58" s="46" t="str"/>
      <x:c r="N58" s="57" t="str"/>
      <x:c r="O58" s="46" t="str"/>
      <x:c r="P58" s="46" t="str"/>
      <x:c r="Q58" s="46" t="str"/>
      <x:c r="R58" s="46" t="str"/>
      <x:c r="S58" s="11" t="str"/>
      <x:c r="T58" s="46" t="str">
        <x:v>pending_paid_authorization</x:v>
      </x:c>
      <x:c r="U58" s="46" t="str"/>
      <x:c r="V58" s="11" t="str">
        <x:f>IF(OR(L58="",N58=""),"PENDING",IF(N58&lt;D58,"PASS","FAIL: snapshot not pre-event"))</x:f>
        <x:v>PENDING</x:v>
      </x:c>
    </x:row>
    <x:row r="59">
      <x:c r="A59" s="11" t="str">
        <x:v>ABNB-2023Q2-INITIAL-REVENUE-LOW</x:v>
      </x:c>
      <x:c r="B59" s="44" t="str">
        <x:v>ABNB US Equity</x:v>
      </x:c>
      <x:c r="C59" s="44" t="str">
        <x:v>ABNB-2023Q2-INITIAL</x:v>
      </x:c>
      <x:c r="D59" s="56" t="n">
        <x:v>45141.854166666664</x:v>
      </x:c>
      <x:c r="E59" s="44" t="str">
        <x:v>Prior U.S. close; closest eligible intraday snapshot as secondary</x:v>
      </x:c>
      <x:c r="F59" s="44" t="str">
        <x:v>2023Q3</x:v>
      </x:c>
      <x:c r="G59" s="44" t="str">
        <x:v>Revenue / Sales</x:v>
      </x:c>
      <x:c r="H59" s="44" t="str">
        <x:v>BEST_SALES_LOW or point-in-time equivalent</x:v>
      </x:c>
      <x:c r="I59" s="44" t="str">
        <x:v>low</x:v>
      </x:c>
      <x:c r="J59" s="44" t="str">
        <x:v>&lt; 2023-08-03T20:30:00Z</x:v>
      </x:c>
      <x:c r="K59" s="44" t="str">
        <x:v>Exact 2023Q3; do not use rolling offset</x:v>
      </x:c>
      <x:c r="L59" s="46" t="str"/>
      <x:c r="M59" s="46" t="str"/>
      <x:c r="N59" s="57" t="str"/>
      <x:c r="O59" s="46" t="str"/>
      <x:c r="P59" s="46" t="str"/>
      <x:c r="Q59" s="46" t="str"/>
      <x:c r="R59" s="46" t="str"/>
      <x:c r="S59" s="11" t="str"/>
      <x:c r="T59" s="46" t="str">
        <x:v>pending_paid_authorization</x:v>
      </x:c>
      <x:c r="U59" s="46" t="str"/>
      <x:c r="V59" s="11" t="str">
        <x:f>IF(OR(L59="",N59=""),"PENDING",IF(N59&lt;D59,"PASS","FAIL: snapshot not pre-event"))</x:f>
        <x:v>PENDING</x:v>
      </x:c>
    </x:row>
    <x:row r="60">
      <x:c r="A60" s="11" t="str">
        <x:v>ABNB-2023Q2-INITIAL-REVENUE-ANALYST_COUNT</x:v>
      </x:c>
      <x:c r="B60" s="44" t="str">
        <x:v>ABNB US Equity</x:v>
      </x:c>
      <x:c r="C60" s="44" t="str">
        <x:v>ABNB-2023Q2-INITIAL</x:v>
      </x:c>
      <x:c r="D60" s="56" t="n">
        <x:v>45141.854166666664</x:v>
      </x:c>
      <x:c r="E60" s="44" t="str">
        <x:v>Prior U.S. close; closest eligible intraday snapshot as secondary</x:v>
      </x:c>
      <x:c r="F60" s="44" t="str">
        <x:v>2023Q3</x:v>
      </x:c>
      <x:c r="G60" s="44" t="str">
        <x:v>Revenue / Sales</x:v>
      </x:c>
      <x:c r="H60" s="44" t="str">
        <x:v>BEST_SALES_NUM_EST or point-in-time equivalent</x:v>
      </x:c>
      <x:c r="I60" s="44" t="str">
        <x:v>analyst_count</x:v>
      </x:c>
      <x:c r="J60" s="44" t="str">
        <x:v>&lt; 2023-08-03T20:30:00Z</x:v>
      </x:c>
      <x:c r="K60" s="44" t="str">
        <x:v>Exact 2023Q3; do not use rolling offset</x:v>
      </x:c>
      <x:c r="L60" s="46" t="str"/>
      <x:c r="M60" s="46" t="str"/>
      <x:c r="N60" s="57" t="str"/>
      <x:c r="O60" s="46" t="str"/>
      <x:c r="P60" s="46" t="str"/>
      <x:c r="Q60" s="46" t="str"/>
      <x:c r="R60" s="46" t="str"/>
      <x:c r="S60" s="11" t="str"/>
      <x:c r="T60" s="46" t="str">
        <x:v>pending_paid_authorization</x:v>
      </x:c>
      <x:c r="U60" s="46" t="str"/>
      <x:c r="V60" s="11" t="str">
        <x:f>IF(OR(L60="",N60=""),"PENDING",IF(N60&lt;D60,"PASS","FAIL: snapshot not pre-event"))</x:f>
        <x:v>PENDING</x:v>
      </x:c>
    </x:row>
    <x:row r="61">
      <x:c r="A61" s="11" t="str">
        <x:v>ABNB-2023Q3-INITIAL-REVENUE-MEAN</x:v>
      </x:c>
      <x:c r="B61" s="44" t="str">
        <x:v>ABNB US Equity</x:v>
      </x:c>
      <x:c r="C61" s="44" t="str">
        <x:v>ABNB-2023Q3-INITIAL</x:v>
      </x:c>
      <x:c r="D61" s="56" t="n">
        <x:v>45231.854166666664</x:v>
      </x:c>
      <x:c r="E61" s="44" t="str">
        <x:v>Prior U.S. close; closest eligible intraday snapshot as secondary</x:v>
      </x:c>
      <x:c r="F61" s="44" t="str">
        <x:v>2023Q4</x:v>
      </x:c>
      <x:c r="G61" s="44" t="str">
        <x:v>Revenue / Sales</x:v>
      </x:c>
      <x:c r="H61" s="44" t="str">
        <x:v>BEST_SALES (point-in-time history)</x:v>
      </x:c>
      <x:c r="I61" s="44" t="str">
        <x:v>mean</x:v>
      </x:c>
      <x:c r="J61" s="44" t="str">
        <x:v>&lt; 2023-11-01T20:30:00Z</x:v>
      </x:c>
      <x:c r="K61" s="44" t="str">
        <x:v>Exact 2023Q4; do not use rolling offset</x:v>
      </x:c>
      <x:c r="L61" s="46" t="str"/>
      <x:c r="M61" s="46" t="str"/>
      <x:c r="N61" s="57" t="str"/>
      <x:c r="O61" s="46" t="str"/>
      <x:c r="P61" s="46" t="str"/>
      <x:c r="Q61" s="46" t="str"/>
      <x:c r="R61" s="46" t="str"/>
      <x:c r="S61" s="11" t="str"/>
      <x:c r="T61" s="46" t="str">
        <x:v>pending_paid_authorization</x:v>
      </x:c>
      <x:c r="U61" s="46" t="str"/>
      <x:c r="V61" s="11" t="str">
        <x:f>IF(OR(L61="",N61=""),"PENDING",IF(N61&lt;D61,"PASS","FAIL: snapshot not pre-event"))</x:f>
        <x:v>PENDING</x:v>
      </x:c>
    </x:row>
    <x:row r="62">
      <x:c r="A62" s="11" t="str">
        <x:v>ABNB-2023Q3-INITIAL-REVENUE-MEDIAN</x:v>
      </x:c>
      <x:c r="B62" s="44" t="str">
        <x:v>ABNB US Equity</x:v>
      </x:c>
      <x:c r="C62" s="44" t="str">
        <x:v>ABNB-2023Q3-INITIAL</x:v>
      </x:c>
      <x:c r="D62" s="56" t="n">
        <x:v>45231.854166666664</x:v>
      </x:c>
      <x:c r="E62" s="44" t="str">
        <x:v>Prior U.S. close; closest eligible intraday snapshot as secondary</x:v>
      </x:c>
      <x:c r="F62" s="44" t="str">
        <x:v>2023Q4</x:v>
      </x:c>
      <x:c r="G62" s="44" t="str">
        <x:v>Revenue / Sales</x:v>
      </x:c>
      <x:c r="H62" s="44" t="str">
        <x:v>BEST_SALES_MEDIAN or point-in-time equivalent</x:v>
      </x:c>
      <x:c r="I62" s="44" t="str">
        <x:v>median</x:v>
      </x:c>
      <x:c r="J62" s="44" t="str">
        <x:v>&lt; 2023-11-01T20:30:00Z</x:v>
      </x:c>
      <x:c r="K62" s="44" t="str">
        <x:v>Exact 2023Q4; do not use rolling offset</x:v>
      </x:c>
      <x:c r="L62" s="46" t="str"/>
      <x:c r="M62" s="46" t="str"/>
      <x:c r="N62" s="57" t="str"/>
      <x:c r="O62" s="46" t="str"/>
      <x:c r="P62" s="46" t="str"/>
      <x:c r="Q62" s="46" t="str"/>
      <x:c r="R62" s="46" t="str"/>
      <x:c r="S62" s="11" t="str"/>
      <x:c r="T62" s="46" t="str">
        <x:v>pending_paid_authorization</x:v>
      </x:c>
      <x:c r="U62" s="46" t="str"/>
      <x:c r="V62" s="11" t="str">
        <x:f>IF(OR(L62="",N62=""),"PENDING",IF(N62&lt;D62,"PASS","FAIL: snapshot not pre-event"))</x:f>
        <x:v>PENDING</x:v>
      </x:c>
    </x:row>
    <x:row r="63">
      <x:c r="A63" s="11" t="str">
        <x:v>ABNB-2023Q3-INITIAL-REVENUE-HIGH</x:v>
      </x:c>
      <x:c r="B63" s="44" t="str">
        <x:v>ABNB US Equity</x:v>
      </x:c>
      <x:c r="C63" s="44" t="str">
        <x:v>ABNB-2023Q3-INITIAL</x:v>
      </x:c>
      <x:c r="D63" s="56" t="n">
        <x:v>45231.854166666664</x:v>
      </x:c>
      <x:c r="E63" s="44" t="str">
        <x:v>Prior U.S. close; closest eligible intraday snapshot as secondary</x:v>
      </x:c>
      <x:c r="F63" s="44" t="str">
        <x:v>2023Q4</x:v>
      </x:c>
      <x:c r="G63" s="44" t="str">
        <x:v>Revenue / Sales</x:v>
      </x:c>
      <x:c r="H63" s="44" t="str">
        <x:v>BEST_SALES_HIGH or point-in-time equivalent</x:v>
      </x:c>
      <x:c r="I63" s="44" t="str">
        <x:v>high</x:v>
      </x:c>
      <x:c r="J63" s="44" t="str">
        <x:v>&lt; 2023-11-01T20:30:00Z</x:v>
      </x:c>
      <x:c r="K63" s="44" t="str">
        <x:v>Exact 2023Q4; do not use rolling offset</x:v>
      </x:c>
      <x:c r="L63" s="46" t="str"/>
      <x:c r="M63" s="46" t="str"/>
      <x:c r="N63" s="57" t="str"/>
      <x:c r="O63" s="46" t="str"/>
      <x:c r="P63" s="46" t="str"/>
      <x:c r="Q63" s="46" t="str"/>
      <x:c r="R63" s="46" t="str"/>
      <x:c r="S63" s="11" t="str"/>
      <x:c r="T63" s="46" t="str">
        <x:v>pending_paid_authorization</x:v>
      </x:c>
      <x:c r="U63" s="46" t="str"/>
      <x:c r="V63" s="11" t="str">
        <x:f>IF(OR(L63="",N63=""),"PENDING",IF(N63&lt;D63,"PASS","FAIL: snapshot not pre-event"))</x:f>
        <x:v>PENDING</x:v>
      </x:c>
    </x:row>
    <x:row r="64">
      <x:c r="A64" s="11" t="str">
        <x:v>ABNB-2023Q3-INITIAL-REVENUE-LOW</x:v>
      </x:c>
      <x:c r="B64" s="44" t="str">
        <x:v>ABNB US Equity</x:v>
      </x:c>
      <x:c r="C64" s="44" t="str">
        <x:v>ABNB-2023Q3-INITIAL</x:v>
      </x:c>
      <x:c r="D64" s="56" t="n">
        <x:v>45231.854166666664</x:v>
      </x:c>
      <x:c r="E64" s="44" t="str">
        <x:v>Prior U.S. close; closest eligible intraday snapshot as secondary</x:v>
      </x:c>
      <x:c r="F64" s="44" t="str">
        <x:v>2023Q4</x:v>
      </x:c>
      <x:c r="G64" s="44" t="str">
        <x:v>Revenue / Sales</x:v>
      </x:c>
      <x:c r="H64" s="44" t="str">
        <x:v>BEST_SALES_LOW or point-in-time equivalent</x:v>
      </x:c>
      <x:c r="I64" s="44" t="str">
        <x:v>low</x:v>
      </x:c>
      <x:c r="J64" s="44" t="str">
        <x:v>&lt; 2023-11-01T20:30:00Z</x:v>
      </x:c>
      <x:c r="K64" s="44" t="str">
        <x:v>Exact 2023Q4; do not use rolling offset</x:v>
      </x:c>
      <x:c r="L64" s="46" t="str"/>
      <x:c r="M64" s="46" t="str"/>
      <x:c r="N64" s="57" t="str"/>
      <x:c r="O64" s="46" t="str"/>
      <x:c r="P64" s="46" t="str"/>
      <x:c r="Q64" s="46" t="str"/>
      <x:c r="R64" s="46" t="str"/>
      <x:c r="S64" s="11" t="str"/>
      <x:c r="T64" s="46" t="str">
        <x:v>pending_paid_authorization</x:v>
      </x:c>
      <x:c r="U64" s="46" t="str"/>
      <x:c r="V64" s="11" t="str">
        <x:f>IF(OR(L64="",N64=""),"PENDING",IF(N64&lt;D64,"PASS","FAIL: snapshot not pre-event"))</x:f>
        <x:v>PENDING</x:v>
      </x:c>
    </x:row>
    <x:row r="65">
      <x:c r="A65" s="11" t="str">
        <x:v>ABNB-2023Q3-INITIAL-REVENUE-ANALYST_COUNT</x:v>
      </x:c>
      <x:c r="B65" s="44" t="str">
        <x:v>ABNB US Equity</x:v>
      </x:c>
      <x:c r="C65" s="44" t="str">
        <x:v>ABNB-2023Q3-INITIAL</x:v>
      </x:c>
      <x:c r="D65" s="56" t="n">
        <x:v>45231.854166666664</x:v>
      </x:c>
      <x:c r="E65" s="44" t="str">
        <x:v>Prior U.S. close; closest eligible intraday snapshot as secondary</x:v>
      </x:c>
      <x:c r="F65" s="44" t="str">
        <x:v>2023Q4</x:v>
      </x:c>
      <x:c r="G65" s="44" t="str">
        <x:v>Revenue / Sales</x:v>
      </x:c>
      <x:c r="H65" s="44" t="str">
        <x:v>BEST_SALES_NUM_EST or point-in-time equivalent</x:v>
      </x:c>
      <x:c r="I65" s="44" t="str">
        <x:v>analyst_count</x:v>
      </x:c>
      <x:c r="J65" s="44" t="str">
        <x:v>&lt; 2023-11-01T20:30:00Z</x:v>
      </x:c>
      <x:c r="K65" s="44" t="str">
        <x:v>Exact 2023Q4; do not use rolling offset</x:v>
      </x:c>
      <x:c r="L65" s="46" t="str"/>
      <x:c r="M65" s="46" t="str"/>
      <x:c r="N65" s="57" t="str"/>
      <x:c r="O65" s="46" t="str"/>
      <x:c r="P65" s="46" t="str"/>
      <x:c r="Q65" s="46" t="str"/>
      <x:c r="R65" s="46" t="str"/>
      <x:c r="S65" s="11" t="str"/>
      <x:c r="T65" s="46" t="str">
        <x:v>pending_paid_authorization</x:v>
      </x:c>
      <x:c r="U65" s="46" t="str"/>
      <x:c r="V65" s="11" t="str">
        <x:f>IF(OR(L65="",N65=""),"PENDING",IF(N65&lt;D65,"PASS","FAIL: snapshot not pre-event"))</x:f>
        <x:v>PENDING</x:v>
      </x:c>
    </x:row>
    <x:row r="66">
      <x:c r="A66" s="11" t="str">
        <x:v>ABNB-2023Q4-INITIAL-REVENUE-MEAN</x:v>
      </x:c>
      <x:c r="B66" s="44" t="str">
        <x:v>ABNB US Equity</x:v>
      </x:c>
      <x:c r="C66" s="44" t="str">
        <x:v>ABNB-2023Q4-INITIAL</x:v>
      </x:c>
      <x:c r="D66" s="56" t="n">
        <x:v>45335.895833333336</x:v>
      </x:c>
      <x:c r="E66" s="44" t="str">
        <x:v>Prior U.S. close; closest eligible intraday snapshot as secondary</x:v>
      </x:c>
      <x:c r="F66" s="44" t="str">
        <x:v>2024Q1</x:v>
      </x:c>
      <x:c r="G66" s="44" t="str">
        <x:v>Revenue / Sales</x:v>
      </x:c>
      <x:c r="H66" s="44" t="str">
        <x:v>BEST_SALES (point-in-time history)</x:v>
      </x:c>
      <x:c r="I66" s="44" t="str">
        <x:v>mean</x:v>
      </x:c>
      <x:c r="J66" s="44" t="str">
        <x:v>&lt; 2024-02-13T21:30:00Z</x:v>
      </x:c>
      <x:c r="K66" s="44" t="str">
        <x:v>Exact 2024Q1; do not use rolling offset</x:v>
      </x:c>
      <x:c r="L66" s="46" t="str"/>
      <x:c r="M66" s="46" t="str"/>
      <x:c r="N66" s="57" t="str"/>
      <x:c r="O66" s="46" t="str"/>
      <x:c r="P66" s="46" t="str"/>
      <x:c r="Q66" s="46" t="str"/>
      <x:c r="R66" s="46" t="str"/>
      <x:c r="S66" s="11" t="str"/>
      <x:c r="T66" s="46" t="str">
        <x:v>pending_paid_authorization</x:v>
      </x:c>
      <x:c r="U66" s="46" t="str"/>
      <x:c r="V66" s="11" t="str">
        <x:f>IF(OR(L66="",N66=""),"PENDING",IF(N66&lt;D66,"PASS","FAIL: snapshot not pre-event"))</x:f>
        <x:v>PENDING</x:v>
      </x:c>
    </x:row>
    <x:row r="67">
      <x:c r="A67" s="11" t="str">
        <x:v>ABNB-2023Q4-INITIAL-REVENUE-MEDIAN</x:v>
      </x:c>
      <x:c r="B67" s="44" t="str">
        <x:v>ABNB US Equity</x:v>
      </x:c>
      <x:c r="C67" s="44" t="str">
        <x:v>ABNB-2023Q4-INITIAL</x:v>
      </x:c>
      <x:c r="D67" s="56" t="n">
        <x:v>45335.895833333336</x:v>
      </x:c>
      <x:c r="E67" s="44" t="str">
        <x:v>Prior U.S. close; closest eligible intraday snapshot as secondary</x:v>
      </x:c>
      <x:c r="F67" s="44" t="str">
        <x:v>2024Q1</x:v>
      </x:c>
      <x:c r="G67" s="44" t="str">
        <x:v>Revenue / Sales</x:v>
      </x:c>
      <x:c r="H67" s="44" t="str">
        <x:v>BEST_SALES_MEDIAN or point-in-time equivalent</x:v>
      </x:c>
      <x:c r="I67" s="44" t="str">
        <x:v>median</x:v>
      </x:c>
      <x:c r="J67" s="44" t="str">
        <x:v>&lt; 2024-02-13T21:30:00Z</x:v>
      </x:c>
      <x:c r="K67" s="44" t="str">
        <x:v>Exact 2024Q1; do not use rolling offset</x:v>
      </x:c>
      <x:c r="L67" s="46" t="str"/>
      <x:c r="M67" s="46" t="str"/>
      <x:c r="N67" s="57" t="str"/>
      <x:c r="O67" s="46" t="str"/>
      <x:c r="P67" s="46" t="str"/>
      <x:c r="Q67" s="46" t="str"/>
      <x:c r="R67" s="46" t="str"/>
      <x:c r="S67" s="11" t="str"/>
      <x:c r="T67" s="46" t="str">
        <x:v>pending_paid_authorization</x:v>
      </x:c>
      <x:c r="U67" s="46" t="str"/>
      <x:c r="V67" s="11" t="str">
        <x:f>IF(OR(L67="",N67=""),"PENDING",IF(N67&lt;D67,"PASS","FAIL: snapshot not pre-event"))</x:f>
        <x:v>PENDING</x:v>
      </x:c>
    </x:row>
    <x:row r="68">
      <x:c r="A68" s="11" t="str">
        <x:v>ABNB-2023Q4-INITIAL-REVENUE-HIGH</x:v>
      </x:c>
      <x:c r="B68" s="44" t="str">
        <x:v>ABNB US Equity</x:v>
      </x:c>
      <x:c r="C68" s="44" t="str">
        <x:v>ABNB-2023Q4-INITIAL</x:v>
      </x:c>
      <x:c r="D68" s="56" t="n">
        <x:v>45335.895833333336</x:v>
      </x:c>
      <x:c r="E68" s="44" t="str">
        <x:v>Prior U.S. close; closest eligible intraday snapshot as secondary</x:v>
      </x:c>
      <x:c r="F68" s="44" t="str">
        <x:v>2024Q1</x:v>
      </x:c>
      <x:c r="G68" s="44" t="str">
        <x:v>Revenue / Sales</x:v>
      </x:c>
      <x:c r="H68" s="44" t="str">
        <x:v>BEST_SALES_HIGH or point-in-time equivalent</x:v>
      </x:c>
      <x:c r="I68" s="44" t="str">
        <x:v>high</x:v>
      </x:c>
      <x:c r="J68" s="44" t="str">
        <x:v>&lt; 2024-02-13T21:30:00Z</x:v>
      </x:c>
      <x:c r="K68" s="44" t="str">
        <x:v>Exact 2024Q1; do not use rolling offset</x:v>
      </x:c>
      <x:c r="L68" s="46" t="str"/>
      <x:c r="M68" s="46" t="str"/>
      <x:c r="N68" s="57" t="str"/>
      <x:c r="O68" s="46" t="str"/>
      <x:c r="P68" s="46" t="str"/>
      <x:c r="Q68" s="46" t="str"/>
      <x:c r="R68" s="46" t="str"/>
      <x:c r="S68" s="11" t="str"/>
      <x:c r="T68" s="46" t="str">
        <x:v>pending_paid_authorization</x:v>
      </x:c>
      <x:c r="U68" s="46" t="str"/>
      <x:c r="V68" s="11" t="str">
        <x:f>IF(OR(L68="",N68=""),"PENDING",IF(N68&lt;D68,"PASS","FAIL: snapshot not pre-event"))</x:f>
        <x:v>PENDING</x:v>
      </x:c>
    </x:row>
    <x:row r="69">
      <x:c r="A69" s="11" t="str">
        <x:v>ABNB-2023Q4-INITIAL-REVENUE-LOW</x:v>
      </x:c>
      <x:c r="B69" s="44" t="str">
        <x:v>ABNB US Equity</x:v>
      </x:c>
      <x:c r="C69" s="44" t="str">
        <x:v>ABNB-2023Q4-INITIAL</x:v>
      </x:c>
      <x:c r="D69" s="56" t="n">
        <x:v>45335.895833333336</x:v>
      </x:c>
      <x:c r="E69" s="44" t="str">
        <x:v>Prior U.S. close; closest eligible intraday snapshot as secondary</x:v>
      </x:c>
      <x:c r="F69" s="44" t="str">
        <x:v>2024Q1</x:v>
      </x:c>
      <x:c r="G69" s="44" t="str">
        <x:v>Revenue / Sales</x:v>
      </x:c>
      <x:c r="H69" s="44" t="str">
        <x:v>BEST_SALES_LOW or point-in-time equivalent</x:v>
      </x:c>
      <x:c r="I69" s="44" t="str">
        <x:v>low</x:v>
      </x:c>
      <x:c r="J69" s="44" t="str">
        <x:v>&lt; 2024-02-13T21:30:00Z</x:v>
      </x:c>
      <x:c r="K69" s="44" t="str">
        <x:v>Exact 2024Q1; do not use rolling offset</x:v>
      </x:c>
      <x:c r="L69" s="46" t="str"/>
      <x:c r="M69" s="46" t="str"/>
      <x:c r="N69" s="57" t="str"/>
      <x:c r="O69" s="46" t="str"/>
      <x:c r="P69" s="46" t="str"/>
      <x:c r="Q69" s="46" t="str"/>
      <x:c r="R69" s="46" t="str"/>
      <x:c r="S69" s="11" t="str"/>
      <x:c r="T69" s="46" t="str">
        <x:v>pending_paid_authorization</x:v>
      </x:c>
      <x:c r="U69" s="46" t="str"/>
      <x:c r="V69" s="11" t="str">
        <x:f>IF(OR(L69="",N69=""),"PENDING",IF(N69&lt;D69,"PASS","FAIL: snapshot not pre-event"))</x:f>
        <x:v>PENDING</x:v>
      </x:c>
    </x:row>
    <x:row r="70">
      <x:c r="A70" s="11" t="str">
        <x:v>ABNB-2023Q4-INITIAL-REVENUE-ANALYST_COUNT</x:v>
      </x:c>
      <x:c r="B70" s="44" t="str">
        <x:v>ABNB US Equity</x:v>
      </x:c>
      <x:c r="C70" s="44" t="str">
        <x:v>ABNB-2023Q4-INITIAL</x:v>
      </x:c>
      <x:c r="D70" s="56" t="n">
        <x:v>45335.895833333336</x:v>
      </x:c>
      <x:c r="E70" s="44" t="str">
        <x:v>Prior U.S. close; closest eligible intraday snapshot as secondary</x:v>
      </x:c>
      <x:c r="F70" s="44" t="str">
        <x:v>2024Q1</x:v>
      </x:c>
      <x:c r="G70" s="44" t="str">
        <x:v>Revenue / Sales</x:v>
      </x:c>
      <x:c r="H70" s="44" t="str">
        <x:v>BEST_SALES_NUM_EST or point-in-time equivalent</x:v>
      </x:c>
      <x:c r="I70" s="44" t="str">
        <x:v>analyst_count</x:v>
      </x:c>
      <x:c r="J70" s="44" t="str">
        <x:v>&lt; 2024-02-13T21:30:00Z</x:v>
      </x:c>
      <x:c r="K70" s="44" t="str">
        <x:v>Exact 2024Q1; do not use rolling offset</x:v>
      </x:c>
      <x:c r="L70" s="46" t="str"/>
      <x:c r="M70" s="46" t="str"/>
      <x:c r="N70" s="57" t="str"/>
      <x:c r="O70" s="46" t="str"/>
      <x:c r="P70" s="46" t="str"/>
      <x:c r="Q70" s="46" t="str"/>
      <x:c r="R70" s="46" t="str"/>
      <x:c r="S70" s="11" t="str"/>
      <x:c r="T70" s="46" t="str">
        <x:v>pending_paid_authorization</x:v>
      </x:c>
      <x:c r="U70" s="46" t="str"/>
      <x:c r="V70" s="11" t="str">
        <x:f>IF(OR(L70="",N70=""),"PENDING",IF(N70&lt;D70,"PASS","FAIL: snapshot not pre-event"))</x:f>
        <x:v>PENDING</x:v>
      </x:c>
    </x:row>
    <x:row r="71">
      <x:c r="A71" s="11" t="str">
        <x:v>ABNB-2024Q1-INITIAL-REVENUE-MEAN</x:v>
      </x:c>
      <x:c r="B71" s="44" t="str">
        <x:v>ABNB US Equity</x:v>
      </x:c>
      <x:c r="C71" s="44" t="str">
        <x:v>ABNB-2024Q1-INITIAL</x:v>
      </x:c>
      <x:c r="D71" s="56" t="n">
        <x:v>45420.854166666664</x:v>
      </x:c>
      <x:c r="E71" s="44" t="str">
        <x:v>Prior U.S. close; closest eligible intraday snapshot as secondary</x:v>
      </x:c>
      <x:c r="F71" s="44" t="str">
        <x:v>2024Q2</x:v>
      </x:c>
      <x:c r="G71" s="44" t="str">
        <x:v>Revenue / Sales</x:v>
      </x:c>
      <x:c r="H71" s="44" t="str">
        <x:v>BEST_SALES (point-in-time history)</x:v>
      </x:c>
      <x:c r="I71" s="44" t="str">
        <x:v>mean</x:v>
      </x:c>
      <x:c r="J71" s="44" t="str">
        <x:v>&lt; 2024-05-08T20:30:00Z</x:v>
      </x:c>
      <x:c r="K71" s="44" t="str">
        <x:v>Exact 2024Q2; do not use rolling offset</x:v>
      </x:c>
      <x:c r="L71" s="46" t="str"/>
      <x:c r="M71" s="46" t="str"/>
      <x:c r="N71" s="57" t="str"/>
      <x:c r="O71" s="46" t="str"/>
      <x:c r="P71" s="46" t="str"/>
      <x:c r="Q71" s="46" t="str"/>
      <x:c r="R71" s="46" t="str"/>
      <x:c r="S71" s="11" t="str"/>
      <x:c r="T71" s="46" t="str">
        <x:v>pending_paid_authorization</x:v>
      </x:c>
      <x:c r="U71" s="46" t="str"/>
      <x:c r="V71" s="11" t="str">
        <x:f>IF(OR(L71="",N71=""),"PENDING",IF(N71&lt;D71,"PASS","FAIL: snapshot not pre-event"))</x:f>
        <x:v>PENDING</x:v>
      </x:c>
    </x:row>
    <x:row r="72">
      <x:c r="A72" s="11" t="str">
        <x:v>ABNB-2024Q1-INITIAL-REVENUE-MEDIAN</x:v>
      </x:c>
      <x:c r="B72" s="44" t="str">
        <x:v>ABNB US Equity</x:v>
      </x:c>
      <x:c r="C72" s="44" t="str">
        <x:v>ABNB-2024Q1-INITIAL</x:v>
      </x:c>
      <x:c r="D72" s="56" t="n">
        <x:v>45420.854166666664</x:v>
      </x:c>
      <x:c r="E72" s="44" t="str">
        <x:v>Prior U.S. close; closest eligible intraday snapshot as secondary</x:v>
      </x:c>
      <x:c r="F72" s="44" t="str">
        <x:v>2024Q2</x:v>
      </x:c>
      <x:c r="G72" s="44" t="str">
        <x:v>Revenue / Sales</x:v>
      </x:c>
      <x:c r="H72" s="44" t="str">
        <x:v>BEST_SALES_MEDIAN or point-in-time equivalent</x:v>
      </x:c>
      <x:c r="I72" s="44" t="str">
        <x:v>median</x:v>
      </x:c>
      <x:c r="J72" s="44" t="str">
        <x:v>&lt; 2024-05-08T20:30:00Z</x:v>
      </x:c>
      <x:c r="K72" s="44" t="str">
        <x:v>Exact 2024Q2; do not use rolling offset</x:v>
      </x:c>
      <x:c r="L72" s="46" t="str"/>
      <x:c r="M72" s="46" t="str"/>
      <x:c r="N72" s="57" t="str"/>
      <x:c r="O72" s="46" t="str"/>
      <x:c r="P72" s="46" t="str"/>
      <x:c r="Q72" s="46" t="str"/>
      <x:c r="R72" s="46" t="str"/>
      <x:c r="S72" s="11" t="str"/>
      <x:c r="T72" s="46" t="str">
        <x:v>pending_paid_authorization</x:v>
      </x:c>
      <x:c r="U72" s="46" t="str"/>
      <x:c r="V72" s="11" t="str">
        <x:f>IF(OR(L72="",N72=""),"PENDING",IF(N72&lt;D72,"PASS","FAIL: snapshot not pre-event"))</x:f>
        <x:v>PENDING</x:v>
      </x:c>
    </x:row>
    <x:row r="73">
      <x:c r="A73" s="11" t="str">
        <x:v>ABNB-2024Q1-INITIAL-REVENUE-HIGH</x:v>
      </x:c>
      <x:c r="B73" s="44" t="str">
        <x:v>ABNB US Equity</x:v>
      </x:c>
      <x:c r="C73" s="44" t="str">
        <x:v>ABNB-2024Q1-INITIAL</x:v>
      </x:c>
      <x:c r="D73" s="56" t="n">
        <x:v>45420.854166666664</x:v>
      </x:c>
      <x:c r="E73" s="44" t="str">
        <x:v>Prior U.S. close; closest eligible intraday snapshot as secondary</x:v>
      </x:c>
      <x:c r="F73" s="44" t="str">
        <x:v>2024Q2</x:v>
      </x:c>
      <x:c r="G73" s="44" t="str">
        <x:v>Revenue / Sales</x:v>
      </x:c>
      <x:c r="H73" s="44" t="str">
        <x:v>BEST_SALES_HIGH or point-in-time equivalent</x:v>
      </x:c>
      <x:c r="I73" s="44" t="str">
        <x:v>high</x:v>
      </x:c>
      <x:c r="J73" s="44" t="str">
        <x:v>&lt; 2024-05-08T20:30:00Z</x:v>
      </x:c>
      <x:c r="K73" s="44" t="str">
        <x:v>Exact 2024Q2; do not use rolling offset</x:v>
      </x:c>
      <x:c r="L73" s="46" t="str"/>
      <x:c r="M73" s="46" t="str"/>
      <x:c r="N73" s="57" t="str"/>
      <x:c r="O73" s="46" t="str"/>
      <x:c r="P73" s="46" t="str"/>
      <x:c r="Q73" s="46" t="str"/>
      <x:c r="R73" s="46" t="str"/>
      <x:c r="S73" s="11" t="str"/>
      <x:c r="T73" s="46" t="str">
        <x:v>pending_paid_authorization</x:v>
      </x:c>
      <x:c r="U73" s="46" t="str"/>
      <x:c r="V73" s="11" t="str">
        <x:f>IF(OR(L73="",N73=""),"PENDING",IF(N73&lt;D73,"PASS","FAIL: snapshot not pre-event"))</x:f>
        <x:v>PENDING</x:v>
      </x:c>
    </x:row>
    <x:row r="74">
      <x:c r="A74" s="11" t="str">
        <x:v>ABNB-2024Q1-INITIAL-REVENUE-LOW</x:v>
      </x:c>
      <x:c r="B74" s="44" t="str">
        <x:v>ABNB US Equity</x:v>
      </x:c>
      <x:c r="C74" s="44" t="str">
        <x:v>ABNB-2024Q1-INITIAL</x:v>
      </x:c>
      <x:c r="D74" s="56" t="n">
        <x:v>45420.854166666664</x:v>
      </x:c>
      <x:c r="E74" s="44" t="str">
        <x:v>Prior U.S. close; closest eligible intraday snapshot as secondary</x:v>
      </x:c>
      <x:c r="F74" s="44" t="str">
        <x:v>2024Q2</x:v>
      </x:c>
      <x:c r="G74" s="44" t="str">
        <x:v>Revenue / Sales</x:v>
      </x:c>
      <x:c r="H74" s="44" t="str">
        <x:v>BEST_SALES_LOW or point-in-time equivalent</x:v>
      </x:c>
      <x:c r="I74" s="44" t="str">
        <x:v>low</x:v>
      </x:c>
      <x:c r="J74" s="44" t="str">
        <x:v>&lt; 2024-05-08T20:30:00Z</x:v>
      </x:c>
      <x:c r="K74" s="44" t="str">
        <x:v>Exact 2024Q2; do not use rolling offset</x:v>
      </x:c>
      <x:c r="L74" s="46" t="str"/>
      <x:c r="M74" s="46" t="str"/>
      <x:c r="N74" s="57" t="str"/>
      <x:c r="O74" s="46" t="str"/>
      <x:c r="P74" s="46" t="str"/>
      <x:c r="Q74" s="46" t="str"/>
      <x:c r="R74" s="46" t="str"/>
      <x:c r="S74" s="11" t="str"/>
      <x:c r="T74" s="46" t="str">
        <x:v>pending_paid_authorization</x:v>
      </x:c>
      <x:c r="U74" s="46" t="str"/>
      <x:c r="V74" s="11" t="str">
        <x:f>IF(OR(L74="",N74=""),"PENDING",IF(N74&lt;D74,"PASS","FAIL: snapshot not pre-event"))</x:f>
        <x:v>PENDING</x:v>
      </x:c>
    </x:row>
    <x:row r="75">
      <x:c r="A75" s="11" t="str">
        <x:v>ABNB-2024Q1-INITIAL-REVENUE-ANALYST_COUNT</x:v>
      </x:c>
      <x:c r="B75" s="44" t="str">
        <x:v>ABNB US Equity</x:v>
      </x:c>
      <x:c r="C75" s="44" t="str">
        <x:v>ABNB-2024Q1-INITIAL</x:v>
      </x:c>
      <x:c r="D75" s="56" t="n">
        <x:v>45420.854166666664</x:v>
      </x:c>
      <x:c r="E75" s="44" t="str">
        <x:v>Prior U.S. close; closest eligible intraday snapshot as secondary</x:v>
      </x:c>
      <x:c r="F75" s="44" t="str">
        <x:v>2024Q2</x:v>
      </x:c>
      <x:c r="G75" s="44" t="str">
        <x:v>Revenue / Sales</x:v>
      </x:c>
      <x:c r="H75" s="44" t="str">
        <x:v>BEST_SALES_NUM_EST or point-in-time equivalent</x:v>
      </x:c>
      <x:c r="I75" s="44" t="str">
        <x:v>analyst_count</x:v>
      </x:c>
      <x:c r="J75" s="44" t="str">
        <x:v>&lt; 2024-05-08T20:30:00Z</x:v>
      </x:c>
      <x:c r="K75" s="44" t="str">
        <x:v>Exact 2024Q2; do not use rolling offset</x:v>
      </x:c>
      <x:c r="L75" s="46" t="str"/>
      <x:c r="M75" s="46" t="str"/>
      <x:c r="N75" s="57" t="str"/>
      <x:c r="O75" s="46" t="str"/>
      <x:c r="P75" s="46" t="str"/>
      <x:c r="Q75" s="46" t="str"/>
      <x:c r="R75" s="46" t="str"/>
      <x:c r="S75" s="11" t="str"/>
      <x:c r="T75" s="46" t="str">
        <x:v>pending_paid_authorization</x:v>
      </x:c>
      <x:c r="U75" s="46" t="str"/>
      <x:c r="V75" s="11" t="str">
        <x:f>IF(OR(L75="",N75=""),"PENDING",IF(N75&lt;D75,"PASS","FAIL: snapshot not pre-event"))</x:f>
        <x:v>PENDING</x:v>
      </x:c>
    </x:row>
    <x:row r="76">
      <x:c r="A76" s="11" t="str">
        <x:v>ABNB-2024Q2-INITIAL-REVENUE-MEAN</x:v>
      </x:c>
      <x:c r="B76" s="44" t="str">
        <x:v>ABNB US Equity</x:v>
      </x:c>
      <x:c r="C76" s="44" t="str">
        <x:v>ABNB-2024Q2-INITIAL</x:v>
      </x:c>
      <x:c r="D76" s="56" t="n">
        <x:v>45510.854166666664</x:v>
      </x:c>
      <x:c r="E76" s="44" t="str">
        <x:v>Prior U.S. close; closest eligible intraday snapshot as secondary</x:v>
      </x:c>
      <x:c r="F76" s="44" t="str">
        <x:v>2024Q3</x:v>
      </x:c>
      <x:c r="G76" s="44" t="str">
        <x:v>Revenue / Sales</x:v>
      </x:c>
      <x:c r="H76" s="44" t="str">
        <x:v>BEST_SALES (point-in-time history)</x:v>
      </x:c>
      <x:c r="I76" s="44" t="str">
        <x:v>mean</x:v>
      </x:c>
      <x:c r="J76" s="44" t="str">
        <x:v>&lt; 2024-08-06T20:30:00Z</x:v>
      </x:c>
      <x:c r="K76" s="44" t="str">
        <x:v>Exact 2024Q3; do not use rolling offset</x:v>
      </x:c>
      <x:c r="L76" s="46" t="str"/>
      <x:c r="M76" s="46" t="str"/>
      <x:c r="N76" s="57" t="str"/>
      <x:c r="O76" s="46" t="str"/>
      <x:c r="P76" s="46" t="str"/>
      <x:c r="Q76" s="46" t="str"/>
      <x:c r="R76" s="46" t="str"/>
      <x:c r="S76" s="11" t="str"/>
      <x:c r="T76" s="46" t="str">
        <x:v>pending_paid_authorization</x:v>
      </x:c>
      <x:c r="U76" s="46" t="str"/>
      <x:c r="V76" s="11" t="str">
        <x:f>IF(OR(L76="",N76=""),"PENDING",IF(N76&lt;D76,"PASS","FAIL: snapshot not pre-event"))</x:f>
        <x:v>PENDING</x:v>
      </x:c>
    </x:row>
    <x:row r="77">
      <x:c r="A77" s="11" t="str">
        <x:v>ABNB-2024Q2-INITIAL-REVENUE-MEDIAN</x:v>
      </x:c>
      <x:c r="B77" s="44" t="str">
        <x:v>ABNB US Equity</x:v>
      </x:c>
      <x:c r="C77" s="44" t="str">
        <x:v>ABNB-2024Q2-INITIAL</x:v>
      </x:c>
      <x:c r="D77" s="56" t="n">
        <x:v>45510.854166666664</x:v>
      </x:c>
      <x:c r="E77" s="44" t="str">
        <x:v>Prior U.S. close; closest eligible intraday snapshot as secondary</x:v>
      </x:c>
      <x:c r="F77" s="44" t="str">
        <x:v>2024Q3</x:v>
      </x:c>
      <x:c r="G77" s="44" t="str">
        <x:v>Revenue / Sales</x:v>
      </x:c>
      <x:c r="H77" s="44" t="str">
        <x:v>BEST_SALES_MEDIAN or point-in-time equivalent</x:v>
      </x:c>
      <x:c r="I77" s="44" t="str">
        <x:v>median</x:v>
      </x:c>
      <x:c r="J77" s="44" t="str">
        <x:v>&lt; 2024-08-06T20:30:00Z</x:v>
      </x:c>
      <x:c r="K77" s="44" t="str">
        <x:v>Exact 2024Q3; do not use rolling offset</x:v>
      </x:c>
      <x:c r="L77" s="46" t="str"/>
      <x:c r="M77" s="46" t="str"/>
      <x:c r="N77" s="57" t="str"/>
      <x:c r="O77" s="46" t="str"/>
      <x:c r="P77" s="46" t="str"/>
      <x:c r="Q77" s="46" t="str"/>
      <x:c r="R77" s="46" t="str"/>
      <x:c r="S77" s="11" t="str"/>
      <x:c r="T77" s="46" t="str">
        <x:v>pending_paid_authorization</x:v>
      </x:c>
      <x:c r="U77" s="46" t="str"/>
      <x:c r="V77" s="11" t="str">
        <x:f>IF(OR(L77="",N77=""),"PENDING",IF(N77&lt;D77,"PASS","FAIL: snapshot not pre-event"))</x:f>
        <x:v>PENDING</x:v>
      </x:c>
    </x:row>
    <x:row r="78">
      <x:c r="A78" s="11" t="str">
        <x:v>ABNB-2024Q2-INITIAL-REVENUE-HIGH</x:v>
      </x:c>
      <x:c r="B78" s="44" t="str">
        <x:v>ABNB US Equity</x:v>
      </x:c>
      <x:c r="C78" s="44" t="str">
        <x:v>ABNB-2024Q2-INITIAL</x:v>
      </x:c>
      <x:c r="D78" s="56" t="n">
        <x:v>45510.854166666664</x:v>
      </x:c>
      <x:c r="E78" s="44" t="str">
        <x:v>Prior U.S. close; closest eligible intraday snapshot as secondary</x:v>
      </x:c>
      <x:c r="F78" s="44" t="str">
        <x:v>2024Q3</x:v>
      </x:c>
      <x:c r="G78" s="44" t="str">
        <x:v>Revenue / Sales</x:v>
      </x:c>
      <x:c r="H78" s="44" t="str">
        <x:v>BEST_SALES_HIGH or point-in-time equivalent</x:v>
      </x:c>
      <x:c r="I78" s="44" t="str">
        <x:v>high</x:v>
      </x:c>
      <x:c r="J78" s="44" t="str">
        <x:v>&lt; 2024-08-06T20:30:00Z</x:v>
      </x:c>
      <x:c r="K78" s="44" t="str">
        <x:v>Exact 2024Q3; do not use rolling offset</x:v>
      </x:c>
      <x:c r="L78" s="46" t="str"/>
      <x:c r="M78" s="46" t="str"/>
      <x:c r="N78" s="57" t="str"/>
      <x:c r="O78" s="46" t="str"/>
      <x:c r="P78" s="46" t="str"/>
      <x:c r="Q78" s="46" t="str"/>
      <x:c r="R78" s="46" t="str"/>
      <x:c r="S78" s="11" t="str"/>
      <x:c r="T78" s="46" t="str">
        <x:v>pending_paid_authorization</x:v>
      </x:c>
      <x:c r="U78" s="46" t="str"/>
      <x:c r="V78" s="11" t="str">
        <x:f>IF(OR(L78="",N78=""),"PENDING",IF(N78&lt;D78,"PASS","FAIL: snapshot not pre-event"))</x:f>
        <x:v>PENDING</x:v>
      </x:c>
    </x:row>
    <x:row r="79">
      <x:c r="A79" s="11" t="str">
        <x:v>ABNB-2024Q2-INITIAL-REVENUE-LOW</x:v>
      </x:c>
      <x:c r="B79" s="44" t="str">
        <x:v>ABNB US Equity</x:v>
      </x:c>
      <x:c r="C79" s="44" t="str">
        <x:v>ABNB-2024Q2-INITIAL</x:v>
      </x:c>
      <x:c r="D79" s="56" t="n">
        <x:v>45510.854166666664</x:v>
      </x:c>
      <x:c r="E79" s="44" t="str">
        <x:v>Prior U.S. close; closest eligible intraday snapshot as secondary</x:v>
      </x:c>
      <x:c r="F79" s="44" t="str">
        <x:v>2024Q3</x:v>
      </x:c>
      <x:c r="G79" s="44" t="str">
        <x:v>Revenue / Sales</x:v>
      </x:c>
      <x:c r="H79" s="44" t="str">
        <x:v>BEST_SALES_LOW or point-in-time equivalent</x:v>
      </x:c>
      <x:c r="I79" s="44" t="str">
        <x:v>low</x:v>
      </x:c>
      <x:c r="J79" s="44" t="str">
        <x:v>&lt; 2024-08-06T20:30:00Z</x:v>
      </x:c>
      <x:c r="K79" s="44" t="str">
        <x:v>Exact 2024Q3; do not use rolling offset</x:v>
      </x:c>
      <x:c r="L79" s="46" t="str"/>
      <x:c r="M79" s="46" t="str"/>
      <x:c r="N79" s="57" t="str"/>
      <x:c r="O79" s="46" t="str"/>
      <x:c r="P79" s="46" t="str"/>
      <x:c r="Q79" s="46" t="str"/>
      <x:c r="R79" s="46" t="str"/>
      <x:c r="S79" s="11" t="str"/>
      <x:c r="T79" s="46" t="str">
        <x:v>pending_paid_authorization</x:v>
      </x:c>
      <x:c r="U79" s="46" t="str"/>
      <x:c r="V79" s="11" t="str">
        <x:f>IF(OR(L79="",N79=""),"PENDING",IF(N79&lt;D79,"PASS","FAIL: snapshot not pre-event"))</x:f>
        <x:v>PENDING</x:v>
      </x:c>
    </x:row>
    <x:row r="80">
      <x:c r="A80" s="11" t="str">
        <x:v>ABNB-2024Q2-INITIAL-REVENUE-ANALYST_COUNT</x:v>
      </x:c>
      <x:c r="B80" s="44" t="str">
        <x:v>ABNB US Equity</x:v>
      </x:c>
      <x:c r="C80" s="44" t="str">
        <x:v>ABNB-2024Q2-INITIAL</x:v>
      </x:c>
      <x:c r="D80" s="56" t="n">
        <x:v>45510.854166666664</x:v>
      </x:c>
      <x:c r="E80" s="44" t="str">
        <x:v>Prior U.S. close; closest eligible intraday snapshot as secondary</x:v>
      </x:c>
      <x:c r="F80" s="44" t="str">
        <x:v>2024Q3</x:v>
      </x:c>
      <x:c r="G80" s="44" t="str">
        <x:v>Revenue / Sales</x:v>
      </x:c>
      <x:c r="H80" s="44" t="str">
        <x:v>BEST_SALES_NUM_EST or point-in-time equivalent</x:v>
      </x:c>
      <x:c r="I80" s="44" t="str">
        <x:v>analyst_count</x:v>
      </x:c>
      <x:c r="J80" s="44" t="str">
        <x:v>&lt; 2024-08-06T20:30:00Z</x:v>
      </x:c>
      <x:c r="K80" s="44" t="str">
        <x:v>Exact 2024Q3; do not use rolling offset</x:v>
      </x:c>
      <x:c r="L80" s="46" t="str"/>
      <x:c r="M80" s="46" t="str"/>
      <x:c r="N80" s="57" t="str"/>
      <x:c r="O80" s="46" t="str"/>
      <x:c r="P80" s="46" t="str"/>
      <x:c r="Q80" s="46" t="str"/>
      <x:c r="R80" s="46" t="str"/>
      <x:c r="S80" s="11" t="str"/>
      <x:c r="T80" s="46" t="str">
        <x:v>pending_paid_authorization</x:v>
      </x:c>
      <x:c r="U80" s="46" t="str"/>
      <x:c r="V80" s="11" t="str">
        <x:f>IF(OR(L80="",N80=""),"PENDING",IF(N80&lt;D80,"PASS","FAIL: snapshot not pre-event"))</x:f>
        <x:v>PENDING</x:v>
      </x:c>
    </x:row>
    <x:row r="81">
      <x:c r="A81" s="11" t="str">
        <x:v>ABNB-2024Q3-INITIAL-REVENUE-MEAN</x:v>
      </x:c>
      <x:c r="B81" s="44" t="str">
        <x:v>ABNB US Equity</x:v>
      </x:c>
      <x:c r="C81" s="44" t="str">
        <x:v>ABNB-2024Q3-INITIAL</x:v>
      </x:c>
      <x:c r="D81" s="56" t="n">
        <x:v>45603.895833333336</x:v>
      </x:c>
      <x:c r="E81" s="44" t="str">
        <x:v>Prior U.S. close; closest eligible intraday snapshot as secondary</x:v>
      </x:c>
      <x:c r="F81" s="44" t="str">
        <x:v>2024Q4</x:v>
      </x:c>
      <x:c r="G81" s="44" t="str">
        <x:v>Revenue / Sales</x:v>
      </x:c>
      <x:c r="H81" s="44" t="str">
        <x:v>BEST_SALES (point-in-time history)</x:v>
      </x:c>
      <x:c r="I81" s="44" t="str">
        <x:v>mean</x:v>
      </x:c>
      <x:c r="J81" s="44" t="str">
        <x:v>&lt; 2024-11-07T21:30:00Z</x:v>
      </x:c>
      <x:c r="K81" s="44" t="str">
        <x:v>Exact 2024Q4; do not use rolling offset</x:v>
      </x:c>
      <x:c r="L81" s="46" t="str"/>
      <x:c r="M81" s="46" t="str"/>
      <x:c r="N81" s="57" t="str"/>
      <x:c r="O81" s="46" t="str"/>
      <x:c r="P81" s="46" t="str"/>
      <x:c r="Q81" s="46" t="str"/>
      <x:c r="R81" s="46" t="str"/>
      <x:c r="S81" s="11" t="str"/>
      <x:c r="T81" s="46" t="str">
        <x:v>pending_paid_authorization</x:v>
      </x:c>
      <x:c r="U81" s="46" t="str"/>
      <x:c r="V81" s="11" t="str">
        <x:f>IF(OR(L81="",N81=""),"PENDING",IF(N81&lt;D81,"PASS","FAIL: snapshot not pre-event"))</x:f>
        <x:v>PENDING</x:v>
      </x:c>
    </x:row>
    <x:row r="82">
      <x:c r="A82" s="11" t="str">
        <x:v>ABNB-2024Q3-INITIAL-REVENUE-MEDIAN</x:v>
      </x:c>
      <x:c r="B82" s="44" t="str">
        <x:v>ABNB US Equity</x:v>
      </x:c>
      <x:c r="C82" s="44" t="str">
        <x:v>ABNB-2024Q3-INITIAL</x:v>
      </x:c>
      <x:c r="D82" s="56" t="n">
        <x:v>45603.895833333336</x:v>
      </x:c>
      <x:c r="E82" s="44" t="str">
        <x:v>Prior U.S. close; closest eligible intraday snapshot as secondary</x:v>
      </x:c>
      <x:c r="F82" s="44" t="str">
        <x:v>2024Q4</x:v>
      </x:c>
      <x:c r="G82" s="44" t="str">
        <x:v>Revenue / Sales</x:v>
      </x:c>
      <x:c r="H82" s="44" t="str">
        <x:v>BEST_SALES_MEDIAN or point-in-time equivalent</x:v>
      </x:c>
      <x:c r="I82" s="44" t="str">
        <x:v>median</x:v>
      </x:c>
      <x:c r="J82" s="44" t="str">
        <x:v>&lt; 2024-11-07T21:30:00Z</x:v>
      </x:c>
      <x:c r="K82" s="44" t="str">
        <x:v>Exact 2024Q4; do not use rolling offset</x:v>
      </x:c>
      <x:c r="L82" s="46" t="str"/>
      <x:c r="M82" s="46" t="str"/>
      <x:c r="N82" s="57" t="str"/>
      <x:c r="O82" s="46" t="str"/>
      <x:c r="P82" s="46" t="str"/>
      <x:c r="Q82" s="46" t="str"/>
      <x:c r="R82" s="46" t="str"/>
      <x:c r="S82" s="11" t="str"/>
      <x:c r="T82" s="46" t="str">
        <x:v>pending_paid_authorization</x:v>
      </x:c>
      <x:c r="U82" s="46" t="str"/>
      <x:c r="V82" s="11" t="str">
        <x:f>IF(OR(L82="",N82=""),"PENDING",IF(N82&lt;D82,"PASS","FAIL: snapshot not pre-event"))</x:f>
        <x:v>PENDING</x:v>
      </x:c>
    </x:row>
    <x:row r="83">
      <x:c r="A83" s="11" t="str">
        <x:v>ABNB-2024Q3-INITIAL-REVENUE-HIGH</x:v>
      </x:c>
      <x:c r="B83" s="44" t="str">
        <x:v>ABNB US Equity</x:v>
      </x:c>
      <x:c r="C83" s="44" t="str">
        <x:v>ABNB-2024Q3-INITIAL</x:v>
      </x:c>
      <x:c r="D83" s="56" t="n">
        <x:v>45603.895833333336</x:v>
      </x:c>
      <x:c r="E83" s="44" t="str">
        <x:v>Prior U.S. close; closest eligible intraday snapshot as secondary</x:v>
      </x:c>
      <x:c r="F83" s="44" t="str">
        <x:v>2024Q4</x:v>
      </x:c>
      <x:c r="G83" s="44" t="str">
        <x:v>Revenue / Sales</x:v>
      </x:c>
      <x:c r="H83" s="44" t="str">
        <x:v>BEST_SALES_HIGH or point-in-time equivalent</x:v>
      </x:c>
      <x:c r="I83" s="44" t="str">
        <x:v>high</x:v>
      </x:c>
      <x:c r="J83" s="44" t="str">
        <x:v>&lt; 2024-11-07T21:30:00Z</x:v>
      </x:c>
      <x:c r="K83" s="44" t="str">
        <x:v>Exact 2024Q4; do not use rolling offset</x:v>
      </x:c>
      <x:c r="L83" s="46" t="str"/>
      <x:c r="M83" s="46" t="str"/>
      <x:c r="N83" s="57" t="str"/>
      <x:c r="O83" s="46" t="str"/>
      <x:c r="P83" s="46" t="str"/>
      <x:c r="Q83" s="46" t="str"/>
      <x:c r="R83" s="46" t="str"/>
      <x:c r="S83" s="11" t="str"/>
      <x:c r="T83" s="46" t="str">
        <x:v>pending_paid_authorization</x:v>
      </x:c>
      <x:c r="U83" s="46" t="str"/>
      <x:c r="V83" s="11" t="str">
        <x:f>IF(OR(L83="",N83=""),"PENDING",IF(N83&lt;D83,"PASS","FAIL: snapshot not pre-event"))</x:f>
        <x:v>PENDING</x:v>
      </x:c>
    </x:row>
    <x:row r="84">
      <x:c r="A84" s="11" t="str">
        <x:v>ABNB-2024Q3-INITIAL-REVENUE-LOW</x:v>
      </x:c>
      <x:c r="B84" s="44" t="str">
        <x:v>ABNB US Equity</x:v>
      </x:c>
      <x:c r="C84" s="44" t="str">
        <x:v>ABNB-2024Q3-INITIAL</x:v>
      </x:c>
      <x:c r="D84" s="56" t="n">
        <x:v>45603.895833333336</x:v>
      </x:c>
      <x:c r="E84" s="44" t="str">
        <x:v>Prior U.S. close; closest eligible intraday snapshot as secondary</x:v>
      </x:c>
      <x:c r="F84" s="44" t="str">
        <x:v>2024Q4</x:v>
      </x:c>
      <x:c r="G84" s="44" t="str">
        <x:v>Revenue / Sales</x:v>
      </x:c>
      <x:c r="H84" s="44" t="str">
        <x:v>BEST_SALES_LOW or point-in-time equivalent</x:v>
      </x:c>
      <x:c r="I84" s="44" t="str">
        <x:v>low</x:v>
      </x:c>
      <x:c r="J84" s="44" t="str">
        <x:v>&lt; 2024-11-07T21:30:00Z</x:v>
      </x:c>
      <x:c r="K84" s="44" t="str">
        <x:v>Exact 2024Q4; do not use rolling offset</x:v>
      </x:c>
      <x:c r="L84" s="46" t="str"/>
      <x:c r="M84" s="46" t="str"/>
      <x:c r="N84" s="57" t="str"/>
      <x:c r="O84" s="46" t="str"/>
      <x:c r="P84" s="46" t="str"/>
      <x:c r="Q84" s="46" t="str"/>
      <x:c r="R84" s="46" t="str"/>
      <x:c r="S84" s="11" t="str"/>
      <x:c r="T84" s="46" t="str">
        <x:v>pending_paid_authorization</x:v>
      </x:c>
      <x:c r="U84" s="46" t="str"/>
      <x:c r="V84" s="11" t="str">
        <x:f>IF(OR(L84="",N84=""),"PENDING",IF(N84&lt;D84,"PASS","FAIL: snapshot not pre-event"))</x:f>
        <x:v>PENDING</x:v>
      </x:c>
    </x:row>
    <x:row r="85">
      <x:c r="A85" s="11" t="str">
        <x:v>ABNB-2024Q3-INITIAL-REVENUE-ANALYST_COUNT</x:v>
      </x:c>
      <x:c r="B85" s="44" t="str">
        <x:v>ABNB US Equity</x:v>
      </x:c>
      <x:c r="C85" s="44" t="str">
        <x:v>ABNB-2024Q3-INITIAL</x:v>
      </x:c>
      <x:c r="D85" s="56" t="n">
        <x:v>45603.895833333336</x:v>
      </x:c>
      <x:c r="E85" s="44" t="str">
        <x:v>Prior U.S. close; closest eligible intraday snapshot as secondary</x:v>
      </x:c>
      <x:c r="F85" s="44" t="str">
        <x:v>2024Q4</x:v>
      </x:c>
      <x:c r="G85" s="44" t="str">
        <x:v>Revenue / Sales</x:v>
      </x:c>
      <x:c r="H85" s="44" t="str">
        <x:v>BEST_SALES_NUM_EST or point-in-time equivalent</x:v>
      </x:c>
      <x:c r="I85" s="44" t="str">
        <x:v>analyst_count</x:v>
      </x:c>
      <x:c r="J85" s="44" t="str">
        <x:v>&lt; 2024-11-07T21:30:00Z</x:v>
      </x:c>
      <x:c r="K85" s="44" t="str">
        <x:v>Exact 2024Q4; do not use rolling offset</x:v>
      </x:c>
      <x:c r="L85" s="46" t="str"/>
      <x:c r="M85" s="46" t="str"/>
      <x:c r="N85" s="57" t="str"/>
      <x:c r="O85" s="46" t="str"/>
      <x:c r="P85" s="46" t="str"/>
      <x:c r="Q85" s="46" t="str"/>
      <x:c r="R85" s="46" t="str"/>
      <x:c r="S85" s="11" t="str"/>
      <x:c r="T85" s="46" t="str">
        <x:v>pending_paid_authorization</x:v>
      </x:c>
      <x:c r="U85" s="46" t="str"/>
      <x:c r="V85" s="11" t="str">
        <x:f>IF(OR(L85="",N85=""),"PENDING",IF(N85&lt;D85,"PASS","FAIL: snapshot not pre-event"))</x:f>
        <x:v>PENDING</x:v>
      </x:c>
    </x:row>
    <x:row r="86">
      <x:c r="A86" s="11" t="str">
        <x:v>ABNB-2024Q4-INITIAL-REVENUE-MEAN</x:v>
      </x:c>
      <x:c r="B86" s="44" t="str">
        <x:v>ABNB US Equity</x:v>
      </x:c>
      <x:c r="C86" s="44" t="str">
        <x:v>ABNB-2024Q4-INITIAL</x:v>
      </x:c>
      <x:c r="D86" s="56" t="n">
        <x:v>45701.895833333336</x:v>
      </x:c>
      <x:c r="E86" s="44" t="str">
        <x:v>Prior U.S. close; closest eligible intraday snapshot as secondary</x:v>
      </x:c>
      <x:c r="F86" s="44" t="str">
        <x:v>2025Q1</x:v>
      </x:c>
      <x:c r="G86" s="44" t="str">
        <x:v>Revenue / Sales</x:v>
      </x:c>
      <x:c r="H86" s="44" t="str">
        <x:v>BEST_SALES (point-in-time history)</x:v>
      </x:c>
      <x:c r="I86" s="44" t="str">
        <x:v>mean</x:v>
      </x:c>
      <x:c r="J86" s="44" t="str">
        <x:v>&lt; 2025-02-13T21:30:00Z</x:v>
      </x:c>
      <x:c r="K86" s="44" t="str">
        <x:v>Exact 2025Q1; do not use rolling offset</x:v>
      </x:c>
      <x:c r="L86" s="46" t="str"/>
      <x:c r="M86" s="46" t="str"/>
      <x:c r="N86" s="57" t="str"/>
      <x:c r="O86" s="46" t="str"/>
      <x:c r="P86" s="46" t="str"/>
      <x:c r="Q86" s="46" t="str"/>
      <x:c r="R86" s="46" t="str"/>
      <x:c r="S86" s="11" t="str"/>
      <x:c r="T86" s="46" t="str">
        <x:v>pending_paid_authorization</x:v>
      </x:c>
      <x:c r="U86" s="46" t="str"/>
      <x:c r="V86" s="11" t="str">
        <x:f>IF(OR(L86="",N86=""),"PENDING",IF(N86&lt;D86,"PASS","FAIL: snapshot not pre-event"))</x:f>
        <x:v>PENDING</x:v>
      </x:c>
    </x:row>
    <x:row r="87">
      <x:c r="A87" s="11" t="str">
        <x:v>ABNB-2024Q4-INITIAL-REVENUE-MEDIAN</x:v>
      </x:c>
      <x:c r="B87" s="44" t="str">
        <x:v>ABNB US Equity</x:v>
      </x:c>
      <x:c r="C87" s="44" t="str">
        <x:v>ABNB-2024Q4-INITIAL</x:v>
      </x:c>
      <x:c r="D87" s="56" t="n">
        <x:v>45701.895833333336</x:v>
      </x:c>
      <x:c r="E87" s="44" t="str">
        <x:v>Prior U.S. close; closest eligible intraday snapshot as secondary</x:v>
      </x:c>
      <x:c r="F87" s="44" t="str">
        <x:v>2025Q1</x:v>
      </x:c>
      <x:c r="G87" s="44" t="str">
        <x:v>Revenue / Sales</x:v>
      </x:c>
      <x:c r="H87" s="44" t="str">
        <x:v>BEST_SALES_MEDIAN or point-in-time equivalent</x:v>
      </x:c>
      <x:c r="I87" s="44" t="str">
        <x:v>median</x:v>
      </x:c>
      <x:c r="J87" s="44" t="str">
        <x:v>&lt; 2025-02-13T21:30:00Z</x:v>
      </x:c>
      <x:c r="K87" s="44" t="str">
        <x:v>Exact 2025Q1; do not use rolling offset</x:v>
      </x:c>
      <x:c r="L87" s="46" t="str"/>
      <x:c r="M87" s="46" t="str"/>
      <x:c r="N87" s="57" t="str"/>
      <x:c r="O87" s="46" t="str"/>
      <x:c r="P87" s="46" t="str"/>
      <x:c r="Q87" s="46" t="str"/>
      <x:c r="R87" s="46" t="str"/>
      <x:c r="S87" s="11" t="str"/>
      <x:c r="T87" s="46" t="str">
        <x:v>pending_paid_authorization</x:v>
      </x:c>
      <x:c r="U87" s="46" t="str"/>
      <x:c r="V87" s="11" t="str">
        <x:f>IF(OR(L87="",N87=""),"PENDING",IF(N87&lt;D87,"PASS","FAIL: snapshot not pre-event"))</x:f>
        <x:v>PENDING</x:v>
      </x:c>
    </x:row>
    <x:row r="88">
      <x:c r="A88" s="11" t="str">
        <x:v>ABNB-2024Q4-INITIAL-REVENUE-HIGH</x:v>
      </x:c>
      <x:c r="B88" s="44" t="str">
        <x:v>ABNB US Equity</x:v>
      </x:c>
      <x:c r="C88" s="44" t="str">
        <x:v>ABNB-2024Q4-INITIAL</x:v>
      </x:c>
      <x:c r="D88" s="56" t="n">
        <x:v>45701.895833333336</x:v>
      </x:c>
      <x:c r="E88" s="44" t="str">
        <x:v>Prior U.S. close; closest eligible intraday snapshot as secondary</x:v>
      </x:c>
      <x:c r="F88" s="44" t="str">
        <x:v>2025Q1</x:v>
      </x:c>
      <x:c r="G88" s="44" t="str">
        <x:v>Revenue / Sales</x:v>
      </x:c>
      <x:c r="H88" s="44" t="str">
        <x:v>BEST_SALES_HIGH or point-in-time equivalent</x:v>
      </x:c>
      <x:c r="I88" s="44" t="str">
        <x:v>high</x:v>
      </x:c>
      <x:c r="J88" s="44" t="str">
        <x:v>&lt; 2025-02-13T21:30:00Z</x:v>
      </x:c>
      <x:c r="K88" s="44" t="str">
        <x:v>Exact 2025Q1; do not use rolling offset</x:v>
      </x:c>
      <x:c r="L88" s="46" t="str"/>
      <x:c r="M88" s="46" t="str"/>
      <x:c r="N88" s="57" t="str"/>
      <x:c r="O88" s="46" t="str"/>
      <x:c r="P88" s="46" t="str"/>
      <x:c r="Q88" s="46" t="str"/>
      <x:c r="R88" s="46" t="str"/>
      <x:c r="S88" s="11" t="str"/>
      <x:c r="T88" s="46" t="str">
        <x:v>pending_paid_authorization</x:v>
      </x:c>
      <x:c r="U88" s="46" t="str"/>
      <x:c r="V88" s="11" t="str">
        <x:f>IF(OR(L88="",N88=""),"PENDING",IF(N88&lt;D88,"PASS","FAIL: snapshot not pre-event"))</x:f>
        <x:v>PENDING</x:v>
      </x:c>
    </x:row>
    <x:row r="89">
      <x:c r="A89" s="11" t="str">
        <x:v>ABNB-2024Q4-INITIAL-REVENUE-LOW</x:v>
      </x:c>
      <x:c r="B89" s="44" t="str">
        <x:v>ABNB US Equity</x:v>
      </x:c>
      <x:c r="C89" s="44" t="str">
        <x:v>ABNB-2024Q4-INITIAL</x:v>
      </x:c>
      <x:c r="D89" s="56" t="n">
        <x:v>45701.895833333336</x:v>
      </x:c>
      <x:c r="E89" s="44" t="str">
        <x:v>Prior U.S. close; closest eligible intraday snapshot as secondary</x:v>
      </x:c>
      <x:c r="F89" s="44" t="str">
        <x:v>2025Q1</x:v>
      </x:c>
      <x:c r="G89" s="44" t="str">
        <x:v>Revenue / Sales</x:v>
      </x:c>
      <x:c r="H89" s="44" t="str">
        <x:v>BEST_SALES_LOW or point-in-time equivalent</x:v>
      </x:c>
      <x:c r="I89" s="44" t="str">
        <x:v>low</x:v>
      </x:c>
      <x:c r="J89" s="44" t="str">
        <x:v>&lt; 2025-02-13T21:30:00Z</x:v>
      </x:c>
      <x:c r="K89" s="44" t="str">
        <x:v>Exact 2025Q1; do not use rolling offset</x:v>
      </x:c>
      <x:c r="L89" s="46" t="str"/>
      <x:c r="M89" s="46" t="str"/>
      <x:c r="N89" s="57" t="str"/>
      <x:c r="O89" s="46" t="str"/>
      <x:c r="P89" s="46" t="str"/>
      <x:c r="Q89" s="46" t="str"/>
      <x:c r="R89" s="46" t="str"/>
      <x:c r="S89" s="11" t="str"/>
      <x:c r="T89" s="46" t="str">
        <x:v>pending_paid_authorization</x:v>
      </x:c>
      <x:c r="U89" s="46" t="str"/>
      <x:c r="V89" s="11" t="str">
        <x:f>IF(OR(L89="",N89=""),"PENDING",IF(N89&lt;D89,"PASS","FAIL: snapshot not pre-event"))</x:f>
        <x:v>PENDING</x:v>
      </x:c>
    </x:row>
    <x:row r="90">
      <x:c r="A90" s="11" t="str">
        <x:v>ABNB-2024Q4-INITIAL-REVENUE-ANALYST_COUNT</x:v>
      </x:c>
      <x:c r="B90" s="44" t="str">
        <x:v>ABNB US Equity</x:v>
      </x:c>
      <x:c r="C90" s="44" t="str">
        <x:v>ABNB-2024Q4-INITIAL</x:v>
      </x:c>
      <x:c r="D90" s="56" t="n">
        <x:v>45701.895833333336</x:v>
      </x:c>
      <x:c r="E90" s="44" t="str">
        <x:v>Prior U.S. close; closest eligible intraday snapshot as secondary</x:v>
      </x:c>
      <x:c r="F90" s="44" t="str">
        <x:v>2025Q1</x:v>
      </x:c>
      <x:c r="G90" s="44" t="str">
        <x:v>Revenue / Sales</x:v>
      </x:c>
      <x:c r="H90" s="44" t="str">
        <x:v>BEST_SALES_NUM_EST or point-in-time equivalent</x:v>
      </x:c>
      <x:c r="I90" s="44" t="str">
        <x:v>analyst_count</x:v>
      </x:c>
      <x:c r="J90" s="44" t="str">
        <x:v>&lt; 2025-02-13T21:30:00Z</x:v>
      </x:c>
      <x:c r="K90" s="44" t="str">
        <x:v>Exact 2025Q1; do not use rolling offset</x:v>
      </x:c>
      <x:c r="L90" s="46" t="str"/>
      <x:c r="M90" s="46" t="str"/>
      <x:c r="N90" s="57" t="str"/>
      <x:c r="O90" s="46" t="str"/>
      <x:c r="P90" s="46" t="str"/>
      <x:c r="Q90" s="46" t="str"/>
      <x:c r="R90" s="46" t="str"/>
      <x:c r="S90" s="11" t="str"/>
      <x:c r="T90" s="46" t="str">
        <x:v>pending_paid_authorization</x:v>
      </x:c>
      <x:c r="U90" s="46" t="str"/>
      <x:c r="V90" s="11" t="str">
        <x:f>IF(OR(L90="",N90=""),"PENDING",IF(N90&lt;D90,"PASS","FAIL: snapshot not pre-event"))</x:f>
        <x:v>PENDING</x:v>
      </x:c>
    </x:row>
    <x:row r="91">
      <x:c r="A91" s="11" t="str">
        <x:v>ABNB-2025Q1-INITIAL-REVENUE-MEAN</x:v>
      </x:c>
      <x:c r="B91" s="44" t="str">
        <x:v>ABNB US Equity</x:v>
      </x:c>
      <x:c r="C91" s="44" t="str">
        <x:v>ABNB-2025Q1-INITIAL</x:v>
      </x:c>
      <x:c r="D91" s="56" t="n">
        <x:v>45778.854166666664</x:v>
      </x:c>
      <x:c r="E91" s="44" t="str">
        <x:v>Prior U.S. close; closest eligible intraday snapshot as secondary</x:v>
      </x:c>
      <x:c r="F91" s="44" t="str">
        <x:v>2025Q2</x:v>
      </x:c>
      <x:c r="G91" s="44" t="str">
        <x:v>Revenue / Sales</x:v>
      </x:c>
      <x:c r="H91" s="44" t="str">
        <x:v>BEST_SALES (point-in-time history)</x:v>
      </x:c>
      <x:c r="I91" s="44" t="str">
        <x:v>mean</x:v>
      </x:c>
      <x:c r="J91" s="44" t="str">
        <x:v>&lt; 2025-05-01T20:30:00Z</x:v>
      </x:c>
      <x:c r="K91" s="44" t="str">
        <x:v>Exact 2025Q2; do not use rolling offset</x:v>
      </x:c>
      <x:c r="L91" s="46" t="str"/>
      <x:c r="M91" s="46" t="str"/>
      <x:c r="N91" s="57" t="str"/>
      <x:c r="O91" s="46" t="str"/>
      <x:c r="P91" s="46" t="str"/>
      <x:c r="Q91" s="46" t="str"/>
      <x:c r="R91" s="46" t="str"/>
      <x:c r="S91" s="11" t="str"/>
      <x:c r="T91" s="46" t="str">
        <x:v>pending_paid_authorization</x:v>
      </x:c>
      <x:c r="U91" s="46" t="str"/>
      <x:c r="V91" s="11" t="str">
        <x:f>IF(OR(L91="",N91=""),"PENDING",IF(N91&lt;D91,"PASS","FAIL: snapshot not pre-event"))</x:f>
        <x:v>PENDING</x:v>
      </x:c>
    </x:row>
    <x:row r="92">
      <x:c r="A92" s="11" t="str">
        <x:v>ABNB-2025Q1-INITIAL-REVENUE-MEDIAN</x:v>
      </x:c>
      <x:c r="B92" s="44" t="str">
        <x:v>ABNB US Equity</x:v>
      </x:c>
      <x:c r="C92" s="44" t="str">
        <x:v>ABNB-2025Q1-INITIAL</x:v>
      </x:c>
      <x:c r="D92" s="56" t="n">
        <x:v>45778.854166666664</x:v>
      </x:c>
      <x:c r="E92" s="44" t="str">
        <x:v>Prior U.S. close; closest eligible intraday snapshot as secondary</x:v>
      </x:c>
      <x:c r="F92" s="44" t="str">
        <x:v>2025Q2</x:v>
      </x:c>
      <x:c r="G92" s="44" t="str">
        <x:v>Revenue / Sales</x:v>
      </x:c>
      <x:c r="H92" s="44" t="str">
        <x:v>BEST_SALES_MEDIAN or point-in-time equivalent</x:v>
      </x:c>
      <x:c r="I92" s="44" t="str">
        <x:v>median</x:v>
      </x:c>
      <x:c r="J92" s="44" t="str">
        <x:v>&lt; 2025-05-01T20:30:00Z</x:v>
      </x:c>
      <x:c r="K92" s="44" t="str">
        <x:v>Exact 2025Q2; do not use rolling offset</x:v>
      </x:c>
      <x:c r="L92" s="46" t="str"/>
      <x:c r="M92" s="46" t="str"/>
      <x:c r="N92" s="57" t="str"/>
      <x:c r="O92" s="46" t="str"/>
      <x:c r="P92" s="46" t="str"/>
      <x:c r="Q92" s="46" t="str"/>
      <x:c r="R92" s="46" t="str"/>
      <x:c r="S92" s="11" t="str"/>
      <x:c r="T92" s="46" t="str">
        <x:v>pending_paid_authorization</x:v>
      </x:c>
      <x:c r="U92" s="46" t="str"/>
      <x:c r="V92" s="11" t="str">
        <x:f>IF(OR(L92="",N92=""),"PENDING",IF(N92&lt;D92,"PASS","FAIL: snapshot not pre-event"))</x:f>
        <x:v>PENDING</x:v>
      </x:c>
    </x:row>
    <x:row r="93">
      <x:c r="A93" s="11" t="str">
        <x:v>ABNB-2025Q1-INITIAL-REVENUE-HIGH</x:v>
      </x:c>
      <x:c r="B93" s="44" t="str">
        <x:v>ABNB US Equity</x:v>
      </x:c>
      <x:c r="C93" s="44" t="str">
        <x:v>ABNB-2025Q1-INITIAL</x:v>
      </x:c>
      <x:c r="D93" s="56" t="n">
        <x:v>45778.854166666664</x:v>
      </x:c>
      <x:c r="E93" s="44" t="str">
        <x:v>Prior U.S. close; closest eligible intraday snapshot as secondary</x:v>
      </x:c>
      <x:c r="F93" s="44" t="str">
        <x:v>2025Q2</x:v>
      </x:c>
      <x:c r="G93" s="44" t="str">
        <x:v>Revenue / Sales</x:v>
      </x:c>
      <x:c r="H93" s="44" t="str">
        <x:v>BEST_SALES_HIGH or point-in-time equivalent</x:v>
      </x:c>
      <x:c r="I93" s="44" t="str">
        <x:v>high</x:v>
      </x:c>
      <x:c r="J93" s="44" t="str">
        <x:v>&lt; 2025-05-01T20:30:00Z</x:v>
      </x:c>
      <x:c r="K93" s="44" t="str">
        <x:v>Exact 2025Q2; do not use rolling offset</x:v>
      </x:c>
      <x:c r="L93" s="46" t="str"/>
      <x:c r="M93" s="46" t="str"/>
      <x:c r="N93" s="57" t="str"/>
      <x:c r="O93" s="46" t="str"/>
      <x:c r="P93" s="46" t="str"/>
      <x:c r="Q93" s="46" t="str"/>
      <x:c r="R93" s="46" t="str"/>
      <x:c r="S93" s="11" t="str"/>
      <x:c r="T93" s="46" t="str">
        <x:v>pending_paid_authorization</x:v>
      </x:c>
      <x:c r="U93" s="46" t="str"/>
      <x:c r="V93" s="11" t="str">
        <x:f>IF(OR(L93="",N93=""),"PENDING",IF(N93&lt;D93,"PASS","FAIL: snapshot not pre-event"))</x:f>
        <x:v>PENDING</x:v>
      </x:c>
    </x:row>
    <x:row r="94">
      <x:c r="A94" s="11" t="str">
        <x:v>ABNB-2025Q1-INITIAL-REVENUE-LOW</x:v>
      </x:c>
      <x:c r="B94" s="44" t="str">
        <x:v>ABNB US Equity</x:v>
      </x:c>
      <x:c r="C94" s="44" t="str">
        <x:v>ABNB-2025Q1-INITIAL</x:v>
      </x:c>
      <x:c r="D94" s="56" t="n">
        <x:v>45778.854166666664</x:v>
      </x:c>
      <x:c r="E94" s="44" t="str">
        <x:v>Prior U.S. close; closest eligible intraday snapshot as secondary</x:v>
      </x:c>
      <x:c r="F94" s="44" t="str">
        <x:v>2025Q2</x:v>
      </x:c>
      <x:c r="G94" s="44" t="str">
        <x:v>Revenue / Sales</x:v>
      </x:c>
      <x:c r="H94" s="44" t="str">
        <x:v>BEST_SALES_LOW or point-in-time equivalent</x:v>
      </x:c>
      <x:c r="I94" s="44" t="str">
        <x:v>low</x:v>
      </x:c>
      <x:c r="J94" s="44" t="str">
        <x:v>&lt; 2025-05-01T20:30:00Z</x:v>
      </x:c>
      <x:c r="K94" s="44" t="str">
        <x:v>Exact 2025Q2; do not use rolling offset</x:v>
      </x:c>
      <x:c r="L94" s="46" t="str"/>
      <x:c r="M94" s="46" t="str"/>
      <x:c r="N94" s="57" t="str"/>
      <x:c r="O94" s="46" t="str"/>
      <x:c r="P94" s="46" t="str"/>
      <x:c r="Q94" s="46" t="str"/>
      <x:c r="R94" s="46" t="str"/>
      <x:c r="S94" s="11" t="str"/>
      <x:c r="T94" s="46" t="str">
        <x:v>pending_paid_authorization</x:v>
      </x:c>
      <x:c r="U94" s="46" t="str"/>
      <x:c r="V94" s="11" t="str">
        <x:f>IF(OR(L94="",N94=""),"PENDING",IF(N94&lt;D94,"PASS","FAIL: snapshot not pre-event"))</x:f>
        <x:v>PENDING</x:v>
      </x:c>
    </x:row>
    <x:row r="95">
      <x:c r="A95" s="11" t="str">
        <x:v>ABNB-2025Q1-INITIAL-REVENUE-ANALYST_COUNT</x:v>
      </x:c>
      <x:c r="B95" s="44" t="str">
        <x:v>ABNB US Equity</x:v>
      </x:c>
      <x:c r="C95" s="44" t="str">
        <x:v>ABNB-2025Q1-INITIAL</x:v>
      </x:c>
      <x:c r="D95" s="56" t="n">
        <x:v>45778.854166666664</x:v>
      </x:c>
      <x:c r="E95" s="44" t="str">
        <x:v>Prior U.S. close; closest eligible intraday snapshot as secondary</x:v>
      </x:c>
      <x:c r="F95" s="44" t="str">
        <x:v>2025Q2</x:v>
      </x:c>
      <x:c r="G95" s="44" t="str">
        <x:v>Revenue / Sales</x:v>
      </x:c>
      <x:c r="H95" s="44" t="str">
        <x:v>BEST_SALES_NUM_EST or point-in-time equivalent</x:v>
      </x:c>
      <x:c r="I95" s="44" t="str">
        <x:v>analyst_count</x:v>
      </x:c>
      <x:c r="J95" s="44" t="str">
        <x:v>&lt; 2025-05-01T20:30:00Z</x:v>
      </x:c>
      <x:c r="K95" s="44" t="str">
        <x:v>Exact 2025Q2; do not use rolling offset</x:v>
      </x:c>
      <x:c r="L95" s="46" t="str"/>
      <x:c r="M95" s="46" t="str"/>
      <x:c r="N95" s="57" t="str"/>
      <x:c r="O95" s="46" t="str"/>
      <x:c r="P95" s="46" t="str"/>
      <x:c r="Q95" s="46" t="str"/>
      <x:c r="R95" s="46" t="str"/>
      <x:c r="S95" s="11" t="str"/>
      <x:c r="T95" s="46" t="str">
        <x:v>pending_paid_authorization</x:v>
      </x:c>
      <x:c r="U95" s="46" t="str"/>
      <x:c r="V95" s="11" t="str">
        <x:f>IF(OR(L95="",N95=""),"PENDING",IF(N95&lt;D95,"PASS","FAIL: snapshot not pre-event"))</x:f>
        <x:v>PENDING</x:v>
      </x:c>
    </x:row>
    <x:row r="96">
      <x:c r="A96" s="11" t="str">
        <x:v>ABNB-2025Q2-INITIAL-REVENUE-MEAN</x:v>
      </x:c>
      <x:c r="B96" s="44" t="str">
        <x:v>ABNB US Equity</x:v>
      </x:c>
      <x:c r="C96" s="44" t="str">
        <x:v>ABNB-2025Q2-INITIAL</x:v>
      </x:c>
      <x:c r="D96" s="56" t="n">
        <x:v>45875.854166666664</x:v>
      </x:c>
      <x:c r="E96" s="44" t="str">
        <x:v>Prior U.S. close; closest eligible intraday snapshot as secondary</x:v>
      </x:c>
      <x:c r="F96" s="44" t="str">
        <x:v>2025Q3</x:v>
      </x:c>
      <x:c r="G96" s="44" t="str">
        <x:v>Revenue / Sales</x:v>
      </x:c>
      <x:c r="H96" s="44" t="str">
        <x:v>BEST_SALES (point-in-time history)</x:v>
      </x:c>
      <x:c r="I96" s="44" t="str">
        <x:v>mean</x:v>
      </x:c>
      <x:c r="J96" s="44" t="str">
        <x:v>&lt; 2025-08-06T20:30:00Z</x:v>
      </x:c>
      <x:c r="K96" s="44" t="str">
        <x:v>Exact 2025Q3; do not use rolling offset</x:v>
      </x:c>
      <x:c r="L96" s="46" t="str"/>
      <x:c r="M96" s="46" t="str"/>
      <x:c r="N96" s="57" t="str"/>
      <x:c r="O96" s="46" t="str"/>
      <x:c r="P96" s="46" t="str"/>
      <x:c r="Q96" s="46" t="str"/>
      <x:c r="R96" s="46" t="str"/>
      <x:c r="S96" s="11" t="str"/>
      <x:c r="T96" s="46" t="str">
        <x:v>pending_paid_authorization</x:v>
      </x:c>
      <x:c r="U96" s="46" t="str"/>
      <x:c r="V96" s="11" t="str">
        <x:f>IF(OR(L96="",N96=""),"PENDING",IF(N96&lt;D96,"PASS","FAIL: snapshot not pre-event"))</x:f>
        <x:v>PENDING</x:v>
      </x:c>
    </x:row>
    <x:row r="97">
      <x:c r="A97" s="11" t="str">
        <x:v>ABNB-2025Q2-INITIAL-REVENUE-MEDIAN</x:v>
      </x:c>
      <x:c r="B97" s="44" t="str">
        <x:v>ABNB US Equity</x:v>
      </x:c>
      <x:c r="C97" s="44" t="str">
        <x:v>ABNB-2025Q2-INITIAL</x:v>
      </x:c>
      <x:c r="D97" s="56" t="n">
        <x:v>45875.854166666664</x:v>
      </x:c>
      <x:c r="E97" s="44" t="str">
        <x:v>Prior U.S. close; closest eligible intraday snapshot as secondary</x:v>
      </x:c>
      <x:c r="F97" s="44" t="str">
        <x:v>2025Q3</x:v>
      </x:c>
      <x:c r="G97" s="44" t="str">
        <x:v>Revenue / Sales</x:v>
      </x:c>
      <x:c r="H97" s="44" t="str">
        <x:v>BEST_SALES_MEDIAN or point-in-time equivalent</x:v>
      </x:c>
      <x:c r="I97" s="44" t="str">
        <x:v>median</x:v>
      </x:c>
      <x:c r="J97" s="44" t="str">
        <x:v>&lt; 2025-08-06T20:30:00Z</x:v>
      </x:c>
      <x:c r="K97" s="44" t="str">
        <x:v>Exact 2025Q3; do not use rolling offset</x:v>
      </x:c>
      <x:c r="L97" s="46" t="str"/>
      <x:c r="M97" s="46" t="str"/>
      <x:c r="N97" s="57" t="str"/>
      <x:c r="O97" s="46" t="str"/>
      <x:c r="P97" s="46" t="str"/>
      <x:c r="Q97" s="46" t="str"/>
      <x:c r="R97" s="46" t="str"/>
      <x:c r="S97" s="11" t="str"/>
      <x:c r="T97" s="46" t="str">
        <x:v>pending_paid_authorization</x:v>
      </x:c>
      <x:c r="U97" s="46" t="str"/>
      <x:c r="V97" s="11" t="str">
        <x:f>IF(OR(L97="",N97=""),"PENDING",IF(N97&lt;D97,"PASS","FAIL: snapshot not pre-event"))</x:f>
        <x:v>PENDING</x:v>
      </x:c>
    </x:row>
    <x:row r="98">
      <x:c r="A98" s="11" t="str">
        <x:v>ABNB-2025Q2-INITIAL-REVENUE-HIGH</x:v>
      </x:c>
      <x:c r="B98" s="44" t="str">
        <x:v>ABNB US Equity</x:v>
      </x:c>
      <x:c r="C98" s="44" t="str">
        <x:v>ABNB-2025Q2-INITIAL</x:v>
      </x:c>
      <x:c r="D98" s="56" t="n">
        <x:v>45875.854166666664</x:v>
      </x:c>
      <x:c r="E98" s="44" t="str">
        <x:v>Prior U.S. close; closest eligible intraday snapshot as secondary</x:v>
      </x:c>
      <x:c r="F98" s="44" t="str">
        <x:v>2025Q3</x:v>
      </x:c>
      <x:c r="G98" s="44" t="str">
        <x:v>Revenue / Sales</x:v>
      </x:c>
      <x:c r="H98" s="44" t="str">
        <x:v>BEST_SALES_HIGH or point-in-time equivalent</x:v>
      </x:c>
      <x:c r="I98" s="44" t="str">
        <x:v>high</x:v>
      </x:c>
      <x:c r="J98" s="44" t="str">
        <x:v>&lt; 2025-08-06T20:30:00Z</x:v>
      </x:c>
      <x:c r="K98" s="44" t="str">
        <x:v>Exact 2025Q3; do not use rolling offset</x:v>
      </x:c>
      <x:c r="L98" s="46" t="str"/>
      <x:c r="M98" s="46" t="str"/>
      <x:c r="N98" s="57" t="str"/>
      <x:c r="O98" s="46" t="str"/>
      <x:c r="P98" s="46" t="str"/>
      <x:c r="Q98" s="46" t="str"/>
      <x:c r="R98" s="46" t="str"/>
      <x:c r="S98" s="11" t="str"/>
      <x:c r="T98" s="46" t="str">
        <x:v>pending_paid_authorization</x:v>
      </x:c>
      <x:c r="U98" s="46" t="str"/>
      <x:c r="V98" s="11" t="str">
        <x:f>IF(OR(L98="",N98=""),"PENDING",IF(N98&lt;D98,"PASS","FAIL: snapshot not pre-event"))</x:f>
        <x:v>PENDING</x:v>
      </x:c>
    </x:row>
    <x:row r="99">
      <x:c r="A99" s="11" t="str">
        <x:v>ABNB-2025Q2-INITIAL-REVENUE-LOW</x:v>
      </x:c>
      <x:c r="B99" s="44" t="str">
        <x:v>ABNB US Equity</x:v>
      </x:c>
      <x:c r="C99" s="44" t="str">
        <x:v>ABNB-2025Q2-INITIAL</x:v>
      </x:c>
      <x:c r="D99" s="56" t="n">
        <x:v>45875.854166666664</x:v>
      </x:c>
      <x:c r="E99" s="44" t="str">
        <x:v>Prior U.S. close; closest eligible intraday snapshot as secondary</x:v>
      </x:c>
      <x:c r="F99" s="44" t="str">
        <x:v>2025Q3</x:v>
      </x:c>
      <x:c r="G99" s="44" t="str">
        <x:v>Revenue / Sales</x:v>
      </x:c>
      <x:c r="H99" s="44" t="str">
        <x:v>BEST_SALES_LOW or point-in-time equivalent</x:v>
      </x:c>
      <x:c r="I99" s="44" t="str">
        <x:v>low</x:v>
      </x:c>
      <x:c r="J99" s="44" t="str">
        <x:v>&lt; 2025-08-06T20:30:00Z</x:v>
      </x:c>
      <x:c r="K99" s="44" t="str">
        <x:v>Exact 2025Q3; do not use rolling offset</x:v>
      </x:c>
      <x:c r="L99" s="46" t="str"/>
      <x:c r="M99" s="46" t="str"/>
      <x:c r="N99" s="57" t="str"/>
      <x:c r="O99" s="46" t="str"/>
      <x:c r="P99" s="46" t="str"/>
      <x:c r="Q99" s="46" t="str"/>
      <x:c r="R99" s="46" t="str"/>
      <x:c r="S99" s="11" t="str"/>
      <x:c r="T99" s="46" t="str">
        <x:v>pending_paid_authorization</x:v>
      </x:c>
      <x:c r="U99" s="46" t="str"/>
      <x:c r="V99" s="11" t="str">
        <x:f>IF(OR(L99="",N99=""),"PENDING",IF(N99&lt;D99,"PASS","FAIL: snapshot not pre-event"))</x:f>
        <x:v>PENDING</x:v>
      </x:c>
    </x:row>
    <x:row r="100">
      <x:c r="A100" s="11" t="str">
        <x:v>ABNB-2025Q2-INITIAL-REVENUE-ANALYST_COUNT</x:v>
      </x:c>
      <x:c r="B100" s="44" t="str">
        <x:v>ABNB US Equity</x:v>
      </x:c>
      <x:c r="C100" s="44" t="str">
        <x:v>ABNB-2025Q2-INITIAL</x:v>
      </x:c>
      <x:c r="D100" s="56" t="n">
        <x:v>45875.854166666664</x:v>
      </x:c>
      <x:c r="E100" s="44" t="str">
        <x:v>Prior U.S. close; closest eligible intraday snapshot as secondary</x:v>
      </x:c>
      <x:c r="F100" s="44" t="str">
        <x:v>2025Q3</x:v>
      </x:c>
      <x:c r="G100" s="44" t="str">
        <x:v>Revenue / Sales</x:v>
      </x:c>
      <x:c r="H100" s="44" t="str">
        <x:v>BEST_SALES_NUM_EST or point-in-time equivalent</x:v>
      </x:c>
      <x:c r="I100" s="44" t="str">
        <x:v>analyst_count</x:v>
      </x:c>
      <x:c r="J100" s="44" t="str">
        <x:v>&lt; 2025-08-06T20:30:00Z</x:v>
      </x:c>
      <x:c r="K100" s="44" t="str">
        <x:v>Exact 2025Q3; do not use rolling offset</x:v>
      </x:c>
      <x:c r="L100" s="46" t="str"/>
      <x:c r="M100" s="46" t="str"/>
      <x:c r="N100" s="57" t="str"/>
      <x:c r="O100" s="46" t="str"/>
      <x:c r="P100" s="46" t="str"/>
      <x:c r="Q100" s="46" t="str"/>
      <x:c r="R100" s="46" t="str"/>
      <x:c r="S100" s="11" t="str"/>
      <x:c r="T100" s="46" t="str">
        <x:v>pending_paid_authorization</x:v>
      </x:c>
      <x:c r="U100" s="46" t="str"/>
      <x:c r="V100" s="11" t="str">
        <x:f>IF(OR(L100="",N100=""),"PENDING",IF(N100&lt;D100,"PASS","FAIL: snapshot not pre-event"))</x:f>
        <x:v>PENDING</x:v>
      </x:c>
    </x:row>
    <x:row r="101">
      <x:c r="A101" s="11" t="str">
        <x:v>ABNB-2025Q3-INITIAL-REVENUE-MEAN</x:v>
      </x:c>
      <x:c r="B101" s="44" t="str">
        <x:v>ABNB US Equity</x:v>
      </x:c>
      <x:c r="C101" s="44" t="str">
        <x:v>ABNB-2025Q3-INITIAL</x:v>
      </x:c>
      <x:c r="D101" s="56" t="n">
        <x:v>45967.895833333336</x:v>
      </x:c>
      <x:c r="E101" s="44" t="str">
        <x:v>Prior U.S. close; closest eligible intraday snapshot as secondary</x:v>
      </x:c>
      <x:c r="F101" s="44" t="str">
        <x:v>2025Q4</x:v>
      </x:c>
      <x:c r="G101" s="44" t="str">
        <x:v>Revenue / Sales</x:v>
      </x:c>
      <x:c r="H101" s="44" t="str">
        <x:v>BEST_SALES (point-in-time history)</x:v>
      </x:c>
      <x:c r="I101" s="44" t="str">
        <x:v>mean</x:v>
      </x:c>
      <x:c r="J101" s="44" t="str">
        <x:v>&lt; 2025-11-06T21:30:00Z</x:v>
      </x:c>
      <x:c r="K101" s="44" t="str">
        <x:v>Exact 2025Q4; do not use rolling offset</x:v>
      </x:c>
      <x:c r="L101" s="46" t="str"/>
      <x:c r="M101" s="46" t="str"/>
      <x:c r="N101" s="57" t="str"/>
      <x:c r="O101" s="46" t="str"/>
      <x:c r="P101" s="46" t="str"/>
      <x:c r="Q101" s="46" t="str"/>
      <x:c r="R101" s="46" t="str"/>
      <x:c r="S101" s="11" t="str"/>
      <x:c r="T101" s="46" t="str">
        <x:v>pending_paid_authorization</x:v>
      </x:c>
      <x:c r="U101" s="46" t="str"/>
      <x:c r="V101" s="11" t="str">
        <x:f>IF(OR(L101="",N101=""),"PENDING",IF(N101&lt;D101,"PASS","FAIL: snapshot not pre-event"))</x:f>
        <x:v>PENDING</x:v>
      </x:c>
    </x:row>
    <x:row r="102">
      <x:c r="A102" s="11" t="str">
        <x:v>ABNB-2025Q3-INITIAL-REVENUE-MEDIAN</x:v>
      </x:c>
      <x:c r="B102" s="44" t="str">
        <x:v>ABNB US Equity</x:v>
      </x:c>
      <x:c r="C102" s="44" t="str">
        <x:v>ABNB-2025Q3-INITIAL</x:v>
      </x:c>
      <x:c r="D102" s="56" t="n">
        <x:v>45967.895833333336</x:v>
      </x:c>
      <x:c r="E102" s="44" t="str">
        <x:v>Prior U.S. close; closest eligible intraday snapshot as secondary</x:v>
      </x:c>
      <x:c r="F102" s="44" t="str">
        <x:v>2025Q4</x:v>
      </x:c>
      <x:c r="G102" s="44" t="str">
        <x:v>Revenue / Sales</x:v>
      </x:c>
      <x:c r="H102" s="44" t="str">
        <x:v>BEST_SALES_MEDIAN or point-in-time equivalent</x:v>
      </x:c>
      <x:c r="I102" s="44" t="str">
        <x:v>median</x:v>
      </x:c>
      <x:c r="J102" s="44" t="str">
        <x:v>&lt; 2025-11-06T21:30:00Z</x:v>
      </x:c>
      <x:c r="K102" s="44" t="str">
        <x:v>Exact 2025Q4; do not use rolling offset</x:v>
      </x:c>
      <x:c r="L102" s="46" t="str"/>
      <x:c r="M102" s="46" t="str"/>
      <x:c r="N102" s="57" t="str"/>
      <x:c r="O102" s="46" t="str"/>
      <x:c r="P102" s="46" t="str"/>
      <x:c r="Q102" s="46" t="str"/>
      <x:c r="R102" s="46" t="str"/>
      <x:c r="S102" s="11" t="str"/>
      <x:c r="T102" s="46" t="str">
        <x:v>pending_paid_authorization</x:v>
      </x:c>
      <x:c r="U102" s="46" t="str"/>
      <x:c r="V102" s="11" t="str">
        <x:f>IF(OR(L102="",N102=""),"PENDING",IF(N102&lt;D102,"PASS","FAIL: snapshot not pre-event"))</x:f>
        <x:v>PENDING</x:v>
      </x:c>
    </x:row>
    <x:row r="103">
      <x:c r="A103" s="11" t="str">
        <x:v>ABNB-2025Q3-INITIAL-REVENUE-HIGH</x:v>
      </x:c>
      <x:c r="B103" s="44" t="str">
        <x:v>ABNB US Equity</x:v>
      </x:c>
      <x:c r="C103" s="44" t="str">
        <x:v>ABNB-2025Q3-INITIAL</x:v>
      </x:c>
      <x:c r="D103" s="56" t="n">
        <x:v>45967.895833333336</x:v>
      </x:c>
      <x:c r="E103" s="44" t="str">
        <x:v>Prior U.S. close; closest eligible intraday snapshot as secondary</x:v>
      </x:c>
      <x:c r="F103" s="44" t="str">
        <x:v>2025Q4</x:v>
      </x:c>
      <x:c r="G103" s="44" t="str">
        <x:v>Revenue / Sales</x:v>
      </x:c>
      <x:c r="H103" s="44" t="str">
        <x:v>BEST_SALES_HIGH or point-in-time equivalent</x:v>
      </x:c>
      <x:c r="I103" s="44" t="str">
        <x:v>high</x:v>
      </x:c>
      <x:c r="J103" s="44" t="str">
        <x:v>&lt; 2025-11-06T21:30:00Z</x:v>
      </x:c>
      <x:c r="K103" s="44" t="str">
        <x:v>Exact 2025Q4; do not use rolling offset</x:v>
      </x:c>
      <x:c r="L103" s="46" t="str"/>
      <x:c r="M103" s="46" t="str"/>
      <x:c r="N103" s="57" t="str"/>
      <x:c r="O103" s="46" t="str"/>
      <x:c r="P103" s="46" t="str"/>
      <x:c r="Q103" s="46" t="str"/>
      <x:c r="R103" s="46" t="str"/>
      <x:c r="S103" s="11" t="str"/>
      <x:c r="T103" s="46" t="str">
        <x:v>pending_paid_authorization</x:v>
      </x:c>
      <x:c r="U103" s="46" t="str"/>
      <x:c r="V103" s="11" t="str">
        <x:f>IF(OR(L103="",N103=""),"PENDING",IF(N103&lt;D103,"PASS","FAIL: snapshot not pre-event"))</x:f>
        <x:v>PENDING</x:v>
      </x:c>
    </x:row>
    <x:row r="104">
      <x:c r="A104" s="11" t="str">
        <x:v>ABNB-2025Q3-INITIAL-REVENUE-LOW</x:v>
      </x:c>
      <x:c r="B104" s="44" t="str">
        <x:v>ABNB US Equity</x:v>
      </x:c>
      <x:c r="C104" s="44" t="str">
        <x:v>ABNB-2025Q3-INITIAL</x:v>
      </x:c>
      <x:c r="D104" s="56" t="n">
        <x:v>45967.895833333336</x:v>
      </x:c>
      <x:c r="E104" s="44" t="str">
        <x:v>Prior U.S. close; closest eligible intraday snapshot as secondary</x:v>
      </x:c>
      <x:c r="F104" s="44" t="str">
        <x:v>2025Q4</x:v>
      </x:c>
      <x:c r="G104" s="44" t="str">
        <x:v>Revenue / Sales</x:v>
      </x:c>
      <x:c r="H104" s="44" t="str">
        <x:v>BEST_SALES_LOW or point-in-time equivalent</x:v>
      </x:c>
      <x:c r="I104" s="44" t="str">
        <x:v>low</x:v>
      </x:c>
      <x:c r="J104" s="44" t="str">
        <x:v>&lt; 2025-11-06T21:30:00Z</x:v>
      </x:c>
      <x:c r="K104" s="44" t="str">
        <x:v>Exact 2025Q4; do not use rolling offset</x:v>
      </x:c>
      <x:c r="L104" s="46" t="str"/>
      <x:c r="M104" s="46" t="str"/>
      <x:c r="N104" s="57" t="str"/>
      <x:c r="O104" s="46" t="str"/>
      <x:c r="P104" s="46" t="str"/>
      <x:c r="Q104" s="46" t="str"/>
      <x:c r="R104" s="46" t="str"/>
      <x:c r="S104" s="11" t="str"/>
      <x:c r="T104" s="46" t="str">
        <x:v>pending_paid_authorization</x:v>
      </x:c>
      <x:c r="U104" s="46" t="str"/>
      <x:c r="V104" s="11" t="str">
        <x:f>IF(OR(L104="",N104=""),"PENDING",IF(N104&lt;D104,"PASS","FAIL: snapshot not pre-event"))</x:f>
        <x:v>PENDING</x:v>
      </x:c>
    </x:row>
    <x:row r="105">
      <x:c r="A105" s="11" t="str">
        <x:v>ABNB-2025Q3-INITIAL-REVENUE-ANALYST_COUNT</x:v>
      </x:c>
      <x:c r="B105" s="44" t="str">
        <x:v>ABNB US Equity</x:v>
      </x:c>
      <x:c r="C105" s="44" t="str">
        <x:v>ABNB-2025Q3-INITIAL</x:v>
      </x:c>
      <x:c r="D105" s="56" t="n">
        <x:v>45967.895833333336</x:v>
      </x:c>
      <x:c r="E105" s="44" t="str">
        <x:v>Prior U.S. close; closest eligible intraday snapshot as secondary</x:v>
      </x:c>
      <x:c r="F105" s="44" t="str">
        <x:v>2025Q4</x:v>
      </x:c>
      <x:c r="G105" s="44" t="str">
        <x:v>Revenue / Sales</x:v>
      </x:c>
      <x:c r="H105" s="44" t="str">
        <x:v>BEST_SALES_NUM_EST or point-in-time equivalent</x:v>
      </x:c>
      <x:c r="I105" s="44" t="str">
        <x:v>analyst_count</x:v>
      </x:c>
      <x:c r="J105" s="44" t="str">
        <x:v>&lt; 2025-11-06T21:30:00Z</x:v>
      </x:c>
      <x:c r="K105" s="44" t="str">
        <x:v>Exact 2025Q4; do not use rolling offset</x:v>
      </x:c>
      <x:c r="L105" s="46" t="str"/>
      <x:c r="M105" s="46" t="str"/>
      <x:c r="N105" s="57" t="str"/>
      <x:c r="O105" s="46" t="str"/>
      <x:c r="P105" s="46" t="str"/>
      <x:c r="Q105" s="46" t="str"/>
      <x:c r="R105" s="46" t="str"/>
      <x:c r="S105" s="11" t="str"/>
      <x:c r="T105" s="46" t="str">
        <x:v>pending_paid_authorization</x:v>
      </x:c>
      <x:c r="U105" s="46" t="str"/>
      <x:c r="V105" s="11" t="str">
        <x:f>IF(OR(L105="",N105=""),"PENDING",IF(N105&lt;D105,"PASS","FAIL: snapshot not pre-event"))</x:f>
        <x:v>PENDING</x:v>
      </x:c>
    </x:row>
    <x:row r="106">
      <x:c r="A106" s="11" t="str">
        <x:v>ABNB-2025Q4-INITIAL-REVENUE-MEAN</x:v>
      </x:c>
      <x:c r="B106" s="44" t="str">
        <x:v>ABNB US Equity</x:v>
      </x:c>
      <x:c r="C106" s="44" t="str">
        <x:v>ABNB-2025Q4-INITIAL</x:v>
      </x:c>
      <x:c r="D106" s="56" t="n">
        <x:v>46065.916666666664</x:v>
      </x:c>
      <x:c r="E106" s="44" t="str">
        <x:v>Prior U.S. close; closest eligible intraday snapshot as secondary</x:v>
      </x:c>
      <x:c r="F106" s="44" t="str">
        <x:v>2026Q1</x:v>
      </x:c>
      <x:c r="G106" s="44" t="str">
        <x:v>Revenue / Sales</x:v>
      </x:c>
      <x:c r="H106" s="44" t="str">
        <x:v>BEST_SALES (point-in-time history)</x:v>
      </x:c>
      <x:c r="I106" s="44" t="str">
        <x:v>mean</x:v>
      </x:c>
      <x:c r="J106" s="44" t="str">
        <x:v>&lt; 2026-02-12T22:00:00Z</x:v>
      </x:c>
      <x:c r="K106" s="44" t="str">
        <x:v>Exact 2026Q1; do not use rolling offset</x:v>
      </x:c>
      <x:c r="L106" s="46" t="str"/>
      <x:c r="M106" s="46" t="str"/>
      <x:c r="N106" s="57" t="str"/>
      <x:c r="O106" s="46" t="str"/>
      <x:c r="P106" s="46" t="str"/>
      <x:c r="Q106" s="46" t="str"/>
      <x:c r="R106" s="46" t="str"/>
      <x:c r="S106" s="11" t="str"/>
      <x:c r="T106" s="46" t="str">
        <x:v>pending_paid_authorization</x:v>
      </x:c>
      <x:c r="U106" s="46" t="str"/>
      <x:c r="V106" s="11" t="str">
        <x:f>IF(OR(L106="",N106=""),"PENDING",IF(N106&lt;D106,"PASS","FAIL: snapshot not pre-event"))</x:f>
        <x:v>PENDING</x:v>
      </x:c>
    </x:row>
    <x:row r="107">
      <x:c r="A107" s="11" t="str">
        <x:v>ABNB-2025Q4-INITIAL-REVENUE-MEDIAN</x:v>
      </x:c>
      <x:c r="B107" s="44" t="str">
        <x:v>ABNB US Equity</x:v>
      </x:c>
      <x:c r="C107" s="44" t="str">
        <x:v>ABNB-2025Q4-INITIAL</x:v>
      </x:c>
      <x:c r="D107" s="56" t="n">
        <x:v>46065.916666666664</x:v>
      </x:c>
      <x:c r="E107" s="44" t="str">
        <x:v>Prior U.S. close; closest eligible intraday snapshot as secondary</x:v>
      </x:c>
      <x:c r="F107" s="44" t="str">
        <x:v>2026Q1</x:v>
      </x:c>
      <x:c r="G107" s="44" t="str">
        <x:v>Revenue / Sales</x:v>
      </x:c>
      <x:c r="H107" s="44" t="str">
        <x:v>BEST_SALES_MEDIAN or point-in-time equivalent</x:v>
      </x:c>
      <x:c r="I107" s="44" t="str">
        <x:v>median</x:v>
      </x:c>
      <x:c r="J107" s="44" t="str">
        <x:v>&lt; 2026-02-12T22:00:00Z</x:v>
      </x:c>
      <x:c r="K107" s="44" t="str">
        <x:v>Exact 2026Q1; do not use rolling offset</x:v>
      </x:c>
      <x:c r="L107" s="46" t="str"/>
      <x:c r="M107" s="46" t="str"/>
      <x:c r="N107" s="57" t="str"/>
      <x:c r="O107" s="46" t="str"/>
      <x:c r="P107" s="46" t="str"/>
      <x:c r="Q107" s="46" t="str"/>
      <x:c r="R107" s="46" t="str"/>
      <x:c r="S107" s="11" t="str"/>
      <x:c r="T107" s="46" t="str">
        <x:v>pending_paid_authorization</x:v>
      </x:c>
      <x:c r="U107" s="46" t="str"/>
      <x:c r="V107" s="11" t="str">
        <x:f>IF(OR(L107="",N107=""),"PENDING",IF(N107&lt;D107,"PASS","FAIL: snapshot not pre-event"))</x:f>
        <x:v>PENDING</x:v>
      </x:c>
    </x:row>
    <x:row r="108">
      <x:c r="A108" s="11" t="str">
        <x:v>ABNB-2025Q4-INITIAL-REVENUE-HIGH</x:v>
      </x:c>
      <x:c r="B108" s="44" t="str">
        <x:v>ABNB US Equity</x:v>
      </x:c>
      <x:c r="C108" s="44" t="str">
        <x:v>ABNB-2025Q4-INITIAL</x:v>
      </x:c>
      <x:c r="D108" s="56" t="n">
        <x:v>46065.916666666664</x:v>
      </x:c>
      <x:c r="E108" s="44" t="str">
        <x:v>Prior U.S. close; closest eligible intraday snapshot as secondary</x:v>
      </x:c>
      <x:c r="F108" s="44" t="str">
        <x:v>2026Q1</x:v>
      </x:c>
      <x:c r="G108" s="44" t="str">
        <x:v>Revenue / Sales</x:v>
      </x:c>
      <x:c r="H108" s="44" t="str">
        <x:v>BEST_SALES_HIGH or point-in-time equivalent</x:v>
      </x:c>
      <x:c r="I108" s="44" t="str">
        <x:v>high</x:v>
      </x:c>
      <x:c r="J108" s="44" t="str">
        <x:v>&lt; 2026-02-12T22:00:00Z</x:v>
      </x:c>
      <x:c r="K108" s="44" t="str">
        <x:v>Exact 2026Q1; do not use rolling offset</x:v>
      </x:c>
      <x:c r="L108" s="46" t="str"/>
      <x:c r="M108" s="46" t="str"/>
      <x:c r="N108" s="57" t="str"/>
      <x:c r="O108" s="46" t="str"/>
      <x:c r="P108" s="46" t="str"/>
      <x:c r="Q108" s="46" t="str"/>
      <x:c r="R108" s="46" t="str"/>
      <x:c r="S108" s="11" t="str"/>
      <x:c r="T108" s="46" t="str">
        <x:v>pending_paid_authorization</x:v>
      </x:c>
      <x:c r="U108" s="46" t="str"/>
      <x:c r="V108" s="11" t="str">
        <x:f>IF(OR(L108="",N108=""),"PENDING",IF(N108&lt;D108,"PASS","FAIL: snapshot not pre-event"))</x:f>
        <x:v>PENDING</x:v>
      </x:c>
    </x:row>
    <x:row r="109">
      <x:c r="A109" s="11" t="str">
        <x:v>ABNB-2025Q4-INITIAL-REVENUE-LOW</x:v>
      </x:c>
      <x:c r="B109" s="44" t="str">
        <x:v>ABNB US Equity</x:v>
      </x:c>
      <x:c r="C109" s="44" t="str">
        <x:v>ABNB-2025Q4-INITIAL</x:v>
      </x:c>
      <x:c r="D109" s="56" t="n">
        <x:v>46065.916666666664</x:v>
      </x:c>
      <x:c r="E109" s="44" t="str">
        <x:v>Prior U.S. close; closest eligible intraday snapshot as secondary</x:v>
      </x:c>
      <x:c r="F109" s="44" t="str">
        <x:v>2026Q1</x:v>
      </x:c>
      <x:c r="G109" s="44" t="str">
        <x:v>Revenue / Sales</x:v>
      </x:c>
      <x:c r="H109" s="44" t="str">
        <x:v>BEST_SALES_LOW or point-in-time equivalent</x:v>
      </x:c>
      <x:c r="I109" s="44" t="str">
        <x:v>low</x:v>
      </x:c>
      <x:c r="J109" s="44" t="str">
        <x:v>&lt; 2026-02-12T22:00:00Z</x:v>
      </x:c>
      <x:c r="K109" s="44" t="str">
        <x:v>Exact 2026Q1; do not use rolling offset</x:v>
      </x:c>
      <x:c r="L109" s="46" t="str"/>
      <x:c r="M109" s="46" t="str"/>
      <x:c r="N109" s="57" t="str"/>
      <x:c r="O109" s="46" t="str"/>
      <x:c r="P109" s="46" t="str"/>
      <x:c r="Q109" s="46" t="str"/>
      <x:c r="R109" s="46" t="str"/>
      <x:c r="S109" s="11" t="str"/>
      <x:c r="T109" s="46" t="str">
        <x:v>pending_paid_authorization</x:v>
      </x:c>
      <x:c r="U109" s="46" t="str"/>
      <x:c r="V109" s="11" t="str">
        <x:f>IF(OR(L109="",N109=""),"PENDING",IF(N109&lt;D109,"PASS","FAIL: snapshot not pre-event"))</x:f>
        <x:v>PENDING</x:v>
      </x:c>
    </x:row>
    <x:row r="110">
      <x:c r="A110" s="11" t="str">
        <x:v>ABNB-2025Q4-INITIAL-REVENUE-ANALYST_COUNT</x:v>
      </x:c>
      <x:c r="B110" s="44" t="str">
        <x:v>ABNB US Equity</x:v>
      </x:c>
      <x:c r="C110" s="44" t="str">
        <x:v>ABNB-2025Q4-INITIAL</x:v>
      </x:c>
      <x:c r="D110" s="56" t="n">
        <x:v>46065.916666666664</x:v>
      </x:c>
      <x:c r="E110" s="44" t="str">
        <x:v>Prior U.S. close; closest eligible intraday snapshot as secondary</x:v>
      </x:c>
      <x:c r="F110" s="44" t="str">
        <x:v>2026Q1</x:v>
      </x:c>
      <x:c r="G110" s="44" t="str">
        <x:v>Revenue / Sales</x:v>
      </x:c>
      <x:c r="H110" s="44" t="str">
        <x:v>BEST_SALES_NUM_EST or point-in-time equivalent</x:v>
      </x:c>
      <x:c r="I110" s="44" t="str">
        <x:v>analyst_count</x:v>
      </x:c>
      <x:c r="J110" s="44" t="str">
        <x:v>&lt; 2026-02-12T22:00:00Z</x:v>
      </x:c>
      <x:c r="K110" s="44" t="str">
        <x:v>Exact 2026Q1; do not use rolling offset</x:v>
      </x:c>
      <x:c r="L110" s="46" t="str"/>
      <x:c r="M110" s="46" t="str"/>
      <x:c r="N110" s="57" t="str"/>
      <x:c r="O110" s="46" t="str"/>
      <x:c r="P110" s="46" t="str"/>
      <x:c r="Q110" s="46" t="str"/>
      <x:c r="R110" s="46" t="str"/>
      <x:c r="S110" s="11" t="str"/>
      <x:c r="T110" s="46" t="str">
        <x:v>pending_paid_authorization</x:v>
      </x:c>
      <x:c r="U110" s="46" t="str"/>
      <x:c r="V110" s="11" t="str">
        <x:f>IF(OR(L110="",N110=""),"PENDING",IF(N110&lt;D110,"PASS","FAIL: snapshot not pre-event"))</x:f>
        <x:v>PENDING</x:v>
      </x:c>
    </x:row>
    <x:row r="111">
      <x:c r="A111" s="11" t="str">
        <x:v>ABNB-2026Q1-INITIAL-REVENUE-MEAN</x:v>
      </x:c>
      <x:c r="B111" s="44" t="str">
        <x:v>ABNB US Equity</x:v>
      </x:c>
      <x:c r="C111" s="44" t="str">
        <x:v>ABNB-2026Q1-INITIAL</x:v>
      </x:c>
      <x:c r="D111" s="56" t="n">
        <x:v>46149.875</x:v>
      </x:c>
      <x:c r="E111" s="44" t="str">
        <x:v>Prior U.S. close; closest eligible intraday snapshot as secondary</x:v>
      </x:c>
      <x:c r="F111" s="44" t="str">
        <x:v>2026Q2</x:v>
      </x:c>
      <x:c r="G111" s="44" t="str">
        <x:v>Revenue / Sales</x:v>
      </x:c>
      <x:c r="H111" s="44" t="str">
        <x:v>BEST_SALES (point-in-time history)</x:v>
      </x:c>
      <x:c r="I111" s="44" t="str">
        <x:v>mean</x:v>
      </x:c>
      <x:c r="J111" s="44" t="str">
        <x:v>&lt; 2026-05-07T21:00:00Z</x:v>
      </x:c>
      <x:c r="K111" s="44" t="str">
        <x:v>Exact 2026Q2; do not use rolling offset</x:v>
      </x:c>
      <x:c r="L111" s="46" t="str"/>
      <x:c r="M111" s="46" t="str"/>
      <x:c r="N111" s="57" t="str"/>
      <x:c r="O111" s="46" t="str"/>
      <x:c r="P111" s="46" t="str"/>
      <x:c r="Q111" s="46" t="str"/>
      <x:c r="R111" s="46" t="str"/>
      <x:c r="S111" s="11" t="str"/>
      <x:c r="T111" s="46" t="str">
        <x:v>pending_paid_authorization</x:v>
      </x:c>
      <x:c r="U111" s="46" t="str"/>
      <x:c r="V111" s="11" t="str">
        <x:f>IF(OR(L111="",N111=""),"PENDING",IF(N111&lt;D111,"PASS","FAIL: snapshot not pre-event"))</x:f>
        <x:v>PENDING</x:v>
      </x:c>
    </x:row>
    <x:row r="112">
      <x:c r="A112" s="11" t="str">
        <x:v>ABNB-2026Q1-INITIAL-REVENUE-MEDIAN</x:v>
      </x:c>
      <x:c r="B112" s="44" t="str">
        <x:v>ABNB US Equity</x:v>
      </x:c>
      <x:c r="C112" s="44" t="str">
        <x:v>ABNB-2026Q1-INITIAL</x:v>
      </x:c>
      <x:c r="D112" s="56" t="n">
        <x:v>46149.875</x:v>
      </x:c>
      <x:c r="E112" s="44" t="str">
        <x:v>Prior U.S. close; closest eligible intraday snapshot as secondary</x:v>
      </x:c>
      <x:c r="F112" s="44" t="str">
        <x:v>2026Q2</x:v>
      </x:c>
      <x:c r="G112" s="44" t="str">
        <x:v>Revenue / Sales</x:v>
      </x:c>
      <x:c r="H112" s="44" t="str">
        <x:v>BEST_SALES_MEDIAN or point-in-time equivalent</x:v>
      </x:c>
      <x:c r="I112" s="44" t="str">
        <x:v>median</x:v>
      </x:c>
      <x:c r="J112" s="44" t="str">
        <x:v>&lt; 2026-05-07T21:00:00Z</x:v>
      </x:c>
      <x:c r="K112" s="44" t="str">
        <x:v>Exact 2026Q2; do not use rolling offset</x:v>
      </x:c>
      <x:c r="L112" s="46" t="str"/>
      <x:c r="M112" s="46" t="str"/>
      <x:c r="N112" s="57" t="str"/>
      <x:c r="O112" s="46" t="str"/>
      <x:c r="P112" s="46" t="str"/>
      <x:c r="Q112" s="46" t="str"/>
      <x:c r="R112" s="46" t="str"/>
      <x:c r="S112" s="11" t="str"/>
      <x:c r="T112" s="46" t="str">
        <x:v>pending_paid_authorization</x:v>
      </x:c>
      <x:c r="U112" s="46" t="str"/>
      <x:c r="V112" s="11" t="str">
        <x:f>IF(OR(L112="",N112=""),"PENDING",IF(N112&lt;D112,"PASS","FAIL: snapshot not pre-event"))</x:f>
        <x:v>PENDING</x:v>
      </x:c>
    </x:row>
    <x:row r="113">
      <x:c r="A113" s="11" t="str">
        <x:v>ABNB-2026Q1-INITIAL-REVENUE-HIGH</x:v>
      </x:c>
      <x:c r="B113" s="44" t="str">
        <x:v>ABNB US Equity</x:v>
      </x:c>
      <x:c r="C113" s="44" t="str">
        <x:v>ABNB-2026Q1-INITIAL</x:v>
      </x:c>
      <x:c r="D113" s="56" t="n">
        <x:v>46149.875</x:v>
      </x:c>
      <x:c r="E113" s="44" t="str">
        <x:v>Prior U.S. close; closest eligible intraday snapshot as secondary</x:v>
      </x:c>
      <x:c r="F113" s="44" t="str">
        <x:v>2026Q2</x:v>
      </x:c>
      <x:c r="G113" s="44" t="str">
        <x:v>Revenue / Sales</x:v>
      </x:c>
      <x:c r="H113" s="44" t="str">
        <x:v>BEST_SALES_HIGH or point-in-time equivalent</x:v>
      </x:c>
      <x:c r="I113" s="44" t="str">
        <x:v>high</x:v>
      </x:c>
      <x:c r="J113" s="44" t="str">
        <x:v>&lt; 2026-05-07T21:00:00Z</x:v>
      </x:c>
      <x:c r="K113" s="44" t="str">
        <x:v>Exact 2026Q2; do not use rolling offset</x:v>
      </x:c>
      <x:c r="L113" s="46" t="str"/>
      <x:c r="M113" s="46" t="str"/>
      <x:c r="N113" s="57" t="str"/>
      <x:c r="O113" s="46" t="str"/>
      <x:c r="P113" s="46" t="str"/>
      <x:c r="Q113" s="46" t="str"/>
      <x:c r="R113" s="46" t="str"/>
      <x:c r="S113" s="11" t="str"/>
      <x:c r="T113" s="46" t="str">
        <x:v>pending_paid_authorization</x:v>
      </x:c>
      <x:c r="U113" s="46" t="str"/>
      <x:c r="V113" s="11" t="str">
        <x:f>IF(OR(L113="",N113=""),"PENDING",IF(N113&lt;D113,"PASS","FAIL: snapshot not pre-event"))</x:f>
        <x:v>PENDING</x:v>
      </x:c>
    </x:row>
    <x:row r="114">
      <x:c r="A114" s="11" t="str">
        <x:v>ABNB-2026Q1-INITIAL-REVENUE-LOW</x:v>
      </x:c>
      <x:c r="B114" s="44" t="str">
        <x:v>ABNB US Equity</x:v>
      </x:c>
      <x:c r="C114" s="44" t="str">
        <x:v>ABNB-2026Q1-INITIAL</x:v>
      </x:c>
      <x:c r="D114" s="56" t="n">
        <x:v>46149.875</x:v>
      </x:c>
      <x:c r="E114" s="44" t="str">
        <x:v>Prior U.S. close; closest eligible intraday snapshot as secondary</x:v>
      </x:c>
      <x:c r="F114" s="44" t="str">
        <x:v>2026Q2</x:v>
      </x:c>
      <x:c r="G114" s="44" t="str">
        <x:v>Revenue / Sales</x:v>
      </x:c>
      <x:c r="H114" s="44" t="str">
        <x:v>BEST_SALES_LOW or point-in-time equivalent</x:v>
      </x:c>
      <x:c r="I114" s="44" t="str">
        <x:v>low</x:v>
      </x:c>
      <x:c r="J114" s="44" t="str">
        <x:v>&lt; 2026-05-07T21:00:00Z</x:v>
      </x:c>
      <x:c r="K114" s="44" t="str">
        <x:v>Exact 2026Q2; do not use rolling offset</x:v>
      </x:c>
      <x:c r="L114" s="46" t="str"/>
      <x:c r="M114" s="46" t="str"/>
      <x:c r="N114" s="57" t="str"/>
      <x:c r="O114" s="46" t="str"/>
      <x:c r="P114" s="46" t="str"/>
      <x:c r="Q114" s="46" t="str"/>
      <x:c r="R114" s="46" t="str"/>
      <x:c r="S114" s="11" t="str"/>
      <x:c r="T114" s="46" t="str">
        <x:v>pending_paid_authorization</x:v>
      </x:c>
      <x:c r="U114" s="46" t="str"/>
      <x:c r="V114" s="11" t="str">
        <x:f>IF(OR(L114="",N114=""),"PENDING",IF(N114&lt;D114,"PASS","FAIL: snapshot not pre-event"))</x:f>
        <x:v>PENDING</x:v>
      </x:c>
    </x:row>
    <x:row r="115">
      <x:c r="A115" s="11" t="str">
        <x:v>ABNB-2026Q1-INITIAL-REVENUE-ANALYST_COUNT</x:v>
      </x:c>
      <x:c r="B115" s="44" t="str">
        <x:v>ABNB US Equity</x:v>
      </x:c>
      <x:c r="C115" s="44" t="str">
        <x:v>ABNB-2026Q1-INITIAL</x:v>
      </x:c>
      <x:c r="D115" s="56" t="n">
        <x:v>46149.875</x:v>
      </x:c>
      <x:c r="E115" s="44" t="str">
        <x:v>Prior U.S. close; closest eligible intraday snapshot as secondary</x:v>
      </x:c>
      <x:c r="F115" s="44" t="str">
        <x:v>2026Q2</x:v>
      </x:c>
      <x:c r="G115" s="44" t="str">
        <x:v>Revenue / Sales</x:v>
      </x:c>
      <x:c r="H115" s="44" t="str">
        <x:v>BEST_SALES_NUM_EST or point-in-time equivalent</x:v>
      </x:c>
      <x:c r="I115" s="44" t="str">
        <x:v>analyst_count</x:v>
      </x:c>
      <x:c r="J115" s="44" t="str">
        <x:v>&lt; 2026-05-07T21:00:00Z</x:v>
      </x:c>
      <x:c r="K115" s="44" t="str">
        <x:v>Exact 2026Q2; do not use rolling offset</x:v>
      </x:c>
      <x:c r="L115" s="46" t="str"/>
      <x:c r="M115" s="46" t="str"/>
      <x:c r="N115" s="57" t="str"/>
      <x:c r="O115" s="46" t="str"/>
      <x:c r="P115" s="46" t="str"/>
      <x:c r="Q115" s="46" t="str"/>
      <x:c r="R115" s="46" t="str"/>
      <x:c r="S115" s="11" t="str"/>
      <x:c r="T115" s="46" t="str">
        <x:v>pending_paid_authorization</x:v>
      </x:c>
      <x:c r="U115" s="46" t="str"/>
      <x:c r="V115" s="11" t="str">
        <x:f>IF(OR(L115="",N115=""),"PENDING",IF(N115&lt;D115,"PASS","FAIL: snapshot not pre-event"))</x:f>
        <x:v>PENDING</x:v>
      </x:c>
    </x:row>
    <x:row r="116">
      <x:c r="A116" s="11" t="str">
        <x:v>ABNB-2026Q2-INITIAL-REVENUE-MEAN</x:v>
      </x:c>
      <x:c r="B116" s="44" t="str">
        <x:v>ABNB US Equity</x:v>
      </x:c>
      <x:c r="C116" s="44" t="str">
        <x:v>ABNB-2026Q2-INITIAL</x:v>
      </x:c>
      <x:c r="D116" s="56" t="n">
        <x:v>46240.875</x:v>
      </x:c>
      <x:c r="E116" s="44" t="str">
        <x:v>Prior U.S. close; closest eligible intraday snapshot as secondary</x:v>
      </x:c>
      <x:c r="F116" s="44" t="str">
        <x:v>2026Q3</x:v>
      </x:c>
      <x:c r="G116" s="44" t="str">
        <x:v>Revenue / Sales</x:v>
      </x:c>
      <x:c r="H116" s="44" t="str">
        <x:v>BEST_SALES (point-in-time history)</x:v>
      </x:c>
      <x:c r="I116" s="44" t="str">
        <x:v>mean</x:v>
      </x:c>
      <x:c r="J116" s="44" t="str">
        <x:v>&lt; 2026-08-06T21:00:00Z</x:v>
      </x:c>
      <x:c r="K116" s="44" t="str">
        <x:v>Exact 2026Q3; do not use rolling offset</x:v>
      </x:c>
      <x:c r="L116" s="46" t="str"/>
      <x:c r="M116" s="46" t="str"/>
      <x:c r="N116" s="57" t="str"/>
      <x:c r="O116" s="46" t="str"/>
      <x:c r="P116" s="46" t="str"/>
      <x:c r="Q116" s="46" t="str"/>
      <x:c r="R116" s="46" t="str"/>
      <x:c r="S116" s="11" t="str"/>
      <x:c r="T116" s="46" t="str">
        <x:v>pending_paid_authorization</x:v>
      </x:c>
      <x:c r="U116" s="46" t="str"/>
      <x:c r="V116" s="11" t="str">
        <x:f>IF(OR(L116="",N116=""),"PENDING",IF(N116&lt;D116,"PASS","FAIL: snapshot not pre-event"))</x:f>
        <x:v>PENDING</x:v>
      </x:c>
    </x:row>
    <x:row r="117">
      <x:c r="A117" s="11" t="str">
        <x:v>ABNB-2026Q2-INITIAL-REVENUE-MEDIAN</x:v>
      </x:c>
      <x:c r="B117" s="44" t="str">
        <x:v>ABNB US Equity</x:v>
      </x:c>
      <x:c r="C117" s="44" t="str">
        <x:v>ABNB-2026Q2-INITIAL</x:v>
      </x:c>
      <x:c r="D117" s="56" t="n">
        <x:v>46240.875</x:v>
      </x:c>
      <x:c r="E117" s="44" t="str">
        <x:v>Prior U.S. close; closest eligible intraday snapshot as secondary</x:v>
      </x:c>
      <x:c r="F117" s="44" t="str">
        <x:v>2026Q3</x:v>
      </x:c>
      <x:c r="G117" s="44" t="str">
        <x:v>Revenue / Sales</x:v>
      </x:c>
      <x:c r="H117" s="44" t="str">
        <x:v>BEST_SALES_MEDIAN or point-in-time equivalent</x:v>
      </x:c>
      <x:c r="I117" s="44" t="str">
        <x:v>median</x:v>
      </x:c>
      <x:c r="J117" s="44" t="str">
        <x:v>&lt; 2026-08-06T21:00:00Z</x:v>
      </x:c>
      <x:c r="K117" s="44" t="str">
        <x:v>Exact 2026Q3; do not use rolling offset</x:v>
      </x:c>
      <x:c r="L117" s="46" t="str"/>
      <x:c r="M117" s="46" t="str"/>
      <x:c r="N117" s="57" t="str"/>
      <x:c r="O117" s="46" t="str"/>
      <x:c r="P117" s="46" t="str"/>
      <x:c r="Q117" s="46" t="str"/>
      <x:c r="R117" s="46" t="str"/>
      <x:c r="S117" s="11" t="str"/>
      <x:c r="T117" s="46" t="str">
        <x:v>pending_paid_authorization</x:v>
      </x:c>
      <x:c r="U117" s="46" t="str"/>
      <x:c r="V117" s="11" t="str">
        <x:f>IF(OR(L117="",N117=""),"PENDING",IF(N117&lt;D117,"PASS","FAIL: snapshot not pre-event"))</x:f>
        <x:v>PENDING</x:v>
      </x:c>
    </x:row>
    <x:row r="118">
      <x:c r="A118" s="11" t="str">
        <x:v>ABNB-2026Q2-INITIAL-REVENUE-HIGH</x:v>
      </x:c>
      <x:c r="B118" s="44" t="str">
        <x:v>ABNB US Equity</x:v>
      </x:c>
      <x:c r="C118" s="44" t="str">
        <x:v>ABNB-2026Q2-INITIAL</x:v>
      </x:c>
      <x:c r="D118" s="56" t="n">
        <x:v>46240.875</x:v>
      </x:c>
      <x:c r="E118" s="44" t="str">
        <x:v>Prior U.S. close; closest eligible intraday snapshot as secondary</x:v>
      </x:c>
      <x:c r="F118" s="44" t="str">
        <x:v>2026Q3</x:v>
      </x:c>
      <x:c r="G118" s="44" t="str">
        <x:v>Revenue / Sales</x:v>
      </x:c>
      <x:c r="H118" s="44" t="str">
        <x:v>BEST_SALES_HIGH or point-in-time equivalent</x:v>
      </x:c>
      <x:c r="I118" s="44" t="str">
        <x:v>high</x:v>
      </x:c>
      <x:c r="J118" s="44" t="str">
        <x:v>&lt; 2026-08-06T21:00:00Z</x:v>
      </x:c>
      <x:c r="K118" s="44" t="str">
        <x:v>Exact 2026Q3; do not use rolling offset</x:v>
      </x:c>
      <x:c r="L118" s="46" t="str"/>
      <x:c r="M118" s="46" t="str"/>
      <x:c r="N118" s="57" t="str"/>
      <x:c r="O118" s="46" t="str"/>
      <x:c r="P118" s="46" t="str"/>
      <x:c r="Q118" s="46" t="str"/>
      <x:c r="R118" s="46" t="str"/>
      <x:c r="S118" s="11" t="str"/>
      <x:c r="T118" s="46" t="str">
        <x:v>pending_paid_authorization</x:v>
      </x:c>
      <x:c r="U118" s="46" t="str"/>
      <x:c r="V118" s="11" t="str">
        <x:f>IF(OR(L118="",N118=""),"PENDING",IF(N118&lt;D118,"PASS","FAIL: snapshot not pre-event"))</x:f>
        <x:v>PENDING</x:v>
      </x:c>
    </x:row>
    <x:row r="119">
      <x:c r="A119" s="11" t="str">
        <x:v>ABNB-2026Q2-INITIAL-REVENUE-LOW</x:v>
      </x:c>
      <x:c r="B119" s="44" t="str">
        <x:v>ABNB US Equity</x:v>
      </x:c>
      <x:c r="C119" s="44" t="str">
        <x:v>ABNB-2026Q2-INITIAL</x:v>
      </x:c>
      <x:c r="D119" s="56" t="n">
        <x:v>46240.875</x:v>
      </x:c>
      <x:c r="E119" s="44" t="str">
        <x:v>Prior U.S. close; closest eligible intraday snapshot as secondary</x:v>
      </x:c>
      <x:c r="F119" s="44" t="str">
        <x:v>2026Q3</x:v>
      </x:c>
      <x:c r="G119" s="44" t="str">
        <x:v>Revenue / Sales</x:v>
      </x:c>
      <x:c r="H119" s="44" t="str">
        <x:v>BEST_SALES_LOW or point-in-time equivalent</x:v>
      </x:c>
      <x:c r="I119" s="44" t="str">
        <x:v>low</x:v>
      </x:c>
      <x:c r="J119" s="44" t="str">
        <x:v>&lt; 2026-08-06T21:00:00Z</x:v>
      </x:c>
      <x:c r="K119" s="44" t="str">
        <x:v>Exact 2026Q3; do not use rolling offset</x:v>
      </x:c>
      <x:c r="L119" s="46" t="str"/>
      <x:c r="M119" s="46" t="str"/>
      <x:c r="N119" s="57" t="str"/>
      <x:c r="O119" s="46" t="str"/>
      <x:c r="P119" s="46" t="str"/>
      <x:c r="Q119" s="46" t="str"/>
      <x:c r="R119" s="46" t="str"/>
      <x:c r="S119" s="11" t="str"/>
      <x:c r="T119" s="46" t="str">
        <x:v>pending_paid_authorization</x:v>
      </x:c>
      <x:c r="U119" s="46" t="str"/>
      <x:c r="V119" s="11" t="str">
        <x:f>IF(OR(L119="",N119=""),"PENDING",IF(N119&lt;D119,"PASS","FAIL: snapshot not pre-event"))</x:f>
        <x:v>PENDING</x:v>
      </x:c>
    </x:row>
    <x:row r="120">
      <x:c r="A120" s="11" t="str">
        <x:v>ABNB-2026Q2-INITIAL-REVENUE-ANALYST_COUNT</x:v>
      </x:c>
      <x:c r="B120" s="44" t="str">
        <x:v>ABNB US Equity</x:v>
      </x:c>
      <x:c r="C120" s="44" t="str">
        <x:v>ABNB-2026Q2-INITIAL</x:v>
      </x:c>
      <x:c r="D120" s="56" t="n">
        <x:v>46240.875</x:v>
      </x:c>
      <x:c r="E120" s="44" t="str">
        <x:v>Prior U.S. close; closest eligible intraday snapshot as secondary</x:v>
      </x:c>
      <x:c r="F120" s="44" t="str">
        <x:v>2026Q3</x:v>
      </x:c>
      <x:c r="G120" s="44" t="str">
        <x:v>Revenue / Sales</x:v>
      </x:c>
      <x:c r="H120" s="44" t="str">
        <x:v>BEST_SALES_NUM_EST or point-in-time equivalent</x:v>
      </x:c>
      <x:c r="I120" s="44" t="str">
        <x:v>analyst_count</x:v>
      </x:c>
      <x:c r="J120" s="44" t="str">
        <x:v>&lt; 2026-08-06T21:00:00Z</x:v>
      </x:c>
      <x:c r="K120" s="44" t="str">
        <x:v>Exact 2026Q3; do not use rolling offset</x:v>
      </x:c>
      <x:c r="L120" s="46" t="str"/>
      <x:c r="M120" s="46" t="str"/>
      <x:c r="N120" s="57" t="str"/>
      <x:c r="O120" s="46" t="str"/>
      <x:c r="P120" s="46" t="str"/>
      <x:c r="Q120" s="46" t="str"/>
      <x:c r="R120" s="46" t="str"/>
      <x:c r="S120" s="11" t="str"/>
      <x:c r="T120" s="46" t="str">
        <x:v>pending_paid_authorization</x:v>
      </x:c>
      <x:c r="U120" s="46" t="str"/>
      <x:c r="V120" s="11" t="str">
        <x:f>IF(OR(L120="",N120=""),"PENDING",IF(N120&lt;D120,"PASS","FAIL: snapshot not pre-event"))</x:f>
        <x:v>PENDING</x:v>
      </x:c>
    </x:row>
  </x:sheetData>
  <x:mergeCells>
    <x:mergeCell ref="A1:V2"/>
    <x:mergeCell ref="A3:V3"/>
  </x:mergeCells>
  <x:conditionalFormatting sqref="V6:V120">
    <x:cfRule type="containsText" dxfId="0" priority="1" operator="containsText" text="PASS"/>
    <x:cfRule type="containsText" dxfId="1" priority="2" operator="containsText" text="FAIL"/>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6" max="6" width="28" hidden="0" customWidth="1"/>
    <x:col min="8" max="8" width="28" hidden="0" customWidth="1"/>
    <x:col min="9" max="9" width="28" hidden="0" customWidth="1"/>
    <x:col min="10" max="10" width="28" hidden="0" customWidth="1"/>
    <x:col min="16" max="16" width="28" hidden="0" customWidth="1"/>
    <x:col min="17" max="17" width="28" hidden="0" customWidth="1"/>
    <x:col min="3" max="3" width="18" hidden="0" customWidth="1"/>
    <x:col min="4" max="4" width="18" hidden="0" customWidth="1"/>
    <x:col min="5" max="5" width="18" hidden="0" customWidth="1"/>
    <x:col min="7" max="7" width="18" hidden="0" customWidth="1"/>
    <x:col min="11" max="11" width="18" hidden="0" customWidth="1"/>
    <x:col min="12" max="12" width="18" hidden="0" customWidth="1"/>
    <x:col min="13" max="13" width="18" hidden="0" customWidth="1"/>
    <x:col min="14" max="14" width="18" hidden="0" customWidth="1"/>
    <x:col min="15" max="15" width="18" hidden="0" customWidth="1"/>
  </x:cols>
  <x:sheetData>
    <x:row r="1" ht="24" customHeight="1">
      <x:c r="A1" s="3" t="str">
        <x:v>ABNB / QQQ Price &amp; Total-Return Request</x:v>
      </x:c>
    </x:row>
    <x:row r="2" ht="24" customHeight="1"/>
    <x:row r="3">
      <x:c r="A3" s="58" t="str">
        <x:v>The public dataset uses unadjusted official closes. This request is an independent Bloomberg reconciliation and total-return upgrade, with corporate-action flags preserved.</x:v>
      </x:c>
      <x:c r="B3" s="58"/>
      <x:c r="C3" s="58"/>
      <x:c r="D3" s="58"/>
      <x:c r="E3" s="58"/>
      <x:c r="F3" s="58"/>
      <x:c r="G3" s="58"/>
      <x:c r="H3" s="58"/>
      <x:c r="I3" s="58"/>
      <x:c r="J3" s="58"/>
      <x:c r="K3" s="58"/>
      <x:c r="L3" s="58"/>
      <x:c r="M3" s="58"/>
      <x:c r="N3" s="58"/>
      <x:c r="O3" s="58"/>
      <x:c r="P3" s="58"/>
      <x:c r="Q3" s="58"/>
    </x:row>
    <x:row r="5">
      <x:c r="A5" s="51" t="str">
        <x:v>Request ID</x:v>
      </x:c>
      <x:c r="B5" s="51" t="str">
        <x:v>Event ID</x:v>
      </x:c>
      <x:c r="C5" s="51" t="str">
        <x:v>Instrument</x:v>
      </x:c>
      <x:c r="D5" s="51" t="str">
        <x:v>Bloomberg security</x:v>
      </x:c>
      <x:c r="E5" s="51" t="str">
        <x:v>Event timestamp UTC</x:v>
      </x:c>
      <x:c r="F5" s="51" t="str">
        <x:v>Reaction session</x:v>
      </x:c>
      <x:c r="G5" s="51" t="str">
        <x:v>Requested window</x:v>
      </x:c>
      <x:c r="H5" s="51" t="str">
        <x:v>Start session rule</x:v>
      </x:c>
      <x:c r="I5" s="51" t="str">
        <x:v>End session rule</x:v>
      </x:c>
      <x:c r="J5" s="51" t="str">
        <x:v>Preferred field</x:v>
      </x:c>
      <x:c r="K5" s="51" t="str">
        <x:v>Returned start date</x:v>
      </x:c>
      <x:c r="L5" s="51" t="str">
        <x:v>Returned end date</x:v>
      </x:c>
      <x:c r="M5" s="51" t="str">
        <x:v>Returned start value</x:v>
      </x:c>
      <x:c r="N5" s="51" t="str">
        <x:v>Returned end value</x:v>
      </x:c>
      <x:c r="O5" s="51" t="str">
        <x:v>Returned total return</x:v>
      </x:c>
      <x:c r="P5" s="51" t="str">
        <x:v>Adjustment/corporate-action flags</x:v>
      </x:c>
      <x:c r="Q5" s="51" t="str">
        <x:v>Operator notes</x:v>
      </x:c>
    </x:row>
    <x:row r="6">
      <x:c r="A6" s="11" t="str">
        <x:v>ABNB-2020Q4-INITIAL-ABNB-1D</x:v>
      </x:c>
      <x:c r="B6" s="11" t="str">
        <x:v>ABNB-2020Q4-INITIAL</x:v>
      </x:c>
      <x:c r="C6" s="11" t="str">
        <x:v>ABNB</x:v>
      </x:c>
      <x:c r="D6" s="44" t="str">
        <x:v>ABNB US Equity</x:v>
      </x:c>
      <x:c r="E6" s="56" t="n">
        <x:v>44252.916666666664</x:v>
      </x:c>
      <x:c r="F6" s="44" t="str">
        <x:v>First U.S. exchange session after an after-close release</x:v>
      </x:c>
      <x:c r="G6" s="44" t="str">
        <x:v>1 trading sessions</x:v>
      </x:c>
      <x:c r="H6" s="44" t="str">
        <x:v>Official close immediately before reaction session</x:v>
      </x:c>
      <x:c r="I6" s="44" t="str">
        <x:v>Official close after 1 exchange sessions</x:v>
      </x:c>
      <x:c r="J6" s="44" t="str">
        <x:v>TOT_RETURN_INDEX_GROSS_DVDS preferred; PX_LAST fallback</x:v>
      </x:c>
      <x:c r="K6" s="59" t="str"/>
      <x:c r="L6" s="59" t="str"/>
      <x:c r="M6" s="46" t="str"/>
      <x:c r="N6" s="46" t="str"/>
      <x:c r="O6" s="46" t="str"/>
      <x:c r="P6" s="46" t="str"/>
      <x:c r="Q6" s="46" t="str"/>
    </x:row>
    <x:row r="7">
      <x:c r="A7" s="11" t="str">
        <x:v>ABNB-2020Q4-INITIAL-ABNB-5D</x:v>
      </x:c>
      <x:c r="B7" s="11" t="str">
        <x:v>ABNB-2020Q4-INITIAL</x:v>
      </x:c>
      <x:c r="C7" s="11" t="str">
        <x:v>ABNB</x:v>
      </x:c>
      <x:c r="D7" s="44" t="str">
        <x:v>ABNB US Equity</x:v>
      </x:c>
      <x:c r="E7" s="56" t="n">
        <x:v>44252.916666666664</x:v>
      </x:c>
      <x:c r="F7" s="44" t="str">
        <x:v>First U.S. exchange session after an after-close release</x:v>
      </x:c>
      <x:c r="G7" s="44" t="str">
        <x:v>5 trading sessions</x:v>
      </x:c>
      <x:c r="H7" s="44" t="str">
        <x:v>Official close immediately before reaction session</x:v>
      </x:c>
      <x:c r="I7" s="44" t="str">
        <x:v>Official close after 5 exchange sessions</x:v>
      </x:c>
      <x:c r="J7" s="44" t="str">
        <x:v>TOT_RETURN_INDEX_GROSS_DVDS preferred; PX_LAST fallback</x:v>
      </x:c>
      <x:c r="K7" s="59" t="str"/>
      <x:c r="L7" s="59" t="str"/>
      <x:c r="M7" s="46" t="str"/>
      <x:c r="N7" s="46" t="str"/>
      <x:c r="O7" s="46" t="str"/>
      <x:c r="P7" s="46" t="str"/>
      <x:c r="Q7" s="46" t="str"/>
    </x:row>
    <x:row r="8">
      <x:c r="A8" s="11" t="str">
        <x:v>ABNB-2020Q4-INITIAL-ABNB-20D</x:v>
      </x:c>
      <x:c r="B8" s="11" t="str">
        <x:v>ABNB-2020Q4-INITIAL</x:v>
      </x:c>
      <x:c r="C8" s="11" t="str">
        <x:v>ABNB</x:v>
      </x:c>
      <x:c r="D8" s="44" t="str">
        <x:v>ABNB US Equity</x:v>
      </x:c>
      <x:c r="E8" s="56" t="n">
        <x:v>44252.916666666664</x:v>
      </x:c>
      <x:c r="F8" s="44" t="str">
        <x:v>First U.S. exchange session after an after-close release</x:v>
      </x:c>
      <x:c r="G8" s="44" t="str">
        <x:v>20 trading sessions</x:v>
      </x:c>
      <x:c r="H8" s="44" t="str">
        <x:v>Official close immediately before reaction session</x:v>
      </x:c>
      <x:c r="I8" s="44" t="str">
        <x:v>Official close after 20 exchange sessions</x:v>
      </x:c>
      <x:c r="J8" s="44" t="str">
        <x:v>TOT_RETURN_INDEX_GROSS_DVDS preferred; PX_LAST fallback</x:v>
      </x:c>
      <x:c r="K8" s="59" t="str"/>
      <x:c r="L8" s="59" t="str"/>
      <x:c r="M8" s="46" t="str"/>
      <x:c r="N8" s="46" t="str"/>
      <x:c r="O8" s="46" t="str"/>
      <x:c r="P8" s="46" t="str"/>
      <x:c r="Q8" s="46" t="str"/>
    </x:row>
    <x:row r="9">
      <x:c r="A9" s="11" t="str">
        <x:v>ABNB-2020Q4-INITIAL-ABNB-60D</x:v>
      </x:c>
      <x:c r="B9" s="11" t="str">
        <x:v>ABNB-2020Q4-INITIAL</x:v>
      </x:c>
      <x:c r="C9" s="11" t="str">
        <x:v>ABNB</x:v>
      </x:c>
      <x:c r="D9" s="44" t="str">
        <x:v>ABNB US Equity</x:v>
      </x:c>
      <x:c r="E9" s="56" t="n">
        <x:v>44252.916666666664</x:v>
      </x:c>
      <x:c r="F9" s="44" t="str">
        <x:v>First U.S. exchange session after an after-close release</x:v>
      </x:c>
      <x:c r="G9" s="44" t="str">
        <x:v>60 trading sessions</x:v>
      </x:c>
      <x:c r="H9" s="44" t="str">
        <x:v>Official close immediately before reaction session</x:v>
      </x:c>
      <x:c r="I9" s="44" t="str">
        <x:v>Official close after 60 exchange sessions</x:v>
      </x:c>
      <x:c r="J9" s="44" t="str">
        <x:v>TOT_RETURN_INDEX_GROSS_DVDS preferred; PX_LAST fallback</x:v>
      </x:c>
      <x:c r="K9" s="59" t="str"/>
      <x:c r="L9" s="59" t="str"/>
      <x:c r="M9" s="46" t="str"/>
      <x:c r="N9" s="46" t="str"/>
      <x:c r="O9" s="46" t="str"/>
      <x:c r="P9" s="46" t="str"/>
      <x:c r="Q9" s="46" t="str"/>
    </x:row>
    <x:row r="10">
      <x:c r="A10" s="11" t="str">
        <x:v>ABNB-2020Q4-INITIAL-QQQ-1D</x:v>
      </x:c>
      <x:c r="B10" s="11" t="str">
        <x:v>ABNB-2020Q4-INITIAL</x:v>
      </x:c>
      <x:c r="C10" s="11" t="str">
        <x:v>QQQ</x:v>
      </x:c>
      <x:c r="D10" s="44" t="str">
        <x:v>QQQ US Equity</x:v>
      </x:c>
      <x:c r="E10" s="56" t="n">
        <x:v>44252.916666666664</x:v>
      </x:c>
      <x:c r="F10" s="44" t="str">
        <x:v>First U.S. exchange session after an after-close release</x:v>
      </x:c>
      <x:c r="G10" s="44" t="str">
        <x:v>1 trading sessions</x:v>
      </x:c>
      <x:c r="H10" s="44" t="str">
        <x:v>Official close immediately before reaction session</x:v>
      </x:c>
      <x:c r="I10" s="44" t="str">
        <x:v>Official close after 1 exchange sessions</x:v>
      </x:c>
      <x:c r="J10" s="44" t="str">
        <x:v>TOT_RETURN_INDEX_GROSS_DVDS preferred; PX_LAST fallback</x:v>
      </x:c>
      <x:c r="K10" s="59" t="str"/>
      <x:c r="L10" s="59" t="str"/>
      <x:c r="M10" s="46" t="str"/>
      <x:c r="N10" s="46" t="str"/>
      <x:c r="O10" s="46" t="str"/>
      <x:c r="P10" s="46" t="str"/>
      <x:c r="Q10" s="46" t="str"/>
    </x:row>
    <x:row r="11">
      <x:c r="A11" s="11" t="str">
        <x:v>ABNB-2020Q4-INITIAL-QQQ-5D</x:v>
      </x:c>
      <x:c r="B11" s="11" t="str">
        <x:v>ABNB-2020Q4-INITIAL</x:v>
      </x:c>
      <x:c r="C11" s="11" t="str">
        <x:v>QQQ</x:v>
      </x:c>
      <x:c r="D11" s="44" t="str">
        <x:v>QQQ US Equity</x:v>
      </x:c>
      <x:c r="E11" s="56" t="n">
        <x:v>44252.916666666664</x:v>
      </x:c>
      <x:c r="F11" s="44" t="str">
        <x:v>First U.S. exchange session after an after-close release</x:v>
      </x:c>
      <x:c r="G11" s="44" t="str">
        <x:v>5 trading sessions</x:v>
      </x:c>
      <x:c r="H11" s="44" t="str">
        <x:v>Official close immediately before reaction session</x:v>
      </x:c>
      <x:c r="I11" s="44" t="str">
        <x:v>Official close after 5 exchange sessions</x:v>
      </x:c>
      <x:c r="J11" s="44" t="str">
        <x:v>TOT_RETURN_INDEX_GROSS_DVDS preferred; PX_LAST fallback</x:v>
      </x:c>
      <x:c r="K11" s="59" t="str"/>
      <x:c r="L11" s="59" t="str"/>
      <x:c r="M11" s="46" t="str"/>
      <x:c r="N11" s="46" t="str"/>
      <x:c r="O11" s="46" t="str"/>
      <x:c r="P11" s="46" t="str"/>
      <x:c r="Q11" s="46" t="str"/>
    </x:row>
    <x:row r="12">
      <x:c r="A12" s="11" t="str">
        <x:v>ABNB-2020Q4-INITIAL-QQQ-20D</x:v>
      </x:c>
      <x:c r="B12" s="11" t="str">
        <x:v>ABNB-2020Q4-INITIAL</x:v>
      </x:c>
      <x:c r="C12" s="11" t="str">
        <x:v>QQQ</x:v>
      </x:c>
      <x:c r="D12" s="44" t="str">
        <x:v>QQQ US Equity</x:v>
      </x:c>
      <x:c r="E12" s="56" t="n">
        <x:v>44252.916666666664</x:v>
      </x:c>
      <x:c r="F12" s="44" t="str">
        <x:v>First U.S. exchange session after an after-close release</x:v>
      </x:c>
      <x:c r="G12" s="44" t="str">
        <x:v>20 trading sessions</x:v>
      </x:c>
      <x:c r="H12" s="44" t="str">
        <x:v>Official close immediately before reaction session</x:v>
      </x:c>
      <x:c r="I12" s="44" t="str">
        <x:v>Official close after 20 exchange sessions</x:v>
      </x:c>
      <x:c r="J12" s="44" t="str">
        <x:v>TOT_RETURN_INDEX_GROSS_DVDS preferred; PX_LAST fallback</x:v>
      </x:c>
      <x:c r="K12" s="59" t="str"/>
      <x:c r="L12" s="59" t="str"/>
      <x:c r="M12" s="46" t="str"/>
      <x:c r="N12" s="46" t="str"/>
      <x:c r="O12" s="46" t="str"/>
      <x:c r="P12" s="46" t="str"/>
      <x:c r="Q12" s="46" t="str"/>
    </x:row>
    <x:row r="13">
      <x:c r="A13" s="11" t="str">
        <x:v>ABNB-2020Q4-INITIAL-QQQ-60D</x:v>
      </x:c>
      <x:c r="B13" s="11" t="str">
        <x:v>ABNB-2020Q4-INITIAL</x:v>
      </x:c>
      <x:c r="C13" s="11" t="str">
        <x:v>QQQ</x:v>
      </x:c>
      <x:c r="D13" s="44" t="str">
        <x:v>QQQ US Equity</x:v>
      </x:c>
      <x:c r="E13" s="56" t="n">
        <x:v>44252.916666666664</x:v>
      </x:c>
      <x:c r="F13" s="44" t="str">
        <x:v>First U.S. exchange session after an after-close release</x:v>
      </x:c>
      <x:c r="G13" s="44" t="str">
        <x:v>60 trading sessions</x:v>
      </x:c>
      <x:c r="H13" s="44" t="str">
        <x:v>Official close immediately before reaction session</x:v>
      </x:c>
      <x:c r="I13" s="44" t="str">
        <x:v>Official close after 60 exchange sessions</x:v>
      </x:c>
      <x:c r="J13" s="44" t="str">
        <x:v>TOT_RETURN_INDEX_GROSS_DVDS preferred; PX_LAST fallback</x:v>
      </x:c>
      <x:c r="K13" s="59" t="str"/>
      <x:c r="L13" s="59" t="str"/>
      <x:c r="M13" s="46" t="str"/>
      <x:c r="N13" s="46" t="str"/>
      <x:c r="O13" s="46" t="str"/>
      <x:c r="P13" s="46" t="str"/>
      <x:c r="Q13" s="46" t="str"/>
    </x:row>
    <x:row r="14">
      <x:c r="A14" s="11" t="str">
        <x:v>ABNB-2021Q1-INITIAL-ABNB-1D</x:v>
      </x:c>
      <x:c r="B14" s="11" t="str">
        <x:v>ABNB-2021Q1-INITIAL</x:v>
      </x:c>
      <x:c r="C14" s="11" t="str">
        <x:v>ABNB</x:v>
      </x:c>
      <x:c r="D14" s="44" t="str">
        <x:v>ABNB US Equity</x:v>
      </x:c>
      <x:c r="E14" s="56" t="n">
        <x:v>44329.875</x:v>
      </x:c>
      <x:c r="F14" s="44" t="str">
        <x:v>First U.S. exchange session after an after-close release</x:v>
      </x:c>
      <x:c r="G14" s="44" t="str">
        <x:v>1 trading sessions</x:v>
      </x:c>
      <x:c r="H14" s="44" t="str">
        <x:v>Official close immediately before reaction session</x:v>
      </x:c>
      <x:c r="I14" s="44" t="str">
        <x:v>Official close after 1 exchange sessions</x:v>
      </x:c>
      <x:c r="J14" s="44" t="str">
        <x:v>TOT_RETURN_INDEX_GROSS_DVDS preferred; PX_LAST fallback</x:v>
      </x:c>
      <x:c r="K14" s="59" t="str"/>
      <x:c r="L14" s="59" t="str"/>
      <x:c r="M14" s="46" t="str"/>
      <x:c r="N14" s="46" t="str"/>
      <x:c r="O14" s="46" t="str"/>
      <x:c r="P14" s="46" t="str"/>
      <x:c r="Q14" s="46" t="str"/>
    </x:row>
    <x:row r="15">
      <x:c r="A15" s="11" t="str">
        <x:v>ABNB-2021Q1-INITIAL-ABNB-5D</x:v>
      </x:c>
      <x:c r="B15" s="11" t="str">
        <x:v>ABNB-2021Q1-INITIAL</x:v>
      </x:c>
      <x:c r="C15" s="11" t="str">
        <x:v>ABNB</x:v>
      </x:c>
      <x:c r="D15" s="44" t="str">
        <x:v>ABNB US Equity</x:v>
      </x:c>
      <x:c r="E15" s="56" t="n">
        <x:v>44329.875</x:v>
      </x:c>
      <x:c r="F15" s="44" t="str">
        <x:v>First U.S. exchange session after an after-close release</x:v>
      </x:c>
      <x:c r="G15" s="44" t="str">
        <x:v>5 trading sessions</x:v>
      </x:c>
      <x:c r="H15" s="44" t="str">
        <x:v>Official close immediately before reaction session</x:v>
      </x:c>
      <x:c r="I15" s="44" t="str">
        <x:v>Official close after 5 exchange sessions</x:v>
      </x:c>
      <x:c r="J15" s="44" t="str">
        <x:v>TOT_RETURN_INDEX_GROSS_DVDS preferred; PX_LAST fallback</x:v>
      </x:c>
      <x:c r="K15" s="59" t="str"/>
      <x:c r="L15" s="59" t="str"/>
      <x:c r="M15" s="46" t="str"/>
      <x:c r="N15" s="46" t="str"/>
      <x:c r="O15" s="46" t="str"/>
      <x:c r="P15" s="46" t="str"/>
      <x:c r="Q15" s="46" t="str"/>
    </x:row>
    <x:row r="16">
      <x:c r="A16" s="11" t="str">
        <x:v>ABNB-2021Q1-INITIAL-ABNB-20D</x:v>
      </x:c>
      <x:c r="B16" s="11" t="str">
        <x:v>ABNB-2021Q1-INITIAL</x:v>
      </x:c>
      <x:c r="C16" s="11" t="str">
        <x:v>ABNB</x:v>
      </x:c>
      <x:c r="D16" s="44" t="str">
        <x:v>ABNB US Equity</x:v>
      </x:c>
      <x:c r="E16" s="56" t="n">
        <x:v>44329.875</x:v>
      </x:c>
      <x:c r="F16" s="44" t="str">
        <x:v>First U.S. exchange session after an after-close release</x:v>
      </x:c>
      <x:c r="G16" s="44" t="str">
        <x:v>20 trading sessions</x:v>
      </x:c>
      <x:c r="H16" s="44" t="str">
        <x:v>Official close immediately before reaction session</x:v>
      </x:c>
      <x:c r="I16" s="44" t="str">
        <x:v>Official close after 20 exchange sessions</x:v>
      </x:c>
      <x:c r="J16" s="44" t="str">
        <x:v>TOT_RETURN_INDEX_GROSS_DVDS preferred; PX_LAST fallback</x:v>
      </x:c>
      <x:c r="K16" s="59" t="str"/>
      <x:c r="L16" s="59" t="str"/>
      <x:c r="M16" s="46" t="str"/>
      <x:c r="N16" s="46" t="str"/>
      <x:c r="O16" s="46" t="str"/>
      <x:c r="P16" s="46" t="str"/>
      <x:c r="Q16" s="46" t="str"/>
    </x:row>
    <x:row r="17">
      <x:c r="A17" s="11" t="str">
        <x:v>ABNB-2021Q1-INITIAL-ABNB-60D</x:v>
      </x:c>
      <x:c r="B17" s="11" t="str">
        <x:v>ABNB-2021Q1-INITIAL</x:v>
      </x:c>
      <x:c r="C17" s="11" t="str">
        <x:v>ABNB</x:v>
      </x:c>
      <x:c r="D17" s="44" t="str">
        <x:v>ABNB US Equity</x:v>
      </x:c>
      <x:c r="E17" s="56" t="n">
        <x:v>44329.875</x:v>
      </x:c>
      <x:c r="F17" s="44" t="str">
        <x:v>First U.S. exchange session after an after-close release</x:v>
      </x:c>
      <x:c r="G17" s="44" t="str">
        <x:v>60 trading sessions</x:v>
      </x:c>
      <x:c r="H17" s="44" t="str">
        <x:v>Official close immediately before reaction session</x:v>
      </x:c>
      <x:c r="I17" s="44" t="str">
        <x:v>Official close after 60 exchange sessions</x:v>
      </x:c>
      <x:c r="J17" s="44" t="str">
        <x:v>TOT_RETURN_INDEX_GROSS_DVDS preferred; PX_LAST fallback</x:v>
      </x:c>
      <x:c r="K17" s="59" t="str"/>
      <x:c r="L17" s="59" t="str"/>
      <x:c r="M17" s="46" t="str"/>
      <x:c r="N17" s="46" t="str"/>
      <x:c r="O17" s="46" t="str"/>
      <x:c r="P17" s="46" t="str"/>
      <x:c r="Q17" s="46" t="str"/>
    </x:row>
    <x:row r="18">
      <x:c r="A18" s="11" t="str">
        <x:v>ABNB-2021Q1-INITIAL-QQQ-1D</x:v>
      </x:c>
      <x:c r="B18" s="11" t="str">
        <x:v>ABNB-2021Q1-INITIAL</x:v>
      </x:c>
      <x:c r="C18" s="11" t="str">
        <x:v>QQQ</x:v>
      </x:c>
      <x:c r="D18" s="44" t="str">
        <x:v>QQQ US Equity</x:v>
      </x:c>
      <x:c r="E18" s="56" t="n">
        <x:v>44329.875</x:v>
      </x:c>
      <x:c r="F18" s="44" t="str">
        <x:v>First U.S. exchange session after an after-close release</x:v>
      </x:c>
      <x:c r="G18" s="44" t="str">
        <x:v>1 trading sessions</x:v>
      </x:c>
      <x:c r="H18" s="44" t="str">
        <x:v>Official close immediately before reaction session</x:v>
      </x:c>
      <x:c r="I18" s="44" t="str">
        <x:v>Official close after 1 exchange sessions</x:v>
      </x:c>
      <x:c r="J18" s="44" t="str">
        <x:v>TOT_RETURN_INDEX_GROSS_DVDS preferred; PX_LAST fallback</x:v>
      </x:c>
      <x:c r="K18" s="59" t="str"/>
      <x:c r="L18" s="59" t="str"/>
      <x:c r="M18" s="46" t="str"/>
      <x:c r="N18" s="46" t="str"/>
      <x:c r="O18" s="46" t="str"/>
      <x:c r="P18" s="46" t="str"/>
      <x:c r="Q18" s="46" t="str"/>
    </x:row>
    <x:row r="19">
      <x:c r="A19" s="11" t="str">
        <x:v>ABNB-2021Q1-INITIAL-QQQ-5D</x:v>
      </x:c>
      <x:c r="B19" s="11" t="str">
        <x:v>ABNB-2021Q1-INITIAL</x:v>
      </x:c>
      <x:c r="C19" s="11" t="str">
        <x:v>QQQ</x:v>
      </x:c>
      <x:c r="D19" s="44" t="str">
        <x:v>QQQ US Equity</x:v>
      </x:c>
      <x:c r="E19" s="56" t="n">
        <x:v>44329.875</x:v>
      </x:c>
      <x:c r="F19" s="44" t="str">
        <x:v>First U.S. exchange session after an after-close release</x:v>
      </x:c>
      <x:c r="G19" s="44" t="str">
        <x:v>5 trading sessions</x:v>
      </x:c>
      <x:c r="H19" s="44" t="str">
        <x:v>Official close immediately before reaction session</x:v>
      </x:c>
      <x:c r="I19" s="44" t="str">
        <x:v>Official close after 5 exchange sessions</x:v>
      </x:c>
      <x:c r="J19" s="44" t="str">
        <x:v>TOT_RETURN_INDEX_GROSS_DVDS preferred; PX_LAST fallback</x:v>
      </x:c>
      <x:c r="K19" s="59" t="str"/>
      <x:c r="L19" s="59" t="str"/>
      <x:c r="M19" s="46" t="str"/>
      <x:c r="N19" s="46" t="str"/>
      <x:c r="O19" s="46" t="str"/>
      <x:c r="P19" s="46" t="str"/>
      <x:c r="Q19" s="46" t="str"/>
    </x:row>
    <x:row r="20">
      <x:c r="A20" s="11" t="str">
        <x:v>ABNB-2021Q1-INITIAL-QQQ-20D</x:v>
      </x:c>
      <x:c r="B20" s="11" t="str">
        <x:v>ABNB-2021Q1-INITIAL</x:v>
      </x:c>
      <x:c r="C20" s="11" t="str">
        <x:v>QQQ</x:v>
      </x:c>
      <x:c r="D20" s="44" t="str">
        <x:v>QQQ US Equity</x:v>
      </x:c>
      <x:c r="E20" s="56" t="n">
        <x:v>44329.875</x:v>
      </x:c>
      <x:c r="F20" s="44" t="str">
        <x:v>First U.S. exchange session after an after-close release</x:v>
      </x:c>
      <x:c r="G20" s="44" t="str">
        <x:v>20 trading sessions</x:v>
      </x:c>
      <x:c r="H20" s="44" t="str">
        <x:v>Official close immediately before reaction session</x:v>
      </x:c>
      <x:c r="I20" s="44" t="str">
        <x:v>Official close after 20 exchange sessions</x:v>
      </x:c>
      <x:c r="J20" s="44" t="str">
        <x:v>TOT_RETURN_INDEX_GROSS_DVDS preferred; PX_LAST fallback</x:v>
      </x:c>
      <x:c r="K20" s="59" t="str"/>
      <x:c r="L20" s="59" t="str"/>
      <x:c r="M20" s="46" t="str"/>
      <x:c r="N20" s="46" t="str"/>
      <x:c r="O20" s="46" t="str"/>
      <x:c r="P20" s="46" t="str"/>
      <x:c r="Q20" s="46" t="str"/>
    </x:row>
    <x:row r="21">
      <x:c r="A21" s="11" t="str">
        <x:v>ABNB-2021Q1-INITIAL-QQQ-60D</x:v>
      </x:c>
      <x:c r="B21" s="11" t="str">
        <x:v>ABNB-2021Q1-INITIAL</x:v>
      </x:c>
      <x:c r="C21" s="11" t="str">
        <x:v>QQQ</x:v>
      </x:c>
      <x:c r="D21" s="44" t="str">
        <x:v>QQQ US Equity</x:v>
      </x:c>
      <x:c r="E21" s="56" t="n">
        <x:v>44329.875</x:v>
      </x:c>
      <x:c r="F21" s="44" t="str">
        <x:v>First U.S. exchange session after an after-close release</x:v>
      </x:c>
      <x:c r="G21" s="44" t="str">
        <x:v>60 trading sessions</x:v>
      </x:c>
      <x:c r="H21" s="44" t="str">
        <x:v>Official close immediately before reaction session</x:v>
      </x:c>
      <x:c r="I21" s="44" t="str">
        <x:v>Official close after 60 exchange sessions</x:v>
      </x:c>
      <x:c r="J21" s="44" t="str">
        <x:v>TOT_RETURN_INDEX_GROSS_DVDS preferred; PX_LAST fallback</x:v>
      </x:c>
      <x:c r="K21" s="59" t="str"/>
      <x:c r="L21" s="59" t="str"/>
      <x:c r="M21" s="46" t="str"/>
      <x:c r="N21" s="46" t="str"/>
      <x:c r="O21" s="46" t="str"/>
      <x:c r="P21" s="46" t="str"/>
      <x:c r="Q21" s="46" t="str"/>
    </x:row>
    <x:row r="22">
      <x:c r="A22" s="11" t="str">
        <x:v>ABNB-2021Q2-INITIAL-ABNB-1D</x:v>
      </x:c>
      <x:c r="B22" s="11" t="str">
        <x:v>ABNB-2021Q2-INITIAL</x:v>
      </x:c>
      <x:c r="C22" s="11" t="str">
        <x:v>ABNB</x:v>
      </x:c>
      <x:c r="D22" s="44" t="str">
        <x:v>ABNB US Equity</x:v>
      </x:c>
      <x:c r="E22" s="56" t="n">
        <x:v>44420.875</x:v>
      </x:c>
      <x:c r="F22" s="44" t="str">
        <x:v>First U.S. exchange session after an after-close release</x:v>
      </x:c>
      <x:c r="G22" s="44" t="str">
        <x:v>1 trading sessions</x:v>
      </x:c>
      <x:c r="H22" s="44" t="str">
        <x:v>Official close immediately before reaction session</x:v>
      </x:c>
      <x:c r="I22" s="44" t="str">
        <x:v>Official close after 1 exchange sessions</x:v>
      </x:c>
      <x:c r="J22" s="44" t="str">
        <x:v>TOT_RETURN_INDEX_GROSS_DVDS preferred; PX_LAST fallback</x:v>
      </x:c>
      <x:c r="K22" s="59" t="str"/>
      <x:c r="L22" s="59" t="str"/>
      <x:c r="M22" s="46" t="str"/>
      <x:c r="N22" s="46" t="str"/>
      <x:c r="O22" s="46" t="str"/>
      <x:c r="P22" s="46" t="str"/>
      <x:c r="Q22" s="46" t="str"/>
    </x:row>
    <x:row r="23">
      <x:c r="A23" s="11" t="str">
        <x:v>ABNB-2021Q2-INITIAL-ABNB-5D</x:v>
      </x:c>
      <x:c r="B23" s="11" t="str">
        <x:v>ABNB-2021Q2-INITIAL</x:v>
      </x:c>
      <x:c r="C23" s="11" t="str">
        <x:v>ABNB</x:v>
      </x:c>
      <x:c r="D23" s="44" t="str">
        <x:v>ABNB US Equity</x:v>
      </x:c>
      <x:c r="E23" s="56" t="n">
        <x:v>44420.875</x:v>
      </x:c>
      <x:c r="F23" s="44" t="str">
        <x:v>First U.S. exchange session after an after-close release</x:v>
      </x:c>
      <x:c r="G23" s="44" t="str">
        <x:v>5 trading sessions</x:v>
      </x:c>
      <x:c r="H23" s="44" t="str">
        <x:v>Official close immediately before reaction session</x:v>
      </x:c>
      <x:c r="I23" s="44" t="str">
        <x:v>Official close after 5 exchange sessions</x:v>
      </x:c>
      <x:c r="J23" s="44" t="str">
        <x:v>TOT_RETURN_INDEX_GROSS_DVDS preferred; PX_LAST fallback</x:v>
      </x:c>
      <x:c r="K23" s="59" t="str"/>
      <x:c r="L23" s="59" t="str"/>
      <x:c r="M23" s="46" t="str"/>
      <x:c r="N23" s="46" t="str"/>
      <x:c r="O23" s="46" t="str"/>
      <x:c r="P23" s="46" t="str"/>
      <x:c r="Q23" s="46" t="str"/>
    </x:row>
    <x:row r="24">
      <x:c r="A24" s="11" t="str">
        <x:v>ABNB-2021Q2-INITIAL-ABNB-20D</x:v>
      </x:c>
      <x:c r="B24" s="11" t="str">
        <x:v>ABNB-2021Q2-INITIAL</x:v>
      </x:c>
      <x:c r="C24" s="11" t="str">
        <x:v>ABNB</x:v>
      </x:c>
      <x:c r="D24" s="44" t="str">
        <x:v>ABNB US Equity</x:v>
      </x:c>
      <x:c r="E24" s="56" t="n">
        <x:v>44420.875</x:v>
      </x:c>
      <x:c r="F24" s="44" t="str">
        <x:v>First U.S. exchange session after an after-close release</x:v>
      </x:c>
      <x:c r="G24" s="44" t="str">
        <x:v>20 trading sessions</x:v>
      </x:c>
      <x:c r="H24" s="44" t="str">
        <x:v>Official close immediately before reaction session</x:v>
      </x:c>
      <x:c r="I24" s="44" t="str">
        <x:v>Official close after 20 exchange sessions</x:v>
      </x:c>
      <x:c r="J24" s="44" t="str">
        <x:v>TOT_RETURN_INDEX_GROSS_DVDS preferred; PX_LAST fallback</x:v>
      </x:c>
      <x:c r="K24" s="59" t="str"/>
      <x:c r="L24" s="59" t="str"/>
      <x:c r="M24" s="46" t="str"/>
      <x:c r="N24" s="46" t="str"/>
      <x:c r="O24" s="46" t="str"/>
      <x:c r="P24" s="46" t="str"/>
      <x:c r="Q24" s="46" t="str"/>
    </x:row>
    <x:row r="25">
      <x:c r="A25" s="11" t="str">
        <x:v>ABNB-2021Q2-INITIAL-ABNB-60D</x:v>
      </x:c>
      <x:c r="B25" s="11" t="str">
        <x:v>ABNB-2021Q2-INITIAL</x:v>
      </x:c>
      <x:c r="C25" s="11" t="str">
        <x:v>ABNB</x:v>
      </x:c>
      <x:c r="D25" s="44" t="str">
        <x:v>ABNB US Equity</x:v>
      </x:c>
      <x:c r="E25" s="56" t="n">
        <x:v>44420.875</x:v>
      </x:c>
      <x:c r="F25" s="44" t="str">
        <x:v>First U.S. exchange session after an after-close release</x:v>
      </x:c>
      <x:c r="G25" s="44" t="str">
        <x:v>60 trading sessions</x:v>
      </x:c>
      <x:c r="H25" s="44" t="str">
        <x:v>Official close immediately before reaction session</x:v>
      </x:c>
      <x:c r="I25" s="44" t="str">
        <x:v>Official close after 60 exchange sessions</x:v>
      </x:c>
      <x:c r="J25" s="44" t="str">
        <x:v>TOT_RETURN_INDEX_GROSS_DVDS preferred; PX_LAST fallback</x:v>
      </x:c>
      <x:c r="K25" s="59" t="str"/>
      <x:c r="L25" s="59" t="str"/>
      <x:c r="M25" s="46" t="str"/>
      <x:c r="N25" s="46" t="str"/>
      <x:c r="O25" s="46" t="str"/>
      <x:c r="P25" s="46" t="str"/>
      <x:c r="Q25" s="46" t="str"/>
    </x:row>
    <x:row r="26">
      <x:c r="A26" s="11" t="str">
        <x:v>ABNB-2021Q2-INITIAL-QQQ-1D</x:v>
      </x:c>
      <x:c r="B26" s="11" t="str">
        <x:v>ABNB-2021Q2-INITIAL</x:v>
      </x:c>
      <x:c r="C26" s="11" t="str">
        <x:v>QQQ</x:v>
      </x:c>
      <x:c r="D26" s="44" t="str">
        <x:v>QQQ US Equity</x:v>
      </x:c>
      <x:c r="E26" s="56" t="n">
        <x:v>44420.875</x:v>
      </x:c>
      <x:c r="F26" s="44" t="str">
        <x:v>First U.S. exchange session after an after-close release</x:v>
      </x:c>
      <x:c r="G26" s="44" t="str">
        <x:v>1 trading sessions</x:v>
      </x:c>
      <x:c r="H26" s="44" t="str">
        <x:v>Official close immediately before reaction session</x:v>
      </x:c>
      <x:c r="I26" s="44" t="str">
        <x:v>Official close after 1 exchange sessions</x:v>
      </x:c>
      <x:c r="J26" s="44" t="str">
        <x:v>TOT_RETURN_INDEX_GROSS_DVDS preferred; PX_LAST fallback</x:v>
      </x:c>
      <x:c r="K26" s="59" t="str"/>
      <x:c r="L26" s="59" t="str"/>
      <x:c r="M26" s="46" t="str"/>
      <x:c r="N26" s="46" t="str"/>
      <x:c r="O26" s="46" t="str"/>
      <x:c r="P26" s="46" t="str"/>
      <x:c r="Q26" s="46" t="str"/>
    </x:row>
    <x:row r="27">
      <x:c r="A27" s="11" t="str">
        <x:v>ABNB-2021Q2-INITIAL-QQQ-5D</x:v>
      </x:c>
      <x:c r="B27" s="11" t="str">
        <x:v>ABNB-2021Q2-INITIAL</x:v>
      </x:c>
      <x:c r="C27" s="11" t="str">
        <x:v>QQQ</x:v>
      </x:c>
      <x:c r="D27" s="44" t="str">
        <x:v>QQQ US Equity</x:v>
      </x:c>
      <x:c r="E27" s="56" t="n">
        <x:v>44420.875</x:v>
      </x:c>
      <x:c r="F27" s="44" t="str">
        <x:v>First U.S. exchange session after an after-close release</x:v>
      </x:c>
      <x:c r="G27" s="44" t="str">
        <x:v>5 trading sessions</x:v>
      </x:c>
      <x:c r="H27" s="44" t="str">
        <x:v>Official close immediately before reaction session</x:v>
      </x:c>
      <x:c r="I27" s="44" t="str">
        <x:v>Official close after 5 exchange sessions</x:v>
      </x:c>
      <x:c r="J27" s="44" t="str">
        <x:v>TOT_RETURN_INDEX_GROSS_DVDS preferred; PX_LAST fallback</x:v>
      </x:c>
      <x:c r="K27" s="59" t="str"/>
      <x:c r="L27" s="59" t="str"/>
      <x:c r="M27" s="46" t="str"/>
      <x:c r="N27" s="46" t="str"/>
      <x:c r="O27" s="46" t="str"/>
      <x:c r="P27" s="46" t="str"/>
      <x:c r="Q27" s="46" t="str"/>
    </x:row>
    <x:row r="28">
      <x:c r="A28" s="11" t="str">
        <x:v>ABNB-2021Q2-INITIAL-QQQ-20D</x:v>
      </x:c>
      <x:c r="B28" s="11" t="str">
        <x:v>ABNB-2021Q2-INITIAL</x:v>
      </x:c>
      <x:c r="C28" s="11" t="str">
        <x:v>QQQ</x:v>
      </x:c>
      <x:c r="D28" s="44" t="str">
        <x:v>QQQ US Equity</x:v>
      </x:c>
      <x:c r="E28" s="56" t="n">
        <x:v>44420.875</x:v>
      </x:c>
      <x:c r="F28" s="44" t="str">
        <x:v>First U.S. exchange session after an after-close release</x:v>
      </x:c>
      <x:c r="G28" s="44" t="str">
        <x:v>20 trading sessions</x:v>
      </x:c>
      <x:c r="H28" s="44" t="str">
        <x:v>Official close immediately before reaction session</x:v>
      </x:c>
      <x:c r="I28" s="44" t="str">
        <x:v>Official close after 20 exchange sessions</x:v>
      </x:c>
      <x:c r="J28" s="44" t="str">
        <x:v>TOT_RETURN_INDEX_GROSS_DVDS preferred; PX_LAST fallback</x:v>
      </x:c>
      <x:c r="K28" s="59" t="str"/>
      <x:c r="L28" s="59" t="str"/>
      <x:c r="M28" s="46" t="str"/>
      <x:c r="N28" s="46" t="str"/>
      <x:c r="O28" s="46" t="str"/>
      <x:c r="P28" s="46" t="str"/>
      <x:c r="Q28" s="46" t="str"/>
    </x:row>
    <x:row r="29">
      <x:c r="A29" s="11" t="str">
        <x:v>ABNB-2021Q2-INITIAL-QQQ-60D</x:v>
      </x:c>
      <x:c r="B29" s="11" t="str">
        <x:v>ABNB-2021Q2-INITIAL</x:v>
      </x:c>
      <x:c r="C29" s="11" t="str">
        <x:v>QQQ</x:v>
      </x:c>
      <x:c r="D29" s="44" t="str">
        <x:v>QQQ US Equity</x:v>
      </x:c>
      <x:c r="E29" s="56" t="n">
        <x:v>44420.875</x:v>
      </x:c>
      <x:c r="F29" s="44" t="str">
        <x:v>First U.S. exchange session after an after-close release</x:v>
      </x:c>
      <x:c r="G29" s="44" t="str">
        <x:v>60 trading sessions</x:v>
      </x:c>
      <x:c r="H29" s="44" t="str">
        <x:v>Official close immediately before reaction session</x:v>
      </x:c>
      <x:c r="I29" s="44" t="str">
        <x:v>Official close after 60 exchange sessions</x:v>
      </x:c>
      <x:c r="J29" s="44" t="str">
        <x:v>TOT_RETURN_INDEX_GROSS_DVDS preferred; PX_LAST fallback</x:v>
      </x:c>
      <x:c r="K29" s="59" t="str"/>
      <x:c r="L29" s="59" t="str"/>
      <x:c r="M29" s="46" t="str"/>
      <x:c r="N29" s="46" t="str"/>
      <x:c r="O29" s="46" t="str"/>
      <x:c r="P29" s="46" t="str"/>
      <x:c r="Q29" s="46" t="str"/>
    </x:row>
    <x:row r="30">
      <x:c r="A30" s="11" t="str">
        <x:v>ABNB-2021Q3-INITIAL-ABNB-1D</x:v>
      </x:c>
      <x:c r="B30" s="11" t="str">
        <x:v>ABNB-2021Q3-INITIAL</x:v>
      </x:c>
      <x:c r="C30" s="11" t="str">
        <x:v>ABNB</x:v>
      </x:c>
      <x:c r="D30" s="44" t="str">
        <x:v>ABNB US Equity</x:v>
      </x:c>
      <x:c r="E30" s="56" t="n">
        <x:v>44504.895833333336</x:v>
      </x:c>
      <x:c r="F30" s="44" t="str">
        <x:v>First U.S. exchange session after an after-close release</x:v>
      </x:c>
      <x:c r="G30" s="44" t="str">
        <x:v>1 trading sessions</x:v>
      </x:c>
      <x:c r="H30" s="44" t="str">
        <x:v>Official close immediately before reaction session</x:v>
      </x:c>
      <x:c r="I30" s="44" t="str">
        <x:v>Official close after 1 exchange sessions</x:v>
      </x:c>
      <x:c r="J30" s="44" t="str">
        <x:v>TOT_RETURN_INDEX_GROSS_DVDS preferred; PX_LAST fallback</x:v>
      </x:c>
      <x:c r="K30" s="59" t="str"/>
      <x:c r="L30" s="59" t="str"/>
      <x:c r="M30" s="46" t="str"/>
      <x:c r="N30" s="46" t="str"/>
      <x:c r="O30" s="46" t="str"/>
      <x:c r="P30" s="46" t="str"/>
      <x:c r="Q30" s="46" t="str"/>
    </x:row>
    <x:row r="31">
      <x:c r="A31" s="11" t="str">
        <x:v>ABNB-2021Q3-INITIAL-ABNB-5D</x:v>
      </x:c>
      <x:c r="B31" s="11" t="str">
        <x:v>ABNB-2021Q3-INITIAL</x:v>
      </x:c>
      <x:c r="C31" s="11" t="str">
        <x:v>ABNB</x:v>
      </x:c>
      <x:c r="D31" s="44" t="str">
        <x:v>ABNB US Equity</x:v>
      </x:c>
      <x:c r="E31" s="56" t="n">
        <x:v>44504.895833333336</x:v>
      </x:c>
      <x:c r="F31" s="44" t="str">
        <x:v>First U.S. exchange session after an after-close release</x:v>
      </x:c>
      <x:c r="G31" s="44" t="str">
        <x:v>5 trading sessions</x:v>
      </x:c>
      <x:c r="H31" s="44" t="str">
        <x:v>Official close immediately before reaction session</x:v>
      </x:c>
      <x:c r="I31" s="44" t="str">
        <x:v>Official close after 5 exchange sessions</x:v>
      </x:c>
      <x:c r="J31" s="44" t="str">
        <x:v>TOT_RETURN_INDEX_GROSS_DVDS preferred; PX_LAST fallback</x:v>
      </x:c>
      <x:c r="K31" s="59" t="str"/>
      <x:c r="L31" s="59" t="str"/>
      <x:c r="M31" s="46" t="str"/>
      <x:c r="N31" s="46" t="str"/>
      <x:c r="O31" s="46" t="str"/>
      <x:c r="P31" s="46" t="str"/>
      <x:c r="Q31" s="46" t="str"/>
    </x:row>
    <x:row r="32">
      <x:c r="A32" s="11" t="str">
        <x:v>ABNB-2021Q3-INITIAL-ABNB-20D</x:v>
      </x:c>
      <x:c r="B32" s="11" t="str">
        <x:v>ABNB-2021Q3-INITIAL</x:v>
      </x:c>
      <x:c r="C32" s="11" t="str">
        <x:v>ABNB</x:v>
      </x:c>
      <x:c r="D32" s="44" t="str">
        <x:v>ABNB US Equity</x:v>
      </x:c>
      <x:c r="E32" s="56" t="n">
        <x:v>44504.895833333336</x:v>
      </x:c>
      <x:c r="F32" s="44" t="str">
        <x:v>First U.S. exchange session after an after-close release</x:v>
      </x:c>
      <x:c r="G32" s="44" t="str">
        <x:v>20 trading sessions</x:v>
      </x:c>
      <x:c r="H32" s="44" t="str">
        <x:v>Official close immediately before reaction session</x:v>
      </x:c>
      <x:c r="I32" s="44" t="str">
        <x:v>Official close after 20 exchange sessions</x:v>
      </x:c>
      <x:c r="J32" s="44" t="str">
        <x:v>TOT_RETURN_INDEX_GROSS_DVDS preferred; PX_LAST fallback</x:v>
      </x:c>
      <x:c r="K32" s="59" t="str"/>
      <x:c r="L32" s="59" t="str"/>
      <x:c r="M32" s="46" t="str"/>
      <x:c r="N32" s="46" t="str"/>
      <x:c r="O32" s="46" t="str"/>
      <x:c r="P32" s="46" t="str"/>
      <x:c r="Q32" s="46" t="str"/>
    </x:row>
    <x:row r="33">
      <x:c r="A33" s="11" t="str">
        <x:v>ABNB-2021Q3-INITIAL-ABNB-60D</x:v>
      </x:c>
      <x:c r="B33" s="11" t="str">
        <x:v>ABNB-2021Q3-INITIAL</x:v>
      </x:c>
      <x:c r="C33" s="11" t="str">
        <x:v>ABNB</x:v>
      </x:c>
      <x:c r="D33" s="44" t="str">
        <x:v>ABNB US Equity</x:v>
      </x:c>
      <x:c r="E33" s="56" t="n">
        <x:v>44504.895833333336</x:v>
      </x:c>
      <x:c r="F33" s="44" t="str">
        <x:v>First U.S. exchange session after an after-close release</x:v>
      </x:c>
      <x:c r="G33" s="44" t="str">
        <x:v>60 trading sessions</x:v>
      </x:c>
      <x:c r="H33" s="44" t="str">
        <x:v>Official close immediately before reaction session</x:v>
      </x:c>
      <x:c r="I33" s="44" t="str">
        <x:v>Official close after 60 exchange sessions</x:v>
      </x:c>
      <x:c r="J33" s="44" t="str">
        <x:v>TOT_RETURN_INDEX_GROSS_DVDS preferred; PX_LAST fallback</x:v>
      </x:c>
      <x:c r="K33" s="59" t="str"/>
      <x:c r="L33" s="59" t="str"/>
      <x:c r="M33" s="46" t="str"/>
      <x:c r="N33" s="46" t="str"/>
      <x:c r="O33" s="46" t="str"/>
      <x:c r="P33" s="46" t="str"/>
      <x:c r="Q33" s="46" t="str"/>
    </x:row>
    <x:row r="34">
      <x:c r="A34" s="11" t="str">
        <x:v>ABNB-2021Q3-INITIAL-QQQ-1D</x:v>
      </x:c>
      <x:c r="B34" s="11" t="str">
        <x:v>ABNB-2021Q3-INITIAL</x:v>
      </x:c>
      <x:c r="C34" s="11" t="str">
        <x:v>QQQ</x:v>
      </x:c>
      <x:c r="D34" s="44" t="str">
        <x:v>QQQ US Equity</x:v>
      </x:c>
      <x:c r="E34" s="56" t="n">
        <x:v>44504.895833333336</x:v>
      </x:c>
      <x:c r="F34" s="44" t="str">
        <x:v>First U.S. exchange session after an after-close release</x:v>
      </x:c>
      <x:c r="G34" s="44" t="str">
        <x:v>1 trading sessions</x:v>
      </x:c>
      <x:c r="H34" s="44" t="str">
        <x:v>Official close immediately before reaction session</x:v>
      </x:c>
      <x:c r="I34" s="44" t="str">
        <x:v>Official close after 1 exchange sessions</x:v>
      </x:c>
      <x:c r="J34" s="44" t="str">
        <x:v>TOT_RETURN_INDEX_GROSS_DVDS preferred; PX_LAST fallback</x:v>
      </x:c>
      <x:c r="K34" s="59" t="str"/>
      <x:c r="L34" s="59" t="str"/>
      <x:c r="M34" s="46" t="str"/>
      <x:c r="N34" s="46" t="str"/>
      <x:c r="O34" s="46" t="str"/>
      <x:c r="P34" s="46" t="str"/>
      <x:c r="Q34" s="46" t="str"/>
    </x:row>
    <x:row r="35">
      <x:c r="A35" s="11" t="str">
        <x:v>ABNB-2021Q3-INITIAL-QQQ-5D</x:v>
      </x:c>
      <x:c r="B35" s="11" t="str">
        <x:v>ABNB-2021Q3-INITIAL</x:v>
      </x:c>
      <x:c r="C35" s="11" t="str">
        <x:v>QQQ</x:v>
      </x:c>
      <x:c r="D35" s="44" t="str">
        <x:v>QQQ US Equity</x:v>
      </x:c>
      <x:c r="E35" s="56" t="n">
        <x:v>44504.895833333336</x:v>
      </x:c>
      <x:c r="F35" s="44" t="str">
        <x:v>First U.S. exchange session after an after-close release</x:v>
      </x:c>
      <x:c r="G35" s="44" t="str">
        <x:v>5 trading sessions</x:v>
      </x:c>
      <x:c r="H35" s="44" t="str">
        <x:v>Official close immediately before reaction session</x:v>
      </x:c>
      <x:c r="I35" s="44" t="str">
        <x:v>Official close after 5 exchange sessions</x:v>
      </x:c>
      <x:c r="J35" s="44" t="str">
        <x:v>TOT_RETURN_INDEX_GROSS_DVDS preferred; PX_LAST fallback</x:v>
      </x:c>
      <x:c r="K35" s="59" t="str"/>
      <x:c r="L35" s="59" t="str"/>
      <x:c r="M35" s="46" t="str"/>
      <x:c r="N35" s="46" t="str"/>
      <x:c r="O35" s="46" t="str"/>
      <x:c r="P35" s="46" t="str"/>
      <x:c r="Q35" s="46" t="str"/>
    </x:row>
    <x:row r="36">
      <x:c r="A36" s="11" t="str">
        <x:v>ABNB-2021Q3-INITIAL-QQQ-20D</x:v>
      </x:c>
      <x:c r="B36" s="11" t="str">
        <x:v>ABNB-2021Q3-INITIAL</x:v>
      </x:c>
      <x:c r="C36" s="11" t="str">
        <x:v>QQQ</x:v>
      </x:c>
      <x:c r="D36" s="44" t="str">
        <x:v>QQQ US Equity</x:v>
      </x:c>
      <x:c r="E36" s="56" t="n">
        <x:v>44504.895833333336</x:v>
      </x:c>
      <x:c r="F36" s="44" t="str">
        <x:v>First U.S. exchange session after an after-close release</x:v>
      </x:c>
      <x:c r="G36" s="44" t="str">
        <x:v>20 trading sessions</x:v>
      </x:c>
      <x:c r="H36" s="44" t="str">
        <x:v>Official close immediately before reaction session</x:v>
      </x:c>
      <x:c r="I36" s="44" t="str">
        <x:v>Official close after 20 exchange sessions</x:v>
      </x:c>
      <x:c r="J36" s="44" t="str">
        <x:v>TOT_RETURN_INDEX_GROSS_DVDS preferred; PX_LAST fallback</x:v>
      </x:c>
      <x:c r="K36" s="59" t="str"/>
      <x:c r="L36" s="59" t="str"/>
      <x:c r="M36" s="46" t="str"/>
      <x:c r="N36" s="46" t="str"/>
      <x:c r="O36" s="46" t="str"/>
      <x:c r="P36" s="46" t="str"/>
      <x:c r="Q36" s="46" t="str"/>
    </x:row>
    <x:row r="37">
      <x:c r="A37" s="11" t="str">
        <x:v>ABNB-2021Q3-INITIAL-QQQ-60D</x:v>
      </x:c>
      <x:c r="B37" s="11" t="str">
        <x:v>ABNB-2021Q3-INITIAL</x:v>
      </x:c>
      <x:c r="C37" s="11" t="str">
        <x:v>QQQ</x:v>
      </x:c>
      <x:c r="D37" s="44" t="str">
        <x:v>QQQ US Equity</x:v>
      </x:c>
      <x:c r="E37" s="56" t="n">
        <x:v>44504.895833333336</x:v>
      </x:c>
      <x:c r="F37" s="44" t="str">
        <x:v>First U.S. exchange session after an after-close release</x:v>
      </x:c>
      <x:c r="G37" s="44" t="str">
        <x:v>60 trading sessions</x:v>
      </x:c>
      <x:c r="H37" s="44" t="str">
        <x:v>Official close immediately before reaction session</x:v>
      </x:c>
      <x:c r="I37" s="44" t="str">
        <x:v>Official close after 60 exchange sessions</x:v>
      </x:c>
      <x:c r="J37" s="44" t="str">
        <x:v>TOT_RETURN_INDEX_GROSS_DVDS preferred; PX_LAST fallback</x:v>
      </x:c>
      <x:c r="K37" s="59" t="str"/>
      <x:c r="L37" s="59" t="str"/>
      <x:c r="M37" s="46" t="str"/>
      <x:c r="N37" s="46" t="str"/>
      <x:c r="O37" s="46" t="str"/>
      <x:c r="P37" s="46" t="str"/>
      <x:c r="Q37" s="46" t="str"/>
    </x:row>
    <x:row r="38">
      <x:c r="A38" s="11" t="str">
        <x:v>ABNB-2021Q4-INITIAL-ABNB-1D</x:v>
      </x:c>
      <x:c r="B38" s="11" t="str">
        <x:v>ABNB-2021Q4-INITIAL</x:v>
      </x:c>
      <x:c r="C38" s="11" t="str">
        <x:v>ABNB</x:v>
      </x:c>
      <x:c r="D38" s="44" t="str">
        <x:v>ABNB US Equity</x:v>
      </x:c>
      <x:c r="E38" s="56" t="n">
        <x:v>44607.895833333336</x:v>
      </x:c>
      <x:c r="F38" s="44" t="str">
        <x:v>First U.S. exchange session after an after-close release</x:v>
      </x:c>
      <x:c r="G38" s="44" t="str">
        <x:v>1 trading sessions</x:v>
      </x:c>
      <x:c r="H38" s="44" t="str">
        <x:v>Official close immediately before reaction session</x:v>
      </x:c>
      <x:c r="I38" s="44" t="str">
        <x:v>Official close after 1 exchange sessions</x:v>
      </x:c>
      <x:c r="J38" s="44" t="str">
        <x:v>TOT_RETURN_INDEX_GROSS_DVDS preferred; PX_LAST fallback</x:v>
      </x:c>
      <x:c r="K38" s="59" t="str"/>
      <x:c r="L38" s="59" t="str"/>
      <x:c r="M38" s="46" t="str"/>
      <x:c r="N38" s="46" t="str"/>
      <x:c r="O38" s="46" t="str"/>
      <x:c r="P38" s="46" t="str"/>
      <x:c r="Q38" s="46" t="str"/>
    </x:row>
    <x:row r="39">
      <x:c r="A39" s="11" t="str">
        <x:v>ABNB-2021Q4-INITIAL-ABNB-5D</x:v>
      </x:c>
      <x:c r="B39" s="11" t="str">
        <x:v>ABNB-2021Q4-INITIAL</x:v>
      </x:c>
      <x:c r="C39" s="11" t="str">
        <x:v>ABNB</x:v>
      </x:c>
      <x:c r="D39" s="44" t="str">
        <x:v>ABNB US Equity</x:v>
      </x:c>
      <x:c r="E39" s="56" t="n">
        <x:v>44607.895833333336</x:v>
      </x:c>
      <x:c r="F39" s="44" t="str">
        <x:v>First U.S. exchange session after an after-close release</x:v>
      </x:c>
      <x:c r="G39" s="44" t="str">
        <x:v>5 trading sessions</x:v>
      </x:c>
      <x:c r="H39" s="44" t="str">
        <x:v>Official close immediately before reaction session</x:v>
      </x:c>
      <x:c r="I39" s="44" t="str">
        <x:v>Official close after 5 exchange sessions</x:v>
      </x:c>
      <x:c r="J39" s="44" t="str">
        <x:v>TOT_RETURN_INDEX_GROSS_DVDS preferred; PX_LAST fallback</x:v>
      </x:c>
      <x:c r="K39" s="59" t="str"/>
      <x:c r="L39" s="59" t="str"/>
      <x:c r="M39" s="46" t="str"/>
      <x:c r="N39" s="46" t="str"/>
      <x:c r="O39" s="46" t="str"/>
      <x:c r="P39" s="46" t="str"/>
      <x:c r="Q39" s="46" t="str"/>
    </x:row>
    <x:row r="40">
      <x:c r="A40" s="11" t="str">
        <x:v>ABNB-2021Q4-INITIAL-ABNB-20D</x:v>
      </x:c>
      <x:c r="B40" s="11" t="str">
        <x:v>ABNB-2021Q4-INITIAL</x:v>
      </x:c>
      <x:c r="C40" s="11" t="str">
        <x:v>ABNB</x:v>
      </x:c>
      <x:c r="D40" s="44" t="str">
        <x:v>ABNB US Equity</x:v>
      </x:c>
      <x:c r="E40" s="56" t="n">
        <x:v>44607.895833333336</x:v>
      </x:c>
      <x:c r="F40" s="44" t="str">
        <x:v>First U.S. exchange session after an after-close release</x:v>
      </x:c>
      <x:c r="G40" s="44" t="str">
        <x:v>20 trading sessions</x:v>
      </x:c>
      <x:c r="H40" s="44" t="str">
        <x:v>Official close immediately before reaction session</x:v>
      </x:c>
      <x:c r="I40" s="44" t="str">
        <x:v>Official close after 20 exchange sessions</x:v>
      </x:c>
      <x:c r="J40" s="44" t="str">
        <x:v>TOT_RETURN_INDEX_GROSS_DVDS preferred; PX_LAST fallback</x:v>
      </x:c>
      <x:c r="K40" s="59" t="str"/>
      <x:c r="L40" s="59" t="str"/>
      <x:c r="M40" s="46" t="str"/>
      <x:c r="N40" s="46" t="str"/>
      <x:c r="O40" s="46" t="str"/>
      <x:c r="P40" s="46" t="str"/>
      <x:c r="Q40" s="46" t="str"/>
    </x:row>
    <x:row r="41">
      <x:c r="A41" s="11" t="str">
        <x:v>ABNB-2021Q4-INITIAL-ABNB-60D</x:v>
      </x:c>
      <x:c r="B41" s="11" t="str">
        <x:v>ABNB-2021Q4-INITIAL</x:v>
      </x:c>
      <x:c r="C41" s="11" t="str">
        <x:v>ABNB</x:v>
      </x:c>
      <x:c r="D41" s="44" t="str">
        <x:v>ABNB US Equity</x:v>
      </x:c>
      <x:c r="E41" s="56" t="n">
        <x:v>44607.895833333336</x:v>
      </x:c>
      <x:c r="F41" s="44" t="str">
        <x:v>First U.S. exchange session after an after-close release</x:v>
      </x:c>
      <x:c r="G41" s="44" t="str">
        <x:v>60 trading sessions</x:v>
      </x:c>
      <x:c r="H41" s="44" t="str">
        <x:v>Official close immediately before reaction session</x:v>
      </x:c>
      <x:c r="I41" s="44" t="str">
        <x:v>Official close after 60 exchange sessions</x:v>
      </x:c>
      <x:c r="J41" s="44" t="str">
        <x:v>TOT_RETURN_INDEX_GROSS_DVDS preferred; PX_LAST fallback</x:v>
      </x:c>
      <x:c r="K41" s="59" t="str"/>
      <x:c r="L41" s="59" t="str"/>
      <x:c r="M41" s="46" t="str"/>
      <x:c r="N41" s="46" t="str"/>
      <x:c r="O41" s="46" t="str"/>
      <x:c r="P41" s="46" t="str"/>
      <x:c r="Q41" s="46" t="str"/>
    </x:row>
    <x:row r="42">
      <x:c r="A42" s="11" t="str">
        <x:v>ABNB-2021Q4-INITIAL-QQQ-1D</x:v>
      </x:c>
      <x:c r="B42" s="11" t="str">
        <x:v>ABNB-2021Q4-INITIAL</x:v>
      </x:c>
      <x:c r="C42" s="11" t="str">
        <x:v>QQQ</x:v>
      </x:c>
      <x:c r="D42" s="44" t="str">
        <x:v>QQQ US Equity</x:v>
      </x:c>
      <x:c r="E42" s="56" t="n">
        <x:v>44607.895833333336</x:v>
      </x:c>
      <x:c r="F42" s="44" t="str">
        <x:v>First U.S. exchange session after an after-close release</x:v>
      </x:c>
      <x:c r="G42" s="44" t="str">
        <x:v>1 trading sessions</x:v>
      </x:c>
      <x:c r="H42" s="44" t="str">
        <x:v>Official close immediately before reaction session</x:v>
      </x:c>
      <x:c r="I42" s="44" t="str">
        <x:v>Official close after 1 exchange sessions</x:v>
      </x:c>
      <x:c r="J42" s="44" t="str">
        <x:v>TOT_RETURN_INDEX_GROSS_DVDS preferred; PX_LAST fallback</x:v>
      </x:c>
      <x:c r="K42" s="59" t="str"/>
      <x:c r="L42" s="59" t="str"/>
      <x:c r="M42" s="46" t="str"/>
      <x:c r="N42" s="46" t="str"/>
      <x:c r="O42" s="46" t="str"/>
      <x:c r="P42" s="46" t="str"/>
      <x:c r="Q42" s="46" t="str"/>
    </x:row>
    <x:row r="43">
      <x:c r="A43" s="11" t="str">
        <x:v>ABNB-2021Q4-INITIAL-QQQ-5D</x:v>
      </x:c>
      <x:c r="B43" s="11" t="str">
        <x:v>ABNB-2021Q4-INITIAL</x:v>
      </x:c>
      <x:c r="C43" s="11" t="str">
        <x:v>QQQ</x:v>
      </x:c>
      <x:c r="D43" s="44" t="str">
        <x:v>QQQ US Equity</x:v>
      </x:c>
      <x:c r="E43" s="56" t="n">
        <x:v>44607.895833333336</x:v>
      </x:c>
      <x:c r="F43" s="44" t="str">
        <x:v>First U.S. exchange session after an after-close release</x:v>
      </x:c>
      <x:c r="G43" s="44" t="str">
        <x:v>5 trading sessions</x:v>
      </x:c>
      <x:c r="H43" s="44" t="str">
        <x:v>Official close immediately before reaction session</x:v>
      </x:c>
      <x:c r="I43" s="44" t="str">
        <x:v>Official close after 5 exchange sessions</x:v>
      </x:c>
      <x:c r="J43" s="44" t="str">
        <x:v>TOT_RETURN_INDEX_GROSS_DVDS preferred; PX_LAST fallback</x:v>
      </x:c>
      <x:c r="K43" s="59" t="str"/>
      <x:c r="L43" s="59" t="str"/>
      <x:c r="M43" s="46" t="str"/>
      <x:c r="N43" s="46" t="str"/>
      <x:c r="O43" s="46" t="str"/>
      <x:c r="P43" s="46" t="str"/>
      <x:c r="Q43" s="46" t="str"/>
    </x:row>
    <x:row r="44">
      <x:c r="A44" s="11" t="str">
        <x:v>ABNB-2021Q4-INITIAL-QQQ-20D</x:v>
      </x:c>
      <x:c r="B44" s="11" t="str">
        <x:v>ABNB-2021Q4-INITIAL</x:v>
      </x:c>
      <x:c r="C44" s="11" t="str">
        <x:v>QQQ</x:v>
      </x:c>
      <x:c r="D44" s="44" t="str">
        <x:v>QQQ US Equity</x:v>
      </x:c>
      <x:c r="E44" s="56" t="n">
        <x:v>44607.895833333336</x:v>
      </x:c>
      <x:c r="F44" s="44" t="str">
        <x:v>First U.S. exchange session after an after-close release</x:v>
      </x:c>
      <x:c r="G44" s="44" t="str">
        <x:v>20 trading sessions</x:v>
      </x:c>
      <x:c r="H44" s="44" t="str">
        <x:v>Official close immediately before reaction session</x:v>
      </x:c>
      <x:c r="I44" s="44" t="str">
        <x:v>Official close after 20 exchange sessions</x:v>
      </x:c>
      <x:c r="J44" s="44" t="str">
        <x:v>TOT_RETURN_INDEX_GROSS_DVDS preferred; PX_LAST fallback</x:v>
      </x:c>
      <x:c r="K44" s="59" t="str"/>
      <x:c r="L44" s="59" t="str"/>
      <x:c r="M44" s="46" t="str"/>
      <x:c r="N44" s="46" t="str"/>
      <x:c r="O44" s="46" t="str"/>
      <x:c r="P44" s="46" t="str"/>
      <x:c r="Q44" s="46" t="str"/>
    </x:row>
    <x:row r="45">
      <x:c r="A45" s="11" t="str">
        <x:v>ABNB-2021Q4-INITIAL-QQQ-60D</x:v>
      </x:c>
      <x:c r="B45" s="11" t="str">
        <x:v>ABNB-2021Q4-INITIAL</x:v>
      </x:c>
      <x:c r="C45" s="11" t="str">
        <x:v>QQQ</x:v>
      </x:c>
      <x:c r="D45" s="44" t="str">
        <x:v>QQQ US Equity</x:v>
      </x:c>
      <x:c r="E45" s="56" t="n">
        <x:v>44607.895833333336</x:v>
      </x:c>
      <x:c r="F45" s="44" t="str">
        <x:v>First U.S. exchange session after an after-close release</x:v>
      </x:c>
      <x:c r="G45" s="44" t="str">
        <x:v>60 trading sessions</x:v>
      </x:c>
      <x:c r="H45" s="44" t="str">
        <x:v>Official close immediately before reaction session</x:v>
      </x:c>
      <x:c r="I45" s="44" t="str">
        <x:v>Official close after 60 exchange sessions</x:v>
      </x:c>
      <x:c r="J45" s="44" t="str">
        <x:v>TOT_RETURN_INDEX_GROSS_DVDS preferred; PX_LAST fallback</x:v>
      </x:c>
      <x:c r="K45" s="59" t="str"/>
      <x:c r="L45" s="59" t="str"/>
      <x:c r="M45" s="46" t="str"/>
      <x:c r="N45" s="46" t="str"/>
      <x:c r="O45" s="46" t="str"/>
      <x:c r="P45" s="46" t="str"/>
      <x:c r="Q45" s="46" t="str"/>
    </x:row>
    <x:row r="46">
      <x:c r="A46" s="11" t="str">
        <x:v>ABNB-2022Q1-INITIAL-ABNB-1D</x:v>
      </x:c>
      <x:c r="B46" s="11" t="str">
        <x:v>ABNB-2022Q1-INITIAL</x:v>
      </x:c>
      <x:c r="C46" s="11" t="str">
        <x:v>ABNB</x:v>
      </x:c>
      <x:c r="D46" s="44" t="str">
        <x:v>ABNB US Equity</x:v>
      </x:c>
      <x:c r="E46" s="56" t="n">
        <x:v>44684.895833333336</x:v>
      </x:c>
      <x:c r="F46" s="44" t="str">
        <x:v>First U.S. exchange session after an after-close release</x:v>
      </x:c>
      <x:c r="G46" s="44" t="str">
        <x:v>1 trading sessions</x:v>
      </x:c>
      <x:c r="H46" s="44" t="str">
        <x:v>Official close immediately before reaction session</x:v>
      </x:c>
      <x:c r="I46" s="44" t="str">
        <x:v>Official close after 1 exchange sessions</x:v>
      </x:c>
      <x:c r="J46" s="44" t="str">
        <x:v>TOT_RETURN_INDEX_GROSS_DVDS preferred; PX_LAST fallback</x:v>
      </x:c>
      <x:c r="K46" s="59" t="str"/>
      <x:c r="L46" s="59" t="str"/>
      <x:c r="M46" s="46" t="str"/>
      <x:c r="N46" s="46" t="str"/>
      <x:c r="O46" s="46" t="str"/>
      <x:c r="P46" s="46" t="str"/>
      <x:c r="Q46" s="46" t="str"/>
    </x:row>
    <x:row r="47">
      <x:c r="A47" s="11" t="str">
        <x:v>ABNB-2022Q1-INITIAL-ABNB-5D</x:v>
      </x:c>
      <x:c r="B47" s="11" t="str">
        <x:v>ABNB-2022Q1-INITIAL</x:v>
      </x:c>
      <x:c r="C47" s="11" t="str">
        <x:v>ABNB</x:v>
      </x:c>
      <x:c r="D47" s="44" t="str">
        <x:v>ABNB US Equity</x:v>
      </x:c>
      <x:c r="E47" s="56" t="n">
        <x:v>44684.895833333336</x:v>
      </x:c>
      <x:c r="F47" s="44" t="str">
        <x:v>First U.S. exchange session after an after-close release</x:v>
      </x:c>
      <x:c r="G47" s="44" t="str">
        <x:v>5 trading sessions</x:v>
      </x:c>
      <x:c r="H47" s="44" t="str">
        <x:v>Official close immediately before reaction session</x:v>
      </x:c>
      <x:c r="I47" s="44" t="str">
        <x:v>Official close after 5 exchange sessions</x:v>
      </x:c>
      <x:c r="J47" s="44" t="str">
        <x:v>TOT_RETURN_INDEX_GROSS_DVDS preferred; PX_LAST fallback</x:v>
      </x:c>
      <x:c r="K47" s="59" t="str"/>
      <x:c r="L47" s="59" t="str"/>
      <x:c r="M47" s="46" t="str"/>
      <x:c r="N47" s="46" t="str"/>
      <x:c r="O47" s="46" t="str"/>
      <x:c r="P47" s="46" t="str"/>
      <x:c r="Q47" s="46" t="str"/>
    </x:row>
    <x:row r="48">
      <x:c r="A48" s="11" t="str">
        <x:v>ABNB-2022Q1-INITIAL-ABNB-20D</x:v>
      </x:c>
      <x:c r="B48" s="11" t="str">
        <x:v>ABNB-2022Q1-INITIAL</x:v>
      </x:c>
      <x:c r="C48" s="11" t="str">
        <x:v>ABNB</x:v>
      </x:c>
      <x:c r="D48" s="44" t="str">
        <x:v>ABNB US Equity</x:v>
      </x:c>
      <x:c r="E48" s="56" t="n">
        <x:v>44684.895833333336</x:v>
      </x:c>
      <x:c r="F48" s="44" t="str">
        <x:v>First U.S. exchange session after an after-close release</x:v>
      </x:c>
      <x:c r="G48" s="44" t="str">
        <x:v>20 trading sessions</x:v>
      </x:c>
      <x:c r="H48" s="44" t="str">
        <x:v>Official close immediately before reaction session</x:v>
      </x:c>
      <x:c r="I48" s="44" t="str">
        <x:v>Official close after 20 exchange sessions</x:v>
      </x:c>
      <x:c r="J48" s="44" t="str">
        <x:v>TOT_RETURN_INDEX_GROSS_DVDS preferred; PX_LAST fallback</x:v>
      </x:c>
      <x:c r="K48" s="59" t="str"/>
      <x:c r="L48" s="59" t="str"/>
      <x:c r="M48" s="46" t="str"/>
      <x:c r="N48" s="46" t="str"/>
      <x:c r="O48" s="46" t="str"/>
      <x:c r="P48" s="46" t="str"/>
      <x:c r="Q48" s="46" t="str"/>
    </x:row>
    <x:row r="49">
      <x:c r="A49" s="11" t="str">
        <x:v>ABNB-2022Q1-INITIAL-ABNB-60D</x:v>
      </x:c>
      <x:c r="B49" s="11" t="str">
        <x:v>ABNB-2022Q1-INITIAL</x:v>
      </x:c>
      <x:c r="C49" s="11" t="str">
        <x:v>ABNB</x:v>
      </x:c>
      <x:c r="D49" s="44" t="str">
        <x:v>ABNB US Equity</x:v>
      </x:c>
      <x:c r="E49" s="56" t="n">
        <x:v>44684.895833333336</x:v>
      </x:c>
      <x:c r="F49" s="44" t="str">
        <x:v>First U.S. exchange session after an after-close release</x:v>
      </x:c>
      <x:c r="G49" s="44" t="str">
        <x:v>60 trading sessions</x:v>
      </x:c>
      <x:c r="H49" s="44" t="str">
        <x:v>Official close immediately before reaction session</x:v>
      </x:c>
      <x:c r="I49" s="44" t="str">
        <x:v>Official close after 60 exchange sessions</x:v>
      </x:c>
      <x:c r="J49" s="44" t="str">
        <x:v>TOT_RETURN_INDEX_GROSS_DVDS preferred; PX_LAST fallback</x:v>
      </x:c>
      <x:c r="K49" s="59" t="str"/>
      <x:c r="L49" s="59" t="str"/>
      <x:c r="M49" s="46" t="str"/>
      <x:c r="N49" s="46" t="str"/>
      <x:c r="O49" s="46" t="str"/>
      <x:c r="P49" s="46" t="str"/>
      <x:c r="Q49" s="46" t="str"/>
    </x:row>
    <x:row r="50">
      <x:c r="A50" s="11" t="str">
        <x:v>ABNB-2022Q1-INITIAL-QQQ-1D</x:v>
      </x:c>
      <x:c r="B50" s="11" t="str">
        <x:v>ABNB-2022Q1-INITIAL</x:v>
      </x:c>
      <x:c r="C50" s="11" t="str">
        <x:v>QQQ</x:v>
      </x:c>
      <x:c r="D50" s="44" t="str">
        <x:v>QQQ US Equity</x:v>
      </x:c>
      <x:c r="E50" s="56" t="n">
        <x:v>44684.895833333336</x:v>
      </x:c>
      <x:c r="F50" s="44" t="str">
        <x:v>First U.S. exchange session after an after-close release</x:v>
      </x:c>
      <x:c r="G50" s="44" t="str">
        <x:v>1 trading sessions</x:v>
      </x:c>
      <x:c r="H50" s="44" t="str">
        <x:v>Official close immediately before reaction session</x:v>
      </x:c>
      <x:c r="I50" s="44" t="str">
        <x:v>Official close after 1 exchange sessions</x:v>
      </x:c>
      <x:c r="J50" s="44" t="str">
        <x:v>TOT_RETURN_INDEX_GROSS_DVDS preferred; PX_LAST fallback</x:v>
      </x:c>
      <x:c r="K50" s="59" t="str"/>
      <x:c r="L50" s="59" t="str"/>
      <x:c r="M50" s="46" t="str"/>
      <x:c r="N50" s="46" t="str"/>
      <x:c r="O50" s="46" t="str"/>
      <x:c r="P50" s="46" t="str"/>
      <x:c r="Q50" s="46" t="str"/>
    </x:row>
    <x:row r="51">
      <x:c r="A51" s="11" t="str">
        <x:v>ABNB-2022Q1-INITIAL-QQQ-5D</x:v>
      </x:c>
      <x:c r="B51" s="11" t="str">
        <x:v>ABNB-2022Q1-INITIAL</x:v>
      </x:c>
      <x:c r="C51" s="11" t="str">
        <x:v>QQQ</x:v>
      </x:c>
      <x:c r="D51" s="44" t="str">
        <x:v>QQQ US Equity</x:v>
      </x:c>
      <x:c r="E51" s="56" t="n">
        <x:v>44684.895833333336</x:v>
      </x:c>
      <x:c r="F51" s="44" t="str">
        <x:v>First U.S. exchange session after an after-close release</x:v>
      </x:c>
      <x:c r="G51" s="44" t="str">
        <x:v>5 trading sessions</x:v>
      </x:c>
      <x:c r="H51" s="44" t="str">
        <x:v>Official close immediately before reaction session</x:v>
      </x:c>
      <x:c r="I51" s="44" t="str">
        <x:v>Official close after 5 exchange sessions</x:v>
      </x:c>
      <x:c r="J51" s="44" t="str">
        <x:v>TOT_RETURN_INDEX_GROSS_DVDS preferred; PX_LAST fallback</x:v>
      </x:c>
      <x:c r="K51" s="59" t="str"/>
      <x:c r="L51" s="59" t="str"/>
      <x:c r="M51" s="46" t="str"/>
      <x:c r="N51" s="46" t="str"/>
      <x:c r="O51" s="46" t="str"/>
      <x:c r="P51" s="46" t="str"/>
      <x:c r="Q51" s="46" t="str"/>
    </x:row>
    <x:row r="52">
      <x:c r="A52" s="11" t="str">
        <x:v>ABNB-2022Q1-INITIAL-QQQ-20D</x:v>
      </x:c>
      <x:c r="B52" s="11" t="str">
        <x:v>ABNB-2022Q1-INITIAL</x:v>
      </x:c>
      <x:c r="C52" s="11" t="str">
        <x:v>QQQ</x:v>
      </x:c>
      <x:c r="D52" s="44" t="str">
        <x:v>QQQ US Equity</x:v>
      </x:c>
      <x:c r="E52" s="56" t="n">
        <x:v>44684.895833333336</x:v>
      </x:c>
      <x:c r="F52" s="44" t="str">
        <x:v>First U.S. exchange session after an after-close release</x:v>
      </x:c>
      <x:c r="G52" s="44" t="str">
        <x:v>20 trading sessions</x:v>
      </x:c>
      <x:c r="H52" s="44" t="str">
        <x:v>Official close immediately before reaction session</x:v>
      </x:c>
      <x:c r="I52" s="44" t="str">
        <x:v>Official close after 20 exchange sessions</x:v>
      </x:c>
      <x:c r="J52" s="44" t="str">
        <x:v>TOT_RETURN_INDEX_GROSS_DVDS preferred; PX_LAST fallback</x:v>
      </x:c>
      <x:c r="K52" s="59" t="str"/>
      <x:c r="L52" s="59" t="str"/>
      <x:c r="M52" s="46" t="str"/>
      <x:c r="N52" s="46" t="str"/>
      <x:c r="O52" s="46" t="str"/>
      <x:c r="P52" s="46" t="str"/>
      <x:c r="Q52" s="46" t="str"/>
    </x:row>
    <x:row r="53">
      <x:c r="A53" s="11" t="str">
        <x:v>ABNB-2022Q1-INITIAL-QQQ-60D</x:v>
      </x:c>
      <x:c r="B53" s="11" t="str">
        <x:v>ABNB-2022Q1-INITIAL</x:v>
      </x:c>
      <x:c r="C53" s="11" t="str">
        <x:v>QQQ</x:v>
      </x:c>
      <x:c r="D53" s="44" t="str">
        <x:v>QQQ US Equity</x:v>
      </x:c>
      <x:c r="E53" s="56" t="n">
        <x:v>44684.895833333336</x:v>
      </x:c>
      <x:c r="F53" s="44" t="str">
        <x:v>First U.S. exchange session after an after-close release</x:v>
      </x:c>
      <x:c r="G53" s="44" t="str">
        <x:v>60 trading sessions</x:v>
      </x:c>
      <x:c r="H53" s="44" t="str">
        <x:v>Official close immediately before reaction session</x:v>
      </x:c>
      <x:c r="I53" s="44" t="str">
        <x:v>Official close after 60 exchange sessions</x:v>
      </x:c>
      <x:c r="J53" s="44" t="str">
        <x:v>TOT_RETURN_INDEX_GROSS_DVDS preferred; PX_LAST fallback</x:v>
      </x:c>
      <x:c r="K53" s="59" t="str"/>
      <x:c r="L53" s="59" t="str"/>
      <x:c r="M53" s="46" t="str"/>
      <x:c r="N53" s="46" t="str"/>
      <x:c r="O53" s="46" t="str"/>
      <x:c r="P53" s="46" t="str"/>
      <x:c r="Q53" s="46" t="str"/>
    </x:row>
    <x:row r="54">
      <x:c r="A54" s="11" t="str">
        <x:v>ABNB-2022Q2-INITIAL-ABNB-1D</x:v>
      </x:c>
      <x:c r="B54" s="11" t="str">
        <x:v>ABNB-2022Q2-INITIAL</x:v>
      </x:c>
      <x:c r="C54" s="11" t="str">
        <x:v>ABNB</x:v>
      </x:c>
      <x:c r="D54" s="44" t="str">
        <x:v>ABNB US Equity</x:v>
      </x:c>
      <x:c r="E54" s="56" t="n">
        <x:v>44775.854166666664</x:v>
      </x:c>
      <x:c r="F54" s="44" t="str">
        <x:v>First U.S. exchange session after an after-close release</x:v>
      </x:c>
      <x:c r="G54" s="44" t="str">
        <x:v>1 trading sessions</x:v>
      </x:c>
      <x:c r="H54" s="44" t="str">
        <x:v>Official close immediately before reaction session</x:v>
      </x:c>
      <x:c r="I54" s="44" t="str">
        <x:v>Official close after 1 exchange sessions</x:v>
      </x:c>
      <x:c r="J54" s="44" t="str">
        <x:v>TOT_RETURN_INDEX_GROSS_DVDS preferred; PX_LAST fallback</x:v>
      </x:c>
      <x:c r="K54" s="59" t="str"/>
      <x:c r="L54" s="59" t="str"/>
      <x:c r="M54" s="46" t="str"/>
      <x:c r="N54" s="46" t="str"/>
      <x:c r="O54" s="46" t="str"/>
      <x:c r="P54" s="46" t="str"/>
      <x:c r="Q54" s="46" t="str"/>
    </x:row>
    <x:row r="55">
      <x:c r="A55" s="11" t="str">
        <x:v>ABNB-2022Q2-INITIAL-ABNB-5D</x:v>
      </x:c>
      <x:c r="B55" s="11" t="str">
        <x:v>ABNB-2022Q2-INITIAL</x:v>
      </x:c>
      <x:c r="C55" s="11" t="str">
        <x:v>ABNB</x:v>
      </x:c>
      <x:c r="D55" s="44" t="str">
        <x:v>ABNB US Equity</x:v>
      </x:c>
      <x:c r="E55" s="56" t="n">
        <x:v>44775.854166666664</x:v>
      </x:c>
      <x:c r="F55" s="44" t="str">
        <x:v>First U.S. exchange session after an after-close release</x:v>
      </x:c>
      <x:c r="G55" s="44" t="str">
        <x:v>5 trading sessions</x:v>
      </x:c>
      <x:c r="H55" s="44" t="str">
        <x:v>Official close immediately before reaction session</x:v>
      </x:c>
      <x:c r="I55" s="44" t="str">
        <x:v>Official close after 5 exchange sessions</x:v>
      </x:c>
      <x:c r="J55" s="44" t="str">
        <x:v>TOT_RETURN_INDEX_GROSS_DVDS preferred; PX_LAST fallback</x:v>
      </x:c>
      <x:c r="K55" s="59" t="str"/>
      <x:c r="L55" s="59" t="str"/>
      <x:c r="M55" s="46" t="str"/>
      <x:c r="N55" s="46" t="str"/>
      <x:c r="O55" s="46" t="str"/>
      <x:c r="P55" s="46" t="str"/>
      <x:c r="Q55" s="46" t="str"/>
    </x:row>
    <x:row r="56">
      <x:c r="A56" s="11" t="str">
        <x:v>ABNB-2022Q2-INITIAL-ABNB-20D</x:v>
      </x:c>
      <x:c r="B56" s="11" t="str">
        <x:v>ABNB-2022Q2-INITIAL</x:v>
      </x:c>
      <x:c r="C56" s="11" t="str">
        <x:v>ABNB</x:v>
      </x:c>
      <x:c r="D56" s="44" t="str">
        <x:v>ABNB US Equity</x:v>
      </x:c>
      <x:c r="E56" s="56" t="n">
        <x:v>44775.854166666664</x:v>
      </x:c>
      <x:c r="F56" s="44" t="str">
        <x:v>First U.S. exchange session after an after-close release</x:v>
      </x:c>
      <x:c r="G56" s="44" t="str">
        <x:v>20 trading sessions</x:v>
      </x:c>
      <x:c r="H56" s="44" t="str">
        <x:v>Official close immediately before reaction session</x:v>
      </x:c>
      <x:c r="I56" s="44" t="str">
        <x:v>Official close after 20 exchange sessions</x:v>
      </x:c>
      <x:c r="J56" s="44" t="str">
        <x:v>TOT_RETURN_INDEX_GROSS_DVDS preferred; PX_LAST fallback</x:v>
      </x:c>
      <x:c r="K56" s="59" t="str"/>
      <x:c r="L56" s="59" t="str"/>
      <x:c r="M56" s="46" t="str"/>
      <x:c r="N56" s="46" t="str"/>
      <x:c r="O56" s="46" t="str"/>
      <x:c r="P56" s="46" t="str"/>
      <x:c r="Q56" s="46" t="str"/>
    </x:row>
    <x:row r="57">
      <x:c r="A57" s="11" t="str">
        <x:v>ABNB-2022Q2-INITIAL-ABNB-60D</x:v>
      </x:c>
      <x:c r="B57" s="11" t="str">
        <x:v>ABNB-2022Q2-INITIAL</x:v>
      </x:c>
      <x:c r="C57" s="11" t="str">
        <x:v>ABNB</x:v>
      </x:c>
      <x:c r="D57" s="44" t="str">
        <x:v>ABNB US Equity</x:v>
      </x:c>
      <x:c r="E57" s="56" t="n">
        <x:v>44775.854166666664</x:v>
      </x:c>
      <x:c r="F57" s="44" t="str">
        <x:v>First U.S. exchange session after an after-close release</x:v>
      </x:c>
      <x:c r="G57" s="44" t="str">
        <x:v>60 trading sessions</x:v>
      </x:c>
      <x:c r="H57" s="44" t="str">
        <x:v>Official close immediately before reaction session</x:v>
      </x:c>
      <x:c r="I57" s="44" t="str">
        <x:v>Official close after 60 exchange sessions</x:v>
      </x:c>
      <x:c r="J57" s="44" t="str">
        <x:v>TOT_RETURN_INDEX_GROSS_DVDS preferred; PX_LAST fallback</x:v>
      </x:c>
      <x:c r="K57" s="59" t="str"/>
      <x:c r="L57" s="59" t="str"/>
      <x:c r="M57" s="46" t="str"/>
      <x:c r="N57" s="46" t="str"/>
      <x:c r="O57" s="46" t="str"/>
      <x:c r="P57" s="46" t="str"/>
      <x:c r="Q57" s="46" t="str"/>
    </x:row>
    <x:row r="58">
      <x:c r="A58" s="11" t="str">
        <x:v>ABNB-2022Q2-INITIAL-QQQ-1D</x:v>
      </x:c>
      <x:c r="B58" s="11" t="str">
        <x:v>ABNB-2022Q2-INITIAL</x:v>
      </x:c>
      <x:c r="C58" s="11" t="str">
        <x:v>QQQ</x:v>
      </x:c>
      <x:c r="D58" s="44" t="str">
        <x:v>QQQ US Equity</x:v>
      </x:c>
      <x:c r="E58" s="56" t="n">
        <x:v>44775.854166666664</x:v>
      </x:c>
      <x:c r="F58" s="44" t="str">
        <x:v>First U.S. exchange session after an after-close release</x:v>
      </x:c>
      <x:c r="G58" s="44" t="str">
        <x:v>1 trading sessions</x:v>
      </x:c>
      <x:c r="H58" s="44" t="str">
        <x:v>Official close immediately before reaction session</x:v>
      </x:c>
      <x:c r="I58" s="44" t="str">
        <x:v>Official close after 1 exchange sessions</x:v>
      </x:c>
      <x:c r="J58" s="44" t="str">
        <x:v>TOT_RETURN_INDEX_GROSS_DVDS preferred; PX_LAST fallback</x:v>
      </x:c>
      <x:c r="K58" s="59" t="str"/>
      <x:c r="L58" s="59" t="str"/>
      <x:c r="M58" s="46" t="str"/>
      <x:c r="N58" s="46" t="str"/>
      <x:c r="O58" s="46" t="str"/>
      <x:c r="P58" s="46" t="str"/>
      <x:c r="Q58" s="46" t="str"/>
    </x:row>
    <x:row r="59">
      <x:c r="A59" s="11" t="str">
        <x:v>ABNB-2022Q2-INITIAL-QQQ-5D</x:v>
      </x:c>
      <x:c r="B59" s="11" t="str">
        <x:v>ABNB-2022Q2-INITIAL</x:v>
      </x:c>
      <x:c r="C59" s="11" t="str">
        <x:v>QQQ</x:v>
      </x:c>
      <x:c r="D59" s="44" t="str">
        <x:v>QQQ US Equity</x:v>
      </x:c>
      <x:c r="E59" s="56" t="n">
        <x:v>44775.854166666664</x:v>
      </x:c>
      <x:c r="F59" s="44" t="str">
        <x:v>First U.S. exchange session after an after-close release</x:v>
      </x:c>
      <x:c r="G59" s="44" t="str">
        <x:v>5 trading sessions</x:v>
      </x:c>
      <x:c r="H59" s="44" t="str">
        <x:v>Official close immediately before reaction session</x:v>
      </x:c>
      <x:c r="I59" s="44" t="str">
        <x:v>Official close after 5 exchange sessions</x:v>
      </x:c>
      <x:c r="J59" s="44" t="str">
        <x:v>TOT_RETURN_INDEX_GROSS_DVDS preferred; PX_LAST fallback</x:v>
      </x:c>
      <x:c r="K59" s="59" t="str"/>
      <x:c r="L59" s="59" t="str"/>
      <x:c r="M59" s="46" t="str"/>
      <x:c r="N59" s="46" t="str"/>
      <x:c r="O59" s="46" t="str"/>
      <x:c r="P59" s="46" t="str"/>
      <x:c r="Q59" s="46" t="str"/>
    </x:row>
    <x:row r="60">
      <x:c r="A60" s="11" t="str">
        <x:v>ABNB-2022Q2-INITIAL-QQQ-20D</x:v>
      </x:c>
      <x:c r="B60" s="11" t="str">
        <x:v>ABNB-2022Q2-INITIAL</x:v>
      </x:c>
      <x:c r="C60" s="11" t="str">
        <x:v>QQQ</x:v>
      </x:c>
      <x:c r="D60" s="44" t="str">
        <x:v>QQQ US Equity</x:v>
      </x:c>
      <x:c r="E60" s="56" t="n">
        <x:v>44775.854166666664</x:v>
      </x:c>
      <x:c r="F60" s="44" t="str">
        <x:v>First U.S. exchange session after an after-close release</x:v>
      </x:c>
      <x:c r="G60" s="44" t="str">
        <x:v>20 trading sessions</x:v>
      </x:c>
      <x:c r="H60" s="44" t="str">
        <x:v>Official close immediately before reaction session</x:v>
      </x:c>
      <x:c r="I60" s="44" t="str">
        <x:v>Official close after 20 exchange sessions</x:v>
      </x:c>
      <x:c r="J60" s="44" t="str">
        <x:v>TOT_RETURN_INDEX_GROSS_DVDS preferred; PX_LAST fallback</x:v>
      </x:c>
      <x:c r="K60" s="59" t="str"/>
      <x:c r="L60" s="59" t="str"/>
      <x:c r="M60" s="46" t="str"/>
      <x:c r="N60" s="46" t="str"/>
      <x:c r="O60" s="46" t="str"/>
      <x:c r="P60" s="46" t="str"/>
      <x:c r="Q60" s="46" t="str"/>
    </x:row>
    <x:row r="61">
      <x:c r="A61" s="11" t="str">
        <x:v>ABNB-2022Q2-INITIAL-QQQ-60D</x:v>
      </x:c>
      <x:c r="B61" s="11" t="str">
        <x:v>ABNB-2022Q2-INITIAL</x:v>
      </x:c>
      <x:c r="C61" s="11" t="str">
        <x:v>QQQ</x:v>
      </x:c>
      <x:c r="D61" s="44" t="str">
        <x:v>QQQ US Equity</x:v>
      </x:c>
      <x:c r="E61" s="56" t="n">
        <x:v>44775.854166666664</x:v>
      </x:c>
      <x:c r="F61" s="44" t="str">
        <x:v>First U.S. exchange session after an after-close release</x:v>
      </x:c>
      <x:c r="G61" s="44" t="str">
        <x:v>60 trading sessions</x:v>
      </x:c>
      <x:c r="H61" s="44" t="str">
        <x:v>Official close immediately before reaction session</x:v>
      </x:c>
      <x:c r="I61" s="44" t="str">
        <x:v>Official close after 60 exchange sessions</x:v>
      </x:c>
      <x:c r="J61" s="44" t="str">
        <x:v>TOT_RETURN_INDEX_GROSS_DVDS preferred; PX_LAST fallback</x:v>
      </x:c>
      <x:c r="K61" s="59" t="str"/>
      <x:c r="L61" s="59" t="str"/>
      <x:c r="M61" s="46" t="str"/>
      <x:c r="N61" s="46" t="str"/>
      <x:c r="O61" s="46" t="str"/>
      <x:c r="P61" s="46" t="str"/>
      <x:c r="Q61" s="46" t="str"/>
    </x:row>
    <x:row r="62">
      <x:c r="A62" s="11" t="str">
        <x:v>ABNB-2022Q3-INITIAL-ABNB-1D</x:v>
      </x:c>
      <x:c r="B62" s="11" t="str">
        <x:v>ABNB-2022Q3-INITIAL</x:v>
      </x:c>
      <x:c r="C62" s="11" t="str">
        <x:v>ABNB</x:v>
      </x:c>
      <x:c r="D62" s="44" t="str">
        <x:v>ABNB US Equity</x:v>
      </x:c>
      <x:c r="E62" s="56" t="n">
        <x:v>44866.854166666664</x:v>
      </x:c>
      <x:c r="F62" s="44" t="str">
        <x:v>First U.S. exchange session after an after-close release</x:v>
      </x:c>
      <x:c r="G62" s="44" t="str">
        <x:v>1 trading sessions</x:v>
      </x:c>
      <x:c r="H62" s="44" t="str">
        <x:v>Official close immediately before reaction session</x:v>
      </x:c>
      <x:c r="I62" s="44" t="str">
        <x:v>Official close after 1 exchange sessions</x:v>
      </x:c>
      <x:c r="J62" s="44" t="str">
        <x:v>TOT_RETURN_INDEX_GROSS_DVDS preferred; PX_LAST fallback</x:v>
      </x:c>
      <x:c r="K62" s="59" t="str"/>
      <x:c r="L62" s="59" t="str"/>
      <x:c r="M62" s="46" t="str"/>
      <x:c r="N62" s="46" t="str"/>
      <x:c r="O62" s="46" t="str"/>
      <x:c r="P62" s="46" t="str"/>
      <x:c r="Q62" s="46" t="str"/>
    </x:row>
    <x:row r="63">
      <x:c r="A63" s="11" t="str">
        <x:v>ABNB-2022Q3-INITIAL-ABNB-5D</x:v>
      </x:c>
      <x:c r="B63" s="11" t="str">
        <x:v>ABNB-2022Q3-INITIAL</x:v>
      </x:c>
      <x:c r="C63" s="11" t="str">
        <x:v>ABNB</x:v>
      </x:c>
      <x:c r="D63" s="44" t="str">
        <x:v>ABNB US Equity</x:v>
      </x:c>
      <x:c r="E63" s="56" t="n">
        <x:v>44866.854166666664</x:v>
      </x:c>
      <x:c r="F63" s="44" t="str">
        <x:v>First U.S. exchange session after an after-close release</x:v>
      </x:c>
      <x:c r="G63" s="44" t="str">
        <x:v>5 trading sessions</x:v>
      </x:c>
      <x:c r="H63" s="44" t="str">
        <x:v>Official close immediately before reaction session</x:v>
      </x:c>
      <x:c r="I63" s="44" t="str">
        <x:v>Official close after 5 exchange sessions</x:v>
      </x:c>
      <x:c r="J63" s="44" t="str">
        <x:v>TOT_RETURN_INDEX_GROSS_DVDS preferred; PX_LAST fallback</x:v>
      </x:c>
      <x:c r="K63" s="59" t="str"/>
      <x:c r="L63" s="59" t="str"/>
      <x:c r="M63" s="46" t="str"/>
      <x:c r="N63" s="46" t="str"/>
      <x:c r="O63" s="46" t="str"/>
      <x:c r="P63" s="46" t="str"/>
      <x:c r="Q63" s="46" t="str"/>
    </x:row>
    <x:row r="64">
      <x:c r="A64" s="11" t="str">
        <x:v>ABNB-2022Q3-INITIAL-ABNB-20D</x:v>
      </x:c>
      <x:c r="B64" s="11" t="str">
        <x:v>ABNB-2022Q3-INITIAL</x:v>
      </x:c>
      <x:c r="C64" s="11" t="str">
        <x:v>ABNB</x:v>
      </x:c>
      <x:c r="D64" s="44" t="str">
        <x:v>ABNB US Equity</x:v>
      </x:c>
      <x:c r="E64" s="56" t="n">
        <x:v>44866.854166666664</x:v>
      </x:c>
      <x:c r="F64" s="44" t="str">
        <x:v>First U.S. exchange session after an after-close release</x:v>
      </x:c>
      <x:c r="G64" s="44" t="str">
        <x:v>20 trading sessions</x:v>
      </x:c>
      <x:c r="H64" s="44" t="str">
        <x:v>Official close immediately before reaction session</x:v>
      </x:c>
      <x:c r="I64" s="44" t="str">
        <x:v>Official close after 20 exchange sessions</x:v>
      </x:c>
      <x:c r="J64" s="44" t="str">
        <x:v>TOT_RETURN_INDEX_GROSS_DVDS preferred; PX_LAST fallback</x:v>
      </x:c>
      <x:c r="K64" s="59" t="str"/>
      <x:c r="L64" s="59" t="str"/>
      <x:c r="M64" s="46" t="str"/>
      <x:c r="N64" s="46" t="str"/>
      <x:c r="O64" s="46" t="str"/>
      <x:c r="P64" s="46" t="str"/>
      <x:c r="Q64" s="46" t="str"/>
    </x:row>
    <x:row r="65">
      <x:c r="A65" s="11" t="str">
        <x:v>ABNB-2022Q3-INITIAL-ABNB-60D</x:v>
      </x:c>
      <x:c r="B65" s="11" t="str">
        <x:v>ABNB-2022Q3-INITIAL</x:v>
      </x:c>
      <x:c r="C65" s="11" t="str">
        <x:v>ABNB</x:v>
      </x:c>
      <x:c r="D65" s="44" t="str">
        <x:v>ABNB US Equity</x:v>
      </x:c>
      <x:c r="E65" s="56" t="n">
        <x:v>44866.854166666664</x:v>
      </x:c>
      <x:c r="F65" s="44" t="str">
        <x:v>First U.S. exchange session after an after-close release</x:v>
      </x:c>
      <x:c r="G65" s="44" t="str">
        <x:v>60 trading sessions</x:v>
      </x:c>
      <x:c r="H65" s="44" t="str">
        <x:v>Official close immediately before reaction session</x:v>
      </x:c>
      <x:c r="I65" s="44" t="str">
        <x:v>Official close after 60 exchange sessions</x:v>
      </x:c>
      <x:c r="J65" s="44" t="str">
        <x:v>TOT_RETURN_INDEX_GROSS_DVDS preferred; PX_LAST fallback</x:v>
      </x:c>
      <x:c r="K65" s="59" t="str"/>
      <x:c r="L65" s="59" t="str"/>
      <x:c r="M65" s="46" t="str"/>
      <x:c r="N65" s="46" t="str"/>
      <x:c r="O65" s="46" t="str"/>
      <x:c r="P65" s="46" t="str"/>
      <x:c r="Q65" s="46" t="str"/>
    </x:row>
    <x:row r="66">
      <x:c r="A66" s="11" t="str">
        <x:v>ABNB-2022Q3-INITIAL-QQQ-1D</x:v>
      </x:c>
      <x:c r="B66" s="11" t="str">
        <x:v>ABNB-2022Q3-INITIAL</x:v>
      </x:c>
      <x:c r="C66" s="11" t="str">
        <x:v>QQQ</x:v>
      </x:c>
      <x:c r="D66" s="44" t="str">
        <x:v>QQQ US Equity</x:v>
      </x:c>
      <x:c r="E66" s="56" t="n">
        <x:v>44866.854166666664</x:v>
      </x:c>
      <x:c r="F66" s="44" t="str">
        <x:v>First U.S. exchange session after an after-close release</x:v>
      </x:c>
      <x:c r="G66" s="44" t="str">
        <x:v>1 trading sessions</x:v>
      </x:c>
      <x:c r="H66" s="44" t="str">
        <x:v>Official close immediately before reaction session</x:v>
      </x:c>
      <x:c r="I66" s="44" t="str">
        <x:v>Official close after 1 exchange sessions</x:v>
      </x:c>
      <x:c r="J66" s="44" t="str">
        <x:v>TOT_RETURN_INDEX_GROSS_DVDS preferred; PX_LAST fallback</x:v>
      </x:c>
      <x:c r="K66" s="59" t="str"/>
      <x:c r="L66" s="59" t="str"/>
      <x:c r="M66" s="46" t="str"/>
      <x:c r="N66" s="46" t="str"/>
      <x:c r="O66" s="46" t="str"/>
      <x:c r="P66" s="46" t="str"/>
      <x:c r="Q66" s="46" t="str"/>
    </x:row>
    <x:row r="67">
      <x:c r="A67" s="11" t="str">
        <x:v>ABNB-2022Q3-INITIAL-QQQ-5D</x:v>
      </x:c>
      <x:c r="B67" s="11" t="str">
        <x:v>ABNB-2022Q3-INITIAL</x:v>
      </x:c>
      <x:c r="C67" s="11" t="str">
        <x:v>QQQ</x:v>
      </x:c>
      <x:c r="D67" s="44" t="str">
        <x:v>QQQ US Equity</x:v>
      </x:c>
      <x:c r="E67" s="56" t="n">
        <x:v>44866.854166666664</x:v>
      </x:c>
      <x:c r="F67" s="44" t="str">
        <x:v>First U.S. exchange session after an after-close release</x:v>
      </x:c>
      <x:c r="G67" s="44" t="str">
        <x:v>5 trading sessions</x:v>
      </x:c>
      <x:c r="H67" s="44" t="str">
        <x:v>Official close immediately before reaction session</x:v>
      </x:c>
      <x:c r="I67" s="44" t="str">
        <x:v>Official close after 5 exchange sessions</x:v>
      </x:c>
      <x:c r="J67" s="44" t="str">
        <x:v>TOT_RETURN_INDEX_GROSS_DVDS preferred; PX_LAST fallback</x:v>
      </x:c>
      <x:c r="K67" s="59" t="str"/>
      <x:c r="L67" s="59" t="str"/>
      <x:c r="M67" s="46" t="str"/>
      <x:c r="N67" s="46" t="str"/>
      <x:c r="O67" s="46" t="str"/>
      <x:c r="P67" s="46" t="str"/>
      <x:c r="Q67" s="46" t="str"/>
    </x:row>
    <x:row r="68">
      <x:c r="A68" s="11" t="str">
        <x:v>ABNB-2022Q3-INITIAL-QQQ-20D</x:v>
      </x:c>
      <x:c r="B68" s="11" t="str">
        <x:v>ABNB-2022Q3-INITIAL</x:v>
      </x:c>
      <x:c r="C68" s="11" t="str">
        <x:v>QQQ</x:v>
      </x:c>
      <x:c r="D68" s="44" t="str">
        <x:v>QQQ US Equity</x:v>
      </x:c>
      <x:c r="E68" s="56" t="n">
        <x:v>44866.854166666664</x:v>
      </x:c>
      <x:c r="F68" s="44" t="str">
        <x:v>First U.S. exchange session after an after-close release</x:v>
      </x:c>
      <x:c r="G68" s="44" t="str">
        <x:v>20 trading sessions</x:v>
      </x:c>
      <x:c r="H68" s="44" t="str">
        <x:v>Official close immediately before reaction session</x:v>
      </x:c>
      <x:c r="I68" s="44" t="str">
        <x:v>Official close after 20 exchange sessions</x:v>
      </x:c>
      <x:c r="J68" s="44" t="str">
        <x:v>TOT_RETURN_INDEX_GROSS_DVDS preferred; PX_LAST fallback</x:v>
      </x:c>
      <x:c r="K68" s="59" t="str"/>
      <x:c r="L68" s="59" t="str"/>
      <x:c r="M68" s="46" t="str"/>
      <x:c r="N68" s="46" t="str"/>
      <x:c r="O68" s="46" t="str"/>
      <x:c r="P68" s="46" t="str"/>
      <x:c r="Q68" s="46" t="str"/>
    </x:row>
    <x:row r="69">
      <x:c r="A69" s="11" t="str">
        <x:v>ABNB-2022Q3-INITIAL-QQQ-60D</x:v>
      </x:c>
      <x:c r="B69" s="11" t="str">
        <x:v>ABNB-2022Q3-INITIAL</x:v>
      </x:c>
      <x:c r="C69" s="11" t="str">
        <x:v>QQQ</x:v>
      </x:c>
      <x:c r="D69" s="44" t="str">
        <x:v>QQQ US Equity</x:v>
      </x:c>
      <x:c r="E69" s="56" t="n">
        <x:v>44866.854166666664</x:v>
      </x:c>
      <x:c r="F69" s="44" t="str">
        <x:v>First U.S. exchange session after an after-close release</x:v>
      </x:c>
      <x:c r="G69" s="44" t="str">
        <x:v>60 trading sessions</x:v>
      </x:c>
      <x:c r="H69" s="44" t="str">
        <x:v>Official close immediately before reaction session</x:v>
      </x:c>
      <x:c r="I69" s="44" t="str">
        <x:v>Official close after 60 exchange sessions</x:v>
      </x:c>
      <x:c r="J69" s="44" t="str">
        <x:v>TOT_RETURN_INDEX_GROSS_DVDS preferred; PX_LAST fallback</x:v>
      </x:c>
      <x:c r="K69" s="59" t="str"/>
      <x:c r="L69" s="59" t="str"/>
      <x:c r="M69" s="46" t="str"/>
      <x:c r="N69" s="46" t="str"/>
      <x:c r="O69" s="46" t="str"/>
      <x:c r="P69" s="46" t="str"/>
      <x:c r="Q69" s="46" t="str"/>
    </x:row>
    <x:row r="70">
      <x:c r="A70" s="11" t="str">
        <x:v>ABNB-2022Q4-INITIAL-ABNB-1D</x:v>
      </x:c>
      <x:c r="B70" s="11" t="str">
        <x:v>ABNB-2022Q4-INITIAL</x:v>
      </x:c>
      <x:c r="C70" s="11" t="str">
        <x:v>ABNB</x:v>
      </x:c>
      <x:c r="D70" s="44" t="str">
        <x:v>ABNB US Equity</x:v>
      </x:c>
      <x:c r="E70" s="56" t="n">
        <x:v>44971.895833333336</x:v>
      </x:c>
      <x:c r="F70" s="44" t="str">
        <x:v>First U.S. exchange session after an after-close release</x:v>
      </x:c>
      <x:c r="G70" s="44" t="str">
        <x:v>1 trading sessions</x:v>
      </x:c>
      <x:c r="H70" s="44" t="str">
        <x:v>Official close immediately before reaction session</x:v>
      </x:c>
      <x:c r="I70" s="44" t="str">
        <x:v>Official close after 1 exchange sessions</x:v>
      </x:c>
      <x:c r="J70" s="44" t="str">
        <x:v>TOT_RETURN_INDEX_GROSS_DVDS preferred; PX_LAST fallback</x:v>
      </x:c>
      <x:c r="K70" s="59" t="str"/>
      <x:c r="L70" s="59" t="str"/>
      <x:c r="M70" s="46" t="str"/>
      <x:c r="N70" s="46" t="str"/>
      <x:c r="O70" s="46" t="str"/>
      <x:c r="P70" s="46" t="str"/>
      <x:c r="Q70" s="46" t="str"/>
    </x:row>
    <x:row r="71">
      <x:c r="A71" s="11" t="str">
        <x:v>ABNB-2022Q4-INITIAL-ABNB-5D</x:v>
      </x:c>
      <x:c r="B71" s="11" t="str">
        <x:v>ABNB-2022Q4-INITIAL</x:v>
      </x:c>
      <x:c r="C71" s="11" t="str">
        <x:v>ABNB</x:v>
      </x:c>
      <x:c r="D71" s="44" t="str">
        <x:v>ABNB US Equity</x:v>
      </x:c>
      <x:c r="E71" s="56" t="n">
        <x:v>44971.895833333336</x:v>
      </x:c>
      <x:c r="F71" s="44" t="str">
        <x:v>First U.S. exchange session after an after-close release</x:v>
      </x:c>
      <x:c r="G71" s="44" t="str">
        <x:v>5 trading sessions</x:v>
      </x:c>
      <x:c r="H71" s="44" t="str">
        <x:v>Official close immediately before reaction session</x:v>
      </x:c>
      <x:c r="I71" s="44" t="str">
        <x:v>Official close after 5 exchange sessions</x:v>
      </x:c>
      <x:c r="J71" s="44" t="str">
        <x:v>TOT_RETURN_INDEX_GROSS_DVDS preferred; PX_LAST fallback</x:v>
      </x:c>
      <x:c r="K71" s="59" t="str"/>
      <x:c r="L71" s="59" t="str"/>
      <x:c r="M71" s="46" t="str"/>
      <x:c r="N71" s="46" t="str"/>
      <x:c r="O71" s="46" t="str"/>
      <x:c r="P71" s="46" t="str"/>
      <x:c r="Q71" s="46" t="str"/>
    </x:row>
    <x:row r="72">
      <x:c r="A72" s="11" t="str">
        <x:v>ABNB-2022Q4-INITIAL-ABNB-20D</x:v>
      </x:c>
      <x:c r="B72" s="11" t="str">
        <x:v>ABNB-2022Q4-INITIAL</x:v>
      </x:c>
      <x:c r="C72" s="11" t="str">
        <x:v>ABNB</x:v>
      </x:c>
      <x:c r="D72" s="44" t="str">
        <x:v>ABNB US Equity</x:v>
      </x:c>
      <x:c r="E72" s="56" t="n">
        <x:v>44971.895833333336</x:v>
      </x:c>
      <x:c r="F72" s="44" t="str">
        <x:v>First U.S. exchange session after an after-close release</x:v>
      </x:c>
      <x:c r="G72" s="44" t="str">
        <x:v>20 trading sessions</x:v>
      </x:c>
      <x:c r="H72" s="44" t="str">
        <x:v>Official close immediately before reaction session</x:v>
      </x:c>
      <x:c r="I72" s="44" t="str">
        <x:v>Official close after 20 exchange sessions</x:v>
      </x:c>
      <x:c r="J72" s="44" t="str">
        <x:v>TOT_RETURN_INDEX_GROSS_DVDS preferred; PX_LAST fallback</x:v>
      </x:c>
      <x:c r="K72" s="59" t="str"/>
      <x:c r="L72" s="59" t="str"/>
      <x:c r="M72" s="46" t="str"/>
      <x:c r="N72" s="46" t="str"/>
      <x:c r="O72" s="46" t="str"/>
      <x:c r="P72" s="46" t="str"/>
      <x:c r="Q72" s="46" t="str"/>
    </x:row>
    <x:row r="73">
      <x:c r="A73" s="11" t="str">
        <x:v>ABNB-2022Q4-INITIAL-ABNB-60D</x:v>
      </x:c>
      <x:c r="B73" s="11" t="str">
        <x:v>ABNB-2022Q4-INITIAL</x:v>
      </x:c>
      <x:c r="C73" s="11" t="str">
        <x:v>ABNB</x:v>
      </x:c>
      <x:c r="D73" s="44" t="str">
        <x:v>ABNB US Equity</x:v>
      </x:c>
      <x:c r="E73" s="56" t="n">
        <x:v>44971.895833333336</x:v>
      </x:c>
      <x:c r="F73" s="44" t="str">
        <x:v>First U.S. exchange session after an after-close release</x:v>
      </x:c>
      <x:c r="G73" s="44" t="str">
        <x:v>60 trading sessions</x:v>
      </x:c>
      <x:c r="H73" s="44" t="str">
        <x:v>Official close immediately before reaction session</x:v>
      </x:c>
      <x:c r="I73" s="44" t="str">
        <x:v>Official close after 60 exchange sessions</x:v>
      </x:c>
      <x:c r="J73" s="44" t="str">
        <x:v>TOT_RETURN_INDEX_GROSS_DVDS preferred; PX_LAST fallback</x:v>
      </x:c>
      <x:c r="K73" s="59" t="str"/>
      <x:c r="L73" s="59" t="str"/>
      <x:c r="M73" s="46" t="str"/>
      <x:c r="N73" s="46" t="str"/>
      <x:c r="O73" s="46" t="str"/>
      <x:c r="P73" s="46" t="str"/>
      <x:c r="Q73" s="46" t="str"/>
    </x:row>
    <x:row r="74">
      <x:c r="A74" s="11" t="str">
        <x:v>ABNB-2022Q4-INITIAL-QQQ-1D</x:v>
      </x:c>
      <x:c r="B74" s="11" t="str">
        <x:v>ABNB-2022Q4-INITIAL</x:v>
      </x:c>
      <x:c r="C74" s="11" t="str">
        <x:v>QQQ</x:v>
      </x:c>
      <x:c r="D74" s="44" t="str">
        <x:v>QQQ US Equity</x:v>
      </x:c>
      <x:c r="E74" s="56" t="n">
        <x:v>44971.895833333336</x:v>
      </x:c>
      <x:c r="F74" s="44" t="str">
        <x:v>First U.S. exchange session after an after-close release</x:v>
      </x:c>
      <x:c r="G74" s="44" t="str">
        <x:v>1 trading sessions</x:v>
      </x:c>
      <x:c r="H74" s="44" t="str">
        <x:v>Official close immediately before reaction session</x:v>
      </x:c>
      <x:c r="I74" s="44" t="str">
        <x:v>Official close after 1 exchange sessions</x:v>
      </x:c>
      <x:c r="J74" s="44" t="str">
        <x:v>TOT_RETURN_INDEX_GROSS_DVDS preferred; PX_LAST fallback</x:v>
      </x:c>
      <x:c r="K74" s="59" t="str"/>
      <x:c r="L74" s="59" t="str"/>
      <x:c r="M74" s="46" t="str"/>
      <x:c r="N74" s="46" t="str"/>
      <x:c r="O74" s="46" t="str"/>
      <x:c r="P74" s="46" t="str"/>
      <x:c r="Q74" s="46" t="str"/>
    </x:row>
    <x:row r="75">
      <x:c r="A75" s="11" t="str">
        <x:v>ABNB-2022Q4-INITIAL-QQQ-5D</x:v>
      </x:c>
      <x:c r="B75" s="11" t="str">
        <x:v>ABNB-2022Q4-INITIAL</x:v>
      </x:c>
      <x:c r="C75" s="11" t="str">
        <x:v>QQQ</x:v>
      </x:c>
      <x:c r="D75" s="44" t="str">
        <x:v>QQQ US Equity</x:v>
      </x:c>
      <x:c r="E75" s="56" t="n">
        <x:v>44971.895833333336</x:v>
      </x:c>
      <x:c r="F75" s="44" t="str">
        <x:v>First U.S. exchange session after an after-close release</x:v>
      </x:c>
      <x:c r="G75" s="44" t="str">
        <x:v>5 trading sessions</x:v>
      </x:c>
      <x:c r="H75" s="44" t="str">
        <x:v>Official close immediately before reaction session</x:v>
      </x:c>
      <x:c r="I75" s="44" t="str">
        <x:v>Official close after 5 exchange sessions</x:v>
      </x:c>
      <x:c r="J75" s="44" t="str">
        <x:v>TOT_RETURN_INDEX_GROSS_DVDS preferred; PX_LAST fallback</x:v>
      </x:c>
      <x:c r="K75" s="59" t="str"/>
      <x:c r="L75" s="59" t="str"/>
      <x:c r="M75" s="46" t="str"/>
      <x:c r="N75" s="46" t="str"/>
      <x:c r="O75" s="46" t="str"/>
      <x:c r="P75" s="46" t="str"/>
      <x:c r="Q75" s="46" t="str"/>
    </x:row>
    <x:row r="76">
      <x:c r="A76" s="11" t="str">
        <x:v>ABNB-2022Q4-INITIAL-QQQ-20D</x:v>
      </x:c>
      <x:c r="B76" s="11" t="str">
        <x:v>ABNB-2022Q4-INITIAL</x:v>
      </x:c>
      <x:c r="C76" s="11" t="str">
        <x:v>QQQ</x:v>
      </x:c>
      <x:c r="D76" s="44" t="str">
        <x:v>QQQ US Equity</x:v>
      </x:c>
      <x:c r="E76" s="56" t="n">
        <x:v>44971.895833333336</x:v>
      </x:c>
      <x:c r="F76" s="44" t="str">
        <x:v>First U.S. exchange session after an after-close release</x:v>
      </x:c>
      <x:c r="G76" s="44" t="str">
        <x:v>20 trading sessions</x:v>
      </x:c>
      <x:c r="H76" s="44" t="str">
        <x:v>Official close immediately before reaction session</x:v>
      </x:c>
      <x:c r="I76" s="44" t="str">
        <x:v>Official close after 20 exchange sessions</x:v>
      </x:c>
      <x:c r="J76" s="44" t="str">
        <x:v>TOT_RETURN_INDEX_GROSS_DVDS preferred; PX_LAST fallback</x:v>
      </x:c>
      <x:c r="K76" s="59" t="str"/>
      <x:c r="L76" s="59" t="str"/>
      <x:c r="M76" s="46" t="str"/>
      <x:c r="N76" s="46" t="str"/>
      <x:c r="O76" s="46" t="str"/>
      <x:c r="P76" s="46" t="str"/>
      <x:c r="Q76" s="46" t="str"/>
    </x:row>
    <x:row r="77">
      <x:c r="A77" s="11" t="str">
        <x:v>ABNB-2022Q4-INITIAL-QQQ-60D</x:v>
      </x:c>
      <x:c r="B77" s="11" t="str">
        <x:v>ABNB-2022Q4-INITIAL</x:v>
      </x:c>
      <x:c r="C77" s="11" t="str">
        <x:v>QQQ</x:v>
      </x:c>
      <x:c r="D77" s="44" t="str">
        <x:v>QQQ US Equity</x:v>
      </x:c>
      <x:c r="E77" s="56" t="n">
        <x:v>44971.895833333336</x:v>
      </x:c>
      <x:c r="F77" s="44" t="str">
        <x:v>First U.S. exchange session after an after-close release</x:v>
      </x:c>
      <x:c r="G77" s="44" t="str">
        <x:v>60 trading sessions</x:v>
      </x:c>
      <x:c r="H77" s="44" t="str">
        <x:v>Official close immediately before reaction session</x:v>
      </x:c>
      <x:c r="I77" s="44" t="str">
        <x:v>Official close after 60 exchange sessions</x:v>
      </x:c>
      <x:c r="J77" s="44" t="str">
        <x:v>TOT_RETURN_INDEX_GROSS_DVDS preferred; PX_LAST fallback</x:v>
      </x:c>
      <x:c r="K77" s="59" t="str"/>
      <x:c r="L77" s="59" t="str"/>
      <x:c r="M77" s="46" t="str"/>
      <x:c r="N77" s="46" t="str"/>
      <x:c r="O77" s="46" t="str"/>
      <x:c r="P77" s="46" t="str"/>
      <x:c r="Q77" s="46" t="str"/>
    </x:row>
    <x:row r="78">
      <x:c r="A78" s="11" t="str">
        <x:v>ABNB-2023Q1-INITIAL-ABNB-1D</x:v>
      </x:c>
      <x:c r="B78" s="11" t="str">
        <x:v>ABNB-2023Q1-INITIAL</x:v>
      </x:c>
      <x:c r="C78" s="11" t="str">
        <x:v>ABNB</x:v>
      </x:c>
      <x:c r="D78" s="44" t="str">
        <x:v>ABNB US Equity</x:v>
      </x:c>
      <x:c r="E78" s="56" t="n">
        <x:v>45055.854166666664</x:v>
      </x:c>
      <x:c r="F78" s="44" t="str">
        <x:v>First U.S. exchange session after an after-close release</x:v>
      </x:c>
      <x:c r="G78" s="44" t="str">
        <x:v>1 trading sessions</x:v>
      </x:c>
      <x:c r="H78" s="44" t="str">
        <x:v>Official close immediately before reaction session</x:v>
      </x:c>
      <x:c r="I78" s="44" t="str">
        <x:v>Official close after 1 exchange sessions</x:v>
      </x:c>
      <x:c r="J78" s="44" t="str">
        <x:v>TOT_RETURN_INDEX_GROSS_DVDS preferred; PX_LAST fallback</x:v>
      </x:c>
      <x:c r="K78" s="59" t="str"/>
      <x:c r="L78" s="59" t="str"/>
      <x:c r="M78" s="46" t="str"/>
      <x:c r="N78" s="46" t="str"/>
      <x:c r="O78" s="46" t="str"/>
      <x:c r="P78" s="46" t="str"/>
      <x:c r="Q78" s="46" t="str"/>
    </x:row>
    <x:row r="79">
      <x:c r="A79" s="11" t="str">
        <x:v>ABNB-2023Q1-INITIAL-ABNB-5D</x:v>
      </x:c>
      <x:c r="B79" s="11" t="str">
        <x:v>ABNB-2023Q1-INITIAL</x:v>
      </x:c>
      <x:c r="C79" s="11" t="str">
        <x:v>ABNB</x:v>
      </x:c>
      <x:c r="D79" s="44" t="str">
        <x:v>ABNB US Equity</x:v>
      </x:c>
      <x:c r="E79" s="56" t="n">
        <x:v>45055.854166666664</x:v>
      </x:c>
      <x:c r="F79" s="44" t="str">
        <x:v>First U.S. exchange session after an after-close release</x:v>
      </x:c>
      <x:c r="G79" s="44" t="str">
        <x:v>5 trading sessions</x:v>
      </x:c>
      <x:c r="H79" s="44" t="str">
        <x:v>Official close immediately before reaction session</x:v>
      </x:c>
      <x:c r="I79" s="44" t="str">
        <x:v>Official close after 5 exchange sessions</x:v>
      </x:c>
      <x:c r="J79" s="44" t="str">
        <x:v>TOT_RETURN_INDEX_GROSS_DVDS preferred; PX_LAST fallback</x:v>
      </x:c>
      <x:c r="K79" s="59" t="str"/>
      <x:c r="L79" s="59" t="str"/>
      <x:c r="M79" s="46" t="str"/>
      <x:c r="N79" s="46" t="str"/>
      <x:c r="O79" s="46" t="str"/>
      <x:c r="P79" s="46" t="str"/>
      <x:c r="Q79" s="46" t="str"/>
    </x:row>
    <x:row r="80">
      <x:c r="A80" s="11" t="str">
        <x:v>ABNB-2023Q1-INITIAL-ABNB-20D</x:v>
      </x:c>
      <x:c r="B80" s="11" t="str">
        <x:v>ABNB-2023Q1-INITIAL</x:v>
      </x:c>
      <x:c r="C80" s="11" t="str">
        <x:v>ABNB</x:v>
      </x:c>
      <x:c r="D80" s="44" t="str">
        <x:v>ABNB US Equity</x:v>
      </x:c>
      <x:c r="E80" s="56" t="n">
        <x:v>45055.854166666664</x:v>
      </x:c>
      <x:c r="F80" s="44" t="str">
        <x:v>First U.S. exchange session after an after-close release</x:v>
      </x:c>
      <x:c r="G80" s="44" t="str">
        <x:v>20 trading sessions</x:v>
      </x:c>
      <x:c r="H80" s="44" t="str">
        <x:v>Official close immediately before reaction session</x:v>
      </x:c>
      <x:c r="I80" s="44" t="str">
        <x:v>Official close after 20 exchange sessions</x:v>
      </x:c>
      <x:c r="J80" s="44" t="str">
        <x:v>TOT_RETURN_INDEX_GROSS_DVDS preferred; PX_LAST fallback</x:v>
      </x:c>
      <x:c r="K80" s="59" t="str"/>
      <x:c r="L80" s="59" t="str"/>
      <x:c r="M80" s="46" t="str"/>
      <x:c r="N80" s="46" t="str"/>
      <x:c r="O80" s="46" t="str"/>
      <x:c r="P80" s="46" t="str"/>
      <x:c r="Q80" s="46" t="str"/>
    </x:row>
    <x:row r="81">
      <x:c r="A81" s="11" t="str">
        <x:v>ABNB-2023Q1-INITIAL-ABNB-60D</x:v>
      </x:c>
      <x:c r="B81" s="11" t="str">
        <x:v>ABNB-2023Q1-INITIAL</x:v>
      </x:c>
      <x:c r="C81" s="11" t="str">
        <x:v>ABNB</x:v>
      </x:c>
      <x:c r="D81" s="44" t="str">
        <x:v>ABNB US Equity</x:v>
      </x:c>
      <x:c r="E81" s="56" t="n">
        <x:v>45055.854166666664</x:v>
      </x:c>
      <x:c r="F81" s="44" t="str">
        <x:v>First U.S. exchange session after an after-close release</x:v>
      </x:c>
      <x:c r="G81" s="44" t="str">
        <x:v>60 trading sessions</x:v>
      </x:c>
      <x:c r="H81" s="44" t="str">
        <x:v>Official close immediately before reaction session</x:v>
      </x:c>
      <x:c r="I81" s="44" t="str">
        <x:v>Official close after 60 exchange sessions</x:v>
      </x:c>
      <x:c r="J81" s="44" t="str">
        <x:v>TOT_RETURN_INDEX_GROSS_DVDS preferred; PX_LAST fallback</x:v>
      </x:c>
      <x:c r="K81" s="59" t="str"/>
      <x:c r="L81" s="59" t="str"/>
      <x:c r="M81" s="46" t="str"/>
      <x:c r="N81" s="46" t="str"/>
      <x:c r="O81" s="46" t="str"/>
      <x:c r="P81" s="46" t="str"/>
      <x:c r="Q81" s="46" t="str"/>
    </x:row>
    <x:row r="82">
      <x:c r="A82" s="11" t="str">
        <x:v>ABNB-2023Q1-INITIAL-QQQ-1D</x:v>
      </x:c>
      <x:c r="B82" s="11" t="str">
        <x:v>ABNB-2023Q1-INITIAL</x:v>
      </x:c>
      <x:c r="C82" s="11" t="str">
        <x:v>QQQ</x:v>
      </x:c>
      <x:c r="D82" s="44" t="str">
        <x:v>QQQ US Equity</x:v>
      </x:c>
      <x:c r="E82" s="56" t="n">
        <x:v>45055.854166666664</x:v>
      </x:c>
      <x:c r="F82" s="44" t="str">
        <x:v>First U.S. exchange session after an after-close release</x:v>
      </x:c>
      <x:c r="G82" s="44" t="str">
        <x:v>1 trading sessions</x:v>
      </x:c>
      <x:c r="H82" s="44" t="str">
        <x:v>Official close immediately before reaction session</x:v>
      </x:c>
      <x:c r="I82" s="44" t="str">
        <x:v>Official close after 1 exchange sessions</x:v>
      </x:c>
      <x:c r="J82" s="44" t="str">
        <x:v>TOT_RETURN_INDEX_GROSS_DVDS preferred; PX_LAST fallback</x:v>
      </x:c>
      <x:c r="K82" s="59" t="str"/>
      <x:c r="L82" s="59" t="str"/>
      <x:c r="M82" s="46" t="str"/>
      <x:c r="N82" s="46" t="str"/>
      <x:c r="O82" s="46" t="str"/>
      <x:c r="P82" s="46" t="str"/>
      <x:c r="Q82" s="46" t="str"/>
    </x:row>
    <x:row r="83">
      <x:c r="A83" s="11" t="str">
        <x:v>ABNB-2023Q1-INITIAL-QQQ-5D</x:v>
      </x:c>
      <x:c r="B83" s="11" t="str">
        <x:v>ABNB-2023Q1-INITIAL</x:v>
      </x:c>
      <x:c r="C83" s="11" t="str">
        <x:v>QQQ</x:v>
      </x:c>
      <x:c r="D83" s="44" t="str">
        <x:v>QQQ US Equity</x:v>
      </x:c>
      <x:c r="E83" s="56" t="n">
        <x:v>45055.854166666664</x:v>
      </x:c>
      <x:c r="F83" s="44" t="str">
        <x:v>First U.S. exchange session after an after-close release</x:v>
      </x:c>
      <x:c r="G83" s="44" t="str">
        <x:v>5 trading sessions</x:v>
      </x:c>
      <x:c r="H83" s="44" t="str">
        <x:v>Official close immediately before reaction session</x:v>
      </x:c>
      <x:c r="I83" s="44" t="str">
        <x:v>Official close after 5 exchange sessions</x:v>
      </x:c>
      <x:c r="J83" s="44" t="str">
        <x:v>TOT_RETURN_INDEX_GROSS_DVDS preferred; PX_LAST fallback</x:v>
      </x:c>
      <x:c r="K83" s="59" t="str"/>
      <x:c r="L83" s="59" t="str"/>
      <x:c r="M83" s="46" t="str"/>
      <x:c r="N83" s="46" t="str"/>
      <x:c r="O83" s="46" t="str"/>
      <x:c r="P83" s="46" t="str"/>
      <x:c r="Q83" s="46" t="str"/>
    </x:row>
    <x:row r="84">
      <x:c r="A84" s="11" t="str">
        <x:v>ABNB-2023Q1-INITIAL-QQQ-20D</x:v>
      </x:c>
      <x:c r="B84" s="11" t="str">
        <x:v>ABNB-2023Q1-INITIAL</x:v>
      </x:c>
      <x:c r="C84" s="11" t="str">
        <x:v>QQQ</x:v>
      </x:c>
      <x:c r="D84" s="44" t="str">
        <x:v>QQQ US Equity</x:v>
      </x:c>
      <x:c r="E84" s="56" t="n">
        <x:v>45055.854166666664</x:v>
      </x:c>
      <x:c r="F84" s="44" t="str">
        <x:v>First U.S. exchange session after an after-close release</x:v>
      </x:c>
      <x:c r="G84" s="44" t="str">
        <x:v>20 trading sessions</x:v>
      </x:c>
      <x:c r="H84" s="44" t="str">
        <x:v>Official close immediately before reaction session</x:v>
      </x:c>
      <x:c r="I84" s="44" t="str">
        <x:v>Official close after 20 exchange sessions</x:v>
      </x:c>
      <x:c r="J84" s="44" t="str">
        <x:v>TOT_RETURN_INDEX_GROSS_DVDS preferred; PX_LAST fallback</x:v>
      </x:c>
      <x:c r="K84" s="59" t="str"/>
      <x:c r="L84" s="59" t="str"/>
      <x:c r="M84" s="46" t="str"/>
      <x:c r="N84" s="46" t="str"/>
      <x:c r="O84" s="46" t="str"/>
      <x:c r="P84" s="46" t="str"/>
      <x:c r="Q84" s="46" t="str"/>
    </x:row>
    <x:row r="85">
      <x:c r="A85" s="11" t="str">
        <x:v>ABNB-2023Q1-INITIAL-QQQ-60D</x:v>
      </x:c>
      <x:c r="B85" s="11" t="str">
        <x:v>ABNB-2023Q1-INITIAL</x:v>
      </x:c>
      <x:c r="C85" s="11" t="str">
        <x:v>QQQ</x:v>
      </x:c>
      <x:c r="D85" s="44" t="str">
        <x:v>QQQ US Equity</x:v>
      </x:c>
      <x:c r="E85" s="56" t="n">
        <x:v>45055.854166666664</x:v>
      </x:c>
      <x:c r="F85" s="44" t="str">
        <x:v>First U.S. exchange session after an after-close release</x:v>
      </x:c>
      <x:c r="G85" s="44" t="str">
        <x:v>60 trading sessions</x:v>
      </x:c>
      <x:c r="H85" s="44" t="str">
        <x:v>Official close immediately before reaction session</x:v>
      </x:c>
      <x:c r="I85" s="44" t="str">
        <x:v>Official close after 60 exchange sessions</x:v>
      </x:c>
      <x:c r="J85" s="44" t="str">
        <x:v>TOT_RETURN_INDEX_GROSS_DVDS preferred; PX_LAST fallback</x:v>
      </x:c>
      <x:c r="K85" s="59" t="str"/>
      <x:c r="L85" s="59" t="str"/>
      <x:c r="M85" s="46" t="str"/>
      <x:c r="N85" s="46" t="str"/>
      <x:c r="O85" s="46" t="str"/>
      <x:c r="P85" s="46" t="str"/>
      <x:c r="Q85" s="46" t="str"/>
    </x:row>
    <x:row r="86">
      <x:c r="A86" s="11" t="str">
        <x:v>ABNB-2023Q2-INITIAL-ABNB-1D</x:v>
      </x:c>
      <x:c r="B86" s="11" t="str">
        <x:v>ABNB-2023Q2-INITIAL</x:v>
      </x:c>
      <x:c r="C86" s="11" t="str">
        <x:v>ABNB</x:v>
      </x:c>
      <x:c r="D86" s="44" t="str">
        <x:v>ABNB US Equity</x:v>
      </x:c>
      <x:c r="E86" s="56" t="n">
        <x:v>45141.854166666664</x:v>
      </x:c>
      <x:c r="F86" s="44" t="str">
        <x:v>First U.S. exchange session after an after-close release</x:v>
      </x:c>
      <x:c r="G86" s="44" t="str">
        <x:v>1 trading sessions</x:v>
      </x:c>
      <x:c r="H86" s="44" t="str">
        <x:v>Official close immediately before reaction session</x:v>
      </x:c>
      <x:c r="I86" s="44" t="str">
        <x:v>Official close after 1 exchange sessions</x:v>
      </x:c>
      <x:c r="J86" s="44" t="str">
        <x:v>TOT_RETURN_INDEX_GROSS_DVDS preferred; PX_LAST fallback</x:v>
      </x:c>
      <x:c r="K86" s="59" t="str"/>
      <x:c r="L86" s="59" t="str"/>
      <x:c r="M86" s="46" t="str"/>
      <x:c r="N86" s="46" t="str"/>
      <x:c r="O86" s="46" t="str"/>
      <x:c r="P86" s="46" t="str"/>
      <x:c r="Q86" s="46" t="str"/>
    </x:row>
    <x:row r="87">
      <x:c r="A87" s="11" t="str">
        <x:v>ABNB-2023Q2-INITIAL-ABNB-5D</x:v>
      </x:c>
      <x:c r="B87" s="11" t="str">
        <x:v>ABNB-2023Q2-INITIAL</x:v>
      </x:c>
      <x:c r="C87" s="11" t="str">
        <x:v>ABNB</x:v>
      </x:c>
      <x:c r="D87" s="44" t="str">
        <x:v>ABNB US Equity</x:v>
      </x:c>
      <x:c r="E87" s="56" t="n">
        <x:v>45141.854166666664</x:v>
      </x:c>
      <x:c r="F87" s="44" t="str">
        <x:v>First U.S. exchange session after an after-close release</x:v>
      </x:c>
      <x:c r="G87" s="44" t="str">
        <x:v>5 trading sessions</x:v>
      </x:c>
      <x:c r="H87" s="44" t="str">
        <x:v>Official close immediately before reaction session</x:v>
      </x:c>
      <x:c r="I87" s="44" t="str">
        <x:v>Official close after 5 exchange sessions</x:v>
      </x:c>
      <x:c r="J87" s="44" t="str">
        <x:v>TOT_RETURN_INDEX_GROSS_DVDS preferred; PX_LAST fallback</x:v>
      </x:c>
      <x:c r="K87" s="59" t="str"/>
      <x:c r="L87" s="59" t="str"/>
      <x:c r="M87" s="46" t="str"/>
      <x:c r="N87" s="46" t="str"/>
      <x:c r="O87" s="46" t="str"/>
      <x:c r="P87" s="46" t="str"/>
      <x:c r="Q87" s="46" t="str"/>
    </x:row>
    <x:row r="88">
      <x:c r="A88" s="11" t="str">
        <x:v>ABNB-2023Q2-INITIAL-ABNB-20D</x:v>
      </x:c>
      <x:c r="B88" s="11" t="str">
        <x:v>ABNB-2023Q2-INITIAL</x:v>
      </x:c>
      <x:c r="C88" s="11" t="str">
        <x:v>ABNB</x:v>
      </x:c>
      <x:c r="D88" s="44" t="str">
        <x:v>ABNB US Equity</x:v>
      </x:c>
      <x:c r="E88" s="56" t="n">
        <x:v>45141.854166666664</x:v>
      </x:c>
      <x:c r="F88" s="44" t="str">
        <x:v>First U.S. exchange session after an after-close release</x:v>
      </x:c>
      <x:c r="G88" s="44" t="str">
        <x:v>20 trading sessions</x:v>
      </x:c>
      <x:c r="H88" s="44" t="str">
        <x:v>Official close immediately before reaction session</x:v>
      </x:c>
      <x:c r="I88" s="44" t="str">
        <x:v>Official close after 20 exchange sessions</x:v>
      </x:c>
      <x:c r="J88" s="44" t="str">
        <x:v>TOT_RETURN_INDEX_GROSS_DVDS preferred; PX_LAST fallback</x:v>
      </x:c>
      <x:c r="K88" s="59" t="str"/>
      <x:c r="L88" s="59" t="str"/>
      <x:c r="M88" s="46" t="str"/>
      <x:c r="N88" s="46" t="str"/>
      <x:c r="O88" s="46" t="str"/>
      <x:c r="P88" s="46" t="str"/>
      <x:c r="Q88" s="46" t="str"/>
    </x:row>
    <x:row r="89">
      <x:c r="A89" s="11" t="str">
        <x:v>ABNB-2023Q2-INITIAL-ABNB-60D</x:v>
      </x:c>
      <x:c r="B89" s="11" t="str">
        <x:v>ABNB-2023Q2-INITIAL</x:v>
      </x:c>
      <x:c r="C89" s="11" t="str">
        <x:v>ABNB</x:v>
      </x:c>
      <x:c r="D89" s="44" t="str">
        <x:v>ABNB US Equity</x:v>
      </x:c>
      <x:c r="E89" s="56" t="n">
        <x:v>45141.854166666664</x:v>
      </x:c>
      <x:c r="F89" s="44" t="str">
        <x:v>First U.S. exchange session after an after-close release</x:v>
      </x:c>
      <x:c r="G89" s="44" t="str">
        <x:v>60 trading sessions</x:v>
      </x:c>
      <x:c r="H89" s="44" t="str">
        <x:v>Official close immediately before reaction session</x:v>
      </x:c>
      <x:c r="I89" s="44" t="str">
        <x:v>Official close after 60 exchange sessions</x:v>
      </x:c>
      <x:c r="J89" s="44" t="str">
        <x:v>TOT_RETURN_INDEX_GROSS_DVDS preferred; PX_LAST fallback</x:v>
      </x:c>
      <x:c r="K89" s="59" t="str"/>
      <x:c r="L89" s="59" t="str"/>
      <x:c r="M89" s="46" t="str"/>
      <x:c r="N89" s="46" t="str"/>
      <x:c r="O89" s="46" t="str"/>
      <x:c r="P89" s="46" t="str"/>
      <x:c r="Q89" s="46" t="str"/>
    </x:row>
    <x:row r="90">
      <x:c r="A90" s="11" t="str">
        <x:v>ABNB-2023Q2-INITIAL-QQQ-1D</x:v>
      </x:c>
      <x:c r="B90" s="11" t="str">
        <x:v>ABNB-2023Q2-INITIAL</x:v>
      </x:c>
      <x:c r="C90" s="11" t="str">
        <x:v>QQQ</x:v>
      </x:c>
      <x:c r="D90" s="44" t="str">
        <x:v>QQQ US Equity</x:v>
      </x:c>
      <x:c r="E90" s="56" t="n">
        <x:v>45141.854166666664</x:v>
      </x:c>
      <x:c r="F90" s="44" t="str">
        <x:v>First U.S. exchange session after an after-close release</x:v>
      </x:c>
      <x:c r="G90" s="44" t="str">
        <x:v>1 trading sessions</x:v>
      </x:c>
      <x:c r="H90" s="44" t="str">
        <x:v>Official close immediately before reaction session</x:v>
      </x:c>
      <x:c r="I90" s="44" t="str">
        <x:v>Official close after 1 exchange sessions</x:v>
      </x:c>
      <x:c r="J90" s="44" t="str">
        <x:v>TOT_RETURN_INDEX_GROSS_DVDS preferred; PX_LAST fallback</x:v>
      </x:c>
      <x:c r="K90" s="59" t="str"/>
      <x:c r="L90" s="59" t="str"/>
      <x:c r="M90" s="46" t="str"/>
      <x:c r="N90" s="46" t="str"/>
      <x:c r="O90" s="46" t="str"/>
      <x:c r="P90" s="46" t="str"/>
      <x:c r="Q90" s="46" t="str"/>
    </x:row>
    <x:row r="91">
      <x:c r="A91" s="11" t="str">
        <x:v>ABNB-2023Q2-INITIAL-QQQ-5D</x:v>
      </x:c>
      <x:c r="B91" s="11" t="str">
        <x:v>ABNB-2023Q2-INITIAL</x:v>
      </x:c>
      <x:c r="C91" s="11" t="str">
        <x:v>QQQ</x:v>
      </x:c>
      <x:c r="D91" s="44" t="str">
        <x:v>QQQ US Equity</x:v>
      </x:c>
      <x:c r="E91" s="56" t="n">
        <x:v>45141.854166666664</x:v>
      </x:c>
      <x:c r="F91" s="44" t="str">
        <x:v>First U.S. exchange session after an after-close release</x:v>
      </x:c>
      <x:c r="G91" s="44" t="str">
        <x:v>5 trading sessions</x:v>
      </x:c>
      <x:c r="H91" s="44" t="str">
        <x:v>Official close immediately before reaction session</x:v>
      </x:c>
      <x:c r="I91" s="44" t="str">
        <x:v>Official close after 5 exchange sessions</x:v>
      </x:c>
      <x:c r="J91" s="44" t="str">
        <x:v>TOT_RETURN_INDEX_GROSS_DVDS preferred; PX_LAST fallback</x:v>
      </x:c>
      <x:c r="K91" s="59" t="str"/>
      <x:c r="L91" s="59" t="str"/>
      <x:c r="M91" s="46" t="str"/>
      <x:c r="N91" s="46" t="str"/>
      <x:c r="O91" s="46" t="str"/>
      <x:c r="P91" s="46" t="str"/>
      <x:c r="Q91" s="46" t="str"/>
    </x:row>
    <x:row r="92">
      <x:c r="A92" s="11" t="str">
        <x:v>ABNB-2023Q2-INITIAL-QQQ-20D</x:v>
      </x:c>
      <x:c r="B92" s="11" t="str">
        <x:v>ABNB-2023Q2-INITIAL</x:v>
      </x:c>
      <x:c r="C92" s="11" t="str">
        <x:v>QQQ</x:v>
      </x:c>
      <x:c r="D92" s="44" t="str">
        <x:v>QQQ US Equity</x:v>
      </x:c>
      <x:c r="E92" s="56" t="n">
        <x:v>45141.854166666664</x:v>
      </x:c>
      <x:c r="F92" s="44" t="str">
        <x:v>First U.S. exchange session after an after-close release</x:v>
      </x:c>
      <x:c r="G92" s="44" t="str">
        <x:v>20 trading sessions</x:v>
      </x:c>
      <x:c r="H92" s="44" t="str">
        <x:v>Official close immediately before reaction session</x:v>
      </x:c>
      <x:c r="I92" s="44" t="str">
        <x:v>Official close after 20 exchange sessions</x:v>
      </x:c>
      <x:c r="J92" s="44" t="str">
        <x:v>TOT_RETURN_INDEX_GROSS_DVDS preferred; PX_LAST fallback</x:v>
      </x:c>
      <x:c r="K92" s="59" t="str"/>
      <x:c r="L92" s="59" t="str"/>
      <x:c r="M92" s="46" t="str"/>
      <x:c r="N92" s="46" t="str"/>
      <x:c r="O92" s="46" t="str"/>
      <x:c r="P92" s="46" t="str"/>
      <x:c r="Q92" s="46" t="str"/>
    </x:row>
    <x:row r="93">
      <x:c r="A93" s="11" t="str">
        <x:v>ABNB-2023Q2-INITIAL-QQQ-60D</x:v>
      </x:c>
      <x:c r="B93" s="11" t="str">
        <x:v>ABNB-2023Q2-INITIAL</x:v>
      </x:c>
      <x:c r="C93" s="11" t="str">
        <x:v>QQQ</x:v>
      </x:c>
      <x:c r="D93" s="44" t="str">
        <x:v>QQQ US Equity</x:v>
      </x:c>
      <x:c r="E93" s="56" t="n">
        <x:v>45141.854166666664</x:v>
      </x:c>
      <x:c r="F93" s="44" t="str">
        <x:v>First U.S. exchange session after an after-close release</x:v>
      </x:c>
      <x:c r="G93" s="44" t="str">
        <x:v>60 trading sessions</x:v>
      </x:c>
      <x:c r="H93" s="44" t="str">
        <x:v>Official close immediately before reaction session</x:v>
      </x:c>
      <x:c r="I93" s="44" t="str">
        <x:v>Official close after 60 exchange sessions</x:v>
      </x:c>
      <x:c r="J93" s="44" t="str">
        <x:v>TOT_RETURN_INDEX_GROSS_DVDS preferred; PX_LAST fallback</x:v>
      </x:c>
      <x:c r="K93" s="59" t="str"/>
      <x:c r="L93" s="59" t="str"/>
      <x:c r="M93" s="46" t="str"/>
      <x:c r="N93" s="46" t="str"/>
      <x:c r="O93" s="46" t="str"/>
      <x:c r="P93" s="46" t="str"/>
      <x:c r="Q93" s="46" t="str"/>
    </x:row>
    <x:row r="94">
      <x:c r="A94" s="11" t="str">
        <x:v>ABNB-2023Q3-INITIAL-ABNB-1D</x:v>
      </x:c>
      <x:c r="B94" s="11" t="str">
        <x:v>ABNB-2023Q3-INITIAL</x:v>
      </x:c>
      <x:c r="C94" s="11" t="str">
        <x:v>ABNB</x:v>
      </x:c>
      <x:c r="D94" s="44" t="str">
        <x:v>ABNB US Equity</x:v>
      </x:c>
      <x:c r="E94" s="56" t="n">
        <x:v>45231.854166666664</x:v>
      </x:c>
      <x:c r="F94" s="44" t="str">
        <x:v>First U.S. exchange session after an after-close release</x:v>
      </x:c>
      <x:c r="G94" s="44" t="str">
        <x:v>1 trading sessions</x:v>
      </x:c>
      <x:c r="H94" s="44" t="str">
        <x:v>Official close immediately before reaction session</x:v>
      </x:c>
      <x:c r="I94" s="44" t="str">
        <x:v>Official close after 1 exchange sessions</x:v>
      </x:c>
      <x:c r="J94" s="44" t="str">
        <x:v>TOT_RETURN_INDEX_GROSS_DVDS preferred; PX_LAST fallback</x:v>
      </x:c>
      <x:c r="K94" s="59" t="str"/>
      <x:c r="L94" s="59" t="str"/>
      <x:c r="M94" s="46" t="str"/>
      <x:c r="N94" s="46" t="str"/>
      <x:c r="O94" s="46" t="str"/>
      <x:c r="P94" s="46" t="str"/>
      <x:c r="Q94" s="46" t="str"/>
    </x:row>
    <x:row r="95">
      <x:c r="A95" s="11" t="str">
        <x:v>ABNB-2023Q3-INITIAL-ABNB-5D</x:v>
      </x:c>
      <x:c r="B95" s="11" t="str">
        <x:v>ABNB-2023Q3-INITIAL</x:v>
      </x:c>
      <x:c r="C95" s="11" t="str">
        <x:v>ABNB</x:v>
      </x:c>
      <x:c r="D95" s="44" t="str">
        <x:v>ABNB US Equity</x:v>
      </x:c>
      <x:c r="E95" s="56" t="n">
        <x:v>45231.854166666664</x:v>
      </x:c>
      <x:c r="F95" s="44" t="str">
        <x:v>First U.S. exchange session after an after-close release</x:v>
      </x:c>
      <x:c r="G95" s="44" t="str">
        <x:v>5 trading sessions</x:v>
      </x:c>
      <x:c r="H95" s="44" t="str">
        <x:v>Official close immediately before reaction session</x:v>
      </x:c>
      <x:c r="I95" s="44" t="str">
        <x:v>Official close after 5 exchange sessions</x:v>
      </x:c>
      <x:c r="J95" s="44" t="str">
        <x:v>TOT_RETURN_INDEX_GROSS_DVDS preferred; PX_LAST fallback</x:v>
      </x:c>
      <x:c r="K95" s="59" t="str"/>
      <x:c r="L95" s="59" t="str"/>
      <x:c r="M95" s="46" t="str"/>
      <x:c r="N95" s="46" t="str"/>
      <x:c r="O95" s="46" t="str"/>
      <x:c r="P95" s="46" t="str"/>
      <x:c r="Q95" s="46" t="str"/>
    </x:row>
    <x:row r="96">
      <x:c r="A96" s="11" t="str">
        <x:v>ABNB-2023Q3-INITIAL-ABNB-20D</x:v>
      </x:c>
      <x:c r="B96" s="11" t="str">
        <x:v>ABNB-2023Q3-INITIAL</x:v>
      </x:c>
      <x:c r="C96" s="11" t="str">
        <x:v>ABNB</x:v>
      </x:c>
      <x:c r="D96" s="44" t="str">
        <x:v>ABNB US Equity</x:v>
      </x:c>
      <x:c r="E96" s="56" t="n">
        <x:v>45231.854166666664</x:v>
      </x:c>
      <x:c r="F96" s="44" t="str">
        <x:v>First U.S. exchange session after an after-close release</x:v>
      </x:c>
      <x:c r="G96" s="44" t="str">
        <x:v>20 trading sessions</x:v>
      </x:c>
      <x:c r="H96" s="44" t="str">
        <x:v>Official close immediately before reaction session</x:v>
      </x:c>
      <x:c r="I96" s="44" t="str">
        <x:v>Official close after 20 exchange sessions</x:v>
      </x:c>
      <x:c r="J96" s="44" t="str">
        <x:v>TOT_RETURN_INDEX_GROSS_DVDS preferred; PX_LAST fallback</x:v>
      </x:c>
      <x:c r="K96" s="59" t="str"/>
      <x:c r="L96" s="59" t="str"/>
      <x:c r="M96" s="46" t="str"/>
      <x:c r="N96" s="46" t="str"/>
      <x:c r="O96" s="46" t="str"/>
      <x:c r="P96" s="46" t="str"/>
      <x:c r="Q96" s="46" t="str"/>
    </x:row>
    <x:row r="97">
      <x:c r="A97" s="11" t="str">
        <x:v>ABNB-2023Q3-INITIAL-ABNB-60D</x:v>
      </x:c>
      <x:c r="B97" s="11" t="str">
        <x:v>ABNB-2023Q3-INITIAL</x:v>
      </x:c>
      <x:c r="C97" s="11" t="str">
        <x:v>ABNB</x:v>
      </x:c>
      <x:c r="D97" s="44" t="str">
        <x:v>ABNB US Equity</x:v>
      </x:c>
      <x:c r="E97" s="56" t="n">
        <x:v>45231.854166666664</x:v>
      </x:c>
      <x:c r="F97" s="44" t="str">
        <x:v>First U.S. exchange session after an after-close release</x:v>
      </x:c>
      <x:c r="G97" s="44" t="str">
        <x:v>60 trading sessions</x:v>
      </x:c>
      <x:c r="H97" s="44" t="str">
        <x:v>Official close immediately before reaction session</x:v>
      </x:c>
      <x:c r="I97" s="44" t="str">
        <x:v>Official close after 60 exchange sessions</x:v>
      </x:c>
      <x:c r="J97" s="44" t="str">
        <x:v>TOT_RETURN_INDEX_GROSS_DVDS preferred; PX_LAST fallback</x:v>
      </x:c>
      <x:c r="K97" s="59" t="str"/>
      <x:c r="L97" s="59" t="str"/>
      <x:c r="M97" s="46" t="str"/>
      <x:c r="N97" s="46" t="str"/>
      <x:c r="O97" s="46" t="str"/>
      <x:c r="P97" s="46" t="str"/>
      <x:c r="Q97" s="46" t="str"/>
    </x:row>
    <x:row r="98">
      <x:c r="A98" s="11" t="str">
        <x:v>ABNB-2023Q3-INITIAL-QQQ-1D</x:v>
      </x:c>
      <x:c r="B98" s="11" t="str">
        <x:v>ABNB-2023Q3-INITIAL</x:v>
      </x:c>
      <x:c r="C98" s="11" t="str">
        <x:v>QQQ</x:v>
      </x:c>
      <x:c r="D98" s="44" t="str">
        <x:v>QQQ US Equity</x:v>
      </x:c>
      <x:c r="E98" s="56" t="n">
        <x:v>45231.854166666664</x:v>
      </x:c>
      <x:c r="F98" s="44" t="str">
        <x:v>First U.S. exchange session after an after-close release</x:v>
      </x:c>
      <x:c r="G98" s="44" t="str">
        <x:v>1 trading sessions</x:v>
      </x:c>
      <x:c r="H98" s="44" t="str">
        <x:v>Official close immediately before reaction session</x:v>
      </x:c>
      <x:c r="I98" s="44" t="str">
        <x:v>Official close after 1 exchange sessions</x:v>
      </x:c>
      <x:c r="J98" s="44" t="str">
        <x:v>TOT_RETURN_INDEX_GROSS_DVDS preferred; PX_LAST fallback</x:v>
      </x:c>
      <x:c r="K98" s="59" t="str"/>
      <x:c r="L98" s="59" t="str"/>
      <x:c r="M98" s="46" t="str"/>
      <x:c r="N98" s="46" t="str"/>
      <x:c r="O98" s="46" t="str"/>
      <x:c r="P98" s="46" t="str"/>
      <x:c r="Q98" s="46" t="str"/>
    </x:row>
    <x:row r="99">
      <x:c r="A99" s="11" t="str">
        <x:v>ABNB-2023Q3-INITIAL-QQQ-5D</x:v>
      </x:c>
      <x:c r="B99" s="11" t="str">
        <x:v>ABNB-2023Q3-INITIAL</x:v>
      </x:c>
      <x:c r="C99" s="11" t="str">
        <x:v>QQQ</x:v>
      </x:c>
      <x:c r="D99" s="44" t="str">
        <x:v>QQQ US Equity</x:v>
      </x:c>
      <x:c r="E99" s="56" t="n">
        <x:v>45231.854166666664</x:v>
      </x:c>
      <x:c r="F99" s="44" t="str">
        <x:v>First U.S. exchange session after an after-close release</x:v>
      </x:c>
      <x:c r="G99" s="44" t="str">
        <x:v>5 trading sessions</x:v>
      </x:c>
      <x:c r="H99" s="44" t="str">
        <x:v>Official close immediately before reaction session</x:v>
      </x:c>
      <x:c r="I99" s="44" t="str">
        <x:v>Official close after 5 exchange sessions</x:v>
      </x:c>
      <x:c r="J99" s="44" t="str">
        <x:v>TOT_RETURN_INDEX_GROSS_DVDS preferred; PX_LAST fallback</x:v>
      </x:c>
      <x:c r="K99" s="59" t="str"/>
      <x:c r="L99" s="59" t="str"/>
      <x:c r="M99" s="46" t="str"/>
      <x:c r="N99" s="46" t="str"/>
      <x:c r="O99" s="46" t="str"/>
      <x:c r="P99" s="46" t="str"/>
      <x:c r="Q99" s="46" t="str"/>
    </x:row>
    <x:row r="100">
      <x:c r="A100" s="11" t="str">
        <x:v>ABNB-2023Q3-INITIAL-QQQ-20D</x:v>
      </x:c>
      <x:c r="B100" s="11" t="str">
        <x:v>ABNB-2023Q3-INITIAL</x:v>
      </x:c>
      <x:c r="C100" s="11" t="str">
        <x:v>QQQ</x:v>
      </x:c>
      <x:c r="D100" s="44" t="str">
        <x:v>QQQ US Equity</x:v>
      </x:c>
      <x:c r="E100" s="56" t="n">
        <x:v>45231.854166666664</x:v>
      </x:c>
      <x:c r="F100" s="44" t="str">
        <x:v>First U.S. exchange session after an after-close release</x:v>
      </x:c>
      <x:c r="G100" s="44" t="str">
        <x:v>20 trading sessions</x:v>
      </x:c>
      <x:c r="H100" s="44" t="str">
        <x:v>Official close immediately before reaction session</x:v>
      </x:c>
      <x:c r="I100" s="44" t="str">
        <x:v>Official close after 20 exchange sessions</x:v>
      </x:c>
      <x:c r="J100" s="44" t="str">
        <x:v>TOT_RETURN_INDEX_GROSS_DVDS preferred; PX_LAST fallback</x:v>
      </x:c>
      <x:c r="K100" s="59" t="str"/>
      <x:c r="L100" s="59" t="str"/>
      <x:c r="M100" s="46" t="str"/>
      <x:c r="N100" s="46" t="str"/>
      <x:c r="O100" s="46" t="str"/>
      <x:c r="P100" s="46" t="str"/>
      <x:c r="Q100" s="46" t="str"/>
    </x:row>
    <x:row r="101">
      <x:c r="A101" s="11" t="str">
        <x:v>ABNB-2023Q3-INITIAL-QQQ-60D</x:v>
      </x:c>
      <x:c r="B101" s="11" t="str">
        <x:v>ABNB-2023Q3-INITIAL</x:v>
      </x:c>
      <x:c r="C101" s="11" t="str">
        <x:v>QQQ</x:v>
      </x:c>
      <x:c r="D101" s="44" t="str">
        <x:v>QQQ US Equity</x:v>
      </x:c>
      <x:c r="E101" s="56" t="n">
        <x:v>45231.854166666664</x:v>
      </x:c>
      <x:c r="F101" s="44" t="str">
        <x:v>First U.S. exchange session after an after-close release</x:v>
      </x:c>
      <x:c r="G101" s="44" t="str">
        <x:v>60 trading sessions</x:v>
      </x:c>
      <x:c r="H101" s="44" t="str">
        <x:v>Official close immediately before reaction session</x:v>
      </x:c>
      <x:c r="I101" s="44" t="str">
        <x:v>Official close after 60 exchange sessions</x:v>
      </x:c>
      <x:c r="J101" s="44" t="str">
        <x:v>TOT_RETURN_INDEX_GROSS_DVDS preferred; PX_LAST fallback</x:v>
      </x:c>
      <x:c r="K101" s="59" t="str"/>
      <x:c r="L101" s="59" t="str"/>
      <x:c r="M101" s="46" t="str"/>
      <x:c r="N101" s="46" t="str"/>
      <x:c r="O101" s="46" t="str"/>
      <x:c r="P101" s="46" t="str"/>
      <x:c r="Q101" s="46" t="str"/>
    </x:row>
    <x:row r="102">
      <x:c r="A102" s="11" t="str">
        <x:v>ABNB-2023Q4-INITIAL-ABNB-1D</x:v>
      </x:c>
      <x:c r="B102" s="11" t="str">
        <x:v>ABNB-2023Q4-INITIAL</x:v>
      </x:c>
      <x:c r="C102" s="11" t="str">
        <x:v>ABNB</x:v>
      </x:c>
      <x:c r="D102" s="44" t="str">
        <x:v>ABNB US Equity</x:v>
      </x:c>
      <x:c r="E102" s="56" t="n">
        <x:v>45335.895833333336</x:v>
      </x:c>
      <x:c r="F102" s="44" t="str">
        <x:v>First U.S. exchange session after an after-close release</x:v>
      </x:c>
      <x:c r="G102" s="44" t="str">
        <x:v>1 trading sessions</x:v>
      </x:c>
      <x:c r="H102" s="44" t="str">
        <x:v>Official close immediately before reaction session</x:v>
      </x:c>
      <x:c r="I102" s="44" t="str">
        <x:v>Official close after 1 exchange sessions</x:v>
      </x:c>
      <x:c r="J102" s="44" t="str">
        <x:v>TOT_RETURN_INDEX_GROSS_DVDS preferred; PX_LAST fallback</x:v>
      </x:c>
      <x:c r="K102" s="59" t="str"/>
      <x:c r="L102" s="59" t="str"/>
      <x:c r="M102" s="46" t="str"/>
      <x:c r="N102" s="46" t="str"/>
      <x:c r="O102" s="46" t="str"/>
      <x:c r="P102" s="46" t="str"/>
      <x:c r="Q102" s="46" t="str"/>
    </x:row>
    <x:row r="103">
      <x:c r="A103" s="11" t="str">
        <x:v>ABNB-2023Q4-INITIAL-ABNB-5D</x:v>
      </x:c>
      <x:c r="B103" s="11" t="str">
        <x:v>ABNB-2023Q4-INITIAL</x:v>
      </x:c>
      <x:c r="C103" s="11" t="str">
        <x:v>ABNB</x:v>
      </x:c>
      <x:c r="D103" s="44" t="str">
        <x:v>ABNB US Equity</x:v>
      </x:c>
      <x:c r="E103" s="56" t="n">
        <x:v>45335.895833333336</x:v>
      </x:c>
      <x:c r="F103" s="44" t="str">
        <x:v>First U.S. exchange session after an after-close release</x:v>
      </x:c>
      <x:c r="G103" s="44" t="str">
        <x:v>5 trading sessions</x:v>
      </x:c>
      <x:c r="H103" s="44" t="str">
        <x:v>Official close immediately before reaction session</x:v>
      </x:c>
      <x:c r="I103" s="44" t="str">
        <x:v>Official close after 5 exchange sessions</x:v>
      </x:c>
      <x:c r="J103" s="44" t="str">
        <x:v>TOT_RETURN_INDEX_GROSS_DVDS preferred; PX_LAST fallback</x:v>
      </x:c>
      <x:c r="K103" s="59" t="str"/>
      <x:c r="L103" s="59" t="str"/>
      <x:c r="M103" s="46" t="str"/>
      <x:c r="N103" s="46" t="str"/>
      <x:c r="O103" s="46" t="str"/>
      <x:c r="P103" s="46" t="str"/>
      <x:c r="Q103" s="46" t="str"/>
    </x:row>
    <x:row r="104">
      <x:c r="A104" s="11" t="str">
        <x:v>ABNB-2023Q4-INITIAL-ABNB-20D</x:v>
      </x:c>
      <x:c r="B104" s="11" t="str">
        <x:v>ABNB-2023Q4-INITIAL</x:v>
      </x:c>
      <x:c r="C104" s="11" t="str">
        <x:v>ABNB</x:v>
      </x:c>
      <x:c r="D104" s="44" t="str">
        <x:v>ABNB US Equity</x:v>
      </x:c>
      <x:c r="E104" s="56" t="n">
        <x:v>45335.895833333336</x:v>
      </x:c>
      <x:c r="F104" s="44" t="str">
        <x:v>First U.S. exchange session after an after-close release</x:v>
      </x:c>
      <x:c r="G104" s="44" t="str">
        <x:v>20 trading sessions</x:v>
      </x:c>
      <x:c r="H104" s="44" t="str">
        <x:v>Official close immediately before reaction session</x:v>
      </x:c>
      <x:c r="I104" s="44" t="str">
        <x:v>Official close after 20 exchange sessions</x:v>
      </x:c>
      <x:c r="J104" s="44" t="str">
        <x:v>TOT_RETURN_INDEX_GROSS_DVDS preferred; PX_LAST fallback</x:v>
      </x:c>
      <x:c r="K104" s="59" t="str"/>
      <x:c r="L104" s="59" t="str"/>
      <x:c r="M104" s="46" t="str"/>
      <x:c r="N104" s="46" t="str"/>
      <x:c r="O104" s="46" t="str"/>
      <x:c r="P104" s="46" t="str"/>
      <x:c r="Q104" s="46" t="str"/>
    </x:row>
    <x:row r="105">
      <x:c r="A105" s="11" t="str">
        <x:v>ABNB-2023Q4-INITIAL-ABNB-60D</x:v>
      </x:c>
      <x:c r="B105" s="11" t="str">
        <x:v>ABNB-2023Q4-INITIAL</x:v>
      </x:c>
      <x:c r="C105" s="11" t="str">
        <x:v>ABNB</x:v>
      </x:c>
      <x:c r="D105" s="44" t="str">
        <x:v>ABNB US Equity</x:v>
      </x:c>
      <x:c r="E105" s="56" t="n">
        <x:v>45335.895833333336</x:v>
      </x:c>
      <x:c r="F105" s="44" t="str">
        <x:v>First U.S. exchange session after an after-close release</x:v>
      </x:c>
      <x:c r="G105" s="44" t="str">
        <x:v>60 trading sessions</x:v>
      </x:c>
      <x:c r="H105" s="44" t="str">
        <x:v>Official close immediately before reaction session</x:v>
      </x:c>
      <x:c r="I105" s="44" t="str">
        <x:v>Official close after 60 exchange sessions</x:v>
      </x:c>
      <x:c r="J105" s="44" t="str">
        <x:v>TOT_RETURN_INDEX_GROSS_DVDS preferred; PX_LAST fallback</x:v>
      </x:c>
      <x:c r="K105" s="59" t="str"/>
      <x:c r="L105" s="59" t="str"/>
      <x:c r="M105" s="46" t="str"/>
      <x:c r="N105" s="46" t="str"/>
      <x:c r="O105" s="46" t="str"/>
      <x:c r="P105" s="46" t="str"/>
      <x:c r="Q105" s="46" t="str"/>
    </x:row>
    <x:row r="106">
      <x:c r="A106" s="11" t="str">
        <x:v>ABNB-2023Q4-INITIAL-QQQ-1D</x:v>
      </x:c>
      <x:c r="B106" s="11" t="str">
        <x:v>ABNB-2023Q4-INITIAL</x:v>
      </x:c>
      <x:c r="C106" s="11" t="str">
        <x:v>QQQ</x:v>
      </x:c>
      <x:c r="D106" s="44" t="str">
        <x:v>QQQ US Equity</x:v>
      </x:c>
      <x:c r="E106" s="56" t="n">
        <x:v>45335.895833333336</x:v>
      </x:c>
      <x:c r="F106" s="44" t="str">
        <x:v>First U.S. exchange session after an after-close release</x:v>
      </x:c>
      <x:c r="G106" s="44" t="str">
        <x:v>1 trading sessions</x:v>
      </x:c>
      <x:c r="H106" s="44" t="str">
        <x:v>Official close immediately before reaction session</x:v>
      </x:c>
      <x:c r="I106" s="44" t="str">
        <x:v>Official close after 1 exchange sessions</x:v>
      </x:c>
      <x:c r="J106" s="44" t="str">
        <x:v>TOT_RETURN_INDEX_GROSS_DVDS preferred; PX_LAST fallback</x:v>
      </x:c>
      <x:c r="K106" s="59" t="str"/>
      <x:c r="L106" s="59" t="str"/>
      <x:c r="M106" s="46" t="str"/>
      <x:c r="N106" s="46" t="str"/>
      <x:c r="O106" s="46" t="str"/>
      <x:c r="P106" s="46" t="str"/>
      <x:c r="Q106" s="46" t="str"/>
    </x:row>
    <x:row r="107">
      <x:c r="A107" s="11" t="str">
        <x:v>ABNB-2023Q4-INITIAL-QQQ-5D</x:v>
      </x:c>
      <x:c r="B107" s="11" t="str">
        <x:v>ABNB-2023Q4-INITIAL</x:v>
      </x:c>
      <x:c r="C107" s="11" t="str">
        <x:v>QQQ</x:v>
      </x:c>
      <x:c r="D107" s="44" t="str">
        <x:v>QQQ US Equity</x:v>
      </x:c>
      <x:c r="E107" s="56" t="n">
        <x:v>45335.895833333336</x:v>
      </x:c>
      <x:c r="F107" s="44" t="str">
        <x:v>First U.S. exchange session after an after-close release</x:v>
      </x:c>
      <x:c r="G107" s="44" t="str">
        <x:v>5 trading sessions</x:v>
      </x:c>
      <x:c r="H107" s="44" t="str">
        <x:v>Official close immediately before reaction session</x:v>
      </x:c>
      <x:c r="I107" s="44" t="str">
        <x:v>Official close after 5 exchange sessions</x:v>
      </x:c>
      <x:c r="J107" s="44" t="str">
        <x:v>TOT_RETURN_INDEX_GROSS_DVDS preferred; PX_LAST fallback</x:v>
      </x:c>
      <x:c r="K107" s="59" t="str"/>
      <x:c r="L107" s="59" t="str"/>
      <x:c r="M107" s="46" t="str"/>
      <x:c r="N107" s="46" t="str"/>
      <x:c r="O107" s="46" t="str"/>
      <x:c r="P107" s="46" t="str"/>
      <x:c r="Q107" s="46" t="str"/>
    </x:row>
    <x:row r="108">
      <x:c r="A108" s="11" t="str">
        <x:v>ABNB-2023Q4-INITIAL-QQQ-20D</x:v>
      </x:c>
      <x:c r="B108" s="11" t="str">
        <x:v>ABNB-2023Q4-INITIAL</x:v>
      </x:c>
      <x:c r="C108" s="11" t="str">
        <x:v>QQQ</x:v>
      </x:c>
      <x:c r="D108" s="44" t="str">
        <x:v>QQQ US Equity</x:v>
      </x:c>
      <x:c r="E108" s="56" t="n">
        <x:v>45335.895833333336</x:v>
      </x:c>
      <x:c r="F108" s="44" t="str">
        <x:v>First U.S. exchange session after an after-close release</x:v>
      </x:c>
      <x:c r="G108" s="44" t="str">
        <x:v>20 trading sessions</x:v>
      </x:c>
      <x:c r="H108" s="44" t="str">
        <x:v>Official close immediately before reaction session</x:v>
      </x:c>
      <x:c r="I108" s="44" t="str">
        <x:v>Official close after 20 exchange sessions</x:v>
      </x:c>
      <x:c r="J108" s="44" t="str">
        <x:v>TOT_RETURN_INDEX_GROSS_DVDS preferred; PX_LAST fallback</x:v>
      </x:c>
      <x:c r="K108" s="59" t="str"/>
      <x:c r="L108" s="59" t="str"/>
      <x:c r="M108" s="46" t="str"/>
      <x:c r="N108" s="46" t="str"/>
      <x:c r="O108" s="46" t="str"/>
      <x:c r="P108" s="46" t="str"/>
      <x:c r="Q108" s="46" t="str"/>
    </x:row>
    <x:row r="109">
      <x:c r="A109" s="11" t="str">
        <x:v>ABNB-2023Q4-INITIAL-QQQ-60D</x:v>
      </x:c>
      <x:c r="B109" s="11" t="str">
        <x:v>ABNB-2023Q4-INITIAL</x:v>
      </x:c>
      <x:c r="C109" s="11" t="str">
        <x:v>QQQ</x:v>
      </x:c>
      <x:c r="D109" s="44" t="str">
        <x:v>QQQ US Equity</x:v>
      </x:c>
      <x:c r="E109" s="56" t="n">
        <x:v>45335.895833333336</x:v>
      </x:c>
      <x:c r="F109" s="44" t="str">
        <x:v>First U.S. exchange session after an after-close release</x:v>
      </x:c>
      <x:c r="G109" s="44" t="str">
        <x:v>60 trading sessions</x:v>
      </x:c>
      <x:c r="H109" s="44" t="str">
        <x:v>Official close immediately before reaction session</x:v>
      </x:c>
      <x:c r="I109" s="44" t="str">
        <x:v>Official close after 60 exchange sessions</x:v>
      </x:c>
      <x:c r="J109" s="44" t="str">
        <x:v>TOT_RETURN_INDEX_GROSS_DVDS preferred; PX_LAST fallback</x:v>
      </x:c>
      <x:c r="K109" s="59" t="str"/>
      <x:c r="L109" s="59" t="str"/>
      <x:c r="M109" s="46" t="str"/>
      <x:c r="N109" s="46" t="str"/>
      <x:c r="O109" s="46" t="str"/>
      <x:c r="P109" s="46" t="str"/>
      <x:c r="Q109" s="46" t="str"/>
    </x:row>
    <x:row r="110">
      <x:c r="A110" s="11" t="str">
        <x:v>ABNB-2024Q1-INITIAL-ABNB-1D</x:v>
      </x:c>
      <x:c r="B110" s="11" t="str">
        <x:v>ABNB-2024Q1-INITIAL</x:v>
      </x:c>
      <x:c r="C110" s="11" t="str">
        <x:v>ABNB</x:v>
      </x:c>
      <x:c r="D110" s="44" t="str">
        <x:v>ABNB US Equity</x:v>
      </x:c>
      <x:c r="E110" s="56" t="n">
        <x:v>45420.854166666664</x:v>
      </x:c>
      <x:c r="F110" s="44" t="str">
        <x:v>First U.S. exchange session after an after-close release</x:v>
      </x:c>
      <x:c r="G110" s="44" t="str">
        <x:v>1 trading sessions</x:v>
      </x:c>
      <x:c r="H110" s="44" t="str">
        <x:v>Official close immediately before reaction session</x:v>
      </x:c>
      <x:c r="I110" s="44" t="str">
        <x:v>Official close after 1 exchange sessions</x:v>
      </x:c>
      <x:c r="J110" s="44" t="str">
        <x:v>TOT_RETURN_INDEX_GROSS_DVDS preferred; PX_LAST fallback</x:v>
      </x:c>
      <x:c r="K110" s="59" t="str"/>
      <x:c r="L110" s="59" t="str"/>
      <x:c r="M110" s="46" t="str"/>
      <x:c r="N110" s="46" t="str"/>
      <x:c r="O110" s="46" t="str"/>
      <x:c r="P110" s="46" t="str"/>
      <x:c r="Q110" s="46" t="str"/>
    </x:row>
    <x:row r="111">
      <x:c r="A111" s="11" t="str">
        <x:v>ABNB-2024Q1-INITIAL-ABNB-5D</x:v>
      </x:c>
      <x:c r="B111" s="11" t="str">
        <x:v>ABNB-2024Q1-INITIAL</x:v>
      </x:c>
      <x:c r="C111" s="11" t="str">
        <x:v>ABNB</x:v>
      </x:c>
      <x:c r="D111" s="44" t="str">
        <x:v>ABNB US Equity</x:v>
      </x:c>
      <x:c r="E111" s="56" t="n">
        <x:v>45420.854166666664</x:v>
      </x:c>
      <x:c r="F111" s="44" t="str">
        <x:v>First U.S. exchange session after an after-close release</x:v>
      </x:c>
      <x:c r="G111" s="44" t="str">
        <x:v>5 trading sessions</x:v>
      </x:c>
      <x:c r="H111" s="44" t="str">
        <x:v>Official close immediately before reaction session</x:v>
      </x:c>
      <x:c r="I111" s="44" t="str">
        <x:v>Official close after 5 exchange sessions</x:v>
      </x:c>
      <x:c r="J111" s="44" t="str">
        <x:v>TOT_RETURN_INDEX_GROSS_DVDS preferred; PX_LAST fallback</x:v>
      </x:c>
      <x:c r="K111" s="59" t="str"/>
      <x:c r="L111" s="59" t="str"/>
      <x:c r="M111" s="46" t="str"/>
      <x:c r="N111" s="46" t="str"/>
      <x:c r="O111" s="46" t="str"/>
      <x:c r="P111" s="46" t="str"/>
      <x:c r="Q111" s="46" t="str"/>
    </x:row>
    <x:row r="112">
      <x:c r="A112" s="11" t="str">
        <x:v>ABNB-2024Q1-INITIAL-ABNB-20D</x:v>
      </x:c>
      <x:c r="B112" s="11" t="str">
        <x:v>ABNB-2024Q1-INITIAL</x:v>
      </x:c>
      <x:c r="C112" s="11" t="str">
        <x:v>ABNB</x:v>
      </x:c>
      <x:c r="D112" s="44" t="str">
        <x:v>ABNB US Equity</x:v>
      </x:c>
      <x:c r="E112" s="56" t="n">
        <x:v>45420.854166666664</x:v>
      </x:c>
      <x:c r="F112" s="44" t="str">
        <x:v>First U.S. exchange session after an after-close release</x:v>
      </x:c>
      <x:c r="G112" s="44" t="str">
        <x:v>20 trading sessions</x:v>
      </x:c>
      <x:c r="H112" s="44" t="str">
        <x:v>Official close immediately before reaction session</x:v>
      </x:c>
      <x:c r="I112" s="44" t="str">
        <x:v>Official close after 20 exchange sessions</x:v>
      </x:c>
      <x:c r="J112" s="44" t="str">
        <x:v>TOT_RETURN_INDEX_GROSS_DVDS preferred; PX_LAST fallback</x:v>
      </x:c>
      <x:c r="K112" s="59" t="str"/>
      <x:c r="L112" s="59" t="str"/>
      <x:c r="M112" s="46" t="str"/>
      <x:c r="N112" s="46" t="str"/>
      <x:c r="O112" s="46" t="str"/>
      <x:c r="P112" s="46" t="str"/>
      <x:c r="Q112" s="46" t="str"/>
    </x:row>
    <x:row r="113">
      <x:c r="A113" s="11" t="str">
        <x:v>ABNB-2024Q1-INITIAL-ABNB-60D</x:v>
      </x:c>
      <x:c r="B113" s="11" t="str">
        <x:v>ABNB-2024Q1-INITIAL</x:v>
      </x:c>
      <x:c r="C113" s="11" t="str">
        <x:v>ABNB</x:v>
      </x:c>
      <x:c r="D113" s="44" t="str">
        <x:v>ABNB US Equity</x:v>
      </x:c>
      <x:c r="E113" s="56" t="n">
        <x:v>45420.854166666664</x:v>
      </x:c>
      <x:c r="F113" s="44" t="str">
        <x:v>First U.S. exchange session after an after-close release</x:v>
      </x:c>
      <x:c r="G113" s="44" t="str">
        <x:v>60 trading sessions</x:v>
      </x:c>
      <x:c r="H113" s="44" t="str">
        <x:v>Official close immediately before reaction session</x:v>
      </x:c>
      <x:c r="I113" s="44" t="str">
        <x:v>Official close after 60 exchange sessions</x:v>
      </x:c>
      <x:c r="J113" s="44" t="str">
        <x:v>TOT_RETURN_INDEX_GROSS_DVDS preferred; PX_LAST fallback</x:v>
      </x:c>
      <x:c r="K113" s="59" t="str"/>
      <x:c r="L113" s="59" t="str"/>
      <x:c r="M113" s="46" t="str"/>
      <x:c r="N113" s="46" t="str"/>
      <x:c r="O113" s="46" t="str"/>
      <x:c r="P113" s="46" t="str"/>
      <x:c r="Q113" s="46" t="str"/>
    </x:row>
    <x:row r="114">
      <x:c r="A114" s="11" t="str">
        <x:v>ABNB-2024Q1-INITIAL-QQQ-1D</x:v>
      </x:c>
      <x:c r="B114" s="11" t="str">
        <x:v>ABNB-2024Q1-INITIAL</x:v>
      </x:c>
      <x:c r="C114" s="11" t="str">
        <x:v>QQQ</x:v>
      </x:c>
      <x:c r="D114" s="44" t="str">
        <x:v>QQQ US Equity</x:v>
      </x:c>
      <x:c r="E114" s="56" t="n">
        <x:v>45420.854166666664</x:v>
      </x:c>
      <x:c r="F114" s="44" t="str">
        <x:v>First U.S. exchange session after an after-close release</x:v>
      </x:c>
      <x:c r="G114" s="44" t="str">
        <x:v>1 trading sessions</x:v>
      </x:c>
      <x:c r="H114" s="44" t="str">
        <x:v>Official close immediately before reaction session</x:v>
      </x:c>
      <x:c r="I114" s="44" t="str">
        <x:v>Official close after 1 exchange sessions</x:v>
      </x:c>
      <x:c r="J114" s="44" t="str">
        <x:v>TOT_RETURN_INDEX_GROSS_DVDS preferred; PX_LAST fallback</x:v>
      </x:c>
      <x:c r="K114" s="59" t="str"/>
      <x:c r="L114" s="59" t="str"/>
      <x:c r="M114" s="46" t="str"/>
      <x:c r="N114" s="46" t="str"/>
      <x:c r="O114" s="46" t="str"/>
      <x:c r="P114" s="46" t="str"/>
      <x:c r="Q114" s="46" t="str"/>
    </x:row>
    <x:row r="115">
      <x:c r="A115" s="11" t="str">
        <x:v>ABNB-2024Q1-INITIAL-QQQ-5D</x:v>
      </x:c>
      <x:c r="B115" s="11" t="str">
        <x:v>ABNB-2024Q1-INITIAL</x:v>
      </x:c>
      <x:c r="C115" s="11" t="str">
        <x:v>QQQ</x:v>
      </x:c>
      <x:c r="D115" s="44" t="str">
        <x:v>QQQ US Equity</x:v>
      </x:c>
      <x:c r="E115" s="56" t="n">
        <x:v>45420.854166666664</x:v>
      </x:c>
      <x:c r="F115" s="44" t="str">
        <x:v>First U.S. exchange session after an after-close release</x:v>
      </x:c>
      <x:c r="G115" s="44" t="str">
        <x:v>5 trading sessions</x:v>
      </x:c>
      <x:c r="H115" s="44" t="str">
        <x:v>Official close immediately before reaction session</x:v>
      </x:c>
      <x:c r="I115" s="44" t="str">
        <x:v>Official close after 5 exchange sessions</x:v>
      </x:c>
      <x:c r="J115" s="44" t="str">
        <x:v>TOT_RETURN_INDEX_GROSS_DVDS preferred; PX_LAST fallback</x:v>
      </x:c>
      <x:c r="K115" s="59" t="str"/>
      <x:c r="L115" s="59" t="str"/>
      <x:c r="M115" s="46" t="str"/>
      <x:c r="N115" s="46" t="str"/>
      <x:c r="O115" s="46" t="str"/>
      <x:c r="P115" s="46" t="str"/>
      <x:c r="Q115" s="46" t="str"/>
    </x:row>
    <x:row r="116">
      <x:c r="A116" s="11" t="str">
        <x:v>ABNB-2024Q1-INITIAL-QQQ-20D</x:v>
      </x:c>
      <x:c r="B116" s="11" t="str">
        <x:v>ABNB-2024Q1-INITIAL</x:v>
      </x:c>
      <x:c r="C116" s="11" t="str">
        <x:v>QQQ</x:v>
      </x:c>
      <x:c r="D116" s="44" t="str">
        <x:v>QQQ US Equity</x:v>
      </x:c>
      <x:c r="E116" s="56" t="n">
        <x:v>45420.854166666664</x:v>
      </x:c>
      <x:c r="F116" s="44" t="str">
        <x:v>First U.S. exchange session after an after-close release</x:v>
      </x:c>
      <x:c r="G116" s="44" t="str">
        <x:v>20 trading sessions</x:v>
      </x:c>
      <x:c r="H116" s="44" t="str">
        <x:v>Official close immediately before reaction session</x:v>
      </x:c>
      <x:c r="I116" s="44" t="str">
        <x:v>Official close after 20 exchange sessions</x:v>
      </x:c>
      <x:c r="J116" s="44" t="str">
        <x:v>TOT_RETURN_INDEX_GROSS_DVDS preferred; PX_LAST fallback</x:v>
      </x:c>
      <x:c r="K116" s="59" t="str"/>
      <x:c r="L116" s="59" t="str"/>
      <x:c r="M116" s="46" t="str"/>
      <x:c r="N116" s="46" t="str"/>
      <x:c r="O116" s="46" t="str"/>
      <x:c r="P116" s="46" t="str"/>
      <x:c r="Q116" s="46" t="str"/>
    </x:row>
    <x:row r="117">
      <x:c r="A117" s="11" t="str">
        <x:v>ABNB-2024Q1-INITIAL-QQQ-60D</x:v>
      </x:c>
      <x:c r="B117" s="11" t="str">
        <x:v>ABNB-2024Q1-INITIAL</x:v>
      </x:c>
      <x:c r="C117" s="11" t="str">
        <x:v>QQQ</x:v>
      </x:c>
      <x:c r="D117" s="44" t="str">
        <x:v>QQQ US Equity</x:v>
      </x:c>
      <x:c r="E117" s="56" t="n">
        <x:v>45420.854166666664</x:v>
      </x:c>
      <x:c r="F117" s="44" t="str">
        <x:v>First U.S. exchange session after an after-close release</x:v>
      </x:c>
      <x:c r="G117" s="44" t="str">
        <x:v>60 trading sessions</x:v>
      </x:c>
      <x:c r="H117" s="44" t="str">
        <x:v>Official close immediately before reaction session</x:v>
      </x:c>
      <x:c r="I117" s="44" t="str">
        <x:v>Official close after 60 exchange sessions</x:v>
      </x:c>
      <x:c r="J117" s="44" t="str">
        <x:v>TOT_RETURN_INDEX_GROSS_DVDS preferred; PX_LAST fallback</x:v>
      </x:c>
      <x:c r="K117" s="59" t="str"/>
      <x:c r="L117" s="59" t="str"/>
      <x:c r="M117" s="46" t="str"/>
      <x:c r="N117" s="46" t="str"/>
      <x:c r="O117" s="46" t="str"/>
      <x:c r="P117" s="46" t="str"/>
      <x:c r="Q117" s="46" t="str"/>
    </x:row>
    <x:row r="118">
      <x:c r="A118" s="11" t="str">
        <x:v>ABNB-2024Q2-INITIAL-ABNB-1D</x:v>
      </x:c>
      <x:c r="B118" s="11" t="str">
        <x:v>ABNB-2024Q2-INITIAL</x:v>
      </x:c>
      <x:c r="C118" s="11" t="str">
        <x:v>ABNB</x:v>
      </x:c>
      <x:c r="D118" s="44" t="str">
        <x:v>ABNB US Equity</x:v>
      </x:c>
      <x:c r="E118" s="56" t="n">
        <x:v>45510.854166666664</x:v>
      </x:c>
      <x:c r="F118" s="44" t="str">
        <x:v>First U.S. exchange session after an after-close release</x:v>
      </x:c>
      <x:c r="G118" s="44" t="str">
        <x:v>1 trading sessions</x:v>
      </x:c>
      <x:c r="H118" s="44" t="str">
        <x:v>Official close immediately before reaction session</x:v>
      </x:c>
      <x:c r="I118" s="44" t="str">
        <x:v>Official close after 1 exchange sessions</x:v>
      </x:c>
      <x:c r="J118" s="44" t="str">
        <x:v>TOT_RETURN_INDEX_GROSS_DVDS preferred; PX_LAST fallback</x:v>
      </x:c>
      <x:c r="K118" s="59" t="str"/>
      <x:c r="L118" s="59" t="str"/>
      <x:c r="M118" s="46" t="str"/>
      <x:c r="N118" s="46" t="str"/>
      <x:c r="O118" s="46" t="str"/>
      <x:c r="P118" s="46" t="str"/>
      <x:c r="Q118" s="46" t="str"/>
    </x:row>
    <x:row r="119">
      <x:c r="A119" s="11" t="str">
        <x:v>ABNB-2024Q2-INITIAL-ABNB-5D</x:v>
      </x:c>
      <x:c r="B119" s="11" t="str">
        <x:v>ABNB-2024Q2-INITIAL</x:v>
      </x:c>
      <x:c r="C119" s="11" t="str">
        <x:v>ABNB</x:v>
      </x:c>
      <x:c r="D119" s="44" t="str">
        <x:v>ABNB US Equity</x:v>
      </x:c>
      <x:c r="E119" s="56" t="n">
        <x:v>45510.854166666664</x:v>
      </x:c>
      <x:c r="F119" s="44" t="str">
        <x:v>First U.S. exchange session after an after-close release</x:v>
      </x:c>
      <x:c r="G119" s="44" t="str">
        <x:v>5 trading sessions</x:v>
      </x:c>
      <x:c r="H119" s="44" t="str">
        <x:v>Official close immediately before reaction session</x:v>
      </x:c>
      <x:c r="I119" s="44" t="str">
        <x:v>Official close after 5 exchange sessions</x:v>
      </x:c>
      <x:c r="J119" s="44" t="str">
        <x:v>TOT_RETURN_INDEX_GROSS_DVDS preferred; PX_LAST fallback</x:v>
      </x:c>
      <x:c r="K119" s="59" t="str"/>
      <x:c r="L119" s="59" t="str"/>
      <x:c r="M119" s="46" t="str"/>
      <x:c r="N119" s="46" t="str"/>
      <x:c r="O119" s="46" t="str"/>
      <x:c r="P119" s="46" t="str"/>
      <x:c r="Q119" s="46" t="str"/>
    </x:row>
    <x:row r="120">
      <x:c r="A120" s="11" t="str">
        <x:v>ABNB-2024Q2-INITIAL-ABNB-20D</x:v>
      </x:c>
      <x:c r="B120" s="11" t="str">
        <x:v>ABNB-2024Q2-INITIAL</x:v>
      </x:c>
      <x:c r="C120" s="11" t="str">
        <x:v>ABNB</x:v>
      </x:c>
      <x:c r="D120" s="44" t="str">
        <x:v>ABNB US Equity</x:v>
      </x:c>
      <x:c r="E120" s="56" t="n">
        <x:v>45510.854166666664</x:v>
      </x:c>
      <x:c r="F120" s="44" t="str">
        <x:v>First U.S. exchange session after an after-close release</x:v>
      </x:c>
      <x:c r="G120" s="44" t="str">
        <x:v>20 trading sessions</x:v>
      </x:c>
      <x:c r="H120" s="44" t="str">
        <x:v>Official close immediately before reaction session</x:v>
      </x:c>
      <x:c r="I120" s="44" t="str">
        <x:v>Official close after 20 exchange sessions</x:v>
      </x:c>
      <x:c r="J120" s="44" t="str">
        <x:v>TOT_RETURN_INDEX_GROSS_DVDS preferred; PX_LAST fallback</x:v>
      </x:c>
      <x:c r="K120" s="59" t="str"/>
      <x:c r="L120" s="59" t="str"/>
      <x:c r="M120" s="46" t="str"/>
      <x:c r="N120" s="46" t="str"/>
      <x:c r="O120" s="46" t="str"/>
      <x:c r="P120" s="46" t="str"/>
      <x:c r="Q120" s="46" t="str"/>
    </x:row>
    <x:row r="121">
      <x:c r="A121" s="11" t="str">
        <x:v>ABNB-2024Q2-INITIAL-ABNB-60D</x:v>
      </x:c>
      <x:c r="B121" s="11" t="str">
        <x:v>ABNB-2024Q2-INITIAL</x:v>
      </x:c>
      <x:c r="C121" s="11" t="str">
        <x:v>ABNB</x:v>
      </x:c>
      <x:c r="D121" s="44" t="str">
        <x:v>ABNB US Equity</x:v>
      </x:c>
      <x:c r="E121" s="56" t="n">
        <x:v>45510.854166666664</x:v>
      </x:c>
      <x:c r="F121" s="44" t="str">
        <x:v>First U.S. exchange session after an after-close release</x:v>
      </x:c>
      <x:c r="G121" s="44" t="str">
        <x:v>60 trading sessions</x:v>
      </x:c>
      <x:c r="H121" s="44" t="str">
        <x:v>Official close immediately before reaction session</x:v>
      </x:c>
      <x:c r="I121" s="44" t="str">
        <x:v>Official close after 60 exchange sessions</x:v>
      </x:c>
      <x:c r="J121" s="44" t="str">
        <x:v>TOT_RETURN_INDEX_GROSS_DVDS preferred; PX_LAST fallback</x:v>
      </x:c>
      <x:c r="K121" s="59" t="str"/>
      <x:c r="L121" s="59" t="str"/>
      <x:c r="M121" s="46" t="str"/>
      <x:c r="N121" s="46" t="str"/>
      <x:c r="O121" s="46" t="str"/>
      <x:c r="P121" s="46" t="str"/>
      <x:c r="Q121" s="46" t="str"/>
    </x:row>
    <x:row r="122">
      <x:c r="A122" s="11" t="str">
        <x:v>ABNB-2024Q2-INITIAL-QQQ-1D</x:v>
      </x:c>
      <x:c r="B122" s="11" t="str">
        <x:v>ABNB-2024Q2-INITIAL</x:v>
      </x:c>
      <x:c r="C122" s="11" t="str">
        <x:v>QQQ</x:v>
      </x:c>
      <x:c r="D122" s="44" t="str">
        <x:v>QQQ US Equity</x:v>
      </x:c>
      <x:c r="E122" s="56" t="n">
        <x:v>45510.854166666664</x:v>
      </x:c>
      <x:c r="F122" s="44" t="str">
        <x:v>First U.S. exchange session after an after-close release</x:v>
      </x:c>
      <x:c r="G122" s="44" t="str">
        <x:v>1 trading sessions</x:v>
      </x:c>
      <x:c r="H122" s="44" t="str">
        <x:v>Official close immediately before reaction session</x:v>
      </x:c>
      <x:c r="I122" s="44" t="str">
        <x:v>Official close after 1 exchange sessions</x:v>
      </x:c>
      <x:c r="J122" s="44" t="str">
        <x:v>TOT_RETURN_INDEX_GROSS_DVDS preferred; PX_LAST fallback</x:v>
      </x:c>
      <x:c r="K122" s="59" t="str"/>
      <x:c r="L122" s="59" t="str"/>
      <x:c r="M122" s="46" t="str"/>
      <x:c r="N122" s="46" t="str"/>
      <x:c r="O122" s="46" t="str"/>
      <x:c r="P122" s="46" t="str"/>
      <x:c r="Q122" s="46" t="str"/>
    </x:row>
    <x:row r="123">
      <x:c r="A123" s="11" t="str">
        <x:v>ABNB-2024Q2-INITIAL-QQQ-5D</x:v>
      </x:c>
      <x:c r="B123" s="11" t="str">
        <x:v>ABNB-2024Q2-INITIAL</x:v>
      </x:c>
      <x:c r="C123" s="11" t="str">
        <x:v>QQQ</x:v>
      </x:c>
      <x:c r="D123" s="44" t="str">
        <x:v>QQQ US Equity</x:v>
      </x:c>
      <x:c r="E123" s="56" t="n">
        <x:v>45510.854166666664</x:v>
      </x:c>
      <x:c r="F123" s="44" t="str">
        <x:v>First U.S. exchange session after an after-close release</x:v>
      </x:c>
      <x:c r="G123" s="44" t="str">
        <x:v>5 trading sessions</x:v>
      </x:c>
      <x:c r="H123" s="44" t="str">
        <x:v>Official close immediately before reaction session</x:v>
      </x:c>
      <x:c r="I123" s="44" t="str">
        <x:v>Official close after 5 exchange sessions</x:v>
      </x:c>
      <x:c r="J123" s="44" t="str">
        <x:v>TOT_RETURN_INDEX_GROSS_DVDS preferred; PX_LAST fallback</x:v>
      </x:c>
      <x:c r="K123" s="59" t="str"/>
      <x:c r="L123" s="59" t="str"/>
      <x:c r="M123" s="46" t="str"/>
      <x:c r="N123" s="46" t="str"/>
      <x:c r="O123" s="46" t="str"/>
      <x:c r="P123" s="46" t="str"/>
      <x:c r="Q123" s="46" t="str"/>
    </x:row>
    <x:row r="124">
      <x:c r="A124" s="11" t="str">
        <x:v>ABNB-2024Q2-INITIAL-QQQ-20D</x:v>
      </x:c>
      <x:c r="B124" s="11" t="str">
        <x:v>ABNB-2024Q2-INITIAL</x:v>
      </x:c>
      <x:c r="C124" s="11" t="str">
        <x:v>QQQ</x:v>
      </x:c>
      <x:c r="D124" s="44" t="str">
        <x:v>QQQ US Equity</x:v>
      </x:c>
      <x:c r="E124" s="56" t="n">
        <x:v>45510.854166666664</x:v>
      </x:c>
      <x:c r="F124" s="44" t="str">
        <x:v>First U.S. exchange session after an after-close release</x:v>
      </x:c>
      <x:c r="G124" s="44" t="str">
        <x:v>20 trading sessions</x:v>
      </x:c>
      <x:c r="H124" s="44" t="str">
        <x:v>Official close immediately before reaction session</x:v>
      </x:c>
      <x:c r="I124" s="44" t="str">
        <x:v>Official close after 20 exchange sessions</x:v>
      </x:c>
      <x:c r="J124" s="44" t="str">
        <x:v>TOT_RETURN_INDEX_GROSS_DVDS preferred; PX_LAST fallback</x:v>
      </x:c>
      <x:c r="K124" s="59" t="str"/>
      <x:c r="L124" s="59" t="str"/>
      <x:c r="M124" s="46" t="str"/>
      <x:c r="N124" s="46" t="str"/>
      <x:c r="O124" s="46" t="str"/>
      <x:c r="P124" s="46" t="str"/>
      <x:c r="Q124" s="46" t="str"/>
    </x:row>
    <x:row r="125">
      <x:c r="A125" s="11" t="str">
        <x:v>ABNB-2024Q2-INITIAL-QQQ-60D</x:v>
      </x:c>
      <x:c r="B125" s="11" t="str">
        <x:v>ABNB-2024Q2-INITIAL</x:v>
      </x:c>
      <x:c r="C125" s="11" t="str">
        <x:v>QQQ</x:v>
      </x:c>
      <x:c r="D125" s="44" t="str">
        <x:v>QQQ US Equity</x:v>
      </x:c>
      <x:c r="E125" s="56" t="n">
        <x:v>45510.854166666664</x:v>
      </x:c>
      <x:c r="F125" s="44" t="str">
        <x:v>First U.S. exchange session after an after-close release</x:v>
      </x:c>
      <x:c r="G125" s="44" t="str">
        <x:v>60 trading sessions</x:v>
      </x:c>
      <x:c r="H125" s="44" t="str">
        <x:v>Official close immediately before reaction session</x:v>
      </x:c>
      <x:c r="I125" s="44" t="str">
        <x:v>Official close after 60 exchange sessions</x:v>
      </x:c>
      <x:c r="J125" s="44" t="str">
        <x:v>TOT_RETURN_INDEX_GROSS_DVDS preferred; PX_LAST fallback</x:v>
      </x:c>
      <x:c r="K125" s="59" t="str"/>
      <x:c r="L125" s="59" t="str"/>
      <x:c r="M125" s="46" t="str"/>
      <x:c r="N125" s="46" t="str"/>
      <x:c r="O125" s="46" t="str"/>
      <x:c r="P125" s="46" t="str"/>
      <x:c r="Q125" s="46" t="str"/>
    </x:row>
    <x:row r="126">
      <x:c r="A126" s="11" t="str">
        <x:v>ABNB-2024Q3-INITIAL-ABNB-1D</x:v>
      </x:c>
      <x:c r="B126" s="11" t="str">
        <x:v>ABNB-2024Q3-INITIAL</x:v>
      </x:c>
      <x:c r="C126" s="11" t="str">
        <x:v>ABNB</x:v>
      </x:c>
      <x:c r="D126" s="44" t="str">
        <x:v>ABNB US Equity</x:v>
      </x:c>
      <x:c r="E126" s="56" t="n">
        <x:v>45603.895833333336</x:v>
      </x:c>
      <x:c r="F126" s="44" t="str">
        <x:v>First U.S. exchange session after an after-close release</x:v>
      </x:c>
      <x:c r="G126" s="44" t="str">
        <x:v>1 trading sessions</x:v>
      </x:c>
      <x:c r="H126" s="44" t="str">
        <x:v>Official close immediately before reaction session</x:v>
      </x:c>
      <x:c r="I126" s="44" t="str">
        <x:v>Official close after 1 exchange sessions</x:v>
      </x:c>
      <x:c r="J126" s="44" t="str">
        <x:v>TOT_RETURN_INDEX_GROSS_DVDS preferred; PX_LAST fallback</x:v>
      </x:c>
      <x:c r="K126" s="59" t="str"/>
      <x:c r="L126" s="59" t="str"/>
      <x:c r="M126" s="46" t="str"/>
      <x:c r="N126" s="46" t="str"/>
      <x:c r="O126" s="46" t="str"/>
      <x:c r="P126" s="46" t="str"/>
      <x:c r="Q126" s="46" t="str"/>
    </x:row>
    <x:row r="127">
      <x:c r="A127" s="11" t="str">
        <x:v>ABNB-2024Q3-INITIAL-ABNB-5D</x:v>
      </x:c>
      <x:c r="B127" s="11" t="str">
        <x:v>ABNB-2024Q3-INITIAL</x:v>
      </x:c>
      <x:c r="C127" s="11" t="str">
        <x:v>ABNB</x:v>
      </x:c>
      <x:c r="D127" s="44" t="str">
        <x:v>ABNB US Equity</x:v>
      </x:c>
      <x:c r="E127" s="56" t="n">
        <x:v>45603.895833333336</x:v>
      </x:c>
      <x:c r="F127" s="44" t="str">
        <x:v>First U.S. exchange session after an after-close release</x:v>
      </x:c>
      <x:c r="G127" s="44" t="str">
        <x:v>5 trading sessions</x:v>
      </x:c>
      <x:c r="H127" s="44" t="str">
        <x:v>Official close immediately before reaction session</x:v>
      </x:c>
      <x:c r="I127" s="44" t="str">
        <x:v>Official close after 5 exchange sessions</x:v>
      </x:c>
      <x:c r="J127" s="44" t="str">
        <x:v>TOT_RETURN_INDEX_GROSS_DVDS preferred; PX_LAST fallback</x:v>
      </x:c>
      <x:c r="K127" s="59" t="str"/>
      <x:c r="L127" s="59" t="str"/>
      <x:c r="M127" s="46" t="str"/>
      <x:c r="N127" s="46" t="str"/>
      <x:c r="O127" s="46" t="str"/>
      <x:c r="P127" s="46" t="str"/>
      <x:c r="Q127" s="46" t="str"/>
    </x:row>
    <x:row r="128">
      <x:c r="A128" s="11" t="str">
        <x:v>ABNB-2024Q3-INITIAL-ABNB-20D</x:v>
      </x:c>
      <x:c r="B128" s="11" t="str">
        <x:v>ABNB-2024Q3-INITIAL</x:v>
      </x:c>
      <x:c r="C128" s="11" t="str">
        <x:v>ABNB</x:v>
      </x:c>
      <x:c r="D128" s="44" t="str">
        <x:v>ABNB US Equity</x:v>
      </x:c>
      <x:c r="E128" s="56" t="n">
        <x:v>45603.895833333336</x:v>
      </x:c>
      <x:c r="F128" s="44" t="str">
        <x:v>First U.S. exchange session after an after-close release</x:v>
      </x:c>
      <x:c r="G128" s="44" t="str">
        <x:v>20 trading sessions</x:v>
      </x:c>
      <x:c r="H128" s="44" t="str">
        <x:v>Official close immediately before reaction session</x:v>
      </x:c>
      <x:c r="I128" s="44" t="str">
        <x:v>Official close after 20 exchange sessions</x:v>
      </x:c>
      <x:c r="J128" s="44" t="str">
        <x:v>TOT_RETURN_INDEX_GROSS_DVDS preferred; PX_LAST fallback</x:v>
      </x:c>
      <x:c r="K128" s="59" t="str"/>
      <x:c r="L128" s="59" t="str"/>
      <x:c r="M128" s="46" t="str"/>
      <x:c r="N128" s="46" t="str"/>
      <x:c r="O128" s="46" t="str"/>
      <x:c r="P128" s="46" t="str"/>
      <x:c r="Q128" s="46" t="str"/>
    </x:row>
    <x:row r="129">
      <x:c r="A129" s="11" t="str">
        <x:v>ABNB-2024Q3-INITIAL-ABNB-60D</x:v>
      </x:c>
      <x:c r="B129" s="11" t="str">
        <x:v>ABNB-2024Q3-INITIAL</x:v>
      </x:c>
      <x:c r="C129" s="11" t="str">
        <x:v>ABNB</x:v>
      </x:c>
      <x:c r="D129" s="44" t="str">
        <x:v>ABNB US Equity</x:v>
      </x:c>
      <x:c r="E129" s="56" t="n">
        <x:v>45603.895833333336</x:v>
      </x:c>
      <x:c r="F129" s="44" t="str">
        <x:v>First U.S. exchange session after an after-close release</x:v>
      </x:c>
      <x:c r="G129" s="44" t="str">
        <x:v>60 trading sessions</x:v>
      </x:c>
      <x:c r="H129" s="44" t="str">
        <x:v>Official close immediately before reaction session</x:v>
      </x:c>
      <x:c r="I129" s="44" t="str">
        <x:v>Official close after 60 exchange sessions</x:v>
      </x:c>
      <x:c r="J129" s="44" t="str">
        <x:v>TOT_RETURN_INDEX_GROSS_DVDS preferred; PX_LAST fallback</x:v>
      </x:c>
      <x:c r="K129" s="59" t="str"/>
      <x:c r="L129" s="59" t="str"/>
      <x:c r="M129" s="46" t="str"/>
      <x:c r="N129" s="46" t="str"/>
      <x:c r="O129" s="46" t="str"/>
      <x:c r="P129" s="46" t="str"/>
      <x:c r="Q129" s="46" t="str"/>
    </x:row>
    <x:row r="130">
      <x:c r="A130" s="11" t="str">
        <x:v>ABNB-2024Q3-INITIAL-QQQ-1D</x:v>
      </x:c>
      <x:c r="B130" s="11" t="str">
        <x:v>ABNB-2024Q3-INITIAL</x:v>
      </x:c>
      <x:c r="C130" s="11" t="str">
        <x:v>QQQ</x:v>
      </x:c>
      <x:c r="D130" s="44" t="str">
        <x:v>QQQ US Equity</x:v>
      </x:c>
      <x:c r="E130" s="56" t="n">
        <x:v>45603.895833333336</x:v>
      </x:c>
      <x:c r="F130" s="44" t="str">
        <x:v>First U.S. exchange session after an after-close release</x:v>
      </x:c>
      <x:c r="G130" s="44" t="str">
        <x:v>1 trading sessions</x:v>
      </x:c>
      <x:c r="H130" s="44" t="str">
        <x:v>Official close immediately before reaction session</x:v>
      </x:c>
      <x:c r="I130" s="44" t="str">
        <x:v>Official close after 1 exchange sessions</x:v>
      </x:c>
      <x:c r="J130" s="44" t="str">
        <x:v>TOT_RETURN_INDEX_GROSS_DVDS preferred; PX_LAST fallback</x:v>
      </x:c>
      <x:c r="K130" s="59" t="str"/>
      <x:c r="L130" s="59" t="str"/>
      <x:c r="M130" s="46" t="str"/>
      <x:c r="N130" s="46" t="str"/>
      <x:c r="O130" s="46" t="str"/>
      <x:c r="P130" s="46" t="str"/>
      <x:c r="Q130" s="46" t="str"/>
    </x:row>
    <x:row r="131">
      <x:c r="A131" s="11" t="str">
        <x:v>ABNB-2024Q3-INITIAL-QQQ-5D</x:v>
      </x:c>
      <x:c r="B131" s="11" t="str">
        <x:v>ABNB-2024Q3-INITIAL</x:v>
      </x:c>
      <x:c r="C131" s="11" t="str">
        <x:v>QQQ</x:v>
      </x:c>
      <x:c r="D131" s="44" t="str">
        <x:v>QQQ US Equity</x:v>
      </x:c>
      <x:c r="E131" s="56" t="n">
        <x:v>45603.895833333336</x:v>
      </x:c>
      <x:c r="F131" s="44" t="str">
        <x:v>First U.S. exchange session after an after-close release</x:v>
      </x:c>
      <x:c r="G131" s="44" t="str">
        <x:v>5 trading sessions</x:v>
      </x:c>
      <x:c r="H131" s="44" t="str">
        <x:v>Official close immediately before reaction session</x:v>
      </x:c>
      <x:c r="I131" s="44" t="str">
        <x:v>Official close after 5 exchange sessions</x:v>
      </x:c>
      <x:c r="J131" s="44" t="str">
        <x:v>TOT_RETURN_INDEX_GROSS_DVDS preferred; PX_LAST fallback</x:v>
      </x:c>
      <x:c r="K131" s="59" t="str"/>
      <x:c r="L131" s="59" t="str"/>
      <x:c r="M131" s="46" t="str"/>
      <x:c r="N131" s="46" t="str"/>
      <x:c r="O131" s="46" t="str"/>
      <x:c r="P131" s="46" t="str"/>
      <x:c r="Q131" s="46" t="str"/>
    </x:row>
    <x:row r="132">
      <x:c r="A132" s="11" t="str">
        <x:v>ABNB-2024Q3-INITIAL-QQQ-20D</x:v>
      </x:c>
      <x:c r="B132" s="11" t="str">
        <x:v>ABNB-2024Q3-INITIAL</x:v>
      </x:c>
      <x:c r="C132" s="11" t="str">
        <x:v>QQQ</x:v>
      </x:c>
      <x:c r="D132" s="44" t="str">
        <x:v>QQQ US Equity</x:v>
      </x:c>
      <x:c r="E132" s="56" t="n">
        <x:v>45603.895833333336</x:v>
      </x:c>
      <x:c r="F132" s="44" t="str">
        <x:v>First U.S. exchange session after an after-close release</x:v>
      </x:c>
      <x:c r="G132" s="44" t="str">
        <x:v>20 trading sessions</x:v>
      </x:c>
      <x:c r="H132" s="44" t="str">
        <x:v>Official close immediately before reaction session</x:v>
      </x:c>
      <x:c r="I132" s="44" t="str">
        <x:v>Official close after 20 exchange sessions</x:v>
      </x:c>
      <x:c r="J132" s="44" t="str">
        <x:v>TOT_RETURN_INDEX_GROSS_DVDS preferred; PX_LAST fallback</x:v>
      </x:c>
      <x:c r="K132" s="59" t="str"/>
      <x:c r="L132" s="59" t="str"/>
      <x:c r="M132" s="46" t="str"/>
      <x:c r="N132" s="46" t="str"/>
      <x:c r="O132" s="46" t="str"/>
      <x:c r="P132" s="46" t="str"/>
      <x:c r="Q132" s="46" t="str"/>
    </x:row>
    <x:row r="133">
      <x:c r="A133" s="11" t="str">
        <x:v>ABNB-2024Q3-INITIAL-QQQ-60D</x:v>
      </x:c>
      <x:c r="B133" s="11" t="str">
        <x:v>ABNB-2024Q3-INITIAL</x:v>
      </x:c>
      <x:c r="C133" s="11" t="str">
        <x:v>QQQ</x:v>
      </x:c>
      <x:c r="D133" s="44" t="str">
        <x:v>QQQ US Equity</x:v>
      </x:c>
      <x:c r="E133" s="56" t="n">
        <x:v>45603.895833333336</x:v>
      </x:c>
      <x:c r="F133" s="44" t="str">
        <x:v>First U.S. exchange session after an after-close release</x:v>
      </x:c>
      <x:c r="G133" s="44" t="str">
        <x:v>60 trading sessions</x:v>
      </x:c>
      <x:c r="H133" s="44" t="str">
        <x:v>Official close immediately before reaction session</x:v>
      </x:c>
      <x:c r="I133" s="44" t="str">
        <x:v>Official close after 60 exchange sessions</x:v>
      </x:c>
      <x:c r="J133" s="44" t="str">
        <x:v>TOT_RETURN_INDEX_GROSS_DVDS preferred; PX_LAST fallback</x:v>
      </x:c>
      <x:c r="K133" s="59" t="str"/>
      <x:c r="L133" s="59" t="str"/>
      <x:c r="M133" s="46" t="str"/>
      <x:c r="N133" s="46" t="str"/>
      <x:c r="O133" s="46" t="str"/>
      <x:c r="P133" s="46" t="str"/>
      <x:c r="Q133" s="46" t="str"/>
    </x:row>
    <x:row r="134">
      <x:c r="A134" s="11" t="str">
        <x:v>ABNB-2024Q4-INITIAL-ABNB-1D</x:v>
      </x:c>
      <x:c r="B134" s="11" t="str">
        <x:v>ABNB-2024Q4-INITIAL</x:v>
      </x:c>
      <x:c r="C134" s="11" t="str">
        <x:v>ABNB</x:v>
      </x:c>
      <x:c r="D134" s="44" t="str">
        <x:v>ABNB US Equity</x:v>
      </x:c>
      <x:c r="E134" s="56" t="n">
        <x:v>45701.895833333336</x:v>
      </x:c>
      <x:c r="F134" s="44" t="str">
        <x:v>First U.S. exchange session after an after-close release</x:v>
      </x:c>
      <x:c r="G134" s="44" t="str">
        <x:v>1 trading sessions</x:v>
      </x:c>
      <x:c r="H134" s="44" t="str">
        <x:v>Official close immediately before reaction session</x:v>
      </x:c>
      <x:c r="I134" s="44" t="str">
        <x:v>Official close after 1 exchange sessions</x:v>
      </x:c>
      <x:c r="J134" s="44" t="str">
        <x:v>TOT_RETURN_INDEX_GROSS_DVDS preferred; PX_LAST fallback</x:v>
      </x:c>
      <x:c r="K134" s="59" t="str"/>
      <x:c r="L134" s="59" t="str"/>
      <x:c r="M134" s="46" t="str"/>
      <x:c r="N134" s="46" t="str"/>
      <x:c r="O134" s="46" t="str"/>
      <x:c r="P134" s="46" t="str"/>
      <x:c r="Q134" s="46" t="str"/>
    </x:row>
    <x:row r="135">
      <x:c r="A135" s="11" t="str">
        <x:v>ABNB-2024Q4-INITIAL-ABNB-5D</x:v>
      </x:c>
      <x:c r="B135" s="11" t="str">
        <x:v>ABNB-2024Q4-INITIAL</x:v>
      </x:c>
      <x:c r="C135" s="11" t="str">
        <x:v>ABNB</x:v>
      </x:c>
      <x:c r="D135" s="44" t="str">
        <x:v>ABNB US Equity</x:v>
      </x:c>
      <x:c r="E135" s="56" t="n">
        <x:v>45701.895833333336</x:v>
      </x:c>
      <x:c r="F135" s="44" t="str">
        <x:v>First U.S. exchange session after an after-close release</x:v>
      </x:c>
      <x:c r="G135" s="44" t="str">
        <x:v>5 trading sessions</x:v>
      </x:c>
      <x:c r="H135" s="44" t="str">
        <x:v>Official close immediately before reaction session</x:v>
      </x:c>
      <x:c r="I135" s="44" t="str">
        <x:v>Official close after 5 exchange sessions</x:v>
      </x:c>
      <x:c r="J135" s="44" t="str">
        <x:v>TOT_RETURN_INDEX_GROSS_DVDS preferred; PX_LAST fallback</x:v>
      </x:c>
      <x:c r="K135" s="59" t="str"/>
      <x:c r="L135" s="59" t="str"/>
      <x:c r="M135" s="46" t="str"/>
      <x:c r="N135" s="46" t="str"/>
      <x:c r="O135" s="46" t="str"/>
      <x:c r="P135" s="46" t="str"/>
      <x:c r="Q135" s="46" t="str"/>
    </x:row>
    <x:row r="136">
      <x:c r="A136" s="11" t="str">
        <x:v>ABNB-2024Q4-INITIAL-ABNB-20D</x:v>
      </x:c>
      <x:c r="B136" s="11" t="str">
        <x:v>ABNB-2024Q4-INITIAL</x:v>
      </x:c>
      <x:c r="C136" s="11" t="str">
        <x:v>ABNB</x:v>
      </x:c>
      <x:c r="D136" s="44" t="str">
        <x:v>ABNB US Equity</x:v>
      </x:c>
      <x:c r="E136" s="56" t="n">
        <x:v>45701.895833333336</x:v>
      </x:c>
      <x:c r="F136" s="44" t="str">
        <x:v>First U.S. exchange session after an after-close release</x:v>
      </x:c>
      <x:c r="G136" s="44" t="str">
        <x:v>20 trading sessions</x:v>
      </x:c>
      <x:c r="H136" s="44" t="str">
        <x:v>Official close immediately before reaction session</x:v>
      </x:c>
      <x:c r="I136" s="44" t="str">
        <x:v>Official close after 20 exchange sessions</x:v>
      </x:c>
      <x:c r="J136" s="44" t="str">
        <x:v>TOT_RETURN_INDEX_GROSS_DVDS preferred; PX_LAST fallback</x:v>
      </x:c>
      <x:c r="K136" s="59" t="str"/>
      <x:c r="L136" s="59" t="str"/>
      <x:c r="M136" s="46" t="str"/>
      <x:c r="N136" s="46" t="str"/>
      <x:c r="O136" s="46" t="str"/>
      <x:c r="P136" s="46" t="str"/>
      <x:c r="Q136" s="46" t="str"/>
    </x:row>
    <x:row r="137">
      <x:c r="A137" s="11" t="str">
        <x:v>ABNB-2024Q4-INITIAL-ABNB-60D</x:v>
      </x:c>
      <x:c r="B137" s="11" t="str">
        <x:v>ABNB-2024Q4-INITIAL</x:v>
      </x:c>
      <x:c r="C137" s="11" t="str">
        <x:v>ABNB</x:v>
      </x:c>
      <x:c r="D137" s="44" t="str">
        <x:v>ABNB US Equity</x:v>
      </x:c>
      <x:c r="E137" s="56" t="n">
        <x:v>45701.895833333336</x:v>
      </x:c>
      <x:c r="F137" s="44" t="str">
        <x:v>First U.S. exchange session after an after-close release</x:v>
      </x:c>
      <x:c r="G137" s="44" t="str">
        <x:v>60 trading sessions</x:v>
      </x:c>
      <x:c r="H137" s="44" t="str">
        <x:v>Official close immediately before reaction session</x:v>
      </x:c>
      <x:c r="I137" s="44" t="str">
        <x:v>Official close after 60 exchange sessions</x:v>
      </x:c>
      <x:c r="J137" s="44" t="str">
        <x:v>TOT_RETURN_INDEX_GROSS_DVDS preferred; PX_LAST fallback</x:v>
      </x:c>
      <x:c r="K137" s="59" t="str"/>
      <x:c r="L137" s="59" t="str"/>
      <x:c r="M137" s="46" t="str"/>
      <x:c r="N137" s="46" t="str"/>
      <x:c r="O137" s="46" t="str"/>
      <x:c r="P137" s="46" t="str"/>
      <x:c r="Q137" s="46" t="str"/>
    </x:row>
    <x:row r="138">
      <x:c r="A138" s="11" t="str">
        <x:v>ABNB-2024Q4-INITIAL-QQQ-1D</x:v>
      </x:c>
      <x:c r="B138" s="11" t="str">
        <x:v>ABNB-2024Q4-INITIAL</x:v>
      </x:c>
      <x:c r="C138" s="11" t="str">
        <x:v>QQQ</x:v>
      </x:c>
      <x:c r="D138" s="44" t="str">
        <x:v>QQQ US Equity</x:v>
      </x:c>
      <x:c r="E138" s="56" t="n">
        <x:v>45701.895833333336</x:v>
      </x:c>
      <x:c r="F138" s="44" t="str">
        <x:v>First U.S. exchange session after an after-close release</x:v>
      </x:c>
      <x:c r="G138" s="44" t="str">
        <x:v>1 trading sessions</x:v>
      </x:c>
      <x:c r="H138" s="44" t="str">
        <x:v>Official close immediately before reaction session</x:v>
      </x:c>
      <x:c r="I138" s="44" t="str">
        <x:v>Official close after 1 exchange sessions</x:v>
      </x:c>
      <x:c r="J138" s="44" t="str">
        <x:v>TOT_RETURN_INDEX_GROSS_DVDS preferred; PX_LAST fallback</x:v>
      </x:c>
      <x:c r="K138" s="59" t="str"/>
      <x:c r="L138" s="59" t="str"/>
      <x:c r="M138" s="46" t="str"/>
      <x:c r="N138" s="46" t="str"/>
      <x:c r="O138" s="46" t="str"/>
      <x:c r="P138" s="46" t="str"/>
      <x:c r="Q138" s="46" t="str"/>
    </x:row>
    <x:row r="139">
      <x:c r="A139" s="11" t="str">
        <x:v>ABNB-2024Q4-INITIAL-QQQ-5D</x:v>
      </x:c>
      <x:c r="B139" s="11" t="str">
        <x:v>ABNB-2024Q4-INITIAL</x:v>
      </x:c>
      <x:c r="C139" s="11" t="str">
        <x:v>QQQ</x:v>
      </x:c>
      <x:c r="D139" s="44" t="str">
        <x:v>QQQ US Equity</x:v>
      </x:c>
      <x:c r="E139" s="56" t="n">
        <x:v>45701.895833333336</x:v>
      </x:c>
      <x:c r="F139" s="44" t="str">
        <x:v>First U.S. exchange session after an after-close release</x:v>
      </x:c>
      <x:c r="G139" s="44" t="str">
        <x:v>5 trading sessions</x:v>
      </x:c>
      <x:c r="H139" s="44" t="str">
        <x:v>Official close immediately before reaction session</x:v>
      </x:c>
      <x:c r="I139" s="44" t="str">
        <x:v>Official close after 5 exchange sessions</x:v>
      </x:c>
      <x:c r="J139" s="44" t="str">
        <x:v>TOT_RETURN_INDEX_GROSS_DVDS preferred; PX_LAST fallback</x:v>
      </x:c>
      <x:c r="K139" s="59" t="str"/>
      <x:c r="L139" s="59" t="str"/>
      <x:c r="M139" s="46" t="str"/>
      <x:c r="N139" s="46" t="str"/>
      <x:c r="O139" s="46" t="str"/>
      <x:c r="P139" s="46" t="str"/>
      <x:c r="Q139" s="46" t="str"/>
    </x:row>
    <x:row r="140">
      <x:c r="A140" s="11" t="str">
        <x:v>ABNB-2024Q4-INITIAL-QQQ-20D</x:v>
      </x:c>
      <x:c r="B140" s="11" t="str">
        <x:v>ABNB-2024Q4-INITIAL</x:v>
      </x:c>
      <x:c r="C140" s="11" t="str">
        <x:v>QQQ</x:v>
      </x:c>
      <x:c r="D140" s="44" t="str">
        <x:v>QQQ US Equity</x:v>
      </x:c>
      <x:c r="E140" s="56" t="n">
        <x:v>45701.895833333336</x:v>
      </x:c>
      <x:c r="F140" s="44" t="str">
        <x:v>First U.S. exchange session after an after-close release</x:v>
      </x:c>
      <x:c r="G140" s="44" t="str">
        <x:v>20 trading sessions</x:v>
      </x:c>
      <x:c r="H140" s="44" t="str">
        <x:v>Official close immediately before reaction session</x:v>
      </x:c>
      <x:c r="I140" s="44" t="str">
        <x:v>Official close after 20 exchange sessions</x:v>
      </x:c>
      <x:c r="J140" s="44" t="str">
        <x:v>TOT_RETURN_INDEX_GROSS_DVDS preferred; PX_LAST fallback</x:v>
      </x:c>
      <x:c r="K140" s="59" t="str"/>
      <x:c r="L140" s="59" t="str"/>
      <x:c r="M140" s="46" t="str"/>
      <x:c r="N140" s="46" t="str"/>
      <x:c r="O140" s="46" t="str"/>
      <x:c r="P140" s="46" t="str"/>
      <x:c r="Q140" s="46" t="str"/>
    </x:row>
    <x:row r="141">
      <x:c r="A141" s="11" t="str">
        <x:v>ABNB-2024Q4-INITIAL-QQQ-60D</x:v>
      </x:c>
      <x:c r="B141" s="11" t="str">
        <x:v>ABNB-2024Q4-INITIAL</x:v>
      </x:c>
      <x:c r="C141" s="11" t="str">
        <x:v>QQQ</x:v>
      </x:c>
      <x:c r="D141" s="44" t="str">
        <x:v>QQQ US Equity</x:v>
      </x:c>
      <x:c r="E141" s="56" t="n">
        <x:v>45701.895833333336</x:v>
      </x:c>
      <x:c r="F141" s="44" t="str">
        <x:v>First U.S. exchange session after an after-close release</x:v>
      </x:c>
      <x:c r="G141" s="44" t="str">
        <x:v>60 trading sessions</x:v>
      </x:c>
      <x:c r="H141" s="44" t="str">
        <x:v>Official close immediately before reaction session</x:v>
      </x:c>
      <x:c r="I141" s="44" t="str">
        <x:v>Official close after 60 exchange sessions</x:v>
      </x:c>
      <x:c r="J141" s="44" t="str">
        <x:v>TOT_RETURN_INDEX_GROSS_DVDS preferred; PX_LAST fallback</x:v>
      </x:c>
      <x:c r="K141" s="59" t="str"/>
      <x:c r="L141" s="59" t="str"/>
      <x:c r="M141" s="46" t="str"/>
      <x:c r="N141" s="46" t="str"/>
      <x:c r="O141" s="46" t="str"/>
      <x:c r="P141" s="46" t="str"/>
      <x:c r="Q141" s="46" t="str"/>
    </x:row>
    <x:row r="142">
      <x:c r="A142" s="11" t="str">
        <x:v>ABNB-2025Q1-INITIAL-ABNB-1D</x:v>
      </x:c>
      <x:c r="B142" s="11" t="str">
        <x:v>ABNB-2025Q1-INITIAL</x:v>
      </x:c>
      <x:c r="C142" s="11" t="str">
        <x:v>ABNB</x:v>
      </x:c>
      <x:c r="D142" s="44" t="str">
        <x:v>ABNB US Equity</x:v>
      </x:c>
      <x:c r="E142" s="56" t="n">
        <x:v>45778.854166666664</x:v>
      </x:c>
      <x:c r="F142" s="44" t="str">
        <x:v>First U.S. exchange session after an after-close release</x:v>
      </x:c>
      <x:c r="G142" s="44" t="str">
        <x:v>1 trading sessions</x:v>
      </x:c>
      <x:c r="H142" s="44" t="str">
        <x:v>Official close immediately before reaction session</x:v>
      </x:c>
      <x:c r="I142" s="44" t="str">
        <x:v>Official close after 1 exchange sessions</x:v>
      </x:c>
      <x:c r="J142" s="44" t="str">
        <x:v>TOT_RETURN_INDEX_GROSS_DVDS preferred; PX_LAST fallback</x:v>
      </x:c>
      <x:c r="K142" s="59" t="str"/>
      <x:c r="L142" s="59" t="str"/>
      <x:c r="M142" s="46" t="str"/>
      <x:c r="N142" s="46" t="str"/>
      <x:c r="O142" s="46" t="str"/>
      <x:c r="P142" s="46" t="str"/>
      <x:c r="Q142" s="46" t="str"/>
    </x:row>
    <x:row r="143">
      <x:c r="A143" s="11" t="str">
        <x:v>ABNB-2025Q1-INITIAL-ABNB-5D</x:v>
      </x:c>
      <x:c r="B143" s="11" t="str">
        <x:v>ABNB-2025Q1-INITIAL</x:v>
      </x:c>
      <x:c r="C143" s="11" t="str">
        <x:v>ABNB</x:v>
      </x:c>
      <x:c r="D143" s="44" t="str">
        <x:v>ABNB US Equity</x:v>
      </x:c>
      <x:c r="E143" s="56" t="n">
        <x:v>45778.854166666664</x:v>
      </x:c>
      <x:c r="F143" s="44" t="str">
        <x:v>First U.S. exchange session after an after-close release</x:v>
      </x:c>
      <x:c r="G143" s="44" t="str">
        <x:v>5 trading sessions</x:v>
      </x:c>
      <x:c r="H143" s="44" t="str">
        <x:v>Official close immediately before reaction session</x:v>
      </x:c>
      <x:c r="I143" s="44" t="str">
        <x:v>Official close after 5 exchange sessions</x:v>
      </x:c>
      <x:c r="J143" s="44" t="str">
        <x:v>TOT_RETURN_INDEX_GROSS_DVDS preferred; PX_LAST fallback</x:v>
      </x:c>
      <x:c r="K143" s="59" t="str"/>
      <x:c r="L143" s="59" t="str"/>
      <x:c r="M143" s="46" t="str"/>
      <x:c r="N143" s="46" t="str"/>
      <x:c r="O143" s="46" t="str"/>
      <x:c r="P143" s="46" t="str"/>
      <x:c r="Q143" s="46" t="str"/>
    </x:row>
    <x:row r="144">
      <x:c r="A144" s="11" t="str">
        <x:v>ABNB-2025Q1-INITIAL-ABNB-20D</x:v>
      </x:c>
      <x:c r="B144" s="11" t="str">
        <x:v>ABNB-2025Q1-INITIAL</x:v>
      </x:c>
      <x:c r="C144" s="11" t="str">
        <x:v>ABNB</x:v>
      </x:c>
      <x:c r="D144" s="44" t="str">
        <x:v>ABNB US Equity</x:v>
      </x:c>
      <x:c r="E144" s="56" t="n">
        <x:v>45778.854166666664</x:v>
      </x:c>
      <x:c r="F144" s="44" t="str">
        <x:v>First U.S. exchange session after an after-close release</x:v>
      </x:c>
      <x:c r="G144" s="44" t="str">
        <x:v>20 trading sessions</x:v>
      </x:c>
      <x:c r="H144" s="44" t="str">
        <x:v>Official close immediately before reaction session</x:v>
      </x:c>
      <x:c r="I144" s="44" t="str">
        <x:v>Official close after 20 exchange sessions</x:v>
      </x:c>
      <x:c r="J144" s="44" t="str">
        <x:v>TOT_RETURN_INDEX_GROSS_DVDS preferred; PX_LAST fallback</x:v>
      </x:c>
      <x:c r="K144" s="59" t="str"/>
      <x:c r="L144" s="59" t="str"/>
      <x:c r="M144" s="46" t="str"/>
      <x:c r="N144" s="46" t="str"/>
      <x:c r="O144" s="46" t="str"/>
      <x:c r="P144" s="46" t="str"/>
      <x:c r="Q144" s="46" t="str"/>
    </x:row>
    <x:row r="145">
      <x:c r="A145" s="11" t="str">
        <x:v>ABNB-2025Q1-INITIAL-ABNB-60D</x:v>
      </x:c>
      <x:c r="B145" s="11" t="str">
        <x:v>ABNB-2025Q1-INITIAL</x:v>
      </x:c>
      <x:c r="C145" s="11" t="str">
        <x:v>ABNB</x:v>
      </x:c>
      <x:c r="D145" s="44" t="str">
        <x:v>ABNB US Equity</x:v>
      </x:c>
      <x:c r="E145" s="56" t="n">
        <x:v>45778.854166666664</x:v>
      </x:c>
      <x:c r="F145" s="44" t="str">
        <x:v>First U.S. exchange session after an after-close release</x:v>
      </x:c>
      <x:c r="G145" s="44" t="str">
        <x:v>60 trading sessions</x:v>
      </x:c>
      <x:c r="H145" s="44" t="str">
        <x:v>Official close immediately before reaction session</x:v>
      </x:c>
      <x:c r="I145" s="44" t="str">
        <x:v>Official close after 60 exchange sessions</x:v>
      </x:c>
      <x:c r="J145" s="44" t="str">
        <x:v>TOT_RETURN_INDEX_GROSS_DVDS preferred; PX_LAST fallback</x:v>
      </x:c>
      <x:c r="K145" s="59" t="str"/>
      <x:c r="L145" s="59" t="str"/>
      <x:c r="M145" s="46" t="str"/>
      <x:c r="N145" s="46" t="str"/>
      <x:c r="O145" s="46" t="str"/>
      <x:c r="P145" s="46" t="str"/>
      <x:c r="Q145" s="46" t="str"/>
    </x:row>
    <x:row r="146">
      <x:c r="A146" s="11" t="str">
        <x:v>ABNB-2025Q1-INITIAL-QQQ-1D</x:v>
      </x:c>
      <x:c r="B146" s="11" t="str">
        <x:v>ABNB-2025Q1-INITIAL</x:v>
      </x:c>
      <x:c r="C146" s="11" t="str">
        <x:v>QQQ</x:v>
      </x:c>
      <x:c r="D146" s="44" t="str">
        <x:v>QQQ US Equity</x:v>
      </x:c>
      <x:c r="E146" s="56" t="n">
        <x:v>45778.854166666664</x:v>
      </x:c>
      <x:c r="F146" s="44" t="str">
        <x:v>First U.S. exchange session after an after-close release</x:v>
      </x:c>
      <x:c r="G146" s="44" t="str">
        <x:v>1 trading sessions</x:v>
      </x:c>
      <x:c r="H146" s="44" t="str">
        <x:v>Official close immediately before reaction session</x:v>
      </x:c>
      <x:c r="I146" s="44" t="str">
        <x:v>Official close after 1 exchange sessions</x:v>
      </x:c>
      <x:c r="J146" s="44" t="str">
        <x:v>TOT_RETURN_INDEX_GROSS_DVDS preferred; PX_LAST fallback</x:v>
      </x:c>
      <x:c r="K146" s="59" t="str"/>
      <x:c r="L146" s="59" t="str"/>
      <x:c r="M146" s="46" t="str"/>
      <x:c r="N146" s="46" t="str"/>
      <x:c r="O146" s="46" t="str"/>
      <x:c r="P146" s="46" t="str"/>
      <x:c r="Q146" s="46" t="str"/>
    </x:row>
    <x:row r="147">
      <x:c r="A147" s="11" t="str">
        <x:v>ABNB-2025Q1-INITIAL-QQQ-5D</x:v>
      </x:c>
      <x:c r="B147" s="11" t="str">
        <x:v>ABNB-2025Q1-INITIAL</x:v>
      </x:c>
      <x:c r="C147" s="11" t="str">
        <x:v>QQQ</x:v>
      </x:c>
      <x:c r="D147" s="44" t="str">
        <x:v>QQQ US Equity</x:v>
      </x:c>
      <x:c r="E147" s="56" t="n">
        <x:v>45778.854166666664</x:v>
      </x:c>
      <x:c r="F147" s="44" t="str">
        <x:v>First U.S. exchange session after an after-close release</x:v>
      </x:c>
      <x:c r="G147" s="44" t="str">
        <x:v>5 trading sessions</x:v>
      </x:c>
      <x:c r="H147" s="44" t="str">
        <x:v>Official close immediately before reaction session</x:v>
      </x:c>
      <x:c r="I147" s="44" t="str">
        <x:v>Official close after 5 exchange sessions</x:v>
      </x:c>
      <x:c r="J147" s="44" t="str">
        <x:v>TOT_RETURN_INDEX_GROSS_DVDS preferred; PX_LAST fallback</x:v>
      </x:c>
      <x:c r="K147" s="59" t="str"/>
      <x:c r="L147" s="59" t="str"/>
      <x:c r="M147" s="46" t="str"/>
      <x:c r="N147" s="46" t="str"/>
      <x:c r="O147" s="46" t="str"/>
      <x:c r="P147" s="46" t="str"/>
      <x:c r="Q147" s="46" t="str"/>
    </x:row>
    <x:row r="148">
      <x:c r="A148" s="11" t="str">
        <x:v>ABNB-2025Q1-INITIAL-QQQ-20D</x:v>
      </x:c>
      <x:c r="B148" s="11" t="str">
        <x:v>ABNB-2025Q1-INITIAL</x:v>
      </x:c>
      <x:c r="C148" s="11" t="str">
        <x:v>QQQ</x:v>
      </x:c>
      <x:c r="D148" s="44" t="str">
        <x:v>QQQ US Equity</x:v>
      </x:c>
      <x:c r="E148" s="56" t="n">
        <x:v>45778.854166666664</x:v>
      </x:c>
      <x:c r="F148" s="44" t="str">
        <x:v>First U.S. exchange session after an after-close release</x:v>
      </x:c>
      <x:c r="G148" s="44" t="str">
        <x:v>20 trading sessions</x:v>
      </x:c>
      <x:c r="H148" s="44" t="str">
        <x:v>Official close immediately before reaction session</x:v>
      </x:c>
      <x:c r="I148" s="44" t="str">
        <x:v>Official close after 20 exchange sessions</x:v>
      </x:c>
      <x:c r="J148" s="44" t="str">
        <x:v>TOT_RETURN_INDEX_GROSS_DVDS preferred; PX_LAST fallback</x:v>
      </x:c>
      <x:c r="K148" s="59" t="str"/>
      <x:c r="L148" s="59" t="str"/>
      <x:c r="M148" s="46" t="str"/>
      <x:c r="N148" s="46" t="str"/>
      <x:c r="O148" s="46" t="str"/>
      <x:c r="P148" s="46" t="str"/>
      <x:c r="Q148" s="46" t="str"/>
    </x:row>
    <x:row r="149">
      <x:c r="A149" s="11" t="str">
        <x:v>ABNB-2025Q1-INITIAL-QQQ-60D</x:v>
      </x:c>
      <x:c r="B149" s="11" t="str">
        <x:v>ABNB-2025Q1-INITIAL</x:v>
      </x:c>
      <x:c r="C149" s="11" t="str">
        <x:v>QQQ</x:v>
      </x:c>
      <x:c r="D149" s="44" t="str">
        <x:v>QQQ US Equity</x:v>
      </x:c>
      <x:c r="E149" s="56" t="n">
        <x:v>45778.854166666664</x:v>
      </x:c>
      <x:c r="F149" s="44" t="str">
        <x:v>First U.S. exchange session after an after-close release</x:v>
      </x:c>
      <x:c r="G149" s="44" t="str">
        <x:v>60 trading sessions</x:v>
      </x:c>
      <x:c r="H149" s="44" t="str">
        <x:v>Official close immediately before reaction session</x:v>
      </x:c>
      <x:c r="I149" s="44" t="str">
        <x:v>Official close after 60 exchange sessions</x:v>
      </x:c>
      <x:c r="J149" s="44" t="str">
        <x:v>TOT_RETURN_INDEX_GROSS_DVDS preferred; PX_LAST fallback</x:v>
      </x:c>
      <x:c r="K149" s="59" t="str"/>
      <x:c r="L149" s="59" t="str"/>
      <x:c r="M149" s="46" t="str"/>
      <x:c r="N149" s="46" t="str"/>
      <x:c r="O149" s="46" t="str"/>
      <x:c r="P149" s="46" t="str"/>
      <x:c r="Q149" s="46" t="str"/>
    </x:row>
    <x:row r="150">
      <x:c r="A150" s="11" t="str">
        <x:v>ABNB-2025Q2-INITIAL-ABNB-1D</x:v>
      </x:c>
      <x:c r="B150" s="11" t="str">
        <x:v>ABNB-2025Q2-INITIAL</x:v>
      </x:c>
      <x:c r="C150" s="11" t="str">
        <x:v>ABNB</x:v>
      </x:c>
      <x:c r="D150" s="44" t="str">
        <x:v>ABNB US Equity</x:v>
      </x:c>
      <x:c r="E150" s="56" t="n">
        <x:v>45875.854166666664</x:v>
      </x:c>
      <x:c r="F150" s="44" t="str">
        <x:v>First U.S. exchange session after an after-close release</x:v>
      </x:c>
      <x:c r="G150" s="44" t="str">
        <x:v>1 trading sessions</x:v>
      </x:c>
      <x:c r="H150" s="44" t="str">
        <x:v>Official close immediately before reaction session</x:v>
      </x:c>
      <x:c r="I150" s="44" t="str">
        <x:v>Official close after 1 exchange sessions</x:v>
      </x:c>
      <x:c r="J150" s="44" t="str">
        <x:v>TOT_RETURN_INDEX_GROSS_DVDS preferred; PX_LAST fallback</x:v>
      </x:c>
      <x:c r="K150" s="59" t="str"/>
      <x:c r="L150" s="59" t="str"/>
      <x:c r="M150" s="46" t="str"/>
      <x:c r="N150" s="46" t="str"/>
      <x:c r="O150" s="46" t="str"/>
      <x:c r="P150" s="46" t="str"/>
      <x:c r="Q150" s="46" t="str"/>
    </x:row>
    <x:row r="151">
      <x:c r="A151" s="11" t="str">
        <x:v>ABNB-2025Q2-INITIAL-ABNB-5D</x:v>
      </x:c>
      <x:c r="B151" s="11" t="str">
        <x:v>ABNB-2025Q2-INITIAL</x:v>
      </x:c>
      <x:c r="C151" s="11" t="str">
        <x:v>ABNB</x:v>
      </x:c>
      <x:c r="D151" s="44" t="str">
        <x:v>ABNB US Equity</x:v>
      </x:c>
      <x:c r="E151" s="56" t="n">
        <x:v>45875.854166666664</x:v>
      </x:c>
      <x:c r="F151" s="44" t="str">
        <x:v>First U.S. exchange session after an after-close release</x:v>
      </x:c>
      <x:c r="G151" s="44" t="str">
        <x:v>5 trading sessions</x:v>
      </x:c>
      <x:c r="H151" s="44" t="str">
        <x:v>Official close immediately before reaction session</x:v>
      </x:c>
      <x:c r="I151" s="44" t="str">
        <x:v>Official close after 5 exchange sessions</x:v>
      </x:c>
      <x:c r="J151" s="44" t="str">
        <x:v>TOT_RETURN_INDEX_GROSS_DVDS preferred; PX_LAST fallback</x:v>
      </x:c>
      <x:c r="K151" s="59" t="str"/>
      <x:c r="L151" s="59" t="str"/>
      <x:c r="M151" s="46" t="str"/>
      <x:c r="N151" s="46" t="str"/>
      <x:c r="O151" s="46" t="str"/>
      <x:c r="P151" s="46" t="str"/>
      <x:c r="Q151" s="46" t="str"/>
    </x:row>
    <x:row r="152">
      <x:c r="A152" s="11" t="str">
        <x:v>ABNB-2025Q2-INITIAL-ABNB-20D</x:v>
      </x:c>
      <x:c r="B152" s="11" t="str">
        <x:v>ABNB-2025Q2-INITIAL</x:v>
      </x:c>
      <x:c r="C152" s="11" t="str">
        <x:v>ABNB</x:v>
      </x:c>
      <x:c r="D152" s="44" t="str">
        <x:v>ABNB US Equity</x:v>
      </x:c>
      <x:c r="E152" s="56" t="n">
        <x:v>45875.854166666664</x:v>
      </x:c>
      <x:c r="F152" s="44" t="str">
        <x:v>First U.S. exchange session after an after-close release</x:v>
      </x:c>
      <x:c r="G152" s="44" t="str">
        <x:v>20 trading sessions</x:v>
      </x:c>
      <x:c r="H152" s="44" t="str">
        <x:v>Official close immediately before reaction session</x:v>
      </x:c>
      <x:c r="I152" s="44" t="str">
        <x:v>Official close after 20 exchange sessions</x:v>
      </x:c>
      <x:c r="J152" s="44" t="str">
        <x:v>TOT_RETURN_INDEX_GROSS_DVDS preferred; PX_LAST fallback</x:v>
      </x:c>
      <x:c r="K152" s="59" t="str"/>
      <x:c r="L152" s="59" t="str"/>
      <x:c r="M152" s="46" t="str"/>
      <x:c r="N152" s="46" t="str"/>
      <x:c r="O152" s="46" t="str"/>
      <x:c r="P152" s="46" t="str"/>
      <x:c r="Q152" s="46" t="str"/>
    </x:row>
    <x:row r="153">
      <x:c r="A153" s="11" t="str">
        <x:v>ABNB-2025Q2-INITIAL-ABNB-60D</x:v>
      </x:c>
      <x:c r="B153" s="11" t="str">
        <x:v>ABNB-2025Q2-INITIAL</x:v>
      </x:c>
      <x:c r="C153" s="11" t="str">
        <x:v>ABNB</x:v>
      </x:c>
      <x:c r="D153" s="44" t="str">
        <x:v>ABNB US Equity</x:v>
      </x:c>
      <x:c r="E153" s="56" t="n">
        <x:v>45875.854166666664</x:v>
      </x:c>
      <x:c r="F153" s="44" t="str">
        <x:v>First U.S. exchange session after an after-close release</x:v>
      </x:c>
      <x:c r="G153" s="44" t="str">
        <x:v>60 trading sessions</x:v>
      </x:c>
      <x:c r="H153" s="44" t="str">
        <x:v>Official close immediately before reaction session</x:v>
      </x:c>
      <x:c r="I153" s="44" t="str">
        <x:v>Official close after 60 exchange sessions</x:v>
      </x:c>
      <x:c r="J153" s="44" t="str">
        <x:v>TOT_RETURN_INDEX_GROSS_DVDS preferred; PX_LAST fallback</x:v>
      </x:c>
      <x:c r="K153" s="59" t="str"/>
      <x:c r="L153" s="59" t="str"/>
      <x:c r="M153" s="46" t="str"/>
      <x:c r="N153" s="46" t="str"/>
      <x:c r="O153" s="46" t="str"/>
      <x:c r="P153" s="46" t="str"/>
      <x:c r="Q153" s="46" t="str"/>
    </x:row>
    <x:row r="154">
      <x:c r="A154" s="11" t="str">
        <x:v>ABNB-2025Q2-INITIAL-QQQ-1D</x:v>
      </x:c>
      <x:c r="B154" s="11" t="str">
        <x:v>ABNB-2025Q2-INITIAL</x:v>
      </x:c>
      <x:c r="C154" s="11" t="str">
        <x:v>QQQ</x:v>
      </x:c>
      <x:c r="D154" s="44" t="str">
        <x:v>QQQ US Equity</x:v>
      </x:c>
      <x:c r="E154" s="56" t="n">
        <x:v>45875.854166666664</x:v>
      </x:c>
      <x:c r="F154" s="44" t="str">
        <x:v>First U.S. exchange session after an after-close release</x:v>
      </x:c>
      <x:c r="G154" s="44" t="str">
        <x:v>1 trading sessions</x:v>
      </x:c>
      <x:c r="H154" s="44" t="str">
        <x:v>Official close immediately before reaction session</x:v>
      </x:c>
      <x:c r="I154" s="44" t="str">
        <x:v>Official close after 1 exchange sessions</x:v>
      </x:c>
      <x:c r="J154" s="44" t="str">
        <x:v>TOT_RETURN_INDEX_GROSS_DVDS preferred; PX_LAST fallback</x:v>
      </x:c>
      <x:c r="K154" s="59" t="str"/>
      <x:c r="L154" s="59" t="str"/>
      <x:c r="M154" s="46" t="str"/>
      <x:c r="N154" s="46" t="str"/>
      <x:c r="O154" s="46" t="str"/>
      <x:c r="P154" s="46" t="str"/>
      <x:c r="Q154" s="46" t="str"/>
    </x:row>
    <x:row r="155">
      <x:c r="A155" s="11" t="str">
        <x:v>ABNB-2025Q2-INITIAL-QQQ-5D</x:v>
      </x:c>
      <x:c r="B155" s="11" t="str">
        <x:v>ABNB-2025Q2-INITIAL</x:v>
      </x:c>
      <x:c r="C155" s="11" t="str">
        <x:v>QQQ</x:v>
      </x:c>
      <x:c r="D155" s="44" t="str">
        <x:v>QQQ US Equity</x:v>
      </x:c>
      <x:c r="E155" s="56" t="n">
        <x:v>45875.854166666664</x:v>
      </x:c>
      <x:c r="F155" s="44" t="str">
        <x:v>First U.S. exchange session after an after-close release</x:v>
      </x:c>
      <x:c r="G155" s="44" t="str">
        <x:v>5 trading sessions</x:v>
      </x:c>
      <x:c r="H155" s="44" t="str">
        <x:v>Official close immediately before reaction session</x:v>
      </x:c>
      <x:c r="I155" s="44" t="str">
        <x:v>Official close after 5 exchange sessions</x:v>
      </x:c>
      <x:c r="J155" s="44" t="str">
        <x:v>TOT_RETURN_INDEX_GROSS_DVDS preferred; PX_LAST fallback</x:v>
      </x:c>
      <x:c r="K155" s="59" t="str"/>
      <x:c r="L155" s="59" t="str"/>
      <x:c r="M155" s="46" t="str"/>
      <x:c r="N155" s="46" t="str"/>
      <x:c r="O155" s="46" t="str"/>
      <x:c r="P155" s="46" t="str"/>
      <x:c r="Q155" s="46" t="str"/>
    </x:row>
    <x:row r="156">
      <x:c r="A156" s="11" t="str">
        <x:v>ABNB-2025Q2-INITIAL-QQQ-20D</x:v>
      </x:c>
      <x:c r="B156" s="11" t="str">
        <x:v>ABNB-2025Q2-INITIAL</x:v>
      </x:c>
      <x:c r="C156" s="11" t="str">
        <x:v>QQQ</x:v>
      </x:c>
      <x:c r="D156" s="44" t="str">
        <x:v>QQQ US Equity</x:v>
      </x:c>
      <x:c r="E156" s="56" t="n">
        <x:v>45875.854166666664</x:v>
      </x:c>
      <x:c r="F156" s="44" t="str">
        <x:v>First U.S. exchange session after an after-close release</x:v>
      </x:c>
      <x:c r="G156" s="44" t="str">
        <x:v>20 trading sessions</x:v>
      </x:c>
      <x:c r="H156" s="44" t="str">
        <x:v>Official close immediately before reaction session</x:v>
      </x:c>
      <x:c r="I156" s="44" t="str">
        <x:v>Official close after 20 exchange sessions</x:v>
      </x:c>
      <x:c r="J156" s="44" t="str">
        <x:v>TOT_RETURN_INDEX_GROSS_DVDS preferred; PX_LAST fallback</x:v>
      </x:c>
      <x:c r="K156" s="59" t="str"/>
      <x:c r="L156" s="59" t="str"/>
      <x:c r="M156" s="46" t="str"/>
      <x:c r="N156" s="46" t="str"/>
      <x:c r="O156" s="46" t="str"/>
      <x:c r="P156" s="46" t="str"/>
      <x:c r="Q156" s="46" t="str"/>
    </x:row>
    <x:row r="157">
      <x:c r="A157" s="11" t="str">
        <x:v>ABNB-2025Q2-INITIAL-QQQ-60D</x:v>
      </x:c>
      <x:c r="B157" s="11" t="str">
        <x:v>ABNB-2025Q2-INITIAL</x:v>
      </x:c>
      <x:c r="C157" s="11" t="str">
        <x:v>QQQ</x:v>
      </x:c>
      <x:c r="D157" s="44" t="str">
        <x:v>QQQ US Equity</x:v>
      </x:c>
      <x:c r="E157" s="56" t="n">
        <x:v>45875.854166666664</x:v>
      </x:c>
      <x:c r="F157" s="44" t="str">
        <x:v>First U.S. exchange session after an after-close release</x:v>
      </x:c>
      <x:c r="G157" s="44" t="str">
        <x:v>60 trading sessions</x:v>
      </x:c>
      <x:c r="H157" s="44" t="str">
        <x:v>Official close immediately before reaction session</x:v>
      </x:c>
      <x:c r="I157" s="44" t="str">
        <x:v>Official close after 60 exchange sessions</x:v>
      </x:c>
      <x:c r="J157" s="44" t="str">
        <x:v>TOT_RETURN_INDEX_GROSS_DVDS preferred; PX_LAST fallback</x:v>
      </x:c>
      <x:c r="K157" s="59" t="str"/>
      <x:c r="L157" s="59" t="str"/>
      <x:c r="M157" s="46" t="str"/>
      <x:c r="N157" s="46" t="str"/>
      <x:c r="O157" s="46" t="str"/>
      <x:c r="P157" s="46" t="str"/>
      <x:c r="Q157" s="46" t="str"/>
    </x:row>
    <x:row r="158">
      <x:c r="A158" s="11" t="str">
        <x:v>ABNB-2025Q3-INITIAL-ABNB-1D</x:v>
      </x:c>
      <x:c r="B158" s="11" t="str">
        <x:v>ABNB-2025Q3-INITIAL</x:v>
      </x:c>
      <x:c r="C158" s="11" t="str">
        <x:v>ABNB</x:v>
      </x:c>
      <x:c r="D158" s="44" t="str">
        <x:v>ABNB US Equity</x:v>
      </x:c>
      <x:c r="E158" s="56" t="n">
        <x:v>45967.895833333336</x:v>
      </x:c>
      <x:c r="F158" s="44" t="str">
        <x:v>First U.S. exchange session after an after-close release</x:v>
      </x:c>
      <x:c r="G158" s="44" t="str">
        <x:v>1 trading sessions</x:v>
      </x:c>
      <x:c r="H158" s="44" t="str">
        <x:v>Official close immediately before reaction session</x:v>
      </x:c>
      <x:c r="I158" s="44" t="str">
        <x:v>Official close after 1 exchange sessions</x:v>
      </x:c>
      <x:c r="J158" s="44" t="str">
        <x:v>TOT_RETURN_INDEX_GROSS_DVDS preferred; PX_LAST fallback</x:v>
      </x:c>
      <x:c r="K158" s="59" t="str"/>
      <x:c r="L158" s="59" t="str"/>
      <x:c r="M158" s="46" t="str"/>
      <x:c r="N158" s="46" t="str"/>
      <x:c r="O158" s="46" t="str"/>
      <x:c r="P158" s="46" t="str"/>
      <x:c r="Q158" s="46" t="str"/>
    </x:row>
    <x:row r="159">
      <x:c r="A159" s="11" t="str">
        <x:v>ABNB-2025Q3-INITIAL-ABNB-5D</x:v>
      </x:c>
      <x:c r="B159" s="11" t="str">
        <x:v>ABNB-2025Q3-INITIAL</x:v>
      </x:c>
      <x:c r="C159" s="11" t="str">
        <x:v>ABNB</x:v>
      </x:c>
      <x:c r="D159" s="44" t="str">
        <x:v>ABNB US Equity</x:v>
      </x:c>
      <x:c r="E159" s="56" t="n">
        <x:v>45967.895833333336</x:v>
      </x:c>
      <x:c r="F159" s="44" t="str">
        <x:v>First U.S. exchange session after an after-close release</x:v>
      </x:c>
      <x:c r="G159" s="44" t="str">
        <x:v>5 trading sessions</x:v>
      </x:c>
      <x:c r="H159" s="44" t="str">
        <x:v>Official close immediately before reaction session</x:v>
      </x:c>
      <x:c r="I159" s="44" t="str">
        <x:v>Official close after 5 exchange sessions</x:v>
      </x:c>
      <x:c r="J159" s="44" t="str">
        <x:v>TOT_RETURN_INDEX_GROSS_DVDS preferred; PX_LAST fallback</x:v>
      </x:c>
      <x:c r="K159" s="59" t="str"/>
      <x:c r="L159" s="59" t="str"/>
      <x:c r="M159" s="46" t="str"/>
      <x:c r="N159" s="46" t="str"/>
      <x:c r="O159" s="46" t="str"/>
      <x:c r="P159" s="46" t="str"/>
      <x:c r="Q159" s="46" t="str"/>
    </x:row>
    <x:row r="160">
      <x:c r="A160" s="11" t="str">
        <x:v>ABNB-2025Q3-INITIAL-ABNB-20D</x:v>
      </x:c>
      <x:c r="B160" s="11" t="str">
        <x:v>ABNB-2025Q3-INITIAL</x:v>
      </x:c>
      <x:c r="C160" s="11" t="str">
        <x:v>ABNB</x:v>
      </x:c>
      <x:c r="D160" s="44" t="str">
        <x:v>ABNB US Equity</x:v>
      </x:c>
      <x:c r="E160" s="56" t="n">
        <x:v>45967.895833333336</x:v>
      </x:c>
      <x:c r="F160" s="44" t="str">
        <x:v>First U.S. exchange session after an after-close release</x:v>
      </x:c>
      <x:c r="G160" s="44" t="str">
        <x:v>20 trading sessions</x:v>
      </x:c>
      <x:c r="H160" s="44" t="str">
        <x:v>Official close immediately before reaction session</x:v>
      </x:c>
      <x:c r="I160" s="44" t="str">
        <x:v>Official close after 20 exchange sessions</x:v>
      </x:c>
      <x:c r="J160" s="44" t="str">
        <x:v>TOT_RETURN_INDEX_GROSS_DVDS preferred; PX_LAST fallback</x:v>
      </x:c>
      <x:c r="K160" s="59" t="str"/>
      <x:c r="L160" s="59" t="str"/>
      <x:c r="M160" s="46" t="str"/>
      <x:c r="N160" s="46" t="str"/>
      <x:c r="O160" s="46" t="str"/>
      <x:c r="P160" s="46" t="str"/>
      <x:c r="Q160" s="46" t="str"/>
    </x:row>
    <x:row r="161">
      <x:c r="A161" s="11" t="str">
        <x:v>ABNB-2025Q3-INITIAL-ABNB-60D</x:v>
      </x:c>
      <x:c r="B161" s="11" t="str">
        <x:v>ABNB-2025Q3-INITIAL</x:v>
      </x:c>
      <x:c r="C161" s="11" t="str">
        <x:v>ABNB</x:v>
      </x:c>
      <x:c r="D161" s="44" t="str">
        <x:v>ABNB US Equity</x:v>
      </x:c>
      <x:c r="E161" s="56" t="n">
        <x:v>45967.895833333336</x:v>
      </x:c>
      <x:c r="F161" s="44" t="str">
        <x:v>First U.S. exchange session after an after-close release</x:v>
      </x:c>
      <x:c r="G161" s="44" t="str">
        <x:v>60 trading sessions</x:v>
      </x:c>
      <x:c r="H161" s="44" t="str">
        <x:v>Official close immediately before reaction session</x:v>
      </x:c>
      <x:c r="I161" s="44" t="str">
        <x:v>Official close after 60 exchange sessions</x:v>
      </x:c>
      <x:c r="J161" s="44" t="str">
        <x:v>TOT_RETURN_INDEX_GROSS_DVDS preferred; PX_LAST fallback</x:v>
      </x:c>
      <x:c r="K161" s="59" t="str"/>
      <x:c r="L161" s="59" t="str"/>
      <x:c r="M161" s="46" t="str"/>
      <x:c r="N161" s="46" t="str"/>
      <x:c r="O161" s="46" t="str"/>
      <x:c r="P161" s="46" t="str"/>
      <x:c r="Q161" s="46" t="str"/>
    </x:row>
    <x:row r="162">
      <x:c r="A162" s="11" t="str">
        <x:v>ABNB-2025Q3-INITIAL-QQQ-1D</x:v>
      </x:c>
      <x:c r="B162" s="11" t="str">
        <x:v>ABNB-2025Q3-INITIAL</x:v>
      </x:c>
      <x:c r="C162" s="11" t="str">
        <x:v>QQQ</x:v>
      </x:c>
      <x:c r="D162" s="44" t="str">
        <x:v>QQQ US Equity</x:v>
      </x:c>
      <x:c r="E162" s="56" t="n">
        <x:v>45967.895833333336</x:v>
      </x:c>
      <x:c r="F162" s="44" t="str">
        <x:v>First U.S. exchange session after an after-close release</x:v>
      </x:c>
      <x:c r="G162" s="44" t="str">
        <x:v>1 trading sessions</x:v>
      </x:c>
      <x:c r="H162" s="44" t="str">
        <x:v>Official close immediately before reaction session</x:v>
      </x:c>
      <x:c r="I162" s="44" t="str">
        <x:v>Official close after 1 exchange sessions</x:v>
      </x:c>
      <x:c r="J162" s="44" t="str">
        <x:v>TOT_RETURN_INDEX_GROSS_DVDS preferred; PX_LAST fallback</x:v>
      </x:c>
      <x:c r="K162" s="59" t="str"/>
      <x:c r="L162" s="59" t="str"/>
      <x:c r="M162" s="46" t="str"/>
      <x:c r="N162" s="46" t="str"/>
      <x:c r="O162" s="46" t="str"/>
      <x:c r="P162" s="46" t="str"/>
      <x:c r="Q162" s="46" t="str"/>
    </x:row>
    <x:row r="163">
      <x:c r="A163" s="11" t="str">
        <x:v>ABNB-2025Q3-INITIAL-QQQ-5D</x:v>
      </x:c>
      <x:c r="B163" s="11" t="str">
        <x:v>ABNB-2025Q3-INITIAL</x:v>
      </x:c>
      <x:c r="C163" s="11" t="str">
        <x:v>QQQ</x:v>
      </x:c>
      <x:c r="D163" s="44" t="str">
        <x:v>QQQ US Equity</x:v>
      </x:c>
      <x:c r="E163" s="56" t="n">
        <x:v>45967.895833333336</x:v>
      </x:c>
      <x:c r="F163" s="44" t="str">
        <x:v>First U.S. exchange session after an after-close release</x:v>
      </x:c>
      <x:c r="G163" s="44" t="str">
        <x:v>5 trading sessions</x:v>
      </x:c>
      <x:c r="H163" s="44" t="str">
        <x:v>Official close immediately before reaction session</x:v>
      </x:c>
      <x:c r="I163" s="44" t="str">
        <x:v>Official close after 5 exchange sessions</x:v>
      </x:c>
      <x:c r="J163" s="44" t="str">
        <x:v>TOT_RETURN_INDEX_GROSS_DVDS preferred; PX_LAST fallback</x:v>
      </x:c>
      <x:c r="K163" s="59" t="str"/>
      <x:c r="L163" s="59" t="str"/>
      <x:c r="M163" s="46" t="str"/>
      <x:c r="N163" s="46" t="str"/>
      <x:c r="O163" s="46" t="str"/>
      <x:c r="P163" s="46" t="str"/>
      <x:c r="Q163" s="46" t="str"/>
    </x:row>
    <x:row r="164">
      <x:c r="A164" s="11" t="str">
        <x:v>ABNB-2025Q3-INITIAL-QQQ-20D</x:v>
      </x:c>
      <x:c r="B164" s="11" t="str">
        <x:v>ABNB-2025Q3-INITIAL</x:v>
      </x:c>
      <x:c r="C164" s="11" t="str">
        <x:v>QQQ</x:v>
      </x:c>
      <x:c r="D164" s="44" t="str">
        <x:v>QQQ US Equity</x:v>
      </x:c>
      <x:c r="E164" s="56" t="n">
        <x:v>45967.895833333336</x:v>
      </x:c>
      <x:c r="F164" s="44" t="str">
        <x:v>First U.S. exchange session after an after-close release</x:v>
      </x:c>
      <x:c r="G164" s="44" t="str">
        <x:v>20 trading sessions</x:v>
      </x:c>
      <x:c r="H164" s="44" t="str">
        <x:v>Official close immediately before reaction session</x:v>
      </x:c>
      <x:c r="I164" s="44" t="str">
        <x:v>Official close after 20 exchange sessions</x:v>
      </x:c>
      <x:c r="J164" s="44" t="str">
        <x:v>TOT_RETURN_INDEX_GROSS_DVDS preferred; PX_LAST fallback</x:v>
      </x:c>
      <x:c r="K164" s="59" t="str"/>
      <x:c r="L164" s="59" t="str"/>
      <x:c r="M164" s="46" t="str"/>
      <x:c r="N164" s="46" t="str"/>
      <x:c r="O164" s="46" t="str"/>
      <x:c r="P164" s="46" t="str"/>
      <x:c r="Q164" s="46" t="str"/>
    </x:row>
    <x:row r="165">
      <x:c r="A165" s="11" t="str">
        <x:v>ABNB-2025Q3-INITIAL-QQQ-60D</x:v>
      </x:c>
      <x:c r="B165" s="11" t="str">
        <x:v>ABNB-2025Q3-INITIAL</x:v>
      </x:c>
      <x:c r="C165" s="11" t="str">
        <x:v>QQQ</x:v>
      </x:c>
      <x:c r="D165" s="44" t="str">
        <x:v>QQQ US Equity</x:v>
      </x:c>
      <x:c r="E165" s="56" t="n">
        <x:v>45967.895833333336</x:v>
      </x:c>
      <x:c r="F165" s="44" t="str">
        <x:v>First U.S. exchange session after an after-close release</x:v>
      </x:c>
      <x:c r="G165" s="44" t="str">
        <x:v>60 trading sessions</x:v>
      </x:c>
      <x:c r="H165" s="44" t="str">
        <x:v>Official close immediately before reaction session</x:v>
      </x:c>
      <x:c r="I165" s="44" t="str">
        <x:v>Official close after 60 exchange sessions</x:v>
      </x:c>
      <x:c r="J165" s="44" t="str">
        <x:v>TOT_RETURN_INDEX_GROSS_DVDS preferred; PX_LAST fallback</x:v>
      </x:c>
      <x:c r="K165" s="59" t="str"/>
      <x:c r="L165" s="59" t="str"/>
      <x:c r="M165" s="46" t="str"/>
      <x:c r="N165" s="46" t="str"/>
      <x:c r="O165" s="46" t="str"/>
      <x:c r="P165" s="46" t="str"/>
      <x:c r="Q165" s="46" t="str"/>
    </x:row>
    <x:row r="166">
      <x:c r="A166" s="11" t="str">
        <x:v>ABNB-2025Q4-INITIAL-ABNB-1D</x:v>
      </x:c>
      <x:c r="B166" s="11" t="str">
        <x:v>ABNB-2025Q4-INITIAL</x:v>
      </x:c>
      <x:c r="C166" s="11" t="str">
        <x:v>ABNB</x:v>
      </x:c>
      <x:c r="D166" s="44" t="str">
        <x:v>ABNB US Equity</x:v>
      </x:c>
      <x:c r="E166" s="56" t="n">
        <x:v>46065.916666666664</x:v>
      </x:c>
      <x:c r="F166" s="44" t="str">
        <x:v>First U.S. exchange session after an after-close release</x:v>
      </x:c>
      <x:c r="G166" s="44" t="str">
        <x:v>1 trading sessions</x:v>
      </x:c>
      <x:c r="H166" s="44" t="str">
        <x:v>Official close immediately before reaction session</x:v>
      </x:c>
      <x:c r="I166" s="44" t="str">
        <x:v>Official close after 1 exchange sessions</x:v>
      </x:c>
      <x:c r="J166" s="44" t="str">
        <x:v>TOT_RETURN_INDEX_GROSS_DVDS preferred; PX_LAST fallback</x:v>
      </x:c>
      <x:c r="K166" s="59" t="str"/>
      <x:c r="L166" s="59" t="str"/>
      <x:c r="M166" s="46" t="str"/>
      <x:c r="N166" s="46" t="str"/>
      <x:c r="O166" s="46" t="str"/>
      <x:c r="P166" s="46" t="str"/>
      <x:c r="Q166" s="46" t="str"/>
    </x:row>
    <x:row r="167">
      <x:c r="A167" s="11" t="str">
        <x:v>ABNB-2025Q4-INITIAL-ABNB-5D</x:v>
      </x:c>
      <x:c r="B167" s="11" t="str">
        <x:v>ABNB-2025Q4-INITIAL</x:v>
      </x:c>
      <x:c r="C167" s="11" t="str">
        <x:v>ABNB</x:v>
      </x:c>
      <x:c r="D167" s="44" t="str">
        <x:v>ABNB US Equity</x:v>
      </x:c>
      <x:c r="E167" s="56" t="n">
        <x:v>46065.916666666664</x:v>
      </x:c>
      <x:c r="F167" s="44" t="str">
        <x:v>First U.S. exchange session after an after-close release</x:v>
      </x:c>
      <x:c r="G167" s="44" t="str">
        <x:v>5 trading sessions</x:v>
      </x:c>
      <x:c r="H167" s="44" t="str">
        <x:v>Official close immediately before reaction session</x:v>
      </x:c>
      <x:c r="I167" s="44" t="str">
        <x:v>Official close after 5 exchange sessions</x:v>
      </x:c>
      <x:c r="J167" s="44" t="str">
        <x:v>TOT_RETURN_INDEX_GROSS_DVDS preferred; PX_LAST fallback</x:v>
      </x:c>
      <x:c r="K167" s="59" t="str"/>
      <x:c r="L167" s="59" t="str"/>
      <x:c r="M167" s="46" t="str"/>
      <x:c r="N167" s="46" t="str"/>
      <x:c r="O167" s="46" t="str"/>
      <x:c r="P167" s="46" t="str"/>
      <x:c r="Q167" s="46" t="str"/>
    </x:row>
    <x:row r="168">
      <x:c r="A168" s="11" t="str">
        <x:v>ABNB-2025Q4-INITIAL-ABNB-20D</x:v>
      </x:c>
      <x:c r="B168" s="11" t="str">
        <x:v>ABNB-2025Q4-INITIAL</x:v>
      </x:c>
      <x:c r="C168" s="11" t="str">
        <x:v>ABNB</x:v>
      </x:c>
      <x:c r="D168" s="44" t="str">
        <x:v>ABNB US Equity</x:v>
      </x:c>
      <x:c r="E168" s="56" t="n">
        <x:v>46065.916666666664</x:v>
      </x:c>
      <x:c r="F168" s="44" t="str">
        <x:v>First U.S. exchange session after an after-close release</x:v>
      </x:c>
      <x:c r="G168" s="44" t="str">
        <x:v>20 trading sessions</x:v>
      </x:c>
      <x:c r="H168" s="44" t="str">
        <x:v>Official close immediately before reaction session</x:v>
      </x:c>
      <x:c r="I168" s="44" t="str">
        <x:v>Official close after 20 exchange sessions</x:v>
      </x:c>
      <x:c r="J168" s="44" t="str">
        <x:v>TOT_RETURN_INDEX_GROSS_DVDS preferred; PX_LAST fallback</x:v>
      </x:c>
      <x:c r="K168" s="59" t="str"/>
      <x:c r="L168" s="59" t="str"/>
      <x:c r="M168" s="46" t="str"/>
      <x:c r="N168" s="46" t="str"/>
      <x:c r="O168" s="46" t="str"/>
      <x:c r="P168" s="46" t="str"/>
      <x:c r="Q168" s="46" t="str"/>
    </x:row>
    <x:row r="169">
      <x:c r="A169" s="11" t="str">
        <x:v>ABNB-2025Q4-INITIAL-ABNB-60D</x:v>
      </x:c>
      <x:c r="B169" s="11" t="str">
        <x:v>ABNB-2025Q4-INITIAL</x:v>
      </x:c>
      <x:c r="C169" s="11" t="str">
        <x:v>ABNB</x:v>
      </x:c>
      <x:c r="D169" s="44" t="str">
        <x:v>ABNB US Equity</x:v>
      </x:c>
      <x:c r="E169" s="56" t="n">
        <x:v>46065.916666666664</x:v>
      </x:c>
      <x:c r="F169" s="44" t="str">
        <x:v>First U.S. exchange session after an after-close release</x:v>
      </x:c>
      <x:c r="G169" s="44" t="str">
        <x:v>60 trading sessions</x:v>
      </x:c>
      <x:c r="H169" s="44" t="str">
        <x:v>Official close immediately before reaction session</x:v>
      </x:c>
      <x:c r="I169" s="44" t="str">
        <x:v>Official close after 60 exchange sessions</x:v>
      </x:c>
      <x:c r="J169" s="44" t="str">
        <x:v>TOT_RETURN_INDEX_GROSS_DVDS preferred; PX_LAST fallback</x:v>
      </x:c>
      <x:c r="K169" s="59" t="str"/>
      <x:c r="L169" s="59" t="str"/>
      <x:c r="M169" s="46" t="str"/>
      <x:c r="N169" s="46" t="str"/>
      <x:c r="O169" s="46" t="str"/>
      <x:c r="P169" s="46" t="str"/>
      <x:c r="Q169" s="46" t="str"/>
    </x:row>
    <x:row r="170">
      <x:c r="A170" s="11" t="str">
        <x:v>ABNB-2025Q4-INITIAL-QQQ-1D</x:v>
      </x:c>
      <x:c r="B170" s="11" t="str">
        <x:v>ABNB-2025Q4-INITIAL</x:v>
      </x:c>
      <x:c r="C170" s="11" t="str">
        <x:v>QQQ</x:v>
      </x:c>
      <x:c r="D170" s="44" t="str">
        <x:v>QQQ US Equity</x:v>
      </x:c>
      <x:c r="E170" s="56" t="n">
        <x:v>46065.916666666664</x:v>
      </x:c>
      <x:c r="F170" s="44" t="str">
        <x:v>First U.S. exchange session after an after-close release</x:v>
      </x:c>
      <x:c r="G170" s="44" t="str">
        <x:v>1 trading sessions</x:v>
      </x:c>
      <x:c r="H170" s="44" t="str">
        <x:v>Official close immediately before reaction session</x:v>
      </x:c>
      <x:c r="I170" s="44" t="str">
        <x:v>Official close after 1 exchange sessions</x:v>
      </x:c>
      <x:c r="J170" s="44" t="str">
        <x:v>TOT_RETURN_INDEX_GROSS_DVDS preferred; PX_LAST fallback</x:v>
      </x:c>
      <x:c r="K170" s="59" t="str"/>
      <x:c r="L170" s="59" t="str"/>
      <x:c r="M170" s="46" t="str"/>
      <x:c r="N170" s="46" t="str"/>
      <x:c r="O170" s="46" t="str"/>
      <x:c r="P170" s="46" t="str"/>
      <x:c r="Q170" s="46" t="str"/>
    </x:row>
    <x:row r="171">
      <x:c r="A171" s="11" t="str">
        <x:v>ABNB-2025Q4-INITIAL-QQQ-5D</x:v>
      </x:c>
      <x:c r="B171" s="11" t="str">
        <x:v>ABNB-2025Q4-INITIAL</x:v>
      </x:c>
      <x:c r="C171" s="11" t="str">
        <x:v>QQQ</x:v>
      </x:c>
      <x:c r="D171" s="44" t="str">
        <x:v>QQQ US Equity</x:v>
      </x:c>
      <x:c r="E171" s="56" t="n">
        <x:v>46065.916666666664</x:v>
      </x:c>
      <x:c r="F171" s="44" t="str">
        <x:v>First U.S. exchange session after an after-close release</x:v>
      </x:c>
      <x:c r="G171" s="44" t="str">
        <x:v>5 trading sessions</x:v>
      </x:c>
      <x:c r="H171" s="44" t="str">
        <x:v>Official close immediately before reaction session</x:v>
      </x:c>
      <x:c r="I171" s="44" t="str">
        <x:v>Official close after 5 exchange sessions</x:v>
      </x:c>
      <x:c r="J171" s="44" t="str">
        <x:v>TOT_RETURN_INDEX_GROSS_DVDS preferred; PX_LAST fallback</x:v>
      </x:c>
      <x:c r="K171" s="59" t="str"/>
      <x:c r="L171" s="59" t="str"/>
      <x:c r="M171" s="46" t="str"/>
      <x:c r="N171" s="46" t="str"/>
      <x:c r="O171" s="46" t="str"/>
      <x:c r="P171" s="46" t="str"/>
      <x:c r="Q171" s="46" t="str"/>
    </x:row>
    <x:row r="172">
      <x:c r="A172" s="11" t="str">
        <x:v>ABNB-2025Q4-INITIAL-QQQ-20D</x:v>
      </x:c>
      <x:c r="B172" s="11" t="str">
        <x:v>ABNB-2025Q4-INITIAL</x:v>
      </x:c>
      <x:c r="C172" s="11" t="str">
        <x:v>QQQ</x:v>
      </x:c>
      <x:c r="D172" s="44" t="str">
        <x:v>QQQ US Equity</x:v>
      </x:c>
      <x:c r="E172" s="56" t="n">
        <x:v>46065.916666666664</x:v>
      </x:c>
      <x:c r="F172" s="44" t="str">
        <x:v>First U.S. exchange session after an after-close release</x:v>
      </x:c>
      <x:c r="G172" s="44" t="str">
        <x:v>20 trading sessions</x:v>
      </x:c>
      <x:c r="H172" s="44" t="str">
        <x:v>Official close immediately before reaction session</x:v>
      </x:c>
      <x:c r="I172" s="44" t="str">
        <x:v>Official close after 20 exchange sessions</x:v>
      </x:c>
      <x:c r="J172" s="44" t="str">
        <x:v>TOT_RETURN_INDEX_GROSS_DVDS preferred; PX_LAST fallback</x:v>
      </x:c>
      <x:c r="K172" s="59" t="str"/>
      <x:c r="L172" s="59" t="str"/>
      <x:c r="M172" s="46" t="str"/>
      <x:c r="N172" s="46" t="str"/>
      <x:c r="O172" s="46" t="str"/>
      <x:c r="P172" s="46" t="str"/>
      <x:c r="Q172" s="46" t="str"/>
    </x:row>
    <x:row r="173">
      <x:c r="A173" s="11" t="str">
        <x:v>ABNB-2025Q4-INITIAL-QQQ-60D</x:v>
      </x:c>
      <x:c r="B173" s="11" t="str">
        <x:v>ABNB-2025Q4-INITIAL</x:v>
      </x:c>
      <x:c r="C173" s="11" t="str">
        <x:v>QQQ</x:v>
      </x:c>
      <x:c r="D173" s="44" t="str">
        <x:v>QQQ US Equity</x:v>
      </x:c>
      <x:c r="E173" s="56" t="n">
        <x:v>46065.916666666664</x:v>
      </x:c>
      <x:c r="F173" s="44" t="str">
        <x:v>First U.S. exchange session after an after-close release</x:v>
      </x:c>
      <x:c r="G173" s="44" t="str">
        <x:v>60 trading sessions</x:v>
      </x:c>
      <x:c r="H173" s="44" t="str">
        <x:v>Official close immediately before reaction session</x:v>
      </x:c>
      <x:c r="I173" s="44" t="str">
        <x:v>Official close after 60 exchange sessions</x:v>
      </x:c>
      <x:c r="J173" s="44" t="str">
        <x:v>TOT_RETURN_INDEX_GROSS_DVDS preferred; PX_LAST fallback</x:v>
      </x:c>
      <x:c r="K173" s="59" t="str"/>
      <x:c r="L173" s="59" t="str"/>
      <x:c r="M173" s="46" t="str"/>
      <x:c r="N173" s="46" t="str"/>
      <x:c r="O173" s="46" t="str"/>
      <x:c r="P173" s="46" t="str"/>
      <x:c r="Q173" s="46" t="str"/>
    </x:row>
    <x:row r="174">
      <x:c r="A174" s="11" t="str">
        <x:v>ABNB-2026Q1-INITIAL-ABNB-1D</x:v>
      </x:c>
      <x:c r="B174" s="11" t="str">
        <x:v>ABNB-2026Q1-INITIAL</x:v>
      </x:c>
      <x:c r="C174" s="11" t="str">
        <x:v>ABNB</x:v>
      </x:c>
      <x:c r="D174" s="44" t="str">
        <x:v>ABNB US Equity</x:v>
      </x:c>
      <x:c r="E174" s="56" t="n">
        <x:v>46149.875</x:v>
      </x:c>
      <x:c r="F174" s="44" t="str">
        <x:v>First U.S. exchange session after an after-close release</x:v>
      </x:c>
      <x:c r="G174" s="44" t="str">
        <x:v>1 trading sessions</x:v>
      </x:c>
      <x:c r="H174" s="44" t="str">
        <x:v>Official close immediately before reaction session</x:v>
      </x:c>
      <x:c r="I174" s="44" t="str">
        <x:v>Official close after 1 exchange sessions</x:v>
      </x:c>
      <x:c r="J174" s="44" t="str">
        <x:v>TOT_RETURN_INDEX_GROSS_DVDS preferred; PX_LAST fallback</x:v>
      </x:c>
      <x:c r="K174" s="59" t="str"/>
      <x:c r="L174" s="59" t="str"/>
      <x:c r="M174" s="46" t="str"/>
      <x:c r="N174" s="46" t="str"/>
      <x:c r="O174" s="46" t="str"/>
      <x:c r="P174" s="46" t="str"/>
      <x:c r="Q174" s="46" t="str"/>
    </x:row>
    <x:row r="175">
      <x:c r="A175" s="11" t="str">
        <x:v>ABNB-2026Q1-INITIAL-ABNB-5D</x:v>
      </x:c>
      <x:c r="B175" s="11" t="str">
        <x:v>ABNB-2026Q1-INITIAL</x:v>
      </x:c>
      <x:c r="C175" s="11" t="str">
        <x:v>ABNB</x:v>
      </x:c>
      <x:c r="D175" s="44" t="str">
        <x:v>ABNB US Equity</x:v>
      </x:c>
      <x:c r="E175" s="56" t="n">
        <x:v>46149.875</x:v>
      </x:c>
      <x:c r="F175" s="44" t="str">
        <x:v>First U.S. exchange session after an after-close release</x:v>
      </x:c>
      <x:c r="G175" s="44" t="str">
        <x:v>5 trading sessions</x:v>
      </x:c>
      <x:c r="H175" s="44" t="str">
        <x:v>Official close immediately before reaction session</x:v>
      </x:c>
      <x:c r="I175" s="44" t="str">
        <x:v>Official close after 5 exchange sessions</x:v>
      </x:c>
      <x:c r="J175" s="44" t="str">
        <x:v>TOT_RETURN_INDEX_GROSS_DVDS preferred; PX_LAST fallback</x:v>
      </x:c>
      <x:c r="K175" s="59" t="str"/>
      <x:c r="L175" s="59" t="str"/>
      <x:c r="M175" s="46" t="str"/>
      <x:c r="N175" s="46" t="str"/>
      <x:c r="O175" s="46" t="str"/>
      <x:c r="P175" s="46" t="str"/>
      <x:c r="Q175" s="46" t="str"/>
    </x:row>
    <x:row r="176">
      <x:c r="A176" s="11" t="str">
        <x:v>ABNB-2026Q1-INITIAL-ABNB-20D</x:v>
      </x:c>
      <x:c r="B176" s="11" t="str">
        <x:v>ABNB-2026Q1-INITIAL</x:v>
      </x:c>
      <x:c r="C176" s="11" t="str">
        <x:v>ABNB</x:v>
      </x:c>
      <x:c r="D176" s="44" t="str">
        <x:v>ABNB US Equity</x:v>
      </x:c>
      <x:c r="E176" s="56" t="n">
        <x:v>46149.875</x:v>
      </x:c>
      <x:c r="F176" s="44" t="str">
        <x:v>First U.S. exchange session after an after-close release</x:v>
      </x:c>
      <x:c r="G176" s="44" t="str">
        <x:v>20 trading sessions</x:v>
      </x:c>
      <x:c r="H176" s="44" t="str">
        <x:v>Official close immediately before reaction session</x:v>
      </x:c>
      <x:c r="I176" s="44" t="str">
        <x:v>Official close after 20 exchange sessions</x:v>
      </x:c>
      <x:c r="J176" s="44" t="str">
        <x:v>TOT_RETURN_INDEX_GROSS_DVDS preferred; PX_LAST fallback</x:v>
      </x:c>
      <x:c r="K176" s="59" t="str"/>
      <x:c r="L176" s="59" t="str"/>
      <x:c r="M176" s="46" t="str"/>
      <x:c r="N176" s="46" t="str"/>
      <x:c r="O176" s="46" t="str"/>
      <x:c r="P176" s="46" t="str"/>
      <x:c r="Q176" s="46" t="str"/>
    </x:row>
    <x:row r="177">
      <x:c r="A177" s="11" t="str">
        <x:v>ABNB-2026Q1-INITIAL-ABNB-60D</x:v>
      </x:c>
      <x:c r="B177" s="11" t="str">
        <x:v>ABNB-2026Q1-INITIAL</x:v>
      </x:c>
      <x:c r="C177" s="11" t="str">
        <x:v>ABNB</x:v>
      </x:c>
      <x:c r="D177" s="44" t="str">
        <x:v>ABNB US Equity</x:v>
      </x:c>
      <x:c r="E177" s="56" t="n">
        <x:v>46149.875</x:v>
      </x:c>
      <x:c r="F177" s="44" t="str">
        <x:v>First U.S. exchange session after an after-close release</x:v>
      </x:c>
      <x:c r="G177" s="44" t="str">
        <x:v>60 trading sessions</x:v>
      </x:c>
      <x:c r="H177" s="44" t="str">
        <x:v>Official close immediately before reaction session</x:v>
      </x:c>
      <x:c r="I177" s="44" t="str">
        <x:v>Official close after 60 exchange sessions</x:v>
      </x:c>
      <x:c r="J177" s="44" t="str">
        <x:v>TOT_RETURN_INDEX_GROSS_DVDS preferred; PX_LAST fallback</x:v>
      </x:c>
      <x:c r="K177" s="59" t="str"/>
      <x:c r="L177" s="59" t="str"/>
      <x:c r="M177" s="46" t="str"/>
      <x:c r="N177" s="46" t="str"/>
      <x:c r="O177" s="46" t="str"/>
      <x:c r="P177" s="46" t="str"/>
      <x:c r="Q177" s="46" t="str"/>
    </x:row>
    <x:row r="178">
      <x:c r="A178" s="11" t="str">
        <x:v>ABNB-2026Q1-INITIAL-QQQ-1D</x:v>
      </x:c>
      <x:c r="B178" s="11" t="str">
        <x:v>ABNB-2026Q1-INITIAL</x:v>
      </x:c>
      <x:c r="C178" s="11" t="str">
        <x:v>QQQ</x:v>
      </x:c>
      <x:c r="D178" s="44" t="str">
        <x:v>QQQ US Equity</x:v>
      </x:c>
      <x:c r="E178" s="56" t="n">
        <x:v>46149.875</x:v>
      </x:c>
      <x:c r="F178" s="44" t="str">
        <x:v>First U.S. exchange session after an after-close release</x:v>
      </x:c>
      <x:c r="G178" s="44" t="str">
        <x:v>1 trading sessions</x:v>
      </x:c>
      <x:c r="H178" s="44" t="str">
        <x:v>Official close immediately before reaction session</x:v>
      </x:c>
      <x:c r="I178" s="44" t="str">
        <x:v>Official close after 1 exchange sessions</x:v>
      </x:c>
      <x:c r="J178" s="44" t="str">
        <x:v>TOT_RETURN_INDEX_GROSS_DVDS preferred; PX_LAST fallback</x:v>
      </x:c>
      <x:c r="K178" s="59" t="str"/>
      <x:c r="L178" s="59" t="str"/>
      <x:c r="M178" s="46" t="str"/>
      <x:c r="N178" s="46" t="str"/>
      <x:c r="O178" s="46" t="str"/>
      <x:c r="P178" s="46" t="str"/>
      <x:c r="Q178" s="46" t="str"/>
    </x:row>
    <x:row r="179">
      <x:c r="A179" s="11" t="str">
        <x:v>ABNB-2026Q1-INITIAL-QQQ-5D</x:v>
      </x:c>
      <x:c r="B179" s="11" t="str">
        <x:v>ABNB-2026Q1-INITIAL</x:v>
      </x:c>
      <x:c r="C179" s="11" t="str">
        <x:v>QQQ</x:v>
      </x:c>
      <x:c r="D179" s="44" t="str">
        <x:v>QQQ US Equity</x:v>
      </x:c>
      <x:c r="E179" s="56" t="n">
        <x:v>46149.875</x:v>
      </x:c>
      <x:c r="F179" s="44" t="str">
        <x:v>First U.S. exchange session after an after-close release</x:v>
      </x:c>
      <x:c r="G179" s="44" t="str">
        <x:v>5 trading sessions</x:v>
      </x:c>
      <x:c r="H179" s="44" t="str">
        <x:v>Official close immediately before reaction session</x:v>
      </x:c>
      <x:c r="I179" s="44" t="str">
        <x:v>Official close after 5 exchange sessions</x:v>
      </x:c>
      <x:c r="J179" s="44" t="str">
        <x:v>TOT_RETURN_INDEX_GROSS_DVDS preferred; PX_LAST fallback</x:v>
      </x:c>
      <x:c r="K179" s="59" t="str"/>
      <x:c r="L179" s="59" t="str"/>
      <x:c r="M179" s="46" t="str"/>
      <x:c r="N179" s="46" t="str"/>
      <x:c r="O179" s="46" t="str"/>
      <x:c r="P179" s="46" t="str"/>
      <x:c r="Q179" s="46" t="str"/>
    </x:row>
    <x:row r="180">
      <x:c r="A180" s="11" t="str">
        <x:v>ABNB-2026Q1-INITIAL-QQQ-20D</x:v>
      </x:c>
      <x:c r="B180" s="11" t="str">
        <x:v>ABNB-2026Q1-INITIAL</x:v>
      </x:c>
      <x:c r="C180" s="11" t="str">
        <x:v>QQQ</x:v>
      </x:c>
      <x:c r="D180" s="44" t="str">
        <x:v>QQQ US Equity</x:v>
      </x:c>
      <x:c r="E180" s="56" t="n">
        <x:v>46149.875</x:v>
      </x:c>
      <x:c r="F180" s="44" t="str">
        <x:v>First U.S. exchange session after an after-close release</x:v>
      </x:c>
      <x:c r="G180" s="44" t="str">
        <x:v>20 trading sessions</x:v>
      </x:c>
      <x:c r="H180" s="44" t="str">
        <x:v>Official close immediately before reaction session</x:v>
      </x:c>
      <x:c r="I180" s="44" t="str">
        <x:v>Official close after 20 exchange sessions</x:v>
      </x:c>
      <x:c r="J180" s="44" t="str">
        <x:v>TOT_RETURN_INDEX_GROSS_DVDS preferred; PX_LAST fallback</x:v>
      </x:c>
      <x:c r="K180" s="59" t="str"/>
      <x:c r="L180" s="59" t="str"/>
      <x:c r="M180" s="46" t="str"/>
      <x:c r="N180" s="46" t="str"/>
      <x:c r="O180" s="46" t="str"/>
      <x:c r="P180" s="46" t="str"/>
      <x:c r="Q180" s="46" t="str"/>
    </x:row>
    <x:row r="181">
      <x:c r="A181" s="11" t="str">
        <x:v>ABNB-2026Q1-INITIAL-QQQ-60D</x:v>
      </x:c>
      <x:c r="B181" s="11" t="str">
        <x:v>ABNB-2026Q1-INITIAL</x:v>
      </x:c>
      <x:c r="C181" s="11" t="str">
        <x:v>QQQ</x:v>
      </x:c>
      <x:c r="D181" s="44" t="str">
        <x:v>QQQ US Equity</x:v>
      </x:c>
      <x:c r="E181" s="56" t="n">
        <x:v>46149.875</x:v>
      </x:c>
      <x:c r="F181" s="44" t="str">
        <x:v>First U.S. exchange session after an after-close release</x:v>
      </x:c>
      <x:c r="G181" s="44" t="str">
        <x:v>60 trading sessions</x:v>
      </x:c>
      <x:c r="H181" s="44" t="str">
        <x:v>Official close immediately before reaction session</x:v>
      </x:c>
      <x:c r="I181" s="44" t="str">
        <x:v>Official close after 60 exchange sessions</x:v>
      </x:c>
      <x:c r="J181" s="44" t="str">
        <x:v>TOT_RETURN_INDEX_GROSS_DVDS preferred; PX_LAST fallback</x:v>
      </x:c>
      <x:c r="K181" s="59" t="str"/>
      <x:c r="L181" s="59" t="str"/>
      <x:c r="M181" s="46" t="str"/>
      <x:c r="N181" s="46" t="str"/>
      <x:c r="O181" s="46" t="str"/>
      <x:c r="P181" s="46" t="str"/>
      <x:c r="Q181" s="46" t="str"/>
    </x:row>
    <x:row r="182">
      <x:c r="A182" s="11" t="str">
        <x:v>ABNB-2026Q2-INITIAL-ABNB-1D</x:v>
      </x:c>
      <x:c r="B182" s="11" t="str">
        <x:v>ABNB-2026Q2-INITIAL</x:v>
      </x:c>
      <x:c r="C182" s="11" t="str">
        <x:v>ABNB</x:v>
      </x:c>
      <x:c r="D182" s="44" t="str">
        <x:v>ABNB US Equity</x:v>
      </x:c>
      <x:c r="E182" s="56" t="n">
        <x:v>46240.875</x:v>
      </x:c>
      <x:c r="F182" s="44" t="str">
        <x:v>First U.S. exchange session after an after-close release</x:v>
      </x:c>
      <x:c r="G182" s="44" t="str">
        <x:v>1 trading sessions</x:v>
      </x:c>
      <x:c r="H182" s="44" t="str">
        <x:v>Official close immediately before reaction session</x:v>
      </x:c>
      <x:c r="I182" s="44" t="str">
        <x:v>Official close after 1 exchange sessions</x:v>
      </x:c>
      <x:c r="J182" s="44" t="str">
        <x:v>TOT_RETURN_INDEX_GROSS_DVDS preferred; PX_LAST fallback</x:v>
      </x:c>
      <x:c r="K182" s="59" t="str"/>
      <x:c r="L182" s="59" t="str"/>
      <x:c r="M182" s="46" t="str"/>
      <x:c r="N182" s="46" t="str"/>
      <x:c r="O182" s="46" t="str"/>
      <x:c r="P182" s="46" t="str"/>
      <x:c r="Q182" s="46" t="str"/>
    </x:row>
    <x:row r="183">
      <x:c r="A183" s="11" t="str">
        <x:v>ABNB-2026Q2-INITIAL-ABNB-5D</x:v>
      </x:c>
      <x:c r="B183" s="11" t="str">
        <x:v>ABNB-2026Q2-INITIAL</x:v>
      </x:c>
      <x:c r="C183" s="11" t="str">
        <x:v>ABNB</x:v>
      </x:c>
      <x:c r="D183" s="44" t="str">
        <x:v>ABNB US Equity</x:v>
      </x:c>
      <x:c r="E183" s="56" t="n">
        <x:v>46240.875</x:v>
      </x:c>
      <x:c r="F183" s="44" t="str">
        <x:v>First U.S. exchange session after an after-close release</x:v>
      </x:c>
      <x:c r="G183" s="44" t="str">
        <x:v>5 trading sessions</x:v>
      </x:c>
      <x:c r="H183" s="44" t="str">
        <x:v>Official close immediately before reaction session</x:v>
      </x:c>
      <x:c r="I183" s="44" t="str">
        <x:v>Official close after 5 exchange sessions</x:v>
      </x:c>
      <x:c r="J183" s="44" t="str">
        <x:v>TOT_RETURN_INDEX_GROSS_DVDS preferred; PX_LAST fallback</x:v>
      </x:c>
      <x:c r="K183" s="59" t="str"/>
      <x:c r="L183" s="59" t="str"/>
      <x:c r="M183" s="46" t="str"/>
      <x:c r="N183" s="46" t="str"/>
      <x:c r="O183" s="46" t="str"/>
      <x:c r="P183" s="46" t="str"/>
      <x:c r="Q183" s="46" t="str"/>
    </x:row>
    <x:row r="184">
      <x:c r="A184" s="11" t="str">
        <x:v>ABNB-2026Q2-INITIAL-ABNB-20D</x:v>
      </x:c>
      <x:c r="B184" s="11" t="str">
        <x:v>ABNB-2026Q2-INITIAL</x:v>
      </x:c>
      <x:c r="C184" s="11" t="str">
        <x:v>ABNB</x:v>
      </x:c>
      <x:c r="D184" s="44" t="str">
        <x:v>ABNB US Equity</x:v>
      </x:c>
      <x:c r="E184" s="56" t="n">
        <x:v>46240.875</x:v>
      </x:c>
      <x:c r="F184" s="44" t="str">
        <x:v>First U.S. exchange session after an after-close release</x:v>
      </x:c>
      <x:c r="G184" s="44" t="str">
        <x:v>20 trading sessions</x:v>
      </x:c>
      <x:c r="H184" s="44" t="str">
        <x:v>Official close immediately before reaction session</x:v>
      </x:c>
      <x:c r="I184" s="44" t="str">
        <x:v>Official close after 20 exchange sessions</x:v>
      </x:c>
      <x:c r="J184" s="44" t="str">
        <x:v>TOT_RETURN_INDEX_GROSS_DVDS preferred; PX_LAST fallback</x:v>
      </x:c>
      <x:c r="K184" s="59" t="str"/>
      <x:c r="L184" s="59" t="str"/>
      <x:c r="M184" s="46" t="str"/>
      <x:c r="N184" s="46" t="str"/>
      <x:c r="O184" s="46" t="str"/>
      <x:c r="P184" s="46" t="str"/>
      <x:c r="Q184" s="46" t="str"/>
    </x:row>
    <x:row r="185">
      <x:c r="A185" s="11" t="str">
        <x:v>ABNB-2026Q2-INITIAL-ABNB-60D</x:v>
      </x:c>
      <x:c r="B185" s="11" t="str">
        <x:v>ABNB-2026Q2-INITIAL</x:v>
      </x:c>
      <x:c r="C185" s="11" t="str">
        <x:v>ABNB</x:v>
      </x:c>
      <x:c r="D185" s="44" t="str">
        <x:v>ABNB US Equity</x:v>
      </x:c>
      <x:c r="E185" s="56" t="n">
        <x:v>46240.875</x:v>
      </x:c>
      <x:c r="F185" s="44" t="str">
        <x:v>First U.S. exchange session after an after-close release</x:v>
      </x:c>
      <x:c r="G185" s="44" t="str">
        <x:v>60 trading sessions</x:v>
      </x:c>
      <x:c r="H185" s="44" t="str">
        <x:v>Official close immediately before reaction session</x:v>
      </x:c>
      <x:c r="I185" s="44" t="str">
        <x:v>Official close after 60 exchange sessions</x:v>
      </x:c>
      <x:c r="J185" s="44" t="str">
        <x:v>TOT_RETURN_INDEX_GROSS_DVDS preferred; PX_LAST fallback</x:v>
      </x:c>
      <x:c r="K185" s="59" t="str"/>
      <x:c r="L185" s="59" t="str"/>
      <x:c r="M185" s="46" t="str"/>
      <x:c r="N185" s="46" t="str"/>
      <x:c r="O185" s="46" t="str"/>
      <x:c r="P185" s="46" t="str"/>
      <x:c r="Q185" s="46" t="str"/>
    </x:row>
    <x:row r="186">
      <x:c r="A186" s="11" t="str">
        <x:v>ABNB-2026Q2-INITIAL-QQQ-1D</x:v>
      </x:c>
      <x:c r="B186" s="11" t="str">
        <x:v>ABNB-2026Q2-INITIAL</x:v>
      </x:c>
      <x:c r="C186" s="11" t="str">
        <x:v>QQQ</x:v>
      </x:c>
      <x:c r="D186" s="44" t="str">
        <x:v>QQQ US Equity</x:v>
      </x:c>
      <x:c r="E186" s="56" t="n">
        <x:v>46240.875</x:v>
      </x:c>
      <x:c r="F186" s="44" t="str">
        <x:v>First U.S. exchange session after an after-close release</x:v>
      </x:c>
      <x:c r="G186" s="44" t="str">
        <x:v>1 trading sessions</x:v>
      </x:c>
      <x:c r="H186" s="44" t="str">
        <x:v>Official close immediately before reaction session</x:v>
      </x:c>
      <x:c r="I186" s="44" t="str">
        <x:v>Official close after 1 exchange sessions</x:v>
      </x:c>
      <x:c r="J186" s="44" t="str">
        <x:v>TOT_RETURN_INDEX_GROSS_DVDS preferred; PX_LAST fallback</x:v>
      </x:c>
      <x:c r="K186" s="59" t="str"/>
      <x:c r="L186" s="59" t="str"/>
      <x:c r="M186" s="46" t="str"/>
      <x:c r="N186" s="46" t="str"/>
      <x:c r="O186" s="46" t="str"/>
      <x:c r="P186" s="46" t="str"/>
      <x:c r="Q186" s="46" t="str"/>
    </x:row>
    <x:row r="187">
      <x:c r="A187" s="11" t="str">
        <x:v>ABNB-2026Q2-INITIAL-QQQ-5D</x:v>
      </x:c>
      <x:c r="B187" s="11" t="str">
        <x:v>ABNB-2026Q2-INITIAL</x:v>
      </x:c>
      <x:c r="C187" s="11" t="str">
        <x:v>QQQ</x:v>
      </x:c>
      <x:c r="D187" s="44" t="str">
        <x:v>QQQ US Equity</x:v>
      </x:c>
      <x:c r="E187" s="56" t="n">
        <x:v>46240.875</x:v>
      </x:c>
      <x:c r="F187" s="44" t="str">
        <x:v>First U.S. exchange session after an after-close release</x:v>
      </x:c>
      <x:c r="G187" s="44" t="str">
        <x:v>5 trading sessions</x:v>
      </x:c>
      <x:c r="H187" s="44" t="str">
        <x:v>Official close immediately before reaction session</x:v>
      </x:c>
      <x:c r="I187" s="44" t="str">
        <x:v>Official close after 5 exchange sessions</x:v>
      </x:c>
      <x:c r="J187" s="44" t="str">
        <x:v>TOT_RETURN_INDEX_GROSS_DVDS preferred; PX_LAST fallback</x:v>
      </x:c>
      <x:c r="K187" s="59" t="str"/>
      <x:c r="L187" s="59" t="str"/>
      <x:c r="M187" s="46" t="str"/>
      <x:c r="N187" s="46" t="str"/>
      <x:c r="O187" s="46" t="str"/>
      <x:c r="P187" s="46" t="str"/>
      <x:c r="Q187" s="46" t="str"/>
    </x:row>
    <x:row r="188">
      <x:c r="A188" s="11" t="str">
        <x:v>ABNB-2026Q2-INITIAL-QQQ-20D</x:v>
      </x:c>
      <x:c r="B188" s="11" t="str">
        <x:v>ABNB-2026Q2-INITIAL</x:v>
      </x:c>
      <x:c r="C188" s="11" t="str">
        <x:v>QQQ</x:v>
      </x:c>
      <x:c r="D188" s="44" t="str">
        <x:v>QQQ US Equity</x:v>
      </x:c>
      <x:c r="E188" s="56" t="n">
        <x:v>46240.875</x:v>
      </x:c>
      <x:c r="F188" s="44" t="str">
        <x:v>First U.S. exchange session after an after-close release</x:v>
      </x:c>
      <x:c r="G188" s="44" t="str">
        <x:v>20 trading sessions</x:v>
      </x:c>
      <x:c r="H188" s="44" t="str">
        <x:v>Official close immediately before reaction session</x:v>
      </x:c>
      <x:c r="I188" s="44" t="str">
        <x:v>Official close after 20 exchange sessions</x:v>
      </x:c>
      <x:c r="J188" s="44" t="str">
        <x:v>TOT_RETURN_INDEX_GROSS_DVDS preferred; PX_LAST fallback</x:v>
      </x:c>
      <x:c r="K188" s="59" t="str"/>
      <x:c r="L188" s="59" t="str"/>
      <x:c r="M188" s="46" t="str"/>
      <x:c r="N188" s="46" t="str"/>
      <x:c r="O188" s="46" t="str"/>
      <x:c r="P188" s="46" t="str"/>
      <x:c r="Q188" s="46" t="str"/>
    </x:row>
    <x:row r="189">
      <x:c r="A189" s="11" t="str">
        <x:v>ABNB-2026Q2-INITIAL-QQQ-60D</x:v>
      </x:c>
      <x:c r="B189" s="11" t="str">
        <x:v>ABNB-2026Q2-INITIAL</x:v>
      </x:c>
      <x:c r="C189" s="11" t="str">
        <x:v>QQQ</x:v>
      </x:c>
      <x:c r="D189" s="44" t="str">
        <x:v>QQQ US Equity</x:v>
      </x:c>
      <x:c r="E189" s="56" t="n">
        <x:v>46240.875</x:v>
      </x:c>
      <x:c r="F189" s="44" t="str">
        <x:v>First U.S. exchange session after an after-close release</x:v>
      </x:c>
      <x:c r="G189" s="44" t="str">
        <x:v>60 trading sessions</x:v>
      </x:c>
      <x:c r="H189" s="44" t="str">
        <x:v>Official close immediately before reaction session</x:v>
      </x:c>
      <x:c r="I189" s="44" t="str">
        <x:v>Official close after 60 exchange sessions</x:v>
      </x:c>
      <x:c r="J189" s="44" t="str">
        <x:v>TOT_RETURN_INDEX_GROSS_DVDS preferred; PX_LAST fallback</x:v>
      </x:c>
      <x:c r="K189" s="59" t="str"/>
      <x:c r="L189" s="59" t="str"/>
      <x:c r="M189" s="46" t="str"/>
      <x:c r="N189" s="46" t="str"/>
      <x:c r="O189" s="46" t="str"/>
      <x:c r="P189" s="46" t="str"/>
      <x:c r="Q189" s="46" t="str"/>
    </x:row>
  </x:sheetData>
  <x:mergeCells>
    <x:mergeCell ref="A1:Q2"/>
    <x:mergeCell ref="A3:Q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34" hidden="0" customWidth="1"/>
    <x:col min="3" max="3" width="34" hidden="0" customWidth="1"/>
    <x:col min="4" max="4" width="34" hidden="0" customWidth="1"/>
    <x:col min="5" max="5" width="16" hidden="0" customWidth="1"/>
    <x:col min="6" max="6" width="38" hidden="0" customWidth="1"/>
    <x:col min="7" max="7" width="38" hidden="0" customWidth="1"/>
    <x:col min="8" max="8" width="38" hidden="0" customWidth="1"/>
  </x:cols>
  <x:sheetData>
    <x:row r="1" ht="24" customHeight="1">
      <x:c r="A1" s="3" t="str">
        <x:v>Field Definitions, Fallbacks &amp; Leakage Controls</x:v>
      </x:c>
    </x:row>
    <x:row r="2" ht="24" customHeight="1"/>
    <x:row r="4">
      <x:c r="A4" s="51" t="str">
        <x:v>Object</x:v>
      </x:c>
      <x:c r="B4" s="51" t="str">
        <x:v>Required variable</x:v>
      </x:c>
      <x:c r="C4" s="51" t="str">
        <x:v>Preferred Bloomberg field/family</x:v>
      </x:c>
      <x:c r="D4" s="51" t="str">
        <x:v>Fallback</x:v>
      </x:c>
      <x:c r="E4" s="51" t="str">
        <x:v>Unit</x:v>
      </x:c>
      <x:c r="F4" s="51" t="str">
        <x:v>Required metadata</x:v>
      </x:c>
      <x:c r="G4" s="51" t="str">
        <x:v>Quality rule</x:v>
      </x:c>
      <x:c r="H4" s="51" t="str">
        <x:v>Leakage risk</x:v>
      </x:c>
    </x:row>
    <x:row r="5">
      <x:c r="A5" s="11" t="str">
        <x:v>Consensus</x:v>
      </x:c>
      <x:c r="B5" s="11" t="str">
        <x:v>Revenue mean</x:v>
      </x:c>
      <x:c r="C5" s="44" t="str">
        <x:v>Point-in-time BEST_SALES history</x:v>
      </x:c>
      <x:c r="D5" s="44" t="str">
        <x:v>Bloomberg historical consensus export</x:v>
      </x:c>
      <x:c r="E5" s="11" t="str">
        <x:v>USD mm</x:v>
      </x:c>
      <x:c r="F5" s="11" t="str">
        <x:v>snapshot UTC, fiscal quarter, currency, field, overrides, analyst count</x:v>
      </x:c>
      <x:c r="G5" s="11" t="str">
        <x:v>Snapshot strictly before event; exact target quarter</x:v>
      </x:c>
      <x:c r="H5" s="11" t="str">
        <x:v>Critical: current/latest BEST_SALES is future information</x:v>
      </x:c>
    </x:row>
    <x:row r="6">
      <x:c r="A6" s="11" t="str">
        <x:v>Consensus</x:v>
      </x:c>
      <x:c r="B6" s="11" t="str">
        <x:v>Revenue median</x:v>
      </x:c>
      <x:c r="C6" s="44" t="str">
        <x:v>Point-in-time BEST_SALES_MEDIAN or equivalent</x:v>
      </x:c>
      <x:c r="D6" s="44" t="str">
        <x:v>Return unavailable with reason</x:v>
      </x:c>
      <x:c r="E6" s="11" t="str">
        <x:v>USD mm</x:v>
      </x:c>
      <x:c r="F6" s="11" t="str">
        <x:v>same as above</x:v>
      </x:c>
      <x:c r="G6" s="11" t="str">
        <x:v>Do not calculate median from a later contributor set</x:v>
      </x:c>
      <x:c r="H6" s="11" t="str">
        <x:v>High</x:v>
      </x:c>
    </x:row>
    <x:row r="7">
      <x:c r="A7" s="11" t="str">
        <x:v>Consensus</x:v>
      </x:c>
      <x:c r="B7" s="11" t="str">
        <x:v>Revenue high / low</x:v>
      </x:c>
      <x:c r="C7" s="44" t="str">
        <x:v>Point-in-time BEST_SALES_HIGH / BEST_SALES_LOW or equivalents</x:v>
      </x:c>
      <x:c r="D7" s="44" t="str">
        <x:v>Return unavailable with reason</x:v>
      </x:c>
      <x:c r="E7" s="11" t="str">
        <x:v>USD mm</x:v>
      </x:c>
      <x:c r="F7" s="11" t="str">
        <x:v>same as above</x:v>
      </x:c>
      <x:c r="G7" s="11" t="str">
        <x:v>Same eligible snapshot and contributor universe as mean</x:v>
      </x:c>
      <x:c r="H7" s="11" t="str">
        <x:v>High</x:v>
      </x:c>
    </x:row>
    <x:row r="8">
      <x:c r="A8" s="11" t="str">
        <x:v>Consensus</x:v>
      </x:c>
      <x:c r="B8" s="11" t="str">
        <x:v>Analyst count</x:v>
      </x:c>
      <x:c r="C8" s="44" t="str">
        <x:v>Point-in-time BEST_SALES_NUM_EST or equivalent</x:v>
      </x:c>
      <x:c r="D8" s="44" t="str">
        <x:v>Contributor count from raw export</x:v>
      </x:c>
      <x:c r="E8" s="11" t="str">
        <x:v>count</x:v>
      </x:c>
      <x:c r="F8" s="11" t="str">
        <x:v>same as above</x:v>
      </x:c>
      <x:c r="G8" s="11" t="str">
        <x:v>Count must correspond to returned snapshot</x:v>
      </x:c>
      <x:c r="H8" s="11" t="str">
        <x:v>High</x:v>
      </x:c>
    </x:row>
    <x:row r="9">
      <x:c r="A9" s="11" t="str">
        <x:v>Operating estimates</x:v>
      </x:c>
      <x:c r="B9" s="11" t="str">
        <x:v>Nights booked / GBV / adjusted EBITDA</x:v>
      </x:c>
      <x:c r="C9" s="44" t="str">
        <x:v>Point-in-time BEST field if Bloomberg maintains coverage</x:v>
      </x:c>
      <x:c r="D9" s="44" t="str">
        <x:v>Return unavailable with reason</x:v>
      </x:c>
      <x:c r="E9" s="11" t="str">
        <x:v>metric-specific</x:v>
      </x:c>
      <x:c r="F9" s="11" t="str">
        <x:v>snapshot UTC, fiscal period, field, overrides, count</x:v>
      </x:c>
      <x:c r="G9" s="11" t="str">
        <x:v>Collect only if target-period mapping is unambiguous</x:v>
      </x:c>
      <x:c r="H9" s="11" t="str">
        <x:v>High</x:v>
      </x:c>
    </x:row>
    <x:row r="10">
      <x:c r="A10" s="11" t="str">
        <x:v>Price</x:v>
      </x:c>
      <x:c r="B10" s="11" t="str">
        <x:v>Gross total-return index</x:v>
      </x:c>
      <x:c r="C10" s="44" t="str">
        <x:v>TOT_RETURN_INDEX_GROSS_DVDS</x:v>
      </x:c>
      <x:c r="D10" s="44" t="str">
        <x:v>PX_LAST with adjustment flags</x:v>
      </x:c>
      <x:c r="E10" s="11" t="str">
        <x:v>index / price</x:v>
      </x:c>
      <x:c r="F10" s="11" t="str">
        <x:v>session date, currency, corporate actions</x:v>
      </x:c>
      <x:c r="G10" s="11" t="str">
        <x:v>Use U.S. exchange calendar and same start/end rule</x:v>
      </x:c>
      <x:c r="H10" s="11" t="str">
        <x:v>Medium if later prices enter predictive features</x:v>
      </x:c>
    </x:row>
    <x:row r="11">
      <x:c r="A11" s="11" t="str">
        <x:v>Price</x:v>
      </x:c>
      <x:c r="B11" s="11" t="str">
        <x:v>Corporate-action treatment</x:v>
      </x:c>
      <x:c r="C11" s="44" t="str">
        <x:v>Adjustment flags from export</x:v>
      </x:c>
      <x:c r="D11" s="44" t="str">
        <x:v>Document Bloomberg defaults</x:v>
      </x:c>
      <x:c r="E11" s="11" t="str">
        <x:v>text</x:v>
      </x:c>
      <x:c r="F11" s="11" t="str">
        <x:v>field and override details</x:v>
      </x:c>
      <x:c r="G11" s="11" t="str">
        <x:v>ABNB and QQQ must use consistent treatment</x:v>
      </x:c>
      <x:c r="H11" s="11" t="str">
        <x:v>Medium</x:v>
      </x:c>
    </x:row>
    <x:row r="12">
      <x:c r="A12" s="11" t="str">
        <x:v>Clock</x:v>
      </x:c>
      <x:c r="B12" s="11" t="str">
        <x:v>Event timestamp</x:v>
      </x:c>
      <x:c r="C12" s="44" t="str">
        <x:v>Workbook Guidance Events tab</x:v>
      </x:c>
      <x:c r="D12" s="44" t="str">
        <x:v>SEC 8-K acceptance timestamp after verification</x:v>
      </x:c>
      <x:c r="E12" s="11" t="str">
        <x:v>UTC</x:v>
      </x:c>
      <x:c r="F12" s="11" t="str">
        <x:v>source ID and URL</x:v>
      </x:c>
      <x:c r="G12" s="11" t="str">
        <x:v>Do not move snapshot boundary later than the event</x:v>
      </x:c>
      <x:c r="H12" s="11" t="str">
        <x:v>Critical</x:v>
      </x:c>
    </x:row>
  </x:sheetData>
  <x:mergeCells>
    <x:mergeCell ref="A1:H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4" hidden="0" customWidth="1"/>
    <x:col min="4" max="4" width="14" hidden="0" customWidth="1"/>
    <x:col min="5" max="5" width="14" hidden="0" customWidth="1"/>
    <x:col min="6" max="6" width="14" hidden="0" customWidth="1"/>
    <x:col min="7" max="7" width="58" hidden="0" customWidth="1"/>
  </x:cols>
  <x:sheetData>
    <x:row r="1" ht="24" customHeight="1">
      <x:c r="A1" s="3" t="str">
        <x:v>Bloomberg Request Audit Checks</x:v>
      </x:c>
    </x:row>
    <x:row r="2" ht="24" customHeight="1"/>
    <x:row r="4">
      <x:c r="A4" s="51" t="str">
        <x:v>Check</x:v>
      </x:c>
      <x:c r="B4" s="51" t="str">
        <x:v>Actual</x:v>
      </x:c>
      <x:c r="C4" s="51" t="str">
        <x:v>Expected</x:v>
      </x:c>
      <x:c r="D4" s="51" t="str">
        <x:v>Difference</x:v>
      </x:c>
      <x:c r="E4" s="51" t="str">
        <x:v>Tolerance</x:v>
      </x:c>
      <x:c r="F4" s="51" t="str">
        <x:v>Status</x:v>
      </x:c>
      <x:c r="G4" s="51" t="str">
        <x:v>Notes / fix</x:v>
      </x:c>
    </x:row>
    <x:row r="5">
      <x:c r="A5" s="11" t="str">
        <x:v>Guidance events represented</x:v>
      </x:c>
      <x:c r="B5" s="45" t="n">
        <x:f>COUNTA('Guidance Events'!A5:A1000)</x:f>
        <x:v>23</x:v>
      </x:c>
      <x:c r="C5" s="11" t="n">
        <x:v>23</x:v>
      </x:c>
      <x:c r="D5" s="11" t="n">
        <x:f>B5-C5</x:f>
        <x:v>0</x:v>
      </x:c>
      <x:c r="E5" s="11" t="n">
        <x:v>0</x:v>
      </x:c>
      <x:c r="F5" s="11" t="str">
        <x:f>IF(ABS(D5)&lt;=E5,"OK","OPEN")</x:f>
        <x:v>OK</x:v>
      </x:c>
      <x:c r="G5" s="11" t="str">
        <x:v>All historical guidance events should be present.</x:v>
      </x:c>
    </x:row>
    <x:row r="6">
      <x:c r="A6" s="11" t="str">
        <x:v>Revenue consensus request rows</x:v>
      </x:c>
      <x:c r="B6" s="45" t="n">
        <x:f>COUNTA('Consensus Request'!A6:A1000)</x:f>
        <x:v>115</x:v>
      </x:c>
      <x:c r="C6" s="11" t="n">
        <x:v>115</x:v>
      </x:c>
      <x:c r="D6" s="11" t="n">
        <x:f>B6-C6</x:f>
        <x:v>0</x:v>
      </x:c>
      <x:c r="E6" s="11" t="n">
        <x:v>0</x:v>
      </x:c>
      <x:c r="F6" s="11" t="str">
        <x:f>IF(ABS(D6)&lt;=E6,"OK","OPEN")</x:f>
        <x:v>OK</x:v>
      </x:c>
      <x:c r="G6" s="11" t="str">
        <x:v>Five statistics for each of 23 events.</x:v>
      </x:c>
    </x:row>
    <x:row r="7">
      <x:c r="A7" s="11" t="str">
        <x:v>Consensus returned values populated</x:v>
      </x:c>
      <x:c r="B7" s="45" t="n">
        <x:f>COUNT('Consensus Request'!L6:L1000)</x:f>
        <x:v>0</x:v>
      </x:c>
      <x:c r="C7" s="11" t="n">
        <x:v>115</x:v>
      </x:c>
      <x:c r="D7" s="11" t="n">
        <x:f>B7-C7</x:f>
        <x:v>-115</x:v>
      </x:c>
      <x:c r="E7" s="11" t="n">
        <x:v>0</x:v>
      </x:c>
      <x:c r="F7" s="11" t="str">
        <x:f>IF(ABS(D7)&lt;=E7,"OK","OPEN")</x:f>
        <x:v>OPEN</x:v>
      </x:c>
      <x:c r="G7" s="11" t="str">
        <x:v>Populate only after explicit user authorization and Bloomberg run.</x:v>
      </x:c>
    </x:row>
    <x:row r="8">
      <x:c r="A8" s="11" t="str">
        <x:v>Consensus leakage checks failed</x:v>
      </x:c>
      <x:c r="B8" s="45" t="n">
        <x:f>COUNTIF('Consensus Request'!V6:V1000,"FAIL*")</x:f>
        <x:v>0</x:v>
      </x:c>
      <x:c r="C8" s="11" t="n">
        <x:v>0</x:v>
      </x:c>
      <x:c r="D8" s="11" t="n">
        <x:f>B8-C8</x:f>
        <x:v>0</x:v>
      </x:c>
      <x:c r="E8" s="11" t="n">
        <x:v>0</x:v>
      </x:c>
      <x:c r="F8" s="11" t="str">
        <x:f>IF(ABS(D8)&lt;=E8,"OK","OPEN")</x:f>
        <x:v>OK</x:v>
      </x:c>
      <x:c r="G8" s="11" t="str">
        <x:v>Any failure means the snapshot is not strictly pre-event.</x:v>
      </x:c>
    </x:row>
    <x:row r="9">
      <x:c r="A9" s="11" t="str">
        <x:v>Price request rows</x:v>
      </x:c>
      <x:c r="B9" s="45" t="n">
        <x:f>COUNTA('Price Request'!A6:A1000)</x:f>
        <x:v>184</x:v>
      </x:c>
      <x:c r="C9" s="11" t="n">
        <x:v>184</x:v>
      </x:c>
      <x:c r="D9" s="11" t="n">
        <x:f>B9-C9</x:f>
        <x:v>0</x:v>
      </x:c>
      <x:c r="E9" s="11" t="n">
        <x:v>0</x:v>
      </x:c>
      <x:c r="F9" s="11" t="str">
        <x:f>IF(ABS(D9)&lt;=E9,"OK","OPEN")</x:f>
        <x:v>OK</x:v>
      </x:c>
      <x:c r="G9" s="11" t="str">
        <x:v>Two securities × four windows × 23 events.</x:v>
      </x:c>
    </x:row>
    <x:row r="10">
      <x:c r="A10" s="11" t="str">
        <x:v>Price returned values populated</x:v>
      </x:c>
      <x:c r="B10" s="45" t="n">
        <x:f>COUNT('Price Request'!O6:O1000)</x:f>
        <x:v>0</x:v>
      </x:c>
      <x:c r="C10" s="11" t="n">
        <x:v>184</x:v>
      </x:c>
      <x:c r="D10" s="11" t="n">
        <x:f>B10-C10</x:f>
        <x:v>-184</x:v>
      </x:c>
      <x:c r="E10" s="11" t="n">
        <x:v>0</x:v>
      </x:c>
      <x:c r="F10" s="11" t="str">
        <x:f>IF(ABS(D10)&lt;=E10,"OK","OPEN")</x:f>
        <x:v>OPEN</x:v>
      </x:c>
      <x:c r="G10" s="11" t="str">
        <x:v>Populate after authorized Bloomberg reconciliation.</x:v>
      </x:c>
    </x:row>
    <x:row r="11">
      <x:c r="A11" s="11" t="str">
        <x:v>Consensus snapshot metadata populated</x:v>
      </x:c>
      <x:c r="B11" s="45" t="n">
        <x:f>COUNT('Consensus Request'!N6:N1000)</x:f>
        <x:v>0</x:v>
      </x:c>
      <x:c r="C11" s="11" t="n">
        <x:v>115</x:v>
      </x:c>
      <x:c r="D11" s="11" t="n">
        <x:f>B11-C11</x:f>
        <x:v>-115</x:v>
      </x:c>
      <x:c r="E11" s="11" t="n">
        <x:v>0</x:v>
      </x:c>
      <x:c r="F11" s="11" t="str">
        <x:f>IF(ABS(D11)&lt;=E11,"OK","OPEN")</x:f>
        <x:v>OPEN</x:v>
      </x:c>
      <x:c r="G11" s="11" t="str">
        <x:v>Every returned consensus value needs a snapshot timestamp.</x:v>
      </x:c>
    </x:row>
    <x:row r="12">
      <x:c r="A12" s="11" t="str">
        <x:v>Target-period labels populated</x:v>
      </x:c>
      <x:c r="B12" s="45" t="n">
        <x:f>COUNTA('Consensus Request'!F6:F1000)</x:f>
        <x:v>115</x:v>
      </x:c>
      <x:c r="C12" s="11" t="n">
        <x:v>115</x:v>
      </x:c>
      <x:c r="D12" s="11" t="n">
        <x:f>B12-C12</x:f>
        <x:v>0</x:v>
      </x:c>
      <x:c r="E12" s="11" t="n">
        <x:v>0</x:v>
      </x:c>
      <x:c r="F12" s="11" t="str">
        <x:f>IF(ABS(D12)&lt;=E12,"OK","OPEN")</x:f>
        <x:v>OK</x:v>
      </x:c>
      <x:c r="G12" s="11" t="str">
        <x:v>Every request must use the explicit target quarter.</x:v>
      </x:c>
    </x:row>
    <x:row r="13">
      <x:c r="A13" s="11" t="str">
        <x:v>Paid extraction authorization</x:v>
      </x:c>
      <x:c r="B13" s="45" t="n">
        <x:f>0</x:f>
        <x:v>0</x:v>
      </x:c>
      <x:c r="C13" s="44" t="n">
        <x:v>1</x:v>
      </x:c>
      <x:c r="D13" s="11" t="n">
        <x:f>B13-C13</x:f>
        <x:v>-1</x:v>
      </x:c>
      <x:c r="E13" s="11" t="n">
        <x:v>0</x:v>
      </x:c>
      <x:c r="F13" s="11" t="str">
        <x:f>IF(ABS(D13)&lt;=E13,"OK","OPEN")</x:f>
        <x:v>OPEN</x:v>
      </x:c>
      <x:c r="G13" s="11" t="str">
        <x:v>Set to 1 only after the user authorizes paid Bloomberg extraction.</x:v>
      </x:c>
    </x:row>
  </x:sheetData>
  <x:mergeCells>
    <x:mergeCell ref="A1:G2"/>
  </x:mergeCells>
  <x:conditionalFormatting sqref="F5:F13">
    <x:cfRule type="containsText" dxfId="2" priority="1" operator="containsText" text="OK"/>
    <x:cfRule type="containsText" dxfId="3" priority="2" operator="containsText" text="OPEN"/>
  </x:conditionalFormatting>
  <x:pageMargins left="0.7" right="0.7" top="0.75" bottom="0.75" header="0.3" footer="0.3"/>
</x:worksheet>
</file>