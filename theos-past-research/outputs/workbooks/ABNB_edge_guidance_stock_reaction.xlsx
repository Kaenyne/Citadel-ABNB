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1aec9a857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eead8f60aff1413b"/>
    <x:sheet xmlns:r="http://schemas.openxmlformats.org/officeDocument/2006/relationships" name="Guidance Events" sheetId="2" r:id="Rd5e1fed1cdb74404"/>
    <x:sheet xmlns:r="http://schemas.openxmlformats.org/officeDocument/2006/relationships" name="Price Reactions" sheetId="3" r:id="R04b8d95f814a472a"/>
    <x:sheet xmlns:r="http://schemas.openxmlformats.org/officeDocument/2006/relationships" name="Edge Observations" sheetId="4" r:id="R2c11b1d290e84701"/>
    <x:sheet xmlns:r="http://schemas.openxmlformats.org/officeDocument/2006/relationships" name="Eligibility Bridge" sheetId="5" r:id="Rc1624f589d954c20"/>
    <x:sheet xmlns:r="http://schemas.openxmlformats.org/officeDocument/2006/relationships" name="OSE Trend" sheetId="6" r:id="R814614874d484df3"/>
    <x:sheet xmlns:r="http://schemas.openxmlformats.org/officeDocument/2006/relationships" name="Price History" sheetId="7" r:id="R091bcb24b7f040a6"/>
    <x:sheet xmlns:r="http://schemas.openxmlformats.org/officeDocument/2006/relationships" name="Checks" sheetId="8" r:id="R1382bb879557475b"/>
    <x:sheet xmlns:r="http://schemas.openxmlformats.org/officeDocument/2006/relationships" name="Sources" sheetId="9" r:id="R16baec8e3ca1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yyyy-mm-dd hh:mm"/>
    <x:numFmt numFmtId="201" formatCode="yyyy-mm-dd"/>
    <x:numFmt numFmtId="202" formatCode="&quot;$&quot;#,##0.0"/>
    <x:numFmt numFmtId="203" formatCode="0.0%"/>
    <x:numFmt numFmtId="204" formatCode="&quot;$&quot;#,##0.00"/>
    <x:numFmt numFmtId="205" formatCode="#,##0"/>
    <x:numFmt numFmtId="206" formatCode="0.00%"/>
    <x:numFmt numFmtId="207" formatCode="#,##0.00####"/>
    <x:numFmt numFmtId="208" formatCode="#,##0.0"/>
    <x:numFmt numFmtId="209" formatCode="&quot;$&quot;#,##0"/>
    <x:numFmt numFmtId="210" formatCode="0.000000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i/>
      <x:sz val="11"/>
      <x:color rgb="FF17365D"/>
      <x:name val="Carlito"/>
    </x:font>
    <x:font>
      <x:b/>
      <x:sz val="20"/>
      <x:color rgb="FF17365D"/>
      <x:name val="Carlito"/>
    </x:font>
    <x:font>
      <x:b/>
      <x:sz val="9"/>
      <x:color rgb="FFFFFFFF"/>
      <x:name val="Carlito"/>
    </x:font>
    <x:font>
      <x:b/>
      <x:sz val="18"/>
      <x:color rgb="FF17365D"/>
      <x:name val="Carlito"/>
    </x:font>
    <x:font>
      <x:i/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7A8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17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</x:border>
    <x:border>
      <x:right style="thin">
        <x:color rgb="FFC9B458"/>
      </x:right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</x:borders>
  <x:cellStyleXfs count="1">
    <x:xf numFmtId="0" fontId="0" fillId="0" borderId="0"/>
  </x:cellStyleXfs>
  <x:cellXfs count="1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vertical="top"/>
    </x:xf>
    <x:xf numFmtId="200" fontId="4" fillId="0" borderId="2" xfId="0" applyNumberFormat="1" applyFont="1" applyFill="1" applyBorder="1" applyAlignment="1">
      <x:alignment vertical="top"/>
    </x:xf>
    <x:xf numFmtId="201" fontId="4" fillId="0" borderId="2" xfId="0" applyNumberFormat="1" applyFont="1" applyFill="1" applyBorder="1" applyAlignment="1">
      <x:alignment vertical="top"/>
    </x:xf>
    <x:xf numFmtId="202" fontId="4" fillId="0" borderId="2" xfId="0" applyNumberFormat="1" applyFont="1" applyFill="1" applyBorder="1" applyAlignment="1">
      <x:alignment vertical="top"/>
    </x:xf>
    <x:xf numFmtId="202" fontId="5" fillId="0" borderId="2" xfId="0" applyNumberFormat="1" applyFont="1" applyFill="1" applyBorder="1" applyAlignment="1">
      <x:alignment vertical="top"/>
    </x:xf>
    <x:xf numFmtId="203" fontId="5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 wrapText="1"/>
    </x:xf>
    <x:xf numFmtId="204" fontId="4" fillId="0" borderId="2" xfId="0" applyNumberFormat="1" applyFont="1" applyFill="1" applyBorder="1" applyAlignment="1">
      <x:alignment vertical="top"/>
    </x:xf>
    <x:xf numFmtId="205" fontId="4" fillId="0" borderId="2" xfId="0" applyNumberFormat="1" applyFont="1" applyFill="1" applyBorder="1" applyAlignment="1">
      <x:alignment vertical="top"/>
    </x:xf>
    <x:xf numFmtId="204" fontId="5" fillId="0" borderId="2" xfId="0" applyNumberFormat="1" applyFont="1" applyFill="1" applyBorder="1" applyAlignment="1">
      <x:alignment vertical="top"/>
    </x:xf>
    <x:xf numFmtId="206" fontId="5" fillId="0" borderId="2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3" fontId="6" fillId="0" borderId="2" xfId="0" applyNumberFormat="1" applyFont="1" applyFill="1" applyBorder="1" applyAlignment="1">
      <x:alignment vertical="top"/>
    </x:xf>
    <x:xf numFmtId="207" fontId="4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208" fontId="4" fillId="0" borderId="2" xfId="0" applyNumberFormat="1" applyFont="1" applyFill="1" applyBorder="1" applyAlignment="1">
      <x:alignment vertical="top"/>
    </x:xf>
    <x:xf numFmtId="208" fontId="5" fillId="0" borderId="2" xfId="0" applyNumberFormat="1" applyFont="1" applyFill="1" applyBorder="1" applyAlignment="1">
      <x:alignment vertical="top"/>
    </x:xf>
    <x:xf numFmtId="209" fontId="4" fillId="0" borderId="2" xfId="0" applyNumberFormat="1" applyFont="1" applyFill="1" applyBorder="1" applyAlignment="1">
      <x:alignment vertical="top"/>
    </x:xf>
    <x:xf numFmtId="209" fontId="5" fillId="0" borderId="2" xfId="0" applyNumberFormat="1" applyFont="1" applyFill="1" applyBorder="1" applyAlignment="1">
      <x:alignment vertical="top"/>
    </x:xf>
    <x:xf numFmtId="203" fontId="4" fillId="0" borderId="2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3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3" xfId="0" applyNumberFormat="1" applyFont="1" applyFill="1" applyBorder="1" applyAlignment="1">
      <x:alignment horizontal="center"/>
    </x:xf>
    <x:xf numFmtId="0" fontId="8" fillId="5" borderId="4" xfId="0" applyNumberFormat="1" applyFont="1" applyFill="1" applyBorder="1" applyAlignment="1">
      <x:alignment horizontal="center"/>
    </x:xf>
    <x:xf numFmtId="0" fontId="8" fillId="5" borderId="5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/>
    </x:xf>
    <x:xf numFmtId="0" fontId="8" fillId="5" borderId="7" xfId="0" applyNumberFormat="1" applyFont="1" applyFill="1" applyBorder="1" applyAlignment="1">
      <x:alignment horizontal="center"/>
    </x:xf>
    <x:xf numFmtId="0" fontId="8" fillId="5" borderId="8" xfId="0" applyNumberFormat="1" applyFont="1" applyFill="1" applyBorder="1" applyAlignment="1">
      <x:alignment horizontal="center"/>
    </x:xf>
    <x:xf numFmtId="0" fontId="8" fillId="5" borderId="3" xfId="0" applyNumberFormat="1" applyFont="1" applyFill="1" applyBorder="1" applyAlignment="1">
      <x:alignment horizontal="center" vertical="center"/>
    </x:xf>
    <x:xf numFmtId="0" fontId="8" fillId="5" borderId="4" xfId="0" applyNumberFormat="1" applyFont="1" applyFill="1" applyBorder="1" applyAlignment="1">
      <x:alignment horizontal="center" vertical="center"/>
    </x:xf>
    <x:xf numFmtId="0" fontId="8" fillId="5" borderId="5" xfId="0" applyNumberFormat="1" applyFont="1" applyFill="1" applyBorder="1" applyAlignment="1">
      <x:alignment horizontal="center" vertic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8" fillId="5" borderId="7" xfId="0" applyNumberFormat="1" applyFont="1" applyFill="1" applyBorder="1" applyAlignment="1">
      <x:alignment horizontal="center" vertical="center"/>
    </x:xf>
    <x:xf numFmtId="0" fontId="8" fillId="5" borderId="8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wrapText="1"/>
    </x:xf>
    <x:xf numFmtId="0" fontId="10" fillId="5" borderId="0" xfId="0" applyNumberFormat="1" applyFont="1" applyFill="1" applyBorder="1"/>
    <x:xf numFmtId="0" fontId="10" fillId="5" borderId="3" xfId="0" applyNumberFormat="1" applyFont="1" applyFill="1" applyBorder="1"/>
    <x:xf numFmtId="0" fontId="10" fillId="5" borderId="4" xfId="0" applyNumberFormat="1" applyFont="1" applyFill="1" applyBorder="1"/>
    <x:xf numFmtId="0" fontId="10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0" fillId="5" borderId="3" xfId="0" applyNumberFormat="1" applyFont="1" applyFill="1" applyBorder="1" applyAlignment="1">
      <x:alignment horizontal="center"/>
    </x:xf>
    <x:xf numFmtId="0" fontId="10" fillId="5" borderId="4" xfId="0" applyNumberFormat="1" applyFont="1" applyFill="1" applyBorder="1" applyAlignment="1">
      <x:alignment horizontal="center"/>
    </x:xf>
    <x:xf numFmtId="0" fontId="10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0" fillId="5" borderId="3" xfId="0" applyNumberFormat="1" applyFont="1" applyFill="1" applyBorder="1" applyAlignment="1">
      <x:alignment horizontal="center" vertical="center"/>
    </x:xf>
    <x:xf numFmtId="0" fontId="10" fillId="5" borderId="4" xfId="0" applyNumberFormat="1" applyFont="1" applyFill="1" applyBorder="1" applyAlignment="1">
      <x:alignment horizontal="center" vertical="center"/>
    </x:xf>
    <x:xf numFmtId="0" fontId="10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206" fontId="10" fillId="5" borderId="3" xfId="0" applyNumberFormat="1" applyFont="1" applyFill="1" applyBorder="1" applyAlignment="1">
      <x:alignment horizontal="center" vertical="center"/>
    </x:xf>
    <x:xf numFmtId="206" fontId="10" fillId="5" borderId="4" xfId="0" applyNumberFormat="1" applyFont="1" applyFill="1" applyBorder="1" applyAlignment="1">
      <x:alignment horizontal="center" vertical="center"/>
    </x:xf>
    <x:xf numFmtId="206" fontId="10" fillId="5" borderId="5" xfId="0" applyNumberFormat="1" applyFont="1" applyFill="1" applyBorder="1" applyAlignment="1">
      <x:alignment horizontal="center" vertical="center"/>
    </x:xf>
    <x:xf numFmtId="206" fontId="10" fillId="5" borderId="6" xfId="0" applyNumberFormat="1" applyFont="1" applyFill="1" applyBorder="1" applyAlignment="1">
      <x:alignment horizontal="center" vertical="center"/>
    </x:xf>
    <x:xf numFmtId="206" fontId="10" fillId="5" borderId="7" xfId="0" applyNumberFormat="1" applyFont="1" applyFill="1" applyBorder="1" applyAlignment="1">
      <x:alignment horizontal="center" vertical="center"/>
    </x:xf>
    <x:xf numFmtId="206" fontId="10" fillId="5" borderId="8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9" xfId="0" applyNumberFormat="1" applyFont="1" applyFill="1" applyBorder="1"/>
    <x:xf numFmtId="0" fontId="3" fillId="6" borderId="10" xfId="0" applyNumberFormat="1" applyFont="1" applyFill="1" applyBorder="1"/>
    <x:xf numFmtId="0" fontId="3" fillId="6" borderId="11" xfId="0" applyNumberFormat="1" applyFont="1" applyFill="1" applyBorder="1"/>
    <x:xf numFmtId="0" fontId="3" fillId="6" borderId="12" xfId="0" applyNumberFormat="1" applyFont="1" applyFill="1" applyBorder="1"/>
    <x:xf numFmtId="0" fontId="3" fillId="6" borderId="13" xfId="0" applyNumberFormat="1" applyFont="1" applyFill="1" applyBorder="1"/>
    <x:xf numFmtId="0" fontId="3" fillId="6" borderId="14" xfId="0" applyNumberFormat="1" applyFont="1" applyFill="1" applyBorder="1"/>
    <x:xf numFmtId="0" fontId="3" fillId="6" borderId="15" xfId="0" applyNumberFormat="1" applyFont="1" applyFill="1" applyBorder="1"/>
    <x:xf numFmtId="0" fontId="3" fillId="6" borderId="16" xfId="0" applyNumberFormat="1" applyFont="1" applyFill="1" applyBorder="1"/>
    <x:xf numFmtId="0" fontId="3" fillId="6" borderId="9" xfId="0" applyNumberFormat="1" applyFont="1" applyFill="1" applyBorder="1" applyAlignment="1">
      <x:alignment wrapText="1"/>
    </x:xf>
    <x:xf numFmtId="0" fontId="3" fillId="6" borderId="10" xfId="0" applyNumberFormat="1" applyFont="1" applyFill="1" applyBorder="1" applyAlignment="1">
      <x:alignment wrapText="1"/>
    </x:xf>
    <x:xf numFmtId="0" fontId="3" fillId="6" borderId="11" xfId="0" applyNumberFormat="1" applyFont="1" applyFill="1" applyBorder="1" applyAlignment="1">
      <x:alignment wrapText="1"/>
    </x:xf>
    <x:xf numFmtId="0" fontId="3" fillId="6" borderId="12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13" xfId="0" applyNumberFormat="1" applyFont="1" applyFill="1" applyBorder="1" applyAlignment="1">
      <x:alignment wrapText="1"/>
    </x:xf>
    <x:xf numFmtId="0" fontId="3" fillId="6" borderId="14" xfId="0" applyNumberFormat="1" applyFont="1" applyFill="1" applyBorder="1" applyAlignment="1">
      <x:alignment wrapText="1"/>
    </x:xf>
    <x:xf numFmtId="0" fontId="3" fillId="6" borderId="15" xfId="0" applyNumberFormat="1" applyFont="1" applyFill="1" applyBorder="1" applyAlignment="1">
      <x:alignment wrapText="1"/>
    </x:xf>
    <x:xf numFmtId="0" fontId="3" fillId="6" borderId="16" xfId="0" applyNumberFormat="1" applyFont="1" applyFill="1" applyBorder="1" applyAlignment="1">
      <x:alignment wrapText="1"/>
    </x:xf>
    <x:xf numFmtId="0" fontId="3" fillId="6" borderId="9" xfId="0" applyNumberFormat="1" applyFont="1" applyFill="1" applyBorder="1" applyAlignment="1">
      <x:alignment vertical="top" wrapText="1"/>
    </x:xf>
    <x:xf numFmtId="0" fontId="3" fillId="6" borderId="10" xfId="0" applyNumberFormat="1" applyFont="1" applyFill="1" applyBorder="1" applyAlignment="1">
      <x:alignment vertical="top" wrapText="1"/>
    </x:xf>
    <x:xf numFmtId="0" fontId="3" fillId="6" borderId="11" xfId="0" applyNumberFormat="1" applyFont="1" applyFill="1" applyBorder="1" applyAlignment="1">
      <x:alignment vertical="top" wrapText="1"/>
    </x:xf>
    <x:xf numFmtId="0" fontId="3" fillId="6" borderId="12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vertical="top" wrapText="1"/>
    </x:xf>
    <x:xf numFmtId="0" fontId="3" fillId="6" borderId="14" xfId="0" applyNumberFormat="1" applyFont="1" applyFill="1" applyBorder="1" applyAlignment="1">
      <x:alignment vertical="top" wrapText="1"/>
    </x:xf>
    <x:xf numFmtId="0" fontId="3" fillId="6" borderId="15" xfId="0" applyNumberFormat="1" applyFont="1" applyFill="1" applyBorder="1" applyAlignment="1">
      <x:alignment vertical="top" wrapText="1"/>
    </x:xf>
    <x:xf numFmtId="0" fontId="3" fillId="6" borderId="16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3" fillId="0" borderId="0" xfId="0" applyNumberFormat="1" applyFont="1" applyFill="1" applyBorder="1"/>
    <x:xf numFmtId="203" fontId="3" fillId="0" borderId="2" xfId="0" applyNumberFormat="1" applyFont="1" applyFill="1" applyBorder="1"/>
    <x:xf numFmtId="203" fontId="3" fillId="0" borderId="2" xfId="0" applyNumberFormat="1" applyFont="1" applyFill="1" applyBorder="1" applyAlignment="1">
      <x:alignment vertical="top"/>
    </x:xf>
    <x:xf numFmtId="209" fontId="0" fillId="0" borderId="0" xfId="0" applyNumberFormat="1" applyFont="1" applyFill="1" applyBorder="1"/>
    <x:xf numFmtId="209" fontId="3" fillId="0" borderId="0" xfId="0" applyNumberFormat="1" applyFont="1" applyFill="1" applyBorder="1"/>
    <x:xf numFmtId="209" fontId="3" fillId="0" borderId="2" xfId="0" applyNumberFormat="1" applyFont="1" applyFill="1" applyBorder="1"/>
    <x:xf numFmtId="209" fontId="3" fillId="0" borderId="2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center" wrapText="1"/>
    </x:xf>
    <x:xf numFmtId="210" fontId="5" fillId="0" borderId="2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15"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17365D"/>
      </x:font>
      <x:fill>
        <x:patternFill>
          <x:bgColor rgb="FFEAF2F8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17365D"/>
      </x:font>
      <x:fill>
        <x:patternFill>
          <x:bgColor rgb="FFEAF2F8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1055abacc94c04" /><Relationship Type="http://schemas.openxmlformats.org/officeDocument/2006/relationships/theme" Target="/xl/theme/theme1.xml" Id="R970dbc15c68e46fc" /><Relationship Type="http://schemas.openxmlformats.org/officeDocument/2006/relationships/sharedStrings" Target="/xl/sharedStrings.xml" Id="R52d8de20408a4e2c" /><Relationship Type="http://schemas.openxmlformats.org/officeDocument/2006/relationships/worksheet" Target="/xl/worksheets/sheet1.xml" Id="Reead8f60aff1413b" /><Relationship Type="http://schemas.openxmlformats.org/officeDocument/2006/relationships/worksheet" Target="/xl/worksheets/sheet2.xml" Id="Rd5e1fed1cdb74404" /><Relationship Type="http://schemas.openxmlformats.org/officeDocument/2006/relationships/worksheet" Target="/xl/worksheets/sheet3.xml" Id="R04b8d95f814a472a" /><Relationship Type="http://schemas.openxmlformats.org/officeDocument/2006/relationships/worksheet" Target="/xl/worksheets/sheet4.xml" Id="R2c11b1d290e84701" /><Relationship Type="http://schemas.openxmlformats.org/officeDocument/2006/relationships/worksheet" Target="/xl/worksheets/sheet5.xml" Id="Rc1624f589d954c20" /><Relationship Type="http://schemas.openxmlformats.org/officeDocument/2006/relationships/worksheet" Target="/xl/worksheets/sheet6.xml" Id="R814614874d484df3" /><Relationship Type="http://schemas.openxmlformats.org/officeDocument/2006/relationships/worksheet" Target="/xl/worksheets/sheet7.xml" Id="R091bcb24b7f040a6" /><Relationship Type="http://schemas.openxmlformats.org/officeDocument/2006/relationships/worksheet" Target="/xl/worksheets/sheet8.xml" Id="R1382bb879557475b" /><Relationship Type="http://schemas.openxmlformats.org/officeDocument/2006/relationships/worksheet" Target="/xl/worksheets/sheet9.xml" Id="R16baec8e3ca149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9dcda080df4a2c" /><Relationship Type="http://schemas.openxmlformats.org/officeDocument/2006/relationships/chart" Target="/xl/drawings/charts/chart2.xml" Id="R940e24d3b33742b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cc715f04be641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ABNB Earnings Reactions vs Market-Adjusted Returns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ABNB Return</c:v>
          </c:tx>
          <c:marker>
            <c:symbol val="none"/>
          </c:marker>
          <c:cat>
            <c:strRef>
              <c:f>'Executive Summary'!$A$28:$A$50</c:f>
              <c:strCache>
                <c:ptCount val="0"/>
              </c:strCache>
            </c:strRef>
          </c:cat>
          <c:val>
            <c:numRef>
              <c:f>'Executive Summary'!$B$28:$B$50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Excess Return</c:v>
          </c:tx>
          <c:marker>
            <c:symbol val="none"/>
          </c:marker>
          <c:cat>
            <c:strRef>
              <c:f>'Executive Summary'!$A$28:$A$50</c:f>
              <c:strCache>
                <c:ptCount val="0"/>
              </c:strCache>
            </c:strRef>
          </c:cat>
          <c:val>
            <c:numRef>
              <c:f>'Executive Summary'!$C$28:$C$50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Next-Quarter Revenue Guidance Midpoints ($m)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Guidance Midpoint ($m)</c:v>
          </c:tx>
          <c:marker>
            <c:symbol val="none"/>
          </c:marker>
          <c:cat>
            <c:strRef>
              <c:f>'Executive Summary'!$A$54:$A$76</c:f>
              <c:strCache>
                <c:ptCount val="0"/>
              </c:strCache>
            </c:strRef>
          </c:cat>
          <c:val>
            <c:numRef>
              <c:f>'Executive Summary'!$B$54:$B$76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Enforcement Activity Increased Despite Fewer Complaints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2024</c:v>
          </c:tx>
          <c:spPr>
            <a:solidFill xmlns:a="http://schemas.openxmlformats.org/drawingml/2006/main">
              <a:srgbClr val="1F6D8C"/>
            </a:solidFill>
          </c:spPr>
          <c:cat>
            <c:strRef>
              <c:f>'OSE Trend'!$J$3:$J$6</c:f>
              <c:strCache>
                <c:ptCount val="0"/>
              </c:strCache>
            </c:strRef>
          </c:cat>
          <c:val>
            <c:numRef>
              <c:f>'OSE Trend'!$K$3:$K$6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2025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'OSE Trend'!$J$3:$J$6</c:f>
              <c:strCache>
                <c:ptCount val="0"/>
              </c:strCache>
            </c:strRef>
          </c:cat>
          <c:val>
            <c:numRef>
              <c:f>'OSE Trend'!$L$3:$L$6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26</xdr:row>
      <xdr:rowOff>0</xdr:rowOff>
    </xdr:from>
    <xdr:to>
      <xdr:col>13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9dcda080df4a2c"/>
        </a:graphicData>
      </a:graphic>
    </xdr:graphicFrame>
    <xdr:clientData/>
  </xdr:twoCellAnchor>
  <xdr:twoCellAnchor>
    <xdr:from>
      <xdr:col>4</xdr:col>
      <xdr:colOff>0</xdr:colOff>
      <xdr:row>51</xdr:row>
      <xdr:rowOff>0</xdr:rowOff>
    </xdr:from>
    <xdr:to>
      <xdr:col>13</xdr:col>
      <xdr:colOff>0</xdr:colOff>
      <xdr:row>68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0e24d3b33742b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c715f04be6413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uidanceEventsTable" displayName="GuidanceEventsTable" ref="A2:S25" headerRowCount="1" totalsRowCount="0" totalsRowShown="0">
  <x:tableColumns count="19">
    <x:tableColumn id="1" name="Prediction ID"/>
    <x:tableColumn id="2" name="Issuing Quarter"/>
    <x:tableColumn id="3" name="Guided Quarter"/>
    <x:tableColumn id="4" name="Guidance Available UTC"/>
    <x:tableColumn id="5" name="Event Date"/>
    <x:tableColumn id="6" name="Guidance Type"/>
    <x:tableColumn id="7" name="Low ($m)"/>
    <x:tableColumn id="8" name="High ($m)"/>
    <x:tableColumn id="9" name="Midpoint ($m)"/>
    <x:tableColumn id="10" name="Prior-Q Midpoint ($m)"/>
    <x:tableColumn id="11" name="Δ vs Prior-Q ($m)"/>
    <x:tableColumn id="12" name="Δ vs Prior-Q (%)"/>
    <x:tableColumn id="13" name="Same Guided Qtr PY ($m)"/>
    <x:tableColumn id="14" name="Δ vs Seasonal ($m)"/>
    <x:tableColumn id="15" name="Transcript Status"/>
    <x:tableColumn id="16" name="Source ID"/>
    <x:tableColumn id="17" name="Guidance Citation"/>
    <x:tableColumn id="18" name="Confidence"/>
    <x:tableColumn id="19" name="Evidence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PriceReactionsTable" displayName="PriceReactionsTable" ref="A2:T25" headerRowCount="1" totalsRowCount="0" totalsRowShown="0">
  <x:tableColumns count="20">
    <x:tableColumn id="1" name="Prediction ID"/>
    <x:tableColumn id="2" name="Issuing Quarter"/>
    <x:tableColumn id="3" name="Event Date"/>
    <x:tableColumn id="4" name="Next Trading Date"/>
    <x:tableColumn id="5" name="ABNB T0 Close"/>
    <x:tableColumn id="6" name="ABNB T+1 Close"/>
    <x:tableColumn id="7" name="ABNB Return"/>
    <x:tableColumn id="8" name="SPY T0 Close"/>
    <x:tableColumn id="9" name="SPY T+1 Close"/>
    <x:tableColumn id="10" name="SPY Return"/>
    <x:tableColumn id="11" name="Excess Return"/>
    <x:tableColumn id="12" name="ABNB Direction"/>
    <x:tableColumn id="13" name="Excess Direction"/>
    <x:tableColumn id="14" name="Window Rationale"/>
    <x:tableColumn id="15" name="Guidance Midpoint ($m)"/>
    <x:tableColumn id="16" name="Δ Guidance vs Prior-Q ($m)"/>
    <x:tableColumn id="17" name="Δ Guidance vs Prior-Q (%)"/>
    <x:tableColumn id="18" name="Direction Comparison"/>
    <x:tableColumn id="19" name="Edge Available at Event?"/>
    <x:tableColumn id="20" name="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EdgeObservationsTable" displayName="EdgeObservationsTable" ref="A2:V67" headerRowCount="1" totalsRowCount="0" totalsRowShown="0">
  <x:tableColumns count="22">
    <x:tableColumn id="1" name="Observation ID"/>
    <x:tableColumn id="2" name="Source ID"/>
    <x:tableColumn id="3" name="Provider Dataset"/>
    <x:tableColumn id="4" name="Metric"/>
    <x:tableColumn id="5" name="Period"/>
    <x:tableColumn id="6" name="Value"/>
    <x:tableColumn id="7" name="Unit"/>
    <x:tableColumn id="8" name="Filters"/>
    <x:tableColumn id="9" name="Observed UTC"/>
    <x:tableColumn id="10" name="Official URL"/>
    <x:tableColumn id="11" name="Collection Mode"/>
    <x:tableColumn id="12" name="License / Terms"/>
    <x:tableColumn id="13" name="Period Completeness"/>
    <x:tableColumn id="14" name="PIT Status"/>
    <x:tableColumn id="15" name="Research Disposition"/>
    <x:tableColumn id="16" name="Source Notes"/>
    <x:tableColumn id="17" name="First Safe Availability"/>
    <x:tableColumn id="18" name="Eligible Historical Events"/>
    <x:tableColumn id="19" name="First Eligible Event"/>
    <x:tableColumn id="20" name="Treatment"/>
    <x:tableColumn id="21" name="Economic Layer"/>
    <x:tableColumn id="22" name="Comparison Limi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EligibilityBridgeTable" displayName="EligibilityBridgeTable" ref="A2:I6" headerRowCount="1" totalsRowCount="0" totalsRowShown="0">
  <x:tableColumns count="9">
    <x:tableColumn id="1" name="Source ID"/>
    <x:tableColumn id="2" name="Economic Layer"/>
    <x:tableColumn id="3" name="Observations"/>
    <x:tableColumn id="4" name="Availability Basis"/>
    <x:tableColumn id="5" name="First Safe Availability"/>
    <x:tableColumn id="6" name="Eligible Guidance Events"/>
    <x:tableColumn id="7" name="Gate Status"/>
    <x:tableColumn id="8" name="Minimum Evidence"/>
    <x:tableColumn id="9" name="Approved 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OSETrendTable" displayName="OSETrendTable" ref="A2:H13" headerRowCount="1" totalsRowCount="0" totalsRowShown="0">
  <x:tableColumns count="8">
    <x:tableColumn id="1" name="Metric"/>
    <x:tableColumn id="2" name="Unit"/>
    <x:tableColumn id="3" name="2024"/>
    <x:tableColumn id="4" name="2025"/>
    <x:tableColumn id="5" name="Absolute Change"/>
    <x:tableColumn id="6" name="YoY Change"/>
    <x:tableColumn id="7" name="Direction"/>
    <x:tableColumn id="8" name="Interpret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" name="PriceHistoryTable" displayName="PriceHistoryTable" ref="A2:F1404" headerRowCount="1" totalsRowCount="0" totalsRowShown="0">
  <x:tableColumns count="6">
    <x:tableColumn id="1" name="Date"/>
    <x:tableColumn id="2" name="ABNB Close"/>
    <x:tableColumn id="3" name="SPY Close"/>
    <x:tableColumn id="4" name="ABNB Volume"/>
    <x:tableColumn id="5" name="SPY Volume"/>
    <x:tableColumn id="6" name="Provid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hecksTable" displayName="ChecksTable" ref="A2:G13" headerRowCount="1" totalsRowCount="0" totalsRowShown="0">
  <x:tableColumns count="7">
    <x:tableColumn id="1" name="Check"/>
    <x:tableColumn id="2" name="Actual"/>
    <x:tableColumn id="3" name="Expected"/>
    <x:tableColumn id="4" name="Difference"/>
    <x:tableColumn id="5" name="Tolerance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Table" displayName="SourcesTable" ref="A2:I11" headerRowCount="1" totalsRowCount="0" totalsRowShown="0">
  <x:tableColumns count="9">
    <x:tableColumn id="1" name="Source ID"/>
    <x:tableColumn id="2" name="Category"/>
    <x:tableColumn id="3" name="Provider"/>
    <x:tableColumn id="4" name="Dataset / Page"/>
    <x:tableColumn id="5" name="URL or Local Path"/>
    <x:tableColumn id="6" name="Retrieved / Dated"/>
    <x:tableColumn id="7" name="License / Access"/>
    <x:tableColumn id="8" name="Workbook Use"/>
    <x:tableColumn id="9" name="Limita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dc0ab9f93d40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378dd7c1f648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81f3edd1fb43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3e13659d2347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78c82b491145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fc439af649bf4092" /><Relationship Type="http://schemas.openxmlformats.org/officeDocument/2006/relationships/table" Target="/xl/tables/table5.xml" Id="Rc7075b7fae1e45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a7a7b35b214c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d660b5634749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88a8aca80547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6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8" customHeight="1">
      <x:c r="A1" s="3" t="str">
        <x:v>ABNB Edge Data vs Guidance and Stock Reactions</x:v>
      </x:c>
      <x:c r="B1" s="3" t="str">
        <x:v>ABNB Edge Data vs Guidance and Stock Reactions</x:v>
      </x:c>
      <x:c r="C1" s="3" t="str">
        <x:v>ABNB Edge Data vs Guidance and Stock Reactions</x:v>
      </x:c>
      <x:c r="D1" s="3" t="str">
        <x:v>ABNB Edge Data vs Guidance and Stock Reactions</x:v>
      </x:c>
      <x:c r="E1" s="3" t="str">
        <x:v>ABNB Edge Data vs Guidance and Stock Reactions</x:v>
      </x:c>
      <x:c r="F1" s="3" t="str">
        <x:v>ABNB Edge Data vs Guidance and Stock Reactions</x:v>
      </x:c>
      <x:c r="G1" s="3" t="str">
        <x:v>ABNB Edge Data vs Guidance and Stock Reactions</x:v>
      </x:c>
      <x:c r="H1" s="3" t="str">
        <x:v>ABNB Edge Data vs Guidance and Stock Reactions</x:v>
      </x:c>
      <x:c r="I1" s="3" t="str">
        <x:v>ABNB Edge Data vs Guidance and Stock Reactions</x:v>
      </x:c>
      <x:c r="J1" s="3" t="str">
        <x:v>ABNB Edge Data vs Guidance and Stock Reactions</x:v>
      </x:c>
      <x:c r="K1" s="3" t="str">
        <x:v>ABNB Edge Data vs Guidance and Stock Reactions</x:v>
      </x:c>
      <x:c r="L1" s="3" t="str">
        <x:v>ABNB Edge Data vs Guidance and Stock Reactions</x:v>
      </x:c>
      <x:c r="M1" s="3" t="str">
        <x:v>ABNB Edge Data vs Guidance and Stock Reactions</x:v>
      </x:c>
    </x:row>
    <x:row r="2">
      <x:c r="A2" s="37" t="str">
        <x:v>As-of 2026-09-03 | 23 guidance events | free official sources only | descriptive research, not a promoted forecast</x:v>
      </x:c>
      <x:c r="B2" s="37" t="str">
        <x:v>As-of 2026-09-03 | 23 guidance events | free official sources only | descriptive research, not a promoted forecast</x:v>
      </x:c>
      <x:c r="C2" s="37" t="str">
        <x:v>As-of 2026-09-03 | 23 guidance events | free official sources only | descriptive research, not a promoted forecast</x:v>
      </x:c>
      <x:c r="D2" s="37" t="str">
        <x:v>As-of 2026-09-03 | 23 guidance events | free official sources only | descriptive research, not a promoted forecast</x:v>
      </x:c>
      <x:c r="E2" s="37" t="str">
        <x:v>As-of 2026-09-03 | 23 guidance events | free official sources only | descriptive research, not a promoted forecast</x:v>
      </x:c>
      <x:c r="F2" s="37" t="str">
        <x:v>As-of 2026-09-03 | 23 guidance events | free official sources only | descriptive research, not a promoted forecast</x:v>
      </x:c>
      <x:c r="G2" s="37" t="str">
        <x:v>As-of 2026-09-03 | 23 guidance events | free official sources only | descriptive research, not a promoted forecast</x:v>
      </x:c>
      <x:c r="H2" s="37" t="str">
        <x:v>As-of 2026-09-03 | 23 guidance events | free official sources only | descriptive research, not a promoted forecast</x:v>
      </x:c>
      <x:c r="I2" s="37" t="str">
        <x:v>As-of 2026-09-03 | 23 guidance events | free official sources only | descriptive research, not a promoted forecast</x:v>
      </x:c>
      <x:c r="J2" s="37" t="str">
        <x:v>As-of 2026-09-03 | 23 guidance events | free official sources only | descriptive research, not a promoted forecast</x:v>
      </x:c>
      <x:c r="K2" s="37" t="str">
        <x:v>As-of 2026-09-03 | 23 guidance events | free official sources only | descriptive research, not a promoted forecast</x:v>
      </x:c>
      <x:c r="L2" s="37" t="str">
        <x:v>As-of 2026-09-03 | 23 guidance events | free official sources only | descriptive research, not a promoted forecast</x:v>
      </x:c>
      <x:c r="M2" s="37" t="str">
        <x:v>As-of 2026-09-03 | 23 guidance events | free official sources only | descriptive research, not a promoted forecast</x:v>
      </x:c>
    </x:row>
    <x:row r="4">
      <x:c r="A4" s="40" t="str">
        <x:v>GUIDANCE EVENTS</x:v>
      </x:c>
      <x:c r="B4" s="40" t="str">
        <x:v>GUIDANCE EVENTS</x:v>
      </x:c>
      <x:c r="C4" s="40" t="str">
        <x:v>NUMERIC RANGES</x:v>
      </x:c>
      <x:c r="D4" s="40" t="str">
        <x:v>NUMERIC RANGES</x:v>
      </x:c>
      <x:c r="E4" s="40" t="str">
        <x:v>EDGE OBSERVATIONS</x:v>
      </x:c>
      <x:c r="F4" s="40" t="str">
        <x:v>EDGE OBSERVATIONS</x:v>
      </x:c>
      <x:c r="G4" s="40" t="str">
        <x:v>APPROVED PROVIDERS</x:v>
      </x:c>
      <x:c r="H4" s="40" t="str">
        <x:v>APPROVED PROVIDERS</x:v>
      </x:c>
    </x:row>
    <x:row r="5">
      <x:c r="A5" s="55" t="n">
        <x:f>COUNTA('Guidance Events'!$A$3:$A$25)</x:f>
        <x:v>23</x:v>
      </x:c>
      <x:c r="B5" s="56"/>
      <x:c r="C5" s="55" t="n">
        <x:f>COUNT('Guidance Events'!$I$3:$I$25)</x:f>
        <x:v>20</x:v>
      </x:c>
      <x:c r="D5" s="56"/>
      <x:c r="E5" s="55" t="n">
        <x:f>COUNTA('Edge Observations'!$A$3:$A$67)</x:f>
        <x:v>65</x:v>
      </x:c>
      <x:c r="F5" s="56"/>
      <x:c r="G5" s="55" t="n">
        <x:f>COUNTA('Eligibility Bridge'!$A$3:$A$6)</x:f>
        <x:v>4</x:v>
      </x:c>
      <x:c r="H5" s="56"/>
    </x:row>
    <x:row r="6">
      <x:c r="A6" s="57"/>
      <x:c r="B6" s="58"/>
      <x:c r="C6" s="57"/>
      <x:c r="D6" s="58"/>
      <x:c r="E6" s="57"/>
      <x:c r="F6" s="58"/>
      <x:c r="G6" s="57"/>
      <x:c r="H6" s="58"/>
    </x:row>
    <x:row r="7">
      <x:c r="A7" s="59"/>
      <x:c r="B7" s="60"/>
      <x:c r="C7" s="59"/>
      <x:c r="D7" s="60"/>
      <x:c r="E7" s="59"/>
      <x:c r="F7" s="60"/>
      <x:c r="G7" s="59"/>
      <x:c r="H7" s="60"/>
    </x:row>
    <x:row r="9">
      <x:c r="A9" s="63" t="str">
        <x:v>EVENTS WITH EDGE AVAILABLE</x:v>
      </x:c>
      <x:c r="B9" s="63" t="str">
        <x:v>EVENTS WITH EDGE AVAILABLE</x:v>
      </x:c>
      <x:c r="C9" s="63" t="str">
        <x:v>AVG ABNB REACTION</x:v>
      </x:c>
      <x:c r="D9" s="63" t="str">
        <x:v>AVG ABNB REACTION</x:v>
      </x:c>
      <x:c r="E9" s="63" t="str">
        <x:v>AVG EXCESS REACTION</x:v>
      </x:c>
      <x:c r="F9" s="63" t="str">
        <x:v>AVG EXCESS REACTION</x:v>
      </x:c>
      <x:c r="G9" s="63" t="str">
        <x:v>MEDIAN EXCESS REACTION</x:v>
      </x:c>
      <x:c r="H9" s="63" t="str">
        <x:v>MEDIAN EXCESS REACTION</x:v>
      </x:c>
    </x:row>
    <x:row r="10">
      <x:c r="A10" s="77" t="n">
        <x:f>COUNTIF('Price Reactions'!$S$3:$S$25,"Yes — OSE 2024 only")</x:f>
        <x:v>4</x:v>
      </x:c>
      <x:c r="B10" s="78"/>
      <x:c r="C10" s="83" t="n">
        <x:f>AVERAGE('Price Reactions'!$G$3:$G$25)</x:f>
        <x:v>0.011606376764249303</x:v>
      </x:c>
      <x:c r="D10" s="84"/>
      <x:c r="E10" s="83" t="n">
        <x:f>AVERAGE('Price Reactions'!$K$3:$K$25)</x:f>
        <x:v>0.007140911240269407</x:v>
      </x:c>
      <x:c r="F10" s="84"/>
      <x:c r="G10" s="83" t="n">
        <x:f>MEDIAN('Price Reactions'!$K$3:$K$25)</x:f>
        <x:v>-0.0005169803353523017</x:v>
      </x:c>
      <x:c r="H10" s="84"/>
    </x:row>
    <x:row r="11">
      <x:c r="A11" s="79"/>
      <x:c r="B11" s="80"/>
      <x:c r="C11" s="85"/>
      <x:c r="D11" s="86"/>
      <x:c r="E11" s="85"/>
      <x:c r="F11" s="86"/>
      <x:c r="G11" s="85"/>
      <x:c r="H11" s="86"/>
    </x:row>
    <x:row r="12">
      <x:c r="A12" s="81"/>
      <x:c r="B12" s="82"/>
      <x:c r="C12" s="87"/>
      <x:c r="D12" s="88"/>
      <x:c r="E12" s="87"/>
      <x:c r="F12" s="88"/>
      <x:c r="G12" s="87"/>
      <x:c r="H12" s="88"/>
    </x:row>
    <x:row r="14">
      <x:c r="A14" s="89" t="str">
        <x:v>Four-Layer Interpretation</x:v>
      </x:c>
      <x:c r="B14" s="89" t="str">
        <x:v>Four-Layer Interpretation</x:v>
      </x:c>
      <x:c r="C14" s="89" t="str">
        <x:v>Four-Layer Interpretation</x:v>
      </x:c>
      <x:c r="D14" s="89" t="str">
        <x:v>Four-Layer Interpretation</x:v>
      </x:c>
      <x:c r="E14" s="89" t="str">
        <x:v>Four-Layer Interpretation</x:v>
      </x:c>
      <x:c r="F14" s="89" t="str">
        <x:v>Four-Layer Interpretation</x:v>
      </x:c>
      <x:c r="G14" s="89" t="str">
        <x:v>Four-Layer Interpretation</x:v>
      </x:c>
      <x:c r="H14" s="89" t="str">
        <x:v>Four-Layer Interpretation</x:v>
      </x:c>
      <x:c r="I14" s="89" t="str">
        <x:v>Four-Layer Interpretation</x:v>
      </x:c>
      <x:c r="J14" s="89" t="str">
        <x:v>Four-Layer Interpretation</x:v>
      </x:c>
      <x:c r="K14" s="89" t="str">
        <x:v>Four-Layer Interpretation</x:v>
      </x:c>
      <x:c r="L14" s="89" t="str">
        <x:v>Four-Layer Interpretation</x:v>
      </x:c>
      <x:c r="M14" s="89" t="str">
        <x:v>Four-Layer Interpretation</x:v>
      </x:c>
    </x:row>
    <x:row r="15" ht="24" customHeight="1">
      <x:c r="A15" s="93" t="str">
        <x:v>1. ECONOMIC NOWCAST
OSE complaints fell 13.6% in 2025, while inspections, summonses, penalties, and hazardous-location counts rose. This is an enforcement-pressure signal, not a direct bookings measure.</x:v>
      </x:c>
      <x:c r="B15" s="93" t="str">
        <x:v>1. ECONOMIC NOWCAST
OSE complaints fell 13.6% in 2025, while inspections, summonses, penalties, and hazardous-location counts rose. This is an enforcement-pressure signal, not a direct bookings measure.</x:v>
      </x:c>
      <x:c r="C15" s="93" t="str">
        <x:v>2. GUIDANCE POLICY
The guidance panel preserves management’s next-quarter revenue ranges and qualitative calls. Numeric changes are compared with prior-quarter and same-season guidance baselines.</x:v>
      </x:c>
      <x:c r="D15" s="93" t="str">
        <x:v>2. GUIDANCE POLICY
The guidance panel preserves management’s next-quarter revenue ranges and qualitative calls. Numeric changes are compared with prior-quarter and same-season guidance baselines.</x:v>
      </x:c>
      <x:c r="E15" s="93" t="str">
        <x:v>2. GUIDANCE POLICY
The guidance panel preserves management’s next-quarter revenue ranges and qualitative calls. Numeric changes are compared with prior-quarter and same-season guidance baselines.</x:v>
      </x:c>
      <x:c r="F15" s="93" t="str">
        <x:v>3. EXPECTATIONS
No point-in-time sell-side consensus series is present. Direction comparisons therefore use guidance baselines only and must not be described as earnings surprise versus Street expectations.</x:v>
      </x:c>
      <x:c r="G15" s="93" t="str">
        <x:v>3. EXPECTATIONS
No point-in-time sell-side consensus series is present. Direction comparisons therefore use guidance baselines only and must not be described as earnings surprise versus Street expectations.</x:v>
      </x:c>
      <x:c r="H15" s="93" t="str">
        <x:v>3. EXPECTATIONS
No point-in-time sell-side consensus series is present. Direction comparisons therefore use guidance baselines only and must not be described as earnings surprise versus Street expectations.</x:v>
      </x:c>
      <x:c r="I15" s="93" t="str">
        <x:v>4. MARKET REACTION
ABNB and SPY returns use event-date close to next-trading-day close. Excess return is ABNB minus SPY. Alignment with guidance direction is descriptive and does not establish causality.</x:v>
      </x:c>
      <x:c r="J15" s="93" t="str">
        <x:v>4. MARKET REACTION
ABNB and SPY returns use event-date close to next-trading-day close. Excess return is ABNB minus SPY. Alignment with guidance direction is descriptive and does not establish causality.</x:v>
      </x:c>
      <x:c r="K15" s="93" t="str">
        <x:v>4. MARKET REACTION
ABNB and SPY returns use event-date close to next-trading-day close. Excess return is ABNB minus SPY. Alignment with guidance direction is descriptive and does not establish causality.</x:v>
      </x:c>
      <x:c r="L15" s="93" t="str">
        <x:v>4. MARKET REACTION
ABNB and SPY returns use event-date close to next-trading-day close. Excess return is ABNB minus SPY. Alignment with guidance direction is descriptive and does not establish causality.</x:v>
      </x:c>
      <x:c r="M15" s="93" t="str">
        <x:v>4. MARKET REACTION
ABNB and SPY returns use event-date close to next-trading-day close. Excess return is ABNB minus SPY. Alignment with guidance direction is descriptive and does not establish causality.</x:v>
      </x:c>
    </x:row>
    <x:row r="16" ht="24" customHeight="1">
      <x:c r="A16" s="93" t="str">
        <x:v>1. ECONOMIC NOWCAST
OSE complaints fell 13.6% in 2025, while inspections, summonses, penalties, and hazardous-location counts rose. This is an enforcement-pressure signal, not a direct bookings measure.</x:v>
      </x:c>
      <x:c r="B16" s="93" t="str">
        <x:v>1. ECONOMIC NOWCAST
OSE complaints fell 13.6% in 2025, while inspections, summonses, penalties, and hazardous-location counts rose. This is an enforcement-pressure signal, not a direct bookings measure.</x:v>
      </x:c>
      <x:c r="C16" s="93" t="str">
        <x:v>2. GUIDANCE POLICY
The guidance panel preserves management’s next-quarter revenue ranges and qualitative calls. Numeric changes are compared with prior-quarter and same-season guidance baselines.</x:v>
      </x:c>
      <x:c r="D16" s="93" t="str">
        <x:v>2. GUIDANCE POLICY
The guidance panel preserves management’s next-quarter revenue ranges and qualitative calls. Numeric changes are compared with prior-quarter and same-season guidance baselines.</x:v>
      </x:c>
      <x:c r="E16" s="93" t="str">
        <x:v>2. GUIDANCE POLICY
The guidance panel preserves management’s next-quarter revenue ranges and qualitative calls. Numeric changes are compared with prior-quarter and same-season guidance baselines.</x:v>
      </x:c>
      <x:c r="F16" s="93" t="str">
        <x:v>3. EXPECTATIONS
No point-in-time sell-side consensus series is present. Direction comparisons therefore use guidance baselines only and must not be described as earnings surprise versus Street expectations.</x:v>
      </x:c>
      <x:c r="G16" s="93" t="str">
        <x:v>3. EXPECTATIONS
No point-in-time sell-side consensus series is present. Direction comparisons therefore use guidance baselines only and must not be described as earnings surprise versus Street expectations.</x:v>
      </x:c>
      <x:c r="H16" s="93" t="str">
        <x:v>3. EXPECTATIONS
No point-in-time sell-side consensus series is present. Direction comparisons therefore use guidance baselines only and must not be described as earnings surprise versus Street expectations.</x:v>
      </x:c>
      <x:c r="I16" s="93" t="str">
        <x:v>4. MARKET REACTION
ABNB and SPY returns use event-date close to next-trading-day close. Excess return is ABNB minus SPY. Alignment with guidance direction is descriptive and does not establish causality.</x:v>
      </x:c>
      <x:c r="J16" s="93" t="str">
        <x:v>4. MARKET REACTION
ABNB and SPY returns use event-date close to next-trading-day close. Excess return is ABNB minus SPY. Alignment with guidance direction is descriptive and does not establish causality.</x:v>
      </x:c>
      <x:c r="K16" s="93" t="str">
        <x:v>4. MARKET REACTION
ABNB and SPY returns use event-date close to next-trading-day close. Excess return is ABNB minus SPY. Alignment with guidance direction is descriptive and does not establish causality.</x:v>
      </x:c>
      <x:c r="L16" s="93" t="str">
        <x:v>4. MARKET REACTION
ABNB and SPY returns use event-date close to next-trading-day close. Excess return is ABNB minus SPY. Alignment with guidance direction is descriptive and does not establish causality.</x:v>
      </x:c>
      <x:c r="M16" s="93" t="str">
        <x:v>4. MARKET REACTION
ABNB and SPY returns use event-date close to next-trading-day close. Excess return is ABNB minus SPY. Alignment with guidance direction is descriptive and does not establish causality.</x:v>
      </x:c>
    </x:row>
    <x:row r="17" ht="24" customHeight="1">
      <x:c r="A17" s="93" t="str">
        <x:v>1. ECONOMIC NOWCAST
OSE complaints fell 13.6% in 2025, while inspections, summonses, penalties, and hazardous-location counts rose. This is an enforcement-pressure signal, not a direct bookings measure.</x:v>
      </x:c>
      <x:c r="B17" s="93" t="str">
        <x:v>1. ECONOMIC NOWCAST
OSE complaints fell 13.6% in 2025, while inspections, summonses, penalties, and hazardous-location counts rose. This is an enforcement-pressure signal, not a direct bookings measure.</x:v>
      </x:c>
      <x:c r="C17" s="93" t="str">
        <x:v>2. GUIDANCE POLICY
The guidance panel preserves management’s next-quarter revenue ranges and qualitative calls. Numeric changes are compared with prior-quarter and same-season guidance baselines.</x:v>
      </x:c>
      <x:c r="D17" s="93" t="str">
        <x:v>2. GUIDANCE POLICY
The guidance panel preserves management’s next-quarter revenue ranges and qualitative calls. Numeric changes are compared with prior-quarter and same-season guidance baselines.</x:v>
      </x:c>
      <x:c r="E17" s="93" t="str">
        <x:v>2. GUIDANCE POLICY
The guidance panel preserves management’s next-quarter revenue ranges and qualitative calls. Numeric changes are compared with prior-quarter and same-season guidance baselines.</x:v>
      </x:c>
      <x:c r="F17" s="93" t="str">
        <x:v>3. EXPECTATIONS
No point-in-time sell-side consensus series is present. Direction comparisons therefore use guidance baselines only and must not be described as earnings surprise versus Street expectations.</x:v>
      </x:c>
      <x:c r="G17" s="93" t="str">
        <x:v>3. EXPECTATIONS
No point-in-time sell-side consensus series is present. Direction comparisons therefore use guidance baselines only and must not be described as earnings surprise versus Street expectations.</x:v>
      </x:c>
      <x:c r="H17" s="93" t="str">
        <x:v>3. EXPECTATIONS
No point-in-time sell-side consensus series is present. Direction comparisons therefore use guidance baselines only and must not be described as earnings surprise versus Street expectations.</x:v>
      </x:c>
      <x:c r="I17" s="93" t="str">
        <x:v>4. MARKET REACTION
ABNB and SPY returns use event-date close to next-trading-day close. Excess return is ABNB minus SPY. Alignment with guidance direction is descriptive and does not establish causality.</x:v>
      </x:c>
      <x:c r="J17" s="93" t="str">
        <x:v>4. MARKET REACTION
ABNB and SPY returns use event-date close to next-trading-day close. Excess return is ABNB minus SPY. Alignment with guidance direction is descriptive and does not establish causality.</x:v>
      </x:c>
      <x:c r="K17" s="93" t="str">
        <x:v>4. MARKET REACTION
ABNB and SPY returns use event-date close to next-trading-day close. Excess return is ABNB minus SPY. Alignment with guidance direction is descriptive and does not establish causality.</x:v>
      </x:c>
      <x:c r="L17" s="93" t="str">
        <x:v>4. MARKET REACTION
ABNB and SPY returns use event-date close to next-trading-day close. Excess return is ABNB minus SPY. Alignment with guidance direction is descriptive and does not establish causality.</x:v>
      </x:c>
      <x:c r="M17" s="93" t="str">
        <x:v>4. MARKET REACTION
ABNB and SPY returns use event-date close to next-trading-day close. Excess return is ABNB minus SPY. Alignment with guidance direction is descriptive and does not establish causality.</x:v>
      </x:c>
    </x:row>
    <x:row r="18" ht="24" customHeight="1">
      <x:c r="A18" s="93" t="str">
        <x:v>1. ECONOMIC NOWCAST
OSE complaints fell 13.6% in 2025, while inspections, summonses, penalties, and hazardous-location counts rose. This is an enforcement-pressure signal, not a direct bookings measure.</x:v>
      </x:c>
      <x:c r="B18" s="93" t="str">
        <x:v>1. ECONOMIC NOWCAST
OSE complaints fell 13.6% in 2025, while inspections, summonses, penalties, and hazardous-location counts rose. This is an enforcement-pressure signal, not a direct bookings measure.</x:v>
      </x:c>
      <x:c r="C18" s="93" t="str">
        <x:v>2. GUIDANCE POLICY
The guidance panel preserves management’s next-quarter revenue ranges and qualitative calls. Numeric changes are compared with prior-quarter and same-season guidance baselines.</x:v>
      </x:c>
      <x:c r="D18" s="93" t="str">
        <x:v>2. GUIDANCE POLICY
The guidance panel preserves management’s next-quarter revenue ranges and qualitative calls. Numeric changes are compared with prior-quarter and same-season guidance baselines.</x:v>
      </x:c>
      <x:c r="E18" s="93" t="str">
        <x:v>2. GUIDANCE POLICY
The guidance panel preserves management’s next-quarter revenue ranges and qualitative calls. Numeric changes are compared with prior-quarter and same-season guidance baselines.</x:v>
      </x:c>
      <x:c r="F18" s="93" t="str">
        <x:v>3. EXPECTATIONS
No point-in-time sell-side consensus series is present. Direction comparisons therefore use guidance baselines only and must not be described as earnings surprise versus Street expectations.</x:v>
      </x:c>
      <x:c r="G18" s="93" t="str">
        <x:v>3. EXPECTATIONS
No point-in-time sell-side consensus series is present. Direction comparisons therefore use guidance baselines only and must not be described as earnings surprise versus Street expectations.</x:v>
      </x:c>
      <x:c r="H18" s="93" t="str">
        <x:v>3. EXPECTATIONS
No point-in-time sell-side consensus series is present. Direction comparisons therefore use guidance baselines only and must not be described as earnings surprise versus Street expectations.</x:v>
      </x:c>
      <x:c r="I18" s="93" t="str">
        <x:v>4. MARKET REACTION
ABNB and SPY returns use event-date close to next-trading-day close. Excess return is ABNB minus SPY. Alignment with guidance direction is descriptive and does not establish causality.</x:v>
      </x:c>
      <x:c r="J18" s="93" t="str">
        <x:v>4. MARKET REACTION
ABNB and SPY returns use event-date close to next-trading-day close. Excess return is ABNB minus SPY. Alignment with guidance direction is descriptive and does not establish causality.</x:v>
      </x:c>
      <x:c r="K18" s="93" t="str">
        <x:v>4. MARKET REACTION
ABNB and SPY returns use event-date close to next-trading-day close. Excess return is ABNB minus SPY. Alignment with guidance direction is descriptive and does not establish causality.</x:v>
      </x:c>
      <x:c r="L18" s="93" t="str">
        <x:v>4. MARKET REACTION
ABNB and SPY returns use event-date close to next-trading-day close. Excess return is ABNB minus SPY. Alignment with guidance direction is descriptive and does not establish causality.</x:v>
      </x:c>
      <x:c r="M18" s="93" t="str">
        <x:v>4. MARKET REACTION
ABNB and SPY returns use event-date close to next-trading-day close. Excess return is ABNB minus SPY. Alignment with guidance direction is descriptive and does not establish causality.</x:v>
      </x:c>
    </x:row>
    <x:row r="20">
      <x:c r="A20" s="89" t="str">
        <x:v>Decision-Relevant Findings</x:v>
      </x:c>
      <x:c r="B20" s="89" t="str">
        <x:v>Decision-Relevant Findings</x:v>
      </x:c>
      <x:c r="C20" s="89" t="str">
        <x:v>Decision-Relevant Findings</x:v>
      </x:c>
      <x:c r="D20" s="89" t="str">
        <x:v>Decision-Relevant Findings</x:v>
      </x:c>
      <x:c r="E20" s="89" t="str">
        <x:v>Decision-Relevant Findings</x:v>
      </x:c>
      <x:c r="F20" s="89" t="str">
        <x:v>Decision-Relevant Findings</x:v>
      </x:c>
      <x:c r="G20" s="89" t="str">
        <x:v>Decision-Relevant Findings</x:v>
      </x:c>
      <x:c r="H20" s="89" t="str">
        <x:v>Decision-Relevant Findings</x:v>
      </x:c>
      <x:c r="I20" s="89" t="str">
        <x:v>Decision-Relevant Findings</x:v>
      </x:c>
      <x:c r="J20" s="89" t="str">
        <x:v>Decision-Relevant Findings</x:v>
      </x:c>
      <x:c r="K20" s="89" t="str">
        <x:v>Decision-Relevant Findings</x:v>
      </x:c>
      <x:c r="L20" s="89" t="str">
        <x:v>Decision-Relevant Findings</x:v>
      </x:c>
      <x:c r="M20" s="89" t="str">
        <x:v>Decision-Relevant Findings</x:v>
      </x:c>
    </x:row>
    <x:row r="21">
      <x:c r="A21" s="113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B21" s="114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C21" s="114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D21" s="114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E21" s="114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F21" s="114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G21" s="114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H21" s="114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I21" s="114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J21" s="114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K21" s="114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L21" s="114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M21" s="115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</x:row>
    <x:row r="22">
      <x:c r="A22" s="116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B22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C22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D22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E22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F22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G22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H22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I22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J22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K22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L22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M22" s="118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</x:row>
    <x:row r="23">
      <x:c r="A23" s="116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B23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C23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D23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E23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F23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G23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H23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I23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J23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K23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L23" s="117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M23" s="118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</x:row>
    <x:row r="24">
      <x:c r="A24" s="119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B24" s="120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C24" s="120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D24" s="120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E24" s="120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F24" s="120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G24" s="120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H24" s="120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I24" s="120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J24" s="120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K24" s="120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L24" s="120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  <x:c r="M24" s="121" t="str">
        <x:v>• 15 candidate sources were explored; 4 free official providers yielded 65 safe aggregate observations.
• Only the 2024 NYC OSE annual report was available before any event in this panel, covering four later guidance events. One annual vintage and no consecutive pre-event transitions are below H-006’s minimum evidence gate.
• Vancouver, Melbourne, NYC 311, and the 2025 OSE report are prospective-only. They are formatted for monitoring, not retroactively inserted into historical tests.
• No edge source is promoted and no fitted model or trading claim is made. The workbook is an auditable comparison and monitoring baseline.</x:v>
      </x:c>
    </x:row>
    <x:row r="26">
      <x:c r="A26" s="89" t="str">
        <x:v>Event Reaction Trend</x:v>
      </x:c>
      <x:c r="B26" s="89" t="str">
        <x:v>Event Reaction Trend</x:v>
      </x:c>
      <x:c r="C26" s="89" t="str">
        <x:v>Event Reaction Trend</x:v>
      </x:c>
      <x:c r="D26" s="89" t="str">
        <x:v>Event Reaction Trend</x:v>
      </x:c>
      <x:c r="E26" s="89" t="str">
        <x:v>Event Reaction Trend</x:v>
      </x:c>
      <x:c r="F26" s="89" t="str">
        <x:v>Event Reaction Trend</x:v>
      </x:c>
      <x:c r="G26" s="89" t="str">
        <x:v>Event Reaction Trend</x:v>
      </x:c>
      <x:c r="H26" s="89" t="str">
        <x:v>Event Reaction Trend</x:v>
      </x:c>
      <x:c r="I26" s="89" t="str">
        <x:v>Event Reaction Trend</x:v>
      </x:c>
      <x:c r="J26" s="89" t="str">
        <x:v>Event Reaction Trend</x:v>
      </x:c>
      <x:c r="K26" s="89" t="str">
        <x:v>Event Reaction Trend</x:v>
      </x:c>
      <x:c r="L26" s="89" t="str">
        <x:v>Event Reaction Trend</x:v>
      </x:c>
      <x:c r="M26" s="89" t="str">
        <x:v>Event Reaction Trend</x:v>
      </x:c>
    </x:row>
    <x:row r="27" ht="34" customHeight="1">
      <x:c r="A27" s="7" t="str">
        <x:v>Issuing Quarter</x:v>
      </x:c>
      <x:c r="B27" s="7" t="str">
        <x:v>ABNB Return</x:v>
      </x:c>
      <x:c r="C27" s="7" t="str">
        <x:v>Excess Return</x:v>
      </x:c>
    </x:row>
    <x:row r="28">
      <x:c r="A28" s="10" t="str">
        <x:f>'Price Reactions'!B3</x:f>
        <x:v>2020Q4</x:v>
      </x:c>
      <x:c r="B28" s="125" t="n">
        <x:f>'Price Reactions'!G3</x:f>
        <x:v>0.13341755465231242</x:v>
      </x:c>
      <x:c r="C28" s="125" t="n">
        <x:f>'Price Reactions'!K3</x:f>
        <x:v>0.13857017150163098</x:v>
      </x:c>
    </x:row>
    <x:row r="29">
      <x:c r="A29" s="10" t="str">
        <x:f>'Price Reactions'!B4</x:f>
        <x:v>2021Q1</x:v>
      </x:c>
      <x:c r="B29" s="125" t="n">
        <x:f>'Price Reactions'!G4</x:f>
        <x:v>0.040147329650092045</x:v>
      </x:c>
      <x:c r="C29" s="125" t="n">
        <x:f>'Price Reactions'!K4</x:f>
        <x:v>0.024791962583698313</x:v>
      </x:c>
    </x:row>
    <x:row r="30">
      <x:c r="A30" s="10" t="str">
        <x:f>'Price Reactions'!B5</x:f>
        <x:v>2021Q2</x:v>
      </x:c>
      <x:c r="B30" s="125" t="n">
        <x:f>'Price Reactions'!G5</x:f>
        <x:v>0.010651670525967383</x:v>
      </x:c>
      <x:c r="C30" s="125" t="n">
        <x:f>'Price Reactions'!K5</x:f>
        <x:v>0.008831895638860887</x:v>
      </x:c>
    </x:row>
    <x:row r="31">
      <x:c r="A31" s="10" t="str">
        <x:f>'Price Reactions'!B6</x:f>
        <x:v>2021Q3</x:v>
      </x:c>
      <x:c r="B31" s="125" t="n">
        <x:f>'Price Reactions'!G6</x:f>
        <x:v>0.1298402913981509</x:v>
      </x:c>
      <x:c r="C31" s="125" t="n">
        <x:f>'Price Reactions'!K6</x:f>
        <x:v>0.1263706719854163</x:v>
      </x:c>
    </x:row>
    <x:row r="32">
      <x:c r="A32" s="10" t="str">
        <x:f>'Price Reactions'!B7</x:f>
        <x:v>2021Q4</x:v>
      </x:c>
      <x:c r="B32" s="125" t="n">
        <x:f>'Price Reactions'!G7</x:f>
        <x:v>0.036485811073471375</x:v>
      </x:c>
      <x:c r="C32" s="125" t="n">
        <x:f>'Price Reactions'!K7</x:f>
        <x:v>0.035364986146324995</x:v>
      </x:c>
    </x:row>
    <x:row r="33">
      <x:c r="A33" s="10" t="str">
        <x:f>'Price Reactions'!B8</x:f>
        <x:v>2022Q1</x:v>
      </x:c>
      <x:c r="B33" s="125" t="n">
        <x:f>'Price Reactions'!G8</x:f>
        <x:v>0.07710344827586213</x:v>
      </x:c>
      <x:c r="C33" s="125" t="n">
        <x:f>'Price Reactions'!K8</x:f>
        <x:v>0.046650496645140205</x:v>
      </x:c>
    </x:row>
    <x:row r="34">
      <x:c r="A34" s="10" t="str">
        <x:f>'Price Reactions'!B9</x:f>
        <x:v>2022Q2</x:v>
      </x:c>
      <x:c r="B34" s="125" t="n">
        <x:f>'Price Reactions'!G9</x:f>
        <x:v>-0.011346054667354388</x:v>
      </x:c>
      <x:c r="C34" s="125" t="n">
        <x:f>'Price Reactions'!K9</x:f>
        <x:v>-0.027005516511200756</x:v>
      </x:c>
    </x:row>
    <x:row r="35">
      <x:c r="A35" s="10" t="str">
        <x:f>'Price Reactions'!B10</x:f>
        <x:v>2022Q3</x:v>
      </x:c>
      <x:c r="B35" s="125" t="n">
        <x:f>'Price Reactions'!G10</x:f>
        <x:v>-0.13425034387895463</x:v>
      </x:c>
      <x:c r="C35" s="125" t="n">
        <x:f>'Price Reactions'!K10</x:f>
        <x:v>-0.10915412001543656</x:v>
      </x:c>
    </x:row>
    <x:row r="36">
      <x:c r="A36" s="10" t="str">
        <x:f>'Price Reactions'!B11</x:f>
        <x:v>2022Q4</x:v>
      </x:c>
      <x:c r="B36" s="125" t="n">
        <x:f>'Price Reactions'!G11</x:f>
        <x:v>0.13353189377016617</x:v>
      </x:c>
      <x:c r="C36" s="125" t="n">
        <x:f>'Price Reactions'!K11</x:f>
        <x:v>0.13028451106369077</x:v>
      </x:c>
    </x:row>
    <x:row r="37">
      <x:c r="A37" s="10" t="str">
        <x:f>'Price Reactions'!B12</x:f>
        <x:v>2023Q1</x:v>
      </x:c>
      <x:c r="B37" s="125" t="n">
        <x:f>'Price Reactions'!G12</x:f>
        <x:v>-0.10923113244668292</x:v>
      </x:c>
      <x:c r="C37" s="125" t="n">
        <x:f>'Price Reactions'!K12</x:f>
        <x:v>-0.11390346106712934</x:v>
      </x:c>
    </x:row>
    <x:row r="38">
      <x:c r="A38" s="10" t="str">
        <x:f>'Price Reactions'!B13</x:f>
        <x:v>2023Q2</x:v>
      </x:c>
      <x:c r="B38" s="125" t="n">
        <x:f>'Price Reactions'!G13</x:f>
        <x:v>-0.005039750141964894</x:v>
      </x:c>
      <x:c r="C38" s="125" t="n">
        <x:f>'Price Reactions'!K13</x:f>
        <x:v>-0.0005169803353523017</x:v>
      </x:c>
    </x:row>
    <x:row r="39">
      <x:c r="A39" s="10" t="str">
        <x:f>'Price Reactions'!B14</x:f>
        <x:v>2023Q3</x:v>
      </x:c>
      <x:c r="B39" s="125" t="n">
        <x:f>'Price Reactions'!G14</x:f>
        <x:v>-0.03323009960659584</x:v>
      </x:c>
      <x:c r="C39" s="125" t="n">
        <x:f>'Price Reactions'!K14</x:f>
        <x:v>-0.05239443973814362</x:v>
      </x:c>
    </x:row>
    <x:row r="40">
      <x:c r="A40" s="10" t="str">
        <x:f>'Price Reactions'!B15</x:f>
        <x:v>2023Q4</x:v>
      </x:c>
      <x:c r="B40" s="125" t="n">
        <x:f>'Price Reactions'!G15</x:f>
        <x:v>-0.017371701365866632</x:v>
      </x:c>
      <x:c r="C40" s="125" t="n">
        <x:f>'Price Reactions'!K15</x:f>
        <x:v>-0.026459298516125718</x:v>
      </x:c>
    </x:row>
    <x:row r="41">
      <x:c r="A41" s="10" t="str">
        <x:f>'Price Reactions'!B16</x:f>
        <x:v>2024Q1</x:v>
      </x:c>
      <x:c r="B41" s="125" t="n">
        <x:f>'Price Reactions'!G16</x:f>
        <x:v>-0.06871437618746035</x:v>
      </x:c>
      <x:c r="C41" s="125" t="n">
        <x:f>'Price Reactions'!K16</x:f>
        <x:v>-0.07447628187009137</x:v>
      </x:c>
    </x:row>
    <x:row r="42">
      <x:c r="A42" s="10" t="str">
        <x:f>'Price Reactions'!B17</x:f>
        <x:v>2024Q2</x:v>
      </x:c>
      <x:c r="B42" s="125" t="n">
        <x:f>'Price Reactions'!G17</x:f>
        <x:v>-0.13382386755575992</x:v>
      </x:c>
      <x:c r="C42" s="125" t="n">
        <x:f>'Price Reactions'!K17</x:f>
        <x:v>-0.12713996446277898</x:v>
      </x:c>
    </x:row>
    <x:row r="43">
      <x:c r="A43" s="10" t="str">
        <x:f>'Price Reactions'!B18</x:f>
        <x:v>2024Q3</x:v>
      </x:c>
      <x:c r="B43" s="125" t="n">
        <x:f>'Price Reactions'!G18</x:f>
        <x:v>-0.0865847865915722</x:v>
      </x:c>
      <x:c r="C43" s="125" t="n">
        <x:f>'Price Reactions'!K18</x:f>
        <x:v>-0.09091648014943743</x:v>
      </x:c>
    </x:row>
    <x:row r="44">
      <x:c r="A44" s="10" t="str">
        <x:f>'Price Reactions'!B19</x:f>
        <x:v>2024Q4</x:v>
      </x:c>
      <x:c r="B44" s="125" t="n">
        <x:f>'Price Reactions'!G19</x:f>
        <x:v>0.1444980147475894</x:v>
      </x:c>
      <x:c r="C44" s="125" t="n">
        <x:f>'Price Reactions'!K19</x:f>
        <x:v>0.14454721685343952</x:v>
      </x:c>
    </x:row>
    <x:row r="45">
      <x:c r="A45" s="10" t="str">
        <x:f>'Price Reactions'!B20</x:f>
        <x:v>2025Q1</x:v>
      </x:c>
      <x:c r="B45" s="125" t="n">
        <x:f>'Price Reactions'!G20</x:f>
        <x:v>0.010079832271590927</x:v>
      </x:c>
      <x:c r="C45" s="125" t="n">
        <x:f>'Price Reactions'!K20</x:f>
        <x:v>-0.004764295434463106</x:v>
      </x:c>
    </x:row>
    <x:row r="46">
      <x:c r="A46" s="10" t="str">
        <x:f>'Price Reactions'!B21</x:f>
        <x:v>2025Q2</x:v>
      </x:c>
      <x:c r="B46" s="125" t="n">
        <x:f>'Price Reactions'!G21</x:f>
        <x:v>-0.0802298850574713</x:v>
      </x:c>
      <x:c r="C46" s="125" t="n">
        <x:f>'Price Reactions'!K21</x:f>
        <x:v>-0.07939231117713375</x:v>
      </x:c>
    </x:row>
    <x:row r="47">
      <x:c r="A47" s="10" t="str">
        <x:f>'Price Reactions'!B22</x:f>
        <x:v>2025Q3</x:v>
      </x:c>
      <x:c r="B47" s="125" t="n">
        <x:f>'Price Reactions'!G22</x:f>
        <x:v>0.0029038413672943797</x:v>
      </x:c>
      <x:c r="C47" s="125" t="n">
        <x:f>'Price Reactions'!K22</x:f>
        <x:v>0.0019192223104400608</x:v>
      </x:c>
    </x:row>
    <x:row r="48">
      <x:c r="A48" s="10" t="str">
        <x:f>'Price Reactions'!B23</x:f>
        <x:v>2025Q4</x:v>
      </x:c>
      <x:c r="B48" s="125" t="n">
        <x:f>'Price Reactions'!G23</x:f>
        <x:v>0.04648154536046922</x:v>
      </x:c>
      <x:c r="C48" s="125" t="n">
        <x:f>'Price Reactions'!K23</x:f>
        <x:v>0.0457769788890261</x:v>
      </x:c>
    </x:row>
    <x:row r="49">
      <x:c r="A49" s="10" t="str">
        <x:f>'Price Reactions'!B24</x:f>
        <x:v>2026Q1</x:v>
      </x:c>
      <x:c r="B49" s="125" t="n">
        <x:f>'Price Reactions'!G24</x:f>
        <x:v>0.0073330485547487</x:v>
      </x:c>
      <x:c r="C49" s="125" t="n">
        <x:f>'Price Reactions'!K24</x:f>
        <x:v>-0.000923054673879653</x:v>
      </x:c>
    </x:row>
    <x:row r="50">
      <x:c r="A50" s="10" t="str">
        <x:f>'Price Reactions'!B25</x:f>
        <x:v>2026Q2</x:v>
      </x:c>
      <x:c r="B50" s="125" t="n">
        <x:f>'Price Reactions'!G25</x:f>
        <x:v>0.174294381429702</x:v>
      </x:c>
      <x:c r="C50" s="125" t="n">
        <x:f>'Price Reactions'!K25</x:f>
        <x:v>0.1681790488597008</x:v>
      </x:c>
    </x:row>
    <x:row r="52">
      <x:c r="A52" s="89" t="str">
        <x:v>Guidance Midpoint Trend</x:v>
      </x:c>
      <x:c r="B52" s="89" t="str">
        <x:v>Guidance Midpoint Trend</x:v>
      </x:c>
      <x:c r="C52" s="89" t="str">
        <x:v>Guidance Midpoint Trend</x:v>
      </x:c>
      <x:c r="D52" s="89" t="str">
        <x:v>Guidance Midpoint Trend</x:v>
      </x:c>
      <x:c r="E52" s="89" t="str">
        <x:v>Guidance Midpoint Trend</x:v>
      </x:c>
      <x:c r="F52" s="89" t="str">
        <x:v>Guidance Midpoint Trend</x:v>
      </x:c>
      <x:c r="G52" s="89" t="str">
        <x:v>Guidance Midpoint Trend</x:v>
      </x:c>
      <x:c r="H52" s="89" t="str">
        <x:v>Guidance Midpoint Trend</x:v>
      </x:c>
      <x:c r="I52" s="89" t="str">
        <x:v>Guidance Midpoint Trend</x:v>
      </x:c>
      <x:c r="J52" s="89" t="str">
        <x:v>Guidance Midpoint Trend</x:v>
      </x:c>
      <x:c r="K52" s="89" t="str">
        <x:v>Guidance Midpoint Trend</x:v>
      </x:c>
      <x:c r="L52" s="89" t="str">
        <x:v>Guidance Midpoint Trend</x:v>
      </x:c>
      <x:c r="M52" s="89" t="str">
        <x:v>Guidance Midpoint Trend</x:v>
      </x:c>
    </x:row>
    <x:row r="53" ht="34" customHeight="1">
      <x:c r="A53" s="7" t="str">
        <x:v>Issuing Quarter</x:v>
      </x:c>
      <x:c r="B53" s="7" t="str">
        <x:v>Guidance Midpoint ($m)</x:v>
      </x:c>
    </x:row>
    <x:row r="54">
      <x:c r="A54" s="10" t="str">
        <x:f>'Guidance Events'!B3</x:f>
        <x:v>2020Q4</x:v>
      </x:c>
      <x:c r="B54" s="129" t="str">
        <x:f>IF('Guidance Events'!I3="","",'Guidance Events'!I3)</x:f>
      </x:c>
    </x:row>
    <x:row r="55">
      <x:c r="A55" s="10" t="str">
        <x:f>'Guidance Events'!B4</x:f>
        <x:v>2021Q1</x:v>
      </x:c>
      <x:c r="B55" s="129" t="str">
        <x:f>IF('Guidance Events'!I4="","",'Guidance Events'!I4)</x:f>
      </x:c>
    </x:row>
    <x:row r="56">
      <x:c r="A56" s="10" t="str">
        <x:f>'Guidance Events'!B5</x:f>
        <x:v>2021Q2</x:v>
      </x:c>
      <x:c r="B56" s="129" t="str">
        <x:f>IF('Guidance Events'!I5="","",'Guidance Events'!I5)</x:f>
      </x:c>
    </x:row>
    <x:row r="57">
      <x:c r="A57" s="10" t="str">
        <x:f>'Guidance Events'!B6</x:f>
        <x:v>2021Q3</x:v>
      </x:c>
      <x:c r="B57" s="129" t="n">
        <x:f>IF('Guidance Events'!I6="","",'Guidance Events'!I6)</x:f>
        <x:v>1435</x:v>
      </x:c>
    </x:row>
    <x:row r="58">
      <x:c r="A58" s="10" t="str">
        <x:f>'Guidance Events'!B7</x:f>
        <x:v>2021Q4</x:v>
      </x:c>
      <x:c r="B58" s="129" t="n">
        <x:f>IF('Guidance Events'!I7="","",'Guidance Events'!I7)</x:f>
        <x:v>1445</x:v>
      </x:c>
    </x:row>
    <x:row r="59">
      <x:c r="A59" s="10" t="str">
        <x:f>'Guidance Events'!B8</x:f>
        <x:v>2022Q1</x:v>
      </x:c>
      <x:c r="B59" s="129" t="n">
        <x:f>IF('Guidance Events'!I8="","",'Guidance Events'!I8)</x:f>
        <x:v>2080</x:v>
      </x:c>
    </x:row>
    <x:row r="60">
      <x:c r="A60" s="10" t="str">
        <x:f>'Guidance Events'!B9</x:f>
        <x:v>2022Q2</x:v>
      </x:c>
      <x:c r="B60" s="129" t="n">
        <x:f>IF('Guidance Events'!I9="","",'Guidance Events'!I9)</x:f>
        <x:v>2830</x:v>
      </x:c>
    </x:row>
    <x:row r="61">
      <x:c r="A61" s="10" t="str">
        <x:f>'Guidance Events'!B10</x:f>
        <x:v>2022Q3</x:v>
      </x:c>
      <x:c r="B61" s="129" t="n">
        <x:f>IF('Guidance Events'!I10="","",'Guidance Events'!I10)</x:f>
        <x:v>1840</x:v>
      </x:c>
    </x:row>
    <x:row r="62">
      <x:c r="A62" s="10" t="str">
        <x:f>'Guidance Events'!B11</x:f>
        <x:v>2022Q4</x:v>
      </x:c>
      <x:c r="B62" s="129" t="n">
        <x:f>IF('Guidance Events'!I11="","",'Guidance Events'!I11)</x:f>
        <x:v>1785</x:v>
      </x:c>
    </x:row>
    <x:row r="63">
      <x:c r="A63" s="10" t="str">
        <x:f>'Guidance Events'!B12</x:f>
        <x:v>2023Q1</x:v>
      </x:c>
      <x:c r="B63" s="129" t="n">
        <x:f>IF('Guidance Events'!I12="","",'Guidance Events'!I12)</x:f>
        <x:v>2400</x:v>
      </x:c>
    </x:row>
    <x:row r="64">
      <x:c r="A64" s="10" t="str">
        <x:f>'Guidance Events'!B13</x:f>
        <x:v>2023Q2</x:v>
      </x:c>
      <x:c r="B64" s="129" t="n">
        <x:f>IF('Guidance Events'!I13="","",'Guidance Events'!I13)</x:f>
        <x:v>3350</x:v>
      </x:c>
    </x:row>
    <x:row r="65">
      <x:c r="A65" s="10" t="str">
        <x:f>'Guidance Events'!B14</x:f>
        <x:v>2023Q3</x:v>
      </x:c>
      <x:c r="B65" s="129" t="n">
        <x:f>IF('Guidance Events'!I14="","",'Guidance Events'!I14)</x:f>
        <x:v>2150</x:v>
      </x:c>
    </x:row>
    <x:row r="66">
      <x:c r="A66" s="10" t="str">
        <x:f>'Guidance Events'!B15</x:f>
        <x:v>2023Q4</x:v>
      </x:c>
      <x:c r="B66" s="129" t="n">
        <x:f>IF('Guidance Events'!I15="","",'Guidance Events'!I15)</x:f>
        <x:v>2050</x:v>
      </x:c>
    </x:row>
    <x:row r="67">
      <x:c r="A67" s="10" t="str">
        <x:f>'Guidance Events'!B16</x:f>
        <x:v>2024Q1</x:v>
      </x:c>
      <x:c r="B67" s="129" t="n">
        <x:f>IF('Guidance Events'!I16="","",'Guidance Events'!I16)</x:f>
        <x:v>2710</x:v>
      </x:c>
    </x:row>
    <x:row r="68">
      <x:c r="A68" s="10" t="str">
        <x:f>'Guidance Events'!B17</x:f>
        <x:v>2024Q2</x:v>
      </x:c>
      <x:c r="B68" s="129" t="n">
        <x:f>IF('Guidance Events'!I17="","",'Guidance Events'!I17)</x:f>
        <x:v>3700</x:v>
      </x:c>
    </x:row>
    <x:row r="69">
      <x:c r="A69" s="10" t="str">
        <x:f>'Guidance Events'!B18</x:f>
        <x:v>2024Q3</x:v>
      </x:c>
      <x:c r="B69" s="129" t="n">
        <x:f>IF('Guidance Events'!I18="","",'Guidance Events'!I18)</x:f>
        <x:v>2415</x:v>
      </x:c>
    </x:row>
    <x:row r="70">
      <x:c r="A70" s="10" t="str">
        <x:f>'Guidance Events'!B19</x:f>
        <x:v>2024Q4</x:v>
      </x:c>
      <x:c r="B70" s="129" t="n">
        <x:f>IF('Guidance Events'!I19="","",'Guidance Events'!I19)</x:f>
        <x:v>2250</x:v>
      </x:c>
    </x:row>
    <x:row r="71">
      <x:c r="A71" s="10" t="str">
        <x:f>'Guidance Events'!B20</x:f>
        <x:v>2025Q1</x:v>
      </x:c>
      <x:c r="B71" s="129" t="n">
        <x:f>IF('Guidance Events'!I20="","",'Guidance Events'!I20)</x:f>
        <x:v>3020</x:v>
      </x:c>
    </x:row>
    <x:row r="72">
      <x:c r="A72" s="10" t="str">
        <x:f>'Guidance Events'!B21</x:f>
        <x:v>2025Q2</x:v>
      </x:c>
      <x:c r="B72" s="129" t="n">
        <x:f>IF('Guidance Events'!I21="","",'Guidance Events'!I21)</x:f>
        <x:v>4060</x:v>
      </x:c>
    </x:row>
    <x:row r="73">
      <x:c r="A73" s="10" t="str">
        <x:f>'Guidance Events'!B22</x:f>
        <x:v>2025Q3</x:v>
      </x:c>
      <x:c r="B73" s="129" t="n">
        <x:f>IF('Guidance Events'!I22="","",'Guidance Events'!I22)</x:f>
        <x:v>2690</x:v>
      </x:c>
    </x:row>
    <x:row r="74">
      <x:c r="A74" s="10" t="str">
        <x:f>'Guidance Events'!B23</x:f>
        <x:v>2025Q4</x:v>
      </x:c>
      <x:c r="B74" s="129" t="n">
        <x:f>IF('Guidance Events'!I23="","",'Guidance Events'!I23)</x:f>
        <x:v>2610</x:v>
      </x:c>
    </x:row>
    <x:row r="75">
      <x:c r="A75" s="10" t="str">
        <x:f>'Guidance Events'!B24</x:f>
        <x:v>2026Q1</x:v>
      </x:c>
      <x:c r="B75" s="129" t="n">
        <x:f>IF('Guidance Events'!I24="","",'Guidance Events'!I24)</x:f>
        <x:v>3570</x:v>
      </x:c>
    </x:row>
    <x:row r="76">
      <x:c r="A76" s="10" t="str">
        <x:f>'Guidance Events'!B25</x:f>
        <x:v>2026Q2</x:v>
      </x:c>
      <x:c r="B76" s="129" t="n">
        <x:f>IF('Guidance Events'!I25="","",'Guidance Events'!I25)</x:f>
        <x:v>4730</x:v>
      </x:c>
    </x:row>
    <x:row r="78">
      <x:c r="A78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B78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C78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D78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E78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F78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G78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H78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I78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J78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K78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L78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M78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</x:row>
    <x:row r="79">
      <x:c r="A79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B79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C79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D79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E79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F79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G79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H79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I79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J79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K79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L79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M79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</x:row>
    <x:row r="80">
      <x:c r="A80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B80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C80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D80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E80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F80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G80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H80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I80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J80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K80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L80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  <x:c r="M80" s="133" t="str">
        <x:v>Reading rule: use only observations with first safe availability strictly before an earnings cutoff. Current snapshots are never treated as historical vintages. Stock reactions summarize what happened after guidance; they are not predictor inputs.</x:v>
      </x:c>
    </x:row>
  </x:sheetData>
  <x:mergeCells>
    <x:mergeCell ref="A1:M1"/>
    <x:mergeCell ref="A2:M2"/>
    <x:mergeCell ref="A4:B4"/>
    <x:mergeCell ref="A5:B7"/>
    <x:mergeCell ref="C4:D4"/>
    <x:mergeCell ref="C5:D7"/>
    <x:mergeCell ref="E4:F4"/>
    <x:mergeCell ref="E5:F7"/>
    <x:mergeCell ref="G4:H4"/>
    <x:mergeCell ref="G5:H7"/>
    <x:mergeCell ref="A9:B9"/>
    <x:mergeCell ref="A10:B12"/>
    <x:mergeCell ref="C9:D9"/>
    <x:mergeCell ref="C10:D12"/>
    <x:mergeCell ref="E9:F9"/>
    <x:mergeCell ref="E10:F12"/>
    <x:mergeCell ref="G9:H9"/>
    <x:mergeCell ref="G10:H12"/>
    <x:mergeCell ref="A14:M14"/>
    <x:mergeCell ref="A15:B18"/>
    <x:mergeCell ref="C15:E18"/>
    <x:mergeCell ref="F15:H18"/>
    <x:mergeCell ref="I15:M18"/>
    <x:mergeCell ref="A20:M20"/>
    <x:mergeCell ref="A21:M24"/>
    <x:mergeCell ref="A26:M26"/>
    <x:mergeCell ref="A52:M52"/>
    <x:mergeCell ref="A78:M80"/>
  </x:mergeCells>
  <x:conditionalFormatting sqref="B28:C50">
    <x:cfRule type="cellIs" dxfId="11" priority="1" operator="greaterThan">
      <x:formula>0</x:formula>
    </x:cfRule>
    <x:cfRule type="cellIs" dxfId="12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d4dc0ab9f93d409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20" hidden="0" customWidth="1"/>
    <x:col min="5" max="5" width="13" hidden="0" customWidth="1"/>
    <x:col min="6" max="6" width="16" hidden="0" customWidth="1"/>
    <x:col min="7" max="7" width="12" hidden="0" customWidth="1"/>
    <x:col min="8" max="8" width="12" hidden="0" customWidth="1"/>
    <x:col min="9" max="9" width="13" hidden="0" customWidth="1"/>
    <x:col min="10" max="10" width="17" hidden="0" customWidth="1"/>
    <x:col min="11" max="11" width="16" hidden="0" customWidth="1"/>
    <x:col min="12" max="12" width="14" hidden="0" customWidth="1"/>
    <x:col min="13" max="13" width="20" hidden="0" customWidth="1"/>
    <x:col min="14" max="14" width="18" hidden="0" customWidth="1"/>
    <x:col min="15" max="15" width="24" hidden="0" customWidth="1"/>
    <x:col min="16" max="16" width="15" hidden="0" customWidth="1"/>
    <x:col min="17" max="17" width="38" hidden="0" customWidth="1"/>
    <x:col min="18" max="18" width="12" hidden="0" customWidth="1"/>
    <x:col min="19" max="19" width="54" hidden="0" customWidth="1"/>
  </x:cols>
  <x:sheetData>
    <x:row r="1" ht="28" customHeight="1">
      <x:c r="A1" s="135" t="str">
        <x:v>ABNB Guidance Events — Preserved Point-in-Time Targets</x:v>
      </x:c>
      <x:c r="B1" s="135" t="str">
        <x:v>ABNB Guidance Events — Preserved Point-in-Time Targets</x:v>
      </x:c>
      <x:c r="C1" s="135" t="str">
        <x:v>ABNB Guidance Events — Preserved Point-in-Time Targets</x:v>
      </x:c>
      <x:c r="D1" s="135" t="str">
        <x:v>ABNB Guidance Events — Preserved Point-in-Time Targets</x:v>
      </x:c>
      <x:c r="E1" s="135" t="str">
        <x:v>ABNB Guidance Events — Preserved Point-in-Time Targets</x:v>
      </x:c>
      <x:c r="F1" s="135" t="str">
        <x:v>ABNB Guidance Events — Preserved Point-in-Time Targets</x:v>
      </x:c>
      <x:c r="G1" s="135" t="str">
        <x:v>ABNB Guidance Events — Preserved Point-in-Time Targets</x:v>
      </x:c>
      <x:c r="H1" s="135" t="str">
        <x:v>ABNB Guidance Events — Preserved Point-in-Time Targets</x:v>
      </x:c>
      <x:c r="I1" s="135" t="str">
        <x:v>ABNB Guidance Events — Preserved Point-in-Time Targets</x:v>
      </x:c>
      <x:c r="J1" s="135" t="str">
        <x:v>ABNB Guidance Events — Preserved Point-in-Time Targets</x:v>
      </x:c>
      <x:c r="K1" s="135" t="str">
        <x:v>ABNB Guidance Events — Preserved Point-in-Time Targets</x:v>
      </x:c>
      <x:c r="L1" s="135" t="str">
        <x:v>ABNB Guidance Events — Preserved Point-in-Time Targets</x:v>
      </x:c>
      <x:c r="M1" s="135" t="str">
        <x:v>ABNB Guidance Events — Preserved Point-in-Time Targets</x:v>
      </x:c>
      <x:c r="N1" s="135" t="str">
        <x:v>ABNB Guidance Events — Preserved Point-in-Time Targets</x:v>
      </x:c>
      <x:c r="O1" s="135" t="str">
        <x:v>ABNB Guidance Events — Preserved Point-in-Time Targets</x:v>
      </x:c>
      <x:c r="P1" s="135" t="str">
        <x:v>ABNB Guidance Events — Preserved Point-in-Time Targets</x:v>
      </x:c>
      <x:c r="Q1" s="135" t="str">
        <x:v>ABNB Guidance Events — Preserved Point-in-Time Targets</x:v>
      </x:c>
      <x:c r="R1" s="135" t="str">
        <x:v>ABNB Guidance Events — Preserved Point-in-Time Targets</x:v>
      </x:c>
      <x:c r="S1" s="135" t="str">
        <x:v>ABNB Guidance Events — Preserved Point-in-Time Targets</x:v>
      </x:c>
    </x:row>
    <x:row r="2" ht="34" customHeight="1">
      <x:c r="A2" s="136" t="str">
        <x:v>Prediction ID</x:v>
      </x:c>
      <x:c r="B2" s="136" t="str">
        <x:v>Issuing Quarter</x:v>
      </x:c>
      <x:c r="C2" s="136" t="str">
        <x:v>Guided Quarter</x:v>
      </x:c>
      <x:c r="D2" s="136" t="str">
        <x:v>Guidance Available UTC</x:v>
      </x:c>
      <x:c r="E2" s="136" t="str">
        <x:v>Event Date</x:v>
      </x:c>
      <x:c r="F2" s="136" t="str">
        <x:v>Guidance Type</x:v>
      </x:c>
      <x:c r="G2" s="136" t="str">
        <x:v>Low ($m)</x:v>
      </x:c>
      <x:c r="H2" s="136" t="str">
        <x:v>High ($m)</x:v>
      </x:c>
      <x:c r="I2" s="136" t="str">
        <x:v>Midpoint ($m)</x:v>
      </x:c>
      <x:c r="J2" s="136" t="str">
        <x:v>Prior-Q Midpoint ($m)</x:v>
      </x:c>
      <x:c r="K2" s="136" t="str">
        <x:v>Δ vs Prior-Q ($m)</x:v>
      </x:c>
      <x:c r="L2" s="136" t="str">
        <x:v>Δ vs Prior-Q (%)</x:v>
      </x:c>
      <x:c r="M2" s="136" t="str">
        <x:v>Same Guided Qtr PY ($m)</x:v>
      </x:c>
      <x:c r="N2" s="136" t="str">
        <x:v>Δ vs Seasonal ($m)</x:v>
      </x:c>
      <x:c r="O2" s="136" t="str">
        <x:v>Transcript Status</x:v>
      </x:c>
      <x:c r="P2" s="136" t="str">
        <x:v>Source ID</x:v>
      </x:c>
      <x:c r="Q2" s="136" t="str">
        <x:v>Guidance Citation</x:v>
      </x:c>
      <x:c r="R2" s="136" t="str">
        <x:v>Confidence</x:v>
      </x:c>
      <x:c r="S2" s="136" t="str">
        <x:v>Evidence Notes</x:v>
      </x:c>
    </x:row>
    <x:row r="3">
      <x:c r="A3" s="11" t="str">
        <x:v>ABNB-2020Q4-GUIDE</x:v>
      </x:c>
      <x:c r="B3" s="11" t="str">
        <x:v>2020Q4</x:v>
      </x:c>
      <x:c r="C3" s="11" t="str">
        <x:v>2021Q1</x:v>
      </x:c>
      <x:c r="D3" s="13" t="n">
        <x:v>44252.87847222222</x:v>
      </x:c>
      <x:c r="E3" s="14" t="n">
        <x:v>44252</x:v>
      </x:c>
      <x:c r="F3" s="11" t="str">
        <x:v>qualitative</x:v>
      </x:c>
      <x:c r="G3" s="15"/>
      <x:c r="H3" s="15"/>
      <x:c r="I3" s="15"/>
      <x:c r="J3" s="16" t="str">
        <x:f>""</x:f>
      </x:c>
      <x:c r="K3" s="16" t="str">
        <x:f>IF(OR(I3="",J3=""),"",I3-J3)</x:f>
      </x:c>
      <x:c r="L3" s="17" t="str">
        <x:f>IF(OR(I3="",J3=""),"",I3/J3-1)</x:f>
      </x:c>
      <x:c r="M3" s="16" t="str">
        <x:f>""</x:f>
      </x:c>
      <x:c r="N3" s="16" t="str">
        <x:f>IF(OR(I3="",M3=""),"",I3-M3)</x:f>
      </x:c>
      <x:c r="O3" s="11" t="str">
        <x:v>corrected / user_provided_restricted</x:v>
      </x:c>
      <x:c r="P3" s="11" t="str">
        <x:v>AIRBNB_PR</x:v>
      </x:c>
      <x:c r="Q3" s="18" t="str">
        <x:v>https://news.airbnb.com/airbnb-q4-2020-financial-results/</x:v>
      </x:c>
      <x:c r="R3" s="11" t="str">
        <x:v>medium</x:v>
      </x:c>
      <x:c r="S3" s="19" t="str">
        <x:v>Qualitative only; no numeric midpoint manufactured; earliest observed public release timestamp needs continued source preservation.</x:v>
      </x:c>
    </x:row>
    <x:row r="4">
      <x:c r="A4" s="11" t="str">
        <x:v>ABNB-2021Q1-GUIDE</x:v>
      </x:c>
      <x:c r="B4" s="11" t="str">
        <x:v>2021Q1</x:v>
      </x:c>
      <x:c r="C4" s="11" t="str">
        <x:v>2021Q2</x:v>
      </x:c>
      <x:c r="D4" s="13" t="n">
        <x:v>44329.833819444444</x:v>
      </x:c>
      <x:c r="E4" s="14" t="n">
        <x:v>44329</x:v>
      </x:c>
      <x:c r="F4" s="11" t="str">
        <x:v>qualitative</x:v>
      </x:c>
      <x:c r="G4" s="15"/>
      <x:c r="H4" s="15"/>
      <x:c r="I4" s="15"/>
      <x:c r="J4" s="16" t="str">
        <x:f>IFERROR(I3,"")</x:f>
      </x:c>
      <x:c r="K4" s="16" t="str">
        <x:f>IF(OR(I4="",J4=""),"",I4-J4)</x:f>
      </x:c>
      <x:c r="L4" s="17" t="str">
        <x:f>IF(OR(I4="",J4=""),"",I4/J4-1)</x:f>
      </x:c>
      <x:c r="M4" s="16" t="str">
        <x:f>""</x:f>
      </x:c>
      <x:c r="N4" s="16" t="str">
        <x:f>IF(OR(I4="",M4=""),"",I4-M4)</x:f>
      </x:c>
      <x:c r="O4" s="11" t="str">
        <x:v>corrected / user_provided_restricted</x:v>
      </x:c>
      <x:c r="P4" s="11" t="str">
        <x:v>SEC_8K</x:v>
      </x:c>
      <x:c r="Q4" s="18" t="str">
        <x:v>https://www.sec.gov/Archives/edgar/data/1559720/</x:v>
      </x:c>
      <x:c r="R4" s="11" t="str">
        <x:v>medium</x:v>
      </x:c>
      <x:c r="S4" s="19" t="str">
        <x:v>Qualitative only; no numeric midpoint manufactured.</x:v>
      </x:c>
    </x:row>
    <x:row r="5">
      <x:c r="A5" s="11" t="str">
        <x:v>ABNB-2021Q2-GUIDE</x:v>
      </x:c>
      <x:c r="B5" s="11" t="str">
        <x:v>2021Q2</x:v>
      </x:c>
      <x:c r="C5" s="11" t="str">
        <x:v>2021Q3</x:v>
      </x:c>
      <x:c r="D5" s="13" t="n">
        <x:v>44420.83414351852</x:v>
      </x:c>
      <x:c r="E5" s="14" t="n">
        <x:v>44420</x:v>
      </x:c>
      <x:c r="F5" s="11" t="str">
        <x:v>qualitative</x:v>
      </x:c>
      <x:c r="G5" s="15"/>
      <x:c r="H5" s="15"/>
      <x:c r="I5" s="15"/>
      <x:c r="J5" s="16" t="str">
        <x:f>IFERROR(I4,"")</x:f>
      </x:c>
      <x:c r="K5" s="16" t="str">
        <x:f>IF(OR(I5="",J5=""),"",I5-J5)</x:f>
      </x:c>
      <x:c r="L5" s="17" t="str">
        <x:f>IF(OR(I5="",J5=""),"",I5/J5-1)</x:f>
      </x:c>
      <x:c r="M5" s="16" t="str">
        <x:f>""</x:f>
      </x:c>
      <x:c r="N5" s="16" t="str">
        <x:f>IF(OR(I5="",M5=""),"",I5-M5)</x:f>
      </x:c>
      <x:c r="O5" s="11" t="str">
        <x:v>corrected / user_provided_restricted</x:v>
      </x:c>
      <x:c r="P5" s="11" t="str">
        <x:v>SEC_8K</x:v>
      </x:c>
      <x:c r="Q5" s="18" t="str">
        <x:v>https://www.sec.gov/Archives/edgar/data/1559720/</x:v>
      </x:c>
      <x:c r="R5" s="11" t="str">
        <x:v>medium</x:v>
      </x:c>
      <x:c r="S5" s="19" t="str">
        <x:v>Qualitative only; no numeric midpoint manufactured.</x:v>
      </x:c>
    </x:row>
    <x:row r="6">
      <x:c r="A6" s="11" t="str">
        <x:v>ABNB-2021Q3-GUIDE</x:v>
      </x:c>
      <x:c r="B6" s="11" t="str">
        <x:v>2021Q3</x:v>
      </x:c>
      <x:c r="C6" s="11" t="str">
        <x:v>2021Q4</x:v>
      </x:c>
      <x:c r="D6" s="13" t="n">
        <x:v>44504.83427083334</x:v>
      </x:c>
      <x:c r="E6" s="14" t="n">
        <x:v>44504</x:v>
      </x:c>
      <x:c r="F6" s="11" t="str">
        <x:v>numeric_range</x:v>
      </x:c>
      <x:c r="G6" s="15" t="n">
        <x:v>1390</x:v>
      </x:c>
      <x:c r="H6" s="15" t="n">
        <x:v>1480</x:v>
      </x:c>
      <x:c r="I6" s="15" t="n">
        <x:v>1435</x:v>
      </x:c>
      <x:c r="J6" s="16" t="str">
        <x:f>IFERROR(I5,"")</x:f>
      </x:c>
      <x:c r="K6" s="16" t="str">
        <x:f>IF(OR(I6="",J6=""),"",I6-J6)</x:f>
      </x:c>
      <x:c r="L6" s="17" t="str">
        <x:f>IF(OR(I6="",J6=""),"",I6/J6-1)</x:f>
      </x:c>
      <x:c r="M6" s="16" t="str">
        <x:f>""</x:f>
      </x:c>
      <x:c r="N6" s="16" t="str">
        <x:f>IF(OR(I6="",M6=""),"",I6-M6)</x:f>
      </x:c>
      <x:c r="O6" s="11" t="str">
        <x:v>corrected / user_provided_restricted</x:v>
      </x:c>
      <x:c r="P6" s="11" t="str">
        <x:v>SEC_EX99_1</x:v>
      </x:c>
      <x:c r="Q6" s="18" t="str">
        <x:v>https://www.sec.gov/Archives/edgar/data/1559720/000119312521320113/d245727dex991.htm</x:v>
      </x:c>
      <x:c r="R6" s="11" t="str">
        <x:v>high</x:v>
      </x:c>
      <x:c r="S6" s="19" t="str">
        <x:v>Numeric shareholder-letter range; transcript is contextual target evidence only.</x:v>
      </x:c>
    </x:row>
    <x:row r="7">
      <x:c r="A7" s="11" t="str">
        <x:v>ABNB-2021Q4-GUIDE</x:v>
      </x:c>
      <x:c r="B7" s="11" t="str">
        <x:v>2021Q4</x:v>
      </x:c>
      <x:c r="C7" s="11" t="str">
        <x:v>2022Q1</x:v>
      </x:c>
      <x:c r="D7" s="13" t="n">
        <x:v>44607.87650462963</x:v>
      </x:c>
      <x:c r="E7" s="14" t="n">
        <x:v>44607</x:v>
      </x:c>
      <x:c r="F7" s="11" t="str">
        <x:v>numeric_range</x:v>
      </x:c>
      <x:c r="G7" s="15" t="n">
        <x:v>1410</x:v>
      </x:c>
      <x:c r="H7" s="15" t="n">
        <x:v>1480</x:v>
      </x:c>
      <x:c r="I7" s="15" t="n">
        <x:v>1445</x:v>
      </x:c>
      <x:c r="J7" s="16" t="n">
        <x:f>IFERROR(I6,"")</x:f>
        <x:v>1435</x:v>
      </x:c>
      <x:c r="K7" s="16" t="n">
        <x:f>IF(OR(I7="",J7=""),"",I7-J7)</x:f>
        <x:v>10</x:v>
      </x:c>
      <x:c r="L7" s="17" t="n">
        <x:f>IF(OR(I7="",J7=""),"",I7/J7-1)</x:f>
        <x:v>0.006968641114982521</x:v>
      </x:c>
      <x:c r="M7" s="16" t="str">
        <x:f>IFERROR(I3,"")</x:f>
      </x:c>
      <x:c r="N7" s="16" t="str">
        <x:f>IF(OR(I7="",M7=""),"",I7-M7)</x:f>
      </x:c>
      <x:c r="O7" s="11" t="str">
        <x:v>corrected / user_provided_restricted</x:v>
      </x:c>
      <x:c r="P7" s="11" t="str">
        <x:v>SEC_EX99_1</x:v>
      </x:c>
      <x:c r="Q7" s="18" t="str">
        <x:v>https://www.sec.gov/Archives/edgar/data/1559720/000119312522043371/d251410dex991.htm</x:v>
      </x:c>
      <x:c r="R7" s="11" t="str">
        <x:v>high</x:v>
      </x:c>
      <x:c r="S7" s="19" t="str">
        <x:v>Numeric shareholder-letter range.</x:v>
      </x:c>
    </x:row>
    <x:row r="8">
      <x:c r="A8" s="11" t="str">
        <x:v>ABNB-2022Q1-GUIDE</x:v>
      </x:c>
      <x:c r="B8" s="11" t="str">
        <x:v>2022Q1</x:v>
      </x:c>
      <x:c r="C8" s="11" t="str">
        <x:v>2022Q2</x:v>
      </x:c>
      <x:c r="D8" s="13" t="n">
        <x:v>44684.834016203706</x:v>
      </x:c>
      <x:c r="E8" s="14" t="n">
        <x:v>44684</x:v>
      </x:c>
      <x:c r="F8" s="11" t="str">
        <x:v>numeric_range</x:v>
      </x:c>
      <x:c r="G8" s="15" t="n">
        <x:v>2030</x:v>
      </x:c>
      <x:c r="H8" s="15" t="n">
        <x:v>2130</x:v>
      </x:c>
      <x:c r="I8" s="15" t="n">
        <x:v>2080</x:v>
      </x:c>
      <x:c r="J8" s="16" t="n">
        <x:f>IFERROR(I7,"")</x:f>
        <x:v>1445</x:v>
      </x:c>
      <x:c r="K8" s="16" t="n">
        <x:f>IF(OR(I8="",J8=""),"",I8-J8)</x:f>
        <x:v>635</x:v>
      </x:c>
      <x:c r="L8" s="17" t="n">
        <x:f>IF(OR(I8="",J8=""),"",I8/J8-1)</x:f>
        <x:v>0.439446366782007</x:v>
      </x:c>
      <x:c r="M8" s="16" t="str">
        <x:f>IFERROR(I4,"")</x:f>
      </x:c>
      <x:c r="N8" s="16" t="str">
        <x:f>IF(OR(I8="",M8=""),"",I8-M8)</x:f>
      </x:c>
      <x:c r="O8" s="11" t="str">
        <x:v>corrected / user_provided_restricted</x:v>
      </x:c>
      <x:c r="P8" s="11" t="str">
        <x:v>SEC_EX99_1</x:v>
      </x:c>
      <x:c r="Q8" s="18" t="str">
        <x:v>https://www.sec.gov/Archives/edgar/data/1559720/000119312522138654/d711122dex991.htm</x:v>
      </x:c>
      <x:c r="R8" s="11" t="str">
        <x:v>high</x:v>
      </x:c>
      <x:c r="S8" s="19" t="str">
        <x:v>Numeric shareholder-letter range.</x:v>
      </x:c>
    </x:row>
    <x:row r="9">
      <x:c r="A9" s="11" t="str">
        <x:v>ABNB-2022Q2-GUIDE</x:v>
      </x:c>
      <x:c r="B9" s="11" t="str">
        <x:v>2022Q2</x:v>
      </x:c>
      <x:c r="C9" s="11" t="str">
        <x:v>2022Q3</x:v>
      </x:c>
      <x:c r="D9" s="13" t="n">
        <x:v>44775.83425925926</x:v>
      </x:c>
      <x:c r="E9" s="14" t="n">
        <x:v>44775</x:v>
      </x:c>
      <x:c r="F9" s="11" t="str">
        <x:v>numeric_range</x:v>
      </x:c>
      <x:c r="G9" s="15" t="n">
        <x:v>2780</x:v>
      </x:c>
      <x:c r="H9" s="15" t="n">
        <x:v>2880</x:v>
      </x:c>
      <x:c r="I9" s="15" t="n">
        <x:v>2830</x:v>
      </x:c>
      <x:c r="J9" s="16" t="n">
        <x:f>IFERROR(I8,"")</x:f>
        <x:v>2080</x:v>
      </x:c>
      <x:c r="K9" s="16" t="n">
        <x:f>IF(OR(I9="",J9=""),"",I9-J9)</x:f>
        <x:v>750</x:v>
      </x:c>
      <x:c r="L9" s="17" t="n">
        <x:f>IF(OR(I9="",J9=""),"",I9/J9-1)</x:f>
        <x:v>0.36057692307692313</x:v>
      </x:c>
      <x:c r="M9" s="16" t="str">
        <x:f>IFERROR(I5,"")</x:f>
      </x:c>
      <x:c r="N9" s="16" t="str">
        <x:f>IF(OR(I9="",M9=""),"",I9-M9)</x:f>
      </x:c>
      <x:c r="O9" s="11" t="str">
        <x:v>corrected / user_provided_restricted</x:v>
      </x:c>
      <x:c r="P9" s="11" t="str">
        <x:v>SEC_EX99_1</x:v>
      </x:c>
      <x:c r="Q9" s="18" t="str">
        <x:v>https://www.sec.gov/Archives/edgar/data/1559720/000119312522210001/d353427dex991.htm</x:v>
      </x:c>
      <x:c r="R9" s="11" t="str">
        <x:v>high</x:v>
      </x:c>
      <x:c r="S9" s="19" t="str">
        <x:v>Numeric shareholder-letter range.</x:v>
      </x:c>
    </x:row>
    <x:row r="10">
      <x:c r="A10" s="11" t="str">
        <x:v>ABNB-2022Q3-GUIDE</x:v>
      </x:c>
      <x:c r="B10" s="11" t="str">
        <x:v>2022Q3</x:v>
      </x:c>
      <x:c r="C10" s="11" t="str">
        <x:v>2022Q4</x:v>
      </x:c>
      <x:c r="D10" s="13" t="n">
        <x:v>44866.836377314816</x:v>
      </x:c>
      <x:c r="E10" s="14" t="n">
        <x:v>44866</x:v>
      </x:c>
      <x:c r="F10" s="11" t="str">
        <x:v>numeric_range</x:v>
      </x:c>
      <x:c r="G10" s="15" t="n">
        <x:v>1800</x:v>
      </x:c>
      <x:c r="H10" s="15" t="n">
        <x:v>1880</x:v>
      </x:c>
      <x:c r="I10" s="15" t="n">
        <x:v>1840</x:v>
      </x:c>
      <x:c r="J10" s="16" t="n">
        <x:f>IFERROR(I9,"")</x:f>
        <x:v>2830</x:v>
      </x:c>
      <x:c r="K10" s="16" t="n">
        <x:f>IF(OR(I10="",J10=""),"",I10-J10)</x:f>
        <x:v>-990</x:v>
      </x:c>
      <x:c r="L10" s="17" t="n">
        <x:f>IF(OR(I10="",J10=""),"",I10/J10-1)</x:f>
        <x:v>-0.34982332155477036</x:v>
      </x:c>
      <x:c r="M10" s="16" t="n">
        <x:f>IFERROR(I6,"")</x:f>
        <x:v>1435</x:v>
      </x:c>
      <x:c r="N10" s="16" t="n">
        <x:f>IF(OR(I10="",M10=""),"",I10-M10)</x:f>
        <x:v>405</x:v>
      </x:c>
      <x:c r="O10" s="11" t="str">
        <x:v>corrected / user_provided_restricted</x:v>
      </x:c>
      <x:c r="P10" s="11" t="str">
        <x:v>SEC_EX99_1</x:v>
      </x:c>
      <x:c r="Q10" s="18" t="str">
        <x:v>https://www.sec.gov/Archives/edgar/data/1559720/000119312522274904/d408297dex991.htm</x:v>
      </x:c>
      <x:c r="R10" s="11" t="str">
        <x:v>high</x:v>
      </x:c>
      <x:c r="S10" s="19" t="str">
        <x:v>Transcript turn supports call discussion; SEC exhibit controls numeric target.</x:v>
      </x:c>
    </x:row>
    <x:row r="11">
      <x:c r="A11" s="11" t="str">
        <x:v>ABNB-2022Q4-GUIDE</x:v>
      </x:c>
      <x:c r="B11" s="11" t="str">
        <x:v>2022Q4</x:v>
      </x:c>
      <x:c r="C11" s="11" t="str">
        <x:v>2023Q1</x:v>
      </x:c>
      <x:c r="D11" s="13" t="n">
        <x:v>44971.87641203704</x:v>
      </x:c>
      <x:c r="E11" s="14" t="n">
        <x:v>44971</x:v>
      </x:c>
      <x:c r="F11" s="11" t="str">
        <x:v>numeric_range</x:v>
      </x:c>
      <x:c r="G11" s="15" t="n">
        <x:v>1750</x:v>
      </x:c>
      <x:c r="H11" s="15" t="n">
        <x:v>1820</x:v>
      </x:c>
      <x:c r="I11" s="15" t="n">
        <x:v>1785</x:v>
      </x:c>
      <x:c r="J11" s="16" t="n">
        <x:f>IFERROR(I10,"")</x:f>
        <x:v>1840</x:v>
      </x:c>
      <x:c r="K11" s="16" t="n">
        <x:f>IF(OR(I11="",J11=""),"",I11-J11)</x:f>
        <x:v>-55</x:v>
      </x:c>
      <x:c r="L11" s="17" t="n">
        <x:f>IF(OR(I11="",J11=""),"",I11/J11-1)</x:f>
        <x:v>-0.029891304347826053</x:v>
      </x:c>
      <x:c r="M11" s="16" t="n">
        <x:f>IFERROR(I7,"")</x:f>
        <x:v>1445</x:v>
      </x:c>
      <x:c r="N11" s="16" t="n">
        <x:f>IF(OR(I11="",M11=""),"",I11-M11)</x:f>
        <x:v>340</x:v>
      </x:c>
      <x:c r="O11" s="11" t="str">
        <x:v>corrected / user_provided_restricted</x:v>
      </x:c>
      <x:c r="P11" s="11" t="str">
        <x:v>SEC_EX99_1</x:v>
      </x:c>
      <x:c r="Q11" s="18" t="str">
        <x:v>https://www.sec.gov/Archives/edgar/data/1559720/000119312523039008/d451233dex991.htm</x:v>
      </x:c>
      <x:c r="R11" s="11" t="str">
        <x:v>high</x:v>
      </x:c>
      <x:c r="S11" s="19" t="str">
        <x:v>Numeric shareholder-letter range.</x:v>
      </x:c>
    </x:row>
    <x:row r="12">
      <x:c r="A12" s="11" t="str">
        <x:v>ABNB-2023Q1-GUIDE</x:v>
      </x:c>
      <x:c r="B12" s="11" t="str">
        <x:v>2023Q1</x:v>
      </x:c>
      <x:c r="C12" s="11" t="str">
        <x:v>2023Q2</x:v>
      </x:c>
      <x:c r="D12" s="13" t="n">
        <x:v>45055.834328703706</x:v>
      </x:c>
      <x:c r="E12" s="14" t="n">
        <x:v>45055</x:v>
      </x:c>
      <x:c r="F12" s="11" t="str">
        <x:v>numeric_range</x:v>
      </x:c>
      <x:c r="G12" s="15" t="n">
        <x:v>2350</x:v>
      </x:c>
      <x:c r="H12" s="15" t="n">
        <x:v>2450</x:v>
      </x:c>
      <x:c r="I12" s="15" t="n">
        <x:v>2400</x:v>
      </x:c>
      <x:c r="J12" s="16" t="n">
        <x:f>IFERROR(I11,"")</x:f>
        <x:v>1785</x:v>
      </x:c>
      <x:c r="K12" s="16" t="n">
        <x:f>IF(OR(I12="",J12=""),"",I12-J12)</x:f>
        <x:v>615</x:v>
      </x:c>
      <x:c r="L12" s="17" t="n">
        <x:f>IF(OR(I12="",J12=""),"",I12/J12-1)</x:f>
        <x:v>0.34453781512605053</x:v>
      </x:c>
      <x:c r="M12" s="16" t="n">
        <x:f>IFERROR(I8,"")</x:f>
        <x:v>2080</x:v>
      </x:c>
      <x:c r="N12" s="16" t="n">
        <x:f>IF(OR(I12="",M12=""),"",I12-M12)</x:f>
        <x:v>320</x:v>
      </x:c>
      <x:c r="O12" s="11" t="str">
        <x:v>corrected / user_provided_restricted</x:v>
      </x:c>
      <x:c r="P12" s="11" t="str">
        <x:v>SEC_EX99_1</x:v>
      </x:c>
      <x:c r="Q12" s="18" t="str">
        <x:v>https://www.sec.gov/Archives/edgar/data/1559720/000119312523139392/d453262dex991.htm</x:v>
      </x:c>
      <x:c r="R12" s="11" t="str">
        <x:v>high</x:v>
      </x:c>
      <x:c r="S12" s="19" t="str">
        <x:v>Numeric shareholder-letter range.</x:v>
      </x:c>
    </x:row>
    <x:row r="13">
      <x:c r="A13" s="11" t="str">
        <x:v>ABNB-2023Q2-GUIDE</x:v>
      </x:c>
      <x:c r="B13" s="11" t="str">
        <x:v>2023Q2</x:v>
      </x:c>
      <x:c r="C13" s="11" t="str">
        <x:v>2023Q3</x:v>
      </x:c>
      <x:c r="D13" s="13" t="n">
        <x:v>45141.83405092593</x:v>
      </x:c>
      <x:c r="E13" s="14" t="n">
        <x:v>45141</x:v>
      </x:c>
      <x:c r="F13" s="11" t="str">
        <x:v>numeric_range</x:v>
      </x:c>
      <x:c r="G13" s="15" t="n">
        <x:v>3300</x:v>
      </x:c>
      <x:c r="H13" s="15" t="n">
        <x:v>3400</x:v>
      </x:c>
      <x:c r="I13" s="15" t="n">
        <x:v>3350</x:v>
      </x:c>
      <x:c r="J13" s="16" t="n">
        <x:f>IFERROR(I12,"")</x:f>
        <x:v>2400</x:v>
      </x:c>
      <x:c r="K13" s="16" t="n">
        <x:f>IF(OR(I13="",J13=""),"",I13-J13)</x:f>
        <x:v>950</x:v>
      </x:c>
      <x:c r="L13" s="17" t="n">
        <x:f>IF(OR(I13="",J13=""),"",I13/J13-1)</x:f>
        <x:v>0.39583333333333326</x:v>
      </x:c>
      <x:c r="M13" s="16" t="n">
        <x:f>IFERROR(I9,"")</x:f>
        <x:v>2830</x:v>
      </x:c>
      <x:c r="N13" s="16" t="n">
        <x:f>IF(OR(I13="",M13=""),"",I13-M13)</x:f>
        <x:v>520</x:v>
      </x:c>
      <x:c r="O13" s="11" t="str">
        <x:v>corrected / user_provided_restricted</x:v>
      </x:c>
      <x:c r="P13" s="11" t="str">
        <x:v>SEC_EX99_1</x:v>
      </x:c>
      <x:c r="Q13" s="18" t="str">
        <x:v>https://www.sec.gov/Archives/edgar/data/1559720/000119312523202832/d446942dex991.htm</x:v>
      </x:c>
      <x:c r="R13" s="11" t="str">
        <x:v>high</x:v>
      </x:c>
      <x:c r="S13" s="19" t="str">
        <x:v>Numeric shareholder-letter range.</x:v>
      </x:c>
    </x:row>
    <x:row r="14">
      <x:c r="A14" s="11" t="str">
        <x:v>ABNB-2023Q3-GUIDE</x:v>
      </x:c>
      <x:c r="B14" s="11" t="str">
        <x:v>2023Q3</x:v>
      </x:c>
      <x:c r="C14" s="11" t="str">
        <x:v>2023Q4</x:v>
      </x:c>
      <x:c r="D14" s="13" t="n">
        <x:v>45231.834074074075</x:v>
      </x:c>
      <x:c r="E14" s="14" t="n">
        <x:v>45231</x:v>
      </x:c>
      <x:c r="F14" s="11" t="str">
        <x:v>numeric_range</x:v>
      </x:c>
      <x:c r="G14" s="15" t="n">
        <x:v>2130</x:v>
      </x:c>
      <x:c r="H14" s="15" t="n">
        <x:v>2170</x:v>
      </x:c>
      <x:c r="I14" s="15" t="n">
        <x:v>2150</x:v>
      </x:c>
      <x:c r="J14" s="16" t="n">
        <x:f>IFERROR(I13,"")</x:f>
        <x:v>3350</x:v>
      </x:c>
      <x:c r="K14" s="16" t="n">
        <x:f>IF(OR(I14="",J14=""),"",I14-J14)</x:f>
        <x:v>-1200</x:v>
      </x:c>
      <x:c r="L14" s="17" t="n">
        <x:f>IF(OR(I14="",J14=""),"",I14/J14-1)</x:f>
        <x:v>-0.35820895522388063</x:v>
      </x:c>
      <x:c r="M14" s="16" t="n">
        <x:f>IFERROR(I10,"")</x:f>
        <x:v>1840</x:v>
      </x:c>
      <x:c r="N14" s="16" t="n">
        <x:f>IF(OR(I14="",M14=""),"",I14-M14)</x:f>
        <x:v>310</x:v>
      </x:c>
      <x:c r="O14" s="11" t="str">
        <x:v>corrected / user_provided_restricted</x:v>
      </x:c>
      <x:c r="P14" s="11" t="str">
        <x:v>SEC_EX99_1</x:v>
      </x:c>
      <x:c r="Q14" s="18" t="str">
        <x:v>https://www.sec.gov/Archives/edgar/data/1559720/000119312523268164/d481318dex991.htm</x:v>
      </x:c>
      <x:c r="R14" s="11" t="str">
        <x:v>high</x:v>
      </x:c>
      <x:c r="S14" s="19" t="str">
        <x:v>Spoken range and SEC exhibit agree.</x:v>
      </x:c>
    </x:row>
    <x:row r="15">
      <x:c r="A15" s="11" t="str">
        <x:v>ABNB-2023Q4-GUIDE</x:v>
      </x:c>
      <x:c r="B15" s="11" t="str">
        <x:v>2023Q4</x:v>
      </x:c>
      <x:c r="C15" s="11" t="str">
        <x:v>2024Q1</x:v>
      </x:c>
      <x:c r="D15" s="13" t="n">
        <x:v>45335.881319444445</x:v>
      </x:c>
      <x:c r="E15" s="14" t="n">
        <x:v>45335</x:v>
      </x:c>
      <x:c r="F15" s="11" t="str">
        <x:v>numeric_range</x:v>
      </x:c>
      <x:c r="G15" s="15" t="n">
        <x:v>2030</x:v>
      </x:c>
      <x:c r="H15" s="15" t="n">
        <x:v>2070</x:v>
      </x:c>
      <x:c r="I15" s="15" t="n">
        <x:v>2050</x:v>
      </x:c>
      <x:c r="J15" s="16" t="n">
        <x:f>IFERROR(I14,"")</x:f>
        <x:v>2150</x:v>
      </x:c>
      <x:c r="K15" s="16" t="n">
        <x:f>IF(OR(I15="",J15=""),"",I15-J15)</x:f>
        <x:v>-100</x:v>
      </x:c>
      <x:c r="L15" s="17" t="n">
        <x:f>IF(OR(I15="",J15=""),"",I15/J15-1)</x:f>
        <x:v>-0.046511627906976716</x:v>
      </x:c>
      <x:c r="M15" s="16" t="n">
        <x:f>IFERROR(I11,"")</x:f>
        <x:v>1785</x:v>
      </x:c>
      <x:c r="N15" s="16" t="n">
        <x:f>IF(OR(I15="",M15=""),"",I15-M15)</x:f>
        <x:v>265</x:v>
      </x:c>
      <x:c r="O15" s="11" t="str">
        <x:v>corrected / user_provided_restricted</x:v>
      </x:c>
      <x:c r="P15" s="11" t="str">
        <x:v>SEC_EX99_1</x:v>
      </x:c>
      <x:c r="Q15" s="18" t="str">
        <x:v>https://www.sec.gov/Archives/edgar/data/1559720/000119312524033706/d646462dex991.htm</x:v>
      </x:c>
      <x:c r="R15" s="11" t="str">
        <x:v>high</x:v>
      </x:c>
      <x:c r="S15" s="19" t="str">
        <x:v>SEC range controls; transcript turn contains a material growth-rate discrepancy ('70%' versus official 17%) and must not be used for that percentage.</x:v>
      </x:c>
    </x:row>
    <x:row r="16">
      <x:c r="A16" s="11" t="str">
        <x:v>ABNB-2024Q1-GUIDE</x:v>
      </x:c>
      <x:c r="B16" s="11" t="str">
        <x:v>2024Q1</x:v>
      </x:c>
      <x:c r="C16" s="11" t="str">
        <x:v>2024Q2</x:v>
      </x:c>
      <x:c r="D16" s="13" t="n">
        <x:v>45420.83412037037</x:v>
      </x:c>
      <x:c r="E16" s="14" t="n">
        <x:v>45420</x:v>
      </x:c>
      <x:c r="F16" s="11" t="str">
        <x:v>numeric_range</x:v>
      </x:c>
      <x:c r="G16" s="15" t="n">
        <x:v>2680</x:v>
      </x:c>
      <x:c r="H16" s="15" t="n">
        <x:v>2740</x:v>
      </x:c>
      <x:c r="I16" s="15" t="n">
        <x:v>2710</x:v>
      </x:c>
      <x:c r="J16" s="16" t="n">
        <x:f>IFERROR(I15,"")</x:f>
        <x:v>2050</x:v>
      </x:c>
      <x:c r="K16" s="16" t="n">
        <x:f>IF(OR(I16="",J16=""),"",I16-J16)</x:f>
        <x:v>660</x:v>
      </x:c>
      <x:c r="L16" s="17" t="n">
        <x:f>IF(OR(I16="",J16=""),"",I16/J16-1)</x:f>
        <x:v>0.3219512195121952</x:v>
      </x:c>
      <x:c r="M16" s="16" t="n">
        <x:f>IFERROR(I12,"")</x:f>
        <x:v>2400</x:v>
      </x:c>
      <x:c r="N16" s="16" t="n">
        <x:f>IF(OR(I16="",M16=""),"",I16-M16)</x:f>
        <x:v>310</x:v>
      </x:c>
      <x:c r="O16" s="11" t="str">
        <x:v>corrected / user_provided_restricted</x:v>
      </x:c>
      <x:c r="P16" s="11" t="str">
        <x:v>SEC_EX99_1</x:v>
      </x:c>
      <x:c r="Q16" s="18" t="str">
        <x:v>https://www.sec.gov/Archives/edgar/data/1559720/000119312524134183/d813800dex991.htm</x:v>
      </x:c>
      <x:c r="R16" s="11" t="str">
        <x:v>high</x:v>
      </x:c>
      <x:c r="S16" s="19" t="str">
        <x:v>Dollar range appears in SEC shareholder letter; transcript contextual only.</x:v>
      </x:c>
    </x:row>
    <x:row r="17">
      <x:c r="A17" s="11" t="str">
        <x:v>ABNB-2024Q2-GUIDE</x:v>
      </x:c>
      <x:c r="B17" s="11" t="str">
        <x:v>2024Q2</x:v>
      </x:c>
      <x:c r="C17" s="11" t="str">
        <x:v>2024Q3</x:v>
      </x:c>
      <x:c r="D17" s="13" t="n">
        <x:v>45510.83399305555</x:v>
      </x:c>
      <x:c r="E17" s="14" t="n">
        <x:v>45510</x:v>
      </x:c>
      <x:c r="F17" s="11" t="str">
        <x:v>numeric_range</x:v>
      </x:c>
      <x:c r="G17" s="15" t="n">
        <x:v>3670</x:v>
      </x:c>
      <x:c r="H17" s="15" t="n">
        <x:v>3730</x:v>
      </x:c>
      <x:c r="I17" s="15" t="n">
        <x:v>3700</x:v>
      </x:c>
      <x:c r="J17" s="16" t="n">
        <x:f>IFERROR(I16,"")</x:f>
        <x:v>2710</x:v>
      </x:c>
      <x:c r="K17" s="16" t="n">
        <x:f>IF(OR(I17="",J17=""),"",I17-J17)</x:f>
        <x:v>990</x:v>
      </x:c>
      <x:c r="L17" s="17" t="n">
        <x:f>IF(OR(I17="",J17=""),"",I17/J17-1)</x:f>
        <x:v>0.3653136531365313</x:v>
      </x:c>
      <x:c r="M17" s="16" t="n">
        <x:f>IFERROR(I13,"")</x:f>
        <x:v>3350</x:v>
      </x:c>
      <x:c r="N17" s="16" t="n">
        <x:f>IF(OR(I17="",M17=""),"",I17-M17)</x:f>
        <x:v>350</x:v>
      </x:c>
      <x:c r="O17" s="11" t="str">
        <x:v>corrected / user_provided_restricted</x:v>
      </x:c>
      <x:c r="P17" s="11" t="str">
        <x:v>SEC_EX99_1</x:v>
      </x:c>
      <x:c r="Q17" s="18" t="str">
        <x:v>https://www.sec.gov/Archives/edgar/data/1559720/000119312524194849/d831385dex991.htm</x:v>
      </x:c>
      <x:c r="R17" s="11" t="str">
        <x:v>high</x:v>
      </x:c>
      <x:c r="S17" s="19" t="str">
        <x:v>Dollar range appears in SEC shareholder letter; transcript contextual only.</x:v>
      </x:c>
    </x:row>
    <x:row r="18">
      <x:c r="A18" s="11" t="str">
        <x:v>ABNB-2024Q3-GUIDE</x:v>
      </x:c>
      <x:c r="B18" s="11" t="str">
        <x:v>2024Q3</x:v>
      </x:c>
      <x:c r="C18" s="11" t="str">
        <x:v>2024Q4</x:v>
      </x:c>
      <x:c r="D18" s="13" t="n">
        <x:v>45603.87568287037</x:v>
      </x:c>
      <x:c r="E18" s="14" t="n">
        <x:v>45603</x:v>
      </x:c>
      <x:c r="F18" s="11" t="str">
        <x:v>numeric_range</x:v>
      </x:c>
      <x:c r="G18" s="15" t="n">
        <x:v>2390</x:v>
      </x:c>
      <x:c r="H18" s="15" t="n">
        <x:v>2440</x:v>
      </x:c>
      <x:c r="I18" s="15" t="n">
        <x:v>2415</x:v>
      </x:c>
      <x:c r="J18" s="16" t="n">
        <x:f>IFERROR(I17,"")</x:f>
        <x:v>3700</x:v>
      </x:c>
      <x:c r="K18" s="16" t="n">
        <x:f>IF(OR(I18="",J18=""),"",I18-J18)</x:f>
        <x:v>-1285</x:v>
      </x:c>
      <x:c r="L18" s="17" t="n">
        <x:f>IF(OR(I18="",J18=""),"",I18/J18-1)</x:f>
        <x:v>-0.3472972972972973</x:v>
      </x:c>
      <x:c r="M18" s="16" t="n">
        <x:f>IFERROR(I14,"")</x:f>
        <x:v>2150</x:v>
      </x:c>
      <x:c r="N18" s="16" t="n">
        <x:f>IF(OR(I18="",M18=""),"",I18-M18)</x:f>
        <x:v>265</x:v>
      </x:c>
      <x:c r="O18" s="11" t="str">
        <x:v>corrected / user_provided_restricted</x:v>
      </x:c>
      <x:c r="P18" s="11" t="str">
        <x:v>SEC_EX99_1</x:v>
      </x:c>
      <x:c r="Q18" s="18" t="str">
        <x:v>https://www.sec.gov/Archives/edgar/data/1559720/000119312524253103/d886752dex991.htm</x:v>
      </x:c>
      <x:c r="R18" s="11" t="str">
        <x:v>high</x:v>
      </x:c>
      <x:c r="S18" s="19" t="str">
        <x:v>Dollar range appears in SEC shareholder letter; transcript contextual only.</x:v>
      </x:c>
    </x:row>
    <x:row r="19">
      <x:c r="A19" s="11" t="str">
        <x:v>ABNB-2024Q4-GUIDE</x:v>
      </x:c>
      <x:c r="B19" s="11" t="str">
        <x:v>2024Q4</x:v>
      </x:c>
      <x:c r="C19" s="11" t="str">
        <x:v>2025Q1</x:v>
      </x:c>
      <x:c r="D19" s="13" t="n">
        <x:v>45701.87684027778</x:v>
      </x:c>
      <x:c r="E19" s="14" t="n">
        <x:v>45701</x:v>
      </x:c>
      <x:c r="F19" s="11" t="str">
        <x:v>numeric_range</x:v>
      </x:c>
      <x:c r="G19" s="15" t="n">
        <x:v>2230</x:v>
      </x:c>
      <x:c r="H19" s="15" t="n">
        <x:v>2270</x:v>
      </x:c>
      <x:c r="I19" s="15" t="n">
        <x:v>2250</x:v>
      </x:c>
      <x:c r="J19" s="16" t="n">
        <x:f>IFERROR(I18,"")</x:f>
        <x:v>2415</x:v>
      </x:c>
      <x:c r="K19" s="16" t="n">
        <x:f>IF(OR(I19="",J19=""),"",I19-J19)</x:f>
        <x:v>-165</x:v>
      </x:c>
      <x:c r="L19" s="17" t="n">
        <x:f>IF(OR(I19="",J19=""),"",I19/J19-1)</x:f>
        <x:v>-0.06832298136645965</x:v>
      </x:c>
      <x:c r="M19" s="16" t="n">
        <x:f>IFERROR(I15,"")</x:f>
        <x:v>2050</x:v>
      </x:c>
      <x:c r="N19" s="16" t="n">
        <x:f>IF(OR(I19="",M19=""),"",I19-M19)</x:f>
        <x:v>200</x:v>
      </x:c>
      <x:c r="O19" s="11" t="str">
        <x:v>corrected / user_provided_restricted</x:v>
      </x:c>
      <x:c r="P19" s="11" t="str">
        <x:v>SEC_EX99_1</x:v>
      </x:c>
      <x:c r="Q19" s="18" t="str">
        <x:v>https://www.sec.gov/Archives/edgar/data/1559720/000119312525026054/d915198dex991.htm</x:v>
      </x:c>
      <x:c r="R19" s="11" t="str">
        <x:v>high</x:v>
      </x:c>
      <x:c r="S19" s="19" t="str">
        <x:v>Spoken range and SEC exhibit agree.</x:v>
      </x:c>
    </x:row>
    <x:row r="20">
      <x:c r="A20" s="11" t="str">
        <x:v>ABNB-2025Q1-GUIDE</x:v>
      </x:c>
      <x:c r="B20" s="11" t="str">
        <x:v>2025Q1</x:v>
      </x:c>
      <x:c r="C20" s="11" t="str">
        <x:v>2025Q2</x:v>
      </x:c>
      <x:c r="D20" s="13" t="n">
        <x:v>45778.834328703706</x:v>
      </x:c>
      <x:c r="E20" s="14" t="n">
        <x:v>45778</x:v>
      </x:c>
      <x:c r="F20" s="11" t="str">
        <x:v>numeric_range</x:v>
      </x:c>
      <x:c r="G20" s="15" t="n">
        <x:v>2990</x:v>
      </x:c>
      <x:c r="H20" s="15" t="n">
        <x:v>3050</x:v>
      </x:c>
      <x:c r="I20" s="15" t="n">
        <x:v>3020</x:v>
      </x:c>
      <x:c r="J20" s="16" t="n">
        <x:f>IFERROR(I19,"")</x:f>
        <x:v>2250</x:v>
      </x:c>
      <x:c r="K20" s="16" t="n">
        <x:f>IF(OR(I20="",J20=""),"",I20-J20)</x:f>
        <x:v>770</x:v>
      </x:c>
      <x:c r="L20" s="17" t="n">
        <x:f>IF(OR(I20="",J20=""),"",I20/J20-1)</x:f>
        <x:v>0.3422222222222222</x:v>
      </x:c>
      <x:c r="M20" s="16" t="n">
        <x:f>IFERROR(I16,"")</x:f>
        <x:v>2710</x:v>
      </x:c>
      <x:c r="N20" s="16" t="n">
        <x:f>IF(OR(I20="",M20=""),"",I20-M20)</x:f>
        <x:v>310</x:v>
      </x:c>
      <x:c r="O20" s="11" t="str">
        <x:v>corrected / user_provided_restricted</x:v>
      </x:c>
      <x:c r="P20" s="11" t="str">
        <x:v>SEC_8K</x:v>
      </x:c>
      <x:c r="Q20" s="18" t="str">
        <x:v>https://www.sec.gov/Archives/edgar/data/1559720/000119312525109934/d40594d8k.htm</x:v>
      </x:c>
      <x:c r="R20" s="11" t="str">
        <x:v>high</x:v>
      </x:c>
      <x:c r="S20" s="19" t="str">
        <x:v>Spoken range retained with SEC filing acceptance cutoff.</x:v>
      </x:c>
    </x:row>
    <x:row r="21">
      <x:c r="A21" s="11" t="str">
        <x:v>ABNB-2025Q2-GUIDE</x:v>
      </x:c>
      <x:c r="B21" s="11" t="str">
        <x:v>2025Q2</x:v>
      </x:c>
      <x:c r="C21" s="11" t="str">
        <x:v>2025Q3</x:v>
      </x:c>
      <x:c r="D21" s="13" t="n">
        <x:v>45875.83458333334</x:v>
      </x:c>
      <x:c r="E21" s="14" t="n">
        <x:v>45875</x:v>
      </x:c>
      <x:c r="F21" s="11" t="str">
        <x:v>numeric_range</x:v>
      </x:c>
      <x:c r="G21" s="15" t="n">
        <x:v>4020</x:v>
      </x:c>
      <x:c r="H21" s="15" t="n">
        <x:v>4100</x:v>
      </x:c>
      <x:c r="I21" s="15" t="n">
        <x:v>4060</x:v>
      </x:c>
      <x:c r="J21" s="16" t="n">
        <x:f>IFERROR(I20,"")</x:f>
        <x:v>3020</x:v>
      </x:c>
      <x:c r="K21" s="16" t="n">
        <x:f>IF(OR(I21="",J21=""),"",I21-J21)</x:f>
        <x:v>1040</x:v>
      </x:c>
      <x:c r="L21" s="17" t="n">
        <x:f>IF(OR(I21="",J21=""),"",I21/J21-1)</x:f>
        <x:v>0.3443708609271523</x:v>
      </x:c>
      <x:c r="M21" s="16" t="n">
        <x:f>IFERROR(I17,"")</x:f>
        <x:v>3700</x:v>
      </x:c>
      <x:c r="N21" s="16" t="n">
        <x:f>IF(OR(I21="",M21=""),"",I21-M21)</x:f>
        <x:v>360</x:v>
      </x:c>
      <x:c r="O21" s="11" t="str">
        <x:v>corrected / user_provided_restricted</x:v>
      </x:c>
      <x:c r="P21" s="11" t="str">
        <x:v>SEC_8K</x:v>
      </x:c>
      <x:c r="Q21" s="18" t="str">
        <x:v>https://www.sec.gov/Archives/edgar/data/1559720/000119312525174438/d17531d8k.htm</x:v>
      </x:c>
      <x:c r="R21" s="11" t="str">
        <x:v>high</x:v>
      </x:c>
      <x:c r="S21" s="19" t="str">
        <x:v>Spoken range retained with SEC filing acceptance cutoff.</x:v>
      </x:c>
    </x:row>
    <x:row r="22">
      <x:c r="A22" s="11" t="str">
        <x:v>ABNB-2025Q3-GUIDE</x:v>
      </x:c>
      <x:c r="B22" s="11" t="str">
        <x:v>2025Q3</x:v>
      </x:c>
      <x:c r="C22" s="11" t="str">
        <x:v>2025Q4</x:v>
      </x:c>
      <x:c r="D22" s="13" t="n">
        <x:v>45967.8755787037</x:v>
      </x:c>
      <x:c r="E22" s="14" t="n">
        <x:v>45967</x:v>
      </x:c>
      <x:c r="F22" s="11" t="str">
        <x:v>numeric_range</x:v>
      </x:c>
      <x:c r="G22" s="15" t="n">
        <x:v>2660</x:v>
      </x:c>
      <x:c r="H22" s="15" t="n">
        <x:v>2720</x:v>
      </x:c>
      <x:c r="I22" s="15" t="n">
        <x:v>2690</x:v>
      </x:c>
      <x:c r="J22" s="16" t="n">
        <x:f>IFERROR(I21,"")</x:f>
        <x:v>4060</x:v>
      </x:c>
      <x:c r="K22" s="16" t="n">
        <x:f>IF(OR(I22="",J22=""),"",I22-J22)</x:f>
        <x:v>-1370</x:v>
      </x:c>
      <x:c r="L22" s="17" t="n">
        <x:f>IF(OR(I22="",J22=""),"",I22/J22-1)</x:f>
        <x:v>-0.3374384236453202</x:v>
      </x:c>
      <x:c r="M22" s="16" t="n">
        <x:f>IFERROR(I18,"")</x:f>
        <x:v>2415</x:v>
      </x:c>
      <x:c r="N22" s="16" t="n">
        <x:f>IF(OR(I22="",M22=""),"",I22-M22)</x:f>
        <x:v>275</x:v>
      </x:c>
      <x:c r="O22" s="11" t="str">
        <x:v>corrected / user_provided_restricted</x:v>
      </x:c>
      <x:c r="P22" s="11" t="str">
        <x:v>SEC_EX99_1</x:v>
      </x:c>
      <x:c r="Q22" s="18" t="str">
        <x:v>https://www.sec.gov/Archives/edgar/data/1559720/000119312525269432/d40503dex991.htm</x:v>
      </x:c>
      <x:c r="R22" s="11" t="str">
        <x:v>high</x:v>
      </x:c>
      <x:c r="S22" s="19" t="str">
        <x:v>Spoken range and SEC exhibit agree.</x:v>
      </x:c>
    </x:row>
    <x:row r="23">
      <x:c r="A23" s="11" t="str">
        <x:v>ABNB-2025Q4-GUIDE</x:v>
      </x:c>
      <x:c r="B23" s="11" t="str">
        <x:v>2025Q4</x:v>
      </x:c>
      <x:c r="C23" s="11" t="str">
        <x:v>2026Q1</x:v>
      </x:c>
      <x:c r="D23" s="13" t="n">
        <x:v>46065.87634259259</x:v>
      </x:c>
      <x:c r="E23" s="14" t="n">
        <x:v>46065</x:v>
      </x:c>
      <x:c r="F23" s="11" t="str">
        <x:v>numeric_range</x:v>
      </x:c>
      <x:c r="G23" s="15" t="n">
        <x:v>2590</x:v>
      </x:c>
      <x:c r="H23" s="15" t="n">
        <x:v>2630</x:v>
      </x:c>
      <x:c r="I23" s="15" t="n">
        <x:v>2610</x:v>
      </x:c>
      <x:c r="J23" s="16" t="n">
        <x:f>IFERROR(I22,"")</x:f>
        <x:v>2690</x:v>
      </x:c>
      <x:c r="K23" s="16" t="n">
        <x:f>IF(OR(I23="",J23=""),"",I23-J23)</x:f>
        <x:v>-80</x:v>
      </x:c>
      <x:c r="L23" s="17" t="n">
        <x:f>IF(OR(I23="",J23=""),"",I23/J23-1)</x:f>
        <x:v>-0.029739776951672847</x:v>
      </x:c>
      <x:c r="M23" s="16" t="n">
        <x:f>IFERROR(I19,"")</x:f>
        <x:v>2250</x:v>
      </x:c>
      <x:c r="N23" s="16" t="n">
        <x:f>IF(OR(I23="",M23=""),"",I23-M23)</x:f>
        <x:v>360</x:v>
      </x:c>
      <x:c r="O23" s="11" t="str">
        <x:v>corrected / user_provided_restricted</x:v>
      </x:c>
      <x:c r="P23" s="11" t="str">
        <x:v>SEC_EX99_1</x:v>
      </x:c>
      <x:c r="Q23" s="18" t="str">
        <x:v>https://www.sec.gov/Archives/edgar/data/1559720/000119312526048670/d58192dex991.htm</x:v>
      </x:c>
      <x:c r="R23" s="11" t="str">
        <x:v>high</x:v>
      </x:c>
      <x:c r="S23" s="19" t="str">
        <x:v>Spoken range and SEC exhibit agree.</x:v>
      </x:c>
    </x:row>
    <x:row r="24">
      <x:c r="A24" s="11" t="str">
        <x:v>ABNB-2026Q1-GUIDE</x:v>
      </x:c>
      <x:c r="B24" s="11" t="str">
        <x:v>2026Q1</x:v>
      </x:c>
      <x:c r="C24" s="11" t="str">
        <x:v>2026Q2</x:v>
      </x:c>
      <x:c r="D24" s="13" t="n">
        <x:v>46149.833645833336</x:v>
      </x:c>
      <x:c r="E24" s="14" t="n">
        <x:v>46149</x:v>
      </x:c>
      <x:c r="F24" s="11" t="str">
        <x:v>numeric_range</x:v>
      </x:c>
      <x:c r="G24" s="15" t="n">
        <x:v>3540</x:v>
      </x:c>
      <x:c r="H24" s="15" t="n">
        <x:v>3600</x:v>
      </x:c>
      <x:c r="I24" s="15" t="n">
        <x:v>3570</x:v>
      </x:c>
      <x:c r="J24" s="16" t="n">
        <x:f>IFERROR(I23,"")</x:f>
        <x:v>2610</x:v>
      </x:c>
      <x:c r="K24" s="16" t="n">
        <x:f>IF(OR(I24="",J24=""),"",I24-J24)</x:f>
        <x:v>960</x:v>
      </x:c>
      <x:c r="L24" s="17" t="n">
        <x:f>IF(OR(I24="",J24=""),"",I24/J24-1)</x:f>
        <x:v>0.367816091954023</x:v>
      </x:c>
      <x:c r="M24" s="16" t="n">
        <x:f>IFERROR(I20,"")</x:f>
        <x:v>3020</x:v>
      </x:c>
      <x:c r="N24" s="16" t="n">
        <x:f>IF(OR(I24="",M24=""),"",I24-M24)</x:f>
        <x:v>550</x:v>
      </x:c>
      <x:c r="O24" s="11" t="str">
        <x:v>corrected / user_provided_restricted</x:v>
      </x:c>
      <x:c r="P24" s="11" t="str">
        <x:v>SEC_EX99_1</x:v>
      </x:c>
      <x:c r="Q24" s="18" t="str">
        <x:v>https://www.sec.gov/Archives/edgar/data/1559720/000119312526211816/d23351dex991.htm</x:v>
      </x:c>
      <x:c r="R24" s="11" t="str">
        <x:v>high</x:v>
      </x:c>
      <x:c r="S24" s="19" t="str">
        <x:v>Spoken range and SEC exhibit agree.</x:v>
      </x:c>
    </x:row>
    <x:row r="25">
      <x:c r="A25" s="11" t="str">
        <x:v>ABNB-2026Q2-GUIDE</x:v>
      </x:c>
      <x:c r="B25" s="11" t="str">
        <x:v>2026Q2</x:v>
      </x:c>
      <x:c r="C25" s="11" t="str">
        <x:v>2026Q3</x:v>
      </x:c>
      <x:c r="D25" s="13" t="n">
        <x:v>46240.835335648146</x:v>
      </x:c>
      <x:c r="E25" s="14" t="n">
        <x:v>46240</x:v>
      </x:c>
      <x:c r="F25" s="11" t="str">
        <x:v>numeric_range</x:v>
      </x:c>
      <x:c r="G25" s="15" t="n">
        <x:v>4690</x:v>
      </x:c>
      <x:c r="H25" s="15" t="n">
        <x:v>4770</x:v>
      </x:c>
      <x:c r="I25" s="15" t="n">
        <x:v>4730</x:v>
      </x:c>
      <x:c r="J25" s="16" t="n">
        <x:f>IFERROR(I24,"")</x:f>
        <x:v>3570</x:v>
      </x:c>
      <x:c r="K25" s="16" t="n">
        <x:f>IF(OR(I25="",J25=""),"",I25-J25)</x:f>
        <x:v>1160</x:v>
      </x:c>
      <x:c r="L25" s="17" t="n">
        <x:f>IF(OR(I25="",J25=""),"",I25/J25-1)</x:f>
        <x:v>0.3249299719887955</x:v>
      </x:c>
      <x:c r="M25" s="16" t="n">
        <x:f>IFERROR(I21,"")</x:f>
        <x:v>4060</x:v>
      </x:c>
      <x:c r="N25" s="16" t="n">
        <x:f>IF(OR(I25="",M25=""),"",I25-M25)</x:f>
        <x:v>670</x:v>
      </x:c>
      <x:c r="O25" s="11" t="str">
        <x:v>corrected / user_provided_restricted</x:v>
      </x:c>
      <x:c r="P25" s="11" t="str">
        <x:v>SEC_EX99_1</x:v>
      </x:c>
      <x:c r="Q25" s="18" t="str">
        <x:v>https://www.sec.gov/Archives/edgar/data/1559720/000119312526337928/d70413dex991.htm</x:v>
      </x:c>
      <x:c r="R25" s="11" t="str">
        <x:v>high</x:v>
      </x:c>
      <x:c r="S25" s="19" t="str">
        <x:v>Spoken range and SEC exhibit agree.</x:v>
      </x:c>
    </x:row>
  </x:sheetData>
  <x:mergeCells>
    <x:mergeCell ref="A1:S1"/>
  </x:mergeCells>
  <x:pageMargins left="0.7" right="0.7" top="0.75" bottom="0.75" header="0.3" footer="0.3"/>
  <x:tableParts count="1">
    <x:tablePart xmlns:r="http://schemas.openxmlformats.org/officeDocument/2006/relationships" r:id="R22378dd7c1f648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3" hidden="0" customWidth="1"/>
    <x:col min="4" max="4" width="16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2" hidden="0" customWidth="1"/>
    <x:col min="11" max="11" width="13" hidden="0" customWidth="1"/>
    <x:col min="12" max="12" width="14" hidden="0" customWidth="1"/>
    <x:col min="13" max="13" width="15" hidden="0" customWidth="1"/>
    <x:col min="14" max="14" width="45" hidden="0" customWidth="1"/>
    <x:col min="15" max="15" width="19" hidden="0" customWidth="1"/>
    <x:col min="16" max="16" width="23" hidden="0" customWidth="1"/>
    <x:col min="17" max="17" width="21" hidden="0" customWidth="1"/>
    <x:col min="18" max="18" width="22" hidden="0" customWidth="1"/>
    <x:col min="19" max="19" width="21" hidden="0" customWidth="1"/>
    <x:col min="20" max="20" width="54" hidden="0" customWidth="1"/>
  </x:cols>
  <x:sheetData>
    <x:row r="1" ht="28" customHeight="1">
      <x:c r="A1" s="135" t="str">
        <x:v>ABNB Guidance Event Reactions — Close to Next Trading-Day Close</x:v>
      </x:c>
      <x:c r="B1" s="135" t="str">
        <x:v>ABNB Guidance Event Reactions — Close to Next Trading-Day Close</x:v>
      </x:c>
      <x:c r="C1" s="135" t="str">
        <x:v>ABNB Guidance Event Reactions — Close to Next Trading-Day Close</x:v>
      </x:c>
      <x:c r="D1" s="135" t="str">
        <x:v>ABNB Guidance Event Reactions — Close to Next Trading-Day Close</x:v>
      </x:c>
      <x:c r="E1" s="135" t="str">
        <x:v>ABNB Guidance Event Reactions — Close to Next Trading-Day Close</x:v>
      </x:c>
      <x:c r="F1" s="135" t="str">
        <x:v>ABNB Guidance Event Reactions — Close to Next Trading-Day Close</x:v>
      </x:c>
      <x:c r="G1" s="135" t="str">
        <x:v>ABNB Guidance Event Reactions — Close to Next Trading-Day Close</x:v>
      </x:c>
      <x:c r="H1" s="135" t="str">
        <x:v>ABNB Guidance Event Reactions — Close to Next Trading-Day Close</x:v>
      </x:c>
      <x:c r="I1" s="135" t="str">
        <x:v>ABNB Guidance Event Reactions — Close to Next Trading-Day Close</x:v>
      </x:c>
      <x:c r="J1" s="135" t="str">
        <x:v>ABNB Guidance Event Reactions — Close to Next Trading-Day Close</x:v>
      </x:c>
      <x:c r="K1" s="135" t="str">
        <x:v>ABNB Guidance Event Reactions — Close to Next Trading-Day Close</x:v>
      </x:c>
      <x:c r="L1" s="135" t="str">
        <x:v>ABNB Guidance Event Reactions — Close to Next Trading-Day Close</x:v>
      </x:c>
      <x:c r="M1" s="135" t="str">
        <x:v>ABNB Guidance Event Reactions — Close to Next Trading-Day Close</x:v>
      </x:c>
      <x:c r="N1" s="135" t="str">
        <x:v>ABNB Guidance Event Reactions — Close to Next Trading-Day Close</x:v>
      </x:c>
      <x:c r="O1" s="135" t="str">
        <x:v>ABNB Guidance Event Reactions — Close to Next Trading-Day Close</x:v>
      </x:c>
      <x:c r="P1" s="135" t="str">
        <x:v>ABNB Guidance Event Reactions — Close to Next Trading-Day Close</x:v>
      </x:c>
      <x:c r="Q1" s="135" t="str">
        <x:v>ABNB Guidance Event Reactions — Close to Next Trading-Day Close</x:v>
      </x:c>
      <x:c r="R1" s="135" t="str">
        <x:v>ABNB Guidance Event Reactions — Close to Next Trading-Day Close</x:v>
      </x:c>
      <x:c r="S1" s="135" t="str">
        <x:v>ABNB Guidance Event Reactions — Close to Next Trading-Day Close</x:v>
      </x:c>
      <x:c r="T1" s="135" t="str">
        <x:v>ABNB Guidance Event Reactions — Close to Next Trading-Day Close</x:v>
      </x:c>
    </x:row>
    <x:row r="2" ht="34" customHeight="1">
      <x:c r="A2" s="136" t="str">
        <x:v>Prediction ID</x:v>
      </x:c>
      <x:c r="B2" s="136" t="str">
        <x:v>Issuing Quarter</x:v>
      </x:c>
      <x:c r="C2" s="136" t="str">
        <x:v>Event Date</x:v>
      </x:c>
      <x:c r="D2" s="136" t="str">
        <x:v>Next Trading Date</x:v>
      </x:c>
      <x:c r="E2" s="136" t="str">
        <x:v>ABNB T0 Close</x:v>
      </x:c>
      <x:c r="F2" s="136" t="str">
        <x:v>ABNB T+1 Close</x:v>
      </x:c>
      <x:c r="G2" s="136" t="str">
        <x:v>ABNB Return</x:v>
      </x:c>
      <x:c r="H2" s="136" t="str">
        <x:v>SPY T0 Close</x:v>
      </x:c>
      <x:c r="I2" s="136" t="str">
        <x:v>SPY T+1 Close</x:v>
      </x:c>
      <x:c r="J2" s="136" t="str">
        <x:v>SPY Return</x:v>
      </x:c>
      <x:c r="K2" s="136" t="str">
        <x:v>Excess Return</x:v>
      </x:c>
      <x:c r="L2" s="136" t="str">
        <x:v>ABNB Direction</x:v>
      </x:c>
      <x:c r="M2" s="136" t="str">
        <x:v>Excess Direction</x:v>
      </x:c>
      <x:c r="N2" s="136" t="str">
        <x:v>Window Rationale</x:v>
      </x:c>
      <x:c r="O2" s="136" t="str">
        <x:v>Guidance Midpoint ($m)</x:v>
      </x:c>
      <x:c r="P2" s="136" t="str">
        <x:v>Δ Guidance vs Prior-Q ($m)</x:v>
      </x:c>
      <x:c r="Q2" s="136" t="str">
        <x:v>Δ Guidance vs Prior-Q (%)</x:v>
      </x:c>
      <x:c r="R2" s="136" t="str">
        <x:v>Direction Comparison</x:v>
      </x:c>
      <x:c r="S2" s="136" t="str">
        <x:v>Edge Available at Event?</x:v>
      </x:c>
      <x:c r="T2" s="136" t="str">
        <x:v>Interpretation</x:v>
      </x:c>
    </x:row>
    <x:row r="3">
      <x:c r="A3" s="11" t="str">
        <x:v>ABNB-2020Q4-GUIDE</x:v>
      </x:c>
      <x:c r="B3" s="11" t="str">
        <x:v>2020Q4</x:v>
      </x:c>
      <x:c r="C3" s="14" t="n">
        <x:v>44252</x:v>
      </x:c>
      <x:c r="D3" s="14" t="n">
        <x:v>44253</x:v>
      </x:c>
      <x:c r="E3" s="22" t="n">
        <x:f>IFERROR(VLOOKUP(C3,'Price History'!$A$3:$E$1404,2,FALSE),"")</x:f>
        <x:v>182.06</x:v>
      </x:c>
      <x:c r="F3" s="22" t="n">
        <x:f>IFERROR(VLOOKUP(D3,'Price History'!$A$3:$E$1404,2,FALSE),"")</x:f>
        <x:v>206.35</x:v>
      </x:c>
      <x:c r="G3" s="23" t="n">
        <x:f>IF(OR(E3="",F3=""),"",F3/E3-1)</x:f>
        <x:v>0.13341755465231242</x:v>
      </x:c>
      <x:c r="H3" s="22" t="n">
        <x:f>IFERROR(VLOOKUP(C3,'Price History'!$A$3:$E$1404,3,FALSE),"")</x:f>
        <x:v>382.33</x:v>
      </x:c>
      <x:c r="I3" s="22" t="n">
        <x:f>IFERROR(VLOOKUP(D3,'Price History'!$A$3:$E$1404,3,FALSE),"")</x:f>
        <x:v>380.36</x:v>
      </x:c>
      <x:c r="J3" s="23" t="n">
        <x:f>IF(OR(H3="",I3=""),"",I3/H3-1)</x:f>
        <x:v>-0.005152616849318559</x:v>
      </x:c>
      <x:c r="K3" s="23" t="n">
        <x:f>IF(OR(G3="",J3=""),"",G3-J3)</x:f>
        <x:v>0.13857017150163098</x:v>
      </x:c>
      <x:c r="L3" s="12" t="str">
        <x:f>IF(G3="","",IF(G3&gt;0,"Up",IF(G3&lt;0,"Down","Flat")))</x:f>
        <x:v>Up</x:v>
      </x:c>
      <x:c r="M3" s="12" t="str">
        <x:f>IF(K3="","",IF(K3&gt;0,"Up",IF(K3&lt;0,"Down","Flat")))</x:f>
        <x:v>Up</x:v>
      </x:c>
      <x:c r="N3" s="19" t="str">
        <x:v>Guidance timestamp is at the regular-market close; reaction = next close / event-date close − 1.</x:v>
      </x:c>
      <x:c r="O3" s="24" t="str">
        <x:f>IF('Guidance Events'!I3="","",'Guidance Events'!I3)</x:f>
      </x:c>
      <x:c r="P3" s="24" t="str">
        <x:f>IF('Guidance Events'!K3="","",'Guidance Events'!K3)</x:f>
      </x:c>
      <x:c r="Q3" s="25" t="str">
        <x:f>IF('Guidance Events'!L3="","",'Guidance Events'!L3)</x:f>
      </x:c>
      <x:c r="R3" s="18" t="str">
        <x:f>IF(O3="","Qualitative guidance",IF(P3="","No numeric prior-Q baseline",IF(P3=0,"Neutral",IF(OR(AND(P3&gt;0,K3&gt;0),AND(P3&lt;0,K3&lt;0)),"Aligned","Diverged"))))</x:f>
        <x:v>Qualitative guidance</x:v>
      </x:c>
      <x:c r="S3" s="11" t="str">
        <x:v>No</x:v>
      </x:c>
      <x:c r="T3" s="19" t="str">
        <x:v>No approved edge observation was historically available; reaction is descriptive only.</x:v>
      </x:c>
    </x:row>
    <x:row r="4">
      <x:c r="A4" s="11" t="str">
        <x:v>ABNB-2021Q1-GUIDE</x:v>
      </x:c>
      <x:c r="B4" s="11" t="str">
        <x:v>2021Q1</x:v>
      </x:c>
      <x:c r="C4" s="14" t="n">
        <x:v>44329</x:v>
      </x:c>
      <x:c r="D4" s="14" t="n">
        <x:v>44330</x:v>
      </x:c>
      <x:c r="E4" s="22" t="n">
        <x:f>IFERROR(VLOOKUP(C4,'Price History'!$A$3:$E$1404,2,FALSE),"")</x:f>
        <x:v>135.75</x:v>
      </x:c>
      <x:c r="F4" s="22" t="n">
        <x:f>IFERROR(VLOOKUP(D4,'Price History'!$A$3:$E$1404,2,FALSE),"")</x:f>
        <x:v>141.2</x:v>
      </x:c>
      <x:c r="G4" s="23" t="n">
        <x:f>IF(OR(E4="",F4=""),"",F4/E4-1)</x:f>
        <x:v>0.040147329650092045</x:v>
      </x:c>
      <x:c r="H4" s="22" t="n">
        <x:f>IFERROR(VLOOKUP(C4,'Price History'!$A$3:$E$1404,3,FALSE),"")</x:f>
        <x:v>410.28</x:v>
      </x:c>
      <x:c r="I4" s="22" t="n">
        <x:f>IFERROR(VLOOKUP(D4,'Price History'!$A$3:$E$1404,3,FALSE),"")</x:f>
        <x:v>416.58</x:v>
      </x:c>
      <x:c r="J4" s="23" t="n">
        <x:f>IF(OR(H4="",I4=""),"",I4/H4-1)</x:f>
        <x:v>0.015355367066393733</x:v>
      </x:c>
      <x:c r="K4" s="23" t="n">
        <x:f>IF(OR(G4="",J4=""),"",G4-J4)</x:f>
        <x:v>0.024791962583698313</x:v>
      </x:c>
      <x:c r="L4" s="12" t="str">
        <x:f>IF(G4="","",IF(G4&gt;0,"Up",IF(G4&lt;0,"Down","Flat")))</x:f>
        <x:v>Up</x:v>
      </x:c>
      <x:c r="M4" s="12" t="str">
        <x:f>IF(K4="","",IF(K4&gt;0,"Up",IF(K4&lt;0,"Down","Flat")))</x:f>
        <x:v>Up</x:v>
      </x:c>
      <x:c r="N4" s="19" t="str">
        <x:v>Guidance timestamp is at the regular-market close; reaction = next close / event-date close − 1.</x:v>
      </x:c>
      <x:c r="O4" s="24" t="str">
        <x:f>IF('Guidance Events'!I4="","",'Guidance Events'!I4)</x:f>
      </x:c>
      <x:c r="P4" s="24" t="str">
        <x:f>IF('Guidance Events'!K4="","",'Guidance Events'!K4)</x:f>
      </x:c>
      <x:c r="Q4" s="25" t="str">
        <x:f>IF('Guidance Events'!L4="","",'Guidance Events'!L4)</x:f>
      </x:c>
      <x:c r="R4" s="18" t="str">
        <x:f>IF(O4="","Qualitative guidance",IF(P4="","No numeric prior-Q baseline",IF(P4=0,"Neutral",IF(OR(AND(P4&gt;0,K4&gt;0),AND(P4&lt;0,K4&lt;0)),"Aligned","Diverged"))))</x:f>
        <x:v>Qualitative guidance</x:v>
      </x:c>
      <x:c r="S4" s="11" t="str">
        <x:v>No</x:v>
      </x:c>
      <x:c r="T4" s="19" t="str">
        <x:v>No approved edge observation was historically available; reaction is descriptive only.</x:v>
      </x:c>
    </x:row>
    <x:row r="5">
      <x:c r="A5" s="11" t="str">
        <x:v>ABNB-2021Q2-GUIDE</x:v>
      </x:c>
      <x:c r="B5" s="11" t="str">
        <x:v>2021Q2</x:v>
      </x:c>
      <x:c r="C5" s="14" t="n">
        <x:v>44420</x:v>
      </x:c>
      <x:c r="D5" s="14" t="n">
        <x:v>44421</x:v>
      </x:c>
      <x:c r="E5" s="22" t="n">
        <x:f>IFERROR(VLOOKUP(C5,'Price History'!$A$3:$E$1404,2,FALSE),"")</x:f>
        <x:v>151.15</x:v>
      </x:c>
      <x:c r="F5" s="22" t="n">
        <x:f>IFERROR(VLOOKUP(D5,'Price History'!$A$3:$E$1404,2,FALSE),"")</x:f>
        <x:v>152.76</x:v>
      </x:c>
      <x:c r="G5" s="23" t="n">
        <x:f>IF(OR(E5="",F5=""),"",F5/E5-1)</x:f>
        <x:v>0.010651670525967383</x:v>
      </x:c>
      <x:c r="H5" s="22" t="n">
        <x:f>IFERROR(VLOOKUP(C5,'Price History'!$A$3:$E$1404,3,FALSE),"")</x:f>
        <x:v>445.11</x:v>
      </x:c>
      <x:c r="I5" s="22" t="n">
        <x:f>IFERROR(VLOOKUP(D5,'Price History'!$A$3:$E$1404,3,FALSE),"")</x:f>
        <x:v>445.92</x:v>
      </x:c>
      <x:c r="J5" s="23" t="n">
        <x:f>IF(OR(H5="",I5=""),"",I5/H5-1)</x:f>
        <x:v>0.0018197748871064956</x:v>
      </x:c>
      <x:c r="K5" s="23" t="n">
        <x:f>IF(OR(G5="",J5=""),"",G5-J5)</x:f>
        <x:v>0.008831895638860887</x:v>
      </x:c>
      <x:c r="L5" s="12" t="str">
        <x:f>IF(G5="","",IF(G5&gt;0,"Up",IF(G5&lt;0,"Down","Flat")))</x:f>
        <x:v>Up</x:v>
      </x:c>
      <x:c r="M5" s="12" t="str">
        <x:f>IF(K5="","",IF(K5&gt;0,"Up",IF(K5&lt;0,"Down","Flat")))</x:f>
        <x:v>Up</x:v>
      </x:c>
      <x:c r="N5" s="19" t="str">
        <x:v>Guidance timestamp is at the regular-market close; reaction = next close / event-date close − 1.</x:v>
      </x:c>
      <x:c r="O5" s="24" t="str">
        <x:f>IF('Guidance Events'!I5="","",'Guidance Events'!I5)</x:f>
      </x:c>
      <x:c r="P5" s="24" t="str">
        <x:f>IF('Guidance Events'!K5="","",'Guidance Events'!K5)</x:f>
      </x:c>
      <x:c r="Q5" s="25" t="str">
        <x:f>IF('Guidance Events'!L5="","",'Guidance Events'!L5)</x:f>
      </x:c>
      <x:c r="R5" s="18" t="str">
        <x:f>IF(O5="","Qualitative guidance",IF(P5="","No numeric prior-Q baseline",IF(P5=0,"Neutral",IF(OR(AND(P5&gt;0,K5&gt;0),AND(P5&lt;0,K5&lt;0)),"Aligned","Diverged"))))</x:f>
        <x:v>Qualitative guidance</x:v>
      </x:c>
      <x:c r="S5" s="11" t="str">
        <x:v>No</x:v>
      </x:c>
      <x:c r="T5" s="19" t="str">
        <x:v>No approved edge observation was historically available; reaction is descriptive only.</x:v>
      </x:c>
    </x:row>
    <x:row r="6">
      <x:c r="A6" s="11" t="str">
        <x:v>ABNB-2021Q3-GUIDE</x:v>
      </x:c>
      <x:c r="B6" s="11" t="str">
        <x:v>2021Q3</x:v>
      </x:c>
      <x:c r="C6" s="14" t="n">
        <x:v>44504</x:v>
      </x:c>
      <x:c r="D6" s="14" t="n">
        <x:v>44505</x:v>
      </x:c>
      <x:c r="E6" s="22" t="n">
        <x:f>IFERROR(VLOOKUP(C6,'Price History'!$A$3:$E$1404,2,FALSE),"")</x:f>
        <x:v>178.45</x:v>
      </x:c>
      <x:c r="F6" s="22" t="n">
        <x:f>IFERROR(VLOOKUP(D6,'Price History'!$A$3:$E$1404,2,FALSE),"")</x:f>
        <x:v>201.62</x:v>
      </x:c>
      <x:c r="G6" s="23" t="n">
        <x:f>IF(OR(E6="",F6=""),"",F6/E6-1)</x:f>
        <x:v>0.1298402913981509</x:v>
      </x:c>
      <x:c r="H6" s="22" t="n">
        <x:f>IFERROR(VLOOKUP(C6,'Price History'!$A$3:$E$1404,3,FALSE),"")</x:f>
        <x:v>466.91</x:v>
      </x:c>
      <x:c r="I6" s="22" t="n">
        <x:f>IFERROR(VLOOKUP(D6,'Price History'!$A$3:$E$1404,3,FALSE),"")</x:f>
        <x:v>468.53</x:v>
      </x:c>
      <x:c r="J6" s="23" t="n">
        <x:f>IF(OR(H6="",I6=""),"",I6/H6-1)</x:f>
        <x:v>0.0034696194127346036</x:v>
      </x:c>
      <x:c r="K6" s="23" t="n">
        <x:f>IF(OR(G6="",J6=""),"",G6-J6)</x:f>
        <x:v>0.1263706719854163</x:v>
      </x:c>
      <x:c r="L6" s="12" t="str">
        <x:f>IF(G6="","",IF(G6&gt;0,"Up",IF(G6&lt;0,"Down","Flat")))</x:f>
        <x:v>Up</x:v>
      </x:c>
      <x:c r="M6" s="12" t="str">
        <x:f>IF(K6="","",IF(K6&gt;0,"Up",IF(K6&lt;0,"Down","Flat")))</x:f>
        <x:v>Up</x:v>
      </x:c>
      <x:c r="N6" s="19" t="str">
        <x:v>Guidance timestamp is at the regular-market close; reaction = next close / event-date close − 1.</x:v>
      </x:c>
      <x:c r="O6" s="24" t="n">
        <x:f>IF('Guidance Events'!I6="","",'Guidance Events'!I6)</x:f>
        <x:v>1435</x:v>
      </x:c>
      <x:c r="P6" s="24" t="str">
        <x:f>IF('Guidance Events'!K6="","",'Guidance Events'!K6)</x:f>
      </x:c>
      <x:c r="Q6" s="25" t="str">
        <x:f>IF('Guidance Events'!L6="","",'Guidance Events'!L6)</x:f>
      </x:c>
      <x:c r="R6" s="18" t="str">
        <x:f>IF(O6="","Qualitative guidance",IF(P6="","No numeric prior-Q baseline",IF(P6=0,"Neutral",IF(OR(AND(P6&gt;0,K6&gt;0),AND(P6&lt;0,K6&lt;0)),"Aligned","Diverged"))))</x:f>
        <x:v>No numeric prior-Q baseline</x:v>
      </x:c>
      <x:c r="S6" s="11" t="str">
        <x:v>No</x:v>
      </x:c>
      <x:c r="T6" s="19" t="str">
        <x:v>No approved edge observation was historically available; reaction is descriptive only.</x:v>
      </x:c>
    </x:row>
    <x:row r="7">
      <x:c r="A7" s="11" t="str">
        <x:v>ABNB-2021Q4-GUIDE</x:v>
      </x:c>
      <x:c r="B7" s="11" t="str">
        <x:v>2021Q4</x:v>
      </x:c>
      <x:c r="C7" s="14" t="n">
        <x:v>44607</x:v>
      </x:c>
      <x:c r="D7" s="14" t="n">
        <x:v>44608</x:v>
      </x:c>
      <x:c r="E7" s="22" t="n">
        <x:f>IFERROR(VLOOKUP(C7,'Price History'!$A$3:$E$1404,2,FALSE),"")</x:f>
        <x:v>180.07</x:v>
      </x:c>
      <x:c r="F7" s="22" t="n">
        <x:f>IFERROR(VLOOKUP(D7,'Price History'!$A$3:$E$1404,2,FALSE),"")</x:f>
        <x:v>186.64</x:v>
      </x:c>
      <x:c r="G7" s="23" t="n">
        <x:f>IF(OR(E7="",F7=""),"",F7/E7-1)</x:f>
        <x:v>0.036485811073471375</x:v>
      </x:c>
      <x:c r="H7" s="22" t="n">
        <x:f>IFERROR(VLOOKUP(C7,'Price History'!$A$3:$E$1404,3,FALSE),"")</x:f>
        <x:v>446.1</x:v>
      </x:c>
      <x:c r="I7" s="22" t="n">
        <x:f>IFERROR(VLOOKUP(D7,'Price History'!$A$3:$E$1404,3,FALSE),"")</x:f>
        <x:v>446.6</x:v>
      </x:c>
      <x:c r="J7" s="23" t="n">
        <x:f>IF(OR(H7="",I7=""),"",I7/H7-1)</x:f>
        <x:v>0.00112082492714638</x:v>
      </x:c>
      <x:c r="K7" s="23" t="n">
        <x:f>IF(OR(G7="",J7=""),"",G7-J7)</x:f>
        <x:v>0.035364986146324995</x:v>
      </x:c>
      <x:c r="L7" s="12" t="str">
        <x:f>IF(G7="","",IF(G7&gt;0,"Up",IF(G7&lt;0,"Down","Flat")))</x:f>
        <x:v>Up</x:v>
      </x:c>
      <x:c r="M7" s="12" t="str">
        <x:f>IF(K7="","",IF(K7&gt;0,"Up",IF(K7&lt;0,"Down","Flat")))</x:f>
        <x:v>Up</x:v>
      </x:c>
      <x:c r="N7" s="19" t="str">
        <x:v>Guidance timestamp is at the regular-market close; reaction = next close / event-date close − 1.</x:v>
      </x:c>
      <x:c r="O7" s="24" t="n">
        <x:f>IF('Guidance Events'!I7="","",'Guidance Events'!I7)</x:f>
        <x:v>1445</x:v>
      </x:c>
      <x:c r="P7" s="24" t="n">
        <x:f>IF('Guidance Events'!K7="","",'Guidance Events'!K7)</x:f>
        <x:v>10</x:v>
      </x:c>
      <x:c r="Q7" s="25" t="n">
        <x:f>IF('Guidance Events'!L7="","",'Guidance Events'!L7)</x:f>
        <x:v>0.006968641114982521</x:v>
      </x:c>
      <x:c r="R7" s="18" t="str">
        <x:f>IF(O7="","Qualitative guidance",IF(P7="","No numeric prior-Q baseline",IF(P7=0,"Neutral",IF(OR(AND(P7&gt;0,K7&gt;0),AND(P7&lt;0,K7&lt;0)),"Aligned","Diverged"))))</x:f>
        <x:v>Aligned</x:v>
      </x:c>
      <x:c r="S7" s="11" t="str">
        <x:v>No</x:v>
      </x:c>
      <x:c r="T7" s="19" t="str">
        <x:v>No approved edge observation was historically available; reaction is descriptive only.</x:v>
      </x:c>
    </x:row>
    <x:row r="8">
      <x:c r="A8" s="11" t="str">
        <x:v>ABNB-2022Q1-GUIDE</x:v>
      </x:c>
      <x:c r="B8" s="11" t="str">
        <x:v>2022Q1</x:v>
      </x:c>
      <x:c r="C8" s="14" t="n">
        <x:v>44684</x:v>
      </x:c>
      <x:c r="D8" s="14" t="n">
        <x:v>44685</x:v>
      </x:c>
      <x:c r="E8" s="22" t="n">
        <x:f>IFERROR(VLOOKUP(C8,'Price History'!$A$3:$E$1404,2,FALSE),"")</x:f>
        <x:v>145</x:v>
      </x:c>
      <x:c r="F8" s="22" t="n">
        <x:f>IFERROR(VLOOKUP(D8,'Price History'!$A$3:$E$1404,2,FALSE),"")</x:f>
        <x:v>156.18</x:v>
      </x:c>
      <x:c r="G8" s="23" t="n">
        <x:f>IF(OR(E8="",F8=""),"",F8/E8-1)</x:f>
        <x:v>0.07710344827586213</x:v>
      </x:c>
      <x:c r="H8" s="22" t="n">
        <x:f>IFERROR(VLOOKUP(C8,'Price History'!$A$3:$E$1404,3,FALSE),"")</x:f>
        <x:v>416.38</x:v>
      </x:c>
      <x:c r="I8" s="22" t="n">
        <x:f>IFERROR(VLOOKUP(D8,'Price History'!$A$3:$E$1404,3,FALSE),"")</x:f>
        <x:v>429.06</x:v>
      </x:c>
      <x:c r="J8" s="23" t="n">
        <x:f>IF(OR(H8="",I8=""),"",I8/H8-1)</x:f>
        <x:v>0.030452951630721925</x:v>
      </x:c>
      <x:c r="K8" s="23" t="n">
        <x:f>IF(OR(G8="",J8=""),"",G8-J8)</x:f>
        <x:v>0.046650496645140205</x:v>
      </x:c>
      <x:c r="L8" s="12" t="str">
        <x:f>IF(G8="","",IF(G8&gt;0,"Up",IF(G8&lt;0,"Down","Flat")))</x:f>
        <x:v>Up</x:v>
      </x:c>
      <x:c r="M8" s="12" t="str">
        <x:f>IF(K8="","",IF(K8&gt;0,"Up",IF(K8&lt;0,"Down","Flat")))</x:f>
        <x:v>Up</x:v>
      </x:c>
      <x:c r="N8" s="19" t="str">
        <x:v>Guidance timestamp is at the regular-market close; reaction = next close / event-date close − 1.</x:v>
      </x:c>
      <x:c r="O8" s="24" t="n">
        <x:f>IF('Guidance Events'!I8="","",'Guidance Events'!I8)</x:f>
        <x:v>2080</x:v>
      </x:c>
      <x:c r="P8" s="24" t="n">
        <x:f>IF('Guidance Events'!K8="","",'Guidance Events'!K8)</x:f>
        <x:v>635</x:v>
      </x:c>
      <x:c r="Q8" s="25" t="n">
        <x:f>IF('Guidance Events'!L8="","",'Guidance Events'!L8)</x:f>
        <x:v>0.439446366782007</x:v>
      </x:c>
      <x:c r="R8" s="18" t="str">
        <x:f>IF(O8="","Qualitative guidance",IF(P8="","No numeric prior-Q baseline",IF(P8=0,"Neutral",IF(OR(AND(P8&gt;0,K8&gt;0),AND(P8&lt;0,K8&lt;0)),"Aligned","Diverged"))))</x:f>
        <x:v>Aligned</x:v>
      </x:c>
      <x:c r="S8" s="11" t="str">
        <x:v>No</x:v>
      </x:c>
      <x:c r="T8" s="19" t="str">
        <x:v>No approved edge observation was historically available; reaction is descriptive only.</x:v>
      </x:c>
    </x:row>
    <x:row r="9">
      <x:c r="A9" s="11" t="str">
        <x:v>ABNB-2022Q2-GUIDE</x:v>
      </x:c>
      <x:c r="B9" s="11" t="str">
        <x:v>2022Q2</x:v>
      </x:c>
      <x:c r="C9" s="14" t="n">
        <x:v>44775</x:v>
      </x:c>
      <x:c r="D9" s="14" t="n">
        <x:v>44776</x:v>
      </x:c>
      <x:c r="E9" s="22" t="n">
        <x:f>IFERROR(VLOOKUP(C9,'Price History'!$A$3:$E$1404,2,FALSE),"")</x:f>
        <x:v>116.34</x:v>
      </x:c>
      <x:c r="F9" s="22" t="n">
        <x:f>IFERROR(VLOOKUP(D9,'Price History'!$A$3:$E$1404,2,FALSE),"")</x:f>
        <x:v>115.02</x:v>
      </x:c>
      <x:c r="G9" s="23" t="n">
        <x:f>IF(OR(E9="",F9=""),"",F9/E9-1)</x:f>
        <x:v>-0.011346054667354388</x:v>
      </x:c>
      <x:c r="H9" s="22" t="n">
        <x:f>IFERROR(VLOOKUP(C9,'Price History'!$A$3:$E$1404,3,FALSE),"")</x:f>
        <x:v>408.06</x:v>
      </x:c>
      <x:c r="I9" s="22" t="n">
        <x:f>IFERROR(VLOOKUP(D9,'Price History'!$A$3:$E$1404,3,FALSE),"")</x:f>
        <x:v>414.45</x:v>
      </x:c>
      <x:c r="J9" s="23" t="n">
        <x:f>IF(OR(H9="",I9=""),"",I9/H9-1)</x:f>
        <x:v>0.015659461843846367</x:v>
      </x:c>
      <x:c r="K9" s="23" t="n">
        <x:f>IF(OR(G9="",J9=""),"",G9-J9)</x:f>
        <x:v>-0.027005516511200756</x:v>
      </x:c>
      <x:c r="L9" s="12" t="str">
        <x:f>IF(G9="","",IF(G9&gt;0,"Up",IF(G9&lt;0,"Down","Flat")))</x:f>
        <x:v>Down</x:v>
      </x:c>
      <x:c r="M9" s="12" t="str">
        <x:f>IF(K9="","",IF(K9&gt;0,"Up",IF(K9&lt;0,"Down","Flat")))</x:f>
        <x:v>Down</x:v>
      </x:c>
      <x:c r="N9" s="19" t="str">
        <x:v>Guidance timestamp is at the regular-market close; reaction = next close / event-date close − 1.</x:v>
      </x:c>
      <x:c r="O9" s="24" t="n">
        <x:f>IF('Guidance Events'!I9="","",'Guidance Events'!I9)</x:f>
        <x:v>2830</x:v>
      </x:c>
      <x:c r="P9" s="24" t="n">
        <x:f>IF('Guidance Events'!K9="","",'Guidance Events'!K9)</x:f>
        <x:v>750</x:v>
      </x:c>
      <x:c r="Q9" s="25" t="n">
        <x:f>IF('Guidance Events'!L9="","",'Guidance Events'!L9)</x:f>
        <x:v>0.36057692307692313</x:v>
      </x:c>
      <x:c r="R9" s="18" t="str">
        <x:f>IF(O9="","Qualitative guidance",IF(P9="","No numeric prior-Q baseline",IF(P9=0,"Neutral",IF(OR(AND(P9&gt;0,K9&gt;0),AND(P9&lt;0,K9&lt;0)),"Aligned","Diverged"))))</x:f>
        <x:v>Diverged</x:v>
      </x:c>
      <x:c r="S9" s="11" t="str">
        <x:v>No</x:v>
      </x:c>
      <x:c r="T9" s="19" t="str">
        <x:v>No approved edge observation was historically available; reaction is descriptive only.</x:v>
      </x:c>
    </x:row>
    <x:row r="10">
      <x:c r="A10" s="11" t="str">
        <x:v>ABNB-2022Q3-GUIDE</x:v>
      </x:c>
      <x:c r="B10" s="11" t="str">
        <x:v>2022Q3</x:v>
      </x:c>
      <x:c r="C10" s="14" t="n">
        <x:v>44866</x:v>
      </x:c>
      <x:c r="D10" s="14" t="n">
        <x:v>44867</x:v>
      </x:c>
      <x:c r="E10" s="22" t="n">
        <x:f>IFERROR(VLOOKUP(C10,'Price History'!$A$3:$E$1404,2,FALSE),"")</x:f>
        <x:v>109.05</x:v>
      </x:c>
      <x:c r="F10" s="22" t="n">
        <x:f>IFERROR(VLOOKUP(D10,'Price History'!$A$3:$E$1404,2,FALSE),"")</x:f>
        <x:v>94.41</x:v>
      </x:c>
      <x:c r="G10" s="23" t="n">
        <x:f>IF(OR(E10="",F10=""),"",F10/E10-1)</x:f>
        <x:v>-0.13425034387895463</x:v>
      </x:c>
      <x:c r="H10" s="22" t="n">
        <x:f>IFERROR(VLOOKUP(C10,'Price History'!$A$3:$E$1404,3,FALSE),"")</x:f>
        <x:v>384.52</x:v>
      </x:c>
      <x:c r="I10" s="22" t="n">
        <x:f>IFERROR(VLOOKUP(D10,'Price History'!$A$3:$E$1404,3,FALSE),"")</x:f>
        <x:v>374.87</x:v>
      </x:c>
      <x:c r="J10" s="23" t="n">
        <x:f>IF(OR(H10="",I10=""),"",I10/H10-1)</x:f>
        <x:v>-0.025096223863518063</x:v>
      </x:c>
      <x:c r="K10" s="23" t="n">
        <x:f>IF(OR(G10="",J10=""),"",G10-J10)</x:f>
        <x:v>-0.10915412001543656</x:v>
      </x:c>
      <x:c r="L10" s="12" t="str">
        <x:f>IF(G10="","",IF(G10&gt;0,"Up",IF(G10&lt;0,"Down","Flat")))</x:f>
        <x:v>Down</x:v>
      </x:c>
      <x:c r="M10" s="12" t="str">
        <x:f>IF(K10="","",IF(K10&gt;0,"Up",IF(K10&lt;0,"Down","Flat")))</x:f>
        <x:v>Down</x:v>
      </x:c>
      <x:c r="N10" s="19" t="str">
        <x:v>Guidance timestamp is at the regular-market close; reaction = next close / event-date close − 1.</x:v>
      </x:c>
      <x:c r="O10" s="24" t="n">
        <x:f>IF('Guidance Events'!I10="","",'Guidance Events'!I10)</x:f>
        <x:v>1840</x:v>
      </x:c>
      <x:c r="P10" s="24" t="n">
        <x:f>IF('Guidance Events'!K10="","",'Guidance Events'!K10)</x:f>
        <x:v>-990</x:v>
      </x:c>
      <x:c r="Q10" s="25" t="n">
        <x:f>IF('Guidance Events'!L10="","",'Guidance Events'!L10)</x:f>
        <x:v>-0.34982332155477036</x:v>
      </x:c>
      <x:c r="R10" s="18" t="str">
        <x:f>IF(O10="","Qualitative guidance",IF(P10="","No numeric prior-Q baseline",IF(P10=0,"Neutral",IF(OR(AND(P10&gt;0,K10&gt;0),AND(P10&lt;0,K10&lt;0)),"Aligned","Diverged"))))</x:f>
        <x:v>Aligned</x:v>
      </x:c>
      <x:c r="S10" s="11" t="str">
        <x:v>No</x:v>
      </x:c>
      <x:c r="T10" s="19" t="str">
        <x:v>No approved edge observation was historically available; reaction is descriptive only.</x:v>
      </x:c>
    </x:row>
    <x:row r="11">
      <x:c r="A11" s="11" t="str">
        <x:v>ABNB-2022Q4-GUIDE</x:v>
      </x:c>
      <x:c r="B11" s="11" t="str">
        <x:v>2022Q4</x:v>
      </x:c>
      <x:c r="C11" s="14" t="n">
        <x:v>44971</x:v>
      </x:c>
      <x:c r="D11" s="14" t="n">
        <x:v>44972</x:v>
      </x:c>
      <x:c r="E11" s="22" t="n">
        <x:f>IFERROR(VLOOKUP(C11,'Price History'!$A$3:$E$1404,2,FALSE),"")</x:f>
        <x:v>120.87</x:v>
      </x:c>
      <x:c r="F11" s="22" t="n">
        <x:f>IFERROR(VLOOKUP(D11,'Price History'!$A$3:$E$1404,2,FALSE),"")</x:f>
        <x:v>137.01</x:v>
      </x:c>
      <x:c r="G11" s="23" t="n">
        <x:f>IF(OR(E11="",F11=""),"",F11/E11-1)</x:f>
        <x:v>0.13353189377016617</x:v>
      </x:c>
      <x:c r="H11" s="22" t="n">
        <x:f>IFERROR(VLOOKUP(C11,'Price History'!$A$3:$E$1404,3,FALSE),"")</x:f>
        <x:v>412.64</x:v>
      </x:c>
      <x:c r="I11" s="22" t="n">
        <x:f>IFERROR(VLOOKUP(D11,'Price History'!$A$3:$E$1404,3,FALSE),"")</x:f>
        <x:v>413.98</x:v>
      </x:c>
      <x:c r="J11" s="23" t="n">
        <x:f>IF(OR(H11="",I11=""),"",I11/H11-1)</x:f>
        <x:v>0.003247382706475399</x:v>
      </x:c>
      <x:c r="K11" s="23" t="n">
        <x:f>IF(OR(G11="",J11=""),"",G11-J11)</x:f>
        <x:v>0.13028451106369077</x:v>
      </x:c>
      <x:c r="L11" s="12" t="str">
        <x:f>IF(G11="","",IF(G11&gt;0,"Up",IF(G11&lt;0,"Down","Flat")))</x:f>
        <x:v>Up</x:v>
      </x:c>
      <x:c r="M11" s="12" t="str">
        <x:f>IF(K11="","",IF(K11&gt;0,"Up",IF(K11&lt;0,"Down","Flat")))</x:f>
        <x:v>Up</x:v>
      </x:c>
      <x:c r="N11" s="19" t="str">
        <x:v>Guidance timestamp is at the regular-market close; reaction = next close / event-date close − 1.</x:v>
      </x:c>
      <x:c r="O11" s="24" t="n">
        <x:f>IF('Guidance Events'!I11="","",'Guidance Events'!I11)</x:f>
        <x:v>1785</x:v>
      </x:c>
      <x:c r="P11" s="24" t="n">
        <x:f>IF('Guidance Events'!K11="","",'Guidance Events'!K11)</x:f>
        <x:v>-55</x:v>
      </x:c>
      <x:c r="Q11" s="25" t="n">
        <x:f>IF('Guidance Events'!L11="","",'Guidance Events'!L11)</x:f>
        <x:v>-0.029891304347826053</x:v>
      </x:c>
      <x:c r="R11" s="18" t="str">
        <x:f>IF(O11="","Qualitative guidance",IF(P11="","No numeric prior-Q baseline",IF(P11=0,"Neutral",IF(OR(AND(P11&gt;0,K11&gt;0),AND(P11&lt;0,K11&lt;0)),"Aligned","Diverged"))))</x:f>
        <x:v>Diverged</x:v>
      </x:c>
      <x:c r="S11" s="11" t="str">
        <x:v>No</x:v>
      </x:c>
      <x:c r="T11" s="19" t="str">
        <x:v>No approved edge observation was historically available; reaction is descriptive only.</x:v>
      </x:c>
    </x:row>
    <x:row r="12">
      <x:c r="A12" s="11" t="str">
        <x:v>ABNB-2023Q1-GUIDE</x:v>
      </x:c>
      <x:c r="B12" s="11" t="str">
        <x:v>2023Q1</x:v>
      </x:c>
      <x:c r="C12" s="14" t="n">
        <x:v>45055</x:v>
      </x:c>
      <x:c r="D12" s="14" t="n">
        <x:v>45056</x:v>
      </x:c>
      <x:c r="E12" s="22" t="n">
        <x:f>IFERROR(VLOOKUP(C12,'Price History'!$A$3:$E$1404,2,FALSE),"")</x:f>
        <x:v>127.07</x:v>
      </x:c>
      <x:c r="F12" s="22" t="n">
        <x:f>IFERROR(VLOOKUP(D12,'Price History'!$A$3:$E$1404,2,FALSE),"")</x:f>
        <x:v>113.19</x:v>
      </x:c>
      <x:c r="G12" s="23" t="n">
        <x:f>IF(OR(E12="",F12=""),"",F12/E12-1)</x:f>
        <x:v>-0.10923113244668292</x:v>
      </x:c>
      <x:c r="H12" s="22" t="n">
        <x:f>IFERROR(VLOOKUP(C12,'Price History'!$A$3:$E$1404,3,FALSE),"")</x:f>
        <x:v>410.93</x:v>
      </x:c>
      <x:c r="I12" s="22" t="n">
        <x:f>IFERROR(VLOOKUP(D12,'Price History'!$A$3:$E$1404,3,FALSE),"")</x:f>
        <x:v>412.85</x:v>
      </x:c>
      <x:c r="J12" s="23" t="n">
        <x:f>IF(OR(H12="",I12=""),"",I12/H12-1)</x:f>
        <x:v>0.00467232862044642</x:v>
      </x:c>
      <x:c r="K12" s="23" t="n">
        <x:f>IF(OR(G12="",J12=""),"",G12-J12)</x:f>
        <x:v>-0.11390346106712934</x:v>
      </x:c>
      <x:c r="L12" s="12" t="str">
        <x:f>IF(G12="","",IF(G12&gt;0,"Up",IF(G12&lt;0,"Down","Flat")))</x:f>
        <x:v>Down</x:v>
      </x:c>
      <x:c r="M12" s="12" t="str">
        <x:f>IF(K12="","",IF(K12&gt;0,"Up",IF(K12&lt;0,"Down","Flat")))</x:f>
        <x:v>Down</x:v>
      </x:c>
      <x:c r="N12" s="19" t="str">
        <x:v>Guidance timestamp is at the regular-market close; reaction = next close / event-date close − 1.</x:v>
      </x:c>
      <x:c r="O12" s="24" t="n">
        <x:f>IF('Guidance Events'!I12="","",'Guidance Events'!I12)</x:f>
        <x:v>2400</x:v>
      </x:c>
      <x:c r="P12" s="24" t="n">
        <x:f>IF('Guidance Events'!K12="","",'Guidance Events'!K12)</x:f>
        <x:v>615</x:v>
      </x:c>
      <x:c r="Q12" s="25" t="n">
        <x:f>IF('Guidance Events'!L12="","",'Guidance Events'!L12)</x:f>
        <x:v>0.34453781512605053</x:v>
      </x:c>
      <x:c r="R12" s="18" t="str">
        <x:f>IF(O12="","Qualitative guidance",IF(P12="","No numeric prior-Q baseline",IF(P12=0,"Neutral",IF(OR(AND(P12&gt;0,K12&gt;0),AND(P12&lt;0,K12&lt;0)),"Aligned","Diverged"))))</x:f>
        <x:v>Diverged</x:v>
      </x:c>
      <x:c r="S12" s="11" t="str">
        <x:v>No</x:v>
      </x:c>
      <x:c r="T12" s="19" t="str">
        <x:v>No approved edge observation was historically available; reaction is descriptive only.</x:v>
      </x:c>
    </x:row>
    <x:row r="13">
      <x:c r="A13" s="11" t="str">
        <x:v>ABNB-2023Q2-GUIDE</x:v>
      </x:c>
      <x:c r="B13" s="11" t="str">
        <x:v>2023Q2</x:v>
      </x:c>
      <x:c r="C13" s="14" t="n">
        <x:v>45141</x:v>
      </x:c>
      <x:c r="D13" s="14" t="n">
        <x:v>45142</x:v>
      </x:c>
      <x:c r="E13" s="22" t="n">
        <x:f>IFERROR(VLOOKUP(C13,'Price History'!$A$3:$E$1404,2,FALSE),"")</x:f>
        <x:v>140.88</x:v>
      </x:c>
      <x:c r="F13" s="22" t="n">
        <x:f>IFERROR(VLOOKUP(D13,'Price History'!$A$3:$E$1404,2,FALSE),"")</x:f>
        <x:v>140.17</x:v>
      </x:c>
      <x:c r="G13" s="23" t="n">
        <x:f>IF(OR(E13="",F13=""),"",F13/E13-1)</x:f>
        <x:v>-0.005039750141964894</x:v>
      </x:c>
      <x:c r="H13" s="22" t="n">
        <x:f>IFERROR(VLOOKUP(C13,'Price History'!$A$3:$E$1404,3,FALSE),"")</x:f>
        <x:v>448.84</x:v>
      </x:c>
      <x:c r="I13" s="22" t="n">
        <x:f>IFERROR(VLOOKUP(D13,'Price History'!$A$3:$E$1404,3,FALSE),"")</x:f>
        <x:v>446.81</x:v>
      </x:c>
      <x:c r="J13" s="23" t="n">
        <x:f>IF(OR(H13="",I13=""),"",I13/H13-1)</x:f>
        <x:v>-0.004522769806612592</x:v>
      </x:c>
      <x:c r="K13" s="23" t="n">
        <x:f>IF(OR(G13="",J13=""),"",G13-J13)</x:f>
        <x:v>-0.0005169803353523017</x:v>
      </x:c>
      <x:c r="L13" s="12" t="str">
        <x:f>IF(G13="","",IF(G13&gt;0,"Up",IF(G13&lt;0,"Down","Flat")))</x:f>
        <x:v>Down</x:v>
      </x:c>
      <x:c r="M13" s="12" t="str">
        <x:f>IF(K13="","",IF(K13&gt;0,"Up",IF(K13&lt;0,"Down","Flat")))</x:f>
        <x:v>Down</x:v>
      </x:c>
      <x:c r="N13" s="19" t="str">
        <x:v>Guidance timestamp is at the regular-market close; reaction = next close / event-date close − 1.</x:v>
      </x:c>
      <x:c r="O13" s="24" t="n">
        <x:f>IF('Guidance Events'!I13="","",'Guidance Events'!I13)</x:f>
        <x:v>3350</x:v>
      </x:c>
      <x:c r="P13" s="24" t="n">
        <x:f>IF('Guidance Events'!K13="","",'Guidance Events'!K13)</x:f>
        <x:v>950</x:v>
      </x:c>
      <x:c r="Q13" s="25" t="n">
        <x:f>IF('Guidance Events'!L13="","",'Guidance Events'!L13)</x:f>
        <x:v>0.39583333333333326</x:v>
      </x:c>
      <x:c r="R13" s="18" t="str">
        <x:f>IF(O13="","Qualitative guidance",IF(P13="","No numeric prior-Q baseline",IF(P13=0,"Neutral",IF(OR(AND(P13&gt;0,K13&gt;0),AND(P13&lt;0,K13&lt;0)),"Aligned","Diverged"))))</x:f>
        <x:v>Diverged</x:v>
      </x:c>
      <x:c r="S13" s="11" t="str">
        <x:v>No</x:v>
      </x:c>
      <x:c r="T13" s="19" t="str">
        <x:v>No approved edge observation was historically available; reaction is descriptive only.</x:v>
      </x:c>
    </x:row>
    <x:row r="14">
      <x:c r="A14" s="11" t="str">
        <x:v>ABNB-2023Q3-GUIDE</x:v>
      </x:c>
      <x:c r="B14" s="11" t="str">
        <x:v>2023Q3</x:v>
      </x:c>
      <x:c r="C14" s="14" t="n">
        <x:v>45231</x:v>
      </x:c>
      <x:c r="D14" s="14" t="n">
        <x:v>45232</x:v>
      </x:c>
      <x:c r="E14" s="22" t="n">
        <x:f>IFERROR(VLOOKUP(C14,'Price History'!$A$3:$E$1404,2,FALSE),"")</x:f>
        <x:v>119.47</x:v>
      </x:c>
      <x:c r="F14" s="22" t="n">
        <x:f>IFERROR(VLOOKUP(D14,'Price History'!$A$3:$E$1404,2,FALSE),"")</x:f>
        <x:v>115.5</x:v>
      </x:c>
      <x:c r="G14" s="23" t="n">
        <x:f>IF(OR(E14="",F14=""),"",F14/E14-1)</x:f>
        <x:v>-0.03323009960659584</x:v>
      </x:c>
      <x:c r="H14" s="22" t="n">
        <x:f>IFERROR(VLOOKUP(C14,'Price History'!$A$3:$E$1404,3,FALSE),"")</x:f>
        <x:v>422.66</x:v>
      </x:c>
      <x:c r="I14" s="22" t="n">
        <x:f>IFERROR(VLOOKUP(D14,'Price History'!$A$3:$E$1404,3,FALSE),"")</x:f>
        <x:v>430.76</x:v>
      </x:c>
      <x:c r="J14" s="23" t="n">
        <x:f>IF(OR(H14="",I14=""),"",I14/H14-1)</x:f>
        <x:v>0.019164340131547775</x:v>
      </x:c>
      <x:c r="K14" s="23" t="n">
        <x:f>IF(OR(G14="",J14=""),"",G14-J14)</x:f>
        <x:v>-0.05239443973814362</x:v>
      </x:c>
      <x:c r="L14" s="12" t="str">
        <x:f>IF(G14="","",IF(G14&gt;0,"Up",IF(G14&lt;0,"Down","Flat")))</x:f>
        <x:v>Down</x:v>
      </x:c>
      <x:c r="M14" s="12" t="str">
        <x:f>IF(K14="","",IF(K14&gt;0,"Up",IF(K14&lt;0,"Down","Flat")))</x:f>
        <x:v>Down</x:v>
      </x:c>
      <x:c r="N14" s="19" t="str">
        <x:v>Guidance timestamp is at the regular-market close; reaction = next close / event-date close − 1.</x:v>
      </x:c>
      <x:c r="O14" s="24" t="n">
        <x:f>IF('Guidance Events'!I14="","",'Guidance Events'!I14)</x:f>
        <x:v>2150</x:v>
      </x:c>
      <x:c r="P14" s="24" t="n">
        <x:f>IF('Guidance Events'!K14="","",'Guidance Events'!K14)</x:f>
        <x:v>-1200</x:v>
      </x:c>
      <x:c r="Q14" s="25" t="n">
        <x:f>IF('Guidance Events'!L14="","",'Guidance Events'!L14)</x:f>
        <x:v>-0.35820895522388063</x:v>
      </x:c>
      <x:c r="R14" s="18" t="str">
        <x:f>IF(O14="","Qualitative guidance",IF(P14="","No numeric prior-Q baseline",IF(P14=0,"Neutral",IF(OR(AND(P14&gt;0,K14&gt;0),AND(P14&lt;0,K14&lt;0)),"Aligned","Diverged"))))</x:f>
        <x:v>Aligned</x:v>
      </x:c>
      <x:c r="S14" s="11" t="str">
        <x:v>No</x:v>
      </x:c>
      <x:c r="T14" s="19" t="str">
        <x:v>No approved edge observation was historically available; reaction is descriptive only.</x:v>
      </x:c>
    </x:row>
    <x:row r="15">
      <x:c r="A15" s="11" t="str">
        <x:v>ABNB-2023Q4-GUIDE</x:v>
      </x:c>
      <x:c r="B15" s="11" t="str">
        <x:v>2023Q4</x:v>
      </x:c>
      <x:c r="C15" s="14" t="n">
        <x:v>45335</x:v>
      </x:c>
      <x:c r="D15" s="14" t="n">
        <x:v>45336</x:v>
      </x:c>
      <x:c r="E15" s="22" t="n">
        <x:f>IFERROR(VLOOKUP(C15,'Price History'!$A$3:$E$1404,2,FALSE),"")</x:f>
        <x:v>150.82</x:v>
      </x:c>
      <x:c r="F15" s="22" t="n">
        <x:f>IFERROR(VLOOKUP(D15,'Price History'!$A$3:$E$1404,2,FALSE),"")</x:f>
        <x:v>148.2</x:v>
      </x:c>
      <x:c r="G15" s="23" t="n">
        <x:f>IF(OR(E15="",F15=""),"",F15/E15-1)</x:f>
        <x:v>-0.017371701365866632</x:v>
      </x:c>
      <x:c r="H15" s="22" t="n">
        <x:f>IFERROR(VLOOKUP(C15,'Price History'!$A$3:$E$1404,3,FALSE),"")</x:f>
        <x:v>494.08</x:v>
      </x:c>
      <x:c r="I15" s="22" t="n">
        <x:f>IFERROR(VLOOKUP(D15,'Price History'!$A$3:$E$1404,3,FALSE),"")</x:f>
        <x:v>498.57</x:v>
      </x:c>
      <x:c r="J15" s="23" t="n">
        <x:f>IF(OR(H15="",I15=""),"",I15/H15-1)</x:f>
        <x:v>0.009087597150259086</x:v>
      </x:c>
      <x:c r="K15" s="23" t="n">
        <x:f>IF(OR(G15="",J15=""),"",G15-J15)</x:f>
        <x:v>-0.026459298516125718</x:v>
      </x:c>
      <x:c r="L15" s="12" t="str">
        <x:f>IF(G15="","",IF(G15&gt;0,"Up",IF(G15&lt;0,"Down","Flat")))</x:f>
        <x:v>Down</x:v>
      </x:c>
      <x:c r="M15" s="12" t="str">
        <x:f>IF(K15="","",IF(K15&gt;0,"Up",IF(K15&lt;0,"Down","Flat")))</x:f>
        <x:v>Down</x:v>
      </x:c>
      <x:c r="N15" s="19" t="str">
        <x:v>Guidance timestamp is at the regular-market close; reaction = next close / event-date close − 1.</x:v>
      </x:c>
      <x:c r="O15" s="24" t="n">
        <x:f>IF('Guidance Events'!I15="","",'Guidance Events'!I15)</x:f>
        <x:v>2050</x:v>
      </x:c>
      <x:c r="P15" s="24" t="n">
        <x:f>IF('Guidance Events'!K15="","",'Guidance Events'!K15)</x:f>
        <x:v>-100</x:v>
      </x:c>
      <x:c r="Q15" s="25" t="n">
        <x:f>IF('Guidance Events'!L15="","",'Guidance Events'!L15)</x:f>
        <x:v>-0.046511627906976716</x:v>
      </x:c>
      <x:c r="R15" s="18" t="str">
        <x:f>IF(O15="","Qualitative guidance",IF(P15="","No numeric prior-Q baseline",IF(P15=0,"Neutral",IF(OR(AND(P15&gt;0,K15&gt;0),AND(P15&lt;0,K15&lt;0)),"Aligned","Diverged"))))</x:f>
        <x:v>Aligned</x:v>
      </x:c>
      <x:c r="S15" s="11" t="str">
        <x:v>No</x:v>
      </x:c>
      <x:c r="T15" s="19" t="str">
        <x:v>No approved edge observation was historically available; reaction is descriptive only.</x:v>
      </x:c>
    </x:row>
    <x:row r="16">
      <x:c r="A16" s="11" t="str">
        <x:v>ABNB-2024Q1-GUIDE</x:v>
      </x:c>
      <x:c r="B16" s="11" t="str">
        <x:v>2024Q1</x:v>
      </x:c>
      <x:c r="C16" s="14" t="n">
        <x:v>45420</x:v>
      </x:c>
      <x:c r="D16" s="14" t="n">
        <x:v>45421</x:v>
      </x:c>
      <x:c r="E16" s="22" t="n">
        <x:f>IFERROR(VLOOKUP(C16,'Price History'!$A$3:$E$1404,2,FALSE),"")</x:f>
        <x:v>157.9</x:v>
      </x:c>
      <x:c r="F16" s="22" t="n">
        <x:f>IFERROR(VLOOKUP(D16,'Price History'!$A$3:$E$1404,2,FALSE),"")</x:f>
        <x:v>147.05</x:v>
      </x:c>
      <x:c r="G16" s="23" t="n">
        <x:f>IF(OR(E16="",F16=""),"",F16/E16-1)</x:f>
        <x:v>-0.06871437618746035</x:v>
      </x:c>
      <x:c r="H16" s="22" t="n">
        <x:f>IFERROR(VLOOKUP(C16,'Price History'!$A$3:$E$1404,3,FALSE),"")</x:f>
        <x:v>517.19</x:v>
      </x:c>
      <x:c r="I16" s="22" t="n">
        <x:f>IFERROR(VLOOKUP(D16,'Price History'!$A$3:$E$1404,3,FALSE),"")</x:f>
        <x:v>520.17</x:v>
      </x:c>
      <x:c r="J16" s="23" t="n">
        <x:f>IF(OR(H16="",I16=""),"",I16/H16-1)</x:f>
        <x:v>0.005761905682631019</x:v>
      </x:c>
      <x:c r="K16" s="23" t="n">
        <x:f>IF(OR(G16="",J16=""),"",G16-J16)</x:f>
        <x:v>-0.07447628187009137</x:v>
      </x:c>
      <x:c r="L16" s="12" t="str">
        <x:f>IF(G16="","",IF(G16&gt;0,"Up",IF(G16&lt;0,"Down","Flat")))</x:f>
        <x:v>Down</x:v>
      </x:c>
      <x:c r="M16" s="12" t="str">
        <x:f>IF(K16="","",IF(K16&gt;0,"Up",IF(K16&lt;0,"Down","Flat")))</x:f>
        <x:v>Down</x:v>
      </x:c>
      <x:c r="N16" s="19" t="str">
        <x:v>Guidance timestamp is at the regular-market close; reaction = next close / event-date close − 1.</x:v>
      </x:c>
      <x:c r="O16" s="24" t="n">
        <x:f>IF('Guidance Events'!I16="","",'Guidance Events'!I16)</x:f>
        <x:v>2710</x:v>
      </x:c>
      <x:c r="P16" s="24" t="n">
        <x:f>IF('Guidance Events'!K16="","",'Guidance Events'!K16)</x:f>
        <x:v>660</x:v>
      </x:c>
      <x:c r="Q16" s="25" t="n">
        <x:f>IF('Guidance Events'!L16="","",'Guidance Events'!L16)</x:f>
        <x:v>0.3219512195121952</x:v>
      </x:c>
      <x:c r="R16" s="18" t="str">
        <x:f>IF(O16="","Qualitative guidance",IF(P16="","No numeric prior-Q baseline",IF(P16=0,"Neutral",IF(OR(AND(P16&gt;0,K16&gt;0),AND(P16&lt;0,K16&lt;0)),"Aligned","Diverged"))))</x:f>
        <x:v>Diverged</x:v>
      </x:c>
      <x:c r="S16" s="11" t="str">
        <x:v>No</x:v>
      </x:c>
      <x:c r="T16" s="19" t="str">
        <x:v>No approved edge observation was historically available; reaction is descriptive only.</x:v>
      </x:c>
    </x:row>
    <x:row r="17">
      <x:c r="A17" s="11" t="str">
        <x:v>ABNB-2024Q2-GUIDE</x:v>
      </x:c>
      <x:c r="B17" s="11" t="str">
        <x:v>2024Q2</x:v>
      </x:c>
      <x:c r="C17" s="14" t="n">
        <x:v>45510</x:v>
      </x:c>
      <x:c r="D17" s="14" t="n">
        <x:v>45511</x:v>
      </x:c>
      <x:c r="E17" s="22" t="n">
        <x:f>IFERROR(VLOOKUP(C17,'Price History'!$A$3:$E$1404,2,FALSE),"")</x:f>
        <x:v>130.47</x:v>
      </x:c>
      <x:c r="F17" s="22" t="n">
        <x:f>IFERROR(VLOOKUP(D17,'Price History'!$A$3:$E$1404,2,FALSE),"")</x:f>
        <x:v>113.01</x:v>
      </x:c>
      <x:c r="G17" s="23" t="n">
        <x:f>IF(OR(E17="",F17=""),"",F17/E17-1)</x:f>
        <x:v>-0.13382386755575992</x:v>
      </x:c>
      <x:c r="H17" s="22" t="n">
        <x:f>IFERROR(VLOOKUP(C17,'Price History'!$A$3:$E$1404,3,FALSE),"")</x:f>
        <x:v>522.15</x:v>
      </x:c>
      <x:c r="I17" s="22" t="n">
        <x:f>IFERROR(VLOOKUP(D17,'Price History'!$A$3:$E$1404,3,FALSE),"")</x:f>
        <x:v>518.66</x:v>
      </x:c>
      <x:c r="J17" s="23" t="n">
        <x:f>IF(OR(H17="",I17=""),"",I17/H17-1)</x:f>
        <x:v>-0.006683903092980947</x:v>
      </x:c>
      <x:c r="K17" s="23" t="n">
        <x:f>IF(OR(G17="",J17=""),"",G17-J17)</x:f>
        <x:v>-0.12713996446277898</x:v>
      </x:c>
      <x:c r="L17" s="12" t="str">
        <x:f>IF(G17="","",IF(G17&gt;0,"Up",IF(G17&lt;0,"Down","Flat")))</x:f>
        <x:v>Down</x:v>
      </x:c>
      <x:c r="M17" s="12" t="str">
        <x:f>IF(K17="","",IF(K17&gt;0,"Up",IF(K17&lt;0,"Down","Flat")))</x:f>
        <x:v>Down</x:v>
      </x:c>
      <x:c r="N17" s="19" t="str">
        <x:v>Guidance timestamp is at the regular-market close; reaction = next close / event-date close − 1.</x:v>
      </x:c>
      <x:c r="O17" s="24" t="n">
        <x:f>IF('Guidance Events'!I17="","",'Guidance Events'!I17)</x:f>
        <x:v>3700</x:v>
      </x:c>
      <x:c r="P17" s="24" t="n">
        <x:f>IF('Guidance Events'!K17="","",'Guidance Events'!K17)</x:f>
        <x:v>990</x:v>
      </x:c>
      <x:c r="Q17" s="25" t="n">
        <x:f>IF('Guidance Events'!L17="","",'Guidance Events'!L17)</x:f>
        <x:v>0.3653136531365313</x:v>
      </x:c>
      <x:c r="R17" s="18" t="str">
        <x:f>IF(O17="","Qualitative guidance",IF(P17="","No numeric prior-Q baseline",IF(P17=0,"Neutral",IF(OR(AND(P17&gt;0,K17&gt;0),AND(P17&lt;0,K17&lt;0)),"Aligned","Diverged"))))</x:f>
        <x:v>Diverged</x:v>
      </x:c>
      <x:c r="S17" s="11" t="str">
        <x:v>No</x:v>
      </x:c>
      <x:c r="T17" s="19" t="str">
        <x:v>No approved edge observation was historically available; reaction is descriptive only.</x:v>
      </x:c>
    </x:row>
    <x:row r="18">
      <x:c r="A18" s="11" t="str">
        <x:v>ABNB-2024Q3-GUIDE</x:v>
      </x:c>
      <x:c r="B18" s="11" t="str">
        <x:v>2024Q3</x:v>
      </x:c>
      <x:c r="C18" s="14" t="n">
        <x:v>45603</x:v>
      </x:c>
      <x:c r="D18" s="14" t="n">
        <x:v>45604</x:v>
      </x:c>
      <x:c r="E18" s="22" t="n">
        <x:f>IFERROR(VLOOKUP(C18,'Price History'!$A$3:$E$1404,2,FALSE),"")</x:f>
        <x:v>147.37</x:v>
      </x:c>
      <x:c r="F18" s="22" t="n">
        <x:f>IFERROR(VLOOKUP(D18,'Price History'!$A$3:$E$1404,2,FALSE),"")</x:f>
        <x:v>134.61</x:v>
      </x:c>
      <x:c r="G18" s="23" t="n">
        <x:f>IF(OR(E18="",F18=""),"",F18/E18-1)</x:f>
        <x:v>-0.0865847865915722</x:v>
      </x:c>
      <x:c r="H18" s="22" t="n">
        <x:f>IFERROR(VLOOKUP(C18,'Price History'!$A$3:$E$1404,3,FALSE),"")</x:f>
        <x:v>595.61</x:v>
      </x:c>
      <x:c r="I18" s="22" t="n">
        <x:f>IFERROR(VLOOKUP(D18,'Price History'!$A$3:$E$1404,3,FALSE),"")</x:f>
        <x:v>598.19</x:v>
      </x:c>
      <x:c r="J18" s="23" t="n">
        <x:f>IF(OR(H18="",I18=""),"",I18/H18-1)</x:f>
        <x:v>0.004331693557865224</x:v>
      </x:c>
      <x:c r="K18" s="23" t="n">
        <x:f>IF(OR(G18="",J18=""),"",G18-J18)</x:f>
        <x:v>-0.09091648014943743</x:v>
      </x:c>
      <x:c r="L18" s="12" t="str">
        <x:f>IF(G18="","",IF(G18&gt;0,"Up",IF(G18&lt;0,"Down","Flat")))</x:f>
        <x:v>Down</x:v>
      </x:c>
      <x:c r="M18" s="12" t="str">
        <x:f>IF(K18="","",IF(K18&gt;0,"Up",IF(K18&lt;0,"Down","Flat")))</x:f>
        <x:v>Down</x:v>
      </x:c>
      <x:c r="N18" s="19" t="str">
        <x:v>Guidance timestamp is at the regular-market close; reaction = next close / event-date close − 1.</x:v>
      </x:c>
      <x:c r="O18" s="24" t="n">
        <x:f>IF('Guidance Events'!I18="","",'Guidance Events'!I18)</x:f>
        <x:v>2415</x:v>
      </x:c>
      <x:c r="P18" s="24" t="n">
        <x:f>IF('Guidance Events'!K18="","",'Guidance Events'!K18)</x:f>
        <x:v>-1285</x:v>
      </x:c>
      <x:c r="Q18" s="25" t="n">
        <x:f>IF('Guidance Events'!L18="","",'Guidance Events'!L18)</x:f>
        <x:v>-0.3472972972972973</x:v>
      </x:c>
      <x:c r="R18" s="18" t="str">
        <x:f>IF(O18="","Qualitative guidance",IF(P18="","No numeric prior-Q baseline",IF(P18=0,"Neutral",IF(OR(AND(P18&gt;0,K18&gt;0),AND(P18&lt;0,K18&lt;0)),"Aligned","Diverged"))))</x:f>
        <x:v>Aligned</x:v>
      </x:c>
      <x:c r="S18" s="11" t="str">
        <x:v>No</x:v>
      </x:c>
      <x:c r="T18" s="19" t="str">
        <x:v>No approved edge observation was historically available; reaction is descriptive only.</x:v>
      </x:c>
    </x:row>
    <x:row r="19">
      <x:c r="A19" s="11" t="str">
        <x:v>ABNB-2024Q4-GUIDE</x:v>
      </x:c>
      <x:c r="B19" s="11" t="str">
        <x:v>2024Q4</x:v>
      </x:c>
      <x:c r="C19" s="14" t="n">
        <x:v>45701</x:v>
      </x:c>
      <x:c r="D19" s="14" t="n">
        <x:v>45702</x:v>
      </x:c>
      <x:c r="E19" s="22" t="n">
        <x:f>IFERROR(VLOOKUP(C19,'Price History'!$A$3:$E$1404,2,FALSE),"")</x:f>
        <x:v>141.04</x:v>
      </x:c>
      <x:c r="F19" s="22" t="n">
        <x:f>IFERROR(VLOOKUP(D19,'Price History'!$A$3:$E$1404,2,FALSE),"")</x:f>
        <x:v>161.42</x:v>
      </x:c>
      <x:c r="G19" s="23" t="n">
        <x:f>IF(OR(E19="",F19=""),"",F19/E19-1)</x:f>
        <x:v>0.1444980147475894</x:v>
      </x:c>
      <x:c r="H19" s="22" t="n">
        <x:f>IFERROR(VLOOKUP(C19,'Price History'!$A$3:$E$1404,3,FALSE),"")</x:f>
        <x:v>609.73</x:v>
      </x:c>
      <x:c r="I19" s="22" t="n">
        <x:f>IFERROR(VLOOKUP(D19,'Price History'!$A$3:$E$1404,3,FALSE),"")</x:f>
        <x:v>609.7</x:v>
      </x:c>
      <x:c r="J19" s="23" t="n">
        <x:f>IF(OR(H19="",I19=""),"",I19/H19-1)</x:f>
        <x:v>-0.000049202105850132405</x:v>
      </x:c>
      <x:c r="K19" s="23" t="n">
        <x:f>IF(OR(G19="",J19=""),"",G19-J19)</x:f>
        <x:v>0.14454721685343952</x:v>
      </x:c>
      <x:c r="L19" s="12" t="str">
        <x:f>IF(G19="","",IF(G19&gt;0,"Up",IF(G19&lt;0,"Down","Flat")))</x:f>
        <x:v>Up</x:v>
      </x:c>
      <x:c r="M19" s="12" t="str">
        <x:f>IF(K19="","",IF(K19&gt;0,"Up",IF(K19&lt;0,"Down","Flat")))</x:f>
        <x:v>Up</x:v>
      </x:c>
      <x:c r="N19" s="19" t="str">
        <x:v>Guidance timestamp is at the regular-market close; reaction = next close / event-date close − 1.</x:v>
      </x:c>
      <x:c r="O19" s="24" t="n">
        <x:f>IF('Guidance Events'!I19="","",'Guidance Events'!I19)</x:f>
        <x:v>2250</x:v>
      </x:c>
      <x:c r="P19" s="24" t="n">
        <x:f>IF('Guidance Events'!K19="","",'Guidance Events'!K19)</x:f>
        <x:v>-165</x:v>
      </x:c>
      <x:c r="Q19" s="25" t="n">
        <x:f>IF('Guidance Events'!L19="","",'Guidance Events'!L19)</x:f>
        <x:v>-0.06832298136645965</x:v>
      </x:c>
      <x:c r="R19" s="18" t="str">
        <x:f>IF(O19="","Qualitative guidance",IF(P19="","No numeric prior-Q baseline",IF(P19=0,"Neutral",IF(OR(AND(P19&gt;0,K19&gt;0),AND(P19&lt;0,K19&lt;0)),"Aligned","Diverged"))))</x:f>
        <x:v>Diverged</x:v>
      </x:c>
      <x:c r="S19" s="11" t="str">
        <x:v>No</x:v>
      </x:c>
      <x:c r="T19" s="19" t="str">
        <x:v>No approved edge observation was historically available; reaction is descriptive only.</x:v>
      </x:c>
    </x:row>
    <x:row r="20">
      <x:c r="A20" s="11" t="str">
        <x:v>ABNB-2025Q1-GUIDE</x:v>
      </x:c>
      <x:c r="B20" s="11" t="str">
        <x:v>2025Q1</x:v>
      </x:c>
      <x:c r="C20" s="14" t="n">
        <x:v>45778</x:v>
      </x:c>
      <x:c r="D20" s="14" t="n">
        <x:v>45779</x:v>
      </x:c>
      <x:c r="E20" s="22" t="n">
        <x:f>IFERROR(VLOOKUP(C20,'Price History'!$A$3:$E$1404,2,FALSE),"")</x:f>
        <x:v>124.01</x:v>
      </x:c>
      <x:c r="F20" s="22" t="n">
        <x:f>IFERROR(VLOOKUP(D20,'Price History'!$A$3:$E$1404,2,FALSE),"")</x:f>
        <x:v>125.26</x:v>
      </x:c>
      <x:c r="G20" s="23" t="n">
        <x:f>IF(OR(E20="",F20=""),"",F20/E20-1)</x:f>
        <x:v>0.010079832271590927</x:v>
      </x:c>
      <x:c r="H20" s="22" t="n">
        <x:f>IFERROR(VLOOKUP(C20,'Price History'!$A$3:$E$1404,3,FALSE),"")</x:f>
        <x:v>558.47</x:v>
      </x:c>
      <x:c r="I20" s="22" t="n">
        <x:f>IFERROR(VLOOKUP(D20,'Price History'!$A$3:$E$1404,3,FALSE),"")</x:f>
        <x:v>566.76</x:v>
      </x:c>
      <x:c r="J20" s="23" t="n">
        <x:f>IF(OR(H20="",I20=""),"",I20/H20-1)</x:f>
        <x:v>0.014844127706054033</x:v>
      </x:c>
      <x:c r="K20" s="23" t="n">
        <x:f>IF(OR(G20="",J20=""),"",G20-J20)</x:f>
        <x:v>-0.004764295434463106</x:v>
      </x:c>
      <x:c r="L20" s="12" t="str">
        <x:f>IF(G20="","",IF(G20&gt;0,"Up",IF(G20&lt;0,"Down","Flat")))</x:f>
        <x:v>Up</x:v>
      </x:c>
      <x:c r="M20" s="12" t="str">
        <x:f>IF(K20="","",IF(K20&gt;0,"Up",IF(K20&lt;0,"Down","Flat")))</x:f>
        <x:v>Down</x:v>
      </x:c>
      <x:c r="N20" s="19" t="str">
        <x:v>Guidance timestamp is at the regular-market close; reaction = next close / event-date close − 1.</x:v>
      </x:c>
      <x:c r="O20" s="24" t="n">
        <x:f>IF('Guidance Events'!I20="","",'Guidance Events'!I20)</x:f>
        <x:v>3020</x:v>
      </x:c>
      <x:c r="P20" s="24" t="n">
        <x:f>IF('Guidance Events'!K20="","",'Guidance Events'!K20)</x:f>
        <x:v>770</x:v>
      </x:c>
      <x:c r="Q20" s="25" t="n">
        <x:f>IF('Guidance Events'!L20="","",'Guidance Events'!L20)</x:f>
        <x:v>0.3422222222222222</x:v>
      </x:c>
      <x:c r="R20" s="18" t="str">
        <x:f>IF(O20="","Qualitative guidance",IF(P20="","No numeric prior-Q baseline",IF(P20=0,"Neutral",IF(OR(AND(P20&gt;0,K20&gt;0),AND(P20&lt;0,K20&lt;0)),"Aligned","Diverged"))))</x:f>
        <x:v>Diverged</x:v>
      </x:c>
      <x:c r="S20" s="11" t="str">
        <x:v>No</x:v>
      </x:c>
      <x:c r="T20" s="19" t="str">
        <x:v>No approved edge observation was historically available; reaction is descriptive only.</x:v>
      </x:c>
    </x:row>
    <x:row r="21">
      <x:c r="A21" s="11" t="str">
        <x:v>ABNB-2025Q2-GUIDE</x:v>
      </x:c>
      <x:c r="B21" s="11" t="str">
        <x:v>2025Q2</x:v>
      </x:c>
      <x:c r="C21" s="14" t="n">
        <x:v>45875</x:v>
      </x:c>
      <x:c r="D21" s="14" t="n">
        <x:v>45876</x:v>
      </x:c>
      <x:c r="E21" s="22" t="n">
        <x:f>IFERROR(VLOOKUP(C21,'Price History'!$A$3:$E$1404,2,FALSE),"")</x:f>
        <x:v>130.5</x:v>
      </x:c>
      <x:c r="F21" s="22" t="n">
        <x:f>IFERROR(VLOOKUP(D21,'Price History'!$A$3:$E$1404,2,FALSE),"")</x:f>
        <x:v>120.03</x:v>
      </x:c>
      <x:c r="G21" s="23" t="n">
        <x:f>IF(OR(E21="",F21=""),"",F21/E21-1)</x:f>
        <x:v>-0.0802298850574713</x:v>
      </x:c>
      <x:c r="H21" s="22" t="n">
        <x:f>IFERROR(VLOOKUP(C21,'Price History'!$A$3:$E$1404,3,FALSE),"")</x:f>
        <x:v>632.78</x:v>
      </x:c>
      <x:c r="I21" s="22" t="n">
        <x:f>IFERROR(VLOOKUP(D21,'Price History'!$A$3:$E$1404,3,FALSE),"")</x:f>
        <x:v>632.25</x:v>
      </x:c>
      <x:c r="J21" s="23" t="n">
        <x:f>IF(OR(H21="",I21=""),"",I21/H21-1)</x:f>
        <x:v>-0.000837573880337561</x:v>
      </x:c>
      <x:c r="K21" s="23" t="n">
        <x:f>IF(OR(G21="",J21=""),"",G21-J21)</x:f>
        <x:v>-0.07939231117713375</x:v>
      </x:c>
      <x:c r="L21" s="12" t="str">
        <x:f>IF(G21="","",IF(G21&gt;0,"Up",IF(G21&lt;0,"Down","Flat")))</x:f>
        <x:v>Down</x:v>
      </x:c>
      <x:c r="M21" s="12" t="str">
        <x:f>IF(K21="","",IF(K21&gt;0,"Up",IF(K21&lt;0,"Down","Flat")))</x:f>
        <x:v>Down</x:v>
      </x:c>
      <x:c r="N21" s="19" t="str">
        <x:v>Guidance timestamp is at the regular-market close; reaction = next close / event-date close − 1.</x:v>
      </x:c>
      <x:c r="O21" s="24" t="n">
        <x:f>IF('Guidance Events'!I21="","",'Guidance Events'!I21)</x:f>
        <x:v>4060</x:v>
      </x:c>
      <x:c r="P21" s="24" t="n">
        <x:f>IF('Guidance Events'!K21="","",'Guidance Events'!K21)</x:f>
        <x:v>1040</x:v>
      </x:c>
      <x:c r="Q21" s="25" t="n">
        <x:f>IF('Guidance Events'!L21="","",'Guidance Events'!L21)</x:f>
        <x:v>0.3443708609271523</x:v>
      </x:c>
      <x:c r="R21" s="18" t="str">
        <x:f>IF(O21="","Qualitative guidance",IF(P21="","No numeric prior-Q baseline",IF(P21=0,"Neutral",IF(OR(AND(P21&gt;0,K21&gt;0),AND(P21&lt;0,K21&lt;0)),"Aligned","Diverged"))))</x:f>
        <x:v>Diverged</x:v>
      </x:c>
      <x:c r="S21" s="11" t="str">
        <x:v>No</x:v>
      </x:c>
      <x:c r="T21" s="19" t="str">
        <x:v>No approved edge observation was historically available; reaction is descriptive only.</x:v>
      </x:c>
    </x:row>
    <x:row r="22">
      <x:c r="A22" s="11" t="str">
        <x:v>ABNB-2025Q3-GUIDE</x:v>
      </x:c>
      <x:c r="B22" s="11" t="str">
        <x:v>2025Q3</x:v>
      </x:c>
      <x:c r="C22" s="14" t="n">
        <x:v>45967</x:v>
      </x:c>
      <x:c r="D22" s="14" t="n">
        <x:v>45968</x:v>
      </x:c>
      <x:c r="E22" s="22" t="n">
        <x:f>IFERROR(VLOOKUP(C22,'Price History'!$A$3:$E$1404,2,FALSE),"")</x:f>
        <x:v>120.53</x:v>
      </x:c>
      <x:c r="F22" s="22" t="n">
        <x:f>IFERROR(VLOOKUP(D22,'Price History'!$A$3:$E$1404,2,FALSE),"")</x:f>
        <x:v>120.88</x:v>
      </x:c>
      <x:c r="G22" s="23" t="n">
        <x:f>IF(OR(E22="",F22=""),"",F22/E22-1)</x:f>
        <x:v>0.0029038413672943797</x:v>
      </x:c>
      <x:c r="H22" s="22" t="n">
        <x:f>IFERROR(VLOOKUP(C22,'Price History'!$A$3:$E$1404,3,FALSE),"")</x:f>
        <x:v>670.31</x:v>
      </x:c>
      <x:c r="I22" s="22" t="n">
        <x:f>IFERROR(VLOOKUP(D22,'Price History'!$A$3:$E$1404,3,FALSE),"")</x:f>
        <x:v>670.97</x:v>
      </x:c>
      <x:c r="J22" s="23" t="n">
        <x:f>IF(OR(H22="",I22=""),"",I22/H22-1)</x:f>
        <x:v>0.000984619056854319</x:v>
      </x:c>
      <x:c r="K22" s="23" t="n">
        <x:f>IF(OR(G22="",J22=""),"",G22-J22)</x:f>
        <x:v>0.0019192223104400608</x:v>
      </x:c>
      <x:c r="L22" s="12" t="str">
        <x:f>IF(G22="","",IF(G22&gt;0,"Up",IF(G22&lt;0,"Down","Flat")))</x:f>
        <x:v>Up</x:v>
      </x:c>
      <x:c r="M22" s="12" t="str">
        <x:f>IF(K22="","",IF(K22&gt;0,"Up",IF(K22&lt;0,"Down","Flat")))</x:f>
        <x:v>Up</x:v>
      </x:c>
      <x:c r="N22" s="19" t="str">
        <x:v>Guidance timestamp is at the regular-market close; reaction = next close / event-date close − 1.</x:v>
      </x:c>
      <x:c r="O22" s="24" t="n">
        <x:f>IF('Guidance Events'!I22="","",'Guidance Events'!I22)</x:f>
        <x:v>2690</x:v>
      </x:c>
      <x:c r="P22" s="24" t="n">
        <x:f>IF('Guidance Events'!K22="","",'Guidance Events'!K22)</x:f>
        <x:v>-1370</x:v>
      </x:c>
      <x:c r="Q22" s="25" t="n">
        <x:f>IF('Guidance Events'!L22="","",'Guidance Events'!L22)</x:f>
        <x:v>-0.3374384236453202</x:v>
      </x:c>
      <x:c r="R22" s="18" t="str">
        <x:f>IF(O22="","Qualitative guidance",IF(P22="","No numeric prior-Q baseline",IF(P22=0,"Neutral",IF(OR(AND(P22&gt;0,K22&gt;0),AND(P22&lt;0,K22&lt;0)),"Aligned","Diverged"))))</x:f>
        <x:v>Diverged</x:v>
      </x:c>
      <x:c r="S22" s="11" t="str">
        <x:v>Yes — OSE 2024 only</x:v>
      </x:c>
      <x:c r="T22" s="19" t="str">
        <x:v>One annual OSE report was public; insufficient vintages for a trend or predictive claim.</x:v>
      </x:c>
    </x:row>
    <x:row r="23">
      <x:c r="A23" s="11" t="str">
        <x:v>ABNB-2025Q4-GUIDE</x:v>
      </x:c>
      <x:c r="B23" s="11" t="str">
        <x:v>2025Q4</x:v>
      </x:c>
      <x:c r="C23" s="14" t="n">
        <x:v>46065</x:v>
      </x:c>
      <x:c r="D23" s="14" t="n">
        <x:v>46066</x:v>
      </x:c>
      <x:c r="E23" s="22" t="n">
        <x:f>IFERROR(VLOOKUP(C23,'Price History'!$A$3:$E$1404,2,FALSE),"")</x:f>
        <x:v>115.96</x:v>
      </x:c>
      <x:c r="F23" s="22" t="n">
        <x:f>IFERROR(VLOOKUP(D23,'Price History'!$A$3:$E$1404,2,FALSE),"")</x:f>
        <x:v>121.35</x:v>
      </x:c>
      <x:c r="G23" s="23" t="n">
        <x:f>IF(OR(E23="",F23=""),"",F23/E23-1)</x:f>
        <x:v>0.04648154536046922</x:v>
      </x:c>
      <x:c r="H23" s="22" t="n">
        <x:f>IFERROR(VLOOKUP(C23,'Price History'!$A$3:$E$1404,3,FALSE),"")</x:f>
        <x:v>681.27</x:v>
      </x:c>
      <x:c r="I23" s="22" t="n">
        <x:f>IFERROR(VLOOKUP(D23,'Price History'!$A$3:$E$1404,3,FALSE),"")</x:f>
        <x:v>681.75</x:v>
      </x:c>
      <x:c r="J23" s="23" t="n">
        <x:f>IF(OR(H23="",I23=""),"",I23/H23-1)</x:f>
        <x:v>0.0007045664714431243</x:v>
      </x:c>
      <x:c r="K23" s="23" t="n">
        <x:f>IF(OR(G23="",J23=""),"",G23-J23)</x:f>
        <x:v>0.0457769788890261</x:v>
      </x:c>
      <x:c r="L23" s="12" t="str">
        <x:f>IF(G23="","",IF(G23&gt;0,"Up",IF(G23&lt;0,"Down","Flat")))</x:f>
        <x:v>Up</x:v>
      </x:c>
      <x:c r="M23" s="12" t="str">
        <x:f>IF(K23="","",IF(K23&gt;0,"Up",IF(K23&lt;0,"Down","Flat")))</x:f>
        <x:v>Up</x:v>
      </x:c>
      <x:c r="N23" s="19" t="str">
        <x:v>Guidance timestamp is at the regular-market close; reaction = next close / event-date close − 1.</x:v>
      </x:c>
      <x:c r="O23" s="24" t="n">
        <x:f>IF('Guidance Events'!I23="","",'Guidance Events'!I23)</x:f>
        <x:v>2610</x:v>
      </x:c>
      <x:c r="P23" s="24" t="n">
        <x:f>IF('Guidance Events'!K23="","",'Guidance Events'!K23)</x:f>
        <x:v>-80</x:v>
      </x:c>
      <x:c r="Q23" s="25" t="n">
        <x:f>IF('Guidance Events'!L23="","",'Guidance Events'!L23)</x:f>
        <x:v>-0.029739776951672847</x:v>
      </x:c>
      <x:c r="R23" s="18" t="str">
        <x:f>IF(O23="","Qualitative guidance",IF(P23="","No numeric prior-Q baseline",IF(P23=0,"Neutral",IF(OR(AND(P23&gt;0,K23&gt;0),AND(P23&lt;0,K23&lt;0)),"Aligned","Diverged"))))</x:f>
        <x:v>Diverged</x:v>
      </x:c>
      <x:c r="S23" s="11" t="str">
        <x:v>Yes — OSE 2024 only</x:v>
      </x:c>
      <x:c r="T23" s="19" t="str">
        <x:v>One annual OSE report was public; insufficient vintages for a trend or predictive claim.</x:v>
      </x:c>
    </x:row>
    <x:row r="24">
      <x:c r="A24" s="11" t="str">
        <x:v>ABNB-2026Q1-GUIDE</x:v>
      </x:c>
      <x:c r="B24" s="11" t="str">
        <x:v>2026Q1</x:v>
      </x:c>
      <x:c r="C24" s="14" t="n">
        <x:v>46149</x:v>
      </x:c>
      <x:c r="D24" s="14" t="n">
        <x:v>46150</x:v>
      </x:c>
      <x:c r="E24" s="22" t="n">
        <x:f>IFERROR(VLOOKUP(C24,'Price History'!$A$3:$E$1404,2,FALSE),"")</x:f>
        <x:v>140.46</x:v>
      </x:c>
      <x:c r="F24" s="22" t="n">
        <x:f>IFERROR(VLOOKUP(D24,'Price History'!$A$3:$E$1404,2,FALSE),"")</x:f>
        <x:v>141.49</x:v>
      </x:c>
      <x:c r="G24" s="23" t="n">
        <x:f>IF(OR(E24="",F24=""),"",F24/E24-1)</x:f>
        <x:v>0.0073330485547487</x:v>
      </x:c>
      <x:c r="H24" s="22" t="n">
        <x:f>IFERROR(VLOOKUP(C24,'Price History'!$A$3:$E$1404,3,FALSE),"")</x:f>
        <x:v>731.58</x:v>
      </x:c>
      <x:c r="I24" s="22" t="n">
        <x:f>IFERROR(VLOOKUP(D24,'Price History'!$A$3:$E$1404,3,FALSE),"")</x:f>
        <x:v>737.62</x:v>
      </x:c>
      <x:c r="J24" s="23" t="n">
        <x:f>IF(OR(H24="",I24=""),"",I24/H24-1)</x:f>
        <x:v>0.008256103228628353</x:v>
      </x:c>
      <x:c r="K24" s="23" t="n">
        <x:f>IF(OR(G24="",J24=""),"",G24-J24)</x:f>
        <x:v>-0.000923054673879653</x:v>
      </x:c>
      <x:c r="L24" s="12" t="str">
        <x:f>IF(G24="","",IF(G24&gt;0,"Up",IF(G24&lt;0,"Down","Flat")))</x:f>
        <x:v>Up</x:v>
      </x:c>
      <x:c r="M24" s="12" t="str">
        <x:f>IF(K24="","",IF(K24&gt;0,"Up",IF(K24&lt;0,"Down","Flat")))</x:f>
        <x:v>Down</x:v>
      </x:c>
      <x:c r="N24" s="19" t="str">
        <x:v>Guidance timestamp is at the regular-market close; reaction = next close / event-date close − 1.</x:v>
      </x:c>
      <x:c r="O24" s="24" t="n">
        <x:f>IF('Guidance Events'!I24="","",'Guidance Events'!I24)</x:f>
        <x:v>3570</x:v>
      </x:c>
      <x:c r="P24" s="24" t="n">
        <x:f>IF('Guidance Events'!K24="","",'Guidance Events'!K24)</x:f>
        <x:v>960</x:v>
      </x:c>
      <x:c r="Q24" s="25" t="n">
        <x:f>IF('Guidance Events'!L24="","",'Guidance Events'!L24)</x:f>
        <x:v>0.367816091954023</x:v>
      </x:c>
      <x:c r="R24" s="18" t="str">
        <x:f>IF(O24="","Qualitative guidance",IF(P24="","No numeric prior-Q baseline",IF(P24=0,"Neutral",IF(OR(AND(P24&gt;0,K24&gt;0),AND(P24&lt;0,K24&lt;0)),"Aligned","Diverged"))))</x:f>
        <x:v>Diverged</x:v>
      </x:c>
      <x:c r="S24" s="11" t="str">
        <x:v>Yes — OSE 2024 only</x:v>
      </x:c>
      <x:c r="T24" s="19" t="str">
        <x:v>One annual OSE report was public; insufficient vintages for a trend or predictive claim.</x:v>
      </x:c>
    </x:row>
    <x:row r="25">
      <x:c r="A25" s="11" t="str">
        <x:v>ABNB-2026Q2-GUIDE</x:v>
      </x:c>
      <x:c r="B25" s="11" t="str">
        <x:v>2026Q2</x:v>
      </x:c>
      <x:c r="C25" s="14" t="n">
        <x:v>46240</x:v>
      </x:c>
      <x:c r="D25" s="14" t="n">
        <x:v>46241</x:v>
      </x:c>
      <x:c r="E25" s="22" t="n">
        <x:f>IFERROR(VLOOKUP(C25,'Price History'!$A$3:$E$1404,2,FALSE),"")</x:f>
        <x:v>151.64</x:v>
      </x:c>
      <x:c r="F25" s="22" t="n">
        <x:f>IFERROR(VLOOKUP(D25,'Price History'!$A$3:$E$1404,2,FALSE),"")</x:f>
        <x:v>178.07</x:v>
      </x:c>
      <x:c r="G25" s="23" t="n">
        <x:f>IF(OR(E25="",F25=""),"",F25/E25-1)</x:f>
        <x:v>0.174294381429702</x:v>
      </x:c>
      <x:c r="H25" s="22" t="n">
        <x:f>IFERROR(VLOOKUP(C25,'Price History'!$A$3:$E$1404,3,FALSE),"")</x:f>
        <x:v>768.56</x:v>
      </x:c>
      <x:c r="I25" s="22" t="n">
        <x:f>IFERROR(VLOOKUP(D25,'Price History'!$A$3:$E$1404,3,FALSE),"")</x:f>
        <x:v>773.26</x:v>
      </x:c>
      <x:c r="J25" s="23" t="n">
        <x:f>IF(OR(H25="",I25=""),"",I25/H25-1)</x:f>
        <x:v>0.006115332570001186</x:v>
      </x:c>
      <x:c r="K25" s="23" t="n">
        <x:f>IF(OR(G25="",J25=""),"",G25-J25)</x:f>
        <x:v>0.1681790488597008</x:v>
      </x:c>
      <x:c r="L25" s="12" t="str">
        <x:f>IF(G25="","",IF(G25&gt;0,"Up",IF(G25&lt;0,"Down","Flat")))</x:f>
        <x:v>Up</x:v>
      </x:c>
      <x:c r="M25" s="12" t="str">
        <x:f>IF(K25="","",IF(K25&gt;0,"Up",IF(K25&lt;0,"Down","Flat")))</x:f>
        <x:v>Up</x:v>
      </x:c>
      <x:c r="N25" s="19" t="str">
        <x:v>Guidance timestamp is at the regular-market close; reaction = next close / event-date close − 1.</x:v>
      </x:c>
      <x:c r="O25" s="24" t="n">
        <x:f>IF('Guidance Events'!I25="","",'Guidance Events'!I25)</x:f>
        <x:v>4730</x:v>
      </x:c>
      <x:c r="P25" s="24" t="n">
        <x:f>IF('Guidance Events'!K25="","",'Guidance Events'!K25)</x:f>
        <x:v>1160</x:v>
      </x:c>
      <x:c r="Q25" s="25" t="n">
        <x:f>IF('Guidance Events'!L25="","",'Guidance Events'!L25)</x:f>
        <x:v>0.3249299719887955</x:v>
      </x:c>
      <x:c r="R25" s="18" t="str">
        <x:f>IF(O25="","Qualitative guidance",IF(P25="","No numeric prior-Q baseline",IF(P25=0,"Neutral",IF(OR(AND(P25&gt;0,K25&gt;0),AND(P25&lt;0,K25&lt;0)),"Aligned","Diverged"))))</x:f>
        <x:v>Aligned</x:v>
      </x:c>
      <x:c r="S25" s="11" t="str">
        <x:v>Yes — OSE 2024 only</x:v>
      </x:c>
      <x:c r="T25" s="19" t="str">
        <x:v>One annual OSE report was public; insufficient vintages for a trend or predictive claim.</x:v>
      </x:c>
    </x:row>
  </x:sheetData>
  <x:mergeCells>
    <x:mergeCell ref="A1:T1"/>
  </x:mergeCells>
  <x:conditionalFormatting sqref="G3:K25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R3:R25">
    <x:cfRule type="containsText" dxfId="2" priority="3" operator="containsText" text="Aligned"/>
    <x:cfRule type="containsText" dxfId="3" priority="4" operator="containsText" text="Diverged"/>
  </x:conditionalFormatting>
  <x:conditionalFormatting sqref="S3:S25">
    <x:cfRule type="containsText" dxfId="4" priority="5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e781f3edd1fb43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2" hidden="0" customWidth="1"/>
    <x:col min="4" max="4" width="34" hidden="0" customWidth="1"/>
    <x:col min="5" max="5" width="13" hidden="0" customWidth="1"/>
    <x:col min="6" max="6" width="14" hidden="0" customWidth="1"/>
    <x:col min="7" max="7" width="14" hidden="0" customWidth="1"/>
    <x:col min="8" max="8" width="32" hidden="0" customWidth="1"/>
    <x:col min="9" max="9" width="20" hidden="0" customWidth="1"/>
    <x:col min="10" max="10" width="42" hidden="0" customWidth="1"/>
    <x:col min="11" max="11" width="24" hidden="0" customWidth="1"/>
    <x:col min="12" max="12" width="32" hidden="0" customWidth="1"/>
    <x:col min="13" max="13" width="25" hidden="0" customWidth="1"/>
    <x:col min="14" max="14" width="28" hidden="0" customWidth="1"/>
    <x:col min="15" max="15" width="26" hidden="0" customWidth="1"/>
    <x:col min="16" max="16" width="54" hidden="0" customWidth="1"/>
    <x:col min="17" max="17" width="20" hidden="0" customWidth="1"/>
    <x:col min="18" max="18" width="21" hidden="0" customWidth="1"/>
    <x:col min="19" max="19" width="18" hidden="0" customWidth="1"/>
    <x:col min="20" max="20" width="27" hidden="0" customWidth="1"/>
    <x:col min="21" max="21" width="28" hidden="0" customWidth="1"/>
    <x:col min="22" max="22" width="58" hidden="0" customWidth="1"/>
  </x:cols>
  <x:sheetData>
    <x:row r="1" ht="28" customHeight="1">
      <x:c r="A1" s="135" t="str">
        <x:v>Approved Browser-Acquired Edge Observations — Processing and Point-in-Time Treatment</x:v>
      </x:c>
      <x:c r="B1" s="135" t="str">
        <x:v>Approved Browser-Acquired Edge Observations — Processing and Point-in-Time Treatment</x:v>
      </x:c>
      <x:c r="C1" s="135" t="str">
        <x:v>Approved Browser-Acquired Edge Observations — Processing and Point-in-Time Treatment</x:v>
      </x:c>
      <x:c r="D1" s="135" t="str">
        <x:v>Approved Browser-Acquired Edge Observations — Processing and Point-in-Time Treatment</x:v>
      </x:c>
      <x:c r="E1" s="135" t="str">
        <x:v>Approved Browser-Acquired Edge Observations — Processing and Point-in-Time Treatment</x:v>
      </x:c>
      <x:c r="F1" s="135" t="str">
        <x:v>Approved Browser-Acquired Edge Observations — Processing and Point-in-Time Treatment</x:v>
      </x:c>
      <x:c r="G1" s="135" t="str">
        <x:v>Approved Browser-Acquired Edge Observations — Processing and Point-in-Time Treatment</x:v>
      </x:c>
      <x:c r="H1" s="135" t="str">
        <x:v>Approved Browser-Acquired Edge Observations — Processing and Point-in-Time Treatment</x:v>
      </x:c>
      <x:c r="I1" s="135" t="str">
        <x:v>Approved Browser-Acquired Edge Observations — Processing and Point-in-Time Treatment</x:v>
      </x:c>
      <x:c r="J1" s="135" t="str">
        <x:v>Approved Browser-Acquired Edge Observations — Processing and Point-in-Time Treatment</x:v>
      </x:c>
      <x:c r="K1" s="135" t="str">
        <x:v>Approved Browser-Acquired Edge Observations — Processing and Point-in-Time Treatment</x:v>
      </x:c>
      <x:c r="L1" s="135" t="str">
        <x:v>Approved Browser-Acquired Edge Observations — Processing and Point-in-Time Treatment</x:v>
      </x:c>
      <x:c r="M1" s="135" t="str">
        <x:v>Approved Browser-Acquired Edge Observations — Processing and Point-in-Time Treatment</x:v>
      </x:c>
      <x:c r="N1" s="135" t="str">
        <x:v>Approved Browser-Acquired Edge Observations — Processing and Point-in-Time Treatment</x:v>
      </x:c>
      <x:c r="O1" s="135" t="str">
        <x:v>Approved Browser-Acquired Edge Observations — Processing and Point-in-Time Treatment</x:v>
      </x:c>
      <x:c r="P1" s="135" t="str">
        <x:v>Approved Browser-Acquired Edge Observations — Processing and Point-in-Time Treatment</x:v>
      </x:c>
      <x:c r="Q1" s="135" t="str">
        <x:v>Approved Browser-Acquired Edge Observations — Processing and Point-in-Time Treatment</x:v>
      </x:c>
      <x:c r="R1" s="135" t="str">
        <x:v>Approved Browser-Acquired Edge Observations — Processing and Point-in-Time Treatment</x:v>
      </x:c>
      <x:c r="S1" s="135" t="str">
        <x:v>Approved Browser-Acquired Edge Observations — Processing and Point-in-Time Treatment</x:v>
      </x:c>
      <x:c r="T1" s="135" t="str">
        <x:v>Approved Browser-Acquired Edge Observations — Processing and Point-in-Time Treatment</x:v>
      </x:c>
      <x:c r="U1" s="135" t="str">
        <x:v>Approved Browser-Acquired Edge Observations — Processing and Point-in-Time Treatment</x:v>
      </x:c>
      <x:c r="V1" s="135" t="str">
        <x:v>Approved Browser-Acquired Edge Observations — Processing and Point-in-Time Treatment</x:v>
      </x:c>
    </x:row>
    <x:row r="2" ht="34" customHeight="1">
      <x:c r="A2" s="136" t="str">
        <x:v>Observation ID</x:v>
      </x:c>
      <x:c r="B2" s="136" t="str">
        <x:v>Source ID</x:v>
      </x:c>
      <x:c r="C2" s="136" t="str">
        <x:v>Provider Dataset</x:v>
      </x:c>
      <x:c r="D2" s="136" t="str">
        <x:v>Metric</x:v>
      </x:c>
      <x:c r="E2" s="136" t="str">
        <x:v>Period</x:v>
      </x:c>
      <x:c r="F2" s="136" t="str">
        <x:v>Value</x:v>
      </x:c>
      <x:c r="G2" s="136" t="str">
        <x:v>Unit</x:v>
      </x:c>
      <x:c r="H2" s="136" t="str">
        <x:v>Filters</x:v>
      </x:c>
      <x:c r="I2" s="136" t="str">
        <x:v>Observed UTC</x:v>
      </x:c>
      <x:c r="J2" s="136" t="str">
        <x:v>Official URL</x:v>
      </x:c>
      <x:c r="K2" s="136" t="str">
        <x:v>Collection Mode</x:v>
      </x:c>
      <x:c r="L2" s="136" t="str">
        <x:v>License / Terms</x:v>
      </x:c>
      <x:c r="M2" s="136" t="str">
        <x:v>Period Completeness</x:v>
      </x:c>
      <x:c r="N2" s="136" t="str">
        <x:v>PIT Status</x:v>
      </x:c>
      <x:c r="O2" s="136" t="str">
        <x:v>Research Disposition</x:v>
      </x:c>
      <x:c r="P2" s="136" t="str">
        <x:v>Source Notes</x:v>
      </x:c>
      <x:c r="Q2" s="136" t="str">
        <x:v>First Safe Availability</x:v>
      </x:c>
      <x:c r="R2" s="136" t="str">
        <x:v>Eligible Historical Events</x:v>
      </x:c>
      <x:c r="S2" s="136" t="str">
        <x:v>First Eligible Event</x:v>
      </x:c>
      <x:c r="T2" s="136" t="str">
        <x:v>Treatment</x:v>
      </x:c>
      <x:c r="U2" s="136" t="str">
        <x:v>Economic Layer</x:v>
      </x:c>
      <x:c r="V2" s="136" t="str">
        <x:v>Comparison Limitation</x:v>
      </x:c>
    </x:row>
    <x:row r="3">
      <x:c r="A3" s="11" t="str">
        <x:v>BA-001</x:v>
      </x:c>
      <x:c r="B3" s="11" t="str">
        <x:v>VANCOUVER_STR_LICENSES</x:v>
      </x:c>
      <x:c r="C3" s="11" t="str">
        <x:v>Business licences 2013 to 2024</x:v>
      </x:c>
      <x:c r="D3" s="11" t="str">
        <x:v>records_all_statuses_by_folderyear</x:v>
      </x:c>
      <x:c r="E3" s="11" t="str">
        <x:v>2018</x:v>
      </x:c>
      <x:c r="F3" s="26" t="n">
        <x:v>3248</x:v>
      </x:c>
      <x:c r="G3" s="11" t="str">
        <x:v>records</x:v>
      </x:c>
      <x:c r="H3" s="11" t="str">
        <x:v>Business type=Short Term Rental</x:v>
      </x:c>
      <x:c r="I3" s="13" t="n">
        <x:v>46268.76008101852</x:v>
      </x:c>
      <x:c r="J3" s="18" t="str">
        <x:v>https://opendata.vancouver.ca/explore/dataset/business-licences-2013-to-2024/information/</x:v>
      </x:c>
      <x:c r="K3" s="11" t="str">
        <x:v>manual_browser_portal_aggregate</x:v>
      </x:c>
      <x:c r="L3" s="11" t="str">
        <x:v>Open Government Licence - Vancouver</x:v>
      </x:c>
      <x:c r="M3" s="11" t="str">
        <x:v>historical_complete_current_portal_view</x:v>
      </x:c>
      <x:c r="N3" s="11" t="str">
        <x:v>not_original_vintage</x:v>
      </x:c>
      <x:c r="O3" s="11" t="str">
        <x:v>monitoring_only</x:v>
      </x:c>
      <x:c r="P3" s="19" t="str">
        <x:v>Static historical dataset; raw address-level records were not opened or retained.</x:v>
      </x:c>
      <x:c r="Q3" s="14" t="n">
        <x:v>46268</x:v>
      </x:c>
      <x:c r="R3" s="12" t="n">
        <x:f>COUNTIF('Guidance Events'!$E$3:$E$25,"&gt;"&amp;Q3)</x:f>
        <x:v>0</x:v>
      </x:c>
      <x:c r="S3" s="11" t="str">
        <x:v>None in panel</x:v>
      </x:c>
      <x:c r="T3" s="11" t="str">
        <x:v>Prospective only</x:v>
      </x:c>
      <x:c r="U3" s="11" t="str">
        <x:v>Supply / regulatory stock</x:v>
      </x:c>
      <x:c r="V3" s="19" t="str">
        <x:v>Current portal snapshot is not proof of historical availability; do not backfill into past events.</x:v>
      </x:c>
    </x:row>
    <x:row r="4">
      <x:c r="A4" s="11" t="str">
        <x:v>BA-002</x:v>
      </x:c>
      <x:c r="B4" s="11" t="str">
        <x:v>VANCOUVER_STR_LICENSES</x:v>
      </x:c>
      <x:c r="C4" s="11" t="str">
        <x:v>Business licences 2013 to 2024</x:v>
      </x:c>
      <x:c r="D4" s="11" t="str">
        <x:v>records_all_statuses_by_folderyear</x:v>
      </x:c>
      <x:c r="E4" s="11" t="str">
        <x:v>2019</x:v>
      </x:c>
      <x:c r="F4" s="26" t="n">
        <x:v>6240</x:v>
      </x:c>
      <x:c r="G4" s="11" t="str">
        <x:v>records</x:v>
      </x:c>
      <x:c r="H4" s="11" t="str">
        <x:v>Business type=Short Term Rental</x:v>
      </x:c>
      <x:c r="I4" s="13" t="n">
        <x:v>46268.76008101852</x:v>
      </x:c>
      <x:c r="J4" s="18" t="str">
        <x:v>https://opendata.vancouver.ca/explore/dataset/business-licences-2013-to-2024/information/</x:v>
      </x:c>
      <x:c r="K4" s="11" t="str">
        <x:v>manual_browser_portal_aggregate</x:v>
      </x:c>
      <x:c r="L4" s="11" t="str">
        <x:v>Open Government Licence - Vancouver</x:v>
      </x:c>
      <x:c r="M4" s="11" t="str">
        <x:v>historical_complete_current_portal_view</x:v>
      </x:c>
      <x:c r="N4" s="11" t="str">
        <x:v>not_original_vintage</x:v>
      </x:c>
      <x:c r="O4" s="11" t="str">
        <x:v>monitoring_only</x:v>
      </x:c>
      <x:c r="P4" s="19" t="str">
        <x:v>Static historical dataset; raw address-level records were not opened or retained.</x:v>
      </x:c>
      <x:c r="Q4" s="14" t="n">
        <x:v>46268</x:v>
      </x:c>
      <x:c r="R4" s="12" t="n">
        <x:f>COUNTIF('Guidance Events'!$E$3:$E$25,"&gt;"&amp;Q4)</x:f>
        <x:v>0</x:v>
      </x:c>
      <x:c r="S4" s="11" t="str">
        <x:v>None in panel</x:v>
      </x:c>
      <x:c r="T4" s="11" t="str">
        <x:v>Prospective only</x:v>
      </x:c>
      <x:c r="U4" s="11" t="str">
        <x:v>Supply / regulatory stock</x:v>
      </x:c>
      <x:c r="V4" s="19" t="str">
        <x:v>Current portal snapshot is not proof of historical availability; do not backfill into past events.</x:v>
      </x:c>
    </x:row>
    <x:row r="5">
      <x:c r="A5" s="11" t="str">
        <x:v>BA-003</x:v>
      </x:c>
      <x:c r="B5" s="11" t="str">
        <x:v>VANCOUVER_STR_LICENSES</x:v>
      </x:c>
      <x:c r="C5" s="11" t="str">
        <x:v>Business licences 2013 to 2024</x:v>
      </x:c>
      <x:c r="D5" s="11" t="str">
        <x:v>records_all_statuses_by_folderyear</x:v>
      </x:c>
      <x:c r="E5" s="11" t="str">
        <x:v>2020</x:v>
      </x:c>
      <x:c r="F5" s="26" t="n">
        <x:v>5394</x:v>
      </x:c>
      <x:c r="G5" s="11" t="str">
        <x:v>records</x:v>
      </x:c>
      <x:c r="H5" s="11" t="str">
        <x:v>Business type=Short Term Rental</x:v>
      </x:c>
      <x:c r="I5" s="13" t="n">
        <x:v>46268.76008101852</x:v>
      </x:c>
      <x:c r="J5" s="18" t="str">
        <x:v>https://opendata.vancouver.ca/explore/dataset/business-licences-2013-to-2024/information/</x:v>
      </x:c>
      <x:c r="K5" s="11" t="str">
        <x:v>manual_browser_portal_aggregate</x:v>
      </x:c>
      <x:c r="L5" s="11" t="str">
        <x:v>Open Government Licence - Vancouver</x:v>
      </x:c>
      <x:c r="M5" s="11" t="str">
        <x:v>historical_complete_current_portal_view</x:v>
      </x:c>
      <x:c r="N5" s="11" t="str">
        <x:v>not_original_vintage</x:v>
      </x:c>
      <x:c r="O5" s="11" t="str">
        <x:v>monitoring_only</x:v>
      </x:c>
      <x:c r="P5" s="19" t="str">
        <x:v>Static historical dataset; raw address-level records were not opened or retained.</x:v>
      </x:c>
      <x:c r="Q5" s="14" t="n">
        <x:v>46268</x:v>
      </x:c>
      <x:c r="R5" s="12" t="n">
        <x:f>COUNTIF('Guidance Events'!$E$3:$E$25,"&gt;"&amp;Q5)</x:f>
        <x:v>0</x:v>
      </x:c>
      <x:c r="S5" s="11" t="str">
        <x:v>None in panel</x:v>
      </x:c>
      <x:c r="T5" s="11" t="str">
        <x:v>Prospective only</x:v>
      </x:c>
      <x:c r="U5" s="11" t="str">
        <x:v>Supply / regulatory stock</x:v>
      </x:c>
      <x:c r="V5" s="19" t="str">
        <x:v>Current portal snapshot is not proof of historical availability; do not backfill into past events.</x:v>
      </x:c>
    </x:row>
    <x:row r="6">
      <x:c r="A6" s="11" t="str">
        <x:v>BA-004</x:v>
      </x:c>
      <x:c r="B6" s="11" t="str">
        <x:v>VANCOUVER_STR_LICENSES</x:v>
      </x:c>
      <x:c r="C6" s="11" t="str">
        <x:v>Business licences 2013 to 2024</x:v>
      </x:c>
      <x:c r="D6" s="11" t="str">
        <x:v>records_all_statuses_by_folderyear</x:v>
      </x:c>
      <x:c r="E6" s="11" t="str">
        <x:v>2021</x:v>
      </x:c>
      <x:c r="F6" s="26" t="n">
        <x:v>3887</x:v>
      </x:c>
      <x:c r="G6" s="11" t="str">
        <x:v>records</x:v>
      </x:c>
      <x:c r="H6" s="11" t="str">
        <x:v>Business type=Short Term Rental</x:v>
      </x:c>
      <x:c r="I6" s="13" t="n">
        <x:v>46268.76008101852</x:v>
      </x:c>
      <x:c r="J6" s="18" t="str">
        <x:v>https://opendata.vancouver.ca/explore/dataset/business-licences-2013-to-2024/information/</x:v>
      </x:c>
      <x:c r="K6" s="11" t="str">
        <x:v>manual_browser_portal_aggregate</x:v>
      </x:c>
      <x:c r="L6" s="11" t="str">
        <x:v>Open Government Licence - Vancouver</x:v>
      </x:c>
      <x:c r="M6" s="11" t="str">
        <x:v>historical_complete_current_portal_view</x:v>
      </x:c>
      <x:c r="N6" s="11" t="str">
        <x:v>not_original_vintage</x:v>
      </x:c>
      <x:c r="O6" s="11" t="str">
        <x:v>monitoring_only</x:v>
      </x:c>
      <x:c r="P6" s="19" t="str">
        <x:v>Static historical dataset; raw address-level records were not opened or retained.</x:v>
      </x:c>
      <x:c r="Q6" s="14" t="n">
        <x:v>46268</x:v>
      </x:c>
      <x:c r="R6" s="12" t="n">
        <x:f>COUNTIF('Guidance Events'!$E$3:$E$25,"&gt;"&amp;Q6)</x:f>
        <x:v>0</x:v>
      </x:c>
      <x:c r="S6" s="11" t="str">
        <x:v>None in panel</x:v>
      </x:c>
      <x:c r="T6" s="11" t="str">
        <x:v>Prospective only</x:v>
      </x:c>
      <x:c r="U6" s="11" t="str">
        <x:v>Supply / regulatory stock</x:v>
      </x:c>
      <x:c r="V6" s="19" t="str">
        <x:v>Current portal snapshot is not proof of historical availability; do not backfill into past events.</x:v>
      </x:c>
    </x:row>
    <x:row r="7">
      <x:c r="A7" s="11" t="str">
        <x:v>BA-005</x:v>
      </x:c>
      <x:c r="B7" s="11" t="str">
        <x:v>VANCOUVER_STR_LICENSES</x:v>
      </x:c>
      <x:c r="C7" s="11" t="str">
        <x:v>Business licences 2013 to 2024</x:v>
      </x:c>
      <x:c r="D7" s="11" t="str">
        <x:v>records_all_statuses_by_folderyear</x:v>
      </x:c>
      <x:c r="E7" s="11" t="str">
        <x:v>2022</x:v>
      </x:c>
      <x:c r="F7" s="26" t="n">
        <x:v>4103</x:v>
      </x:c>
      <x:c r="G7" s="11" t="str">
        <x:v>records</x:v>
      </x:c>
      <x:c r="H7" s="11" t="str">
        <x:v>Business type=Short Term Rental</x:v>
      </x:c>
      <x:c r="I7" s="13" t="n">
        <x:v>46268.76008101852</x:v>
      </x:c>
      <x:c r="J7" s="18" t="str">
        <x:v>https://opendata.vancouver.ca/explore/dataset/business-licences-2013-to-2024/information/</x:v>
      </x:c>
      <x:c r="K7" s="11" t="str">
        <x:v>manual_browser_portal_aggregate</x:v>
      </x:c>
      <x:c r="L7" s="11" t="str">
        <x:v>Open Government Licence - Vancouver</x:v>
      </x:c>
      <x:c r="M7" s="11" t="str">
        <x:v>historical_complete_current_portal_view</x:v>
      </x:c>
      <x:c r="N7" s="11" t="str">
        <x:v>not_original_vintage</x:v>
      </x:c>
      <x:c r="O7" s="11" t="str">
        <x:v>monitoring_only</x:v>
      </x:c>
      <x:c r="P7" s="19" t="str">
        <x:v>Static historical dataset; raw address-level records were not opened or retained.</x:v>
      </x:c>
      <x:c r="Q7" s="14" t="n">
        <x:v>46268</x:v>
      </x:c>
      <x:c r="R7" s="12" t="n">
        <x:f>COUNTIF('Guidance Events'!$E$3:$E$25,"&gt;"&amp;Q7)</x:f>
        <x:v>0</x:v>
      </x:c>
      <x:c r="S7" s="11" t="str">
        <x:v>None in panel</x:v>
      </x:c>
      <x:c r="T7" s="11" t="str">
        <x:v>Prospective only</x:v>
      </x:c>
      <x:c r="U7" s="11" t="str">
        <x:v>Supply / regulatory stock</x:v>
      </x:c>
      <x:c r="V7" s="19" t="str">
        <x:v>Current portal snapshot is not proof of historical availability; do not backfill into past events.</x:v>
      </x:c>
    </x:row>
    <x:row r="8">
      <x:c r="A8" s="11" t="str">
        <x:v>BA-006</x:v>
      </x:c>
      <x:c r="B8" s="11" t="str">
        <x:v>VANCOUVER_STR_LICENSES</x:v>
      </x:c>
      <x:c r="C8" s="11" t="str">
        <x:v>Business licences 2013 to 2024</x:v>
      </x:c>
      <x:c r="D8" s="11" t="str">
        <x:v>records_all_statuses_by_folderyear</x:v>
      </x:c>
      <x:c r="E8" s="11" t="str">
        <x:v>2023</x:v>
      </x:c>
      <x:c r="F8" s="26" t="n">
        <x:v>4595</x:v>
      </x:c>
      <x:c r="G8" s="11" t="str">
        <x:v>records</x:v>
      </x:c>
      <x:c r="H8" s="11" t="str">
        <x:v>Business type=Short Term Rental</x:v>
      </x:c>
      <x:c r="I8" s="13" t="n">
        <x:v>46268.76008101852</x:v>
      </x:c>
      <x:c r="J8" s="18" t="str">
        <x:v>https://opendata.vancouver.ca/explore/dataset/business-licences-2013-to-2024/information/</x:v>
      </x:c>
      <x:c r="K8" s="11" t="str">
        <x:v>manual_browser_portal_aggregate</x:v>
      </x:c>
      <x:c r="L8" s="11" t="str">
        <x:v>Open Government Licence - Vancouver</x:v>
      </x:c>
      <x:c r="M8" s="11" t="str">
        <x:v>historical_complete_current_portal_view</x:v>
      </x:c>
      <x:c r="N8" s="11" t="str">
        <x:v>not_original_vintage</x:v>
      </x:c>
      <x:c r="O8" s="11" t="str">
        <x:v>monitoring_only</x:v>
      </x:c>
      <x:c r="P8" s="19" t="str">
        <x:v>Static historical dataset; raw address-level records were not opened or retained.</x:v>
      </x:c>
      <x:c r="Q8" s="14" t="n">
        <x:v>46268</x:v>
      </x:c>
      <x:c r="R8" s="12" t="n">
        <x:f>COUNTIF('Guidance Events'!$E$3:$E$25,"&gt;"&amp;Q8)</x:f>
        <x:v>0</x:v>
      </x:c>
      <x:c r="S8" s="11" t="str">
        <x:v>None in panel</x:v>
      </x:c>
      <x:c r="T8" s="11" t="str">
        <x:v>Prospective only</x:v>
      </x:c>
      <x:c r="U8" s="11" t="str">
        <x:v>Supply / regulatory stock</x:v>
      </x:c>
      <x:c r="V8" s="19" t="str">
        <x:v>Current portal snapshot is not proof of historical availability; do not backfill into past events.</x:v>
      </x:c>
    </x:row>
    <x:row r="9">
      <x:c r="A9" s="11" t="str">
        <x:v>BA-007</x:v>
      </x:c>
      <x:c r="B9" s="11" t="str">
        <x:v>VANCOUVER_STR_LICENSES</x:v>
      </x:c>
      <x:c r="C9" s="11" t="str">
        <x:v>Business licences 2013 to 2024</x:v>
      </x:c>
      <x:c r="D9" s="11" t="str">
        <x:v>records_all_statuses_by_folderyear</x:v>
      </x:c>
      <x:c r="E9" s="11" t="str">
        <x:v>2024</x:v>
      </x:c>
      <x:c r="F9" s="26" t="n">
        <x:v>4569</x:v>
      </x:c>
      <x:c r="G9" s="11" t="str">
        <x:v>records</x:v>
      </x:c>
      <x:c r="H9" s="11" t="str">
        <x:v>Business type=Short Term Rental</x:v>
      </x:c>
      <x:c r="I9" s="13" t="n">
        <x:v>46268.76008101852</x:v>
      </x:c>
      <x:c r="J9" s="18" t="str">
        <x:v>https://opendata.vancouver.ca/explore/dataset/business-licences-2013-to-2024/information/</x:v>
      </x:c>
      <x:c r="K9" s="11" t="str">
        <x:v>manual_browser_portal_aggregate</x:v>
      </x:c>
      <x:c r="L9" s="11" t="str">
        <x:v>Open Government Licence - Vancouver</x:v>
      </x:c>
      <x:c r="M9" s="11" t="str">
        <x:v>overlap_period</x:v>
      </x:c>
      <x:c r="N9" s="11" t="str">
        <x:v>not_original_vintage</x:v>
      </x:c>
      <x:c r="O9" s="11" t="str">
        <x:v>methodology_break</x:v>
      </x:c>
      <x:c r="P9" s="19" t="str">
        <x:v>Historical page and current page disagree by one record for the same folder year.</x:v>
      </x:c>
      <x:c r="Q9" s="14" t="n">
        <x:v>46268</x:v>
      </x:c>
      <x:c r="R9" s="12" t="n">
        <x:f>COUNTIF('Guidance Events'!$E$3:$E$25,"&gt;"&amp;Q9)</x:f>
        <x:v>0</x:v>
      </x:c>
      <x:c r="S9" s="11" t="str">
        <x:v>None in panel</x:v>
      </x:c>
      <x:c r="T9" s="11" t="str">
        <x:v>Prospective only</x:v>
      </x:c>
      <x:c r="U9" s="11" t="str">
        <x:v>Supply / regulatory stock</x:v>
      </x:c>
      <x:c r="V9" s="19" t="str">
        <x:v>Current portal snapshot is not proof of historical availability; do not backfill into past events.</x:v>
      </x:c>
    </x:row>
    <x:row r="10">
      <x:c r="A10" s="11" t="str">
        <x:v>BA-008</x:v>
      </x:c>
      <x:c r="B10" s="11" t="str">
        <x:v>VANCOUVER_STR_LICENSES</x:v>
      </x:c>
      <x:c r="C10" s="11" t="str">
        <x:v>Business licences 2013 to 2024</x:v>
      </x:c>
      <x:c r="D10" s="11" t="str">
        <x:v>records_issued_by_folderyear</x:v>
      </x:c>
      <x:c r="E10" s="11" t="str">
        <x:v>2018</x:v>
      </x:c>
      <x:c r="F10" s="26" t="n">
        <x:v>3248</x:v>
      </x:c>
      <x:c r="G10" s="11" t="str">
        <x:v>records</x:v>
      </x:c>
      <x:c r="H10" s="11" t="str">
        <x:v>Business type=Short Term Rental; Status=Issued</x:v>
      </x:c>
      <x:c r="I10" s="13" t="n">
        <x:v>46268.76008101852</x:v>
      </x:c>
      <x:c r="J10" s="18" t="str">
        <x:v>https://opendata.vancouver.ca/explore/dataset/business-licences-2013-to-2024/information/</x:v>
      </x:c>
      <x:c r="K10" s="11" t="str">
        <x:v>manual_browser_portal_aggregate</x:v>
      </x:c>
      <x:c r="L10" s="11" t="str">
        <x:v>Open Government Licence - Vancouver</x:v>
      </x:c>
      <x:c r="M10" s="11" t="str">
        <x:v>historical_complete_current_portal_view</x:v>
      </x:c>
      <x:c r="N10" s="11" t="str">
        <x:v>not_original_vintage</x:v>
      </x:c>
      <x:c r="O10" s="11" t="str">
        <x:v>monitoring_only</x:v>
      </x:c>
      <x:c r="P10" s="19" t="str">
        <x:v>Facet total reconciliation passed.</x:v>
      </x:c>
      <x:c r="Q10" s="14" t="n">
        <x:v>46268</x:v>
      </x:c>
      <x:c r="R10" s="12" t="n">
        <x:f>COUNTIF('Guidance Events'!$E$3:$E$25,"&gt;"&amp;Q10)</x:f>
        <x:v>0</x:v>
      </x:c>
      <x:c r="S10" s="11" t="str">
        <x:v>None in panel</x:v>
      </x:c>
      <x:c r="T10" s="11" t="str">
        <x:v>Prospective only</x:v>
      </x:c>
      <x:c r="U10" s="11" t="str">
        <x:v>Supply / regulatory stock</x:v>
      </x:c>
      <x:c r="V10" s="19" t="str">
        <x:v>Current portal snapshot is not proof of historical availability; do not backfill into past events.</x:v>
      </x:c>
    </x:row>
    <x:row r="11">
      <x:c r="A11" s="11" t="str">
        <x:v>BA-009</x:v>
      </x:c>
      <x:c r="B11" s="11" t="str">
        <x:v>VANCOUVER_STR_LICENSES</x:v>
      </x:c>
      <x:c r="C11" s="11" t="str">
        <x:v>Business licences 2013 to 2024</x:v>
      </x:c>
      <x:c r="D11" s="11" t="str">
        <x:v>records_issued_by_folderyear</x:v>
      </x:c>
      <x:c r="E11" s="11" t="str">
        <x:v>2019</x:v>
      </x:c>
      <x:c r="F11" s="26" t="n">
        <x:v>4209</x:v>
      </x:c>
      <x:c r="G11" s="11" t="str">
        <x:v>records</x:v>
      </x:c>
      <x:c r="H11" s="11" t="str">
        <x:v>Business type=Short Term Rental; Status=Issued</x:v>
      </x:c>
      <x:c r="I11" s="13" t="n">
        <x:v>46268.76008101852</x:v>
      </x:c>
      <x:c r="J11" s="18" t="str">
        <x:v>https://opendata.vancouver.ca/explore/dataset/business-licences-2013-to-2024/information/</x:v>
      </x:c>
      <x:c r="K11" s="11" t="str">
        <x:v>manual_browser_portal_aggregate</x:v>
      </x:c>
      <x:c r="L11" s="11" t="str">
        <x:v>Open Government Licence - Vancouver</x:v>
      </x:c>
      <x:c r="M11" s="11" t="str">
        <x:v>historical_complete_current_portal_view</x:v>
      </x:c>
      <x:c r="N11" s="11" t="str">
        <x:v>not_original_vintage</x:v>
      </x:c>
      <x:c r="O11" s="11" t="str">
        <x:v>monitoring_only</x:v>
      </x:c>
      <x:c r="P11" s="19" t="str">
        <x:v>Facet total reconciliation passed.</x:v>
      </x:c>
      <x:c r="Q11" s="14" t="n">
        <x:v>46268</x:v>
      </x:c>
      <x:c r="R11" s="12" t="n">
        <x:f>COUNTIF('Guidance Events'!$E$3:$E$25,"&gt;"&amp;Q11)</x:f>
        <x:v>0</x:v>
      </x:c>
      <x:c r="S11" s="11" t="str">
        <x:v>None in panel</x:v>
      </x:c>
      <x:c r="T11" s="11" t="str">
        <x:v>Prospective only</x:v>
      </x:c>
      <x:c r="U11" s="11" t="str">
        <x:v>Supply / regulatory stock</x:v>
      </x:c>
      <x:c r="V11" s="19" t="str">
        <x:v>Current portal snapshot is not proof of historical availability; do not backfill into past events.</x:v>
      </x:c>
    </x:row>
    <x:row r="12">
      <x:c r="A12" s="11" t="str">
        <x:v>BA-010</x:v>
      </x:c>
      <x:c r="B12" s="11" t="str">
        <x:v>VANCOUVER_STR_LICENSES</x:v>
      </x:c>
      <x:c r="C12" s="11" t="str">
        <x:v>Business licences 2013 to 2024</x:v>
      </x:c>
      <x:c r="D12" s="11" t="str">
        <x:v>records_issued_by_folderyear</x:v>
      </x:c>
      <x:c r="E12" s="11" t="str">
        <x:v>2020</x:v>
      </x:c>
      <x:c r="F12" s="26" t="n">
        <x:v>2797</x:v>
      </x:c>
      <x:c r="G12" s="11" t="str">
        <x:v>records</x:v>
      </x:c>
      <x:c r="H12" s="11" t="str">
        <x:v>Business type=Short Term Rental; Status=Issued</x:v>
      </x:c>
      <x:c r="I12" s="13" t="n">
        <x:v>46268.76008101852</x:v>
      </x:c>
      <x:c r="J12" s="18" t="str">
        <x:v>https://opendata.vancouver.ca/explore/dataset/business-licences-2013-to-2024/information/</x:v>
      </x:c>
      <x:c r="K12" s="11" t="str">
        <x:v>manual_browser_portal_aggregate</x:v>
      </x:c>
      <x:c r="L12" s="11" t="str">
        <x:v>Open Government Licence - Vancouver</x:v>
      </x:c>
      <x:c r="M12" s="11" t="str">
        <x:v>historical_complete_current_portal_view</x:v>
      </x:c>
      <x:c r="N12" s="11" t="str">
        <x:v>not_original_vintage</x:v>
      </x:c>
      <x:c r="O12" s="11" t="str">
        <x:v>monitoring_only</x:v>
      </x:c>
      <x:c r="P12" s="19" t="str">
        <x:v>Facet total reconciliation passed.</x:v>
      </x:c>
      <x:c r="Q12" s="14" t="n">
        <x:v>46268</x:v>
      </x:c>
      <x:c r="R12" s="12" t="n">
        <x:f>COUNTIF('Guidance Events'!$E$3:$E$25,"&gt;"&amp;Q12)</x:f>
        <x:v>0</x:v>
      </x:c>
      <x:c r="S12" s="11" t="str">
        <x:v>None in panel</x:v>
      </x:c>
      <x:c r="T12" s="11" t="str">
        <x:v>Prospective only</x:v>
      </x:c>
      <x:c r="U12" s="11" t="str">
        <x:v>Supply / regulatory stock</x:v>
      </x:c>
      <x:c r="V12" s="19" t="str">
        <x:v>Current portal snapshot is not proof of historical availability; do not backfill into past events.</x:v>
      </x:c>
    </x:row>
    <x:row r="13">
      <x:c r="A13" s="11" t="str">
        <x:v>BA-011</x:v>
      </x:c>
      <x:c r="B13" s="11" t="str">
        <x:v>VANCOUVER_STR_LICENSES</x:v>
      </x:c>
      <x:c r="C13" s="11" t="str">
        <x:v>Business licences 2013 to 2024</x:v>
      </x:c>
      <x:c r="D13" s="11" t="str">
        <x:v>records_issued_by_folderyear</x:v>
      </x:c>
      <x:c r="E13" s="11" t="str">
        <x:v>2021</x:v>
      </x:c>
      <x:c r="F13" s="26" t="n">
        <x:v>2179</x:v>
      </x:c>
      <x:c r="G13" s="11" t="str">
        <x:v>records</x:v>
      </x:c>
      <x:c r="H13" s="11" t="str">
        <x:v>Business type=Short Term Rental; Status=Issued</x:v>
      </x:c>
      <x:c r="I13" s="13" t="n">
        <x:v>46268.76008101852</x:v>
      </x:c>
      <x:c r="J13" s="18" t="str">
        <x:v>https://opendata.vancouver.ca/explore/dataset/business-licences-2013-to-2024/information/</x:v>
      </x:c>
      <x:c r="K13" s="11" t="str">
        <x:v>manual_browser_portal_aggregate</x:v>
      </x:c>
      <x:c r="L13" s="11" t="str">
        <x:v>Open Government Licence - Vancouver</x:v>
      </x:c>
      <x:c r="M13" s="11" t="str">
        <x:v>historical_complete_current_portal_view</x:v>
      </x:c>
      <x:c r="N13" s="11" t="str">
        <x:v>not_original_vintage</x:v>
      </x:c>
      <x:c r="O13" s="11" t="str">
        <x:v>monitoring_only</x:v>
      </x:c>
      <x:c r="P13" s="19" t="str">
        <x:v>Facet total reconciliation passed.</x:v>
      </x:c>
      <x:c r="Q13" s="14" t="n">
        <x:v>46268</x:v>
      </x:c>
      <x:c r="R13" s="12" t="n">
        <x:f>COUNTIF('Guidance Events'!$E$3:$E$25,"&gt;"&amp;Q13)</x:f>
        <x:v>0</x:v>
      </x:c>
      <x:c r="S13" s="11" t="str">
        <x:v>None in panel</x:v>
      </x:c>
      <x:c r="T13" s="11" t="str">
        <x:v>Prospective only</x:v>
      </x:c>
      <x:c r="U13" s="11" t="str">
        <x:v>Supply / regulatory stock</x:v>
      </x:c>
      <x:c r="V13" s="19" t="str">
        <x:v>Current portal snapshot is not proof of historical availability; do not backfill into past events.</x:v>
      </x:c>
    </x:row>
    <x:row r="14">
      <x:c r="A14" s="11" t="str">
        <x:v>BA-012</x:v>
      </x:c>
      <x:c r="B14" s="11" t="str">
        <x:v>VANCOUVER_STR_LICENSES</x:v>
      </x:c>
      <x:c r="C14" s="11" t="str">
        <x:v>Business licences 2013 to 2024</x:v>
      </x:c>
      <x:c r="D14" s="11" t="str">
        <x:v>records_issued_by_folderyear</x:v>
      </x:c>
      <x:c r="E14" s="11" t="str">
        <x:v>2022</x:v>
      </x:c>
      <x:c r="F14" s="26" t="n">
        <x:v>2591</x:v>
      </x:c>
      <x:c r="G14" s="11" t="str">
        <x:v>records</x:v>
      </x:c>
      <x:c r="H14" s="11" t="str">
        <x:v>Business type=Short Term Rental; Status=Issued</x:v>
      </x:c>
      <x:c r="I14" s="13" t="n">
        <x:v>46268.76008101852</x:v>
      </x:c>
      <x:c r="J14" s="18" t="str">
        <x:v>https://opendata.vancouver.ca/explore/dataset/business-licences-2013-to-2024/information/</x:v>
      </x:c>
      <x:c r="K14" s="11" t="str">
        <x:v>manual_browser_portal_aggregate</x:v>
      </x:c>
      <x:c r="L14" s="11" t="str">
        <x:v>Open Government Licence - Vancouver</x:v>
      </x:c>
      <x:c r="M14" s="11" t="str">
        <x:v>historical_complete_current_portal_view</x:v>
      </x:c>
      <x:c r="N14" s="11" t="str">
        <x:v>not_original_vintage</x:v>
      </x:c>
      <x:c r="O14" s="11" t="str">
        <x:v>monitoring_only</x:v>
      </x:c>
      <x:c r="P14" s="19" t="str">
        <x:v>Facet total reconciliation passed.</x:v>
      </x:c>
      <x:c r="Q14" s="14" t="n">
        <x:v>46268</x:v>
      </x:c>
      <x:c r="R14" s="12" t="n">
        <x:f>COUNTIF('Guidance Events'!$E$3:$E$25,"&gt;"&amp;Q14)</x:f>
        <x:v>0</x:v>
      </x:c>
      <x:c r="S14" s="11" t="str">
        <x:v>None in panel</x:v>
      </x:c>
      <x:c r="T14" s="11" t="str">
        <x:v>Prospective only</x:v>
      </x:c>
      <x:c r="U14" s="11" t="str">
        <x:v>Supply / regulatory stock</x:v>
      </x:c>
      <x:c r="V14" s="19" t="str">
        <x:v>Current portal snapshot is not proof of historical availability; do not backfill into past events.</x:v>
      </x:c>
    </x:row>
    <x:row r="15">
      <x:c r="A15" s="11" t="str">
        <x:v>BA-013</x:v>
      </x:c>
      <x:c r="B15" s="11" t="str">
        <x:v>VANCOUVER_STR_LICENSES</x:v>
      </x:c>
      <x:c r="C15" s="11" t="str">
        <x:v>Business licences 2013 to 2024</x:v>
      </x:c>
      <x:c r="D15" s="11" t="str">
        <x:v>records_issued_by_folderyear</x:v>
      </x:c>
      <x:c r="E15" s="11" t="str">
        <x:v>2023</x:v>
      </x:c>
      <x:c r="F15" s="26" t="n">
        <x:v>3188</x:v>
      </x:c>
      <x:c r="G15" s="11" t="str">
        <x:v>records</x:v>
      </x:c>
      <x:c r="H15" s="11" t="str">
        <x:v>Business type=Short Term Rental; Status=Issued</x:v>
      </x:c>
      <x:c r="I15" s="13" t="n">
        <x:v>46268.76008101852</x:v>
      </x:c>
      <x:c r="J15" s="18" t="str">
        <x:v>https://opendata.vancouver.ca/explore/dataset/business-licences-2013-to-2024/information/</x:v>
      </x:c>
      <x:c r="K15" s="11" t="str">
        <x:v>manual_browser_portal_aggregate</x:v>
      </x:c>
      <x:c r="L15" s="11" t="str">
        <x:v>Open Government Licence - Vancouver</x:v>
      </x:c>
      <x:c r="M15" s="11" t="str">
        <x:v>historical_complete_current_portal_view</x:v>
      </x:c>
      <x:c r="N15" s="11" t="str">
        <x:v>not_original_vintage</x:v>
      </x:c>
      <x:c r="O15" s="11" t="str">
        <x:v>monitoring_only</x:v>
      </x:c>
      <x:c r="P15" s="19" t="str">
        <x:v>Facet total reconciliation passed.</x:v>
      </x:c>
      <x:c r="Q15" s="14" t="n">
        <x:v>46268</x:v>
      </x:c>
      <x:c r="R15" s="12" t="n">
        <x:f>COUNTIF('Guidance Events'!$E$3:$E$25,"&gt;"&amp;Q15)</x:f>
        <x:v>0</x:v>
      </x:c>
      <x:c r="S15" s="11" t="str">
        <x:v>None in panel</x:v>
      </x:c>
      <x:c r="T15" s="11" t="str">
        <x:v>Prospective only</x:v>
      </x:c>
      <x:c r="U15" s="11" t="str">
        <x:v>Supply / regulatory stock</x:v>
      </x:c>
      <x:c r="V15" s="19" t="str">
        <x:v>Current portal snapshot is not proof of historical availability; do not backfill into past events.</x:v>
      </x:c>
    </x:row>
    <x:row r="16">
      <x:c r="A16" s="11" t="str">
        <x:v>BA-014</x:v>
      </x:c>
      <x:c r="B16" s="11" t="str">
        <x:v>VANCOUVER_STR_LICENSES</x:v>
      </x:c>
      <x:c r="C16" s="11" t="str">
        <x:v>Business licences 2013 to 2024</x:v>
      </x:c>
      <x:c r="D16" s="11" t="str">
        <x:v>records_issued_by_folderyear</x:v>
      </x:c>
      <x:c r="E16" s="11" t="str">
        <x:v>2024</x:v>
      </x:c>
      <x:c r="F16" s="26" t="n">
        <x:v>2982</x:v>
      </x:c>
      <x:c r="G16" s="11" t="str">
        <x:v>records</x:v>
      </x:c>
      <x:c r="H16" s="11" t="str">
        <x:v>Business type=Short Term Rental; Status=Issued</x:v>
      </x:c>
      <x:c r="I16" s="13" t="n">
        <x:v>46268.76008101852</x:v>
      </x:c>
      <x:c r="J16" s="18" t="str">
        <x:v>https://opendata.vancouver.ca/explore/dataset/business-licences-2013-to-2024/information/</x:v>
      </x:c>
      <x:c r="K16" s="11" t="str">
        <x:v>manual_browser_portal_aggregate</x:v>
      </x:c>
      <x:c r="L16" s="11" t="str">
        <x:v>Open Government Licence - Vancouver</x:v>
      </x:c>
      <x:c r="M16" s="11" t="str">
        <x:v>overlap_period</x:v>
      </x:c>
      <x:c r="N16" s="11" t="str">
        <x:v>not_original_vintage</x:v>
      </x:c>
      <x:c r="O16" s="11" t="str">
        <x:v>methodology_break</x:v>
      </x:c>
      <x:c r="P16" s="19" t="str">
        <x:v>Current page shows seven more issued records for the same folder year.</x:v>
      </x:c>
      <x:c r="Q16" s="14" t="n">
        <x:v>46268</x:v>
      </x:c>
      <x:c r="R16" s="12" t="n">
        <x:f>COUNTIF('Guidance Events'!$E$3:$E$25,"&gt;"&amp;Q16)</x:f>
        <x:v>0</x:v>
      </x:c>
      <x:c r="S16" s="11" t="str">
        <x:v>None in panel</x:v>
      </x:c>
      <x:c r="T16" s="11" t="str">
        <x:v>Prospective only</x:v>
      </x:c>
      <x:c r="U16" s="11" t="str">
        <x:v>Supply / regulatory stock</x:v>
      </x:c>
      <x:c r="V16" s="19" t="str">
        <x:v>Current portal snapshot is not proof of historical availability; do not backfill into past events.</x:v>
      </x:c>
    </x:row>
    <x:row r="17">
      <x:c r="A17" s="11" t="str">
        <x:v>BA-015</x:v>
      </x:c>
      <x:c r="B17" s="11" t="str">
        <x:v>VANCOUVER_STR_LICENSES</x:v>
      </x:c>
      <x:c r="C17" s="11" t="str">
        <x:v>Business licences current</x:v>
      </x:c>
      <x:c r="D17" s="11" t="str">
        <x:v>records_all_statuses_by_folderyear</x:v>
      </x:c>
      <x:c r="E17" s="11" t="str">
        <x:v>2024</x:v>
      </x:c>
      <x:c r="F17" s="26" t="n">
        <x:v>4568</x:v>
      </x:c>
      <x:c r="G17" s="11" t="str">
        <x:v>records</x:v>
      </x:c>
      <x:c r="H17" s="11" t="str">
        <x:v>Business type=Short Term Rental</x:v>
      </x:c>
      <x:c r="I17" s="13" t="n">
        <x:v>46268.76008101852</x:v>
      </x:c>
      <x:c r="J17" s="18" t="str">
        <x:v>https://opendata.vancouver.ca/explore/dataset/business-licences/information/</x:v>
      </x:c>
      <x:c r="K17" s="11" t="str">
        <x:v>manual_browser_portal_aggregate</x:v>
      </x:c>
      <x:c r="L17" s="11" t="str">
        <x:v>Open Government Licence - Vancouver</x:v>
      </x:c>
      <x:c r="M17" s="11" t="str">
        <x:v>overlap_period</x:v>
      </x:c>
      <x:c r="N17" s="11" t="str">
        <x:v>current_mutable_view</x:v>
      </x:c>
      <x:c r="O17" s="11" t="str">
        <x:v>methodology_break</x:v>
      </x:c>
      <x:c r="P17" s="19" t="str">
        <x:v>Current page; differs by one record from the historical 2024 page.</x:v>
      </x:c>
      <x:c r="Q17" s="14" t="n">
        <x:v>46268</x:v>
      </x:c>
      <x:c r="R17" s="12" t="n">
        <x:f>COUNTIF('Guidance Events'!$E$3:$E$25,"&gt;"&amp;Q17)</x:f>
        <x:v>0</x:v>
      </x:c>
      <x:c r="S17" s="11" t="str">
        <x:v>None in panel</x:v>
      </x:c>
      <x:c r="T17" s="11" t="str">
        <x:v>Prospective only</x:v>
      </x:c>
      <x:c r="U17" s="11" t="str">
        <x:v>Supply / regulatory stock</x:v>
      </x:c>
      <x:c r="V17" s="19" t="str">
        <x:v>Current portal snapshot is not proof of historical availability; do not backfill into past events.</x:v>
      </x:c>
    </x:row>
    <x:row r="18">
      <x:c r="A18" s="11" t="str">
        <x:v>BA-016</x:v>
      </x:c>
      <x:c r="B18" s="11" t="str">
        <x:v>VANCOUVER_STR_LICENSES</x:v>
      </x:c>
      <x:c r="C18" s="11" t="str">
        <x:v>Business licences current</x:v>
      </x:c>
      <x:c r="D18" s="11" t="str">
        <x:v>records_all_statuses_by_folderyear</x:v>
      </x:c>
      <x:c r="E18" s="11" t="str">
        <x:v>2025</x:v>
      </x:c>
      <x:c r="F18" s="26" t="n">
        <x:v>4201</x:v>
      </x:c>
      <x:c r="G18" s="11" t="str">
        <x:v>records</x:v>
      </x:c>
      <x:c r="H18" s="11" t="str">
        <x:v>Business type=Short Term Rental</x:v>
      </x:c>
      <x:c r="I18" s="13" t="n">
        <x:v>46268.76008101852</x:v>
      </x:c>
      <x:c r="J18" s="18" t="str">
        <x:v>https://opendata.vancouver.ca/explore/dataset/business-licences/information/</x:v>
      </x:c>
      <x:c r="K18" s="11" t="str">
        <x:v>manual_browser_portal_aggregate</x:v>
      </x:c>
      <x:c r="L18" s="11" t="str">
        <x:v>Open Government Licence - Vancouver</x:v>
      </x:c>
      <x:c r="M18" s="11" t="str">
        <x:v>closed_year_current_view</x:v>
      </x:c>
      <x:c r="N18" s="11" t="str">
        <x:v>current_mutable_view</x:v>
      </x:c>
      <x:c r="O18" s="11" t="str">
        <x:v>prospective_candidate</x:v>
      </x:c>
      <x:c r="P18" s="19" t="str">
        <x:v>Start timestamped snapshots; provider may revise the current view.</x:v>
      </x:c>
      <x:c r="Q18" s="14" t="n">
        <x:v>46268</x:v>
      </x:c>
      <x:c r="R18" s="12" t="n">
        <x:f>COUNTIF('Guidance Events'!$E$3:$E$25,"&gt;"&amp;Q18)</x:f>
        <x:v>0</x:v>
      </x:c>
      <x:c r="S18" s="11" t="str">
        <x:v>None in panel</x:v>
      </x:c>
      <x:c r="T18" s="11" t="str">
        <x:v>Prospective only</x:v>
      </x:c>
      <x:c r="U18" s="11" t="str">
        <x:v>Supply / regulatory stock</x:v>
      </x:c>
      <x:c r="V18" s="19" t="str">
        <x:v>Current portal snapshot is not proof of historical availability; do not backfill into past events.</x:v>
      </x:c>
    </x:row>
    <x:row r="19">
      <x:c r="A19" s="11" t="str">
        <x:v>BA-017</x:v>
      </x:c>
      <x:c r="B19" s="11" t="str">
        <x:v>VANCOUVER_STR_LICENSES</x:v>
      </x:c>
      <x:c r="C19" s="11" t="str">
        <x:v>Business licences current</x:v>
      </x:c>
      <x:c r="D19" s="11" t="str">
        <x:v>records_all_statuses_by_folderyear</x:v>
      </x:c>
      <x:c r="E19" s="11" t="str">
        <x:v>2026</x:v>
      </x:c>
      <x:c r="F19" s="26" t="n">
        <x:v>4722</x:v>
      </x:c>
      <x:c r="G19" s="11" t="str">
        <x:v>records</x:v>
      </x:c>
      <x:c r="H19" s="11" t="str">
        <x:v>Business type=Short Term Rental</x:v>
      </x:c>
      <x:c r="I19" s="13" t="n">
        <x:v>46268.76008101852</x:v>
      </x:c>
      <x:c r="J19" s="18" t="str">
        <x:v>https://opendata.vancouver.ca/explore/dataset/business-licences/information/</x:v>
      </x:c>
      <x:c r="K19" s="11" t="str">
        <x:v>manual_browser_portal_aggregate</x:v>
      </x:c>
      <x:c r="L19" s="11" t="str">
        <x:v>Open Government Licence - Vancouver</x:v>
      </x:c>
      <x:c r="M19" s="11" t="str">
        <x:v>partial_year_through_observation_date</x:v>
      </x:c>
      <x:c r="N19" s="11" t="str">
        <x:v>current_mutable_view</x:v>
      </x:c>
      <x:c r="O19" s="11" t="str">
        <x:v>prospective_candidate</x:v>
      </x:c>
      <x:c r="P19" s="19" t="str">
        <x:v>Partial 2026 stock-like count; not comparable with closed years without cutoff controls.</x:v>
      </x:c>
      <x:c r="Q19" s="14" t="n">
        <x:v>46268</x:v>
      </x:c>
      <x:c r="R19" s="12" t="n">
        <x:f>COUNTIF('Guidance Events'!$E$3:$E$25,"&gt;"&amp;Q19)</x:f>
        <x:v>0</x:v>
      </x:c>
      <x:c r="S19" s="11" t="str">
        <x:v>None in panel</x:v>
      </x:c>
      <x:c r="T19" s="11" t="str">
        <x:v>Prospective only</x:v>
      </x:c>
      <x:c r="U19" s="11" t="str">
        <x:v>Supply / regulatory stock</x:v>
      </x:c>
      <x:c r="V19" s="19" t="str">
        <x:v>Current portal snapshot is not proof of historical availability; do not backfill into past events.</x:v>
      </x:c>
    </x:row>
    <x:row r="20">
      <x:c r="A20" s="11" t="str">
        <x:v>BA-018</x:v>
      </x:c>
      <x:c r="B20" s="11" t="str">
        <x:v>VANCOUVER_STR_LICENSES</x:v>
      </x:c>
      <x:c r="C20" s="11" t="str">
        <x:v>Business licences current</x:v>
      </x:c>
      <x:c r="D20" s="11" t="str">
        <x:v>records_issued_by_folderyear</x:v>
      </x:c>
      <x:c r="E20" s="11" t="str">
        <x:v>2024</x:v>
      </x:c>
      <x:c r="F20" s="26" t="n">
        <x:v>2989</x:v>
      </x:c>
      <x:c r="G20" s="11" t="str">
        <x:v>records</x:v>
      </x:c>
      <x:c r="H20" s="11" t="str">
        <x:v>Business type=Short Term Rental; Status=Issued</x:v>
      </x:c>
      <x:c r="I20" s="13" t="n">
        <x:v>46268.76008101852</x:v>
      </x:c>
      <x:c r="J20" s="18" t="str">
        <x:v>https://opendata.vancouver.ca/explore/dataset/business-licences/information/</x:v>
      </x:c>
      <x:c r="K20" s="11" t="str">
        <x:v>manual_browser_portal_aggregate</x:v>
      </x:c>
      <x:c r="L20" s="11" t="str">
        <x:v>Open Government Licence - Vancouver</x:v>
      </x:c>
      <x:c r="M20" s="11" t="str">
        <x:v>overlap_period</x:v>
      </x:c>
      <x:c r="N20" s="11" t="str">
        <x:v>current_mutable_view</x:v>
      </x:c>
      <x:c r="O20" s="11" t="str">
        <x:v>methodology_break</x:v>
      </x:c>
      <x:c r="P20" s="19" t="str">
        <x:v>Current page; seven above historical-page 2024 issued count.</x:v>
      </x:c>
      <x:c r="Q20" s="14" t="n">
        <x:v>46268</x:v>
      </x:c>
      <x:c r="R20" s="12" t="n">
        <x:f>COUNTIF('Guidance Events'!$E$3:$E$25,"&gt;"&amp;Q20)</x:f>
        <x:v>0</x:v>
      </x:c>
      <x:c r="S20" s="11" t="str">
        <x:v>None in panel</x:v>
      </x:c>
      <x:c r="T20" s="11" t="str">
        <x:v>Prospective only</x:v>
      </x:c>
      <x:c r="U20" s="11" t="str">
        <x:v>Supply / regulatory stock</x:v>
      </x:c>
      <x:c r="V20" s="19" t="str">
        <x:v>Current portal snapshot is not proof of historical availability; do not backfill into past events.</x:v>
      </x:c>
    </x:row>
    <x:row r="21">
      <x:c r="A21" s="11" t="str">
        <x:v>BA-019</x:v>
      </x:c>
      <x:c r="B21" s="11" t="str">
        <x:v>VANCOUVER_STR_LICENSES</x:v>
      </x:c>
      <x:c r="C21" s="11" t="str">
        <x:v>Business licences current</x:v>
      </x:c>
      <x:c r="D21" s="11" t="str">
        <x:v>records_issued_by_folderyear</x:v>
      </x:c>
      <x:c r="E21" s="11" t="str">
        <x:v>2025</x:v>
      </x:c>
      <x:c r="F21" s="26" t="n">
        <x:v>3075</x:v>
      </x:c>
      <x:c r="G21" s="11" t="str">
        <x:v>records</x:v>
      </x:c>
      <x:c r="H21" s="11" t="str">
        <x:v>Business type=Short Term Rental; Status=Issued</x:v>
      </x:c>
      <x:c r="I21" s="13" t="n">
        <x:v>46268.76008101852</x:v>
      </x:c>
      <x:c r="J21" s="18" t="str">
        <x:v>https://opendata.vancouver.ca/explore/dataset/business-licences/information/</x:v>
      </x:c>
      <x:c r="K21" s="11" t="str">
        <x:v>manual_browser_portal_aggregate</x:v>
      </x:c>
      <x:c r="L21" s="11" t="str">
        <x:v>Open Government Licence - Vancouver</x:v>
      </x:c>
      <x:c r="M21" s="11" t="str">
        <x:v>closed_year_current_view</x:v>
      </x:c>
      <x:c r="N21" s="11" t="str">
        <x:v>current_mutable_view</x:v>
      </x:c>
      <x:c r="O21" s="11" t="str">
        <x:v>prospective_candidate</x:v>
      </x:c>
      <x:c r="P21" s="19" t="str">
        <x:v>Current-page folder-year facet; current issued-year reconciliation passed.</x:v>
      </x:c>
      <x:c r="Q21" s="14" t="n">
        <x:v>46268</x:v>
      </x:c>
      <x:c r="R21" s="12" t="n">
        <x:f>COUNTIF('Guidance Events'!$E$3:$E$25,"&gt;"&amp;Q21)</x:f>
        <x:v>0</x:v>
      </x:c>
      <x:c r="S21" s="11" t="str">
        <x:v>None in panel</x:v>
      </x:c>
      <x:c r="T21" s="11" t="str">
        <x:v>Prospective only</x:v>
      </x:c>
      <x:c r="U21" s="11" t="str">
        <x:v>Supply / regulatory stock</x:v>
      </x:c>
      <x:c r="V21" s="19" t="str">
        <x:v>Current portal snapshot is not proof of historical availability; do not backfill into past events.</x:v>
      </x:c>
    </x:row>
    <x:row r="22">
      <x:c r="A22" s="11" t="str">
        <x:v>BA-020</x:v>
      </x:c>
      <x:c r="B22" s="11" t="str">
        <x:v>VANCOUVER_STR_LICENSES</x:v>
      </x:c>
      <x:c r="C22" s="11" t="str">
        <x:v>Business licences current</x:v>
      </x:c>
      <x:c r="D22" s="11" t="str">
        <x:v>records_issued_by_folderyear</x:v>
      </x:c>
      <x:c r="E22" s="11" t="str">
        <x:v>2026</x:v>
      </x:c>
      <x:c r="F22" s="26" t="n">
        <x:v>3915</x:v>
      </x:c>
      <x:c r="G22" s="11" t="str">
        <x:v>records</x:v>
      </x:c>
      <x:c r="H22" s="11" t="str">
        <x:v>Business type=Short Term Rental; Status=Issued</x:v>
      </x:c>
      <x:c r="I22" s="13" t="n">
        <x:v>46268.76008101852</x:v>
      </x:c>
      <x:c r="J22" s="18" t="str">
        <x:v>https://opendata.vancouver.ca/explore/dataset/business-licences/information/</x:v>
      </x:c>
      <x:c r="K22" s="11" t="str">
        <x:v>manual_browser_portal_aggregate</x:v>
      </x:c>
      <x:c r="L22" s="11" t="str">
        <x:v>Open Government Licence - Vancouver</x:v>
      </x:c>
      <x:c r="M22" s="11" t="str">
        <x:v>partial_year_through_observation_date</x:v>
      </x:c>
      <x:c r="N22" s="11" t="str">
        <x:v>current_mutable_view</x:v>
      </x:c>
      <x:c r="O22" s="11" t="str">
        <x:v>prospective_candidate</x:v>
      </x:c>
      <x:c r="P22" s="19" t="str">
        <x:v>Partial 2026 stock-like count; current issued-year reconciliation passed.</x:v>
      </x:c>
      <x:c r="Q22" s="14" t="n">
        <x:v>46268</x:v>
      </x:c>
      <x:c r="R22" s="12" t="n">
        <x:f>COUNTIF('Guidance Events'!$E$3:$E$25,"&gt;"&amp;Q22)</x:f>
        <x:v>0</x:v>
      </x:c>
      <x:c r="S22" s="11" t="str">
        <x:v>None in panel</x:v>
      </x:c>
      <x:c r="T22" s="11" t="str">
        <x:v>Prospective only</x:v>
      </x:c>
      <x:c r="U22" s="11" t="str">
        <x:v>Supply / regulatory stock</x:v>
      </x:c>
      <x:c r="V22" s="19" t="str">
        <x:v>Current portal snapshot is not proof of historical availability; do not backfill into past events.</x:v>
      </x:c>
    </x:row>
    <x:row r="23">
      <x:c r="A23" s="11" t="str">
        <x:v>BA-021</x:v>
      </x:c>
      <x:c r="B23" s="11" t="str">
        <x:v>MELB_PED_HOURLY</x:v>
      </x:c>
      <x:c r="C23" s="11" t="str">
        <x:v>Pedestrian Counting System counts per hour</x:v>
      </x:c>
      <x:c r="D23" s="11" t="str">
        <x:v>source_rows_by_sensing_year</x:v>
      </x:c>
      <x:c r="E23" s="11" t="str">
        <x:v>2024</x:v>
      </x:c>
      <x:c r="F23" s="26" t="n">
        <x:v>253428</x:v>
      </x:c>
      <x:c r="G23" s="11" t="str">
        <x:v>rows</x:v>
      </x:c>
      <x:c r="H23" s="11" t="str">
        <x:v>Portal facet; no active filters</x:v>
      </x:c>
      <x:c r="I23" s="13" t="n">
        <x:v>46268.76008101852</x:v>
      </x:c>
      <x:c r="J23" s="18" t="str">
        <x:v>https://data.melbourne.vic.gov.au/explore/dataset/pedestrian-counting-system-monthly-counts-per-hour/analyze/</x:v>
      </x:c>
      <x:c r="K23" s="11" t="str">
        <x:v>manual_browser_portal_aggregate</x:v>
      </x:c>
      <x:c r="L23" s="11" t="str">
        <x:v>CC BY 4.0 under City of Melbourne data policy</x:v>
      </x:c>
      <x:c r="M23" s="11" t="str">
        <x:v>incomplete_or_migration_limited</x:v>
      </x:c>
      <x:c r="N23" s="11" t="str">
        <x:v>current_mutable_view</x:v>
      </x:c>
      <x:c r="O23" s="11" t="str">
        <x:v>control_only</x:v>
      </x:c>
      <x:c r="P23" s="19" t="str">
        <x:v>Observation-row coverage is far below 2025; do not interpret as pedestrian volume.</x:v>
      </x:c>
      <x:c r="Q23" s="14" t="n">
        <x:v>46268</x:v>
      </x:c>
      <x:c r="R23" s="12" t="n">
        <x:f>COUNTIF('Guidance Events'!$E$3:$E$25,"&gt;"&amp;Q23)</x:f>
        <x:v>0</x:v>
      </x:c>
      <x:c r="S23" s="11" t="str">
        <x:v>None in panel</x:v>
      </x:c>
      <x:c r="T23" s="11" t="str">
        <x:v>Prospective only</x:v>
      </x:c>
      <x:c r="U23" s="11" t="str">
        <x:v>Physical-world activity</x:v>
      </x:c>
      <x:c r="V23" s="19" t="str">
        <x:v>Current portal snapshot is not proof of historical availability; do not backfill into past events.</x:v>
      </x:c>
    </x:row>
    <x:row r="24">
      <x:c r="A24" s="11" t="str">
        <x:v>BA-022</x:v>
      </x:c>
      <x:c r="B24" s="11" t="str">
        <x:v>MELB_PED_HOURLY</x:v>
      </x:c>
      <x:c r="C24" s="11" t="str">
        <x:v>Pedestrian Counting System counts per hour</x:v>
      </x:c>
      <x:c r="D24" s="11" t="str">
        <x:v>source_rows_by_sensing_year</x:v>
      </x:c>
      <x:c r="E24" s="11" t="str">
        <x:v>2025</x:v>
      </x:c>
      <x:c r="F24" s="26" t="n">
        <x:v>815447</x:v>
      </x:c>
      <x:c r="G24" s="11" t="str">
        <x:v>rows</x:v>
      </x:c>
      <x:c r="H24" s="11" t="str">
        <x:v>Portal facet; no active filters</x:v>
      </x:c>
      <x:c r="I24" s="13" t="n">
        <x:v>46268.76008101852</x:v>
      </x:c>
      <x:c r="J24" s="18" t="str">
        <x:v>https://data.melbourne.vic.gov.au/explore/dataset/pedestrian-counting-system-monthly-counts-per-hour/analyze/</x:v>
      </x:c>
      <x:c r="K24" s="11" t="str">
        <x:v>manual_browser_portal_aggregate</x:v>
      </x:c>
      <x:c r="L24" s="11" t="str">
        <x:v>CC BY 4.0 under City of Melbourne data policy</x:v>
      </x:c>
      <x:c r="M24" s="11" t="str">
        <x:v>closed_year_current_view</x:v>
      </x:c>
      <x:c r="N24" s="11" t="str">
        <x:v>current_mutable_view</x:v>
      </x:c>
      <x:c r="O24" s="11" t="str">
        <x:v>coverage_diagnostic</x:v>
      </x:c>
      <x:c r="P24" s="19" t="str">
        <x:v>Observation-row count is a sensor-coverage diagnostic only.</x:v>
      </x:c>
      <x:c r="Q24" s="14" t="n">
        <x:v>46268</x:v>
      </x:c>
      <x:c r="R24" s="12" t="n">
        <x:f>COUNTIF('Guidance Events'!$E$3:$E$25,"&gt;"&amp;Q24)</x:f>
        <x:v>0</x:v>
      </x:c>
      <x:c r="S24" s="11" t="str">
        <x:v>None in panel</x:v>
      </x:c>
      <x:c r="T24" s="11" t="str">
        <x:v>Prospective only</x:v>
      </x:c>
      <x:c r="U24" s="11" t="str">
        <x:v>Physical-world activity</x:v>
      </x:c>
      <x:c r="V24" s="19" t="str">
        <x:v>Current portal snapshot is not proof of historical availability; do not backfill into past events.</x:v>
      </x:c>
    </x:row>
    <x:row r="25">
      <x:c r="A25" s="11" t="str">
        <x:v>BA-023</x:v>
      </x:c>
      <x:c r="B25" s="11" t="str">
        <x:v>MELB_PED_HOURLY</x:v>
      </x:c>
      <x:c r="C25" s="11" t="str">
        <x:v>Pedestrian Counting System counts per hour</x:v>
      </x:c>
      <x:c r="D25" s="11" t="str">
        <x:v>source_rows_by_sensing_year</x:v>
      </x:c>
      <x:c r="E25" s="11" t="str">
        <x:v>2026</x:v>
      </x:c>
      <x:c r="F25" s="26" t="n">
        <x:v>550863</x:v>
      </x:c>
      <x:c r="G25" s="11" t="str">
        <x:v>rows</x:v>
      </x:c>
      <x:c r="H25" s="11" t="str">
        <x:v>Portal facet; no active filters</x:v>
      </x:c>
      <x:c r="I25" s="13" t="n">
        <x:v>46268.76008101852</x:v>
      </x:c>
      <x:c r="J25" s="18" t="str">
        <x:v>https://data.melbourne.vic.gov.au/explore/dataset/pedestrian-counting-system-monthly-counts-per-hour/analyze/</x:v>
      </x:c>
      <x:c r="K25" s="11" t="str">
        <x:v>manual_browser_portal_aggregate</x:v>
      </x:c>
      <x:c r="L25" s="11" t="str">
        <x:v>CC BY 4.0 under City of Melbourne data policy</x:v>
      </x:c>
      <x:c r="M25" s="11" t="str">
        <x:v>partial_year_through_observation_date</x:v>
      </x:c>
      <x:c r="N25" s="11" t="str">
        <x:v>current_mutable_view</x:v>
      </x:c>
      <x:c r="O25" s="11" t="str">
        <x:v>coverage_diagnostic</x:v>
      </x:c>
      <x:c r="P25" s="19" t="str">
        <x:v>Observation-row count is a sensor-coverage diagnostic only.</x:v>
      </x:c>
      <x:c r="Q25" s="14" t="n">
        <x:v>46268</x:v>
      </x:c>
      <x:c r="R25" s="12" t="n">
        <x:f>COUNTIF('Guidance Events'!$E$3:$E$25,"&gt;"&amp;Q25)</x:f>
        <x:v>0</x:v>
      </x:c>
      <x:c r="S25" s="11" t="str">
        <x:v>None in panel</x:v>
      </x:c>
      <x:c r="T25" s="11" t="str">
        <x:v>Prospective only</x:v>
      </x:c>
      <x:c r="U25" s="11" t="str">
        <x:v>Physical-world activity</x:v>
      </x:c>
      <x:c r="V25" s="19" t="str">
        <x:v>Current portal snapshot is not proof of historical availability; do not backfill into past events.</x:v>
      </x:c>
    </x:row>
    <x:row r="26">
      <x:c r="A26" s="11" t="str">
        <x:v>BA-024</x:v>
      </x:c>
      <x:c r="B26" s="11" t="str">
        <x:v>MELB_PED_HOURLY</x:v>
      </x:c>
      <x:c r="C26" s="11" t="str">
        <x:v>Pedestrian Counting System counts per hour</x:v>
      </x:c>
      <x:c r="D26" s="11" t="str">
        <x:v>sum_direction_1_by_sensing_year</x:v>
      </x:c>
      <x:c r="E26" s="11" t="str">
        <x:v>2024</x:v>
      </x:c>
      <x:c r="F26" s="26" t="n">
        <x:v>49324560</x:v>
      </x:c>
      <x:c r="G26" s="11" t="str">
        <x:v>pedestrian_counts</x:v>
      </x:c>
      <x:c r="H26" s="11" t="str">
        <x:v>X=Sensing_Date; timescale=Year; aggregate=SUM(Direction_1); all points</x:v>
      </x:c>
      <x:c r="I26" s="13" t="n">
        <x:v>46268.76008101852</x:v>
      </x:c>
      <x:c r="J26" s="18" t="str">
        <x:v>https://data.melbourne.vic.gov.au/explore/dataset/pedestrian-counting-system-monthly-counts-per-hour/analyze/</x:v>
      </x:c>
      <x:c r="K26" s="11" t="str">
        <x:v>manual_browser_chart_tooltip</x:v>
      </x:c>
      <x:c r="L26" s="11" t="str">
        <x:v>CC BY 4.0 under City of Melbourne data policy</x:v>
      </x:c>
      <x:c r="M26" s="11" t="str">
        <x:v>incomplete_or_migration_limited</x:v>
      </x:c>
      <x:c r="N26" s="11" t="str">
        <x:v>current_mutable_view</x:v>
      </x:c>
      <x:c r="O26" s="11" t="str">
        <x:v>control_only</x:v>
      </x:c>
      <x:c r="P26" s="19" t="str">
        <x:v>Portal tooltip value; sensor-panel and coverage controls required.</x:v>
      </x:c>
      <x:c r="Q26" s="14" t="n">
        <x:v>46268</x:v>
      </x:c>
      <x:c r="R26" s="12" t="n">
        <x:f>COUNTIF('Guidance Events'!$E$3:$E$25,"&gt;"&amp;Q26)</x:f>
        <x:v>0</x:v>
      </x:c>
      <x:c r="S26" s="11" t="str">
        <x:v>None in panel</x:v>
      </x:c>
      <x:c r="T26" s="11" t="str">
        <x:v>Prospective only</x:v>
      </x:c>
      <x:c r="U26" s="11" t="str">
        <x:v>Physical-world activity</x:v>
      </x:c>
      <x:c r="V26" s="19" t="str">
        <x:v>Current portal snapshot is not proof of historical availability; do not backfill into past events.</x:v>
      </x:c>
    </x:row>
    <x:row r="27">
      <x:c r="A27" s="11" t="str">
        <x:v>BA-025</x:v>
      </x:c>
      <x:c r="B27" s="11" t="str">
        <x:v>MELB_PED_HOURLY</x:v>
      </x:c>
      <x:c r="C27" s="11" t="str">
        <x:v>Pedestrian Counting System counts per hour</x:v>
      </x:c>
      <x:c r="D27" s="11" t="str">
        <x:v>sum_direction_2_by_sensing_year</x:v>
      </x:c>
      <x:c r="E27" s="11" t="str">
        <x:v>2024</x:v>
      </x:c>
      <x:c r="F27" s="26" t="n">
        <x:v>49914384</x:v>
      </x:c>
      <x:c r="G27" s="11" t="str">
        <x:v>pedestrian_counts</x:v>
      </x:c>
      <x:c r="H27" s="11" t="str">
        <x:v>X=Sensing_Date; timescale=Year; aggregate=SUM(Direction_2); all points</x:v>
      </x:c>
      <x:c r="I27" s="13" t="n">
        <x:v>46268.76008101852</x:v>
      </x:c>
      <x:c r="J27" s="18" t="str">
        <x:v>https://data.melbourne.vic.gov.au/explore/dataset/pedestrian-counting-system-monthly-counts-per-hour/analyze/</x:v>
      </x:c>
      <x:c r="K27" s="11" t="str">
        <x:v>manual_browser_chart_tooltip</x:v>
      </x:c>
      <x:c r="L27" s="11" t="str">
        <x:v>CC BY 4.0 under City of Melbourne data policy</x:v>
      </x:c>
      <x:c r="M27" s="11" t="str">
        <x:v>incomplete_or_migration_limited</x:v>
      </x:c>
      <x:c r="N27" s="11" t="str">
        <x:v>current_mutable_view</x:v>
      </x:c>
      <x:c r="O27" s="11" t="str">
        <x:v>control_only</x:v>
      </x:c>
      <x:c r="P27" s="19" t="str">
        <x:v>Portal tooltip value; sensor-panel and coverage controls required.</x:v>
      </x:c>
      <x:c r="Q27" s="14" t="n">
        <x:v>46268</x:v>
      </x:c>
      <x:c r="R27" s="12" t="n">
        <x:f>COUNTIF('Guidance Events'!$E$3:$E$25,"&gt;"&amp;Q27)</x:f>
        <x:v>0</x:v>
      </x:c>
      <x:c r="S27" s="11" t="str">
        <x:v>None in panel</x:v>
      </x:c>
      <x:c r="T27" s="11" t="str">
        <x:v>Prospective only</x:v>
      </x:c>
      <x:c r="U27" s="11" t="str">
        <x:v>Physical-world activity</x:v>
      </x:c>
      <x:c r="V27" s="19" t="str">
        <x:v>Current portal snapshot is not proof of historical availability; do not backfill into past events.</x:v>
      </x:c>
    </x:row>
    <x:row r="28">
      <x:c r="A28" s="11" t="str">
        <x:v>BA-026</x:v>
      </x:c>
      <x:c r="B28" s="11" t="str">
        <x:v>MELB_PED_HOURLY</x:v>
      </x:c>
      <x:c r="C28" s="11" t="str">
        <x:v>Pedestrian Counting System counts per hour</x:v>
      </x:c>
      <x:c r="D28" s="11" t="str">
        <x:v>sum_total_directions_by_sensing_year</x:v>
      </x:c>
      <x:c r="E28" s="11" t="str">
        <x:v>2024</x:v>
      </x:c>
      <x:c r="F28" s="26" t="n">
        <x:v>99238944</x:v>
      </x:c>
      <x:c r="G28" s="11" t="str">
        <x:v>pedestrian_counts</x:v>
      </x:c>
      <x:c r="H28" s="11" t="str">
        <x:v>X=Sensing_Date; timescale=Year; aggregate=SUM(Total_of_Directions); all points</x:v>
      </x:c>
      <x:c r="I28" s="13" t="n">
        <x:v>46268.76008101852</x:v>
      </x:c>
      <x:c r="J28" s="18" t="str">
        <x:v>https://data.melbourne.vic.gov.au/explore/dataset/pedestrian-counting-system-monthly-counts-per-hour/analyze/</x:v>
      </x:c>
      <x:c r="K28" s="11" t="str">
        <x:v>manual_browser_chart_tooltip</x:v>
      </x:c>
      <x:c r="L28" s="11" t="str">
        <x:v>CC BY 4.0 under City of Melbourne data policy</x:v>
      </x:c>
      <x:c r="M28" s="11" t="str">
        <x:v>incomplete_or_migration_limited</x:v>
      </x:c>
      <x:c r="N28" s="11" t="str">
        <x:v>current_mutable_view</x:v>
      </x:c>
      <x:c r="O28" s="11" t="str">
        <x:v>control_only</x:v>
      </x:c>
      <x:c r="P28" s="19" t="str">
        <x:v>Direction 1 plus Direction 2 reconciles exactly to provider total.</x:v>
      </x:c>
      <x:c r="Q28" s="14" t="n">
        <x:v>46268</x:v>
      </x:c>
      <x:c r="R28" s="12" t="n">
        <x:f>COUNTIF('Guidance Events'!$E$3:$E$25,"&gt;"&amp;Q28)</x:f>
        <x:v>0</x:v>
      </x:c>
      <x:c r="S28" s="11" t="str">
        <x:v>None in panel</x:v>
      </x:c>
      <x:c r="T28" s="11" t="str">
        <x:v>Prospective only</x:v>
      </x:c>
      <x:c r="U28" s="11" t="str">
        <x:v>Physical-world activity</x:v>
      </x:c>
      <x:c r="V28" s="19" t="str">
        <x:v>Current portal snapshot is not proof of historical availability; do not backfill into past events.</x:v>
      </x:c>
    </x:row>
    <x:row r="29">
      <x:c r="A29" s="11" t="str">
        <x:v>BA-027</x:v>
      </x:c>
      <x:c r="B29" s="11" t="str">
        <x:v>MELB_PED_HOURLY</x:v>
      </x:c>
      <x:c r="C29" s="11" t="str">
        <x:v>Pedestrian Counting System counts per hour</x:v>
      </x:c>
      <x:c r="D29" s="11" t="str">
        <x:v>sum_direction_1_by_sensing_year</x:v>
      </x:c>
      <x:c r="E29" s="11" t="str">
        <x:v>2025</x:v>
      </x:c>
      <x:c r="F29" s="26" t="n">
        <x:v>159981654</x:v>
      </x:c>
      <x:c r="G29" s="11" t="str">
        <x:v>pedestrian_counts</x:v>
      </x:c>
      <x:c r="H29" s="11" t="str">
        <x:v>X=Sensing_Date; timescale=Year; aggregate=SUM(Direction_1); all points</x:v>
      </x:c>
      <x:c r="I29" s="13" t="n">
        <x:v>46268.76008101852</x:v>
      </x:c>
      <x:c r="J29" s="18" t="str">
        <x:v>https://data.melbourne.vic.gov.au/explore/dataset/pedestrian-counting-system-monthly-counts-per-hour/analyze/</x:v>
      </x:c>
      <x:c r="K29" s="11" t="str">
        <x:v>manual_browser_chart_tooltip</x:v>
      </x:c>
      <x:c r="L29" s="11" t="str">
        <x:v>CC BY 4.0 under City of Melbourne data policy</x:v>
      </x:c>
      <x:c r="M29" s="11" t="str">
        <x:v>closed_year_current_view</x:v>
      </x:c>
      <x:c r="N29" s="11" t="str">
        <x:v>current_mutable_view</x:v>
      </x:c>
      <x:c r="O29" s="11" t="str">
        <x:v>control_only</x:v>
      </x:c>
      <x:c r="P29" s="19" t="str">
        <x:v>Portal tooltip value; sensor-panel and coverage controls required.</x:v>
      </x:c>
      <x:c r="Q29" s="14" t="n">
        <x:v>46268</x:v>
      </x:c>
      <x:c r="R29" s="12" t="n">
        <x:f>COUNTIF('Guidance Events'!$E$3:$E$25,"&gt;"&amp;Q29)</x:f>
        <x:v>0</x:v>
      </x:c>
      <x:c r="S29" s="11" t="str">
        <x:v>None in panel</x:v>
      </x:c>
      <x:c r="T29" s="11" t="str">
        <x:v>Prospective only</x:v>
      </x:c>
      <x:c r="U29" s="11" t="str">
        <x:v>Physical-world activity</x:v>
      </x:c>
      <x:c r="V29" s="19" t="str">
        <x:v>Current portal snapshot is not proof of historical availability; do not backfill into past events.</x:v>
      </x:c>
    </x:row>
    <x:row r="30">
      <x:c r="A30" s="11" t="str">
        <x:v>BA-028</x:v>
      </x:c>
      <x:c r="B30" s="11" t="str">
        <x:v>MELB_PED_HOURLY</x:v>
      </x:c>
      <x:c r="C30" s="11" t="str">
        <x:v>Pedestrian Counting System counts per hour</x:v>
      </x:c>
      <x:c r="D30" s="11" t="str">
        <x:v>sum_direction_2_by_sensing_year</x:v>
      </x:c>
      <x:c r="E30" s="11" t="str">
        <x:v>2025</x:v>
      </x:c>
      <x:c r="F30" s="26" t="n">
        <x:v>161780597</x:v>
      </x:c>
      <x:c r="G30" s="11" t="str">
        <x:v>pedestrian_counts</x:v>
      </x:c>
      <x:c r="H30" s="11" t="str">
        <x:v>X=Sensing_Date; timescale=Year; aggregate=SUM(Direction_2); all points</x:v>
      </x:c>
      <x:c r="I30" s="13" t="n">
        <x:v>46268.76008101852</x:v>
      </x:c>
      <x:c r="J30" s="18" t="str">
        <x:v>https://data.melbourne.vic.gov.au/explore/dataset/pedestrian-counting-system-monthly-counts-per-hour/analyze/</x:v>
      </x:c>
      <x:c r="K30" s="11" t="str">
        <x:v>manual_browser_chart_tooltip</x:v>
      </x:c>
      <x:c r="L30" s="11" t="str">
        <x:v>CC BY 4.0 under City of Melbourne data policy</x:v>
      </x:c>
      <x:c r="M30" s="11" t="str">
        <x:v>closed_year_current_view</x:v>
      </x:c>
      <x:c r="N30" s="11" t="str">
        <x:v>current_mutable_view</x:v>
      </x:c>
      <x:c r="O30" s="11" t="str">
        <x:v>control_only</x:v>
      </x:c>
      <x:c r="P30" s="19" t="str">
        <x:v>Portal tooltip value; sensor-panel and coverage controls required.</x:v>
      </x:c>
      <x:c r="Q30" s="14" t="n">
        <x:v>46268</x:v>
      </x:c>
      <x:c r="R30" s="12" t="n">
        <x:f>COUNTIF('Guidance Events'!$E$3:$E$25,"&gt;"&amp;Q30)</x:f>
        <x:v>0</x:v>
      </x:c>
      <x:c r="S30" s="11" t="str">
        <x:v>None in panel</x:v>
      </x:c>
      <x:c r="T30" s="11" t="str">
        <x:v>Prospective only</x:v>
      </x:c>
      <x:c r="U30" s="11" t="str">
        <x:v>Physical-world activity</x:v>
      </x:c>
      <x:c r="V30" s="19" t="str">
        <x:v>Current portal snapshot is not proof of historical availability; do not backfill into past events.</x:v>
      </x:c>
    </x:row>
    <x:row r="31">
      <x:c r="A31" s="11" t="str">
        <x:v>BA-029</x:v>
      </x:c>
      <x:c r="B31" s="11" t="str">
        <x:v>MELB_PED_HOURLY</x:v>
      </x:c>
      <x:c r="C31" s="11" t="str">
        <x:v>Pedestrian Counting System counts per hour</x:v>
      </x:c>
      <x:c r="D31" s="11" t="str">
        <x:v>sum_total_directions_by_sensing_year</x:v>
      </x:c>
      <x:c r="E31" s="11" t="str">
        <x:v>2025</x:v>
      </x:c>
      <x:c r="F31" s="26" t="n">
        <x:v>321762251</x:v>
      </x:c>
      <x:c r="G31" s="11" t="str">
        <x:v>pedestrian_counts</x:v>
      </x:c>
      <x:c r="H31" s="11" t="str">
        <x:v>X=Sensing_Date; timescale=Year; aggregate=SUM(Total_of_Directions); all points</x:v>
      </x:c>
      <x:c r="I31" s="13" t="n">
        <x:v>46268.76008101852</x:v>
      </x:c>
      <x:c r="J31" s="18" t="str">
        <x:v>https://data.melbourne.vic.gov.au/explore/dataset/pedestrian-counting-system-monthly-counts-per-hour/analyze/</x:v>
      </x:c>
      <x:c r="K31" s="11" t="str">
        <x:v>manual_browser_chart_tooltip</x:v>
      </x:c>
      <x:c r="L31" s="11" t="str">
        <x:v>CC BY 4.0 under City of Melbourne data policy</x:v>
      </x:c>
      <x:c r="M31" s="11" t="str">
        <x:v>closed_year_current_view</x:v>
      </x:c>
      <x:c r="N31" s="11" t="str">
        <x:v>current_mutable_view</x:v>
      </x:c>
      <x:c r="O31" s="11" t="str">
        <x:v>control_only</x:v>
      </x:c>
      <x:c r="P31" s="19" t="str">
        <x:v>Direction 1 plus Direction 2 reconciles exactly to provider total.</x:v>
      </x:c>
      <x:c r="Q31" s="14" t="n">
        <x:v>46268</x:v>
      </x:c>
      <x:c r="R31" s="12" t="n">
        <x:f>COUNTIF('Guidance Events'!$E$3:$E$25,"&gt;"&amp;Q31)</x:f>
        <x:v>0</x:v>
      </x:c>
      <x:c r="S31" s="11" t="str">
        <x:v>None in panel</x:v>
      </x:c>
      <x:c r="T31" s="11" t="str">
        <x:v>Prospective only</x:v>
      </x:c>
      <x:c r="U31" s="11" t="str">
        <x:v>Physical-world activity</x:v>
      </x:c>
      <x:c r="V31" s="19" t="str">
        <x:v>Current portal snapshot is not proof of historical availability; do not backfill into past events.</x:v>
      </x:c>
    </x:row>
    <x:row r="32">
      <x:c r="A32" s="11" t="str">
        <x:v>BA-030</x:v>
      </x:c>
      <x:c r="B32" s="11" t="str">
        <x:v>MELB_PED_HOURLY</x:v>
      </x:c>
      <x:c r="C32" s="11" t="str">
        <x:v>Pedestrian Counting System counts per hour</x:v>
      </x:c>
      <x:c r="D32" s="11" t="str">
        <x:v>sum_direction_1_by_sensing_year</x:v>
      </x:c>
      <x:c r="E32" s="11" t="str">
        <x:v>2026</x:v>
      </x:c>
      <x:c r="F32" s="26" t="n">
        <x:v>107688032</x:v>
      </x:c>
      <x:c r="G32" s="11" t="str">
        <x:v>pedestrian_counts</x:v>
      </x:c>
      <x:c r="H32" s="11" t="str">
        <x:v>X=Sensing_Date; timescale=Year; aggregate=SUM(Direction_1); all points</x:v>
      </x:c>
      <x:c r="I32" s="13" t="n">
        <x:v>46268.76008101852</x:v>
      </x:c>
      <x:c r="J32" s="18" t="str">
        <x:v>https://data.melbourne.vic.gov.au/explore/dataset/pedestrian-counting-system-monthly-counts-per-hour/analyze/</x:v>
      </x:c>
      <x:c r="K32" s="11" t="str">
        <x:v>manual_browser_chart_tooltip</x:v>
      </x:c>
      <x:c r="L32" s="11" t="str">
        <x:v>CC BY 4.0 under City of Melbourne data policy</x:v>
      </x:c>
      <x:c r="M32" s="11" t="str">
        <x:v>partial_year_through_observation_date</x:v>
      </x:c>
      <x:c r="N32" s="11" t="str">
        <x:v>current_mutable_view</x:v>
      </x:c>
      <x:c r="O32" s="11" t="str">
        <x:v>control_only</x:v>
      </x:c>
      <x:c r="P32" s="19" t="str">
        <x:v>Partial 2026; sensor-panel and coverage controls required.</x:v>
      </x:c>
      <x:c r="Q32" s="14" t="n">
        <x:v>46268</x:v>
      </x:c>
      <x:c r="R32" s="12" t="n">
        <x:f>COUNTIF('Guidance Events'!$E$3:$E$25,"&gt;"&amp;Q32)</x:f>
        <x:v>0</x:v>
      </x:c>
      <x:c r="S32" s="11" t="str">
        <x:v>None in panel</x:v>
      </x:c>
      <x:c r="T32" s="11" t="str">
        <x:v>Prospective only</x:v>
      </x:c>
      <x:c r="U32" s="11" t="str">
        <x:v>Physical-world activity</x:v>
      </x:c>
      <x:c r="V32" s="19" t="str">
        <x:v>Current portal snapshot is not proof of historical availability; do not backfill into past events.</x:v>
      </x:c>
    </x:row>
    <x:row r="33">
      <x:c r="A33" s="11" t="str">
        <x:v>BA-031</x:v>
      </x:c>
      <x:c r="B33" s="11" t="str">
        <x:v>MELB_PED_HOURLY</x:v>
      </x:c>
      <x:c r="C33" s="11" t="str">
        <x:v>Pedestrian Counting System counts per hour</x:v>
      </x:c>
      <x:c r="D33" s="11" t="str">
        <x:v>sum_direction_2_by_sensing_year</x:v>
      </x:c>
      <x:c r="E33" s="11" t="str">
        <x:v>2026</x:v>
      </x:c>
      <x:c r="F33" s="26" t="n">
        <x:v>109363514</x:v>
      </x:c>
      <x:c r="G33" s="11" t="str">
        <x:v>pedestrian_counts</x:v>
      </x:c>
      <x:c r="H33" s="11" t="str">
        <x:v>X=Sensing_Date; timescale=Year; aggregate=SUM(Direction_2); all points</x:v>
      </x:c>
      <x:c r="I33" s="13" t="n">
        <x:v>46268.76008101852</x:v>
      </x:c>
      <x:c r="J33" s="18" t="str">
        <x:v>https://data.melbourne.vic.gov.au/explore/dataset/pedestrian-counting-system-monthly-counts-per-hour/analyze/</x:v>
      </x:c>
      <x:c r="K33" s="11" t="str">
        <x:v>manual_browser_chart_tooltip</x:v>
      </x:c>
      <x:c r="L33" s="11" t="str">
        <x:v>CC BY 4.0 under City of Melbourne data policy</x:v>
      </x:c>
      <x:c r="M33" s="11" t="str">
        <x:v>partial_year_through_observation_date</x:v>
      </x:c>
      <x:c r="N33" s="11" t="str">
        <x:v>current_mutable_view</x:v>
      </x:c>
      <x:c r="O33" s="11" t="str">
        <x:v>control_only</x:v>
      </x:c>
      <x:c r="P33" s="19" t="str">
        <x:v>Partial 2026; sensor-panel and coverage controls required.</x:v>
      </x:c>
      <x:c r="Q33" s="14" t="n">
        <x:v>46268</x:v>
      </x:c>
      <x:c r="R33" s="12" t="n">
        <x:f>COUNTIF('Guidance Events'!$E$3:$E$25,"&gt;"&amp;Q33)</x:f>
        <x:v>0</x:v>
      </x:c>
      <x:c r="S33" s="11" t="str">
        <x:v>None in panel</x:v>
      </x:c>
      <x:c r="T33" s="11" t="str">
        <x:v>Prospective only</x:v>
      </x:c>
      <x:c r="U33" s="11" t="str">
        <x:v>Physical-world activity</x:v>
      </x:c>
      <x:c r="V33" s="19" t="str">
        <x:v>Current portal snapshot is not proof of historical availability; do not backfill into past events.</x:v>
      </x:c>
    </x:row>
    <x:row r="34">
      <x:c r="A34" s="11" t="str">
        <x:v>BA-032</x:v>
      </x:c>
      <x:c r="B34" s="11" t="str">
        <x:v>MELB_PED_HOURLY</x:v>
      </x:c>
      <x:c r="C34" s="11" t="str">
        <x:v>Pedestrian Counting System counts per hour</x:v>
      </x:c>
      <x:c r="D34" s="11" t="str">
        <x:v>sum_total_directions_by_sensing_year</x:v>
      </x:c>
      <x:c r="E34" s="11" t="str">
        <x:v>2026</x:v>
      </x:c>
      <x:c r="F34" s="26" t="n">
        <x:v>217051546</x:v>
      </x:c>
      <x:c r="G34" s="11" t="str">
        <x:v>pedestrian_counts</x:v>
      </x:c>
      <x:c r="H34" s="11" t="str">
        <x:v>X=Sensing_Date; timescale=Year; aggregate=SUM(Total_of_Directions); all points</x:v>
      </x:c>
      <x:c r="I34" s="13" t="n">
        <x:v>46268.76008101852</x:v>
      </x:c>
      <x:c r="J34" s="18" t="str">
        <x:v>https://data.melbourne.vic.gov.au/explore/dataset/pedestrian-counting-system-monthly-counts-per-hour/analyze/</x:v>
      </x:c>
      <x:c r="K34" s="11" t="str">
        <x:v>manual_browser_chart_tooltip</x:v>
      </x:c>
      <x:c r="L34" s="11" t="str">
        <x:v>CC BY 4.0 under City of Melbourne data policy</x:v>
      </x:c>
      <x:c r="M34" s="11" t="str">
        <x:v>partial_year_through_observation_date</x:v>
      </x:c>
      <x:c r="N34" s="11" t="str">
        <x:v>current_mutable_view</x:v>
      </x:c>
      <x:c r="O34" s="11" t="str">
        <x:v>control_only</x:v>
      </x:c>
      <x:c r="P34" s="19" t="str">
        <x:v>Direction 1 plus Direction 2 reconciles exactly to provider total; partial 2026.</x:v>
      </x:c>
      <x:c r="Q34" s="14" t="n">
        <x:v>46268</x:v>
      </x:c>
      <x:c r="R34" s="12" t="n">
        <x:f>COUNTIF('Guidance Events'!$E$3:$E$25,"&gt;"&amp;Q34)</x:f>
        <x:v>0</x:v>
      </x:c>
      <x:c r="S34" s="11" t="str">
        <x:v>None in panel</x:v>
      </x:c>
      <x:c r="T34" s="11" t="str">
        <x:v>Prospective only</x:v>
      </x:c>
      <x:c r="U34" s="11" t="str">
        <x:v>Physical-world activity</x:v>
      </x:c>
      <x:c r="V34" s="19" t="str">
        <x:v>Current portal snapshot is not proof of historical availability; do not backfill into past events.</x:v>
      </x:c>
    </x:row>
    <x:row r="35">
      <x:c r="A35" s="11" t="str">
        <x:v>BA-033</x:v>
      </x:c>
      <x:c r="B35" s="11" t="str">
        <x:v>NYC_311_TOURISM_STRESS</x:v>
      </x:c>
      <x:c r="C35" s="11" t="str">
        <x:v>311 Service Requests from 2020 to Present</x:v>
      </x:c>
      <x:c r="D35" s="11" t="str">
        <x:v>requests_by_problem_and_borough</x:v>
      </x:c>
      <x:c r="E35" s="11" t="str">
        <x:v>2026-08</x:v>
      </x:c>
      <x:c r="F35" s="26" t="n">
        <x:v>10205</x:v>
      </x:c>
      <x:c r="G35" s="11" t="str">
        <x:v>requests</x:v>
      </x:c>
      <x:c r="H35" s="11" t="str">
        <x:v>Created Date in August 2026; Problem=Noise - Residential; Borough=BROOKLYN</x:v>
      </x:c>
      <x:c r="I35" s="13" t="n">
        <x:v>46268.766597222224</x:v>
      </x:c>
      <x:c r="J35" s="18" t="str">
        <x:v>https://data.cityofnewyork.us/Social-Services/311-Service-Requests-from-2020-to-Present/erm2-nwe9</x:v>
      </x:c>
      <x:c r="K35" s="11" t="str">
        <x:v>manual_browser_query_builder_aggregate</x:v>
      </x:c>
      <x:c r="L35" s="11" t="str">
        <x:v>NYC Open Data public-use terms</x:v>
      </x:c>
      <x:c r="M35" s="11" t="str">
        <x:v>closed_month_current_view</x:v>
      </x:c>
      <x:c r="N35" s="11" t="str">
        <x:v>current_mutable_view</x:v>
      </x:c>
      <x:c r="O35" s="11" t="str">
        <x:v>prospective_control</x:v>
      </x:c>
      <x:c r="P35" s="19" t="str">
        <x:v>Provider-rendered aggregate only; no address or row-level values retained.</x:v>
      </x:c>
      <x:c r="Q35" s="14" t="n">
        <x:v>46268</x:v>
      </x:c>
      <x:c r="R35" s="12" t="n">
        <x:f>COUNTIF('Guidance Events'!$E$3:$E$25,"&gt;"&amp;Q35)</x:f>
        <x:v>0</x:v>
      </x:c>
      <x:c r="S35" s="11" t="str">
        <x:v>None in panel</x:v>
      </x:c>
      <x:c r="T35" s="11" t="str">
        <x:v>Prospective only</x:v>
      </x:c>
      <x:c r="U35" s="11" t="str">
        <x:v>Physical-world activity / stress</x:v>
      </x:c>
      <x:c r="V35" s="19" t="str">
        <x:v>Current portal snapshot is not proof of historical availability; do not backfill into past events.</x:v>
      </x:c>
    </x:row>
    <x:row r="36">
      <x:c r="A36" s="11" t="str">
        <x:v>BA-034</x:v>
      </x:c>
      <x:c r="B36" s="11" t="str">
        <x:v>NYC_311_TOURISM_STRESS</x:v>
      </x:c>
      <x:c r="C36" s="11" t="str">
        <x:v>311 Service Requests from 2020 to Present</x:v>
      </x:c>
      <x:c r="D36" s="11" t="str">
        <x:v>requests_by_problem_and_borough</x:v>
      </x:c>
      <x:c r="E36" s="11" t="str">
        <x:v>2026-08</x:v>
      </x:c>
      <x:c r="F36" s="26" t="n">
        <x:v>7519</x:v>
      </x:c>
      <x:c r="G36" s="11" t="str">
        <x:v>requests</x:v>
      </x:c>
      <x:c r="H36" s="11" t="str">
        <x:v>Created Date in August 2026; Problem=Noise - Residential; Borough=BRONX</x:v>
      </x:c>
      <x:c r="I36" s="13" t="n">
        <x:v>46268.766597222224</x:v>
      </x:c>
      <x:c r="J36" s="18" t="str">
        <x:v>https://data.cityofnewyork.us/Social-Services/311-Service-Requests-from-2020-to-Present/erm2-nwe9</x:v>
      </x:c>
      <x:c r="K36" s="11" t="str">
        <x:v>manual_browser_query_builder_aggregate</x:v>
      </x:c>
      <x:c r="L36" s="11" t="str">
        <x:v>NYC Open Data public-use terms</x:v>
      </x:c>
      <x:c r="M36" s="11" t="str">
        <x:v>closed_month_current_view</x:v>
      </x:c>
      <x:c r="N36" s="11" t="str">
        <x:v>current_mutable_view</x:v>
      </x:c>
      <x:c r="O36" s="11" t="str">
        <x:v>prospective_control</x:v>
      </x:c>
      <x:c r="P36" s="19" t="str">
        <x:v>Provider-rendered aggregate only; no address or row-level values retained.</x:v>
      </x:c>
      <x:c r="Q36" s="14" t="n">
        <x:v>46268</x:v>
      </x:c>
      <x:c r="R36" s="12" t="n">
        <x:f>COUNTIF('Guidance Events'!$E$3:$E$25,"&gt;"&amp;Q36)</x:f>
        <x:v>0</x:v>
      </x:c>
      <x:c r="S36" s="11" t="str">
        <x:v>None in panel</x:v>
      </x:c>
      <x:c r="T36" s="11" t="str">
        <x:v>Prospective only</x:v>
      </x:c>
      <x:c r="U36" s="11" t="str">
        <x:v>Physical-world activity / stress</x:v>
      </x:c>
      <x:c r="V36" s="19" t="str">
        <x:v>Current portal snapshot is not proof of historical availability; do not backfill into past events.</x:v>
      </x:c>
    </x:row>
    <x:row r="37">
      <x:c r="A37" s="11" t="str">
        <x:v>BA-035</x:v>
      </x:c>
      <x:c r="B37" s="11" t="str">
        <x:v>NYC_311_TOURISM_STRESS</x:v>
      </x:c>
      <x:c r="C37" s="11" t="str">
        <x:v>311 Service Requests from 2020 to Present</x:v>
      </x:c>
      <x:c r="D37" s="11" t="str">
        <x:v>requests_by_problem_and_borough</x:v>
      </x:c>
      <x:c r="E37" s="11" t="str">
        <x:v>2026-08</x:v>
      </x:c>
      <x:c r="F37" s="26" t="n">
        <x:v>7504</x:v>
      </x:c>
      <x:c r="G37" s="11" t="str">
        <x:v>requests</x:v>
      </x:c>
      <x:c r="H37" s="11" t="str">
        <x:v>Created Date in August 2026; Problem=Noise - Residential; Borough=QUEENS</x:v>
      </x:c>
      <x:c r="I37" s="13" t="n">
        <x:v>46268.766597222224</x:v>
      </x:c>
      <x:c r="J37" s="18" t="str">
        <x:v>https://data.cityofnewyork.us/Social-Services/311-Service-Requests-from-2020-to-Present/erm2-nwe9</x:v>
      </x:c>
      <x:c r="K37" s="11" t="str">
        <x:v>manual_browser_query_builder_aggregate</x:v>
      </x:c>
      <x:c r="L37" s="11" t="str">
        <x:v>NYC Open Data public-use terms</x:v>
      </x:c>
      <x:c r="M37" s="11" t="str">
        <x:v>closed_month_current_view</x:v>
      </x:c>
      <x:c r="N37" s="11" t="str">
        <x:v>current_mutable_view</x:v>
      </x:c>
      <x:c r="O37" s="11" t="str">
        <x:v>prospective_control</x:v>
      </x:c>
      <x:c r="P37" s="19" t="str">
        <x:v>Provider-rendered aggregate only; no address or row-level values retained.</x:v>
      </x:c>
      <x:c r="Q37" s="14" t="n">
        <x:v>46268</x:v>
      </x:c>
      <x:c r="R37" s="12" t="n">
        <x:f>COUNTIF('Guidance Events'!$E$3:$E$25,"&gt;"&amp;Q37)</x:f>
        <x:v>0</x:v>
      </x:c>
      <x:c r="S37" s="11" t="str">
        <x:v>None in panel</x:v>
      </x:c>
      <x:c r="T37" s="11" t="str">
        <x:v>Prospective only</x:v>
      </x:c>
      <x:c r="U37" s="11" t="str">
        <x:v>Physical-world activity / stress</x:v>
      </x:c>
      <x:c r="V37" s="19" t="str">
        <x:v>Current portal snapshot is not proof of historical availability; do not backfill into past events.</x:v>
      </x:c>
    </x:row>
    <x:row r="38">
      <x:c r="A38" s="11" t="str">
        <x:v>BA-036</x:v>
      </x:c>
      <x:c r="B38" s="11" t="str">
        <x:v>NYC_311_TOURISM_STRESS</x:v>
      </x:c>
      <x:c r="C38" s="11" t="str">
        <x:v>311 Service Requests from 2020 to Present</x:v>
      </x:c>
      <x:c r="D38" s="11" t="str">
        <x:v>requests_by_problem_and_borough</x:v>
      </x:c>
      <x:c r="E38" s="11" t="str">
        <x:v>2026-08</x:v>
      </x:c>
      <x:c r="F38" s="26" t="n">
        <x:v>4168</x:v>
      </x:c>
      <x:c r="G38" s="11" t="str">
        <x:v>requests</x:v>
      </x:c>
      <x:c r="H38" s="11" t="str">
        <x:v>Created Date in August 2026; Problem=Noise - Residential; Borough=MANHATTAN</x:v>
      </x:c>
      <x:c r="I38" s="13" t="n">
        <x:v>46268.766597222224</x:v>
      </x:c>
      <x:c r="J38" s="18" t="str">
        <x:v>https://data.cityofnewyork.us/Social-Services/311-Service-Requests-from-2020-to-Present/erm2-nwe9</x:v>
      </x:c>
      <x:c r="K38" s="11" t="str">
        <x:v>manual_browser_query_builder_aggregate</x:v>
      </x:c>
      <x:c r="L38" s="11" t="str">
        <x:v>NYC Open Data public-use terms</x:v>
      </x:c>
      <x:c r="M38" s="11" t="str">
        <x:v>closed_month_current_view</x:v>
      </x:c>
      <x:c r="N38" s="11" t="str">
        <x:v>current_mutable_view</x:v>
      </x:c>
      <x:c r="O38" s="11" t="str">
        <x:v>prospective_control</x:v>
      </x:c>
      <x:c r="P38" s="19" t="str">
        <x:v>Provider-rendered aggregate only; no address or row-level values retained.</x:v>
      </x:c>
      <x:c r="Q38" s="14" t="n">
        <x:v>46268</x:v>
      </x:c>
      <x:c r="R38" s="12" t="n">
        <x:f>COUNTIF('Guidance Events'!$E$3:$E$25,"&gt;"&amp;Q38)</x:f>
        <x:v>0</x:v>
      </x:c>
      <x:c r="S38" s="11" t="str">
        <x:v>None in panel</x:v>
      </x:c>
      <x:c r="T38" s="11" t="str">
        <x:v>Prospective only</x:v>
      </x:c>
      <x:c r="U38" s="11" t="str">
        <x:v>Physical-world activity / stress</x:v>
      </x:c>
      <x:c r="V38" s="19" t="str">
        <x:v>Current portal snapshot is not proof of historical availability; do not backfill into past events.</x:v>
      </x:c>
    </x:row>
    <x:row r="39">
      <x:c r="A39" s="11" t="str">
        <x:v>BA-037</x:v>
      </x:c>
      <x:c r="B39" s="11" t="str">
        <x:v>NYC_311_TOURISM_STRESS</x:v>
      </x:c>
      <x:c r="C39" s="11" t="str">
        <x:v>311 Service Requests from 2020 to Present</x:v>
      </x:c>
      <x:c r="D39" s="11" t="str">
        <x:v>requests_by_problem_and_borough</x:v>
      </x:c>
      <x:c r="E39" s="11" t="str">
        <x:v>2026-08</x:v>
      </x:c>
      <x:c r="F39" s="26" t="n">
        <x:v>1226</x:v>
      </x:c>
      <x:c r="G39" s="11" t="str">
        <x:v>requests</x:v>
      </x:c>
      <x:c r="H39" s="11" t="str">
        <x:v>Created Date in August 2026; Problem=Noise - Residential; Borough=STATEN ISLAND</x:v>
      </x:c>
      <x:c r="I39" s="13" t="n">
        <x:v>46268.766597222224</x:v>
      </x:c>
      <x:c r="J39" s="18" t="str">
        <x:v>https://data.cityofnewyork.us/Social-Services/311-Service-Requests-from-2020-to-Present/erm2-nwe9</x:v>
      </x:c>
      <x:c r="K39" s="11" t="str">
        <x:v>manual_browser_query_builder_aggregate</x:v>
      </x:c>
      <x:c r="L39" s="11" t="str">
        <x:v>NYC Open Data public-use terms</x:v>
      </x:c>
      <x:c r="M39" s="11" t="str">
        <x:v>closed_month_current_view</x:v>
      </x:c>
      <x:c r="N39" s="11" t="str">
        <x:v>current_mutable_view</x:v>
      </x:c>
      <x:c r="O39" s="11" t="str">
        <x:v>prospective_control</x:v>
      </x:c>
      <x:c r="P39" s="19" t="str">
        <x:v>Provider-rendered aggregate only; no address or row-level values retained.</x:v>
      </x:c>
      <x:c r="Q39" s="14" t="n">
        <x:v>46268</x:v>
      </x:c>
      <x:c r="R39" s="12" t="n">
        <x:f>COUNTIF('Guidance Events'!$E$3:$E$25,"&gt;"&amp;Q39)</x:f>
        <x:v>0</x:v>
      </x:c>
      <x:c r="S39" s="11" t="str">
        <x:v>None in panel</x:v>
      </x:c>
      <x:c r="T39" s="11" t="str">
        <x:v>Prospective only</x:v>
      </x:c>
      <x:c r="U39" s="11" t="str">
        <x:v>Physical-world activity / stress</x:v>
      </x:c>
      <x:c r="V39" s="19" t="str">
        <x:v>Current portal snapshot is not proof of historical availability; do not backfill into past events.</x:v>
      </x:c>
    </x:row>
    <x:row r="40">
      <x:c r="A40" s="11" t="str">
        <x:v>BA-038</x:v>
      </x:c>
      <x:c r="B40" s="11" t="str">
        <x:v>NYC_311_TOURISM_STRESS</x:v>
      </x:c>
      <x:c r="C40" s="11" t="str">
        <x:v>311 Service Requests from 2020 to Present</x:v>
      </x:c>
      <x:c r="D40" s="11" t="str">
        <x:v>requests_by_problem_and_borough</x:v>
      </x:c>
      <x:c r="E40" s="11" t="str">
        <x:v>2026-08</x:v>
      </x:c>
      <x:c r="F40" s="26" t="n">
        <x:v>8415</x:v>
      </x:c>
      <x:c r="G40" s="11" t="str">
        <x:v>requests</x:v>
      </x:c>
      <x:c r="H40" s="11" t="str">
        <x:v>Created Date in August 2026; Problem=Noise - Street/Sidewalk; Borough=BRONX</x:v>
      </x:c>
      <x:c r="I40" s="13" t="n">
        <x:v>46268.766597222224</x:v>
      </x:c>
      <x:c r="J40" s="18" t="str">
        <x:v>https://data.cityofnewyork.us/Social-Services/311-Service-Requests-from-2020-to-Present/erm2-nwe9</x:v>
      </x:c>
      <x:c r="K40" s="11" t="str">
        <x:v>manual_browser_query_builder_aggregate</x:v>
      </x:c>
      <x:c r="L40" s="11" t="str">
        <x:v>NYC Open Data public-use terms</x:v>
      </x:c>
      <x:c r="M40" s="11" t="str">
        <x:v>closed_month_current_view</x:v>
      </x:c>
      <x:c r="N40" s="11" t="str">
        <x:v>current_mutable_view</x:v>
      </x:c>
      <x:c r="O40" s="11" t="str">
        <x:v>prospective_candidate</x:v>
      </x:c>
      <x:c r="P40" s="19" t="str">
        <x:v>Provider-rendered aggregate only; no address or row-level values retained.</x:v>
      </x:c>
      <x:c r="Q40" s="14" t="n">
        <x:v>46268</x:v>
      </x:c>
      <x:c r="R40" s="12" t="n">
        <x:f>COUNTIF('Guidance Events'!$E$3:$E$25,"&gt;"&amp;Q40)</x:f>
        <x:v>0</x:v>
      </x:c>
      <x:c r="S40" s="11" t="str">
        <x:v>None in panel</x:v>
      </x:c>
      <x:c r="T40" s="11" t="str">
        <x:v>Prospective only</x:v>
      </x:c>
      <x:c r="U40" s="11" t="str">
        <x:v>Physical-world activity / stress</x:v>
      </x:c>
      <x:c r="V40" s="19" t="str">
        <x:v>Current portal snapshot is not proof of historical availability; do not backfill into past events.</x:v>
      </x:c>
    </x:row>
    <x:row r="41">
      <x:c r="A41" s="11" t="str">
        <x:v>BA-039</x:v>
      </x:c>
      <x:c r="B41" s="11" t="str">
        <x:v>NYC_311_TOURISM_STRESS</x:v>
      </x:c>
      <x:c r="C41" s="11" t="str">
        <x:v>311 Service Requests from 2020 to Present</x:v>
      </x:c>
      <x:c r="D41" s="11" t="str">
        <x:v>requests_by_problem_and_borough</x:v>
      </x:c>
      <x:c r="E41" s="11" t="str">
        <x:v>2026-08</x:v>
      </x:c>
      <x:c r="F41" s="26" t="n">
        <x:v>5909</x:v>
      </x:c>
      <x:c r="G41" s="11" t="str">
        <x:v>requests</x:v>
      </x:c>
      <x:c r="H41" s="11" t="str">
        <x:v>Created Date in August 2026; Problem=Noise - Street/Sidewalk; Borough=MANHATTAN</x:v>
      </x:c>
      <x:c r="I41" s="13" t="n">
        <x:v>46268.766597222224</x:v>
      </x:c>
      <x:c r="J41" s="18" t="str">
        <x:v>https://data.cityofnewyork.us/Social-Services/311-Service-Requests-from-2020-to-Present/erm2-nwe9</x:v>
      </x:c>
      <x:c r="K41" s="11" t="str">
        <x:v>manual_browser_query_builder_aggregate</x:v>
      </x:c>
      <x:c r="L41" s="11" t="str">
        <x:v>NYC Open Data public-use terms</x:v>
      </x:c>
      <x:c r="M41" s="11" t="str">
        <x:v>closed_month_current_view</x:v>
      </x:c>
      <x:c r="N41" s="11" t="str">
        <x:v>current_mutable_view</x:v>
      </x:c>
      <x:c r="O41" s="11" t="str">
        <x:v>prospective_candidate</x:v>
      </x:c>
      <x:c r="P41" s="19" t="str">
        <x:v>Provider-rendered aggregate only; no address or row-level values retained.</x:v>
      </x:c>
      <x:c r="Q41" s="14" t="n">
        <x:v>46268</x:v>
      </x:c>
      <x:c r="R41" s="12" t="n">
        <x:f>COUNTIF('Guidance Events'!$E$3:$E$25,"&gt;"&amp;Q41)</x:f>
        <x:v>0</x:v>
      </x:c>
      <x:c r="S41" s="11" t="str">
        <x:v>None in panel</x:v>
      </x:c>
      <x:c r="T41" s="11" t="str">
        <x:v>Prospective only</x:v>
      </x:c>
      <x:c r="U41" s="11" t="str">
        <x:v>Physical-world activity / stress</x:v>
      </x:c>
      <x:c r="V41" s="19" t="str">
        <x:v>Current portal snapshot is not proof of historical availability; do not backfill into past events.</x:v>
      </x:c>
    </x:row>
    <x:row r="42">
      <x:c r="A42" s="11" t="str">
        <x:v>BA-040</x:v>
      </x:c>
      <x:c r="B42" s="11" t="str">
        <x:v>NYC_311_TOURISM_STRESS</x:v>
      </x:c>
      <x:c r="C42" s="11" t="str">
        <x:v>311 Service Requests from 2020 to Present</x:v>
      </x:c>
      <x:c r="D42" s="11" t="str">
        <x:v>requests_by_problem_and_borough</x:v>
      </x:c>
      <x:c r="E42" s="11" t="str">
        <x:v>2026-08</x:v>
      </x:c>
      <x:c r="F42" s="26" t="n">
        <x:v>5703</x:v>
      </x:c>
      <x:c r="G42" s="11" t="str">
        <x:v>requests</x:v>
      </x:c>
      <x:c r="H42" s="11" t="str">
        <x:v>Created Date in August 2026; Problem=Noise - Street/Sidewalk; Borough=BROOKLYN</x:v>
      </x:c>
      <x:c r="I42" s="13" t="n">
        <x:v>46268.766597222224</x:v>
      </x:c>
      <x:c r="J42" s="18" t="str">
        <x:v>https://data.cityofnewyork.us/Social-Services/311-Service-Requests-from-2020-to-Present/erm2-nwe9</x:v>
      </x:c>
      <x:c r="K42" s="11" t="str">
        <x:v>manual_browser_query_builder_aggregate</x:v>
      </x:c>
      <x:c r="L42" s="11" t="str">
        <x:v>NYC Open Data public-use terms</x:v>
      </x:c>
      <x:c r="M42" s="11" t="str">
        <x:v>closed_month_current_view</x:v>
      </x:c>
      <x:c r="N42" s="11" t="str">
        <x:v>current_mutable_view</x:v>
      </x:c>
      <x:c r="O42" s="11" t="str">
        <x:v>prospective_candidate</x:v>
      </x:c>
      <x:c r="P42" s="19" t="str">
        <x:v>Provider-rendered aggregate only; no address or row-level values retained.</x:v>
      </x:c>
      <x:c r="Q42" s="14" t="n">
        <x:v>46268</x:v>
      </x:c>
      <x:c r="R42" s="12" t="n">
        <x:f>COUNTIF('Guidance Events'!$E$3:$E$25,"&gt;"&amp;Q42)</x:f>
        <x:v>0</x:v>
      </x:c>
      <x:c r="S42" s="11" t="str">
        <x:v>None in panel</x:v>
      </x:c>
      <x:c r="T42" s="11" t="str">
        <x:v>Prospective only</x:v>
      </x:c>
      <x:c r="U42" s="11" t="str">
        <x:v>Physical-world activity / stress</x:v>
      </x:c>
      <x:c r="V42" s="19" t="str">
        <x:v>Current portal snapshot is not proof of historical availability; do not backfill into past events.</x:v>
      </x:c>
    </x:row>
    <x:row r="43">
      <x:c r="A43" s="11" t="str">
        <x:v>BA-041</x:v>
      </x:c>
      <x:c r="B43" s="11" t="str">
        <x:v>NYC_311_TOURISM_STRESS</x:v>
      </x:c>
      <x:c r="C43" s="11" t="str">
        <x:v>311 Service Requests from 2020 to Present</x:v>
      </x:c>
      <x:c r="D43" s="11" t="str">
        <x:v>requests_by_problem_and_borough</x:v>
      </x:c>
      <x:c r="E43" s="11" t="str">
        <x:v>2026-08</x:v>
      </x:c>
      <x:c r="F43" s="26" t="n">
        <x:v>3283</x:v>
      </x:c>
      <x:c r="G43" s="11" t="str">
        <x:v>requests</x:v>
      </x:c>
      <x:c r="H43" s="11" t="str">
        <x:v>Created Date in August 2026; Problem=Noise - Street/Sidewalk; Borough=QUEENS</x:v>
      </x:c>
      <x:c r="I43" s="13" t="n">
        <x:v>46268.766597222224</x:v>
      </x:c>
      <x:c r="J43" s="18" t="str">
        <x:v>https://data.cityofnewyork.us/Social-Services/311-Service-Requests-from-2020-to-Present/erm2-nwe9</x:v>
      </x:c>
      <x:c r="K43" s="11" t="str">
        <x:v>manual_browser_query_builder_aggregate</x:v>
      </x:c>
      <x:c r="L43" s="11" t="str">
        <x:v>NYC Open Data public-use terms</x:v>
      </x:c>
      <x:c r="M43" s="11" t="str">
        <x:v>closed_month_current_view</x:v>
      </x:c>
      <x:c r="N43" s="11" t="str">
        <x:v>current_mutable_view</x:v>
      </x:c>
      <x:c r="O43" s="11" t="str">
        <x:v>prospective_candidate</x:v>
      </x:c>
      <x:c r="P43" s="19" t="str">
        <x:v>Provider-rendered aggregate only; no address or row-level values retained.</x:v>
      </x:c>
      <x:c r="Q43" s="14" t="n">
        <x:v>46268</x:v>
      </x:c>
      <x:c r="R43" s="12" t="n">
        <x:f>COUNTIF('Guidance Events'!$E$3:$E$25,"&gt;"&amp;Q43)</x:f>
        <x:v>0</x:v>
      </x:c>
      <x:c r="S43" s="11" t="str">
        <x:v>None in panel</x:v>
      </x:c>
      <x:c r="T43" s="11" t="str">
        <x:v>Prospective only</x:v>
      </x:c>
      <x:c r="U43" s="11" t="str">
        <x:v>Physical-world activity / stress</x:v>
      </x:c>
      <x:c r="V43" s="19" t="str">
        <x:v>Current portal snapshot is not proof of historical availability; do not backfill into past events.</x:v>
      </x:c>
    </x:row>
    <x:row r="44">
      <x:c r="A44" s="11" t="str">
        <x:v>BA-042</x:v>
      </x:c>
      <x:c r="B44" s="11" t="str">
        <x:v>NYC_311_TOURISM_STRESS</x:v>
      </x:c>
      <x:c r="C44" s="11" t="str">
        <x:v>311 Service Requests from 2020 to Present</x:v>
      </x:c>
      <x:c r="D44" s="11" t="str">
        <x:v>requests_by_problem_and_borough</x:v>
      </x:c>
      <x:c r="E44" s="11" t="str">
        <x:v>2026-08</x:v>
      </x:c>
      <x:c r="F44" s="26" t="n">
        <x:v>333</x:v>
      </x:c>
      <x:c r="G44" s="11" t="str">
        <x:v>requests</x:v>
      </x:c>
      <x:c r="H44" s="11" t="str">
        <x:v>Created Date in August 2026; Problem=Noise - Street/Sidewalk; Borough=STATEN ISLAND</x:v>
      </x:c>
      <x:c r="I44" s="13" t="n">
        <x:v>46268.766597222224</x:v>
      </x:c>
      <x:c r="J44" s="18" t="str">
        <x:v>https://data.cityofnewyork.us/Social-Services/311-Service-Requests-from-2020-to-Present/erm2-nwe9</x:v>
      </x:c>
      <x:c r="K44" s="11" t="str">
        <x:v>manual_browser_query_builder_aggregate</x:v>
      </x:c>
      <x:c r="L44" s="11" t="str">
        <x:v>NYC Open Data public-use terms</x:v>
      </x:c>
      <x:c r="M44" s="11" t="str">
        <x:v>closed_month_current_view</x:v>
      </x:c>
      <x:c r="N44" s="11" t="str">
        <x:v>current_mutable_view</x:v>
      </x:c>
      <x:c r="O44" s="11" t="str">
        <x:v>prospective_candidate</x:v>
      </x:c>
      <x:c r="P44" s="19" t="str">
        <x:v>Provider-rendered aggregate only; no address or row-level values retained.</x:v>
      </x:c>
      <x:c r="Q44" s="14" t="n">
        <x:v>46268</x:v>
      </x:c>
      <x:c r="R44" s="12" t="n">
        <x:f>COUNTIF('Guidance Events'!$E$3:$E$25,"&gt;"&amp;Q44)</x:f>
        <x:v>0</x:v>
      </x:c>
      <x:c r="S44" s="11" t="str">
        <x:v>None in panel</x:v>
      </x:c>
      <x:c r="T44" s="11" t="str">
        <x:v>Prospective only</x:v>
      </x:c>
      <x:c r="U44" s="11" t="str">
        <x:v>Physical-world activity / stress</x:v>
      </x:c>
      <x:c r="V44" s="19" t="str">
        <x:v>Current portal snapshot is not proof of historical availability; do not backfill into past events.</x:v>
      </x:c>
    </x:row>
    <x:row r="45">
      <x:c r="A45" s="11" t="str">
        <x:v>BA-043</x:v>
      </x:c>
      <x:c r="B45" s="11" t="str">
        <x:v>NYC_311_TOURISM_STRESS</x:v>
      </x:c>
      <x:c r="C45" s="11" t="str">
        <x:v>311 Service Requests from 2020 to Present</x:v>
      </x:c>
      <x:c r="D45" s="11" t="str">
        <x:v>requests_by_problem_and_borough</x:v>
      </x:c>
      <x:c r="E45" s="11" t="str">
        <x:v>2026-08</x:v>
      </x:c>
      <x:c r="F45" s="26" t="n">
        <x:v>1</x:v>
      </x:c>
      <x:c r="G45" s="11" t="str">
        <x:v>requests</x:v>
      </x:c>
      <x:c r="H45" s="11" t="str">
        <x:v>Created Date in August 2026; Problem=Noise - Street/Sidewalk; Borough=Unspecified</x:v>
      </x:c>
      <x:c r="I45" s="13" t="n">
        <x:v>46268.766597222224</x:v>
      </x:c>
      <x:c r="J45" s="18" t="str">
        <x:v>https://data.cityofnewyork.us/Social-Services/311-Service-Requests-from-2020-to-Present/erm2-nwe9</x:v>
      </x:c>
      <x:c r="K45" s="11" t="str">
        <x:v>manual_browser_query_builder_aggregate</x:v>
      </x:c>
      <x:c r="L45" s="11" t="str">
        <x:v>NYC Open Data public-use terms</x:v>
      </x:c>
      <x:c r="M45" s="11" t="str">
        <x:v>closed_month_current_view</x:v>
      </x:c>
      <x:c r="N45" s="11" t="str">
        <x:v>current_mutable_view</x:v>
      </x:c>
      <x:c r="O45" s="11" t="str">
        <x:v>prospective_candidate</x:v>
      </x:c>
      <x:c r="P45" s="19" t="str">
        <x:v>Provider-rendered aggregate only; retained for exact citywide reconciliation.</x:v>
      </x:c>
      <x:c r="Q45" s="14" t="n">
        <x:v>46268</x:v>
      </x:c>
      <x:c r="R45" s="12" t="n">
        <x:f>COUNTIF('Guidance Events'!$E$3:$E$25,"&gt;"&amp;Q45)</x:f>
        <x:v>0</x:v>
      </x:c>
      <x:c r="S45" s="11" t="str">
        <x:v>None in panel</x:v>
      </x:c>
      <x:c r="T45" s="11" t="str">
        <x:v>Prospective only</x:v>
      </x:c>
      <x:c r="U45" s="11" t="str">
        <x:v>Physical-world activity / stress</x:v>
      </x:c>
      <x:c r="V45" s="19" t="str">
        <x:v>Current portal snapshot is not proof of historical availability; do not backfill into past events.</x:v>
      </x:c>
    </x:row>
    <x:row r="46">
      <x:c r="A46" s="11" t="str">
        <x:v>BA-044</x:v>
      </x:c>
      <x:c r="B46" s="11" t="str">
        <x:v>NYC_OSE_ENFORCEMENT_REPORTS</x:v>
      </x:c>
      <x:c r="C46" s="11" t="str">
        <x:v>2025 Annual Report</x:v>
      </x:c>
      <x:c r="D46" s="11" t="str">
        <x:v>illegal_str_complaints_received</x:v>
      </x:c>
      <x:c r="E46" s="11" t="str">
        <x:v>2025</x:v>
      </x:c>
      <x:c r="F46" s="26" t="n">
        <x:v>2036</x:v>
      </x:c>
      <x:c r="G46" s="11" t="str">
        <x:v>complaints</x:v>
      </x:c>
      <x:c r="H46" s="11" t="str">
        <x:v>Citywide annual aggregate</x:v>
      </x:c>
      <x:c r="I46" s="13" t="n">
        <x:v>46268.80069444444</x:v>
      </x:c>
      <x:c r="J46" s="18" t="str">
        <x:v>https://www.nyc.gov/assets/specialenforcement/downloads/excel/2025_LL87_2025_Annual_Report.xlsx</x:v>
      </x:c>
      <x:c r="K46" s="11" t="str">
        <x:v>manual_browser_download_local_aggregate_review</x:v>
      </x:c>
      <x:c r="L46" s="11" t="str">
        <x:v>Public and research use stated on OSE reports page</x:v>
      </x:c>
      <x:c r="M46" s="11" t="str">
        <x:v>annual_report_complete</x:v>
      </x:c>
      <x:c r="N46" s="11" t="str">
        <x:v>report_dated_2026-09-01</x:v>
      </x:c>
      <x:c r="O46" s="11" t="str">
        <x:v>prospective_candidate</x:v>
      </x:c>
      <x:c r="P46" s="19" t="str">
        <x:v>Workbook total reconciles to council-district table; source workbook SHA-256 f46321158fb44d9d386429fe96edc9e8950f5ecb7ca9f63e8a351ea61cc0b0.</x:v>
      </x:c>
      <x:c r="Q46" s="14" t="n">
        <x:v>46266</x:v>
      </x:c>
      <x:c r="R46" s="12" t="n">
        <x:f>COUNTIF('Guidance Events'!$E$3:$E$25,"&gt;"&amp;Q46)</x:f>
        <x:v>0</x:v>
      </x:c>
      <x:c r="S46" s="11" t="str">
        <x:v>None in panel</x:v>
      </x:c>
      <x:c r="T46" s="11" t="str">
        <x:v>Prospective only</x:v>
      </x:c>
      <x:c r="U46" s="11" t="str">
        <x:v>Supply / regulatory enforcement</x:v>
      </x:c>
      <x:c r="V46" s="19" t="str">
        <x:v>Published after the last event in the panel; suitable only for the next guidance cycle.</x:v>
      </x:c>
    </x:row>
    <x:row r="47">
      <x:c r="A47" s="11" t="str">
        <x:v>BA-045</x:v>
      </x:c>
      <x:c r="B47" s="11" t="str">
        <x:v>NYC_OSE_ENFORCEMENT_REPORTS</x:v>
      </x:c>
      <x:c r="C47" s="11" t="str">
        <x:v>2025 Annual Report</x:v>
      </x:c>
      <x:c r="D47" s="11" t="str">
        <x:v>distinct_locations_receiving_complaints</x:v>
      </x:c>
      <x:c r="E47" s="11" t="str">
        <x:v>2025</x:v>
      </x:c>
      <x:c r="F47" s="26" t="n">
        <x:v>1537</x:v>
      </x:c>
      <x:c r="G47" s="11" t="str">
        <x:v>locations</x:v>
      </x:c>
      <x:c r="H47" s="11" t="str">
        <x:v>Citywide annual narrative aggregate</x:v>
      </x:c>
      <x:c r="I47" s="13" t="n">
        <x:v>46268.80069444444</x:v>
      </x:c>
      <x:c r="J47" s="18" t="str">
        <x:v>https://www.nyc.gov/assets/specialenforcement/downloads/excel/2025_LL87_2025_Annual_Report.xlsx</x:v>
      </x:c>
      <x:c r="K47" s="11" t="str">
        <x:v>manual_browser_download_local_aggregate_review</x:v>
      </x:c>
      <x:c r="L47" s="11" t="str">
        <x:v>Public and research use stated on OSE reports page</x:v>
      </x:c>
      <x:c r="M47" s="11" t="str">
        <x:v>annual_report_complete</x:v>
      </x:c>
      <x:c r="N47" s="11" t="str">
        <x:v>report_dated_2026-09-01</x:v>
      </x:c>
      <x:c r="O47" s="11" t="str">
        <x:v>prospective_candidate</x:v>
      </x:c>
      <x:c r="P47" s="19" t="str">
        <x:v>Report says over 1,537 locations; recorded as a lower-bound narrative value.</x:v>
      </x:c>
      <x:c r="Q47" s="14" t="n">
        <x:v>46266</x:v>
      </x:c>
      <x:c r="R47" s="12" t="n">
        <x:f>COUNTIF('Guidance Events'!$E$3:$E$25,"&gt;"&amp;Q47)</x:f>
        <x:v>0</x:v>
      </x:c>
      <x:c r="S47" s="11" t="str">
        <x:v>None in panel</x:v>
      </x:c>
      <x:c r="T47" s="11" t="str">
        <x:v>Prospective only</x:v>
      </x:c>
      <x:c r="U47" s="11" t="str">
        <x:v>Supply / regulatory enforcement</x:v>
      </x:c>
      <x:c r="V47" s="19" t="str">
        <x:v>Published after the last event in the panel; suitable only for the next guidance cycle.</x:v>
      </x:c>
    </x:row>
    <x:row r="48">
      <x:c r="A48" s="11" t="str">
        <x:v>BA-046</x:v>
      </x:c>
      <x:c r="B48" s="11" t="str">
        <x:v>NYC_OSE_ENFORCEMENT_REPORTS</x:v>
      </x:c>
      <x:c r="C48" s="11" t="str">
        <x:v>2025 Annual Report</x:v>
      </x:c>
      <x:c r="D48" s="11" t="str">
        <x:v>inspections_total</x:v>
      </x:c>
      <x:c r="E48" s="11" t="str">
        <x:v>2025</x:v>
      </x:c>
      <x:c r="F48" s="26" t="n">
        <x:v>8553</x:v>
      </x:c>
      <x:c r="G48" s="11" t="str">
        <x:v>inspections</x:v>
      </x:c>
      <x:c r="H48" s="11" t="str">
        <x:v>Citywide annual aggregate</x:v>
      </x:c>
      <x:c r="I48" s="13" t="n">
        <x:v>46268.80069444444</x:v>
      </x:c>
      <x:c r="J48" s="18" t="str">
        <x:v>https://www.nyc.gov/assets/specialenforcement/downloads/excel/2025_LL87_2025_Annual_Report.xlsx</x:v>
      </x:c>
      <x:c r="K48" s="11" t="str">
        <x:v>manual_browser_download_local_aggregate_review</x:v>
      </x:c>
      <x:c r="L48" s="11" t="str">
        <x:v>Public and research use stated on OSE reports page</x:v>
      </x:c>
      <x:c r="M48" s="11" t="str">
        <x:v>annual_report_complete</x:v>
      </x:c>
      <x:c r="N48" s="11" t="str">
        <x:v>report_dated_2026-09-01</x:v>
      </x:c>
      <x:c r="O48" s="11" t="str">
        <x:v>prospective_candidate</x:v>
      </x:c>
      <x:c r="P48" s="19" t="str">
        <x:v>Attempted conducted and follow-up inspection types are stated to be nonduplicated.</x:v>
      </x:c>
      <x:c r="Q48" s="14" t="n">
        <x:v>46266</x:v>
      </x:c>
      <x:c r="R48" s="12" t="n">
        <x:f>COUNTIF('Guidance Events'!$E$3:$E$25,"&gt;"&amp;Q48)</x:f>
        <x:v>0</x:v>
      </x:c>
      <x:c r="S48" s="11" t="str">
        <x:v>None in panel</x:v>
      </x:c>
      <x:c r="T48" s="11" t="str">
        <x:v>Prospective only</x:v>
      </x:c>
      <x:c r="U48" s="11" t="str">
        <x:v>Supply / regulatory enforcement</x:v>
      </x:c>
      <x:c r="V48" s="19" t="str">
        <x:v>Published after the last event in the panel; suitable only for the next guidance cycle.</x:v>
      </x:c>
    </x:row>
    <x:row r="49">
      <x:c r="A49" s="11" t="str">
        <x:v>BA-047</x:v>
      </x:c>
      <x:c r="B49" s="11" t="str">
        <x:v>NYC_OSE_ENFORCEMENT_REPORTS</x:v>
      </x:c>
      <x:c r="C49" s="11" t="str">
        <x:v>2025 Annual Report</x:v>
      </x:c>
      <x:c r="D49" s="11" t="str">
        <x:v>inspections_attempted</x:v>
      </x:c>
      <x:c r="E49" s="11" t="str">
        <x:v>2025</x:v>
      </x:c>
      <x:c r="F49" s="26" t="n">
        <x:v>6463</x:v>
      </x:c>
      <x:c r="G49" s="11" t="str">
        <x:v>inspections</x:v>
      </x:c>
      <x:c r="H49" s="11" t="str">
        <x:v>Citywide annual aggregate</x:v>
      </x:c>
      <x:c r="I49" s="13" t="n">
        <x:v>46268.80069444444</x:v>
      </x:c>
      <x:c r="J49" s="18" t="str">
        <x:v>https://www.nyc.gov/assets/specialenforcement/downloads/excel/2025_LL87_2025_Annual_Report.xlsx</x:v>
      </x:c>
      <x:c r="K49" s="11" t="str">
        <x:v>manual_browser_download_local_aggregate_review</x:v>
      </x:c>
      <x:c r="L49" s="11" t="str">
        <x:v>Public and research use stated on OSE reports page</x:v>
      </x:c>
      <x:c r="M49" s="11" t="str">
        <x:v>annual_report_complete</x:v>
      </x:c>
      <x:c r="N49" s="11" t="str">
        <x:v>report_dated_2026-09-01</x:v>
      </x:c>
      <x:c r="O49" s="11" t="str">
        <x:v>prospective_candidate</x:v>
      </x:c>
      <x:c r="P49" s="19" t="str">
        <x:v>Inspection-type component; arithmetic reconciliation passed.</x:v>
      </x:c>
      <x:c r="Q49" s="14" t="n">
        <x:v>46266</x:v>
      </x:c>
      <x:c r="R49" s="12" t="n">
        <x:f>COUNTIF('Guidance Events'!$E$3:$E$25,"&gt;"&amp;Q49)</x:f>
        <x:v>0</x:v>
      </x:c>
      <x:c r="S49" s="11" t="str">
        <x:v>None in panel</x:v>
      </x:c>
      <x:c r="T49" s="11" t="str">
        <x:v>Prospective only</x:v>
      </x:c>
      <x:c r="U49" s="11" t="str">
        <x:v>Supply / regulatory enforcement</x:v>
      </x:c>
      <x:c r="V49" s="19" t="str">
        <x:v>Published after the last event in the panel; suitable only for the next guidance cycle.</x:v>
      </x:c>
    </x:row>
    <x:row r="50">
      <x:c r="A50" s="11" t="str">
        <x:v>BA-048</x:v>
      </x:c>
      <x:c r="B50" s="11" t="str">
        <x:v>NYC_OSE_ENFORCEMENT_REPORTS</x:v>
      </x:c>
      <x:c r="C50" s="11" t="str">
        <x:v>2025 Annual Report</x:v>
      </x:c>
      <x:c r="D50" s="11" t="str">
        <x:v>inspections_conducted</x:v>
      </x:c>
      <x:c r="E50" s="11" t="str">
        <x:v>2025</x:v>
      </x:c>
      <x:c r="F50" s="26" t="n">
        <x:v>1012</x:v>
      </x:c>
      <x:c r="G50" s="11" t="str">
        <x:v>inspections</x:v>
      </x:c>
      <x:c r="H50" s="11" t="str">
        <x:v>Citywide annual aggregate</x:v>
      </x:c>
      <x:c r="I50" s="13" t="n">
        <x:v>46268.80069444444</x:v>
      </x:c>
      <x:c r="J50" s="18" t="str">
        <x:v>https://www.nyc.gov/assets/specialenforcement/downloads/excel/2025_LL87_2025_Annual_Report.xlsx</x:v>
      </x:c>
      <x:c r="K50" s="11" t="str">
        <x:v>manual_browser_download_local_aggregate_review</x:v>
      </x:c>
      <x:c r="L50" s="11" t="str">
        <x:v>Public and research use stated on OSE reports page</x:v>
      </x:c>
      <x:c r="M50" s="11" t="str">
        <x:v>annual_report_complete</x:v>
      </x:c>
      <x:c r="N50" s="11" t="str">
        <x:v>report_dated_2026-09-01</x:v>
      </x:c>
      <x:c r="O50" s="11" t="str">
        <x:v>prospective_candidate</x:v>
      </x:c>
      <x:c r="P50" s="19" t="str">
        <x:v>Inspection-type component; arithmetic reconciliation passed.</x:v>
      </x:c>
      <x:c r="Q50" s="14" t="n">
        <x:v>46266</x:v>
      </x:c>
      <x:c r="R50" s="12" t="n">
        <x:f>COUNTIF('Guidance Events'!$E$3:$E$25,"&gt;"&amp;Q50)</x:f>
        <x:v>0</x:v>
      </x:c>
      <x:c r="S50" s="11" t="str">
        <x:v>None in panel</x:v>
      </x:c>
      <x:c r="T50" s="11" t="str">
        <x:v>Prospective only</x:v>
      </x:c>
      <x:c r="U50" s="11" t="str">
        <x:v>Supply / regulatory enforcement</x:v>
      </x:c>
      <x:c r="V50" s="19" t="str">
        <x:v>Published after the last event in the panel; suitable only for the next guidance cycle.</x:v>
      </x:c>
    </x:row>
    <x:row r="51">
      <x:c r="A51" s="11" t="str">
        <x:v>BA-049</x:v>
      </x:c>
      <x:c r="B51" s="11" t="str">
        <x:v>NYC_OSE_ENFORCEMENT_REPORTS</x:v>
      </x:c>
      <x:c r="C51" s="11" t="str">
        <x:v>2025 Annual Report</x:v>
      </x:c>
      <x:c r="D51" s="11" t="str">
        <x:v>inspections_follow_up</x:v>
      </x:c>
      <x:c r="E51" s="11" t="str">
        <x:v>2025</x:v>
      </x:c>
      <x:c r="F51" s="26" t="n">
        <x:v>1078</x:v>
      </x:c>
      <x:c r="G51" s="11" t="str">
        <x:v>inspections</x:v>
      </x:c>
      <x:c r="H51" s="11" t="str">
        <x:v>Citywide annual aggregate</x:v>
      </x:c>
      <x:c r="I51" s="13" t="n">
        <x:v>46268.80069444444</x:v>
      </x:c>
      <x:c r="J51" s="18" t="str">
        <x:v>https://www.nyc.gov/assets/specialenforcement/downloads/excel/2025_LL87_2025_Annual_Report.xlsx</x:v>
      </x:c>
      <x:c r="K51" s="11" t="str">
        <x:v>manual_browser_download_local_aggregate_review</x:v>
      </x:c>
      <x:c r="L51" s="11" t="str">
        <x:v>Public and research use stated on OSE reports page</x:v>
      </x:c>
      <x:c r="M51" s="11" t="str">
        <x:v>annual_report_complete</x:v>
      </x:c>
      <x:c r="N51" s="11" t="str">
        <x:v>report_dated_2026-09-01</x:v>
      </x:c>
      <x:c r="O51" s="11" t="str">
        <x:v>prospective_candidate</x:v>
      </x:c>
      <x:c r="P51" s="19" t="str">
        <x:v>Inspection-type component; arithmetic reconciliation passed.</x:v>
      </x:c>
      <x:c r="Q51" s="14" t="n">
        <x:v>46266</x:v>
      </x:c>
      <x:c r="R51" s="12" t="n">
        <x:f>COUNTIF('Guidance Events'!$E$3:$E$25,"&gt;"&amp;Q51)</x:f>
        <x:v>0</x:v>
      </x:c>
      <x:c r="S51" s="11" t="str">
        <x:v>None in panel</x:v>
      </x:c>
      <x:c r="T51" s="11" t="str">
        <x:v>Prospective only</x:v>
      </x:c>
      <x:c r="U51" s="11" t="str">
        <x:v>Supply / regulatory enforcement</x:v>
      </x:c>
      <x:c r="V51" s="19" t="str">
        <x:v>Published after the last event in the panel; suitable only for the next guidance cycle.</x:v>
      </x:c>
    </x:row>
    <x:row r="52">
      <x:c r="A52" s="11" t="str">
        <x:v>BA-050</x:v>
      </x:c>
      <x:c r="B52" s="11" t="str">
        <x:v>NYC_OSE_ENFORCEMENT_REPORTS</x:v>
      </x:c>
      <x:c r="C52" s="11" t="str">
        <x:v>2025 Annual Report</x:v>
      </x:c>
      <x:c r="D52" s="11" t="str">
        <x:v>summonses_or_violations_issued</x:v>
      </x:c>
      <x:c r="E52" s="11" t="str">
        <x:v>2025</x:v>
      </x:c>
      <x:c r="F52" s="26" t="n">
        <x:v>1909</x:v>
      </x:c>
      <x:c r="G52" s="11" t="str">
        <x:v>summonses</x:v>
      </x:c>
      <x:c r="H52" s="11" t="str">
        <x:v>Citywide annual aggregate</x:v>
      </x:c>
      <x:c r="I52" s="13" t="n">
        <x:v>46268.80069444444</x:v>
      </x:c>
      <x:c r="J52" s="18" t="str">
        <x:v>https://www.nyc.gov/assets/specialenforcement/downloads/excel/2025_LL87_2025_Annual_Report.xlsx</x:v>
      </x:c>
      <x:c r="K52" s="11" t="str">
        <x:v>manual_browser_download_local_aggregate_review</x:v>
      </x:c>
      <x:c r="L52" s="11" t="str">
        <x:v>Public and research use stated on OSE reports page</x:v>
      </x:c>
      <x:c r="M52" s="11" t="str">
        <x:v>annual_report_complete</x:v>
      </x:c>
      <x:c r="N52" s="11" t="str">
        <x:v>report_dated_2026-09-01</x:v>
      </x:c>
      <x:c r="O52" s="11" t="str">
        <x:v>prospective_candidate</x:v>
      </x:c>
      <x:c r="P52" s="19" t="str">
        <x:v>Workbook labels the figure as both summonses and violations in different sections.</x:v>
      </x:c>
      <x:c r="Q52" s="14" t="n">
        <x:v>46266</x:v>
      </x:c>
      <x:c r="R52" s="12" t="n">
        <x:f>COUNTIF('Guidance Events'!$E$3:$E$25,"&gt;"&amp;Q52)</x:f>
        <x:v>0</x:v>
      </x:c>
      <x:c r="S52" s="11" t="str">
        <x:v>None in panel</x:v>
      </x:c>
      <x:c r="T52" s="11" t="str">
        <x:v>Prospective only</x:v>
      </x:c>
      <x:c r="U52" s="11" t="str">
        <x:v>Supply / regulatory enforcement</x:v>
      </x:c>
      <x:c r="V52" s="19" t="str">
        <x:v>Published after the last event in the panel; suitable only for the next guidance cycle.</x:v>
      </x:c>
    </x:row>
    <x:row r="53">
      <x:c r="A53" s="11" t="str">
        <x:v>BA-051</x:v>
      </x:c>
      <x:c r="B53" s="11" t="str">
        <x:v>NYC_OSE_ENFORCEMENT_REPORTS</x:v>
      </x:c>
      <x:c r="C53" s="11" t="str">
        <x:v>2025 Annual Report</x:v>
      </x:c>
      <x:c r="D53" s="11" t="str">
        <x:v>penalties_imposed</x:v>
      </x:c>
      <x:c r="E53" s="11" t="str">
        <x:v>2025</x:v>
      </x:c>
      <x:c r="F53" s="26" t="n">
        <x:v>9636307</x:v>
      </x:c>
      <x:c r="G53" s="11" t="str">
        <x:v>USD</x:v>
      </x:c>
      <x:c r="H53" s="11" t="str">
        <x:v>Citywide annual aggregate</x:v>
      </x:c>
      <x:c r="I53" s="13" t="n">
        <x:v>46268.80069444444</x:v>
      </x:c>
      <x:c r="J53" s="18" t="str">
        <x:v>https://www.nyc.gov/assets/specialenforcement/downloads/excel/2025_LL87_2025_Annual_Report.xlsx</x:v>
      </x:c>
      <x:c r="K53" s="11" t="str">
        <x:v>manual_browser_download_local_aggregate_review</x:v>
      </x:c>
      <x:c r="L53" s="11" t="str">
        <x:v>Public and research use stated on OSE reports page</x:v>
      </x:c>
      <x:c r="M53" s="11" t="str">
        <x:v>annual_report_complete</x:v>
      </x:c>
      <x:c r="N53" s="11" t="str">
        <x:v>report_dated_2026-09-01</x:v>
      </x:c>
      <x:c r="O53" s="11" t="str">
        <x:v>prospective_candidate</x:v>
      </x:c>
      <x:c r="P53" s="19" t="str">
        <x:v>Penalty table note says imposed and paid data are as of April 2025; ambiguous timing retained as a caveat.</x:v>
      </x:c>
      <x:c r="Q53" s="14" t="n">
        <x:v>46266</x:v>
      </x:c>
      <x:c r="R53" s="12" t="n">
        <x:f>COUNTIF('Guidance Events'!$E$3:$E$25,"&gt;"&amp;Q53)</x:f>
        <x:v>0</x:v>
      </x:c>
      <x:c r="S53" s="11" t="str">
        <x:v>None in panel</x:v>
      </x:c>
      <x:c r="T53" s="11" t="str">
        <x:v>Prospective only</x:v>
      </x:c>
      <x:c r="U53" s="11" t="str">
        <x:v>Supply / regulatory enforcement</x:v>
      </x:c>
      <x:c r="V53" s="19" t="str">
        <x:v>Published after the last event in the panel; suitable only for the next guidance cycle.</x:v>
      </x:c>
    </x:row>
    <x:row r="54">
      <x:c r="A54" s="11" t="str">
        <x:v>BA-052</x:v>
      </x:c>
      <x:c r="B54" s="11" t="str">
        <x:v>NYC_OSE_ENFORCEMENT_REPORTS</x:v>
      </x:c>
      <x:c r="C54" s="11" t="str">
        <x:v>2025 Annual Report</x:v>
      </x:c>
      <x:c r="D54" s="11" t="str">
        <x:v>penalties_paid</x:v>
      </x:c>
      <x:c r="E54" s="11" t="str">
        <x:v>2025</x:v>
      </x:c>
      <x:c r="F54" s="26" t="n">
        <x:v>631870.58</x:v>
      </x:c>
      <x:c r="G54" s="11" t="str">
        <x:v>USD</x:v>
      </x:c>
      <x:c r="H54" s="11" t="str">
        <x:v>Citywide annual aggregate</x:v>
      </x:c>
      <x:c r="I54" s="13" t="n">
        <x:v>46268.80069444444</x:v>
      </x:c>
      <x:c r="J54" s="18" t="str">
        <x:v>https://www.nyc.gov/assets/specialenforcement/downloads/excel/2025_LL87_2025_Annual_Report.xlsx</x:v>
      </x:c>
      <x:c r="K54" s="11" t="str">
        <x:v>manual_browser_download_local_aggregate_review</x:v>
      </x:c>
      <x:c r="L54" s="11" t="str">
        <x:v>Public and research use stated on OSE reports page</x:v>
      </x:c>
      <x:c r="M54" s="11" t="str">
        <x:v>annual_report_complete</x:v>
      </x:c>
      <x:c r="N54" s="11" t="str">
        <x:v>report_dated_2026-09-01</x:v>
      </x:c>
      <x:c r="O54" s="11" t="str">
        <x:v>prospective_candidate</x:v>
      </x:c>
      <x:c r="P54" s="19" t="str">
        <x:v>Penalty table note says imposed and paid data are as of April 2025; ambiguous timing retained as a caveat.</x:v>
      </x:c>
      <x:c r="Q54" s="14" t="n">
        <x:v>46266</x:v>
      </x:c>
      <x:c r="R54" s="12" t="n">
        <x:f>COUNTIF('Guidance Events'!$E$3:$E$25,"&gt;"&amp;Q54)</x:f>
        <x:v>0</x:v>
      </x:c>
      <x:c r="S54" s="11" t="str">
        <x:v>None in panel</x:v>
      </x:c>
      <x:c r="T54" s="11" t="str">
        <x:v>Prospective only</x:v>
      </x:c>
      <x:c r="U54" s="11" t="str">
        <x:v>Supply / regulatory enforcement</x:v>
      </x:c>
      <x:c r="V54" s="19" t="str">
        <x:v>Published after the last event in the panel; suitable only for the next guidance cycle.</x:v>
      </x:c>
    </x:row>
    <x:row r="55">
      <x:c r="A55" s="11" t="str">
        <x:v>BA-053</x:v>
      </x:c>
      <x:c r="B55" s="11" t="str">
        <x:v>NYC_OSE_ENFORCEMENT_REPORTS</x:v>
      </x:c>
      <x:c r="C55" s="11" t="str">
        <x:v>2025 Annual Report</x:v>
      </x:c>
      <x:c r="D55" s="11" t="str">
        <x:v>share_penalties_paid</x:v>
      </x:c>
      <x:c r="E55" s="11" t="str">
        <x:v>2025</x:v>
      </x:c>
      <x:c r="F55" s="26" t="n">
        <x:v>0.06557186067235093</x:v>
      </x:c>
      <x:c r="G55" s="11" t="str">
        <x:v>ratio</x:v>
      </x:c>
      <x:c r="H55" s="11" t="str">
        <x:v>Citywide annual aggregate</x:v>
      </x:c>
      <x:c r="I55" s="13" t="n">
        <x:v>46268.80069444444</x:v>
      </x:c>
      <x:c r="J55" s="18" t="str">
        <x:v>https://www.nyc.gov/assets/specialenforcement/downloads/excel/2025_LL87_2025_Annual_Report.xlsx</x:v>
      </x:c>
      <x:c r="K55" s="11" t="str">
        <x:v>manual_browser_download_local_aggregate_review</x:v>
      </x:c>
      <x:c r="L55" s="11" t="str">
        <x:v>Public and research use stated on OSE reports page</x:v>
      </x:c>
      <x:c r="M55" s="11" t="str">
        <x:v>annual_report_complete</x:v>
      </x:c>
      <x:c r="N55" s="11" t="str">
        <x:v>report_dated_2026-09-01</x:v>
      </x:c>
      <x:c r="O55" s="11" t="str">
        <x:v>prospective_candidate</x:v>
      </x:c>
      <x:c r="P55" s="19" t="str">
        <x:v>Equals penalties paid divided by penalties imposed.</x:v>
      </x:c>
      <x:c r="Q55" s="14" t="n">
        <x:v>46266</x:v>
      </x:c>
      <x:c r="R55" s="12" t="n">
        <x:f>COUNTIF('Guidance Events'!$E$3:$E$25,"&gt;"&amp;Q55)</x:f>
        <x:v>0</x:v>
      </x:c>
      <x:c r="S55" s="11" t="str">
        <x:v>None in panel</x:v>
      </x:c>
      <x:c r="T55" s="11" t="str">
        <x:v>Prospective only</x:v>
      </x:c>
      <x:c r="U55" s="11" t="str">
        <x:v>Supply / regulatory enforcement</x:v>
      </x:c>
      <x:c r="V55" s="19" t="str">
        <x:v>Published after the last event in the panel; suitable only for the next guidance cycle.</x:v>
      </x:c>
    </x:row>
    <x:row r="56">
      <x:c r="A56" s="11" t="str">
        <x:v>BA-054</x:v>
      </x:c>
      <x:c r="B56" s="11" t="str">
        <x:v>NYC_OSE_ENFORCEMENT_REPORTS</x:v>
      </x:c>
      <x:c r="C56" s="11" t="str">
        <x:v>2025 Annual Report</x:v>
      </x:c>
      <x:c r="D56" s="11" t="str">
        <x:v>immediately_hazardous_violation_locations</x:v>
      </x:c>
      <x:c r="E56" s="11" t="str">
        <x:v>2025</x:v>
      </x:c>
      <x:c r="F56" s="26" t="n">
        <x:v>105</x:v>
      </x:c>
      <x:c r="G56" s="11" t="str">
        <x:v>locations</x:v>
      </x:c>
      <x:c r="H56" s="11" t="str">
        <x:v>Citywide annual aggregate</x:v>
      </x:c>
      <x:c r="I56" s="13" t="n">
        <x:v>46268.80069444444</x:v>
      </x:c>
      <x:c r="J56" s="18" t="str">
        <x:v>https://www.nyc.gov/assets/specialenforcement/downloads/excel/2025_LL87_2025_Annual_Report.xlsx</x:v>
      </x:c>
      <x:c r="K56" s="11" t="str">
        <x:v>manual_browser_download_local_aggregate_review</x:v>
      </x:c>
      <x:c r="L56" s="11" t="str">
        <x:v>Public and research use stated on OSE reports page</x:v>
      </x:c>
      <x:c r="M56" s="11" t="str">
        <x:v>annual_report_complete</x:v>
      </x:c>
      <x:c r="N56" s="11" t="str">
        <x:v>report_dated_2026-09-01</x:v>
      </x:c>
      <x:c r="O56" s="11" t="str">
        <x:v>prospective_candidate</x:v>
      </x:c>
      <x:c r="P56" s="19" t="str">
        <x:v>Only the aggregate location count was retained; the address-level list was excluded.</x:v>
      </x:c>
      <x:c r="Q56" s="14" t="n">
        <x:v>46266</x:v>
      </x:c>
      <x:c r="R56" s="12" t="n">
        <x:f>COUNTIF('Guidance Events'!$E$3:$E$25,"&gt;"&amp;Q56)</x:f>
        <x:v>0</x:v>
      </x:c>
      <x:c r="S56" s="11" t="str">
        <x:v>None in panel</x:v>
      </x:c>
      <x:c r="T56" s="11" t="str">
        <x:v>Prospective only</x:v>
      </x:c>
      <x:c r="U56" s="11" t="str">
        <x:v>Supply / regulatory enforcement</x:v>
      </x:c>
      <x:c r="V56" s="19" t="str">
        <x:v>Published after the last event in the panel; suitable only for the next guidance cycle.</x:v>
      </x:c>
    </x:row>
    <x:row r="57">
      <x:c r="A57" s="11" t="str">
        <x:v>BA-055</x:v>
      </x:c>
      <x:c r="B57" s="11" t="str">
        <x:v>NYC_OSE_ENFORCEMENT_REPORTS</x:v>
      </x:c>
      <x:c r="C57" s="11" t="str">
        <x:v>2024 Annual Report</x:v>
      </x:c>
      <x:c r="D57" s="11" t="str">
        <x:v>illegal_str_complaints_received</x:v>
      </x:c>
      <x:c r="E57" s="11" t="str">
        <x:v>2024</x:v>
      </x:c>
      <x:c r="F57" s="26" t="n">
        <x:v>2356</x:v>
      </x:c>
      <x:c r="G57" s="11" t="str">
        <x:v>complaints</x:v>
      </x:c>
      <x:c r="H57" s="11" t="str">
        <x:v>Citywide annual aggregate</x:v>
      </x:c>
      <x:c r="I57" s="13" t="n">
        <x:v>46268.80384259259</x:v>
      </x:c>
      <x:c r="J57" s="18" t="str">
        <x:v>https://www.nyc.gov/assets/specialenforcement/downloads/excel/2024_LL87_OSE_Annual_Report.xlsx</x:v>
      </x:c>
      <x:c r="K57" s="11" t="str">
        <x:v>manual_browser_download_local_aggregate_review</x:v>
      </x:c>
      <x:c r="L57" s="11" t="str">
        <x:v>Public and research use stated on OSE reports page</x:v>
      </x:c>
      <x:c r="M57" s="11" t="str">
        <x:v>annual_report_complete</x:v>
      </x:c>
      <x:c r="N57" s="11" t="str">
        <x:v>report_dated_2025-09-01</x:v>
      </x:c>
      <x:c r="O57" s="11" t="str">
        <x:v>limited_backtest_candidate</x:v>
      </x:c>
      <x:c r="P57" s="19" t="str">
        <x:v>Workbook total reconciles to council-district table; source workbook SHA-256 ef4d642ec220428be207217f0daf7f50e285498a2dbdce3075981f38dfc422e9.</x:v>
      </x:c>
      <x:c r="Q57" s="14" t="n">
        <x:v>45901</x:v>
      </x:c>
      <x:c r="R57" s="12" t="n">
        <x:f>COUNTIF('Guidance Events'!$E$3:$E$25,"&gt;"&amp;Q57)</x:f>
        <x:v>4</x:v>
      </x:c>
      <x:c r="S57" s="11" t="str">
        <x:v>2025Q3</x:v>
      </x:c>
      <x:c r="T57" s="11" t="str">
        <x:v>Limited historical comparison</x:v>
      </x:c>
      <x:c r="U57" s="11" t="str">
        <x:v>Supply / regulatory enforcement</x:v>
      </x:c>
      <x:c r="V57" s="19" t="str">
        <x:v>One annual vintage was public before four later ABNB events; no pre-event transition sequence exists.</x:v>
      </x:c>
    </x:row>
    <x:row r="58">
      <x:c r="A58" s="11" t="str">
        <x:v>BA-056</x:v>
      </x:c>
      <x:c r="B58" s="11" t="str">
        <x:v>NYC_OSE_ENFORCEMENT_REPORTS</x:v>
      </x:c>
      <x:c r="C58" s="11" t="str">
        <x:v>2024 Annual Report</x:v>
      </x:c>
      <x:c r="D58" s="11" t="str">
        <x:v>distinct_locations_receiving_complaints</x:v>
      </x:c>
      <x:c r="E58" s="11" t="str">
        <x:v>2024</x:v>
      </x:c>
      <x:c r="F58" s="26" t="n">
        <x:v>1750</x:v>
      </x:c>
      <x:c r="G58" s="11" t="str">
        <x:v>locations</x:v>
      </x:c>
      <x:c r="H58" s="11" t="str">
        <x:v>Citywide annual narrative aggregate</x:v>
      </x:c>
      <x:c r="I58" s="13" t="n">
        <x:v>46268.80384259259</x:v>
      </x:c>
      <x:c r="J58" s="18" t="str">
        <x:v>https://www.nyc.gov/assets/specialenforcement/downloads/excel/2024_LL87_OSE_Annual_Report.xlsx</x:v>
      </x:c>
      <x:c r="K58" s="11" t="str">
        <x:v>manual_browser_download_local_aggregate_review</x:v>
      </x:c>
      <x:c r="L58" s="11" t="str">
        <x:v>Public and research use stated on OSE reports page</x:v>
      </x:c>
      <x:c r="M58" s="11" t="str">
        <x:v>annual_report_complete</x:v>
      </x:c>
      <x:c r="N58" s="11" t="str">
        <x:v>report_dated_2025-09-01</x:v>
      </x:c>
      <x:c r="O58" s="11" t="str">
        <x:v>limited_backtest_candidate</x:v>
      </x:c>
      <x:c r="P58" s="19" t="str">
        <x:v>Report says over 1,750 locations; recorded as a lower-bound narrative value.</x:v>
      </x:c>
      <x:c r="Q58" s="14" t="n">
        <x:v>45901</x:v>
      </x:c>
      <x:c r="R58" s="12" t="n">
        <x:f>COUNTIF('Guidance Events'!$E$3:$E$25,"&gt;"&amp;Q58)</x:f>
        <x:v>4</x:v>
      </x:c>
      <x:c r="S58" s="11" t="str">
        <x:v>2025Q3</x:v>
      </x:c>
      <x:c r="T58" s="11" t="str">
        <x:v>Limited historical comparison</x:v>
      </x:c>
      <x:c r="U58" s="11" t="str">
        <x:v>Supply / regulatory enforcement</x:v>
      </x:c>
      <x:c r="V58" s="19" t="str">
        <x:v>One annual vintage was public before four later ABNB events; no pre-event transition sequence exists.</x:v>
      </x:c>
    </x:row>
    <x:row r="59">
      <x:c r="A59" s="11" t="str">
        <x:v>BA-057</x:v>
      </x:c>
      <x:c r="B59" s="11" t="str">
        <x:v>NYC_OSE_ENFORCEMENT_REPORTS</x:v>
      </x:c>
      <x:c r="C59" s="11" t="str">
        <x:v>2024 Annual Report</x:v>
      </x:c>
      <x:c r="D59" s="11" t="str">
        <x:v>inspections_total</x:v>
      </x:c>
      <x:c r="E59" s="11" t="str">
        <x:v>2024</x:v>
      </x:c>
      <x:c r="F59" s="26" t="n">
        <x:v>6717</x:v>
      </x:c>
      <x:c r="G59" s="11" t="str">
        <x:v>inspections</x:v>
      </x:c>
      <x:c r="H59" s="11" t="str">
        <x:v>Citywide annual aggregate</x:v>
      </x:c>
      <x:c r="I59" s="13" t="n">
        <x:v>46268.80384259259</x:v>
      </x:c>
      <x:c r="J59" s="18" t="str">
        <x:v>https://www.nyc.gov/assets/specialenforcement/downloads/excel/2024_LL87_OSE_Annual_Report.xlsx</x:v>
      </x:c>
      <x:c r="K59" s="11" t="str">
        <x:v>manual_browser_download_local_aggregate_review</x:v>
      </x:c>
      <x:c r="L59" s="11" t="str">
        <x:v>Public and research use stated on OSE reports page</x:v>
      </x:c>
      <x:c r="M59" s="11" t="str">
        <x:v>annual_report_complete</x:v>
      </x:c>
      <x:c r="N59" s="11" t="str">
        <x:v>report_dated_2025-09-01</x:v>
      </x:c>
      <x:c r="O59" s="11" t="str">
        <x:v>limited_backtest_candidate</x:v>
      </x:c>
      <x:c r="P59" s="19" t="str">
        <x:v>Attempted conducted and follow-up inspection types are stated to be nonduplicated.</x:v>
      </x:c>
      <x:c r="Q59" s="14" t="n">
        <x:v>45901</x:v>
      </x:c>
      <x:c r="R59" s="12" t="n">
        <x:f>COUNTIF('Guidance Events'!$E$3:$E$25,"&gt;"&amp;Q59)</x:f>
        <x:v>4</x:v>
      </x:c>
      <x:c r="S59" s="11" t="str">
        <x:v>2025Q3</x:v>
      </x:c>
      <x:c r="T59" s="11" t="str">
        <x:v>Limited historical comparison</x:v>
      </x:c>
      <x:c r="U59" s="11" t="str">
        <x:v>Supply / regulatory enforcement</x:v>
      </x:c>
      <x:c r="V59" s="19" t="str">
        <x:v>One annual vintage was public before four later ABNB events; no pre-event transition sequence exists.</x:v>
      </x:c>
    </x:row>
    <x:row r="60">
      <x:c r="A60" s="11" t="str">
        <x:v>BA-058</x:v>
      </x:c>
      <x:c r="B60" s="11" t="str">
        <x:v>NYC_OSE_ENFORCEMENT_REPORTS</x:v>
      </x:c>
      <x:c r="C60" s="11" t="str">
        <x:v>2024 Annual Report</x:v>
      </x:c>
      <x:c r="D60" s="11" t="str">
        <x:v>inspections_attempted</x:v>
      </x:c>
      <x:c r="E60" s="11" t="str">
        <x:v>2024</x:v>
      </x:c>
      <x:c r="F60" s="26" t="n">
        <x:v>5286</x:v>
      </x:c>
      <x:c r="G60" s="11" t="str">
        <x:v>inspections</x:v>
      </x:c>
      <x:c r="H60" s="11" t="str">
        <x:v>Citywide annual aggregate</x:v>
      </x:c>
      <x:c r="I60" s="13" t="n">
        <x:v>46268.80384259259</x:v>
      </x:c>
      <x:c r="J60" s="18" t="str">
        <x:v>https://www.nyc.gov/assets/specialenforcement/downloads/excel/2024_LL87_OSE_Annual_Report.xlsx</x:v>
      </x:c>
      <x:c r="K60" s="11" t="str">
        <x:v>manual_browser_download_local_aggregate_review</x:v>
      </x:c>
      <x:c r="L60" s="11" t="str">
        <x:v>Public and research use stated on OSE reports page</x:v>
      </x:c>
      <x:c r="M60" s="11" t="str">
        <x:v>annual_report_complete</x:v>
      </x:c>
      <x:c r="N60" s="11" t="str">
        <x:v>report_dated_2025-09-01</x:v>
      </x:c>
      <x:c r="O60" s="11" t="str">
        <x:v>limited_backtest_candidate</x:v>
      </x:c>
      <x:c r="P60" s="19" t="str">
        <x:v>Inspection-type component; arithmetic reconciliation passed.</x:v>
      </x:c>
      <x:c r="Q60" s="14" t="n">
        <x:v>45901</x:v>
      </x:c>
      <x:c r="R60" s="12" t="n">
        <x:f>COUNTIF('Guidance Events'!$E$3:$E$25,"&gt;"&amp;Q60)</x:f>
        <x:v>4</x:v>
      </x:c>
      <x:c r="S60" s="11" t="str">
        <x:v>2025Q3</x:v>
      </x:c>
      <x:c r="T60" s="11" t="str">
        <x:v>Limited historical comparison</x:v>
      </x:c>
      <x:c r="U60" s="11" t="str">
        <x:v>Supply / regulatory enforcement</x:v>
      </x:c>
      <x:c r="V60" s="19" t="str">
        <x:v>One annual vintage was public before four later ABNB events; no pre-event transition sequence exists.</x:v>
      </x:c>
    </x:row>
    <x:row r="61">
      <x:c r="A61" s="11" t="str">
        <x:v>BA-059</x:v>
      </x:c>
      <x:c r="B61" s="11" t="str">
        <x:v>NYC_OSE_ENFORCEMENT_REPORTS</x:v>
      </x:c>
      <x:c r="C61" s="11" t="str">
        <x:v>2024 Annual Report</x:v>
      </x:c>
      <x:c r="D61" s="11" t="str">
        <x:v>inspections_conducted</x:v>
      </x:c>
      <x:c r="E61" s="11" t="str">
        <x:v>2024</x:v>
      </x:c>
      <x:c r="F61" s="26" t="n">
        <x:v>872</x:v>
      </x:c>
      <x:c r="G61" s="11" t="str">
        <x:v>inspections</x:v>
      </x:c>
      <x:c r="H61" s="11" t="str">
        <x:v>Citywide annual aggregate</x:v>
      </x:c>
      <x:c r="I61" s="13" t="n">
        <x:v>46268.80384259259</x:v>
      </x:c>
      <x:c r="J61" s="18" t="str">
        <x:v>https://www.nyc.gov/assets/specialenforcement/downloads/excel/2024_LL87_OSE_Annual_Report.xlsx</x:v>
      </x:c>
      <x:c r="K61" s="11" t="str">
        <x:v>manual_browser_download_local_aggregate_review</x:v>
      </x:c>
      <x:c r="L61" s="11" t="str">
        <x:v>Public and research use stated on OSE reports page</x:v>
      </x:c>
      <x:c r="M61" s="11" t="str">
        <x:v>annual_report_complete</x:v>
      </x:c>
      <x:c r="N61" s="11" t="str">
        <x:v>report_dated_2025-09-01</x:v>
      </x:c>
      <x:c r="O61" s="11" t="str">
        <x:v>limited_backtest_candidate</x:v>
      </x:c>
      <x:c r="P61" s="19" t="str">
        <x:v>Inspection-type component; arithmetic reconciliation passed.</x:v>
      </x:c>
      <x:c r="Q61" s="14" t="n">
        <x:v>45901</x:v>
      </x:c>
      <x:c r="R61" s="12" t="n">
        <x:f>COUNTIF('Guidance Events'!$E$3:$E$25,"&gt;"&amp;Q61)</x:f>
        <x:v>4</x:v>
      </x:c>
      <x:c r="S61" s="11" t="str">
        <x:v>2025Q3</x:v>
      </x:c>
      <x:c r="T61" s="11" t="str">
        <x:v>Limited historical comparison</x:v>
      </x:c>
      <x:c r="U61" s="11" t="str">
        <x:v>Supply / regulatory enforcement</x:v>
      </x:c>
      <x:c r="V61" s="19" t="str">
        <x:v>One annual vintage was public before four later ABNB events; no pre-event transition sequence exists.</x:v>
      </x:c>
    </x:row>
    <x:row r="62">
      <x:c r="A62" s="11" t="str">
        <x:v>BA-060</x:v>
      </x:c>
      <x:c r="B62" s="11" t="str">
        <x:v>NYC_OSE_ENFORCEMENT_REPORTS</x:v>
      </x:c>
      <x:c r="C62" s="11" t="str">
        <x:v>2024 Annual Report</x:v>
      </x:c>
      <x:c r="D62" s="11" t="str">
        <x:v>inspections_follow_up</x:v>
      </x:c>
      <x:c r="E62" s="11" t="str">
        <x:v>2024</x:v>
      </x:c>
      <x:c r="F62" s="26" t="n">
        <x:v>559</x:v>
      </x:c>
      <x:c r="G62" s="11" t="str">
        <x:v>inspections</x:v>
      </x:c>
      <x:c r="H62" s="11" t="str">
        <x:v>Citywide annual aggregate</x:v>
      </x:c>
      <x:c r="I62" s="13" t="n">
        <x:v>46268.80384259259</x:v>
      </x:c>
      <x:c r="J62" s="18" t="str">
        <x:v>https://www.nyc.gov/assets/specialenforcement/downloads/excel/2024_LL87_OSE_Annual_Report.xlsx</x:v>
      </x:c>
      <x:c r="K62" s="11" t="str">
        <x:v>manual_browser_download_local_aggregate_review</x:v>
      </x:c>
      <x:c r="L62" s="11" t="str">
        <x:v>Public and research use stated on OSE reports page</x:v>
      </x:c>
      <x:c r="M62" s="11" t="str">
        <x:v>annual_report_complete</x:v>
      </x:c>
      <x:c r="N62" s="11" t="str">
        <x:v>report_dated_2025-09-01</x:v>
      </x:c>
      <x:c r="O62" s="11" t="str">
        <x:v>limited_backtest_candidate</x:v>
      </x:c>
      <x:c r="P62" s="19" t="str">
        <x:v>Inspection-type component; arithmetic reconciliation passed.</x:v>
      </x:c>
      <x:c r="Q62" s="14" t="n">
        <x:v>45901</x:v>
      </x:c>
      <x:c r="R62" s="12" t="n">
        <x:f>COUNTIF('Guidance Events'!$E$3:$E$25,"&gt;"&amp;Q62)</x:f>
        <x:v>4</x:v>
      </x:c>
      <x:c r="S62" s="11" t="str">
        <x:v>2025Q3</x:v>
      </x:c>
      <x:c r="T62" s="11" t="str">
        <x:v>Limited historical comparison</x:v>
      </x:c>
      <x:c r="U62" s="11" t="str">
        <x:v>Supply / regulatory enforcement</x:v>
      </x:c>
      <x:c r="V62" s="19" t="str">
        <x:v>One annual vintage was public before four later ABNB events; no pre-event transition sequence exists.</x:v>
      </x:c>
    </x:row>
    <x:row r="63">
      <x:c r="A63" s="11" t="str">
        <x:v>BA-061</x:v>
      </x:c>
      <x:c r="B63" s="11" t="str">
        <x:v>NYC_OSE_ENFORCEMENT_REPORTS</x:v>
      </x:c>
      <x:c r="C63" s="11" t="str">
        <x:v>2024 Annual Report</x:v>
      </x:c>
      <x:c r="D63" s="11" t="str">
        <x:v>summonses_or_violations_issued</x:v>
      </x:c>
      <x:c r="E63" s="11" t="str">
        <x:v>2024</x:v>
      </x:c>
      <x:c r="F63" s="26" t="n">
        <x:v>1452</x:v>
      </x:c>
      <x:c r="G63" s="11" t="str">
        <x:v>summonses</x:v>
      </x:c>
      <x:c r="H63" s="11" t="str">
        <x:v>Citywide annual aggregate</x:v>
      </x:c>
      <x:c r="I63" s="13" t="n">
        <x:v>46268.80384259259</x:v>
      </x:c>
      <x:c r="J63" s="18" t="str">
        <x:v>https://www.nyc.gov/assets/specialenforcement/downloads/excel/2024_LL87_OSE_Annual_Report.xlsx</x:v>
      </x:c>
      <x:c r="K63" s="11" t="str">
        <x:v>manual_browser_download_local_aggregate_review</x:v>
      </x:c>
      <x:c r="L63" s="11" t="str">
        <x:v>Public and research use stated on OSE reports page</x:v>
      </x:c>
      <x:c r="M63" s="11" t="str">
        <x:v>annual_report_complete</x:v>
      </x:c>
      <x:c r="N63" s="11" t="str">
        <x:v>report_dated_2025-09-01</x:v>
      </x:c>
      <x:c r="O63" s="11" t="str">
        <x:v>limited_backtest_candidate</x:v>
      </x:c>
      <x:c r="P63" s="19" t="str">
        <x:v>Workbook labels the figure as both summonses and violations in different sections.</x:v>
      </x:c>
      <x:c r="Q63" s="14" t="n">
        <x:v>45901</x:v>
      </x:c>
      <x:c r="R63" s="12" t="n">
        <x:f>COUNTIF('Guidance Events'!$E$3:$E$25,"&gt;"&amp;Q63)</x:f>
        <x:v>4</x:v>
      </x:c>
      <x:c r="S63" s="11" t="str">
        <x:v>2025Q3</x:v>
      </x:c>
      <x:c r="T63" s="11" t="str">
        <x:v>Limited historical comparison</x:v>
      </x:c>
      <x:c r="U63" s="11" t="str">
        <x:v>Supply / regulatory enforcement</x:v>
      </x:c>
      <x:c r="V63" s="19" t="str">
        <x:v>One annual vintage was public before four later ABNB events; no pre-event transition sequence exists.</x:v>
      </x:c>
    </x:row>
    <x:row r="64">
      <x:c r="A64" s="11" t="str">
        <x:v>BA-062</x:v>
      </x:c>
      <x:c r="B64" s="11" t="str">
        <x:v>NYC_OSE_ENFORCEMENT_REPORTS</x:v>
      </x:c>
      <x:c r="C64" s="11" t="str">
        <x:v>2024 Annual Report</x:v>
      </x:c>
      <x:c r="D64" s="11" t="str">
        <x:v>penalties_imposed</x:v>
      </x:c>
      <x:c r="E64" s="11" t="str">
        <x:v>2024</x:v>
      </x:c>
      <x:c r="F64" s="26" t="n">
        <x:v>5643869</x:v>
      </x:c>
      <x:c r="G64" s="11" t="str">
        <x:v>USD</x:v>
      </x:c>
      <x:c r="H64" s="11" t="str">
        <x:v>Citywide annual aggregate</x:v>
      </x:c>
      <x:c r="I64" s="13" t="n">
        <x:v>46268.80384259259</x:v>
      </x:c>
      <x:c r="J64" s="18" t="str">
        <x:v>https://www.nyc.gov/assets/specialenforcement/downloads/excel/2024_LL87_OSE_Annual_Report.xlsx</x:v>
      </x:c>
      <x:c r="K64" s="11" t="str">
        <x:v>manual_browser_download_local_aggregate_review</x:v>
      </x:c>
      <x:c r="L64" s="11" t="str">
        <x:v>Public and research use stated on OSE reports page</x:v>
      </x:c>
      <x:c r="M64" s="11" t="str">
        <x:v>annual_report_complete</x:v>
      </x:c>
      <x:c r="N64" s="11" t="str">
        <x:v>report_dated_2025-09-01</x:v>
      </x:c>
      <x:c r="O64" s="11" t="str">
        <x:v>limited_backtest_candidate</x:v>
      </x:c>
      <x:c r="P64" s="19" t="str">
        <x:v>Penalty table states imposed and paid data are as of April 2025.</x:v>
      </x:c>
      <x:c r="Q64" s="14" t="n">
        <x:v>45901</x:v>
      </x:c>
      <x:c r="R64" s="12" t="n">
        <x:f>COUNTIF('Guidance Events'!$E$3:$E$25,"&gt;"&amp;Q64)</x:f>
        <x:v>4</x:v>
      </x:c>
      <x:c r="S64" s="11" t="str">
        <x:v>2025Q3</x:v>
      </x:c>
      <x:c r="T64" s="11" t="str">
        <x:v>Limited historical comparison</x:v>
      </x:c>
      <x:c r="U64" s="11" t="str">
        <x:v>Supply / regulatory enforcement</x:v>
      </x:c>
      <x:c r="V64" s="19" t="str">
        <x:v>One annual vintage was public before four later ABNB events; no pre-event transition sequence exists.</x:v>
      </x:c>
    </x:row>
    <x:row r="65">
      <x:c r="A65" s="11" t="str">
        <x:v>BA-063</x:v>
      </x:c>
      <x:c r="B65" s="11" t="str">
        <x:v>NYC_OSE_ENFORCEMENT_REPORTS</x:v>
      </x:c>
      <x:c r="C65" s="11" t="str">
        <x:v>2024 Annual Report</x:v>
      </x:c>
      <x:c r="D65" s="11" t="str">
        <x:v>penalties_paid</x:v>
      </x:c>
      <x:c r="E65" s="11" t="str">
        <x:v>2024</x:v>
      </x:c>
      <x:c r="F65" s="26" t="n">
        <x:v>519645.22</x:v>
      </x:c>
      <x:c r="G65" s="11" t="str">
        <x:v>USD</x:v>
      </x:c>
      <x:c r="H65" s="11" t="str">
        <x:v>Citywide annual aggregate</x:v>
      </x:c>
      <x:c r="I65" s="13" t="n">
        <x:v>46268.80384259259</x:v>
      </x:c>
      <x:c r="J65" s="18" t="str">
        <x:v>https://www.nyc.gov/assets/specialenforcement/downloads/excel/2024_LL87_OSE_Annual_Report.xlsx</x:v>
      </x:c>
      <x:c r="K65" s="11" t="str">
        <x:v>manual_browser_download_local_aggregate_review</x:v>
      </x:c>
      <x:c r="L65" s="11" t="str">
        <x:v>Public and research use stated on OSE reports page</x:v>
      </x:c>
      <x:c r="M65" s="11" t="str">
        <x:v>annual_report_complete</x:v>
      </x:c>
      <x:c r="N65" s="11" t="str">
        <x:v>report_dated_2025-09-01</x:v>
      </x:c>
      <x:c r="O65" s="11" t="str">
        <x:v>limited_backtest_candidate</x:v>
      </x:c>
      <x:c r="P65" s="19" t="str">
        <x:v>Penalty table states imposed and paid data are as of April 2025.</x:v>
      </x:c>
      <x:c r="Q65" s="14" t="n">
        <x:v>45901</x:v>
      </x:c>
      <x:c r="R65" s="12" t="n">
        <x:f>COUNTIF('Guidance Events'!$E$3:$E$25,"&gt;"&amp;Q65)</x:f>
        <x:v>4</x:v>
      </x:c>
      <x:c r="S65" s="11" t="str">
        <x:v>2025Q3</x:v>
      </x:c>
      <x:c r="T65" s="11" t="str">
        <x:v>Limited historical comparison</x:v>
      </x:c>
      <x:c r="U65" s="11" t="str">
        <x:v>Supply / regulatory enforcement</x:v>
      </x:c>
      <x:c r="V65" s="19" t="str">
        <x:v>One annual vintage was public before four later ABNB events; no pre-event transition sequence exists.</x:v>
      </x:c>
    </x:row>
    <x:row r="66">
      <x:c r="A66" s="11" t="str">
        <x:v>BA-064</x:v>
      </x:c>
      <x:c r="B66" s="11" t="str">
        <x:v>NYC_OSE_ENFORCEMENT_REPORTS</x:v>
      </x:c>
      <x:c r="C66" s="11" t="str">
        <x:v>2024 Annual Report</x:v>
      </x:c>
      <x:c r="D66" s="11" t="str">
        <x:v>share_penalties_paid</x:v>
      </x:c>
      <x:c r="E66" s="11" t="str">
        <x:v>2024</x:v>
      </x:c>
      <x:c r="F66" s="26" t="n">
        <x:v>0.09207251621183977</x:v>
      </x:c>
      <x:c r="G66" s="11" t="str">
        <x:v>ratio</x:v>
      </x:c>
      <x:c r="H66" s="11" t="str">
        <x:v>Citywide annual aggregate</x:v>
      </x:c>
      <x:c r="I66" s="13" t="n">
        <x:v>46268.80384259259</x:v>
      </x:c>
      <x:c r="J66" s="18" t="str">
        <x:v>https://www.nyc.gov/assets/specialenforcement/downloads/excel/2024_LL87_OSE_Annual_Report.xlsx</x:v>
      </x:c>
      <x:c r="K66" s="11" t="str">
        <x:v>manual_browser_download_local_aggregate_review</x:v>
      </x:c>
      <x:c r="L66" s="11" t="str">
        <x:v>Public and research use stated on OSE reports page</x:v>
      </x:c>
      <x:c r="M66" s="11" t="str">
        <x:v>annual_report_complete</x:v>
      </x:c>
      <x:c r="N66" s="11" t="str">
        <x:v>report_dated_2025-09-01</x:v>
      </x:c>
      <x:c r="O66" s="11" t="str">
        <x:v>limited_backtest_candidate</x:v>
      </x:c>
      <x:c r="P66" s="19" t="str">
        <x:v>Equals penalties paid divided by penalties imposed.</x:v>
      </x:c>
      <x:c r="Q66" s="14" t="n">
        <x:v>45901</x:v>
      </x:c>
      <x:c r="R66" s="12" t="n">
        <x:f>COUNTIF('Guidance Events'!$E$3:$E$25,"&gt;"&amp;Q66)</x:f>
        <x:v>4</x:v>
      </x:c>
      <x:c r="S66" s="11" t="str">
        <x:v>2025Q3</x:v>
      </x:c>
      <x:c r="T66" s="11" t="str">
        <x:v>Limited historical comparison</x:v>
      </x:c>
      <x:c r="U66" s="11" t="str">
        <x:v>Supply / regulatory enforcement</x:v>
      </x:c>
      <x:c r="V66" s="19" t="str">
        <x:v>One annual vintage was public before four later ABNB events; no pre-event transition sequence exists.</x:v>
      </x:c>
    </x:row>
    <x:row r="67">
      <x:c r="A67" s="11" t="str">
        <x:v>BA-065</x:v>
      </x:c>
      <x:c r="B67" s="11" t="str">
        <x:v>NYC_OSE_ENFORCEMENT_REPORTS</x:v>
      </x:c>
      <x:c r="C67" s="11" t="str">
        <x:v>2024 Annual Report</x:v>
      </x:c>
      <x:c r="D67" s="11" t="str">
        <x:v>immediately_hazardous_violation_locations</x:v>
      </x:c>
      <x:c r="E67" s="11" t="str">
        <x:v>2024</x:v>
      </x:c>
      <x:c r="F67" s="26" t="n">
        <x:v>64</x:v>
      </x:c>
      <x:c r="G67" s="11" t="str">
        <x:v>locations</x:v>
      </x:c>
      <x:c r="H67" s="11" t="str">
        <x:v>Citywide annual aggregate</x:v>
      </x:c>
      <x:c r="I67" s="13" t="n">
        <x:v>46268.80384259259</x:v>
      </x:c>
      <x:c r="J67" s="18" t="str">
        <x:v>https://www.nyc.gov/assets/specialenforcement/downloads/excel/2024_LL87_OSE_Annual_Report.xlsx</x:v>
      </x:c>
      <x:c r="K67" s="11" t="str">
        <x:v>manual_browser_download_local_aggregate_review</x:v>
      </x:c>
      <x:c r="L67" s="11" t="str">
        <x:v>Public and research use stated on OSE reports page</x:v>
      </x:c>
      <x:c r="M67" s="11" t="str">
        <x:v>annual_report_complete</x:v>
      </x:c>
      <x:c r="N67" s="11" t="str">
        <x:v>report_dated_2025-09-01</x:v>
      </x:c>
      <x:c r="O67" s="11" t="str">
        <x:v>limited_backtest_candidate</x:v>
      </x:c>
      <x:c r="P67" s="19" t="str">
        <x:v>Only the aggregate location count was retained; the address-level list was excluded.</x:v>
      </x:c>
      <x:c r="Q67" s="14" t="n">
        <x:v>45901</x:v>
      </x:c>
      <x:c r="R67" s="12" t="n">
        <x:f>COUNTIF('Guidance Events'!$E$3:$E$25,"&gt;"&amp;Q67)</x:f>
        <x:v>4</x:v>
      </x:c>
      <x:c r="S67" s="11" t="str">
        <x:v>2025Q3</x:v>
      </x:c>
      <x:c r="T67" s="11" t="str">
        <x:v>Limited historical comparison</x:v>
      </x:c>
      <x:c r="U67" s="11" t="str">
        <x:v>Supply / regulatory enforcement</x:v>
      </x:c>
      <x:c r="V67" s="19" t="str">
        <x:v>One annual vintage was public before four later ABNB events; no pre-event transition sequence exists.</x:v>
      </x:c>
    </x:row>
  </x:sheetData>
  <x:mergeCells>
    <x:mergeCell ref="A1:V1"/>
  </x:mergeCells>
  <x:conditionalFormatting sqref="T3:T67">
    <x:cfRule type="containsText" dxfId="5" priority="1" operator="containsText" text="Limited"/>
    <x:cfRule type="containsText" dxfId="6" priority="2" operator="containsText" text="Prospective"/>
  </x:conditionalFormatting>
  <x:pageMargins left="0.7" right="0.7" top="0.75" bottom="0.75" header="0.3" footer="0.3"/>
  <x:tableParts count="1">
    <x:tablePart xmlns:r="http://schemas.openxmlformats.org/officeDocument/2006/relationships" r:id="R803e13659d2347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4" hidden="0" customWidth="1"/>
    <x:col min="4" max="4" width="44" hidden="0" customWidth="1"/>
    <x:col min="5" max="5" width="20" hidden="0" customWidth="1"/>
    <x:col min="6" max="6" width="22" hidden="0" customWidth="1"/>
    <x:col min="7" max="7" width="24" hidden="0" customWidth="1"/>
    <x:col min="8" max="8" width="43" hidden="0" customWidth="1"/>
    <x:col min="9" max="9" width="48" hidden="0" customWidth="1"/>
  </x:cols>
  <x:sheetData>
    <x:row r="1" ht="28" customHeight="1">
      <x:c r="A1" s="135" t="str">
        <x:v>Edge-to-Guidance Eligibility Bridge</x:v>
      </x:c>
      <x:c r="B1" s="135" t="str">
        <x:v>Edge-to-Guidance Eligibility Bridge</x:v>
      </x:c>
      <x:c r="C1" s="135" t="str">
        <x:v>Edge-to-Guidance Eligibility Bridge</x:v>
      </x:c>
      <x:c r="D1" s="135" t="str">
        <x:v>Edge-to-Guidance Eligibility Bridge</x:v>
      </x:c>
      <x:c r="E1" s="135" t="str">
        <x:v>Edge-to-Guidance Eligibility Bridge</x:v>
      </x:c>
      <x:c r="F1" s="135" t="str">
        <x:v>Edge-to-Guidance Eligibility Bridge</x:v>
      </x:c>
      <x:c r="G1" s="135" t="str">
        <x:v>Edge-to-Guidance Eligibility Bridge</x:v>
      </x:c>
      <x:c r="H1" s="135" t="str">
        <x:v>Edge-to-Guidance Eligibility Bridge</x:v>
      </x:c>
      <x:c r="I1" s="135" t="str">
        <x:v>Edge-to-Guidance Eligibility Bridge</x:v>
      </x:c>
    </x:row>
    <x:row r="2" ht="34" customHeight="1">
      <x:c r="A2" s="136" t="str">
        <x:v>Source ID</x:v>
      </x:c>
      <x:c r="B2" s="136" t="str">
        <x:v>Economic Layer</x:v>
      </x:c>
      <x:c r="C2" s="136" t="str">
        <x:v>Observations</x:v>
      </x:c>
      <x:c r="D2" s="136" t="str">
        <x:v>Availability Basis</x:v>
      </x:c>
      <x:c r="E2" s="136" t="str">
        <x:v>First Safe Availability</x:v>
      </x:c>
      <x:c r="F2" s="136" t="str">
        <x:v>Eligible Guidance Events</x:v>
      </x:c>
      <x:c r="G2" s="136" t="str">
        <x:v>Gate Status</x:v>
      </x:c>
      <x:c r="H2" s="136" t="str">
        <x:v>Minimum Evidence</x:v>
      </x:c>
      <x:c r="I2" s="136" t="str">
        <x:v>Approved Use</x:v>
      </x:c>
    </x:row>
    <x:row r="3">
      <x:c r="A3" s="11" t="str">
        <x:v>VANCOUVER_STR_LICENSES</x:v>
      </x:c>
      <x:c r="B3" s="11" t="str">
        <x:v>Supply / regulatory stock</x:v>
      </x:c>
      <x:c r="C3" s="12" t="n">
        <x:f>COUNTIF('Edge Observations'!$B$3:$B$67,A3)</x:f>
        <x:v>20</x:v>
      </x:c>
      <x:c r="D3" s="19" t="str">
        <x:v>Current portal snapshot</x:v>
      </x:c>
      <x:c r="E3" s="28" t="n">
        <x:f>'Edge Observations'!Q3</x:f>
        <x:v>46268</x:v>
      </x:c>
      <x:c r="F3" s="29" t="n">
        <x:f>'Edge Observations'!R3</x:f>
        <x:v>0</x:v>
      </x:c>
      <x:c r="G3" s="19" t="str">
        <x:v>Prospective only</x:v>
      </x:c>
      <x:c r="H3" s="19" t="str">
        <x:v>No frozen model threshold</x:v>
      </x:c>
      <x:c r="I3" s="19" t="str">
        <x:v>Prospective monitoring from 2026-09-03 onward.</x:v>
      </x:c>
    </x:row>
    <x:row r="4">
      <x:c r="A4" s="11" t="str">
        <x:v>MELB_PED_HOURLY</x:v>
      </x:c>
      <x:c r="B4" s="11" t="str">
        <x:v>Physical-world activity</x:v>
      </x:c>
      <x:c r="C4" s="12" t="n">
        <x:f>COUNTIF('Edge Observations'!$B$3:$B$67,A4)</x:f>
        <x:v>12</x:v>
      </x:c>
      <x:c r="D4" s="19" t="str">
        <x:v>Current portal snapshot</x:v>
      </x:c>
      <x:c r="E4" s="28" t="n">
        <x:f>'Edge Observations'!Q23</x:f>
        <x:v>46268</x:v>
      </x:c>
      <x:c r="F4" s="29" t="n">
        <x:f>'Edge Observations'!R23</x:f>
        <x:v>0</x:v>
      </x:c>
      <x:c r="G4" s="19" t="str">
        <x:v>Prospective only</x:v>
      </x:c>
      <x:c r="H4" s="19" t="str">
        <x:v>No frozen model threshold</x:v>
      </x:c>
      <x:c r="I4" s="19" t="str">
        <x:v>Prospective monitoring from 2026-09-03 onward.</x:v>
      </x:c>
    </x:row>
    <x:row r="5">
      <x:c r="A5" s="11" t="str">
        <x:v>NYC_311_TOURISM_STRESS</x:v>
      </x:c>
      <x:c r="B5" s="11" t="str">
        <x:v>Physical-world activity / stress</x:v>
      </x:c>
      <x:c r="C5" s="12" t="n">
        <x:f>COUNTIF('Edge Observations'!$B$3:$B$67,A5)</x:f>
        <x:v>11</x:v>
      </x:c>
      <x:c r="D5" s="19" t="str">
        <x:v>Current mutable portal</x:v>
      </x:c>
      <x:c r="E5" s="28" t="n">
        <x:f>'Edge Observations'!Q35</x:f>
        <x:v>46268</x:v>
      </x:c>
      <x:c r="F5" s="29" t="n">
        <x:f>'Edge Observations'!R35</x:f>
        <x:v>0</x:v>
      </x:c>
      <x:c r="G5" s="19" t="str">
        <x:v>Prospective only</x:v>
      </x:c>
      <x:c r="H5" s="19" t="str">
        <x:v>No frozen model threshold</x:v>
      </x:c>
      <x:c r="I5" s="19" t="str">
        <x:v>Prospective monitoring from 2026-09-03 onward.</x:v>
      </x:c>
    </x:row>
    <x:row r="6">
      <x:c r="A6" s="11" t="str">
        <x:v>NYC_OSE_ENFORCEMENT_REPORTS</x:v>
      </x:c>
      <x:c r="B6" s="11" t="str">
        <x:v>Supply / regulatory enforcement</x:v>
      </x:c>
      <x:c r="C6" s="12" t="n">
        <x:f>COUNTIF('Edge Observations'!$B$3:$B$67,A6)</x:f>
        <x:v>22</x:v>
      </x:c>
      <x:c r="D6" s="19" t="str">
        <x:v>2024 report dated 2025-09-01; 2025 report dated 2026-09-01</x:v>
      </x:c>
      <x:c r="E6" s="28" t="n">
        <x:f>'Edge Observations'!Q57</x:f>
        <x:v>45901</x:v>
      </x:c>
      <x:c r="F6" s="29" t="n">
        <x:f>'Edge Observations'!R57</x:f>
        <x:v>4</x:v>
      </x:c>
      <x:c r="G6" s="19" t="str">
        <x:v>Limited—descriptive</x:v>
      </x:c>
      <x:c r="H6" s="19" t="str">
        <x:v>&gt;=8 post-regime events and &gt;=4 transitions (H-006)</x:v>
      </x:c>
      <x:c r="I6" s="19" t="str">
        <x:v>Monitor and compare narratively; do not fit or promote.</x:v>
      </x:c>
    </x:row>
  </x:sheetData>
  <x:mergeCells>
    <x:mergeCell ref="A1:I1"/>
  </x:mergeCells>
  <x:conditionalFormatting sqref="G3:G6">
    <x:cfRule type="containsText" dxfId="7" priority="1" operator="containsText" text="Limited"/>
    <x:cfRule type="containsText" dxfId="8" priority="2" operator="containsText" text="Prospective"/>
  </x:conditionalFormatting>
  <x:pageMargins left="0.7" right="0.7" top="0.75" bottom="0.75" header="0.3" footer="0.3"/>
  <x:tableParts count="1">
    <x:tablePart xmlns:r="http://schemas.openxmlformats.org/officeDocument/2006/relationships" r:id="R6278c82b491145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5" hidden="0" customWidth="1"/>
    <x:col min="4" max="4" width="15" hidden="0" customWidth="1"/>
    <x:col min="5" max="5" width="18" hidden="0" customWidth="1"/>
    <x:col min="6" max="6" width="14" hidden="0" customWidth="1"/>
    <x:col min="7" max="7" width="13" hidden="0" customWidth="1"/>
    <x:col min="8" max="8" width="62" hidden="0" customWidth="1"/>
    <x:col min="9" max="9" width="3" hidden="0" customWidth="1"/>
    <x:col min="10" max="10" width="38" hidden="0" customWidth="1"/>
    <x:col min="11" max="11" width="15" hidden="0" customWidth="1"/>
    <x:col min="12" max="12" width="15" hidden="0" customWidth="1"/>
  </x:cols>
  <x:sheetData>
    <x:row r="1" ht="28" customHeight="1">
      <x:c r="A1" s="135" t="str">
        <x:v>NYC OSE Illegal Short-Term Rental Enforcement — 2024 to 2025</x:v>
      </x:c>
      <x:c r="B1" s="135" t="str">
        <x:v>NYC OSE Illegal Short-Term Rental Enforcement — 2024 to 2025</x:v>
      </x:c>
      <x:c r="C1" s="135" t="str">
        <x:v>NYC OSE Illegal Short-Term Rental Enforcement — 2024 to 2025</x:v>
      </x:c>
      <x:c r="D1" s="135" t="str">
        <x:v>NYC OSE Illegal Short-Term Rental Enforcement — 2024 to 2025</x:v>
      </x:c>
      <x:c r="E1" s="135" t="str">
        <x:v>NYC OSE Illegal Short-Term Rental Enforcement — 2024 to 2025</x:v>
      </x:c>
      <x:c r="F1" s="135" t="str">
        <x:v>NYC OSE Illegal Short-Term Rental Enforcement — 2024 to 2025</x:v>
      </x:c>
      <x:c r="G1" s="135" t="str">
        <x:v>NYC OSE Illegal Short-Term Rental Enforcement — 2024 to 2025</x:v>
      </x:c>
      <x:c r="H1" s="135" t="str">
        <x:v>NYC OSE Illegal Short-Term Rental Enforcement — 2024 to 2025</x:v>
      </x:c>
      <x:c r="I1" s="135" t="str">
        <x:v>NYC OSE Illegal Short-Term Rental Enforcement — 2024 to 2025</x:v>
      </x:c>
      <x:c r="J1" s="135" t="str">
        <x:v>NYC OSE Illegal Short-Term Rental Enforcement — 2024 to 2025</x:v>
      </x:c>
      <x:c r="K1" s="135" t="str">
        <x:v>NYC OSE Illegal Short-Term Rental Enforcement — 2024 to 2025</x:v>
      </x:c>
      <x:c r="L1" s="135" t="str">
        <x:v>NYC OSE Illegal Short-Term Rental Enforcement — 2024 to 2025</x:v>
      </x:c>
    </x:row>
    <x:row r="2" ht="34" customHeight="1">
      <x:c r="A2" s="136" t="str">
        <x:v>Metric</x:v>
      </x:c>
      <x:c r="B2" s="136" t="str">
        <x:v>Unit</x:v>
      </x:c>
      <x:c r="C2" s="136" t="str">
        <x:v>2024</x:v>
      </x:c>
      <x:c r="D2" s="136" t="str">
        <x:v>2025</x:v>
      </x:c>
      <x:c r="E2" s="136" t="str">
        <x:v>Absolute Change</x:v>
      </x:c>
      <x:c r="F2" s="136" t="str">
        <x:v>YoY Change</x:v>
      </x:c>
      <x:c r="G2" s="136" t="str">
        <x:v>Direction</x:v>
      </x:c>
      <x:c r="H2" s="136" t="str">
        <x:v>Interpretation</x:v>
      </x:c>
      <x:c r="I2" s="137"/>
      <x:c r="J2" s="136" t="str">
        <x:v>Selected Metric</x:v>
      </x:c>
      <x:c r="K2" s="136" t="str">
        <x:v>2024</x:v>
      </x:c>
      <x:c r="L2" s="136" t="str">
        <x:v>2025</x:v>
      </x:c>
    </x:row>
    <x:row r="3">
      <x:c r="A3" s="11" t="str">
        <x:v>illegal_str_complaints_received</x:v>
      </x:c>
      <x:c r="B3" s="11" t="str">
        <x:v>complaints</x:v>
      </x:c>
      <x:c r="C3" s="30" t="n">
        <x:v>2356</x:v>
      </x:c>
      <x:c r="D3" s="30" t="n">
        <x:v>2036</x:v>
      </x:c>
      <x:c r="E3" s="31" t="n">
        <x:f>D3-C3</x:f>
        <x:v>-320</x:v>
      </x:c>
      <x:c r="F3" s="17" t="n">
        <x:f>IF(C3=0,"",D3/C3-1)</x:f>
        <x:v>-0.13582342954159587</x:v>
      </x:c>
      <x:c r="G3" s="12" t="str">
        <x:f>IF(E3&gt;0,"Up",IF(E3&lt;0,"Down","Flat"))</x:f>
        <x:v>Down</x:v>
      </x:c>
      <x:c r="H3" s="19" t="str">
        <x:v>Complaint flow fell; this can reflect compliance, reporting behavior, or underlying activity.</x:v>
      </x:c>
      <x:c r="I3" s="137"/>
      <x:c r="J3" s="10" t="str">
        <x:v>illegal str complaints received</x:v>
      </x:c>
      <x:c r="K3" s="10" t="n">
        <x:f>C3</x:f>
        <x:v>2356</x:v>
      </x:c>
      <x:c r="L3" s="10" t="n">
        <x:f>D3</x:f>
        <x:v>2036</x:v>
      </x:c>
    </x:row>
    <x:row r="4">
      <x:c r="A4" s="11" t="str">
        <x:v>distinct_locations_receiving_complaints</x:v>
      </x:c>
      <x:c r="B4" s="11" t="str">
        <x:v>locations</x:v>
      </x:c>
      <x:c r="C4" s="30" t="n">
        <x:v>1750</x:v>
      </x:c>
      <x:c r="D4" s="30" t="n">
        <x:v>1537</x:v>
      </x:c>
      <x:c r="E4" s="31" t="n">
        <x:f>D4-C4</x:f>
        <x:v>-213</x:v>
      </x:c>
      <x:c r="F4" s="17" t="n">
        <x:f>IF(C4=0,"",D4/C4-1)</x:f>
        <x:v>-0.12171428571428566</x:v>
      </x:c>
      <x:c r="G4" s="12" t="str">
        <x:f>IF(E4&gt;0,"Up",IF(E4&lt;0,"Down","Flat"))</x:f>
        <x:v>Down</x:v>
      </x:c>
      <x:c r="H4" s="19" t="str">
        <x:v>Fewer complained-about locations; reported figures are lower bounds.</x:v>
      </x:c>
      <x:c r="I4" s="137"/>
      <x:c r="J4" s="10" t="str">
        <x:v>inspections total</x:v>
      </x:c>
      <x:c r="K4" s="10" t="n">
        <x:f>C5</x:f>
        <x:v>6717</x:v>
      </x:c>
      <x:c r="L4" s="10" t="n">
        <x:f>D5</x:f>
        <x:v>8553</x:v>
      </x:c>
    </x:row>
    <x:row r="5">
      <x:c r="A5" s="11" t="str">
        <x:v>inspections_total</x:v>
      </x:c>
      <x:c r="B5" s="11" t="str">
        <x:v>inspections</x:v>
      </x:c>
      <x:c r="C5" s="30" t="n">
        <x:v>6717</x:v>
      </x:c>
      <x:c r="D5" s="30" t="n">
        <x:v>8553</x:v>
      </x:c>
      <x:c r="E5" s="31" t="n">
        <x:f>D5-C5</x:f>
        <x:v>1836</x:v>
      </x:c>
      <x:c r="F5" s="17" t="n">
        <x:f>IF(C5=0,"",D5/C5-1)</x:f>
        <x:v>0.2733363108530593</x:v>
      </x:c>
      <x:c r="G5" s="12" t="str">
        <x:f>IF(E5&gt;0,"Up",IF(E5&lt;0,"Down","Flat"))</x:f>
        <x:v>Up</x:v>
      </x:c>
      <x:c r="H5" s="19" t="str">
        <x:v>Higher total inspection activity indicates stronger enforcement intensity.</x:v>
      </x:c>
      <x:c r="I5" s="137"/>
      <x:c r="J5" s="10" t="str">
        <x:v>summonses or violations issued</x:v>
      </x:c>
      <x:c r="K5" s="10" t="n">
        <x:f>C9</x:f>
        <x:v>1452</x:v>
      </x:c>
      <x:c r="L5" s="10" t="n">
        <x:f>D9</x:f>
        <x:v>1909</x:v>
      </x:c>
    </x:row>
    <x:row r="6">
      <x:c r="A6" s="11" t="str">
        <x:v>inspections_attempted</x:v>
      </x:c>
      <x:c r="B6" s="11" t="str">
        <x:v>inspections</x:v>
      </x:c>
      <x:c r="C6" s="30" t="n">
        <x:v>5286</x:v>
      </x:c>
      <x:c r="D6" s="30" t="n">
        <x:v>6463</x:v>
      </x:c>
      <x:c r="E6" s="31" t="n">
        <x:f>D6-C6</x:f>
        <x:v>1177</x:v>
      </x:c>
      <x:c r="F6" s="17" t="n">
        <x:f>IF(C6=0,"",D6/C6-1)</x:f>
        <x:v>0.222663639803254</x:v>
      </x:c>
      <x:c r="G6" s="12" t="str">
        <x:f>IF(E6&gt;0,"Up",IF(E6&lt;0,"Down","Flat"))</x:f>
        <x:v>Up</x:v>
      </x:c>
      <x:c r="H6" s="19" t="str">
        <x:v>Attempted inspections increased.</x:v>
      </x:c>
      <x:c r="I6" s="137"/>
      <x:c r="J6" s="10" t="str">
        <x:v>immediately hazardous violation locations</x:v>
      </x:c>
      <x:c r="K6" s="10" t="n">
        <x:f>C13</x:f>
        <x:v>64</x:v>
      </x:c>
      <x:c r="L6" s="10" t="n">
        <x:f>D13</x:f>
        <x:v>105</x:v>
      </x:c>
    </x:row>
    <x:row r="7">
      <x:c r="A7" s="11" t="str">
        <x:v>inspections_conducted</x:v>
      </x:c>
      <x:c r="B7" s="11" t="str">
        <x:v>inspections</x:v>
      </x:c>
      <x:c r="C7" s="30" t="n">
        <x:v>872</x:v>
      </x:c>
      <x:c r="D7" s="30" t="n">
        <x:v>1012</x:v>
      </x:c>
      <x:c r="E7" s="31" t="n">
        <x:f>D7-C7</x:f>
        <x:v>140</x:v>
      </x:c>
      <x:c r="F7" s="17" t="n">
        <x:f>IF(C7=0,"",D7/C7-1)</x:f>
        <x:v>0.16055045871559637</x:v>
      </x:c>
      <x:c r="G7" s="12" t="str">
        <x:f>IF(E7&gt;0,"Up",IF(E7&lt;0,"Down","Flat"))</x:f>
        <x:v>Up</x:v>
      </x:c>
      <x:c r="H7" s="19" t="str">
        <x:v>Completed inspections increased.</x:v>
      </x:c>
      <x:c r="I7" s="137"/>
      <x:c r="J7" s="137"/>
      <x:c r="K7" s="137"/>
      <x:c r="L7" s="137"/>
    </x:row>
    <x:row r="8">
      <x:c r="A8" s="11" t="str">
        <x:v>inspections_follow_up</x:v>
      </x:c>
      <x:c r="B8" s="11" t="str">
        <x:v>inspections</x:v>
      </x:c>
      <x:c r="C8" s="30" t="n">
        <x:v>559</x:v>
      </x:c>
      <x:c r="D8" s="30" t="n">
        <x:v>1078</x:v>
      </x:c>
      <x:c r="E8" s="31" t="n">
        <x:f>D8-C8</x:f>
        <x:v>519</x:v>
      </x:c>
      <x:c r="F8" s="17" t="n">
        <x:f>IF(C8=0,"",D8/C8-1)</x:f>
        <x:v>0.9284436493738819</x:v>
      </x:c>
      <x:c r="G8" s="12" t="str">
        <x:f>IF(E8&gt;0,"Up",IF(E8&lt;0,"Down","Flat"))</x:f>
        <x:v>Up</x:v>
      </x:c>
      <x:c r="H8" s="19" t="str">
        <x:v>Follow-up inspections nearly doubled.</x:v>
      </x:c>
      <x:c r="I8" s="137"/>
      <x:c r="J8" s="137"/>
      <x:c r="K8" s="137"/>
      <x:c r="L8" s="137"/>
    </x:row>
    <x:row r="9">
      <x:c r="A9" s="11" t="str">
        <x:v>summonses_or_violations_issued</x:v>
      </x:c>
      <x:c r="B9" s="11" t="str">
        <x:v>summonses</x:v>
      </x:c>
      <x:c r="C9" s="30" t="n">
        <x:v>1452</x:v>
      </x:c>
      <x:c r="D9" s="30" t="n">
        <x:v>1909</x:v>
      </x:c>
      <x:c r="E9" s="31" t="n">
        <x:f>D9-C9</x:f>
        <x:v>457</x:v>
      </x:c>
      <x:c r="F9" s="17" t="n">
        <x:f>IF(C9=0,"",D9/C9-1)</x:f>
        <x:v>0.3147382920110193</x:v>
      </x:c>
      <x:c r="G9" s="12" t="str">
        <x:f>IF(E9&gt;0,"Up",IF(E9&lt;0,"Down","Flat"))</x:f>
        <x:v>Up</x:v>
      </x:c>
      <x:c r="H9" s="19" t="str">
        <x:v>Summonses/violations rose, consistent with tighter enforcement.</x:v>
      </x:c>
      <x:c r="I9" s="137"/>
      <x:c r="J9" s="137"/>
      <x:c r="K9" s="137"/>
      <x:c r="L9" s="137"/>
    </x:row>
    <x:row r="10">
      <x:c r="A10" s="11" t="str">
        <x:v>penalties_imposed</x:v>
      </x:c>
      <x:c r="B10" s="11" t="str">
        <x:v>USD</x:v>
      </x:c>
      <x:c r="C10" s="32" t="n">
        <x:v>5643869</x:v>
      </x:c>
      <x:c r="D10" s="32" t="n">
        <x:v>9636307</x:v>
      </x:c>
      <x:c r="E10" s="33" t="n">
        <x:f>D10-C10</x:f>
        <x:v>3992438</x:v>
      </x:c>
      <x:c r="F10" s="17" t="n">
        <x:f>IF(C10=0,"",D10/C10-1)</x:f>
        <x:v>0.7073938108769002</x:v>
      </x:c>
      <x:c r="G10" s="12" t="str">
        <x:f>IF(E10&gt;0,"Up",IF(E10&lt;0,"Down","Flat"))</x:f>
        <x:v>Up</x:v>
      </x:c>
      <x:c r="H10" s="19" t="str">
        <x:v>Penalties imposed rose sharply; timing notes remain important.</x:v>
      </x:c>
      <x:c r="I10" s="137"/>
      <x:c r="J10" s="137"/>
      <x:c r="K10" s="137"/>
      <x:c r="L10" s="137"/>
    </x:row>
    <x:row r="11">
      <x:c r="A11" s="11" t="str">
        <x:v>penalties_paid</x:v>
      </x:c>
      <x:c r="B11" s="11" t="str">
        <x:v>USD</x:v>
      </x:c>
      <x:c r="C11" s="32" t="n">
        <x:v>519645.22</x:v>
      </x:c>
      <x:c r="D11" s="32" t="n">
        <x:v>631870.58</x:v>
      </x:c>
      <x:c r="E11" s="33" t="n">
        <x:f>D11-C11</x:f>
        <x:v>112225.35999999999</x:v>
      </x:c>
      <x:c r="F11" s="17" t="n">
        <x:f>IF(C11=0,"",D11/C11-1)</x:f>
        <x:v>0.21596534651083665</x:v>
      </x:c>
      <x:c r="G11" s="12" t="str">
        <x:f>IF(E11&gt;0,"Up",IF(E11&lt;0,"Down","Flat"))</x:f>
        <x:v>Up</x:v>
      </x:c>
      <x:c r="H11" s="19" t="str">
        <x:v>Cash paid increased, but slower than imposed penalties.</x:v>
      </x:c>
      <x:c r="I11" s="137"/>
      <x:c r="J11" s="137"/>
      <x:c r="K11" s="137"/>
      <x:c r="L11" s="137"/>
    </x:row>
    <x:row r="12">
      <x:c r="A12" s="11" t="str">
        <x:v>share_penalties_paid</x:v>
      </x:c>
      <x:c r="B12" s="11" t="str">
        <x:v>ratio</x:v>
      </x:c>
      <x:c r="C12" s="34" t="n">
        <x:v>0.09207251621183977</x:v>
      </x:c>
      <x:c r="D12" s="34" t="n">
        <x:v>0.06557186067235093</x:v>
      </x:c>
      <x:c r="E12" s="17" t="n">
        <x:f>D12-C12</x:f>
        <x:v>-0.02650065553948884</x:v>
      </x:c>
      <x:c r="F12" s="17" t="n">
        <x:f>IF(C12=0,"",D12/C12-1)</x:f>
        <x:v>-0.2878237353535156</x:v>
      </x:c>
      <x:c r="G12" s="12" t="str">
        <x:f>IF(E12&gt;0,"Up",IF(E12&lt;0,"Down","Flat"))</x:f>
        <x:v>Down</x:v>
      </x:c>
      <x:c r="H12" s="19" t="str">
        <x:v>Collection share fell despite higher dollars paid.</x:v>
      </x:c>
      <x:c r="I12" s="137"/>
      <x:c r="J12" s="137"/>
      <x:c r="K12" s="137"/>
      <x:c r="L12" s="137"/>
    </x:row>
    <x:row r="13">
      <x:c r="A13" s="11" t="str">
        <x:v>immediately_hazardous_violation_locations</x:v>
      </x:c>
      <x:c r="B13" s="11" t="str">
        <x:v>locations</x:v>
      </x:c>
      <x:c r="C13" s="30" t="n">
        <x:v>64</x:v>
      </x:c>
      <x:c r="D13" s="30" t="n">
        <x:v>105</x:v>
      </x:c>
      <x:c r="E13" s="31" t="n">
        <x:f>D13-C13</x:f>
        <x:v>41</x:v>
      </x:c>
      <x:c r="F13" s="17" t="n">
        <x:f>IF(C13=0,"",D13/C13-1)</x:f>
        <x:v>0.640625</x:v>
      </x:c>
      <x:c r="G13" s="12" t="str">
        <x:f>IF(E13&gt;0,"Up",IF(E13&lt;0,"Down","Flat"))</x:f>
        <x:v>Up</x:v>
      </x:c>
      <x:c r="H13" s="19" t="str">
        <x:v>Hazardous-violation locations increased.</x:v>
      </x:c>
      <x:c r="I13" s="137"/>
      <x:c r="J13" s="137"/>
      <x:c r="K13" s="137"/>
      <x:c r="L13" s="137"/>
    </x:row>
  </x:sheetData>
  <x:mergeCells>
    <x:mergeCell ref="A1:L1"/>
  </x:mergeCells>
  <x:conditionalFormatting sqref="E3:F13">
    <x:cfRule type="cellIs" dxfId="9" priority="1" operator="greaterThan">
      <x:formula>0</x:formula>
    </x:cfRule>
    <x:cfRule type="cellIs" dxfId="10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fc439af649bf4092"/>
  <x:tableParts count="1">
    <x:tablePart xmlns:r="http://schemas.openxmlformats.org/officeDocument/2006/relationships" r:id="Rc7075b7fae1e45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135" t="str">
        <x:v>Free Official Market Data — Daily Closes and Volume</x:v>
      </x:c>
      <x:c r="B1" s="135" t="str">
        <x:v>Free Official Market Data — Daily Closes and Volume</x:v>
      </x:c>
      <x:c r="C1" s="135" t="str">
        <x:v>Free Official Market Data — Daily Closes and Volume</x:v>
      </x:c>
      <x:c r="D1" s="135" t="str">
        <x:v>Free Official Market Data — Daily Closes and Volume</x:v>
      </x:c>
      <x:c r="E1" s="135" t="str">
        <x:v>Free Official Market Data — Daily Closes and Volume</x:v>
      </x:c>
      <x:c r="F1" s="135" t="str">
        <x:v>Free Official Market Data — Daily Closes and Volume</x:v>
      </x:c>
    </x:row>
    <x:row r="2" ht="34" customHeight="1">
      <x:c r="A2" s="136" t="str">
        <x:v>Date</x:v>
      </x:c>
      <x:c r="B2" s="136" t="str">
        <x:v>ABNB Close</x:v>
      </x:c>
      <x:c r="C2" s="136" t="str">
        <x:v>SPY Close</x:v>
      </x:c>
      <x:c r="D2" s="136" t="str">
        <x:v>ABNB Volume</x:v>
      </x:c>
      <x:c r="E2" s="136" t="str">
        <x:v>SPY Volume</x:v>
      </x:c>
      <x:c r="F2" s="136" t="str">
        <x:v>Provider</x:v>
      </x:c>
    </x:row>
    <x:row r="3">
      <x:c r="A3" s="14" t="n">
        <x:v>44228</x:v>
      </x:c>
      <x:c r="B3" s="20" t="n">
        <x:v>180.44</x:v>
      </x:c>
      <x:c r="C3" s="20" t="n">
        <x:v>376.23</x:v>
      </x:c>
      <x:c r="D3" s="21" t="n">
        <x:v>3877389</x:v>
      </x:c>
      <x:c r="E3" s="21" t="n">
        <x:v>75817600</x:v>
      </x:c>
      <x:c r="F3" s="11" t="str">
        <x:v>Nasdaq public historical table</x:v>
      </x:c>
    </x:row>
    <x:row r="4">
      <x:c r="A4" s="14" t="n">
        <x:v>44229</x:v>
      </x:c>
      <x:c r="B4" s="20" t="n">
        <x:v>179.17</x:v>
      </x:c>
      <x:c r="C4" s="20" t="n">
        <x:v>381.55</x:v>
      </x:c>
      <x:c r="D4" s="21" t="n">
        <x:v>4413624</x:v>
      </x:c>
      <x:c r="E4" s="21" t="n">
        <x:v>64450660</x:v>
      </x:c>
      <x:c r="F4" s="11" t="str">
        <x:v>Nasdaq public historical table</x:v>
      </x:c>
    </x:row>
    <x:row r="5">
      <x:c r="A5" s="14" t="n">
        <x:v>44230</x:v>
      </x:c>
      <x:c r="B5" s="20" t="n">
        <x:v>185.72</x:v>
      </x:c>
      <x:c r="C5" s="20" t="n">
        <x:v>381.85</x:v>
      </x:c>
      <x:c r="D5" s="21" t="n">
        <x:v>4168965</x:v>
      </x:c>
      <x:c r="E5" s="21" t="n">
        <x:v>52427090</x:v>
      </x:c>
      <x:c r="F5" s="11" t="str">
        <x:v>Nasdaq public historical table</x:v>
      </x:c>
    </x:row>
    <x:row r="6">
      <x:c r="A6" s="14" t="n">
        <x:v>44231</x:v>
      </x:c>
      <x:c r="B6" s="20" t="n">
        <x:v>195.8</x:v>
      </x:c>
      <x:c r="C6" s="20" t="n">
        <x:v>386.19</x:v>
      </x:c>
      <x:c r="D6" s="21" t="n">
        <x:v>3637039</x:v>
      </x:c>
      <x:c r="E6" s="21" t="n">
        <x:v>47142560</x:v>
      </x:c>
      <x:c r="F6" s="11" t="str">
        <x:v>Nasdaq public historical table</x:v>
      </x:c>
    </x:row>
    <x:row r="7">
      <x:c r="A7" s="14" t="n">
        <x:v>44232</x:v>
      </x:c>
      <x:c r="B7" s="20" t="n">
        <x:v>195.31</x:v>
      </x:c>
      <x:c r="C7" s="20" t="n">
        <x:v>387.71</x:v>
      </x:c>
      <x:c r="D7" s="21" t="n">
        <x:v>2869659</x:v>
      </x:c>
      <x:c r="E7" s="21" t="n">
        <x:v>48669770</x:v>
      </x:c>
      <x:c r="F7" s="11" t="str">
        <x:v>Nasdaq public historical table</x:v>
      </x:c>
    </x:row>
    <x:row r="8">
      <x:c r="A8" s="14" t="n">
        <x:v>44235</x:v>
      </x:c>
      <x:c r="B8" s="20" t="n">
        <x:v>200.43</x:v>
      </x:c>
      <x:c r="C8" s="20" t="n">
        <x:v>390.51</x:v>
      </x:c>
      <x:c r="D8" s="21" t="n">
        <x:v>3492593</x:v>
      </x:c>
      <x:c r="E8" s="21" t="n">
        <x:v>38365190</x:v>
      </x:c>
      <x:c r="F8" s="11" t="str">
        <x:v>Nasdaq public historical table</x:v>
      </x:c>
    </x:row>
    <x:row r="9">
      <x:c r="A9" s="14" t="n">
        <x:v>44236</x:v>
      </x:c>
      <x:c r="B9" s="20" t="n">
        <x:v>199.88</x:v>
      </x:c>
      <x:c r="C9" s="20" t="n">
        <x:v>390.25</x:v>
      </x:c>
      <x:c r="D9" s="21" t="n">
        <x:v>4725841</x:v>
      </x:c>
      <x:c r="E9" s="21" t="n">
        <x:v>35551060</x:v>
      </x:c>
      <x:c r="F9" s="11" t="str">
        <x:v>Nasdaq public historical table</x:v>
      </x:c>
    </x:row>
    <x:row r="10">
      <x:c r="A10" s="14" t="n">
        <x:v>44237</x:v>
      </x:c>
      <x:c r="B10" s="20" t="n">
        <x:v>211.66</x:v>
      </x:c>
      <x:c r="C10" s="20" t="n">
        <x:v>390.08</x:v>
      </x:c>
      <x:c r="D10" s="21" t="n">
        <x:v>5257239</x:v>
      </x:c>
      <x:c r="E10" s="21" t="n">
        <x:v>59154370</x:v>
      </x:c>
      <x:c r="F10" s="11" t="str">
        <x:v>Nasdaq public historical table</x:v>
      </x:c>
    </x:row>
    <x:row r="11">
      <x:c r="A11" s="14" t="n">
        <x:v>44238</x:v>
      </x:c>
      <x:c r="B11" s="20" t="n">
        <x:v>216.84</x:v>
      </x:c>
      <x:c r="C11" s="20" t="n">
        <x:v>390.71</x:v>
      </x:c>
      <x:c r="D11" s="21" t="n">
        <x:v>3595183</x:v>
      </x:c>
      <x:c r="E11" s="21" t="n">
        <x:v>42913290</x:v>
      </x:c>
      <x:c r="F11" s="11" t="str">
        <x:v>Nasdaq public historical table</x:v>
      </x:c>
    </x:row>
    <x:row r="12">
      <x:c r="A12" s="14" t="n">
        <x:v>44239</x:v>
      </x:c>
      <x:c r="B12" s="20" t="n">
        <x:v>212.68</x:v>
      </x:c>
      <x:c r="C12" s="20" t="n">
        <x:v>392.64</x:v>
      </x:c>
      <x:c r="D12" s="21" t="n">
        <x:v>3041744</x:v>
      </x:c>
      <x:c r="E12" s="21" t="n">
        <x:v>50593270</x:v>
      </x:c>
      <x:c r="F12" s="11" t="str">
        <x:v>Nasdaq public historical table</x:v>
      </x:c>
    </x:row>
    <x:row r="13">
      <x:c r="A13" s="14" t="n">
        <x:v>44243</x:v>
      </x:c>
      <x:c r="B13" s="20" t="n">
        <x:v>209.86</x:v>
      </x:c>
      <x:c r="C13" s="20" t="n">
        <x:v>392.3</x:v>
      </x:c>
      <x:c r="D13" s="21" t="n">
        <x:v>3487929</x:v>
      </x:c>
      <x:c r="E13" s="21" t="n">
        <x:v>50972370</x:v>
      </x:c>
      <x:c r="F13" s="11" t="str">
        <x:v>Nasdaq public historical table</x:v>
      </x:c>
    </x:row>
    <x:row r="14">
      <x:c r="A14" s="14" t="n">
        <x:v>44244</x:v>
      </x:c>
      <x:c r="B14" s="20" t="n">
        <x:v>201.96</x:v>
      </x:c>
      <x:c r="C14" s="20" t="n">
        <x:v>392.39</x:v>
      </x:c>
      <x:c r="D14" s="21" t="n">
        <x:v>4090619</x:v>
      </x:c>
      <x:c r="E14" s="21" t="n">
        <x:v>52806680</x:v>
      </x:c>
      <x:c r="F14" s="11" t="str">
        <x:v>Nasdaq public historical table</x:v>
      </x:c>
    </x:row>
    <x:row r="15">
      <x:c r="A15" s="14" t="n">
        <x:v>44245</x:v>
      </x:c>
      <x:c r="B15" s="20" t="n">
        <x:v>198.04</x:v>
      </x:c>
      <x:c r="C15" s="20" t="n">
        <x:v>390.72</x:v>
      </x:c>
      <x:c r="D15" s="21" t="n">
        <x:v>2791419</x:v>
      </x:c>
      <x:c r="E15" s="21" t="n">
        <x:v>59712770</x:v>
      </x:c>
      <x:c r="F15" s="11" t="str">
        <x:v>Nasdaq public historical table</x:v>
      </x:c>
    </x:row>
    <x:row r="16">
      <x:c r="A16" s="14" t="n">
        <x:v>44246</x:v>
      </x:c>
      <x:c r="B16" s="20" t="n">
        <x:v>201.07</x:v>
      </x:c>
      <x:c r="C16" s="20" t="n">
        <x:v>390.03</x:v>
      </x:c>
      <x:c r="D16" s="21" t="n">
        <x:v>2605751</x:v>
      </x:c>
      <x:c r="E16" s="21" t="n">
        <x:v>83240970</x:v>
      </x:c>
      <x:c r="F16" s="11" t="str">
        <x:v>Nasdaq public historical table</x:v>
      </x:c>
    </x:row>
    <x:row r="17">
      <x:c r="A17" s="14" t="n">
        <x:v>44249</x:v>
      </x:c>
      <x:c r="B17" s="20" t="n">
        <x:v>195.34</x:v>
      </x:c>
      <x:c r="C17" s="20" t="n">
        <x:v>387.03</x:v>
      </x:c>
      <x:c r="D17" s="21" t="n">
        <x:v>3674223</x:v>
      </x:c>
      <x:c r="E17" s="21" t="n">
        <x:v>67414170</x:v>
      </x:c>
      <x:c r="F17" s="11" t="str">
        <x:v>Nasdaq public historical table</x:v>
      </x:c>
    </x:row>
    <x:row r="18">
      <x:c r="A18" s="14" t="n">
        <x:v>44250</x:v>
      </x:c>
      <x:c r="B18" s="20" t="n">
        <x:v>187.59</x:v>
      </x:c>
      <x:c r="C18" s="20" t="n">
        <x:v>387.5</x:v>
      </x:c>
      <x:c r="D18" s="21" t="n">
        <x:v>5902404</x:v>
      </x:c>
      <x:c r="E18" s="21" t="n">
        <x:v>107284100</x:v>
      </x:c>
      <x:c r="F18" s="11" t="str">
        <x:v>Nasdaq public historical table</x:v>
      </x:c>
    </x:row>
    <x:row r="19">
      <x:c r="A19" s="14" t="n">
        <x:v>44251</x:v>
      </x:c>
      <x:c r="B19" s="20" t="n">
        <x:v>200.2</x:v>
      </x:c>
      <x:c r="C19" s="20" t="n">
        <x:v>391.77</x:v>
      </x:c>
      <x:c r="D19" s="21" t="n">
        <x:v>5983538</x:v>
      </x:c>
      <x:c r="E19" s="21" t="n">
        <x:v>72433950</x:v>
      </x:c>
      <x:c r="F19" s="11" t="str">
        <x:v>Nasdaq public historical table</x:v>
      </x:c>
    </x:row>
    <x:row r="20">
      <x:c r="A20" s="14" t="n">
        <x:v>44252</x:v>
      </x:c>
      <x:c r="B20" s="20" t="n">
        <x:v>182.06</x:v>
      </x:c>
      <x:c r="C20" s="20" t="n">
        <x:v>382.33</x:v>
      </x:c>
      <x:c r="D20" s="21" t="n">
        <x:v>11568490</x:v>
      </x:c>
      <x:c r="E20" s="21" t="n">
        <x:v>146670500</x:v>
      </x:c>
      <x:c r="F20" s="11" t="str">
        <x:v>Nasdaq public historical table</x:v>
      </x:c>
    </x:row>
    <x:row r="21">
      <x:c r="A21" s="14" t="n">
        <x:v>44253</x:v>
      </x:c>
      <x:c r="B21" s="20" t="n">
        <x:v>206.35</x:v>
      </x:c>
      <x:c r="C21" s="20" t="n">
        <x:v>380.36</x:v>
      </x:c>
      <x:c r="D21" s="21" t="n">
        <x:v>19368610</x:v>
      </x:c>
      <x:c r="E21" s="21" t="n">
        <x:v>152701600</x:v>
      </x:c>
      <x:c r="F21" s="11" t="str">
        <x:v>Nasdaq public historical table</x:v>
      </x:c>
    </x:row>
    <x:row r="22">
      <x:c r="A22" s="14" t="n">
        <x:v>44256</x:v>
      </x:c>
      <x:c r="B22" s="20" t="n">
        <x:v>196.42</x:v>
      </x:c>
      <x:c r="C22" s="20" t="n">
        <x:v>389.58</x:v>
      </x:c>
      <x:c r="D22" s="21" t="n">
        <x:v>15798530</x:v>
      </x:c>
      <x:c r="E22" s="21" t="n">
        <x:v>105348800</x:v>
      </x:c>
      <x:c r="F22" s="11" t="str">
        <x:v>Nasdaq public historical table</x:v>
      </x:c>
    </x:row>
    <x:row r="23">
      <x:c r="A23" s="14" t="n">
        <x:v>44257</x:v>
      </x:c>
      <x:c r="B23" s="20" t="n">
        <x:v>189.9</x:v>
      </x:c>
      <x:c r="C23" s="20" t="n">
        <x:v>386.54</x:v>
      </x:c>
      <x:c r="D23" s="21" t="n">
        <x:v>9144947</x:v>
      </x:c>
      <x:c r="E23" s="21" t="n">
        <x:v>79595330</x:v>
      </x:c>
      <x:c r="F23" s="11" t="str">
        <x:v>Nasdaq public historical table</x:v>
      </x:c>
    </x:row>
    <x:row r="24">
      <x:c r="A24" s="14" t="n">
        <x:v>44258</x:v>
      </x:c>
      <x:c r="B24" s="20" t="n">
        <x:v>180.4</x:v>
      </x:c>
      <x:c r="C24" s="20" t="n">
        <x:v>381.42</x:v>
      </x:c>
      <x:c r="D24" s="21" t="n">
        <x:v>10592930</x:v>
      </x:c>
      <x:c r="E24" s="21" t="n">
        <x:v>119940200</x:v>
      </x:c>
      <x:c r="F24" s="11" t="str">
        <x:v>Nasdaq public historical table</x:v>
      </x:c>
    </x:row>
    <x:row r="25">
      <x:c r="A25" s="14" t="n">
        <x:v>44259</x:v>
      </x:c>
      <x:c r="B25" s="20" t="n">
        <x:v>180.23</x:v>
      </x:c>
      <x:c r="C25" s="20" t="n">
        <x:v>376.7</x:v>
      </x:c>
      <x:c r="D25" s="21" t="n">
        <x:v>9993671</x:v>
      </x:c>
      <x:c r="E25" s="21" t="n">
        <x:v>183433000</x:v>
      </x:c>
      <x:c r="F25" s="11" t="str">
        <x:v>Nasdaq public historical table</x:v>
      </x:c>
    </x:row>
    <x:row r="26">
      <x:c r="A26" s="14" t="n">
        <x:v>44260</x:v>
      </x:c>
      <x:c r="B26" s="20" t="n">
        <x:v>179.81</x:v>
      </x:c>
      <x:c r="C26" s="20" t="n">
        <x:v>383.63</x:v>
      </x:c>
      <x:c r="D26" s="21" t="n">
        <x:v>8788544</x:v>
      </x:c>
      <x:c r="E26" s="21" t="n">
        <x:v>152039600</x:v>
      </x:c>
      <x:c r="F26" s="11" t="str">
        <x:v>Nasdaq public historical table</x:v>
      </x:c>
    </x:row>
    <x:row r="27">
      <x:c r="A27" s="14" t="n">
        <x:v>44263</x:v>
      </x:c>
      <x:c r="B27" s="20" t="n">
        <x:v>180.81</x:v>
      </x:c>
      <x:c r="C27" s="20" t="n">
        <x:v>381.72</x:v>
      </x:c>
      <x:c r="D27" s="21" t="n">
        <x:v>4988473</x:v>
      </x:c>
      <x:c r="E27" s="21" t="n">
        <x:v>123149200</x:v>
      </x:c>
      <x:c r="F27" s="11" t="str">
        <x:v>Nasdaq public historical table</x:v>
      </x:c>
    </x:row>
    <x:row r="28">
      <x:c r="A28" s="14" t="n">
        <x:v>44264</x:v>
      </x:c>
      <x:c r="B28" s="20" t="n">
        <x:v>183.11</x:v>
      </x:c>
      <x:c r="C28" s="20" t="n">
        <x:v>387.17</x:v>
      </x:c>
      <x:c r="D28" s="21" t="n">
        <x:v>6079925</x:v>
      </x:c>
      <x:c r="E28" s="21" t="n">
        <x:v>113633600</x:v>
      </x:c>
      <x:c r="F28" s="11" t="str">
        <x:v>Nasdaq public historical table</x:v>
      </x:c>
    </x:row>
    <x:row r="29">
      <x:c r="A29" s="14" t="n">
        <x:v>44265</x:v>
      </x:c>
      <x:c r="B29" s="20" t="n">
        <x:v>183.79</x:v>
      </x:c>
      <x:c r="C29" s="20" t="n">
        <x:v>389.58</x:v>
      </x:c>
      <x:c r="D29" s="21" t="n">
        <x:v>6145645</x:v>
      </x:c>
      <x:c r="E29" s="21" t="n">
        <x:v>109899400</x:v>
      </x:c>
      <x:c r="F29" s="11" t="str">
        <x:v>Nasdaq public historical table</x:v>
      </x:c>
    </x:row>
    <x:row r="30">
      <x:c r="A30" s="14" t="n">
        <x:v>44266</x:v>
      </x:c>
      <x:c r="B30" s="20" t="n">
        <x:v>197.87</x:v>
      </x:c>
      <x:c r="C30" s="20" t="n">
        <x:v>393.53</x:v>
      </x:c>
      <x:c r="D30" s="21" t="n">
        <x:v>6031244</x:v>
      </x:c>
      <x:c r="E30" s="21" t="n">
        <x:v>86245040</x:v>
      </x:c>
      <x:c r="F30" s="11" t="str">
        <x:v>Nasdaq public historical table</x:v>
      </x:c>
    </x:row>
    <x:row r="31">
      <x:c r="A31" s="14" t="n">
        <x:v>44267</x:v>
      </x:c>
      <x:c r="B31" s="20" t="n">
        <x:v>206.74</x:v>
      </x:c>
      <x:c r="C31" s="20" t="n">
        <x:v>394.06</x:v>
      </x:c>
      <x:c r="D31" s="21" t="n">
        <x:v>5556463</x:v>
      </x:c>
      <x:c r="E31" s="21" t="n">
        <x:v>64653570</x:v>
      </x:c>
      <x:c r="F31" s="11" t="str">
        <x:v>Nasdaq public historical table</x:v>
      </x:c>
    </x:row>
    <x:row r="32">
      <x:c r="A32" s="14" t="n">
        <x:v>44270</x:v>
      </x:c>
      <x:c r="B32" s="20" t="n">
        <x:v>209.99</x:v>
      </x:c>
      <x:c r="C32" s="20" t="n">
        <x:v>396.41</x:v>
      </x:c>
      <x:c r="D32" s="21" t="n">
        <x:v>4337470</x:v>
      </x:c>
      <x:c r="E32" s="21" t="n">
        <x:v>73592300</x:v>
      </x:c>
      <x:c r="F32" s="11" t="str">
        <x:v>Nasdaq public historical table</x:v>
      </x:c>
    </x:row>
    <x:row r="33">
      <x:c r="A33" s="14" t="n">
        <x:v>44271</x:v>
      </x:c>
      <x:c r="B33" s="20" t="n">
        <x:v>200.01</x:v>
      </x:c>
      <x:c r="C33" s="20" t="n">
        <x:v>395.91</x:v>
      </x:c>
      <x:c r="D33" s="21" t="n">
        <x:v>4605572</x:v>
      </x:c>
      <x:c r="E33" s="21" t="n">
        <x:v>73722510</x:v>
      </x:c>
      <x:c r="F33" s="11" t="str">
        <x:v>Nasdaq public historical table</x:v>
      </x:c>
    </x:row>
    <x:row r="34">
      <x:c r="A34" s="14" t="n">
        <x:v>44272</x:v>
      </x:c>
      <x:c r="B34" s="20" t="n">
        <x:v>201.36</x:v>
      </x:c>
      <x:c r="C34" s="20" t="n">
        <x:v>397.26</x:v>
      </x:c>
      <x:c r="D34" s="21" t="n">
        <x:v>3781866</x:v>
      </x:c>
      <x:c r="E34" s="21" t="n">
        <x:v>97959270</x:v>
      </x:c>
      <x:c r="F34" s="11" t="str">
        <x:v>Nasdaq public historical table</x:v>
      </x:c>
    </x:row>
    <x:row r="35">
      <x:c r="A35" s="14" t="n">
        <x:v>44273</x:v>
      </x:c>
      <x:c r="B35" s="20" t="n">
        <x:v>191.45</x:v>
      </x:c>
      <x:c r="C35" s="20" t="n">
        <x:v>391.48</x:v>
      </x:c>
      <x:c r="D35" s="21" t="n">
        <x:v>3729507</x:v>
      </x:c>
      <x:c r="E35" s="21" t="n">
        <x:v>115349100</x:v>
      </x:c>
      <x:c r="F35" s="11" t="str">
        <x:v>Nasdaq public historical table</x:v>
      </x:c>
    </x:row>
    <x:row r="36">
      <x:c r="A36" s="14" t="n">
        <x:v>44274</x:v>
      </x:c>
      <x:c r="B36" s="20" t="n">
        <x:v>194.39</x:v>
      </x:c>
      <x:c r="C36" s="20" t="n">
        <x:v>389.48</x:v>
      </x:c>
      <x:c r="D36" s="21" t="n">
        <x:v>4444583</x:v>
      </x:c>
      <x:c r="E36" s="21" t="n">
        <x:v>113624500</x:v>
      </x:c>
      <x:c r="F36" s="11" t="str">
        <x:v>Nasdaq public historical table</x:v>
      </x:c>
    </x:row>
    <x:row r="37">
      <x:c r="A37" s="14" t="n">
        <x:v>44277</x:v>
      </x:c>
      <x:c r="B37" s="20" t="n">
        <x:v>195</x:v>
      </x:c>
      <x:c r="C37" s="20" t="n">
        <x:v>392.59</x:v>
      </x:c>
      <x:c r="D37" s="21" t="n">
        <x:v>3740448</x:v>
      </x:c>
      <x:c r="E37" s="21" t="n">
        <x:v>73778650</x:v>
      </x:c>
      <x:c r="F37" s="11" t="str">
        <x:v>Nasdaq public historical table</x:v>
      </x:c>
    </x:row>
    <x:row r="38">
      <x:c r="A38" s="14" t="n">
        <x:v>44278</x:v>
      </x:c>
      <x:c r="B38" s="20" t="n">
        <x:v>187.14</x:v>
      </x:c>
      <x:c r="C38" s="20" t="n">
        <x:v>389.5</x:v>
      </x:c>
      <x:c r="D38" s="21" t="n">
        <x:v>3460590</x:v>
      </x:c>
      <x:c r="E38" s="21" t="n">
        <x:v>90686550</x:v>
      </x:c>
      <x:c r="F38" s="11" t="str">
        <x:v>Nasdaq public historical table</x:v>
      </x:c>
    </x:row>
    <x:row r="39">
      <x:c r="A39" s="14" t="n">
        <x:v>44279</x:v>
      </x:c>
      <x:c r="B39" s="20" t="n">
        <x:v>178.85</x:v>
      </x:c>
      <x:c r="C39" s="20" t="n">
        <x:v>387.52</x:v>
      </x:c>
      <x:c r="D39" s="21" t="n">
        <x:v>3756097</x:v>
      </x:c>
      <x:c r="E39" s="21" t="n">
        <x:v>97588640</x:v>
      </x:c>
      <x:c r="F39" s="11" t="str">
        <x:v>Nasdaq public historical table</x:v>
      </x:c>
    </x:row>
    <x:row r="40">
      <x:c r="A40" s="14" t="n">
        <x:v>44280</x:v>
      </x:c>
      <x:c r="B40" s="20" t="n">
        <x:v>176.16</x:v>
      </x:c>
      <x:c r="C40" s="20" t="n">
        <x:v>389.7</x:v>
      </x:c>
      <x:c r="D40" s="21" t="n">
        <x:v>5264100</x:v>
      </x:c>
      <x:c r="E40" s="21" t="n">
        <x:v>116128600</x:v>
      </x:c>
      <x:c r="F40" s="11" t="str">
        <x:v>Nasdaq public historical table</x:v>
      </x:c>
    </x:row>
    <x:row r="41">
      <x:c r="A41" s="14" t="n">
        <x:v>44281</x:v>
      </x:c>
      <x:c r="B41" s="20" t="n">
        <x:v>174.4</x:v>
      </x:c>
      <x:c r="C41" s="20" t="n">
        <x:v>395.98</x:v>
      </x:c>
      <x:c r="D41" s="21" t="n">
        <x:v>3562912</x:v>
      </x:c>
      <x:c r="E41" s="21" t="n">
        <x:v>114409100</x:v>
      </x:c>
      <x:c r="F41" s="11" t="str">
        <x:v>Nasdaq public historical table</x:v>
      </x:c>
    </x:row>
    <x:row r="42">
      <x:c r="A42" s="14" t="n">
        <x:v>44284</x:v>
      </x:c>
      <x:c r="B42" s="20" t="n">
        <x:v>182.5</x:v>
      </x:c>
      <x:c r="C42" s="20" t="n">
        <x:v>395.78</x:v>
      </x:c>
      <x:c r="D42" s="21" t="n">
        <x:v>4508821</x:v>
      </x:c>
      <x:c r="E42" s="21" t="n">
        <x:v>108107600</x:v>
      </x:c>
      <x:c r="F42" s="11" t="str">
        <x:v>Nasdaq public historical table</x:v>
      </x:c>
    </x:row>
    <x:row r="43">
      <x:c r="A43" s="14" t="n">
        <x:v>44285</x:v>
      </x:c>
      <x:c r="B43" s="20" t="n">
        <x:v>183.1</x:v>
      </x:c>
      <x:c r="C43" s="20" t="n">
        <x:v>394.73</x:v>
      </x:c>
      <x:c r="D43" s="21" t="n">
        <x:v>2903262</x:v>
      </x:c>
      <x:c r="E43" s="21" t="n">
        <x:v>76262250</x:v>
      </x:c>
      <x:c r="F43" s="11" t="str">
        <x:v>Nasdaq public historical table</x:v>
      </x:c>
    </x:row>
    <x:row r="44">
      <x:c r="A44" s="14" t="n">
        <x:v>44286</x:v>
      </x:c>
      <x:c r="B44" s="20" t="n">
        <x:v>187.94</x:v>
      </x:c>
      <x:c r="C44" s="20" t="n">
        <x:v>396.33</x:v>
      </x:c>
      <x:c r="D44" s="21" t="n">
        <x:v>3079510</x:v>
      </x:c>
      <x:c r="E44" s="21" t="n">
        <x:v>112734200</x:v>
      </x:c>
      <x:c r="F44" s="11" t="str">
        <x:v>Nasdaq public historical table</x:v>
      </x:c>
    </x:row>
    <x:row r="45">
      <x:c r="A45" s="14" t="n">
        <x:v>44287</x:v>
      </x:c>
      <x:c r="B45" s="20" t="n">
        <x:v>188.24</x:v>
      </x:c>
      <x:c r="C45" s="20" t="n">
        <x:v>400.61</x:v>
      </x:c>
      <x:c r="D45" s="21" t="n">
        <x:v>2921447</x:v>
      </x:c>
      <x:c r="E45" s="21" t="n">
        <x:v>99682880</x:v>
      </x:c>
      <x:c r="F45" s="11" t="str">
        <x:v>Nasdaq public historical table</x:v>
      </x:c>
    </x:row>
    <x:row r="46">
      <x:c r="A46" s="14" t="n">
        <x:v>44291</x:v>
      </x:c>
      <x:c r="B46" s="20" t="n">
        <x:v>186.69</x:v>
      </x:c>
      <x:c r="C46" s="20" t="n">
        <x:v>406.36</x:v>
      </x:c>
      <x:c r="D46" s="21" t="n">
        <x:v>2591425</x:v>
      </x:c>
      <x:c r="E46" s="21" t="n">
        <x:v>91684760</x:v>
      </x:c>
      <x:c r="F46" s="11" t="str">
        <x:v>Nasdaq public historical table</x:v>
      </x:c>
    </x:row>
    <x:row r="47">
      <x:c r="A47" s="14" t="n">
        <x:v>44292</x:v>
      </x:c>
      <x:c r="B47" s="20" t="n">
        <x:v>190.03</x:v>
      </x:c>
      <x:c r="C47" s="20" t="n">
        <x:v>406.12</x:v>
      </x:c>
      <x:c r="D47" s="21" t="n">
        <x:v>3565634</x:v>
      </x:c>
      <x:c r="E47" s="21" t="n">
        <x:v>62020950</x:v>
      </x:c>
      <x:c r="F47" s="11" t="str">
        <x:v>Nasdaq public historical table</x:v>
      </x:c>
    </x:row>
    <x:row r="48">
      <x:c r="A48" s="14" t="n">
        <x:v>44293</x:v>
      </x:c>
      <x:c r="B48" s="20" t="n">
        <x:v>179.94</x:v>
      </x:c>
      <x:c r="C48" s="20" t="n">
        <x:v>406.59</x:v>
      </x:c>
      <x:c r="D48" s="21" t="n">
        <x:v>6663462</x:v>
      </x:c>
      <x:c r="E48" s="21" t="n">
        <x:v>55836280</x:v>
      </x:c>
      <x:c r="F48" s="11" t="str">
        <x:v>Nasdaq public historical table</x:v>
      </x:c>
    </x:row>
    <x:row r="49">
      <x:c r="A49" s="14" t="n">
        <x:v>44294</x:v>
      </x:c>
      <x:c r="B49" s="20" t="n">
        <x:v>180.18</x:v>
      </x:c>
      <x:c r="C49" s="20" t="n">
        <x:v>408.52</x:v>
      </x:c>
      <x:c r="D49" s="21" t="n">
        <x:v>2625274</x:v>
      </x:c>
      <x:c r="E49" s="21" t="n">
        <x:v>57863110</x:v>
      </x:c>
      <x:c r="F49" s="11" t="str">
        <x:v>Nasdaq public historical table</x:v>
      </x:c>
    </x:row>
    <x:row r="50">
      <x:c r="A50" s="14" t="n">
        <x:v>44295</x:v>
      </x:c>
      <x:c r="B50" s="20" t="n">
        <x:v>179.5</x:v>
      </x:c>
      <x:c r="C50" s="20" t="n">
        <x:v>411.49</x:v>
      </x:c>
      <x:c r="D50" s="21" t="n">
        <x:v>2910167</x:v>
      </x:c>
      <x:c r="E50" s="21" t="n">
        <x:v>61104560</x:v>
      </x:c>
      <x:c r="F50" s="11" t="str">
        <x:v>Nasdaq public historical table</x:v>
      </x:c>
    </x:row>
    <x:row r="51">
      <x:c r="A51" s="14" t="n">
        <x:v>44298</x:v>
      </x:c>
      <x:c r="B51" s="20" t="n">
        <x:v>176.49</x:v>
      </x:c>
      <x:c r="C51" s="20" t="n">
        <x:v>411.64</x:v>
      </x:c>
      <x:c r="D51" s="21" t="n">
        <x:v>2619833</x:v>
      </x:c>
      <x:c r="E51" s="21" t="n">
        <x:v>56704900</x:v>
      </x:c>
      <x:c r="F51" s="11" t="str">
        <x:v>Nasdaq public historical table</x:v>
      </x:c>
    </x:row>
    <x:row r="52">
      <x:c r="A52" s="14" t="n">
        <x:v>44299</x:v>
      </x:c>
      <x:c r="B52" s="20" t="n">
        <x:v>177.95</x:v>
      </x:c>
      <x:c r="C52" s="20" t="n">
        <x:v>412.86</x:v>
      </x:c>
      <x:c r="D52" s="21" t="n">
        <x:v>3573584</x:v>
      </x:c>
      <x:c r="E52" s="21" t="n">
        <x:v>56550990</x:v>
      </x:c>
      <x:c r="F52" s="11" t="str">
        <x:v>Nasdaq public historical table</x:v>
      </x:c>
    </x:row>
    <x:row r="53">
      <x:c r="A53" s="14" t="n">
        <x:v>44300</x:v>
      </x:c>
      <x:c r="B53" s="20" t="n">
        <x:v>176.43</x:v>
      </x:c>
      <x:c r="C53" s="20" t="n">
        <x:v>411.45</x:v>
      </x:c>
      <x:c r="D53" s="21" t="n">
        <x:v>2938566</x:v>
      </x:c>
      <x:c r="E53" s="21" t="n">
        <x:v>61659910</x:v>
      </x:c>
      <x:c r="F53" s="11" t="str">
        <x:v>Nasdaq public historical table</x:v>
      </x:c>
    </x:row>
    <x:row r="54">
      <x:c r="A54" s="14" t="n">
        <x:v>44301</x:v>
      </x:c>
      <x:c r="B54" s="20" t="n">
        <x:v>175.35</x:v>
      </x:c>
      <x:c r="C54" s="20" t="n">
        <x:v>415.87</x:v>
      </x:c>
      <x:c r="D54" s="21" t="n">
        <x:v>2894865</x:v>
      </x:c>
      <x:c r="E54" s="21" t="n">
        <x:v>60229840</x:v>
      </x:c>
      <x:c r="F54" s="11" t="str">
        <x:v>Nasdaq public historical table</x:v>
      </x:c>
    </x:row>
    <x:row r="55">
      <x:c r="A55" s="14" t="n">
        <x:v>44302</x:v>
      </x:c>
      <x:c r="B55" s="20" t="n">
        <x:v>178.69</x:v>
      </x:c>
      <x:c r="C55" s="20" t="n">
        <x:v>417.26</x:v>
      </x:c>
      <x:c r="D55" s="21" t="n">
        <x:v>3058294</x:v>
      </x:c>
      <x:c r="E55" s="21" t="n">
        <x:v>82037280</x:v>
      </x:c>
      <x:c r="F55" s="11" t="str">
        <x:v>Nasdaq public historical table</x:v>
      </x:c>
    </x:row>
    <x:row r="56">
      <x:c r="A56" s="14" t="n">
        <x:v>44305</x:v>
      </x:c>
      <x:c r="B56" s="20" t="n">
        <x:v>174.58</x:v>
      </x:c>
      <x:c r="C56" s="20" t="n">
        <x:v>415.21</x:v>
      </x:c>
      <x:c r="D56" s="21" t="n">
        <x:v>3125736</x:v>
      </x:c>
      <x:c r="E56" s="21" t="n">
        <x:v>78498500</x:v>
      </x:c>
      <x:c r="F56" s="11" t="str">
        <x:v>Nasdaq public historical table</x:v>
      </x:c>
    </x:row>
    <x:row r="57">
      <x:c r="A57" s="14" t="n">
        <x:v>44306</x:v>
      </x:c>
      <x:c r="B57" s="20" t="n">
        <x:v>169.57</x:v>
      </x:c>
      <x:c r="C57" s="20" t="n">
        <x:v>412.17</x:v>
      </x:c>
      <x:c r="D57" s="21" t="n">
        <x:v>4574999</x:v>
      </x:c>
      <x:c r="E57" s="21" t="n">
        <x:v>81851830</x:v>
      </x:c>
      <x:c r="F57" s="11" t="str">
        <x:v>Nasdaq public historical table</x:v>
      </x:c>
    </x:row>
    <x:row r="58">
      <x:c r="A58" s="14" t="n">
        <x:v>44307</x:v>
      </x:c>
      <x:c r="B58" s="20" t="n">
        <x:v>167.07</x:v>
      </x:c>
      <x:c r="C58" s="20" t="n">
        <x:v>416.07</x:v>
      </x:c>
      <x:c r="D58" s="21" t="n">
        <x:v>3878608</x:v>
      </x:c>
      <x:c r="E58" s="21" t="n">
        <x:v>66792980</x:v>
      </x:c>
      <x:c r="F58" s="11" t="str">
        <x:v>Nasdaq public historical table</x:v>
      </x:c>
    </x:row>
    <x:row r="59">
      <x:c r="A59" s="14" t="n">
        <x:v>44308</x:v>
      </x:c>
      <x:c r="B59" s="20" t="n">
        <x:v>170.71</x:v>
      </x:c>
      <x:c r="C59" s="20" t="n">
        <x:v>412.27</x:v>
      </x:c>
      <x:c r="D59" s="21" t="n">
        <x:v>3856499</x:v>
      </x:c>
      <x:c r="E59" s="21" t="n">
        <x:v>97582790</x:v>
      </x:c>
      <x:c r="F59" s="11" t="str">
        <x:v>Nasdaq public historical table</x:v>
      </x:c>
    </x:row>
    <x:row r="60">
      <x:c r="A60" s="14" t="n">
        <x:v>44309</x:v>
      </x:c>
      <x:c r="B60" s="20" t="n">
        <x:v>174.25</x:v>
      </x:c>
      <x:c r="C60" s="20" t="n">
        <x:v>416.74</x:v>
      </x:c>
      <x:c r="D60" s="21" t="n">
        <x:v>3335128</x:v>
      </x:c>
      <x:c r="E60" s="21" t="n">
        <x:v>73276200</x:v>
      </x:c>
      <x:c r="F60" s="11" t="str">
        <x:v>Nasdaq public historical table</x:v>
      </x:c>
    </x:row>
    <x:row r="61">
      <x:c r="A61" s="14" t="n">
        <x:v>44312</x:v>
      </x:c>
      <x:c r="B61" s="20" t="n">
        <x:v>174.88</x:v>
      </x:c>
      <x:c r="C61" s="20" t="n">
        <x:v>417.61</x:v>
      </x:c>
      <x:c r="D61" s="21" t="n">
        <x:v>2549403</x:v>
      </x:c>
      <x:c r="E61" s="21" t="n">
        <x:v>52182390</x:v>
      </x:c>
      <x:c r="F61" s="11" t="str">
        <x:v>Nasdaq public historical table</x:v>
      </x:c>
    </x:row>
    <x:row r="62">
      <x:c r="A62" s="14" t="n">
        <x:v>44313</x:v>
      </x:c>
      <x:c r="B62" s="20" t="n">
        <x:v>177.94</x:v>
      </x:c>
      <x:c r="C62" s="20" t="n">
        <x:v>417.52</x:v>
      </x:c>
      <x:c r="D62" s="21" t="n">
        <x:v>2882972</x:v>
      </x:c>
      <x:c r="E62" s="21" t="n">
        <x:v>51303060</x:v>
      </x:c>
      <x:c r="F62" s="11" t="str">
        <x:v>Nasdaq public historical table</x:v>
      </x:c>
    </x:row>
    <x:row r="63">
      <x:c r="A63" s="14" t="n">
        <x:v>44314</x:v>
      </x:c>
      <x:c r="B63" s="20" t="n">
        <x:v>180</x:v>
      </x:c>
      <x:c r="C63" s="20" t="n">
        <x:v>417.4</x:v>
      </x:c>
      <x:c r="D63" s="21" t="n">
        <x:v>2409708</x:v>
      </x:c>
      <x:c r="E63" s="21" t="n">
        <x:v>51238850</x:v>
      </x:c>
      <x:c r="F63" s="11" t="str">
        <x:v>Nasdaq public historical table</x:v>
      </x:c>
    </x:row>
    <x:row r="64">
      <x:c r="A64" s="14" t="n">
        <x:v>44315</x:v>
      </x:c>
      <x:c r="B64" s="20" t="n">
        <x:v>177.68</x:v>
      </x:c>
      <x:c r="C64" s="20" t="n">
        <x:v>420.06</x:v>
      </x:c>
      <x:c r="D64" s="21" t="n">
        <x:v>3116021</x:v>
      </x:c>
      <x:c r="E64" s="21" t="n">
        <x:v>78544330</x:v>
      </x:c>
      <x:c r="F64" s="11" t="str">
        <x:v>Nasdaq public historical table</x:v>
      </x:c>
    </x:row>
    <x:row r="65">
      <x:c r="A65" s="14" t="n">
        <x:v>44316</x:v>
      </x:c>
      <x:c r="B65" s="20" t="n">
        <x:v>172.71</x:v>
      </x:c>
      <x:c r="C65" s="20" t="n">
        <x:v>417.3</x:v>
      </x:c>
      <x:c r="D65" s="21" t="n">
        <x:v>3579957</x:v>
      </x:c>
      <x:c r="E65" s="21" t="n">
        <x:v>85527030</x:v>
      </x:c>
      <x:c r="F65" s="11" t="str">
        <x:v>Nasdaq public historical table</x:v>
      </x:c>
    </x:row>
    <x:row r="66">
      <x:c r="A66" s="14" t="n">
        <x:v>44319</x:v>
      </x:c>
      <x:c r="B66" s="20" t="n">
        <x:v>168.11</x:v>
      </x:c>
      <x:c r="C66" s="20" t="n">
        <x:v>418.2</x:v>
      </x:c>
      <x:c r="D66" s="21" t="n">
        <x:v>3149738</x:v>
      </x:c>
      <x:c r="E66" s="21" t="n">
        <x:v>68128290</x:v>
      </x:c>
      <x:c r="F66" s="11" t="str">
        <x:v>Nasdaq public historical table</x:v>
      </x:c>
    </x:row>
    <x:row r="67">
      <x:c r="A67" s="14" t="n">
        <x:v>44320</x:v>
      </x:c>
      <x:c r="B67" s="20" t="n">
        <x:v>168.9</x:v>
      </x:c>
      <x:c r="C67" s="20" t="n">
        <x:v>415.62</x:v>
      </x:c>
      <x:c r="D67" s="21" t="n">
        <x:v>4658011</x:v>
      </x:c>
      <x:c r="E67" s="21" t="n">
        <x:v>101591200</x:v>
      </x:c>
      <x:c r="F67" s="11" t="str">
        <x:v>Nasdaq public historical table</x:v>
      </x:c>
    </x:row>
    <x:row r="68">
      <x:c r="A68" s="14" t="n">
        <x:v>44321</x:v>
      </x:c>
      <x:c r="B68" s="20" t="n">
        <x:v>162.33</x:v>
      </x:c>
      <x:c r="C68" s="20" t="n">
        <x:v>415.75</x:v>
      </x:c>
      <x:c r="D68" s="21" t="n">
        <x:v>3590067</x:v>
      </x:c>
      <x:c r="E68" s="21" t="n">
        <x:v>39960660</x:v>
      </x:c>
      <x:c r="F68" s="11" t="str">
        <x:v>Nasdaq public historical table</x:v>
      </x:c>
    </x:row>
    <x:row r="69">
      <x:c r="A69" s="14" t="n">
        <x:v>44322</x:v>
      </x:c>
      <x:c r="B69" s="20" t="n">
        <x:v>153.64</x:v>
      </x:c>
      <x:c r="C69" s="20" t="n">
        <x:v>419.07</x:v>
      </x:c>
      <x:c r="D69" s="21" t="n">
        <x:v>8528976</x:v>
      </x:c>
      <x:c r="E69" s="21" t="n">
        <x:v>74321370</x:v>
      </x:c>
      <x:c r="F69" s="11" t="str">
        <x:v>Nasdaq public historical table</x:v>
      </x:c>
    </x:row>
    <x:row r="70">
      <x:c r="A70" s="14" t="n">
        <x:v>44323</x:v>
      </x:c>
      <x:c r="B70" s="20" t="n">
        <x:v>151.21</x:v>
      </x:c>
      <x:c r="C70" s="20" t="n">
        <x:v>422.12</x:v>
      </x:c>
      <x:c r="D70" s="21" t="n">
        <x:v>7133990</x:v>
      </x:c>
      <x:c r="E70" s="21" t="n">
        <x:v>67733790</x:v>
      </x:c>
      <x:c r="F70" s="11" t="str">
        <x:v>Nasdaq public historical table</x:v>
      </x:c>
    </x:row>
    <x:row r="71">
      <x:c r="A71" s="14" t="n">
        <x:v>44326</x:v>
      </x:c>
      <x:c r="B71" s="20" t="n">
        <x:v>146.73</x:v>
      </x:c>
      <x:c r="C71" s="20" t="n">
        <x:v>417.94</x:v>
      </x:c>
      <x:c r="D71" s="21" t="n">
        <x:v>5827152</x:v>
      </x:c>
      <x:c r="E71" s="21" t="n">
        <x:v>81852450</x:v>
      </x:c>
      <x:c r="F71" s="11" t="str">
        <x:v>Nasdaq public historical table</x:v>
      </x:c>
    </x:row>
    <x:row r="72">
      <x:c r="A72" s="14" t="n">
        <x:v>44327</x:v>
      </x:c>
      <x:c r="B72" s="20" t="n">
        <x:v>142.73</x:v>
      </x:c>
      <x:c r="C72" s="20" t="n">
        <x:v>414.21</x:v>
      </x:c>
      <x:c r="D72" s="21" t="n">
        <x:v>8257386</x:v>
      </x:c>
      <x:c r="E72" s="21" t="n">
        <x:v>116888000</x:v>
      </x:c>
      <x:c r="F72" s="11" t="str">
        <x:v>Nasdaq public historical table</x:v>
      </x:c>
    </x:row>
    <x:row r="73">
      <x:c r="A73" s="14" t="n">
        <x:v>44328</x:v>
      </x:c>
      <x:c r="B73" s="20" t="n">
        <x:v>140.25</x:v>
      </x:c>
      <x:c r="C73" s="20" t="n">
        <x:v>405.41</x:v>
      </x:c>
      <x:c r="D73" s="21" t="n">
        <x:v>5307514</x:v>
      </x:c>
      <x:c r="E73" s="21" t="n">
        <x:v>134811000</x:v>
      </x:c>
      <x:c r="F73" s="11" t="str">
        <x:v>Nasdaq public historical table</x:v>
      </x:c>
    </x:row>
    <x:row r="74">
      <x:c r="A74" s="14" t="n">
        <x:v>44329</x:v>
      </x:c>
      <x:c r="B74" s="20" t="n">
        <x:v>135.75</x:v>
      </x:c>
      <x:c r="C74" s="20" t="n">
        <x:v>410.28</x:v>
      </x:c>
      <x:c r="D74" s="21" t="n">
        <x:v>13005370</x:v>
      </x:c>
      <x:c r="E74" s="21" t="n">
        <x:v>106394000</x:v>
      </x:c>
      <x:c r="F74" s="11" t="str">
        <x:v>Nasdaq public historical table</x:v>
      </x:c>
    </x:row>
    <x:row r="75">
      <x:c r="A75" s="14" t="n">
        <x:v>44330</x:v>
      </x:c>
      <x:c r="B75" s="20" t="n">
        <x:v>141.2</x:v>
      </x:c>
      <x:c r="C75" s="20" t="n">
        <x:v>416.58</x:v>
      </x:c>
      <x:c r="D75" s="21" t="n">
        <x:v>20325380</x:v>
      </x:c>
      <x:c r="E75" s="21" t="n">
        <x:v>82201630</x:v>
      </x:c>
      <x:c r="F75" s="11" t="str">
        <x:v>Nasdaq public historical table</x:v>
      </x:c>
    </x:row>
    <x:row r="76">
      <x:c r="A76" s="14" t="n">
        <x:v>44333</x:v>
      </x:c>
      <x:c r="B76" s="20" t="n">
        <x:v>132.5</x:v>
      </x:c>
      <x:c r="C76" s="20" t="n">
        <x:v>415.52</x:v>
      </x:c>
      <x:c r="D76" s="21" t="n">
        <x:v>39715020</x:v>
      </x:c>
      <x:c r="E76" s="21" t="n">
        <x:v>64882410</x:v>
      </x:c>
      <x:c r="F76" s="11" t="str">
        <x:v>Nasdaq public historical table</x:v>
      </x:c>
    </x:row>
    <x:row r="77">
      <x:c r="A77" s="14" t="n">
        <x:v>44334</x:v>
      </x:c>
      <x:c r="B77" s="20" t="n">
        <x:v>135.02</x:v>
      </x:c>
      <x:c r="C77" s="20" t="n">
        <x:v>411.94</x:v>
      </x:c>
      <x:c r="D77" s="21" t="n">
        <x:v>18555650</x:v>
      </x:c>
      <x:c r="E77" s="21" t="n">
        <x:v>59810240</x:v>
      </x:c>
      <x:c r="F77" s="11" t="str">
        <x:v>Nasdaq public historical table</x:v>
      </x:c>
    </x:row>
    <x:row r="78">
      <x:c r="A78" s="14" t="n">
        <x:v>44335</x:v>
      </x:c>
      <x:c r="B78" s="20" t="n">
        <x:v>138.19</x:v>
      </x:c>
      <x:c r="C78" s="20" t="n">
        <x:v>410.86</x:v>
      </x:c>
      <x:c r="D78" s="21" t="n">
        <x:v>15565540</x:v>
      </x:c>
      <x:c r="E78" s="21" t="n">
        <x:v>106467100</x:v>
      </x:c>
      <x:c r="F78" s="11" t="str">
        <x:v>Nasdaq public historical table</x:v>
      </x:c>
    </x:row>
    <x:row r="79">
      <x:c r="A79" s="14" t="n">
        <x:v>44336</x:v>
      </x:c>
      <x:c r="B79" s="20" t="n">
        <x:v>136.2</x:v>
      </x:c>
      <x:c r="C79" s="20" t="n">
        <x:v>415.28</x:v>
      </x:c>
      <x:c r="D79" s="21" t="n">
        <x:v>8903573</x:v>
      </x:c>
      <x:c r="E79" s="21" t="n">
        <x:v>78022220</x:v>
      </x:c>
      <x:c r="F79" s="11" t="str">
        <x:v>Nasdaq public historical table</x:v>
      </x:c>
    </x:row>
    <x:row r="80">
      <x:c r="A80" s="14" t="n">
        <x:v>44337</x:v>
      </x:c>
      <x:c r="B80" s="20" t="n">
        <x:v>134.71</x:v>
      </x:c>
      <x:c r="C80" s="20" t="n">
        <x:v>414.94</x:v>
      </x:c>
      <x:c r="D80" s="21" t="n">
        <x:v>10056480</x:v>
      </x:c>
      <x:c r="E80" s="21" t="n">
        <x:v>76578660</x:v>
      </x:c>
      <x:c r="F80" s="11" t="str">
        <x:v>Nasdaq public historical table</x:v>
      </x:c>
    </x:row>
    <x:row r="81">
      <x:c r="A81" s="14" t="n">
        <x:v>44340</x:v>
      </x:c>
      <x:c r="B81" s="20" t="n">
        <x:v>135.91</x:v>
      </x:c>
      <x:c r="C81" s="20" t="n">
        <x:v>419.17</x:v>
      </x:c>
      <x:c r="D81" s="21" t="n">
        <x:v>8543614</x:v>
      </x:c>
      <x:c r="E81" s="21" t="n">
        <x:v>51376700</x:v>
      </x:c>
      <x:c r="F81" s="11" t="str">
        <x:v>Nasdaq public historical table</x:v>
      </x:c>
    </x:row>
    <x:row r="82">
      <x:c r="A82" s="14" t="n">
        <x:v>44341</x:v>
      </x:c>
      <x:c r="B82" s="20" t="n">
        <x:v>133.99</x:v>
      </x:c>
      <x:c r="C82" s="20" t="n">
        <x:v>418.24</x:v>
      </x:c>
      <x:c r="D82" s="21" t="n">
        <x:v>10435840</x:v>
      </x:c>
      <x:c r="E82" s="21" t="n">
        <x:v>57451400</x:v>
      </x:c>
      <x:c r="F82" s="11" t="str">
        <x:v>Nasdaq public historical table</x:v>
      </x:c>
    </x:row>
    <x:row r="83">
      <x:c r="A83" s="14" t="n">
        <x:v>44342</x:v>
      </x:c>
      <x:c r="B83" s="20" t="n">
        <x:v>134.75</x:v>
      </x:c>
      <x:c r="C83" s="20" t="n">
        <x:v>419.07</x:v>
      </x:c>
      <x:c r="D83" s="21" t="n">
        <x:v>8179216</x:v>
      </x:c>
      <x:c r="E83" s="21" t="n">
        <x:v>43088620</x:v>
      </x:c>
      <x:c r="F83" s="11" t="str">
        <x:v>Nasdaq public historical table</x:v>
      </x:c>
    </x:row>
    <x:row r="84">
      <x:c r="A84" s="14" t="n">
        <x:v>44343</x:v>
      </x:c>
      <x:c r="B84" s="20" t="n">
        <x:v>143.17</x:v>
      </x:c>
      <x:c r="C84" s="20" t="n">
        <x:v>419.29</x:v>
      </x:c>
      <x:c r="D84" s="21" t="n">
        <x:v>21270190</x:v>
      </x:c>
      <x:c r="E84" s="21" t="n">
        <x:v>56707680</x:v>
      </x:c>
      <x:c r="F84" s="11" t="str">
        <x:v>Nasdaq public historical table</x:v>
      </x:c>
    </x:row>
    <x:row r="85">
      <x:c r="A85" s="14" t="n">
        <x:v>44344</x:v>
      </x:c>
      <x:c r="B85" s="20" t="n">
        <x:v>140.4</x:v>
      </x:c>
      <x:c r="C85" s="20" t="n">
        <x:v>420.04</x:v>
      </x:c>
      <x:c r="D85" s="21" t="n">
        <x:v>12000560</x:v>
      </x:c>
      <x:c r="E85" s="21" t="n">
        <x:v>58520160</x:v>
      </x:c>
      <x:c r="F85" s="11" t="str">
        <x:v>Nasdaq public historical table</x:v>
      </x:c>
    </x:row>
    <x:row r="86">
      <x:c r="A86" s="14" t="n">
        <x:v>44348</x:v>
      </x:c>
      <x:c r="B86" s="20" t="n">
        <x:v>144.31</x:v>
      </x:c>
      <x:c r="C86" s="20" t="n">
        <x:v>419.67</x:v>
      </x:c>
      <x:c r="D86" s="21" t="n">
        <x:v>16552090</x:v>
      </x:c>
      <x:c r="E86" s="21" t="n">
        <x:v>54216630</x:v>
      </x:c>
      <x:c r="F86" s="11" t="str">
        <x:v>Nasdaq public historical table</x:v>
      </x:c>
    </x:row>
    <x:row r="87">
      <x:c r="A87" s="14" t="n">
        <x:v>44349</x:v>
      </x:c>
      <x:c r="B87" s="20" t="n">
        <x:v>151</x:v>
      </x:c>
      <x:c r="C87" s="20" t="n">
        <x:v>420.33</x:v>
      </x:c>
      <x:c r="D87" s="21" t="n">
        <x:v>16245120</x:v>
      </x:c>
      <x:c r="E87" s="21" t="n">
        <x:v>49097060</x:v>
      </x:c>
      <x:c r="F87" s="11" t="str">
        <x:v>Nasdaq public historical table</x:v>
      </x:c>
    </x:row>
    <x:row r="88">
      <x:c r="A88" s="14" t="n">
        <x:v>44350</x:v>
      </x:c>
      <x:c r="B88" s="20" t="n">
        <x:v>144.19</x:v>
      </x:c>
      <x:c r="C88" s="20" t="n">
        <x:v>418.77</x:v>
      </x:c>
      <x:c r="D88" s="21" t="n">
        <x:v>11083340</x:v>
      </x:c>
      <x:c r="E88" s="21" t="n">
        <x:v>58138760</x:v>
      </x:c>
      <x:c r="F88" s="11" t="str">
        <x:v>Nasdaq public historical table</x:v>
      </x:c>
    </x:row>
    <x:row r="89">
      <x:c r="A89" s="14" t="n">
        <x:v>44351</x:v>
      </x:c>
      <x:c r="B89" s="20" t="n">
        <x:v>150.73</x:v>
      </x:c>
      <x:c r="C89" s="20" t="n">
        <x:v>422.6</x:v>
      </x:c>
      <x:c r="D89" s="21" t="n">
        <x:v>8534867</x:v>
      </x:c>
      <x:c r="E89" s="21" t="n">
        <x:v>55938790</x:v>
      </x:c>
      <x:c r="F89" s="11" t="str">
        <x:v>Nasdaq public historical table</x:v>
      </x:c>
    </x:row>
    <x:row r="90">
      <x:c r="A90" s="14" t="n">
        <x:v>44354</x:v>
      </x:c>
      <x:c r="B90" s="20" t="n">
        <x:v>148.97</x:v>
      </x:c>
      <x:c r="C90" s="20" t="n">
        <x:v>422.19</x:v>
      </x:c>
      <x:c r="D90" s="21" t="n">
        <x:v>7780222</x:v>
      </x:c>
      <x:c r="E90" s="21" t="n">
        <x:v>51555030</x:v>
      </x:c>
      <x:c r="F90" s="11" t="str">
        <x:v>Nasdaq public historical table</x:v>
      </x:c>
    </x:row>
    <x:row r="91">
      <x:c r="A91" s="14" t="n">
        <x:v>44355</x:v>
      </x:c>
      <x:c r="B91" s="20" t="n">
        <x:v>147.01</x:v>
      </x:c>
      <x:c r="C91" s="20" t="n">
        <x:v>422.28</x:v>
      </x:c>
      <x:c r="D91" s="21" t="n">
        <x:v>7125810</x:v>
      </x:c>
      <x:c r="E91" s="21" t="n">
        <x:v>47134280</x:v>
      </x:c>
      <x:c r="F91" s="11" t="str">
        <x:v>Nasdaq public historical table</x:v>
      </x:c>
    </x:row>
    <x:row r="92">
      <x:c r="A92" s="14" t="n">
        <x:v>44356</x:v>
      </x:c>
      <x:c r="B92" s="20" t="n">
        <x:v>144.85</x:v>
      </x:c>
      <x:c r="C92" s="20" t="n">
        <x:v>421.65</x:v>
      </x:c>
      <x:c r="D92" s="21" t="n">
        <x:v>5606457</x:v>
      </x:c>
      <x:c r="E92" s="21" t="n">
        <x:v>48436340</x:v>
      </x:c>
      <x:c r="F92" s="11" t="str">
        <x:v>Nasdaq public historical table</x:v>
      </x:c>
    </x:row>
    <x:row r="93">
      <x:c r="A93" s="14" t="n">
        <x:v>44357</x:v>
      </x:c>
      <x:c r="B93" s="20" t="n">
        <x:v>146.12</x:v>
      </x:c>
      <x:c r="C93" s="20" t="n">
        <x:v>423.61</x:v>
      </x:c>
      <x:c r="D93" s="21" t="n">
        <x:v>9482482</x:v>
      </x:c>
      <x:c r="E93" s="21" t="n">
        <x:v>51020150</x:v>
      </x:c>
      <x:c r="F93" s="11" t="str">
        <x:v>Nasdaq public historical table</x:v>
      </x:c>
    </x:row>
    <x:row r="94">
      <x:c r="A94" s="14" t="n">
        <x:v>44358</x:v>
      </x:c>
      <x:c r="B94" s="20" t="n">
        <x:v>148.44</x:v>
      </x:c>
      <x:c r="C94" s="20" t="n">
        <x:v>424.31</x:v>
      </x:c>
      <x:c r="D94" s="21" t="n">
        <x:v>4819914</x:v>
      </x:c>
      <x:c r="E94" s="21" t="n">
        <x:v>45570830</x:v>
      </x:c>
      <x:c r="F94" s="11" t="str">
        <x:v>Nasdaq public historical table</x:v>
      </x:c>
    </x:row>
    <x:row r="95">
      <x:c r="A95" s="14" t="n">
        <x:v>44361</x:v>
      </x:c>
      <x:c r="B95" s="20" t="n">
        <x:v>149.21</x:v>
      </x:c>
      <x:c r="C95" s="20" t="n">
        <x:v>425.26</x:v>
      </x:c>
      <x:c r="D95" s="21" t="n">
        <x:v>6107480</x:v>
      </x:c>
      <x:c r="E95" s="21" t="n">
        <x:v>42358480</x:v>
      </x:c>
      <x:c r="F95" s="11" t="str">
        <x:v>Nasdaq public historical table</x:v>
      </x:c>
    </x:row>
    <x:row r="96">
      <x:c r="A96" s="14" t="n">
        <x:v>44362</x:v>
      </x:c>
      <x:c r="B96" s="20" t="n">
        <x:v>151.78</x:v>
      </x:c>
      <x:c r="C96" s="20" t="n">
        <x:v>424.48</x:v>
      </x:c>
      <x:c r="D96" s="21" t="n">
        <x:v>12007680</x:v>
      </x:c>
      <x:c r="E96" s="21" t="n">
        <x:v>51508510</x:v>
      </x:c>
      <x:c r="F96" s="11" t="str">
        <x:v>Nasdaq public historical table</x:v>
      </x:c>
    </x:row>
    <x:row r="97">
      <x:c r="A97" s="14" t="n">
        <x:v>44363</x:v>
      </x:c>
      <x:c r="B97" s="20" t="n">
        <x:v>149.15</x:v>
      </x:c>
      <x:c r="C97" s="20" t="n">
        <x:v>422.11</x:v>
      </x:c>
      <x:c r="D97" s="21" t="n">
        <x:v>9632778</x:v>
      </x:c>
      <x:c r="E97" s="21" t="n">
        <x:v>80386080</x:v>
      </x:c>
      <x:c r="F97" s="11" t="str">
        <x:v>Nasdaq public historical table</x:v>
      </x:c>
    </x:row>
    <x:row r="98">
      <x:c r="A98" s="14" t="n">
        <x:v>44364</x:v>
      </x:c>
      <x:c r="B98" s="20" t="n">
        <x:v>150.7</x:v>
      </x:c>
      <x:c r="C98" s="20" t="n">
        <x:v>421.97</x:v>
      </x:c>
      <x:c r="D98" s="21" t="n">
        <x:v>8171295</x:v>
      </x:c>
      <x:c r="E98" s="21" t="n">
        <x:v>90949660</x:v>
      </x:c>
      <x:c r="F98" s="11" t="str">
        <x:v>Nasdaq public historical table</x:v>
      </x:c>
    </x:row>
    <x:row r="99">
      <x:c r="A99" s="14" t="n">
        <x:v>44365</x:v>
      </x:c>
      <x:c r="B99" s="20" t="n">
        <x:v>152.52</x:v>
      </x:c>
      <x:c r="C99" s="20" t="n">
        <x:v>414.92</x:v>
      </x:c>
      <x:c r="D99" s="21" t="n">
        <x:v>11628920</x:v>
      </x:c>
      <x:c r="E99" s="21" t="n">
        <x:v>118676300</x:v>
      </x:c>
      <x:c r="F99" s="11" t="str">
        <x:v>Nasdaq public historical table</x:v>
      </x:c>
    </x:row>
    <x:row r="100">
      <x:c r="A100" s="14" t="n">
        <x:v>44368</x:v>
      </x:c>
      <x:c r="B100" s="20" t="n">
        <x:v>149.7</x:v>
      </x:c>
      <x:c r="C100" s="20" t="n">
        <x:v>420.86</x:v>
      </x:c>
      <x:c r="D100" s="21" t="n">
        <x:v>8040208</x:v>
      </x:c>
      <x:c r="E100" s="21" t="n">
        <x:v>72822030</x:v>
      </x:c>
      <x:c r="F100" s="11" t="str">
        <x:v>Nasdaq public historical table</x:v>
      </x:c>
    </x:row>
    <x:row r="101">
      <x:c r="A101" s="14" t="n">
        <x:v>44369</x:v>
      </x:c>
      <x:c r="B101" s="20" t="n">
        <x:v>149.68</x:v>
      </x:c>
      <x:c r="C101" s="20" t="n">
        <x:v>423.11</x:v>
      </x:c>
      <x:c r="D101" s="21" t="n">
        <x:v>5790390</x:v>
      </x:c>
      <x:c r="E101" s="21" t="n">
        <x:v>57700300</x:v>
      </x:c>
      <x:c r="F101" s="11" t="str">
        <x:v>Nasdaq public historical table</x:v>
      </x:c>
    </x:row>
    <x:row r="102">
      <x:c r="A102" s="14" t="n">
        <x:v>44370</x:v>
      </x:c>
      <x:c r="B102" s="20" t="n">
        <x:v>151.58</x:v>
      </x:c>
      <x:c r="C102" s="20" t="n">
        <x:v>422.6</x:v>
      </x:c>
      <x:c r="D102" s="21" t="n">
        <x:v>9335718</x:v>
      </x:c>
      <x:c r="E102" s="21" t="n">
        <x:v>49445410</x:v>
      </x:c>
      <x:c r="F102" s="11" t="str">
        <x:v>Nasdaq public historical table</x:v>
      </x:c>
    </x:row>
    <x:row r="103">
      <x:c r="A103" s="14" t="n">
        <x:v>44371</x:v>
      </x:c>
      <x:c r="B103" s="20" t="n">
        <x:v>150.73</x:v>
      </x:c>
      <x:c r="C103" s="20" t="n">
        <x:v>425.1</x:v>
      </x:c>
      <x:c r="D103" s="21" t="n">
        <x:v>8173384</x:v>
      </x:c>
      <x:c r="E103" s="21" t="n">
        <x:v>45110290</x:v>
      </x:c>
      <x:c r="F103" s="11" t="str">
        <x:v>Nasdaq public historical table</x:v>
      </x:c>
    </x:row>
    <x:row r="104">
      <x:c r="A104" s="14" t="n">
        <x:v>44372</x:v>
      </x:c>
      <x:c r="B104" s="20" t="n">
        <x:v>149.67</x:v>
      </x:c>
      <x:c r="C104" s="20" t="n">
        <x:v>426.61</x:v>
      </x:c>
      <x:c r="D104" s="21" t="n">
        <x:v>6452449</x:v>
      </x:c>
      <x:c r="E104" s="21" t="n">
        <x:v>58129530</x:v>
      </x:c>
      <x:c r="F104" s="11" t="str">
        <x:v>Nasdaq public historical table</x:v>
      </x:c>
    </x:row>
    <x:row r="105">
      <x:c r="A105" s="14" t="n">
        <x:v>44375</x:v>
      </x:c>
      <x:c r="B105" s="20" t="n">
        <x:v>149.94</x:v>
      </x:c>
      <x:c r="C105" s="20" t="n">
        <x:v>427.47</x:v>
      </x:c>
      <x:c r="D105" s="21" t="n">
        <x:v>6450955</x:v>
      </x:c>
      <x:c r="E105" s="21" t="n">
        <x:v>53159580</x:v>
      </x:c>
      <x:c r="F105" s="11" t="str">
        <x:v>Nasdaq public historical table</x:v>
      </x:c>
    </x:row>
    <x:row r="106">
      <x:c r="A106" s="14" t="n">
        <x:v>44376</x:v>
      </x:c>
      <x:c r="B106" s="20" t="n">
        <x:v>146.08</x:v>
      </x:c>
      <x:c r="C106" s="20" t="n">
        <x:v>427.7</x:v>
      </x:c>
      <x:c r="D106" s="21" t="n">
        <x:v>7478999</x:v>
      </x:c>
      <x:c r="E106" s="21" t="n">
        <x:v>35970520</x:v>
      </x:c>
      <x:c r="F106" s="11" t="str">
        <x:v>Nasdaq public historical table</x:v>
      </x:c>
    </x:row>
    <x:row r="107">
      <x:c r="A107" s="14" t="n">
        <x:v>44377</x:v>
      </x:c>
      <x:c r="B107" s="20" t="n">
        <x:v>153.14</x:v>
      </x:c>
      <x:c r="C107" s="20" t="n">
        <x:v>428.06</x:v>
      </x:c>
      <x:c r="D107" s="21" t="n">
        <x:v>9798633</x:v>
      </x:c>
      <x:c r="E107" s="21" t="n">
        <x:v>64827860</x:v>
      </x:c>
      <x:c r="F107" s="11" t="str">
        <x:v>Nasdaq public historical table</x:v>
      </x:c>
    </x:row>
    <x:row r="108">
      <x:c r="A108" s="14" t="n">
        <x:v>44378</x:v>
      </x:c>
      <x:c r="B108" s="20" t="n">
        <x:v>153.08</x:v>
      </x:c>
      <x:c r="C108" s="20" t="n">
        <x:v>430.43</x:v>
      </x:c>
      <x:c r="D108" s="21" t="n">
        <x:v>9793859</x:v>
      </x:c>
      <x:c r="E108" s="21" t="n">
        <x:v>53441030</x:v>
      </x:c>
      <x:c r="F108" s="11" t="str">
        <x:v>Nasdaq public historical table</x:v>
      </x:c>
    </x:row>
    <x:row r="109">
      <x:c r="A109" s="14" t="n">
        <x:v>44379</x:v>
      </x:c>
      <x:c r="B109" s="20" t="n">
        <x:v>150.23</x:v>
      </x:c>
      <x:c r="C109" s="20" t="n">
        <x:v>433.72</x:v>
      </x:c>
      <x:c r="D109" s="21" t="n">
        <x:v>4844712</x:v>
      </x:c>
      <x:c r="E109" s="21" t="n">
        <x:v>57697670</x:v>
      </x:c>
      <x:c r="F109" s="11" t="str">
        <x:v>Nasdaq public historical table</x:v>
      </x:c>
    </x:row>
    <x:row r="110">
      <x:c r="A110" s="14" t="n">
        <x:v>44383</x:v>
      </x:c>
      <x:c r="B110" s="20" t="n">
        <x:v>148.37</x:v>
      </x:c>
      <x:c r="C110" s="20" t="n">
        <x:v>432.93</x:v>
      </x:c>
      <x:c r="D110" s="21" t="n">
        <x:v>5069422</x:v>
      </x:c>
      <x:c r="E110" s="21" t="n">
        <x:v>68710420</x:v>
      </x:c>
      <x:c r="F110" s="11" t="str">
        <x:v>Nasdaq public historical table</x:v>
      </x:c>
    </x:row>
    <x:row r="111">
      <x:c r="A111" s="14" t="n">
        <x:v>44384</x:v>
      </x:c>
      <x:c r="B111" s="20" t="n">
        <x:v>143.72</x:v>
      </x:c>
      <x:c r="C111" s="20" t="n">
        <x:v>434.46</x:v>
      </x:c>
      <x:c r="D111" s="21" t="n">
        <x:v>5650921</x:v>
      </x:c>
      <x:c r="E111" s="21" t="n">
        <x:v>63549460</x:v>
      </x:c>
      <x:c r="F111" s="11" t="str">
        <x:v>Nasdaq public historical table</x:v>
      </x:c>
    </x:row>
    <x:row r="112">
      <x:c r="A112" s="14" t="n">
        <x:v>44385</x:v>
      </x:c>
      <x:c r="B112" s="20" t="n">
        <x:v>142.53</x:v>
      </x:c>
      <x:c r="C112" s="20" t="n">
        <x:v>430.92</x:v>
      </x:c>
      <x:c r="D112" s="21" t="n">
        <x:v>4827157</x:v>
      </x:c>
      <x:c r="E112" s="21" t="n">
        <x:v>97595230</x:v>
      </x:c>
      <x:c r="F112" s="11" t="str">
        <x:v>Nasdaq public historical table</x:v>
      </x:c>
    </x:row>
    <x:row r="113">
      <x:c r="A113" s="14" t="n">
        <x:v>44386</x:v>
      </x:c>
      <x:c r="B113" s="20" t="n">
        <x:v>149.64</x:v>
      </x:c>
      <x:c r="C113" s="20" t="n">
        <x:v>435.52</x:v>
      </x:c>
      <x:c r="D113" s="21" t="n">
        <x:v>7065139</x:v>
      </x:c>
      <x:c r="E113" s="21" t="n">
        <x:v>76238580</x:v>
      </x:c>
      <x:c r="F113" s="11" t="str">
        <x:v>Nasdaq public historical table</x:v>
      </x:c>
    </x:row>
    <x:row r="114">
      <x:c r="A114" s="14" t="n">
        <x:v>44389</x:v>
      </x:c>
      <x:c r="B114" s="20" t="n">
        <x:v>146.69</x:v>
      </x:c>
      <x:c r="C114" s="20" t="n">
        <x:v>437.08</x:v>
      </x:c>
      <x:c r="D114" s="21" t="n">
        <x:v>3276273</x:v>
      </x:c>
      <x:c r="E114" s="21" t="n">
        <x:v>52889590</x:v>
      </x:c>
      <x:c r="F114" s="11" t="str">
        <x:v>Nasdaq public historical table</x:v>
      </x:c>
    </x:row>
    <x:row r="115">
      <x:c r="A115" s="14" t="n">
        <x:v>44390</x:v>
      </x:c>
      <x:c r="B115" s="20" t="n">
        <x:v>143.41</x:v>
      </x:c>
      <x:c r="C115" s="20" t="n">
        <x:v>435.59</x:v>
      </x:c>
      <x:c r="D115" s="21" t="n">
        <x:v>5871457</x:v>
      </x:c>
      <x:c r="E115" s="21" t="n">
        <x:v>52911310</x:v>
      </x:c>
      <x:c r="F115" s="11" t="str">
        <x:v>Nasdaq public historical table</x:v>
      </x:c>
    </x:row>
    <x:row r="116">
      <x:c r="A116" s="14" t="n">
        <x:v>44391</x:v>
      </x:c>
      <x:c r="B116" s="20" t="n">
        <x:v>139.09</x:v>
      </x:c>
      <x:c r="C116" s="20" t="n">
        <x:v>436.24</x:v>
      </x:c>
      <x:c r="D116" s="21" t="n">
        <x:v>8545476</x:v>
      </x:c>
      <x:c r="E116" s="21" t="n">
        <x:v>64130350</x:v>
      </x:c>
      <x:c r="F116" s="11" t="str">
        <x:v>Nasdaq public historical table</x:v>
      </x:c>
    </x:row>
    <x:row r="117">
      <x:c r="A117" s="14" t="n">
        <x:v>44392</x:v>
      </x:c>
      <x:c r="B117" s="20" t="n">
        <x:v>137.5</x:v>
      </x:c>
      <x:c r="C117" s="20" t="n">
        <x:v>434.75</x:v>
      </x:c>
      <x:c r="D117" s="21" t="n">
        <x:v>6576068</x:v>
      </x:c>
      <x:c r="E117" s="21" t="n">
        <x:v>55126360</x:v>
      </x:c>
      <x:c r="F117" s="11" t="str">
        <x:v>Nasdaq public historical table</x:v>
      </x:c>
    </x:row>
    <x:row r="118">
      <x:c r="A118" s="14" t="n">
        <x:v>44393</x:v>
      </x:c>
      <x:c r="B118" s="20" t="n">
        <x:v>134.31</x:v>
      </x:c>
      <x:c r="C118" s="20" t="n">
        <x:v>431.34</x:v>
      </x:c>
      <x:c r="D118" s="21" t="n">
        <x:v>6094631</x:v>
      </x:c>
      <x:c r="E118" s="21" t="n">
        <x:v>75874660</x:v>
      </x:c>
      <x:c r="F118" s="11" t="str">
        <x:v>Nasdaq public historical table</x:v>
      </x:c>
    </x:row>
    <x:row r="119">
      <x:c r="A119" s="14" t="n">
        <x:v>44396</x:v>
      </x:c>
      <x:c r="B119" s="20" t="n">
        <x:v>131.88</x:v>
      </x:c>
      <x:c r="C119" s="20" t="n">
        <x:v>424.97</x:v>
      </x:c>
      <x:c r="D119" s="21" t="n">
        <x:v>7215671</x:v>
      </x:c>
      <x:c r="E119" s="21" t="n">
        <x:v>147987000</x:v>
      </x:c>
      <x:c r="F119" s="11" t="str">
        <x:v>Nasdaq public historical table</x:v>
      </x:c>
    </x:row>
    <x:row r="120">
      <x:c r="A120" s="14" t="n">
        <x:v>44397</x:v>
      </x:c>
      <x:c r="B120" s="20" t="n">
        <x:v>136.09</x:v>
      </x:c>
      <x:c r="C120" s="20" t="n">
        <x:v>431.06</x:v>
      </x:c>
      <x:c r="D120" s="21" t="n">
        <x:v>6274608</x:v>
      </x:c>
      <x:c r="E120" s="21" t="n">
        <x:v>99608170</x:v>
      </x:c>
      <x:c r="F120" s="11" t="str">
        <x:v>Nasdaq public historical table</x:v>
      </x:c>
    </x:row>
    <x:row r="121">
      <x:c r="A121" s="14" t="n">
        <x:v>44398</x:v>
      </x:c>
      <x:c r="B121" s="20" t="n">
        <x:v>139.25</x:v>
      </x:c>
      <x:c r="C121" s="20" t="n">
        <x:v>434.55</x:v>
      </x:c>
      <x:c r="D121" s="21" t="n">
        <x:v>5269631</x:v>
      </x:c>
      <x:c r="E121" s="21" t="n">
        <x:v>64724390</x:v>
      </x:c>
      <x:c r="F121" s="11" t="str">
        <x:v>Nasdaq public historical table</x:v>
      </x:c>
    </x:row>
    <x:row r="122">
      <x:c r="A122" s="14" t="n">
        <x:v>44399</x:v>
      </x:c>
      <x:c r="B122" s="20" t="n">
        <x:v>139.47</x:v>
      </x:c>
      <x:c r="C122" s="20" t="n">
        <x:v>435.46</x:v>
      </x:c>
      <x:c r="D122" s="21" t="n">
        <x:v>4628360</x:v>
      </x:c>
      <x:c r="E122" s="21" t="n">
        <x:v>47878540</x:v>
      </x:c>
      <x:c r="F122" s="11" t="str">
        <x:v>Nasdaq public historical table</x:v>
      </x:c>
    </x:row>
    <x:row r="123">
      <x:c r="A123" s="14" t="n">
        <x:v>44400</x:v>
      </x:c>
      <x:c r="B123" s="20" t="n">
        <x:v>138.73</x:v>
      </x:c>
      <x:c r="C123" s="20" t="n">
        <x:v>439.94</x:v>
      </x:c>
      <x:c r="D123" s="21" t="n">
        <x:v>2811110</x:v>
      </x:c>
      <x:c r="E123" s="21" t="n">
        <x:v>63766640</x:v>
      </x:c>
      <x:c r="F123" s="11" t="str">
        <x:v>Nasdaq public historical table</x:v>
      </x:c>
    </x:row>
    <x:row r="124">
      <x:c r="A124" s="14" t="n">
        <x:v>44403</x:v>
      </x:c>
      <x:c r="B124" s="20" t="n">
        <x:v>142</x:v>
      </x:c>
      <x:c r="C124" s="20" t="n">
        <x:v>441.02</x:v>
      </x:c>
      <x:c r="D124" s="21" t="n">
        <x:v>6489516</x:v>
      </x:c>
      <x:c r="E124" s="21" t="n">
        <x:v>43719190</x:v>
      </x:c>
      <x:c r="F124" s="11" t="str">
        <x:v>Nasdaq public historical table</x:v>
      </x:c>
    </x:row>
    <x:row r="125">
      <x:c r="A125" s="14" t="n">
        <x:v>44404</x:v>
      </x:c>
      <x:c r="B125" s="20" t="n">
        <x:v>141.58</x:v>
      </x:c>
      <x:c r="C125" s="20" t="n">
        <x:v>439.01</x:v>
      </x:c>
      <x:c r="D125" s="21" t="n">
        <x:v>5113147</x:v>
      </x:c>
      <x:c r="E125" s="21" t="n">
        <x:v>67397140</x:v>
      </x:c>
      <x:c r="F125" s="11" t="str">
        <x:v>Nasdaq public historical table</x:v>
      </x:c>
    </x:row>
    <x:row r="126">
      <x:c r="A126" s="14" t="n">
        <x:v>44405</x:v>
      </x:c>
      <x:c r="B126" s="20" t="n">
        <x:v>143.3</x:v>
      </x:c>
      <x:c r="C126" s="20" t="n">
        <x:v>438.83</x:v>
      </x:c>
      <x:c r="D126" s="21" t="n">
        <x:v>4466785</x:v>
      </x:c>
      <x:c r="E126" s="21" t="n">
        <x:v>52472360</x:v>
      </x:c>
      <x:c r="F126" s="11" t="str">
        <x:v>Nasdaq public historical table</x:v>
      </x:c>
    </x:row>
    <x:row r="127">
      <x:c r="A127" s="14" t="n">
        <x:v>44406</x:v>
      </x:c>
      <x:c r="B127" s="20" t="n">
        <x:v>143.47</x:v>
      </x:c>
      <x:c r="C127" s="20" t="n">
        <x:v>440.65</x:v>
      </x:c>
      <x:c r="D127" s="21" t="n">
        <x:v>5005450</x:v>
      </x:c>
      <x:c r="E127" s="21" t="n">
        <x:v>47435340</x:v>
      </x:c>
      <x:c r="F127" s="11" t="str">
        <x:v>Nasdaq public historical table</x:v>
      </x:c>
    </x:row>
    <x:row r="128">
      <x:c r="A128" s="14" t="n">
        <x:v>44407</x:v>
      </x:c>
      <x:c r="B128" s="20" t="n">
        <x:v>144.01</x:v>
      </x:c>
      <x:c r="C128" s="20" t="n">
        <x:v>438.51</x:v>
      </x:c>
      <x:c r="D128" s="21" t="n">
        <x:v>4167130</x:v>
      </x:c>
      <x:c r="E128" s="21" t="n">
        <x:v>68951200</x:v>
      </x:c>
      <x:c r="F128" s="11" t="str">
        <x:v>Nasdaq public historical table</x:v>
      </x:c>
    </x:row>
    <x:row r="129">
      <x:c r="A129" s="14" t="n">
        <x:v>44410</x:v>
      </x:c>
      <x:c r="B129" s="20" t="n">
        <x:v>145.49</x:v>
      </x:c>
      <x:c r="C129" s="20" t="n">
        <x:v>437.59</x:v>
      </x:c>
      <x:c r="D129" s="21" t="n">
        <x:v>4522437</x:v>
      </x:c>
      <x:c r="E129" s="21" t="n">
        <x:v>58783300</x:v>
      </x:c>
      <x:c r="F129" s="11" t="str">
        <x:v>Nasdaq public historical table</x:v>
      </x:c>
    </x:row>
    <x:row r="130">
      <x:c r="A130" s="14" t="n">
        <x:v>44411</x:v>
      </x:c>
      <x:c r="B130" s="20" t="n">
        <x:v>145.65</x:v>
      </x:c>
      <x:c r="C130" s="20" t="n">
        <x:v>441.15</x:v>
      </x:c>
      <x:c r="D130" s="21" t="n">
        <x:v>5491010</x:v>
      </x:c>
      <x:c r="E130" s="21" t="n">
        <x:v>58053900</x:v>
      </x:c>
      <x:c r="F130" s="11" t="str">
        <x:v>Nasdaq public historical table</x:v>
      </x:c>
    </x:row>
    <x:row r="131">
      <x:c r="A131" s="14" t="n">
        <x:v>44412</x:v>
      </x:c>
      <x:c r="B131" s="20" t="n">
        <x:v>147.4</x:v>
      </x:c>
      <x:c r="C131" s="20" t="n">
        <x:v>438.98</x:v>
      </x:c>
      <x:c r="D131" s="21" t="n">
        <x:v>4631430</x:v>
      </x:c>
      <x:c r="E131" s="21" t="n">
        <x:v>46732210</x:v>
      </x:c>
      <x:c r="F131" s="11" t="str">
        <x:v>Nasdaq public historical table</x:v>
      </x:c>
    </x:row>
    <x:row r="132">
      <x:c r="A132" s="14" t="n">
        <x:v>44413</x:v>
      </x:c>
      <x:c r="B132" s="20" t="n">
        <x:v>150.32</x:v>
      </x:c>
      <x:c r="C132" s="20" t="n">
        <x:v>441.76</x:v>
      </x:c>
      <x:c r="D132" s="21" t="n">
        <x:v>4737513</x:v>
      </x:c>
      <x:c r="E132" s="21" t="n">
        <x:v>38969660</x:v>
      </x:c>
      <x:c r="F132" s="11" t="str">
        <x:v>Nasdaq public historical table</x:v>
      </x:c>
    </x:row>
    <x:row r="133">
      <x:c r="A133" s="14" t="n">
        <x:v>44414</x:v>
      </x:c>
      <x:c r="B133" s="20" t="n">
        <x:v>149.99</x:v>
      </x:c>
      <x:c r="C133" s="20" t="n">
        <x:v>442.49</x:v>
      </x:c>
      <x:c r="D133" s="21" t="n">
        <x:v>4043474</x:v>
      </x:c>
      <x:c r="E133" s="21" t="n">
        <x:v>46930010</x:v>
      </x:c>
      <x:c r="F133" s="11" t="str">
        <x:v>Nasdaq public historical table</x:v>
      </x:c>
    </x:row>
    <x:row r="134">
      <x:c r="A134" s="14" t="n">
        <x:v>44417</x:v>
      </x:c>
      <x:c r="B134" s="20" t="n">
        <x:v>149.44</x:v>
      </x:c>
      <x:c r="C134" s="20" t="n">
        <x:v>442.13</x:v>
      </x:c>
      <x:c r="D134" s="21" t="n">
        <x:v>5541924</x:v>
      </x:c>
      <x:c r="E134" s="21" t="n">
        <x:v>41222590</x:v>
      </x:c>
      <x:c r="F134" s="11" t="str">
        <x:v>Nasdaq public historical table</x:v>
      </x:c>
    </x:row>
    <x:row r="135">
      <x:c r="A135" s="14" t="n">
        <x:v>44418</x:v>
      </x:c>
      <x:c r="B135" s="20" t="n">
        <x:v>147.95</x:v>
      </x:c>
      <x:c r="C135" s="20" t="n">
        <x:v>442.68</x:v>
      </x:c>
      <x:c r="D135" s="21" t="n">
        <x:v>5149830</x:v>
      </x:c>
      <x:c r="E135" s="21" t="n">
        <x:v>43339280</x:v>
      </x:c>
      <x:c r="F135" s="11" t="str">
        <x:v>Nasdaq public historical table</x:v>
      </x:c>
    </x:row>
    <x:row r="136">
      <x:c r="A136" s="14" t="n">
        <x:v>44419</x:v>
      </x:c>
      <x:c r="B136" s="20" t="n">
        <x:v>148.16</x:v>
      </x:c>
      <x:c r="C136" s="20" t="n">
        <x:v>443.78</x:v>
      </x:c>
      <x:c r="D136" s="21" t="n">
        <x:v>6717728</x:v>
      </x:c>
      <x:c r="E136" s="21" t="n">
        <x:v>44034340</x:v>
      </x:c>
      <x:c r="F136" s="11" t="str">
        <x:v>Nasdaq public historical table</x:v>
      </x:c>
    </x:row>
    <x:row r="137">
      <x:c r="A137" s="14" t="n">
        <x:v>44420</x:v>
      </x:c>
      <x:c r="B137" s="20" t="n">
        <x:v>151.15</x:v>
      </x:c>
      <x:c r="C137" s="20" t="n">
        <x:v>445.11</x:v>
      </x:c>
      <x:c r="D137" s="21" t="n">
        <x:v>8925109</x:v>
      </x:c>
      <x:c r="E137" s="21" t="n">
        <x:v>38942420</x:v>
      </x:c>
      <x:c r="F137" s="11" t="str">
        <x:v>Nasdaq public historical table</x:v>
      </x:c>
    </x:row>
    <x:row r="138">
      <x:c r="A138" s="14" t="n">
        <x:v>44421</x:v>
      </x:c>
      <x:c r="B138" s="20" t="n">
        <x:v>152.76</x:v>
      </x:c>
      <x:c r="C138" s="20" t="n">
        <x:v>445.92</x:v>
      </x:c>
      <x:c r="D138" s="21" t="n">
        <x:v>16789080</x:v>
      </x:c>
      <x:c r="E138" s="21" t="n">
        <x:v>39470250</x:v>
      </x:c>
      <x:c r="F138" s="11" t="str">
        <x:v>Nasdaq public historical table</x:v>
      </x:c>
    </x:row>
    <x:row r="139">
      <x:c r="A139" s="14" t="n">
        <x:v>44424</x:v>
      </x:c>
      <x:c r="B139" s="20" t="n">
        <x:v>148.57</x:v>
      </x:c>
      <x:c r="C139" s="20" t="n">
        <x:v>446.97</x:v>
      </x:c>
      <x:c r="D139" s="21" t="n">
        <x:v>7720442</x:v>
      </x:c>
      <x:c r="E139" s="21" t="n">
        <x:v>73930860</x:v>
      </x:c>
      <x:c r="F139" s="11" t="str">
        <x:v>Nasdaq public historical table</x:v>
      </x:c>
    </x:row>
    <x:row r="140">
      <x:c r="A140" s="14" t="n">
        <x:v>44425</x:v>
      </x:c>
      <x:c r="B140" s="20" t="n">
        <x:v>143.9</x:v>
      </x:c>
      <x:c r="C140" s="20" t="n">
        <x:v>444.04</x:v>
      </x:c>
      <x:c r="D140" s="21" t="n">
        <x:v>7855110</x:v>
      </x:c>
      <x:c r="E140" s="21" t="n">
        <x:v>92673930</x:v>
      </x:c>
      <x:c r="F140" s="11" t="str">
        <x:v>Nasdaq public historical table</x:v>
      </x:c>
    </x:row>
    <x:row r="141">
      <x:c r="A141" s="14" t="n">
        <x:v>44426</x:v>
      </x:c>
      <x:c r="B141" s="20" t="n">
        <x:v>146.74</x:v>
      </x:c>
      <x:c r="C141" s="20" t="n">
        <x:v>439.18</x:v>
      </x:c>
      <x:c r="D141" s="21" t="n">
        <x:v>5190073</x:v>
      </x:c>
      <x:c r="E141" s="21" t="n">
        <x:v>89351930</x:v>
      </x:c>
      <x:c r="F141" s="11" t="str">
        <x:v>Nasdaq public historical table</x:v>
      </x:c>
    </x:row>
    <x:row r="142">
      <x:c r="A142" s="14" t="n">
        <x:v>44427</x:v>
      </x:c>
      <x:c r="B142" s="20" t="n">
        <x:v>142.65</x:v>
      </x:c>
      <x:c r="C142" s="20" t="n">
        <x:v>439.86</x:v>
      </x:c>
      <x:c r="D142" s="21" t="n">
        <x:v>4732393</x:v>
      </x:c>
      <x:c r="E142" s="21" t="n">
        <x:v>92812250</x:v>
      </x:c>
      <x:c r="F142" s="11" t="str">
        <x:v>Nasdaq public historical table</x:v>
      </x:c>
    </x:row>
    <x:row r="143">
      <x:c r="A143" s="14" t="n">
        <x:v>44428</x:v>
      </x:c>
      <x:c r="B143" s="20" t="n">
        <x:v>143.7</x:v>
      </x:c>
      <x:c r="C143" s="20" t="n">
        <x:v>443.36</x:v>
      </x:c>
      <x:c r="D143" s="21" t="n">
        <x:v>2996182</x:v>
      </x:c>
      <x:c r="E143" s="21" t="n">
        <x:v>72008710</x:v>
      </x:c>
      <x:c r="F143" s="11" t="str">
        <x:v>Nasdaq public historical table</x:v>
      </x:c>
    </x:row>
    <x:row r="144">
      <x:c r="A144" s="14" t="n">
        <x:v>44431</x:v>
      </x:c>
      <x:c r="B144" s="20" t="n">
        <x:v>146.79</x:v>
      </x:c>
      <x:c r="C144" s="20" t="n">
        <x:v>447.26</x:v>
      </x:c>
      <x:c r="D144" s="21" t="n">
        <x:v>4727431</x:v>
      </x:c>
      <x:c r="E144" s="21" t="n">
        <x:v>54973040</x:v>
      </x:c>
      <x:c r="F144" s="11" t="str">
        <x:v>Nasdaq public historical table</x:v>
      </x:c>
    </x:row>
    <x:row r="145">
      <x:c r="A145" s="14" t="n">
        <x:v>44432</x:v>
      </x:c>
      <x:c r="B145" s="20" t="n">
        <x:v>161.42</x:v>
      </x:c>
      <x:c r="C145" s="20" t="n">
        <x:v>447.97</x:v>
      </x:c>
      <x:c r="D145" s="21" t="n">
        <x:v>22096780</x:v>
      </x:c>
      <x:c r="E145" s="21" t="n">
        <x:v>38744710</x:v>
      </x:c>
      <x:c r="F145" s="11" t="str">
        <x:v>Nasdaq public historical table</x:v>
      </x:c>
    </x:row>
    <x:row r="146">
      <x:c r="A146" s="14" t="n">
        <x:v>44433</x:v>
      </x:c>
      <x:c r="B146" s="20" t="n">
        <x:v>160.35</x:v>
      </x:c>
      <x:c r="C146" s="20" t="n">
        <x:v>448.91</x:v>
      </x:c>
      <x:c r="D146" s="21" t="n">
        <x:v>7267704</x:v>
      </x:c>
      <x:c r="E146" s="21" t="n">
        <x:v>40529710</x:v>
      </x:c>
      <x:c r="F146" s="11" t="str">
        <x:v>Nasdaq public historical table</x:v>
      </x:c>
    </x:row>
    <x:row r="147">
      <x:c r="A147" s="14" t="n">
        <x:v>44434</x:v>
      </x:c>
      <x:c r="B147" s="20" t="n">
        <x:v>152.73</x:v>
      </x:c>
      <x:c r="C147" s="20" t="n">
        <x:v>446.26</x:v>
      </x:c>
      <x:c r="D147" s="21" t="n">
        <x:v>7242951</x:v>
      </x:c>
      <x:c r="E147" s="21" t="n">
        <x:v>57829570</x:v>
      </x:c>
      <x:c r="F147" s="11" t="str">
        <x:v>Nasdaq public historical table</x:v>
      </x:c>
    </x:row>
    <x:row r="148">
      <x:c r="A148" s="14" t="n">
        <x:v>44435</x:v>
      </x:c>
      <x:c r="B148" s="20" t="n">
        <x:v>154.18</x:v>
      </x:c>
      <x:c r="C148" s="20" t="n">
        <x:v>450.25</x:v>
      </x:c>
      <x:c r="D148" s="21" t="n">
        <x:v>4818820</x:v>
      </x:c>
      <x:c r="E148" s="21" t="n">
        <x:v>77235110</x:v>
      </x:c>
      <x:c r="F148" s="11" t="str">
        <x:v>Nasdaq public historical table</x:v>
      </x:c>
    </x:row>
    <x:row r="149">
      <x:c r="A149" s="14" t="n">
        <x:v>44438</x:v>
      </x:c>
      <x:c r="B149" s="20" t="n">
        <x:v>156.02</x:v>
      </x:c>
      <x:c r="C149" s="20" t="n">
        <x:v>452.23</x:v>
      </x:c>
      <x:c r="D149" s="21" t="n">
        <x:v>3968745</x:v>
      </x:c>
      <x:c r="E149" s="21" t="n">
        <x:v>48357360</x:v>
      </x:c>
      <x:c r="F149" s="11" t="str">
        <x:v>Nasdaq public historical table</x:v>
      </x:c>
    </x:row>
    <x:row r="150">
      <x:c r="A150" s="14" t="n">
        <x:v>44439</x:v>
      </x:c>
      <x:c r="B150" s="20" t="n">
        <x:v>154.99</x:v>
      </x:c>
      <x:c r="C150" s="20" t="n">
        <x:v>451.56</x:v>
      </x:c>
      <x:c r="D150" s="21" t="n">
        <x:v>7403951</x:v>
      </x:c>
      <x:c r="E150" s="21" t="n">
        <x:v>59300210</x:v>
      </x:c>
      <x:c r="F150" s="11" t="str">
        <x:v>Nasdaq public historical table</x:v>
      </x:c>
    </x:row>
    <x:row r="151">
      <x:c r="A151" s="14" t="n">
        <x:v>44440</x:v>
      </x:c>
      <x:c r="B151" s="20" t="n">
        <x:v>156.59</x:v>
      </x:c>
      <x:c r="C151" s="20" t="n">
        <x:v>451.8</x:v>
      </x:c>
      <x:c r="D151" s="21" t="n">
        <x:v>4324746</x:v>
      </x:c>
      <x:c r="E151" s="21" t="n">
        <x:v>48721380</x:v>
      </x:c>
      <x:c r="F151" s="11" t="str">
        <x:v>Nasdaq public historical table</x:v>
      </x:c>
    </x:row>
    <x:row r="152">
      <x:c r="A152" s="14" t="n">
        <x:v>44441</x:v>
      </x:c>
      <x:c r="B152" s="20" t="n">
        <x:v>157.2</x:v>
      </x:c>
      <x:c r="C152" s="20" t="n">
        <x:v>453.19</x:v>
      </x:c>
      <x:c r="D152" s="21" t="n">
        <x:v>3302257</x:v>
      </x:c>
      <x:c r="E152" s="21" t="n">
        <x:v>42830870</x:v>
      </x:c>
      <x:c r="F152" s="11" t="str">
        <x:v>Nasdaq public historical table</x:v>
      </x:c>
    </x:row>
    <x:row r="153">
      <x:c r="A153" s="14" t="n">
        <x:v>44442</x:v>
      </x:c>
      <x:c r="B153" s="20" t="n">
        <x:v>158</x:v>
      </x:c>
      <x:c r="C153" s="20" t="n">
        <x:v>453.08</x:v>
      </x:c>
      <x:c r="D153" s="21" t="n">
        <x:v>4460935</x:v>
      </x:c>
      <x:c r="E153" s="21" t="n">
        <x:v>47234360</x:v>
      </x:c>
      <x:c r="F153" s="11" t="str">
        <x:v>Nasdaq public historical table</x:v>
      </x:c>
    </x:row>
    <x:row r="154">
      <x:c r="A154" s="14" t="n">
        <x:v>44446</x:v>
      </x:c>
      <x:c r="B154" s="20" t="n">
        <x:v>165</x:v>
      </x:c>
      <x:c r="C154" s="20" t="n">
        <x:v>451.46</x:v>
      </x:c>
      <x:c r="D154" s="21" t="n">
        <x:v>11017030</x:v>
      </x:c>
      <x:c r="E154" s="21" t="n">
        <x:v>51671530</x:v>
      </x:c>
      <x:c r="F154" s="11" t="str">
        <x:v>Nasdaq public historical table</x:v>
      </x:c>
    </x:row>
    <x:row r="155">
      <x:c r="A155" s="14" t="n">
        <x:v>44447</x:v>
      </x:c>
      <x:c r="B155" s="20" t="n">
        <x:v>163.93</x:v>
      </x:c>
      <x:c r="C155" s="20" t="n">
        <x:v>450.91</x:v>
      </x:c>
      <x:c r="D155" s="21" t="n">
        <x:v>5866501</x:v>
      </x:c>
      <x:c r="E155" s="21" t="n">
        <x:v>56181910</x:v>
      </x:c>
      <x:c r="F155" s="11" t="str">
        <x:v>Nasdaq public historical table</x:v>
      </x:c>
    </x:row>
    <x:row r="156">
      <x:c r="A156" s="14" t="n">
        <x:v>44448</x:v>
      </x:c>
      <x:c r="B156" s="20" t="n">
        <x:v>166</x:v>
      </x:c>
      <x:c r="C156" s="20" t="n">
        <x:v>448.98</x:v>
      </x:c>
      <x:c r="D156" s="21" t="n">
        <x:v>5935754</x:v>
      </x:c>
      <x:c r="E156" s="21" t="n">
        <x:v>57970410</x:v>
      </x:c>
      <x:c r="F156" s="11" t="str">
        <x:v>Nasdaq public historical table</x:v>
      </x:c>
    </x:row>
    <x:row r="157">
      <x:c r="A157" s="14" t="n">
        <x:v>44449</x:v>
      </x:c>
      <x:c r="B157" s="20" t="n">
        <x:v>165.2</x:v>
      </x:c>
      <x:c r="C157" s="20" t="n">
        <x:v>445.44</x:v>
      </x:c>
      <x:c r="D157" s="21" t="n">
        <x:v>3985251</x:v>
      </x:c>
      <x:c r="E157" s="21" t="n">
        <x:v>89948170</x:v>
      </x:c>
      <x:c r="F157" s="11" t="str">
        <x:v>Nasdaq public historical table</x:v>
      </x:c>
    </x:row>
    <x:row r="158">
      <x:c r="A158" s="14" t="n">
        <x:v>44452</x:v>
      </x:c>
      <x:c r="B158" s="20" t="n">
        <x:v>160.32</x:v>
      </x:c>
      <x:c r="C158" s="20" t="n">
        <x:v>446.58</x:v>
      </x:c>
      <x:c r="D158" s="21" t="n">
        <x:v>7520949</x:v>
      </x:c>
      <x:c r="E158" s="21" t="n">
        <x:v>83738650</x:v>
      </x:c>
      <x:c r="F158" s="11" t="str">
        <x:v>Nasdaq public historical table</x:v>
      </x:c>
    </x:row>
    <x:row r="159">
      <x:c r="A159" s="14" t="n">
        <x:v>44453</x:v>
      </x:c>
      <x:c r="B159" s="20" t="n">
        <x:v>163.3</x:v>
      </x:c>
      <x:c r="C159" s="20" t="n">
        <x:v>444.17</x:v>
      </x:c>
      <x:c r="D159" s="21" t="n">
        <x:v>4655503</x:v>
      </x:c>
      <x:c r="E159" s="21" t="n">
        <x:v>78197140</x:v>
      </x:c>
      <x:c r="F159" s="11" t="str">
        <x:v>Nasdaq public historical table</x:v>
      </x:c>
    </x:row>
    <x:row r="160">
      <x:c r="A160" s="14" t="n">
        <x:v>44454</x:v>
      </x:c>
      <x:c r="B160" s="20" t="n">
        <x:v>166.37</x:v>
      </x:c>
      <x:c r="C160" s="20" t="n">
        <x:v>447.88</x:v>
      </x:c>
      <x:c r="D160" s="21" t="n">
        <x:v>5656017</x:v>
      </x:c>
      <x:c r="E160" s="21" t="n">
        <x:v>78792220</x:v>
      </x:c>
      <x:c r="F160" s="11" t="str">
        <x:v>Nasdaq public historical table</x:v>
      </x:c>
    </x:row>
    <x:row r="161">
      <x:c r="A161" s="14" t="n">
        <x:v>44455</x:v>
      </x:c>
      <x:c r="B161" s="20" t="n">
        <x:v>168.15</x:v>
      </x:c>
      <x:c r="C161" s="20" t="n">
        <x:v>447.17</x:v>
      </x:c>
      <x:c r="D161" s="21" t="n">
        <x:v>6094825</x:v>
      </x:c>
      <x:c r="E161" s="21" t="n">
        <x:v>77786740</x:v>
      </x:c>
      <x:c r="F161" s="11" t="str">
        <x:v>Nasdaq public historical table</x:v>
      </x:c>
    </x:row>
    <x:row r="162">
      <x:c r="A162" s="14" t="n">
        <x:v>44456</x:v>
      </x:c>
      <x:c r="B162" s="20" t="n">
        <x:v>166.59</x:v>
      </x:c>
      <x:c r="C162" s="20" t="n">
        <x:v>441.4</x:v>
      </x:c>
      <x:c r="D162" s="21" t="n">
        <x:v>20024680</x:v>
      </x:c>
      <x:c r="E162" s="21" t="n">
        <x:v>118425000</x:v>
      </x:c>
      <x:c r="F162" s="11" t="str">
        <x:v>Nasdaq public historical table</x:v>
      </x:c>
    </x:row>
    <x:row r="163">
      <x:c r="A163" s="14" t="n">
        <x:v>44459</x:v>
      </x:c>
      <x:c r="B163" s="20" t="n">
        <x:v>161.64</x:v>
      </x:c>
      <x:c r="C163" s="20" t="n">
        <x:v>434.04</x:v>
      </x:c>
      <x:c r="D163" s="21" t="n">
        <x:v>6846832</x:v>
      </x:c>
      <x:c r="E163" s="21" t="n">
        <x:v>166445500</x:v>
      </x:c>
      <x:c r="F163" s="11" t="str">
        <x:v>Nasdaq public historical table</x:v>
      </x:c>
    </x:row>
    <x:row r="164">
      <x:c r="A164" s="14" t="n">
        <x:v>44460</x:v>
      </x:c>
      <x:c r="B164" s="20" t="n">
        <x:v>169.29</x:v>
      </x:c>
      <x:c r="C164" s="20" t="n">
        <x:v>433.63</x:v>
      </x:c>
      <x:c r="D164" s="21" t="n">
        <x:v>8592501</x:v>
      </x:c>
      <x:c r="E164" s="21" t="n">
        <x:v>92526110</x:v>
      </x:c>
      <x:c r="F164" s="11" t="str">
        <x:v>Nasdaq public historical table</x:v>
      </x:c>
    </x:row>
    <x:row r="165">
      <x:c r="A165" s="14" t="n">
        <x:v>44461</x:v>
      </x:c>
      <x:c r="B165" s="20" t="n">
        <x:v>169.96</x:v>
      </x:c>
      <x:c r="C165" s="20" t="n">
        <x:v>437.86</x:v>
      </x:c>
      <x:c r="D165" s="21" t="n">
        <x:v>4353595</x:v>
      </x:c>
      <x:c r="E165" s="21" t="n">
        <x:v>102350100</x:v>
      </x:c>
      <x:c r="F165" s="11" t="str">
        <x:v>Nasdaq public historical table</x:v>
      </x:c>
    </x:row>
    <x:row r="166">
      <x:c r="A166" s="14" t="n">
        <x:v>44462</x:v>
      </x:c>
      <x:c r="B166" s="20" t="n">
        <x:v>175.13</x:v>
      </x:c>
      <x:c r="C166" s="20" t="n">
        <x:v>443.18</x:v>
      </x:c>
      <x:c r="D166" s="21" t="n">
        <x:v>5370786</x:v>
      </x:c>
      <x:c r="E166" s="21" t="n">
        <x:v>76395980</x:v>
      </x:c>
      <x:c r="F166" s="11" t="str">
        <x:v>Nasdaq public historical table</x:v>
      </x:c>
    </x:row>
    <x:row r="167">
      <x:c r="A167" s="14" t="n">
        <x:v>44463</x:v>
      </x:c>
      <x:c r="B167" s="20" t="n">
        <x:v>175.88</x:v>
      </x:c>
      <x:c r="C167" s="20" t="n">
        <x:v>443.91</x:v>
      </x:c>
      <x:c r="D167" s="21" t="n">
        <x:v>4084868</x:v>
      </x:c>
      <x:c r="E167" s="21" t="n">
        <x:v>62094840</x:v>
      </x:c>
      <x:c r="F167" s="11" t="str">
        <x:v>Nasdaq public historical table</x:v>
      </x:c>
    </x:row>
    <x:row r="168">
      <x:c r="A168" s="14" t="n">
        <x:v>44466</x:v>
      </x:c>
      <x:c r="B168" s="20" t="n">
        <x:v>174.26</x:v>
      </x:c>
      <x:c r="C168" s="20" t="n">
        <x:v>442.64</x:v>
      </x:c>
      <x:c r="D168" s="21" t="n">
        <x:v>3551430</x:v>
      </x:c>
      <x:c r="E168" s="21" t="n">
        <x:v>61371110</x:v>
      </x:c>
      <x:c r="F168" s="11" t="str">
        <x:v>Nasdaq public historical table</x:v>
      </x:c>
    </x:row>
    <x:row r="169">
      <x:c r="A169" s="14" t="n">
        <x:v>44467</x:v>
      </x:c>
      <x:c r="B169" s="20" t="n">
        <x:v>168.58</x:v>
      </x:c>
      <x:c r="C169" s="20" t="n">
        <x:v>433.72</x:v>
      </x:c>
      <x:c r="D169" s="21" t="n">
        <x:v>4362803</x:v>
      </x:c>
      <x:c r="E169" s="21" t="n">
        <x:v>130436300</x:v>
      </x:c>
      <x:c r="F169" s="11" t="str">
        <x:v>Nasdaq public historical table</x:v>
      </x:c>
    </x:row>
    <x:row r="170">
      <x:c r="A170" s="14" t="n">
        <x:v>44468</x:v>
      </x:c>
      <x:c r="B170" s="20" t="n">
        <x:v>168.07</x:v>
      </x:c>
      <x:c r="C170" s="20" t="n">
        <x:v>434.45</x:v>
      </x:c>
      <x:c r="D170" s="21" t="n">
        <x:v>2788740</x:v>
      </x:c>
      <x:c r="E170" s="21" t="n">
        <x:v>82329210</x:v>
      </x:c>
      <x:c r="F170" s="11" t="str">
        <x:v>Nasdaq public historical table</x:v>
      </x:c>
    </x:row>
    <x:row r="171">
      <x:c r="A171" s="14" t="n">
        <x:v>44469</x:v>
      </x:c>
      <x:c r="B171" s="20" t="n">
        <x:v>167.75</x:v>
      </x:c>
      <x:c r="C171" s="20" t="n">
        <x:v>429.14</x:v>
      </x:c>
      <x:c r="D171" s="21" t="n">
        <x:v>2663690</x:v>
      </x:c>
      <x:c r="E171" s="21" t="n">
        <x:v>140506000</x:v>
      </x:c>
      <x:c r="F171" s="11" t="str">
        <x:v>Nasdaq public historical table</x:v>
      </x:c>
    </x:row>
    <x:row r="172">
      <x:c r="A172" s="14" t="n">
        <x:v>44470</x:v>
      </x:c>
      <x:c r="B172" s="20" t="n">
        <x:v>173.01</x:v>
      </x:c>
      <x:c r="C172" s="20" t="n">
        <x:v>434.24</x:v>
      </x:c>
      <x:c r="D172" s="21" t="n">
        <x:v>4963044</x:v>
      </x:c>
      <x:c r="E172" s="21" t="n">
        <x:v>129240100</x:v>
      </x:c>
      <x:c r="F172" s="11" t="str">
        <x:v>Nasdaq public historical table</x:v>
      </x:c>
    </x:row>
    <x:row r="173">
      <x:c r="A173" s="14" t="n">
        <x:v>44473</x:v>
      </x:c>
      <x:c r="B173" s="20" t="n">
        <x:v>164.5</x:v>
      </x:c>
      <x:c r="C173" s="20" t="n">
        <x:v>428.64</x:v>
      </x:c>
      <x:c r="D173" s="21" t="n">
        <x:v>4459382</x:v>
      </x:c>
      <x:c r="E173" s="21" t="n">
        <x:v>128570000</x:v>
      </x:c>
      <x:c r="F173" s="11" t="str">
        <x:v>Nasdaq public historical table</x:v>
      </x:c>
    </x:row>
    <x:row r="174">
      <x:c r="A174" s="14" t="n">
        <x:v>44474</x:v>
      </x:c>
      <x:c r="B174" s="20" t="n">
        <x:v>164.74</x:v>
      </x:c>
      <x:c r="C174" s="20" t="n">
        <x:v>433.1</x:v>
      </x:c>
      <x:c r="D174" s="21" t="n">
        <x:v>4340100</x:v>
      </x:c>
      <x:c r="E174" s="21" t="n">
        <x:v>90682520</x:v>
      </x:c>
      <x:c r="F174" s="11" t="str">
        <x:v>Nasdaq public historical table</x:v>
      </x:c>
    </x:row>
    <x:row r="175">
      <x:c r="A175" s="14" t="n">
        <x:v>44475</x:v>
      </x:c>
      <x:c r="B175" s="20" t="n">
        <x:v>167.25</x:v>
      </x:c>
      <x:c r="C175" s="20" t="n">
        <x:v>434.9</x:v>
      </x:c>
      <x:c r="D175" s="21" t="n">
        <x:v>2461482</x:v>
      </x:c>
      <x:c r="E175" s="21" t="n">
        <x:v>113032200</x:v>
      </x:c>
      <x:c r="F175" s="11" t="str">
        <x:v>Nasdaq public historical table</x:v>
      </x:c>
    </x:row>
    <x:row r="176">
      <x:c r="A176" s="14" t="n">
        <x:v>44476</x:v>
      </x:c>
      <x:c r="B176" s="20" t="n">
        <x:v>169.6</x:v>
      </x:c>
      <x:c r="C176" s="20" t="n">
        <x:v>438.66</x:v>
      </x:c>
      <x:c r="D176" s="21" t="n">
        <x:v>2119612</x:v>
      </x:c>
      <x:c r="E176" s="21" t="n">
        <x:v>72437500</x:v>
      </x:c>
      <x:c r="F176" s="11" t="str">
        <x:v>Nasdaq public historical table</x:v>
      </x:c>
    </x:row>
    <x:row r="177">
      <x:c r="A177" s="14" t="n">
        <x:v>44477</x:v>
      </x:c>
      <x:c r="B177" s="20" t="n">
        <x:v>169.97</x:v>
      </x:c>
      <x:c r="C177" s="20" t="n">
        <x:v>437.86</x:v>
      </x:c>
      <x:c r="D177" s="21" t="n">
        <x:v>2265114</x:v>
      </x:c>
      <x:c r="E177" s="21" t="n">
        <x:v>74557400</x:v>
      </x:c>
      <x:c r="F177" s="11" t="str">
        <x:v>Nasdaq public historical table</x:v>
      </x:c>
    </x:row>
    <x:row r="178">
      <x:c r="A178" s="14" t="n">
        <x:v>44480</x:v>
      </x:c>
      <x:c r="B178" s="20" t="n">
        <x:v>166.67</x:v>
      </x:c>
      <x:c r="C178" s="20" t="n">
        <x:v>434.69</x:v>
      </x:c>
      <x:c r="D178" s="21" t="n">
        <x:v>2046310</x:v>
      </x:c>
      <x:c r="E178" s="21" t="n">
        <x:v>65233290</x:v>
      </x:c>
      <x:c r="F178" s="11" t="str">
        <x:v>Nasdaq public historical table</x:v>
      </x:c>
    </x:row>
    <x:row r="179">
      <x:c r="A179" s="14" t="n">
        <x:v>44481</x:v>
      </x:c>
      <x:c r="B179" s="20" t="n">
        <x:v>172.75</x:v>
      </x:c>
      <x:c r="C179" s="20" t="n">
        <x:v>433.62</x:v>
      </x:c>
      <x:c r="D179" s="21" t="n">
        <x:v>6028098</x:v>
      </x:c>
      <x:c r="E179" s="21" t="n">
        <x:v>71181160</x:v>
      </x:c>
      <x:c r="F179" s="11" t="str">
        <x:v>Nasdaq public historical table</x:v>
      </x:c>
    </x:row>
    <x:row r="180">
      <x:c r="A180" s="14" t="n">
        <x:v>44482</x:v>
      </x:c>
      <x:c r="B180" s="20" t="n">
        <x:v>173.58</x:v>
      </x:c>
      <x:c r="C180" s="20" t="n">
        <x:v>435.18</x:v>
      </x:c>
      <x:c r="D180" s="21" t="n">
        <x:v>3523610</x:v>
      </x:c>
      <x:c r="E180" s="21" t="n">
        <x:v>72973980</x:v>
      </x:c>
      <x:c r="F180" s="11" t="str">
        <x:v>Nasdaq public historical table</x:v>
      </x:c>
    </x:row>
    <x:row r="181">
      <x:c r="A181" s="14" t="n">
        <x:v>44483</x:v>
      </x:c>
      <x:c r="B181" s="20" t="n">
        <x:v>170.5</x:v>
      </x:c>
      <x:c r="C181" s="20" t="n">
        <x:v>442.5</x:v>
      </x:c>
      <x:c r="D181" s="21" t="n">
        <x:v>4145257</x:v>
      </x:c>
      <x:c r="E181" s="21" t="n">
        <x:v>70236830</x:v>
      </x:c>
      <x:c r="F181" s="11" t="str">
        <x:v>Nasdaq public historical table</x:v>
      </x:c>
    </x:row>
    <x:row r="182">
      <x:c r="A182" s="14" t="n">
        <x:v>44484</x:v>
      </x:c>
      <x:c r="B182" s="20" t="n">
        <x:v>169.18</x:v>
      </x:c>
      <x:c r="C182" s="20" t="n">
        <x:v>445.87</x:v>
      </x:c>
      <x:c r="D182" s="21" t="n">
        <x:v>3592734</x:v>
      </x:c>
      <x:c r="E182" s="21" t="n">
        <x:v>66260210</x:v>
      </x:c>
      <x:c r="F182" s="11" t="str">
        <x:v>Nasdaq public historical table</x:v>
      </x:c>
    </x:row>
    <x:row r="183">
      <x:c r="A183" s="14" t="n">
        <x:v>44487</x:v>
      </x:c>
      <x:c r="B183" s="20" t="n">
        <x:v>172.32</x:v>
      </x:c>
      <x:c r="C183" s="20" t="n">
        <x:v>447.19</x:v>
      </x:c>
      <x:c r="D183" s="21" t="n">
        <x:v>2793704</x:v>
      </x:c>
      <x:c r="E183" s="21" t="n">
        <x:v>62213230</x:v>
      </x:c>
      <x:c r="F183" s="11" t="str">
        <x:v>Nasdaq public historical table</x:v>
      </x:c>
    </x:row>
    <x:row r="184">
      <x:c r="A184" s="14" t="n">
        <x:v>44488</x:v>
      </x:c>
      <x:c r="B184" s="20" t="n">
        <x:v>170.74</x:v>
      </x:c>
      <x:c r="C184" s="20" t="n">
        <x:v>450.64</x:v>
      </x:c>
      <x:c r="D184" s="21" t="n">
        <x:v>2776646</x:v>
      </x:c>
      <x:c r="E184" s="21" t="n">
        <x:v>46996830</x:v>
      </x:c>
      <x:c r="F184" s="11" t="str">
        <x:v>Nasdaq public historical table</x:v>
      </x:c>
    </x:row>
    <x:row r="185">
      <x:c r="A185" s="14" t="n">
        <x:v>44489</x:v>
      </x:c>
      <x:c r="B185" s="20" t="n">
        <x:v>169.76</x:v>
      </x:c>
      <x:c r="C185" s="20" t="n">
        <x:v>452.41</x:v>
      </x:c>
      <x:c r="D185" s="21" t="n">
        <x:v>2687022</x:v>
      </x:c>
      <x:c r="E185" s="21" t="n">
        <x:v>49571570</x:v>
      </x:c>
      <x:c r="F185" s="11" t="str">
        <x:v>Nasdaq public historical table</x:v>
      </x:c>
    </x:row>
    <x:row r="186">
      <x:c r="A186" s="14" t="n">
        <x:v>44490</x:v>
      </x:c>
      <x:c r="B186" s="20" t="n">
        <x:v>170.5</x:v>
      </x:c>
      <x:c r="C186" s="20" t="n">
        <x:v>453.59</x:v>
      </x:c>
      <x:c r="D186" s="21" t="n">
        <x:v>2889355</x:v>
      </x:c>
      <x:c r="E186" s="21" t="n">
        <x:v>41305440</x:v>
      </x:c>
      <x:c r="F186" s="11" t="str">
        <x:v>Nasdaq public historical table</x:v>
      </x:c>
    </x:row>
    <x:row r="187">
      <x:c r="A187" s="14" t="n">
        <x:v>44491</x:v>
      </x:c>
      <x:c r="B187" s="20" t="n">
        <x:v>166.64</x:v>
      </x:c>
      <x:c r="C187" s="20" t="n">
        <x:v>453.12</x:v>
      </x:c>
      <x:c r="D187" s="21" t="n">
        <x:v>2985991</x:v>
      </x:c>
      <x:c r="E187" s="21" t="n">
        <x:v>58845090</x:v>
      </x:c>
      <x:c r="F187" s="11" t="str">
        <x:v>Nasdaq public historical table</x:v>
      </x:c>
    </x:row>
    <x:row r="188">
      <x:c r="A188" s="14" t="n">
        <x:v>44494</x:v>
      </x:c>
      <x:c r="B188" s="20" t="n">
        <x:v>169.24</x:v>
      </x:c>
      <x:c r="C188" s="20" t="n">
        <x:v>455.55</x:v>
      </x:c>
      <x:c r="D188" s="21" t="n">
        <x:v>2620794</x:v>
      </x:c>
      <x:c r="E188" s="21" t="n">
        <x:v>45214510</x:v>
      </x:c>
      <x:c r="F188" s="11" t="str">
        <x:v>Nasdaq public historical table</x:v>
      </x:c>
    </x:row>
    <x:row r="189">
      <x:c r="A189" s="14" t="n">
        <x:v>44495</x:v>
      </x:c>
      <x:c r="B189" s="20" t="n">
        <x:v>171.14</x:v>
      </x:c>
      <x:c r="C189" s="20" t="n">
        <x:v>455.96</x:v>
      </x:c>
      <x:c r="D189" s="21" t="n">
        <x:v>2937893</x:v>
      </x:c>
      <x:c r="E189" s="21" t="n">
        <x:v>56075120</x:v>
      </x:c>
      <x:c r="F189" s="11" t="str">
        <x:v>Nasdaq public historical table</x:v>
      </x:c>
    </x:row>
    <x:row r="190">
      <x:c r="A190" s="14" t="n">
        <x:v>44496</x:v>
      </x:c>
      <x:c r="B190" s="20" t="n">
        <x:v>169.1</x:v>
      </x:c>
      <x:c r="C190" s="20" t="n">
        <x:v>453.94</x:v>
      </x:c>
      <x:c r="D190" s="21" t="n">
        <x:v>3009842</x:v>
      </x:c>
      <x:c r="E190" s="21" t="n">
        <x:v>72438000</x:v>
      </x:c>
      <x:c r="F190" s="11" t="str">
        <x:v>Nasdaq public historical table</x:v>
      </x:c>
    </x:row>
    <x:row r="191">
      <x:c r="A191" s="14" t="n">
        <x:v>44497</x:v>
      </x:c>
      <x:c r="B191" s="20" t="n">
        <x:v>171.7</x:v>
      </x:c>
      <x:c r="C191" s="20" t="n">
        <x:v>458.32</x:v>
      </x:c>
      <x:c r="D191" s="21" t="n">
        <x:v>2143659</x:v>
      </x:c>
      <x:c r="E191" s="21" t="n">
        <x:v>51437940</x:v>
      </x:c>
      <x:c r="F191" s="11" t="str">
        <x:v>Nasdaq public historical table</x:v>
      </x:c>
    </x:row>
    <x:row r="192">
      <x:c r="A192" s="14" t="n">
        <x:v>44498</x:v>
      </x:c>
      <x:c r="B192" s="20" t="n">
        <x:v>170.66</x:v>
      </x:c>
      <x:c r="C192" s="20" t="n">
        <x:v>459.25</x:v>
      </x:c>
      <x:c r="D192" s="21" t="n">
        <x:v>2294417</x:v>
      </x:c>
      <x:c r="E192" s="21" t="n">
        <x:v>70162420</x:v>
      </x:c>
      <x:c r="F192" s="11" t="str">
        <x:v>Nasdaq public historical table</x:v>
      </x:c>
    </x:row>
    <x:row r="193">
      <x:c r="A193" s="14" t="n">
        <x:v>44501</x:v>
      </x:c>
      <x:c r="B193" s="20" t="n">
        <x:v>174.6</x:v>
      </x:c>
      <x:c r="C193" s="20" t="n">
        <x:v>460.04</x:v>
      </x:c>
      <x:c r="D193" s="21" t="n">
        <x:v>4401097</x:v>
      </x:c>
      <x:c r="E193" s="21" t="n">
        <x:v>48433640</x:v>
      </x:c>
      <x:c r="F193" s="11" t="str">
        <x:v>Nasdaq public historical table</x:v>
      </x:c>
    </x:row>
    <x:row r="194">
      <x:c r="A194" s="14" t="n">
        <x:v>44502</x:v>
      </x:c>
      <x:c r="B194" s="20" t="n">
        <x:v>172.87</x:v>
      </x:c>
      <x:c r="C194" s="20" t="n">
        <x:v>461.9</x:v>
      </x:c>
      <x:c r="D194" s="21" t="n">
        <x:v>3292058</x:v>
      </x:c>
      <x:c r="E194" s="21" t="n">
        <x:v>48908420</x:v>
      </x:c>
      <x:c r="F194" s="11" t="str">
        <x:v>Nasdaq public historical table</x:v>
      </x:c>
    </x:row>
    <x:row r="195">
      <x:c r="A195" s="14" t="n">
        <x:v>44503</x:v>
      </x:c>
      <x:c r="B195" s="20" t="n">
        <x:v>172.87</x:v>
      </x:c>
      <x:c r="C195" s="20" t="n">
        <x:v>464.72</x:v>
      </x:c>
      <x:c r="D195" s="21" t="n">
        <x:v>2827068</x:v>
      </x:c>
      <x:c r="E195" s="21" t="n">
        <x:v>52509830</x:v>
      </x:c>
      <x:c r="F195" s="11" t="str">
        <x:v>Nasdaq public historical table</x:v>
      </x:c>
    </x:row>
    <x:row r="196">
      <x:c r="A196" s="14" t="n">
        <x:v>44504</x:v>
      </x:c>
      <x:c r="B196" s="20" t="n">
        <x:v>178.45</x:v>
      </x:c>
      <x:c r="C196" s="20" t="n">
        <x:v>466.91</x:v>
      </x:c>
      <x:c r="D196" s="21" t="n">
        <x:v>9664613</x:v>
      </x:c>
      <x:c r="E196" s="21" t="n">
        <x:v>52847090</x:v>
      </x:c>
      <x:c r="F196" s="11" t="str">
        <x:v>Nasdaq public historical table</x:v>
      </x:c>
    </x:row>
    <x:row r="197">
      <x:c r="A197" s="14" t="n">
        <x:v>44505</x:v>
      </x:c>
      <x:c r="B197" s="20" t="n">
        <x:v>201.62</x:v>
      </x:c>
      <x:c r="C197" s="20" t="n">
        <x:v>468.53</x:v>
      </x:c>
      <x:c r="D197" s="21" t="n">
        <x:v>27330520</x:v>
      </x:c>
      <x:c r="E197" s="21" t="n">
        <x:v>66390560</x:v>
      </x:c>
      <x:c r="F197" s="11" t="str">
        <x:v>Nasdaq public historical table</x:v>
      </x:c>
    </x:row>
    <x:row r="198">
      <x:c r="A198" s="14" t="n">
        <x:v>44508</x:v>
      </x:c>
      <x:c r="B198" s="20" t="n">
        <x:v>200.32</x:v>
      </x:c>
      <x:c r="C198" s="20" t="n">
        <x:v>468.93</x:v>
      </x:c>
      <x:c r="D198" s="21" t="n">
        <x:v>12855320</x:v>
      </x:c>
      <x:c r="E198" s="21" t="n">
        <x:v>50405190</x:v>
      </x:c>
      <x:c r="F198" s="11" t="str">
        <x:v>Nasdaq public historical table</x:v>
      </x:c>
    </x:row>
    <x:row r="199">
      <x:c r="A199" s="14" t="n">
        <x:v>44509</x:v>
      </x:c>
      <x:c r="B199" s="20" t="n">
        <x:v>194.68</x:v>
      </x:c>
      <x:c r="C199" s="20" t="n">
        <x:v>467.38</x:v>
      </x:c>
      <x:c r="D199" s="21" t="n">
        <x:v>9056091</x:v>
      </x:c>
      <x:c r="E199" s="21" t="n">
        <x:v>51149150</x:v>
      </x:c>
      <x:c r="F199" s="11" t="str">
        <x:v>Nasdaq public historical table</x:v>
      </x:c>
    </x:row>
    <x:row r="200">
      <x:c r="A200" s="14" t="n">
        <x:v>44510</x:v>
      </x:c>
      <x:c r="B200" s="20" t="n">
        <x:v>192.22</x:v>
      </x:c>
      <x:c r="C200" s="20" t="n">
        <x:v>463.62</x:v>
      </x:c>
      <x:c r="D200" s="21" t="n">
        <x:v>6704083</x:v>
      </x:c>
      <x:c r="E200" s="21" t="n">
        <x:v>69429650</x:v>
      </x:c>
      <x:c r="F200" s="11" t="str">
        <x:v>Nasdaq public historical table</x:v>
      </x:c>
    </x:row>
    <x:row r="201">
      <x:c r="A201" s="14" t="n">
        <x:v>44511</x:v>
      </x:c>
      <x:c r="B201" s="20" t="n">
        <x:v>191.61</x:v>
      </x:c>
      <x:c r="C201" s="20" t="n">
        <x:v>463.77</x:v>
      </x:c>
      <x:c r="D201" s="21" t="n">
        <x:v>5899031</x:v>
      </x:c>
      <x:c r="E201" s="21" t="n">
        <x:v>34848500</x:v>
      </x:c>
      <x:c r="F201" s="11" t="str">
        <x:v>Nasdaq public historical table</x:v>
      </x:c>
    </x:row>
    <x:row r="202">
      <x:c r="A202" s="14" t="n">
        <x:v>44512</x:v>
      </x:c>
      <x:c r="B202" s="20" t="n">
        <x:v>206.54</x:v>
      </x:c>
      <x:c r="C202" s="20" t="n">
        <x:v>467.27</x:v>
      </x:c>
      <x:c r="D202" s="21" t="n">
        <x:v>12057830</x:v>
      </x:c>
      <x:c r="E202" s="21" t="n">
        <x:v>53466650</x:v>
      </x:c>
      <x:c r="F202" s="11" t="str">
        <x:v>Nasdaq public historical table</x:v>
      </x:c>
    </x:row>
    <x:row r="203">
      <x:c r="A203" s="14" t="n">
        <x:v>44515</x:v>
      </x:c>
      <x:c r="B203" s="20" t="n">
        <x:v>207.21</x:v>
      </x:c>
      <x:c r="C203" s="20" t="n">
        <x:v>467.43</x:v>
      </x:c>
      <x:c r="D203" s="21" t="n">
        <x:v>7479309</x:v>
      </x:c>
      <x:c r="E203" s="21" t="n">
        <x:v>46980500</x:v>
      </x:c>
      <x:c r="F203" s="11" t="str">
        <x:v>Nasdaq public historical table</x:v>
      </x:c>
    </x:row>
    <x:row r="204">
      <x:c r="A204" s="14" t="n">
        <x:v>44516</x:v>
      </x:c>
      <x:c r="B204" s="20" t="n">
        <x:v>207.04</x:v>
      </x:c>
      <x:c r="C204" s="20" t="n">
        <x:v>469.28</x:v>
      </x:c>
      <x:c r="D204" s="21" t="n">
        <x:v>4431316</x:v>
      </x:c>
      <x:c r="E204" s="21" t="n">
        <x:v>48857500</x:v>
      </x:c>
      <x:c r="F204" s="11" t="str">
        <x:v>Nasdaq public historical table</x:v>
      </x:c>
    </x:row>
    <x:row r="205">
      <x:c r="A205" s="14" t="n">
        <x:v>44517</x:v>
      </x:c>
      <x:c r="B205" s="20" t="n">
        <x:v>199.11</x:v>
      </x:c>
      <x:c r="C205" s="20" t="n">
        <x:v>468.14</x:v>
      </x:c>
      <x:c r="D205" s="21" t="n">
        <x:v>6383375</x:v>
      </x:c>
      <x:c r="E205" s="21" t="n">
        <x:v>47858290</x:v>
      </x:c>
      <x:c r="F205" s="11" t="str">
        <x:v>Nasdaq public historical table</x:v>
      </x:c>
    </x:row>
    <x:row r="206">
      <x:c r="A206" s="14" t="n">
        <x:v>44518</x:v>
      </x:c>
      <x:c r="B206" s="20" t="n">
        <x:v>204.33</x:v>
      </x:c>
      <x:c r="C206" s="20" t="n">
        <x:v>469.73</x:v>
      </x:c>
      <x:c r="D206" s="21" t="n">
        <x:v>4601086</x:v>
      </x:c>
      <x:c r="E206" s="21" t="n">
        <x:v>50625610</x:v>
      </x:c>
      <x:c r="F206" s="11" t="str">
        <x:v>Nasdaq public historical table</x:v>
      </x:c>
    </x:row>
    <x:row r="207">
      <x:c r="A207" s="14" t="n">
        <x:v>44519</x:v>
      </x:c>
      <x:c r="B207" s="20" t="n">
        <x:v>196.42</x:v>
      </x:c>
      <x:c r="C207" s="20" t="n">
        <x:v>468.89</x:v>
      </x:c>
      <x:c r="D207" s="21" t="n">
        <x:v>8185488</x:v>
      </x:c>
      <x:c r="E207" s="21" t="n">
        <x:v>57315570</x:v>
      </x:c>
      <x:c r="F207" s="11" t="str">
        <x:v>Nasdaq public historical table</x:v>
      </x:c>
    </x:row>
    <x:row r="208">
      <x:c r="A208" s="14" t="n">
        <x:v>44522</x:v>
      </x:c>
      <x:c r="B208" s="20" t="n">
        <x:v>181.73</x:v>
      </x:c>
      <x:c r="C208" s="20" t="n">
        <x:v>467.57</x:v>
      </x:c>
      <x:c r="D208" s="21" t="n">
        <x:v>12626360</x:v>
      </x:c>
      <x:c r="E208" s="21" t="n">
        <x:v>72761950</x:v>
      </x:c>
      <x:c r="F208" s="11" t="str">
        <x:v>Nasdaq public historical table</x:v>
      </x:c>
    </x:row>
    <x:row r="209">
      <x:c r="A209" s="14" t="n">
        <x:v>44523</x:v>
      </x:c>
      <x:c r="B209" s="20" t="n">
        <x:v>178.27</x:v>
      </x:c>
      <x:c r="C209" s="20" t="n">
        <x:v>468.19</x:v>
      </x:c>
      <x:c r="D209" s="21" t="n">
        <x:v>6456729</x:v>
      </x:c>
      <x:c r="E209" s="21" t="n">
        <x:v>73206540</x:v>
      </x:c>
      <x:c r="F209" s="11" t="str">
        <x:v>Nasdaq public historical table</x:v>
      </x:c>
    </x:row>
    <x:row r="210">
      <x:c r="A210" s="14" t="n">
        <x:v>44524</x:v>
      </x:c>
      <x:c r="B210" s="20" t="n">
        <x:v>179.89</x:v>
      </x:c>
      <x:c r="C210" s="20" t="n">
        <x:v>469.44</x:v>
      </x:c>
      <x:c r="D210" s="21" t="n">
        <x:v>4763328</x:v>
      </x:c>
      <x:c r="E210" s="21" t="n">
        <x:v>61858810</x:v>
      </x:c>
      <x:c r="F210" s="11" t="str">
        <x:v>Nasdaq public historical table</x:v>
      </x:c>
    </x:row>
    <x:row r="211">
      <x:c r="A211" s="14" t="n">
        <x:v>44526</x:v>
      </x:c>
      <x:c r="B211" s="20" t="n">
        <x:v>173.86</x:v>
      </x:c>
      <x:c r="C211" s="20" t="n">
        <x:v>458.97</x:v>
      </x:c>
      <x:c r="D211" s="21" t="n">
        <x:v>6044126</x:v>
      </x:c>
      <x:c r="E211" s="21" t="n">
        <x:v>112669600</x:v>
      </x:c>
      <x:c r="F211" s="11" t="str">
        <x:v>Nasdaq public historical table</x:v>
      </x:c>
    </x:row>
    <x:row r="212">
      <x:c r="A212" s="14" t="n">
        <x:v>44529</x:v>
      </x:c>
      <x:c r="B212" s="20" t="n">
        <x:v>180.08</x:v>
      </x:c>
      <x:c r="C212" s="20" t="n">
        <x:v>464.6</x:v>
      </x:c>
      <x:c r="D212" s="21" t="n">
        <x:v>5317368</x:v>
      </x:c>
      <x:c r="E212" s="21" t="n">
        <x:v>86268820</x:v>
      </x:c>
      <x:c r="F212" s="11" t="str">
        <x:v>Nasdaq public historical table</x:v>
      </x:c>
    </x:row>
    <x:row r="213">
      <x:c r="A213" s="14" t="n">
        <x:v>44530</x:v>
      </x:c>
      <x:c r="B213" s="20" t="n">
        <x:v>172.54</x:v>
      </x:c>
      <x:c r="C213" s="20" t="n">
        <x:v>455.56</x:v>
      </x:c>
      <x:c r="D213" s="21" t="n">
        <x:v>10682740</x:v>
      </x:c>
      <x:c r="E213" s="21" t="n">
        <x:v>148559600</x:v>
      </x:c>
      <x:c r="F213" s="11" t="str">
        <x:v>Nasdaq public historical table</x:v>
      </x:c>
    </x:row>
    <x:row r="214">
      <x:c r="A214" s="14" t="n">
        <x:v>44531</x:v>
      </x:c>
      <x:c r="B214" s="20" t="n">
        <x:v>163.08</x:v>
      </x:c>
      <x:c r="C214" s="20" t="n">
        <x:v>450.5</x:v>
      </x:c>
      <x:c r="D214" s="21" t="n">
        <x:v>7657589</x:v>
      </x:c>
      <x:c r="E214" s="21" t="n">
        <x:v>132485800</x:v>
      </x:c>
      <x:c r="F214" s="11" t="str">
        <x:v>Nasdaq public historical table</x:v>
      </x:c>
    </x:row>
    <x:row r="215">
      <x:c r="A215" s="14" t="n">
        <x:v>44532</x:v>
      </x:c>
      <x:c r="B215" s="20" t="n">
        <x:v>169.6</x:v>
      </x:c>
      <x:c r="C215" s="20" t="n">
        <x:v>457.4</x:v>
      </x:c>
      <x:c r="D215" s="21" t="n">
        <x:v>5687601</x:v>
      </x:c>
      <x:c r="E215" s="21" t="n">
        <x:v>127637800</x:v>
      </x:c>
      <x:c r="F215" s="11" t="str">
        <x:v>Nasdaq public historical table</x:v>
      </x:c>
    </x:row>
    <x:row r="216">
      <x:c r="A216" s="14" t="n">
        <x:v>44533</x:v>
      </x:c>
      <x:c r="B216" s="20" t="n">
        <x:v>166.75</x:v>
      </x:c>
      <x:c r="C216" s="20" t="n">
        <x:v>453.42</x:v>
      </x:c>
      <x:c r="D216" s="21" t="n">
        <x:v>6460855</x:v>
      </x:c>
      <x:c r="E216" s="21" t="n">
        <x:v>137331600</x:v>
      </x:c>
      <x:c r="F216" s="11" t="str">
        <x:v>Nasdaq public historical table</x:v>
      </x:c>
    </x:row>
    <x:row r="217">
      <x:c r="A217" s="14" t="n">
        <x:v>44536</x:v>
      </x:c>
      <x:c r="B217" s="20" t="n">
        <x:v>180.85</x:v>
      </x:c>
      <x:c r="C217" s="20" t="n">
        <x:v>458.79</x:v>
      </x:c>
      <x:c r="D217" s="21" t="n">
        <x:v>9813848</x:v>
      </x:c>
      <x:c r="E217" s="21" t="n">
        <x:v>98977530</x:v>
      </x:c>
      <x:c r="F217" s="11" t="str">
        <x:v>Nasdaq public historical table</x:v>
      </x:c>
    </x:row>
    <x:row r="218">
      <x:c r="A218" s="14" t="n">
        <x:v>44537</x:v>
      </x:c>
      <x:c r="B218" s="20" t="n">
        <x:v>183.14</x:v>
      </x:c>
      <x:c r="C218" s="20" t="n">
        <x:v>468.28</x:v>
      </x:c>
      <x:c r="D218" s="21" t="n">
        <x:v>6264558</x:v>
      </x:c>
      <x:c r="E218" s="21" t="n">
        <x:v>95484690</x:v>
      </x:c>
      <x:c r="F218" s="11" t="str">
        <x:v>Nasdaq public historical table</x:v>
      </x:c>
    </x:row>
    <x:row r="219">
      <x:c r="A219" s="14" t="n">
        <x:v>44538</x:v>
      </x:c>
      <x:c r="B219" s="20" t="n">
        <x:v>186.49</x:v>
      </x:c>
      <x:c r="C219" s="20" t="n">
        <x:v>469.52</x:v>
      </x:c>
      <x:c r="D219" s="21" t="n">
        <x:v>4218671</x:v>
      </x:c>
      <x:c r="E219" s="21" t="n">
        <x:v>72238780</x:v>
      </x:c>
      <x:c r="F219" s="11" t="str">
        <x:v>Nasdaq public historical table</x:v>
      </x:c>
    </x:row>
    <x:row r="220">
      <x:c r="A220" s="14" t="n">
        <x:v>44539</x:v>
      </x:c>
      <x:c r="B220" s="20" t="n">
        <x:v>181.46</x:v>
      </x:c>
      <x:c r="C220" s="20" t="n">
        <x:v>466.35</x:v>
      </x:c>
      <x:c r="D220" s="21" t="n">
        <x:v>3518025</x:v>
      </x:c>
      <x:c r="E220" s="21" t="n">
        <x:v>61272570</x:v>
      </x:c>
      <x:c r="F220" s="11" t="str">
        <x:v>Nasdaq public historical table</x:v>
      </x:c>
    </x:row>
    <x:row r="221">
      <x:c r="A221" s="14" t="n">
        <x:v>44540</x:v>
      </x:c>
      <x:c r="B221" s="20" t="n">
        <x:v>180.42</x:v>
      </x:c>
      <x:c r="C221" s="20" t="n">
        <x:v>470.74</x:v>
      </x:c>
      <x:c r="D221" s="21" t="n">
        <x:v>3980441</x:v>
      </x:c>
      <x:c r="E221" s="21" t="n">
        <x:v>77159760</x:v>
      </x:c>
      <x:c r="F221" s="11" t="str">
        <x:v>Nasdaq public historical table</x:v>
      </x:c>
    </x:row>
    <x:row r="222">
      <x:c r="A222" s="14" t="n">
        <x:v>44543</x:v>
      </x:c>
      <x:c r="B222" s="20" t="n">
        <x:v>171.04</x:v>
      </x:c>
      <x:c r="C222" s="20" t="n">
        <x:v>466.57</x:v>
      </x:c>
      <x:c r="D222" s="21" t="n">
        <x:v>7263664</x:v>
      </x:c>
      <x:c r="E222" s="21" t="n">
        <x:v>87724680</x:v>
      </x:c>
      <x:c r="F222" s="11" t="str">
        <x:v>Nasdaq public historical table</x:v>
      </x:c>
    </x:row>
    <x:row r="223">
      <x:c r="A223" s="14" t="n">
        <x:v>44544</x:v>
      </x:c>
      <x:c r="B223" s="20" t="n">
        <x:v>167.96</x:v>
      </x:c>
      <x:c r="C223" s="20" t="n">
        <x:v>463.36</x:v>
      </x:c>
      <x:c r="D223" s="21" t="n">
        <x:v>5660417</x:v>
      </x:c>
      <x:c r="E223" s="21" t="n">
        <x:v>97264130</x:v>
      </x:c>
      <x:c r="F223" s="11" t="str">
        <x:v>Nasdaq public historical table</x:v>
      </x:c>
    </x:row>
    <x:row r="224">
      <x:c r="A224" s="14" t="n">
        <x:v>44545</x:v>
      </x:c>
      <x:c r="B224" s="20" t="n">
        <x:v>168.14</x:v>
      </x:c>
      <x:c r="C224" s="20" t="n">
        <x:v>470.6</x:v>
      </x:c>
      <x:c r="D224" s="21" t="n">
        <x:v>6678543</x:v>
      </x:c>
      <x:c r="E224" s="21" t="n">
        <x:v>116899300</x:v>
      </x:c>
      <x:c r="F224" s="11" t="str">
        <x:v>Nasdaq public historical table</x:v>
      </x:c>
    </x:row>
    <x:row r="225">
      <x:c r="A225" s="14" t="n">
        <x:v>44546</x:v>
      </x:c>
      <x:c r="B225" s="20" t="n">
        <x:v>156.38</x:v>
      </x:c>
      <x:c r="C225" s="20" t="n">
        <x:v>466.45</x:v>
      </x:c>
      <x:c r="D225" s="21" t="n">
        <x:v>9415120</x:v>
      </x:c>
      <x:c r="E225" s="21" t="n">
        <x:v>116568600</x:v>
      </x:c>
      <x:c r="F225" s="11" t="str">
        <x:v>Nasdaq public historical table</x:v>
      </x:c>
    </x:row>
    <x:row r="226">
      <x:c r="A226" s="14" t="n">
        <x:v>44547</x:v>
      </x:c>
      <x:c r="B226" s="20" t="n">
        <x:v>157.91</x:v>
      </x:c>
      <x:c r="C226" s="20" t="n">
        <x:v>459.87</x:v>
      </x:c>
      <x:c r="D226" s="21" t="n">
        <x:v>24062440</x:v>
      </x:c>
      <x:c r="E226" s="21" t="n">
        <x:v>135636500</x:v>
      </x:c>
      <x:c r="F226" s="11" t="str">
        <x:v>Nasdaq public historical table</x:v>
      </x:c>
    </x:row>
    <x:row r="227">
      <x:c r="A227" s="14" t="n">
        <x:v>44550</x:v>
      </x:c>
      <x:c r="B227" s="20" t="n">
        <x:v>157.23</x:v>
      </x:c>
      <x:c r="C227" s="20" t="n">
        <x:v>454.98</x:v>
      </x:c>
      <x:c r="D227" s="21" t="n">
        <x:v>4639263</x:v>
      </x:c>
      <x:c r="E227" s="21" t="n">
        <x:v>107134800</x:v>
      </x:c>
      <x:c r="F227" s="11" t="str">
        <x:v>Nasdaq public historical table</x:v>
      </x:c>
    </x:row>
    <x:row r="228">
      <x:c r="A228" s="14" t="n">
        <x:v>44551</x:v>
      </x:c>
      <x:c r="B228" s="20" t="n">
        <x:v>165.66</x:v>
      </x:c>
      <x:c r="C228" s="20" t="n">
        <x:v>463.06</x:v>
      </x:c>
      <x:c r="D228" s="21" t="n">
        <x:v>6293459</x:v>
      </x:c>
      <x:c r="E228" s="21" t="n">
        <x:v>69806260</x:v>
      </x:c>
      <x:c r="F228" s="11" t="str">
        <x:v>Nasdaq public historical table</x:v>
      </x:c>
    </x:row>
    <x:row r="229">
      <x:c r="A229" s="14" t="n">
        <x:v>44552</x:v>
      </x:c>
      <x:c r="B229" s="20" t="n">
        <x:v>169.29</x:v>
      </x:c>
      <x:c r="C229" s="20" t="n">
        <x:v>467.69</x:v>
      </x:c>
      <x:c r="D229" s="21" t="n">
        <x:v>4802483</x:v>
      </x:c>
      <x:c r="E229" s="21" t="n">
        <x:v>58890220</x:v>
      </x:c>
      <x:c r="F229" s="11" t="str">
        <x:v>Nasdaq public historical table</x:v>
      </x:c>
    </x:row>
    <x:row r="230">
      <x:c r="A230" s="14" t="n">
        <x:v>44553</x:v>
      </x:c>
      <x:c r="B230" s="20" t="n">
        <x:v>171.31</x:v>
      </x:c>
      <x:c r="C230" s="20" t="n">
        <x:v>470.6</x:v>
      </x:c>
      <x:c r="D230" s="21" t="n">
        <x:v>4017435</x:v>
      </x:c>
      <x:c r="E230" s="21" t="n">
        <x:v>56439750</x:v>
      </x:c>
      <x:c r="F230" s="11" t="str">
        <x:v>Nasdaq public historical table</x:v>
      </x:c>
    </x:row>
    <x:row r="231">
      <x:c r="A231" s="14" t="n">
        <x:v>44557</x:v>
      </x:c>
      <x:c r="B231" s="20" t="n">
        <x:v>171.68</x:v>
      </x:c>
      <x:c r="C231" s="20" t="n">
        <x:v>477.26</x:v>
      </x:c>
      <x:c r="D231" s="21" t="n">
        <x:v>2726288</x:v>
      </x:c>
      <x:c r="E231" s="21" t="n">
        <x:v>56808620</x:v>
      </x:c>
      <x:c r="F231" s="11" t="str">
        <x:v>Nasdaq public historical table</x:v>
      </x:c>
    </x:row>
    <x:row r="232">
      <x:c r="A232" s="14" t="n">
        <x:v>44558</x:v>
      </x:c>
      <x:c r="B232" s="20" t="n">
        <x:v>169.71</x:v>
      </x:c>
      <x:c r="C232" s="20" t="n">
        <x:v>476.87</x:v>
      </x:c>
      <x:c r="D232" s="21" t="n">
        <x:v>2297204</x:v>
      </x:c>
      <x:c r="E232" s="21" t="n">
        <x:v>47274590</x:v>
      </x:c>
      <x:c r="F232" s="11" t="str">
        <x:v>Nasdaq public historical table</x:v>
      </x:c>
    </x:row>
    <x:row r="233">
      <x:c r="A233" s="14" t="n">
        <x:v>44559</x:v>
      </x:c>
      <x:c r="B233" s="20" t="n">
        <x:v>167.44</x:v>
      </x:c>
      <x:c r="C233" s="20" t="n">
        <x:v>477.48</x:v>
      </x:c>
      <x:c r="D233" s="21" t="n">
        <x:v>1995405</x:v>
      </x:c>
      <x:c r="E233" s="21" t="n">
        <x:v>54502960</x:v>
      </x:c>
      <x:c r="F233" s="11" t="str">
        <x:v>Nasdaq public historical table</x:v>
      </x:c>
    </x:row>
    <x:row r="234">
      <x:c r="A234" s="14" t="n">
        <x:v>44560</x:v>
      </x:c>
      <x:c r="B234" s="20" t="n">
        <x:v>168.78</x:v>
      </x:c>
      <x:c r="C234" s="20" t="n">
        <x:v>476.16</x:v>
      </x:c>
      <x:c r="D234" s="21" t="n">
        <x:v>2181120</x:v>
      </x:c>
      <x:c r="E234" s="21" t="n">
        <x:v>55329040</x:v>
      </x:c>
      <x:c r="F234" s="11" t="str">
        <x:v>Nasdaq public historical table</x:v>
      </x:c>
    </x:row>
    <x:row r="235">
      <x:c r="A235" s="14" t="n">
        <x:v>44561</x:v>
      </x:c>
      <x:c r="B235" s="20" t="n">
        <x:v>166.49</x:v>
      </x:c>
      <x:c r="C235" s="20" t="n">
        <x:v>474.96</x:v>
      </x:c>
      <x:c r="D235" s="21" t="n">
        <x:v>2595979</x:v>
      </x:c>
      <x:c r="E235" s="21" t="n">
        <x:v>65237430</x:v>
      </x:c>
      <x:c r="F235" s="11" t="str">
        <x:v>Nasdaq public historical table</x:v>
      </x:c>
    </x:row>
    <x:row r="236">
      <x:c r="A236" s="14" t="n">
        <x:v>44564</x:v>
      </x:c>
      <x:c r="B236" s="20" t="n">
        <x:v>172.68</x:v>
      </x:c>
      <x:c r="C236" s="20" t="n">
        <x:v>477.71</x:v>
      </x:c>
      <x:c r="D236" s="21" t="n">
        <x:v>4241965</x:v>
      </x:c>
      <x:c r="E236" s="21" t="n">
        <x:v>72668230</x:v>
      </x:c>
      <x:c r="F236" s="11" t="str">
        <x:v>Nasdaq public historical table</x:v>
      </x:c>
    </x:row>
    <x:row r="237">
      <x:c r="A237" s="14" t="n">
        <x:v>44565</x:v>
      </x:c>
      <x:c r="B237" s="20" t="n">
        <x:v>170.8</x:v>
      </x:c>
      <x:c r="C237" s="20" t="n">
        <x:v>477.55</x:v>
      </x:c>
      <x:c r="D237" s="21" t="n">
        <x:v>4079976</x:v>
      </x:c>
      <x:c r="E237" s="21" t="n">
        <x:v>71178680</x:v>
      </x:c>
      <x:c r="F237" s="11" t="str">
        <x:v>Nasdaq public historical table</x:v>
      </x:c>
    </x:row>
    <x:row r="238">
      <x:c r="A238" s="14" t="n">
        <x:v>44566</x:v>
      </x:c>
      <x:c r="B238" s="20" t="n">
        <x:v>162.25</x:v>
      </x:c>
      <x:c r="C238" s="20" t="n">
        <x:v>468.38</x:v>
      </x:c>
      <x:c r="D238" s="21" t="n">
        <x:v>4804571</x:v>
      </x:c>
      <x:c r="E238" s="21" t="n">
        <x:v>104538900</x:v>
      </x:c>
      <x:c r="F238" s="11" t="str">
        <x:v>Nasdaq public historical table</x:v>
      </x:c>
    </x:row>
    <x:row r="239">
      <x:c r="A239" s="14" t="n">
        <x:v>44567</x:v>
      </x:c>
      <x:c r="B239" s="20" t="n">
        <x:v>159.75</x:v>
      </x:c>
      <x:c r="C239" s="20" t="n">
        <x:v>467.94</x:v>
      </x:c>
      <x:c r="D239" s="21" t="n">
        <x:v>5049594</x:v>
      </x:c>
      <x:c r="E239" s="21" t="n">
        <x:v>86858900</x:v>
      </x:c>
      <x:c r="F239" s="11" t="str">
        <x:v>Nasdaq public historical table</x:v>
      </x:c>
    </x:row>
    <x:row r="240">
      <x:c r="A240" s="14" t="n">
        <x:v>44568</x:v>
      </x:c>
      <x:c r="B240" s="20" t="n">
        <x:v>166.05</x:v>
      </x:c>
      <x:c r="C240" s="20" t="n">
        <x:v>466.09</x:v>
      </x:c>
      <x:c r="D240" s="21" t="n">
        <x:v>5624579</x:v>
      </x:c>
      <x:c r="E240" s="21" t="n">
        <x:v>85111590</x:v>
      </x:c>
      <x:c r="F240" s="11" t="str">
        <x:v>Nasdaq public historical table</x:v>
      </x:c>
    </x:row>
    <x:row r="241">
      <x:c r="A241" s="14" t="n">
        <x:v>44571</x:v>
      </x:c>
      <x:c r="B241" s="20" t="n">
        <x:v>160.71</x:v>
      </x:c>
      <x:c r="C241" s="20" t="n">
        <x:v>465.51</x:v>
      </x:c>
      <x:c r="D241" s="21" t="n">
        <x:v>6973588</x:v>
      </x:c>
      <x:c r="E241" s="21" t="n">
        <x:v>119362000</x:v>
      </x:c>
      <x:c r="F241" s="11" t="str">
        <x:v>Nasdaq public historical table</x:v>
      </x:c>
    </x:row>
    <x:row r="242">
      <x:c r="A242" s="14" t="n">
        <x:v>44572</x:v>
      </x:c>
      <x:c r="B242" s="20" t="n">
        <x:v>168.61</x:v>
      </x:c>
      <x:c r="C242" s="20" t="n">
        <x:v>469.75</x:v>
      </x:c>
      <x:c r="D242" s="21" t="n">
        <x:v>5331629</x:v>
      </x:c>
      <x:c r="E242" s="21" t="n">
        <x:v>74303060</x:v>
      </x:c>
      <x:c r="F242" s="11" t="str">
        <x:v>Nasdaq public historical table</x:v>
      </x:c>
    </x:row>
    <x:row r="243">
      <x:c r="A243" s="14" t="n">
        <x:v>44573</x:v>
      </x:c>
      <x:c r="B243" s="20" t="n">
        <x:v>169.54</x:v>
      </x:c>
      <x:c r="C243" s="20" t="n">
        <x:v>471.02</x:v>
      </x:c>
      <x:c r="D243" s="21" t="n">
        <x:v>3534275</x:v>
      </x:c>
      <x:c r="E243" s="21" t="n">
        <x:v>67605440</x:v>
      </x:c>
      <x:c r="F243" s="11" t="str">
        <x:v>Nasdaq public historical table</x:v>
      </x:c>
    </x:row>
    <x:row r="244">
      <x:c r="A244" s="14" t="n">
        <x:v>44574</x:v>
      </x:c>
      <x:c r="B244" s="20" t="n">
        <x:v>166</x:v>
      </x:c>
      <x:c r="C244" s="20" t="n">
        <x:v>464.53</x:v>
      </x:c>
      <x:c r="D244" s="21" t="n">
        <x:v>4893757</x:v>
      </x:c>
      <x:c r="E244" s="21" t="n">
        <x:v>91173120</x:v>
      </x:c>
      <x:c r="F244" s="11" t="str">
        <x:v>Nasdaq public historical table</x:v>
      </x:c>
    </x:row>
    <x:row r="245">
      <x:c r="A245" s="14" t="n">
        <x:v>44575</x:v>
      </x:c>
      <x:c r="B245" s="20" t="n">
        <x:v>163.99</x:v>
      </x:c>
      <x:c r="C245" s="20" t="n">
        <x:v>464.72</x:v>
      </x:c>
      <x:c r="D245" s="21" t="n">
        <x:v>4144039</x:v>
      </x:c>
      <x:c r="E245" s="21" t="n">
        <x:v>95890950</x:v>
      </x:c>
      <x:c r="F245" s="11" t="str">
        <x:v>Nasdaq public historical table</x:v>
      </x:c>
    </x:row>
    <x:row r="246">
      <x:c r="A246" s="14" t="n">
        <x:v>44579</x:v>
      </x:c>
      <x:c r="B246" s="20" t="n">
        <x:v>154.69</x:v>
      </x:c>
      <x:c r="C246" s="20" t="n">
        <x:v>456.49</x:v>
      </x:c>
      <x:c r="D246" s="21" t="n">
        <x:v>5814071</x:v>
      </x:c>
      <x:c r="E246" s="21" t="n">
        <x:v>109872400</x:v>
      </x:c>
      <x:c r="F246" s="11" t="str">
        <x:v>Nasdaq public historical table</x:v>
      </x:c>
    </x:row>
    <x:row r="247">
      <x:c r="A247" s="14" t="n">
        <x:v>44580</x:v>
      </x:c>
      <x:c r="B247" s="20" t="n">
        <x:v>154.58</x:v>
      </x:c>
      <x:c r="C247" s="20" t="n">
        <x:v>451.75</x:v>
      </x:c>
      <x:c r="D247" s="21" t="n">
        <x:v>5127374</x:v>
      </x:c>
      <x:c r="E247" s="21" t="n">
        <x:v>109357600</x:v>
      </x:c>
      <x:c r="F247" s="11" t="str">
        <x:v>Nasdaq public historical table</x:v>
      </x:c>
    </x:row>
    <x:row r="248">
      <x:c r="A248" s="14" t="n">
        <x:v>44581</x:v>
      </x:c>
      <x:c r="B248" s="20" t="n">
        <x:v>158</x:v>
      </x:c>
      <x:c r="C248" s="20" t="n">
        <x:v>446.75</x:v>
      </x:c>
      <x:c r="D248" s="21" t="n">
        <x:v>4941879</x:v>
      </x:c>
      <x:c r="E248" s="21" t="n">
        <x:v>122379700</x:v>
      </x:c>
      <x:c r="F248" s="11" t="str">
        <x:v>Nasdaq public historical table</x:v>
      </x:c>
    </x:row>
    <x:row r="249">
      <x:c r="A249" s="14" t="n">
        <x:v>44582</x:v>
      </x:c>
      <x:c r="B249" s="20" t="n">
        <x:v>156.73</x:v>
      </x:c>
      <x:c r="C249" s="20" t="n">
        <x:v>437.98</x:v>
      </x:c>
      <x:c r="D249" s="21" t="n">
        <x:v>7242250</x:v>
      </x:c>
      <x:c r="E249" s="21" t="n">
        <x:v>202271200</x:v>
      </x:c>
      <x:c r="F249" s="11" t="str">
        <x:v>Nasdaq public historical table</x:v>
      </x:c>
    </x:row>
    <x:row r="250">
      <x:c r="A250" s="14" t="n">
        <x:v>44585</x:v>
      </x:c>
      <x:c r="B250" s="20" t="n">
        <x:v>147.9</x:v>
      </x:c>
      <x:c r="C250" s="20" t="n">
        <x:v>439.84</x:v>
      </x:c>
      <x:c r="D250" s="21" t="n">
        <x:v>14627350</x:v>
      </x:c>
      <x:c r="E250" s="21" t="n">
        <x:v>252496700</x:v>
      </x:c>
      <x:c r="F250" s="11" t="str">
        <x:v>Nasdaq public historical table</x:v>
      </x:c>
    </x:row>
    <x:row r="251">
      <x:c r="A251" s="14" t="n">
        <x:v>44586</x:v>
      </x:c>
      <x:c r="B251" s="20" t="n">
        <x:v>144.56</x:v>
      </x:c>
      <x:c r="C251" s="20" t="n">
        <x:v>434.47</x:v>
      </x:c>
      <x:c r="D251" s="21" t="n">
        <x:v>5704888</x:v>
      </x:c>
      <x:c r="E251" s="21" t="n">
        <x:v>167997300</x:v>
      </x:c>
      <x:c r="F251" s="11" t="str">
        <x:v>Nasdaq public historical table</x:v>
      </x:c>
    </x:row>
    <x:row r="252">
      <x:c r="A252" s="14" t="n">
        <x:v>44587</x:v>
      </x:c>
      <x:c r="B252" s="20" t="n">
        <x:v>142.14</x:v>
      </x:c>
      <x:c r="C252" s="20" t="n">
        <x:v>433.38</x:v>
      </x:c>
      <x:c r="D252" s="21" t="n">
        <x:v>6990314</x:v>
      </x:c>
      <x:c r="E252" s="21" t="n">
        <x:v>186391100</x:v>
      </x:c>
      <x:c r="F252" s="11" t="str">
        <x:v>Nasdaq public historical table</x:v>
      </x:c>
    </x:row>
    <x:row r="253">
      <x:c r="A253" s="14" t="n">
        <x:v>44588</x:v>
      </x:c>
      <x:c r="B253" s="20" t="n">
        <x:v>138.41</x:v>
      </x:c>
      <x:c r="C253" s="20" t="n">
        <x:v>431.24</x:v>
      </x:c>
      <x:c r="D253" s="21" t="n">
        <x:v>4493776</x:v>
      </x:c>
      <x:c r="E253" s="21" t="n">
        <x:v>149878300</x:v>
      </x:c>
      <x:c r="F253" s="11" t="str">
        <x:v>Nasdaq public historical table</x:v>
      </x:c>
    </x:row>
    <x:row r="254">
      <x:c r="A254" s="14" t="n">
        <x:v>44589</x:v>
      </x:c>
      <x:c r="B254" s="20" t="n">
        <x:v>142.77</x:v>
      </x:c>
      <x:c r="C254" s="20" t="n">
        <x:v>441.95</x:v>
      </x:c>
      <x:c r="D254" s="21" t="n">
        <x:v>5604415</x:v>
      </x:c>
      <x:c r="E254" s="21" t="n">
        <x:v>164457400</x:v>
      </x:c>
      <x:c r="F254" s="11" t="str">
        <x:v>Nasdaq public historical table</x:v>
      </x:c>
    </x:row>
    <x:row r="255">
      <x:c r="A255" s="14" t="n">
        <x:v>44592</x:v>
      </x:c>
      <x:c r="B255" s="20" t="n">
        <x:v>153.97</x:v>
      </x:c>
      <x:c r="C255" s="20" t="n">
        <x:v>449.91</x:v>
      </x:c>
      <x:c r="D255" s="21" t="n">
        <x:v>5463016</x:v>
      </x:c>
      <x:c r="E255" s="21" t="n">
        <x:v>152251400</x:v>
      </x:c>
      <x:c r="F255" s="11" t="str">
        <x:v>Nasdaq public historical table</x:v>
      </x:c>
    </x:row>
    <x:row r="256">
      <x:c r="A256" s="14" t="n">
        <x:v>44593</x:v>
      </x:c>
      <x:c r="B256" s="20" t="n">
        <x:v>156.94</x:v>
      </x:c>
      <x:c r="C256" s="20" t="n">
        <x:v>452.95</x:v>
      </x:c>
      <x:c r="D256" s="21" t="n">
        <x:v>3799303</x:v>
      </x:c>
      <x:c r="E256" s="21" t="n">
        <x:v>123155400</x:v>
      </x:c>
      <x:c r="F256" s="11" t="str">
        <x:v>Nasdaq public historical table</x:v>
      </x:c>
    </x:row>
    <x:row r="257">
      <x:c r="A257" s="14" t="n">
        <x:v>44594</x:v>
      </x:c>
      <x:c r="B257" s="20" t="n">
        <x:v>151.76</x:v>
      </x:c>
      <x:c r="C257" s="20" t="n">
        <x:v>457.35</x:v>
      </x:c>
      <x:c r="D257" s="21" t="n">
        <x:v>3678315</x:v>
      </x:c>
      <x:c r="E257" s="21" t="n">
        <x:v>117361000</x:v>
      </x:c>
      <x:c r="F257" s="11" t="str">
        <x:v>Nasdaq public historical table</x:v>
      </x:c>
    </x:row>
    <x:row r="258">
      <x:c r="A258" s="14" t="n">
        <x:v>44595</x:v>
      </x:c>
      <x:c r="B258" s="20" t="n">
        <x:v>149.57</x:v>
      </x:c>
      <x:c r="C258" s="20" t="n">
        <x:v>446.6</x:v>
      </x:c>
      <x:c r="D258" s="21" t="n">
        <x:v>4577057</x:v>
      </x:c>
      <x:c r="E258" s="21" t="n">
        <x:v>118024400</x:v>
      </x:c>
      <x:c r="F258" s="11" t="str">
        <x:v>Nasdaq public historical table</x:v>
      </x:c>
    </x:row>
    <x:row r="259">
      <x:c r="A259" s="14" t="n">
        <x:v>44596</x:v>
      </x:c>
      <x:c r="B259" s="20" t="n">
        <x:v>155.56</x:v>
      </x:c>
      <x:c r="C259" s="20" t="n">
        <x:v>448.7</x:v>
      </x:c>
      <x:c r="D259" s="21" t="n">
        <x:v>4687701</x:v>
      </x:c>
      <x:c r="E259" s="21" t="n">
        <x:v>118454400</x:v>
      </x:c>
      <x:c r="F259" s="11" t="str">
        <x:v>Nasdaq public historical table</x:v>
      </x:c>
    </x:row>
    <x:row r="260">
      <x:c r="A260" s="14" t="n">
        <x:v>44599</x:v>
      </x:c>
      <x:c r="B260" s="20" t="n">
        <x:v>157.91</x:v>
      </x:c>
      <x:c r="C260" s="20" t="n">
        <x:v>447.26</x:v>
      </x:c>
      <x:c r="D260" s="21" t="n">
        <x:v>4690668</x:v>
      </x:c>
      <x:c r="E260" s="21" t="n">
        <x:v>84472860</x:v>
      </x:c>
      <x:c r="F260" s="11" t="str">
        <x:v>Nasdaq public historical table</x:v>
      </x:c>
    </x:row>
    <x:row r="261">
      <x:c r="A261" s="14" t="n">
        <x:v>44600</x:v>
      </x:c>
      <x:c r="B261" s="20" t="n">
        <x:v>162.26</x:v>
      </x:c>
      <x:c r="C261" s="20" t="n">
        <x:v>450.94</x:v>
      </x:c>
      <x:c r="D261" s="21" t="n">
        <x:v>4309070</x:v>
      </x:c>
      <x:c r="E261" s="21" t="n">
        <x:v>81012040</x:v>
      </x:c>
      <x:c r="F261" s="11" t="str">
        <x:v>Nasdaq public historical table</x:v>
      </x:c>
    </x:row>
    <x:row r="262">
      <x:c r="A262" s="14" t="n">
        <x:v>44601</x:v>
      </x:c>
      <x:c r="B262" s="20" t="n">
        <x:v>169.53</x:v>
      </x:c>
      <x:c r="C262" s="20" t="n">
        <x:v>457.54</x:v>
      </x:c>
      <x:c r="D262" s="21" t="n">
        <x:v>4868311</x:v>
      </x:c>
      <x:c r="E262" s="21" t="n">
        <x:v>92589930</x:v>
      </x:c>
      <x:c r="F262" s="11" t="str">
        <x:v>Nasdaq public historical table</x:v>
      </x:c>
    </x:row>
    <x:row r="263">
      <x:c r="A263" s="14" t="n">
        <x:v>44602</x:v>
      </x:c>
      <x:c r="B263" s="20" t="n">
        <x:v>171.95</x:v>
      </x:c>
      <x:c r="C263" s="20" t="n">
        <x:v>449.32</x:v>
      </x:c>
      <x:c r="D263" s="21" t="n">
        <x:v>8261379</x:v>
      </x:c>
      <x:c r="E263" s="21" t="n">
        <x:v>140103700</x:v>
      </x:c>
      <x:c r="F263" s="11" t="str">
        <x:v>Nasdaq public historical table</x:v>
      </x:c>
    </x:row>
    <x:row r="264">
      <x:c r="A264" s="14" t="n">
        <x:v>44603</x:v>
      </x:c>
      <x:c r="B264" s="20" t="n">
        <x:v>166.53</x:v>
      </x:c>
      <x:c r="C264" s="20" t="n">
        <x:v>440.46</x:v>
      </x:c>
      <x:c r="D264" s="21" t="n">
        <x:v>6464397</x:v>
      </x:c>
      <x:c r="E264" s="21" t="n">
        <x:v>153214600</x:v>
      </x:c>
      <x:c r="F264" s="11" t="str">
        <x:v>Nasdaq public historical table</x:v>
      </x:c>
    </x:row>
    <x:row r="265">
      <x:c r="A265" s="14" t="n">
        <x:v>44606</x:v>
      </x:c>
      <x:c r="B265" s="20" t="n">
        <x:v>169.66</x:v>
      </x:c>
      <x:c r="C265" s="20" t="n">
        <x:v>439.02</x:v>
      </x:c>
      <x:c r="D265" s="21" t="n">
        <x:v>4847552</x:v>
      </x:c>
      <x:c r="E265" s="21" t="n">
        <x:v>123006300</x:v>
      </x:c>
      <x:c r="F265" s="11" t="str">
        <x:v>Nasdaq public historical table</x:v>
      </x:c>
    </x:row>
    <x:row r="266">
      <x:c r="A266" s="14" t="n">
        <x:v>44607</x:v>
      </x:c>
      <x:c r="B266" s="20" t="n">
        <x:v>180.07</x:v>
      </x:c>
      <x:c r="C266" s="20" t="n">
        <x:v>446.1</x:v>
      </x:c>
      <x:c r="D266" s="21" t="n">
        <x:v>11733940</x:v>
      </x:c>
      <x:c r="E266" s="21" t="n">
        <x:v>88659500</x:v>
      </x:c>
      <x:c r="F266" s="11" t="str">
        <x:v>Nasdaq public historical table</x:v>
      </x:c>
    </x:row>
    <x:row r="267">
      <x:c r="A267" s="14" t="n">
        <x:v>44608</x:v>
      </x:c>
      <x:c r="B267" s="20" t="n">
        <x:v>186.64</x:v>
      </x:c>
      <x:c r="C267" s="20" t="n">
        <x:v>446.6</x:v>
      </x:c>
      <x:c r="D267" s="21" t="n">
        <x:v>22252850</x:v>
      </x:c>
      <x:c r="E267" s="21" t="n">
        <x:v>84863590</x:v>
      </x:c>
      <x:c r="F267" s="11" t="str">
        <x:v>Nasdaq public historical table</x:v>
      </x:c>
    </x:row>
    <x:row r="268">
      <x:c r="A268" s="14" t="n">
        <x:v>44609</x:v>
      </x:c>
      <x:c r="B268" s="20" t="n">
        <x:v>183.6</x:v>
      </x:c>
      <x:c r="C268" s="20" t="n">
        <x:v>437.06</x:v>
      </x:c>
      <x:c r="D268" s="21" t="n">
        <x:v>7779201</x:v>
      </x:c>
      <x:c r="E268" s="21" t="n">
        <x:v>102259100</x:v>
      </x:c>
      <x:c r="F268" s="11" t="str">
        <x:v>Nasdaq public historical table</x:v>
      </x:c>
    </x:row>
    <x:row r="269">
      <x:c r="A269" s="14" t="n">
        <x:v>44610</x:v>
      </x:c>
      <x:c r="B269" s="20" t="n">
        <x:v>174.9</x:v>
      </x:c>
      <x:c r="C269" s="20" t="n">
        <x:v>434.23</x:v>
      </x:c>
      <x:c r="D269" s="21" t="n">
        <x:v>8848753</x:v>
      </x:c>
      <x:c r="E269" s="21" t="n">
        <x:v>132642900</x:v>
      </x:c>
      <x:c r="F269" s="11" t="str">
        <x:v>Nasdaq public historical table</x:v>
      </x:c>
    </x:row>
    <x:row r="270">
      <x:c r="A270" s="14" t="n">
        <x:v>44614</x:v>
      </x:c>
      <x:c r="B270" s="20" t="n">
        <x:v>165.24</x:v>
      </x:c>
      <x:c r="C270" s="20" t="n">
        <x:v>429.57</x:v>
      </x:c>
      <x:c r="D270" s="21" t="n">
        <x:v>8392599</x:v>
      </x:c>
      <x:c r="E270" s="21" t="n">
        <x:v>124391800</x:v>
      </x:c>
      <x:c r="F270" s="11" t="str">
        <x:v>Nasdaq public historical table</x:v>
      </x:c>
    </x:row>
    <x:row r="271">
      <x:c r="A271" s="14" t="n">
        <x:v>44615</x:v>
      </x:c>
      <x:c r="B271" s="20" t="n">
        <x:v>150.04</x:v>
      </x:c>
      <x:c r="C271" s="20" t="n">
        <x:v>421.95</x:v>
      </x:c>
      <x:c r="D271" s="21" t="n">
        <x:v>9778477</x:v>
      </x:c>
      <x:c r="E271" s="21" t="n">
        <x:v>132578000</x:v>
      </x:c>
      <x:c r="F271" s="11" t="str">
        <x:v>Nasdaq public historical table</x:v>
      </x:c>
    </x:row>
    <x:row r="272">
      <x:c r="A272" s="14" t="n">
        <x:v>44616</x:v>
      </x:c>
      <x:c r="B272" s="20" t="n">
        <x:v>158.26</x:v>
      </x:c>
      <x:c r="C272" s="20" t="n">
        <x:v>428.3</x:v>
      </x:c>
      <x:c r="D272" s="21" t="n">
        <x:v>10354650</x:v>
      </x:c>
      <x:c r="E272" s="21" t="n">
        <x:v>213942900</x:v>
      </x:c>
      <x:c r="F272" s="11" t="str">
        <x:v>Nasdaq public historical table</x:v>
      </x:c>
    </x:row>
    <x:row r="273">
      <x:c r="A273" s="14" t="n">
        <x:v>44617</x:v>
      </x:c>
      <x:c r="B273" s="20" t="n">
        <x:v>155.09</x:v>
      </x:c>
      <x:c r="C273" s="20" t="n">
        <x:v>437.75</x:v>
      </x:c>
      <x:c r="D273" s="21" t="n">
        <x:v>6173207</x:v>
      </x:c>
      <x:c r="E273" s="21" t="n">
        <x:v>121804500</x:v>
      </x:c>
      <x:c r="F273" s="11" t="str">
        <x:v>Nasdaq public historical table</x:v>
      </x:c>
    </x:row>
    <x:row r="274">
      <x:c r="A274" s="14" t="n">
        <x:v>44620</x:v>
      </x:c>
      <x:c r="B274" s="20" t="n">
        <x:v>151.49</x:v>
      </x:c>
      <x:c r="C274" s="20" t="n">
        <x:v>436.63</x:v>
      </x:c>
      <x:c r="D274" s="21" t="n">
        <x:v>11078500</x:v>
      </x:c>
      <x:c r="E274" s="21" t="n">
        <x:v>145615000</x:v>
      </x:c>
      <x:c r="F274" s="11" t="str">
        <x:v>Nasdaq public historical table</x:v>
      </x:c>
    </x:row>
    <x:row r="275">
      <x:c r="A275" s="14" t="n">
        <x:v>44621</x:v>
      </x:c>
      <x:c r="B275" s="20" t="n">
        <x:v>151.01</x:v>
      </x:c>
      <x:c r="C275" s="20" t="n">
        <x:v>429.98</x:v>
      </x:c>
      <x:c r="D275" s="21" t="n">
        <x:v>5165768</x:v>
      </x:c>
      <x:c r="E275" s="21" t="n">
        <x:v>137785900</x:v>
      </x:c>
      <x:c r="F275" s="11" t="str">
        <x:v>Nasdaq public historical table</x:v>
      </x:c>
    </x:row>
    <x:row r="276">
      <x:c r="A276" s="14" t="n">
        <x:v>44622</x:v>
      </x:c>
      <x:c r="B276" s="20" t="n">
        <x:v>157.53</x:v>
      </x:c>
      <x:c r="C276" s="20" t="n">
        <x:v>437.89</x:v>
      </x:c>
      <x:c r="D276" s="21" t="n">
        <x:v>5028250</x:v>
      </x:c>
      <x:c r="E276" s="21" t="n">
        <x:v>117726500</x:v>
      </x:c>
      <x:c r="F276" s="11" t="str">
        <x:v>Nasdaq public historical table</x:v>
      </x:c>
    </x:row>
    <x:row r="277">
      <x:c r="A277" s="14" t="n">
        <x:v>44623</x:v>
      </x:c>
      <x:c r="B277" s="20" t="n">
        <x:v>151.69</x:v>
      </x:c>
      <x:c r="C277" s="20" t="n">
        <x:v>435.71</x:v>
      </x:c>
      <x:c r="D277" s="21" t="n">
        <x:v>4045757</x:v>
      </x:c>
      <x:c r="E277" s="21" t="n">
        <x:v>105501700</x:v>
      </x:c>
      <x:c r="F277" s="11" t="str">
        <x:v>Nasdaq public historical table</x:v>
      </x:c>
    </x:row>
    <x:row r="278">
      <x:c r="A278" s="14" t="n">
        <x:v>44624</x:v>
      </x:c>
      <x:c r="B278" s="20" t="n">
        <x:v>142.7</x:v>
      </x:c>
      <x:c r="C278" s="20" t="n">
        <x:v>432.17</x:v>
      </x:c>
      <x:c r="D278" s="21" t="n">
        <x:v>8397063</x:v>
      </x:c>
      <x:c r="E278" s="21" t="n">
        <x:v>114083300</x:v>
      </x:c>
      <x:c r="F278" s="11" t="str">
        <x:v>Nasdaq public historical table</x:v>
      </x:c>
    </x:row>
    <x:row r="279">
      <x:c r="A279" s="14" t="n">
        <x:v>44627</x:v>
      </x:c>
      <x:c r="B279" s="20" t="n">
        <x:v>131.59</x:v>
      </x:c>
      <x:c r="C279" s="20" t="n">
        <x:v>419.43</x:v>
      </x:c>
      <x:c r="D279" s="21" t="n">
        <x:v>9177270</x:v>
      </x:c>
      <x:c r="E279" s="21" t="n">
        <x:v>137896600</x:v>
      </x:c>
      <x:c r="F279" s="11" t="str">
        <x:v>Nasdaq public historical table</x:v>
      </x:c>
    </x:row>
    <x:row r="280">
      <x:c r="A280" s="14" t="n">
        <x:v>44628</x:v>
      </x:c>
      <x:c r="B280" s="20" t="n">
        <x:v>142.13</x:v>
      </x:c>
      <x:c r="C280" s="20" t="n">
        <x:v>416.25</x:v>
      </x:c>
      <x:c r="D280" s="21" t="n">
        <x:v>9586994</x:v>
      </x:c>
      <x:c r="E280" s="21" t="n">
        <x:v>164772700</x:v>
      </x:c>
      <x:c r="F280" s="11" t="str">
        <x:v>Nasdaq public historical table</x:v>
      </x:c>
    </x:row>
    <x:row r="281">
      <x:c r="A281" s="14" t="n">
        <x:v>44629</x:v>
      </x:c>
      <x:c r="B281" s="20" t="n">
        <x:v>148.31</x:v>
      </x:c>
      <x:c r="C281" s="20" t="n">
        <x:v>427.41</x:v>
      </x:c>
      <x:c r="D281" s="21" t="n">
        <x:v>7023908</x:v>
      </x:c>
      <x:c r="E281" s="21" t="n">
        <x:v>116990800</x:v>
      </x:c>
      <x:c r="F281" s="11" t="str">
        <x:v>Nasdaq public historical table</x:v>
      </x:c>
    </x:row>
    <x:row r="282">
      <x:c r="A282" s="14" t="n">
        <x:v>44630</x:v>
      </x:c>
      <x:c r="B282" s="20" t="n">
        <x:v>151.8</x:v>
      </x:c>
      <x:c r="C282" s="20" t="n">
        <x:v>425.48</x:v>
      </x:c>
      <x:c r="D282" s="21" t="n">
        <x:v>5302511</x:v>
      </x:c>
      <x:c r="E282" s="21" t="n">
        <x:v>93972660</x:v>
      </x:c>
      <x:c r="F282" s="11" t="str">
        <x:v>Nasdaq public historical table</x:v>
      </x:c>
    </x:row>
    <x:row r="283">
      <x:c r="A283" s="14" t="n">
        <x:v>44631</x:v>
      </x:c>
      <x:c r="B283" s="20" t="n">
        <x:v>145.14</x:v>
      </x:c>
      <x:c r="C283" s="20" t="n">
        <x:v>420.07</x:v>
      </x:c>
      <x:c r="D283" s="21" t="n">
        <x:v>4577255</x:v>
      </x:c>
      <x:c r="E283" s="21" t="n">
        <x:v>95636280</x:v>
      </x:c>
      <x:c r="F283" s="11" t="str">
        <x:v>Nasdaq public historical table</x:v>
      </x:c>
    </x:row>
    <x:row r="284">
      <x:c r="A284" s="14" t="n">
        <x:v>44634</x:v>
      </x:c>
      <x:c r="B284" s="20" t="n">
        <x:v>138.5</x:v>
      </x:c>
      <x:c r="C284" s="20" t="n">
        <x:v>417</x:v>
      </x:c>
      <x:c r="D284" s="21" t="n">
        <x:v>6330206</x:v>
      </x:c>
      <x:c r="E284" s="21" t="n">
        <x:v>95729190</x:v>
      </x:c>
      <x:c r="F284" s="11" t="str">
        <x:v>Nasdaq public historical table</x:v>
      </x:c>
    </x:row>
    <x:row r="285">
      <x:c r="A285" s="14" t="n">
        <x:v>44635</x:v>
      </x:c>
      <x:c r="B285" s="20" t="n">
        <x:v>143.95</x:v>
      </x:c>
      <x:c r="C285" s="20" t="n">
        <x:v>426.17</x:v>
      </x:c>
      <x:c r="D285" s="21" t="n">
        <x:v>5488743</x:v>
      </x:c>
      <x:c r="E285" s="21" t="n">
        <x:v>106219100</x:v>
      </x:c>
      <x:c r="F285" s="11" t="str">
        <x:v>Nasdaq public historical table</x:v>
      </x:c>
    </x:row>
    <x:row r="286">
      <x:c r="A286" s="14" t="n">
        <x:v>44636</x:v>
      </x:c>
      <x:c r="B286" s="20" t="n">
        <x:v>155.75</x:v>
      </x:c>
      <x:c r="C286" s="20" t="n">
        <x:v>435.62</x:v>
      </x:c>
      <x:c r="D286" s="21" t="n">
        <x:v>7105370</x:v>
      </x:c>
      <x:c r="E286" s="21" t="n">
        <x:v>144954800</x:v>
      </x:c>
      <x:c r="F286" s="11" t="str">
        <x:v>Nasdaq public historical table</x:v>
      </x:c>
    </x:row>
    <x:row r="287">
      <x:c r="A287" s="14" t="n">
        <x:v>44637</x:v>
      </x:c>
      <x:c r="B287" s="20" t="n">
        <x:v>157.55</x:v>
      </x:c>
      <x:c r="C287" s="20" t="n">
        <x:v>441.07</x:v>
      </x:c>
      <x:c r="D287" s="21" t="n">
        <x:v>5031682</x:v>
      </x:c>
      <x:c r="E287" s="21" t="n">
        <x:v>102676900</x:v>
      </x:c>
      <x:c r="F287" s="11" t="str">
        <x:v>Nasdaq public historical table</x:v>
      </x:c>
    </x:row>
    <x:row r="288">
      <x:c r="A288" s="14" t="n">
        <x:v>44638</x:v>
      </x:c>
      <x:c r="B288" s="20" t="n">
        <x:v>167</x:v>
      </x:c>
      <x:c r="C288" s="20" t="n">
        <x:v>444.52</x:v>
      </x:c>
      <x:c r="D288" s="21" t="n">
        <x:v>8467518</x:v>
      </x:c>
      <x:c r="E288" s="21" t="n">
        <x:v>106345500</x:v>
      </x:c>
      <x:c r="F288" s="11" t="str">
        <x:v>Nasdaq public historical table</x:v>
      </x:c>
    </x:row>
    <x:row r="289">
      <x:c r="A289" s="14" t="n">
        <x:v>44641</x:v>
      </x:c>
      <x:c r="B289" s="20" t="n">
        <x:v>161.8</x:v>
      </x:c>
      <x:c r="C289" s="20" t="n">
        <x:v>444.39</x:v>
      </x:c>
      <x:c r="D289" s="21" t="n">
        <x:v>4584370</x:v>
      </x:c>
      <x:c r="E289" s="21" t="n">
        <x:v>88349760</x:v>
      </x:c>
      <x:c r="F289" s="11" t="str">
        <x:v>Nasdaq public historical table</x:v>
      </x:c>
    </x:row>
    <x:row r="290">
      <x:c r="A290" s="14" t="n">
        <x:v>44642</x:v>
      </x:c>
      <x:c r="B290" s="20" t="n">
        <x:v>166.44</x:v>
      </x:c>
      <x:c r="C290" s="20" t="n">
        <x:v>449.59</x:v>
      </x:c>
      <x:c r="D290" s="21" t="n">
        <x:v>4099851</x:v>
      </x:c>
      <x:c r="E290" s="21" t="n">
        <x:v>74650390</x:v>
      </x:c>
      <x:c r="F290" s="11" t="str">
        <x:v>Nasdaq public historical table</x:v>
      </x:c>
    </x:row>
    <x:row r="291">
      <x:c r="A291" s="14" t="n">
        <x:v>44643</x:v>
      </x:c>
      <x:c r="B291" s="20" t="n">
        <x:v>164.16</x:v>
      </x:c>
      <x:c r="C291" s="20" t="n">
        <x:v>443.8</x:v>
      </x:c>
      <x:c r="D291" s="21" t="n">
        <x:v>2814305</x:v>
      </x:c>
      <x:c r="E291" s="21" t="n">
        <x:v>79426100</x:v>
      </x:c>
      <x:c r="F291" s="11" t="str">
        <x:v>Nasdaq public historical table</x:v>
      </x:c>
    </x:row>
    <x:row r="292">
      <x:c r="A292" s="14" t="n">
        <x:v>44644</x:v>
      </x:c>
      <x:c r="B292" s="20" t="n">
        <x:v>170.83</x:v>
      </x:c>
      <x:c r="C292" s="20" t="n">
        <x:v>450.49</x:v>
      </x:c>
      <x:c r="D292" s="21" t="n">
        <x:v>4223466</x:v>
      </x:c>
      <x:c r="E292" s="21" t="n">
        <x:v>64736890</x:v>
      </x:c>
      <x:c r="F292" s="11" t="str">
        <x:v>Nasdaq public historical table</x:v>
      </x:c>
    </x:row>
    <x:row r="293">
      <x:c r="A293" s="14" t="n">
        <x:v>44645</x:v>
      </x:c>
      <x:c r="B293" s="20" t="n">
        <x:v>167.22</x:v>
      </x:c>
      <x:c r="C293" s="20" t="n">
        <x:v>452.69</x:v>
      </x:c>
      <x:c r="D293" s="21" t="n">
        <x:v>2956870</x:v>
      </x:c>
      <x:c r="E293" s="21" t="n">
        <x:v>77101320</x:v>
      </x:c>
      <x:c r="F293" s="11" t="str">
        <x:v>Nasdaq public historical table</x:v>
      </x:c>
    </x:row>
    <x:row r="294">
      <x:c r="A294" s="14" t="n">
        <x:v>44648</x:v>
      </x:c>
      <x:c r="B294" s="20" t="n">
        <x:v>167.65</x:v>
      </x:c>
      <x:c r="C294" s="20" t="n">
        <x:v>455.91</x:v>
      </x:c>
      <x:c r="D294" s="21" t="n">
        <x:v>3829793</x:v>
      </x:c>
      <x:c r="E294" s="21" t="n">
        <x:v>68529770</x:v>
      </x:c>
      <x:c r="F294" s="11" t="str">
        <x:v>Nasdaq public historical table</x:v>
      </x:c>
    </x:row>
    <x:row r="295">
      <x:c r="A295" s="14" t="n">
        <x:v>44649</x:v>
      </x:c>
      <x:c r="B295" s="20" t="n">
        <x:v>175.52</x:v>
      </x:c>
      <x:c r="C295" s="20" t="n">
        <x:v>461.55</x:v>
      </x:c>
      <x:c r="D295" s="21" t="n">
        <x:v>5452762</x:v>
      </x:c>
      <x:c r="E295" s="21" t="n">
        <x:v>86581540</x:v>
      </x:c>
      <x:c r="F295" s="11" t="str">
        <x:v>Nasdaq public historical table</x:v>
      </x:c>
    </x:row>
    <x:row r="296">
      <x:c r="A296" s="14" t="n">
        <x:v>44650</x:v>
      </x:c>
      <x:c r="B296" s="20" t="n">
        <x:v>173.63</x:v>
      </x:c>
      <x:c r="C296" s="20" t="n">
        <x:v>458.7</x:v>
      </x:c>
      <x:c r="D296" s="21" t="n">
        <x:v>3707406</x:v>
      </x:c>
      <x:c r="E296" s="21" t="n">
        <x:v>79666940</x:v>
      </x:c>
      <x:c r="F296" s="11" t="str">
        <x:v>Nasdaq public historical table</x:v>
      </x:c>
    </x:row>
    <x:row r="297">
      <x:c r="A297" s="14" t="n">
        <x:v>44651</x:v>
      </x:c>
      <x:c r="B297" s="20" t="n">
        <x:v>171.76</x:v>
      </x:c>
      <x:c r="C297" s="20" t="n">
        <x:v>451.64</x:v>
      </x:c>
      <x:c r="D297" s="21" t="n">
        <x:v>3232222</x:v>
      </x:c>
      <x:c r="E297" s="21" t="n">
        <x:v>121699900</x:v>
      </x:c>
      <x:c r="F297" s="11" t="str">
        <x:v>Nasdaq public historical table</x:v>
      </x:c>
    </x:row>
    <x:row r="298">
      <x:c r="A298" s="14" t="n">
        <x:v>44652</x:v>
      </x:c>
      <x:c r="B298" s="20" t="n">
        <x:v>173.07</x:v>
      </x:c>
      <x:c r="C298" s="20" t="n">
        <x:v>452.92</x:v>
      </x:c>
      <x:c r="D298" s="21" t="n">
        <x:v>3644935</x:v>
      </x:c>
      <x:c r="E298" s="21" t="n">
        <x:v>89048770</x:v>
      </x:c>
      <x:c r="F298" s="11" t="str">
        <x:v>Nasdaq public historical table</x:v>
      </x:c>
    </x:row>
    <x:row r="299">
      <x:c r="A299" s="14" t="n">
        <x:v>44655</x:v>
      </x:c>
      <x:c r="B299" s="20" t="n">
        <x:v>177.02</x:v>
      </x:c>
      <x:c r="C299" s="20" t="n">
        <x:v>456.8</x:v>
      </x:c>
      <x:c r="D299" s="21" t="n">
        <x:v>3500522</x:v>
      </x:c>
      <x:c r="E299" s="21" t="n">
        <x:v>59601000</x:v>
      </x:c>
      <x:c r="F299" s="11" t="str">
        <x:v>Nasdaq public historical table</x:v>
      </x:c>
    </x:row>
    <x:row r="300">
      <x:c r="A300" s="14" t="n">
        <x:v>44656</x:v>
      </x:c>
      <x:c r="B300" s="20" t="n">
        <x:v>171.21</x:v>
      </x:c>
      <x:c r="C300" s="20" t="n">
        <x:v>451.03</x:v>
      </x:c>
      <x:c r="D300" s="21" t="n">
        <x:v>4064959</x:v>
      </x:c>
      <x:c r="E300" s="21" t="n">
        <x:v>74214500</x:v>
      </x:c>
      <x:c r="F300" s="11" t="str">
        <x:v>Nasdaq public historical table</x:v>
      </x:c>
    </x:row>
    <x:row r="301">
      <x:c r="A301" s="14" t="n">
        <x:v>44657</x:v>
      </x:c>
      <x:c r="B301" s="20" t="n">
        <x:v>164.66</x:v>
      </x:c>
      <x:c r="C301" s="20" t="n">
        <x:v>446.52</x:v>
      </x:c>
      <x:c r="D301" s="21" t="n">
        <x:v>4287691</x:v>
      </x:c>
      <x:c r="E301" s="21" t="n">
        <x:v>106898000</x:v>
      </x:c>
      <x:c r="F301" s="11" t="str">
        <x:v>Nasdaq public historical table</x:v>
      </x:c>
    </x:row>
    <x:row r="302">
      <x:c r="A302" s="14" t="n">
        <x:v>44658</x:v>
      </x:c>
      <x:c r="B302" s="20" t="n">
        <x:v>165.91</x:v>
      </x:c>
      <x:c r="C302" s="20" t="n">
        <x:v>448.77</x:v>
      </x:c>
      <x:c r="D302" s="21" t="n">
        <x:v>4146557</x:v>
      </x:c>
      <x:c r="E302" s="21" t="n">
        <x:v>78097210</x:v>
      </x:c>
      <x:c r="F302" s="11" t="str">
        <x:v>Nasdaq public historical table</x:v>
      </x:c>
    </x:row>
    <x:row r="303">
      <x:c r="A303" s="14" t="n">
        <x:v>44659</x:v>
      </x:c>
      <x:c r="B303" s="20" t="n">
        <x:v>162.56</x:v>
      </x:c>
      <x:c r="C303" s="20" t="n">
        <x:v>447.57</x:v>
      </x:c>
      <x:c r="D303" s="21" t="n">
        <x:v>3448377</x:v>
      </x:c>
      <x:c r="E303" s="21" t="n">
        <x:v>79272710</x:v>
      </x:c>
      <x:c r="F303" s="11" t="str">
        <x:v>Nasdaq public historical table</x:v>
      </x:c>
    </x:row>
    <x:row r="304">
      <x:c r="A304" s="14" t="n">
        <x:v>44662</x:v>
      </x:c>
      <x:c r="B304" s="20" t="n">
        <x:v>160.25</x:v>
      </x:c>
      <x:c r="C304" s="20" t="n">
        <x:v>439.92</x:v>
      </x:c>
      <x:c r="D304" s="21" t="n">
        <x:v>3877215</x:v>
      </x:c>
      <x:c r="E304" s="21" t="n">
        <x:v>89770540</x:v>
      </x:c>
      <x:c r="F304" s="11" t="str">
        <x:v>Nasdaq public historical table</x:v>
      </x:c>
    </x:row>
    <x:row r="305">
      <x:c r="A305" s="14" t="n">
        <x:v>44663</x:v>
      </x:c>
      <x:c r="B305" s="20" t="n">
        <x:v>160.11</x:v>
      </x:c>
      <x:c r="C305" s="20" t="n">
        <x:v>438.29</x:v>
      </x:c>
      <x:c r="D305" s="21" t="n">
        <x:v>4113036</x:v>
      </x:c>
      <x:c r="E305" s="21" t="n">
        <x:v>84363640</x:v>
      </x:c>
      <x:c r="F305" s="11" t="str">
        <x:v>Nasdaq public historical table</x:v>
      </x:c>
    </x:row>
    <x:row r="306">
      <x:c r="A306" s="14" t="n">
        <x:v>44664</x:v>
      </x:c>
      <x:c r="B306" s="20" t="n">
        <x:v>171.85</x:v>
      </x:c>
      <x:c r="C306" s="20" t="n">
        <x:v>443.31</x:v>
      </x:c>
      <x:c r="D306" s="21" t="n">
        <x:v>7211893</x:v>
      </x:c>
      <x:c r="E306" s="21" t="n">
        <x:v>74070390</x:v>
      </x:c>
      <x:c r="F306" s="11" t="str">
        <x:v>Nasdaq public historical table</x:v>
      </x:c>
    </x:row>
    <x:row r="307">
      <x:c r="A307" s="14" t="n">
        <x:v>44665</x:v>
      </x:c>
      <x:c r="B307" s="20" t="n">
        <x:v>170.7</x:v>
      </x:c>
      <x:c r="C307" s="20" t="n">
        <x:v>437.79</x:v>
      </x:c>
      <x:c r="D307" s="21" t="n">
        <x:v>5125142</x:v>
      </x:c>
      <x:c r="E307" s="21" t="n">
        <x:v>97869450</x:v>
      </x:c>
      <x:c r="F307" s="11" t="str">
        <x:v>Nasdaq public historical table</x:v>
      </x:c>
    </x:row>
    <x:row r="308">
      <x:c r="A308" s="14" t="n">
        <x:v>44669</x:v>
      </x:c>
      <x:c r="B308" s="20" t="n">
        <x:v>165.74</x:v>
      </x:c>
      <x:c r="C308" s="20" t="n">
        <x:v>437.97</x:v>
      </x:c>
      <x:c r="D308" s="21" t="n">
        <x:v>3339887</x:v>
      </x:c>
      <x:c r="E308" s="21" t="n">
        <x:v>66002500</x:v>
      </x:c>
      <x:c r="F308" s="11" t="str">
        <x:v>Nasdaq public historical table</x:v>
      </x:c>
    </x:row>
    <x:row r="309">
      <x:c r="A309" s="14" t="n">
        <x:v>44670</x:v>
      </x:c>
      <x:c r="B309" s="20" t="n">
        <x:v>170.12</x:v>
      </x:c>
      <x:c r="C309" s="20" t="n">
        <x:v>445.04</x:v>
      </x:c>
      <x:c r="D309" s="21" t="n">
        <x:v>2857124</x:v>
      </x:c>
      <x:c r="E309" s="21" t="n">
        <x:v>77821010</x:v>
      </x:c>
      <x:c r="F309" s="11" t="str">
        <x:v>Nasdaq public historical table</x:v>
      </x:c>
    </x:row>
    <x:row r="310">
      <x:c r="A310" s="14" t="n">
        <x:v>44671</x:v>
      </x:c>
      <x:c r="B310" s="20" t="n">
        <x:v>164.55</x:v>
      </x:c>
      <x:c r="C310" s="20" t="n">
        <x:v>444.71</x:v>
      </x:c>
      <x:c r="D310" s="21" t="n">
        <x:v>3997912</x:v>
      </x:c>
      <x:c r="E310" s="21" t="n">
        <x:v>65224450</x:v>
      </x:c>
      <x:c r="F310" s="11" t="str">
        <x:v>Nasdaq public historical table</x:v>
      </x:c>
    </x:row>
    <x:row r="311">
      <x:c r="A311" s="14" t="n">
        <x:v>44672</x:v>
      </x:c>
      <x:c r="B311" s="20" t="n">
        <x:v>157.91</x:v>
      </x:c>
      <x:c r="C311" s="20" t="n">
        <x:v>438.06</x:v>
      </x:c>
      <x:c r="D311" s="21" t="n">
        <x:v>4714572</x:v>
      </x:c>
      <x:c r="E311" s="21" t="n">
        <x:v>85417330</x:v>
      </x:c>
      <x:c r="F311" s="11" t="str">
        <x:v>Nasdaq public historical table</x:v>
      </x:c>
    </x:row>
    <x:row r="312">
      <x:c r="A312" s="14" t="n">
        <x:v>44673</x:v>
      </x:c>
      <x:c r="B312" s="20" t="n">
        <x:v>156.09</x:v>
      </x:c>
      <x:c r="C312" s="20" t="n">
        <x:v>426.04</x:v>
      </x:c>
      <x:c r="D312" s="21" t="n">
        <x:v>3863419</x:v>
      </x:c>
      <x:c r="E312" s="21" t="n">
        <x:v>132471800</x:v>
      </x:c>
      <x:c r="F312" s="11" t="str">
        <x:v>Nasdaq public historical table</x:v>
      </x:c>
    </x:row>
    <x:row r="313">
      <x:c r="A313" s="14" t="n">
        <x:v>44676</x:v>
      </x:c>
      <x:c r="B313" s="20" t="n">
        <x:v>158.39</x:v>
      </x:c>
      <x:c r="C313" s="20" t="n">
        <x:v>428.51</x:v>
      </x:c>
      <x:c r="D313" s="21" t="n">
        <x:v>3868115</x:v>
      </x:c>
      <x:c r="E313" s="21" t="n">
        <x:v>119647700</x:v>
      </x:c>
      <x:c r="F313" s="11" t="str">
        <x:v>Nasdaq public historical table</x:v>
      </x:c>
    </x:row>
    <x:row r="314">
      <x:c r="A314" s="14" t="n">
        <x:v>44677</x:v>
      </x:c>
      <x:c r="B314" s="20" t="n">
        <x:v>153.04</x:v>
      </x:c>
      <x:c r="C314" s="20" t="n">
        <x:v>416.1</x:v>
      </x:c>
      <x:c r="D314" s="21" t="n">
        <x:v>4075004</x:v>
      </x:c>
      <x:c r="E314" s="21" t="n">
        <x:v>103996300</x:v>
      </x:c>
      <x:c r="F314" s="11" t="str">
        <x:v>Nasdaq public historical table</x:v>
      </x:c>
    </x:row>
    <x:row r="315">
      <x:c r="A315" s="14" t="n">
        <x:v>44678</x:v>
      </x:c>
      <x:c r="B315" s="20" t="n">
        <x:v>152.23</x:v>
      </x:c>
      <x:c r="C315" s="20" t="n">
        <x:v>417.27</x:v>
      </x:c>
      <x:c r="D315" s="21" t="n">
        <x:v>4825954</x:v>
      </x:c>
      <x:c r="E315" s="21" t="n">
        <x:v>122030000</x:v>
      </x:c>
      <x:c r="F315" s="11" t="str">
        <x:v>Nasdaq public historical table</x:v>
      </x:c>
    </x:row>
    <x:row r="316">
      <x:c r="A316" s="14" t="n">
        <x:v>44679</x:v>
      </x:c>
      <x:c r="B316" s="20" t="n">
        <x:v>159.74</x:v>
      </x:c>
      <x:c r="C316" s="20" t="n">
        <x:v>427.81</x:v>
      </x:c>
      <x:c r="D316" s="21" t="n">
        <x:v>4854490</x:v>
      </x:c>
      <x:c r="E316" s="21" t="n">
        <x:v>105449100</x:v>
      </x:c>
      <x:c r="F316" s="11" t="str">
        <x:v>Nasdaq public historical table</x:v>
      </x:c>
    </x:row>
    <x:row r="317">
      <x:c r="A317" s="14" t="n">
        <x:v>44680</x:v>
      </x:c>
      <x:c r="B317" s="20" t="n">
        <x:v>153.21</x:v>
      </x:c>
      <x:c r="C317" s="20" t="n">
        <x:v>412</x:v>
      </x:c>
      <x:c r="D317" s="21" t="n">
        <x:v>4033057</x:v>
      </x:c>
      <x:c r="E317" s="21" t="n">
        <x:v>145491100</x:v>
      </x:c>
      <x:c r="F317" s="11" t="str">
        <x:v>Nasdaq public historical table</x:v>
      </x:c>
    </x:row>
    <x:row r="318">
      <x:c r="A318" s="14" t="n">
        <x:v>44683</x:v>
      </x:c>
      <x:c r="B318" s="20" t="n">
        <x:v>152.78</x:v>
      </x:c>
      <x:c r="C318" s="20" t="n">
        <x:v>414.48</x:v>
      </x:c>
      <x:c r="D318" s="21" t="n">
        <x:v>5945287</x:v>
      </x:c>
      <x:c r="E318" s="21" t="n">
        <x:v>158312500</x:v>
      </x:c>
      <x:c r="F318" s="11" t="str">
        <x:v>Nasdaq public historical table</x:v>
      </x:c>
    </x:row>
    <x:row r="319">
      <x:c r="A319" s="14" t="n">
        <x:v>44684</x:v>
      </x:c>
      <x:c r="B319" s="20" t="n">
        <x:v>145</x:v>
      </x:c>
      <x:c r="C319" s="20" t="n">
        <x:v>416.38</x:v>
      </x:c>
      <x:c r="D319" s="21" t="n">
        <x:v>16774660</x:v>
      </x:c>
      <x:c r="E319" s="21" t="n">
        <x:v>100028200</x:v>
      </x:c>
      <x:c r="F319" s="11" t="str">
        <x:v>Nasdaq public historical table</x:v>
      </x:c>
    </x:row>
    <x:row r="320">
      <x:c r="A320" s="14" t="n">
        <x:v>44685</x:v>
      </x:c>
      <x:c r="B320" s="20" t="n">
        <x:v>156.18</x:v>
      </x:c>
      <x:c r="C320" s="20" t="n">
        <x:v>429.06</x:v>
      </x:c>
      <x:c r="D320" s="21" t="n">
        <x:v>20598070</x:v>
      </x:c>
      <x:c r="E320" s="21" t="n">
        <x:v>144247900</x:v>
      </x:c>
      <x:c r="F320" s="11" t="str">
        <x:v>Nasdaq public historical table</x:v>
      </x:c>
    </x:row>
    <x:row r="321">
      <x:c r="A321" s="14" t="n">
        <x:v>44686</x:v>
      </x:c>
      <x:c r="B321" s="20" t="n">
        <x:v>143.09</x:v>
      </x:c>
      <x:c r="C321" s="20" t="n">
        <x:v>413.81</x:v>
      </x:c>
      <x:c r="D321" s="21" t="n">
        <x:v>11367230</x:v>
      </x:c>
      <x:c r="E321" s="21" t="n">
        <x:v>172929100</x:v>
      </x:c>
      <x:c r="F321" s="11" t="str">
        <x:v>Nasdaq public historical table</x:v>
      </x:c>
    </x:row>
    <x:row r="322">
      <x:c r="A322" s="14" t="n">
        <x:v>44687</x:v>
      </x:c>
      <x:c r="B322" s="20" t="n">
        <x:v>135.84</x:v>
      </x:c>
      <x:c r="C322" s="20" t="n">
        <x:v>411.34</x:v>
      </x:c>
      <x:c r="D322" s="21" t="n">
        <x:v>9573058</x:v>
      </x:c>
      <x:c r="E322" s="21" t="n">
        <x:v>151770800</x:v>
      </x:c>
      <x:c r="F322" s="11" t="str">
        <x:v>Nasdaq public historical table</x:v>
      </x:c>
    </x:row>
    <x:row r="323">
      <x:c r="A323" s="14" t="n">
        <x:v>44690</x:v>
      </x:c>
      <x:c r="B323" s="20" t="n">
        <x:v>119.37</x:v>
      </x:c>
      <x:c r="C323" s="20" t="n">
        <x:v>398.17</x:v>
      </x:c>
      <x:c r="D323" s="21" t="n">
        <x:v>14430890</x:v>
      </x:c>
      <x:c r="E323" s="21" t="n">
        <x:v>155586100</x:v>
      </x:c>
      <x:c r="F323" s="11" t="str">
        <x:v>Nasdaq public historical table</x:v>
      </x:c>
    </x:row>
    <x:row r="324">
      <x:c r="A324" s="14" t="n">
        <x:v>44691</x:v>
      </x:c>
      <x:c r="B324" s="20" t="n">
        <x:v>116.13</x:v>
      </x:c>
      <x:c r="C324" s="20" t="n">
        <x:v>399.09</x:v>
      </x:c>
      <x:c r="D324" s="21" t="n">
        <x:v>13638470</x:v>
      </x:c>
      <x:c r="E324" s="21" t="n">
        <x:v>132497200</x:v>
      </x:c>
      <x:c r="F324" s="11" t="str">
        <x:v>Nasdaq public historical table</x:v>
      </x:c>
    </x:row>
    <x:row r="325">
      <x:c r="A325" s="14" t="n">
        <x:v>44692</x:v>
      </x:c>
      <x:c r="B325" s="20" t="n">
        <x:v>116.15</x:v>
      </x:c>
      <x:c r="C325" s="20" t="n">
        <x:v>392.75</x:v>
      </x:c>
      <x:c r="D325" s="21" t="n">
        <x:v>13661360</x:v>
      </x:c>
      <x:c r="E325" s="21" t="n">
        <x:v>142361000</x:v>
      </x:c>
      <x:c r="F325" s="11" t="str">
        <x:v>Nasdaq public historical table</x:v>
      </x:c>
    </x:row>
    <x:row r="326">
      <x:c r="A326" s="14" t="n">
        <x:v>44693</x:v>
      </x:c>
      <x:c r="B326" s="20" t="n">
        <x:v>115.94</x:v>
      </x:c>
      <x:c r="C326" s="20" t="n">
        <x:v>392.34</x:v>
      </x:c>
      <x:c r="D326" s="21" t="n">
        <x:v>9264303</x:v>
      </x:c>
      <x:c r="E326" s="21" t="n">
        <x:v>125090800</x:v>
      </x:c>
      <x:c r="F326" s="11" t="str">
        <x:v>Nasdaq public historical table</x:v>
      </x:c>
    </x:row>
    <x:row r="327">
      <x:c r="A327" s="14" t="n">
        <x:v>44694</x:v>
      </x:c>
      <x:c r="B327" s="20" t="n">
        <x:v>121.45</x:v>
      </x:c>
      <x:c r="C327" s="20" t="n">
        <x:v>401.72</x:v>
      </x:c>
      <x:c r="D327" s="21" t="n">
        <x:v>8595379</x:v>
      </x:c>
      <x:c r="E327" s="21" t="n">
        <x:v>104174400</x:v>
      </x:c>
      <x:c r="F327" s="11" t="str">
        <x:v>Nasdaq public historical table</x:v>
      </x:c>
    </x:row>
    <x:row r="328">
      <x:c r="A328" s="14" t="n">
        <x:v>44697</x:v>
      </x:c>
      <x:c r="B328" s="20" t="n">
        <x:v>114.44</x:v>
      </x:c>
      <x:c r="C328" s="20" t="n">
        <x:v>400.09</x:v>
      </x:c>
      <x:c r="D328" s="21" t="n">
        <x:v>7588370</x:v>
      </x:c>
      <x:c r="E328" s="21" t="n">
        <x:v>78622440</x:v>
      </x:c>
      <x:c r="F328" s="11" t="str">
        <x:v>Nasdaq public historical table</x:v>
      </x:c>
    </x:row>
    <x:row r="329">
      <x:c r="A329" s="14" t="n">
        <x:v>44698</x:v>
      </x:c>
      <x:c r="B329" s="20" t="n">
        <x:v>117.5</x:v>
      </x:c>
      <x:c r="C329" s="20" t="n">
        <x:v>408.32</x:v>
      </x:c>
      <x:c r="D329" s="21" t="n">
        <x:v>6962904</x:v>
      </x:c>
      <x:c r="E329" s="21" t="n">
        <x:v>83029710</x:v>
      </x:c>
      <x:c r="F329" s="11" t="str">
        <x:v>Nasdaq public historical table</x:v>
      </x:c>
    </x:row>
    <x:row r="330">
      <x:c r="A330" s="14" t="n">
        <x:v>44699</x:v>
      </x:c>
      <x:c r="B330" s="20" t="n">
        <x:v>108.03</x:v>
      </x:c>
      <x:c r="C330" s="20" t="n">
        <x:v>391.86</x:v>
      </x:c>
      <x:c r="D330" s="21" t="n">
        <x:v>9718744</x:v>
      </x:c>
      <x:c r="E330" s="21" t="n">
        <x:v>117674500</x:v>
      </x:c>
      <x:c r="F330" s="11" t="str">
        <x:v>Nasdaq public historical table</x:v>
      </x:c>
    </x:row>
    <x:row r="331">
      <x:c r="A331" s="14" t="n">
        <x:v>44700</x:v>
      </x:c>
      <x:c r="B331" s="20" t="n">
        <x:v>114.17</x:v>
      </x:c>
      <x:c r="C331" s="20" t="n">
        <x:v>389.46</x:v>
      </x:c>
      <x:c r="D331" s="21" t="n">
        <x:v>8926616</x:v>
      </x:c>
      <x:c r="E331" s="21" t="n">
        <x:v>98510720</x:v>
      </x:c>
      <x:c r="F331" s="11" t="str">
        <x:v>Nasdaq public historical table</x:v>
      </x:c>
    </x:row>
    <x:row r="332">
      <x:c r="A332" s="14" t="n">
        <x:v>44701</x:v>
      </x:c>
      <x:c r="B332" s="20" t="n">
        <x:v>112.55</x:v>
      </x:c>
      <x:c r="C332" s="20" t="n">
        <x:v>389.63</x:v>
      </x:c>
      <x:c r="D332" s="21" t="n">
        <x:v>6961860</x:v>
      </x:c>
      <x:c r="E332" s="21" t="n">
        <x:v>131432200</x:v>
      </x:c>
      <x:c r="F332" s="11" t="str">
        <x:v>Nasdaq public historical table</x:v>
      </x:c>
    </x:row>
    <x:row r="333">
      <x:c r="A333" s="14" t="n">
        <x:v>44704</x:v>
      </x:c>
      <x:c r="B333" s="20" t="n">
        <x:v>113.28</x:v>
      </x:c>
      <x:c r="C333" s="20" t="n">
        <x:v>396.92</x:v>
      </x:c>
      <x:c r="D333" s="21" t="n">
        <x:v>6000751</x:v>
      </x:c>
      <x:c r="E333" s="21" t="n">
        <x:v>76414880</x:v>
      </x:c>
      <x:c r="F333" s="11" t="str">
        <x:v>Nasdaq public historical table</x:v>
      </x:c>
    </x:row>
    <x:row r="334">
      <x:c r="A334" s="14" t="n">
        <x:v>44705</x:v>
      </x:c>
      <x:c r="B334" s="20" t="n">
        <x:v>106.24</x:v>
      </x:c>
      <x:c r="C334" s="20" t="n">
        <x:v>393.89</x:v>
      </x:c>
      <x:c r="D334" s="21" t="n">
        <x:v>6415752</x:v>
      </x:c>
      <x:c r="E334" s="21" t="n">
        <x:v>91448830</x:v>
      </x:c>
      <x:c r="F334" s="11" t="str">
        <x:v>Nasdaq public historical table</x:v>
      </x:c>
    </x:row>
    <x:row r="335">
      <x:c r="A335" s="14" t="n">
        <x:v>44706</x:v>
      </x:c>
      <x:c r="B335" s="20" t="n">
        <x:v>110.4</x:v>
      </x:c>
      <x:c r="C335" s="20" t="n">
        <x:v>397.37</x:v>
      </x:c>
      <x:c r="D335" s="21" t="n">
        <x:v>6203324</x:v>
      </x:c>
      <x:c r="E335" s="21" t="n">
        <x:v>91472870</x:v>
      </x:c>
      <x:c r="F335" s="11" t="str">
        <x:v>Nasdaq public historical table</x:v>
      </x:c>
    </x:row>
    <x:row r="336">
      <x:c r="A336" s="14" t="n">
        <x:v>44707</x:v>
      </x:c>
      <x:c r="B336" s="20" t="n">
        <x:v>114.3</x:v>
      </x:c>
      <x:c r="C336" s="20" t="n">
        <x:v>405.31</x:v>
      </x:c>
      <x:c r="D336" s="21" t="n">
        <x:v>6883200</x:v>
      </x:c>
      <x:c r="E336" s="21" t="n">
        <x:v>82168340</x:v>
      </x:c>
      <x:c r="F336" s="11" t="str">
        <x:v>Nasdaq public historical table</x:v>
      </x:c>
    </x:row>
    <x:row r="337">
      <x:c r="A337" s="14" t="n">
        <x:v>44708</x:v>
      </x:c>
      <x:c r="B337" s="20" t="n">
        <x:v>120.5</x:v>
      </x:c>
      <x:c r="C337" s="20" t="n">
        <x:v>415.26</x:v>
      </x:c>
      <x:c r="D337" s="21" t="n">
        <x:v>7391500</x:v>
      </x:c>
      <x:c r="E337" s="21" t="n">
        <x:v>84768710</x:v>
      </x:c>
      <x:c r="F337" s="11" t="str">
        <x:v>Nasdaq public historical table</x:v>
      </x:c>
    </x:row>
    <x:row r="338">
      <x:c r="A338" s="14" t="n">
        <x:v>44712</x:v>
      </x:c>
      <x:c r="B338" s="20" t="n">
        <x:v>120.87</x:v>
      </x:c>
      <x:c r="C338" s="20" t="n">
        <x:v>412.93</x:v>
      </x:c>
      <x:c r="D338" s="21" t="n">
        <x:v>9117555</x:v>
      </x:c>
      <x:c r="E338" s="21" t="n">
        <x:v>95936980</x:v>
      </x:c>
      <x:c r="F338" s="11" t="str">
        <x:v>Nasdaq public historical table</x:v>
      </x:c>
    </x:row>
    <x:row r="339">
      <x:c r="A339" s="14" t="n">
        <x:v>44713</x:v>
      </x:c>
      <x:c r="B339" s="20" t="n">
        <x:v>116.72</x:v>
      </x:c>
      <x:c r="C339" s="20" t="n">
        <x:v>409.59</x:v>
      </x:c>
      <x:c r="D339" s="21" t="n">
        <x:v>6879606</x:v>
      </x:c>
      <x:c r="E339" s="21" t="n">
        <x:v>86585810</x:v>
      </x:c>
      <x:c r="F339" s="11" t="str">
        <x:v>Nasdaq public historical table</x:v>
      </x:c>
    </x:row>
    <x:row r="340">
      <x:c r="A340" s="14" t="n">
        <x:v>44714</x:v>
      </x:c>
      <x:c r="B340" s="20" t="n">
        <x:v>121.26</x:v>
      </x:c>
      <x:c r="C340" s="20" t="n">
        <x:v>417.39</x:v>
      </x:c>
      <x:c r="D340" s="21" t="n">
        <x:v>5177244</x:v>
      </x:c>
      <x:c r="E340" s="21" t="n">
        <x:v>79609630</x:v>
      </x:c>
      <x:c r="F340" s="11" t="str">
        <x:v>Nasdaq public historical table</x:v>
      </x:c>
    </x:row>
    <x:row r="341">
      <x:c r="A341" s="14" t="n">
        <x:v>44715</x:v>
      </x:c>
      <x:c r="B341" s="20" t="n">
        <x:v>119.83</x:v>
      </x:c>
      <x:c r="C341" s="20" t="n">
        <x:v>410.54</x:v>
      </x:c>
      <x:c r="D341" s="21" t="n">
        <x:v>4584611</x:v>
      </x:c>
      <x:c r="E341" s="21" t="n">
        <x:v>71874280</x:v>
      </x:c>
      <x:c r="F341" s="11" t="str">
        <x:v>Nasdaq public historical table</x:v>
      </x:c>
    </x:row>
    <x:row r="342">
      <x:c r="A342" s="14" t="n">
        <x:v>44718</x:v>
      </x:c>
      <x:c r="B342" s="20" t="n">
        <x:v>122.02</x:v>
      </x:c>
      <x:c r="C342" s="20" t="n">
        <x:v>411.79</x:v>
      </x:c>
      <x:c r="D342" s="21" t="n">
        <x:v>4160239</x:v>
      </x:c>
      <x:c r="E342" s="21" t="n">
        <x:v>57508860</x:v>
      </x:c>
      <x:c r="F342" s="11" t="str">
        <x:v>Nasdaq public historical table</x:v>
      </x:c>
    </x:row>
    <x:row r="343">
      <x:c r="A343" s="14" t="n">
        <x:v>44719</x:v>
      </x:c>
      <x:c r="B343" s="20" t="n">
        <x:v>122.9</x:v>
      </x:c>
      <x:c r="C343" s="20" t="n">
        <x:v>415.74</x:v>
      </x:c>
      <x:c r="D343" s="21" t="n">
        <x:v>3331236</x:v>
      </x:c>
      <x:c r="E343" s="21" t="n">
        <x:v>59272370</x:v>
      </x:c>
      <x:c r="F343" s="11" t="str">
        <x:v>Nasdaq public historical table</x:v>
      </x:c>
    </x:row>
    <x:row r="344">
      <x:c r="A344" s="14" t="n">
        <x:v>44720</x:v>
      </x:c>
      <x:c r="B344" s="20" t="n">
        <x:v>123.77</x:v>
      </x:c>
      <x:c r="C344" s="20" t="n">
        <x:v>411.22</x:v>
      </x:c>
      <x:c r="D344" s="21" t="n">
        <x:v>3775619</x:v>
      </x:c>
      <x:c r="E344" s="21" t="n">
        <x:v>64349970</x:v>
      </x:c>
      <x:c r="F344" s="11" t="str">
        <x:v>Nasdaq public historical table</x:v>
      </x:c>
    </x:row>
    <x:row r="345">
      <x:c r="A345" s="14" t="n">
        <x:v>44721</x:v>
      </x:c>
      <x:c r="B345" s="20" t="n">
        <x:v>115.72</x:v>
      </x:c>
      <x:c r="C345" s="20" t="n">
        <x:v>401.44</x:v>
      </x:c>
      <x:c r="D345" s="21" t="n">
        <x:v>5315873</x:v>
      </x:c>
      <x:c r="E345" s="21" t="n">
        <x:v>86289800</x:v>
      </x:c>
      <x:c r="F345" s="11" t="str">
        <x:v>Nasdaq public historical table</x:v>
      </x:c>
    </x:row>
    <x:row r="346">
      <x:c r="A346" s="14" t="n">
        <x:v>44722</x:v>
      </x:c>
      <x:c r="B346" s="20" t="n">
        <x:v>108.91</x:v>
      </x:c>
      <x:c r="C346" s="20" t="n">
        <x:v>389.8</x:v>
      </x:c>
      <x:c r="D346" s="21" t="n">
        <x:v>6941056</x:v>
      </x:c>
      <x:c r="E346" s="21" t="n">
        <x:v>132893900</x:v>
      </x:c>
      <x:c r="F346" s="11" t="str">
        <x:v>Nasdaq public historical table</x:v>
      </x:c>
    </x:row>
    <x:row r="347">
      <x:c r="A347" s="14" t="n">
        <x:v>44725</x:v>
      </x:c>
      <x:c r="B347" s="20" t="n">
        <x:v>98.93</x:v>
      </x:c>
      <x:c r="C347" s="20" t="n">
        <x:v>375</x:v>
      </x:c>
      <x:c r="D347" s="21" t="n">
        <x:v>9587311</x:v>
      </x:c>
      <x:c r="E347" s="21" t="n">
        <x:v>170004900</x:v>
      </x:c>
      <x:c r="F347" s="11" t="str">
        <x:v>Nasdaq public historical table</x:v>
      </x:c>
    </x:row>
    <x:row r="348">
      <x:c r="A348" s="14" t="n">
        <x:v>44726</x:v>
      </x:c>
      <x:c r="B348" s="20" t="n">
        <x:v>98.87</x:v>
      </x:c>
      <x:c r="C348" s="20" t="n">
        <x:v>373.87</x:v>
      </x:c>
      <x:c r="D348" s="21" t="n">
        <x:v>5915344</x:v>
      </x:c>
      <x:c r="E348" s="21" t="n">
        <x:v>104011800</x:v>
      </x:c>
      <x:c r="F348" s="11" t="str">
        <x:v>Nasdaq public historical table</x:v>
      </x:c>
    </x:row>
    <x:row r="349">
      <x:c r="A349" s="14" t="n">
        <x:v>44727</x:v>
      </x:c>
      <x:c r="B349" s="20" t="n">
        <x:v>101.47</x:v>
      </x:c>
      <x:c r="C349" s="20" t="n">
        <x:v>379.2</x:v>
      </x:c>
      <x:c r="D349" s="21" t="n">
        <x:v>6260439</x:v>
      </x:c>
      <x:c r="E349" s="21" t="n">
        <x:v>125666800</x:v>
      </x:c>
      <x:c r="F349" s="11" t="str">
        <x:v>Nasdaq public historical table</x:v>
      </x:c>
    </x:row>
    <x:row r="350">
      <x:c r="A350" s="14" t="n">
        <x:v>44728</x:v>
      </x:c>
      <x:c r="B350" s="20" t="n">
        <x:v>93.26</x:v>
      </x:c>
      <x:c r="C350" s="20" t="n">
        <x:v>366.65</x:v>
      </x:c>
      <x:c r="D350" s="21" t="n">
        <x:v>9435656</x:v>
      </x:c>
      <x:c r="E350" s="21" t="n">
        <x:v>134473300</x:v>
      </x:c>
      <x:c r="F350" s="11" t="str">
        <x:v>Nasdaq public historical table</x:v>
      </x:c>
    </x:row>
    <x:row r="351">
      <x:c r="A351" s="14" t="n">
        <x:v>44729</x:v>
      </x:c>
      <x:c r="B351" s="20" t="n">
        <x:v>99.49</x:v>
      </x:c>
      <x:c r="C351" s="20" t="n">
        <x:v>365.86</x:v>
      </x:c>
      <x:c r="D351" s="21" t="n">
        <x:v>11293110</x:v>
      </x:c>
      <x:c r="E351" s="21" t="n">
        <x:v>111113900</x:v>
      </x:c>
      <x:c r="F351" s="11" t="str">
        <x:v>Nasdaq public historical table</x:v>
      </x:c>
    </x:row>
    <x:row r="352">
      <x:c r="A352" s="14" t="n">
        <x:v>44733</x:v>
      </x:c>
      <x:c r="B352" s="20" t="n">
        <x:v>102.27</x:v>
      </x:c>
      <x:c r="C352" s="20" t="n">
        <x:v>375.07</x:v>
      </x:c>
      <x:c r="D352" s="21" t="n">
        <x:v>6532713</x:v>
      </x:c>
      <x:c r="E352" s="21" t="n">
        <x:v>76811860</x:v>
      </x:c>
      <x:c r="F352" s="11" t="str">
        <x:v>Nasdaq public historical table</x:v>
      </x:c>
    </x:row>
    <x:row r="353">
      <x:c r="A353" s="14" t="n">
        <x:v>44734</x:v>
      </x:c>
      <x:c r="B353" s="20" t="n">
        <x:v>99.53</x:v>
      </x:c>
      <x:c r="C353" s="20" t="n">
        <x:v>374.39</x:v>
      </x:c>
      <x:c r="D353" s="21" t="n">
        <x:v>8986027</x:v>
      </x:c>
      <x:c r="E353" s="21" t="n">
        <x:v>90059420</x:v>
      </x:c>
      <x:c r="F353" s="11" t="str">
        <x:v>Nasdaq public historical table</x:v>
      </x:c>
    </x:row>
    <x:row r="354">
      <x:c r="A354" s="14" t="n">
        <x:v>44735</x:v>
      </x:c>
      <x:c r="B354" s="20" t="n">
        <x:v>95.72</x:v>
      </x:c>
      <x:c r="C354" s="20" t="n">
        <x:v>378.06</x:v>
      </x:c>
      <x:c r="D354" s="21" t="n">
        <x:v>12340820</x:v>
      </x:c>
      <x:c r="E354" s="21" t="n">
        <x:v>79292140</x:v>
      </x:c>
      <x:c r="F354" s="11" t="str">
        <x:v>Nasdaq public historical table</x:v>
      </x:c>
    </x:row>
    <x:row r="355">
      <x:c r="A355" s="14" t="n">
        <x:v>44736</x:v>
      </x:c>
      <x:c r="B355" s="20" t="n">
        <x:v>103.51</x:v>
      </x:c>
      <x:c r="C355" s="20" t="n">
        <x:v>390.08</x:v>
      </x:c>
      <x:c r="D355" s="21" t="n">
        <x:v>28797400</x:v>
      </x:c>
      <x:c r="E355" s="21" t="n">
        <x:v>98050330</x:v>
      </x:c>
      <x:c r="F355" s="11" t="str">
        <x:v>Nasdaq public historical table</x:v>
      </x:c>
    </x:row>
    <x:row r="356">
      <x:c r="A356" s="14" t="n">
        <x:v>44739</x:v>
      </x:c>
      <x:c r="B356" s="20" t="n">
        <x:v>101.5</x:v>
      </x:c>
      <x:c r="C356" s="20" t="n">
        <x:v>388.59</x:v>
      </x:c>
      <x:c r="D356" s="21" t="n">
        <x:v>7352143</x:v>
      </x:c>
      <x:c r="E356" s="21" t="n">
        <x:v>66009620</x:v>
      </x:c>
      <x:c r="F356" s="11" t="str">
        <x:v>Nasdaq public historical table</x:v>
      </x:c>
    </x:row>
    <x:row r="357">
      <x:c r="A357" s="14" t="n">
        <x:v>44740</x:v>
      </x:c>
      <x:c r="B357" s="20" t="n">
        <x:v>97.53</x:v>
      </x:c>
      <x:c r="C357" s="20" t="n">
        <x:v>380.65</x:v>
      </x:c>
      <x:c r="D357" s="21" t="n">
        <x:v>7747662</x:v>
      </x:c>
      <x:c r="E357" s="21" t="n">
        <x:v>86689820</x:v>
      </x:c>
      <x:c r="F357" s="11" t="str">
        <x:v>Nasdaq public historical table</x:v>
      </x:c>
    </x:row>
    <x:row r="358">
      <x:c r="A358" s="14" t="n">
        <x:v>44741</x:v>
      </x:c>
      <x:c r="B358" s="20" t="n">
        <x:v>93.93</x:v>
      </x:c>
      <x:c r="C358" s="20" t="n">
        <x:v>380.34</x:v>
      </x:c>
      <x:c r="D358" s="21" t="n">
        <x:v>6522572</x:v>
      </x:c>
      <x:c r="E358" s="21" t="n">
        <x:v>65676000</x:v>
      </x:c>
      <x:c r="F358" s="11" t="str">
        <x:v>Nasdaq public historical table</x:v>
      </x:c>
    </x:row>
    <x:row r="359">
      <x:c r="A359" s="14" t="n">
        <x:v>44742</x:v>
      </x:c>
      <x:c r="B359" s="20" t="n">
        <x:v>89.08</x:v>
      </x:c>
      <x:c r="C359" s="20" t="n">
        <x:v>377.25</x:v>
      </x:c>
      <x:c r="D359" s="21" t="n">
        <x:v>9007783</x:v>
      </x:c>
      <x:c r="E359" s="21" t="n">
        <x:v>112508300</x:v>
      </x:c>
      <x:c r="F359" s="11" t="str">
        <x:v>Nasdaq public historical table</x:v>
      </x:c>
    </x:row>
    <x:row r="360">
      <x:c r="A360" s="14" t="n">
        <x:v>44743</x:v>
      </x:c>
      <x:c r="B360" s="20" t="n">
        <x:v>91.41</x:v>
      </x:c>
      <x:c r="C360" s="20" t="n">
        <x:v>381.24</x:v>
      </x:c>
      <x:c r="D360" s="21" t="n">
        <x:v>5995434</x:v>
      </x:c>
      <x:c r="E360" s="21" t="n">
        <x:v>74839730</x:v>
      </x:c>
      <x:c r="F360" s="11" t="str">
        <x:v>Nasdaq public historical table</x:v>
      </x:c>
    </x:row>
    <x:row r="361">
      <x:c r="A361" s="14" t="n">
        <x:v>44747</x:v>
      </x:c>
      <x:c r="B361" s="20" t="n">
        <x:v>95.94</x:v>
      </x:c>
      <x:c r="C361" s="20" t="n">
        <x:v>381.96</x:v>
      </x:c>
      <x:c r="D361" s="21" t="n">
        <x:v>7653996</x:v>
      </x:c>
      <x:c r="E361" s="21" t="n">
        <x:v>81437970</x:v>
      </x:c>
      <x:c r="F361" s="11" t="str">
        <x:v>Nasdaq public historical table</x:v>
      </x:c>
    </x:row>
    <x:row r="362">
      <x:c r="A362" s="14" t="n">
        <x:v>44748</x:v>
      </x:c>
      <x:c r="B362" s="20" t="n">
        <x:v>92.88</x:v>
      </x:c>
      <x:c r="C362" s="20" t="n">
        <x:v>383.25</x:v>
      </x:c>
      <x:c r="D362" s="21" t="n">
        <x:v>5702961</x:v>
      </x:c>
      <x:c r="E362" s="21" t="n">
        <x:v>70426240</x:v>
      </x:c>
      <x:c r="F362" s="11" t="str">
        <x:v>Nasdaq public historical table</x:v>
      </x:c>
    </x:row>
    <x:row r="363">
      <x:c r="A363" s="14" t="n">
        <x:v>44749</x:v>
      </x:c>
      <x:c r="B363" s="20" t="n">
        <x:v>97.5</x:v>
      </x:c>
      <x:c r="C363" s="20" t="n">
        <x:v>388.99</x:v>
      </x:c>
      <x:c r="D363" s="21" t="n">
        <x:v>7480538</x:v>
      </x:c>
      <x:c r="E363" s="21" t="n">
        <x:v>64525920</x:v>
      </x:c>
      <x:c r="F363" s="11" t="str">
        <x:v>Nasdaq public historical table</x:v>
      </x:c>
    </x:row>
    <x:row r="364">
      <x:c r="A364" s="14" t="n">
        <x:v>44750</x:v>
      </x:c>
      <x:c r="B364" s="20" t="n">
        <x:v>97.35</x:v>
      </x:c>
      <x:c r="C364" s="20" t="n">
        <x:v>388.67</x:v>
      </x:c>
      <x:c r="D364" s="21" t="n">
        <x:v>5669474</x:v>
      </x:c>
      <x:c r="E364" s="21" t="n">
        <x:v>72397770</x:v>
      </x:c>
      <x:c r="F364" s="11" t="str">
        <x:v>Nasdaq public historical table</x:v>
      </x:c>
    </x:row>
    <x:row r="365">
      <x:c r="A365" s="14" t="n">
        <x:v>44753</x:v>
      </x:c>
      <x:c r="B365" s="20" t="n">
        <x:v>95.1</x:v>
      </x:c>
      <x:c r="C365" s="20" t="n">
        <x:v>384.23</x:v>
      </x:c>
      <x:c r="D365" s="21" t="n">
        <x:v>6043682</x:v>
      </x:c>
      <x:c r="E365" s="21" t="n">
        <x:v>58366950</x:v>
      </x:c>
      <x:c r="F365" s="11" t="str">
        <x:v>Nasdaq public historical table</x:v>
      </x:c>
    </x:row>
    <x:row r="366">
      <x:c r="A366" s="14" t="n">
        <x:v>44754</x:v>
      </x:c>
      <x:c r="B366" s="20" t="n">
        <x:v>96.55</x:v>
      </x:c>
      <x:c r="C366" s="20" t="n">
        <x:v>380.83</x:v>
      </x:c>
      <x:c r="D366" s="21" t="n">
        <x:v>4170185</x:v>
      </x:c>
      <x:c r="E366" s="21" t="n">
        <x:v>62219180</x:v>
      </x:c>
      <x:c r="F366" s="11" t="str">
        <x:v>Nasdaq public historical table</x:v>
      </x:c>
    </x:row>
    <x:row r="367">
      <x:c r="A367" s="14" t="n">
        <x:v>44755</x:v>
      </x:c>
      <x:c r="B367" s="20" t="n">
        <x:v>95.64</x:v>
      </x:c>
      <x:c r="C367" s="20" t="n">
        <x:v>378.83</x:v>
      </x:c>
      <x:c r="D367" s="21" t="n">
        <x:v>6967800</x:v>
      </x:c>
      <x:c r="E367" s="21" t="n">
        <x:v>84224650</x:v>
      </x:c>
      <x:c r="F367" s="11" t="str">
        <x:v>Nasdaq public historical table</x:v>
      </x:c>
    </x:row>
    <x:row r="368">
      <x:c r="A368" s="14" t="n">
        <x:v>44756</x:v>
      </x:c>
      <x:c r="B368" s="20" t="n">
        <x:v>91.05</x:v>
      </x:c>
      <x:c r="C368" s="20" t="n">
        <x:v>377.91</x:v>
      </x:c>
      <x:c r="D368" s="21" t="n">
        <x:v>8334633</x:v>
      </x:c>
      <x:c r="E368" s="21" t="n">
        <x:v>89704820</x:v>
      </x:c>
      <x:c r="F368" s="11" t="str">
        <x:v>Nasdaq public historical table</x:v>
      </x:c>
    </x:row>
    <x:row r="369">
      <x:c r="A369" s="14" t="n">
        <x:v>44757</x:v>
      </x:c>
      <x:c r="B369" s="20" t="n">
        <x:v>94.66</x:v>
      </x:c>
      <x:c r="C369" s="20" t="n">
        <x:v>385.13</x:v>
      </x:c>
      <x:c r="D369" s="21" t="n">
        <x:v>7497187</x:v>
      </x:c>
      <x:c r="E369" s="21" t="n">
        <x:v>79060380</x:v>
      </x:c>
      <x:c r="F369" s="11" t="str">
        <x:v>Nasdaq public historical table</x:v>
      </x:c>
    </x:row>
    <x:row r="370">
      <x:c r="A370" s="14" t="n">
        <x:v>44760</x:v>
      </x:c>
      <x:c r="B370" s="20" t="n">
        <x:v>97.67</x:v>
      </x:c>
      <x:c r="C370" s="20" t="n">
        <x:v>381.95</x:v>
      </x:c>
      <x:c r="D370" s="21" t="n">
        <x:v>7171484</x:v>
      </x:c>
      <x:c r="E370" s="21" t="n">
        <x:v>63203630</x:v>
      </x:c>
      <x:c r="F370" s="11" t="str">
        <x:v>Nasdaq public historical table</x:v>
      </x:c>
    </x:row>
    <x:row r="371">
      <x:c r="A371" s="14" t="n">
        <x:v>44761</x:v>
      </x:c>
      <x:c r="B371" s="20" t="n">
        <x:v>102.2</x:v>
      </x:c>
      <x:c r="C371" s="20" t="n">
        <x:v>392.27</x:v>
      </x:c>
      <x:c r="D371" s="21" t="n">
        <x:v>5603808</x:v>
      </x:c>
      <x:c r="E371" s="21" t="n">
        <x:v>78505970</x:v>
      </x:c>
      <x:c r="F371" s="11" t="str">
        <x:v>Nasdaq public historical table</x:v>
      </x:c>
    </x:row>
    <x:row r="372">
      <x:c r="A372" s="14" t="n">
        <x:v>44762</x:v>
      </x:c>
      <x:c r="B372" s="20" t="n">
        <x:v>107.73</x:v>
      </x:c>
      <x:c r="C372" s="20" t="n">
        <x:v>394.77</x:v>
      </x:c>
      <x:c r="D372" s="21" t="n">
        <x:v>6834133</x:v>
      </x:c>
      <x:c r="E372" s="21" t="n">
        <x:v>71843770</x:v>
      </x:c>
      <x:c r="F372" s="11" t="str">
        <x:v>Nasdaq public historical table</x:v>
      </x:c>
    </x:row>
    <x:row r="373">
      <x:c r="A373" s="14" t="n">
        <x:v>44763</x:v>
      </x:c>
      <x:c r="B373" s="20" t="n">
        <x:v>108.14</x:v>
      </x:c>
      <x:c r="C373" s="20" t="n">
        <x:v>398.79</x:v>
      </x:c>
      <x:c r="D373" s="21" t="n">
        <x:v>4284851</x:v>
      </x:c>
      <x:c r="E373" s="21" t="n">
        <x:v>64903860</x:v>
      </x:c>
      <x:c r="F373" s="11" t="str">
        <x:v>Nasdaq public historical table</x:v>
      </x:c>
    </x:row>
    <x:row r="374">
      <x:c r="A374" s="14" t="n">
        <x:v>44764</x:v>
      </x:c>
      <x:c r="B374" s="20" t="n">
        <x:v>103.97</x:v>
      </x:c>
      <x:c r="C374" s="20" t="n">
        <x:v>395.09</x:v>
      </x:c>
      <x:c r="D374" s="21" t="n">
        <x:v>4243932</x:v>
      </x:c>
      <x:c r="E374" s="21" t="n">
        <x:v>72197330</x:v>
      </x:c>
      <x:c r="F374" s="11" t="str">
        <x:v>Nasdaq public historical table</x:v>
      </x:c>
    </x:row>
    <x:row r="375">
      <x:c r="A375" s="14" t="n">
        <x:v>44767</x:v>
      </x:c>
      <x:c r="B375" s="20" t="n">
        <x:v>104.95</x:v>
      </x:c>
      <x:c r="C375" s="20" t="n">
        <x:v>395.57</x:v>
      </x:c>
      <x:c r="D375" s="21" t="n">
        <x:v>3142931</x:v>
      </x:c>
      <x:c r="E375" s="21" t="n">
        <x:v>53631490</x:v>
      </x:c>
      <x:c r="F375" s="11" t="str">
        <x:v>Nasdaq public historical table</x:v>
      </x:c>
    </x:row>
    <x:row r="376">
      <x:c r="A376" s="14" t="n">
        <x:v>44768</x:v>
      </x:c>
      <x:c r="B376" s="20" t="n">
        <x:v>101.91</x:v>
      </x:c>
      <x:c r="C376" s="20" t="n">
        <x:v>390.89</x:v>
      </x:c>
      <x:c r="D376" s="21" t="n">
        <x:v>4190993</x:v>
      </x:c>
      <x:c r="E376" s="21" t="n">
        <x:v>52946390</x:v>
      </x:c>
      <x:c r="F376" s="11" t="str">
        <x:v>Nasdaq public historical table</x:v>
      </x:c>
    </x:row>
    <x:row r="377">
      <x:c r="A377" s="14" t="n">
        <x:v>44769</x:v>
      </x:c>
      <x:c r="B377" s="20" t="n">
        <x:v>107.36</x:v>
      </x:c>
      <x:c r="C377" s="20" t="n">
        <x:v>401.04</x:v>
      </x:c>
      <x:c r="D377" s="21" t="n">
        <x:v>5362726</x:v>
      </x:c>
      <x:c r="E377" s="21" t="n">
        <x:v>82342110</x:v>
      </x:c>
      <x:c r="F377" s="11" t="str">
        <x:v>Nasdaq public historical table</x:v>
      </x:c>
    </x:row>
    <x:row r="378">
      <x:c r="A378" s="14" t="n">
        <x:v>44770</x:v>
      </x:c>
      <x:c r="B378" s="20" t="n">
        <x:v>108.84</x:v>
      </x:c>
      <x:c r="C378" s="20" t="n">
        <x:v>406.07</x:v>
      </x:c>
      <x:c r="D378" s="21" t="n">
        <x:v>4471883</x:v>
      </x:c>
      <x:c r="E378" s="21" t="n">
        <x:v>73966560</x:v>
      </x:c>
      <x:c r="F378" s="11" t="str">
        <x:v>Nasdaq public historical table</x:v>
      </x:c>
    </x:row>
    <x:row r="379">
      <x:c r="A379" s="14" t="n">
        <x:v>44771</x:v>
      </x:c>
      <x:c r="B379" s="20" t="n">
        <x:v>110.98</x:v>
      </x:c>
      <x:c r="C379" s="20" t="n">
        <x:v>411.99</x:v>
      </x:c>
      <x:c r="D379" s="21" t="n">
        <x:v>4637779</x:v>
      </x:c>
      <x:c r="E379" s="21" t="n">
        <x:v>87003670</x:v>
      </x:c>
      <x:c r="F379" s="11" t="str">
        <x:v>Nasdaq public historical table</x:v>
      </x:c>
    </x:row>
    <x:row r="380">
      <x:c r="A380" s="14" t="n">
        <x:v>44774</x:v>
      </x:c>
      <x:c r="B380" s="20" t="n">
        <x:v>111.2</x:v>
      </x:c>
      <x:c r="C380" s="20" t="n">
        <x:v>410.77</x:v>
      </x:c>
      <x:c r="D380" s="21" t="n">
        <x:v>6019506</x:v>
      </x:c>
      <x:c r="E380" s="21" t="n">
        <x:v>69997470</x:v>
      </x:c>
      <x:c r="F380" s="11" t="str">
        <x:v>Nasdaq public historical table</x:v>
      </x:c>
    </x:row>
    <x:row r="381">
      <x:c r="A381" s="14" t="n">
        <x:v>44775</x:v>
      </x:c>
      <x:c r="B381" s="20" t="n">
        <x:v>116.34</x:v>
      </x:c>
      <x:c r="C381" s="20" t="n">
        <x:v>408.06</x:v>
      </x:c>
      <x:c r="D381" s="21" t="n">
        <x:v>15208220</x:v>
      </x:c>
      <x:c r="E381" s="21" t="n">
        <x:v>63435420</x:v>
      </x:c>
      <x:c r="F381" s="11" t="str">
        <x:v>Nasdaq public historical table</x:v>
      </x:c>
    </x:row>
    <x:row r="382">
      <x:c r="A382" s="14" t="n">
        <x:v>44776</x:v>
      </x:c>
      <x:c r="B382" s="20" t="n">
        <x:v>115.02</x:v>
      </x:c>
      <x:c r="C382" s="20" t="n">
        <x:v>414.45</x:v>
      </x:c>
      <x:c r="D382" s="21" t="n">
        <x:v>23354940</x:v>
      </x:c>
      <x:c r="E382" s="21" t="n">
        <x:v>67820560</x:v>
      </x:c>
      <x:c r="F382" s="11" t="str">
        <x:v>Nasdaq public historical table</x:v>
      </x:c>
    </x:row>
    <x:row r="383">
      <x:c r="A383" s="14" t="n">
        <x:v>44777</x:v>
      </x:c>
      <x:c r="B383" s="20" t="n">
        <x:v>119.22</x:v>
      </x:c>
      <x:c r="C383" s="20" t="n">
        <x:v>414.17</x:v>
      </x:c>
      <x:c r="D383" s="21" t="n">
        <x:v>9180317</x:v>
      </x:c>
      <x:c r="E383" s="21" t="n">
        <x:v>45656570</x:v>
      </x:c>
      <x:c r="F383" s="11" t="str">
        <x:v>Nasdaq public historical table</x:v>
      </x:c>
    </x:row>
    <x:row r="384">
      <x:c r="A384" s="14" t="n">
        <x:v>44778</x:v>
      </x:c>
      <x:c r="B384" s="20" t="n">
        <x:v>117.11</x:v>
      </x:c>
      <x:c r="C384" s="20" t="n">
        <x:v>413.47</x:v>
      </x:c>
      <x:c r="D384" s="21" t="n">
        <x:v>6494951</x:v>
      </x:c>
      <x:c r="E384" s="21" t="n">
        <x:v>56814930</x:v>
      </x:c>
      <x:c r="F384" s="11" t="str">
        <x:v>Nasdaq public historical table</x:v>
      </x:c>
    </x:row>
    <x:row r="385">
      <x:c r="A385" s="14" t="n">
        <x:v>44781</x:v>
      </x:c>
      <x:c r="B385" s="20" t="n">
        <x:v>115.82</x:v>
      </x:c>
      <x:c r="C385" s="20" t="n">
        <x:v>412.99</x:v>
      </x:c>
      <x:c r="D385" s="21" t="n">
        <x:v>5382935</x:v>
      </x:c>
      <x:c r="E385" s="21" t="n">
        <x:v>54025970</x:v>
      </x:c>
      <x:c r="F385" s="11" t="str">
        <x:v>Nasdaq public historical table</x:v>
      </x:c>
    </x:row>
    <x:row r="386">
      <x:c r="A386" s="14" t="n">
        <x:v>44782</x:v>
      </x:c>
      <x:c r="B386" s="20" t="n">
        <x:v>114.44</x:v>
      </x:c>
      <x:c r="C386" s="20" t="n">
        <x:v>411.35</x:v>
      </x:c>
      <x:c r="D386" s="21" t="n">
        <x:v>4201213</x:v>
      </x:c>
      <x:c r="E386" s="21" t="n">
        <x:v>44931770</x:v>
      </x:c>
      <x:c r="F386" s="11" t="str">
        <x:v>Nasdaq public historical table</x:v>
      </x:c>
    </x:row>
    <x:row r="387">
      <x:c r="A387" s="14" t="n">
        <x:v>44783</x:v>
      </x:c>
      <x:c r="B387" s="20" t="n">
        <x:v>118.73</x:v>
      </x:c>
      <x:c r="C387" s="20" t="n">
        <x:v>419.99</x:v>
      </x:c>
      <x:c r="D387" s="21" t="n">
        <x:v>5529014</x:v>
      </x:c>
      <x:c r="E387" s="21" t="n">
        <x:v>68665710</x:v>
      </x:c>
      <x:c r="F387" s="11" t="str">
        <x:v>Nasdaq public historical table</x:v>
      </x:c>
    </x:row>
    <x:row r="388">
      <x:c r="A388" s="14" t="n">
        <x:v>44784</x:v>
      </x:c>
      <x:c r="B388" s="20" t="n">
        <x:v>121.5</x:v>
      </x:c>
      <x:c r="C388" s="20" t="n">
        <x:v>419.99</x:v>
      </x:c>
      <x:c r="D388" s="21" t="n">
        <x:v>8110104</x:v>
      </x:c>
      <x:c r="E388" s="21" t="n">
        <x:v>59489700</x:v>
      </x:c>
      <x:c r="F388" s="11" t="str">
        <x:v>Nasdaq public historical table</x:v>
      </x:c>
    </x:row>
    <x:row r="389">
      <x:c r="A389" s="14" t="n">
        <x:v>44785</x:v>
      </x:c>
      <x:c r="B389" s="20" t="n">
        <x:v>124.51</x:v>
      </x:c>
      <x:c r="C389" s="20" t="n">
        <x:v>427.1</x:v>
      </x:c>
      <x:c r="D389" s="21" t="n">
        <x:v>5012478</x:v>
      </x:c>
      <x:c r="E389" s="21" t="n">
        <x:v>61694540</x:v>
      </x:c>
      <x:c r="F389" s="11" t="str">
        <x:v>Nasdaq public historical table</x:v>
      </x:c>
    </x:row>
    <x:row r="390">
      <x:c r="A390" s="14" t="n">
        <x:v>44788</x:v>
      </x:c>
      <x:c r="B390" s="20" t="n">
        <x:v>126.04</x:v>
      </x:c>
      <x:c r="C390" s="20" t="n">
        <x:v>428.86</x:v>
      </x:c>
      <x:c r="D390" s="21" t="n">
        <x:v>4884711</x:v>
      </x:c>
      <x:c r="E390" s="21" t="n">
        <x:v>54048280</x:v>
      </x:c>
      <x:c r="F390" s="11" t="str">
        <x:v>Nasdaq public historical table</x:v>
      </x:c>
    </x:row>
    <x:row r="391">
      <x:c r="A391" s="14" t="n">
        <x:v>44789</x:v>
      </x:c>
      <x:c r="B391" s="20" t="n">
        <x:v>124.18</x:v>
      </x:c>
      <x:c r="C391" s="20" t="n">
        <x:v>429.7</x:v>
      </x:c>
      <x:c r="D391" s="21" t="n">
        <x:v>4371514</x:v>
      </x:c>
      <x:c r="E391" s="21" t="n">
        <x:v>59289040</x:v>
      </x:c>
      <x:c r="F391" s="11" t="str">
        <x:v>Nasdaq public historical table</x:v>
      </x:c>
    </x:row>
    <x:row r="392">
      <x:c r="A392" s="14" t="n">
        <x:v>44790</x:v>
      </x:c>
      <x:c r="B392" s="20" t="n">
        <x:v>121.87</x:v>
      </x:c>
      <x:c r="C392" s="20" t="n">
        <x:v>426.65</x:v>
      </x:c>
      <x:c r="D392" s="21" t="n">
        <x:v>4336182</x:v>
      </x:c>
      <x:c r="E392" s="21" t="n">
        <x:v>63563390</x:v>
      </x:c>
      <x:c r="F392" s="11" t="str">
        <x:v>Nasdaq public historical table</x:v>
      </x:c>
    </x:row>
    <x:row r="393">
      <x:c r="A393" s="14" t="n">
        <x:v>44791</x:v>
      </x:c>
      <x:c r="B393" s="20" t="n">
        <x:v>121.27</x:v>
      </x:c>
      <x:c r="C393" s="20" t="n">
        <x:v>427.89</x:v>
      </x:c>
      <x:c r="D393" s="21" t="n">
        <x:v>3373946</x:v>
      </x:c>
      <x:c r="E393" s="21" t="n">
        <x:v>49023210</x:v>
      </x:c>
      <x:c r="F393" s="11" t="str">
        <x:v>Nasdaq public historical table</x:v>
      </x:c>
    </x:row>
    <x:row r="394">
      <x:c r="A394" s="14" t="n">
        <x:v>44792</x:v>
      </x:c>
      <x:c r="B394" s="20" t="n">
        <x:v>114.76</x:v>
      </x:c>
      <x:c r="C394" s="20" t="n">
        <x:v>422.14</x:v>
      </x:c>
      <x:c r="D394" s="21" t="n">
        <x:v>5288830</x:v>
      </x:c>
      <x:c r="E394" s="21" t="n">
        <x:v>68016900</x:v>
      </x:c>
      <x:c r="F394" s="11" t="str">
        <x:v>Nasdaq public historical table</x:v>
      </x:c>
    </x:row>
    <x:row r="395">
      <x:c r="A395" s="14" t="n">
        <x:v>44795</x:v>
      </x:c>
      <x:c r="B395" s="20" t="n">
        <x:v>111.39</x:v>
      </x:c>
      <x:c r="C395" s="20" t="n">
        <x:v>413.35</x:v>
      </x:c>
      <x:c r="D395" s="21" t="n">
        <x:v>6057435</x:v>
      </x:c>
      <x:c r="E395" s="21" t="n">
        <x:v>77695640</x:v>
      </x:c>
      <x:c r="F395" s="11" t="str">
        <x:v>Nasdaq public historical table</x:v>
      </x:c>
    </x:row>
    <x:row r="396">
      <x:c r="A396" s="14" t="n">
        <x:v>44796</x:v>
      </x:c>
      <x:c r="B396" s="20" t="n">
        <x:v>111.6</x:v>
      </x:c>
      <x:c r="C396" s="20" t="n">
        <x:v>412.35</x:v>
      </x:c>
      <x:c r="D396" s="21" t="n">
        <x:v>5447183</x:v>
      </x:c>
      <x:c r="E396" s="21" t="n">
        <x:v>49105250</x:v>
      </x:c>
      <x:c r="F396" s="11" t="str">
        <x:v>Nasdaq public historical table</x:v>
      </x:c>
    </x:row>
    <x:row r="397">
      <x:c r="A397" s="14" t="n">
        <x:v>44797</x:v>
      </x:c>
      <x:c r="B397" s="20" t="n">
        <x:v>114.51</x:v>
      </x:c>
      <x:c r="C397" s="20" t="n">
        <x:v>413.67</x:v>
      </x:c>
      <x:c r="D397" s="21" t="n">
        <x:v>3633950</x:v>
      </x:c>
      <x:c r="E397" s="21" t="n">
        <x:v>49177800</x:v>
      </x:c>
      <x:c r="F397" s="11" t="str">
        <x:v>Nasdaq public historical table</x:v>
      </x:c>
    </x:row>
    <x:row r="398">
      <x:c r="A398" s="14" t="n">
        <x:v>44798</x:v>
      </x:c>
      <x:c r="B398" s="20" t="n">
        <x:v>117.03</x:v>
      </x:c>
      <x:c r="C398" s="20" t="n">
        <x:v>419.51</x:v>
      </x:c>
      <x:c r="D398" s="21" t="n">
        <x:v>4021587</x:v>
      </x:c>
      <x:c r="E398" s="21" t="n">
        <x:v>50942250</x:v>
      </x:c>
      <x:c r="F398" s="11" t="str">
        <x:v>Nasdaq public historical table</x:v>
      </x:c>
    </x:row>
    <x:row r="399">
      <x:c r="A399" s="14" t="n">
        <x:v>44799</x:v>
      </x:c>
      <x:c r="B399" s="20" t="n">
        <x:v>112.82</x:v>
      </x:c>
      <x:c r="C399" s="20" t="n">
        <x:v>405.31</x:v>
      </x:c>
      <x:c r="D399" s="21" t="n">
        <x:v>3778708</x:v>
      </x:c>
      <x:c r="E399" s="21" t="n">
        <x:v>103087000</x:v>
      </x:c>
      <x:c r="F399" s="11" t="str">
        <x:v>Nasdaq public historical table</x:v>
      </x:c>
    </x:row>
    <x:row r="400">
      <x:c r="A400" s="14" t="n">
        <x:v>44802</x:v>
      </x:c>
      <x:c r="B400" s="20" t="n">
        <x:v>113.54</x:v>
      </x:c>
      <x:c r="C400" s="20" t="n">
        <x:v>402.63</x:v>
      </x:c>
      <x:c r="D400" s="21" t="n">
        <x:v>4620614</x:v>
      </x:c>
      <x:c r="E400" s="21" t="n">
        <x:v>65370810</x:v>
      </x:c>
      <x:c r="F400" s="11" t="str">
        <x:v>Nasdaq public historical table</x:v>
      </x:c>
    </x:row>
    <x:row r="401">
      <x:c r="A401" s="14" t="n">
        <x:v>44803</x:v>
      </x:c>
      <x:c r="B401" s="20" t="n">
        <x:v>112.56</x:v>
      </x:c>
      <x:c r="C401" s="20" t="n">
        <x:v>398.21</x:v>
      </x:c>
      <x:c r="D401" s="21" t="n">
        <x:v>4507191</x:v>
      </x:c>
      <x:c r="E401" s="21" t="n">
        <x:v>85652440</x:v>
      </x:c>
      <x:c r="F401" s="11" t="str">
        <x:v>Nasdaq public historical table</x:v>
      </x:c>
    </x:row>
    <x:row r="402">
      <x:c r="A402" s="14" t="n">
        <x:v>44804</x:v>
      </x:c>
      <x:c r="B402" s="20" t="n">
        <x:v>113.12</x:v>
      </x:c>
      <x:c r="C402" s="20" t="n">
        <x:v>395.18</x:v>
      </x:c>
      <x:c r="D402" s="21" t="n">
        <x:v>6191562</x:v>
      </x:c>
      <x:c r="E402" s="21" t="n">
        <x:v>76029670</x:v>
      </x:c>
      <x:c r="F402" s="11" t="str">
        <x:v>Nasdaq public historical table</x:v>
      </x:c>
    </x:row>
    <x:row r="403">
      <x:c r="A403" s="14" t="n">
        <x:v>44805</x:v>
      </x:c>
      <x:c r="B403" s="20" t="n">
        <x:v>113.4</x:v>
      </x:c>
      <x:c r="C403" s="20" t="n">
        <x:v>396.42</x:v>
      </x:c>
      <x:c r="D403" s="21" t="n">
        <x:v>5661493</x:v>
      </x:c>
      <x:c r="E403" s="21" t="n">
        <x:v>78740080</x:v>
      </x:c>
      <x:c r="F403" s="11" t="str">
        <x:v>Nasdaq public historical table</x:v>
      </x:c>
    </x:row>
    <x:row r="404">
      <x:c r="A404" s="14" t="n">
        <x:v>44806</x:v>
      </x:c>
      <x:c r="B404" s="20" t="n">
        <x:v>113.64</x:v>
      </x:c>
      <x:c r="C404" s="20" t="n">
        <x:v>392.24</x:v>
      </x:c>
      <x:c r="D404" s="21" t="n">
        <x:v>4121736</x:v>
      </x:c>
      <x:c r="E404" s="21" t="n">
        <x:v>99632150</x:v>
      </x:c>
      <x:c r="F404" s="11" t="str">
        <x:v>Nasdaq public historical table</x:v>
      </x:c>
    </x:row>
    <x:row r="405">
      <x:c r="A405" s="14" t="n">
        <x:v>44810</x:v>
      </x:c>
      <x:c r="B405" s="20" t="n">
        <x:v>113.7</x:v>
      </x:c>
      <x:c r="C405" s="20" t="n">
        <x:v>390.76</x:v>
      </x:c>
      <x:c r="D405" s="21" t="n">
        <x:v>4067119</x:v>
      </x:c>
      <x:c r="E405" s="21" t="n">
        <x:v>76637400</x:v>
      </x:c>
      <x:c r="F405" s="11" t="str">
        <x:v>Nasdaq public historical table</x:v>
      </x:c>
    </x:row>
    <x:row r="406">
      <x:c r="A406" s="14" t="n">
        <x:v>44811</x:v>
      </x:c>
      <x:c r="B406" s="20" t="n">
        <x:v>116.07</x:v>
      </x:c>
      <x:c r="C406" s="20" t="n">
        <x:v>397.78</x:v>
      </x:c>
      <x:c r="D406" s="21" t="n">
        <x:v>4619318</x:v>
      </x:c>
      <x:c r="E406" s="21" t="n">
        <x:v>70964230</x:v>
      </x:c>
      <x:c r="F406" s="11" t="str">
        <x:v>Nasdaq public historical table</x:v>
      </x:c>
    </x:row>
    <x:row r="407">
      <x:c r="A407" s="14" t="n">
        <x:v>44812</x:v>
      </x:c>
      <x:c r="B407" s="20" t="n">
        <x:v>118.58</x:v>
      </x:c>
      <x:c r="C407" s="20" t="n">
        <x:v>400.38</x:v>
      </x:c>
      <x:c r="D407" s="21" t="n">
        <x:v>4063966</x:v>
      </x:c>
      <x:c r="E407" s="21" t="n">
        <x:v>80821680</x:v>
      </x:c>
      <x:c r="F407" s="11" t="str">
        <x:v>Nasdaq public historical table</x:v>
      </x:c>
    </x:row>
    <x:row r="408">
      <x:c r="A408" s="14" t="n">
        <x:v>44813</x:v>
      </x:c>
      <x:c r="B408" s="20" t="n">
        <x:v>123.48</x:v>
      </x:c>
      <x:c r="C408" s="20" t="n">
        <x:v>406.6</x:v>
      </x:c>
      <x:c r="D408" s="21" t="n">
        <x:v>5418591</x:v>
      </x:c>
      <x:c r="E408" s="21" t="n">
        <x:v>76706920</x:v>
      </x:c>
      <x:c r="F408" s="11" t="str">
        <x:v>Nasdaq public historical table</x:v>
      </x:c>
    </x:row>
    <x:row r="409">
      <x:c r="A409" s="14" t="n">
        <x:v>44816</x:v>
      </x:c>
      <x:c r="B409" s="20" t="n">
        <x:v>124.79</x:v>
      </x:c>
      <x:c r="C409" s="20" t="n">
        <x:v>410.97</x:v>
      </x:c>
      <x:c r="D409" s="21" t="n">
        <x:v>6993308</x:v>
      </x:c>
      <x:c r="E409" s="21" t="n">
        <x:v>69256260</x:v>
      </x:c>
      <x:c r="F409" s="11" t="str">
        <x:v>Nasdaq public historical table</x:v>
      </x:c>
    </x:row>
    <x:row r="410">
      <x:c r="A410" s="14" t="n">
        <x:v>44817</x:v>
      </x:c>
      <x:c r="B410" s="20" t="n">
        <x:v>121.54</x:v>
      </x:c>
      <x:c r="C410" s="20" t="n">
        <x:v>393.1</x:v>
      </x:c>
      <x:c r="D410" s="21" t="n">
        <x:v>7126468</x:v>
      </x:c>
      <x:c r="E410" s="21" t="n">
        <x:v>122947100</x:v>
      </x:c>
      <x:c r="F410" s="11" t="str">
        <x:v>Nasdaq public historical table</x:v>
      </x:c>
    </x:row>
    <x:row r="411">
      <x:c r="A411" s="14" t="n">
        <x:v>44818</x:v>
      </x:c>
      <x:c r="B411" s="20" t="n">
        <x:v>126.8</x:v>
      </x:c>
      <x:c r="C411" s="20" t="n">
        <x:v>394.6</x:v>
      </x:c>
      <x:c r="D411" s="21" t="n">
        <x:v>5690127</x:v>
      </x:c>
      <x:c r="E411" s="21" t="n">
        <x:v>85023750</x:v>
      </x:c>
      <x:c r="F411" s="11" t="str">
        <x:v>Nasdaq public historical table</x:v>
      </x:c>
    </x:row>
    <x:row r="412">
      <x:c r="A412" s="14" t="n">
        <x:v>44819</x:v>
      </x:c>
      <x:c r="B412" s="20" t="n">
        <x:v>125.04</x:v>
      </x:c>
      <x:c r="C412" s="20" t="n">
        <x:v>390.12</x:v>
      </x:c>
      <x:c r="D412" s="21" t="n">
        <x:v>6606137</x:v>
      </x:c>
      <x:c r="E412" s="21" t="n">
        <x:v>87633840</x:v>
      </x:c>
      <x:c r="F412" s="11" t="str">
        <x:v>Nasdaq public historical table</x:v>
      </x:c>
    </x:row>
    <x:row r="413">
      <x:c r="A413" s="14" t="n">
        <x:v>44820</x:v>
      </x:c>
      <x:c r="B413" s="20" t="n">
        <x:v>118.75</x:v>
      </x:c>
      <x:c r="C413" s="20" t="n">
        <x:v>385.56</x:v>
      </x:c>
      <x:c r="D413" s="21" t="n">
        <x:v>13704410</x:v>
      </x:c>
      <x:c r="E413" s="21" t="n">
        <x:v>103084800</x:v>
      </x:c>
      <x:c r="F413" s="11" t="str">
        <x:v>Nasdaq public historical table</x:v>
      </x:c>
    </x:row>
    <x:row r="414">
      <x:c r="A414" s="14" t="n">
        <x:v>44823</x:v>
      </x:c>
      <x:c r="B414" s="20" t="n">
        <x:v>118.78</x:v>
      </x:c>
      <x:c r="C414" s="20" t="n">
        <x:v>388.55</x:v>
      </x:c>
      <x:c r="D414" s="21" t="n">
        <x:v>4715382</x:v>
      </x:c>
      <x:c r="E414" s="21" t="n">
        <x:v>73278490</x:v>
      </x:c>
      <x:c r="F414" s="11" t="str">
        <x:v>Nasdaq public historical table</x:v>
      </x:c>
    </x:row>
    <x:row r="415">
      <x:c r="A415" s="14" t="n">
        <x:v>44824</x:v>
      </x:c>
      <x:c r="B415" s="20" t="n">
        <x:v>116.71</x:v>
      </x:c>
      <x:c r="C415" s="20" t="n">
        <x:v>384.09</x:v>
      </x:c>
      <x:c r="D415" s="21" t="n">
        <x:v>5610900</x:v>
      </x:c>
      <x:c r="E415" s="21" t="n">
        <x:v>77274880</x:v>
      </x:c>
      <x:c r="F415" s="11" t="str">
        <x:v>Nasdaq public historical table</x:v>
      </x:c>
    </x:row>
    <x:row r="416">
      <x:c r="A416" s="14" t="n">
        <x:v>44825</x:v>
      </x:c>
      <x:c r="B416" s="20" t="n">
        <x:v>114.01</x:v>
      </x:c>
      <x:c r="C416" s="20" t="n">
        <x:v>377.39</x:v>
      </x:c>
      <x:c r="D416" s="21" t="n">
        <x:v>6898713</x:v>
      </x:c>
      <x:c r="E416" s="21" t="n">
        <x:v>106746600</x:v>
      </x:c>
      <x:c r="F416" s="11" t="str">
        <x:v>Nasdaq public historical table</x:v>
      </x:c>
    </x:row>
    <x:row r="417">
      <x:c r="A417" s="14" t="n">
        <x:v>44826</x:v>
      </x:c>
      <x:c r="B417" s="20" t="n">
        <x:v>103.72</x:v>
      </x:c>
      <x:c r="C417" s="20" t="n">
        <x:v>374.22</x:v>
      </x:c>
      <x:c r="D417" s="21" t="n">
        <x:v>8399410</x:v>
      </x:c>
      <x:c r="E417" s="21" t="n">
        <x:v>89472640</x:v>
      </x:c>
      <x:c r="F417" s="11" t="str">
        <x:v>Nasdaq public historical table</x:v>
      </x:c>
    </x:row>
    <x:row r="418">
      <x:c r="A418" s="14" t="n">
        <x:v>44827</x:v>
      </x:c>
      <x:c r="B418" s="20" t="n">
        <x:v>101.75</x:v>
      </x:c>
      <x:c r="C418" s="20" t="n">
        <x:v>367.95</x:v>
      </x:c>
      <x:c r="D418" s="21" t="n">
        <x:v>6245555</x:v>
      </x:c>
      <x:c r="E418" s="21" t="n">
        <x:v>122346900</x:v>
      </x:c>
      <x:c r="F418" s="11" t="str">
        <x:v>Nasdaq public historical table</x:v>
      </x:c>
    </x:row>
    <x:row r="419">
      <x:c r="A419" s="14" t="n">
        <x:v>44830</x:v>
      </x:c>
      <x:c r="B419" s="20" t="n">
        <x:v>103.23</x:v>
      </x:c>
      <x:c r="C419" s="20" t="n">
        <x:v>364.31</x:v>
      </x:c>
      <x:c r="D419" s="21" t="n">
        <x:v>5278759</x:v>
      </x:c>
      <x:c r="E419" s="21" t="n">
        <x:v>92581240</x:v>
      </x:c>
      <x:c r="F419" s="11" t="str">
        <x:v>Nasdaq public historical table</x:v>
      </x:c>
    </x:row>
    <x:row r="420">
      <x:c r="A420" s="14" t="n">
        <x:v>44831</x:v>
      </x:c>
      <x:c r="B420" s="20" t="n">
        <x:v>106.37</x:v>
      </x:c>
      <x:c r="C420" s="20" t="n">
        <x:v>363.38</x:v>
      </x:c>
      <x:c r="D420" s="21" t="n">
        <x:v>5081006</x:v>
      </x:c>
      <x:c r="E420" s="21" t="n">
        <x:v>108294100</x:v>
      </x:c>
      <x:c r="F420" s="11" t="str">
        <x:v>Nasdaq public historical table</x:v>
      </x:c>
    </x:row>
    <x:row r="421">
      <x:c r="A421" s="14" t="n">
        <x:v>44832</x:v>
      </x:c>
      <x:c r="B421" s="20" t="n">
        <x:v>110.69</x:v>
      </x:c>
      <x:c r="C421" s="20" t="n">
        <x:v>370.53</x:v>
      </x:c>
      <x:c r="D421" s="21" t="n">
        <x:v>4518240</x:v>
      </x:c>
      <x:c r="E421" s="21" t="n">
        <x:v>110802200</x:v>
      </x:c>
      <x:c r="F421" s="11" t="str">
        <x:v>Nasdaq public historical table</x:v>
      </x:c>
    </x:row>
    <x:row r="422">
      <x:c r="A422" s="14" t="n">
        <x:v>44833</x:v>
      </x:c>
      <x:c r="B422" s="20" t="n">
        <x:v>106.66</x:v>
      </x:c>
      <x:c r="C422" s="20" t="n">
        <x:v>362.79</x:v>
      </x:c>
      <x:c r="D422" s="21" t="n">
        <x:v>4264336</x:v>
      </x:c>
      <x:c r="E422" s="21" t="n">
        <x:v>112952300</x:v>
      </x:c>
      <x:c r="F422" s="11" t="str">
        <x:v>Nasdaq public historical table</x:v>
      </x:c>
    </x:row>
    <x:row r="423">
      <x:c r="A423" s="14" t="n">
        <x:v>44834</x:v>
      </x:c>
      <x:c r="B423" s="20" t="n">
        <x:v>105.04</x:v>
      </x:c>
      <x:c r="C423" s="20" t="n">
        <x:v>357.18</x:v>
      </x:c>
      <x:c r="D423" s="21" t="n">
        <x:v>4750577</x:v>
      </x:c>
      <x:c r="E423" s="21" t="n">
        <x:v>153711200</x:v>
      </x:c>
      <x:c r="F423" s="11" t="str">
        <x:v>Nasdaq public historical table</x:v>
      </x:c>
    </x:row>
    <x:row r="424">
      <x:c r="A424" s="14" t="n">
        <x:v>44837</x:v>
      </x:c>
      <x:c r="B424" s="20" t="n">
        <x:v>105</x:v>
      </x:c>
      <x:c r="C424" s="20" t="n">
        <x:v>366.61</x:v>
      </x:c>
      <x:c r="D424" s="21" t="n">
        <x:v>6208938</x:v>
      </x:c>
      <x:c r="E424" s="21" t="n">
        <x:v>89756480</x:v>
      </x:c>
      <x:c r="F424" s="11" t="str">
        <x:v>Nasdaq public historical table</x:v>
      </x:c>
    </x:row>
    <x:row r="425">
      <x:c r="A425" s="14" t="n">
        <x:v>44838</x:v>
      </x:c>
      <x:c r="B425" s="20" t="n">
        <x:v>110.81</x:v>
      </x:c>
      <x:c r="C425" s="20" t="n">
        <x:v>377.97</x:v>
      </x:c>
      <x:c r="D425" s="21" t="n">
        <x:v>4834992</x:v>
      </x:c>
      <x:c r="E425" s="21" t="n">
        <x:v>103602800</x:v>
      </x:c>
      <x:c r="F425" s="11" t="str">
        <x:v>Nasdaq public historical table</x:v>
      </x:c>
    </x:row>
    <x:row r="426">
      <x:c r="A426" s="14" t="n">
        <x:v>44839</x:v>
      </x:c>
      <x:c r="B426" s="20" t="n">
        <x:v>111.76</x:v>
      </x:c>
      <x:c r="C426" s="20" t="n">
        <x:v>377.09</x:v>
      </x:c>
      <x:c r="D426" s="21" t="n">
        <x:v>4008655</x:v>
      </x:c>
      <x:c r="E426" s="21" t="n">
        <x:v>88065670</x:v>
      </x:c>
      <x:c r="F426" s="11" t="str">
        <x:v>Nasdaq public historical table</x:v>
      </x:c>
    </x:row>
    <x:row r="427">
      <x:c r="A427" s="14" t="n">
        <x:v>44840</x:v>
      </x:c>
      <x:c r="B427" s="20" t="n">
        <x:v>111.58</x:v>
      </x:c>
      <x:c r="C427" s="20" t="n">
        <x:v>373.2</x:v>
      </x:c>
      <x:c r="D427" s="21" t="n">
        <x:v>3446542</x:v>
      </x:c>
      <x:c r="E427" s="21" t="n">
        <x:v>82333540</x:v>
      </x:c>
      <x:c r="F427" s="11" t="str">
        <x:v>Nasdaq public historical table</x:v>
      </x:c>
    </x:row>
    <x:row r="428">
      <x:c r="A428" s="14" t="n">
        <x:v>44841</x:v>
      </x:c>
      <x:c r="B428" s="20" t="n">
        <x:v>108.54</x:v>
      </x:c>
      <x:c r="C428" s="20" t="n">
        <x:v>362.79</x:v>
      </x:c>
      <x:c r="D428" s="21" t="n">
        <x:v>3352741</x:v>
      </x:c>
      <x:c r="E428" s="21" t="n">
        <x:v>107789500</x:v>
      </x:c>
      <x:c r="F428" s="11" t="str">
        <x:v>Nasdaq public historical table</x:v>
      </x:c>
    </x:row>
    <x:row r="429">
      <x:c r="A429" s="14" t="n">
        <x:v>44844</x:v>
      </x:c>
      <x:c r="B429" s="20" t="n">
        <x:v>110.99</x:v>
      </x:c>
      <x:c r="C429" s="20" t="n">
        <x:v>360.02</x:v>
      </x:c>
      <x:c r="D429" s="21" t="n">
        <x:v>3945173</x:v>
      </x:c>
      <x:c r="E429" s="21" t="n">
        <x:v>76042770</x:v>
      </x:c>
      <x:c r="F429" s="11" t="str">
        <x:v>Nasdaq public historical table</x:v>
      </x:c>
    </x:row>
    <x:row r="430">
      <x:c r="A430" s="14" t="n">
        <x:v>44845</x:v>
      </x:c>
      <x:c r="B430" s="20" t="n">
        <x:v>106.82</x:v>
      </x:c>
      <x:c r="C430" s="20" t="n">
        <x:v>357.74</x:v>
      </x:c>
      <x:c r="D430" s="21" t="n">
        <x:v>5696693</x:v>
      </x:c>
      <x:c r="E430" s="21" t="n">
        <x:v>92482790</x:v>
      </x:c>
      <x:c r="F430" s="11" t="str">
        <x:v>Nasdaq public historical table</x:v>
      </x:c>
    </x:row>
    <x:row r="431">
      <x:c r="A431" s="14" t="n">
        <x:v>44846</x:v>
      </x:c>
      <x:c r="B431" s="20" t="n">
        <x:v>112.35</x:v>
      </x:c>
      <x:c r="C431" s="20" t="n">
        <x:v>356.56</x:v>
      </x:c>
      <x:c r="D431" s="21" t="n">
        <x:v>5547542</x:v>
      </x:c>
      <x:c r="E431" s="21" t="n">
        <x:v>76991800</x:v>
      </x:c>
      <x:c r="F431" s="11" t="str">
        <x:v>Nasdaq public historical table</x:v>
      </x:c>
    </x:row>
    <x:row r="432">
      <x:c r="A432" s="14" t="n">
        <x:v>44847</x:v>
      </x:c>
      <x:c r="B432" s="20" t="n">
        <x:v>112.65</x:v>
      </x:c>
      <x:c r="C432" s="20" t="n">
        <x:v>365.97</x:v>
      </x:c>
      <x:c r="D432" s="21" t="n">
        <x:v>6172480</x:v>
      </x:c>
      <x:c r="E432" s="21" t="n">
        <x:v>147254500</x:v>
      </x:c>
      <x:c r="F432" s="11" t="str">
        <x:v>Nasdaq public historical table</x:v>
      </x:c>
    </x:row>
    <x:row r="433">
      <x:c r="A433" s="14" t="n">
        <x:v>44848</x:v>
      </x:c>
      <x:c r="B433" s="20" t="n">
        <x:v>109.16</x:v>
      </x:c>
      <x:c r="C433" s="20" t="n">
        <x:v>357.63</x:v>
      </x:c>
      <x:c r="D433" s="21" t="n">
        <x:v>5001698</x:v>
      </x:c>
      <x:c r="E433" s="21" t="n">
        <x:v>123737000</x:v>
      </x:c>
      <x:c r="F433" s="11" t="str">
        <x:v>Nasdaq public historical table</x:v>
      </x:c>
    </x:row>
    <x:row r="434">
      <x:c r="A434" s="14" t="n">
        <x:v>44851</x:v>
      </x:c>
      <x:c r="B434" s="20" t="n">
        <x:v>116.5</x:v>
      </x:c>
      <x:c r="C434" s="20" t="n">
        <x:v>366.82</x:v>
      </x:c>
      <x:c r="D434" s="21" t="n">
        <x:v>5423881</x:v>
      </x:c>
      <x:c r="E434" s="21" t="n">
        <x:v>93168230</x:v>
      </x:c>
      <x:c r="F434" s="11" t="str">
        <x:v>Nasdaq public historical table</x:v>
      </x:c>
    </x:row>
    <x:row r="435">
      <x:c r="A435" s="14" t="n">
        <x:v>44852</x:v>
      </x:c>
      <x:c r="B435" s="20" t="n">
        <x:v>117.94</x:v>
      </x:c>
      <x:c r="C435" s="20" t="n">
        <x:v>371.13</x:v>
      </x:c>
      <x:c r="D435" s="21" t="n">
        <x:v>5580013</x:v>
      </x:c>
      <x:c r="E435" s="21" t="n">
        <x:v>97162850</x:v>
      </x:c>
      <x:c r="F435" s="11" t="str">
        <x:v>Nasdaq public historical table</x:v>
      </x:c>
    </x:row>
    <x:row r="436">
      <x:c r="A436" s="14" t="n">
        <x:v>44853</x:v>
      </x:c>
      <x:c r="B436" s="20" t="n">
        <x:v>116.87</x:v>
      </x:c>
      <x:c r="C436" s="20" t="n">
        <x:v>368.5</x:v>
      </x:c>
      <x:c r="D436" s="21" t="n">
        <x:v>3408865</x:v>
      </x:c>
      <x:c r="E436" s="21" t="n">
        <x:v>79746860</x:v>
      </x:c>
      <x:c r="F436" s="11" t="str">
        <x:v>Nasdaq public historical table</x:v>
      </x:c>
    </x:row>
    <x:row r="437">
      <x:c r="A437" s="14" t="n">
        <x:v>44854</x:v>
      </x:c>
      <x:c r="B437" s="20" t="n">
        <x:v>117</x:v>
      </x:c>
      <x:c r="C437" s="20" t="n">
        <x:v>365.41</x:v>
      </x:c>
      <x:c r="D437" s="21" t="n">
        <x:v>3962235</x:v>
      </x:c>
      <x:c r="E437" s="21" t="n">
        <x:v>88283090</x:v>
      </x:c>
      <x:c r="F437" s="11" t="str">
        <x:v>Nasdaq public historical table</x:v>
      </x:c>
    </x:row>
    <x:row r="438">
      <x:c r="A438" s="14" t="n">
        <x:v>44855</x:v>
      </x:c>
      <x:c r="B438" s="20" t="n">
        <x:v>119.95</x:v>
      </x:c>
      <x:c r="C438" s="20" t="n">
        <x:v>374.29</x:v>
      </x:c>
      <x:c r="D438" s="21" t="n">
        <x:v>4146060</x:v>
      </x:c>
      <x:c r="E438" s="21" t="n">
        <x:v>131038400</x:v>
      </x:c>
      <x:c r="F438" s="11" t="str">
        <x:v>Nasdaq public historical table</x:v>
      </x:c>
    </x:row>
    <x:row r="439">
      <x:c r="A439" s="14" t="n">
        <x:v>44858</x:v>
      </x:c>
      <x:c r="B439" s="20" t="n">
        <x:v>116.39</x:v>
      </x:c>
      <x:c r="C439" s="20" t="n">
        <x:v>378.87</x:v>
      </x:c>
      <x:c r="D439" s="21" t="n">
        <x:v>4452813</x:v>
      </x:c>
      <x:c r="E439" s="21" t="n">
        <x:v>85436910</x:v>
      </x:c>
      <x:c r="F439" s="11" t="str">
        <x:v>Nasdaq public historical table</x:v>
      </x:c>
    </x:row>
    <x:row r="440">
      <x:c r="A440" s="14" t="n">
        <x:v>44859</x:v>
      </x:c>
      <x:c r="B440" s="20" t="n">
        <x:v>118.45</x:v>
      </x:c>
      <x:c r="C440" s="20" t="n">
        <x:v>384.92</x:v>
      </x:c>
      <x:c r="D440" s="21" t="n">
        <x:v>6278920</x:v>
      </x:c>
      <x:c r="E440" s="21" t="n">
        <x:v>78846350</x:v>
      </x:c>
      <x:c r="F440" s="11" t="str">
        <x:v>Nasdaq public historical table</x:v>
      </x:c>
    </x:row>
    <x:row r="441">
      <x:c r="A441" s="14" t="n">
        <x:v>44860</x:v>
      </x:c>
      <x:c r="B441" s="20" t="n">
        <x:v>115.31</x:v>
      </x:c>
      <x:c r="C441" s="20" t="n">
        <x:v>382.02</x:v>
      </x:c>
      <x:c r="D441" s="21" t="n">
        <x:v>4268449</x:v>
      </x:c>
      <x:c r="E441" s="21" t="n">
        <x:v>104087300</x:v>
      </x:c>
      <x:c r="F441" s="11" t="str">
        <x:v>Nasdaq public historical table</x:v>
      </x:c>
    </x:row>
    <x:row r="442">
      <x:c r="A442" s="14" t="n">
        <x:v>44861</x:v>
      </x:c>
      <x:c r="B442" s="20" t="n">
        <x:v>112.06</x:v>
      </x:c>
      <x:c r="C442" s="20" t="n">
        <x:v>379.98</x:v>
      </x:c>
      <x:c r="D442" s="21" t="n">
        <x:v>4593997</x:v>
      </x:c>
      <x:c r="E442" s="21" t="n">
        <x:v>81971760</x:v>
      </x:c>
      <x:c r="F442" s="11" t="str">
        <x:v>Nasdaq public historical table</x:v>
      </x:c>
    </x:row>
    <x:row r="443">
      <x:c r="A443" s="14" t="n">
        <x:v>44862</x:v>
      </x:c>
      <x:c r="B443" s="20" t="n">
        <x:v>115.21</x:v>
      </x:c>
      <x:c r="C443" s="20" t="n">
        <x:v>389.02</x:v>
      </x:c>
      <x:c r="D443" s="21" t="n">
        <x:v>4757271</x:v>
      </x:c>
      <x:c r="E443" s="21" t="n">
        <x:v>100302000</x:v>
      </x:c>
      <x:c r="F443" s="11" t="str">
        <x:v>Nasdaq public historical table</x:v>
      </x:c>
    </x:row>
    <x:row r="444">
      <x:c r="A444" s="14" t="n">
        <x:v>44865</x:v>
      </x:c>
      <x:c r="B444" s="20" t="n">
        <x:v>106.91</x:v>
      </x:c>
      <x:c r="C444" s="20" t="n">
        <x:v>386.21</x:v>
      </x:c>
      <x:c r="D444" s="21" t="n">
        <x:v>10733820</x:v>
      </x:c>
      <x:c r="E444" s="21" t="n">
        <x:v>96631260</x:v>
      </x:c>
      <x:c r="F444" s="11" t="str">
        <x:v>Nasdaq public historical table</x:v>
      </x:c>
    </x:row>
    <x:row r="445">
      <x:c r="A445" s="14" t="n">
        <x:v>44866</x:v>
      </x:c>
      <x:c r="B445" s="20" t="n">
        <x:v>109.05</x:v>
      </x:c>
      <x:c r="C445" s="20" t="n">
        <x:v>384.52</x:v>
      </x:c>
      <x:c r="D445" s="21" t="n">
        <x:v>15979820</x:v>
      </x:c>
      <x:c r="E445" s="21" t="n">
        <x:v>85407600</x:v>
      </x:c>
      <x:c r="F445" s="11" t="str">
        <x:v>Nasdaq public historical table</x:v>
      </x:c>
    </x:row>
    <x:row r="446">
      <x:c r="A446" s="14" t="n">
        <x:v>44867</x:v>
      </x:c>
      <x:c r="B446" s="20" t="n">
        <x:v>94.41</x:v>
      </x:c>
      <x:c r="C446" s="20" t="n">
        <x:v>374.87</x:v>
      </x:c>
      <x:c r="D446" s="21" t="n">
        <x:v>29191370</x:v>
      </x:c>
      <x:c r="E446" s="21" t="n">
        <x:v>126990400</x:v>
      </x:c>
      <x:c r="F446" s="11" t="str">
        <x:v>Nasdaq public historical table</x:v>
      </x:c>
    </x:row>
    <x:row r="447">
      <x:c r="A447" s="14" t="n">
        <x:v>44868</x:v>
      </x:c>
      <x:c r="B447" s="20" t="n">
        <x:v>92.02</x:v>
      </x:c>
      <x:c r="C447" s="20" t="n">
        <x:v>371.01</x:v>
      </x:c>
      <x:c r="D447" s="21" t="n">
        <x:v>10099300</x:v>
      </x:c>
      <x:c r="E447" s="21" t="n">
        <x:v>87100120</x:v>
      </x:c>
      <x:c r="F447" s="11" t="str">
        <x:v>Nasdaq public historical table</x:v>
      </x:c>
    </x:row>
    <x:row r="448">
      <x:c r="A448" s="14" t="n">
        <x:v>44869</x:v>
      </x:c>
      <x:c r="B448" s="20" t="n">
        <x:v>96.09</x:v>
      </x:c>
      <x:c r="C448" s="20" t="n">
        <x:v>376.35</x:v>
      </x:c>
      <x:c r="D448" s="21" t="n">
        <x:v>9717396</x:v>
      </x:c>
      <x:c r="E448" s="21" t="n">
        <x:v>103505200</x:v>
      </x:c>
      <x:c r="F448" s="11" t="str">
        <x:v>Nasdaq public historical table</x:v>
      </x:c>
    </x:row>
    <x:row r="449">
      <x:c r="A449" s="14" t="n">
        <x:v>44872</x:v>
      </x:c>
      <x:c r="B449" s="20" t="n">
        <x:v>95.46</x:v>
      </x:c>
      <x:c r="C449" s="20" t="n">
        <x:v>379.95</x:v>
      </x:c>
      <x:c r="D449" s="21" t="n">
        <x:v>7972690</x:v>
      </x:c>
      <x:c r="E449" s="21" t="n">
        <x:v>68286950</x:v>
      </x:c>
      <x:c r="F449" s="11" t="str">
        <x:v>Nasdaq public historical table</x:v>
      </x:c>
    </x:row>
    <x:row r="450">
      <x:c r="A450" s="14" t="n">
        <x:v>44873</x:v>
      </x:c>
      <x:c r="B450" s="20" t="n">
        <x:v>98.9</x:v>
      </x:c>
      <x:c r="C450" s="20" t="n">
        <x:v>382</x:v>
      </x:c>
      <x:c r="D450" s="21" t="n">
        <x:v>7829381</x:v>
      </x:c>
      <x:c r="E450" s="21" t="n">
        <x:v>84641060</x:v>
      </x:c>
      <x:c r="F450" s="11" t="str">
        <x:v>Nasdaq public historical table</x:v>
      </x:c>
    </x:row>
    <x:row r="451">
      <x:c r="A451" s="14" t="n">
        <x:v>44874</x:v>
      </x:c>
      <x:c r="B451" s="20" t="n">
        <x:v>95.79</x:v>
      </x:c>
      <x:c r="C451" s="20" t="n">
        <x:v>374.13</x:v>
      </x:c>
      <x:c r="D451" s="21" t="n">
        <x:v>4650860</x:v>
      </x:c>
      <x:c r="E451" s="21" t="n">
        <x:v>78495470</x:v>
      </x:c>
      <x:c r="F451" s="11" t="str">
        <x:v>Nasdaq public historical table</x:v>
      </x:c>
    </x:row>
    <x:row r="452">
      <x:c r="A452" s="14" t="n">
        <x:v>44875</x:v>
      </x:c>
      <x:c r="B452" s="20" t="n">
        <x:v>102.4</x:v>
      </x:c>
      <x:c r="C452" s="20" t="n">
        <x:v>394.69</x:v>
      </x:c>
      <x:c r="D452" s="21" t="n">
        <x:v>7343018</x:v>
      </x:c>
      <x:c r="E452" s="21" t="n">
        <x:v>141455800</x:v>
      </x:c>
      <x:c r="F452" s="11" t="str">
        <x:v>Nasdaq public historical table</x:v>
      </x:c>
    </x:row>
    <x:row r="453">
      <x:c r="A453" s="14" t="n">
        <x:v>44876</x:v>
      </x:c>
      <x:c r="B453" s="20" t="n">
        <x:v>109.57</x:v>
      </x:c>
      <x:c r="C453" s="20" t="n">
        <x:v>398.51</x:v>
      </x:c>
      <x:c r="D453" s="21" t="n">
        <x:v>6864381</x:v>
      </x:c>
      <x:c r="E453" s="21" t="n">
        <x:v>93839870</x:v>
      </x:c>
      <x:c r="F453" s="11" t="str">
        <x:v>Nasdaq public historical table</x:v>
      </x:c>
    </x:row>
    <x:row r="454">
      <x:c r="A454" s="14" t="n">
        <x:v>44879</x:v>
      </x:c>
      <x:c r="B454" s="20" t="n">
        <x:v>105.16</x:v>
      </x:c>
      <x:c r="C454" s="20" t="n">
        <x:v>395.12</x:v>
      </x:c>
      <x:c r="D454" s="21" t="n">
        <x:v>4951447</x:v>
      </x:c>
      <x:c r="E454" s="21" t="n">
        <x:v>71893170</x:v>
      </x:c>
      <x:c r="F454" s="11" t="str">
        <x:v>Nasdaq public historical table</x:v>
      </x:c>
    </x:row>
    <x:row r="455">
      <x:c r="A455" s="14" t="n">
        <x:v>44880</x:v>
      </x:c>
      <x:c r="B455" s="20" t="n">
        <x:v>107.01</x:v>
      </x:c>
      <x:c r="C455" s="20" t="n">
        <x:v>398.49</x:v>
      </x:c>
      <x:c r="D455" s="21" t="n">
        <x:v>5357427</x:v>
      </x:c>
      <x:c r="E455" s="21" t="n">
        <x:v>93194450</x:v>
      </x:c>
      <x:c r="F455" s="11" t="str">
        <x:v>Nasdaq public historical table</x:v>
      </x:c>
    </x:row>
    <x:row r="456">
      <x:c r="A456" s="14" t="n">
        <x:v>44881</x:v>
      </x:c>
      <x:c r="B456" s="20" t="n">
        <x:v>104.43</x:v>
      </x:c>
      <x:c r="C456" s="20" t="n">
        <x:v>395.45</x:v>
      </x:c>
      <x:c r="D456" s="21" t="n">
        <x:v>3681831</x:v>
      </x:c>
      <x:c r="E456" s="21" t="n">
        <x:v>68508450</x:v>
      </x:c>
      <x:c r="F456" s="11" t="str">
        <x:v>Nasdaq public historical table</x:v>
      </x:c>
    </x:row>
    <x:row r="457">
      <x:c r="A457" s="14" t="n">
        <x:v>44882</x:v>
      </x:c>
      <x:c r="B457" s="20" t="n">
        <x:v>99.3</x:v>
      </x:c>
      <x:c r="C457" s="20" t="n">
        <x:v>394.24</x:v>
      </x:c>
      <x:c r="D457" s="21" t="n">
        <x:v>5181201</x:v>
      </x:c>
      <x:c r="E457" s="21" t="n">
        <x:v>74496260</x:v>
      </x:c>
      <x:c r="F457" s="11" t="str">
        <x:v>Nasdaq public historical table</x:v>
      </x:c>
    </x:row>
    <x:row r="458">
      <x:c r="A458" s="14" t="n">
        <x:v>44883</x:v>
      </x:c>
      <x:c r="B458" s="20" t="n">
        <x:v>97.77</x:v>
      </x:c>
      <x:c r="C458" s="20" t="n">
        <x:v>396.03</x:v>
      </x:c>
      <x:c r="D458" s="21" t="n">
        <x:v>5913126</x:v>
      </x:c>
      <x:c r="E458" s="21" t="n">
        <x:v>92922450</x:v>
      </x:c>
      <x:c r="F458" s="11" t="str">
        <x:v>Nasdaq public historical table</x:v>
      </x:c>
    </x:row>
    <x:row r="459">
      <x:c r="A459" s="14" t="n">
        <x:v>44886</x:v>
      </x:c>
      <x:c r="B459" s="20" t="n">
        <x:v>95.71</x:v>
      </x:c>
      <x:c r="C459" s="20" t="n">
        <x:v>394.59</x:v>
      </x:c>
      <x:c r="D459" s="21" t="n">
        <x:v>5145740</x:v>
      </x:c>
      <x:c r="E459" s="21" t="n">
        <x:v>51243190</x:v>
      </x:c>
      <x:c r="F459" s="11" t="str">
        <x:v>Nasdaq public historical table</x:v>
      </x:c>
    </x:row>
    <x:row r="460">
      <x:c r="A460" s="14" t="n">
        <x:v>44887</x:v>
      </x:c>
      <x:c r="B460" s="20" t="n">
        <x:v>95.28</x:v>
      </x:c>
      <x:c r="C460" s="20" t="n">
        <x:v>399.9</x:v>
      </x:c>
      <x:c r="D460" s="21" t="n">
        <x:v>5951592</x:v>
      </x:c>
      <x:c r="E460" s="21" t="n">
        <x:v>60429030</x:v>
      </x:c>
      <x:c r="F460" s="11" t="str">
        <x:v>Nasdaq public historical table</x:v>
      </x:c>
    </x:row>
    <x:row r="461">
      <x:c r="A461" s="14" t="n">
        <x:v>44888</x:v>
      </x:c>
      <x:c r="B461" s="20" t="n">
        <x:v>96.63</x:v>
      </x:c>
      <x:c r="C461" s="20" t="n">
        <x:v>402.42</x:v>
      </x:c>
      <x:c r="D461" s="21" t="n">
        <x:v>4337602</x:v>
      </x:c>
      <x:c r="E461" s="21" t="n">
        <x:v>68261630</x:v>
      </x:c>
      <x:c r="F461" s="11" t="str">
        <x:v>Nasdaq public historical table</x:v>
      </x:c>
    </x:row>
    <x:row r="462">
      <x:c r="A462" s="14" t="n">
        <x:v>44890</x:v>
      </x:c>
      <x:c r="B462" s="20" t="n">
        <x:v>97.67</x:v>
      </x:c>
      <x:c r="C462" s="20" t="n">
        <x:v>402.33</x:v>
      </x:c>
      <x:c r="D462" s="21" t="n">
        <x:v>2245116</x:v>
      </x:c>
      <x:c r="E462" s="21" t="n">
        <x:v>30545430</x:v>
      </x:c>
      <x:c r="F462" s="11" t="str">
        <x:v>Nasdaq public historical table</x:v>
      </x:c>
    </x:row>
    <x:row r="463">
      <x:c r="A463" s="14" t="n">
        <x:v>44893</x:v>
      </x:c>
      <x:c r="B463" s="20" t="n">
        <x:v>95.3</x:v>
      </x:c>
      <x:c r="C463" s="20" t="n">
        <x:v>395.91</x:v>
      </x:c>
      <x:c r="D463" s="21" t="n">
        <x:v>5136713</x:v>
      </x:c>
      <x:c r="E463" s="21" t="n">
        <x:v>68021750</x:v>
      </x:c>
      <x:c r="F463" s="11" t="str">
        <x:v>Nasdaq public historical table</x:v>
      </x:c>
    </x:row>
    <x:row r="464">
      <x:c r="A464" s="14" t="n">
        <x:v>44894</x:v>
      </x:c>
      <x:c r="B464" s="20" t="n">
        <x:v>95.38</x:v>
      </x:c>
      <x:c r="C464" s="20" t="n">
        <x:v>395.23</x:v>
      </x:c>
      <x:c r="D464" s="21" t="n">
        <x:v>3694023</x:v>
      </x:c>
      <x:c r="E464" s="21" t="n">
        <x:v>52310040</x:v>
      </x:c>
      <x:c r="F464" s="11" t="str">
        <x:v>Nasdaq public historical table</x:v>
      </x:c>
    </x:row>
    <x:row r="465">
      <x:c r="A465" s="14" t="n">
        <x:v>44895</x:v>
      </x:c>
      <x:c r="B465" s="20" t="n">
        <x:v>102.14</x:v>
      </x:c>
      <x:c r="C465" s="20" t="n">
        <x:v>407.68</x:v>
      </x:c>
      <x:c r="D465" s="21" t="n">
        <x:v>8387537</x:v>
      </x:c>
      <x:c r="E465" s="21" t="n">
        <x:v>144566700</x:v>
      </x:c>
      <x:c r="F465" s="11" t="str">
        <x:v>Nasdaq public historical table</x:v>
      </x:c>
    </x:row>
    <x:row r="466">
      <x:c r="A466" s="14" t="n">
        <x:v>44896</x:v>
      </x:c>
      <x:c r="B466" s="20" t="n">
        <x:v>101.27</x:v>
      </x:c>
      <x:c r="C466" s="20" t="n">
        <x:v>407.38</x:v>
      </x:c>
      <x:c r="D466" s="21" t="n">
        <x:v>5040308</x:v>
      </x:c>
      <x:c r="E466" s="21" t="n">
        <x:v>76398170</x:v>
      </x:c>
      <x:c r="F466" s="11" t="str">
        <x:v>Nasdaq public historical table</x:v>
      </x:c>
    </x:row>
    <x:row r="467">
      <x:c r="A467" s="14" t="n">
        <x:v>44897</x:v>
      </x:c>
      <x:c r="B467" s="20" t="n">
        <x:v>101</x:v>
      </x:c>
      <x:c r="C467" s="20" t="n">
        <x:v>406.91</x:v>
      </x:c>
      <x:c r="D467" s="21" t="n">
        <x:v>4128629</x:v>
      </x:c>
      <x:c r="E467" s="21" t="n">
        <x:v>85342730</x:v>
      </x:c>
      <x:c r="F467" s="11" t="str">
        <x:v>Nasdaq public historical table</x:v>
      </x:c>
    </x:row>
    <x:row r="468">
      <x:c r="A468" s="14" t="n">
        <x:v>44900</x:v>
      </x:c>
      <x:c r="B468" s="20" t="n">
        <x:v>98.51</x:v>
      </x:c>
      <x:c r="C468" s="20" t="n">
        <x:v>399.59</x:v>
      </x:c>
      <x:c r="D468" s="21" t="n">
        <x:v>3601549</x:v>
      </x:c>
      <x:c r="E468" s="21" t="n">
        <x:v>77289820</x:v>
      </x:c>
      <x:c r="F468" s="11" t="str">
        <x:v>Nasdaq public historical table</x:v>
      </x:c>
    </x:row>
    <x:row r="469">
      <x:c r="A469" s="14" t="n">
        <x:v>44901</x:v>
      </x:c>
      <x:c r="B469" s="20" t="n">
        <x:v>93.12</x:v>
      </x:c>
      <x:c r="C469" s="20" t="n">
        <x:v>393.83</x:v>
      </x:c>
      <x:c r="D469" s="21" t="n">
        <x:v>8380946</x:v>
      </x:c>
      <x:c r="E469" s="21" t="n">
        <x:v>77972220</x:v>
      </x:c>
      <x:c r="F469" s="11" t="str">
        <x:v>Nasdaq public historical table</x:v>
      </x:c>
    </x:row>
    <x:row r="470">
      <x:c r="A470" s="14" t="n">
        <x:v>44902</x:v>
      </x:c>
      <x:c r="B470" s="20" t="n">
        <x:v>91.5</x:v>
      </x:c>
      <x:c r="C470" s="20" t="n">
        <x:v>393.16</x:v>
      </x:c>
      <x:c r="D470" s="21" t="n">
        <x:v>12640480</x:v>
      </x:c>
      <x:c r="E470" s="21" t="n">
        <x:v>65927900</x:v>
      </x:c>
      <x:c r="F470" s="11" t="str">
        <x:v>Nasdaq public historical table</x:v>
      </x:c>
    </x:row>
    <x:row r="471">
      <x:c r="A471" s="14" t="n">
        <x:v>44903</x:v>
      </x:c>
      <x:c r="B471" s="20" t="n">
        <x:v>94.83</x:v>
      </x:c>
      <x:c r="C471" s="20" t="n">
        <x:v>396.24</x:v>
      </x:c>
      <x:c r="D471" s="21" t="n">
        <x:v>6115721</x:v>
      </x:c>
      <x:c r="E471" s="21" t="n">
        <x:v>60737910</x:v>
      </x:c>
      <x:c r="F471" s="11" t="str">
        <x:v>Nasdaq public historical table</x:v>
      </x:c>
    </x:row>
    <x:row r="472">
      <x:c r="A472" s="14" t="n">
        <x:v>44904</x:v>
      </x:c>
      <x:c r="B472" s="20" t="n">
        <x:v>94.7</x:v>
      </x:c>
      <x:c r="C472" s="20" t="n">
        <x:v>393.28</x:v>
      </x:c>
      <x:c r="D472" s="21" t="n">
        <x:v>4405805</x:v>
      </x:c>
      <x:c r="E472" s="21" t="n">
        <x:v>81447730</x:v>
      </x:c>
      <x:c r="F472" s="11" t="str">
        <x:v>Nasdaq public historical table</x:v>
      </x:c>
    </x:row>
    <x:row r="473">
      <x:c r="A473" s="14" t="n">
        <x:v>44907</x:v>
      </x:c>
      <x:c r="B473" s="20" t="n">
        <x:v>95.58</x:v>
      </x:c>
      <x:c r="C473" s="20" t="n">
        <x:v>398.95</x:v>
      </x:c>
      <x:c r="D473" s="21" t="n">
        <x:v>4664128</x:v>
      </x:c>
      <x:c r="E473" s="21" t="n">
        <x:v>75405840</x:v>
      </x:c>
      <x:c r="F473" s="11" t="str">
        <x:v>Nasdaq public historical table</x:v>
      </x:c>
    </x:row>
    <x:row r="474">
      <x:c r="A474" s="14" t="n">
        <x:v>44908</x:v>
      </x:c>
      <x:c r="B474" s="20" t="n">
        <x:v>93.34</x:v>
      </x:c>
      <x:c r="C474" s="20" t="n">
        <x:v>401.97</x:v>
      </x:c>
      <x:c r="D474" s="21" t="n">
        <x:v>7378926</x:v>
      </x:c>
      <x:c r="E474" s="21" t="n">
        <x:v>123782500</x:v>
      </x:c>
      <x:c r="F474" s="11" t="str">
        <x:v>Nasdaq public historical table</x:v>
      </x:c>
    </x:row>
    <x:row r="475">
      <x:c r="A475" s="14" t="n">
        <x:v>44909</x:v>
      </x:c>
      <x:c r="B475" s="20" t="n">
        <x:v>93.93</x:v>
      </x:c>
      <x:c r="C475" s="20" t="n">
        <x:v>399.4</x:v>
      </x:c>
      <x:c r="D475" s="21" t="n">
        <x:v>6737816</x:v>
      </x:c>
      <x:c r="E475" s="21" t="n">
        <x:v>108111300</x:v>
      </x:c>
      <x:c r="F475" s="11" t="str">
        <x:v>Nasdaq public historical table</x:v>
      </x:c>
    </x:row>
    <x:row r="476">
      <x:c r="A476" s="14" t="n">
        <x:v>44910</x:v>
      </x:c>
      <x:c r="B476" s="20" t="n">
        <x:v>90.61</x:v>
      </x:c>
      <x:c r="C476" s="20" t="n">
        <x:v>389.63</x:v>
      </x:c>
      <x:c r="D476" s="21" t="n">
        <x:v>5331958</x:v>
      </x:c>
      <x:c r="E476" s="21" t="n">
        <x:v>117705900</x:v>
      </x:c>
      <x:c r="F476" s="11" t="str">
        <x:v>Nasdaq public historical table</x:v>
      </x:c>
    </x:row>
    <x:row r="477">
      <x:c r="A477" s="14" t="n">
        <x:v>44911</x:v>
      </x:c>
      <x:c r="B477" s="20" t="n">
        <x:v>89.57</x:v>
      </x:c>
      <x:c r="C477" s="20" t="n">
        <x:v>383.27</x:v>
      </x:c>
      <x:c r="D477" s="21" t="n">
        <x:v>6830248</x:v>
      </x:c>
      <x:c r="E477" s="21" t="n">
        <x:v>119858000</x:v>
      </x:c>
      <x:c r="F477" s="11" t="str">
        <x:v>Nasdaq public historical table</x:v>
      </x:c>
    </x:row>
    <x:row r="478">
      <x:c r="A478" s="14" t="n">
        <x:v>44914</x:v>
      </x:c>
      <x:c r="B478" s="20" t="n">
        <x:v>85.93</x:v>
      </x:c>
      <x:c r="C478" s="20" t="n">
        <x:v>380.02</x:v>
      </x:c>
      <x:c r="D478" s="21" t="n">
        <x:v>4717138</x:v>
      </x:c>
      <x:c r="E478" s="21" t="n">
        <x:v>79878100</x:v>
      </x:c>
      <x:c r="F478" s="11" t="str">
        <x:v>Nasdaq public historical table</x:v>
      </x:c>
    </x:row>
    <x:row r="479">
      <x:c r="A479" s="14" t="n">
        <x:v>44915</x:v>
      </x:c>
      <x:c r="B479" s="20" t="n">
        <x:v>87.62</x:v>
      </x:c>
      <x:c r="C479" s="20" t="n">
        <x:v>380.54</x:v>
      </x:c>
      <x:c r="D479" s="21" t="n">
        <x:v>7325782</x:v>
      </x:c>
      <x:c r="E479" s="21" t="n">
        <x:v>74427240</x:v>
      </x:c>
      <x:c r="F479" s="11" t="str">
        <x:v>Nasdaq public historical table</x:v>
      </x:c>
    </x:row>
    <x:row r="480">
      <x:c r="A480" s="14" t="n">
        <x:v>44916</x:v>
      </x:c>
      <x:c r="B480" s="20" t="n">
        <x:v>87.07</x:v>
      </x:c>
      <x:c r="C480" s="20" t="n">
        <x:v>386.23</x:v>
      </x:c>
      <x:c r="D480" s="21" t="n">
        <x:v>5594786</x:v>
      </x:c>
      <x:c r="E480" s="21" t="n">
        <x:v>78167370</x:v>
      </x:c>
      <x:c r="F480" s="11" t="str">
        <x:v>Nasdaq public historical table</x:v>
      </x:c>
    </x:row>
    <x:row r="481">
      <x:c r="A481" s="14" t="n">
        <x:v>44917</x:v>
      </x:c>
      <x:c r="B481" s="20" t="n">
        <x:v>84.87</x:v>
      </x:c>
      <x:c r="C481" s="20" t="n">
        <x:v>380.72</x:v>
      </x:c>
      <x:c r="D481" s="21" t="n">
        <x:v>5643102</x:v>
      </x:c>
      <x:c r="E481" s="21" t="n">
        <x:v>100120900</x:v>
      </x:c>
      <x:c r="F481" s="11" t="str">
        <x:v>Nasdaq public historical table</x:v>
      </x:c>
    </x:row>
    <x:row r="482">
      <x:c r="A482" s="14" t="n">
        <x:v>44918</x:v>
      </x:c>
      <x:c r="B482" s="20" t="n">
        <x:v>85.25</x:v>
      </x:c>
      <x:c r="C482" s="20" t="n">
        <x:v>382.91</x:v>
      </x:c>
      <x:c r="D482" s="21" t="n">
        <x:v>3057684</x:v>
      </x:c>
      <x:c r="E482" s="21" t="n">
        <x:v>59857330</x:v>
      </x:c>
      <x:c r="F482" s="11" t="str">
        <x:v>Nasdaq public historical table</x:v>
      </x:c>
    </x:row>
    <x:row r="483">
      <x:c r="A483" s="14" t="n">
        <x:v>44922</x:v>
      </x:c>
      <x:c r="B483" s="20" t="n">
        <x:v>83.49</x:v>
      </x:c>
      <x:c r="C483" s="20" t="n">
        <x:v>381.4</x:v>
      </x:c>
      <x:c r="D483" s="21" t="n">
        <x:v>3982410</x:v>
      </x:c>
      <x:c r="E483" s="21" t="n">
        <x:v>51638180</x:v>
      </x:c>
      <x:c r="F483" s="11" t="str">
        <x:v>Nasdaq public historical table</x:v>
      </x:c>
    </x:row>
    <x:row r="484">
      <x:c r="A484" s="14" t="n">
        <x:v>44923</x:v>
      </x:c>
      <x:c r="B484" s="20" t="n">
        <x:v>82.49</x:v>
      </x:c>
      <x:c r="C484" s="20" t="n">
        <x:v>376.66</x:v>
      </x:c>
      <x:c r="D484" s="21" t="n">
        <x:v>4931745</x:v>
      </x:c>
      <x:c r="E484" s="21" t="n">
        <x:v>70911520</x:v>
      </x:c>
      <x:c r="F484" s="11" t="str">
        <x:v>Nasdaq public historical table</x:v>
      </x:c>
    </x:row>
    <x:row r="485">
      <x:c r="A485" s="14" t="n">
        <x:v>44924</x:v>
      </x:c>
      <x:c r="B485" s="20" t="n">
        <x:v>85.23</x:v>
      </x:c>
      <x:c r="C485" s="20" t="n">
        <x:v>383.44</x:v>
      </x:c>
      <x:c r="D485" s="21" t="n">
        <x:v>4031346</x:v>
      </x:c>
      <x:c r="E485" s="21" t="n">
        <x:v>66970880</x:v>
      </x:c>
      <x:c r="F485" s="11" t="str">
        <x:v>Nasdaq public historical table</x:v>
      </x:c>
    </x:row>
    <x:row r="486">
      <x:c r="A486" s="14" t="n">
        <x:v>44925</x:v>
      </x:c>
      <x:c r="B486" s="20" t="n">
        <x:v>85.5</x:v>
      </x:c>
      <x:c r="C486" s="20" t="n">
        <x:v>382.43</x:v>
      </x:c>
      <x:c r="D486" s="21" t="n">
        <x:v>3372534</x:v>
      </x:c>
      <x:c r="E486" s="21" t="n">
        <x:v>84022210</x:v>
      </x:c>
      <x:c r="F486" s="11" t="str">
        <x:v>Nasdaq public historical table</x:v>
      </x:c>
    </x:row>
    <x:row r="487">
      <x:c r="A487" s="14" t="n">
        <x:v>44929</x:v>
      </x:c>
      <x:c r="B487" s="20" t="n">
        <x:v>84.9</x:v>
      </x:c>
      <x:c r="C487" s="20" t="n">
        <x:v>380.82</x:v>
      </x:c>
      <x:c r="D487" s="21" t="n">
        <x:v>3901185</x:v>
      </x:c>
      <x:c r="E487" s="21" t="n">
        <x:v>74850730</x:v>
      </x:c>
      <x:c r="F487" s="11" t="str">
        <x:v>Nasdaq public historical table</x:v>
      </x:c>
    </x:row>
    <x:row r="488">
      <x:c r="A488" s="14" t="n">
        <x:v>44930</x:v>
      </x:c>
      <x:c r="B488" s="20" t="n">
        <x:v>88.72</x:v>
      </x:c>
      <x:c r="C488" s="20" t="n">
        <x:v>383.76</x:v>
      </x:c>
      <x:c r="D488" s="21" t="n">
        <x:v>4817088</x:v>
      </x:c>
      <x:c r="E488" s="21" t="n">
        <x:v>85934100</x:v>
      </x:c>
      <x:c r="F488" s="11" t="str">
        <x:v>Nasdaq public historical table</x:v>
      </x:c>
    </x:row>
    <x:row r="489">
      <x:c r="A489" s="14" t="n">
        <x:v>44931</x:v>
      </x:c>
      <x:c r="B489" s="20" t="n">
        <x:v>87.71</x:v>
      </x:c>
      <x:c r="C489" s="20" t="n">
        <x:v>379.38</x:v>
      </x:c>
      <x:c r="D489" s="21" t="n">
        <x:v>3419036</x:v>
      </x:c>
      <x:c r="E489" s="21" t="n">
        <x:v>76970460</x:v>
      </x:c>
      <x:c r="F489" s="11" t="str">
        <x:v>Nasdaq public historical table</x:v>
      </x:c>
    </x:row>
    <x:row r="490">
      <x:c r="A490" s="14" t="n">
        <x:v>44932</x:v>
      </x:c>
      <x:c r="B490" s="20" t="n">
        <x:v>88.52</x:v>
      </x:c>
      <x:c r="C490" s="20" t="n">
        <x:v>388.08</x:v>
      </x:c>
      <x:c r="D490" s="21" t="n">
        <x:v>4348374</x:v>
      </x:c>
      <x:c r="E490" s="21" t="n">
        <x:v>104189600</x:v>
      </x:c>
      <x:c r="F490" s="11" t="str">
        <x:v>Nasdaq public historical table</x:v>
      </x:c>
    </x:row>
    <x:row r="491">
      <x:c r="A491" s="14" t="n">
        <x:v>44935</x:v>
      </x:c>
      <x:c r="B491" s="20" t="n">
        <x:v>89.24</x:v>
      </x:c>
      <x:c r="C491" s="20" t="n">
        <x:v>387.86</x:v>
      </x:c>
      <x:c r="D491" s="21" t="n">
        <x:v>4319380</x:v>
      </x:c>
      <x:c r="E491" s="21" t="n">
        <x:v>73978070</x:v>
      </x:c>
      <x:c r="F491" s="11" t="str">
        <x:v>Nasdaq public historical table</x:v>
      </x:c>
    </x:row>
    <x:row r="492">
      <x:c r="A492" s="14" t="n">
        <x:v>44936</x:v>
      </x:c>
      <x:c r="B492" s="20" t="n">
        <x:v>88.54</x:v>
      </x:c>
      <x:c r="C492" s="20" t="n">
        <x:v>390.58</x:v>
      </x:c>
      <x:c r="D492" s="21" t="n">
        <x:v>4165610</x:v>
      </x:c>
      <x:c r="E492" s="21" t="n">
        <x:v>65358090</x:v>
      </x:c>
      <x:c r="F492" s="11" t="str">
        <x:v>Nasdaq public historical table</x:v>
      </x:c>
    </x:row>
    <x:row r="493">
      <x:c r="A493" s="14" t="n">
        <x:v>44937</x:v>
      </x:c>
      <x:c r="B493" s="20" t="n">
        <x:v>94.44</x:v>
      </x:c>
      <x:c r="C493" s="20" t="n">
        <x:v>395.52</x:v>
      </x:c>
      <x:c r="D493" s="21" t="n">
        <x:v>7718901</x:v>
      </x:c>
      <x:c r="E493" s="21" t="n">
        <x:v>68881080</x:v>
      </x:c>
      <x:c r="F493" s="11" t="str">
        <x:v>Nasdaq public historical table</x:v>
      </x:c>
    </x:row>
    <x:row r="494">
      <x:c r="A494" s="14" t="n">
        <x:v>44938</x:v>
      </x:c>
      <x:c r="B494" s="20" t="n">
        <x:v>98.49</x:v>
      </x:c>
      <x:c r="C494" s="20" t="n">
        <x:v>396.96</x:v>
      </x:c>
      <x:c r="D494" s="21" t="n">
        <x:v>7695221</x:v>
      </x:c>
      <x:c r="E494" s="21" t="n">
        <x:v>90157700</x:v>
      </x:c>
      <x:c r="F494" s="11" t="str">
        <x:v>Nasdaq public historical table</x:v>
      </x:c>
    </x:row>
    <x:row r="495">
      <x:c r="A495" s="14" t="n">
        <x:v>44939</x:v>
      </x:c>
      <x:c r="B495" s="20" t="n">
        <x:v>100.37</x:v>
      </x:c>
      <x:c r="C495" s="20" t="n">
        <x:v>398.5</x:v>
      </x:c>
      <x:c r="D495" s="21" t="n">
        <x:v>6528993</x:v>
      </x:c>
      <x:c r="E495" s="21" t="n">
        <x:v>63903930</x:v>
      </x:c>
      <x:c r="F495" s="11" t="str">
        <x:v>Nasdaq public historical table</x:v>
      </x:c>
    </x:row>
    <x:row r="496">
      <x:c r="A496" s="14" t="n">
        <x:v>44943</x:v>
      </x:c>
      <x:c r="B496" s="20" t="n">
        <x:v>101.27</x:v>
      </x:c>
      <x:c r="C496" s="20" t="n">
        <x:v>397.77</x:v>
      </x:c>
      <x:c r="D496" s="21" t="n">
        <x:v>5496249</x:v>
      </x:c>
      <x:c r="E496" s="21" t="n">
        <x:v>62677280</x:v>
      </x:c>
      <x:c r="F496" s="11" t="str">
        <x:v>Nasdaq public historical table</x:v>
      </x:c>
    </x:row>
    <x:row r="497">
      <x:c r="A497" s="14" t="n">
        <x:v>44944</x:v>
      </x:c>
      <x:c r="B497" s="20" t="n">
        <x:v>101.11</x:v>
      </x:c>
      <x:c r="C497" s="20" t="n">
        <x:v>391.49</x:v>
      </x:c>
      <x:c r="D497" s="21" t="n">
        <x:v>6062224</x:v>
      </x:c>
      <x:c r="E497" s="21" t="n">
        <x:v>99632260</x:v>
      </x:c>
      <x:c r="F497" s="11" t="str">
        <x:v>Nasdaq public historical table</x:v>
      </x:c>
    </x:row>
    <x:row r="498">
      <x:c r="A498" s="14" t="n">
        <x:v>44945</x:v>
      </x:c>
      <x:c r="B498" s="20" t="n">
        <x:v>99.1</x:v>
      </x:c>
      <x:c r="C498" s="20" t="n">
        <x:v>388.64</x:v>
      </x:c>
      <x:c r="D498" s="21" t="n">
        <x:v>4996747</x:v>
      </x:c>
      <x:c r="E498" s="21" t="n">
        <x:v>86958920</x:v>
      </x:c>
      <x:c r="F498" s="11" t="str">
        <x:v>Nasdaq public historical table</x:v>
      </x:c>
    </x:row>
    <x:row r="499">
      <x:c r="A499" s="14" t="n">
        <x:v>44946</x:v>
      </x:c>
      <x:c r="B499" s="20" t="n">
        <x:v>101.28</x:v>
      </x:c>
      <x:c r="C499" s="20" t="n">
        <x:v>395.88</x:v>
      </x:c>
      <x:c r="D499" s="21" t="n">
        <x:v>5104017</x:v>
      </x:c>
      <x:c r="E499" s="21" t="n">
        <x:v>91806360</x:v>
      </x:c>
      <x:c r="F499" s="11" t="str">
        <x:v>Nasdaq public historical table</x:v>
      </x:c>
    </x:row>
    <x:row r="500">
      <x:c r="A500" s="14" t="n">
        <x:v>44949</x:v>
      </x:c>
      <x:c r="B500" s="20" t="n">
        <x:v>105.22</x:v>
      </x:c>
      <x:c r="C500" s="20" t="n">
        <x:v>400.63</x:v>
      </x:c>
      <x:c r="D500" s="21" t="n">
        <x:v>4442688</x:v>
      </x:c>
      <x:c r="E500" s="21" t="n">
        <x:v>84178800</x:v>
      </x:c>
      <x:c r="F500" s="11" t="str">
        <x:v>Nasdaq public historical table</x:v>
      </x:c>
    </x:row>
    <x:row r="501">
      <x:c r="A501" s="14" t="n">
        <x:v>44950</x:v>
      </x:c>
      <x:c r="B501" s="20" t="n">
        <x:v>104.13</x:v>
      </x:c>
      <x:c r="C501" s="20" t="n">
        <x:v>400.2</x:v>
      </x:c>
      <x:c r="D501" s="21" t="n">
        <x:v>3514662</x:v>
      </x:c>
      <x:c r="E501" s="21" t="n">
        <x:v>59524910</x:v>
      </x:c>
      <x:c r="F501" s="11" t="str">
        <x:v>Nasdaq public historical table</x:v>
      </x:c>
    </x:row>
    <x:row r="502">
      <x:c r="A502" s="14" t="n">
        <x:v>44951</x:v>
      </x:c>
      <x:c r="B502" s="20" t="n">
        <x:v>104.44</x:v>
      </x:c>
      <x:c r="C502" s="20" t="n">
        <x:v>400.35</x:v>
      </x:c>
      <x:c r="D502" s="21" t="n">
        <x:v>5169257</x:v>
      </x:c>
      <x:c r="E502" s="21" t="n">
        <x:v>84800250</x:v>
      </x:c>
      <x:c r="F502" s="11" t="str">
        <x:v>Nasdaq public historical table</x:v>
      </x:c>
    </x:row>
    <x:row r="503">
      <x:c r="A503" s="14" t="n">
        <x:v>44952</x:v>
      </x:c>
      <x:c r="B503" s="20" t="n">
        <x:v>109.42</x:v>
      </x:c>
      <x:c r="C503" s="20" t="n">
        <x:v>404.75</x:v>
      </x:c>
      <x:c r="D503" s="21" t="n">
        <x:v>5196610</x:v>
      </x:c>
      <x:c r="E503" s="21" t="n">
        <x:v>72287430</x:v>
      </x:c>
      <x:c r="F503" s="11" t="str">
        <x:v>Nasdaq public historical table</x:v>
      </x:c>
    </x:row>
    <x:row r="504">
      <x:c r="A504" s="14" t="n">
        <x:v>44953</x:v>
      </x:c>
      <x:c r="B504" s="20" t="n">
        <x:v>115.94</x:v>
      </x:c>
      <x:c r="C504" s="20" t="n">
        <x:v>405.68</x:v>
      </x:c>
      <x:c r="D504" s="21" t="n">
        <x:v>9548495</x:v>
      </x:c>
      <x:c r="E504" s="21" t="n">
        <x:v>68346180</x:v>
      </x:c>
      <x:c r="F504" s="11" t="str">
        <x:v>Nasdaq public historical table</x:v>
      </x:c>
    </x:row>
    <x:row r="505">
      <x:c r="A505" s="14" t="n">
        <x:v>44956</x:v>
      </x:c>
      <x:c r="B505" s="20" t="n">
        <x:v>109.48</x:v>
      </x:c>
      <x:c r="C505" s="20" t="n">
        <x:v>400.59</x:v>
      </x:c>
      <x:c r="D505" s="21" t="n">
        <x:v>5469927</x:v>
      </x:c>
      <x:c r="E505" s="21" t="n">
        <x:v>74202020</x:v>
      </x:c>
      <x:c r="F505" s="11" t="str">
        <x:v>Nasdaq public historical table</x:v>
      </x:c>
    </x:row>
    <x:row r="506">
      <x:c r="A506" s="14" t="n">
        <x:v>44957</x:v>
      </x:c>
      <x:c r="B506" s="20" t="n">
        <x:v>111.11</x:v>
      </x:c>
      <x:c r="C506" s="20" t="n">
        <x:v>406.48</x:v>
      </x:c>
      <x:c r="D506" s="21" t="n">
        <x:v>3867201</x:v>
      </x:c>
      <x:c r="E506" s="21" t="n">
        <x:v>86811790</x:v>
      </x:c>
      <x:c r="F506" s="11" t="str">
        <x:v>Nasdaq public historical table</x:v>
      </x:c>
    </x:row>
    <x:row r="507">
      <x:c r="A507" s="14" t="n">
        <x:v>44958</x:v>
      </x:c>
      <x:c r="B507" s="20" t="n">
        <x:v>113.99</x:v>
      </x:c>
      <x:c r="C507" s="20" t="n">
        <x:v>410.8</x:v>
      </x:c>
      <x:c r="D507" s="21" t="n">
        <x:v>4053605</x:v>
      </x:c>
      <x:c r="E507" s="21" t="n">
        <x:v>101459200</x:v>
      </x:c>
      <x:c r="F507" s="11" t="str">
        <x:v>Nasdaq public historical table</x:v>
      </x:c>
    </x:row>
    <x:row r="508">
      <x:c r="A508" s="14" t="n">
        <x:v>44959</x:v>
      </x:c>
      <x:c r="B508" s="20" t="n">
        <x:v>118.52</x:v>
      </x:c>
      <x:c r="C508" s="20" t="n">
        <x:v>416.78</x:v>
      </x:c>
      <x:c r="D508" s="21" t="n">
        <x:v>7166921</x:v>
      </x:c>
      <x:c r="E508" s="21" t="n">
        <x:v>101654500</x:v>
      </x:c>
      <x:c r="F508" s="11" t="str">
        <x:v>Nasdaq public historical table</x:v>
      </x:c>
    </x:row>
    <x:row r="509">
      <x:c r="A509" s="14" t="n">
        <x:v>44960</x:v>
      </x:c>
      <x:c r="B509" s="20" t="n">
        <x:v>118.7</x:v>
      </x:c>
      <x:c r="C509" s="20" t="n">
        <x:v>412.35</x:v>
      </x:c>
      <x:c r="D509" s="21" t="n">
        <x:v>6130725</x:v>
      </x:c>
      <x:c r="E509" s="21" t="n">
        <x:v>94736780</x:v>
      </x:c>
      <x:c r="F509" s="11" t="str">
        <x:v>Nasdaq public historical table</x:v>
      </x:c>
    </x:row>
    <x:row r="510">
      <x:c r="A510" s="14" t="n">
        <x:v>44963</x:v>
      </x:c>
      <x:c r="B510" s="20" t="n">
        <x:v>118.35</x:v>
      </x:c>
      <x:c r="C510" s="20" t="n">
        <x:v>409.83</x:v>
      </x:c>
      <x:c r="D510" s="21" t="n">
        <x:v>3204147</x:v>
      </x:c>
      <x:c r="E510" s="21" t="n">
        <x:v>60295330</x:v>
      </x:c>
      <x:c r="F510" s="11" t="str">
        <x:v>Nasdaq public historical table</x:v>
      </x:c>
    </x:row>
    <x:row r="511">
      <x:c r="A511" s="14" t="n">
        <x:v>44964</x:v>
      </x:c>
      <x:c r="B511" s="20" t="n">
        <x:v>119.69</x:v>
      </x:c>
      <x:c r="C511" s="20" t="n">
        <x:v>415.19</x:v>
      </x:c>
      <x:c r="D511" s="21" t="n">
        <x:v>4397729</x:v>
      </x:c>
      <x:c r="E511" s="21" t="n">
        <x:v>90990750</x:v>
      </x:c>
      <x:c r="F511" s="11" t="str">
        <x:v>Nasdaq public historical table</x:v>
      </x:c>
    </x:row>
    <x:row r="512">
      <x:c r="A512" s="14" t="n">
        <x:v>44965</x:v>
      </x:c>
      <x:c r="B512" s="20" t="n">
        <x:v>116.36</x:v>
      </x:c>
      <x:c r="C512" s="20" t="n">
        <x:v>410.65</x:v>
      </x:c>
      <x:c r="D512" s="21" t="n">
        <x:v>3605405</x:v>
      </x:c>
      <x:c r="E512" s="21" t="n">
        <x:v>76227460</x:v>
      </x:c>
      <x:c r="F512" s="11" t="str">
        <x:v>Nasdaq public historical table</x:v>
      </x:c>
    </x:row>
    <x:row r="513">
      <x:c r="A513" s="14" t="n">
        <x:v>44966</x:v>
      </x:c>
      <x:c r="B513" s="20" t="n">
        <x:v>114.94</x:v>
      </x:c>
      <x:c r="C513" s="20" t="n">
        <x:v>407.09</x:v>
      </x:c>
      <x:c r="D513" s="21" t="n">
        <x:v>4508691</x:v>
      </x:c>
      <x:c r="E513" s="21" t="n">
        <x:v>78694860</x:v>
      </x:c>
      <x:c r="F513" s="11" t="str">
        <x:v>Nasdaq public historical table</x:v>
      </x:c>
    </x:row>
    <x:row r="514">
      <x:c r="A514" s="14" t="n">
        <x:v>44967</x:v>
      </x:c>
      <x:c r="B514" s="20" t="n">
        <x:v>108.87</x:v>
      </x:c>
      <x:c r="C514" s="20" t="n">
        <x:v>408.04</x:v>
      </x:c>
      <x:c r="D514" s="21" t="n">
        <x:v>6463548</x:v>
      </x:c>
      <x:c r="E514" s="21" t="n">
        <x:v>70769720</x:v>
      </x:c>
      <x:c r="F514" s="11" t="str">
        <x:v>Nasdaq public historical table</x:v>
      </x:c>
    </x:row>
    <x:row r="515">
      <x:c r="A515" s="14" t="n">
        <x:v>44970</x:v>
      </x:c>
      <x:c r="B515" s="20" t="n">
        <x:v>116.42</x:v>
      </x:c>
      <x:c r="C515" s="20" t="n">
        <x:v>412.83</x:v>
      </x:c>
      <x:c r="D515" s="21" t="n">
        <x:v>7657239</x:v>
      </x:c>
      <x:c r="E515" s="21" t="n">
        <x:v>64913540</x:v>
      </x:c>
      <x:c r="F515" s="11" t="str">
        <x:v>Nasdaq public historical table</x:v>
      </x:c>
    </x:row>
    <x:row r="516">
      <x:c r="A516" s="14" t="n">
        <x:v>44971</x:v>
      </x:c>
      <x:c r="B516" s="20" t="n">
        <x:v>120.87</x:v>
      </x:c>
      <x:c r="C516" s="20" t="n">
        <x:v>412.64</x:v>
      </x:c>
      <x:c r="D516" s="21" t="n">
        <x:v>17145030</x:v>
      </x:c>
      <x:c r="E516" s="21" t="n">
        <x:v>88389310</x:v>
      </x:c>
      <x:c r="F516" s="11" t="str">
        <x:v>Nasdaq public historical table</x:v>
      </x:c>
    </x:row>
    <x:row r="517">
      <x:c r="A517" s="14" t="n">
        <x:v>44972</x:v>
      </x:c>
      <x:c r="B517" s="20" t="n">
        <x:v>137.01</x:v>
      </x:c>
      <x:c r="C517" s="20" t="n">
        <x:v>413.98</x:v>
      </x:c>
      <x:c r="D517" s="21" t="n">
        <x:v>32502210</x:v>
      </x:c>
      <x:c r="E517" s="21" t="n">
        <x:v>61685280</x:v>
      </x:c>
      <x:c r="F517" s="11" t="str">
        <x:v>Nasdaq public historical table</x:v>
      </x:c>
    </x:row>
    <x:row r="518">
      <x:c r="A518" s="14" t="n">
        <x:v>44973</x:v>
      </x:c>
      <x:c r="B518" s="20" t="n">
        <x:v>139.42</x:v>
      </x:c>
      <x:c r="C518" s="20" t="n">
        <x:v>408.28</x:v>
      </x:c>
      <x:c r="D518" s="21" t="n">
        <x:v>18705820</x:v>
      </x:c>
      <x:c r="E518" s="21" t="n">
        <x:v>76431470</x:v>
      </x:c>
      <x:c r="F518" s="11" t="str">
        <x:v>Nasdaq public historical table</x:v>
      </x:c>
    </x:row>
    <x:row r="519">
      <x:c r="A519" s="14" t="n">
        <x:v>44974</x:v>
      </x:c>
      <x:c r="B519" s="20" t="n">
        <x:v>131.6</x:v>
      </x:c>
      <x:c r="C519" s="20" t="n">
        <x:v>407.26</x:v>
      </x:c>
      <x:c r="D519" s="21" t="n">
        <x:v>11386740</x:v>
      </x:c>
      <x:c r="E519" s="21" t="n">
        <x:v>89257820</x:v>
      </x:c>
      <x:c r="F519" s="11" t="str">
        <x:v>Nasdaq public historical table</x:v>
      </x:c>
    </x:row>
    <x:row r="520">
      <x:c r="A520" s="14" t="n">
        <x:v>44978</x:v>
      </x:c>
      <x:c r="B520" s="20" t="n">
        <x:v>128.78</x:v>
      </x:c>
      <x:c r="C520" s="20" t="n">
        <x:v>399.09</x:v>
      </x:c>
      <x:c r="D520" s="21" t="n">
        <x:v>6618673</x:v>
      </x:c>
      <x:c r="E520" s="21" t="n">
        <x:v>82655920</x:v>
      </x:c>
      <x:c r="F520" s="11" t="str">
        <x:v>Nasdaq public historical table</x:v>
      </x:c>
    </x:row>
    <x:row r="521">
      <x:c r="A521" s="14" t="n">
        <x:v>44979</x:v>
      </x:c>
      <x:c r="B521" s="20" t="n">
        <x:v>127.21</x:v>
      </x:c>
      <x:c r="C521" s="20" t="n">
        <x:v>398.54</x:v>
      </x:c>
      <x:c r="D521" s="21" t="n">
        <x:v>5758987</x:v>
      </x:c>
      <x:c r="E521" s="21" t="n">
        <x:v>83742290</x:v>
      </x:c>
      <x:c r="F521" s="11" t="str">
        <x:v>Nasdaq public historical table</x:v>
      </x:c>
    </x:row>
    <x:row r="522">
      <x:c r="A522" s="14" t="n">
        <x:v>44980</x:v>
      </x:c>
      <x:c r="B522" s="20" t="n">
        <x:v>125.52</x:v>
      </x:c>
      <x:c r="C522" s="20" t="n">
        <x:v>400.66</x:v>
      </x:c>
      <x:c r="D522" s="21" t="n">
        <x:v>7013484</x:v>
      </x:c>
      <x:c r="E522" s="21" t="n">
        <x:v>96242400</x:v>
      </x:c>
      <x:c r="F522" s="11" t="str">
        <x:v>Nasdaq public historical table</x:v>
      </x:c>
    </x:row>
    <x:row r="523">
      <x:c r="A523" s="14" t="n">
        <x:v>44981</x:v>
      </x:c>
      <x:c r="B523" s="20" t="n">
        <x:v>122.78</x:v>
      </x:c>
      <x:c r="C523" s="20" t="n">
        <x:v>396.38</x:v>
      </x:c>
      <x:c r="D523" s="21" t="n">
        <x:v>5119777</x:v>
      </x:c>
      <x:c r="E523" s="21" t="n">
        <x:v>108194400</x:v>
      </x:c>
      <x:c r="F523" s="11" t="str">
        <x:v>Nasdaq public historical table</x:v>
      </x:c>
    </x:row>
    <x:row r="524">
      <x:c r="A524" s="14" t="n">
        <x:v>44984</x:v>
      </x:c>
      <x:c r="B524" s="20" t="n">
        <x:v>123.53</x:v>
      </x:c>
      <x:c r="C524" s="20" t="n">
        <x:v>397.73</x:v>
      </x:c>
      <x:c r="D524" s="21" t="n">
        <x:v>5011368</x:v>
      </x:c>
      <x:c r="E524" s="21" t="n">
        <x:v>80444740</x:v>
      </x:c>
      <x:c r="F524" s="11" t="str">
        <x:v>Nasdaq public historical table</x:v>
      </x:c>
    </x:row>
    <x:row r="525">
      <x:c r="A525" s="14" t="n">
        <x:v>44985</x:v>
      </x:c>
      <x:c r="B525" s="20" t="n">
        <x:v>123.28</x:v>
      </x:c>
      <x:c r="C525" s="20" t="n">
        <x:v>396.26</x:v>
      </x:c>
      <x:c r="D525" s="21" t="n">
        <x:v>7317099</x:v>
      </x:c>
      <x:c r="E525" s="21" t="n">
        <x:v>96438570</x:v>
      </x:c>
      <x:c r="F525" s="11" t="str">
        <x:v>Nasdaq public historical table</x:v>
      </x:c>
    </x:row>
    <x:row r="526">
      <x:c r="A526" s="14" t="n">
        <x:v>44986</x:v>
      </x:c>
      <x:c r="B526" s="20" t="n">
        <x:v>120.83</x:v>
      </x:c>
      <x:c r="C526" s="20" t="n">
        <x:v>394.74</x:v>
      </x:c>
      <x:c r="D526" s="21" t="n">
        <x:v>4645027</x:v>
      </x:c>
      <x:c r="E526" s="21" t="n">
        <x:v>99706820</x:v>
      </x:c>
      <x:c r="F526" s="11" t="str">
        <x:v>Nasdaq public historical table</x:v>
      </x:c>
    </x:row>
    <x:row r="527">
      <x:c r="A527" s="14" t="n">
        <x:v>44987</x:v>
      </x:c>
      <x:c r="B527" s="20" t="n">
        <x:v>122.38</x:v>
      </x:c>
      <x:c r="C527" s="20" t="n">
        <x:v>397.81</x:v>
      </x:c>
      <x:c r="D527" s="21" t="n">
        <x:v>4089401</x:v>
      </x:c>
      <x:c r="E527" s="21" t="n">
        <x:v>85404730</x:v>
      </x:c>
      <x:c r="F527" s="11" t="str">
        <x:v>Nasdaq public historical table</x:v>
      </x:c>
    </x:row>
    <x:row r="528">
      <x:c r="A528" s="14" t="n">
        <x:v>44988</x:v>
      </x:c>
      <x:c r="B528" s="20" t="n">
        <x:v>125.73</x:v>
      </x:c>
      <x:c r="C528" s="20" t="n">
        <x:v>404.19</x:v>
      </x:c>
      <x:c r="D528" s="21" t="n">
        <x:v>5499352</x:v>
      </x:c>
      <x:c r="E528" s="21" t="n">
        <x:v>90119950</x:v>
      </x:c>
      <x:c r="F528" s="11" t="str">
        <x:v>Nasdaq public historical table</x:v>
      </x:c>
    </x:row>
    <x:row r="529">
      <x:c r="A529" s="14" t="n">
        <x:v>44991</x:v>
      </x:c>
      <x:c r="B529" s="20" t="n">
        <x:v>126.33</x:v>
      </x:c>
      <x:c r="C529" s="20" t="n">
        <x:v>404.47</x:v>
      </x:c>
      <x:c r="D529" s="21" t="n">
        <x:v>5292491</x:v>
      </x:c>
      <x:c r="E529" s="21" t="n">
        <x:v>72795950</x:v>
      </x:c>
      <x:c r="F529" s="11" t="str">
        <x:v>Nasdaq public historical table</x:v>
      </x:c>
    </x:row>
    <x:row r="530">
      <x:c r="A530" s="14" t="n">
        <x:v>44992</x:v>
      </x:c>
      <x:c r="B530" s="20" t="n">
        <x:v>126.94</x:v>
      </x:c>
      <x:c r="C530" s="20" t="n">
        <x:v>398.27</x:v>
      </x:c>
      <x:c r="D530" s="21" t="n">
        <x:v>5590811</x:v>
      </x:c>
      <x:c r="E530" s="21" t="n">
        <x:v>108310600</x:v>
      </x:c>
      <x:c r="F530" s="11" t="str">
        <x:v>Nasdaq public historical table</x:v>
      </x:c>
    </x:row>
    <x:row r="531">
      <x:c r="A531" s="14" t="n">
        <x:v>44993</x:v>
      </x:c>
      <x:c r="B531" s="20" t="n">
        <x:v>125</x:v>
      </x:c>
      <x:c r="C531" s="20" t="n">
        <x:v>398.92</x:v>
      </x:c>
      <x:c r="D531" s="21" t="n">
        <x:v>3290816</x:v>
      </x:c>
      <x:c r="E531" s="21" t="n">
        <x:v>74746630</x:v>
      </x:c>
      <x:c r="F531" s="11" t="str">
        <x:v>Nasdaq public historical table</x:v>
      </x:c>
    </x:row>
    <x:row r="532">
      <x:c r="A532" s="14" t="n">
        <x:v>44994</x:v>
      </x:c>
      <x:c r="B532" s="20" t="n">
        <x:v>119.84</x:v>
      </x:c>
      <x:c r="C532" s="20" t="n">
        <x:v>391.56</x:v>
      </x:c>
      <x:c r="D532" s="21" t="n">
        <x:v>6147726</x:v>
      </x:c>
      <x:c r="E532" s="21" t="n">
        <x:v>111945300</x:v>
      </x:c>
      <x:c r="F532" s="11" t="str">
        <x:v>Nasdaq public historical table</x:v>
      </x:c>
    </x:row>
    <x:row r="533">
      <x:c r="A533" s="14" t="n">
        <x:v>44995</x:v>
      </x:c>
      <x:c r="B533" s="20" t="n">
        <x:v>118.3</x:v>
      </x:c>
      <x:c r="C533" s="20" t="n">
        <x:v>385.91</x:v>
      </x:c>
      <x:c r="D533" s="21" t="n">
        <x:v>5254762</x:v>
      </x:c>
      <x:c r="E533" s="21" t="n">
        <x:v>189253000</x:v>
      </x:c>
      <x:c r="F533" s="11" t="str">
        <x:v>Nasdaq public historical table</x:v>
      </x:c>
    </x:row>
    <x:row r="534">
      <x:c r="A534" s="14" t="n">
        <x:v>44998</x:v>
      </x:c>
      <x:c r="B534" s="20" t="n">
        <x:v>115.96</x:v>
      </x:c>
      <x:c r="C534" s="20" t="n">
        <x:v>385.36</x:v>
      </x:c>
      <x:c r="D534" s="21" t="n">
        <x:v>5282014</x:v>
      </x:c>
      <x:c r="E534" s="21" t="n">
        <x:v>157790000</x:v>
      </x:c>
      <x:c r="F534" s="11" t="str">
        <x:v>Nasdaq public historical table</x:v>
      </x:c>
    </x:row>
    <x:row r="535">
      <x:c r="A535" s="14" t="n">
        <x:v>44999</x:v>
      </x:c>
      <x:c r="B535" s="20" t="n">
        <x:v>116.36</x:v>
      </x:c>
      <x:c r="C535" s="20" t="n">
        <x:v>391.73</x:v>
      </x:c>
      <x:c r="D535" s="21" t="n">
        <x:v>5416449</x:v>
      </x:c>
      <x:c r="E535" s="21" t="n">
        <x:v>149752400</x:v>
      </x:c>
      <x:c r="F535" s="11" t="str">
        <x:v>Nasdaq public historical table</x:v>
      </x:c>
    </x:row>
    <x:row r="536">
      <x:c r="A536" s="14" t="n">
        <x:v>45000</x:v>
      </x:c>
      <x:c r="B536" s="20" t="n">
        <x:v>113.58</x:v>
      </x:c>
      <x:c r="C536" s="20" t="n">
        <x:v>389.28</x:v>
      </x:c>
      <x:c r="D536" s="21" t="n">
        <x:v>6305075</x:v>
      </x:c>
      <x:c r="E536" s="21" t="n">
        <x:v>172996900</x:v>
      </x:c>
      <x:c r="F536" s="11" t="str">
        <x:v>Nasdaq public historical table</x:v>
      </x:c>
    </x:row>
    <x:row r="537">
      <x:c r="A537" s="14" t="n">
        <x:v>45001</x:v>
      </x:c>
      <x:c r="B537" s="20" t="n">
        <x:v>119.99</x:v>
      </x:c>
      <x:c r="C537" s="20" t="n">
        <x:v>396.11</x:v>
      </x:c>
      <x:c r="D537" s="21" t="n">
        <x:v>7697232</x:v>
      </x:c>
      <x:c r="E537" s="21" t="n">
        <x:v>143753900</x:v>
      </x:c>
      <x:c r="F537" s="11" t="str">
        <x:v>Nasdaq public historical table</x:v>
      </x:c>
    </x:row>
    <x:row r="538">
      <x:c r="A538" s="14" t="n">
        <x:v>45002</x:v>
      </x:c>
      <x:c r="B538" s="20" t="n">
        <x:v>118.15</x:v>
      </x:c>
      <x:c r="C538" s="20" t="n">
        <x:v>389.99</x:v>
      </x:c>
      <x:c r="D538" s="21" t="n">
        <x:v>5513629</x:v>
      </x:c>
      <x:c r="E538" s="21" t="n">
        <x:v>140553400</x:v>
      </x:c>
      <x:c r="F538" s="11" t="str">
        <x:v>Nasdaq public historical table</x:v>
      </x:c>
    </x:row>
    <x:row r="539">
      <x:c r="A539" s="14" t="n">
        <x:v>45005</x:v>
      </x:c>
      <x:c r="B539" s="20" t="n">
        <x:v>118.4</x:v>
      </x:c>
      <x:c r="C539" s="20" t="n">
        <x:v>393.74</x:v>
      </x:c>
      <x:c r="D539" s="21" t="n">
        <x:v>3997686</x:v>
      </x:c>
      <x:c r="E539" s="21" t="n">
        <x:v>93055780</x:v>
      </x:c>
      <x:c r="F539" s="11" t="str">
        <x:v>Nasdaq public historical table</x:v>
      </x:c>
    </x:row>
    <x:row r="540">
      <x:c r="A540" s="14" t="n">
        <x:v>45006</x:v>
      </x:c>
      <x:c r="B540" s="20" t="n">
        <x:v>123.69</x:v>
      </x:c>
      <x:c r="C540" s="20" t="n">
        <x:v>398.91</x:v>
      </x:c>
      <x:c r="D540" s="21" t="n">
        <x:v>5374445</x:v>
      </x:c>
      <x:c r="E540" s="21" t="n">
        <x:v>91524250</x:v>
      </x:c>
      <x:c r="F540" s="11" t="str">
        <x:v>Nasdaq public historical table</x:v>
      </x:c>
    </x:row>
    <x:row r="541">
      <x:c r="A541" s="14" t="n">
        <x:v>45007</x:v>
      </x:c>
      <x:c r="B541" s="20" t="n">
        <x:v>121.17</x:v>
      </x:c>
      <x:c r="C541" s="20" t="n">
        <x:v>392.11</x:v>
      </x:c>
      <x:c r="D541" s="21" t="n">
        <x:v>3971064</x:v>
      </x:c>
      <x:c r="E541" s="21" t="n">
        <x:v>111746600</x:v>
      </x:c>
      <x:c r="F541" s="11" t="str">
        <x:v>Nasdaq public historical table</x:v>
      </x:c>
    </x:row>
    <x:row r="542">
      <x:c r="A542" s="14" t="n">
        <x:v>45008</x:v>
      </x:c>
      <x:c r="B542" s="20" t="n">
        <x:v>120.3</x:v>
      </x:c>
      <x:c r="C542" s="20" t="n">
        <x:v>393.17</x:v>
      </x:c>
      <x:c r="D542" s="21" t="n">
        <x:v>4028510</x:v>
      </x:c>
      <x:c r="E542" s="21" t="n">
        <x:v>119351300</x:v>
      </x:c>
      <x:c r="F542" s="11" t="str">
        <x:v>Nasdaq public historical table</x:v>
      </x:c>
    </x:row>
    <x:row r="543">
      <x:c r="A543" s="14" t="n">
        <x:v>45009</x:v>
      </x:c>
      <x:c r="B543" s="20" t="n">
        <x:v>116.92</x:v>
      </x:c>
      <x:c r="C543" s="20" t="n">
        <x:v>395.75</x:v>
      </x:c>
      <x:c r="D543" s="21" t="n">
        <x:v>4292384</x:v>
      </x:c>
      <x:c r="E543" s="21" t="n">
        <x:v>107770100</x:v>
      </x:c>
      <x:c r="F543" s="11" t="str">
        <x:v>Nasdaq public historical table</x:v>
      </x:c>
    </x:row>
    <x:row r="544">
      <x:c r="A544" s="14" t="n">
        <x:v>45012</x:v>
      </x:c>
      <x:c r="B544" s="20" t="n">
        <x:v>117.91</x:v>
      </x:c>
      <x:c r="C544" s="20" t="n">
        <x:v>396.49</x:v>
      </x:c>
      <x:c r="D544" s="21" t="n">
        <x:v>2819623</x:v>
      </x:c>
      <x:c r="E544" s="21" t="n">
        <x:v>74010410</x:v>
      </x:c>
      <x:c r="F544" s="11" t="str">
        <x:v>Nasdaq public historical table</x:v>
      </x:c>
    </x:row>
    <x:row r="545">
      <x:c r="A545" s="14" t="n">
        <x:v>45013</x:v>
      </x:c>
      <x:c r="B545" s="20" t="n">
        <x:v>116.61</x:v>
      </x:c>
      <x:c r="C545" s="20" t="n">
        <x:v>395.6</x:v>
      </x:c>
      <x:c r="D545" s="21" t="n">
        <x:v>2941034</x:v>
      </x:c>
      <x:c r="E545" s="21" t="n">
        <x:v>62871680</x:v>
      </x:c>
      <x:c r="F545" s="11" t="str">
        <x:v>Nasdaq public historical table</x:v>
      </x:c>
    </x:row>
    <x:row r="546">
      <x:c r="A546" s="14" t="n">
        <x:v>45014</x:v>
      </x:c>
      <x:c r="B546" s="20" t="n">
        <x:v>118.8</x:v>
      </x:c>
      <x:c r="C546" s="20" t="n">
        <x:v>401.35</x:v>
      </x:c>
      <x:c r="D546" s="21" t="n">
        <x:v>2711505</x:v>
      </x:c>
      <x:c r="E546" s="21" t="n">
        <x:v>77497880</x:v>
      </x:c>
      <x:c r="F546" s="11" t="str">
        <x:v>Nasdaq public historical table</x:v>
      </x:c>
    </x:row>
    <x:row r="547">
      <x:c r="A547" s="14" t="n">
        <x:v>45015</x:v>
      </x:c>
      <x:c r="B547" s="20" t="n">
        <x:v>122.28</x:v>
      </x:c>
      <x:c r="C547" s="20" t="n">
        <x:v>403.7</x:v>
      </x:c>
      <x:c r="D547" s="21" t="n">
        <x:v>5437927</x:v>
      </x:c>
      <x:c r="E547" s="21" t="n">
        <x:v>69840050</x:v>
      </x:c>
      <x:c r="F547" s="11" t="str">
        <x:v>Nasdaq public historical table</x:v>
      </x:c>
    </x:row>
    <x:row r="548">
      <x:c r="A548" s="14" t="n">
        <x:v>45016</x:v>
      </x:c>
      <x:c r="B548" s="20" t="n">
        <x:v>124.4</x:v>
      </x:c>
      <x:c r="C548" s="20" t="n">
        <x:v>409.39</x:v>
      </x:c>
      <x:c r="D548" s="21" t="n">
        <x:v>5533754</x:v>
      </x:c>
      <x:c r="E548" s="21" t="n">
        <x:v>112062600</x:v>
      </x:c>
      <x:c r="F548" s="11" t="str">
        <x:v>Nasdaq public historical table</x:v>
      </x:c>
    </x:row>
    <x:row r="549">
      <x:c r="A549" s="14" t="n">
        <x:v>45019</x:v>
      </x:c>
      <x:c r="B549" s="20" t="n">
        <x:v>121.46</x:v>
      </x:c>
      <x:c r="C549" s="20" t="n">
        <x:v>410.95</x:v>
      </x:c>
      <x:c r="D549" s="21" t="n">
        <x:v>4230612</x:v>
      </x:c>
      <x:c r="E549" s="21" t="n">
        <x:v>67391100</x:v>
      </x:c>
      <x:c r="F549" s="11" t="str">
        <x:v>Nasdaq public historical table</x:v>
      </x:c>
    </x:row>
    <x:row r="550">
      <x:c r="A550" s="14" t="n">
        <x:v>45020</x:v>
      </x:c>
      <x:c r="B550" s="20" t="n">
        <x:v>118.46</x:v>
      </x:c>
      <x:c r="C550" s="20" t="n">
        <x:v>408.67</x:v>
      </x:c>
      <x:c r="D550" s="21" t="n">
        <x:v>3349254</x:v>
      </x:c>
      <x:c r="E550" s="21" t="n">
        <x:v>66601530</x:v>
      </x:c>
      <x:c r="F550" s="11" t="str">
        <x:v>Nasdaq public historical table</x:v>
      </x:c>
    </x:row>
    <x:row r="551">
      <x:c r="A551" s="14" t="n">
        <x:v>45021</x:v>
      </x:c>
      <x:c r="B551" s="20" t="n">
        <x:v>115.34</x:v>
      </x:c>
      <x:c r="C551" s="20" t="n">
        <x:v>407.6</x:v>
      </x:c>
      <x:c r="D551" s="21" t="n">
        <x:v>6737046</x:v>
      </x:c>
      <x:c r="E551" s="21" t="n">
        <x:v>65200240</x:v>
      </x:c>
      <x:c r="F551" s="11" t="str">
        <x:v>Nasdaq public historical table</x:v>
      </x:c>
    </x:row>
    <x:row r="552">
      <x:c r="A552" s="14" t="n">
        <x:v>45022</x:v>
      </x:c>
      <x:c r="B552" s="20" t="n">
        <x:v>109.69</x:v>
      </x:c>
      <x:c r="C552" s="20" t="n">
        <x:v>409.19</x:v>
      </x:c>
      <x:c r="D552" s="21" t="n">
        <x:v>14400100</x:v>
      </x:c>
      <x:c r="E552" s="21" t="n">
        <x:v>63743350</x:v>
      </x:c>
      <x:c r="F552" s="11" t="str">
        <x:v>Nasdaq public historical table</x:v>
      </x:c>
    </x:row>
    <x:row r="553">
      <x:c r="A553" s="14" t="n">
        <x:v>45026</x:v>
      </x:c>
      <x:c r="B553" s="20" t="n">
        <x:v>112.6</x:v>
      </x:c>
      <x:c r="C553" s="20" t="n">
        <x:v>409.61</x:v>
      </x:c>
      <x:c r="D553" s="21" t="n">
        <x:v>5406420</x:v>
      </x:c>
      <x:c r="E553" s="21" t="n">
        <x:v>63681040</x:v>
      </x:c>
      <x:c r="F553" s="11" t="str">
        <x:v>Nasdaq public historical table</x:v>
      </x:c>
    </x:row>
    <x:row r="554">
      <x:c r="A554" s="14" t="n">
        <x:v>45027</x:v>
      </x:c>
      <x:c r="B554" s="20" t="n">
        <x:v>114.25</x:v>
      </x:c>
      <x:c r="C554" s="20" t="n">
        <x:v>409.72</x:v>
      </x:c>
      <x:c r="D554" s="21" t="n">
        <x:v>4845428</x:v>
      </x:c>
      <x:c r="E554" s="21" t="n">
        <x:v>59297950</x:v>
      </x:c>
      <x:c r="F554" s="11" t="str">
        <x:v>Nasdaq public historical table</x:v>
      </x:c>
    </x:row>
    <x:row r="555">
      <x:c r="A555" s="14" t="n">
        <x:v>45028</x:v>
      </x:c>
      <x:c r="B555" s="20" t="n">
        <x:v>112.42</x:v>
      </x:c>
      <x:c r="C555" s="20" t="n">
        <x:v>408.05</x:v>
      </x:c>
      <x:c r="D555" s="21" t="n">
        <x:v>6068699</x:v>
      </x:c>
      <x:c r="E555" s="21" t="n">
        <x:v>86420380</x:v>
      </x:c>
      <x:c r="F555" s="11" t="str">
        <x:v>Nasdaq public historical table</x:v>
      </x:c>
    </x:row>
    <x:row r="556">
      <x:c r="A556" s="14" t="n">
        <x:v>45029</x:v>
      </x:c>
      <x:c r="B556" s="20" t="n">
        <x:v>113.95</x:v>
      </x:c>
      <x:c r="C556" s="20" t="n">
        <x:v>413.47</x:v>
      </x:c>
      <x:c r="D556" s="21" t="n">
        <x:v>3878120</x:v>
      </x:c>
      <x:c r="E556" s="21" t="n">
        <x:v>85814750</x:v>
      </x:c>
      <x:c r="F556" s="11" t="str">
        <x:v>Nasdaq public historical table</x:v>
      </x:c>
    </x:row>
    <x:row r="557">
      <x:c r="A557" s="14" t="n">
        <x:v>45030</x:v>
      </x:c>
      <x:c r="B557" s="20" t="n">
        <x:v>114.65</x:v>
      </x:c>
      <x:c r="C557" s="20" t="n">
        <x:v>412.46</x:v>
      </x:c>
      <x:c r="D557" s="21" t="n">
        <x:v>3415241</x:v>
      </x:c>
      <x:c r="E557" s="21" t="n">
        <x:v>78161500</x:v>
      </x:c>
      <x:c r="F557" s="11" t="str">
        <x:v>Nasdaq public historical table</x:v>
      </x:c>
    </x:row>
    <x:row r="558">
      <x:c r="A558" s="14" t="n">
        <x:v>45033</x:v>
      </x:c>
      <x:c r="B558" s="20" t="n">
        <x:v>116.17</x:v>
      </x:c>
      <x:c r="C558" s="20" t="n">
        <x:v>413.94</x:v>
      </x:c>
      <x:c r="D558" s="21" t="n">
        <x:v>3287076</x:v>
      </x:c>
      <x:c r="E558" s="21" t="n">
        <x:v>66436400</x:v>
      </x:c>
      <x:c r="F558" s="11" t="str">
        <x:v>Nasdaq public historical table</x:v>
      </x:c>
    </x:row>
    <x:row r="559">
      <x:c r="A559" s="14" t="n">
        <x:v>45034</x:v>
      </x:c>
      <x:c r="B559" s="20" t="n">
        <x:v>119.19</x:v>
      </x:c>
      <x:c r="C559" s="20" t="n">
        <x:v>414.21</x:v>
      </x:c>
      <x:c r="D559" s="21" t="n">
        <x:v>7162212</x:v>
      </x:c>
      <x:c r="E559" s="21" t="n">
        <x:v>63560000</x:v>
      </x:c>
      <x:c r="F559" s="11" t="str">
        <x:v>Nasdaq public historical table</x:v>
      </x:c>
    </x:row>
    <x:row r="560">
      <x:c r="A560" s="14" t="n">
        <x:v>45035</x:v>
      </x:c>
      <x:c r="B560" s="20" t="n">
        <x:v>120.1</x:v>
      </x:c>
      <x:c r="C560" s="20" t="n">
        <x:v>414.14</x:v>
      </x:c>
      <x:c r="D560" s="21" t="n">
        <x:v>3309716</x:v>
      </x:c>
      <x:c r="E560" s="21" t="n">
        <x:v>55227330</x:v>
      </x:c>
      <x:c r="F560" s="11" t="str">
        <x:v>Nasdaq public historical table</x:v>
      </x:c>
    </x:row>
    <x:row r="561">
      <x:c r="A561" s="14" t="n">
        <x:v>45036</x:v>
      </x:c>
      <x:c r="B561" s="20" t="n">
        <x:v>118.4</x:v>
      </x:c>
      <x:c r="C561" s="20" t="n">
        <x:v>411.88</x:v>
      </x:c>
      <x:c r="D561" s="21" t="n">
        <x:v>4369652</x:v>
      </x:c>
      <x:c r="E561" s="21" t="n">
        <x:v>75840360</x:v>
      </x:c>
      <x:c r="F561" s="11" t="str">
        <x:v>Nasdaq public historical table</x:v>
      </x:c>
    </x:row>
    <x:row r="562">
      <x:c r="A562" s="14" t="n">
        <x:v>45037</x:v>
      </x:c>
      <x:c r="B562" s="20" t="n">
        <x:v>115.5</x:v>
      </x:c>
      <x:c r="C562" s="20" t="n">
        <x:v>412.2</x:v>
      </x:c>
      <x:c r="D562" s="21" t="n">
        <x:v>7357782</x:v>
      </x:c>
      <x:c r="E562" s="21" t="n">
        <x:v>73457420</x:v>
      </x:c>
      <x:c r="F562" s="11" t="str">
        <x:v>Nasdaq public historical table</x:v>
      </x:c>
    </x:row>
    <x:row r="563">
      <x:c r="A563" s="14" t="n">
        <x:v>45040</x:v>
      </x:c>
      <x:c r="B563" s="20" t="n">
        <x:v>116.12</x:v>
      </x:c>
      <x:c r="C563" s="20" t="n">
        <x:v>412.63</x:v>
      </x:c>
      <x:c r="D563" s="21" t="n">
        <x:v>3240439</x:v>
      </x:c>
      <x:c r="E563" s="21" t="n">
        <x:v>64332100</x:v>
      </x:c>
      <x:c r="F563" s="11" t="str">
        <x:v>Nasdaq public historical table</x:v>
      </x:c>
    </x:row>
    <x:row r="564">
      <x:c r="A564" s="14" t="n">
        <x:v>45041</x:v>
      </x:c>
      <x:c r="B564" s="20" t="n">
        <x:v>112.505</x:v>
      </x:c>
      <x:c r="C564" s="20" t="n">
        <x:v>406.08</x:v>
      </x:c>
      <x:c r="D564" s="21" t="n">
        <x:v>3659730</x:v>
      </x:c>
      <x:c r="E564" s="21" t="n">
        <x:v>97766720</x:v>
      </x:c>
      <x:c r="F564" s="11" t="str">
        <x:v>Nasdaq public historical table</x:v>
      </x:c>
    </x:row>
    <x:row r="565">
      <x:c r="A565" s="14" t="n">
        <x:v>45042</x:v>
      </x:c>
      <x:c r="B565" s="20" t="n">
        <x:v>113.68</x:v>
      </x:c>
      <x:c r="C565" s="20" t="n">
        <x:v>404.36</x:v>
      </x:c>
      <x:c r="D565" s="21" t="n">
        <x:v>3615529</x:v>
      </x:c>
      <x:c r="E565" s="21" t="n">
        <x:v>80447050</x:v>
      </x:c>
      <x:c r="F565" s="11" t="str">
        <x:v>Nasdaq public historical table</x:v>
      </x:c>
    </x:row>
    <x:row r="566">
      <x:c r="A566" s="14" t="n">
        <x:v>45043</x:v>
      </x:c>
      <x:c r="B566" s="20" t="n">
        <x:v>115.25</x:v>
      </x:c>
      <x:c r="C566" s="20" t="n">
        <x:v>412.41</x:v>
      </x:c>
      <x:c r="D566" s="21" t="n">
        <x:v>3870525</x:v>
      </x:c>
      <x:c r="E566" s="21" t="n">
        <x:v>92968370</x:v>
      </x:c>
      <x:c r="F566" s="11" t="str">
        <x:v>Nasdaq public historical table</x:v>
      </x:c>
    </x:row>
    <x:row r="567">
      <x:c r="A567" s="14" t="n">
        <x:v>45044</x:v>
      </x:c>
      <x:c r="B567" s="20" t="n">
        <x:v>119.67</x:v>
      </x:c>
      <x:c r="C567" s="20" t="n">
        <x:v>415.93</x:v>
      </x:c>
      <x:c r="D567" s="21" t="n">
        <x:v>4974339</x:v>
      </x:c>
      <x:c r="E567" s="21" t="n">
        <x:v>89433140</x:v>
      </x:c>
      <x:c r="F567" s="11" t="str">
        <x:v>Nasdaq public historical table</x:v>
      </x:c>
    </x:row>
    <x:row r="568">
      <x:c r="A568" s="14" t="n">
        <x:v>45047</x:v>
      </x:c>
      <x:c r="B568" s="20" t="n">
        <x:v>121.42</x:v>
      </x:c>
      <x:c r="C568" s="20" t="n">
        <x:v>415.51</x:v>
      </x:c>
      <x:c r="D568" s="21" t="n">
        <x:v>4830645</x:v>
      </x:c>
      <x:c r="E568" s="21" t="n">
        <x:v>62122250</x:v>
      </x:c>
      <x:c r="F568" s="11" t="str">
        <x:v>Nasdaq public historical table</x:v>
      </x:c>
    </x:row>
    <x:row r="569">
      <x:c r="A569" s="14" t="n">
        <x:v>45048</x:v>
      </x:c>
      <x:c r="B569" s="20" t="n">
        <x:v>120.58</x:v>
      </x:c>
      <x:c r="C569" s="20" t="n">
        <x:v>410.84</x:v>
      </x:c>
      <x:c r="D569" s="21" t="n">
        <x:v>4861759</x:v>
      </x:c>
      <x:c r="E569" s="21" t="n">
        <x:v>103998500</x:v>
      </x:c>
      <x:c r="F569" s="11" t="str">
        <x:v>Nasdaq public historical table</x:v>
      </x:c>
    </x:row>
    <x:row r="570">
      <x:c r="A570" s="14" t="n">
        <x:v>45049</x:v>
      </x:c>
      <x:c r="B570" s="20" t="n">
        <x:v>118.86</x:v>
      </x:c>
      <x:c r="C570" s="20" t="n">
        <x:v>408.02</x:v>
      </x:c>
      <x:c r="D570" s="21" t="n">
        <x:v>3687660</x:v>
      </x:c>
      <x:c r="E570" s="21" t="n">
        <x:v>91531770</x:v>
      </x:c>
      <x:c r="F570" s="11" t="str">
        <x:v>Nasdaq public historical table</x:v>
      </x:c>
    </x:row>
    <x:row r="571">
      <x:c r="A571" s="14" t="n">
        <x:v>45050</x:v>
      </x:c>
      <x:c r="B571" s="20" t="n">
        <x:v>117.63</x:v>
      </x:c>
      <x:c r="C571" s="20" t="n">
        <x:v>405.13</x:v>
      </x:c>
      <x:c r="D571" s="21" t="n">
        <x:v>4939904</x:v>
      </x:c>
      <x:c r="E571" s="21" t="n">
        <x:v>94901860</x:v>
      </x:c>
      <x:c r="F571" s="11" t="str">
        <x:v>Nasdaq public historical table</x:v>
      </x:c>
    </x:row>
    <x:row r="572">
      <x:c r="A572" s="14" t="n">
        <x:v>45051</x:v>
      </x:c>
      <x:c r="B572" s="20" t="n">
        <x:v>119.9</x:v>
      </x:c>
      <x:c r="C572" s="20" t="n">
        <x:v>412.63</x:v>
      </x:c>
      <x:c r="D572" s="21" t="n">
        <x:v>6624644</x:v>
      </x:c>
      <x:c r="E572" s="21" t="n">
        <x:v>87891790</x:v>
      </x:c>
      <x:c r="F572" s="11" t="str">
        <x:v>Nasdaq public historical table</x:v>
      </x:c>
    </x:row>
    <x:row r="573">
      <x:c r="A573" s="14" t="n">
        <x:v>45054</x:v>
      </x:c>
      <x:c r="B573" s="20" t="n">
        <x:v>125.65</x:v>
      </x:c>
      <x:c r="C573" s="20" t="n">
        <x:v>412.74</x:v>
      </x:c>
      <x:c r="D573" s="21" t="n">
        <x:v>10142900</x:v>
      </x:c>
      <x:c r="E573" s="21" t="n">
        <x:v>50046770</x:v>
      </x:c>
      <x:c r="F573" s="11" t="str">
        <x:v>Nasdaq public historical table</x:v>
      </x:c>
    </x:row>
    <x:row r="574">
      <x:c r="A574" s="14" t="n">
        <x:v>45055</x:v>
      </x:c>
      <x:c r="B574" s="20" t="n">
        <x:v>127.07</x:v>
      </x:c>
      <x:c r="C574" s="20" t="n">
        <x:v>410.93</x:v>
      </x:c>
      <x:c r="D574" s="21" t="n">
        <x:v>15410320</x:v>
      </x:c>
      <x:c r="E574" s="21" t="n">
        <x:v>49220120</x:v>
      </x:c>
      <x:c r="F574" s="11" t="str">
        <x:v>Nasdaq public historical table</x:v>
      </x:c>
    </x:row>
    <x:row r="575">
      <x:c r="A575" s="14" t="n">
        <x:v>45056</x:v>
      </x:c>
      <x:c r="B575" s="20" t="n">
        <x:v>113.19</x:v>
      </x:c>
      <x:c r="C575" s="20" t="n">
        <x:v>412.85</x:v>
      </x:c>
      <x:c r="D575" s="21" t="n">
        <x:v>34191000</x:v>
      </x:c>
      <x:c r="E575" s="21" t="n">
        <x:v>96142920</x:v>
      </x:c>
      <x:c r="F575" s="11" t="str">
        <x:v>Nasdaq public historical table</x:v>
      </x:c>
    </x:row>
    <x:row r="576">
      <x:c r="A576" s="14" t="n">
        <x:v>45057</x:v>
      </x:c>
      <x:c r="B576" s="20" t="n">
        <x:v>111.2</x:v>
      </x:c>
      <x:c r="C576" s="20" t="n">
        <x:v>412.13</x:v>
      </x:c>
      <x:c r="D576" s="21" t="n">
        <x:v>9579405</x:v>
      </x:c>
      <x:c r="E576" s="21" t="n">
        <x:v>70157060</x:v>
      </x:c>
      <x:c r="F576" s="11" t="str">
        <x:v>Nasdaq public historical table</x:v>
      </x:c>
    </x:row>
    <x:row r="577">
      <x:c r="A577" s="14" t="n">
        <x:v>45058</x:v>
      </x:c>
      <x:c r="B577" s="20" t="n">
        <x:v>105.275</x:v>
      </x:c>
      <x:c r="C577" s="20" t="n">
        <x:v>411.59</x:v>
      </x:c>
      <x:c r="D577" s="21" t="n">
        <x:v>14768540</x:v>
      </x:c>
      <x:c r="E577" s="21" t="n">
        <x:v>70481550</x:v>
      </x:c>
      <x:c r="F577" s="11" t="str">
        <x:v>Nasdaq public historical table</x:v>
      </x:c>
    </x:row>
    <x:row r="578">
      <x:c r="A578" s="14" t="n">
        <x:v>45061</x:v>
      </x:c>
      <x:c r="B578" s="20" t="n">
        <x:v>105.78</x:v>
      </x:c>
      <x:c r="C578" s="20" t="n">
        <x:v>413.01</x:v>
      </x:c>
      <x:c r="D578" s="21" t="n">
        <x:v>5422484</x:v>
      </x:c>
      <x:c r="E578" s="21" t="n">
        <x:v>54289380</x:v>
      </x:c>
      <x:c r="F578" s="11" t="str">
        <x:v>Nasdaq public historical table</x:v>
      </x:c>
    </x:row>
    <x:row r="579">
      <x:c r="A579" s="14" t="n">
        <x:v>45062</x:v>
      </x:c>
      <x:c r="B579" s="20" t="n">
        <x:v>105.41</x:v>
      </x:c>
      <x:c r="C579" s="20" t="n">
        <x:v>410.25</x:v>
      </x:c>
      <x:c r="D579" s="21" t="n">
        <x:v>5593052</x:v>
      </x:c>
      <x:c r="E579" s="21" t="n">
        <x:v>57705500</x:v>
      </x:c>
      <x:c r="F579" s="11" t="str">
        <x:v>Nasdaq public historical table</x:v>
      </x:c>
    </x:row>
    <x:row r="580">
      <x:c r="A580" s="14" t="n">
        <x:v>45063</x:v>
      </x:c>
      <x:c r="B580" s="20" t="n">
        <x:v>108.33</x:v>
      </x:c>
      <x:c r="C580" s="20" t="n">
        <x:v>415.23</x:v>
      </x:c>
      <x:c r="D580" s="21" t="n">
        <x:v>6887413</x:v>
      </x:c>
      <x:c r="E580" s="21" t="n">
        <x:v>87286960</x:v>
      </x:c>
      <x:c r="F580" s="11" t="str">
        <x:v>Nasdaq public historical table</x:v>
      </x:c>
    </x:row>
    <x:row r="581">
      <x:c r="A581" s="14" t="n">
        <x:v>45064</x:v>
      </x:c>
      <x:c r="B581" s="20" t="n">
        <x:v>111.87</x:v>
      </x:c>
      <x:c r="C581" s="20" t="n">
        <x:v>419.23</x:v>
      </x:c>
      <x:c r="D581" s="21" t="n">
        <x:v>6945927</x:v>
      </x:c>
      <x:c r="E581" s="21" t="n">
        <x:v>97177200</x:v>
      </x:c>
      <x:c r="F581" s="11" t="str">
        <x:v>Nasdaq public historical table</x:v>
      </x:c>
    </x:row>
    <x:row r="582">
      <x:c r="A582" s="14" t="n">
        <x:v>45065</x:v>
      </x:c>
      <x:c r="B582" s="20" t="n">
        <x:v>107.38</x:v>
      </x:c>
      <x:c r="C582" s="20" t="n">
        <x:v>418.62</x:v>
      </x:c>
      <x:c r="D582" s="21" t="n">
        <x:v>9203689</x:v>
      </x:c>
      <x:c r="E582" s="21" t="n">
        <x:v>103793300</x:v>
      </x:c>
      <x:c r="F582" s="11" t="str">
        <x:v>Nasdaq public historical table</x:v>
      </x:c>
    </x:row>
    <x:row r="583">
      <x:c r="A583" s="14" t="n">
        <x:v>45068</x:v>
      </x:c>
      <x:c r="B583" s="20" t="n">
        <x:v>109.93</x:v>
      </x:c>
      <x:c r="C583" s="20" t="n">
        <x:v>418.79</x:v>
      </x:c>
      <x:c r="D583" s="21" t="n">
        <x:v>7350588</x:v>
      </x:c>
      <x:c r="E583" s="21" t="n">
        <x:v>60745400</x:v>
      </x:c>
      <x:c r="F583" s="11" t="str">
        <x:v>Nasdaq public historical table</x:v>
      </x:c>
    </x:row>
    <x:row r="584">
      <x:c r="A584" s="14" t="n">
        <x:v>45069</x:v>
      </x:c>
      <x:c r="B584" s="20" t="n">
        <x:v>106.25</x:v>
      </x:c>
      <x:c r="C584" s="20" t="n">
        <x:v>414.09</x:v>
      </x:c>
      <x:c r="D584" s="21" t="n">
        <x:v>6498151</x:v>
      </x:c>
      <x:c r="E584" s="21" t="n">
        <x:v>86383490</x:v>
      </x:c>
      <x:c r="F584" s="11" t="str">
        <x:v>Nasdaq public historical table</x:v>
      </x:c>
    </x:row>
    <x:row r="585">
      <x:c r="A585" s="14" t="n">
        <x:v>45070</x:v>
      </x:c>
      <x:c r="B585" s="20" t="n">
        <x:v>105.71</x:v>
      </x:c>
      <x:c r="C585" s="20" t="n">
        <x:v>411.09</x:v>
      </x:c>
      <x:c r="D585" s="21" t="n">
        <x:v>5371655</x:v>
      </x:c>
      <x:c r="E585" s="21" t="n">
        <x:v>89213680</x:v>
      </x:c>
      <x:c r="F585" s="11" t="str">
        <x:v>Nasdaq public historical table</x:v>
      </x:c>
    </x:row>
    <x:row r="586">
      <x:c r="A586" s="14" t="n">
        <x:v>45071</x:v>
      </x:c>
      <x:c r="B586" s="20" t="n">
        <x:v>104.42</x:v>
      </x:c>
      <x:c r="C586" s="20" t="n">
        <x:v>414.65</x:v>
      </x:c>
      <x:c r="D586" s="21" t="n">
        <x:v>4834459</x:v>
      </x:c>
      <x:c r="E586" s="21" t="n">
        <x:v>90961610</x:v>
      </x:c>
      <x:c r="F586" s="11" t="str">
        <x:v>Nasdaq public historical table</x:v>
      </x:c>
    </x:row>
    <x:row r="587">
      <x:c r="A587" s="14" t="n">
        <x:v>45072</x:v>
      </x:c>
      <x:c r="B587" s="20" t="n">
        <x:v>106.81</x:v>
      </x:c>
      <x:c r="C587" s="20" t="n">
        <x:v>420.02</x:v>
      </x:c>
      <x:c r="D587" s="21" t="n">
        <x:v>4680146</x:v>
      </x:c>
      <x:c r="E587" s="21" t="n">
        <x:v>93829980</x:v>
      </x:c>
      <x:c r="F587" s="11" t="str">
        <x:v>Nasdaq public historical table</x:v>
      </x:c>
    </x:row>
    <x:row r="588">
      <x:c r="A588" s="14" t="n">
        <x:v>45076</x:v>
      </x:c>
      <x:c r="B588" s="20" t="n">
        <x:v>107.19</x:v>
      </x:c>
      <x:c r="C588" s="20" t="n">
        <x:v>420.18</x:v>
      </x:c>
      <x:c r="D588" s="21" t="n">
        <x:v>5460117</x:v>
      </x:c>
      <x:c r="E588" s="21" t="n">
        <x:v>72215960</x:v>
      </x:c>
      <x:c r="F588" s="11" t="str">
        <x:v>Nasdaq public historical table</x:v>
      </x:c>
    </x:row>
    <x:row r="589">
      <x:c r="A589" s="14" t="n">
        <x:v>45077</x:v>
      </x:c>
      <x:c r="B589" s="20" t="n">
        <x:v>109.77</x:v>
      </x:c>
      <x:c r="C589" s="20" t="n">
        <x:v>417.85</x:v>
      </x:c>
      <x:c r="D589" s="21" t="n">
        <x:v>10263070</x:v>
      </x:c>
      <x:c r="E589" s="21" t="n">
        <x:v>110811800</x:v>
      </x:c>
      <x:c r="F589" s="11" t="str">
        <x:v>Nasdaq public historical table</x:v>
      </x:c>
    </x:row>
    <x:row r="590">
      <x:c r="A590" s="14" t="n">
        <x:v>45078</x:v>
      </x:c>
      <x:c r="B590" s="20" t="n">
        <x:v>112.16</x:v>
      </x:c>
      <x:c r="C590" s="20" t="n">
        <x:v>421.82</x:v>
      </x:c>
      <x:c r="D590" s="21" t="n">
        <x:v>6644088</x:v>
      </x:c>
      <x:c r="E590" s="21" t="n">
        <x:v>88865020</x:v>
      </x:c>
      <x:c r="F590" s="11" t="str">
        <x:v>Nasdaq public historical table</x:v>
      </x:c>
    </x:row>
    <x:row r="591">
      <x:c r="A591" s="14" t="n">
        <x:v>45079</x:v>
      </x:c>
      <x:c r="B591" s="20" t="n">
        <x:v>118.06</x:v>
      </x:c>
      <x:c r="C591" s="20" t="n">
        <x:v>427.92</x:v>
      </x:c>
      <x:c r="D591" s="21" t="n">
        <x:v>10149970</x:v>
      </x:c>
      <x:c r="E591" s="21" t="n">
        <x:v>91426170</x:v>
      </x:c>
      <x:c r="F591" s="11" t="str">
        <x:v>Nasdaq public historical table</x:v>
      </x:c>
    </x:row>
    <x:row r="592">
      <x:c r="A592" s="14" t="n">
        <x:v>45082</x:v>
      </x:c>
      <x:c r="B592" s="20" t="n">
        <x:v>115.69</x:v>
      </x:c>
      <x:c r="C592" s="20" t="n">
        <x:v>427.1</x:v>
      </x:c>
      <x:c r="D592" s="21" t="n">
        <x:v>8324362</x:v>
      </x:c>
      <x:c r="E592" s="21" t="n">
        <x:v>65460160</x:v>
      </x:c>
      <x:c r="F592" s="11" t="str">
        <x:v>Nasdaq public historical table</x:v>
      </x:c>
    </x:row>
    <x:row r="593">
      <x:c r="A593" s="14" t="n">
        <x:v>45083</x:v>
      </x:c>
      <x:c r="B593" s="20" t="n">
        <x:v>117.3</x:v>
      </x:c>
      <x:c r="C593" s="20" t="n">
        <x:v>428.03</x:v>
      </x:c>
      <x:c r="D593" s="21" t="n">
        <x:v>5025661</x:v>
      </x:c>
      <x:c r="E593" s="21" t="n">
        <x:v>64022180</x:v>
      </x:c>
      <x:c r="F593" s="11" t="str">
        <x:v>Nasdaq public historical table</x:v>
      </x:c>
    </x:row>
    <x:row r="594">
      <x:c r="A594" s="14" t="n">
        <x:v>45084</x:v>
      </x:c>
      <x:c r="B594" s="20" t="n">
        <x:v>116.55</x:v>
      </x:c>
      <x:c r="C594" s="20" t="n">
        <x:v>426.55</x:v>
      </x:c>
      <x:c r="D594" s="21" t="n">
        <x:v>4637584</x:v>
      </x:c>
      <x:c r="E594" s="21" t="n">
        <x:v>85373280</x:v>
      </x:c>
      <x:c r="F594" s="11" t="str">
        <x:v>Nasdaq public historical table</x:v>
      </x:c>
    </x:row>
    <x:row r="595">
      <x:c r="A595" s="14" t="n">
        <x:v>45085</x:v>
      </x:c>
      <x:c r="B595" s="20" t="n">
        <x:v>115.5</x:v>
      </x:c>
      <x:c r="C595" s="20" t="n">
        <x:v>429.13</x:v>
      </x:c>
      <x:c r="D595" s="21" t="n">
        <x:v>4435440</x:v>
      </x:c>
      <x:c r="E595" s="21" t="n">
        <x:v>61952840</x:v>
      </x:c>
      <x:c r="F595" s="11" t="str">
        <x:v>Nasdaq public historical table</x:v>
      </x:c>
    </x:row>
    <x:row r="596">
      <x:c r="A596" s="14" t="n">
        <x:v>45086</x:v>
      </x:c>
      <x:c r="B596" s="20" t="n">
        <x:v>117.86</x:v>
      </x:c>
      <x:c r="C596" s="20" t="n">
        <x:v>429.9</x:v>
      </x:c>
      <x:c r="D596" s="21" t="n">
        <x:v>7430877</x:v>
      </x:c>
      <x:c r="E596" s="21" t="n">
        <x:v>85647270</x:v>
      </x:c>
      <x:c r="F596" s="11" t="str">
        <x:v>Nasdaq public historical table</x:v>
      </x:c>
    </x:row>
    <x:row r="597">
      <x:c r="A597" s="14" t="n">
        <x:v>45089</x:v>
      </x:c>
      <x:c r="B597" s="20" t="n">
        <x:v>124.59</x:v>
      </x:c>
      <x:c r="C597" s="20" t="n">
        <x:v>433.8</x:v>
      </x:c>
      <x:c r="D597" s="21" t="n">
        <x:v>7880981</x:v>
      </x:c>
      <x:c r="E597" s="21" t="n">
        <x:v>76256700</x:v>
      </x:c>
      <x:c r="F597" s="11" t="str">
        <x:v>Nasdaq public historical table</x:v>
      </x:c>
    </x:row>
    <x:row r="598">
      <x:c r="A598" s="14" t="n">
        <x:v>45090</x:v>
      </x:c>
      <x:c r="B598" s="20" t="n">
        <x:v>124.9</x:v>
      </x:c>
      <x:c r="C598" s="20" t="n">
        <x:v>436.66</x:v>
      </x:c>
      <x:c r="D598" s="21" t="n">
        <x:v>5276791</x:v>
      </x:c>
      <x:c r="E598" s="21" t="n">
        <x:v>95899700</x:v>
      </x:c>
      <x:c r="F598" s="11" t="str">
        <x:v>Nasdaq public historical table</x:v>
      </x:c>
    </x:row>
    <x:row r="599">
      <x:c r="A599" s="14" t="n">
        <x:v>45091</x:v>
      </x:c>
      <x:c r="B599" s="20" t="n">
        <x:v>125.14</x:v>
      </x:c>
      <x:c r="C599" s="20" t="n">
        <x:v>437.18</x:v>
      </x:c>
      <x:c r="D599" s="21" t="n">
        <x:v>5696699</x:v>
      </x:c>
      <x:c r="E599" s="21" t="n">
        <x:v>100612100</x:v>
      </x:c>
      <x:c r="F599" s="11" t="str">
        <x:v>Nasdaq public historical table</x:v>
      </x:c>
    </x:row>
    <x:row r="600">
      <x:c r="A600" s="14" t="n">
        <x:v>45092</x:v>
      </x:c>
      <x:c r="B600" s="20" t="n">
        <x:v>127.85</x:v>
      </x:c>
      <x:c r="C600" s="20" t="n">
        <x:v>442.6</x:v>
      </x:c>
      <x:c r="D600" s="21" t="n">
        <x:v>5599370</x:v>
      </x:c>
      <x:c r="E600" s="21" t="n">
        <x:v>110303100</x:v>
      </x:c>
      <x:c r="F600" s="11" t="str">
        <x:v>Nasdaq public historical table</x:v>
      </x:c>
    </x:row>
    <x:row r="601">
      <x:c r="A601" s="14" t="n">
        <x:v>45093</x:v>
      </x:c>
      <x:c r="B601" s="20" t="n">
        <x:v>128.68</x:v>
      </x:c>
      <x:c r="C601" s="20" t="n">
        <x:v>439.46</x:v>
      </x:c>
      <x:c r="D601" s="21" t="n">
        <x:v>6894180</x:v>
      </x:c>
      <x:c r="E601" s="21" t="n">
        <x:v>114165800</x:v>
      </x:c>
      <x:c r="F601" s="11" t="str">
        <x:v>Nasdaq public historical table</x:v>
      </x:c>
    </x:row>
    <x:row r="602">
      <x:c r="A602" s="14" t="n">
        <x:v>45097</x:v>
      </x:c>
      <x:c r="B602" s="20" t="n">
        <x:v>126.45</x:v>
      </x:c>
      <x:c r="C602" s="20" t="n">
        <x:v>437.18</x:v>
      </x:c>
      <x:c r="D602" s="21" t="n">
        <x:v>5384674</x:v>
      </x:c>
      <x:c r="E602" s="21" t="n">
        <x:v>76160360</x:v>
      </x:c>
      <x:c r="F602" s="11" t="str">
        <x:v>Nasdaq public historical table</x:v>
      </x:c>
    </x:row>
    <x:row r="603">
      <x:c r="A603" s="14" t="n">
        <x:v>45098</x:v>
      </x:c>
      <x:c r="B603" s="20" t="n">
        <x:v>127.46</x:v>
      </x:c>
      <x:c r="C603" s="20" t="n">
        <x:v>434.94</x:v>
      </x:c>
      <x:c r="D603" s="21" t="n">
        <x:v>4711852</x:v>
      </x:c>
      <x:c r="E603" s="21" t="n">
        <x:v>76982250</x:v>
      </x:c>
      <x:c r="F603" s="11" t="str">
        <x:v>Nasdaq public historical table</x:v>
      </x:c>
    </x:row>
    <x:row r="604">
      <x:c r="A604" s="14" t="n">
        <x:v>45099</x:v>
      </x:c>
      <x:c r="B604" s="20" t="n">
        <x:v>127.96</x:v>
      </x:c>
      <x:c r="C604" s="20" t="n">
        <x:v>436.51</x:v>
      </x:c>
      <x:c r="D604" s="21" t="n">
        <x:v>3940483</x:v>
      </x:c>
      <x:c r="E604" s="21" t="n">
        <x:v>70637180</x:v>
      </x:c>
      <x:c r="F604" s="11" t="str">
        <x:v>Nasdaq public historical table</x:v>
      </x:c>
    </x:row>
    <x:row r="605">
      <x:c r="A605" s="14" t="n">
        <x:v>45100</x:v>
      </x:c>
      <x:c r="B605" s="20" t="n">
        <x:v>124.73</x:v>
      </x:c>
      <x:c r="C605" s="20" t="n">
        <x:v>433.21</x:v>
      </x:c>
      <x:c r="D605" s="21" t="n">
        <x:v>5799995</x:v>
      </x:c>
      <x:c r="E605" s="21" t="n">
        <x:v>92074540</x:v>
      </x:c>
      <x:c r="F605" s="11" t="str">
        <x:v>Nasdaq public historical table</x:v>
      </x:c>
    </x:row>
    <x:row r="606">
      <x:c r="A606" s="14" t="n">
        <x:v>45103</x:v>
      </x:c>
      <x:c r="B606" s="20" t="n">
        <x:v>123.13</x:v>
      </x:c>
      <x:c r="C606" s="20" t="n">
        <x:v>431.44</x:v>
      </x:c>
      <x:c r="D606" s="21" t="n">
        <x:v>3645763</x:v>
      </x:c>
      <x:c r="E606" s="21" t="n">
        <x:v>72823560</x:v>
      </x:c>
      <x:c r="F606" s="11" t="str">
        <x:v>Nasdaq public historical table</x:v>
      </x:c>
    </x:row>
    <x:row r="607">
      <x:c r="A607" s="14" t="n">
        <x:v>45104</x:v>
      </x:c>
      <x:c r="B607" s="20" t="n">
        <x:v>127.89</x:v>
      </x:c>
      <x:c r="C607" s="20" t="n">
        <x:v>436.17</x:v>
      </x:c>
      <x:c r="D607" s="21" t="n">
        <x:v>4507674</x:v>
      </x:c>
      <x:c r="E607" s="21" t="n">
        <x:v>72813700</x:v>
      </x:c>
      <x:c r="F607" s="11" t="str">
        <x:v>Nasdaq public historical table</x:v>
      </x:c>
    </x:row>
    <x:row r="608">
      <x:c r="A608" s="14" t="n">
        <x:v>45105</x:v>
      </x:c>
      <x:c r="B608" s="20" t="n">
        <x:v>127.63</x:v>
      </x:c>
      <x:c r="C608" s="20" t="n">
        <x:v>436.39</x:v>
      </x:c>
      <x:c r="D608" s="21" t="n">
        <x:v>6130392</x:v>
      </x:c>
      <x:c r="E608" s="21" t="n">
        <x:v>75635980</x:v>
      </x:c>
      <x:c r="F608" s="11" t="str">
        <x:v>Nasdaq public historical table</x:v>
      </x:c>
    </x:row>
    <x:row r="609">
      <x:c r="A609" s="14" t="n">
        <x:v>45106</x:v>
      </x:c>
      <x:c r="B609" s="20" t="n">
        <x:v>125.1</x:v>
      </x:c>
      <x:c r="C609" s="20" t="n">
        <x:v>438.11</x:v>
      </x:c>
      <x:c r="D609" s="21" t="n">
        <x:v>4241977</x:v>
      </x:c>
      <x:c r="E609" s="21" t="n">
        <x:v>67882300</x:v>
      </x:c>
      <x:c r="F609" s="11" t="str">
        <x:v>Nasdaq public historical table</x:v>
      </x:c>
    </x:row>
    <x:row r="610">
      <x:c r="A610" s="14" t="n">
        <x:v>45107</x:v>
      </x:c>
      <x:c r="B610" s="20" t="n">
        <x:v>128.16</x:v>
      </x:c>
      <x:c r="C610" s="20" t="n">
        <x:v>443.28</x:v>
      </x:c>
      <x:c r="D610" s="21" t="n">
        <x:v>4604635</x:v>
      </x:c>
      <x:c r="E610" s="21" t="n">
        <x:v>104964000</x:v>
      </x:c>
      <x:c r="F610" s="11" t="str">
        <x:v>Nasdaq public historical table</x:v>
      </x:c>
    </x:row>
    <x:row r="611">
      <x:c r="A611" s="14" t="n">
        <x:v>45110</x:v>
      </x:c>
      <x:c r="B611" s="20" t="n">
        <x:v>132.35</x:v>
      </x:c>
      <x:c r="C611" s="20" t="n">
        <x:v>443.79</x:v>
      </x:c>
      <x:c r="D611" s="21" t="n">
        <x:v>4996267</x:v>
      </x:c>
      <x:c r="E611" s="21" t="n">
        <x:v>32793380</x:v>
      </x:c>
      <x:c r="F611" s="11" t="str">
        <x:v>Nasdaq public historical table</x:v>
      </x:c>
    </x:row>
    <x:row r="612">
      <x:c r="A612" s="14" t="n">
        <x:v>45112</x:v>
      </x:c>
      <x:c r="B612" s="20" t="n">
        <x:v>131.69</x:v>
      </x:c>
      <x:c r="C612" s="20" t="n">
        <x:v>443.13</x:v>
      </x:c>
      <x:c r="D612" s="21" t="n">
        <x:v>3429919</x:v>
      </x:c>
      <x:c r="E612" s="21" t="n">
        <x:v>58418430</x:v>
      </x:c>
      <x:c r="F612" s="11" t="str">
        <x:v>Nasdaq public historical table</x:v>
      </x:c>
    </x:row>
    <x:row r="613">
      <x:c r="A613" s="14" t="n">
        <x:v>45113</x:v>
      </x:c>
      <x:c r="B613" s="20" t="n">
        <x:v>128.16</x:v>
      </x:c>
      <x:c r="C613" s="20" t="n">
        <x:v>439.66</x:v>
      </x:c>
      <x:c r="D613" s="21" t="n">
        <x:v>3736527</x:v>
      </x:c>
      <x:c r="E613" s="21" t="n">
        <x:v>80658300</x:v>
      </x:c>
      <x:c r="F613" s="11" t="str">
        <x:v>Nasdaq public historical table</x:v>
      </x:c>
    </x:row>
    <x:row r="614">
      <x:c r="A614" s="14" t="n">
        <x:v>45114</x:v>
      </x:c>
      <x:c r="B614" s="20" t="n">
        <x:v>130.32</x:v>
      </x:c>
      <x:c r="C614" s="20" t="n">
        <x:v>438.55</x:v>
      </x:c>
      <x:c r="D614" s="21" t="n">
        <x:v>3149193</x:v>
      </x:c>
      <x:c r="E614" s="21" t="n">
        <x:v>86134180</x:v>
      </x:c>
      <x:c r="F614" s="11" t="str">
        <x:v>Nasdaq public historical table</x:v>
      </x:c>
    </x:row>
    <x:row r="615">
      <x:c r="A615" s="14" t="n">
        <x:v>45117</x:v>
      </x:c>
      <x:c r="B615" s="20" t="n">
        <x:v>131.71</x:v>
      </x:c>
      <x:c r="C615" s="20" t="n">
        <x:v>439.66</x:v>
      </x:c>
      <x:c r="D615" s="21" t="n">
        <x:v>4051952</x:v>
      </x:c>
      <x:c r="E615" s="21" t="n">
        <x:v>62443500</x:v>
      </x:c>
      <x:c r="F615" s="11" t="str">
        <x:v>Nasdaq public historical table</x:v>
      </x:c>
    </x:row>
    <x:row r="616">
      <x:c r="A616" s="14" t="n">
        <x:v>45118</x:v>
      </x:c>
      <x:c r="B616" s="20" t="n">
        <x:v>137.54</x:v>
      </x:c>
      <x:c r="C616" s="20" t="n">
        <x:v>442.46</x:v>
      </x:c>
      <x:c r="D616" s="21" t="n">
        <x:v>10045590</x:v>
      </x:c>
      <x:c r="E616" s="21" t="n">
        <x:v>64463750</x:v>
      </x:c>
      <x:c r="F616" s="11" t="str">
        <x:v>Nasdaq public historical table</x:v>
      </x:c>
    </x:row>
    <x:row r="617">
      <x:c r="A617" s="14" t="n">
        <x:v>45119</x:v>
      </x:c>
      <x:c r="B617" s="20" t="n">
        <x:v>137.02</x:v>
      </x:c>
      <x:c r="C617" s="20" t="n">
        <x:v>446.02</x:v>
      </x:c>
      <x:c r="D617" s="21" t="n">
        <x:v>5583563</x:v>
      </x:c>
      <x:c r="E617" s="21" t="n">
        <x:v>91924530</x:v>
      </x:c>
      <x:c r="F617" s="11" t="str">
        <x:v>Nasdaq public historical table</x:v>
      </x:c>
    </x:row>
    <x:row r="618">
      <x:c r="A618" s="14" t="n">
        <x:v>45120</x:v>
      </x:c>
      <x:c r="B618" s="20" t="n">
        <x:v>140.09</x:v>
      </x:c>
      <x:c r="C618" s="20" t="n">
        <x:v>449.56</x:v>
      </x:c>
      <x:c r="D618" s="21" t="n">
        <x:v>5532320</x:v>
      </x:c>
      <x:c r="E618" s="21" t="n">
        <x:v>72425240</x:v>
      </x:c>
      <x:c r="F618" s="11" t="str">
        <x:v>Nasdaq public historical table</x:v>
      </x:c>
    </x:row>
    <x:row r="619">
      <x:c r="A619" s="14" t="n">
        <x:v>45121</x:v>
      </x:c>
      <x:c r="B619" s="20" t="n">
        <x:v>143.34</x:v>
      </x:c>
      <x:c r="C619" s="20" t="n">
        <x:v>449.28</x:v>
      </x:c>
      <x:c r="D619" s="21" t="n">
        <x:v>6728498</x:v>
      </x:c>
      <x:c r="E619" s="21" t="n">
        <x:v>69815820</x:v>
      </x:c>
      <x:c r="F619" s="11" t="str">
        <x:v>Nasdaq public historical table</x:v>
      </x:c>
    </x:row>
    <x:row r="620">
      <x:c r="A620" s="14" t="n">
        <x:v>45124</x:v>
      </x:c>
      <x:c r="B620" s="20" t="n">
        <x:v>145.36</x:v>
      </x:c>
      <x:c r="C620" s="20" t="n">
        <x:v>450.84</x:v>
      </x:c>
      <x:c r="D620" s="21" t="n">
        <x:v>5755755</x:v>
      </x:c>
      <x:c r="E620" s="21" t="n">
        <x:v>52680220</x:v>
      </x:c>
      <x:c r="F620" s="11" t="str">
        <x:v>Nasdaq public historical table</x:v>
      </x:c>
    </x:row>
    <x:row r="621">
      <x:c r="A621" s="14" t="n">
        <x:v>45125</x:v>
      </x:c>
      <x:c r="B621" s="20" t="n">
        <x:v>146.53</x:v>
      </x:c>
      <x:c r="C621" s="20" t="n">
        <x:v>454.19</x:v>
      </x:c>
      <x:c r="D621" s="21" t="n">
        <x:v>4124895</x:v>
      </x:c>
      <x:c r="E621" s="21" t="n">
        <x:v>80744450</x:v>
      </x:c>
      <x:c r="F621" s="11" t="str">
        <x:v>Nasdaq public historical table</x:v>
      </x:c>
    </x:row>
    <x:row r="622">
      <x:c r="A622" s="14" t="n">
        <x:v>45126</x:v>
      </x:c>
      <x:c r="B622" s="20" t="n">
        <x:v>145.535</x:v>
      </x:c>
      <x:c r="C622" s="20" t="n">
        <x:v>455.2</x:v>
      </x:c>
      <x:c r="D622" s="21" t="n">
        <x:v>4968555</x:v>
      </x:c>
      <x:c r="E622" s="21" t="n">
        <x:v>65891690</x:v>
      </x:c>
      <x:c r="F622" s="11" t="str">
        <x:v>Nasdaq public historical table</x:v>
      </x:c>
    </x:row>
    <x:row r="623">
      <x:c r="A623" s="14" t="n">
        <x:v>45127</x:v>
      </x:c>
      <x:c r="B623" s="20" t="n">
        <x:v>145.28</x:v>
      </x:c>
      <x:c r="C623" s="20" t="n">
        <x:v>452.18</x:v>
      </x:c>
      <x:c r="D623" s="21" t="n">
        <x:v>4246295</x:v>
      </x:c>
      <x:c r="E623" s="21" t="n">
        <x:v>70591640</x:v>
      </x:c>
      <x:c r="F623" s="11" t="str">
        <x:v>Nasdaq public historical table</x:v>
      </x:c>
    </x:row>
    <x:row r="624">
      <x:c r="A624" s="14" t="n">
        <x:v>45128</x:v>
      </x:c>
      <x:c r="B624" s="20" t="n">
        <x:v>148.77</x:v>
      </x:c>
      <x:c r="C624" s="20" t="n">
        <x:v>452.18</x:v>
      </x:c>
      <x:c r="D624" s="21" t="n">
        <x:v>11813010</x:v>
      </x:c>
      <x:c r="E624" s="21" t="n">
        <x:v>71275620</x:v>
      </x:c>
      <x:c r="F624" s="11" t="str">
        <x:v>Nasdaq public historical table</x:v>
      </x:c>
    </x:row>
    <x:row r="625">
      <x:c r="A625" s="14" t="n">
        <x:v>45131</x:v>
      </x:c>
      <x:c r="B625" s="20" t="n">
        <x:v>147.62</x:v>
      </x:c>
      <x:c r="C625" s="20" t="n">
        <x:v>454.2</x:v>
      </x:c>
      <x:c r="D625" s="21" t="n">
        <x:v>4373201</x:v>
      </x:c>
      <x:c r="E625" s="21" t="n">
        <x:v>54023380</x:v>
      </x:c>
      <x:c r="F625" s="11" t="str">
        <x:v>Nasdaq public historical table</x:v>
      </x:c>
    </x:row>
    <x:row r="626">
      <x:c r="A626" s="14" t="n">
        <x:v>45132</x:v>
      </x:c>
      <x:c r="B626" s="20" t="n">
        <x:v>148.65</x:v>
      </x:c>
      <x:c r="C626" s="20" t="n">
        <x:v>455.44</x:v>
      </x:c>
      <x:c r="D626" s="21" t="n">
        <x:v>4121251</x:v>
      </x:c>
      <x:c r="E626" s="21" t="n">
        <x:v>55191240</x:v>
      </x:c>
      <x:c r="F626" s="11" t="str">
        <x:v>Nasdaq public historical table</x:v>
      </x:c>
    </x:row>
    <x:row r="627">
      <x:c r="A627" s="14" t="n">
        <x:v>45133</x:v>
      </x:c>
      <x:c r="B627" s="20" t="n">
        <x:v>150.17</x:v>
      </x:c>
      <x:c r="C627" s="20" t="n">
        <x:v>455.51</x:v>
      </x:c>
      <x:c r="D627" s="21" t="n">
        <x:v>4055506</x:v>
      </x:c>
      <x:c r="E627" s="21" t="n">
        <x:v>71052890</x:v>
      </x:c>
      <x:c r="F627" s="11" t="str">
        <x:v>Nasdaq public historical table</x:v>
      </x:c>
    </x:row>
    <x:row r="628">
      <x:c r="A628" s="14" t="n">
        <x:v>45134</x:v>
      </x:c>
      <x:c r="B628" s="20" t="n">
        <x:v>148.5</x:v>
      </x:c>
      <x:c r="C628" s="20" t="n">
        <x:v>452.49</x:v>
      </x:c>
      <x:c r="D628" s="21" t="n">
        <x:v>5425994</x:v>
      </x:c>
      <x:c r="E628" s="21" t="n">
        <x:v>92194380</x:v>
      </x:c>
      <x:c r="F628" s="11" t="str">
        <x:v>Nasdaq public historical table</x:v>
      </x:c>
    </x:row>
    <x:row r="629">
      <x:c r="A629" s="14" t="n">
        <x:v>45135</x:v>
      </x:c>
      <x:c r="B629" s="20" t="n">
        <x:v>153.33</x:v>
      </x:c>
      <x:c r="C629" s="20" t="n">
        <x:v>456.92</x:v>
      </x:c>
      <x:c r="D629" s="21" t="n">
        <x:v>4164344</x:v>
      </x:c>
      <x:c r="E629" s="21" t="n">
        <x:v>80011790</x:v>
      </x:c>
      <x:c r="F629" s="11" t="str">
        <x:v>Nasdaq public historical table</x:v>
      </x:c>
    </x:row>
    <x:row r="630">
      <x:c r="A630" s="14" t="n">
        <x:v>45138</x:v>
      </x:c>
      <x:c r="B630" s="20" t="n">
        <x:v>152.19</x:v>
      </x:c>
      <x:c r="C630" s="20" t="n">
        <x:v>457.79</x:v>
      </x:c>
      <x:c r="D630" s="21" t="n">
        <x:v>4459756</x:v>
      </x:c>
      <x:c r="E630" s="21" t="n">
        <x:v>62040450</x:v>
      </x:c>
      <x:c r="F630" s="11" t="str">
        <x:v>Nasdaq public historical table</x:v>
      </x:c>
    </x:row>
    <x:row r="631">
      <x:c r="A631" s="14" t="n">
        <x:v>45139</x:v>
      </x:c>
      <x:c r="B631" s="20" t="n">
        <x:v>148.91</x:v>
      </x:c>
      <x:c r="C631" s="20" t="n">
        <x:v>456.48</x:v>
      </x:c>
      <x:c r="D631" s="21" t="n">
        <x:v>4524604</x:v>
      </x:c>
      <x:c r="E631" s="21" t="n">
        <x:v>55502200</x:v>
      </x:c>
      <x:c r="F631" s="11" t="str">
        <x:v>Nasdaq public historical table</x:v>
      </x:c>
    </x:row>
    <x:row r="632">
      <x:c r="A632" s="14" t="n">
        <x:v>45140</x:v>
      </x:c>
      <x:c r="B632" s="20" t="n">
        <x:v>144.56</x:v>
      </x:c>
      <x:c r="C632" s="20" t="n">
        <x:v>450.13</x:v>
      </x:c>
      <x:c r="D632" s="21" t="n">
        <x:v>7030997</x:v>
      </x:c>
      <x:c r="E632" s="21" t="n">
        <x:v>93933370</x:v>
      </x:c>
      <x:c r="F632" s="11" t="str">
        <x:v>Nasdaq public historical table</x:v>
      </x:c>
    </x:row>
    <x:row r="633">
      <x:c r="A633" s="14" t="n">
        <x:v>45141</x:v>
      </x:c>
      <x:c r="B633" s="20" t="n">
        <x:v>140.88</x:v>
      </x:c>
      <x:c r="C633" s="20" t="n">
        <x:v>448.84</x:v>
      </x:c>
      <x:c r="D633" s="21" t="n">
        <x:v>11483820</x:v>
      </x:c>
      <x:c r="E633" s="21" t="n">
        <x:v>64419690</x:v>
      </x:c>
      <x:c r="F633" s="11" t="str">
        <x:v>Nasdaq public historical table</x:v>
      </x:c>
    </x:row>
    <x:row r="634">
      <x:c r="A634" s="14" t="n">
        <x:v>45142</x:v>
      </x:c>
      <x:c r="B634" s="20" t="n">
        <x:v>140.17</x:v>
      </x:c>
      <x:c r="C634" s="20" t="n">
        <x:v>446.81</x:v>
      </x:c>
      <x:c r="D634" s="21" t="n">
        <x:v>8623302</x:v>
      </x:c>
      <x:c r="E634" s="21" t="n">
        <x:v>100128900</x:v>
      </x:c>
      <x:c r="F634" s="11" t="str">
        <x:v>Nasdaq public historical table</x:v>
      </x:c>
    </x:row>
    <x:row r="635">
      <x:c r="A635" s="14" t="n">
        <x:v>45145</x:v>
      </x:c>
      <x:c r="B635" s="20" t="n">
        <x:v>143.2</x:v>
      </x:c>
      <x:c r="C635" s="20" t="n">
        <x:v>450.71</x:v>
      </x:c>
      <x:c r="D635" s="21" t="n">
        <x:v>4079123</x:v>
      </x:c>
      <x:c r="E635" s="21" t="n">
        <x:v>58357460</x:v>
      </x:c>
      <x:c r="F635" s="11" t="str">
        <x:v>Nasdaq public historical table</x:v>
      </x:c>
    </x:row>
    <x:row r="636">
      <x:c r="A636" s="14" t="n">
        <x:v>45146</x:v>
      </x:c>
      <x:c r="B636" s="20" t="n">
        <x:v>139.55</x:v>
      </x:c>
      <x:c r="C636" s="20" t="n">
        <x:v>448.75</x:v>
      </x:c>
      <x:c r="D636" s="21" t="n">
        <x:v>4685767</x:v>
      </x:c>
      <x:c r="E636" s="21" t="n">
        <x:v>71361320</x:v>
      </x:c>
      <x:c r="F636" s="11" t="str">
        <x:v>Nasdaq public historical table</x:v>
      </x:c>
    </x:row>
    <x:row r="637">
      <x:c r="A637" s="14" t="n">
        <x:v>45147</x:v>
      </x:c>
      <x:c r="B637" s="20" t="n">
        <x:v>137.87</x:v>
      </x:c>
      <x:c r="C637" s="20" t="n">
        <x:v>445.75</x:v>
      </x:c>
      <x:c r="D637" s="21" t="n">
        <x:v>3389682</x:v>
      </x:c>
      <x:c r="E637" s="21" t="n">
        <x:v>78789580</x:v>
      </x:c>
      <x:c r="F637" s="11" t="str">
        <x:v>Nasdaq public historical table</x:v>
      </x:c>
    </x:row>
    <x:row r="638">
      <x:c r="A638" s="14" t="n">
        <x:v>45148</x:v>
      </x:c>
      <x:c r="B638" s="20" t="n">
        <x:v>135.97</x:v>
      </x:c>
      <x:c r="C638" s="20" t="n">
        <x:v>445.91</x:v>
      </x:c>
      <x:c r="D638" s="21" t="n">
        <x:v>3437587</x:v>
      </x:c>
      <x:c r="E638" s="21" t="n">
        <x:v>93005500</x:v>
      </x:c>
      <x:c r="F638" s="11" t="str">
        <x:v>Nasdaq public historical table</x:v>
      </x:c>
    </x:row>
    <x:row r="639">
      <x:c r="A639" s="14" t="n">
        <x:v>45149</x:v>
      </x:c>
      <x:c r="B639" s="20" t="n">
        <x:v>133.68</x:v>
      </x:c>
      <x:c r="C639" s="20" t="n">
        <x:v>445.65</x:v>
      </x:c>
      <x:c r="D639" s="21" t="n">
        <x:v>4412738</x:v>
      </x:c>
      <x:c r="E639" s="21" t="n">
        <x:v>68690900</x:v>
      </x:c>
      <x:c r="F639" s="11" t="str">
        <x:v>Nasdaq public historical table</x:v>
      </x:c>
    </x:row>
    <x:row r="640">
      <x:c r="A640" s="14" t="n">
        <x:v>45152</x:v>
      </x:c>
      <x:c r="B640" s="20" t="n">
        <x:v>133.24</x:v>
      </x:c>
      <x:c r="C640" s="20" t="n">
        <x:v>448.11</x:v>
      </x:c>
      <x:c r="D640" s="21" t="n">
        <x:v>3373839</x:v>
      </x:c>
      <x:c r="E640" s="21" t="n">
        <x:v>47867440</x:v>
      </x:c>
      <x:c r="F640" s="11" t="str">
        <x:v>Nasdaq public historical table</x:v>
      </x:c>
    </x:row>
    <x:row r="641">
      <x:c r="A641" s="14" t="n">
        <x:v>45153</x:v>
      </x:c>
      <x:c r="B641" s="20" t="n">
        <x:v>129.85</x:v>
      </x:c>
      <x:c r="C641" s="20" t="n">
        <x:v>442.89</x:v>
      </x:c>
      <x:c r="D641" s="21" t="n">
        <x:v>3970461</x:v>
      </x:c>
      <x:c r="E641" s="21" t="n">
        <x:v>75707530</x:v>
      </x:c>
      <x:c r="F641" s="11" t="str">
        <x:v>Nasdaq public historical table</x:v>
      </x:c>
    </x:row>
    <x:row r="642">
      <x:c r="A642" s="14" t="n">
        <x:v>45154</x:v>
      </x:c>
      <x:c r="B642" s="20" t="n">
        <x:v>128.83</x:v>
      </x:c>
      <x:c r="C642" s="20" t="n">
        <x:v>439.64</x:v>
      </x:c>
      <x:c r="D642" s="21" t="n">
        <x:v>3336853</x:v>
      </x:c>
      <x:c r="E642" s="21" t="n">
        <x:v>80107210</x:v>
      </x:c>
      <x:c r="F642" s="11" t="str">
        <x:v>Nasdaq public historical table</x:v>
      </x:c>
    </x:row>
    <x:row r="643">
      <x:c r="A643" s="14" t="n">
        <x:v>45155</x:v>
      </x:c>
      <x:c r="B643" s="20" t="n">
        <x:v>127.99</x:v>
      </x:c>
      <x:c r="C643" s="20" t="n">
        <x:v>436.29</x:v>
      </x:c>
      <x:c r="D643" s="21" t="n">
        <x:v>3908528</x:v>
      </x:c>
      <x:c r="E643" s="21" t="n">
        <x:v>95711320</x:v>
      </x:c>
      <x:c r="F643" s="11" t="str">
        <x:v>Nasdaq public historical table</x:v>
      </x:c>
    </x:row>
    <x:row r="644">
      <x:c r="A644" s="14" t="n">
        <x:v>45156</x:v>
      </x:c>
      <x:c r="B644" s="20" t="n">
        <x:v>125.06</x:v>
      </x:c>
      <x:c r="C644" s="20" t="n">
        <x:v>436.5</x:v>
      </x:c>
      <x:c r="D644" s="21" t="n">
        <x:v>5963616</x:v>
      </x:c>
      <x:c r="E644" s="21" t="n">
        <x:v>98851960</x:v>
      </x:c>
      <x:c r="F644" s="11" t="str">
        <x:v>Nasdaq public historical table</x:v>
      </x:c>
    </x:row>
    <x:row r="645">
      <x:c r="A645" s="14" t="n">
        <x:v>45159</x:v>
      </x:c>
      <x:c r="B645" s="20" t="n">
        <x:v>124</x:v>
      </x:c>
      <x:c r="C645" s="20" t="n">
        <x:v>439.34</x:v>
      </x:c>
      <x:c r="D645" s="21" t="n">
        <x:v>4875979</x:v>
      </x:c>
      <x:c r="E645" s="21" t="n">
        <x:v>68718960</x:v>
      </x:c>
      <x:c r="F645" s="11" t="str">
        <x:v>Nasdaq public historical table</x:v>
      </x:c>
    </x:row>
    <x:row r="646">
      <x:c r="A646" s="14" t="n">
        <x:v>45160</x:v>
      </x:c>
      <x:c r="B646" s="20" t="n">
        <x:v>127.08</x:v>
      </x:c>
      <x:c r="C646" s="20" t="n">
        <x:v>438.15</x:v>
      </x:c>
      <x:c r="D646" s="21" t="n">
        <x:v>4946032</x:v>
      </x:c>
      <x:c r="E646" s="21" t="n">
        <x:v>65062860</x:v>
      </x:c>
      <x:c r="F646" s="11" t="str">
        <x:v>Nasdaq public historical table</x:v>
      </x:c>
    </x:row>
    <x:row r="647">
      <x:c r="A647" s="14" t="n">
        <x:v>45161</x:v>
      </x:c>
      <x:c r="B647" s="20" t="n">
        <x:v>128.13</x:v>
      </x:c>
      <x:c r="C647" s="20" t="n">
        <x:v>443.03</x:v>
      </x:c>
      <x:c r="D647" s="21" t="n">
        <x:v>4605440</x:v>
      </x:c>
      <x:c r="E647" s="21" t="n">
        <x:v>68441020</x:v>
      </x:c>
      <x:c r="F647" s="11" t="str">
        <x:v>Nasdaq public historical table</x:v>
      </x:c>
    </x:row>
    <x:row r="648">
      <x:c r="A648" s="14" t="n">
        <x:v>45162</x:v>
      </x:c>
      <x:c r="B648" s="20" t="n">
        <x:v>124.72</x:v>
      </x:c>
      <x:c r="C648" s="20" t="n">
        <x:v>436.89</x:v>
      </x:c>
      <x:c r="D648" s="21" t="n">
        <x:v>2980820</x:v>
      </x:c>
      <x:c r="E648" s="21" t="n">
        <x:v>88517270</x:v>
      </x:c>
      <x:c r="F648" s="11" t="str">
        <x:v>Nasdaq public historical table</x:v>
      </x:c>
    </x:row>
    <x:row r="649">
      <x:c r="A649" s="14" t="n">
        <x:v>45163</x:v>
      </x:c>
      <x:c r="B649" s="20" t="n">
        <x:v>125.79</x:v>
      </x:c>
      <x:c r="C649" s="20" t="n">
        <x:v>439.97</x:v>
      </x:c>
      <x:c r="D649" s="21" t="n">
        <x:v>2415159</x:v>
      </x:c>
      <x:c r="E649" s="21" t="n">
        <x:v>102325100</x:v>
      </x:c>
      <x:c r="F649" s="11" t="str">
        <x:v>Nasdaq public historical table</x:v>
      </x:c>
    </x:row>
    <x:row r="650">
      <x:c r="A650" s="14" t="n">
        <x:v>45166</x:v>
      </x:c>
      <x:c r="B650" s="20" t="n">
        <x:v>126.155</x:v>
      </x:c>
      <x:c r="C650" s="20" t="n">
        <x:v>442.76</x:v>
      </x:c>
      <x:c r="D650" s="21" t="n">
        <x:v>2348537</x:v>
      </x:c>
      <x:c r="E650" s="21" t="n">
        <x:v>61595390</x:v>
      </x:c>
      <x:c r="F650" s="11" t="str">
        <x:v>Nasdaq public historical table</x:v>
      </x:c>
    </x:row>
    <x:row r="651">
      <x:c r="A651" s="14" t="n">
        <x:v>45167</x:v>
      </x:c>
      <x:c r="B651" s="20" t="n">
        <x:v>132.25</x:v>
      </x:c>
      <x:c r="C651" s="20" t="n">
        <x:v>449.16</x:v>
      </x:c>
      <x:c r="D651" s="21" t="n">
        <x:v>5622866</x:v>
      </x:c>
      <x:c r="E651" s="21" t="n">
        <x:v>83081920</x:v>
      </x:c>
      <x:c r="F651" s="11" t="str">
        <x:v>Nasdaq public historical table</x:v>
      </x:c>
    </x:row>
    <x:row r="652">
      <x:c r="A652" s="14" t="n">
        <x:v>45168</x:v>
      </x:c>
      <x:c r="B652" s="20" t="n">
        <x:v>130.61</x:v>
      </x:c>
      <x:c r="C652" s="20" t="n">
        <x:v>451.01</x:v>
      </x:c>
      <x:c r="D652" s="21" t="n">
        <x:v>4709893</x:v>
      </x:c>
      <x:c r="E652" s="21" t="n">
        <x:v>69053910</x:v>
      </x:c>
      <x:c r="F652" s="11" t="str">
        <x:v>Nasdaq public historical table</x:v>
      </x:c>
    </x:row>
    <x:row r="653">
      <x:c r="A653" s="14" t="n">
        <x:v>45169</x:v>
      </x:c>
      <x:c r="B653" s="20" t="n">
        <x:v>131.55</x:v>
      </x:c>
      <x:c r="C653" s="20" t="n">
        <x:v>450.35</x:v>
      </x:c>
      <x:c r="D653" s="21" t="n">
        <x:v>3860311</x:v>
      </x:c>
      <x:c r="E653" s="21" t="n">
        <x:v>66084560</x:v>
      </x:c>
      <x:c r="F653" s="11" t="str">
        <x:v>Nasdaq public historical table</x:v>
      </x:c>
    </x:row>
    <x:row r="654">
      <x:c r="A654" s="14" t="n">
        <x:v>45170</x:v>
      </x:c>
      <x:c r="B654" s="20" t="n">
        <x:v>132.69</x:v>
      </x:c>
      <x:c r="C654" s="20" t="n">
        <x:v>451.19</x:v>
      </x:c>
      <x:c r="D654" s="21" t="n">
        <x:v>4517786</x:v>
      </x:c>
      <x:c r="E654" s="21" t="n">
        <x:v>58944100</x:v>
      </x:c>
      <x:c r="F654" s="11" t="str">
        <x:v>Nasdaq public historical table</x:v>
      </x:c>
    </x:row>
    <x:row r="655">
      <x:c r="A655" s="14" t="n">
        <x:v>45174</x:v>
      </x:c>
      <x:c r="B655" s="20" t="n">
        <x:v>142.29</x:v>
      </x:c>
      <x:c r="C655" s="20" t="n">
        <x:v>449.24</x:v>
      </x:c>
      <x:c r="D655" s="21" t="n">
        <x:v>21052750</x:v>
      </x:c>
      <x:c r="E655" s="21" t="n">
        <x:v>55166210</x:v>
      </x:c>
      <x:c r="F655" s="11" t="str">
        <x:v>Nasdaq public historical table</x:v>
      </x:c>
    </x:row>
    <x:row r="656">
      <x:c r="A656" s="14" t="n">
        <x:v>45175</x:v>
      </x:c>
      <x:c r="B656" s="20" t="n">
        <x:v>141.77</x:v>
      </x:c>
      <x:c r="C656" s="20" t="n">
        <x:v>446.22</x:v>
      </x:c>
      <x:c r="D656" s="21" t="n">
        <x:v>7114436</x:v>
      </x:c>
      <x:c r="E656" s="21" t="n">
        <x:v>70758510</x:v>
      </x:c>
      <x:c r="F656" s="11" t="str">
        <x:v>Nasdaq public historical table</x:v>
      </x:c>
    </x:row>
    <x:row r="657">
      <x:c r="A657" s="14" t="n">
        <x:v>45176</x:v>
      </x:c>
      <x:c r="B657" s="20" t="n">
        <x:v>143.27</x:v>
      </x:c>
      <x:c r="C657" s="20" t="n">
        <x:v>444.85</x:v>
      </x:c>
      <x:c r="D657" s="21" t="n">
        <x:v>7928238</x:v>
      </x:c>
      <x:c r="E657" s="21" t="n">
        <x:v>70355430</x:v>
      </x:c>
      <x:c r="F657" s="11" t="str">
        <x:v>Nasdaq public historical table</x:v>
      </x:c>
    </x:row>
    <x:row r="658">
      <x:c r="A658" s="14" t="n">
        <x:v>45177</x:v>
      </x:c>
      <x:c r="B658" s="20" t="n">
        <x:v>145.82</x:v>
      </x:c>
      <x:c r="C658" s="20" t="n">
        <x:v>445.52</x:v>
      </x:c>
      <x:c r="D658" s="21" t="n">
        <x:v>9329068</x:v>
      </x:c>
      <x:c r="E658" s="21" t="n">
        <x:v>62068440</x:v>
      </x:c>
      <x:c r="F658" s="11" t="str">
        <x:v>Nasdaq public historical table</x:v>
      </x:c>
    </x:row>
    <x:row r="659">
      <x:c r="A659" s="14" t="n">
        <x:v>45180</x:v>
      </x:c>
      <x:c r="B659" s="20" t="n">
        <x:v>147.33</x:v>
      </x:c>
      <x:c r="C659" s="20" t="n">
        <x:v>448.45</x:v>
      </x:c>
      <x:c r="D659" s="21" t="n">
        <x:v>7178964</x:v>
      </x:c>
      <x:c r="E659" s="21" t="n">
        <x:v>60180120</x:v>
      </x:c>
      <x:c r="F659" s="11" t="str">
        <x:v>Nasdaq public historical table</x:v>
      </x:c>
    </x:row>
    <x:row r="660">
      <x:c r="A660" s="14" t="n">
        <x:v>45181</x:v>
      </x:c>
      <x:c r="B660" s="20" t="n">
        <x:v>147.5</x:v>
      </x:c>
      <x:c r="C660" s="20" t="n">
        <x:v>445.99</x:v>
      </x:c>
      <x:c r="D660" s="21" t="n">
        <x:v>7342691</x:v>
      </x:c>
      <x:c r="E660" s="21" t="n">
        <x:v>67565420</x:v>
      </x:c>
      <x:c r="F660" s="11" t="str">
        <x:v>Nasdaq public historical table</x:v>
      </x:c>
    </x:row>
    <x:row r="661">
      <x:c r="A661" s="14" t="n">
        <x:v>45182</x:v>
      </x:c>
      <x:c r="B661" s="20" t="n">
        <x:v>144.715</x:v>
      </x:c>
      <x:c r="C661" s="20" t="n">
        <x:v>446.51</x:v>
      </x:c>
      <x:c r="D661" s="21" t="n">
        <x:v>7893268</x:v>
      </x:c>
      <x:c r="E661" s="21" t="n">
        <x:v>60199270</x:v>
      </x:c>
      <x:c r="F661" s="11" t="str">
        <x:v>Nasdaq public historical table</x:v>
      </x:c>
    </x:row>
    <x:row r="662">
      <x:c r="A662" s="14" t="n">
        <x:v>45183</x:v>
      </x:c>
      <x:c r="B662" s="20" t="n">
        <x:v>144.12</x:v>
      </x:c>
      <x:c r="C662" s="20" t="n">
        <x:v>450.36</x:v>
      </x:c>
      <x:c r="D662" s="21" t="n">
        <x:v>8365548</x:v>
      </x:c>
      <x:c r="E662" s="21" t="n">
        <x:v>83430810</x:v>
      </x:c>
      <x:c r="F662" s="11" t="str">
        <x:v>Nasdaq public historical table</x:v>
      </x:c>
    </x:row>
    <x:row r="663">
      <x:c r="A663" s="14" t="n">
        <x:v>45184</x:v>
      </x:c>
      <x:c r="B663" s="20" t="n">
        <x:v>142.75</x:v>
      </x:c>
      <x:c r="C663" s="20" t="n">
        <x:v>443.37</x:v>
      </x:c>
      <x:c r="D663" s="21" t="n">
        <x:v>74788470</x:v>
      </x:c>
      <x:c r="E663" s="21" t="n">
        <x:v>111848900</x:v>
      </x:c>
      <x:c r="F663" s="11" t="str">
        <x:v>Nasdaq public historical table</x:v>
      </x:c>
    </x:row>
    <x:row r="664">
      <x:c r="A664" s="14" t="n">
        <x:v>45187</x:v>
      </x:c>
      <x:c r="B664" s="20" t="n">
        <x:v>142.55</x:v>
      </x:c>
      <x:c r="C664" s="20" t="n">
        <x:v>443.63</x:v>
      </x:c>
      <x:c r="D664" s="21" t="n">
        <x:v>7351442</x:v>
      </x:c>
      <x:c r="E664" s="21" t="n">
        <x:v>55752210</x:v>
      </x:c>
      <x:c r="F664" s="11" t="str">
        <x:v>Nasdaq public historical table</x:v>
      </x:c>
    </x:row>
    <x:row r="665">
      <x:c r="A665" s="14" t="n">
        <x:v>45188</x:v>
      </x:c>
      <x:c r="B665" s="20" t="n">
        <x:v>141.85</x:v>
      </x:c>
      <x:c r="C665" s="20" t="n">
        <x:v>442.71</x:v>
      </x:c>
      <x:c r="D665" s="21" t="n">
        <x:v>6675517</x:v>
      </x:c>
      <x:c r="E665" s="21" t="n">
        <x:v>66514650</x:v>
      </x:c>
      <x:c r="F665" s="11" t="str">
        <x:v>Nasdaq public historical table</x:v>
      </x:c>
    </x:row>
    <x:row r="666">
      <x:c r="A666" s="14" t="n">
        <x:v>45189</x:v>
      </x:c>
      <x:c r="B666" s="20" t="n">
        <x:v>138.01</x:v>
      </x:c>
      <x:c r="C666" s="20" t="n">
        <x:v>438.64</x:v>
      </x:c>
      <x:c r="D666" s="21" t="n">
        <x:v>5192076</x:v>
      </x:c>
      <x:c r="E666" s="21" t="n">
        <x:v>82562600</x:v>
      </x:c>
      <x:c r="F666" s="11" t="str">
        <x:v>Nasdaq public historical table</x:v>
      </x:c>
    </x:row>
    <x:row r="667">
      <x:c r="A667" s="14" t="n">
        <x:v>45190</x:v>
      </x:c>
      <x:c r="B667" s="20" t="n">
        <x:v>132.75</x:v>
      </x:c>
      <x:c r="C667" s="20" t="n">
        <x:v>431.39</x:v>
      </x:c>
      <x:c r="D667" s="21" t="n">
        <x:v>8515389</x:v>
      </x:c>
      <x:c r="E667" s="21" t="n">
        <x:v>104095800</x:v>
      </x:c>
      <x:c r="F667" s="11" t="str">
        <x:v>Nasdaq public historical table</x:v>
      </x:c>
    </x:row>
    <x:row r="668">
      <x:c r="A668" s="14" t="n">
        <x:v>45191</x:v>
      </x:c>
      <x:c r="B668" s="20" t="n">
        <x:v>132.2</x:v>
      </x:c>
      <x:c r="C668" s="20" t="n">
        <x:v>430.42</x:v>
      </x:c>
      <x:c r="D668" s="21" t="n">
        <x:v>4279181</x:v>
      </x:c>
      <x:c r="E668" s="21" t="n">
        <x:v>100829700</x:v>
      </x:c>
      <x:c r="F668" s="11" t="str">
        <x:v>Nasdaq public historical table</x:v>
      </x:c>
    </x:row>
    <x:row r="669">
      <x:c r="A669" s="14" t="n">
        <x:v>45194</x:v>
      </x:c>
      <x:c r="B669" s="20" t="n">
        <x:v>134.14</x:v>
      </x:c>
      <x:c r="C669" s="20" t="n">
        <x:v>432.23</x:v>
      </x:c>
      <x:c r="D669" s="21" t="n">
        <x:v>4154503</x:v>
      </x:c>
      <x:c r="E669" s="21" t="n">
        <x:v>70874530</x:v>
      </x:c>
      <x:c r="F669" s="11" t="str">
        <x:v>Nasdaq public historical table</x:v>
      </x:c>
    </x:row>
    <x:row r="670">
      <x:c r="A670" s="14" t="n">
        <x:v>45195</x:v>
      </x:c>
      <x:c r="B670" s="20" t="n">
        <x:v>132.28</x:v>
      </x:c>
      <x:c r="C670" s="20" t="n">
        <x:v>425.88</x:v>
      </x:c>
      <x:c r="D670" s="21" t="n">
        <x:v>4194040</x:v>
      </x:c>
      <x:c r="E670" s="21" t="n">
        <x:v>96168440</x:v>
      </x:c>
      <x:c r="F670" s="11" t="str">
        <x:v>Nasdaq public historical table</x:v>
      </x:c>
    </x:row>
    <x:row r="671">
      <x:c r="A671" s="14" t="n">
        <x:v>45196</x:v>
      </x:c>
      <x:c r="B671" s="20" t="n">
        <x:v>134.03</x:v>
      </x:c>
      <x:c r="C671" s="20" t="n">
        <x:v>426.05</x:v>
      </x:c>
      <x:c r="D671" s="21" t="n">
        <x:v>3771335</x:v>
      </x:c>
      <x:c r="E671" s="21" t="n">
        <x:v>104705800</x:v>
      </x:c>
      <x:c r="F671" s="11" t="str">
        <x:v>Nasdaq public historical table</x:v>
      </x:c>
    </x:row>
    <x:row r="672">
      <x:c r="A672" s="14" t="n">
        <x:v>45197</x:v>
      </x:c>
      <x:c r="B672" s="20" t="n">
        <x:v>136.47</x:v>
      </x:c>
      <x:c r="C672" s="20" t="n">
        <x:v>428.52</x:v>
      </x:c>
      <x:c r="D672" s="21" t="n">
        <x:v>4058877</x:v>
      </x:c>
      <x:c r="E672" s="21" t="n">
        <x:v>92258310</x:v>
      </x:c>
      <x:c r="F672" s="11" t="str">
        <x:v>Nasdaq public historical table</x:v>
      </x:c>
    </x:row>
    <x:row r="673">
      <x:c r="A673" s="14" t="n">
        <x:v>45198</x:v>
      </x:c>
      <x:c r="B673" s="20" t="n">
        <x:v>137.21</x:v>
      </x:c>
      <x:c r="C673" s="20" t="n">
        <x:v>427.48</x:v>
      </x:c>
      <x:c r="D673" s="21" t="n">
        <x:v>4782071</x:v>
      </x:c>
      <x:c r="E673" s="21" t="n">
        <x:v>115111300</x:v>
      </x:c>
      <x:c r="F673" s="11" t="str">
        <x:v>Nasdaq public historical table</x:v>
      </x:c>
    </x:row>
    <x:row r="674">
      <x:c r="A674" s="14" t="n">
        <x:v>45201</x:v>
      </x:c>
      <x:c r="B674" s="20" t="n">
        <x:v>136.56</x:v>
      </x:c>
      <x:c r="C674" s="20" t="n">
        <x:v>427.31</x:v>
      </x:c>
      <x:c r="D674" s="21" t="n">
        <x:v>3489091</x:v>
      </x:c>
      <x:c r="E674" s="21" t="n">
        <x:v>83798600</x:v>
      </x:c>
      <x:c r="F674" s="11" t="str">
        <x:v>Nasdaq public historical table</x:v>
      </x:c>
    </x:row>
    <x:row r="675">
      <x:c r="A675" s="14" t="n">
        <x:v>45202</x:v>
      </x:c>
      <x:c r="B675" s="20" t="n">
        <x:v>127.73</x:v>
      </x:c>
      <x:c r="C675" s="20" t="n">
        <x:v>421.59</x:v>
      </x:c>
      <x:c r="D675" s="21" t="n">
        <x:v>9019737</x:v>
      </x:c>
      <x:c r="E675" s="21" t="n">
        <x:v>103760600</x:v>
      </x:c>
      <x:c r="F675" s="11" t="str">
        <x:v>Nasdaq public historical table</x:v>
      </x:c>
    </x:row>
    <x:row r="676">
      <x:c r="A676" s="14" t="n">
        <x:v>45203</x:v>
      </x:c>
      <x:c r="B676" s="20" t="n">
        <x:v>127.41</x:v>
      </x:c>
      <x:c r="C676" s="20" t="n">
        <x:v>424.66</x:v>
      </x:c>
      <x:c r="D676" s="21" t="n">
        <x:v>5822033</x:v>
      </x:c>
      <x:c r="E676" s="21" t="n">
        <x:v>87452970</x:v>
      </x:c>
      <x:c r="F676" s="11" t="str">
        <x:v>Nasdaq public historical table</x:v>
      </x:c>
    </x:row>
    <x:row r="677">
      <x:c r="A677" s="14" t="n">
        <x:v>45204</x:v>
      </x:c>
      <x:c r="B677" s="20" t="n">
        <x:v>124.99</x:v>
      </x:c>
      <x:c r="C677" s="20" t="n">
        <x:v>424.5</x:v>
      </x:c>
      <x:c r="D677" s="21" t="n">
        <x:v>7630208</x:v>
      </x:c>
      <x:c r="E677" s="21" t="n">
        <x:v>70142740</x:v>
      </x:c>
      <x:c r="F677" s="11" t="str">
        <x:v>Nasdaq public historical table</x:v>
      </x:c>
    </x:row>
    <x:row r="678">
      <x:c r="A678" s="14" t="n">
        <x:v>45205</x:v>
      </x:c>
      <x:c r="B678" s="20" t="n">
        <x:v>126.36</x:v>
      </x:c>
      <x:c r="C678" s="20" t="n">
        <x:v>429.54</x:v>
      </x:c>
      <x:c r="D678" s="21" t="n">
        <x:v>5153662</x:v>
      </x:c>
      <x:c r="E678" s="21" t="n">
        <x:v>113273300</x:v>
      </x:c>
      <x:c r="F678" s="11" t="str">
        <x:v>Nasdaq public historical table</x:v>
      </x:c>
    </x:row>
    <x:row r="679">
      <x:c r="A679" s="14" t="n">
        <x:v>45208</x:v>
      </x:c>
      <x:c r="B679" s="20" t="n">
        <x:v>127.77</x:v>
      </x:c>
      <x:c r="C679" s="20" t="n">
        <x:v>432.29</x:v>
      </x:c>
      <x:c r="D679" s="21" t="n">
        <x:v>5092037</x:v>
      </x:c>
      <x:c r="E679" s="21" t="n">
        <x:v>80374360</x:v>
      </x:c>
      <x:c r="F679" s="11" t="str">
        <x:v>Nasdaq public historical table</x:v>
      </x:c>
    </x:row>
    <x:row r="680">
      <x:c r="A680" s="14" t="n">
        <x:v>45209</x:v>
      </x:c>
      <x:c r="B680" s="20" t="n">
        <x:v>131.59</x:v>
      </x:c>
      <x:c r="C680" s="20" t="n">
        <x:v>434.54</x:v>
      </x:c>
      <x:c r="D680" s="21" t="n">
        <x:v>5114703</x:v>
      </x:c>
      <x:c r="E680" s="21" t="n">
        <x:v>78607270</x:v>
      </x:c>
      <x:c r="F680" s="11" t="str">
        <x:v>Nasdaq public historical table</x:v>
      </x:c>
    </x:row>
    <x:row r="681">
      <x:c r="A681" s="14" t="n">
        <x:v>45210</x:v>
      </x:c>
      <x:c r="B681" s="20" t="n">
        <x:v>130</x:v>
      </x:c>
      <x:c r="C681" s="20" t="n">
        <x:v>436.32</x:v>
      </x:c>
      <x:c r="D681" s="21" t="n">
        <x:v>3456474</x:v>
      </x:c>
      <x:c r="E681" s="21" t="n">
        <x:v>62451740</x:v>
      </x:c>
      <x:c r="F681" s="11" t="str">
        <x:v>Nasdaq public historical table</x:v>
      </x:c>
    </x:row>
    <x:row r="682">
      <x:c r="A682" s="14" t="n">
        <x:v>45211</x:v>
      </x:c>
      <x:c r="B682" s="20" t="n">
        <x:v>125.97</x:v>
      </x:c>
      <x:c r="C682" s="20" t="n">
        <x:v>433.66</x:v>
      </x:c>
      <x:c r="D682" s="21" t="n">
        <x:v>4023286</x:v>
      </x:c>
      <x:c r="E682" s="21" t="n">
        <x:v>81154230</x:v>
      </x:c>
      <x:c r="F682" s="11" t="str">
        <x:v>Nasdaq public historical table</x:v>
      </x:c>
    </x:row>
    <x:row r="683">
      <x:c r="A683" s="14" t="n">
        <x:v>45212</x:v>
      </x:c>
      <x:c r="B683" s="20" t="n">
        <x:v>124.08</x:v>
      </x:c>
      <x:c r="C683" s="20" t="n">
        <x:v>431.5</x:v>
      </x:c>
      <x:c r="D683" s="21" t="n">
        <x:v>4929464</x:v>
      </x:c>
      <x:c r="E683" s="21" t="n">
        <x:v>95201130</x:v>
      </x:c>
      <x:c r="F683" s="11" t="str">
        <x:v>Nasdaq public historical table</x:v>
      </x:c>
    </x:row>
    <x:row r="684">
      <x:c r="A684" s="14" t="n">
        <x:v>45215</x:v>
      </x:c>
      <x:c r="B684" s="20" t="n">
        <x:v>125.19</x:v>
      </x:c>
      <x:c r="C684" s="20" t="n">
        <x:v>436.04</x:v>
      </x:c>
      <x:c r="D684" s="21" t="n">
        <x:v>2706050</x:v>
      </x:c>
      <x:c r="E684" s="21" t="n">
        <x:v>75433190</x:v>
      </x:c>
      <x:c r="F684" s="11" t="str">
        <x:v>Nasdaq public historical table</x:v>
      </x:c>
    </x:row>
    <x:row r="685">
      <x:c r="A685" s="14" t="n">
        <x:v>45216</x:v>
      </x:c>
      <x:c r="B685" s="20" t="n">
        <x:v>125.71</x:v>
      </x:c>
      <x:c r="C685" s="20" t="n">
        <x:v>436.02</x:v>
      </x:c>
      <x:c r="D685" s="21" t="n">
        <x:v>3073583</x:v>
      </x:c>
      <x:c r="E685" s="21" t="n">
        <x:v>75324710</x:v>
      </x:c>
      <x:c r="F685" s="11" t="str">
        <x:v>Nasdaq public historical table</x:v>
      </x:c>
    </x:row>
    <x:row r="686">
      <x:c r="A686" s="14" t="n">
        <x:v>45217</x:v>
      </x:c>
      <x:c r="B686" s="20" t="n">
        <x:v>122.17</x:v>
      </x:c>
      <x:c r="C686" s="20" t="n">
        <x:v>430.21</x:v>
      </x:c>
      <x:c r="D686" s="21" t="n">
        <x:v>4098435</x:v>
      </x:c>
      <x:c r="E686" s="21" t="n">
        <x:v>93559800</x:v>
      </x:c>
      <x:c r="F686" s="11" t="str">
        <x:v>Nasdaq public historical table</x:v>
      </x:c>
    </x:row>
    <x:row r="687">
      <x:c r="A687" s="14" t="n">
        <x:v>45218</x:v>
      </x:c>
      <x:c r="B687" s="20" t="n">
        <x:v>119.97</x:v>
      </x:c>
      <x:c r="C687" s="20" t="n">
        <x:v>426.43</x:v>
      </x:c>
      <x:c r="D687" s="21" t="n">
        <x:v>4374408</x:v>
      </x:c>
      <x:c r="E687" s="21" t="n">
        <x:v>121323000</x:v>
      </x:c>
      <x:c r="F687" s="11" t="str">
        <x:v>Nasdaq public historical table</x:v>
      </x:c>
    </x:row>
    <x:row r="688">
      <x:c r="A688" s="14" t="n">
        <x:v>45219</x:v>
      </x:c>
      <x:c r="B688" s="20" t="n">
        <x:v>116.49</x:v>
      </x:c>
      <x:c r="C688" s="20" t="n">
        <x:v>421.19</x:v>
      </x:c>
      <x:c r="D688" s="21" t="n">
        <x:v>6195537</x:v>
      </x:c>
      <x:c r="E688" s="21" t="n">
        <x:v>123919900</x:v>
      </x:c>
      <x:c r="F688" s="11" t="str">
        <x:v>Nasdaq public historical table</x:v>
      </x:c>
    </x:row>
    <x:row r="689">
      <x:c r="A689" s="14" t="n">
        <x:v>45222</x:v>
      </x:c>
      <x:c r="B689" s="20" t="n">
        <x:v>120.39</x:v>
      </x:c>
      <x:c r="C689" s="20" t="n">
        <x:v>420.46</x:v>
      </x:c>
      <x:c r="D689" s="21" t="n">
        <x:v>5442484</x:v>
      </x:c>
      <x:c r="E689" s="21" t="n">
        <x:v>92035100</x:v>
      </x:c>
      <x:c r="F689" s="11" t="str">
        <x:v>Nasdaq public historical table</x:v>
      </x:c>
    </x:row>
    <x:row r="690">
      <x:c r="A690" s="14" t="n">
        <x:v>45223</x:v>
      </x:c>
      <x:c r="B690" s="20" t="n">
        <x:v>122.01</x:v>
      </x:c>
      <x:c r="C690" s="20" t="n">
        <x:v>423.63</x:v>
      </x:c>
      <x:c r="D690" s="21" t="n">
        <x:v>3651605</x:v>
      </x:c>
      <x:c r="E690" s="21" t="n">
        <x:v>78564240</x:v>
      </x:c>
      <x:c r="F690" s="11" t="str">
        <x:v>Nasdaq public historical table</x:v>
      </x:c>
    </x:row>
    <x:row r="691">
      <x:c r="A691" s="14" t="n">
        <x:v>45224</x:v>
      </x:c>
      <x:c r="B691" s="20" t="n">
        <x:v>118.5</x:v>
      </x:c>
      <x:c r="C691" s="20" t="n">
        <x:v>417.55</x:v>
      </x:c>
      <x:c r="D691" s="21" t="n">
        <x:v>4844458</x:v>
      </x:c>
      <x:c r="E691" s="21" t="n">
        <x:v>94223200</x:v>
      </x:c>
      <x:c r="F691" s="11" t="str">
        <x:v>Nasdaq public historical table</x:v>
      </x:c>
    </x:row>
    <x:row r="692">
      <x:c r="A692" s="14" t="n">
        <x:v>45225</x:v>
      </x:c>
      <x:c r="B692" s="20" t="n">
        <x:v>115.47</x:v>
      </x:c>
      <x:c r="C692" s="20" t="n">
        <x:v>412.55</x:v>
      </x:c>
      <x:c r="D692" s="21" t="n">
        <x:v>5217503</x:v>
      </x:c>
      <x:c r="E692" s="21" t="n">
        <x:v>115156800</x:v>
      </x:c>
      <x:c r="F692" s="11" t="str">
        <x:v>Nasdaq public historical table</x:v>
      </x:c>
    </x:row>
    <x:row r="693">
      <x:c r="A693" s="14" t="n">
        <x:v>45226</x:v>
      </x:c>
      <x:c r="B693" s="20" t="n">
        <x:v>114.09</x:v>
      </x:c>
      <x:c r="C693" s="20" t="n">
        <x:v>410.68</x:v>
      </x:c>
      <x:c r="D693" s="21" t="n">
        <x:v>5201552</x:v>
      </x:c>
      <x:c r="E693" s="21" t="n">
        <x:v>107367700</x:v>
      </x:c>
      <x:c r="F693" s="11" t="str">
        <x:v>Nasdaq public historical table</x:v>
      </x:c>
    </x:row>
    <x:row r="694">
      <x:c r="A694" s="14" t="n">
        <x:v>45229</x:v>
      </x:c>
      <x:c r="B694" s="20" t="n">
        <x:v>116.95</x:v>
      </x:c>
      <x:c r="C694" s="20" t="n">
        <x:v>415.59</x:v>
      </x:c>
      <x:c r="D694" s="21" t="n">
        <x:v>5218039</x:v>
      </x:c>
      <x:c r="E694" s="21" t="n">
        <x:v>86562680</x:v>
      </x:c>
      <x:c r="F694" s="11" t="str">
        <x:v>Nasdaq public historical table</x:v>
      </x:c>
    </x:row>
    <x:row r="695">
      <x:c r="A695" s="14" t="n">
        <x:v>45230</x:v>
      </x:c>
      <x:c r="B695" s="20" t="n">
        <x:v>118.29</x:v>
      </x:c>
      <x:c r="C695" s="20" t="n">
        <x:v>418.2</x:v>
      </x:c>
      <x:c r="D695" s="21" t="n">
        <x:v>4647399</x:v>
      </x:c>
      <x:c r="E695" s="21" t="n">
        <x:v>79665150</x:v>
      </x:c>
      <x:c r="F695" s="11" t="str">
        <x:v>Nasdaq public historical table</x:v>
      </x:c>
    </x:row>
    <x:row r="696">
      <x:c r="A696" s="14" t="n">
        <x:v>45231</x:v>
      </x:c>
      <x:c r="B696" s="20" t="n">
        <x:v>119.47</x:v>
      </x:c>
      <x:c r="C696" s="20" t="n">
        <x:v>422.66</x:v>
      </x:c>
      <x:c r="D696" s="21" t="n">
        <x:v>9336533</x:v>
      </x:c>
      <x:c r="E696" s="21" t="n">
        <x:v>98068120</x:v>
      </x:c>
      <x:c r="F696" s="11" t="str">
        <x:v>Nasdaq public historical table</x:v>
      </x:c>
    </x:row>
    <x:row r="697">
      <x:c r="A697" s="14" t="n">
        <x:v>45232</x:v>
      </x:c>
      <x:c r="B697" s="20" t="n">
        <x:v>115.5</x:v>
      </x:c>
      <x:c r="C697" s="20" t="n">
        <x:v>430.76</x:v>
      </x:c>
      <x:c r="D697" s="21" t="n">
        <x:v>14053460</x:v>
      </x:c>
      <x:c r="E697" s="21" t="n">
        <x:v>94938910</x:v>
      </x:c>
      <x:c r="F697" s="11" t="str">
        <x:v>Nasdaq public historical table</x:v>
      </x:c>
    </x:row>
    <x:row r="698">
      <x:c r="A698" s="14" t="n">
        <x:v>45233</x:v>
      </x:c>
      <x:c r="B698" s="20" t="n">
        <x:v>122.64</x:v>
      </x:c>
      <x:c r="C698" s="20" t="n">
        <x:v>434.69</x:v>
      </x:c>
      <x:c r="D698" s="21" t="n">
        <x:v>9020387</x:v>
      </x:c>
      <x:c r="E698" s="21" t="n">
        <x:v>100167800</x:v>
      </x:c>
      <x:c r="F698" s="11" t="str">
        <x:v>Nasdaq public historical table</x:v>
      </x:c>
    </x:row>
    <x:row r="699">
      <x:c r="A699" s="14" t="n">
        <x:v>45236</x:v>
      </x:c>
      <x:c r="B699" s="20" t="n">
        <x:v>118.17</x:v>
      </x:c>
      <x:c r="C699" s="20" t="n">
        <x:v>435.69</x:v>
      </x:c>
      <x:c r="D699" s="21" t="n">
        <x:v>7701997</x:v>
      </x:c>
      <x:c r="E699" s="21" t="n">
        <x:v>67831660</x:v>
      </x:c>
      <x:c r="F699" s="11" t="str">
        <x:v>Nasdaq public historical table</x:v>
      </x:c>
    </x:row>
    <x:row r="700">
      <x:c r="A700" s="14" t="n">
        <x:v>45237</x:v>
      </x:c>
      <x:c r="B700" s="20" t="n">
        <x:v>121.08</x:v>
      </x:c>
      <x:c r="C700" s="20" t="n">
        <x:v>436.93</x:v>
      </x:c>
      <x:c r="D700" s="21" t="n">
        <x:v>5163900</x:v>
      </x:c>
      <x:c r="E700" s="21" t="n">
        <x:v>64256110</x:v>
      </x:c>
      <x:c r="F700" s="11" t="str">
        <x:v>Nasdaq public historical table</x:v>
      </x:c>
    </x:row>
    <x:row r="701">
      <x:c r="A701" s="14" t="n">
        <x:v>45238</x:v>
      </x:c>
      <x:c r="B701" s="20" t="n">
        <x:v>117.66</x:v>
      </x:c>
      <x:c r="C701" s="20" t="n">
        <x:v>437.25</x:v>
      </x:c>
      <x:c r="D701" s="21" t="n">
        <x:v>7813986</x:v>
      </x:c>
      <x:c r="E701" s="21" t="n">
        <x:v>61746030</x:v>
      </x:c>
      <x:c r="F701" s="11" t="str">
        <x:v>Nasdaq public historical table</x:v>
      </x:c>
    </x:row>
    <x:row r="702">
      <x:c r="A702" s="14" t="n">
        <x:v>45239</x:v>
      </x:c>
      <x:c r="B702" s="20" t="n">
        <x:v>115.52</x:v>
      </x:c>
      <x:c r="C702" s="20" t="n">
        <x:v>433.84</x:v>
      </x:c>
      <x:c r="D702" s="21" t="n">
        <x:v>5519622</x:v>
      </x:c>
      <x:c r="E702" s="21" t="n">
        <x:v>83174420</x:v>
      </x:c>
      <x:c r="F702" s="11" t="str">
        <x:v>Nasdaq public historical table</x:v>
      </x:c>
    </x:row>
    <x:row r="703">
      <x:c r="A703" s="14" t="n">
        <x:v>45240</x:v>
      </x:c>
      <x:c r="B703" s="20" t="n">
        <x:v>118.15</x:v>
      </x:c>
      <x:c r="C703" s="20" t="n">
        <x:v>440.61</x:v>
      </x:c>
      <x:c r="D703" s="21" t="n">
        <x:v>4775350</x:v>
      </x:c>
      <x:c r="E703" s="21" t="n">
        <x:v>89558050</x:v>
      </x:c>
      <x:c r="F703" s="11" t="str">
        <x:v>Nasdaq public historical table</x:v>
      </x:c>
    </x:row>
    <x:row r="704">
      <x:c r="A704" s="14" t="n">
        <x:v>45243</x:v>
      </x:c>
      <x:c r="B704" s="20" t="n">
        <x:v>119.15</x:v>
      </x:c>
      <x:c r="C704" s="20" t="n">
        <x:v>440.19</x:v>
      </x:c>
      <x:c r="D704" s="21" t="n">
        <x:v>3408800</x:v>
      </x:c>
      <x:c r="E704" s="21" t="n">
        <x:v>52236070</x:v>
      </x:c>
      <x:c r="F704" s="11" t="str">
        <x:v>Nasdaq public historical table</x:v>
      </x:c>
    </x:row>
    <x:row r="705">
      <x:c r="A705" s="14" t="n">
        <x:v>45244</x:v>
      </x:c>
      <x:c r="B705" s="20" t="n">
        <x:v>126.68</x:v>
      </x:c>
      <x:c r="C705" s="20" t="n">
        <x:v>448.73</x:v>
      </x:c>
      <x:c r="D705" s="21" t="n">
        <x:v>8405215</x:v>
      </x:c>
      <x:c r="E705" s="21" t="n">
        <x:v>97176940</x:v>
      </x:c>
      <x:c r="F705" s="11" t="str">
        <x:v>Nasdaq public historical table</x:v>
      </x:c>
    </x:row>
    <x:row r="706">
      <x:c r="A706" s="14" t="n">
        <x:v>45245</x:v>
      </x:c>
      <x:c r="B706" s="20" t="n">
        <x:v>128.35</x:v>
      </x:c>
      <x:c r="C706" s="20" t="n">
        <x:v>449.68</x:v>
      </x:c>
      <x:c r="D706" s="21" t="n">
        <x:v>6851426</x:v>
      </x:c>
      <x:c r="E706" s="21" t="n">
        <x:v>77327570</x:v>
      </x:c>
      <x:c r="F706" s="11" t="str">
        <x:v>Nasdaq public historical table</x:v>
      </x:c>
    </x:row>
    <x:row r="707">
      <x:c r="A707" s="14" t="n">
        <x:v>45246</x:v>
      </x:c>
      <x:c r="B707" s="20" t="n">
        <x:v>126.28</x:v>
      </x:c>
      <x:c r="C707" s="20" t="n">
        <x:v>450.23</x:v>
      </x:c>
      <x:c r="D707" s="21" t="n">
        <x:v>4177338</x:v>
      </x:c>
      <x:c r="E707" s="21" t="n">
        <x:v>66665800</x:v>
      </x:c>
      <x:c r="F707" s="11" t="str">
        <x:v>Nasdaq public historical table</x:v>
      </x:c>
    </x:row>
    <x:row r="708">
      <x:c r="A708" s="14" t="n">
        <x:v>45247</x:v>
      </x:c>
      <x:c r="B708" s="20" t="n">
        <x:v>127.15</x:v>
      </x:c>
      <x:c r="C708" s="20" t="n">
        <x:v>450.79</x:v>
      </x:c>
      <x:c r="D708" s="21" t="n">
        <x:v>3796137</x:v>
      </x:c>
      <x:c r="E708" s="21" t="n">
        <x:v>83193900</x:v>
      </x:c>
      <x:c r="F708" s="11" t="str">
        <x:v>Nasdaq public historical table</x:v>
      </x:c>
    </x:row>
    <x:row r="709">
      <x:c r="A709" s="14" t="n">
        <x:v>45250</x:v>
      </x:c>
      <x:c r="B709" s="20" t="n">
        <x:v>129.7</x:v>
      </x:c>
      <x:c r="C709" s="20" t="n">
        <x:v>454.26</x:v>
      </x:c>
      <x:c r="D709" s="21" t="n">
        <x:v>4645935</x:v>
      </x:c>
      <x:c r="E709" s="21" t="n">
        <x:v>70055630</x:v>
      </x:c>
      <x:c r="F709" s="11" t="str">
        <x:v>Nasdaq public historical table</x:v>
      </x:c>
    </x:row>
    <x:row r="710">
      <x:c r="A710" s="14" t="n">
        <x:v>45251</x:v>
      </x:c>
      <x:c r="B710" s="20" t="n">
        <x:v>126.82</x:v>
      </x:c>
      <x:c r="C710" s="20" t="n">
        <x:v>453.27</x:v>
      </x:c>
      <x:c r="D710" s="21" t="n">
        <x:v>4587125</x:v>
      </x:c>
      <x:c r="E710" s="21" t="n">
        <x:v>49244640</x:v>
      </x:c>
      <x:c r="F710" s="11" t="str">
        <x:v>Nasdaq public historical table</x:v>
      </x:c>
    </x:row>
    <x:row r="711">
      <x:c r="A711" s="14" t="n">
        <x:v>45252</x:v>
      </x:c>
      <x:c r="B711" s="20" t="n">
        <x:v>129.04</x:v>
      </x:c>
      <x:c r="C711" s="20" t="n">
        <x:v>455.02</x:v>
      </x:c>
      <x:c r="D711" s="21" t="n">
        <x:v>3974609</x:v>
      </x:c>
      <x:c r="E711" s="21" t="n">
        <x:v>59446570</x:v>
      </x:c>
      <x:c r="F711" s="11" t="str">
        <x:v>Nasdaq public historical table</x:v>
      </x:c>
    </x:row>
    <x:row r="712">
      <x:c r="A712" s="14" t="n">
        <x:v>45254</x:v>
      </x:c>
      <x:c r="B712" s="20" t="n">
        <x:v>128.37</x:v>
      </x:c>
      <x:c r="C712" s="20" t="n">
        <x:v>455.3</x:v>
      </x:c>
      <x:c r="D712" s="21" t="n">
        <x:v>2058920</x:v>
      </x:c>
      <x:c r="E712" s="21" t="n">
        <x:v>29737380</x:v>
      </x:c>
      <x:c r="F712" s="11" t="str">
        <x:v>Nasdaq public historical table</x:v>
      </x:c>
    </x:row>
    <x:row r="713">
      <x:c r="A713" s="14" t="n">
        <x:v>45257</x:v>
      </x:c>
      <x:c r="B713" s="20" t="n">
        <x:v>129</x:v>
      </x:c>
      <x:c r="C713" s="20" t="n">
        <x:v>454.48</x:v>
      </x:c>
      <x:c r="D713" s="21" t="n">
        <x:v>4408422</x:v>
      </x:c>
      <x:c r="E713" s="21" t="n">
        <x:v>50505990</x:v>
      </x:c>
      <x:c r="F713" s="11" t="str">
        <x:v>Nasdaq public historical table</x:v>
      </x:c>
    </x:row>
    <x:row r="714">
      <x:c r="A714" s="14" t="n">
        <x:v>45258</x:v>
      </x:c>
      <x:c r="B714" s="20" t="n">
        <x:v>127.56</x:v>
      </x:c>
      <x:c r="C714" s="20" t="n">
        <x:v>454.93</x:v>
      </x:c>
      <x:c r="D714" s="21" t="n">
        <x:v>4024433</x:v>
      </x:c>
      <x:c r="E714" s="21" t="n">
        <x:v>62115010</x:v>
      </x:c>
      <x:c r="F714" s="11" t="str">
        <x:v>Nasdaq public historical table</x:v>
      </x:c>
    </x:row>
    <x:row r="715">
      <x:c r="A715" s="14" t="n">
        <x:v>45259</x:v>
      </x:c>
      <x:c r="B715" s="20" t="n">
        <x:v>126.48</x:v>
      </x:c>
      <x:c r="C715" s="20" t="n">
        <x:v>454.61</x:v>
      </x:c>
      <x:c r="D715" s="21" t="n">
        <x:v>4615425</x:v>
      </x:c>
      <x:c r="E715" s="21" t="n">
        <x:v>63145990</x:v>
      </x:c>
      <x:c r="F715" s="11" t="str">
        <x:v>Nasdaq public historical table</x:v>
      </x:c>
    </x:row>
    <x:row r="716">
      <x:c r="A716" s="14" t="n">
        <x:v>45260</x:v>
      </x:c>
      <x:c r="B716" s="20" t="n">
        <x:v>126.34</x:v>
      </x:c>
      <x:c r="C716" s="20" t="n">
        <x:v>456.4</x:v>
      </x:c>
      <x:c r="D716" s="21" t="n">
        <x:v>5956297</x:v>
      </x:c>
      <x:c r="E716" s="21" t="n">
        <x:v>79752700</x:v>
      </x:c>
      <x:c r="F716" s="11" t="str">
        <x:v>Nasdaq public historical table</x:v>
      </x:c>
    </x:row>
    <x:row r="717">
      <x:c r="A717" s="14" t="n">
        <x:v>45261</x:v>
      </x:c>
      <x:c r="B717" s="20" t="n">
        <x:v>135.02</x:v>
      </x:c>
      <x:c r="C717" s="20" t="n">
        <x:v>459.1</x:v>
      </x:c>
      <x:c r="D717" s="21" t="n">
        <x:v>7424812</x:v>
      </x:c>
      <x:c r="E717" s="21" t="n">
        <x:v>89183400</x:v>
      </x:c>
      <x:c r="F717" s="11" t="str">
        <x:v>Nasdaq public historical table</x:v>
      </x:c>
    </x:row>
    <x:row r="718">
      <x:c r="A718" s="14" t="n">
        <x:v>45264</x:v>
      </x:c>
      <x:c r="B718" s="20" t="n">
        <x:v>133.7</x:v>
      </x:c>
      <x:c r="C718" s="20" t="n">
        <x:v>456.69</x:v>
      </x:c>
      <x:c r="D718" s="21" t="n">
        <x:v>5263394</x:v>
      </x:c>
      <x:c r="E718" s="21" t="n">
        <x:v>72430890</x:v>
      </x:c>
      <x:c r="F718" s="11" t="str">
        <x:v>Nasdaq public historical table</x:v>
      </x:c>
    </x:row>
    <x:row r="719">
      <x:c r="A719" s="14" t="n">
        <x:v>45265</x:v>
      </x:c>
      <x:c r="B719" s="20" t="n">
        <x:v>133.71</x:v>
      </x:c>
      <x:c r="C719" s="20" t="n">
        <x:v>456.6</x:v>
      </x:c>
      <x:c r="D719" s="21" t="n">
        <x:v>4202219</x:v>
      </x:c>
      <x:c r="E719" s="21" t="n">
        <x:v>69793470</x:v>
      </x:c>
      <x:c r="F719" s="11" t="str">
        <x:v>Nasdaq public historical table</x:v>
      </x:c>
    </x:row>
    <x:row r="720">
      <x:c r="A720" s="14" t="n">
        <x:v>45266</x:v>
      </x:c>
      <x:c r="B720" s="20" t="n">
        <x:v>135.31</x:v>
      </x:c>
      <x:c r="C720" s="20" t="n">
        <x:v>454.76</x:v>
      </x:c>
      <x:c r="D720" s="21" t="n">
        <x:v>4932046</x:v>
      </x:c>
      <x:c r="E720" s="21" t="n">
        <x:v>69124690</x:v>
      </x:c>
      <x:c r="F720" s="11" t="str">
        <x:v>Nasdaq public historical table</x:v>
      </x:c>
    </x:row>
    <x:row r="721">
      <x:c r="A721" s="14" t="n">
        <x:v>45267</x:v>
      </x:c>
      <x:c r="B721" s="20" t="n">
        <x:v>139.84</x:v>
      </x:c>
      <x:c r="C721" s="20" t="n">
        <x:v>458.23</x:v>
      </x:c>
      <x:c r="D721" s="21" t="n">
        <x:v>7108552</x:v>
      </x:c>
      <x:c r="E721" s="21" t="n">
        <x:v>66995450</x:v>
      </x:c>
      <x:c r="F721" s="11" t="str">
        <x:v>Nasdaq public historical table</x:v>
      </x:c>
    </x:row>
    <x:row r="722">
      <x:c r="A722" s="14" t="n">
        <x:v>45268</x:v>
      </x:c>
      <x:c r="B722" s="20" t="n">
        <x:v>140.68</x:v>
      </x:c>
      <x:c r="C722" s="20" t="n">
        <x:v>460.2</x:v>
      </x:c>
      <x:c r="D722" s="21" t="n">
        <x:v>4411181</x:v>
      </x:c>
      <x:c r="E722" s="21" t="n">
        <x:v>83194400</x:v>
      </x:c>
      <x:c r="F722" s="11" t="str">
        <x:v>Nasdaq public historical table</x:v>
      </x:c>
    </x:row>
    <x:row r="723">
      <x:c r="A723" s="14" t="n">
        <x:v>45271</x:v>
      </x:c>
      <x:c r="B723" s="20" t="n">
        <x:v>142.91</x:v>
      </x:c>
      <x:c r="C723" s="20" t="n">
        <x:v>461.99</x:v>
      </x:c>
      <x:c r="D723" s="21" t="n">
        <x:v>4560543</x:v>
      </x:c>
      <x:c r="E723" s="21" t="n">
        <x:v>65002250</x:v>
      </x:c>
      <x:c r="F723" s="11" t="str">
        <x:v>Nasdaq public historical table</x:v>
      </x:c>
    </x:row>
    <x:row r="724">
      <x:c r="A724" s="14" t="n">
        <x:v>45272</x:v>
      </x:c>
      <x:c r="B724" s="20" t="n">
        <x:v>140.55</x:v>
      </x:c>
      <x:c r="C724" s="20" t="n">
        <x:v>464.1</x:v>
      </x:c>
      <x:c r="D724" s="21" t="n">
        <x:v>6823194</x:v>
      </x:c>
      <x:c r="E724" s="21" t="n">
        <x:v>68327620</x:v>
      </x:c>
      <x:c r="F724" s="11" t="str">
        <x:v>Nasdaq public historical table</x:v>
      </x:c>
    </x:row>
    <x:row r="725">
      <x:c r="A725" s="14" t="n">
        <x:v>45273</x:v>
      </x:c>
      <x:c r="B725" s="20" t="n">
        <x:v>144.51</x:v>
      </x:c>
      <x:c r="C725" s="20" t="n">
        <x:v>470.5</x:v>
      </x:c>
      <x:c r="D725" s="21" t="n">
        <x:v>6673909</x:v>
      </x:c>
      <x:c r="E725" s="21" t="n">
        <x:v>93277960</x:v>
      </x:c>
      <x:c r="F725" s="11" t="str">
        <x:v>Nasdaq public historical table</x:v>
      </x:c>
    </x:row>
    <x:row r="726">
      <x:c r="A726" s="14" t="n">
        <x:v>45274</x:v>
      </x:c>
      <x:c r="B726" s="20" t="n">
        <x:v>147.26</x:v>
      </x:c>
      <x:c r="C726" s="20" t="n">
        <x:v>472.01</x:v>
      </x:c>
      <x:c r="D726" s="21" t="n">
        <x:v>9568622</x:v>
      </x:c>
      <x:c r="E726" s="21" t="n">
        <x:v>119026000</x:v>
      </x:c>
      <x:c r="F726" s="11" t="str">
        <x:v>Nasdaq public historical table</x:v>
      </x:c>
    </x:row>
    <x:row r="727">
      <x:c r="A727" s="14" t="n">
        <x:v>45275</x:v>
      </x:c>
      <x:c r="B727" s="20" t="n">
        <x:v>146.6</x:v>
      </x:c>
      <x:c r="C727" s="20" t="n">
        <x:v>469.33</x:v>
      </x:c>
      <x:c r="D727" s="21" t="n">
        <x:v>8239015</x:v>
      </x:c>
      <x:c r="E727" s="21" t="n">
        <x:v>141553700</x:v>
      </x:c>
      <x:c r="F727" s="11" t="str">
        <x:v>Nasdaq public historical table</x:v>
      </x:c>
    </x:row>
    <x:row r="728">
      <x:c r="A728" s="14" t="n">
        <x:v>45278</x:v>
      </x:c>
      <x:c r="B728" s="20" t="n">
        <x:v>147.5</x:v>
      </x:c>
      <x:c r="C728" s="20" t="n">
        <x:v>471.97</x:v>
      </x:c>
      <x:c r="D728" s="21" t="n">
        <x:v>4175159</x:v>
      </x:c>
      <x:c r="E728" s="21" t="n">
        <x:v>70375290</x:v>
      </x:c>
      <x:c r="F728" s="11" t="str">
        <x:v>Nasdaq public historical table</x:v>
      </x:c>
    </x:row>
    <x:row r="729">
      <x:c r="A729" s="14" t="n">
        <x:v>45279</x:v>
      </x:c>
      <x:c r="B729" s="20" t="n">
        <x:v>146.91</x:v>
      </x:c>
      <x:c r="C729" s="20" t="n">
        <x:v>474.84</x:v>
      </x:c>
      <x:c r="D729" s="21" t="n">
        <x:v>5090432</x:v>
      </x:c>
      <x:c r="E729" s="21" t="n">
        <x:v>55761810</x:v>
      </x:c>
      <x:c r="F729" s="11" t="str">
        <x:v>Nasdaq public historical table</x:v>
      </x:c>
    </x:row>
    <x:row r="730">
      <x:c r="A730" s="14" t="n">
        <x:v>45280</x:v>
      </x:c>
      <x:c r="B730" s="20" t="n">
        <x:v>141.07</x:v>
      </x:c>
      <x:c r="C730" s="20" t="n">
        <x:v>468.26</x:v>
      </x:c>
      <x:c r="D730" s="21" t="n">
        <x:v>5718006</x:v>
      </x:c>
      <x:c r="E730" s="21" t="n">
        <x:v>102921000</x:v>
      </x:c>
      <x:c r="F730" s="11" t="str">
        <x:v>Nasdaq public historical table</x:v>
      </x:c>
    </x:row>
    <x:row r="731">
      <x:c r="A731" s="14" t="n">
        <x:v>45281</x:v>
      </x:c>
      <x:c r="B731" s="20" t="n">
        <x:v>142.09</x:v>
      </x:c>
      <x:c r="C731" s="20" t="n">
        <x:v>472.7</x:v>
      </x:c>
      <x:c r="D731" s="21" t="n">
        <x:v>3318535</x:v>
      </x:c>
      <x:c r="E731" s="21" t="n">
        <x:v>86667470</x:v>
      </x:c>
      <x:c r="F731" s="11" t="str">
        <x:v>Nasdaq public historical table</x:v>
      </x:c>
    </x:row>
    <x:row r="732">
      <x:c r="A732" s="14" t="n">
        <x:v>45282</x:v>
      </x:c>
      <x:c r="B732" s="20" t="n">
        <x:v>140.8</x:v>
      </x:c>
      <x:c r="C732" s="20" t="n">
        <x:v>473.65</x:v>
      </x:c>
      <x:c r="D732" s="21" t="n">
        <x:v>2937363</x:v>
      </x:c>
      <x:c r="E732" s="21" t="n">
        <x:v>67160420</x:v>
      </x:c>
      <x:c r="F732" s="11" t="str">
        <x:v>Nasdaq public historical table</x:v>
      </x:c>
    </x:row>
    <x:row r="733">
      <x:c r="A733" s="14" t="n">
        <x:v>45286</x:v>
      </x:c>
      <x:c r="B733" s="20" t="n">
        <x:v>138.72</x:v>
      </x:c>
      <x:c r="C733" s="20" t="n">
        <x:v>475.65</x:v>
      </x:c>
      <x:c r="D733" s="21" t="n">
        <x:v>4384804</x:v>
      </x:c>
      <x:c r="E733" s="21" t="n">
        <x:v>55386950</x:v>
      </x:c>
      <x:c r="F733" s="11" t="str">
        <x:v>Nasdaq public historical table</x:v>
      </x:c>
    </x:row>
    <x:row r="734">
      <x:c r="A734" s="14" t="n">
        <x:v>45287</x:v>
      </x:c>
      <x:c r="B734" s="20" t="n">
        <x:v>136.55</x:v>
      </x:c>
      <x:c r="C734" s="20" t="n">
        <x:v>476.51</x:v>
      </x:c>
      <x:c r="D734" s="21" t="n">
        <x:v>3989552</x:v>
      </x:c>
      <x:c r="E734" s="21" t="n">
        <x:v>68000310</x:v>
      </x:c>
      <x:c r="F734" s="11" t="str">
        <x:v>Nasdaq public historical table</x:v>
      </x:c>
    </x:row>
    <x:row r="735">
      <x:c r="A735" s="14" t="n">
        <x:v>45288</x:v>
      </x:c>
      <x:c r="B735" s="20" t="n">
        <x:v>137</x:v>
      </x:c>
      <x:c r="C735" s="20" t="n">
        <x:v>476.69</x:v>
      </x:c>
      <x:c r="D735" s="21" t="n">
        <x:v>2770816</x:v>
      </x:c>
      <x:c r="E735" s="21" t="n">
        <x:v>77158120</x:v>
      </x:c>
      <x:c r="F735" s="11" t="str">
        <x:v>Nasdaq public historical table</x:v>
      </x:c>
    </x:row>
    <x:row r="736">
      <x:c r="A736" s="14" t="n">
        <x:v>45289</x:v>
      </x:c>
      <x:c r="B736" s="20" t="n">
        <x:v>136.14</x:v>
      </x:c>
      <x:c r="C736" s="20" t="n">
        <x:v>475.31</x:v>
      </x:c>
      <x:c r="D736" s="21" t="n">
        <x:v>3076112</x:v>
      </x:c>
      <x:c r="E736" s="21" t="n">
        <x:v>122283100</x:v>
      </x:c>
      <x:c r="F736" s="11" t="str">
        <x:v>Nasdaq public historical table</x:v>
      </x:c>
    </x:row>
    <x:row r="737">
      <x:c r="A737" s="14" t="n">
        <x:v>45293</x:v>
      </x:c>
      <x:c r="B737" s="20" t="n">
        <x:v>134.48</x:v>
      </x:c>
      <x:c r="C737" s="20" t="n">
        <x:v>472.65</x:v>
      </x:c>
      <x:c r="D737" s="21" t="n">
        <x:v>3485247</x:v>
      </x:c>
      <x:c r="E737" s="21" t="n">
        <x:v>123007800</x:v>
      </x:c>
      <x:c r="F737" s="11" t="str">
        <x:v>Nasdaq public historical table</x:v>
      </x:c>
    </x:row>
    <x:row r="738">
      <x:c r="A738" s="14" t="n">
        <x:v>45294</x:v>
      </x:c>
      <x:c r="B738" s="20" t="n">
        <x:v>133.42</x:v>
      </x:c>
      <x:c r="C738" s="20" t="n">
        <x:v>468.79</x:v>
      </x:c>
      <x:c r="D738" s="21" t="n">
        <x:v>4266614</x:v>
      </x:c>
      <x:c r="E738" s="21" t="n">
        <x:v>103585900</x:v>
      </x:c>
      <x:c r="F738" s="11" t="str">
        <x:v>Nasdaq public historical table</x:v>
      </x:c>
    </x:row>
    <x:row r="739">
      <x:c r="A739" s="14" t="n">
        <x:v>45295</x:v>
      </x:c>
      <x:c r="B739" s="20" t="n">
        <x:v>133.72</x:v>
      </x:c>
      <x:c r="C739" s="20" t="n">
        <x:v>467.28</x:v>
      </x:c>
      <x:c r="D739" s="21" t="n">
        <x:v>4056898</x:v>
      </x:c>
      <x:c r="E739" s="21" t="n">
        <x:v>84232170</x:v>
      </x:c>
      <x:c r="F739" s="11" t="str">
        <x:v>Nasdaq public historical table</x:v>
      </x:c>
    </x:row>
    <x:row r="740">
      <x:c r="A740" s="14" t="n">
        <x:v>45296</x:v>
      </x:c>
      <x:c r="B740" s="20" t="n">
        <x:v>135.98</x:v>
      </x:c>
      <x:c r="C740" s="20" t="n">
        <x:v>467.92</x:v>
      </x:c>
      <x:c r="D740" s="21" t="n">
        <x:v>4006629</x:v>
      </x:c>
      <x:c r="E740" s="21" t="n">
        <x:v>86118910</x:v>
      </x:c>
      <x:c r="F740" s="11" t="str">
        <x:v>Nasdaq public historical table</x:v>
      </x:c>
    </x:row>
    <x:row r="741">
      <x:c r="A741" s="14" t="n">
        <x:v>45299</x:v>
      </x:c>
      <x:c r="B741" s="20" t="n">
        <x:v>140.08</x:v>
      </x:c>
      <x:c r="C741" s="20" t="n">
        <x:v>474.6</x:v>
      </x:c>
      <x:c r="D741" s="21" t="n">
        <x:v>4179708</x:v>
      </x:c>
      <x:c r="E741" s="21" t="n">
        <x:v>74879070</x:v>
      </x:c>
      <x:c r="F741" s="11" t="str">
        <x:v>Nasdaq public historical table</x:v>
      </x:c>
    </x:row>
    <x:row r="742">
      <x:c r="A742" s="14" t="n">
        <x:v>45300</x:v>
      </x:c>
      <x:c r="B742" s="20" t="n">
        <x:v>139.53</x:v>
      </x:c>
      <x:c r="C742" s="20" t="n">
        <x:v>473.88</x:v>
      </x:c>
      <x:c r="D742" s="21" t="n">
        <x:v>3560892</x:v>
      </x:c>
      <x:c r="E742" s="21" t="n">
        <x:v>65931440</x:v>
      </x:c>
      <x:c r="F742" s="11" t="str">
        <x:v>Nasdaq public historical table</x:v>
      </x:c>
    </x:row>
    <x:row r="743">
      <x:c r="A743" s="14" t="n">
        <x:v>45301</x:v>
      </x:c>
      <x:c r="B743" s="20" t="n">
        <x:v>139.76</x:v>
      </x:c>
      <x:c r="C743" s="20" t="n">
        <x:v>476.56</x:v>
      </x:c>
      <x:c r="D743" s="21" t="n">
        <x:v>2492691</x:v>
      </x:c>
      <x:c r="E743" s="21" t="n">
        <x:v>67310640</x:v>
      </x:c>
      <x:c r="F743" s="11" t="str">
        <x:v>Nasdaq public historical table</x:v>
      </x:c>
    </x:row>
    <x:row r="744">
      <x:c r="A744" s="14" t="n">
        <x:v>45302</x:v>
      </x:c>
      <x:c r="B744" s="20" t="n">
        <x:v>139.45</x:v>
      </x:c>
      <x:c r="C744" s="20" t="n">
        <x:v>476.35</x:v>
      </x:c>
      <x:c r="D744" s="21" t="n">
        <x:v>2383518</x:v>
      </x:c>
      <x:c r="E744" s="21" t="n">
        <x:v>77940720</x:v>
      </x:c>
      <x:c r="F744" s="11" t="str">
        <x:v>Nasdaq public historical table</x:v>
      </x:c>
    </x:row>
    <x:row r="745">
      <x:c r="A745" s="14" t="n">
        <x:v>45303</x:v>
      </x:c>
      <x:c r="B745" s="20" t="n">
        <x:v>137.14</x:v>
      </x:c>
      <x:c r="C745" s="20" t="n">
        <x:v>476.68</x:v>
      </x:c>
      <x:c r="D745" s="21" t="n">
        <x:v>2481982</x:v>
      </x:c>
      <x:c r="E745" s="21" t="n">
        <x:v>58026420</x:v>
      </x:c>
      <x:c r="F745" s="11" t="str">
        <x:v>Nasdaq public historical table</x:v>
      </x:c>
    </x:row>
    <x:row r="746">
      <x:c r="A746" s="14" t="n">
        <x:v>45307</x:v>
      </x:c>
      <x:c r="B746" s="20" t="n">
        <x:v>135.02</x:v>
      </x:c>
      <x:c r="C746" s="20" t="n">
        <x:v>474.93</x:v>
      </x:c>
      <x:c r="D746" s="21" t="n">
        <x:v>5514773</x:v>
      </x:c>
      <x:c r="E746" s="21" t="n">
        <x:v>85014870</x:v>
      </x:c>
      <x:c r="F746" s="11" t="str">
        <x:v>Nasdaq public historical table</x:v>
      </x:c>
    </x:row>
    <x:row r="747">
      <x:c r="A747" s="14" t="n">
        <x:v>45308</x:v>
      </x:c>
      <x:c r="B747" s="20" t="n">
        <x:v>134.98</x:v>
      </x:c>
      <x:c r="C747" s="20" t="n">
        <x:v>472.29</x:v>
      </x:c>
      <x:c r="D747" s="21" t="n">
        <x:v>3039656</x:v>
      </x:c>
      <x:c r="E747" s="21" t="n">
        <x:v>68843870</x:v>
      </x:c>
      <x:c r="F747" s="11" t="str">
        <x:v>Nasdaq public historical table</x:v>
      </x:c>
    </x:row>
    <x:row r="748">
      <x:c r="A748" s="14" t="n">
        <x:v>45309</x:v>
      </x:c>
      <x:c r="B748" s="20" t="n">
        <x:v>137.04</x:v>
      </x:c>
      <x:c r="C748" s="20" t="n">
        <x:v>476.49</x:v>
      </x:c>
      <x:c r="D748" s="21" t="n">
        <x:v>5273027</x:v>
      </x:c>
      <x:c r="E748" s="21" t="n">
        <x:v>91856250</x:v>
      </x:c>
      <x:c r="F748" s="11" t="str">
        <x:v>Nasdaq public historical table</x:v>
      </x:c>
    </x:row>
    <x:row r="749">
      <x:c r="A749" s="14" t="n">
        <x:v>45310</x:v>
      </x:c>
      <x:c r="B749" s="20" t="n">
        <x:v>139.93</x:v>
      </x:c>
      <x:c r="C749" s="20" t="n">
        <x:v>482.43</x:v>
      </x:c>
      <x:c r="D749" s="21" t="n">
        <x:v>4089098</x:v>
      </x:c>
      <x:c r="E749" s="21" t="n">
        <x:v>110834500</x:v>
      </x:c>
      <x:c r="F749" s="11" t="str">
        <x:v>Nasdaq public historical table</x:v>
      </x:c>
    </x:row>
    <x:row r="750">
      <x:c r="A750" s="14" t="n">
        <x:v>45313</x:v>
      </x:c>
      <x:c r="B750" s="20" t="n">
        <x:v>142.01</x:v>
      </x:c>
      <x:c r="C750" s="20" t="n">
        <x:v>483.45</x:v>
      </x:c>
      <x:c r="D750" s="21" t="n">
        <x:v>4482914</x:v>
      </x:c>
      <x:c r="E750" s="21" t="n">
        <x:v>75844930</x:v>
      </x:c>
      <x:c r="F750" s="11" t="str">
        <x:v>Nasdaq public historical table</x:v>
      </x:c>
    </x:row>
    <x:row r="751">
      <x:c r="A751" s="14" t="n">
        <x:v>45314</x:v>
      </x:c>
      <x:c r="B751" s="20" t="n">
        <x:v>142.3</x:v>
      </x:c>
      <x:c r="C751" s="20" t="n">
        <x:v>484.86</x:v>
      </x:c>
      <x:c r="D751" s="21" t="n">
        <x:v>3882149</x:v>
      </x:c>
      <x:c r="E751" s="21" t="n">
        <x:v>49945300</x:v>
      </x:c>
      <x:c r="F751" s="11" t="str">
        <x:v>Nasdaq public historical table</x:v>
      </x:c>
    </x:row>
    <x:row r="752">
      <x:c r="A752" s="14" t="n">
        <x:v>45315</x:v>
      </x:c>
      <x:c r="B752" s="20" t="n">
        <x:v>141.19</x:v>
      </x:c>
      <x:c r="C752" s="20" t="n">
        <x:v>485.39</x:v>
      </x:c>
      <x:c r="D752" s="21" t="n">
        <x:v>4857241</x:v>
      </x:c>
      <x:c r="E752" s="21" t="n">
        <x:v>81765040</x:v>
      </x:c>
      <x:c r="F752" s="11" t="str">
        <x:v>Nasdaq public historical table</x:v>
      </x:c>
    </x:row>
    <x:row r="753">
      <x:c r="A753" s="14" t="n">
        <x:v>45316</x:v>
      </x:c>
      <x:c r="B753" s="20" t="n">
        <x:v>142.11</x:v>
      </x:c>
      <x:c r="C753" s="20" t="n">
        <x:v>488.03</x:v>
      </x:c>
      <x:c r="D753" s="21" t="n">
        <x:v>3677549</x:v>
      </x:c>
      <x:c r="E753" s="21" t="n">
        <x:v>72524990</x:v>
      </x:c>
      <x:c r="F753" s="11" t="str">
        <x:v>Nasdaq public historical table</x:v>
      </x:c>
    </x:row>
    <x:row r="754">
      <x:c r="A754" s="14" t="n">
        <x:v>45317</x:v>
      </x:c>
      <x:c r="B754" s="20" t="n">
        <x:v>149.62</x:v>
      </x:c>
      <x:c r="C754" s="20" t="n">
        <x:v>487.41</x:v>
      </x:c>
      <x:c r="D754" s="21" t="n">
        <x:v>11342570</x:v>
      </x:c>
      <x:c r="E754" s="21" t="n">
        <x:v>76641610</x:v>
      </x:c>
      <x:c r="F754" s="11" t="str">
        <x:v>Nasdaq public historical table</x:v>
      </x:c>
    </x:row>
    <x:row r="755">
      <x:c r="A755" s="14" t="n">
        <x:v>45320</x:v>
      </x:c>
      <x:c r="B755" s="20" t="n">
        <x:v>152.7</x:v>
      </x:c>
      <x:c r="C755" s="20" t="n">
        <x:v>491.27</x:v>
      </x:c>
      <x:c r="D755" s="21" t="n">
        <x:v>5316315</x:v>
      </x:c>
      <x:c r="E755" s="21" t="n">
        <x:v>61322750</x:v>
      </x:c>
      <x:c r="F755" s="11" t="str">
        <x:v>Nasdaq public historical table</x:v>
      </x:c>
    </x:row>
    <x:row r="756">
      <x:c r="A756" s="14" t="n">
        <x:v>45321</x:v>
      </x:c>
      <x:c r="B756" s="20" t="n">
        <x:v>149.44</x:v>
      </x:c>
      <x:c r="C756" s="20" t="n">
        <x:v>490.89</x:v>
      </x:c>
      <x:c r="D756" s="21" t="n">
        <x:v>3884021</x:v>
      </x:c>
      <x:c r="E756" s="21" t="n">
        <x:v>58618390</x:v>
      </x:c>
      <x:c r="F756" s="11" t="str">
        <x:v>Nasdaq public historical table</x:v>
      </x:c>
    </x:row>
    <x:row r="757">
      <x:c r="A757" s="14" t="n">
        <x:v>45322</x:v>
      </x:c>
      <x:c r="B757" s="20" t="n">
        <x:v>144.14</x:v>
      </x:c>
      <x:c r="C757" s="20" t="n">
        <x:v>482.88</x:v>
      </x:c>
      <x:c r="D757" s="21" t="n">
        <x:v>4126572</x:v>
      </x:c>
      <x:c r="E757" s="21" t="n">
        <x:v>126011100</x:v>
      </x:c>
      <x:c r="F757" s="11" t="str">
        <x:v>Nasdaq public historical table</x:v>
      </x:c>
    </x:row>
    <x:row r="758">
      <x:c r="A758" s="14" t="n">
        <x:v>45323</x:v>
      </x:c>
      <x:c r="B758" s="20" t="n">
        <x:v>146.49</x:v>
      </x:c>
      <x:c r="C758" s="20" t="n">
        <x:v>489.2</x:v>
      </x:c>
      <x:c r="D758" s="21" t="n">
        <x:v>3416682</x:v>
      </x:c>
      <x:c r="E758" s="21" t="n">
        <x:v>91891640</x:v>
      </x:c>
      <x:c r="F758" s="11" t="str">
        <x:v>Nasdaq public historical table</x:v>
      </x:c>
    </x:row>
    <x:row r="759">
      <x:c r="A759" s="14" t="n">
        <x:v>45324</x:v>
      </x:c>
      <x:c r="B759" s="20" t="n">
        <x:v>146.55</x:v>
      </x:c>
      <x:c r="C759" s="20" t="n">
        <x:v>494.35</x:v>
      </x:c>
      <x:c r="D759" s="21" t="n">
        <x:v>4252797</x:v>
      </x:c>
      <x:c r="E759" s="21" t="n">
        <x:v>99228190</x:v>
      </x:c>
      <x:c r="F759" s="11" t="str">
        <x:v>Nasdaq public historical table</x:v>
      </x:c>
    </x:row>
    <x:row r="760">
      <x:c r="A760" s="14" t="n">
        <x:v>45327</x:v>
      </x:c>
      <x:c r="B760" s="20" t="n">
        <x:v>144.78</x:v>
      </x:c>
      <x:c r="C760" s="20" t="n">
        <x:v>492.55</x:v>
      </x:c>
      <x:c r="D760" s="21" t="n">
        <x:v>3010888</x:v>
      </x:c>
      <x:c r="E760" s="21" t="n">
        <x:v>75757100</x:v>
      </x:c>
      <x:c r="F760" s="11" t="str">
        <x:v>Nasdaq public historical table</x:v>
      </x:c>
    </x:row>
    <x:row r="761">
      <x:c r="A761" s="14" t="n">
        <x:v>45328</x:v>
      </x:c>
      <x:c r="B761" s="20" t="n">
        <x:v>144.53</x:v>
      </x:c>
      <x:c r="C761" s="20" t="n">
        <x:v>493.98</x:v>
      </x:c>
      <x:c r="D761" s="21" t="n">
        <x:v>3697593</x:v>
      </x:c>
      <x:c r="E761" s="21" t="n">
        <x:v>55918600</x:v>
      </x:c>
      <x:c r="F761" s="11" t="str">
        <x:v>Nasdaq public historical table</x:v>
      </x:c>
    </x:row>
    <x:row r="762">
      <x:c r="A762" s="14" t="n">
        <x:v>45329</x:v>
      </x:c>
      <x:c r="B762" s="20" t="n">
        <x:v>147.55</x:v>
      </x:c>
      <x:c r="C762" s="20" t="n">
        <x:v>498.1</x:v>
      </x:c>
      <x:c r="D762" s="21" t="n">
        <x:v>4214118</x:v>
      </x:c>
      <x:c r="E762" s="21" t="n">
        <x:v>70556510</x:v>
      </x:c>
      <x:c r="F762" s="11" t="str">
        <x:v>Nasdaq public historical table</x:v>
      </x:c>
    </x:row>
    <x:row r="763">
      <x:c r="A763" s="14" t="n">
        <x:v>45330</x:v>
      </x:c>
      <x:c r="B763" s="20" t="n">
        <x:v>150.54</x:v>
      </x:c>
      <x:c r="C763" s="20" t="n">
        <x:v>498.32</x:v>
      </x:c>
      <x:c r="D763" s="21" t="n">
        <x:v>3508283</x:v>
      </x:c>
      <x:c r="E763" s="21" t="n">
        <x:v>52343640</x:v>
      </x:c>
      <x:c r="F763" s="11" t="str">
        <x:v>Nasdaq public historical table</x:v>
      </x:c>
    </x:row>
    <x:row r="764">
      <x:c r="A764" s="14" t="n">
        <x:v>45331</x:v>
      </x:c>
      <x:c r="B764" s="20" t="n">
        <x:v>147.595</x:v>
      </x:c>
      <x:c r="C764" s="20" t="n">
        <x:v>501.2</x:v>
      </x:c>
      <x:c r="D764" s="21" t="n">
        <x:v>5006763</x:v>
      </x:c>
      <x:c r="E764" s="21" t="n">
        <x:v>63979380</x:v>
      </x:c>
      <x:c r="F764" s="11" t="str">
        <x:v>Nasdaq public historical table</x:v>
      </x:c>
    </x:row>
    <x:row r="765">
      <x:c r="A765" s="14" t="n">
        <x:v>45334</x:v>
      </x:c>
      <x:c r="B765" s="20" t="n">
        <x:v>153.8</x:v>
      </x:c>
      <x:c r="C765" s="20" t="n">
        <x:v>500.98</x:v>
      </x:c>
      <x:c r="D765" s="21" t="n">
        <x:v>7909487</x:v>
      </x:c>
      <x:c r="E765" s="21" t="n">
        <x:v>56502280</x:v>
      </x:c>
      <x:c r="F765" s="11" t="str">
        <x:v>Nasdaq public historical table</x:v>
      </x:c>
    </x:row>
    <x:row r="766">
      <x:c r="A766" s="14" t="n">
        <x:v>45335</x:v>
      </x:c>
      <x:c r="B766" s="20" t="n">
        <x:v>150.82</x:v>
      </x:c>
      <x:c r="C766" s="20" t="n">
        <x:v>494.08</x:v>
      </x:c>
      <x:c r="D766" s="21" t="n">
        <x:v>11801680</x:v>
      </x:c>
      <x:c r="E766" s="21" t="n">
        <x:v>113099200</x:v>
      </x:c>
      <x:c r="F766" s="11" t="str">
        <x:v>Nasdaq public historical table</x:v>
      </x:c>
    </x:row>
    <x:row r="767">
      <x:c r="A767" s="14" t="n">
        <x:v>45336</x:v>
      </x:c>
      <x:c r="B767" s="20" t="n">
        <x:v>148.2</x:v>
      </x:c>
      <x:c r="C767" s="20" t="n">
        <x:v>498.57</x:v>
      </x:c>
      <x:c r="D767" s="21" t="n">
        <x:v>16021810</x:v>
      </x:c>
      <x:c r="E767" s="21" t="n">
        <x:v>68387830</x:v>
      </x:c>
      <x:c r="F767" s="11" t="str">
        <x:v>Nasdaq public historical table</x:v>
      </x:c>
    </x:row>
    <x:row r="768">
      <x:c r="A768" s="14" t="n">
        <x:v>45337</x:v>
      </x:c>
      <x:c r="B768" s="20" t="n">
        <x:v>157.69</x:v>
      </x:c>
      <x:c r="C768" s="20" t="n">
        <x:v>502.01</x:v>
      </x:c>
      <x:c r="D768" s="21" t="n">
        <x:v>11922990</x:v>
      </x:c>
      <x:c r="E768" s="21" t="n">
        <x:v>61682960</x:v>
      </x:c>
      <x:c r="F768" s="11" t="str">
        <x:v>Nasdaq public historical table</x:v>
      </x:c>
    </x:row>
    <x:row r="769">
      <x:c r="A769" s="14" t="n">
        <x:v>45338</x:v>
      </x:c>
      <x:c r="B769" s="20" t="n">
        <x:v>152.51</x:v>
      </x:c>
      <x:c r="C769" s="20" t="n">
        <x:v>499.51</x:v>
      </x:c>
      <x:c r="D769" s="21" t="n">
        <x:v>6520114</x:v>
      </x:c>
      <x:c r="E769" s="21" t="n">
        <x:v>75532930</x:v>
      </x:c>
      <x:c r="F769" s="11" t="str">
        <x:v>Nasdaq public historical table</x:v>
      </x:c>
    </x:row>
    <x:row r="770">
      <x:c r="A770" s="14" t="n">
        <x:v>45342</x:v>
      </x:c>
      <x:c r="B770" s="20" t="n">
        <x:v>148.15</x:v>
      </x:c>
      <x:c r="C770" s="20" t="n">
        <x:v>496.76</x:v>
      </x:c>
      <x:c r="D770" s="21" t="n">
        <x:v>5229688</x:v>
      </x:c>
      <x:c r="E770" s="21" t="n">
        <x:v>71736740</x:v>
      </x:c>
      <x:c r="F770" s="11" t="str">
        <x:v>Nasdaq public historical table</x:v>
      </x:c>
    </x:row>
    <x:row r="771">
      <x:c r="A771" s="14" t="n">
        <x:v>45343</x:v>
      </x:c>
      <x:c r="B771" s="20" t="n">
        <x:v>149.24</x:v>
      </x:c>
      <x:c r="C771" s="20" t="n">
        <x:v>497.21</x:v>
      </x:c>
      <x:c r="D771" s="21" t="n">
        <x:v>4570787</x:v>
      </x:c>
      <x:c r="E771" s="21" t="n">
        <x:v>59603770</x:v>
      </x:c>
      <x:c r="F771" s="11" t="str">
        <x:v>Nasdaq public historical table</x:v>
      </x:c>
    </x:row>
    <x:row r="772">
      <x:c r="A772" s="14" t="n">
        <x:v>45344</x:v>
      </x:c>
      <x:c r="B772" s="20" t="n">
        <x:v>155.26</x:v>
      </x:c>
      <x:c r="C772" s="20" t="n">
        <x:v>507.5</x:v>
      </x:c>
      <x:c r="D772" s="21" t="n">
        <x:v>6115025</x:v>
      </x:c>
      <x:c r="E772" s="21" t="n">
        <x:v>76402540</x:v>
      </x:c>
      <x:c r="F772" s="11" t="str">
        <x:v>Nasdaq public historical table</x:v>
      </x:c>
    </x:row>
    <x:row r="773">
      <x:c r="A773" s="14" t="n">
        <x:v>45345</x:v>
      </x:c>
      <x:c r="B773" s="20" t="n">
        <x:v>152.66</x:v>
      </x:c>
      <x:c r="C773" s="20" t="n">
        <x:v>507.85</x:v>
      </x:c>
      <x:c r="D773" s="21" t="n">
        <x:v>4851068</x:v>
      </x:c>
      <x:c r="E773" s="21" t="n">
        <x:v>61321820</x:v>
      </x:c>
      <x:c r="F773" s="11" t="str">
        <x:v>Nasdaq public historical table</x:v>
      </x:c>
    </x:row>
    <x:row r="774">
      <x:c r="A774" s="14" t="n">
        <x:v>45348</x:v>
      </x:c>
      <x:c r="B774" s="20" t="n">
        <x:v>149.27</x:v>
      </x:c>
      <x:c r="C774" s="20" t="n">
        <x:v>505.99</x:v>
      </x:c>
      <x:c r="D774" s="21" t="n">
        <x:v>5277943</x:v>
      </x:c>
      <x:c r="E774" s="21" t="n">
        <x:v>50386740</x:v>
      </x:c>
      <x:c r="F774" s="11" t="str">
        <x:v>Nasdaq public historical table</x:v>
      </x:c>
    </x:row>
    <x:row r="775">
      <x:c r="A775" s="14" t="n">
        <x:v>45349</x:v>
      </x:c>
      <x:c r="B775" s="20" t="n">
        <x:v>152.06</x:v>
      </x:c>
      <x:c r="C775" s="20" t="n">
        <x:v>506.93</x:v>
      </x:c>
      <x:c r="D775" s="21" t="n">
        <x:v>4623715</x:v>
      </x:c>
      <x:c r="E775" s="21" t="n">
        <x:v>48854530</x:v>
      </x:c>
      <x:c r="F775" s="11" t="str">
        <x:v>Nasdaq public historical table</x:v>
      </x:c>
    </x:row>
    <x:row r="776">
      <x:c r="A776" s="14" t="n">
        <x:v>45350</x:v>
      </x:c>
      <x:c r="B776" s="20" t="n">
        <x:v>153.43</x:v>
      </x:c>
      <x:c r="C776" s="20" t="n">
        <x:v>506.26</x:v>
      </x:c>
      <x:c r="D776" s="21" t="n">
        <x:v>4329074</x:v>
      </x:c>
      <x:c r="E776" s="21" t="n">
        <x:v>56506630</x:v>
      </x:c>
      <x:c r="F776" s="11" t="str">
        <x:v>Nasdaq public historical table</x:v>
      </x:c>
    </x:row>
    <x:row r="777">
      <x:c r="A777" s="14" t="n">
        <x:v>45351</x:v>
      </x:c>
      <x:c r="B777" s="20" t="n">
        <x:v>157.47</x:v>
      </x:c>
      <x:c r="C777" s="20" t="n">
        <x:v>508.08</x:v>
      </x:c>
      <x:c r="D777" s="21" t="n">
        <x:v>8002291</x:v>
      </x:c>
      <x:c r="E777" s="21" t="n">
        <x:v>83924800</x:v>
      </x:c>
      <x:c r="F777" s="11" t="str">
        <x:v>Nasdaq public historical table</x:v>
      </x:c>
    </x:row>
    <x:row r="778">
      <x:c r="A778" s="14" t="n">
        <x:v>45352</x:v>
      </x:c>
      <x:c r="B778" s="20" t="n">
        <x:v>159.72</x:v>
      </x:c>
      <x:c r="C778" s="20" t="n">
        <x:v>512.85</x:v>
      </x:c>
      <x:c r="D778" s="21" t="n">
        <x:v>5367283</x:v>
      </x:c>
      <x:c r="E778" s="21" t="n">
        <x:v>76844840</x:v>
      </x:c>
      <x:c r="F778" s="11" t="str">
        <x:v>Nasdaq public historical table</x:v>
      </x:c>
    </x:row>
    <x:row r="779">
      <x:c r="A779" s="14" t="n">
        <x:v>45355</x:v>
      </x:c>
      <x:c r="B779" s="20" t="n">
        <x:v>158.09</x:v>
      </x:c>
      <x:c r="C779" s="20" t="n">
        <x:v>512.3</x:v>
      </x:c>
      <x:c r="D779" s="21" t="n">
        <x:v>4403219</x:v>
      </x:c>
      <x:c r="E779" s="21" t="n">
        <x:v>49799260</x:v>
      </x:c>
      <x:c r="F779" s="11" t="str">
        <x:v>Nasdaq public historical table</x:v>
      </x:c>
    </x:row>
    <x:row r="780">
      <x:c r="A780" s="14" t="n">
        <x:v>45356</x:v>
      </x:c>
      <x:c r="B780" s="20" t="n">
        <x:v>159.33</x:v>
      </x:c>
      <x:c r="C780" s="20" t="n">
        <x:v>507.18</x:v>
      </x:c>
      <x:c r="D780" s="21" t="n">
        <x:v>4714293</x:v>
      </x:c>
      <x:c r="E780" s="21" t="n">
        <x:v>72855620</x:v>
      </x:c>
      <x:c r="F780" s="11" t="str">
        <x:v>Nasdaq public historical table</x:v>
      </x:c>
    </x:row>
    <x:row r="781">
      <x:c r="A781" s="14" t="n">
        <x:v>45357</x:v>
      </x:c>
      <x:c r="B781" s="20" t="n">
        <x:v>163.87</x:v>
      </x:c>
      <x:c r="C781" s="20" t="n">
        <x:v>509.75</x:v>
      </x:c>
      <x:c r="D781" s="21" t="n">
        <x:v>5167916</x:v>
      </x:c>
      <x:c r="E781" s="21" t="n">
        <x:v>68382370</x:v>
      </x:c>
      <x:c r="F781" s="11" t="str">
        <x:v>Nasdaq public historical table</x:v>
      </x:c>
    </x:row>
    <x:row r="782">
      <x:c r="A782" s="14" t="n">
        <x:v>45358</x:v>
      </x:c>
      <x:c r="B782" s="20" t="n">
        <x:v>163.54</x:v>
      </x:c>
      <x:c r="C782" s="20" t="n">
        <x:v>514.81</x:v>
      </x:c>
      <x:c r="D782" s="21" t="n">
        <x:v>3810295</x:v>
      </x:c>
      <x:c r="E782" s="21" t="n">
        <x:v>58652090</x:v>
      </x:c>
      <x:c r="F782" s="11" t="str">
        <x:v>Nasdaq public historical table</x:v>
      </x:c>
    </x:row>
    <x:row r="783">
      <x:c r="A783" s="14" t="n">
        <x:v>45359</x:v>
      </x:c>
      <x:c r="B783" s="20" t="n">
        <x:v>164.91</x:v>
      </x:c>
      <x:c r="C783" s="20" t="n">
        <x:v>511.72</x:v>
      </x:c>
      <x:c r="D783" s="21" t="n">
        <x:v>4105743</x:v>
      </x:c>
      <x:c r="E783" s="21" t="n">
        <x:v>86532540</x:v>
      </x:c>
      <x:c r="F783" s="11" t="str">
        <x:v>Nasdaq public historical table</x:v>
      </x:c>
    </x:row>
    <x:row r="784">
      <x:c r="A784" s="14" t="n">
        <x:v>45362</x:v>
      </x:c>
      <x:c r="B784" s="20" t="n">
        <x:v>162.99</x:v>
      </x:c>
      <x:c r="C784" s="20" t="n">
        <x:v>511.28</x:v>
      </x:c>
      <x:c r="D784" s="21" t="n">
        <x:v>3149599</x:v>
      </x:c>
      <x:c r="E784" s="21" t="n">
        <x:v>62557180</x:v>
      </x:c>
      <x:c r="F784" s="11" t="str">
        <x:v>Nasdaq public historical table</x:v>
      </x:c>
    </x:row>
    <x:row r="785">
      <x:c r="A785" s="14" t="n">
        <x:v>45363</x:v>
      </x:c>
      <x:c r="B785" s="20" t="n">
        <x:v>166.67</x:v>
      </x:c>
      <x:c r="C785" s="20" t="n">
        <x:v>516.78</x:v>
      </x:c>
      <x:c r="D785" s="21" t="n">
        <x:v>3945890</x:v>
      </x:c>
      <x:c r="E785" s="21" t="n">
        <x:v>73114440</x:v>
      </x:c>
      <x:c r="F785" s="11" t="str">
        <x:v>Nasdaq public historical table</x:v>
      </x:c>
    </x:row>
    <x:row r="786">
      <x:c r="A786" s="14" t="n">
        <x:v>45364</x:v>
      </x:c>
      <x:c r="B786" s="20" t="n">
        <x:v>164.76</x:v>
      </x:c>
      <x:c r="C786" s="20" t="n">
        <x:v>515.97</x:v>
      </x:c>
      <x:c r="D786" s="21" t="n">
        <x:v>7502821</x:v>
      </x:c>
      <x:c r="E786" s="21" t="n">
        <x:v>55104090</x:v>
      </x:c>
      <x:c r="F786" s="11" t="str">
        <x:v>Nasdaq public historical table</x:v>
      </x:c>
    </x:row>
    <x:row r="787">
      <x:c r="A787" s="14" t="n">
        <x:v>45365</x:v>
      </x:c>
      <x:c r="B787" s="20" t="n">
        <x:v>166.44</x:v>
      </x:c>
      <x:c r="C787" s="20" t="n">
        <x:v>514.95</x:v>
      </x:c>
      <x:c r="D787" s="21" t="n">
        <x:v>5078143</x:v>
      </x:c>
      <x:c r="E787" s="21" t="n">
        <x:v>110171800</x:v>
      </x:c>
      <x:c r="F787" s="11" t="str">
        <x:v>Nasdaq public historical table</x:v>
      </x:c>
    </x:row>
    <x:row r="788">
      <x:c r="A788" s="14" t="n">
        <x:v>45366</x:v>
      </x:c>
      <x:c r="B788" s="20" t="n">
        <x:v>160.64</x:v>
      </x:c>
      <x:c r="C788" s="20" t="n">
        <x:v>509.83</x:v>
      </x:c>
      <x:c r="D788" s="21" t="n">
        <x:v>7153845</x:v>
      </x:c>
      <x:c r="E788" s="21" t="n">
        <x:v>107646300</x:v>
      </x:c>
      <x:c r="F788" s="11" t="str">
        <x:v>Nasdaq public historical table</x:v>
      </x:c>
    </x:row>
    <x:row r="789">
      <x:c r="A789" s="14" t="n">
        <x:v>45369</x:v>
      </x:c>
      <x:c r="B789" s="20" t="n">
        <x:v>161.86</x:v>
      </x:c>
      <x:c r="C789" s="20" t="n">
        <x:v>512.86</x:v>
      </x:c>
      <x:c r="D789" s="21" t="n">
        <x:v>4296942</x:v>
      </x:c>
      <x:c r="E789" s="21" t="n">
        <x:v>88893330</x:v>
      </x:c>
      <x:c r="F789" s="11" t="str">
        <x:v>Nasdaq public historical table</x:v>
      </x:c>
    </x:row>
    <x:row r="790">
      <x:c r="A790" s="14" t="n">
        <x:v>45370</x:v>
      </x:c>
      <x:c r="B790" s="20" t="n">
        <x:v>161.79</x:v>
      </x:c>
      <x:c r="C790" s="20" t="n">
        <x:v>515.71</x:v>
      </x:c>
      <x:c r="D790" s="21" t="n">
        <x:v>3420732</x:v>
      </x:c>
      <x:c r="E790" s="21" t="n">
        <x:v>60755260</x:v>
      </x:c>
      <x:c r="F790" s="11" t="str">
        <x:v>Nasdaq public historical table</x:v>
      </x:c>
    </x:row>
    <x:row r="791">
      <x:c r="A791" s="14" t="n">
        <x:v>45371</x:v>
      </x:c>
      <x:c r="B791" s="20" t="n">
        <x:v>164.71</x:v>
      </x:c>
      <x:c r="C791" s="20" t="n">
        <x:v>520.48</x:v>
      </x:c>
      <x:c r="D791" s="21" t="n">
        <x:v>4766298</x:v>
      </x:c>
      <x:c r="E791" s="21" t="n">
        <x:v>69594570</x:v>
      </x:c>
      <x:c r="F791" s="11" t="str">
        <x:v>Nasdaq public historical table</x:v>
      </x:c>
    </x:row>
    <x:row r="792">
      <x:c r="A792" s="14" t="n">
        <x:v>45372</x:v>
      </x:c>
      <x:c r="B792" s="20" t="n">
        <x:v>168.18</x:v>
      </x:c>
      <x:c r="C792" s="20" t="n">
        <x:v>522.2</x:v>
      </x:c>
      <x:c r="D792" s="21" t="n">
        <x:v>5986505</x:v>
      </x:c>
      <x:c r="E792" s="21" t="n">
        <x:v>60256110</x:v>
      </x:c>
      <x:c r="F792" s="11" t="str">
        <x:v>Nasdaq public historical table</x:v>
      </x:c>
    </x:row>
    <x:row r="793">
      <x:c r="A793" s="14" t="n">
        <x:v>45373</x:v>
      </x:c>
      <x:c r="B793" s="20" t="n">
        <x:v>167.86</x:v>
      </x:c>
      <x:c r="C793" s="20" t="n">
        <x:v>521.21</x:v>
      </x:c>
      <x:c r="D793" s="21" t="n">
        <x:v>2837023</x:v>
      </x:c>
      <x:c r="E793" s="21" t="n">
        <x:v>79070840</x:v>
      </x:c>
      <x:c r="F793" s="11" t="str">
        <x:v>Nasdaq public historical table</x:v>
      </x:c>
    </x:row>
    <x:row r="794">
      <x:c r="A794" s="14" t="n">
        <x:v>45376</x:v>
      </x:c>
      <x:c r="B794" s="20" t="n">
        <x:v>167.99</x:v>
      </x:c>
      <x:c r="C794" s="20" t="n">
        <x:v>519.77</x:v>
      </x:c>
      <x:c r="D794" s="21" t="n">
        <x:v>3216070</x:v>
      </x:c>
      <x:c r="E794" s="21" t="n">
        <x:v>48512110</x:v>
      </x:c>
      <x:c r="F794" s="11" t="str">
        <x:v>Nasdaq public historical table</x:v>
      </x:c>
    </x:row>
    <x:row r="795">
      <x:c r="A795" s="14" t="n">
        <x:v>45377</x:v>
      </x:c>
      <x:c r="B795" s="20" t="n">
        <x:v>167.39</x:v>
      </x:c>
      <x:c r="C795" s="20" t="n">
        <x:v>518.81</x:v>
      </x:c>
      <x:c r="D795" s="21" t="n">
        <x:v>2747663</x:v>
      </x:c>
      <x:c r="E795" s="21" t="n">
        <x:v>65463740</x:v>
      </x:c>
      <x:c r="F795" s="11" t="str">
        <x:v>Nasdaq public historical table</x:v>
      </x:c>
    </x:row>
    <x:row r="796">
      <x:c r="A796" s="14" t="n">
        <x:v>45378</x:v>
      </x:c>
      <x:c r="B796" s="20" t="n">
        <x:v>166.41</x:v>
      </x:c>
      <x:c r="C796" s="20" t="n">
        <x:v>523.17</x:v>
      </x:c>
      <x:c r="D796" s="21" t="n">
        <x:v>3921949</x:v>
      </x:c>
      <x:c r="E796" s="21" t="n">
        <x:v>82999780</x:v>
      </x:c>
      <x:c r="F796" s="11" t="str">
        <x:v>Nasdaq public historical table</x:v>
      </x:c>
    </x:row>
    <x:row r="797">
      <x:c r="A797" s="14" t="n">
        <x:v>45379</x:v>
      </x:c>
      <x:c r="B797" s="20" t="n">
        <x:v>164.96</x:v>
      </x:c>
      <x:c r="C797" s="20" t="n">
        <x:v>523.07</x:v>
      </x:c>
      <x:c r="D797" s="21" t="n">
        <x:v>3415958</x:v>
      </x:c>
      <x:c r="E797" s="21" t="n">
        <x:v>96294890</x:v>
      </x:c>
      <x:c r="F797" s="11" t="str">
        <x:v>Nasdaq public historical table</x:v>
      </x:c>
    </x:row>
    <x:row r="798">
      <x:c r="A798" s="14" t="n">
        <x:v>45383</x:v>
      </x:c>
      <x:c r="B798" s="20" t="n">
        <x:v>163.37</x:v>
      </x:c>
      <x:c r="C798" s="20" t="n">
        <x:v>522.16</x:v>
      </x:c>
      <x:c r="D798" s="21" t="n">
        <x:v>2496282</x:v>
      </x:c>
      <x:c r="E798" s="21" t="n">
        <x:v>62477540</x:v>
      </x:c>
      <x:c r="F798" s="11" t="str">
        <x:v>Nasdaq public historical table</x:v>
      </x:c>
    </x:row>
    <x:row r="799">
      <x:c r="A799" s="14" t="n">
        <x:v>45384</x:v>
      </x:c>
      <x:c r="B799" s="20" t="n">
        <x:v>160.11</x:v>
      </x:c>
      <x:c r="C799" s="20" t="n">
        <x:v>518.84</x:v>
      </x:c>
      <x:c r="D799" s="21" t="n">
        <x:v>4000867</x:v>
      </x:c>
      <x:c r="E799" s="21" t="n">
        <x:v>74230310</x:v>
      </x:c>
      <x:c r="F799" s="11" t="str">
        <x:v>Nasdaq public historical table</x:v>
      </x:c>
    </x:row>
    <x:row r="800">
      <x:c r="A800" s="14" t="n">
        <x:v>45385</x:v>
      </x:c>
      <x:c r="B800" s="20" t="n">
        <x:v>159.34</x:v>
      </x:c>
      <x:c r="C800" s="20" t="n">
        <x:v>519.41</x:v>
      </x:c>
      <x:c r="D800" s="21" t="n">
        <x:v>2288078</x:v>
      </x:c>
      <x:c r="E800" s="21" t="n">
        <x:v>59155760</x:v>
      </x:c>
      <x:c r="F800" s="11" t="str">
        <x:v>Nasdaq public historical table</x:v>
      </x:c>
    </x:row>
    <x:row r="801">
      <x:c r="A801" s="14" t="n">
        <x:v>45386</x:v>
      </x:c>
      <x:c r="B801" s="20" t="n">
        <x:v>158.84</x:v>
      </x:c>
      <x:c r="C801" s="20" t="n">
        <x:v>513.07</x:v>
      </x:c>
      <x:c r="D801" s="21" t="n">
        <x:v>3539700</x:v>
      </x:c>
      <x:c r="E801" s="21" t="n">
        <x:v>96858070</x:v>
      </x:c>
      <x:c r="F801" s="11" t="str">
        <x:v>Nasdaq public historical table</x:v>
      </x:c>
    </x:row>
    <x:row r="802">
      <x:c r="A802" s="14" t="n">
        <x:v>45387</x:v>
      </x:c>
      <x:c r="B802" s="20" t="n">
        <x:v>161.77</x:v>
      </x:c>
      <x:c r="C802" s="20" t="n">
        <x:v>518.43</x:v>
      </x:c>
      <x:c r="D802" s="21" t="n">
        <x:v>2225889</x:v>
      </x:c>
      <x:c r="E802" s="21" t="n">
        <x:v>74546480</x:v>
      </x:c>
      <x:c r="F802" s="11" t="str">
        <x:v>Nasdaq public historical table</x:v>
      </x:c>
    </x:row>
    <x:row r="803">
      <x:c r="A803" s="14" t="n">
        <x:v>45390</x:v>
      </x:c>
      <x:c r="B803" s="20" t="n">
        <x:v>160.27</x:v>
      </x:c>
      <x:c r="C803" s="20" t="n">
        <x:v>518.72</x:v>
      </x:c>
      <x:c r="D803" s="21" t="n">
        <x:v>2299005</x:v>
      </x:c>
      <x:c r="E803" s="21" t="n">
        <x:v>48401750</x:v>
      </x:c>
      <x:c r="F803" s="11" t="str">
        <x:v>Nasdaq public historical table</x:v>
      </x:c>
    </x:row>
    <x:row r="804">
      <x:c r="A804" s="14" t="n">
        <x:v>45391</x:v>
      </x:c>
      <x:c r="B804" s="20" t="n">
        <x:v>162.66</x:v>
      </x:c>
      <x:c r="C804" s="20" t="n">
        <x:v>519.32</x:v>
      </x:c>
      <x:c r="D804" s="21" t="n">
        <x:v>2290960</x:v>
      </x:c>
      <x:c r="E804" s="21" t="n">
        <x:v>68124390</x:v>
      </x:c>
      <x:c r="F804" s="11" t="str">
        <x:v>Nasdaq public historical table</x:v>
      </x:c>
    </x:row>
    <x:row r="805">
      <x:c r="A805" s="14" t="n">
        <x:v>45392</x:v>
      </x:c>
      <x:c r="B805" s="20" t="n">
        <x:v>160.28</x:v>
      </x:c>
      <x:c r="C805" s="20" t="n">
        <x:v>514.12</x:v>
      </x:c>
      <x:c r="D805" s="21" t="n">
        <x:v>2478757</x:v>
      </x:c>
      <x:c r="E805" s="21" t="n">
        <x:v>82652810</x:v>
      </x:c>
      <x:c r="F805" s="11" t="str">
        <x:v>Nasdaq public historical table</x:v>
      </x:c>
    </x:row>
    <x:row r="806">
      <x:c r="A806" s="14" t="n">
        <x:v>45393</x:v>
      </x:c>
      <x:c r="B806" s="20" t="n">
        <x:v>165.42</x:v>
      </x:c>
      <x:c r="C806" s="20" t="n">
        <x:v>518</x:v>
      </x:c>
      <x:c r="D806" s="21" t="n">
        <x:v>3580302</x:v>
      </x:c>
      <x:c r="E806" s="21" t="n">
        <x:v>70099010</x:v>
      </x:c>
      <x:c r="F806" s="11" t="str">
        <x:v>Nasdaq public historical table</x:v>
      </x:c>
    </x:row>
    <x:row r="807">
      <x:c r="A807" s="14" t="n">
        <x:v>45394</x:v>
      </x:c>
      <x:c r="B807" s="20" t="n">
        <x:v>159.37</x:v>
      </x:c>
      <x:c r="C807" s="20" t="n">
        <x:v>510.85</x:v>
      </x:c>
      <x:c r="D807" s="21" t="n">
        <x:v>3700504</x:v>
      </x:c>
      <x:c r="E807" s="21" t="n">
        <x:v>92561090</x:v>
      </x:c>
      <x:c r="F807" s="11" t="str">
        <x:v>Nasdaq public historical table</x:v>
      </x:c>
    </x:row>
    <x:row r="808">
      <x:c r="A808" s="14" t="n">
        <x:v>45397</x:v>
      </x:c>
      <x:c r="B808" s="20" t="n">
        <x:v>155.6</x:v>
      </x:c>
      <x:c r="C808" s="20" t="n">
        <x:v>504.45</x:v>
      </x:c>
      <x:c r="D808" s="21" t="n">
        <x:v>3723317</x:v>
      </x:c>
      <x:c r="E808" s="21" t="n">
        <x:v>92101450</x:v>
      </x:c>
      <x:c r="F808" s="11" t="str">
        <x:v>Nasdaq public historical table</x:v>
      </x:c>
    </x:row>
    <x:row r="809">
      <x:c r="A809" s="14" t="n">
        <x:v>45398</x:v>
      </x:c>
      <x:c r="B809" s="20" t="n">
        <x:v>156.66</x:v>
      </x:c>
      <x:c r="C809" s="20" t="n">
        <x:v>503.53</x:v>
      </x:c>
      <x:c r="D809" s="21" t="n">
        <x:v>2728607</x:v>
      </x:c>
      <x:c r="E809" s="21" t="n">
        <x:v>73484020</x:v>
      </x:c>
      <x:c r="F809" s="11" t="str">
        <x:v>Nasdaq public historical table</x:v>
      </x:c>
    </x:row>
    <x:row r="810">
      <x:c r="A810" s="14" t="n">
        <x:v>45399</x:v>
      </x:c>
      <x:c r="B810" s="20" t="n">
        <x:v>158.37</x:v>
      </x:c>
      <x:c r="C810" s="20" t="n">
        <x:v>500.55</x:v>
      </x:c>
      <x:c r="D810" s="21" t="n">
        <x:v>3905042</x:v>
      </x:c>
      <x:c r="E810" s="21" t="n">
        <x:v>75910310</x:v>
      </x:c>
      <x:c r="F810" s="11" t="str">
        <x:v>Nasdaq public historical table</x:v>
      </x:c>
    </x:row>
    <x:row r="811">
      <x:c r="A811" s="14" t="n">
        <x:v>45400</x:v>
      </x:c>
      <x:c r="B811" s="20" t="n">
        <x:v>160.1</x:v>
      </x:c>
      <x:c r="C811" s="20" t="n">
        <x:v>499.52</x:v>
      </x:c>
      <x:c r="D811" s="21" t="n">
        <x:v>3930357</x:v>
      </x:c>
      <x:c r="E811" s="21" t="n">
        <x:v>74548090</x:v>
      </x:c>
      <x:c r="F811" s="11" t="str">
        <x:v>Nasdaq public historical table</x:v>
      </x:c>
    </x:row>
    <x:row r="812">
      <x:c r="A812" s="14" t="n">
        <x:v>45401</x:v>
      </x:c>
      <x:c r="B812" s="20" t="n">
        <x:v>155.01</x:v>
      </x:c>
      <x:c r="C812" s="20" t="n">
        <x:v>495.16</x:v>
      </x:c>
      <x:c r="D812" s="21" t="n">
        <x:v>3904759</x:v>
      </x:c>
      <x:c r="E812" s="21" t="n">
        <x:v>102212600</x:v>
      </x:c>
      <x:c r="F812" s="11" t="str">
        <x:v>Nasdaq public historical table</x:v>
      </x:c>
    </x:row>
    <x:row r="813">
      <x:c r="A813" s="14" t="n">
        <x:v>45404</x:v>
      </x:c>
      <x:c r="B813" s="20" t="n">
        <x:v>156.61</x:v>
      </x:c>
      <x:c r="C813" s="20" t="n">
        <x:v>499.72</x:v>
      </x:c>
      <x:c r="D813" s="21" t="n">
        <x:v>3029952</x:v>
      </x:c>
      <x:c r="E813" s="21" t="n">
        <x:v>67961050</x:v>
      </x:c>
      <x:c r="F813" s="11" t="str">
        <x:v>Nasdaq public historical table</x:v>
      </x:c>
    </x:row>
    <x:row r="814">
      <x:c r="A814" s="14" t="n">
        <x:v>45405</x:v>
      </x:c>
      <x:c r="B814" s="20" t="n">
        <x:v>160.95</x:v>
      </x:c>
      <x:c r="C814" s="20" t="n">
        <x:v>505.65</x:v>
      </x:c>
      <x:c r="D814" s="21" t="n">
        <x:v>3455413</x:v>
      </x:c>
      <x:c r="E814" s="21" t="n">
        <x:v>64633620</x:v>
      </x:c>
      <x:c r="F814" s="11" t="str">
        <x:v>Nasdaq public historical table</x:v>
      </x:c>
    </x:row>
    <x:row r="815">
      <x:c r="A815" s="14" t="n">
        <x:v>45406</x:v>
      </x:c>
      <x:c r="B815" s="20" t="n">
        <x:v>162.84</x:v>
      </x:c>
      <x:c r="C815" s="20" t="n">
        <x:v>505.41</x:v>
      </x:c>
      <x:c r="D815" s="21" t="n">
        <x:v>3854493</x:v>
      </x:c>
      <x:c r="E815" s="21" t="n">
        <x:v>55928080</x:v>
      </x:c>
      <x:c r="F815" s="11" t="str">
        <x:v>Nasdaq public historical table</x:v>
      </x:c>
    </x:row>
    <x:row r="816">
      <x:c r="A816" s="14" t="n">
        <x:v>45407</x:v>
      </x:c>
      <x:c r="B816" s="20" t="n">
        <x:v>163.01</x:v>
      </x:c>
      <x:c r="C816" s="20" t="n">
        <x:v>503.49</x:v>
      </x:c>
      <x:c r="D816" s="21" t="n">
        <x:v>2401828</x:v>
      </x:c>
      <x:c r="E816" s="21" t="n">
        <x:v>69122370</x:v>
      </x:c>
      <x:c r="F816" s="11" t="str">
        <x:v>Nasdaq public historical table</x:v>
      </x:c>
    </x:row>
    <x:row r="817">
      <x:c r="A817" s="14" t="n">
        <x:v>45408</x:v>
      </x:c>
      <x:c r="B817" s="20" t="n">
        <x:v>164.23</x:v>
      </x:c>
      <x:c r="C817" s="20" t="n">
        <x:v>508.26</x:v>
      </x:c>
      <x:c r="D817" s="21" t="n">
        <x:v>2821077</x:v>
      </x:c>
      <x:c r="E817" s="21" t="n">
        <x:v>64306120</x:v>
      </x:c>
      <x:c r="F817" s="11" t="str">
        <x:v>Nasdaq public historical table</x:v>
      </x:c>
    </x:row>
    <x:row r="818">
      <x:c r="A818" s="14" t="n">
        <x:v>45411</x:v>
      </x:c>
      <x:c r="B818" s="20" t="n">
        <x:v>162.25</x:v>
      </x:c>
      <x:c r="C818" s="20" t="n">
        <x:v>510.06</x:v>
      </x:c>
      <x:c r="D818" s="21" t="n">
        <x:v>2312554</x:v>
      </x:c>
      <x:c r="E818" s="21" t="n">
        <x:v>46415450</x:v>
      </x:c>
      <x:c r="F818" s="11" t="str">
        <x:v>Nasdaq public historical table</x:v>
      </x:c>
    </x:row>
    <x:row r="819">
      <x:c r="A819" s="14" t="n">
        <x:v>45412</x:v>
      </x:c>
      <x:c r="B819" s="20" t="n">
        <x:v>158.57</x:v>
      </x:c>
      <x:c r="C819" s="20" t="n">
        <x:v>501.98</x:v>
      </x:c>
      <x:c r="D819" s="21" t="n">
        <x:v>3017911</x:v>
      </x:c>
      <x:c r="E819" s="21" t="n">
        <x:v>77483570</x:v>
      </x:c>
      <x:c r="F819" s="11" t="str">
        <x:v>Nasdaq public historical table</x:v>
      </x:c>
    </x:row>
    <x:row r="820">
      <x:c r="A820" s="14" t="n">
        <x:v>45413</x:v>
      </x:c>
      <x:c r="B820" s="20" t="n">
        <x:v>156.16</x:v>
      </x:c>
      <x:c r="C820" s="20" t="n">
        <x:v>500.35</x:v>
      </x:c>
      <x:c r="D820" s="21" t="n">
        <x:v>2752108</x:v>
      </x:c>
      <x:c r="E820" s="21" t="n">
        <x:v>80242840</x:v>
      </x:c>
      <x:c r="F820" s="11" t="str">
        <x:v>Nasdaq public historical table</x:v>
      </x:c>
    </x:row>
    <x:row r="821">
      <x:c r="A821" s="14" t="n">
        <x:v>45414</x:v>
      </x:c>
      <x:c r="B821" s="20" t="n">
        <x:v>158.33</x:v>
      </x:c>
      <x:c r="C821" s="20" t="n">
        <x:v>505.03</x:v>
      </x:c>
      <x:c r="D821" s="21" t="n">
        <x:v>4778430</x:v>
      </x:c>
      <x:c r="E821" s="21" t="n">
        <x:v>62550180</x:v>
      </x:c>
      <x:c r="F821" s="11" t="str">
        <x:v>Nasdaq public historical table</x:v>
      </x:c>
    </x:row>
    <x:row r="822">
      <x:c r="A822" s="14" t="n">
        <x:v>45415</x:v>
      </x:c>
      <x:c r="B822" s="20" t="n">
        <x:v>159.71</x:v>
      </x:c>
      <x:c r="C822" s="20" t="n">
        <x:v>511.29</x:v>
      </x:c>
      <x:c r="D822" s="21" t="n">
        <x:v>4529908</x:v>
      </x:c>
      <x:c r="E822" s="21" t="n">
        <x:v>72756710</x:v>
      </x:c>
      <x:c r="F822" s="11" t="str">
        <x:v>Nasdaq public historical table</x:v>
      </x:c>
    </x:row>
    <x:row r="823">
      <x:c r="A823" s="14" t="n">
        <x:v>45418</x:v>
      </x:c>
      <x:c r="B823" s="20" t="n">
        <x:v>162</x:v>
      </x:c>
      <x:c r="C823" s="20" t="n">
        <x:v>516.57</x:v>
      </x:c>
      <x:c r="D823" s="21" t="n">
        <x:v>2912176</x:v>
      </x:c>
      <x:c r="E823" s="21" t="n">
        <x:v>47264700</x:v>
      </x:c>
      <x:c r="F823" s="11" t="str">
        <x:v>Nasdaq public historical table</x:v>
      </x:c>
    </x:row>
    <x:row r="824">
      <x:c r="A824" s="14" t="n">
        <x:v>45419</x:v>
      </x:c>
      <x:c r="B824" s="20" t="n">
        <x:v>159.81</x:v>
      </x:c>
      <x:c r="C824" s="20" t="n">
        <x:v>517.14</x:v>
      </x:c>
      <x:c r="D824" s="21" t="n">
        <x:v>2916232</x:v>
      </x:c>
      <x:c r="E824" s="21" t="n">
        <x:v>52561300</x:v>
      </x:c>
      <x:c r="F824" s="11" t="str">
        <x:v>Nasdaq public historical table</x:v>
      </x:c>
    </x:row>
    <x:row r="825">
      <x:c r="A825" s="14" t="n">
        <x:v>45420</x:v>
      </x:c>
      <x:c r="B825" s="20" t="n">
        <x:v>157.9</x:v>
      </x:c>
      <x:c r="C825" s="20" t="n">
        <x:v>517.19</x:v>
      </x:c>
      <x:c r="D825" s="21" t="n">
        <x:v>8236465</x:v>
      </x:c>
      <x:c r="E825" s="21" t="n">
        <x:v>42047210</x:v>
      </x:c>
      <x:c r="F825" s="11" t="str">
        <x:v>Nasdaq public historical table</x:v>
      </x:c>
    </x:row>
    <x:row r="826">
      <x:c r="A826" s="14" t="n">
        <x:v>45421</x:v>
      </x:c>
      <x:c r="B826" s="20" t="n">
        <x:v>147.05</x:v>
      </x:c>
      <x:c r="C826" s="20" t="n">
        <x:v>520.17</x:v>
      </x:c>
      <x:c r="D826" s="21" t="n">
        <x:v>14802560</x:v>
      </x:c>
      <x:c r="E826" s="21" t="n">
        <x:v>43643670</x:v>
      </x:c>
      <x:c r="F826" s="11" t="str">
        <x:v>Nasdaq public historical table</x:v>
      </x:c>
    </x:row>
    <x:row r="827">
      <x:c r="A827" s="14" t="n">
        <x:v>45422</x:v>
      </x:c>
      <x:c r="B827" s="20" t="n">
        <x:v>146.32</x:v>
      </x:c>
      <x:c r="C827" s="20" t="n">
        <x:v>520.84</x:v>
      </x:c>
      <x:c r="D827" s="21" t="n">
        <x:v>5524840</x:v>
      </x:c>
      <x:c r="E827" s="21" t="n">
        <x:v>52233170</x:v>
      </x:c>
      <x:c r="F827" s="11" t="str">
        <x:v>Nasdaq public historical table</x:v>
      </x:c>
    </x:row>
    <x:row r="828">
      <x:c r="A828" s="14" t="n">
        <x:v>45425</x:v>
      </x:c>
      <x:c r="B828" s="20" t="n">
        <x:v>149.13</x:v>
      </x:c>
      <x:c r="C828" s="20" t="n">
        <x:v>520.91</x:v>
      </x:c>
      <x:c r="D828" s="21" t="n">
        <x:v>5647508</x:v>
      </x:c>
      <x:c r="E828" s="21" t="n">
        <x:v>36716360</x:v>
      </x:c>
      <x:c r="F828" s="11" t="str">
        <x:v>Nasdaq public historical table</x:v>
      </x:c>
    </x:row>
    <x:row r="829">
      <x:c r="A829" s="14" t="n">
        <x:v>45426</x:v>
      </x:c>
      <x:c r="B829" s="20" t="n">
        <x:v>146.7</x:v>
      </x:c>
      <x:c r="C829" s="20" t="n">
        <x:v>523.3</x:v>
      </x:c>
      <x:c r="D829" s="21" t="n">
        <x:v>4167440</x:v>
      </x:c>
      <x:c r="E829" s="21" t="n">
        <x:v>57535870</x:v>
      </x:c>
      <x:c r="F829" s="11" t="str">
        <x:v>Nasdaq public historical table</x:v>
      </x:c>
    </x:row>
    <x:row r="830">
      <x:c r="A830" s="14" t="n">
        <x:v>45427</x:v>
      </x:c>
      <x:c r="B830" s="20" t="n">
        <x:v>145.8</x:v>
      </x:c>
      <x:c r="C830" s="20" t="n">
        <x:v>529.78</x:v>
      </x:c>
      <x:c r="D830" s="21" t="n">
        <x:v>5996014</x:v>
      </x:c>
      <x:c r="E830" s="21" t="n">
        <x:v>59504900</x:v>
      </x:c>
      <x:c r="F830" s="11" t="str">
        <x:v>Nasdaq public historical table</x:v>
      </x:c>
    </x:row>
    <x:row r="831">
      <x:c r="A831" s="14" t="n">
        <x:v>45428</x:v>
      </x:c>
      <x:c r="B831" s="20" t="n">
        <x:v>147.19</x:v>
      </x:c>
      <x:c r="C831" s="20" t="n">
        <x:v>528.69</x:v>
      </x:c>
      <x:c r="D831" s="21" t="n">
        <x:v>3827765</x:v>
      </x:c>
      <x:c r="E831" s="21" t="n">
        <x:v>50244830</x:v>
      </x:c>
      <x:c r="F831" s="11" t="str">
        <x:v>Nasdaq public historical table</x:v>
      </x:c>
    </x:row>
    <x:row r="832">
      <x:c r="A832" s="14" t="n">
        <x:v>45429</x:v>
      </x:c>
      <x:c r="B832" s="20" t="n">
        <x:v>145.66</x:v>
      </x:c>
      <x:c r="C832" s="20" t="n">
        <x:v>529.45</x:v>
      </x:c>
      <x:c r="D832" s="21" t="n">
        <x:v>3279035</x:v>
      </x:c>
      <x:c r="E832" s="21" t="n">
        <x:v>59187590</x:v>
      </x:c>
      <x:c r="F832" s="11" t="str">
        <x:v>Nasdaq public historical table</x:v>
      </x:c>
    </x:row>
    <x:row r="833">
      <x:c r="A833" s="14" t="n">
        <x:v>45432</x:v>
      </x:c>
      <x:c r="B833" s="20" t="n">
        <x:v>146.37</x:v>
      </x:c>
      <x:c r="C833" s="20" t="n">
        <x:v>530.06</x:v>
      </x:c>
      <x:c r="D833" s="21" t="n">
        <x:v>3747439</x:v>
      </x:c>
      <x:c r="E833" s="21" t="n">
        <x:v>37764210</x:v>
      </x:c>
      <x:c r="F833" s="11" t="str">
        <x:v>Nasdaq public historical table</x:v>
      </x:c>
    </x:row>
    <x:row r="834">
      <x:c r="A834" s="14" t="n">
        <x:v>45433</x:v>
      </x:c>
      <x:c r="B834" s="20" t="n">
        <x:v>144.1</x:v>
      </x:c>
      <x:c r="C834" s="20" t="n">
        <x:v>531.36</x:v>
      </x:c>
      <x:c r="D834" s="21" t="n">
        <x:v>4484983</x:v>
      </x:c>
      <x:c r="E834" s="21" t="n">
        <x:v>33437000</x:v>
      </x:c>
      <x:c r="F834" s="11" t="str">
        <x:v>Nasdaq public historical table</x:v>
      </x:c>
    </x:row>
    <x:row r="835">
      <x:c r="A835" s="14" t="n">
        <x:v>45434</x:v>
      </x:c>
      <x:c r="B835" s="20" t="n">
        <x:v>142.71</x:v>
      </x:c>
      <x:c r="C835" s="20" t="n">
        <x:v>529.83</x:v>
      </x:c>
      <x:c r="D835" s="21" t="n">
        <x:v>3190821</x:v>
      </x:c>
      <x:c r="E835" s="21" t="n">
        <x:v>48389970</x:v>
      </x:c>
      <x:c r="F835" s="11" t="str">
        <x:v>Nasdaq public historical table</x:v>
      </x:c>
    </x:row>
    <x:row r="836">
      <x:c r="A836" s="14" t="n">
        <x:v>45435</x:v>
      </x:c>
      <x:c r="B836" s="20" t="n">
        <x:v>141.04</x:v>
      </x:c>
      <x:c r="C836" s="20" t="n">
        <x:v>525.96</x:v>
      </x:c>
      <x:c r="D836" s="21" t="n">
        <x:v>3900851</x:v>
      </x:c>
      <x:c r="E836" s="21" t="n">
        <x:v>57211200</x:v>
      </x:c>
      <x:c r="F836" s="11" t="str">
        <x:v>Nasdaq public historical table</x:v>
      </x:c>
    </x:row>
    <x:row r="837">
      <x:c r="A837" s="14" t="n">
        <x:v>45436</x:v>
      </x:c>
      <x:c r="B837" s="20" t="n">
        <x:v>144.47</x:v>
      </x:c>
      <x:c r="C837" s="20" t="n">
        <x:v>529.44</x:v>
      </x:c>
      <x:c r="D837" s="21" t="n">
        <x:v>4497760</x:v>
      </x:c>
      <x:c r="E837" s="21" t="n">
        <x:v>41291080</x:v>
      </x:c>
      <x:c r="F837" s="11" t="str">
        <x:v>Nasdaq public historical table</x:v>
      </x:c>
    </x:row>
    <x:row r="838">
      <x:c r="A838" s="14" t="n">
        <x:v>45440</x:v>
      </x:c>
      <x:c r="B838" s="20" t="n">
        <x:v>147.01</x:v>
      </x:c>
      <x:c r="C838" s="20" t="n">
        <x:v>529.81</x:v>
      </x:c>
      <x:c r="D838" s="21" t="n">
        <x:v>5741611</x:v>
      </x:c>
      <x:c r="E838" s="21" t="n">
        <x:v>36269600</x:v>
      </x:c>
      <x:c r="F838" s="11" t="str">
        <x:v>Nasdaq public historical table</x:v>
      </x:c>
    </x:row>
    <x:row r="839">
      <x:c r="A839" s="14" t="n">
        <x:v>45441</x:v>
      </x:c>
      <x:c r="B839" s="20" t="n">
        <x:v>146.61</x:v>
      </x:c>
      <x:c r="C839" s="20" t="n">
        <x:v>526.1</x:v>
      </x:c>
      <x:c r="D839" s="21" t="n">
        <x:v>2570900</x:v>
      </x:c>
      <x:c r="E839" s="21" t="n">
        <x:v>45190320</x:v>
      </x:c>
      <x:c r="F839" s="11" t="str">
        <x:v>Nasdaq public historical table</x:v>
      </x:c>
    </x:row>
    <x:row r="840">
      <x:c r="A840" s="14" t="n">
        <x:v>45442</x:v>
      </x:c>
      <x:c r="B840" s="20" t="n">
        <x:v>145.52</x:v>
      </x:c>
      <x:c r="C840" s="20" t="n">
        <x:v>522.61</x:v>
      </x:c>
      <x:c r="D840" s="21" t="n">
        <x:v>3576681</x:v>
      </x:c>
      <x:c r="E840" s="21" t="n">
        <x:v>46468510</x:v>
      </x:c>
      <x:c r="F840" s="11" t="str">
        <x:v>Nasdaq public historical table</x:v>
      </x:c>
    </x:row>
    <x:row r="841">
      <x:c r="A841" s="14" t="n">
        <x:v>45443</x:v>
      </x:c>
      <x:c r="B841" s="20" t="n">
        <x:v>144.93</x:v>
      </x:c>
      <x:c r="C841" s="20" t="n">
        <x:v>527.37</x:v>
      </x:c>
      <x:c r="D841" s="21" t="n">
        <x:v>3778585</x:v>
      </x:c>
      <x:c r="E841" s="21" t="n">
        <x:v>90785760</x:v>
      </x:c>
      <x:c r="F841" s="11" t="str">
        <x:v>Nasdaq public historical table</x:v>
      </x:c>
    </x:row>
    <x:row r="842">
      <x:c r="A842" s="14" t="n">
        <x:v>45446</x:v>
      </x:c>
      <x:c r="B842" s="20" t="n">
        <x:v>146.25</x:v>
      </x:c>
      <x:c r="C842" s="20" t="n">
        <x:v>527.8</x:v>
      </x:c>
      <x:c r="D842" s="21" t="n">
        <x:v>3843406</x:v>
      </x:c>
      <x:c r="E842" s="21" t="n">
        <x:v>46835700</x:v>
      </x:c>
      <x:c r="F842" s="11" t="str">
        <x:v>Nasdaq public historical table</x:v>
      </x:c>
    </x:row>
    <x:row r="843">
      <x:c r="A843" s="14" t="n">
        <x:v>45447</x:v>
      </x:c>
      <x:c r="B843" s="20" t="n">
        <x:v>147.08</x:v>
      </x:c>
      <x:c r="C843" s="20" t="n">
        <x:v>528.39</x:v>
      </x:c>
      <x:c r="D843" s="21" t="n">
        <x:v>3048535</x:v>
      </x:c>
      <x:c r="E843" s="21" t="n">
        <x:v>34632660</x:v>
      </x:c>
      <x:c r="F843" s="11" t="str">
        <x:v>Nasdaq public historical table</x:v>
      </x:c>
    </x:row>
    <x:row r="844">
      <x:c r="A844" s="14" t="n">
        <x:v>45448</x:v>
      </x:c>
      <x:c r="B844" s="20" t="n">
        <x:v>145.78</x:v>
      </x:c>
      <x:c r="C844" s="20" t="n">
        <x:v>534.67</x:v>
      </x:c>
      <x:c r="D844" s="21" t="n">
        <x:v>3121512</x:v>
      </x:c>
      <x:c r="E844" s="21" t="n">
        <x:v>47610370</x:v>
      </x:c>
      <x:c r="F844" s="11" t="str">
        <x:v>Nasdaq public historical table</x:v>
      </x:c>
    </x:row>
    <x:row r="845">
      <x:c r="A845" s="14" t="n">
        <x:v>45449</x:v>
      </x:c>
      <x:c r="B845" s="20" t="n">
        <x:v>147</x:v>
      </x:c>
      <x:c r="C845" s="20" t="n">
        <x:v>534.66</x:v>
      </x:c>
      <x:c r="D845" s="21" t="n">
        <x:v>3463102</x:v>
      </x:c>
      <x:c r="E845" s="21" t="n">
        <x:v>30808530</x:v>
      </x:c>
      <x:c r="F845" s="11" t="str">
        <x:v>Nasdaq public historical table</x:v>
      </x:c>
    </x:row>
    <x:row r="846">
      <x:c r="A846" s="14" t="n">
        <x:v>45450</x:v>
      </x:c>
      <x:c r="B846" s="20" t="n">
        <x:v>146.66</x:v>
      </x:c>
      <x:c r="C846" s="20" t="n">
        <x:v>534.01</x:v>
      </x:c>
      <x:c r="D846" s="21" t="n">
        <x:v>2595555</x:v>
      </x:c>
      <x:c r="E846" s="21" t="n">
        <x:v>43224530</x:v>
      </x:c>
      <x:c r="F846" s="11" t="str">
        <x:v>Nasdaq public historical table</x:v>
      </x:c>
    </x:row>
    <x:row r="847">
      <x:c r="A847" s="14" t="n">
        <x:v>45453</x:v>
      </x:c>
      <x:c r="B847" s="20" t="n">
        <x:v>148.07</x:v>
      </x:c>
      <x:c r="C847" s="20" t="n">
        <x:v>535.66</x:v>
      </x:c>
      <x:c r="D847" s="21" t="n">
        <x:v>3080317</x:v>
      </x:c>
      <x:c r="E847" s="21" t="n">
        <x:v>35729250</x:v>
      </x:c>
      <x:c r="F847" s="11" t="str">
        <x:v>Nasdaq public historical table</x:v>
      </x:c>
    </x:row>
    <x:row r="848">
      <x:c r="A848" s="14" t="n">
        <x:v>45454</x:v>
      </x:c>
      <x:c r="B848" s="20" t="n">
        <x:v>147.75</x:v>
      </x:c>
      <x:c r="C848" s="20" t="n">
        <x:v>536.95</x:v>
      </x:c>
      <x:c r="D848" s="21" t="n">
        <x:v>3285755</x:v>
      </x:c>
      <x:c r="E848" s="21" t="n">
        <x:v>36383410</x:v>
      </x:c>
      <x:c r="F848" s="11" t="str">
        <x:v>Nasdaq public historical table</x:v>
      </x:c>
    </x:row>
    <x:row r="849">
      <x:c r="A849" s="14" t="n">
        <x:v>45455</x:v>
      </x:c>
      <x:c r="B849" s="20" t="n">
        <x:v>149.32</x:v>
      </x:c>
      <x:c r="C849" s="20" t="n">
        <x:v>541.36</x:v>
      </x:c>
      <x:c r="D849" s="21" t="n">
        <x:v>3579847</x:v>
      </x:c>
      <x:c r="E849" s="21" t="n">
        <x:v>63251310</x:v>
      </x:c>
      <x:c r="F849" s="11" t="str">
        <x:v>Nasdaq public historical table</x:v>
      </x:c>
    </x:row>
    <x:row r="850">
      <x:c r="A850" s="14" t="n">
        <x:v>45456</x:v>
      </x:c>
      <x:c r="B850" s="20" t="n">
        <x:v>146.1</x:v>
      </x:c>
      <x:c r="C850" s="20" t="n">
        <x:v>542.45</x:v>
      </x:c>
      <x:c r="D850" s="21" t="n">
        <x:v>4450397</x:v>
      </x:c>
      <x:c r="E850" s="21" t="n">
        <x:v>44760950</x:v>
      </x:c>
      <x:c r="F850" s="11" t="str">
        <x:v>Nasdaq public historical table</x:v>
      </x:c>
    </x:row>
    <x:row r="851">
      <x:c r="A851" s="14" t="n">
        <x:v>45457</x:v>
      </x:c>
      <x:c r="B851" s="20" t="n">
        <x:v>145.97</x:v>
      </x:c>
      <x:c r="C851" s="20" t="n">
        <x:v>542.78</x:v>
      </x:c>
      <x:c r="D851" s="21" t="n">
        <x:v>2754612</x:v>
      </x:c>
      <x:c r="E851" s="21" t="n">
        <x:v>40089900</x:v>
      </x:c>
      <x:c r="F851" s="11" t="str">
        <x:v>Nasdaq public historical table</x:v>
      </x:c>
    </x:row>
    <x:row r="852">
      <x:c r="A852" s="14" t="n">
        <x:v>45460</x:v>
      </x:c>
      <x:c r="B852" s="20" t="n">
        <x:v>149.5</x:v>
      </x:c>
      <x:c r="C852" s="20" t="n">
        <x:v>547.1</x:v>
      </x:c>
      <x:c r="D852" s="21" t="n">
        <x:v>5158771</x:v>
      </x:c>
      <x:c r="E852" s="21" t="n">
        <x:v>55839460</x:v>
      </x:c>
      <x:c r="F852" s="11" t="str">
        <x:v>Nasdaq public historical table</x:v>
      </x:c>
    </x:row>
    <x:row r="853">
      <x:c r="A853" s="14" t="n">
        <x:v>45461</x:v>
      </x:c>
      <x:c r="B853" s="20" t="n">
        <x:v>147.29</x:v>
      </x:c>
      <x:c r="C853" s="20" t="n">
        <x:v>548.49</x:v>
      </x:c>
      <x:c r="D853" s="21" t="n">
        <x:v>3316730</x:v>
      </x:c>
      <x:c r="E853" s="21" t="n">
        <x:v>41376420</x:v>
      </x:c>
      <x:c r="F853" s="11" t="str">
        <x:v>Nasdaq public historical table</x:v>
      </x:c>
    </x:row>
    <x:row r="854">
      <x:c r="A854" s="14" t="n">
        <x:v>45463</x:v>
      </x:c>
      <x:c r="B854" s="20" t="n">
        <x:v>147.88</x:v>
      </x:c>
      <x:c r="C854" s="20" t="n">
        <x:v>547</x:v>
      </x:c>
      <x:c r="D854" s="21" t="n">
        <x:v>2874248</x:v>
      </x:c>
      <x:c r="E854" s="21" t="n">
        <x:v>70328230</x:v>
      </x:c>
      <x:c r="F854" s="11" t="str">
        <x:v>Nasdaq public historical table</x:v>
      </x:c>
    </x:row>
    <x:row r="855">
      <x:c r="A855" s="14" t="n">
        <x:v>45464</x:v>
      </x:c>
      <x:c r="B855" s="20" t="n">
        <x:v>149.57</x:v>
      </x:c>
      <x:c r="C855" s="20" t="n">
        <x:v>544.51</x:v>
      </x:c>
      <x:c r="D855" s="21" t="n">
        <x:v>7648402</x:v>
      </x:c>
      <x:c r="E855" s="21" t="n">
        <x:v>64513860</x:v>
      </x:c>
      <x:c r="F855" s="11" t="str">
        <x:v>Nasdaq public historical table</x:v>
      </x:c>
    </x:row>
    <x:row r="856">
      <x:c r="A856" s="14" t="n">
        <x:v>45467</x:v>
      </x:c>
      <x:c r="B856" s="20" t="n">
        <x:v>148.39</x:v>
      </x:c>
      <x:c r="C856" s="20" t="n">
        <x:v>542.74</x:v>
      </x:c>
      <x:c r="D856" s="21" t="n">
        <x:v>4530892</x:v>
      </x:c>
      <x:c r="E856" s="21" t="n">
        <x:v>45528650</x:v>
      </x:c>
      <x:c r="F856" s="11" t="str">
        <x:v>Nasdaq public historical table</x:v>
      </x:c>
    </x:row>
    <x:row r="857">
      <x:c r="A857" s="14" t="n">
        <x:v>45468</x:v>
      </x:c>
      <x:c r="B857" s="20" t="n">
        <x:v>150.91</x:v>
      </x:c>
      <x:c r="C857" s="20" t="n">
        <x:v>544.83</x:v>
      </x:c>
      <x:c r="D857" s="21" t="n">
        <x:v>5008296</x:v>
      </x:c>
      <x:c r="E857" s="21" t="n">
        <x:v>38273350</x:v>
      </x:c>
      <x:c r="F857" s="11" t="str">
        <x:v>Nasdaq public historical table</x:v>
      </x:c>
    </x:row>
    <x:row r="858">
      <x:c r="A858" s="14" t="n">
        <x:v>45469</x:v>
      </x:c>
      <x:c r="B858" s="20" t="n">
        <x:v>150</x:v>
      </x:c>
      <x:c r="C858" s="20" t="n">
        <x:v>545.51</x:v>
      </x:c>
      <x:c r="D858" s="21" t="n">
        <x:v>3797877</x:v>
      </x:c>
      <x:c r="E858" s="21" t="n">
        <x:v>38550640</x:v>
      </x:c>
      <x:c r="F858" s="11" t="str">
        <x:v>Nasdaq public historical table</x:v>
      </x:c>
    </x:row>
    <x:row r="859">
      <x:c r="A859" s="14" t="n">
        <x:v>45470</x:v>
      </x:c>
      <x:c r="B859" s="20" t="n">
        <x:v>151.61</x:v>
      </x:c>
      <x:c r="C859" s="20" t="n">
        <x:v>546.37</x:v>
      </x:c>
      <x:c r="D859" s="21" t="n">
        <x:v>3588639</x:v>
      </x:c>
      <x:c r="E859" s="21" t="n">
        <x:v>35041480</x:v>
      </x:c>
      <x:c r="F859" s="11" t="str">
        <x:v>Nasdaq public historical table</x:v>
      </x:c>
    </x:row>
    <x:row r="860">
      <x:c r="A860" s="14" t="n">
        <x:v>45471</x:v>
      </x:c>
      <x:c r="B860" s="20" t="n">
        <x:v>151.63</x:v>
      </x:c>
      <x:c r="C860" s="20" t="n">
        <x:v>544.22</x:v>
      </x:c>
      <x:c r="D860" s="21" t="n">
        <x:v>3842498</x:v>
      </x:c>
      <x:c r="E860" s="21" t="n">
        <x:v>76144540</x:v>
      </x:c>
      <x:c r="F860" s="11" t="str">
        <x:v>Nasdaq public historical table</x:v>
      </x:c>
    </x:row>
    <x:row r="861">
      <x:c r="A861" s="14" t="n">
        <x:v>45474</x:v>
      </x:c>
      <x:c r="B861" s="20" t="n">
        <x:v>151.63</x:v>
      </x:c>
      <x:c r="C861" s="20" t="n">
        <x:v>545.34</x:v>
      </x:c>
      <x:c r="D861" s="21" t="n">
        <x:v>2904962</x:v>
      </x:c>
      <x:c r="E861" s="21" t="n">
        <x:v>40297810</x:v>
      </x:c>
      <x:c r="F861" s="11" t="str">
        <x:v>Nasdaq public historical table</x:v>
      </x:c>
    </x:row>
    <x:row r="862">
      <x:c r="A862" s="14" t="n">
        <x:v>45475</x:v>
      </x:c>
      <x:c r="B862" s="20" t="n">
        <x:v>154.34</x:v>
      </x:c>
      <x:c r="C862" s="20" t="n">
        <x:v>549.01</x:v>
      </x:c>
      <x:c r="D862" s="21" t="n">
        <x:v>3526073</x:v>
      </x:c>
      <x:c r="E862" s="21" t="n">
        <x:v>40434790</x:v>
      </x:c>
      <x:c r="F862" s="11" t="str">
        <x:v>Nasdaq public historical table</x:v>
      </x:c>
    </x:row>
    <x:row r="863">
      <x:c r="A863" s="14" t="n">
        <x:v>45476</x:v>
      </x:c>
      <x:c r="B863" s="20" t="n">
        <x:v>152.73</x:v>
      </x:c>
      <x:c r="C863" s="20" t="n">
        <x:v>551.46</x:v>
      </x:c>
      <x:c r="D863" s="21" t="n">
        <x:v>1725631</x:v>
      </x:c>
      <x:c r="E863" s="21" t="n">
        <x:v>32789910</x:v>
      </x:c>
      <x:c r="F863" s="11" t="str">
        <x:v>Nasdaq public historical table</x:v>
      </x:c>
    </x:row>
    <x:row r="864">
      <x:c r="A864" s="14" t="n">
        <x:v>45478</x:v>
      </x:c>
      <x:c r="B864" s="20" t="n">
        <x:v>152.5</x:v>
      </x:c>
      <x:c r="C864" s="20" t="n">
        <x:v>554.64</x:v>
      </x:c>
      <x:c r="D864" s="21" t="n">
        <x:v>3836132</x:v>
      </x:c>
      <x:c r="E864" s="21" t="n">
        <x:v>41488390</x:v>
      </x:c>
      <x:c r="F864" s="11" t="str">
        <x:v>Nasdaq public historical table</x:v>
      </x:c>
    </x:row>
    <x:row r="865">
      <x:c r="A865" s="14" t="n">
        <x:v>45481</x:v>
      </x:c>
      <x:c r="B865" s="20" t="n">
        <x:v>151.96</x:v>
      </x:c>
      <x:c r="C865" s="20" t="n">
        <x:v>555.28</x:v>
      </x:c>
      <x:c r="D865" s="21" t="n">
        <x:v>3228334</x:v>
      </x:c>
      <x:c r="E865" s="21" t="n">
        <x:v>36110450</x:v>
      </x:c>
      <x:c r="F865" s="11" t="str">
        <x:v>Nasdaq public historical table</x:v>
      </x:c>
    </x:row>
    <x:row r="866">
      <x:c r="A866" s="14" t="n">
        <x:v>45482</x:v>
      </x:c>
      <x:c r="B866" s="20" t="n">
        <x:v>152.45</x:v>
      </x:c>
      <x:c r="C866" s="20" t="n">
        <x:v>555.82</x:v>
      </x:c>
      <x:c r="D866" s="21" t="n">
        <x:v>4329182</x:v>
      </x:c>
      <x:c r="E866" s="21" t="n">
        <x:v>27314130</x:v>
      </x:c>
      <x:c r="F866" s="11" t="str">
        <x:v>Nasdaq public historical table</x:v>
      </x:c>
    </x:row>
    <x:row r="867">
      <x:c r="A867" s="14" t="n">
        <x:v>45483</x:v>
      </x:c>
      <x:c r="B867" s="20" t="n">
        <x:v>151.84</x:v>
      </x:c>
      <x:c r="C867" s="20" t="n">
        <x:v>561.32</x:v>
      </x:c>
      <x:c r="D867" s="21" t="n">
        <x:v>3263527</x:v>
      </x:c>
      <x:c r="E867" s="21" t="n">
        <x:v>38701220</x:v>
      </x:c>
      <x:c r="F867" s="11" t="str">
        <x:v>Nasdaq public historical table</x:v>
      </x:c>
    </x:row>
    <x:row r="868">
      <x:c r="A868" s="14" t="n">
        <x:v>45484</x:v>
      </x:c>
      <x:c r="B868" s="20" t="n">
        <x:v>146</x:v>
      </x:c>
      <x:c r="C868" s="20" t="n">
        <x:v>556.48</x:v>
      </x:c>
      <x:c r="D868" s="21" t="n">
        <x:v>6289510</x:v>
      </x:c>
      <x:c r="E868" s="21" t="n">
        <x:v>53054180</x:v>
      </x:c>
      <x:c r="F868" s="11" t="str">
        <x:v>Nasdaq public historical table</x:v>
      </x:c>
    </x:row>
    <x:row r="869">
      <x:c r="A869" s="14" t="n">
        <x:v>45485</x:v>
      </x:c>
      <x:c r="B869" s="20" t="n">
        <x:v>146.78</x:v>
      </x:c>
      <x:c r="C869" s="20" t="n">
        <x:v>559.99</x:v>
      </x:c>
      <x:c r="D869" s="21" t="n">
        <x:v>2923457</x:v>
      </x:c>
      <x:c r="E869" s="21" t="n">
        <x:v>53084410</x:v>
      </x:c>
      <x:c r="F869" s="11" t="str">
        <x:v>Nasdaq public historical table</x:v>
      </x:c>
    </x:row>
    <x:row r="870">
      <x:c r="A870" s="14" t="n">
        <x:v>45488</x:v>
      </x:c>
      <x:c r="B870" s="20" t="n">
        <x:v>147.22</x:v>
      </x:c>
      <x:c r="C870" s="20" t="n">
        <x:v>561.53</x:v>
      </x:c>
      <x:c r="D870" s="21" t="n">
        <x:v>3546065</x:v>
      </x:c>
      <x:c r="E870" s="21" t="n">
        <x:v>40584290</x:v>
      </x:c>
      <x:c r="F870" s="11" t="str">
        <x:v>Nasdaq public historical table</x:v>
      </x:c>
    </x:row>
    <x:row r="871">
      <x:c r="A871" s="14" t="n">
        <x:v>45489</x:v>
      </x:c>
      <x:c r="B871" s="20" t="n">
        <x:v>151.26</x:v>
      </x:c>
      <x:c r="C871" s="20" t="n">
        <x:v>564.86</x:v>
      </x:c>
      <x:c r="D871" s="21" t="n">
        <x:v>4079268</x:v>
      </x:c>
      <x:c r="E871" s="21" t="n">
        <x:v>36475260</x:v>
      </x:c>
      <x:c r="F871" s="11" t="str">
        <x:v>Nasdaq public historical table</x:v>
      </x:c>
    </x:row>
    <x:row r="872">
      <x:c r="A872" s="14" t="n">
        <x:v>45490</x:v>
      </x:c>
      <x:c r="B872" s="20" t="n">
        <x:v>148</x:v>
      </x:c>
      <x:c r="C872" s="20" t="n">
        <x:v>556.94</x:v>
      </x:c>
      <x:c r="D872" s="21" t="n">
        <x:v>3242315</x:v>
      </x:c>
      <x:c r="E872" s="21" t="n">
        <x:v>57118960</x:v>
      </x:c>
      <x:c r="F872" s="11" t="str">
        <x:v>Nasdaq public historical table</x:v>
      </x:c>
    </x:row>
    <x:row r="873">
      <x:c r="A873" s="14" t="n">
        <x:v>45491</x:v>
      </x:c>
      <x:c r="B873" s="20" t="n">
        <x:v>146.88</x:v>
      </x:c>
      <x:c r="C873" s="20" t="n">
        <x:v>552.66</x:v>
      </x:c>
      <x:c r="D873" s="21" t="n">
        <x:v>3593705</x:v>
      </x:c>
      <x:c r="E873" s="21" t="n">
        <x:v>56270390</x:v>
      </x:c>
      <x:c r="F873" s="11" t="str">
        <x:v>Nasdaq public historical table</x:v>
      </x:c>
    </x:row>
    <x:row r="874">
      <x:c r="A874" s="14" t="n">
        <x:v>45492</x:v>
      </x:c>
      <x:c r="B874" s="20" t="n">
        <x:v>147.99</x:v>
      </x:c>
      <x:c r="C874" s="20" t="n">
        <x:v>548.99</x:v>
      </x:c>
      <x:c r="D874" s="21" t="n">
        <x:v>3131618</x:v>
      </x:c>
      <x:c r="E874" s="21" t="n">
        <x:v>65509080</x:v>
      </x:c>
      <x:c r="F874" s="11" t="str">
        <x:v>Nasdaq public historical table</x:v>
      </x:c>
    </x:row>
    <x:row r="875">
      <x:c r="A875" s="14" t="n">
        <x:v>45495</x:v>
      </x:c>
      <x:c r="B875" s="20" t="n">
        <x:v>150.18</x:v>
      </x:c>
      <x:c r="C875" s="20" t="n">
        <x:v>554.65</x:v>
      </x:c>
      <x:c r="D875" s="21" t="n">
        <x:v>3672064</x:v>
      </x:c>
      <x:c r="E875" s="21" t="n">
        <x:v>43346720</x:v>
      </x:c>
      <x:c r="F875" s="11" t="str">
        <x:v>Nasdaq public historical table</x:v>
      </x:c>
    </x:row>
    <x:row r="876">
      <x:c r="A876" s="14" t="n">
        <x:v>45496</x:v>
      </x:c>
      <x:c r="B876" s="20" t="n">
        <x:v>148.75</x:v>
      </x:c>
      <x:c r="C876" s="20" t="n">
        <x:v>553.78</x:v>
      </x:c>
      <x:c r="D876" s="21" t="n">
        <x:v>2676905</x:v>
      </x:c>
      <x:c r="E876" s="21" t="n">
        <x:v>34439560</x:v>
      </x:c>
      <x:c r="F876" s="11" t="str">
        <x:v>Nasdaq public historical table</x:v>
      </x:c>
    </x:row>
    <x:row r="877">
      <x:c r="A877" s="14" t="n">
        <x:v>45497</x:v>
      </x:c>
      <x:c r="B877" s="20" t="n">
        <x:v>144.23</x:v>
      </x:c>
      <x:c r="C877" s="20" t="n">
        <x:v>541.23</x:v>
      </x:c>
      <x:c r="D877" s="21" t="n">
        <x:v>5461901</x:v>
      </x:c>
      <x:c r="E877" s="21" t="n">
        <x:v>74515270</x:v>
      </x:c>
      <x:c r="F877" s="11" t="str">
        <x:v>Nasdaq public historical table</x:v>
      </x:c>
    </x:row>
    <x:row r="878">
      <x:c r="A878" s="14" t="n">
        <x:v>45498</x:v>
      </x:c>
      <x:c r="B878" s="20" t="n">
        <x:v>140.03</x:v>
      </x:c>
      <x:c r="C878" s="20" t="n">
        <x:v>538.41</x:v>
      </x:c>
      <x:c r="D878" s="21" t="n">
        <x:v>5626549</x:v>
      </x:c>
      <x:c r="E878" s="21" t="n">
        <x:v>61158290</x:v>
      </x:c>
      <x:c r="F878" s="11" t="str">
        <x:v>Nasdaq public historical table</x:v>
      </x:c>
    </x:row>
    <x:row r="879">
      <x:c r="A879" s="14" t="n">
        <x:v>45499</x:v>
      </x:c>
      <x:c r="B879" s="20" t="n">
        <x:v>140.1</x:v>
      </x:c>
      <x:c r="C879" s="20" t="n">
        <x:v>544.44</x:v>
      </x:c>
      <x:c r="D879" s="21" t="n">
        <x:v>5101418</x:v>
      </x:c>
      <x:c r="E879" s="21" t="n">
        <x:v>53763790</x:v>
      </x:c>
      <x:c r="F879" s="11" t="str">
        <x:v>Nasdaq public historical table</x:v>
      </x:c>
    </x:row>
    <x:row r="880">
      <x:c r="A880" s="14" t="n">
        <x:v>45502</x:v>
      </x:c>
      <x:c r="B880" s="20" t="n">
        <x:v>140.29</x:v>
      </x:c>
      <x:c r="C880" s="20" t="n">
        <x:v>544.76</x:v>
      </x:c>
      <x:c r="D880" s="21" t="n">
        <x:v>2723157</x:v>
      </x:c>
      <x:c r="E880" s="21" t="n">
        <x:v>39515820</x:v>
      </x:c>
      <x:c r="F880" s="11" t="str">
        <x:v>Nasdaq public historical table</x:v>
      </x:c>
    </x:row>
    <x:row r="881">
      <x:c r="A881" s="14" t="n">
        <x:v>45503</x:v>
      </x:c>
      <x:c r="B881" s="20" t="n">
        <x:v>138.99</x:v>
      </x:c>
      <x:c r="C881" s="20" t="n">
        <x:v>542</x:v>
      </x:c>
      <x:c r="D881" s="21" t="n">
        <x:v>2996153</x:v>
      </x:c>
      <x:c r="E881" s="21" t="n">
        <x:v>46853630</x:v>
      </x:c>
      <x:c r="F881" s="11" t="str">
        <x:v>Nasdaq public historical table</x:v>
      </x:c>
    </x:row>
    <x:row r="882">
      <x:c r="A882" s="14" t="n">
        <x:v>45504</x:v>
      </x:c>
      <x:c r="B882" s="20" t="n">
        <x:v>139.56</x:v>
      </x:c>
      <x:c r="C882" s="20" t="n">
        <x:v>550.81</x:v>
      </x:c>
      <x:c r="D882" s="21" t="n">
        <x:v>3331392</x:v>
      </x:c>
      <x:c r="E882" s="21" t="n">
        <x:v>65663390</x:v>
      </x:c>
      <x:c r="F882" s="11" t="str">
        <x:v>Nasdaq public historical table</x:v>
      </x:c>
    </x:row>
    <x:row r="883">
      <x:c r="A883" s="14" t="n">
        <x:v>45505</x:v>
      </x:c>
      <x:c r="B883" s="20" t="n">
        <x:v>135.09</x:v>
      </x:c>
      <x:c r="C883" s="20" t="n">
        <x:v>543.01</x:v>
      </x:c>
      <x:c r="D883" s="21" t="n">
        <x:v>5166851</x:v>
      </x:c>
      <x:c r="E883" s="21" t="n">
        <x:v>76428730</x:v>
      </x:c>
      <x:c r="F883" s="11" t="str">
        <x:v>Nasdaq public historical table</x:v>
      </x:c>
    </x:row>
    <x:row r="884">
      <x:c r="A884" s="14" t="n">
        <x:v>45506</x:v>
      </x:c>
      <x:c r="B884" s="20" t="n">
        <x:v>128.23</x:v>
      </x:c>
      <x:c r="C884" s="20" t="n">
        <x:v>532.9</x:v>
      </x:c>
      <x:c r="D884" s="21" t="n">
        <x:v>7745494</x:v>
      </x:c>
      <x:c r="E884" s="21" t="n">
        <x:v>82789070</x:v>
      </x:c>
      <x:c r="F884" s="11" t="str">
        <x:v>Nasdaq public historical table</x:v>
      </x:c>
    </x:row>
    <x:row r="885">
      <x:c r="A885" s="14" t="n">
        <x:v>45509</x:v>
      </x:c>
      <x:c r="B885" s="20" t="n">
        <x:v>125.31</x:v>
      </x:c>
      <x:c r="C885" s="20" t="n">
        <x:v>517.38</x:v>
      </x:c>
      <x:c r="D885" s="21" t="n">
        <x:v>7521889</x:v>
      </x:c>
      <x:c r="E885" s="21" t="n">
        <x:v>146267400</x:v>
      </x:c>
      <x:c r="F885" s="11" t="str">
        <x:v>Nasdaq public historical table</x:v>
      </x:c>
    </x:row>
    <x:row r="886">
      <x:c r="A886" s="14" t="n">
        <x:v>45510</x:v>
      </x:c>
      <x:c r="B886" s="20" t="n">
        <x:v>130.47</x:v>
      </x:c>
      <x:c r="C886" s="20" t="n">
        <x:v>522.15</x:v>
      </x:c>
      <x:c r="D886" s="21" t="n">
        <x:v>11148440</x:v>
      </x:c>
      <x:c r="E886" s="21" t="n">
        <x:v>84826310</x:v>
      </x:c>
      <x:c r="F886" s="11" t="str">
        <x:v>Nasdaq public historical table</x:v>
      </x:c>
    </x:row>
    <x:row r="887">
      <x:c r="A887" s="14" t="n">
        <x:v>45511</x:v>
      </x:c>
      <x:c r="B887" s="20" t="n">
        <x:v>113.01</x:v>
      </x:c>
      <x:c r="C887" s="20" t="n">
        <x:v>518.66</x:v>
      </x:c>
      <x:c r="D887" s="21" t="n">
        <x:v>29027860</x:v>
      </x:c>
      <x:c r="E887" s="21" t="n">
        <x:v>70698340</x:v>
      </x:c>
      <x:c r="F887" s="11" t="str">
        <x:v>Nasdaq public historical table</x:v>
      </x:c>
    </x:row>
    <x:row r="888">
      <x:c r="A888" s="14" t="n">
        <x:v>45512</x:v>
      </x:c>
      <x:c r="B888" s="20" t="n">
        <x:v>114.64</x:v>
      </x:c>
      <x:c r="C888" s="20" t="n">
        <x:v>530.65</x:v>
      </x:c>
      <x:c r="D888" s="21" t="n">
        <x:v>8006214</x:v>
      </x:c>
      <x:c r="E888" s="21" t="n">
        <x:v>63276590</x:v>
      </x:c>
      <x:c r="F888" s="11" t="str">
        <x:v>Nasdaq public historical table</x:v>
      </x:c>
    </x:row>
    <x:row r="889">
      <x:c r="A889" s="14" t="n">
        <x:v>45513</x:v>
      </x:c>
      <x:c r="B889" s="20" t="n">
        <x:v>115.08</x:v>
      </x:c>
      <x:c r="C889" s="20" t="n">
        <x:v>532.99</x:v>
      </x:c>
      <x:c r="D889" s="21" t="n">
        <x:v>4764351</x:v>
      </x:c>
      <x:c r="E889" s="21" t="n">
        <x:v>45619560</x:v>
      </x:c>
      <x:c r="F889" s="11" t="str">
        <x:v>Nasdaq public historical table</x:v>
      </x:c>
    </x:row>
    <x:row r="890">
      <x:c r="A890" s="14" t="n">
        <x:v>45516</x:v>
      </x:c>
      <x:c r="B890" s="20" t="n">
        <x:v>113.62</x:v>
      </x:c>
      <x:c r="C890" s="20" t="n">
        <x:v>533.27</x:v>
      </x:c>
      <x:c r="D890" s="21" t="n">
        <x:v>3980998</x:v>
      </x:c>
      <x:c r="E890" s="21" t="n">
        <x:v>42542070</x:v>
      </x:c>
      <x:c r="F890" s="11" t="str">
        <x:v>Nasdaq public historical table</x:v>
      </x:c>
    </x:row>
    <x:row r="891">
      <x:c r="A891" s="14" t="n">
        <x:v>45517</x:v>
      </x:c>
      <x:c r="B891" s="20" t="n">
        <x:v>116.9</x:v>
      </x:c>
      <x:c r="C891" s="20" t="n">
        <x:v>542.04</x:v>
      </x:c>
      <x:c r="D891" s="21" t="n">
        <x:v>4662047</x:v>
      </x:c>
      <x:c r="E891" s="21" t="n">
        <x:v>52333070</x:v>
      </x:c>
      <x:c r="F891" s="11" t="str">
        <x:v>Nasdaq public historical table</x:v>
      </x:c>
    </x:row>
    <x:row r="892">
      <x:c r="A892" s="14" t="n">
        <x:v>45518</x:v>
      </x:c>
      <x:c r="B892" s="20" t="n">
        <x:v>116.24</x:v>
      </x:c>
      <x:c r="C892" s="20" t="n">
        <x:v>543.75</x:v>
      </x:c>
      <x:c r="D892" s="21" t="n">
        <x:v>3504796</x:v>
      </x:c>
      <x:c r="E892" s="21" t="n">
        <x:v>42446930</x:v>
      </x:c>
      <x:c r="F892" s="11" t="str">
        <x:v>Nasdaq public historical table</x:v>
      </x:c>
    </x:row>
    <x:row r="893">
      <x:c r="A893" s="14" t="n">
        <x:v>45519</x:v>
      </x:c>
      <x:c r="B893" s="20" t="n">
        <x:v>118.88</x:v>
      </x:c>
      <x:c r="C893" s="20" t="n">
        <x:v>553.07</x:v>
      </x:c>
      <x:c r="D893" s="21" t="n">
        <x:v>5266295</x:v>
      </x:c>
      <x:c r="E893" s="21" t="n">
        <x:v>60846810</x:v>
      </x:c>
      <x:c r="F893" s="11" t="str">
        <x:v>Nasdaq public historical table</x:v>
      </x:c>
    </x:row>
    <x:row r="894">
      <x:c r="A894" s="14" t="n">
        <x:v>45520</x:v>
      </x:c>
      <x:c r="B894" s="20" t="n">
        <x:v>116.31</x:v>
      </x:c>
      <x:c r="C894" s="20" t="n">
        <x:v>554.31</x:v>
      </x:c>
      <x:c r="D894" s="21" t="n">
        <x:v>4592024</x:v>
      </x:c>
      <x:c r="E894" s="21" t="n">
        <x:v>44430730</x:v>
      </x:c>
      <x:c r="F894" s="11" t="str">
        <x:v>Nasdaq public historical table</x:v>
      </x:c>
    </x:row>
    <x:row r="895">
      <x:c r="A895" s="14" t="n">
        <x:v>45523</x:v>
      </x:c>
      <x:c r="B895" s="20" t="n">
        <x:v>119.14</x:v>
      </x:c>
      <x:c r="C895" s="20" t="n">
        <x:v>559.61</x:v>
      </x:c>
      <x:c r="D895" s="21" t="n">
        <x:v>4184729</x:v>
      </x:c>
      <x:c r="E895" s="21" t="n">
        <x:v>39121790</x:v>
      </x:c>
      <x:c r="F895" s="11" t="str">
        <x:v>Nasdaq public historical table</x:v>
      </x:c>
    </x:row>
    <x:row r="896">
      <x:c r="A896" s="14" t="n">
        <x:v>45524</x:v>
      </x:c>
      <x:c r="B896" s="20" t="n">
        <x:v>117.38</x:v>
      </x:c>
      <x:c r="C896" s="20" t="n">
        <x:v>558.7</x:v>
      </x:c>
      <x:c r="D896" s="21" t="n">
        <x:v>3940048</x:v>
      </x:c>
      <x:c r="E896" s="21" t="n">
        <x:v>33732260</x:v>
      </x:c>
      <x:c r="F896" s="11" t="str">
        <x:v>Nasdaq public historical table</x:v>
      </x:c>
    </x:row>
    <x:row r="897">
      <x:c r="A897" s="14" t="n">
        <x:v>45525</x:v>
      </x:c>
      <x:c r="B897" s="20" t="n">
        <x:v>117.68</x:v>
      </x:c>
      <x:c r="C897" s="20" t="n">
        <x:v>560.62</x:v>
      </x:c>
      <x:c r="D897" s="21" t="n">
        <x:v>5028525</x:v>
      </x:c>
      <x:c r="E897" s="21" t="n">
        <x:v>41514600</x:v>
      </x:c>
      <x:c r="F897" s="11" t="str">
        <x:v>Nasdaq public historical table</x:v>
      </x:c>
    </x:row>
    <x:row r="898">
      <x:c r="A898" s="14" t="n">
        <x:v>45526</x:v>
      </x:c>
      <x:c r="B898" s="20" t="n">
        <x:v>115.45</x:v>
      </x:c>
      <x:c r="C898" s="20" t="n">
        <x:v>556.22</x:v>
      </x:c>
      <x:c r="D898" s="21" t="n">
        <x:v>4875497</x:v>
      </x:c>
      <x:c r="E898" s="21" t="n">
        <x:v>56121460</x:v>
      </x:c>
      <x:c r="F898" s="11" t="str">
        <x:v>Nasdaq public historical table</x:v>
      </x:c>
    </x:row>
    <x:row r="899">
      <x:c r="A899" s="14" t="n">
        <x:v>45527</x:v>
      </x:c>
      <x:c r="B899" s="20" t="n">
        <x:v>116.85</x:v>
      </x:c>
      <x:c r="C899" s="20" t="n">
        <x:v>562.13</x:v>
      </x:c>
      <x:c r="D899" s="21" t="n">
        <x:v>4998414</x:v>
      </x:c>
      <x:c r="E899" s="21" t="n">
        <x:v>50639390</x:v>
      </x:c>
      <x:c r="F899" s="11" t="str">
        <x:v>Nasdaq public historical table</x:v>
      </x:c>
    </x:row>
    <x:row r="900">
      <x:c r="A900" s="14" t="n">
        <x:v>45530</x:v>
      </x:c>
      <x:c r="B900" s="20" t="n">
        <x:v>115.71</x:v>
      </x:c>
      <x:c r="C900" s="20" t="n">
        <x:v>560.79</x:v>
      </x:c>
      <x:c r="D900" s="21" t="n">
        <x:v>4948158</x:v>
      </x:c>
      <x:c r="E900" s="21" t="n">
        <x:v>35788610</x:v>
      </x:c>
      <x:c r="F900" s="11" t="str">
        <x:v>Nasdaq public historical table</x:v>
      </x:c>
    </x:row>
    <x:row r="901">
      <x:c r="A901" s="14" t="n">
        <x:v>45531</x:v>
      </x:c>
      <x:c r="B901" s="20" t="n">
        <x:v>116.74</x:v>
      </x:c>
      <x:c r="C901" s="20" t="n">
        <x:v>561.56</x:v>
      </x:c>
      <x:c r="D901" s="21" t="n">
        <x:v>3457429</x:v>
      </x:c>
      <x:c r="E901" s="21" t="n">
        <x:v>32693900</x:v>
      </x:c>
      <x:c r="F901" s="11" t="str">
        <x:v>Nasdaq public historical table</x:v>
      </x:c>
    </x:row>
    <x:row r="902">
      <x:c r="A902" s="14" t="n">
        <x:v>45532</x:v>
      </x:c>
      <x:c r="B902" s="20" t="n">
        <x:v>117.53</x:v>
      </x:c>
      <x:c r="C902" s="20" t="n">
        <x:v>558.3</x:v>
      </x:c>
      <x:c r="D902" s="21" t="n">
        <x:v>3463705</x:v>
      </x:c>
      <x:c r="E902" s="21" t="n">
        <x:v>41066020</x:v>
      </x:c>
      <x:c r="F902" s="11" t="str">
        <x:v>Nasdaq public historical table</x:v>
      </x:c>
    </x:row>
    <x:row r="903">
      <x:c r="A903" s="14" t="n">
        <x:v>45533</x:v>
      </x:c>
      <x:c r="B903" s="20" t="n">
        <x:v>116.6</x:v>
      </x:c>
      <x:c r="C903" s="20" t="n">
        <x:v>558.35</x:v>
      </x:c>
      <x:c r="D903" s="21" t="n">
        <x:v>3330982</x:v>
      </x:c>
      <x:c r="E903" s="21" t="n">
        <x:v>38715180</x:v>
      </x:c>
      <x:c r="F903" s="11" t="str">
        <x:v>Nasdaq public historical table</x:v>
      </x:c>
    </x:row>
    <x:row r="904">
      <x:c r="A904" s="14" t="n">
        <x:v>45534</x:v>
      </x:c>
      <x:c r="B904" s="20" t="n">
        <x:v>117.31</x:v>
      </x:c>
      <x:c r="C904" s="20" t="n">
        <x:v>563.68</x:v>
      </x:c>
      <x:c r="D904" s="21" t="n">
        <x:v>3279531</x:v>
      </x:c>
      <x:c r="E904" s="21" t="n">
        <x:v>62700110</x:v>
      </x:c>
      <x:c r="F904" s="11" t="str">
        <x:v>Nasdaq public historical table</x:v>
      </x:c>
    </x:row>
    <x:row r="905">
      <x:c r="A905" s="14" t="n">
        <x:v>45538</x:v>
      </x:c>
      <x:c r="B905" s="20" t="n">
        <x:v>114.98</x:v>
      </x:c>
      <x:c r="C905" s="20" t="n">
        <x:v>552.08</x:v>
      </x:c>
      <x:c r="D905" s="21" t="n">
        <x:v>4678840</x:v>
      </x:c>
      <x:c r="E905" s="21" t="n">
        <x:v>60600110</x:v>
      </x:c>
      <x:c r="F905" s="11" t="str">
        <x:v>Nasdaq public historical table</x:v>
      </x:c>
    </x:row>
    <x:row r="906">
      <x:c r="A906" s="14" t="n">
        <x:v>45539</x:v>
      </x:c>
      <x:c r="B906" s="20" t="n">
        <x:v>115.21</x:v>
      </x:c>
      <x:c r="C906" s="20" t="n">
        <x:v>550.95</x:v>
      </x:c>
      <x:c r="D906" s="21" t="n">
        <x:v>3281564</x:v>
      </x:c>
      <x:c r="E906" s="21" t="n">
        <x:v>47224940</x:v>
      </x:c>
      <x:c r="F906" s="11" t="str">
        <x:v>Nasdaq public historical table</x:v>
      </x:c>
    </x:row>
    <x:row r="907">
      <x:c r="A907" s="14" t="n">
        <x:v>45540</x:v>
      </x:c>
      <x:c r="B907" s="20" t="n">
        <x:v>116.16</x:v>
      </x:c>
      <x:c r="C907" s="20" t="n">
        <x:v>549.61</x:v>
      </x:c>
      <x:c r="D907" s="21" t="n">
        <x:v>3593436</x:v>
      </x:c>
      <x:c r="E907" s="21" t="n">
        <x:v>44264260</x:v>
      </x:c>
      <x:c r="F907" s="11" t="str">
        <x:v>Nasdaq public historical table</x:v>
      </x:c>
    </x:row>
    <x:row r="908">
      <x:c r="A908" s="14" t="n">
        <x:v>45541</x:v>
      </x:c>
      <x:c r="B908" s="20" t="n">
        <x:v>114.28</x:v>
      </x:c>
      <x:c r="C908" s="20" t="n">
        <x:v>540.36</x:v>
      </x:c>
      <x:c r="D908" s="21" t="n">
        <x:v>4072379</x:v>
      </x:c>
      <x:c r="E908" s="21" t="n">
        <x:v>68493810</x:v>
      </x:c>
      <x:c r="F908" s="11" t="str">
        <x:v>Nasdaq public historical table</x:v>
      </x:c>
    </x:row>
    <x:row r="909">
      <x:c r="A909" s="14" t="n">
        <x:v>45544</x:v>
      </x:c>
      <x:c r="B909" s="20" t="n">
        <x:v>116.36</x:v>
      </x:c>
      <x:c r="C909" s="20" t="n">
        <x:v>546.41</x:v>
      </x:c>
      <x:c r="D909" s="21" t="n">
        <x:v>4178558</x:v>
      </x:c>
      <x:c r="E909" s="21" t="n">
        <x:v>40445820</x:v>
      </x:c>
      <x:c r="F909" s="11" t="str">
        <x:v>Nasdaq public historical table</x:v>
      </x:c>
    </x:row>
    <x:row r="910">
      <x:c r="A910" s="14" t="n">
        <x:v>45545</x:v>
      </x:c>
      <x:c r="B910" s="20" t="n">
        <x:v>115.12</x:v>
      </x:c>
      <x:c r="C910" s="20" t="n">
        <x:v>548.79</x:v>
      </x:c>
      <x:c r="D910" s="21" t="n">
        <x:v>4080373</x:v>
      </x:c>
      <x:c r="E910" s="21" t="n">
        <x:v>36394580</x:v>
      </x:c>
      <x:c r="F910" s="11" t="str">
        <x:v>Nasdaq public historical table</x:v>
      </x:c>
    </x:row>
    <x:row r="911">
      <x:c r="A911" s="14" t="n">
        <x:v>45546</x:v>
      </x:c>
      <x:c r="B911" s="20" t="n">
        <x:v>115.96</x:v>
      </x:c>
      <x:c r="C911" s="20" t="n">
        <x:v>554.42</x:v>
      </x:c>
      <x:c r="D911" s="21" t="n">
        <x:v>3644976</x:v>
      </x:c>
      <x:c r="E911" s="21" t="n">
        <x:v>75248610</x:v>
      </x:c>
      <x:c r="F911" s="11" t="str">
        <x:v>Nasdaq public historical table</x:v>
      </x:c>
    </x:row>
    <x:row r="912">
      <x:c r="A912" s="14" t="n">
        <x:v>45547</x:v>
      </x:c>
      <x:c r="B912" s="20" t="n">
        <x:v>117.36</x:v>
      </x:c>
      <x:c r="C912" s="20" t="n">
        <x:v>559.09</x:v>
      </x:c>
      <x:c r="D912" s="21" t="n">
        <x:v>3076184</x:v>
      </x:c>
      <x:c r="E912" s="21" t="n">
        <x:v>51892740</x:v>
      </x:c>
      <x:c r="F912" s="11" t="str">
        <x:v>Nasdaq public historical table</x:v>
      </x:c>
    </x:row>
    <x:row r="913">
      <x:c r="A913" s="14" t="n">
        <x:v>45548</x:v>
      </x:c>
      <x:c r="B913" s="20" t="n">
        <x:v>117.75</x:v>
      </x:c>
      <x:c r="C913" s="20" t="n">
        <x:v>562.01</x:v>
      </x:c>
      <x:c r="D913" s="21" t="n">
        <x:v>3514203</x:v>
      </x:c>
      <x:c r="E913" s="21" t="n">
        <x:v>39310500</x:v>
      </x:c>
      <x:c r="F913" s="11" t="str">
        <x:v>Nasdaq public historical table</x:v>
      </x:c>
    </x:row>
    <x:row r="914">
      <x:c r="A914" s="14" t="n">
        <x:v>45551</x:v>
      </x:c>
      <x:c r="B914" s="20" t="n">
        <x:v>117.55</x:v>
      </x:c>
      <x:c r="C914" s="20" t="n">
        <x:v>562.84</x:v>
      </x:c>
      <x:c r="D914" s="21" t="n">
        <x:v>3229853</x:v>
      </x:c>
      <x:c r="E914" s="21" t="n">
        <x:v>36656120</x:v>
      </x:c>
      <x:c r="F914" s="11" t="str">
        <x:v>Nasdaq public historical table</x:v>
      </x:c>
    </x:row>
    <x:row r="915">
      <x:c r="A915" s="14" t="n">
        <x:v>45552</x:v>
      </x:c>
      <x:c r="B915" s="20" t="n">
        <x:v>122.12</x:v>
      </x:c>
      <x:c r="C915" s="20" t="n">
        <x:v>563.07</x:v>
      </x:c>
      <x:c r="D915" s="21" t="n">
        <x:v>6323569</x:v>
      </x:c>
      <x:c r="E915" s="21" t="n">
        <x:v>49320970</x:v>
      </x:c>
      <x:c r="F915" s="11" t="str">
        <x:v>Nasdaq public historical table</x:v>
      </x:c>
    </x:row>
    <x:row r="916">
      <x:c r="A916" s="14" t="n">
        <x:v>45553</x:v>
      </x:c>
      <x:c r="B916" s="20" t="n">
        <x:v>122.42</x:v>
      </x:c>
      <x:c r="C916" s="20" t="n">
        <x:v>561.4</x:v>
      </x:c>
      <x:c r="D916" s="21" t="n">
        <x:v>3861293</x:v>
      </x:c>
      <x:c r="E916" s="21" t="n">
        <x:v>59044940</x:v>
      </x:c>
      <x:c r="F916" s="11" t="str">
        <x:v>Nasdaq public historical table</x:v>
      </x:c>
    </x:row>
    <x:row r="917">
      <x:c r="A917" s="14" t="n">
        <x:v>45554</x:v>
      </x:c>
      <x:c r="B917" s="20" t="n">
        <x:v>128.75</x:v>
      </x:c>
      <x:c r="C917" s="20" t="n">
        <x:v>570.98</x:v>
      </x:c>
      <x:c r="D917" s="21" t="n">
        <x:v>7691622</x:v>
      </x:c>
      <x:c r="E917" s="21" t="n">
        <x:v>75315470</x:v>
      </x:c>
      <x:c r="F917" s="11" t="str">
        <x:v>Nasdaq public historical table</x:v>
      </x:c>
    </x:row>
    <x:row r="918">
      <x:c r="A918" s="14" t="n">
        <x:v>45555</x:v>
      </x:c>
      <x:c r="B918" s="20" t="n">
        <x:v>131.18</x:v>
      </x:c>
      <x:c r="C918" s="20" t="n">
        <x:v>568.25</x:v>
      </x:c>
      <x:c r="D918" s="21" t="n">
        <x:v>12476320</x:v>
      </x:c>
      <x:c r="E918" s="21" t="n">
        <x:v>77503110</x:v>
      </x:c>
      <x:c r="F918" s="11" t="str">
        <x:v>Nasdaq public historical table</x:v>
      </x:c>
    </x:row>
    <x:row r="919">
      <x:c r="A919" s="14" t="n">
        <x:v>45558</x:v>
      </x:c>
      <x:c r="B919" s="20" t="n">
        <x:v>129.03</x:v>
      </x:c>
      <x:c r="C919" s="20" t="n">
        <x:v>569.67</x:v>
      </x:c>
      <x:c r="D919" s="21" t="n">
        <x:v>3682591</x:v>
      </x:c>
      <x:c r="E919" s="21" t="n">
        <x:v>44116920</x:v>
      </x:c>
      <x:c r="F919" s="11" t="str">
        <x:v>Nasdaq public historical table</x:v>
      </x:c>
    </x:row>
    <x:row r="920">
      <x:c r="A920" s="14" t="n">
        <x:v>45559</x:v>
      </x:c>
      <x:c r="B920" s="20" t="n">
        <x:v>131.48</x:v>
      </x:c>
      <x:c r="C920" s="20" t="n">
        <x:v>571.3</x:v>
      </x:c>
      <x:c r="D920" s="21" t="n">
        <x:v>4189105</x:v>
      </x:c>
      <x:c r="E920" s="21" t="n">
        <x:v>46805670</x:v>
      </x:c>
      <x:c r="F920" s="11" t="str">
        <x:v>Nasdaq public historical table</x:v>
      </x:c>
    </x:row>
    <x:row r="921">
      <x:c r="A921" s="14" t="n">
        <x:v>45560</x:v>
      </x:c>
      <x:c r="B921" s="20" t="n">
        <x:v>130.71</x:v>
      </x:c>
      <x:c r="C921" s="20" t="n">
        <x:v>570.04</x:v>
      </x:c>
      <x:c r="D921" s="21" t="n">
        <x:v>2310696</x:v>
      </x:c>
      <x:c r="E921" s="21" t="n">
        <x:v>38428590</x:v>
      </x:c>
      <x:c r="F921" s="11" t="str">
        <x:v>Nasdaq public historical table</x:v>
      </x:c>
    </x:row>
    <x:row r="922">
      <x:c r="A922" s="14" t="n">
        <x:v>45561</x:v>
      </x:c>
      <x:c r="B922" s="20" t="n">
        <x:v>129.25</x:v>
      </x:c>
      <x:c r="C922" s="20" t="n">
        <x:v>572.3</x:v>
      </x:c>
      <x:c r="D922" s="21" t="n">
        <x:v>3825948</x:v>
      </x:c>
      <x:c r="E922" s="21" t="n">
        <x:v>48336000</x:v>
      </x:c>
      <x:c r="F922" s="11" t="str">
        <x:v>Nasdaq public historical table</x:v>
      </x:c>
    </x:row>
    <x:row r="923">
      <x:c r="A923" s="14" t="n">
        <x:v>45562</x:v>
      </x:c>
      <x:c r="B923" s="20" t="n">
        <x:v>128.25</x:v>
      </x:c>
      <x:c r="C923" s="20" t="n">
        <x:v>571.47</x:v>
      </x:c>
      <x:c r="D923" s="21" t="n">
        <x:v>2525697</x:v>
      </x:c>
      <x:c r="E923" s="21" t="n">
        <x:v>42100930</x:v>
      </x:c>
      <x:c r="F923" s="11" t="str">
        <x:v>Nasdaq public historical table</x:v>
      </x:c>
    </x:row>
    <x:row r="924">
      <x:c r="A924" s="14" t="n">
        <x:v>45565</x:v>
      </x:c>
      <x:c r="B924" s="20" t="n">
        <x:v>126.81</x:v>
      </x:c>
      <x:c r="C924" s="20" t="n">
        <x:v>573.76</x:v>
      </x:c>
      <x:c r="D924" s="21" t="n">
        <x:v>3810992</x:v>
      </x:c>
      <x:c r="E924" s="21" t="n">
        <x:v>63655450</x:v>
      </x:c>
      <x:c r="F924" s="11" t="str">
        <x:v>Nasdaq public historical table</x:v>
      </x:c>
    </x:row>
    <x:row r="925">
      <x:c r="A925" s="14" t="n">
        <x:v>45566</x:v>
      </x:c>
      <x:c r="B925" s="20" t="n">
        <x:v>125.47</x:v>
      </x:c>
      <x:c r="C925" s="20" t="n">
        <x:v>568.62</x:v>
      </x:c>
      <x:c r="D925" s="21" t="n">
        <x:v>3895531</x:v>
      </x:c>
      <x:c r="E925" s="21" t="n">
        <x:v>72668780</x:v>
      </x:c>
      <x:c r="F925" s="11" t="str">
        <x:v>Nasdaq public historical table</x:v>
      </x:c>
    </x:row>
    <x:row r="926">
      <x:c r="A926" s="14" t="n">
        <x:v>45567</x:v>
      </x:c>
      <x:c r="B926" s="20" t="n">
        <x:v>126.18</x:v>
      </x:c>
      <x:c r="C926" s="20" t="n">
        <x:v>568.86</x:v>
      </x:c>
      <x:c r="D926" s="21" t="n">
        <x:v>2707663</x:v>
      </x:c>
      <x:c r="E926" s="21" t="n">
        <x:v>38097800</x:v>
      </x:c>
      <x:c r="F926" s="11" t="str">
        <x:v>Nasdaq public historical table</x:v>
      </x:c>
    </x:row>
    <x:row r="927">
      <x:c r="A927" s="14" t="n">
        <x:v>45568</x:v>
      </x:c>
      <x:c r="B927" s="20" t="n">
        <x:v>125.29</x:v>
      </x:c>
      <x:c r="C927" s="20" t="n">
        <x:v>567.82</x:v>
      </x:c>
      <x:c r="D927" s="21" t="n">
        <x:v>2246999</x:v>
      </x:c>
      <x:c r="E927" s="21" t="n">
        <x:v>40846470</x:v>
      </x:c>
      <x:c r="F927" s="11" t="str">
        <x:v>Nasdaq public historical table</x:v>
      </x:c>
    </x:row>
    <x:row r="928">
      <x:c r="A928" s="14" t="n">
        <x:v>45569</x:v>
      </x:c>
      <x:c r="B928" s="20" t="n">
        <x:v>129.85</x:v>
      </x:c>
      <x:c r="C928" s="20" t="n">
        <x:v>572.98</x:v>
      </x:c>
      <x:c r="D928" s="21" t="n">
        <x:v>2988440</x:v>
      </x:c>
      <x:c r="E928" s="21" t="n">
        <x:v>43005190</x:v>
      </x:c>
      <x:c r="F928" s="11" t="str">
        <x:v>Nasdaq public historical table</x:v>
      </x:c>
    </x:row>
    <x:row r="929">
      <x:c r="A929" s="14" t="n">
        <x:v>45572</x:v>
      </x:c>
      <x:c r="B929" s="20" t="n">
        <x:v>130.23</x:v>
      </x:c>
      <x:c r="C929" s="20" t="n">
        <x:v>567.8</x:v>
      </x:c>
      <x:c r="D929" s="21" t="n">
        <x:v>2847769</x:v>
      </x:c>
      <x:c r="E929" s="21" t="n">
        <x:v>49964690</x:v>
      </x:c>
      <x:c r="F929" s="11" t="str">
        <x:v>Nasdaq public historical table</x:v>
      </x:c>
    </x:row>
    <x:row r="930">
      <x:c r="A930" s="14" t="n">
        <x:v>45573</x:v>
      </x:c>
      <x:c r="B930" s="20" t="n">
        <x:v>132.5</x:v>
      </x:c>
      <x:c r="C930" s="20" t="n">
        <x:v>573.17</x:v>
      </x:c>
      <x:c r="D930" s="21" t="n">
        <x:v>3304421</x:v>
      </x:c>
      <x:c r="E930" s="21" t="n">
        <x:v>37398690</x:v>
      </x:c>
      <x:c r="F930" s="11" t="str">
        <x:v>Nasdaq public historical table</x:v>
      </x:c>
    </x:row>
    <x:row r="931">
      <x:c r="A931" s="14" t="n">
        <x:v>45574</x:v>
      </x:c>
      <x:c r="B931" s="20" t="n">
        <x:v>135.49</x:v>
      </x:c>
      <x:c r="C931" s="20" t="n">
        <x:v>577.14</x:v>
      </x:c>
      <x:c r="D931" s="21" t="n">
        <x:v>3731800</x:v>
      </x:c>
      <x:c r="E931" s="21" t="n">
        <x:v>37912240</x:v>
      </x:c>
      <x:c r="F931" s="11" t="str">
        <x:v>Nasdaq public historical table</x:v>
      </x:c>
    </x:row>
    <x:row r="932">
      <x:c r="A932" s="14" t="n">
        <x:v>45575</x:v>
      </x:c>
      <x:c r="B932" s="20" t="n">
        <x:v>132.81</x:v>
      </x:c>
      <x:c r="C932" s="20" t="n">
        <x:v>576.13</x:v>
      </x:c>
      <x:c r="D932" s="21" t="n">
        <x:v>3060026</x:v>
      </x:c>
      <x:c r="E932" s="21" t="n">
        <x:v>44138060</x:v>
      </x:c>
      <x:c r="F932" s="11" t="str">
        <x:v>Nasdaq public historical table</x:v>
      </x:c>
    </x:row>
    <x:row r="933">
      <x:c r="A933" s="14" t="n">
        <x:v>45576</x:v>
      </x:c>
      <x:c r="B933" s="20" t="n">
        <x:v>134.4</x:v>
      </x:c>
      <x:c r="C933" s="20" t="n">
        <x:v>579.58</x:v>
      </x:c>
      <x:c r="D933" s="21" t="n">
        <x:v>2714747</x:v>
      </x:c>
      <x:c r="E933" s="21" t="n">
        <x:v>42267990</x:v>
      </x:c>
      <x:c r="F933" s="11" t="str">
        <x:v>Nasdaq public historical table</x:v>
      </x:c>
    </x:row>
    <x:row r="934">
      <x:c r="A934" s="14" t="n">
        <x:v>45579</x:v>
      </x:c>
      <x:c r="B934" s="20" t="n">
        <x:v>134.79</x:v>
      </x:c>
      <x:c r="C934" s="20" t="n">
        <x:v>584.32</x:v>
      </x:c>
      <x:c r="D934" s="21" t="n">
        <x:v>2313963</x:v>
      </x:c>
      <x:c r="E934" s="21" t="n">
        <x:v>36217220</x:v>
      </x:c>
      <x:c r="F934" s="11" t="str">
        <x:v>Nasdaq public historical table</x:v>
      </x:c>
    </x:row>
    <x:row r="935">
      <x:c r="A935" s="14" t="n">
        <x:v>45580</x:v>
      </x:c>
      <x:c r="B935" s="20" t="n">
        <x:v>133.27</x:v>
      </x:c>
      <x:c r="C935" s="20" t="n">
        <x:v>579.78</x:v>
      </x:c>
      <x:c r="D935" s="21" t="n">
        <x:v>3502678</x:v>
      </x:c>
      <x:c r="E935" s="21" t="n">
        <x:v>54203640</x:v>
      </x:c>
      <x:c r="F935" s="11" t="str">
        <x:v>Nasdaq public historical table</x:v>
      </x:c>
    </x:row>
    <x:row r="936">
      <x:c r="A936" s="14" t="n">
        <x:v>45581</x:v>
      </x:c>
      <x:c r="B936" s="20" t="n">
        <x:v>135.15</x:v>
      </x:c>
      <x:c r="C936" s="20" t="n">
        <x:v>582.3</x:v>
      </x:c>
      <x:c r="D936" s="21" t="n">
        <x:v>3691540</x:v>
      </x:c>
      <x:c r="E936" s="21" t="n">
        <x:v>30725440</x:v>
      </x:c>
      <x:c r="F936" s="11" t="str">
        <x:v>Nasdaq public historical table</x:v>
      </x:c>
    </x:row>
    <x:row r="937">
      <x:c r="A937" s="14" t="n">
        <x:v>45582</x:v>
      </x:c>
      <x:c r="B937" s="20" t="n">
        <x:v>136.02</x:v>
      </x:c>
      <x:c r="C937" s="20" t="n">
        <x:v>582.35</x:v>
      </x:c>
      <x:c r="D937" s="21" t="n">
        <x:v>3813990</x:v>
      </x:c>
      <x:c r="E937" s="21" t="n">
        <x:v>34393710</x:v>
      </x:c>
      <x:c r="F937" s="11" t="str">
        <x:v>Nasdaq public historical table</x:v>
      </x:c>
    </x:row>
    <x:row r="938">
      <x:c r="A938" s="14" t="n">
        <x:v>45583</x:v>
      </x:c>
      <x:c r="B938" s="20" t="n">
        <x:v>136.45</x:v>
      </x:c>
      <x:c r="C938" s="20" t="n">
        <x:v>584.59</x:v>
      </x:c>
      <x:c r="D938" s="21" t="n">
        <x:v>2391131</x:v>
      </x:c>
      <x:c r="E938" s="21" t="n">
        <x:v>37416800</x:v>
      </x:c>
      <x:c r="F938" s="11" t="str">
        <x:v>Nasdaq public historical table</x:v>
      </x:c>
    </x:row>
    <x:row r="939">
      <x:c r="A939" s="14" t="n">
        <x:v>45586</x:v>
      </x:c>
      <x:c r="B939" s="20" t="n">
        <x:v>137.19</x:v>
      </x:c>
      <x:c r="C939" s="20" t="n">
        <x:v>583.63</x:v>
      </x:c>
      <x:c r="D939" s="21" t="n">
        <x:v>2900530</x:v>
      </x:c>
      <x:c r="E939" s="21" t="n">
        <x:v>36439010</x:v>
      </x:c>
      <x:c r="F939" s="11" t="str">
        <x:v>Nasdaq public historical table</x:v>
      </x:c>
    </x:row>
    <x:row r="940">
      <x:c r="A940" s="14" t="n">
        <x:v>45587</x:v>
      </x:c>
      <x:c r="B940" s="20" t="n">
        <x:v>135.59</x:v>
      </x:c>
      <x:c r="C940" s="20" t="n">
        <x:v>583.32</x:v>
      </x:c>
      <x:c r="D940" s="21" t="n">
        <x:v>2408385</x:v>
      </x:c>
      <x:c r="E940" s="21" t="n">
        <x:v>34183840</x:v>
      </x:c>
      <x:c r="F940" s="11" t="str">
        <x:v>Nasdaq public historical table</x:v>
      </x:c>
    </x:row>
    <x:row r="941">
      <x:c r="A941" s="14" t="n">
        <x:v>45588</x:v>
      </x:c>
      <x:c r="B941" s="20" t="n">
        <x:v>131.92</x:v>
      </x:c>
      <x:c r="C941" s="20" t="n">
        <x:v>577.99</x:v>
      </x:c>
      <x:c r="D941" s="21" t="n">
        <x:v>3444561</x:v>
      </x:c>
      <x:c r="E941" s="21" t="n">
        <x:v>49314570</x:v>
      </x:c>
      <x:c r="F941" s="11" t="str">
        <x:v>Nasdaq public historical table</x:v>
      </x:c>
    </x:row>
    <x:row r="942">
      <x:c r="A942" s="14" t="n">
        <x:v>45589</x:v>
      </x:c>
      <x:c r="B942" s="20" t="n">
        <x:v>132.75</x:v>
      </x:c>
      <x:c r="C942" s="20" t="n">
        <x:v>579.24</x:v>
      </x:c>
      <x:c r="D942" s="21" t="n">
        <x:v>2678040</x:v>
      </x:c>
      <x:c r="E942" s="21" t="n">
        <x:v>34979860</x:v>
      </x:c>
      <x:c r="F942" s="11" t="str">
        <x:v>Nasdaq public historical table</x:v>
      </x:c>
    </x:row>
    <x:row r="943">
      <x:c r="A943" s="14" t="n">
        <x:v>45590</x:v>
      </x:c>
      <x:c r="B943" s="20" t="n">
        <x:v>134.58</x:v>
      </x:c>
      <x:c r="C943" s="20" t="n">
        <x:v>579.04</x:v>
      </x:c>
      <x:c r="D943" s="21" t="n">
        <x:v>2552060</x:v>
      </x:c>
      <x:c r="E943" s="21" t="n">
        <x:v>47268180</x:v>
      </x:c>
      <x:c r="F943" s="11" t="str">
        <x:v>Nasdaq public historical table</x:v>
      </x:c>
    </x:row>
    <x:row r="944">
      <x:c r="A944" s="14" t="n">
        <x:v>45593</x:v>
      </x:c>
      <x:c r="B944" s="20" t="n">
        <x:v>135.78</x:v>
      </x:c>
      <x:c r="C944" s="20" t="n">
        <x:v>580.83</x:v>
      </x:c>
      <x:c r="D944" s="21" t="n">
        <x:v>3260682</x:v>
      </x:c>
      <x:c r="E944" s="21" t="n">
        <x:v>30174700</x:v>
      </x:c>
      <x:c r="F944" s="11" t="str">
        <x:v>Nasdaq public historical table</x:v>
      </x:c>
    </x:row>
    <x:row r="945">
      <x:c r="A945" s="14" t="n">
        <x:v>45594</x:v>
      </x:c>
      <x:c r="B945" s="20" t="n">
        <x:v>137.78</x:v>
      </x:c>
      <x:c r="C945" s="20" t="n">
        <x:v>581.77</x:v>
      </x:c>
      <x:c r="D945" s="21" t="n">
        <x:v>2871886</x:v>
      </x:c>
      <x:c r="E945" s="21" t="n">
        <x:v>42899660</x:v>
      </x:c>
      <x:c r="F945" s="11" t="str">
        <x:v>Nasdaq public historical table</x:v>
      </x:c>
    </x:row>
    <x:row r="946">
      <x:c r="A946" s="14" t="n">
        <x:v>45595</x:v>
      </x:c>
      <x:c r="B946" s="20" t="n">
        <x:v>136.5</x:v>
      </x:c>
      <x:c r="C946" s="20" t="n">
        <x:v>580.01</x:v>
      </x:c>
      <x:c r="D946" s="21" t="n">
        <x:v>3010462</x:v>
      </x:c>
      <x:c r="E946" s="21" t="n">
        <x:v>41435840</x:v>
      </x:c>
      <x:c r="F946" s="11" t="str">
        <x:v>Nasdaq public historical table</x:v>
      </x:c>
    </x:row>
    <x:row r="947">
      <x:c r="A947" s="14" t="n">
        <x:v>45596</x:v>
      </x:c>
      <x:c r="B947" s="20" t="n">
        <x:v>134.79</x:v>
      </x:c>
      <x:c r="C947" s="20" t="n">
        <x:v>568.64</x:v>
      </x:c>
      <x:c r="D947" s="21" t="n">
        <x:v>5049074</x:v>
      </x:c>
      <x:c r="E947" s="21" t="n">
        <x:v>60182450</x:v>
      </x:c>
      <x:c r="F947" s="11" t="str">
        <x:v>Nasdaq public historical table</x:v>
      </x:c>
    </x:row>
    <x:row r="948">
      <x:c r="A948" s="14" t="n">
        <x:v>45597</x:v>
      </x:c>
      <x:c r="B948" s="20" t="n">
        <x:v>136.46</x:v>
      </x:c>
      <x:c r="C948" s="20" t="n">
        <x:v>571.04</x:v>
      </x:c>
      <x:c r="D948" s="21" t="n">
        <x:v>3707590</x:v>
      </x:c>
      <x:c r="E948" s="21" t="n">
        <x:v>45667530</x:v>
      </x:c>
      <x:c r="F948" s="11" t="str">
        <x:v>Nasdaq public historical table</x:v>
      </x:c>
    </x:row>
    <x:row r="949">
      <x:c r="A949" s="14" t="n">
        <x:v>45600</x:v>
      </x:c>
      <x:c r="B949" s="20" t="n">
        <x:v>136.87</x:v>
      </x:c>
      <x:c r="C949" s="20" t="n">
        <x:v>569.81</x:v>
      </x:c>
      <x:c r="D949" s="21" t="n">
        <x:v>2459746</x:v>
      </x:c>
      <x:c r="E949" s="21" t="n">
        <x:v>38216980</x:v>
      </x:c>
      <x:c r="F949" s="11" t="str">
        <x:v>Nasdaq public historical table</x:v>
      </x:c>
    </x:row>
    <x:row r="950">
      <x:c r="A950" s="14" t="n">
        <x:v>45601</x:v>
      </x:c>
      <x:c r="B950" s="20" t="n">
        <x:v>137.82</x:v>
      </x:c>
      <x:c r="C950" s="20" t="n">
        <x:v>576.7</x:v>
      </x:c>
      <x:c r="D950" s="21" t="n">
        <x:v>4989187</x:v>
      </x:c>
      <x:c r="E950" s="21" t="n">
        <x:v>39478320</x:v>
      </x:c>
      <x:c r="F950" s="11" t="str">
        <x:v>Nasdaq public historical table</x:v>
      </x:c>
    </x:row>
    <x:row r="951">
      <x:c r="A951" s="14" t="n">
        <x:v>45602</x:v>
      </x:c>
      <x:c r="B951" s="20" t="n">
        <x:v>140.91</x:v>
      </x:c>
      <x:c r="C951" s="20" t="n">
        <x:v>591.04</x:v>
      </x:c>
      <x:c r="D951" s="21" t="n">
        <x:v>5110922</x:v>
      </x:c>
      <x:c r="E951" s="21" t="n">
        <x:v>68181970</x:v>
      </x:c>
      <x:c r="F951" s="11" t="str">
        <x:v>Nasdaq public historical table</x:v>
      </x:c>
    </x:row>
    <x:row r="952">
      <x:c r="A952" s="14" t="n">
        <x:v>45603</x:v>
      </x:c>
      <x:c r="B952" s="20" t="n">
        <x:v>147.37</x:v>
      </x:c>
      <x:c r="C952" s="20" t="n">
        <x:v>595.61</x:v>
      </x:c>
      <x:c r="D952" s="21" t="n">
        <x:v>11988900</x:v>
      </x:c>
      <x:c r="E952" s="21" t="n">
        <x:v>47233210</x:v>
      </x:c>
      <x:c r="F952" s="11" t="str">
        <x:v>Nasdaq public historical table</x:v>
      </x:c>
    </x:row>
    <x:row r="953">
      <x:c r="A953" s="14" t="n">
        <x:v>45604</x:v>
      </x:c>
      <x:c r="B953" s="20" t="n">
        <x:v>134.61</x:v>
      </x:c>
      <x:c r="C953" s="20" t="n">
        <x:v>598.19</x:v>
      </x:c>
      <x:c r="D953" s="21" t="n">
        <x:v>19189000</x:v>
      </x:c>
      <x:c r="E953" s="21" t="n">
        <x:v>46444890</x:v>
      </x:c>
      <x:c r="F953" s="11" t="str">
        <x:v>Nasdaq public historical table</x:v>
      </x:c>
    </x:row>
    <x:row r="954">
      <x:c r="A954" s="14" t="n">
        <x:v>45607</x:v>
      </x:c>
      <x:c r="B954" s="20" t="n">
        <x:v>137.4</x:v>
      </x:c>
      <x:c r="C954" s="20" t="n">
        <x:v>598.76</x:v>
      </x:c>
      <x:c r="D954" s="21" t="n">
        <x:v>6535059</x:v>
      </x:c>
      <x:c r="E954" s="21" t="n">
        <x:v>37586770</x:v>
      </x:c>
      <x:c r="F954" s="11" t="str">
        <x:v>Nasdaq public historical table</x:v>
      </x:c>
    </x:row>
    <x:row r="955">
      <x:c r="A955" s="14" t="n">
        <x:v>45608</x:v>
      </x:c>
      <x:c r="B955" s="20" t="n">
        <x:v>133.2</x:v>
      </x:c>
      <x:c r="C955" s="20" t="n">
        <x:v>596.9</x:v>
      </x:c>
      <x:c r="D955" s="21" t="n">
        <x:v>6903453</x:v>
      </x:c>
      <x:c r="E955" s="21" t="n">
        <x:v>43006130</x:v>
      </x:c>
      <x:c r="F955" s="11" t="str">
        <x:v>Nasdaq public historical table</x:v>
      </x:c>
    </x:row>
    <x:row r="956">
      <x:c r="A956" s="14" t="n">
        <x:v>45609</x:v>
      </x:c>
      <x:c r="B956" s="20" t="n">
        <x:v>132.76</x:v>
      </x:c>
      <x:c r="C956" s="20" t="n">
        <x:v>597.19</x:v>
      </x:c>
      <x:c r="D956" s="21" t="n">
        <x:v>4922621</x:v>
      </x:c>
      <x:c r="E956" s="21" t="n">
        <x:v>47388640</x:v>
      </x:c>
      <x:c r="F956" s="11" t="str">
        <x:v>Nasdaq public historical table</x:v>
      </x:c>
    </x:row>
    <x:row r="957">
      <x:c r="A957" s="14" t="n">
        <x:v>45610</x:v>
      </x:c>
      <x:c r="B957" s="20" t="n">
        <x:v>134.56</x:v>
      </x:c>
      <x:c r="C957" s="20" t="n">
        <x:v>593.35</x:v>
      </x:c>
      <x:c r="D957" s="21" t="n">
        <x:v>4777628</x:v>
      </x:c>
      <x:c r="E957" s="21" t="n">
        <x:v>38904110</x:v>
      </x:c>
      <x:c r="F957" s="11" t="str">
        <x:v>Nasdaq public historical table</x:v>
      </x:c>
    </x:row>
    <x:row r="958">
      <x:c r="A958" s="14" t="n">
        <x:v>45611</x:v>
      </x:c>
      <x:c r="B958" s="20" t="n">
        <x:v>132.5</x:v>
      </x:c>
      <x:c r="C958" s="20" t="n">
        <x:v>585.75</x:v>
      </x:c>
      <x:c r="D958" s="21" t="n">
        <x:v>4798719</x:v>
      </x:c>
      <x:c r="E958" s="21" t="n">
        <x:v>75988770</x:v>
      </x:c>
      <x:c r="F958" s="11" t="str">
        <x:v>Nasdaq public historical table</x:v>
      </x:c>
    </x:row>
    <x:row r="959">
      <x:c r="A959" s="14" t="n">
        <x:v>45614</x:v>
      </x:c>
      <x:c r="B959" s="20" t="n">
        <x:v>132.19</x:v>
      </x:c>
      <x:c r="C959" s="20" t="n">
        <x:v>588.15</x:v>
      </x:c>
      <x:c r="D959" s="21" t="n">
        <x:v>4511595</x:v>
      </x:c>
      <x:c r="E959" s="21" t="n">
        <x:v>37084080</x:v>
      </x:c>
      <x:c r="F959" s="11" t="str">
        <x:v>Nasdaq public historical table</x:v>
      </x:c>
    </x:row>
    <x:row r="960">
      <x:c r="A960" s="14" t="n">
        <x:v>45615</x:v>
      </x:c>
      <x:c r="B960" s="20" t="n">
        <x:v>131.44</x:v>
      </x:c>
      <x:c r="C960" s="20" t="n">
        <x:v>590.3</x:v>
      </x:c>
      <x:c r="D960" s="21" t="n">
        <x:v>5172381</x:v>
      </x:c>
      <x:c r="E960" s="21" t="n">
        <x:v>49412050</x:v>
      </x:c>
      <x:c r="F960" s="11" t="str">
        <x:v>Nasdaq public historical table</x:v>
      </x:c>
    </x:row>
    <x:row r="961">
      <x:c r="A961" s="14" t="n">
        <x:v>45616</x:v>
      </x:c>
      <x:c r="B961" s="20" t="n">
        <x:v>135.25</x:v>
      </x:c>
      <x:c r="C961" s="20" t="n">
        <x:v>590.5</x:v>
      </x:c>
      <x:c r="D961" s="21" t="n">
        <x:v>5537419</x:v>
      </x:c>
      <x:c r="E961" s="21" t="n">
        <x:v>50032580</x:v>
      </x:c>
      <x:c r="F961" s="11" t="str">
        <x:v>Nasdaq public historical table</x:v>
      </x:c>
    </x:row>
    <x:row r="962">
      <x:c r="A962" s="14" t="n">
        <x:v>45617</x:v>
      </x:c>
      <x:c r="B962" s="20" t="n">
        <x:v>133.26</x:v>
      </x:c>
      <x:c r="C962" s="20" t="n">
        <x:v>593.67</x:v>
      </x:c>
      <x:c r="D962" s="21" t="n">
        <x:v>4061137</x:v>
      </x:c>
      <x:c r="E962" s="21" t="n">
        <x:v>46750290</x:v>
      </x:c>
      <x:c r="F962" s="11" t="str">
        <x:v>Nasdaq public historical table</x:v>
      </x:c>
    </x:row>
    <x:row r="963">
      <x:c r="A963" s="14" t="n">
        <x:v>45618</x:v>
      </x:c>
      <x:c r="B963" s="20" t="n">
        <x:v>137.34</x:v>
      </x:c>
      <x:c r="C963" s="20" t="n">
        <x:v>595.51</x:v>
      </x:c>
      <x:c r="D963" s="21" t="n">
        <x:v>6301099</x:v>
      </x:c>
      <x:c r="E963" s="21" t="n">
        <x:v>38226390</x:v>
      </x:c>
      <x:c r="F963" s="11" t="str">
        <x:v>Nasdaq public historical table</x:v>
      </x:c>
    </x:row>
    <x:row r="964">
      <x:c r="A964" s="14" t="n">
        <x:v>45621</x:v>
      </x:c>
      <x:c r="B964" s="20" t="n">
        <x:v>140.93</x:v>
      </x:c>
      <x:c r="C964" s="20" t="n">
        <x:v>597.53</x:v>
      </x:c>
      <x:c r="D964" s="21" t="n">
        <x:v>7930535</x:v>
      </x:c>
      <x:c r="E964" s="21" t="n">
        <x:v>42441390</x:v>
      </x:c>
      <x:c r="F964" s="11" t="str">
        <x:v>Nasdaq public historical table</x:v>
      </x:c>
    </x:row>
    <x:row r="965">
      <x:c r="A965" s="14" t="n">
        <x:v>45622</x:v>
      </x:c>
      <x:c r="B965" s="20" t="n">
        <x:v>139.67</x:v>
      </x:c>
      <x:c r="C965" s="20" t="n">
        <x:v>600.65</x:v>
      </x:c>
      <x:c r="D965" s="21" t="n">
        <x:v>3228419</x:v>
      </x:c>
      <x:c r="E965" s="21" t="n">
        <x:v>45621290</x:v>
      </x:c>
      <x:c r="F965" s="11" t="str">
        <x:v>Nasdaq public historical table</x:v>
      </x:c>
    </x:row>
    <x:row r="966">
      <x:c r="A966" s="14" t="n">
        <x:v>45623</x:v>
      </x:c>
      <x:c r="B966" s="20" t="n">
        <x:v>138.28</x:v>
      </x:c>
      <x:c r="C966" s="20" t="n">
        <x:v>598.83</x:v>
      </x:c>
      <x:c r="D966" s="21" t="n">
        <x:v>2657033</x:v>
      </x:c>
      <x:c r="E966" s="21" t="n">
        <x:v>34000160</x:v>
      </x:c>
      <x:c r="F966" s="11" t="str">
        <x:v>Nasdaq public historical table</x:v>
      </x:c>
    </x:row>
    <x:row r="967">
      <x:c r="A967" s="14" t="n">
        <x:v>45625</x:v>
      </x:c>
      <x:c r="B967" s="20" t="n">
        <x:v>136.11</x:v>
      </x:c>
      <x:c r="C967" s="20" t="n">
        <x:v>602.55</x:v>
      </x:c>
      <x:c r="D967" s="21" t="n">
        <x:v>2664219</x:v>
      </x:c>
      <x:c r="E967" s="21" t="n">
        <x:v>30177350</x:v>
      </x:c>
      <x:c r="F967" s="11" t="str">
        <x:v>Nasdaq public historical table</x:v>
      </x:c>
    </x:row>
    <x:row r="968">
      <x:c r="A968" s="14" t="n">
        <x:v>45628</x:v>
      </x:c>
      <x:c r="B968" s="20" t="n">
        <x:v>137.49</x:v>
      </x:c>
      <x:c r="C968" s="20" t="n">
        <x:v>603.63</x:v>
      </x:c>
      <x:c r="D968" s="21" t="n">
        <x:v>3608673</x:v>
      </x:c>
      <x:c r="E968" s="21" t="n">
        <x:v>31745990</x:v>
      </x:c>
      <x:c r="F968" s="11" t="str">
        <x:v>Nasdaq public historical table</x:v>
      </x:c>
    </x:row>
    <x:row r="969">
      <x:c r="A969" s="14" t="n">
        <x:v>45629</x:v>
      </x:c>
      <x:c r="B969" s="20" t="n">
        <x:v>137.46</x:v>
      </x:c>
      <x:c r="C969" s="20" t="n">
        <x:v>603.91</x:v>
      </x:c>
      <x:c r="D969" s="21" t="n">
        <x:v>4681376</x:v>
      </x:c>
      <x:c r="E969" s="21" t="n">
        <x:v>26906630</x:v>
      </x:c>
      <x:c r="F969" s="11" t="str">
        <x:v>Nasdaq public historical table</x:v>
      </x:c>
    </x:row>
    <x:row r="970">
      <x:c r="A970" s="14" t="n">
        <x:v>45630</x:v>
      </x:c>
      <x:c r="B970" s="20" t="n">
        <x:v>139.07</x:v>
      </x:c>
      <x:c r="C970" s="20" t="n">
        <x:v>607.66</x:v>
      </x:c>
      <x:c r="D970" s="21" t="n">
        <x:v>3893417</x:v>
      </x:c>
      <x:c r="E970" s="21" t="n">
        <x:v>42787560</x:v>
      </x:c>
      <x:c r="F970" s="11" t="str">
        <x:v>Nasdaq public historical table</x:v>
      </x:c>
    </x:row>
    <x:row r="971">
      <x:c r="A971" s="14" t="n">
        <x:v>45631</x:v>
      </x:c>
      <x:c r="B971" s="20" t="n">
        <x:v>136.32</x:v>
      </x:c>
      <x:c r="C971" s="20" t="n">
        <x:v>606.66</x:v>
      </x:c>
      <x:c r="D971" s="21" t="n">
        <x:v>6174926</x:v>
      </x:c>
      <x:c r="E971" s="21" t="n">
        <x:v>28762180</x:v>
      </x:c>
      <x:c r="F971" s="11" t="str">
        <x:v>Nasdaq public historical table</x:v>
      </x:c>
    </x:row>
    <x:row r="972">
      <x:c r="A972" s="14" t="n">
        <x:v>45632</x:v>
      </x:c>
      <x:c r="B972" s="20" t="n">
        <x:v>136.92</x:v>
      </x:c>
      <x:c r="C972" s="20" t="n">
        <x:v>607.81</x:v>
      </x:c>
      <x:c r="D972" s="21" t="n">
        <x:v>4295842</x:v>
      </x:c>
      <x:c r="E972" s="21" t="n">
        <x:v>31241550</x:v>
      </x:c>
      <x:c r="F972" s="11" t="str">
        <x:v>Nasdaq public historical table</x:v>
      </x:c>
    </x:row>
    <x:row r="973">
      <x:c r="A973" s="14" t="n">
        <x:v>45635</x:v>
      </x:c>
      <x:c r="B973" s="20" t="n">
        <x:v>137.27</x:v>
      </x:c>
      <x:c r="C973" s="20" t="n">
        <x:v>604.68</x:v>
      </x:c>
      <x:c r="D973" s="21" t="n">
        <x:v>3648659</x:v>
      </x:c>
      <x:c r="E973" s="21" t="n">
        <x:v>34742740</x:v>
      </x:c>
      <x:c r="F973" s="11" t="str">
        <x:v>Nasdaq public historical table</x:v>
      </x:c>
    </x:row>
    <x:row r="974">
      <x:c r="A974" s="14" t="n">
        <x:v>45636</x:v>
      </x:c>
      <x:c r="B974" s="20" t="n">
        <x:v>138.3</x:v>
      </x:c>
      <x:c r="C974" s="20" t="n">
        <x:v>602.8</x:v>
      </x:c>
      <x:c r="D974" s="21" t="n">
        <x:v>4777826</x:v>
      </x:c>
      <x:c r="E974" s="21" t="n">
        <x:v>37234520</x:v>
      </x:c>
      <x:c r="F974" s="11" t="str">
        <x:v>Nasdaq public historical table</x:v>
      </x:c>
    </x:row>
    <x:row r="975">
      <x:c r="A975" s="14" t="n">
        <x:v>45637</x:v>
      </x:c>
      <x:c r="B975" s="20" t="n">
        <x:v>138.84</x:v>
      </x:c>
      <x:c r="C975" s="20" t="n">
        <x:v>607.46</x:v>
      </x:c>
      <x:c r="D975" s="21" t="n">
        <x:v>4096469</x:v>
      </x:c>
      <x:c r="E975" s="21" t="n">
        <x:v>28677720</x:v>
      </x:c>
      <x:c r="F975" s="11" t="str">
        <x:v>Nasdaq public historical table</x:v>
      </x:c>
    </x:row>
    <x:row r="976">
      <x:c r="A976" s="14" t="n">
        <x:v>45638</x:v>
      </x:c>
      <x:c r="B976" s="20" t="n">
        <x:v>137.47</x:v>
      </x:c>
      <x:c r="C976" s="20" t="n">
        <x:v>604.33</x:v>
      </x:c>
      <x:c r="D976" s="21" t="n">
        <x:v>4254067</x:v>
      </x:c>
      <x:c r="E976" s="21" t="n">
        <x:v>31543810</x:v>
      </x:c>
      <x:c r="F976" s="11" t="str">
        <x:v>Nasdaq public historical table</x:v>
      </x:c>
    </x:row>
    <x:row r="977">
      <x:c r="A977" s="14" t="n">
        <x:v>45639</x:v>
      </x:c>
      <x:c r="B977" s="20" t="n">
        <x:v>130.95</x:v>
      </x:c>
      <x:c r="C977" s="20" t="n">
        <x:v>604.21</x:v>
      </x:c>
      <x:c r="D977" s="21" t="n">
        <x:v>5288524</x:v>
      </x:c>
      <x:c r="E977" s="21" t="n">
        <x:v>35904730</x:v>
      </x:c>
      <x:c r="F977" s="11" t="str">
        <x:v>Nasdaq public historical table</x:v>
      </x:c>
    </x:row>
    <x:row r="978">
      <x:c r="A978" s="14" t="n">
        <x:v>45642</x:v>
      </x:c>
      <x:c r="B978" s="20" t="n">
        <x:v>132.2</x:v>
      </x:c>
      <x:c r="C978" s="20" t="n">
        <x:v>606.79</x:v>
      </x:c>
      <x:c r="D978" s="21" t="n">
        <x:v>4136299</x:v>
      </x:c>
      <x:c r="E978" s="21" t="n">
        <x:v>43695180</x:v>
      </x:c>
      <x:c r="F978" s="11" t="str">
        <x:v>Nasdaq public historical table</x:v>
      </x:c>
    </x:row>
    <x:row r="979">
      <x:c r="A979" s="14" t="n">
        <x:v>45643</x:v>
      </x:c>
      <x:c r="B979" s="20" t="n">
        <x:v>132.24</x:v>
      </x:c>
      <x:c r="C979" s="20" t="n">
        <x:v>604.29</x:v>
      </x:c>
      <x:c r="D979" s="21" t="n">
        <x:v>3126163</x:v>
      </x:c>
      <x:c r="E979" s="21" t="n">
        <x:v>55773550</x:v>
      </x:c>
      <x:c r="F979" s="11" t="str">
        <x:v>Nasdaq public historical table</x:v>
      </x:c>
    </x:row>
    <x:row r="980">
      <x:c r="A980" s="14" t="n">
        <x:v>45644</x:v>
      </x:c>
      <x:c r="B980" s="20" t="n">
        <x:v>127.54</x:v>
      </x:c>
      <x:c r="C980" s="20" t="n">
        <x:v>586.28</x:v>
      </x:c>
      <x:c r="D980" s="21" t="n">
        <x:v>4236662</x:v>
      </x:c>
      <x:c r="E980" s="21" t="n">
        <x:v>108248700</x:v>
      </x:c>
      <x:c r="F980" s="11" t="str">
        <x:v>Nasdaq public historical table</x:v>
      </x:c>
    </x:row>
    <x:row r="981">
      <x:c r="A981" s="14" t="n">
        <x:v>45645</x:v>
      </x:c>
      <x:c r="B981" s="20" t="n">
        <x:v>129.35</x:v>
      </x:c>
      <x:c r="C981" s="20" t="n">
        <x:v>586.1</x:v>
      </x:c>
      <x:c r="D981" s="21" t="n">
        <x:v>4745008</x:v>
      </x:c>
      <x:c r="E981" s="21" t="n">
        <x:v>85919450</x:v>
      </x:c>
      <x:c r="F981" s="11" t="str">
        <x:v>Nasdaq public historical table</x:v>
      </x:c>
    </x:row>
    <x:row r="982">
      <x:c r="A982" s="14" t="n">
        <x:v>45646</x:v>
      </x:c>
      <x:c r="B982" s="20" t="n">
        <x:v>134.21</x:v>
      </x:c>
      <x:c r="C982" s="20" t="n">
        <x:v>591.15</x:v>
      </x:c>
      <x:c r="D982" s="21" t="n">
        <x:v>15471730</x:v>
      </x:c>
      <x:c r="E982" s="21" t="n">
        <x:v>125716700</x:v>
      </x:c>
      <x:c r="F982" s="11" t="str">
        <x:v>Nasdaq public historical table</x:v>
      </x:c>
    </x:row>
    <x:row r="983">
      <x:c r="A983" s="14" t="n">
        <x:v>45649</x:v>
      </x:c>
      <x:c r="B983" s="20" t="n">
        <x:v>134.52</x:v>
      </x:c>
      <x:c r="C983" s="20" t="n">
        <x:v>594.69</x:v>
      </x:c>
      <x:c r="D983" s="21" t="n">
        <x:v>4728474</x:v>
      </x:c>
      <x:c r="E983" s="21" t="n">
        <x:v>57635830</x:v>
      </x:c>
      <x:c r="F983" s="11" t="str">
        <x:v>Nasdaq public historical table</x:v>
      </x:c>
    </x:row>
    <x:row r="984">
      <x:c r="A984" s="14" t="n">
        <x:v>45650</x:v>
      </x:c>
      <x:c r="B984" s="20" t="n">
        <x:v>134.99</x:v>
      </x:c>
      <x:c r="C984" s="20" t="n">
        <x:v>601.3</x:v>
      </x:c>
      <x:c r="D984" s="21" t="n">
        <x:v>1677060</x:v>
      </x:c>
      <x:c r="E984" s="21" t="n">
        <x:v>33160100</x:v>
      </x:c>
      <x:c r="F984" s="11" t="str">
        <x:v>Nasdaq public historical table</x:v>
      </x:c>
    </x:row>
    <x:row r="985">
      <x:c r="A985" s="14" t="n">
        <x:v>45652</x:v>
      </x:c>
      <x:c r="B985" s="20" t="n">
        <x:v>135.32</x:v>
      </x:c>
      <x:c r="C985" s="20" t="n">
        <x:v>601.34</x:v>
      </x:c>
      <x:c r="D985" s="21" t="n">
        <x:v>2067513</x:v>
      </x:c>
      <x:c r="E985" s="21" t="n">
        <x:v>41338890</x:v>
      </x:c>
      <x:c r="F985" s="11" t="str">
        <x:v>Nasdaq public historical table</x:v>
      </x:c>
    </x:row>
    <x:row r="986">
      <x:c r="A986" s="14" t="n">
        <x:v>45653</x:v>
      </x:c>
      <x:c r="B986" s="20" t="n">
        <x:v>133.385</x:v>
      </x:c>
      <x:c r="C986" s="20" t="n">
        <x:v>595.01</x:v>
      </x:c>
      <x:c r="D986" s="21" t="n">
        <x:v>2650366</x:v>
      </x:c>
      <x:c r="E986" s="21" t="n">
        <x:v>64969310</x:v>
      </x:c>
      <x:c r="F986" s="11" t="str">
        <x:v>Nasdaq public historical table</x:v>
      </x:c>
    </x:row>
    <x:row r="987">
      <x:c r="A987" s="14" t="n">
        <x:v>45656</x:v>
      </x:c>
      <x:c r="B987" s="20" t="n">
        <x:v>131.81</x:v>
      </x:c>
      <x:c r="C987" s="20" t="n">
        <x:v>588.22</x:v>
      </x:c>
      <x:c r="D987" s="21" t="n">
        <x:v>2458835</x:v>
      </x:c>
      <x:c r="E987" s="21" t="n">
        <x:v>56578760</x:v>
      </x:c>
      <x:c r="F987" s="11" t="str">
        <x:v>Nasdaq public historical table</x:v>
      </x:c>
    </x:row>
    <x:row r="988">
      <x:c r="A988" s="14" t="n">
        <x:v>45657</x:v>
      </x:c>
      <x:c r="B988" s="20" t="n">
        <x:v>131.41</x:v>
      </x:c>
      <x:c r="C988" s="20" t="n">
        <x:v>586.08</x:v>
      </x:c>
      <x:c r="D988" s="21" t="n">
        <x:v>2312564</x:v>
      </x:c>
      <x:c r="E988" s="21" t="n">
        <x:v>57052650</x:v>
      </x:c>
      <x:c r="F988" s="11" t="str">
        <x:v>Nasdaq public historical table</x:v>
      </x:c>
    </x:row>
    <x:row r="989">
      <x:c r="A989" s="14" t="n">
        <x:v>45659</x:v>
      </x:c>
      <x:c r="B989" s="20" t="n">
        <x:v>131.48</x:v>
      </x:c>
      <x:c r="C989" s="20" t="n">
        <x:v>584.64</x:v>
      </x:c>
      <x:c r="D989" s="21" t="n">
        <x:v>2606269</x:v>
      </x:c>
      <x:c r="E989" s="21" t="n">
        <x:v>50203980</x:v>
      </x:c>
      <x:c r="F989" s="11" t="str">
        <x:v>Nasdaq public historical table</x:v>
      </x:c>
    </x:row>
    <x:row r="990">
      <x:c r="A990" s="14" t="n">
        <x:v>45660</x:v>
      </x:c>
      <x:c r="B990" s="20" t="n">
        <x:v>135.71</x:v>
      </x:c>
      <x:c r="C990" s="20" t="n">
        <x:v>591.95</x:v>
      </x:c>
      <x:c r="D990" s="21" t="n">
        <x:v>3607355</x:v>
      </x:c>
      <x:c r="E990" s="21" t="n">
        <x:v>37888460</x:v>
      </x:c>
      <x:c r="F990" s="11" t="str">
        <x:v>Nasdaq public historical table</x:v>
      </x:c>
    </x:row>
    <x:row r="991">
      <x:c r="A991" s="14" t="n">
        <x:v>45663</x:v>
      </x:c>
      <x:c r="B991" s="20" t="n">
        <x:v>135.2</x:v>
      </x:c>
      <x:c r="C991" s="20" t="n">
        <x:v>595.36</x:v>
      </x:c>
      <x:c r="D991" s="21" t="n">
        <x:v>4174471</x:v>
      </x:c>
      <x:c r="E991" s="21" t="n">
        <x:v>47679440</x:v>
      </x:c>
      <x:c r="F991" s="11" t="str">
        <x:v>Nasdaq public historical table</x:v>
      </x:c>
    </x:row>
    <x:row r="992">
      <x:c r="A992" s="14" t="n">
        <x:v>45664</x:v>
      </x:c>
      <x:c r="B992" s="20" t="n">
        <x:v>131.29</x:v>
      </x:c>
      <x:c r="C992" s="20" t="n">
        <x:v>588.63</x:v>
      </x:c>
      <x:c r="D992" s="21" t="n">
        <x:v>4290458</x:v>
      </x:c>
      <x:c r="E992" s="21" t="n">
        <x:v>60393050</x:v>
      </x:c>
      <x:c r="F992" s="11" t="str">
        <x:v>Nasdaq public historical table</x:v>
      </x:c>
    </x:row>
    <x:row r="993">
      <x:c r="A993" s="14" t="n">
        <x:v>45665</x:v>
      </x:c>
      <x:c r="B993" s="20" t="n">
        <x:v>130.8</x:v>
      </x:c>
      <x:c r="C993" s="20" t="n">
        <x:v>589.49</x:v>
      </x:c>
      <x:c r="D993" s="21" t="n">
        <x:v>3204678</x:v>
      </x:c>
      <x:c r="E993" s="21" t="n">
        <x:v>47304670</x:v>
      </x:c>
      <x:c r="F993" s="11" t="str">
        <x:v>Nasdaq public historical table</x:v>
      </x:c>
    </x:row>
    <x:row r="994">
      <x:c r="A994" s="14" t="n">
        <x:v>45667</x:v>
      </x:c>
      <x:c r="B994" s="20" t="n">
        <x:v>129.63</x:v>
      </x:c>
      <x:c r="C994" s="20" t="n">
        <x:v>580.49</x:v>
      </x:c>
      <x:c r="D994" s="21" t="n">
        <x:v>4325415</x:v>
      </x:c>
      <x:c r="E994" s="21" t="n">
        <x:v>73105050</x:v>
      </x:c>
      <x:c r="F994" s="11" t="str">
        <x:v>Nasdaq public historical table</x:v>
      </x:c>
    </x:row>
    <x:row r="995">
      <x:c r="A995" s="14" t="n">
        <x:v>45670</x:v>
      </x:c>
      <x:c r="B995" s="20" t="n">
        <x:v>128.85</x:v>
      </x:c>
      <x:c r="C995" s="20" t="n">
        <x:v>581.39</x:v>
      </x:c>
      <x:c r="D995" s="21" t="n">
        <x:v>3510639</x:v>
      </x:c>
      <x:c r="E995" s="21" t="n">
        <x:v>47910060</x:v>
      </x:c>
      <x:c r="F995" s="11" t="str">
        <x:v>Nasdaq public historical table</x:v>
      </x:c>
    </x:row>
    <x:row r="996">
      <x:c r="A996" s="14" t="n">
        <x:v>45671</x:v>
      </x:c>
      <x:c r="B996" s="20" t="n">
        <x:v>127.6</x:v>
      </x:c>
      <x:c r="C996" s="20" t="n">
        <x:v>582.19</x:v>
      </x:c>
      <x:c r="D996" s="21" t="n">
        <x:v>3999323</x:v>
      </x:c>
      <x:c r="E996" s="21" t="n">
        <x:v>48420580</x:v>
      </x:c>
      <x:c r="F996" s="11" t="str">
        <x:v>Nasdaq public historical table</x:v>
      </x:c>
    </x:row>
    <x:row r="997">
      <x:c r="A997" s="14" t="n">
        <x:v>45672</x:v>
      </x:c>
      <x:c r="B997" s="20" t="n">
        <x:v>132.52</x:v>
      </x:c>
      <x:c r="C997" s="20" t="n">
        <x:v>592.78</x:v>
      </x:c>
      <x:c r="D997" s="21" t="n">
        <x:v>3732921</x:v>
      </x:c>
      <x:c r="E997" s="21" t="n">
        <x:v>56900160</x:v>
      </x:c>
      <x:c r="F997" s="11" t="str">
        <x:v>Nasdaq public historical table</x:v>
      </x:c>
    </x:row>
    <x:row r="998">
      <x:c r="A998" s="14" t="n">
        <x:v>45673</x:v>
      </x:c>
      <x:c r="B998" s="20" t="n">
        <x:v>132.16</x:v>
      </x:c>
      <x:c r="C998" s="20" t="n">
        <x:v>591.64</x:v>
      </x:c>
      <x:c r="D998" s="21" t="n">
        <x:v>2904932</x:v>
      </x:c>
      <x:c r="E998" s="21" t="n">
        <x:v>43319660</x:v>
      </x:c>
      <x:c r="F998" s="11" t="str">
        <x:v>Nasdaq public historical table</x:v>
      </x:c>
    </x:row>
    <x:row r="999">
      <x:c r="A999" s="14" t="n">
        <x:v>45674</x:v>
      </x:c>
      <x:c r="B999" s="20" t="n">
        <x:v>135.12</x:v>
      </x:c>
      <x:c r="C999" s="20" t="n">
        <x:v>597.58</x:v>
      </x:c>
      <x:c r="D999" s="21" t="n">
        <x:v>3751223</x:v>
      </x:c>
      <x:c r="E999" s="21" t="n">
        <x:v>58070630</x:v>
      </x:c>
      <x:c r="F999" s="11" t="str">
        <x:v>Nasdaq public historical table</x:v>
      </x:c>
    </x:row>
    <x:row r="1000">
      <x:c r="A1000" s="14" t="n">
        <x:v>45678</x:v>
      </x:c>
      <x:c r="B1000" s="20" t="n">
        <x:v>133.07</x:v>
      </x:c>
      <x:c r="C1000" s="20" t="n">
        <x:v>603.05</x:v>
      </x:c>
      <x:c r="D1000" s="21" t="n">
        <x:v>5396777</x:v>
      </x:c>
      <x:c r="E1000" s="21" t="n">
        <x:v>42532850</x:v>
      </x:c>
      <x:c r="F1000" s="11" t="str">
        <x:v>Nasdaq public historical table</x:v>
      </x:c>
    </x:row>
    <x:row r="1001">
      <x:c r="A1001" s="14" t="n">
        <x:v>45679</x:v>
      </x:c>
      <x:c r="B1001" s="20" t="n">
        <x:v>132.5</x:v>
      </x:c>
      <x:c r="C1001" s="20" t="n">
        <x:v>606.44</x:v>
      </x:c>
      <x:c r="D1001" s="21" t="n">
        <x:v>5028540</x:v>
      </x:c>
      <x:c r="E1001" s="21" t="n">
        <x:v>48195970</x:v>
      </x:c>
      <x:c r="F1001" s="11" t="str">
        <x:v>Nasdaq public historical table</x:v>
      </x:c>
    </x:row>
    <x:row r="1002">
      <x:c r="A1002" s="14" t="n">
        <x:v>45680</x:v>
      </x:c>
      <x:c r="B1002" s="20" t="n">
        <x:v>133.24</x:v>
      </x:c>
      <x:c r="C1002" s="20" t="n">
        <x:v>609.75</x:v>
      </x:c>
      <x:c r="D1002" s="21" t="n">
        <x:v>3968199</x:v>
      </x:c>
      <x:c r="E1002" s="21" t="n">
        <x:v>41152100</x:v>
      </x:c>
      <x:c r="F1002" s="11" t="str">
        <x:v>Nasdaq public historical table</x:v>
      </x:c>
    </x:row>
    <x:row r="1003">
      <x:c r="A1003" s="14" t="n">
        <x:v>45681</x:v>
      </x:c>
      <x:c r="B1003" s="20" t="n">
        <x:v>127.09</x:v>
      </x:c>
      <x:c r="C1003" s="20" t="n">
        <x:v>607.97</x:v>
      </x:c>
      <x:c r="D1003" s="21" t="n">
        <x:v>6966883</x:v>
      </x:c>
      <x:c r="E1003" s="21" t="n">
        <x:v>34604690</x:v>
      </x:c>
      <x:c r="F1003" s="11" t="str">
        <x:v>Nasdaq public historical table</x:v>
      </x:c>
    </x:row>
    <x:row r="1004">
      <x:c r="A1004" s="14" t="n">
        <x:v>45684</x:v>
      </x:c>
      <x:c r="B1004" s="20" t="n">
        <x:v>128.96</x:v>
      </x:c>
      <x:c r="C1004" s="20" t="n">
        <x:v>599.37</x:v>
      </x:c>
      <x:c r="D1004" s="21" t="n">
        <x:v>4806967</x:v>
      </x:c>
      <x:c r="E1004" s="21" t="n">
        <x:v>70361130</x:v>
      </x:c>
      <x:c r="F1004" s="11" t="str">
        <x:v>Nasdaq public historical table</x:v>
      </x:c>
    </x:row>
    <x:row r="1005">
      <x:c r="A1005" s="14" t="n">
        <x:v>45685</x:v>
      </x:c>
      <x:c r="B1005" s="20" t="n">
        <x:v>131.05</x:v>
      </x:c>
      <x:c r="C1005" s="20" t="n">
        <x:v>604.52</x:v>
      </x:c>
      <x:c r="D1005" s="21" t="n">
        <x:v>5929900</x:v>
      </x:c>
      <x:c r="E1005" s="21" t="n">
        <x:v>44433320</x:v>
      </x:c>
      <x:c r="F1005" s="11" t="str">
        <x:v>Nasdaq public historical table</x:v>
      </x:c>
    </x:row>
    <x:row r="1006">
      <x:c r="A1006" s="14" t="n">
        <x:v>45686</x:v>
      </x:c>
      <x:c r="B1006" s="20" t="n">
        <x:v>132.58</x:v>
      </x:c>
      <x:c r="C1006" s="20" t="n">
        <x:v>601.81</x:v>
      </x:c>
      <x:c r="D1006" s="21" t="n">
        <x:v>3627926</x:v>
      </x:c>
      <x:c r="E1006" s="21" t="n">
        <x:v>37177430</x:v>
      </x:c>
      <x:c r="F1006" s="11" t="str">
        <x:v>Nasdaq public historical table</x:v>
      </x:c>
    </x:row>
    <x:row r="1007">
      <x:c r="A1007" s="14" t="n">
        <x:v>45687</x:v>
      </x:c>
      <x:c r="B1007" s="20" t="n">
        <x:v>131.79</x:v>
      </x:c>
      <x:c r="C1007" s="20" t="n">
        <x:v>605.04</x:v>
      </x:c>
      <x:c r="D1007" s="21" t="n">
        <x:v>2440541</x:v>
      </x:c>
      <x:c r="E1007" s="21" t="n">
        <x:v>39281260</x:v>
      </x:c>
      <x:c r="F1007" s="11" t="str">
        <x:v>Nasdaq public historical table</x:v>
      </x:c>
    </x:row>
    <x:row r="1008">
      <x:c r="A1008" s="14" t="n">
        <x:v>45688</x:v>
      </x:c>
      <x:c r="B1008" s="20" t="n">
        <x:v>131.17</x:v>
      </x:c>
      <x:c r="C1008" s="20" t="n">
        <x:v>601.82</x:v>
      </x:c>
      <x:c r="D1008" s="21" t="n">
        <x:v>3047116</x:v>
      </x:c>
      <x:c r="E1008" s="21" t="n">
        <x:v>66671470</x:v>
      </x:c>
      <x:c r="F1008" s="11" t="str">
        <x:v>Nasdaq public historical table</x:v>
      </x:c>
    </x:row>
    <x:row r="1009">
      <x:c r="A1009" s="14" t="n">
        <x:v>45691</x:v>
      </x:c>
      <x:c r="B1009" s="20" t="n">
        <x:v>129.78</x:v>
      </x:c>
      <x:c r="C1009" s="20" t="n">
        <x:v>597.77</x:v>
      </x:c>
      <x:c r="D1009" s="21" t="n">
        <x:v>2745002</x:v>
      </x:c>
      <x:c r="E1009" s="21" t="n">
        <x:v>65857250</x:v>
      </x:c>
      <x:c r="F1009" s="11" t="str">
        <x:v>Nasdaq public historical table</x:v>
      </x:c>
    </x:row>
    <x:row r="1010">
      <x:c r="A1010" s="14" t="n">
        <x:v>45692</x:v>
      </x:c>
      <x:c r="B1010" s="20" t="n">
        <x:v>130.74</x:v>
      </x:c>
      <x:c r="C1010" s="20" t="n">
        <x:v>601.78</x:v>
      </x:c>
      <x:c r="D1010" s="21" t="n">
        <x:v>2687169</x:v>
      </x:c>
      <x:c r="E1010" s="21" t="n">
        <x:v>33457820</x:v>
      </x:c>
      <x:c r="F1010" s="11" t="str">
        <x:v>Nasdaq public historical table</x:v>
      </x:c>
    </x:row>
    <x:row r="1011">
      <x:c r="A1011" s="14" t="n">
        <x:v>45693</x:v>
      </x:c>
      <x:c r="B1011" s="20" t="n">
        <x:v>129.6</x:v>
      </x:c>
      <x:c r="C1011" s="20" t="n">
        <x:v>604.22</x:v>
      </x:c>
      <x:c r="D1011" s="21" t="n">
        <x:v>3001069</x:v>
      </x:c>
      <x:c r="E1011" s="21" t="n">
        <x:v>30653150</x:v>
      </x:c>
      <x:c r="F1011" s="11" t="str">
        <x:v>Nasdaq public historical table</x:v>
      </x:c>
    </x:row>
    <x:row r="1012">
      <x:c r="A1012" s="14" t="n">
        <x:v>45694</x:v>
      </x:c>
      <x:c r="B1012" s="20" t="n">
        <x:v>132.57</x:v>
      </x:c>
      <x:c r="C1012" s="20" t="n">
        <x:v>606.32</x:v>
      </x:c>
      <x:c r="D1012" s="21" t="n">
        <x:v>3704352</x:v>
      </x:c>
      <x:c r="E1012" s="21" t="n">
        <x:v>35771500</x:v>
      </x:c>
      <x:c r="F1012" s="11" t="str">
        <x:v>Nasdaq public historical table</x:v>
      </x:c>
    </x:row>
    <x:row r="1013">
      <x:c r="A1013" s="14" t="n">
        <x:v>45695</x:v>
      </x:c>
      <x:c r="B1013" s="20" t="n">
        <x:v>134.98</x:v>
      </x:c>
      <x:c r="C1013" s="20" t="n">
        <x:v>600.77</x:v>
      </x:c>
      <x:c r="D1013" s="21" t="n">
        <x:v>5933237</x:v>
      </x:c>
      <x:c r="E1013" s="21" t="n">
        <x:v>50788520</x:v>
      </x:c>
      <x:c r="F1013" s="11" t="str">
        <x:v>Nasdaq public historical table</x:v>
      </x:c>
    </x:row>
    <x:row r="1014">
      <x:c r="A1014" s="14" t="n">
        <x:v>45698</x:v>
      </x:c>
      <x:c r="B1014" s="20" t="n">
        <x:v>135.24</x:v>
      </x:c>
      <x:c r="C1014" s="20" t="n">
        <x:v>604.85</x:v>
      </x:c>
      <x:c r="D1014" s="21" t="n">
        <x:v>4760053</x:v>
      </x:c>
      <x:c r="E1014" s="21" t="n">
        <x:v>26048710</x:v>
      </x:c>
      <x:c r="F1014" s="11" t="str">
        <x:v>Nasdaq public historical table</x:v>
      </x:c>
    </x:row>
    <x:row r="1015">
      <x:c r="A1015" s="14" t="n">
        <x:v>45699</x:v>
      </x:c>
      <x:c r="B1015" s="20" t="n">
        <x:v>134.52</x:v>
      </x:c>
      <x:c r="C1015" s="20" t="n">
        <x:v>605.31</x:v>
      </x:c>
      <x:c r="D1015" s="21" t="n">
        <x:v>4042978</x:v>
      </x:c>
      <x:c r="E1015" s="21" t="n">
        <x:v>30056740</x:v>
      </x:c>
      <x:c r="F1015" s="11" t="str">
        <x:v>Nasdaq public historical table</x:v>
      </x:c>
    </x:row>
    <x:row r="1016">
      <x:c r="A1016" s="14" t="n">
        <x:v>45700</x:v>
      </x:c>
      <x:c r="B1016" s="20" t="n">
        <x:v>140.52</x:v>
      </x:c>
      <x:c r="C1016" s="20" t="n">
        <x:v>603.36</x:v>
      </x:c>
      <x:c r="D1016" s="21" t="n">
        <x:v>6147194</x:v>
      </x:c>
      <x:c r="E1016" s="21" t="n">
        <x:v>45076080</x:v>
      </x:c>
      <x:c r="F1016" s="11" t="str">
        <x:v>Nasdaq public historical table</x:v>
      </x:c>
    </x:row>
    <x:row r="1017">
      <x:c r="A1017" s="14" t="n">
        <x:v>45701</x:v>
      </x:c>
      <x:c r="B1017" s="20" t="n">
        <x:v>141.04</x:v>
      </x:c>
      <x:c r="C1017" s="20" t="n">
        <x:v>609.73</x:v>
      </x:c>
      <x:c r="D1017" s="21" t="n">
        <x:v>12745330</x:v>
      </x:c>
      <x:c r="E1017" s="21" t="n">
        <x:v>40921300</x:v>
      </x:c>
      <x:c r="F1017" s="11" t="str">
        <x:v>Nasdaq public historical table</x:v>
      </x:c>
    </x:row>
    <x:row r="1018">
      <x:c r="A1018" s="14" t="n">
        <x:v>45702</x:v>
      </x:c>
      <x:c r="B1018" s="20" t="n">
        <x:v>161.42</x:v>
      </x:c>
      <x:c r="C1018" s="20" t="n">
        <x:v>609.7</x:v>
      </x:c>
      <x:c r="D1018" s="21" t="n">
        <x:v>21649320</x:v>
      </x:c>
      <x:c r="E1018" s="21" t="n">
        <x:v>26910450</x:v>
      </x:c>
      <x:c r="F1018" s="11" t="str">
        <x:v>Nasdaq public historical table</x:v>
      </x:c>
    </x:row>
    <x:row r="1019">
      <x:c r="A1019" s="14" t="n">
        <x:v>45706</x:v>
      </x:c>
      <x:c r="B1019" s="20" t="n">
        <x:v>160.6</x:v>
      </x:c>
      <x:c r="C1019" s="20" t="n">
        <x:v>611.49</x:v>
      </x:c>
      <x:c r="D1019" s="21" t="n">
        <x:v>8144501</x:v>
      </x:c>
      <x:c r="E1019" s="21" t="n">
        <x:v>26749030</x:v>
      </x:c>
      <x:c r="F1019" s="11" t="str">
        <x:v>Nasdaq public historical table</x:v>
      </x:c>
    </x:row>
    <x:row r="1020">
      <x:c r="A1020" s="14" t="n">
        <x:v>45707</x:v>
      </x:c>
      <x:c r="B1020" s="20" t="n">
        <x:v>157.98</x:v>
      </x:c>
      <x:c r="C1020" s="20" t="n">
        <x:v>612.93</x:v>
      </x:c>
      <x:c r="D1020" s="21" t="n">
        <x:v>6906074</x:v>
      </x:c>
      <x:c r="E1020" s="21" t="n">
        <x:v>31011070</x:v>
      </x:c>
      <x:c r="F1020" s="11" t="str">
        <x:v>Nasdaq public historical table</x:v>
      </x:c>
    </x:row>
    <x:row r="1021">
      <x:c r="A1021" s="14" t="n">
        <x:v>45708</x:v>
      </x:c>
      <x:c r="B1021" s="20" t="n">
        <x:v>155.31</x:v>
      </x:c>
      <x:c r="C1021" s="20" t="n">
        <x:v>610.38</x:v>
      </x:c>
      <x:c r="D1021" s="21" t="n">
        <x:v>5099655</x:v>
      </x:c>
      <x:c r="E1021" s="21" t="n">
        <x:v>36554000</x:v>
      </x:c>
      <x:c r="F1021" s="11" t="str">
        <x:v>Nasdaq public historical table</x:v>
      </x:c>
    </x:row>
    <x:row r="1022">
      <x:c r="A1022" s="14" t="n">
        <x:v>45709</x:v>
      </x:c>
      <x:c r="B1022" s="20" t="n">
        <x:v>146.07</x:v>
      </x:c>
      <x:c r="C1022" s="20" t="n">
        <x:v>599.94</x:v>
      </x:c>
      <x:c r="D1022" s="21" t="n">
        <x:v>7356423</x:v>
      </x:c>
      <x:c r="E1022" s="21" t="n">
        <x:v>76519820</x:v>
      </x:c>
      <x:c r="F1022" s="11" t="str">
        <x:v>Nasdaq public historical table</x:v>
      </x:c>
    </x:row>
    <x:row r="1023">
      <x:c r="A1023" s="14" t="n">
        <x:v>45712</x:v>
      </x:c>
      <x:c r="B1023" s="20" t="n">
        <x:v>144.82</x:v>
      </x:c>
      <x:c r="C1023" s="20" t="n">
        <x:v>597.21</x:v>
      </x:c>
      <x:c r="D1023" s="21" t="n">
        <x:v>4478917</x:v>
      </x:c>
      <x:c r="E1023" s="21" t="n">
        <x:v>50737210</x:v>
      </x:c>
      <x:c r="F1023" s="11" t="str">
        <x:v>Nasdaq public historical table</x:v>
      </x:c>
    </x:row>
    <x:row r="1024">
      <x:c r="A1024" s="14" t="n">
        <x:v>45713</x:v>
      </x:c>
      <x:c r="B1024" s="20" t="n">
        <x:v>141.55</x:v>
      </x:c>
      <x:c r="C1024" s="20" t="n">
        <x:v>594.24</x:v>
      </x:c>
      <x:c r="D1024" s="21" t="n">
        <x:v>6189194</x:v>
      </x:c>
      <x:c r="E1024" s="21" t="n">
        <x:v>58266470</x:v>
      </x:c>
      <x:c r="F1024" s="11" t="str">
        <x:v>Nasdaq public historical table</x:v>
      </x:c>
    </x:row>
    <x:row r="1025">
      <x:c r="A1025" s="14" t="n">
        <x:v>45714</x:v>
      </x:c>
      <x:c r="B1025" s="20" t="n">
        <x:v>144.03</x:v>
      </x:c>
      <x:c r="C1025" s="20" t="n">
        <x:v>594.54</x:v>
      </x:c>
      <x:c r="D1025" s="21" t="n">
        <x:v>2910748</x:v>
      </x:c>
      <x:c r="E1025" s="21" t="n">
        <x:v>43321580</x:v>
      </x:c>
      <x:c r="F1025" s="11" t="str">
        <x:v>Nasdaq public historical table</x:v>
      </x:c>
    </x:row>
    <x:row r="1026">
      <x:c r="A1026" s="14" t="n">
        <x:v>45715</x:v>
      </x:c>
      <x:c r="B1026" s="20" t="n">
        <x:v>139.45</x:v>
      </x:c>
      <x:c r="C1026" s="20" t="n">
        <x:v>585.05</x:v>
      </x:c>
      <x:c r="D1026" s="21" t="n">
        <x:v>4411760</x:v>
      </x:c>
      <x:c r="E1026" s="21" t="n">
        <x:v>74196660</x:v>
      </x:c>
      <x:c r="F1026" s="11" t="str">
        <x:v>Nasdaq public historical table</x:v>
      </x:c>
    </x:row>
    <x:row r="1027">
      <x:c r="A1027" s="14" t="n">
        <x:v>45716</x:v>
      </x:c>
      <x:c r="B1027" s="20" t="n">
        <x:v>138.87</x:v>
      </x:c>
      <x:c r="C1027" s="20" t="n">
        <x:v>594.18</x:v>
      </x:c>
      <x:c r="D1027" s="21" t="n">
        <x:v>6253063</x:v>
      </x:c>
      <x:c r="E1027" s="21" t="n">
        <x:v>88744110</x:v>
      </x:c>
      <x:c r="F1027" s="11" t="str">
        <x:v>Nasdaq public historical table</x:v>
      </x:c>
    </x:row>
    <x:row r="1028">
      <x:c r="A1028" s="14" t="n">
        <x:v>45719</x:v>
      </x:c>
      <x:c r="B1028" s="20" t="n">
        <x:v>140.98</x:v>
      </x:c>
      <x:c r="C1028" s="20" t="n">
        <x:v>583.77</x:v>
      </x:c>
      <x:c r="D1028" s="21" t="n">
        <x:v>6688879</x:v>
      </x:c>
      <x:c r="E1028" s="21" t="n">
        <x:v>74249200</x:v>
      </x:c>
      <x:c r="F1028" s="11" t="str">
        <x:v>Nasdaq public historical table</x:v>
      </x:c>
    </x:row>
    <x:row r="1029">
      <x:c r="A1029" s="14" t="n">
        <x:v>45720</x:v>
      </x:c>
      <x:c r="B1029" s="20" t="n">
        <x:v>141.42</x:v>
      </x:c>
      <x:c r="C1029" s="20" t="n">
        <x:v>576.86</x:v>
      </x:c>
      <x:c r="D1029" s="21" t="n">
        <x:v>4799516</x:v>
      </x:c>
      <x:c r="E1029" s="21" t="n">
        <x:v>109648200</x:v>
      </x:c>
      <x:c r="F1029" s="11" t="str">
        <x:v>Nasdaq public historical table</x:v>
      </x:c>
    </x:row>
    <x:row r="1030">
      <x:c r="A1030" s="14" t="n">
        <x:v>45721</x:v>
      </x:c>
      <x:c r="B1030" s="20" t="n">
        <x:v>142.58</x:v>
      </x:c>
      <x:c r="C1030" s="20" t="n">
        <x:v>583.06</x:v>
      </x:c>
      <x:c r="D1030" s="21" t="n">
        <x:v>3881642</x:v>
      </x:c>
      <x:c r="E1030" s="21" t="n">
        <x:v>71230530</x:v>
      </x:c>
      <x:c r="F1030" s="11" t="str">
        <x:v>Nasdaq public historical table</x:v>
      </x:c>
    </x:row>
    <x:row r="1031">
      <x:c r="A1031" s="14" t="n">
        <x:v>45722</x:v>
      </x:c>
      <x:c r="B1031" s="20" t="n">
        <x:v>134.77</x:v>
      </x:c>
      <x:c r="C1031" s="20" t="n">
        <x:v>572.71</x:v>
      </x:c>
      <x:c r="D1031" s="21" t="n">
        <x:v>5924270</x:v>
      </x:c>
      <x:c r="E1031" s="21" t="n">
        <x:v>80094870</x:v>
      </x:c>
      <x:c r="F1031" s="11" t="str">
        <x:v>Nasdaq public historical table</x:v>
      </x:c>
    </x:row>
    <x:row r="1032">
      <x:c r="A1032" s="14" t="n">
        <x:v>45723</x:v>
      </x:c>
      <x:c r="B1032" s="20" t="n">
        <x:v>134.39</x:v>
      </x:c>
      <x:c r="C1032" s="20" t="n">
        <x:v>575.92</x:v>
      </x:c>
      <x:c r="D1032" s="21" t="n">
        <x:v>5616851</x:v>
      </x:c>
      <x:c r="E1032" s="21" t="n">
        <x:v>81158820</x:v>
      </x:c>
      <x:c r="F1032" s="11" t="str">
        <x:v>Nasdaq public historical table</x:v>
      </x:c>
    </x:row>
    <x:row r="1033">
      <x:c r="A1033" s="14" t="n">
        <x:v>45726</x:v>
      </x:c>
      <x:c r="B1033" s="20" t="n">
        <x:v>132.15</x:v>
      </x:c>
      <x:c r="C1033" s="20" t="n">
        <x:v>560.58</x:v>
      </x:c>
      <x:c r="D1033" s="21" t="n">
        <x:v>7493002</x:v>
      </x:c>
      <x:c r="E1033" s="21" t="n">
        <x:v>99326620</x:v>
      </x:c>
      <x:c r="F1033" s="11" t="str">
        <x:v>Nasdaq public historical table</x:v>
      </x:c>
    </x:row>
    <x:row r="1034">
      <x:c r="A1034" s="14" t="n">
        <x:v>45727</x:v>
      </x:c>
      <x:c r="B1034" s="20" t="n">
        <x:v>125.44</x:v>
      </x:c>
      <x:c r="C1034" s="20" t="n">
        <x:v>555.92</x:v>
      </x:c>
      <x:c r="D1034" s="21" t="n">
        <x:v>9318416</x:v>
      </x:c>
      <x:c r="E1034" s="21" t="n">
        <x:v>88102110</x:v>
      </x:c>
      <x:c r="F1034" s="11" t="str">
        <x:v>Nasdaq public historical table</x:v>
      </x:c>
    </x:row>
    <x:row r="1035">
      <x:c r="A1035" s="14" t="n">
        <x:v>45728</x:v>
      </x:c>
      <x:c r="B1035" s="20" t="n">
        <x:v>126.55</x:v>
      </x:c>
      <x:c r="C1035" s="20" t="n">
        <x:v>558.87</x:v>
      </x:c>
      <x:c r="D1035" s="21" t="n">
        <x:v>4834071</x:v>
      </x:c>
      <x:c r="E1035" s="21" t="n">
        <x:v>69588170</x:v>
      </x:c>
      <x:c r="F1035" s="11" t="str">
        <x:v>Nasdaq public historical table</x:v>
      </x:c>
    </x:row>
    <x:row r="1036">
      <x:c r="A1036" s="14" t="n">
        <x:v>45729</x:v>
      </x:c>
      <x:c r="B1036" s="20" t="n">
        <x:v>119.38</x:v>
      </x:c>
      <x:c r="C1036" s="20" t="n">
        <x:v>551.42</x:v>
      </x:c>
      <x:c r="D1036" s="21" t="n">
        <x:v>7669670</x:v>
      </x:c>
      <x:c r="E1036" s="21" t="n">
        <x:v>74079410</x:v>
      </x:c>
      <x:c r="F1036" s="11" t="str">
        <x:v>Nasdaq public historical table</x:v>
      </x:c>
    </x:row>
    <x:row r="1037">
      <x:c r="A1037" s="14" t="n">
        <x:v>45730</x:v>
      </x:c>
      <x:c r="B1037" s="20" t="n">
        <x:v>122.86</x:v>
      </x:c>
      <x:c r="C1037" s="20" t="n">
        <x:v>562.81</x:v>
      </x:c>
      <x:c r="D1037" s="21" t="n">
        <x:v>4418189</x:v>
      </x:c>
      <x:c r="E1037" s="21" t="n">
        <x:v>62660320</x:v>
      </x:c>
      <x:c r="F1037" s="11" t="str">
        <x:v>Nasdaq public historical table</x:v>
      </x:c>
    </x:row>
    <x:row r="1038">
      <x:c r="A1038" s="14" t="n">
        <x:v>45733</x:v>
      </x:c>
      <x:c r="B1038" s="20" t="n">
        <x:v>126.94</x:v>
      </x:c>
      <x:c r="C1038" s="20" t="n">
        <x:v>567.15</x:v>
      </x:c>
      <x:c r="D1038" s="21" t="n">
        <x:v>5266169</x:v>
      </x:c>
      <x:c r="E1038" s="21" t="n">
        <x:v>49008710</x:v>
      </x:c>
      <x:c r="F1038" s="11" t="str">
        <x:v>Nasdaq public historical table</x:v>
      </x:c>
    </x:row>
    <x:row r="1039">
      <x:c r="A1039" s="14" t="n">
        <x:v>45734</x:v>
      </x:c>
      <x:c r="B1039" s="20" t="n">
        <x:v>124.56</x:v>
      </x:c>
      <x:c r="C1039" s="20" t="n">
        <x:v>561.02</x:v>
      </x:c>
      <x:c r="D1039" s="21" t="n">
        <x:v>3918026</x:v>
      </x:c>
      <x:c r="E1039" s="21" t="n">
        <x:v>66041420</x:v>
      </x:c>
      <x:c r="F1039" s="11" t="str">
        <x:v>Nasdaq public historical table</x:v>
      </x:c>
    </x:row>
    <x:row r="1040">
      <x:c r="A1040" s="14" t="n">
        <x:v>45735</x:v>
      </x:c>
      <x:c r="B1040" s="20" t="n">
        <x:v>126</x:v>
      </x:c>
      <x:c r="C1040" s="20" t="n">
        <x:v>567.13</x:v>
      </x:c>
      <x:c r="D1040" s="21" t="n">
        <x:v>4353075</x:v>
      </x:c>
      <x:c r="E1040" s="21" t="n">
        <x:v>66555990</x:v>
      </x:c>
      <x:c r="F1040" s="11" t="str">
        <x:v>Nasdaq public historical table</x:v>
      </x:c>
    </x:row>
    <x:row r="1041">
      <x:c r="A1041" s="14" t="n">
        <x:v>45736</x:v>
      </x:c>
      <x:c r="B1041" s="20" t="n">
        <x:v>126.15</x:v>
      </x:c>
      <x:c r="C1041" s="20" t="n">
        <x:v>565.49</x:v>
      </x:c>
      <x:c r="D1041" s="21" t="n">
        <x:v>3260630</x:v>
      </x:c>
      <x:c r="E1041" s="21" t="n">
        <x:v>62958200</x:v>
      </x:c>
      <x:c r="F1041" s="11" t="str">
        <x:v>Nasdaq public historical table</x:v>
      </x:c>
    </x:row>
    <x:row r="1042">
      <x:c r="A1042" s="14" t="n">
        <x:v>45737</x:v>
      </x:c>
      <x:c r="B1042" s="20" t="n">
        <x:v>128.8</x:v>
      </x:c>
      <x:c r="C1042" s="20" t="n">
        <x:v>563.98</x:v>
      </x:c>
      <x:c r="D1042" s="21" t="n">
        <x:v>8704602</x:v>
      </x:c>
      <x:c r="E1042" s="21" t="n">
        <x:v>83762960</x:v>
      </x:c>
      <x:c r="F1042" s="11" t="str">
        <x:v>Nasdaq public historical table</x:v>
      </x:c>
    </x:row>
    <x:row r="1043">
      <x:c r="A1043" s="14" t="n">
        <x:v>45740</x:v>
      </x:c>
      <x:c r="B1043" s="20" t="n">
        <x:v>129.82</x:v>
      </x:c>
      <x:c r="C1043" s="20" t="n">
        <x:v>574.08</x:v>
      </x:c>
      <x:c r="D1043" s="21" t="n">
        <x:v>3706638</x:v>
      </x:c>
      <x:c r="E1043" s="21" t="n">
        <x:v>58766800</x:v>
      </x:c>
      <x:c r="F1043" s="11" t="str">
        <x:v>Nasdaq public historical table</x:v>
      </x:c>
    </x:row>
    <x:row r="1044">
      <x:c r="A1044" s="14" t="n">
        <x:v>45741</x:v>
      </x:c>
      <x:c r="B1044" s="20" t="n">
        <x:v>129.88</x:v>
      </x:c>
      <x:c r="C1044" s="20" t="n">
        <x:v>575.46</x:v>
      </x:c>
      <x:c r="D1044" s="21" t="n">
        <x:v>4362943</x:v>
      </x:c>
      <x:c r="E1044" s="21" t="n">
        <x:v>38355740</x:v>
      </x:c>
      <x:c r="F1044" s="11" t="str">
        <x:v>Nasdaq public historical table</x:v>
      </x:c>
    </x:row>
    <x:row r="1045">
      <x:c r="A1045" s="14" t="n">
        <x:v>45742</x:v>
      </x:c>
      <x:c r="B1045" s="20" t="n">
        <x:v>128.64</x:v>
      </x:c>
      <x:c r="C1045" s="20" t="n">
        <x:v>568.59</x:v>
      </x:c>
      <x:c r="D1045" s="21" t="n">
        <x:v>3504665</x:v>
      </x:c>
      <x:c r="E1045" s="21" t="n">
        <x:v>52228900</x:v>
      </x:c>
      <x:c r="F1045" s="11" t="str">
        <x:v>Nasdaq public historical table</x:v>
      </x:c>
    </x:row>
    <x:row r="1046">
      <x:c r="A1046" s="14" t="n">
        <x:v>45743</x:v>
      </x:c>
      <x:c r="B1046" s="20" t="n">
        <x:v>125.65</x:v>
      </x:c>
      <x:c r="C1046" s="20" t="n">
        <x:v>567.08</x:v>
      </x:c>
      <x:c r="D1046" s="21" t="n">
        <x:v>4904488</x:v>
      </x:c>
      <x:c r="E1046" s="21" t="n">
        <x:v>42164250</x:v>
      </x:c>
      <x:c r="F1046" s="11" t="str">
        <x:v>Nasdaq public historical table</x:v>
      </x:c>
    </x:row>
    <x:row r="1047">
      <x:c r="A1047" s="14" t="n">
        <x:v>45744</x:v>
      </x:c>
      <x:c r="B1047" s="20" t="n">
        <x:v>120.69</x:v>
      </x:c>
      <x:c r="C1047" s="20" t="n">
        <x:v>555.66</x:v>
      </x:c>
      <x:c r="D1047" s="21" t="n">
        <x:v>3997126</x:v>
      </x:c>
      <x:c r="E1047" s="21" t="n">
        <x:v>71662650</x:v>
      </x:c>
      <x:c r="F1047" s="11" t="str">
        <x:v>Nasdaq public historical table</x:v>
      </x:c>
    </x:row>
    <x:row r="1048">
      <x:c r="A1048" s="14" t="n">
        <x:v>45747</x:v>
      </x:c>
      <x:c r="B1048" s="20" t="n">
        <x:v>119.46</x:v>
      </x:c>
      <x:c r="C1048" s="20" t="n">
        <x:v>559.39</x:v>
      </x:c>
      <x:c r="D1048" s="21" t="n">
        <x:v>7090262</x:v>
      </x:c>
      <x:c r="E1048" s="21" t="n">
        <x:v>95328210</x:v>
      </x:c>
      <x:c r="F1048" s="11" t="str">
        <x:v>Nasdaq public historical table</x:v>
      </x:c>
    </x:row>
    <x:row r="1049">
      <x:c r="A1049" s="14" t="n">
        <x:v>45748</x:v>
      </x:c>
      <x:c r="B1049" s="20" t="n">
        <x:v>121.18</x:v>
      </x:c>
      <x:c r="C1049" s="20" t="n">
        <x:v>560.97</x:v>
      </x:c>
      <x:c r="D1049" s="21" t="n">
        <x:v>3916445</x:v>
      </x:c>
      <x:c r="E1049" s="21" t="n">
        <x:v>54609640</x:v>
      </x:c>
      <x:c r="F1049" s="11" t="str">
        <x:v>Nasdaq public historical table</x:v>
      </x:c>
    </x:row>
    <x:row r="1050">
      <x:c r="A1050" s="14" t="n">
        <x:v>45749</x:v>
      </x:c>
      <x:c r="B1050" s="20" t="n">
        <x:v>122.8</x:v>
      </x:c>
      <x:c r="C1050" s="20" t="n">
        <x:v>564.52</x:v>
      </x:c>
      <x:c r="D1050" s="21" t="n">
        <x:v>5184821</x:v>
      </x:c>
      <x:c r="E1050" s="21" t="n">
        <x:v>76014540</x:v>
      </x:c>
      <x:c r="F1050" s="11" t="str">
        <x:v>Nasdaq public historical table</x:v>
      </x:c>
    </x:row>
    <x:row r="1051">
      <x:c r="A1051" s="14" t="n">
        <x:v>45750</x:v>
      </x:c>
      <x:c r="B1051" s="20" t="n">
        <x:v>113.97</x:v>
      </x:c>
      <x:c r="C1051" s="20" t="n">
        <x:v>536.7</x:v>
      </x:c>
      <x:c r="D1051" s="21" t="n">
        <x:v>7950574</x:v>
      </x:c>
      <x:c r="E1051" s="21" t="n">
        <x:v>125986000</x:v>
      </x:c>
      <x:c r="F1051" s="11" t="str">
        <x:v>Nasdaq public historical table</x:v>
      </x:c>
    </x:row>
    <x:row r="1052">
      <x:c r="A1052" s="14" t="n">
        <x:v>45751</x:v>
      </x:c>
      <x:c r="B1052" s="20" t="n">
        <x:v>106.66</x:v>
      </x:c>
      <x:c r="C1052" s="20" t="n">
        <x:v>505.28</x:v>
      </x:c>
      <x:c r="D1052" s="21" t="n">
        <x:v>10259900</x:v>
      </x:c>
      <x:c r="E1052" s="21" t="n">
        <x:v>217965100</x:v>
      </x:c>
      <x:c r="F1052" s="11" t="str">
        <x:v>Nasdaq public historical table</x:v>
      </x:c>
    </x:row>
    <x:row r="1053">
      <x:c r="A1053" s="14" t="n">
        <x:v>45754</x:v>
      </x:c>
      <x:c r="B1053" s="20" t="n">
        <x:v>106.3</x:v>
      </x:c>
      <x:c r="C1053" s="20" t="n">
        <x:v>504.38</x:v>
      </x:c>
      <x:c r="D1053" s="21" t="n">
        <x:v>9975609</x:v>
      </x:c>
      <x:c r="E1053" s="21" t="n">
        <x:v>256611400</x:v>
      </x:c>
      <x:c r="F1053" s="11" t="str">
        <x:v>Nasdaq public historical table</x:v>
      </x:c>
    </x:row>
    <x:row r="1054">
      <x:c r="A1054" s="14" t="n">
        <x:v>45755</x:v>
      </x:c>
      <x:c r="B1054" s="20" t="n">
        <x:v>105.69</x:v>
      </x:c>
      <x:c r="C1054" s="20" t="n">
        <x:v>496.48</x:v>
      </x:c>
      <x:c r="D1054" s="21" t="n">
        <x:v>7661500</x:v>
      </x:c>
      <x:c r="E1054" s="21" t="n">
        <x:v>165816600</x:v>
      </x:c>
      <x:c r="F1054" s="11" t="str">
        <x:v>Nasdaq public historical table</x:v>
      </x:c>
    </x:row>
    <x:row r="1055">
      <x:c r="A1055" s="14" t="n">
        <x:v>45756</x:v>
      </x:c>
      <x:c r="B1055" s="20" t="n">
        <x:v>121.32</x:v>
      </x:c>
      <x:c r="C1055" s="20" t="n">
        <x:v>548.62</x:v>
      </x:c>
      <x:c r="D1055" s="21" t="n">
        <x:v>12840720</x:v>
      </x:c>
      <x:c r="E1055" s="21" t="n">
        <x:v>241867300</x:v>
      </x:c>
      <x:c r="F1055" s="11" t="str">
        <x:v>Nasdaq public historical table</x:v>
      </x:c>
    </x:row>
    <x:row r="1056">
      <x:c r="A1056" s="14" t="n">
        <x:v>45757</x:v>
      </x:c>
      <x:c r="B1056" s="20" t="n">
        <x:v>113.91</x:v>
      </x:c>
      <x:c r="C1056" s="20" t="n">
        <x:v>524.58</x:v>
      </x:c>
      <x:c r="D1056" s="21" t="n">
        <x:v>6929590</x:v>
      </x:c>
      <x:c r="E1056" s="21" t="n">
        <x:v>162331200</x:v>
      </x:c>
      <x:c r="F1056" s="11" t="str">
        <x:v>Nasdaq public historical table</x:v>
      </x:c>
    </x:row>
    <x:row r="1057">
      <x:c r="A1057" s="14" t="n">
        <x:v>45758</x:v>
      </x:c>
      <x:c r="B1057" s="20" t="n">
        <x:v>114.54</x:v>
      </x:c>
      <x:c r="C1057" s="20" t="n">
        <x:v>533.94</x:v>
      </x:c>
      <x:c r="D1057" s="21" t="n">
        <x:v>4817600</x:v>
      </x:c>
      <x:c r="E1057" s="21" t="n">
        <x:v>97866330</x:v>
      </x:c>
      <x:c r="F1057" s="11" t="str">
        <x:v>Nasdaq public historical table</x:v>
      </x:c>
    </x:row>
    <x:row r="1058">
      <x:c r="A1058" s="14" t="n">
        <x:v>45761</x:v>
      </x:c>
      <x:c r="B1058" s="20" t="n">
        <x:v>113.22</x:v>
      </x:c>
      <x:c r="C1058" s="20" t="n">
        <x:v>539.12</x:v>
      </x:c>
      <x:c r="D1058" s="21" t="n">
        <x:v>4338183</x:v>
      </x:c>
      <x:c r="E1058" s="21" t="n">
        <x:v>68033990</x:v>
      </x:c>
      <x:c r="F1058" s="11" t="str">
        <x:v>Nasdaq public historical table</x:v>
      </x:c>
    </x:row>
    <x:row r="1059">
      <x:c r="A1059" s="14" t="n">
        <x:v>45762</x:v>
      </x:c>
      <x:c r="B1059" s="20" t="n">
        <x:v>114.64</x:v>
      </x:c>
      <x:c r="C1059" s="20" t="n">
        <x:v>537.61</x:v>
      </x:c>
      <x:c r="D1059" s="21" t="n">
        <x:v>5182448</x:v>
      </x:c>
      <x:c r="E1059" s="21" t="n">
        <x:v>56892870</x:v>
      </x:c>
      <x:c r="F1059" s="11" t="str">
        <x:v>Nasdaq public historical table</x:v>
      </x:c>
    </x:row>
    <x:row r="1060">
      <x:c r="A1060" s="14" t="n">
        <x:v>45763</x:v>
      </x:c>
      <x:c r="B1060" s="20" t="n">
        <x:v>112.64</x:v>
      </x:c>
      <x:c r="C1060" s="20" t="n">
        <x:v>525.66</x:v>
      </x:c>
      <x:c r="D1060" s="21" t="n">
        <x:v>5026557</x:v>
      </x:c>
      <x:c r="E1060" s="21" t="n">
        <x:v>83484810</x:v>
      </x:c>
      <x:c r="F1060" s="11" t="str">
        <x:v>Nasdaq public historical table</x:v>
      </x:c>
    </x:row>
    <x:row r="1061">
      <x:c r="A1061" s="14" t="n">
        <x:v>45764</x:v>
      </x:c>
      <x:c r="B1061" s="20" t="n">
        <x:v>112.7</x:v>
      </x:c>
      <x:c r="C1061" s="20" t="n">
        <x:v>526.41</x:v>
      </x:c>
      <x:c r="D1061" s="21" t="n">
        <x:v>4454738</x:v>
      </x:c>
      <x:c r="E1061" s="21" t="n">
        <x:v>79868080</x:v>
      </x:c>
      <x:c r="F1061" s="11" t="str">
        <x:v>Nasdaq public historical table</x:v>
      </x:c>
    </x:row>
    <x:row r="1062">
      <x:c r="A1062" s="14" t="n">
        <x:v>45768</x:v>
      </x:c>
      <x:c r="B1062" s="20" t="n">
        <x:v>111.61</x:v>
      </x:c>
      <x:c r="C1062" s="20" t="n">
        <x:v>513.88</x:v>
      </x:c>
      <x:c r="D1062" s="21" t="n">
        <x:v>5695003</x:v>
      </x:c>
      <x:c r="E1062" s="21" t="n">
        <x:v>69368130</x:v>
      </x:c>
      <x:c r="F1062" s="11" t="str">
        <x:v>Nasdaq public historical table</x:v>
      </x:c>
    </x:row>
    <x:row r="1063">
      <x:c r="A1063" s="14" t="n">
        <x:v>45769</x:v>
      </x:c>
      <x:c r="B1063" s="20" t="n">
        <x:v>114.91</x:v>
      </x:c>
      <x:c r="C1063" s="20" t="n">
        <x:v>527.25</x:v>
      </x:c>
      <x:c r="D1063" s="21" t="n">
        <x:v>4827240</x:v>
      </x:c>
      <x:c r="E1063" s="21" t="n">
        <x:v>75948120</x:v>
      </x:c>
      <x:c r="F1063" s="11" t="str">
        <x:v>Nasdaq public historical table</x:v>
      </x:c>
    </x:row>
    <x:row r="1064">
      <x:c r="A1064" s="14" t="n">
        <x:v>45770</x:v>
      </x:c>
      <x:c r="B1064" s="20" t="n">
        <x:v>118.28</x:v>
      </x:c>
      <x:c r="C1064" s="20" t="n">
        <x:v>535.42</x:v>
      </x:c>
      <x:c r="D1064" s="21" t="n">
        <x:v>5183356</x:v>
      </x:c>
      <x:c r="E1064" s="21" t="n">
        <x:v>90590660</x:v>
      </x:c>
      <x:c r="F1064" s="11" t="str">
        <x:v>Nasdaq public historical table</x:v>
      </x:c>
    </x:row>
    <x:row r="1065">
      <x:c r="A1065" s="14" t="n">
        <x:v>45771</x:v>
      </x:c>
      <x:c r="B1065" s="20" t="n">
        <x:v>121.71</x:v>
      </x:c>
      <x:c r="C1065" s="20" t="n">
        <x:v>546.69</x:v>
      </x:c>
      <x:c r="D1065" s="21" t="n">
        <x:v>3690309</x:v>
      </x:c>
      <x:c r="E1065" s="21" t="n">
        <x:v>64150420</x:v>
      </x:c>
      <x:c r="F1065" s="11" t="str">
        <x:v>Nasdaq public historical table</x:v>
      </x:c>
    </x:row>
    <x:row r="1066">
      <x:c r="A1066" s="14" t="n">
        <x:v>45772</x:v>
      </x:c>
      <x:c r="B1066" s="20" t="n">
        <x:v>122.51</x:v>
      </x:c>
      <x:c r="C1066" s="20" t="n">
        <x:v>550.64</x:v>
      </x:c>
      <x:c r="D1066" s="21" t="n">
        <x:v>2905028</x:v>
      </x:c>
      <x:c r="E1066" s="21" t="n">
        <x:v>61119590</x:v>
      </x:c>
      <x:c r="F1066" s="11" t="str">
        <x:v>Nasdaq public historical table</x:v>
      </x:c>
    </x:row>
    <x:row r="1067">
      <x:c r="A1067" s="14" t="n">
        <x:v>45775</x:v>
      </x:c>
      <x:c r="B1067" s="20" t="n">
        <x:v>123.3</x:v>
      </x:c>
      <x:c r="C1067" s="20" t="n">
        <x:v>550.85</x:v>
      </x:c>
      <x:c r="D1067" s="21" t="n">
        <x:v>5608777</x:v>
      </x:c>
      <x:c r="E1067" s="21" t="n">
        <x:v>47613760</x:v>
      </x:c>
      <x:c r="F1067" s="11" t="str">
        <x:v>Nasdaq public historical table</x:v>
      </x:c>
    </x:row>
    <x:row r="1068">
      <x:c r="A1068" s="14" t="n">
        <x:v>45776</x:v>
      </x:c>
      <x:c r="B1068" s="20" t="n">
        <x:v>125.49</x:v>
      </x:c>
      <x:c r="C1068" s="20" t="n">
        <x:v>554.32</x:v>
      </x:c>
      <x:c r="D1068" s="21" t="n">
        <x:v>6525371</x:v>
      </x:c>
      <x:c r="E1068" s="21" t="n">
        <x:v>47775120</x:v>
      </x:c>
      <x:c r="F1068" s="11" t="str">
        <x:v>Nasdaq public historical table</x:v>
      </x:c>
    </x:row>
    <x:row r="1069">
      <x:c r="A1069" s="14" t="n">
        <x:v>45777</x:v>
      </x:c>
      <x:c r="B1069" s="20" t="n">
        <x:v>121.92</x:v>
      </x:c>
      <x:c r="C1069" s="20" t="n">
        <x:v>554.54</x:v>
      </x:c>
      <x:c r="D1069" s="21" t="n">
        <x:v>7534188</x:v>
      </x:c>
      <x:c r="E1069" s="21" t="n">
        <x:v>93101460</x:v>
      </x:c>
      <x:c r="F1069" s="11" t="str">
        <x:v>Nasdaq public historical table</x:v>
      </x:c>
    </x:row>
    <x:row r="1070">
      <x:c r="A1070" s="14" t="n">
        <x:v>45778</x:v>
      </x:c>
      <x:c r="B1070" s="20" t="n">
        <x:v>124.01</x:v>
      </x:c>
      <x:c r="C1070" s="20" t="n">
        <x:v>558.47</x:v>
      </x:c>
      <x:c r="D1070" s="21" t="n">
        <x:v>9431762</x:v>
      </x:c>
      <x:c r="E1070" s="21" t="n">
        <x:v>63186150</x:v>
      </x:c>
      <x:c r="F1070" s="11" t="str">
        <x:v>Nasdaq public historical table</x:v>
      </x:c>
    </x:row>
    <x:row r="1071">
      <x:c r="A1071" s="14" t="n">
        <x:v>45779</x:v>
      </x:c>
      <x:c r="B1071" s="20" t="n">
        <x:v>125.26</x:v>
      </x:c>
      <x:c r="C1071" s="20" t="n">
        <x:v>566.76</x:v>
      </x:c>
      <x:c r="D1071" s="21" t="n">
        <x:v>11301620</x:v>
      </x:c>
      <x:c r="E1071" s="21" t="n">
        <x:v>60717270</x:v>
      </x:c>
      <x:c r="F1071" s="11" t="str">
        <x:v>Nasdaq public historical table</x:v>
      </x:c>
    </x:row>
    <x:row r="1072">
      <x:c r="A1072" s="14" t="n">
        <x:v>45782</x:v>
      </x:c>
      <x:c r="B1072" s="20" t="n">
        <x:v>124.89</x:v>
      </x:c>
      <x:c r="C1072" s="20" t="n">
        <x:v>563.51</x:v>
      </x:c>
      <x:c r="D1072" s="21" t="n">
        <x:v>6761722</x:v>
      </x:c>
      <x:c r="E1072" s="21" t="n">
        <x:v>38659220</x:v>
      </x:c>
      <x:c r="F1072" s="11" t="str">
        <x:v>Nasdaq public historical table</x:v>
      </x:c>
    </x:row>
    <x:row r="1073">
      <x:c r="A1073" s="14" t="n">
        <x:v>45783</x:v>
      </x:c>
      <x:c r="B1073" s="20" t="n">
        <x:v>121.67</x:v>
      </x:c>
      <x:c r="C1073" s="20" t="n">
        <x:v>558.8</x:v>
      </x:c>
      <x:c r="D1073" s="21" t="n">
        <x:v>5229296</x:v>
      </x:c>
      <x:c r="E1073" s="21" t="n">
        <x:v>48264710</x:v>
      </x:c>
      <x:c r="F1073" s="11" t="str">
        <x:v>Nasdaq public historical table</x:v>
      </x:c>
    </x:row>
    <x:row r="1074">
      <x:c r="A1074" s="14" t="n">
        <x:v>45784</x:v>
      </x:c>
      <x:c r="B1074" s="20" t="n">
        <x:v>123.12</x:v>
      </x:c>
      <x:c r="C1074" s="20" t="n">
        <x:v>561.15</x:v>
      </x:c>
      <x:c r="D1074" s="21" t="n">
        <x:v>3424249</x:v>
      </x:c>
      <x:c r="E1074" s="21" t="n">
        <x:v>55733230</x:v>
      </x:c>
      <x:c r="F1074" s="11" t="str">
        <x:v>Nasdaq public historical table</x:v>
      </x:c>
    </x:row>
    <x:row r="1075">
      <x:c r="A1075" s="14" t="n">
        <x:v>45785</x:v>
      </x:c>
      <x:c r="B1075" s="20" t="n">
        <x:v>126.39</x:v>
      </x:c>
      <x:c r="C1075" s="20" t="n">
        <x:v>565.06</x:v>
      </x:c>
      <x:c r="D1075" s="21" t="n">
        <x:v>3819882</x:v>
      </x:c>
      <x:c r="E1075" s="21" t="n">
        <x:v>65130790</x:v>
      </x:c>
      <x:c r="F1075" s="11" t="str">
        <x:v>Nasdaq public historical table</x:v>
      </x:c>
    </x:row>
    <x:row r="1076">
      <x:c r="A1076" s="14" t="n">
        <x:v>45786</x:v>
      </x:c>
      <x:c r="B1076" s="20" t="n">
        <x:v>127.04</x:v>
      </x:c>
      <x:c r="C1076" s="20" t="n">
        <x:v>564.34</x:v>
      </x:c>
      <x:c r="D1076" s="21" t="n">
        <x:v>6145152</x:v>
      </x:c>
      <x:c r="E1076" s="21" t="n">
        <x:v>37603430</x:v>
      </x:c>
      <x:c r="F1076" s="11" t="str">
        <x:v>Nasdaq public historical table</x:v>
      </x:c>
    </x:row>
    <x:row r="1077">
      <x:c r="A1077" s="14" t="n">
        <x:v>45789</x:v>
      </x:c>
      <x:c r="B1077" s="20" t="n">
        <x:v>134.21</x:v>
      </x:c>
      <x:c r="C1077" s="20" t="n">
        <x:v>582.99</x:v>
      </x:c>
      <x:c r="D1077" s="21" t="n">
        <x:v>7198291</x:v>
      </x:c>
      <x:c r="E1077" s="21" t="n">
        <x:v>78993570</x:v>
      </x:c>
      <x:c r="F1077" s="11" t="str">
        <x:v>Nasdaq public historical table</x:v>
      </x:c>
    </x:row>
    <x:row r="1078">
      <x:c r="A1078" s="14" t="n">
        <x:v>45790</x:v>
      </x:c>
      <x:c r="B1078" s="20" t="n">
        <x:v>138.05</x:v>
      </x:c>
      <x:c r="C1078" s="20" t="n">
        <x:v>586.84</x:v>
      </x:c>
      <x:c r="D1078" s="21" t="n">
        <x:v>6890732</x:v>
      </x:c>
      <x:c r="E1078" s="21" t="n">
        <x:v>67947230</x:v>
      </x:c>
      <x:c r="F1078" s="11" t="str">
        <x:v>Nasdaq public historical table</x:v>
      </x:c>
    </x:row>
    <x:row r="1079">
      <x:c r="A1079" s="14" t="n">
        <x:v>45791</x:v>
      </x:c>
      <x:c r="B1079" s="20" t="n">
        <x:v>137.45</x:v>
      </x:c>
      <x:c r="C1079" s="20" t="n">
        <x:v>587.59</x:v>
      </x:c>
      <x:c r="D1079" s="21" t="n">
        <x:v>6148712</x:v>
      </x:c>
      <x:c r="E1079" s="21" t="n">
        <x:v>66283530</x:v>
      </x:c>
      <x:c r="F1079" s="11" t="str">
        <x:v>Nasdaq public historical table</x:v>
      </x:c>
    </x:row>
    <x:row r="1080">
      <x:c r="A1080" s="14" t="n">
        <x:v>45792</x:v>
      </x:c>
      <x:c r="B1080" s="20" t="n">
        <x:v>136.79</x:v>
      </x:c>
      <x:c r="C1080" s="20" t="n">
        <x:v>590.46</x:v>
      </x:c>
      <x:c r="D1080" s="21" t="n">
        <x:v>3463732</x:v>
      </x:c>
      <x:c r="E1080" s="21" t="n">
        <x:v>71268150</x:v>
      </x:c>
      <x:c r="F1080" s="11" t="str">
        <x:v>Nasdaq public historical table</x:v>
      </x:c>
    </x:row>
    <x:row r="1081">
      <x:c r="A1081" s="14" t="n">
        <x:v>45793</x:v>
      </x:c>
      <x:c r="B1081" s="20" t="n">
        <x:v>138</x:v>
      </x:c>
      <x:c r="C1081" s="20" t="n">
        <x:v>594.2</x:v>
      </x:c>
      <x:c r="D1081" s="21" t="n">
        <x:v>3690187</x:v>
      </x:c>
      <x:c r="E1081" s="21" t="n">
        <x:v>76052100</x:v>
      </x:c>
      <x:c r="F1081" s="11" t="str">
        <x:v>Nasdaq public historical table</x:v>
      </x:c>
    </x:row>
    <x:row r="1082">
      <x:c r="A1082" s="14" t="n">
        <x:v>45796</x:v>
      </x:c>
      <x:c r="B1082" s="20" t="n">
        <x:v>136.6</x:v>
      </x:c>
      <x:c r="C1082" s="20" t="n">
        <x:v>594.85</x:v>
      </x:c>
      <x:c r="D1082" s="21" t="n">
        <x:v>4904672</x:v>
      </x:c>
      <x:c r="E1082" s="21" t="n">
        <x:v>68168510</x:v>
      </x:c>
      <x:c r="F1082" s="11" t="str">
        <x:v>Nasdaq public historical table</x:v>
      </x:c>
    </x:row>
    <x:row r="1083">
      <x:c r="A1083" s="14" t="n">
        <x:v>45797</x:v>
      </x:c>
      <x:c r="B1083" s="20" t="n">
        <x:v>132.13</x:v>
      </x:c>
      <x:c r="C1083" s="20" t="n">
        <x:v>592.85</x:v>
      </x:c>
      <x:c r="D1083" s="21" t="n">
        <x:v>6607933</x:v>
      </x:c>
      <x:c r="E1083" s="21" t="n">
        <x:v>60614490</x:v>
      </x:c>
      <x:c r="F1083" s="11" t="str">
        <x:v>Nasdaq public historical table</x:v>
      </x:c>
    </x:row>
    <x:row r="1084">
      <x:c r="A1084" s="14" t="n">
        <x:v>45798</x:v>
      </x:c>
      <x:c r="B1084" s="20" t="n">
        <x:v>127.52</x:v>
      </x:c>
      <x:c r="C1084" s="20" t="n">
        <x:v>582.86</x:v>
      </x:c>
      <x:c r="D1084" s="21" t="n">
        <x:v>6687377</x:v>
      </x:c>
      <x:c r="E1084" s="21" t="n">
        <x:v>95197660</x:v>
      </x:c>
      <x:c r="F1084" s="11" t="str">
        <x:v>Nasdaq public historical table</x:v>
      </x:c>
    </x:row>
    <x:row r="1085">
      <x:c r="A1085" s="14" t="n">
        <x:v>45799</x:v>
      </x:c>
      <x:c r="B1085" s="20" t="n">
        <x:v>127.65</x:v>
      </x:c>
      <x:c r="C1085" s="20" t="n">
        <x:v>583.09</x:v>
      </x:c>
      <x:c r="D1085" s="21" t="n">
        <x:v>6451798</x:v>
      </x:c>
      <x:c r="E1085" s="21" t="n">
        <x:v>70860420</x:v>
      </x:c>
      <x:c r="F1085" s="11" t="str">
        <x:v>Nasdaq public historical table</x:v>
      </x:c>
    </x:row>
    <x:row r="1086">
      <x:c r="A1086" s="14" t="n">
        <x:v>45800</x:v>
      </x:c>
      <x:c r="B1086" s="20" t="n">
        <x:v>126.72</x:v>
      </x:c>
      <x:c r="C1086" s="20" t="n">
        <x:v>579.11</x:v>
      </x:c>
      <x:c r="D1086" s="21" t="n">
        <x:v>4371484</x:v>
      </x:c>
      <x:c r="E1086" s="21" t="n">
        <x:v>76029050</x:v>
      </x:c>
      <x:c r="F1086" s="11" t="str">
        <x:v>Nasdaq public historical table</x:v>
      </x:c>
    </x:row>
    <x:row r="1087">
      <x:c r="A1087" s="14" t="n">
        <x:v>45804</x:v>
      </x:c>
      <x:c r="B1087" s="20" t="n">
        <x:v>129.4</x:v>
      </x:c>
      <x:c r="C1087" s="20" t="n">
        <x:v>591.15</x:v>
      </x:c>
      <x:c r="D1087" s="21" t="n">
        <x:v>7243763</x:v>
      </x:c>
      <x:c r="E1087" s="21" t="n">
        <x:v>72588480</x:v>
      </x:c>
      <x:c r="F1087" s="11" t="str">
        <x:v>Nasdaq public historical table</x:v>
      </x:c>
    </x:row>
    <x:row r="1088">
      <x:c r="A1088" s="14" t="n">
        <x:v>45805</x:v>
      </x:c>
      <x:c r="B1088" s="20" t="n">
        <x:v>128.67</x:v>
      </x:c>
      <x:c r="C1088" s="20" t="n">
        <x:v>587.73</x:v>
      </x:c>
      <x:c r="D1088" s="21" t="n">
        <x:v>4752224</x:v>
      </x:c>
      <x:c r="E1088" s="21" t="n">
        <x:v>68445510</x:v>
      </x:c>
      <x:c r="F1088" s="11" t="str">
        <x:v>Nasdaq public historical table</x:v>
      </x:c>
    </x:row>
    <x:row r="1089">
      <x:c r="A1089" s="14" t="n">
        <x:v>45806</x:v>
      </x:c>
      <x:c r="B1089" s="20" t="n">
        <x:v>128.36</x:v>
      </x:c>
      <x:c r="C1089" s="20" t="n">
        <x:v>590.05</x:v>
      </x:c>
      <x:c r="D1089" s="21" t="n">
        <x:v>4681055</x:v>
      </x:c>
      <x:c r="E1089" s="21" t="n">
        <x:v>70073760</x:v>
      </x:c>
      <x:c r="F1089" s="11" t="str">
        <x:v>Nasdaq public historical table</x:v>
      </x:c>
    </x:row>
    <x:row r="1090">
      <x:c r="A1090" s="14" t="n">
        <x:v>45807</x:v>
      </x:c>
      <x:c r="B1090" s="20" t="n">
        <x:v>129</x:v>
      </x:c>
      <x:c r="C1090" s="20" t="n">
        <x:v>589.39</x:v>
      </x:c>
      <x:c r="D1090" s="21" t="n">
        <x:v>9562946</x:v>
      </x:c>
      <x:c r="E1090" s="21" t="n">
        <x:v>90601240</x:v>
      </x:c>
      <x:c r="F1090" s="11" t="str">
        <x:v>Nasdaq public historical table</x:v>
      </x:c>
    </x:row>
    <x:row r="1091">
      <x:c r="A1091" s="14" t="n">
        <x:v>45810</x:v>
      </x:c>
      <x:c r="B1091" s="20" t="n">
        <x:v>129.62</x:v>
      </x:c>
      <x:c r="C1091" s="20" t="n">
        <x:v>592.71</x:v>
      </x:c>
      <x:c r="D1091" s="21" t="n">
        <x:v>5223064</x:v>
      </x:c>
      <x:c r="E1091" s="21" t="n">
        <x:v>61630500</x:v>
      </x:c>
      <x:c r="F1091" s="11" t="str">
        <x:v>Nasdaq public historical table</x:v>
      </x:c>
    </x:row>
    <x:row r="1092">
      <x:c r="A1092" s="14" t="n">
        <x:v>45811</x:v>
      </x:c>
      <x:c r="B1092" s="20" t="n">
        <x:v>132.9</x:v>
      </x:c>
      <x:c r="C1092" s="20" t="n">
        <x:v>596.09</x:v>
      </x:c>
      <x:c r="D1092" s="21" t="n">
        <x:v>5809271</x:v>
      </x:c>
      <x:c r="E1092" s="21" t="n">
        <x:v>63606200</x:v>
      </x:c>
      <x:c r="F1092" s="11" t="str">
        <x:v>Nasdaq public historical table</x:v>
      </x:c>
    </x:row>
    <x:row r="1093">
      <x:c r="A1093" s="14" t="n">
        <x:v>45812</x:v>
      </x:c>
      <x:c r="B1093" s="20" t="n">
        <x:v>133.51</x:v>
      </x:c>
      <x:c r="C1093" s="20" t="n">
        <x:v>595.93</x:v>
      </x:c>
      <x:c r="D1093" s="21" t="n">
        <x:v>4501382</x:v>
      </x:c>
      <x:c r="E1093" s="21" t="n">
        <x:v>57314200</x:v>
      </x:c>
      <x:c r="F1093" s="11" t="str">
        <x:v>Nasdaq public historical table</x:v>
      </x:c>
    </x:row>
    <x:row r="1094">
      <x:c r="A1094" s="14" t="n">
        <x:v>45813</x:v>
      </x:c>
      <x:c r="B1094" s="20" t="n">
        <x:v>137.29</x:v>
      </x:c>
      <x:c r="C1094" s="20" t="n">
        <x:v>593.05</x:v>
      </x:c>
      <x:c r="D1094" s="21" t="n">
        <x:v>5859127</x:v>
      </x:c>
      <x:c r="E1094" s="21" t="n">
        <x:v>92436400</x:v>
      </x:c>
      <x:c r="F1094" s="11" t="str">
        <x:v>Nasdaq public historical table</x:v>
      </x:c>
    </x:row>
    <x:row r="1095">
      <x:c r="A1095" s="14" t="n">
        <x:v>45814</x:v>
      </x:c>
      <x:c r="B1095" s="20" t="n">
        <x:v>140.64</x:v>
      </x:c>
      <x:c r="C1095" s="20" t="n">
        <x:v>599.14</x:v>
      </x:c>
      <x:c r="D1095" s="21" t="n">
        <x:v>9053459</x:v>
      </x:c>
      <x:c r="E1095" s="21" t="n">
        <x:v>66588740</x:v>
      </x:c>
      <x:c r="F1095" s="11" t="str">
        <x:v>Nasdaq public historical table</x:v>
      </x:c>
    </x:row>
    <x:row r="1096">
      <x:c r="A1096" s="14" t="n">
        <x:v>45817</x:v>
      </x:c>
      <x:c r="B1096" s="20" t="n">
        <x:v>139.01</x:v>
      </x:c>
      <x:c r="C1096" s="20" t="n">
        <x:v>599.68</x:v>
      </x:c>
      <x:c r="D1096" s="21" t="n">
        <x:v>3989978</x:v>
      </x:c>
      <x:c r="E1096" s="21" t="n">
        <x:v>53016420</x:v>
      </x:c>
      <x:c r="F1096" s="11" t="str">
        <x:v>Nasdaq public historical table</x:v>
      </x:c>
    </x:row>
    <x:row r="1097">
      <x:c r="A1097" s="14" t="n">
        <x:v>45818</x:v>
      </x:c>
      <x:c r="B1097" s="20" t="n">
        <x:v>138.56</x:v>
      </x:c>
      <x:c r="C1097" s="20" t="n">
        <x:v>603.08</x:v>
      </x:c>
      <x:c r="D1097" s="21" t="n">
        <x:v>4138000</x:v>
      </x:c>
      <x:c r="E1097" s="21" t="n">
        <x:v>66246970</x:v>
      </x:c>
      <x:c r="F1097" s="11" t="str">
        <x:v>Nasdaq public historical table</x:v>
      </x:c>
    </x:row>
    <x:row r="1098">
      <x:c r="A1098" s="14" t="n">
        <x:v>45819</x:v>
      </x:c>
      <x:c r="B1098" s="20" t="n">
        <x:v>138.06</x:v>
      </x:c>
      <x:c r="C1098" s="20" t="n">
        <x:v>601.36</x:v>
      </x:c>
      <x:c r="D1098" s="21" t="n">
        <x:v>4020440</x:v>
      </x:c>
      <x:c r="E1098" s="21" t="n">
        <x:v>73658230</x:v>
      </x:c>
      <x:c r="F1098" s="11" t="str">
        <x:v>Nasdaq public historical table</x:v>
      </x:c>
    </x:row>
    <x:row r="1099">
      <x:c r="A1099" s="14" t="n">
        <x:v>45820</x:v>
      </x:c>
      <x:c r="B1099" s="20" t="n">
        <x:v>138.81</x:v>
      </x:c>
      <x:c r="C1099" s="20" t="n">
        <x:v>603.75</x:v>
      </x:c>
      <x:c r="D1099" s="21" t="n">
        <x:v>3460997</x:v>
      </x:c>
      <x:c r="E1099" s="21" t="n">
        <x:v>64129000</x:v>
      </x:c>
      <x:c r="F1099" s="11" t="str">
        <x:v>Nasdaq public historical table</x:v>
      </x:c>
    </x:row>
    <x:row r="1100">
      <x:c r="A1100" s="14" t="n">
        <x:v>45821</x:v>
      </x:c>
      <x:c r="B1100" s="20" t="n">
        <x:v>135.54</x:v>
      </x:c>
      <x:c r="C1100" s="20" t="n">
        <x:v>597</x:v>
      </x:c>
      <x:c r="D1100" s="21" t="n">
        <x:v>5091140</x:v>
      </x:c>
      <x:c r="E1100" s="21" t="n">
        <x:v>89506000</x:v>
      </x:c>
      <x:c r="F1100" s="11" t="str">
        <x:v>Nasdaq public historical table</x:v>
      </x:c>
    </x:row>
    <x:row r="1101">
      <x:c r="A1101" s="14" t="n">
        <x:v>45824</x:v>
      </x:c>
      <x:c r="B1101" s="20" t="n">
        <x:v>137.21</x:v>
      </x:c>
      <x:c r="C1101" s="20" t="n">
        <x:v>602.68</x:v>
      </x:c>
      <x:c r="D1101" s="21" t="n">
        <x:v>3406824</x:v>
      </x:c>
      <x:c r="E1101" s="21" t="n">
        <x:v>79984130</x:v>
      </x:c>
      <x:c r="F1101" s="11" t="str">
        <x:v>Nasdaq public historical table</x:v>
      </x:c>
    </x:row>
    <x:row r="1102">
      <x:c r="A1102" s="14" t="n">
        <x:v>45825</x:v>
      </x:c>
      <x:c r="B1102" s="20" t="n">
        <x:v>133.37</x:v>
      </x:c>
      <x:c r="C1102" s="20" t="n">
        <x:v>597.53</x:v>
      </x:c>
      <x:c r="D1102" s="21" t="n">
        <x:v>4773781</x:v>
      </x:c>
      <x:c r="E1102" s="21" t="n">
        <x:v>82209370</x:v>
      </x:c>
      <x:c r="F1102" s="11" t="str">
        <x:v>Nasdaq public historical table</x:v>
      </x:c>
    </x:row>
    <x:row r="1103">
      <x:c r="A1103" s="14" t="n">
        <x:v>45826</x:v>
      </x:c>
      <x:c r="B1103" s="20" t="n">
        <x:v>132.17</x:v>
      </x:c>
      <x:c r="C1103" s="20" t="n">
        <x:v>597.44</x:v>
      </x:c>
      <x:c r="D1103" s="21" t="n">
        <x:v>3702457</x:v>
      </x:c>
      <x:c r="E1103" s="21" t="n">
        <x:v>76605030</x:v>
      </x:c>
      <x:c r="F1103" s="11" t="str">
        <x:v>Nasdaq public historical table</x:v>
      </x:c>
    </x:row>
    <x:row r="1104">
      <x:c r="A1104" s="14" t="n">
        <x:v>45828</x:v>
      </x:c>
      <x:c r="B1104" s="20" t="n">
        <x:v>131.73</x:v>
      </x:c>
      <x:c r="C1104" s="20" t="n">
        <x:v>594.28</x:v>
      </x:c>
      <x:c r="D1104" s="21" t="n">
        <x:v>7967985</x:v>
      </x:c>
      <x:c r="E1104" s="21" t="n">
        <x:v>94051370</x:v>
      </x:c>
      <x:c r="F1104" s="11" t="str">
        <x:v>Nasdaq public historical table</x:v>
      </x:c>
    </x:row>
    <x:row r="1105">
      <x:c r="A1105" s="14" t="n">
        <x:v>45831</x:v>
      </x:c>
      <x:c r="B1105" s="20" t="n">
        <x:v>130.53</x:v>
      </x:c>
      <x:c r="C1105" s="20" t="n">
        <x:v>600.15</x:v>
      </x:c>
      <x:c r="D1105" s="21" t="n">
        <x:v>4250158</x:v>
      </x:c>
      <x:c r="E1105" s="21" t="n">
        <x:v>87426040</x:v>
      </x:c>
      <x:c r="F1105" s="11" t="str">
        <x:v>Nasdaq public historical table</x:v>
      </x:c>
    </x:row>
    <x:row r="1106">
      <x:c r="A1106" s="14" t="n">
        <x:v>45832</x:v>
      </x:c>
      <x:c r="B1106" s="20" t="n">
        <x:v>132.15</x:v>
      </x:c>
      <x:c r="C1106" s="20" t="n">
        <x:v>606.78</x:v>
      </x:c>
      <x:c r="D1106" s="21" t="n">
        <x:v>5045554</x:v>
      </x:c>
      <x:c r="E1106" s="21" t="n">
        <x:v>67735290</x:v>
      </x:c>
      <x:c r="F1106" s="11" t="str">
        <x:v>Nasdaq public historical table</x:v>
      </x:c>
    </x:row>
    <x:row r="1107">
      <x:c r="A1107" s="14" t="n">
        <x:v>45833</x:v>
      </x:c>
      <x:c r="B1107" s="20" t="n">
        <x:v>129.67</x:v>
      </x:c>
      <x:c r="C1107" s="20" t="n">
        <x:v>607.12</x:v>
      </x:c>
      <x:c r="D1107" s="21" t="n">
        <x:v>3765553</x:v>
      </x:c>
      <x:c r="E1107" s="21" t="n">
        <x:v>62114770</x:v>
      </x:c>
      <x:c r="F1107" s="11" t="str">
        <x:v>Nasdaq public historical table</x:v>
      </x:c>
    </x:row>
    <x:row r="1108">
      <x:c r="A1108" s="14" t="n">
        <x:v>45834</x:v>
      </x:c>
      <x:c r="B1108" s="20" t="n">
        <x:v>133.72</x:v>
      </x:c>
      <x:c r="C1108" s="20" t="n">
        <x:v>611.87</x:v>
      </x:c>
      <x:c r="D1108" s="21" t="n">
        <x:v>5138316</x:v>
      </x:c>
      <x:c r="E1108" s="21" t="n">
        <x:v>78548360</x:v>
      </x:c>
      <x:c r="F1108" s="11" t="str">
        <x:v>Nasdaq public historical table</x:v>
      </x:c>
    </x:row>
    <x:row r="1109">
      <x:c r="A1109" s="14" t="n">
        <x:v>45835</x:v>
      </x:c>
      <x:c r="B1109" s="20" t="n">
        <x:v>134.52</x:v>
      </x:c>
      <x:c r="C1109" s="20" t="n">
        <x:v>614.91</x:v>
      </x:c>
      <x:c r="D1109" s="21" t="n">
        <x:v>4930553</x:v>
      </x:c>
      <x:c r="E1109" s="21" t="n">
        <x:v>86258400</x:v>
      </x:c>
      <x:c r="F1109" s="11" t="str">
        <x:v>Nasdaq public historical table</x:v>
      </x:c>
    </x:row>
    <x:row r="1110">
      <x:c r="A1110" s="14" t="n">
        <x:v>45838</x:v>
      </x:c>
      <x:c r="B1110" s="20" t="n">
        <x:v>132.34</x:v>
      </x:c>
      <x:c r="C1110" s="20" t="n">
        <x:v>617.85</x:v>
      </x:c>
      <x:c r="D1110" s="21" t="n">
        <x:v>3666177</x:v>
      </x:c>
      <x:c r="E1110" s="21" t="n">
        <x:v>92502540</x:v>
      </x:c>
      <x:c r="F1110" s="11" t="str">
        <x:v>Nasdaq public historical table</x:v>
      </x:c>
    </x:row>
    <x:row r="1111">
      <x:c r="A1111" s="14" t="n">
        <x:v>45839</x:v>
      </x:c>
      <x:c r="B1111" s="20" t="n">
        <x:v>135.41</x:v>
      </x:c>
      <x:c r="C1111" s="20" t="n">
        <x:v>617.65</x:v>
      </x:c>
      <x:c r="D1111" s="21" t="n">
        <x:v>3919565</x:v>
      </x:c>
      <x:c r="E1111" s="21" t="n">
        <x:v>70030140</x:v>
      </x:c>
      <x:c r="F1111" s="11" t="str">
        <x:v>Nasdaq public historical table</x:v>
      </x:c>
    </x:row>
    <x:row r="1112">
      <x:c r="A1112" s="14" t="n">
        <x:v>45840</x:v>
      </x:c>
      <x:c r="B1112" s="20" t="n">
        <x:v>135.39</x:v>
      </x:c>
      <x:c r="C1112" s="20" t="n">
        <x:v>620.45</x:v>
      </x:c>
      <x:c r="D1112" s="21" t="n">
        <x:v>2668019</x:v>
      </x:c>
      <x:c r="E1112" s="21" t="n">
        <x:v>66510370</x:v>
      </x:c>
      <x:c r="F1112" s="11" t="str">
        <x:v>Nasdaq public historical table</x:v>
      </x:c>
    </x:row>
    <x:row r="1113">
      <x:c r="A1113" s="14" t="n">
        <x:v>45841</x:v>
      </x:c>
      <x:c r="B1113" s="20" t="n">
        <x:v>136.49</x:v>
      </x:c>
      <x:c r="C1113" s="20" t="n">
        <x:v>625.34</x:v>
      </x:c>
      <x:c r="D1113" s="21" t="n">
        <x:v>2628584</x:v>
      </x:c>
      <x:c r="E1113" s="21" t="n">
        <x:v>51065790</x:v>
      </x:c>
      <x:c r="F1113" s="11" t="str">
        <x:v>Nasdaq public historical table</x:v>
      </x:c>
    </x:row>
    <x:row r="1114">
      <x:c r="A1114" s="14" t="n">
        <x:v>45845</x:v>
      </x:c>
      <x:c r="B1114" s="20" t="n">
        <x:v>137</x:v>
      </x:c>
      <x:c r="C1114" s="20" t="n">
        <x:v>620.68</x:v>
      </x:c>
      <x:c r="D1114" s="21" t="n">
        <x:v>3550438</x:v>
      </x:c>
      <x:c r="E1114" s="21" t="n">
        <x:v>74814510</x:v>
      </x:c>
      <x:c r="F1114" s="11" t="str">
        <x:v>Nasdaq public historical table</x:v>
      </x:c>
    </x:row>
    <x:row r="1115">
      <x:c r="A1115" s="14" t="n">
        <x:v>45846</x:v>
      </x:c>
      <x:c r="B1115" s="20" t="n">
        <x:v>136.99</x:v>
      </x:c>
      <x:c r="C1115" s="20" t="n">
        <x:v>620.34</x:v>
      </x:c>
      <x:c r="D1115" s="21" t="n">
        <x:v>3144542</x:v>
      </x:c>
      <x:c r="E1115" s="21" t="n">
        <x:v>59024590</x:v>
      </x:c>
      <x:c r="F1115" s="11" t="str">
        <x:v>Nasdaq public historical table</x:v>
      </x:c>
    </x:row>
    <x:row r="1116">
      <x:c r="A1116" s="14" t="n">
        <x:v>45847</x:v>
      </x:c>
      <x:c r="B1116" s="20" t="n">
        <x:v>136.85</x:v>
      </x:c>
      <x:c r="C1116" s="20" t="n">
        <x:v>624.06</x:v>
      </x:c>
      <x:c r="D1116" s="21" t="n">
        <x:v>4311327</x:v>
      </x:c>
      <x:c r="E1116" s="21" t="n">
        <x:v>66113330</x:v>
      </x:c>
      <x:c r="F1116" s="11" t="str">
        <x:v>Nasdaq public historical table</x:v>
      </x:c>
    </x:row>
    <x:row r="1117">
      <x:c r="A1117" s="14" t="n">
        <x:v>45848</x:v>
      </x:c>
      <x:c r="B1117" s="20" t="n">
        <x:v>137</x:v>
      </x:c>
      <x:c r="C1117" s="20" t="n">
        <x:v>625.82</x:v>
      </x:c>
      <x:c r="D1117" s="21" t="n">
        <x:v>4934019</x:v>
      </x:c>
      <x:c r="E1117" s="21" t="n">
        <x:v>57528960</x:v>
      </x:c>
      <x:c r="F1117" s="11" t="str">
        <x:v>Nasdaq public historical table</x:v>
      </x:c>
    </x:row>
    <x:row r="1118">
      <x:c r="A1118" s="14" t="n">
        <x:v>45849</x:v>
      </x:c>
      <x:c r="B1118" s="20" t="n">
        <x:v>135.35</x:v>
      </x:c>
      <x:c r="C1118" s="20" t="n">
        <x:v>623.62</x:v>
      </x:c>
      <x:c r="D1118" s="21" t="n">
        <x:v>3123574</x:v>
      </x:c>
      <x:c r="E1118" s="21" t="n">
        <x:v>63670230</x:v>
      </x:c>
      <x:c r="F1118" s="11" t="str">
        <x:v>Nasdaq public historical table</x:v>
      </x:c>
    </x:row>
    <x:row r="1119">
      <x:c r="A1119" s="14" t="n">
        <x:v>45852</x:v>
      </x:c>
      <x:c r="B1119" s="20" t="n">
        <x:v>138.57</x:v>
      </x:c>
      <x:c r="C1119" s="20" t="n">
        <x:v>624.81</x:v>
      </x:c>
      <x:c r="D1119" s="21" t="n">
        <x:v>4574983</x:v>
      </x:c>
      <x:c r="E1119" s="21" t="n">
        <x:v>51898520</x:v>
      </x:c>
      <x:c r="F1119" s="11" t="str">
        <x:v>Nasdaq public historical table</x:v>
      </x:c>
    </x:row>
    <x:row r="1120">
      <x:c r="A1120" s="14" t="n">
        <x:v>45853</x:v>
      </x:c>
      <x:c r="B1120" s="20" t="n">
        <x:v>136.54</x:v>
      </x:c>
      <x:c r="C1120" s="20" t="n">
        <x:v>622.14</x:v>
      </x:c>
      <x:c r="D1120" s="21" t="n">
        <x:v>3315550</x:v>
      </x:c>
      <x:c r="E1120" s="21" t="n">
        <x:v>74317260</x:v>
      </x:c>
      <x:c r="F1120" s="11" t="str">
        <x:v>Nasdaq public historical table</x:v>
      </x:c>
    </x:row>
    <x:row r="1121">
      <x:c r="A1121" s="14" t="n">
        <x:v>45854</x:v>
      </x:c>
      <x:c r="B1121" s="20" t="n">
        <x:v>136.71</x:v>
      </x:c>
      <x:c r="C1121" s="20" t="n">
        <x:v>624.22</x:v>
      </x:c>
      <x:c r="D1121" s="21" t="n">
        <x:v>3319660</x:v>
      </x:c>
      <x:c r="E1121" s="21" t="n">
        <x:v>88987510</x:v>
      </x:c>
      <x:c r="F1121" s="11" t="str">
        <x:v>Nasdaq public historical table</x:v>
      </x:c>
    </x:row>
    <x:row r="1122">
      <x:c r="A1122" s="14" t="n">
        <x:v>45855</x:v>
      </x:c>
      <x:c r="B1122" s="20" t="n">
        <x:v>139.3</x:v>
      </x:c>
      <x:c r="C1122" s="20" t="n">
        <x:v>628.04</x:v>
      </x:c>
      <x:c r="D1122" s="21" t="n">
        <x:v>3495943</x:v>
      </x:c>
      <x:c r="E1122" s="21" t="n">
        <x:v>68885680</x:v>
      </x:c>
      <x:c r="F1122" s="11" t="str">
        <x:v>Nasdaq public historical table</x:v>
      </x:c>
    </x:row>
    <x:row r="1123">
      <x:c r="A1123" s="14" t="n">
        <x:v>45856</x:v>
      </x:c>
      <x:c r="B1123" s="20" t="n">
        <x:v>139.34</x:v>
      </x:c>
      <x:c r="C1123" s="20" t="n">
        <x:v>627.58</x:v>
      </x:c>
      <x:c r="D1123" s="21" t="n">
        <x:v>2983076</x:v>
      </x:c>
      <x:c r="E1123" s="21" t="n">
        <x:v>65621650</x:v>
      </x:c>
      <x:c r="F1123" s="11" t="str">
        <x:v>Nasdaq public historical table</x:v>
      </x:c>
    </x:row>
    <x:row r="1124">
      <x:c r="A1124" s="14" t="n">
        <x:v>45859</x:v>
      </x:c>
      <x:c r="B1124" s="20" t="n">
        <x:v>138.07</x:v>
      </x:c>
      <x:c r="C1124" s="20" t="n">
        <x:v>628.77</x:v>
      </x:c>
      <x:c r="D1124" s="21" t="n">
        <x:v>2697580</x:v>
      </x:c>
      <x:c r="E1124" s="21" t="n">
        <x:v>63374980</x:v>
      </x:c>
      <x:c r="F1124" s="11" t="str">
        <x:v>Nasdaq public historical table</x:v>
      </x:c>
    </x:row>
    <x:row r="1125">
      <x:c r="A1125" s="14" t="n">
        <x:v>45860</x:v>
      </x:c>
      <x:c r="B1125" s="20" t="n">
        <x:v>139.43</x:v>
      </x:c>
      <x:c r="C1125" s="20" t="n">
        <x:v>628.86</x:v>
      </x:c>
      <x:c r="D1125" s="21" t="n">
        <x:v>2787224</x:v>
      </x:c>
      <x:c r="E1125" s="21" t="n">
        <x:v>60046290</x:v>
      </x:c>
      <x:c r="F1125" s="11" t="str">
        <x:v>Nasdaq public historical table</x:v>
      </x:c>
    </x:row>
    <x:row r="1126">
      <x:c r="A1126" s="14" t="n">
        <x:v>45861</x:v>
      </x:c>
      <x:c r="B1126" s="20" t="n">
        <x:v>139.83</x:v>
      </x:c>
      <x:c r="C1126" s="20" t="n">
        <x:v>634.21</x:v>
      </x:c>
      <x:c r="D1126" s="21" t="n">
        <x:v>3003828</x:v>
      </x:c>
      <x:c r="E1126" s="21" t="n">
        <x:v>70511040</x:v>
      </x:c>
      <x:c r="F1126" s="11" t="str">
        <x:v>Nasdaq public historical table</x:v>
      </x:c>
    </x:row>
    <x:row r="1127">
      <x:c r="A1127" s="14" t="n">
        <x:v>45862</x:v>
      </x:c>
      <x:c r="B1127" s="20" t="n">
        <x:v>141.62</x:v>
      </x:c>
      <x:c r="C1127" s="20" t="n">
        <x:v>634.42</x:v>
      </x:c>
      <x:c r="D1127" s="21" t="n">
        <x:v>3067742</x:v>
      </x:c>
      <x:c r="E1127" s="21" t="n">
        <x:v>71307130</x:v>
      </x:c>
      <x:c r="F1127" s="11" t="str">
        <x:v>Nasdaq public historical table</x:v>
      </x:c>
    </x:row>
    <x:row r="1128">
      <x:c r="A1128" s="14" t="n">
        <x:v>45863</x:v>
      </x:c>
      <x:c r="B1128" s="20" t="n">
        <x:v>141.31</x:v>
      </x:c>
      <x:c r="C1128" s="20" t="n">
        <x:v>637.1</x:v>
      </x:c>
      <x:c r="D1128" s="21" t="n">
        <x:v>2499368</x:v>
      </x:c>
      <x:c r="E1128" s="21" t="n">
        <x:v>56865360</x:v>
      </x:c>
      <x:c r="F1128" s="11" t="str">
        <x:v>Nasdaq public historical table</x:v>
      </x:c>
    </x:row>
    <x:row r="1129">
      <x:c r="A1129" s="14" t="n">
        <x:v>45866</x:v>
      </x:c>
      <x:c r="B1129" s="20" t="n">
        <x:v>142.16</x:v>
      </x:c>
      <x:c r="C1129" s="20" t="n">
        <x:v>636.94</x:v>
      </x:c>
      <x:c r="D1129" s="21" t="n">
        <x:v>2808615</x:v>
      </x:c>
      <x:c r="E1129" s="21" t="n">
        <x:v>54917100</x:v>
      </x:c>
      <x:c r="F1129" s="11" t="str">
        <x:v>Nasdaq public historical table</x:v>
      </x:c>
    </x:row>
    <x:row r="1130">
      <x:c r="A1130" s="14" t="n">
        <x:v>45867</x:v>
      </x:c>
      <x:c r="B1130" s="20" t="n">
        <x:v>136.84</x:v>
      </x:c>
      <x:c r="C1130" s="20" t="n">
        <x:v>635.26</x:v>
      </x:c>
      <x:c r="D1130" s="21" t="n">
        <x:v>4082808</x:v>
      </x:c>
      <x:c r="E1130" s="21" t="n">
        <x:v>60556280</x:v>
      </x:c>
      <x:c r="F1130" s="11" t="str">
        <x:v>Nasdaq public historical table</x:v>
      </x:c>
    </x:row>
    <x:row r="1131">
      <x:c r="A1131" s="14" t="n">
        <x:v>45868</x:v>
      </x:c>
      <x:c r="B1131" s="20" t="n">
        <x:v>134.75</x:v>
      </x:c>
      <x:c r="C1131" s="20" t="n">
        <x:v>634.46</x:v>
      </x:c>
      <x:c r="D1131" s="21" t="n">
        <x:v>3502159</x:v>
      </x:c>
      <x:c r="E1131" s="21" t="n">
        <x:v>80418850</x:v>
      </x:c>
      <x:c r="F1131" s="11" t="str">
        <x:v>Nasdaq public historical table</x:v>
      </x:c>
    </x:row>
    <x:row r="1132">
      <x:c r="A1132" s="14" t="n">
        <x:v>45869</x:v>
      </x:c>
      <x:c r="B1132" s="20" t="n">
        <x:v>132.41</x:v>
      </x:c>
      <x:c r="C1132" s="20" t="n">
        <x:v>632.08</x:v>
      </x:c>
      <x:c r="D1132" s="21" t="n">
        <x:v>3876548</x:v>
      </x:c>
      <x:c r="E1132" s="21" t="n">
        <x:v>103385200</x:v>
      </x:c>
      <x:c r="F1132" s="11" t="str">
        <x:v>Nasdaq public historical table</x:v>
      </x:c>
    </x:row>
    <x:row r="1133">
      <x:c r="A1133" s="14" t="n">
        <x:v>45870</x:v>
      </x:c>
      <x:c r="B1133" s="20" t="n">
        <x:v>128.02</x:v>
      </x:c>
      <x:c r="C1133" s="20" t="n">
        <x:v>621.72</x:v>
      </x:c>
      <x:c r="D1133" s="21" t="n">
        <x:v>5100383</x:v>
      </x:c>
      <x:c r="E1133" s="21" t="n">
        <x:v>140103600</x:v>
      </x:c>
      <x:c r="F1133" s="11" t="str">
        <x:v>Nasdaq public historical table</x:v>
      </x:c>
    </x:row>
    <x:row r="1134">
      <x:c r="A1134" s="14" t="n">
        <x:v>45873</x:v>
      </x:c>
      <x:c r="B1134" s="20" t="n">
        <x:v>130.96</x:v>
      </x:c>
      <x:c r="C1134" s="20" t="n">
        <x:v>631.17</x:v>
      </x:c>
      <x:c r="D1134" s="21" t="n">
        <x:v>5277192</x:v>
      </x:c>
      <x:c r="E1134" s="21" t="n">
        <x:v>73218020</x:v>
      </x:c>
      <x:c r="F1134" s="11" t="str">
        <x:v>Nasdaq public historical table</x:v>
      </x:c>
    </x:row>
    <x:row r="1135">
      <x:c r="A1135" s="14" t="n">
        <x:v>45874</x:v>
      </x:c>
      <x:c r="B1135" s="20" t="n">
        <x:v>129.96</x:v>
      </x:c>
      <x:c r="C1135" s="20" t="n">
        <x:v>627.97</x:v>
      </x:c>
      <x:c r="D1135" s="21" t="n">
        <x:v>7679968</x:v>
      </x:c>
      <x:c r="E1135" s="21" t="n">
        <x:v>68051400</x:v>
      </x:c>
      <x:c r="F1135" s="11" t="str">
        <x:v>Nasdaq public historical table</x:v>
      </x:c>
    </x:row>
    <x:row r="1136">
      <x:c r="A1136" s="14" t="n">
        <x:v>45875</x:v>
      </x:c>
      <x:c r="B1136" s="20" t="n">
        <x:v>130.5</x:v>
      </x:c>
      <x:c r="C1136" s="20" t="n">
        <x:v>632.78</x:v>
      </x:c>
      <x:c r="D1136" s="21" t="n">
        <x:v>11212810</x:v>
      </x:c>
      <x:c r="E1136" s="21" t="n">
        <x:v>64357530</x:v>
      </x:c>
      <x:c r="F1136" s="11" t="str">
        <x:v>Nasdaq public historical table</x:v>
      </x:c>
    </x:row>
    <x:row r="1137">
      <x:c r="A1137" s="14" t="n">
        <x:v>45876</x:v>
      </x:c>
      <x:c r="B1137" s="20" t="n">
        <x:v>120.03</x:v>
      </x:c>
      <x:c r="C1137" s="20" t="n">
        <x:v>632.25</x:v>
      </x:c>
      <x:c r="D1137" s="21" t="n">
        <x:v>17502060</x:v>
      </x:c>
      <x:c r="E1137" s="21" t="n">
        <x:v>74205790</x:v>
      </x:c>
      <x:c r="F1137" s="11" t="str">
        <x:v>Nasdaq public historical table</x:v>
      </x:c>
    </x:row>
    <x:row r="1138">
      <x:c r="A1138" s="14" t="n">
        <x:v>45877</x:v>
      </x:c>
      <x:c r="B1138" s="20" t="n">
        <x:v>121.02</x:v>
      </x:c>
      <x:c r="C1138" s="20" t="n">
        <x:v>637.18</x:v>
      </x:c>
      <x:c r="D1138" s="21" t="n">
        <x:v>5791263</x:v>
      </x:c>
      <x:c r="E1138" s="21" t="n">
        <x:v>64051630</x:v>
      </x:c>
      <x:c r="F1138" s="11" t="str">
        <x:v>Nasdaq public historical table</x:v>
      </x:c>
    </x:row>
    <x:row r="1139">
      <x:c r="A1139" s="14" t="n">
        <x:v>45880</x:v>
      </x:c>
      <x:c r="B1139" s="20" t="n">
        <x:v>118.3</x:v>
      </x:c>
      <x:c r="C1139" s="20" t="n">
        <x:v>635.92</x:v>
      </x:c>
      <x:c r="D1139" s="21" t="n">
        <x:v>6577841</x:v>
      </x:c>
      <x:c r="E1139" s="21" t="n">
        <x:v>58742300</x:v>
      </x:c>
      <x:c r="F1139" s="11" t="str">
        <x:v>Nasdaq public historical table</x:v>
      </x:c>
    </x:row>
    <x:row r="1140">
      <x:c r="A1140" s="14" t="n">
        <x:v>45881</x:v>
      </x:c>
      <x:c r="B1140" s="20" t="n">
        <x:v>121.61</x:v>
      </x:c>
      <x:c r="C1140" s="20" t="n">
        <x:v>642.69</x:v>
      </x:c>
      <x:c r="D1140" s="21" t="n">
        <x:v>6291042</x:v>
      </x:c>
      <x:c r="E1140" s="21" t="n">
        <x:v>64821800</x:v>
      </x:c>
      <x:c r="F1140" s="11" t="str">
        <x:v>Nasdaq public historical table</x:v>
      </x:c>
    </x:row>
    <x:row r="1141">
      <x:c r="A1141" s="14" t="n">
        <x:v>45882</x:v>
      </x:c>
      <x:c r="B1141" s="20" t="n">
        <x:v>124.55</x:v>
      </x:c>
      <x:c r="C1141" s="20" t="n">
        <x:v>644.89</x:v>
      </x:c>
      <x:c r="D1141" s="21" t="n">
        <x:v>6651486</x:v>
      </x:c>
      <x:c r="E1141" s="21" t="n">
        <x:v>60092790</x:v>
      </x:c>
      <x:c r="F1141" s="11" t="str">
        <x:v>Nasdaq public historical table</x:v>
      </x:c>
    </x:row>
    <x:row r="1142">
      <x:c r="A1142" s="14" t="n">
        <x:v>45883</x:v>
      </x:c>
      <x:c r="B1142" s="20" t="n">
        <x:v>124.64</x:v>
      </x:c>
      <x:c r="C1142" s="20" t="n">
        <x:v>644.95</x:v>
      </x:c>
      <x:c r="D1142" s="21" t="n">
        <x:v>4706944</x:v>
      </x:c>
      <x:c r="E1142" s="21" t="n">
        <x:v>59327470</x:v>
      </x:c>
      <x:c r="F1142" s="11" t="str">
        <x:v>Nasdaq public historical table</x:v>
      </x:c>
    </x:row>
    <x:row r="1143">
      <x:c r="A1143" s="14" t="n">
        <x:v>45884</x:v>
      </x:c>
      <x:c r="B1143" s="20" t="n">
        <x:v>125.1</x:v>
      </x:c>
      <x:c r="C1143" s="20" t="n">
        <x:v>643.44</x:v>
      </x:c>
      <x:c r="D1143" s="21" t="n">
        <x:v>4309834</x:v>
      </x:c>
      <x:c r="E1143" s="21" t="n">
        <x:v>68592510</x:v>
      </x:c>
      <x:c r="F1143" s="11" t="str">
        <x:v>Nasdaq public historical table</x:v>
      </x:c>
    </x:row>
    <x:row r="1144">
      <x:c r="A1144" s="14" t="n">
        <x:v>45887</x:v>
      </x:c>
      <x:c r="B1144" s="20" t="n">
        <x:v>125.49</x:v>
      </x:c>
      <x:c r="C1144" s="20" t="n">
        <x:v>643.3</x:v>
      </x:c>
      <x:c r="D1144" s="21" t="n">
        <x:v>3985329</x:v>
      </x:c>
      <x:c r="E1144" s="21" t="n">
        <x:v>43804910</x:v>
      </x:c>
      <x:c r="F1144" s="11" t="str">
        <x:v>Nasdaq public historical table</x:v>
      </x:c>
    </x:row>
    <x:row r="1145">
      <x:c r="A1145" s="14" t="n">
        <x:v>45888</x:v>
      </x:c>
      <x:c r="B1145" s="20" t="n">
        <x:v>126</x:v>
      </x:c>
      <x:c r="C1145" s="20" t="n">
        <x:v>639.81</x:v>
      </x:c>
      <x:c r="D1145" s="21" t="n">
        <x:v>3739757</x:v>
      </x:c>
      <x:c r="E1145" s="21" t="n">
        <x:v>69750730</x:v>
      </x:c>
      <x:c r="F1145" s="11" t="str">
        <x:v>Nasdaq public historical table</x:v>
      </x:c>
    </x:row>
    <x:row r="1146">
      <x:c r="A1146" s="14" t="n">
        <x:v>45889</x:v>
      </x:c>
      <x:c r="B1146" s="20" t="n">
        <x:v>124.96</x:v>
      </x:c>
      <x:c r="C1146" s="20" t="n">
        <x:v>638.11</x:v>
      </x:c>
      <x:c r="D1146" s="21" t="n">
        <x:v>4097880</x:v>
      </x:c>
      <x:c r="E1146" s="21" t="n">
        <x:v>88890300</x:v>
      </x:c>
      <x:c r="F1146" s="11" t="str">
        <x:v>Nasdaq public historical table</x:v>
      </x:c>
    </x:row>
    <x:row r="1147">
      <x:c r="A1147" s="14" t="n">
        <x:v>45890</x:v>
      </x:c>
      <x:c r="B1147" s="20" t="n">
        <x:v>126.43</x:v>
      </x:c>
      <x:c r="C1147" s="20" t="n">
        <x:v>635.55</x:v>
      </x:c>
      <x:c r="D1147" s="21" t="n">
        <x:v>3115793</x:v>
      </x:c>
      <x:c r="E1147" s="21" t="n">
        <x:v>54805780</x:v>
      </x:c>
      <x:c r="F1147" s="11" t="str">
        <x:v>Nasdaq public historical table</x:v>
      </x:c>
    </x:row>
    <x:row r="1148">
      <x:c r="A1148" s="14" t="n">
        <x:v>45891</x:v>
      </x:c>
      <x:c r="B1148" s="20" t="n">
        <x:v>129.92</x:v>
      </x:c>
      <x:c r="C1148" s="20" t="n">
        <x:v>645.31</x:v>
      </x:c>
      <x:c r="D1148" s="21" t="n">
        <x:v>4563120</x:v>
      </x:c>
      <x:c r="E1148" s="21" t="n">
        <x:v>84083210</x:v>
      </x:c>
      <x:c r="F1148" s="11" t="str">
        <x:v>Nasdaq public historical table</x:v>
      </x:c>
    </x:row>
    <x:row r="1149">
      <x:c r="A1149" s="14" t="n">
        <x:v>45894</x:v>
      </x:c>
      <x:c r="B1149" s="20" t="n">
        <x:v>128.15</x:v>
      </x:c>
      <x:c r="C1149" s="20" t="n">
        <x:v>642.47</x:v>
      </x:c>
      <x:c r="D1149" s="21" t="n">
        <x:v>2960456</x:v>
      </x:c>
      <x:c r="E1149" s="21" t="n">
        <x:v>51274330</x:v>
      </x:c>
      <x:c r="F1149" s="11" t="str">
        <x:v>Nasdaq public historical table</x:v>
      </x:c>
    </x:row>
    <x:row r="1150">
      <x:c r="A1150" s="14" t="n">
        <x:v>45895</x:v>
      </x:c>
      <x:c r="B1150" s="20" t="n">
        <x:v>126.89</x:v>
      </x:c>
      <x:c r="C1150" s="20" t="n">
        <x:v>645.16</x:v>
      </x:c>
      <x:c r="D1150" s="21" t="n">
        <x:v>4355456</x:v>
      </x:c>
      <x:c r="E1150" s="21" t="n">
        <x:v>51581570</x:v>
      </x:c>
      <x:c r="F1150" s="11" t="str">
        <x:v>Nasdaq public historical table</x:v>
      </x:c>
    </x:row>
    <x:row r="1151">
      <x:c r="A1151" s="14" t="n">
        <x:v>45896</x:v>
      </x:c>
      <x:c r="B1151" s="20" t="n">
        <x:v>129.85</x:v>
      </x:c>
      <x:c r="C1151" s="20" t="n">
        <x:v>646.63</x:v>
      </x:c>
      <x:c r="D1151" s="21" t="n">
        <x:v>3830632</x:v>
      </x:c>
      <x:c r="E1151" s="21" t="n">
        <x:v>48341070</x:v>
      </x:c>
      <x:c r="F1151" s="11" t="str">
        <x:v>Nasdaq public historical table</x:v>
      </x:c>
    </x:row>
    <x:row r="1152">
      <x:c r="A1152" s="14" t="n">
        <x:v>45897</x:v>
      </x:c>
      <x:c r="B1152" s="20" t="n">
        <x:v>130.46</x:v>
      </x:c>
      <x:c r="C1152" s="20" t="n">
        <x:v>648.92</x:v>
      </x:c>
      <x:c r="D1152" s="21" t="n">
        <x:v>3657057</x:v>
      </x:c>
      <x:c r="E1152" s="21" t="n">
        <x:v>61519460</x:v>
      </x:c>
      <x:c r="F1152" s="11" t="str">
        <x:v>Nasdaq public historical table</x:v>
      </x:c>
    </x:row>
    <x:row r="1153">
      <x:c r="A1153" s="14" t="n">
        <x:v>45898</x:v>
      </x:c>
      <x:c r="B1153" s="20" t="n">
        <x:v>130.53</x:v>
      </x:c>
      <x:c r="C1153" s="20" t="n">
        <x:v>645.05</x:v>
      </x:c>
      <x:c r="D1153" s="21" t="n">
        <x:v>4159392</x:v>
      </x:c>
      <x:c r="E1153" s="21" t="n">
        <x:v>74522190</x:v>
      </x:c>
      <x:c r="F1153" s="11" t="str">
        <x:v>Nasdaq public historical table</x:v>
      </x:c>
    </x:row>
    <x:row r="1154">
      <x:c r="A1154" s="14" t="n">
        <x:v>45902</x:v>
      </x:c>
      <x:c r="B1154" s="20" t="n">
        <x:v>127.59</x:v>
      </x:c>
      <x:c r="C1154" s="20" t="n">
        <x:v>640.27</x:v>
      </x:c>
      <x:c r="D1154" s="21" t="n">
        <x:v>4195459</x:v>
      </x:c>
      <x:c r="E1154" s="21" t="n">
        <x:v>81983550</x:v>
      </x:c>
      <x:c r="F1154" s="11" t="str">
        <x:v>Nasdaq public historical table</x:v>
      </x:c>
    </x:row>
    <x:row r="1155">
      <x:c r="A1155" s="14" t="n">
        <x:v>45903</x:v>
      </x:c>
      <x:c r="B1155" s="20" t="n">
        <x:v>124.9</x:v>
      </x:c>
      <x:c r="C1155" s="20" t="n">
        <x:v>643.74</x:v>
      </x:c>
      <x:c r="D1155" s="21" t="n">
        <x:v>6267199</x:v>
      </x:c>
      <x:c r="E1155" s="21" t="n">
        <x:v>70820900</x:v>
      </x:c>
      <x:c r="F1155" s="11" t="str">
        <x:v>Nasdaq public historical table</x:v>
      </x:c>
    </x:row>
    <x:row r="1156">
      <x:c r="A1156" s="14" t="n">
        <x:v>45904</x:v>
      </x:c>
      <x:c r="B1156" s="20" t="n">
        <x:v>125.37</x:v>
      </x:c>
      <x:c r="C1156" s="20" t="n">
        <x:v>649.12</x:v>
      </x:c>
      <x:c r="D1156" s="21" t="n">
        <x:v>6194499</x:v>
      </x:c>
      <x:c r="E1156" s="21" t="n">
        <x:v>65219230</x:v>
      </x:c>
      <x:c r="F1156" s="11" t="str">
        <x:v>Nasdaq public historical table</x:v>
      </x:c>
    </x:row>
    <x:row r="1157">
      <x:c r="A1157" s="14" t="n">
        <x:v>45905</x:v>
      </x:c>
      <x:c r="B1157" s="20" t="n">
        <x:v>123.81</x:v>
      </x:c>
      <x:c r="C1157" s="20" t="n">
        <x:v>647.24</x:v>
      </x:c>
      <x:c r="D1157" s="21" t="n">
        <x:v>4327197</x:v>
      </x:c>
      <x:c r="E1157" s="21" t="n">
        <x:v>85178940</x:v>
      </x:c>
      <x:c r="F1157" s="11" t="str">
        <x:v>Nasdaq public historical table</x:v>
      </x:c>
    </x:row>
    <x:row r="1158">
      <x:c r="A1158" s="14" t="n">
        <x:v>45908</x:v>
      </x:c>
      <x:c r="B1158" s="20" t="n">
        <x:v>124.62</x:v>
      </x:c>
      <x:c r="C1158" s="20" t="n">
        <x:v>648.83</x:v>
      </x:c>
      <x:c r="D1158" s="21" t="n">
        <x:v>4765180</x:v>
      </x:c>
      <x:c r="E1158" s="21" t="n">
        <x:v>63133100</x:v>
      </x:c>
      <x:c r="F1158" s="11" t="str">
        <x:v>Nasdaq public historical table</x:v>
      </x:c>
    </x:row>
    <x:row r="1159">
      <x:c r="A1159" s="14" t="n">
        <x:v>45909</x:v>
      </x:c>
      <x:c r="B1159" s="20" t="n">
        <x:v>123.81</x:v>
      </x:c>
      <x:c r="C1159" s="20" t="n">
        <x:v>650.33</x:v>
      </x:c>
      <x:c r="D1159" s="21" t="n">
        <x:v>3607594</x:v>
      </x:c>
      <x:c r="E1159" s="21" t="n">
        <x:v>66133860</x:v>
      </x:c>
      <x:c r="F1159" s="11" t="str">
        <x:v>Nasdaq public historical table</x:v>
      </x:c>
    </x:row>
    <x:row r="1160">
      <x:c r="A1160" s="14" t="n">
        <x:v>45910</x:v>
      </x:c>
      <x:c r="B1160" s="20" t="n">
        <x:v>123.41</x:v>
      </x:c>
      <x:c r="C1160" s="20" t="n">
        <x:v>652.21</x:v>
      </x:c>
      <x:c r="D1160" s="21" t="n">
        <x:v>4772621</x:v>
      </x:c>
      <x:c r="E1160" s="21" t="n">
        <x:v>78034530</x:v>
      </x:c>
      <x:c r="F1160" s="11" t="str">
        <x:v>Nasdaq public historical table</x:v>
      </x:c>
    </x:row>
    <x:row r="1161">
      <x:c r="A1161" s="14" t="n">
        <x:v>45911</x:v>
      </x:c>
      <x:c r="B1161" s="20" t="n">
        <x:v>123.05</x:v>
      </x:c>
      <x:c r="C1161" s="20" t="n">
        <x:v>657.63</x:v>
      </x:c>
      <x:c r="D1161" s="21" t="n">
        <x:v>5241465</x:v>
      </x:c>
      <x:c r="E1161" s="21" t="n">
        <x:v>69934360</x:v>
      </x:c>
      <x:c r="F1161" s="11" t="str">
        <x:v>Nasdaq public historical table</x:v>
      </x:c>
    </x:row>
    <x:row r="1162">
      <x:c r="A1162" s="14" t="n">
        <x:v>45912</x:v>
      </x:c>
      <x:c r="B1162" s="20" t="n">
        <x:v>122.55</x:v>
      </x:c>
      <x:c r="C1162" s="20" t="n">
        <x:v>657.41</x:v>
      </x:c>
      <x:c r="D1162" s="21" t="n">
        <x:v>5263923</x:v>
      </x:c>
      <x:c r="E1162" s="21" t="n">
        <x:v>72780140</x:v>
      </x:c>
      <x:c r="F1162" s="11" t="str">
        <x:v>Nasdaq public historical table</x:v>
      </x:c>
    </x:row>
    <x:row r="1163">
      <x:c r="A1163" s="14" t="n">
        <x:v>45915</x:v>
      </x:c>
      <x:c r="B1163" s="20" t="n">
        <x:v>120.37</x:v>
      </x:c>
      <x:c r="C1163" s="20" t="n">
        <x:v>660.91</x:v>
      </x:c>
      <x:c r="D1163" s="21" t="n">
        <x:v>7060401</x:v>
      </x:c>
      <x:c r="E1163" s="21" t="n">
        <x:v>63772410</x:v>
      </x:c>
      <x:c r="F1163" s="11" t="str">
        <x:v>Nasdaq public historical table</x:v>
      </x:c>
    </x:row>
    <x:row r="1164">
      <x:c r="A1164" s="14" t="n">
        <x:v>45916</x:v>
      </x:c>
      <x:c r="B1164" s="20" t="n">
        <x:v>121.66</x:v>
      </x:c>
      <x:c r="C1164" s="20" t="n">
        <x:v>660</x:v>
      </x:c>
      <x:c r="D1164" s="21" t="n">
        <x:v>5072217</x:v>
      </x:c>
      <x:c r="E1164" s="21" t="n">
        <x:v>61168950</x:v>
      </x:c>
      <x:c r="F1164" s="11" t="str">
        <x:v>Nasdaq public historical table</x:v>
      </x:c>
    </x:row>
    <x:row r="1165">
      <x:c r="A1165" s="14" t="n">
        <x:v>45917</x:v>
      </x:c>
      <x:c r="B1165" s="20" t="n">
        <x:v>123.2</x:v>
      </x:c>
      <x:c r="C1165" s="20" t="n">
        <x:v>659.18</x:v>
      </x:c>
      <x:c r="D1165" s="21" t="n">
        <x:v>4973260</x:v>
      </x:c>
      <x:c r="E1165" s="21" t="n">
        <x:v>101952200</x:v>
      </x:c>
      <x:c r="F1165" s="11" t="str">
        <x:v>Nasdaq public historical table</x:v>
      </x:c>
    </x:row>
    <x:row r="1166">
      <x:c r="A1166" s="14" t="n">
        <x:v>45918</x:v>
      </x:c>
      <x:c r="B1166" s="20" t="n">
        <x:v>125.47</x:v>
      </x:c>
      <x:c r="C1166" s="20" t="n">
        <x:v>662.26</x:v>
      </x:c>
      <x:c r="D1166" s="21" t="n">
        <x:v>4235741</x:v>
      </x:c>
      <x:c r="E1166" s="21" t="n">
        <x:v>90459240</x:v>
      </x:c>
      <x:c r="F1166" s="11" t="str">
        <x:v>Nasdaq public historical table</x:v>
      </x:c>
    </x:row>
    <x:row r="1167">
      <x:c r="A1167" s="14" t="n">
        <x:v>45919</x:v>
      </x:c>
      <x:c r="B1167" s="20" t="n">
        <x:v>127.04</x:v>
      </x:c>
      <x:c r="C1167" s="20" t="n">
        <x:v>663.7</x:v>
      </x:c>
      <x:c r="D1167" s="21" t="n">
        <x:v>9144270</x:v>
      </x:c>
      <x:c r="E1167" s="21" t="n">
        <x:v>97945620</x:v>
      </x:c>
      <x:c r="F1167" s="11" t="str">
        <x:v>Nasdaq public historical table</x:v>
      </x:c>
    </x:row>
    <x:row r="1168">
      <x:c r="A1168" s="14" t="n">
        <x:v>45922</x:v>
      </x:c>
      <x:c r="B1168" s="20" t="n">
        <x:v>125.44</x:v>
      </x:c>
      <x:c r="C1168" s="20" t="n">
        <x:v>666.84</x:v>
      </x:c>
      <x:c r="D1168" s="21" t="n">
        <x:v>5591124</x:v>
      </x:c>
      <x:c r="E1168" s="21" t="n">
        <x:v>69452200</x:v>
      </x:c>
      <x:c r="F1168" s="11" t="str">
        <x:v>Nasdaq public historical table</x:v>
      </x:c>
    </x:row>
    <x:row r="1169">
      <x:c r="A1169" s="14" t="n">
        <x:v>45923</x:v>
      </x:c>
      <x:c r="B1169" s="20" t="n">
        <x:v>123.5</x:v>
      </x:c>
      <x:c r="C1169" s="20" t="n">
        <x:v>663.21</x:v>
      </x:c>
      <x:c r="D1169" s="21" t="n">
        <x:v>5634711</x:v>
      </x:c>
      <x:c r="E1169" s="21" t="n">
        <x:v>81708870</x:v>
      </x:c>
      <x:c r="F1169" s="11" t="str">
        <x:v>Nasdaq public historical table</x:v>
      </x:c>
    </x:row>
    <x:row r="1170">
      <x:c r="A1170" s="14" t="n">
        <x:v>45924</x:v>
      </x:c>
      <x:c r="B1170" s="20" t="n">
        <x:v>123.08</x:v>
      </x:c>
      <x:c r="C1170" s="20" t="n">
        <x:v>661.1</x:v>
      </x:c>
      <x:c r="D1170" s="21" t="n">
        <x:v>4060490</x:v>
      </x:c>
      <x:c r="E1170" s="21" t="n">
        <x:v>68082230</x:v>
      </x:c>
      <x:c r="F1170" s="11" t="str">
        <x:v>Nasdaq public historical table</x:v>
      </x:c>
    </x:row>
    <x:row r="1171">
      <x:c r="A1171" s="14" t="n">
        <x:v>45925</x:v>
      </x:c>
      <x:c r="B1171" s="20" t="n">
        <x:v>121.75</x:v>
      </x:c>
      <x:c r="C1171" s="20" t="n">
        <x:v>658.05</x:v>
      </x:c>
      <x:c r="D1171" s="21" t="n">
        <x:v>3631968</x:v>
      </x:c>
      <x:c r="E1171" s="21" t="n">
        <x:v>89622070</x:v>
      </x:c>
      <x:c r="F1171" s="11" t="str">
        <x:v>Nasdaq public historical table</x:v>
      </x:c>
    </x:row>
    <x:row r="1172">
      <x:c r="A1172" s="14" t="n">
        <x:v>45926</x:v>
      </x:c>
      <x:c r="B1172" s="20" t="n">
        <x:v>123.7</x:v>
      </x:c>
      <x:c r="C1172" s="20" t="n">
        <x:v>661.82</x:v>
      </x:c>
      <x:c r="D1172" s="21" t="n">
        <x:v>2899605</x:v>
      </x:c>
      <x:c r="E1172" s="21" t="n">
        <x:v>69179210</x:v>
      </x:c>
      <x:c r="F1172" s="11" t="str">
        <x:v>Nasdaq public historical table</x:v>
      </x:c>
    </x:row>
    <x:row r="1173">
      <x:c r="A1173" s="14" t="n">
        <x:v>45929</x:v>
      </x:c>
      <x:c r="B1173" s="20" t="n">
        <x:v>122.92</x:v>
      </x:c>
      <x:c r="C1173" s="20" t="n">
        <x:v>663.68</x:v>
      </x:c>
      <x:c r="D1173" s="21" t="n">
        <x:v>3874669</x:v>
      </x:c>
      <x:c r="E1173" s="21" t="n">
        <x:v>73499020</x:v>
      </x:c>
      <x:c r="F1173" s="11" t="str">
        <x:v>Nasdaq public historical table</x:v>
      </x:c>
    </x:row>
    <x:row r="1174">
      <x:c r="A1174" s="14" t="n">
        <x:v>45930</x:v>
      </x:c>
      <x:c r="B1174" s="20" t="n">
        <x:v>121.42</x:v>
      </x:c>
      <x:c r="C1174" s="20" t="n">
        <x:v>666.18</x:v>
      </x:c>
      <x:c r="D1174" s="21" t="n">
        <x:v>3730456</x:v>
      </x:c>
      <x:c r="E1174" s="21" t="n">
        <x:v>86288030</x:v>
      </x:c>
      <x:c r="F1174" s="11" t="str">
        <x:v>Nasdaq public historical table</x:v>
      </x:c>
    </x:row>
    <x:row r="1175">
      <x:c r="A1175" s="14" t="n">
        <x:v>45931</x:v>
      </x:c>
      <x:c r="B1175" s="20" t="n">
        <x:v>122.32</x:v>
      </x:c>
      <x:c r="C1175" s="20" t="n">
        <x:v>668.45</x:v>
      </x:c>
      <x:c r="D1175" s="21" t="n">
        <x:v>3443702</x:v>
      </x:c>
      <x:c r="E1175" s="21" t="n">
        <x:v>72545370</x:v>
      </x:c>
      <x:c r="F1175" s="11" t="str">
        <x:v>Nasdaq public historical table</x:v>
      </x:c>
    </x:row>
    <x:row r="1176">
      <x:c r="A1176" s="14" t="n">
        <x:v>45932</x:v>
      </x:c>
      <x:c r="B1176" s="20" t="n">
        <x:v>121.49</x:v>
      </x:c>
      <x:c r="C1176" s="20" t="n">
        <x:v>669.22</x:v>
      </x:c>
      <x:c r="D1176" s="21" t="n">
        <x:v>4562181</x:v>
      </x:c>
      <x:c r="E1176" s="21" t="n">
        <x:v>56895990</x:v>
      </x:c>
      <x:c r="F1176" s="11" t="str">
        <x:v>Nasdaq public historical table</x:v>
      </x:c>
    </x:row>
    <x:row r="1177">
      <x:c r="A1177" s="14" t="n">
        <x:v>45933</x:v>
      </x:c>
      <x:c r="B1177" s="20" t="n">
        <x:v>120.22</x:v>
      </x:c>
      <x:c r="C1177" s="20" t="n">
        <x:v>669.21</x:v>
      </x:c>
      <x:c r="D1177" s="21" t="n">
        <x:v>5911349</x:v>
      </x:c>
      <x:c r="E1177" s="21" t="n">
        <x:v>70494350</x:v>
      </x:c>
      <x:c r="F1177" s="11" t="str">
        <x:v>Nasdaq public historical table</x:v>
      </x:c>
    </x:row>
    <x:row r="1178">
      <x:c r="A1178" s="14" t="n">
        <x:v>45936</x:v>
      </x:c>
      <x:c r="B1178" s="20" t="n">
        <x:v>120.35</x:v>
      </x:c>
      <x:c r="C1178" s="20" t="n">
        <x:v>671.61</x:v>
      </x:c>
      <x:c r="D1178" s="21" t="n">
        <x:v>5474253</x:v>
      </x:c>
      <x:c r="E1178" s="21" t="n">
        <x:v>54623260</x:v>
      </x:c>
      <x:c r="F1178" s="11" t="str">
        <x:v>Nasdaq public historical table</x:v>
      </x:c>
    </x:row>
    <x:row r="1179">
      <x:c r="A1179" s="14" t="n">
        <x:v>45937</x:v>
      </x:c>
      <x:c r="B1179" s="20" t="n">
        <x:v>119.85</x:v>
      </x:c>
      <x:c r="C1179" s="20" t="n">
        <x:v>669.12</x:v>
      </x:c>
      <x:c r="D1179" s="21" t="n">
        <x:v>4415874</x:v>
      </x:c>
      <x:c r="E1179" s="21" t="n">
        <x:v>72020070</x:v>
      </x:c>
      <x:c r="F1179" s="11" t="str">
        <x:v>Nasdaq public historical table</x:v>
      </x:c>
    </x:row>
    <x:row r="1180">
      <x:c r="A1180" s="14" t="n">
        <x:v>45938</x:v>
      </x:c>
      <x:c r="B1180" s="20" t="n">
        <x:v>119.99</x:v>
      </x:c>
      <x:c r="C1180" s="20" t="n">
        <x:v>673.11</x:v>
      </x:c>
      <x:c r="D1180" s="21" t="n">
        <x:v>4407384</x:v>
      </x:c>
      <x:c r="E1180" s="21" t="n">
        <x:v>60702240</x:v>
      </x:c>
      <x:c r="F1180" s="11" t="str">
        <x:v>Nasdaq public historical table</x:v>
      </x:c>
    </x:row>
    <x:row r="1181">
      <x:c r="A1181" s="14" t="n">
        <x:v>45939</x:v>
      </x:c>
      <x:c r="B1181" s="20" t="n">
        <x:v>120.15</x:v>
      </x:c>
      <x:c r="C1181" s="20" t="n">
        <x:v>671.16</x:v>
      </x:c>
      <x:c r="D1181" s="21" t="n">
        <x:v>3415243</x:v>
      </x:c>
      <x:c r="E1181" s="21" t="n">
        <x:v>66501940</x:v>
      </x:c>
      <x:c r="F1181" s="11" t="str">
        <x:v>Nasdaq public historical table</x:v>
      </x:c>
    </x:row>
    <x:row r="1182">
      <x:c r="A1182" s="14" t="n">
        <x:v>45940</x:v>
      </x:c>
      <x:c r="B1182" s="20" t="n">
        <x:v>118.19</x:v>
      </x:c>
      <x:c r="C1182" s="20" t="n">
        <x:v>653.02</x:v>
      </x:c>
      <x:c r="D1182" s="21" t="n">
        <x:v>5107060</x:v>
      </x:c>
      <x:c r="E1182" s="21" t="n">
        <x:v>159422600</x:v>
      </x:c>
      <x:c r="F1182" s="11" t="str">
        <x:v>Nasdaq public historical table</x:v>
      </x:c>
    </x:row>
    <x:row r="1183">
      <x:c r="A1183" s="14" t="n">
        <x:v>45943</x:v>
      </x:c>
      <x:c r="B1183" s="20" t="n">
        <x:v>118.86</x:v>
      </x:c>
      <x:c r="C1183" s="20" t="n">
        <x:v>663.04</x:v>
      </x:c>
      <x:c r="D1183" s="21" t="n">
        <x:v>3344832</x:v>
      </x:c>
      <x:c r="E1183" s="21" t="n">
        <x:v>79560520</x:v>
      </x:c>
      <x:c r="F1183" s="11" t="str">
        <x:v>Nasdaq public historical table</x:v>
      </x:c>
    </x:row>
    <x:row r="1184">
      <x:c r="A1184" s="14" t="n">
        <x:v>45944</x:v>
      </x:c>
      <x:c r="B1184" s="20" t="n">
        <x:v>122.89</x:v>
      </x:c>
      <x:c r="C1184" s="20" t="n">
        <x:v>662.23</x:v>
      </x:c>
      <x:c r="D1184" s="21" t="n">
        <x:v>6171640</x:v>
      </x:c>
      <x:c r="E1184" s="21" t="n">
        <x:v>88779560</x:v>
      </x:c>
      <x:c r="F1184" s="11" t="str">
        <x:v>Nasdaq public historical table</x:v>
      </x:c>
    </x:row>
    <x:row r="1185">
      <x:c r="A1185" s="14" t="n">
        <x:v>45945</x:v>
      </x:c>
      <x:c r="B1185" s="20" t="n">
        <x:v>124.26</x:v>
      </x:c>
      <x:c r="C1185" s="20" t="n">
        <x:v>665.17</x:v>
      </x:c>
      <x:c r="D1185" s="21" t="n">
        <x:v>5677933</x:v>
      </x:c>
      <x:c r="E1185" s="21" t="n">
        <x:v>81702560</x:v>
      </x:c>
      <x:c r="F1185" s="11" t="str">
        <x:v>Nasdaq public historical table</x:v>
      </x:c>
    </x:row>
    <x:row r="1186">
      <x:c r="A1186" s="14" t="n">
        <x:v>45946</x:v>
      </x:c>
      <x:c r="B1186" s="20" t="n">
        <x:v>122.89</x:v>
      </x:c>
      <x:c r="C1186" s="20" t="n">
        <x:v>660.64</x:v>
      </x:c>
      <x:c r="D1186" s="21" t="n">
        <x:v>5254222</x:v>
      </x:c>
      <x:c r="E1186" s="21" t="n">
        <x:v>110563300</x:v>
      </x:c>
      <x:c r="F1186" s="11" t="str">
        <x:v>Nasdaq public historical table</x:v>
      </x:c>
    </x:row>
    <x:row r="1187">
      <x:c r="A1187" s="14" t="n">
        <x:v>45947</x:v>
      </x:c>
      <x:c r="B1187" s="20" t="n">
        <x:v>125.91</x:v>
      </x:c>
      <x:c r="C1187" s="20" t="n">
        <x:v>664.39</x:v>
      </x:c>
      <x:c r="D1187" s="21" t="n">
        <x:v>4479100</x:v>
      </x:c>
      <x:c r="E1187" s="21" t="n">
        <x:v>96500870</x:v>
      </x:c>
      <x:c r="F1187" s="11" t="str">
        <x:v>Nasdaq public historical table</x:v>
      </x:c>
    </x:row>
    <x:row r="1188">
      <x:c r="A1188" s="14" t="n">
        <x:v>45950</x:v>
      </x:c>
      <x:c r="B1188" s="20" t="n">
        <x:v>127.21</x:v>
      </x:c>
      <x:c r="C1188" s="20" t="n">
        <x:v>671.3</x:v>
      </x:c>
      <x:c r="D1188" s="21" t="n">
        <x:v>3977111</x:v>
      </x:c>
      <x:c r="E1188" s="21" t="n">
        <x:v>60493350</x:v>
      </x:c>
      <x:c r="F1188" s="11" t="str">
        <x:v>Nasdaq public historical table</x:v>
      </x:c>
    </x:row>
    <x:row r="1189">
      <x:c r="A1189" s="14" t="n">
        <x:v>45951</x:v>
      </x:c>
      <x:c r="B1189" s="20" t="n">
        <x:v>128.56</x:v>
      </x:c>
      <x:c r="C1189" s="20" t="n">
        <x:v>671.29</x:v>
      </x:c>
      <x:c r="D1189" s="21" t="n">
        <x:v>3331492</x:v>
      </x:c>
      <x:c r="E1189" s="21" t="n">
        <x:v>56249030</x:v>
      </x:c>
      <x:c r="F1189" s="11" t="str">
        <x:v>Nasdaq public historical table</x:v>
      </x:c>
    </x:row>
    <x:row r="1190">
      <x:c r="A1190" s="14" t="n">
        <x:v>45952</x:v>
      </x:c>
      <x:c r="B1190" s="20" t="n">
        <x:v>127.5</x:v>
      </x:c>
      <x:c r="C1190" s="20" t="n">
        <x:v>667.8</x:v>
      </x:c>
      <x:c r="D1190" s="21" t="n">
        <x:v>3292727</x:v>
      </x:c>
      <x:c r="E1190" s="21" t="n">
        <x:v>80564010</x:v>
      </x:c>
      <x:c r="F1190" s="11" t="str">
        <x:v>Nasdaq public historical table</x:v>
      </x:c>
    </x:row>
    <x:row r="1191">
      <x:c r="A1191" s="14" t="n">
        <x:v>45953</x:v>
      </x:c>
      <x:c r="B1191" s="20" t="n">
        <x:v>127.35</x:v>
      </x:c>
      <x:c r="C1191" s="20" t="n">
        <x:v>671.76</x:v>
      </x:c>
      <x:c r="D1191" s="21" t="n">
        <x:v>3239443</x:v>
      </x:c>
      <x:c r="E1191" s="21" t="n">
        <x:v>65604460</x:v>
      </x:c>
      <x:c r="F1191" s="11" t="str">
        <x:v>Nasdaq public historical table</x:v>
      </x:c>
    </x:row>
    <x:row r="1192">
      <x:c r="A1192" s="14" t="n">
        <x:v>45954</x:v>
      </x:c>
      <x:c r="B1192" s="20" t="n">
        <x:v>127.99</x:v>
      </x:c>
      <x:c r="C1192" s="20" t="n">
        <x:v>677.25</x:v>
      </x:c>
      <x:c r="D1192" s="21" t="n">
        <x:v>3344365</x:v>
      </x:c>
      <x:c r="E1192" s="21" t="n">
        <x:v>74356530</x:v>
      </x:c>
      <x:c r="F1192" s="11" t="str">
        <x:v>Nasdaq public historical table</x:v>
      </x:c>
    </x:row>
    <x:row r="1193">
      <x:c r="A1193" s="14" t="n">
        <x:v>45957</x:v>
      </x:c>
      <x:c r="B1193" s="20" t="n">
        <x:v>129.07</x:v>
      </x:c>
      <x:c r="C1193" s="20" t="n">
        <x:v>685.24</x:v>
      </x:c>
      <x:c r="D1193" s="21" t="n">
        <x:v>3838994</x:v>
      </x:c>
      <x:c r="E1193" s="21" t="n">
        <x:v>63339790</x:v>
      </x:c>
      <x:c r="F1193" s="11" t="str">
        <x:v>Nasdaq public historical table</x:v>
      </x:c>
    </x:row>
    <x:row r="1194">
      <x:c r="A1194" s="14" t="n">
        <x:v>45958</x:v>
      </x:c>
      <x:c r="B1194" s="20" t="n">
        <x:v>128.01</x:v>
      </x:c>
      <x:c r="C1194" s="20" t="n">
        <x:v>687.06</x:v>
      </x:c>
      <x:c r="D1194" s="21" t="n">
        <x:v>4463174</x:v>
      </x:c>
      <x:c r="E1194" s="21" t="n">
        <x:v>61738070</x:v>
      </x:c>
      <x:c r="F1194" s="11" t="str">
        <x:v>Nasdaq public historical table</x:v>
      </x:c>
    </x:row>
    <x:row r="1195">
      <x:c r="A1195" s="14" t="n">
        <x:v>45959</x:v>
      </x:c>
      <x:c r="B1195" s="20" t="n">
        <x:v>126.48</x:v>
      </x:c>
      <x:c r="C1195" s="20" t="n">
        <x:v>687.39</x:v>
      </x:c>
      <x:c r="D1195" s="21" t="n">
        <x:v>5102906</x:v>
      </x:c>
      <x:c r="E1195" s="21" t="n">
        <x:v>85362210</x:v>
      </x:c>
      <x:c r="F1195" s="11" t="str">
        <x:v>Nasdaq public historical table</x:v>
      </x:c>
    </x:row>
    <x:row r="1196">
      <x:c r="A1196" s="14" t="n">
        <x:v>45960</x:v>
      </x:c>
      <x:c r="B1196" s="20" t="n">
        <x:v>126.34</x:v>
      </x:c>
      <x:c r="C1196" s="20" t="n">
        <x:v>679.83</x:v>
      </x:c>
      <x:c r="D1196" s="21" t="n">
        <x:v>4013366</x:v>
      </x:c>
      <x:c r="E1196" s="21" t="n">
        <x:v>76335750</x:v>
      </x:c>
      <x:c r="F1196" s="11" t="str">
        <x:v>Nasdaq public historical table</x:v>
      </x:c>
    </x:row>
    <x:row r="1197">
      <x:c r="A1197" s="14" t="n">
        <x:v>45961</x:v>
      </x:c>
      <x:c r="B1197" s="20" t="n">
        <x:v>126.54</x:v>
      </x:c>
      <x:c r="C1197" s="20" t="n">
        <x:v>682.06</x:v>
      </x:c>
      <x:c r="D1197" s="21" t="n">
        <x:v>3481550</x:v>
      </x:c>
      <x:c r="E1197" s="21" t="n">
        <x:v>87164120</x:v>
      </x:c>
      <x:c r="F1197" s="11" t="str">
        <x:v>Nasdaq public historical table</x:v>
      </x:c>
    </x:row>
    <x:row r="1198">
      <x:c r="A1198" s="14" t="n">
        <x:v>45964</x:v>
      </x:c>
      <x:c r="B1198" s="20" t="n">
        <x:v>126.8</x:v>
      </x:c>
      <x:c r="C1198" s="20" t="n">
        <x:v>683.34</x:v>
      </x:c>
      <x:c r="D1198" s="21" t="n">
        <x:v>4053762</x:v>
      </x:c>
      <x:c r="E1198" s="21" t="n">
        <x:v>57315030</x:v>
      </x:c>
      <x:c r="F1198" s="11" t="str">
        <x:v>Nasdaq public historical table</x:v>
      </x:c>
    </x:row>
    <x:row r="1199">
      <x:c r="A1199" s="14" t="n">
        <x:v>45965</x:v>
      </x:c>
      <x:c r="B1199" s="20" t="n">
        <x:v>122.35</x:v>
      </x:c>
      <x:c r="C1199" s="20" t="n">
        <x:v>675.24</x:v>
      </x:c>
      <x:c r="D1199" s="21" t="n">
        <x:v>5967308</x:v>
      </x:c>
      <x:c r="E1199" s="21" t="n">
        <x:v>78426970</x:v>
      </x:c>
      <x:c r="F1199" s="11" t="str">
        <x:v>Nasdaq public historical table</x:v>
      </x:c>
    </x:row>
    <x:row r="1200">
      <x:c r="A1200" s="14" t="n">
        <x:v>45966</x:v>
      </x:c>
      <x:c r="B1200" s="20" t="n">
        <x:v>122.5</x:v>
      </x:c>
      <x:c r="C1200" s="20" t="n">
        <x:v>677.58</x:v>
      </x:c>
      <x:c r="D1200" s="21" t="n">
        <x:v>4580421</x:v>
      </x:c>
      <x:c r="E1200" s="21" t="n">
        <x:v>74402380</x:v>
      </x:c>
      <x:c r="F1200" s="11" t="str">
        <x:v>Nasdaq public historical table</x:v>
      </x:c>
    </x:row>
    <x:row r="1201">
      <x:c r="A1201" s="14" t="n">
        <x:v>45967</x:v>
      </x:c>
      <x:c r="B1201" s="20" t="n">
        <x:v>120.53</x:v>
      </x:c>
      <x:c r="C1201" s="20" t="n">
        <x:v>670.31</x:v>
      </x:c>
      <x:c r="D1201" s="21" t="n">
        <x:v>9853439</x:v>
      </x:c>
      <x:c r="E1201" s="21" t="n">
        <x:v>85035300</x:v>
      </x:c>
      <x:c r="F1201" s="11" t="str">
        <x:v>Nasdaq public historical table</x:v>
      </x:c>
    </x:row>
    <x:row r="1202">
      <x:c r="A1202" s="14" t="n">
        <x:v>45968</x:v>
      </x:c>
      <x:c r="B1202" s="20" t="n">
        <x:v>120.88</x:v>
      </x:c>
      <x:c r="C1202" s="20" t="n">
        <x:v>670.97</x:v>
      </x:c>
      <x:c r="D1202" s="21" t="n">
        <x:v>11755950</x:v>
      </x:c>
      <x:c r="E1202" s="21" t="n">
        <x:v>100592400</x:v>
      </x:c>
      <x:c r="F1202" s="11" t="str">
        <x:v>Nasdaq public historical table</x:v>
      </x:c>
    </x:row>
    <x:row r="1203">
      <x:c r="A1203" s="14" t="n">
        <x:v>45971</x:v>
      </x:c>
      <x:c r="B1203" s="20" t="n">
        <x:v>120.2</x:v>
      </x:c>
      <x:c r="C1203" s="20" t="n">
        <x:v>681.44</x:v>
      </x:c>
      <x:c r="D1203" s="21" t="n">
        <x:v>7481669</x:v>
      </x:c>
      <x:c r="E1203" s="21" t="n">
        <x:v>75842890</x:v>
      </x:c>
      <x:c r="F1203" s="11" t="str">
        <x:v>Nasdaq public historical table</x:v>
      </x:c>
    </x:row>
    <x:row r="1204">
      <x:c r="A1204" s="14" t="n">
        <x:v>45972</x:v>
      </x:c>
      <x:c r="B1204" s="20" t="n">
        <x:v>122.53</x:v>
      </x:c>
      <x:c r="C1204" s="20" t="n">
        <x:v>683</x:v>
      </x:c>
      <x:c r="D1204" s="21" t="n">
        <x:v>4425011</x:v>
      </x:c>
      <x:c r="E1204" s="21" t="n">
        <x:v>58953390</x:v>
      </x:c>
      <x:c r="F1204" s="11" t="str">
        <x:v>Nasdaq public historical table</x:v>
      </x:c>
    </x:row>
    <x:row r="1205">
      <x:c r="A1205" s="14" t="n">
        <x:v>45973</x:v>
      </x:c>
      <x:c r="B1205" s="20" t="n">
        <x:v>121.69</x:v>
      </x:c>
      <x:c r="C1205" s="20" t="n">
        <x:v>683.38</x:v>
      </x:c>
      <x:c r="D1205" s="21" t="n">
        <x:v>3713821</x:v>
      </x:c>
      <x:c r="E1205" s="21" t="n">
        <x:v>62312480</x:v>
      </x:c>
      <x:c r="F1205" s="11" t="str">
        <x:v>Nasdaq public historical table</x:v>
      </x:c>
    </x:row>
    <x:row r="1206">
      <x:c r="A1206" s="14" t="n">
        <x:v>45974</x:v>
      </x:c>
      <x:c r="B1206" s="20" t="n">
        <x:v>121.19</x:v>
      </x:c>
      <x:c r="C1206" s="20" t="n">
        <x:v>672.04</x:v>
      </x:c>
      <x:c r="D1206" s="21" t="n">
        <x:v>3715970</x:v>
      </x:c>
      <x:c r="E1206" s="21" t="n">
        <x:v>103457800</x:v>
      </x:c>
      <x:c r="F1206" s="11" t="str">
        <x:v>Nasdaq public historical table</x:v>
      </x:c>
    </x:row>
    <x:row r="1207">
      <x:c r="A1207" s="14" t="n">
        <x:v>45975</x:v>
      </x:c>
      <x:c r="B1207" s="20" t="n">
        <x:v>122.02</x:v>
      </x:c>
      <x:c r="C1207" s="20" t="n">
        <x:v>671.93</x:v>
      </x:c>
      <x:c r="D1207" s="21" t="n">
        <x:v>4119734</x:v>
      </x:c>
      <x:c r="E1207" s="21" t="n">
        <x:v>96846670</x:v>
      </x:c>
      <x:c r="F1207" s="11" t="str">
        <x:v>Nasdaq public historical table</x:v>
      </x:c>
    </x:row>
    <x:row r="1208">
      <x:c r="A1208" s="14" t="n">
        <x:v>45978</x:v>
      </x:c>
      <x:c r="B1208" s="20" t="n">
        <x:v>117.6</x:v>
      </x:c>
      <x:c r="C1208" s="20" t="n">
        <x:v>665.67</x:v>
      </x:c>
      <x:c r="D1208" s="21" t="n">
        <x:v>5187054</x:v>
      </x:c>
      <x:c r="E1208" s="21" t="n">
        <x:v>90456110</x:v>
      </x:c>
      <x:c r="F1208" s="11" t="str">
        <x:v>Nasdaq public historical table</x:v>
      </x:c>
    </x:row>
    <x:row r="1209">
      <x:c r="A1209" s="14" t="n">
        <x:v>45979</x:v>
      </x:c>
      <x:c r="B1209" s="20" t="n">
        <x:v>115.42</x:v>
      </x:c>
      <x:c r="C1209" s="20" t="n">
        <x:v>660.08</x:v>
      </x:c>
      <x:c r="D1209" s="21" t="n">
        <x:v>5547169</x:v>
      </x:c>
      <x:c r="E1209" s="21" t="n">
        <x:v>114467500</x:v>
      </x:c>
      <x:c r="F1209" s="11" t="str">
        <x:v>Nasdaq public historical table</x:v>
      </x:c>
    </x:row>
    <x:row r="1210">
      <x:c r="A1210" s="14" t="n">
        <x:v>45980</x:v>
      </x:c>
      <x:c r="B1210" s="20" t="n">
        <x:v>114.44</x:v>
      </x:c>
      <x:c r="C1210" s="20" t="n">
        <x:v>662.63</x:v>
      </x:c>
      <x:c r="D1210" s="21" t="n">
        <x:v>4516081</x:v>
      </x:c>
      <x:c r="E1210" s="21" t="n">
        <x:v>94702960</x:v>
      </x:c>
      <x:c r="F1210" s="11" t="str">
        <x:v>Nasdaq public historical table</x:v>
      </x:c>
    </x:row>
    <x:row r="1211">
      <x:c r="A1211" s="14" t="n">
        <x:v>45981</x:v>
      </x:c>
      <x:c r="B1211" s="20" t="n">
        <x:v>111.54</x:v>
      </x:c>
      <x:c r="C1211" s="20" t="n">
        <x:v>652.53</x:v>
      </x:c>
      <x:c r="D1211" s="21" t="n">
        <x:v>7206680</x:v>
      </x:c>
      <x:c r="E1211" s="21" t="n">
        <x:v>165293500</x:v>
      </x:c>
      <x:c r="F1211" s="11" t="str">
        <x:v>Nasdaq public historical table</x:v>
      </x:c>
    </x:row>
    <x:row r="1212">
      <x:c r="A1212" s="14" t="n">
        <x:v>45982</x:v>
      </x:c>
      <x:c r="B1212" s="20" t="n">
        <x:v>114.26</x:v>
      </x:c>
      <x:c r="C1212" s="20" t="n">
        <x:v>659.03</x:v>
      </x:c>
      <x:c r="D1212" s="21" t="n">
        <x:v>6866157</x:v>
      </x:c>
      <x:c r="E1212" s="21" t="n">
        <x:v>123956200</x:v>
      </x:c>
      <x:c r="F1212" s="11" t="str">
        <x:v>Nasdaq public historical table</x:v>
      </x:c>
    </x:row>
    <x:row r="1213">
      <x:c r="A1213" s="14" t="n">
        <x:v>45985</x:v>
      </x:c>
      <x:c r="B1213" s="20" t="n">
        <x:v>114.41</x:v>
      </x:c>
      <x:c r="C1213" s="20" t="n">
        <x:v>668.73</x:v>
      </x:c>
      <x:c r="D1213" s="21" t="n">
        <x:v>6476412</x:v>
      </x:c>
      <x:c r="E1213" s="21" t="n">
        <x:v>80437940</x:v>
      </x:c>
      <x:c r="F1213" s="11" t="str">
        <x:v>Nasdaq public historical table</x:v>
      </x:c>
    </x:row>
    <x:row r="1214">
      <x:c r="A1214" s="14" t="n">
        <x:v>45986</x:v>
      </x:c>
      <x:c r="B1214" s="20" t="n">
        <x:v>118.56</x:v>
      </x:c>
      <x:c r="C1214" s="20" t="n">
        <x:v>675.02</x:v>
      </x:c>
      <x:c r="D1214" s="21" t="n">
        <x:v>7731122</x:v>
      </x:c>
      <x:c r="E1214" s="21" t="n">
        <x:v>81077090</x:v>
      </x:c>
      <x:c r="F1214" s="11" t="str">
        <x:v>Nasdaq public historical table</x:v>
      </x:c>
    </x:row>
    <x:row r="1215">
      <x:c r="A1215" s="14" t="n">
        <x:v>45987</x:v>
      </x:c>
      <x:c r="B1215" s="20" t="n">
        <x:v>116.74</x:v>
      </x:c>
      <x:c r="C1215" s="20" t="n">
        <x:v>679.68</x:v>
      </x:c>
      <x:c r="D1215" s="21" t="n">
        <x:v>5112234</x:v>
      </x:c>
      <x:c r="E1215" s="21" t="n">
        <x:v>71879600</x:v>
      </x:c>
      <x:c r="F1215" s="11" t="str">
        <x:v>Nasdaq public historical table</x:v>
      </x:c>
    </x:row>
    <x:row r="1216">
      <x:c r="A1216" s="14" t="n">
        <x:v>45989</x:v>
      </x:c>
      <x:c r="B1216" s="20" t="n">
        <x:v>116.99</x:v>
      </x:c>
      <x:c r="C1216" s="20" t="n">
        <x:v>683.39</x:v>
      </x:c>
      <x:c r="D1216" s="21" t="n">
        <x:v>2522283</x:v>
      </x:c>
      <x:c r="E1216" s="21" t="n">
        <x:v>49212030</x:v>
      </x:c>
      <x:c r="F1216" s="11" t="str">
        <x:v>Nasdaq public historical table</x:v>
      </x:c>
    </x:row>
    <x:row r="1217">
      <x:c r="A1217" s="14" t="n">
        <x:v>45992</x:v>
      </x:c>
      <x:c r="B1217" s="20" t="n">
        <x:v>118.8</x:v>
      </x:c>
      <x:c r="C1217" s="20" t="n">
        <x:v>680.27</x:v>
      </x:c>
      <x:c r="D1217" s="21" t="n">
        <x:v>4713156</x:v>
      </x:c>
      <x:c r="E1217" s="21" t="n">
        <x:v>61201190</x:v>
      </x:c>
      <x:c r="F1217" s="11" t="str">
        <x:v>Nasdaq public historical table</x:v>
      </x:c>
    </x:row>
    <x:row r="1218">
      <x:c r="A1218" s="14" t="n">
        <x:v>45993</x:v>
      </x:c>
      <x:c r="B1218" s="20" t="n">
        <x:v>118.5</x:v>
      </x:c>
      <x:c r="C1218" s="20" t="n">
        <x:v>681.53</x:v>
      </x:c>
      <x:c r="D1218" s="21" t="n">
        <x:v>6681480</x:v>
      </x:c>
      <x:c r="E1218" s="21" t="n">
        <x:v>62953840</x:v>
      </x:c>
      <x:c r="F1218" s="11" t="str">
        <x:v>Nasdaq public historical table</x:v>
      </x:c>
    </x:row>
    <x:row r="1219">
      <x:c r="A1219" s="14" t="n">
        <x:v>45994</x:v>
      </x:c>
      <x:c r="B1219" s="20" t="n">
        <x:v>120.13</x:v>
      </x:c>
      <x:c r="C1219" s="20" t="n">
        <x:v>683.89</x:v>
      </x:c>
      <x:c r="D1219" s="21" t="n">
        <x:v>5485468</x:v>
      </x:c>
      <x:c r="E1219" s="21" t="n">
        <x:v>57238480</x:v>
      </x:c>
      <x:c r="F1219" s="11" t="str">
        <x:v>Nasdaq public historical table</x:v>
      </x:c>
    </x:row>
    <x:row r="1220">
      <x:c r="A1220" s="14" t="n">
        <x:v>45995</x:v>
      </x:c>
      <x:c r="B1220" s="20" t="n">
        <x:v>120.82</x:v>
      </x:c>
      <x:c r="C1220" s="20" t="n">
        <x:v>684.39</x:v>
      </x:c>
      <x:c r="D1220" s="21" t="n">
        <x:v>4024055</x:v>
      </x:c>
      <x:c r="E1220" s="21" t="n">
        <x:v>61970340</x:v>
      </x:c>
      <x:c r="F1220" s="11" t="str">
        <x:v>Nasdaq public historical table</x:v>
      </x:c>
    </x:row>
    <x:row r="1221">
      <x:c r="A1221" s="14" t="n">
        <x:v>45996</x:v>
      </x:c>
      <x:c r="B1221" s="20" t="n">
        <x:v>124.32</x:v>
      </x:c>
      <x:c r="C1221" s="20" t="n">
        <x:v>685.69</x:v>
      </x:c>
      <x:c r="D1221" s="21" t="n">
        <x:v>3962329</x:v>
      </x:c>
      <x:c r="E1221" s="21" t="n">
        <x:v>79241050</x:v>
      </x:c>
      <x:c r="F1221" s="11" t="str">
        <x:v>Nasdaq public historical table</x:v>
      </x:c>
    </x:row>
    <x:row r="1222">
      <x:c r="A1222" s="14" t="n">
        <x:v>45999</x:v>
      </x:c>
      <x:c r="B1222" s="20" t="n">
        <x:v>122.01</x:v>
      </x:c>
      <x:c r="C1222" s="20" t="n">
        <x:v>683.63</x:v>
      </x:c>
      <x:c r="D1222" s="21" t="n">
        <x:v>4030344</x:v>
      </x:c>
      <x:c r="E1222" s="21" t="n">
        <x:v>55231460</x:v>
      </x:c>
      <x:c r="F1222" s="11" t="str">
        <x:v>Nasdaq public historical table</x:v>
      </x:c>
    </x:row>
    <x:row r="1223">
      <x:c r="A1223" s="14" t="n">
        <x:v>46000</x:v>
      </x:c>
      <x:c r="B1223" s="20" t="n">
        <x:v>125.39</x:v>
      </x:c>
      <x:c r="C1223" s="20" t="n">
        <x:v>683.04</x:v>
      </x:c>
      <x:c r="D1223" s="21" t="n">
        <x:v>3609041</x:v>
      </x:c>
      <x:c r="E1223" s="21" t="n">
        <x:v>58310060</x:v>
      </x:c>
      <x:c r="F1223" s="11" t="str">
        <x:v>Nasdaq public historical table</x:v>
      </x:c>
    </x:row>
    <x:row r="1224">
      <x:c r="A1224" s="14" t="n">
        <x:v>46001</x:v>
      </x:c>
      <x:c r="B1224" s="20" t="n">
        <x:v>127.57</x:v>
      </x:c>
      <x:c r="C1224" s="20" t="n">
        <x:v>687.57</x:v>
      </x:c>
      <x:c r="D1224" s="21" t="n">
        <x:v>4731221</x:v>
      </x:c>
      <x:c r="E1224" s="21" t="n">
        <x:v>85671330</x:v>
      </x:c>
      <x:c r="F1224" s="11" t="str">
        <x:v>Nasdaq public historical table</x:v>
      </x:c>
    </x:row>
    <x:row r="1225">
      <x:c r="A1225" s="14" t="n">
        <x:v>46002</x:v>
      </x:c>
      <x:c r="B1225" s="20" t="n">
        <x:v>128</x:v>
      </x:c>
      <x:c r="C1225" s="20" t="n">
        <x:v>689.17</x:v>
      </x:c>
      <x:c r="D1225" s="21" t="n">
        <x:v>5075704</x:v>
      </x:c>
      <x:c r="E1225" s="21" t="n">
        <x:v>86173680</x:v>
      </x:c>
      <x:c r="F1225" s="11" t="str">
        <x:v>Nasdaq public historical table</x:v>
      </x:c>
    </x:row>
    <x:row r="1226">
      <x:c r="A1226" s="14" t="n">
        <x:v>46003</x:v>
      </x:c>
      <x:c r="B1226" s="20" t="n">
        <x:v>128.39</x:v>
      </x:c>
      <x:c r="C1226" s="20" t="n">
        <x:v>681.76</x:v>
      </x:c>
      <x:c r="D1226" s="21" t="n">
        <x:v>3581154</x:v>
      </x:c>
      <x:c r="E1226" s="21" t="n">
        <x:v>113160300</x:v>
      </x:c>
      <x:c r="F1226" s="11" t="str">
        <x:v>Nasdaq public historical table</x:v>
      </x:c>
    </x:row>
    <x:row r="1227">
      <x:c r="A1227" s="14" t="n">
        <x:v>46006</x:v>
      </x:c>
      <x:c r="B1227" s="20" t="n">
        <x:v>131.81</x:v>
      </x:c>
      <x:c r="C1227" s="20" t="n">
        <x:v>680.73</x:v>
      </x:c>
      <x:c r="D1227" s="21" t="n">
        <x:v>5518099</x:v>
      </x:c>
      <x:c r="E1227" s="21" t="n">
        <x:v>90810950</x:v>
      </x:c>
      <x:c r="F1227" s="11" t="str">
        <x:v>Nasdaq public historical table</x:v>
      </x:c>
    </x:row>
    <x:row r="1228">
      <x:c r="A1228" s="14" t="n">
        <x:v>46007</x:v>
      </x:c>
      <x:c r="B1228" s="20" t="n">
        <x:v>132.01</x:v>
      </x:c>
      <x:c r="C1228" s="20" t="n">
        <x:v>678.87</x:v>
      </x:c>
      <x:c r="D1228" s="21" t="n">
        <x:v>4390926</x:v>
      </x:c>
      <x:c r="E1228" s="21" t="n">
        <x:v>122030600</x:v>
      </x:c>
      <x:c r="F1228" s="11" t="str">
        <x:v>Nasdaq public historical table</x:v>
      </x:c>
    </x:row>
    <x:row r="1229">
      <x:c r="A1229" s="14" t="n">
        <x:v>46008</x:v>
      </x:c>
      <x:c r="B1229" s="20" t="n">
        <x:v>133.78</x:v>
      </x:c>
      <x:c r="C1229" s="20" t="n">
        <x:v>671.4</x:v>
      </x:c>
      <x:c r="D1229" s="21" t="n">
        <x:v>6158389</x:v>
      </x:c>
      <x:c r="E1229" s="21" t="n">
        <x:v>110625200</x:v>
      </x:c>
      <x:c r="F1229" s="11" t="str">
        <x:v>Nasdaq public historical table</x:v>
      </x:c>
    </x:row>
    <x:row r="1230">
      <x:c r="A1230" s="14" t="n">
        <x:v>46009</x:v>
      </x:c>
      <x:c r="B1230" s="20" t="n">
        <x:v>133.99</x:v>
      </x:c>
      <x:c r="C1230" s="20" t="n">
        <x:v>676.47</x:v>
      </x:c>
      <x:c r="D1230" s="21" t="n">
        <x:v>4257799</x:v>
      </x:c>
      <x:c r="E1230" s="21" t="n">
        <x:v>108650100</x:v>
      </x:c>
      <x:c r="F1230" s="11" t="str">
        <x:v>Nasdaq public historical table</x:v>
      </x:c>
    </x:row>
    <x:row r="1231">
      <x:c r="A1231" s="14" t="n">
        <x:v>46010</x:v>
      </x:c>
      <x:c r="B1231" s="20" t="n">
        <x:v>135.28</x:v>
      </x:c>
      <x:c r="C1231" s="20" t="n">
        <x:v>680.59</x:v>
      </x:c>
      <x:c r="D1231" s="21" t="n">
        <x:v>10530750</x:v>
      </x:c>
      <x:c r="E1231" s="21" t="n">
        <x:v>103599500</x:v>
      </x:c>
      <x:c r="F1231" s="11" t="str">
        <x:v>Nasdaq public historical table</x:v>
      </x:c>
    </x:row>
    <x:row r="1232">
      <x:c r="A1232" s="14" t="n">
        <x:v>46013</x:v>
      </x:c>
      <x:c r="B1232" s="20" t="n">
        <x:v>136.95</x:v>
      </x:c>
      <x:c r="C1232" s="20" t="n">
        <x:v>684.83</x:v>
      </x:c>
      <x:c r="D1232" s="21" t="n">
        <x:v>5568207</x:v>
      </x:c>
      <x:c r="E1232" s="21" t="n">
        <x:v>69556730</x:v>
      </x:c>
      <x:c r="F1232" s="11" t="str">
        <x:v>Nasdaq public historical table</x:v>
      </x:c>
    </x:row>
    <x:row r="1233">
      <x:c r="A1233" s="14" t="n">
        <x:v>46014</x:v>
      </x:c>
      <x:c r="B1233" s="20" t="n">
        <x:v>136.49</x:v>
      </x:c>
      <x:c r="C1233" s="20" t="n">
        <x:v>687.96</x:v>
      </x:c>
      <x:c r="D1233" s="21" t="n">
        <x:v>3464822</x:v>
      </x:c>
      <x:c r="E1233" s="21" t="n">
        <x:v>64839950</x:v>
      </x:c>
      <x:c r="F1233" s="11" t="str">
        <x:v>Nasdaq public historical table</x:v>
      </x:c>
    </x:row>
    <x:row r="1234">
      <x:c r="A1234" s="14" t="n">
        <x:v>46015</x:v>
      </x:c>
      <x:c r="B1234" s="20" t="n">
        <x:v>136.78</x:v>
      </x:c>
      <x:c r="C1234" s="20" t="n">
        <x:v>690.38</x:v>
      </x:c>
      <x:c r="D1234" s="21" t="n">
        <x:v>1457175</x:v>
      </x:c>
      <x:c r="E1234" s="21" t="n">
        <x:v>39445560</x:v>
      </x:c>
      <x:c r="F1234" s="11" t="str">
        <x:v>Nasdaq public historical table</x:v>
      </x:c>
    </x:row>
    <x:row r="1235">
      <x:c r="A1235" s="14" t="n">
        <x:v>46017</x:v>
      </x:c>
      <x:c r="B1235" s="20" t="n">
        <x:v>136.82</x:v>
      </x:c>
      <x:c r="C1235" s="20" t="n">
        <x:v>690.31</x:v>
      </x:c>
      <x:c r="D1235" s="21" t="n">
        <x:v>1776009</x:v>
      </x:c>
      <x:c r="E1235" s="21" t="n">
        <x:v>41613350</x:v>
      </x:c>
      <x:c r="F1235" s="11" t="str">
        <x:v>Nasdaq public historical table</x:v>
      </x:c>
    </x:row>
    <x:row r="1236">
      <x:c r="A1236" s="14" t="n">
        <x:v>46020</x:v>
      </x:c>
      <x:c r="B1236" s="20" t="n">
        <x:v>136.62</x:v>
      </x:c>
      <x:c r="C1236" s="20" t="n">
        <x:v>687.85</x:v>
      </x:c>
      <x:c r="D1236" s="21" t="n">
        <x:v>2773301</x:v>
      </x:c>
      <x:c r="E1236" s="21" t="n">
        <x:v>62559500</x:v>
      </x:c>
      <x:c r="F1236" s="11" t="str">
        <x:v>Nasdaq public historical table</x:v>
      </x:c>
    </x:row>
    <x:row r="1237">
      <x:c r="A1237" s="14" t="n">
        <x:v>46021</x:v>
      </x:c>
      <x:c r="B1237" s="20" t="n">
        <x:v>136.91</x:v>
      </x:c>
      <x:c r="C1237" s="20" t="n">
        <x:v>687.01</x:v>
      </x:c>
      <x:c r="D1237" s="21" t="n">
        <x:v>2406200</x:v>
      </x:c>
      <x:c r="E1237" s="21" t="n">
        <x:v>47160670</x:v>
      </x:c>
      <x:c r="F1237" s="11" t="str">
        <x:v>Nasdaq public historical table</x:v>
      </x:c>
    </x:row>
    <x:row r="1238">
      <x:c r="A1238" s="14" t="n">
        <x:v>46022</x:v>
      </x:c>
      <x:c r="B1238" s="20" t="n">
        <x:v>135.72</x:v>
      </x:c>
      <x:c r="C1238" s="20" t="n">
        <x:v>681.92</x:v>
      </x:c>
      <x:c r="D1238" s="21" t="n">
        <x:v>2188111</x:v>
      </x:c>
      <x:c r="E1238" s="21" t="n">
        <x:v>74144800</x:v>
      </x:c>
      <x:c r="F1238" s="11" t="str">
        <x:v>Nasdaq public historical table</x:v>
      </x:c>
    </x:row>
    <x:row r="1239">
      <x:c r="A1239" s="14" t="n">
        <x:v>46024</x:v>
      </x:c>
      <x:c r="B1239" s="20" t="n">
        <x:v>133.01</x:v>
      </x:c>
      <x:c r="C1239" s="20" t="n">
        <x:v>683.17</x:v>
      </x:c>
      <x:c r="D1239" s="21" t="n">
        <x:v>3863838</x:v>
      </x:c>
      <x:c r="E1239" s="21" t="n">
        <x:v>89377200</x:v>
      </x:c>
      <x:c r="F1239" s="11" t="str">
        <x:v>Nasdaq public historical table</x:v>
      </x:c>
    </x:row>
    <x:row r="1240">
      <x:c r="A1240" s="14" t="n">
        <x:v>46027</x:v>
      </x:c>
      <x:c r="B1240" s="20" t="n">
        <x:v>135.87</x:v>
      </x:c>
      <x:c r="C1240" s="20" t="n">
        <x:v>687.72</x:v>
      </x:c>
      <x:c r="D1240" s="21" t="n">
        <x:v>4336138</x:v>
      </x:c>
      <x:c r="E1240" s="21" t="n">
        <x:v>71927190</x:v>
      </x:c>
      <x:c r="F1240" s="11" t="str">
        <x:v>Nasdaq public historical table</x:v>
      </x:c>
    </x:row>
    <x:row r="1241">
      <x:c r="A1241" s="14" t="n">
        <x:v>46028</x:v>
      </x:c>
      <x:c r="B1241" s="20" t="n">
        <x:v>138.02</x:v>
      </x:c>
      <x:c r="C1241" s="20" t="n">
        <x:v>691.81</x:v>
      </x:c>
      <x:c r="D1241" s="21" t="n">
        <x:v>3112977</x:v>
      </x:c>
      <x:c r="E1241" s="21" t="n">
        <x:v>69273830</x:v>
      </x:c>
      <x:c r="F1241" s="11" t="str">
        <x:v>Nasdaq public historical table</x:v>
      </x:c>
    </x:row>
    <x:row r="1242">
      <x:c r="A1242" s="14" t="n">
        <x:v>46029</x:v>
      </x:c>
      <x:c r="B1242" s="20" t="n">
        <x:v>137.04</x:v>
      </x:c>
      <x:c r="C1242" s="20" t="n">
        <x:v>689.58</x:v>
      </x:c>
      <x:c r="D1242" s="21" t="n">
        <x:v>3585125</x:v>
      </x:c>
      <x:c r="E1242" s="21" t="n">
        <x:v>75588340</x:v>
      </x:c>
      <x:c r="F1242" s="11" t="str">
        <x:v>Nasdaq public historical table</x:v>
      </x:c>
    </x:row>
    <x:row r="1243">
      <x:c r="A1243" s="14" t="n">
        <x:v>46030</x:v>
      </x:c>
      <x:c r="B1243" s="20" t="n">
        <x:v>138.66</x:v>
      </x:c>
      <x:c r="C1243" s="20" t="n">
        <x:v>689.51</x:v>
      </x:c>
      <x:c r="D1243" s="21" t="n">
        <x:v>3593052</x:v>
      </x:c>
      <x:c r="E1243" s="21" t="n">
        <x:v>64019200</x:v>
      </x:c>
      <x:c r="F1243" s="11" t="str">
        <x:v>Nasdaq public historical table</x:v>
      </x:c>
    </x:row>
    <x:row r="1244">
      <x:c r="A1244" s="14" t="n">
        <x:v>46031</x:v>
      </x:c>
      <x:c r="B1244" s="20" t="n">
        <x:v>139.27</x:v>
      </x:c>
      <x:c r="C1244" s="20" t="n">
        <x:v>694.07</x:v>
      </x:c>
      <x:c r="D1244" s="21" t="n">
        <x:v>4578134</x:v>
      </x:c>
      <x:c r="E1244" s="21" t="n">
        <x:v>80125470</x:v>
      </x:c>
      <x:c r="F1244" s="11" t="str">
        <x:v>Nasdaq public historical table</x:v>
      </x:c>
    </x:row>
    <x:row r="1245">
      <x:c r="A1245" s="14" t="n">
        <x:v>46034</x:v>
      </x:c>
      <x:c r="B1245" s="20" t="n">
        <x:v>138.51</x:v>
      </x:c>
      <x:c r="C1245" s="20" t="n">
        <x:v>695.16</x:v>
      </x:c>
      <x:c r="D1245" s="21" t="n">
        <x:v>3371083</x:v>
      </x:c>
      <x:c r="E1245" s="21" t="n">
        <x:v>63976000</x:v>
      </x:c>
      <x:c r="F1245" s="11" t="str">
        <x:v>Nasdaq public historical table</x:v>
      </x:c>
    </x:row>
    <x:row r="1246">
      <x:c r="A1246" s="14" t="n">
        <x:v>46035</x:v>
      </x:c>
      <x:c r="B1246" s="20" t="n">
        <x:v>140.07</x:v>
      </x:c>
      <x:c r="C1246" s="20" t="n">
        <x:v>693.77</x:v>
      </x:c>
      <x:c r="D1246" s="21" t="n">
        <x:v>4109111</x:v>
      </x:c>
      <x:c r="E1246" s="21" t="n">
        <x:v>78309730</x:v>
      </x:c>
      <x:c r="F1246" s="11" t="str">
        <x:v>Nasdaq public historical table</x:v>
      </x:c>
    </x:row>
    <x:row r="1247">
      <x:c r="A1247" s="14" t="n">
        <x:v>46036</x:v>
      </x:c>
      <x:c r="B1247" s="20" t="n">
        <x:v>132.79</x:v>
      </x:c>
      <x:c r="C1247" s="20" t="n">
        <x:v>690.36</x:v>
      </x:c>
      <x:c r="D1247" s="21" t="n">
        <x:v>7681559</x:v>
      </x:c>
      <x:c r="E1247" s="21" t="n">
        <x:v>94676680</x:v>
      </x:c>
      <x:c r="F1247" s="11" t="str">
        <x:v>Nasdaq public historical table</x:v>
      </x:c>
    </x:row>
    <x:row r="1248">
      <x:c r="A1248" s="14" t="n">
        <x:v>46037</x:v>
      </x:c>
      <x:c r="B1248" s="20" t="n">
        <x:v>132.6</x:v>
      </x:c>
      <x:c r="C1248" s="20" t="n">
        <x:v>692.24</x:v>
      </x:c>
      <x:c r="D1248" s="21" t="n">
        <x:v>4662441</x:v>
      </x:c>
      <x:c r="E1248" s="21" t="n">
        <x:v>77861970</x:v>
      </x:c>
      <x:c r="F1248" s="11" t="str">
        <x:v>Nasdaq public historical table</x:v>
      </x:c>
    </x:row>
    <x:row r="1249">
      <x:c r="A1249" s="14" t="n">
        <x:v>46038</x:v>
      </x:c>
      <x:c r="B1249" s="20" t="n">
        <x:v>130.66</x:v>
      </x:c>
      <x:c r="C1249" s="20" t="n">
        <x:v>691.66</x:v>
      </x:c>
      <x:c r="D1249" s="21" t="n">
        <x:v>5061957</x:v>
      </x:c>
      <x:c r="E1249" s="21" t="n">
        <x:v>79289200</x:v>
      </x:c>
      <x:c r="F1249" s="11" t="str">
        <x:v>Nasdaq public historical table</x:v>
      </x:c>
    </x:row>
    <x:row r="1250">
      <x:c r="A1250" s="14" t="n">
        <x:v>46042</x:v>
      </x:c>
      <x:c r="B1250" s="20" t="n">
        <x:v>130.73</x:v>
      </x:c>
      <x:c r="C1250" s="20" t="n">
        <x:v>677.58</x:v>
      </x:c>
      <x:c r="D1250" s="21" t="n">
        <x:v>4500923</x:v>
      </x:c>
      <x:c r="E1250" s="21" t="n">
        <x:v>111623300</x:v>
      </x:c>
      <x:c r="F1250" s="11" t="str">
        <x:v>Nasdaq public historical table</x:v>
      </x:c>
    </x:row>
    <x:row r="1251">
      <x:c r="A1251" s="14" t="n">
        <x:v>46043</x:v>
      </x:c>
      <x:c r="B1251" s="20" t="n">
        <x:v>133.59</x:v>
      </x:c>
      <x:c r="C1251" s="20" t="n">
        <x:v>685.4</x:v>
      </x:c>
      <x:c r="D1251" s="21" t="n">
        <x:v>4645938</x:v>
      </x:c>
      <x:c r="E1251" s="21" t="n">
        <x:v>127844500</x:v>
      </x:c>
      <x:c r="F1251" s="11" t="str">
        <x:v>Nasdaq public historical table</x:v>
      </x:c>
    </x:row>
    <x:row r="1252">
      <x:c r="A1252" s="14" t="n">
        <x:v>46044</x:v>
      </x:c>
      <x:c r="B1252" s="20" t="n">
        <x:v>133.8</x:v>
      </x:c>
      <x:c r="C1252" s="20" t="n">
        <x:v>688.98</x:v>
      </x:c>
      <x:c r="D1252" s="21" t="n">
        <x:v>3577461</x:v>
      </x:c>
      <x:c r="E1252" s="21" t="n">
        <x:v>77112240</x:v>
      </x:c>
      <x:c r="F1252" s="11" t="str">
        <x:v>Nasdaq public historical table</x:v>
      </x:c>
    </x:row>
    <x:row r="1253">
      <x:c r="A1253" s="14" t="n">
        <x:v>46045</x:v>
      </x:c>
      <x:c r="B1253" s="20" t="n">
        <x:v>132.15</x:v>
      </x:c>
      <x:c r="C1253" s="20" t="n">
        <x:v>689.23</x:v>
      </x:c>
      <x:c r="D1253" s="21" t="n">
        <x:v>4302887</x:v>
      </x:c>
      <x:c r="E1253" s="21" t="n">
        <x:v>63059580</x:v>
      </x:c>
      <x:c r="F1253" s="11" t="str">
        <x:v>Nasdaq public historical table</x:v>
      </x:c>
    </x:row>
    <x:row r="1254">
      <x:c r="A1254" s="14" t="n">
        <x:v>46048</x:v>
      </x:c>
      <x:c r="B1254" s="20" t="n">
        <x:v>133.39</x:v>
      </x:c>
      <x:c r="C1254" s="20" t="n">
        <x:v>692.73</x:v>
      </x:c>
      <x:c r="D1254" s="21" t="n">
        <x:v>3649200</x:v>
      </x:c>
      <x:c r="E1254" s="21" t="n">
        <x:v>60473810</x:v>
      </x:c>
      <x:c r="F1254" s="11" t="str">
        <x:v>Nasdaq public historical table</x:v>
      </x:c>
    </x:row>
    <x:row r="1255">
      <x:c r="A1255" s="14" t="n">
        <x:v>46049</x:v>
      </x:c>
      <x:c r="B1255" s="20" t="n">
        <x:v>132.22</x:v>
      </x:c>
      <x:c r="C1255" s="20" t="n">
        <x:v>695.49</x:v>
      </x:c>
      <x:c r="D1255" s="21" t="n">
        <x:v>2530618</x:v>
      </x:c>
      <x:c r="E1255" s="21" t="n">
        <x:v>55506150</x:v>
      </x:c>
      <x:c r="F1255" s="11" t="str">
        <x:v>Nasdaq public historical table</x:v>
      </x:c>
    </x:row>
    <x:row r="1256">
      <x:c r="A1256" s="14" t="n">
        <x:v>46050</x:v>
      </x:c>
      <x:c r="B1256" s="20" t="n">
        <x:v>131.55</x:v>
      </x:c>
      <x:c r="C1256" s="20" t="n">
        <x:v>695.42</x:v>
      </x:c>
      <x:c r="D1256" s="21" t="n">
        <x:v>2264162</x:v>
      </x:c>
      <x:c r="E1256" s="21" t="n">
        <x:v>61172170</x:v>
      </x:c>
      <x:c r="F1256" s="11" t="str">
        <x:v>Nasdaq public historical table</x:v>
      </x:c>
    </x:row>
    <x:row r="1257">
      <x:c r="A1257" s="14" t="n">
        <x:v>46051</x:v>
      </x:c>
      <x:c r="B1257" s="20" t="n">
        <x:v>131.77</x:v>
      </x:c>
      <x:c r="C1257" s="20" t="n">
        <x:v>694.04</x:v>
      </x:c>
      <x:c r="D1257" s="21" t="n">
        <x:v>4251647</x:v>
      </x:c>
      <x:c r="E1257" s="21" t="n">
        <x:v>97486200</x:v>
      </x:c>
      <x:c r="F1257" s="11" t="str">
        <x:v>Nasdaq public historical table</x:v>
      </x:c>
    </x:row>
    <x:row r="1258">
      <x:c r="A1258" s="14" t="n">
        <x:v>46052</x:v>
      </x:c>
      <x:c r="B1258" s="20" t="n">
        <x:v>129.37</x:v>
      </x:c>
      <x:c r="C1258" s="20" t="n">
        <x:v>691.97</x:v>
      </x:c>
      <x:c r="D1258" s="21" t="n">
        <x:v>3505684</x:v>
      </x:c>
      <x:c r="E1258" s="21" t="n">
        <x:v>101835100</x:v>
      </x:c>
      <x:c r="F1258" s="11" t="str">
        <x:v>Nasdaq public historical table</x:v>
      </x:c>
    </x:row>
    <x:row r="1259">
      <x:c r="A1259" s="14" t="n">
        <x:v>46055</x:v>
      </x:c>
      <x:c r="B1259" s="20" t="n">
        <x:v>131.31</x:v>
      </x:c>
      <x:c r="C1259" s="20" t="n">
        <x:v>695.41</x:v>
      </x:c>
      <x:c r="D1259" s="21" t="n">
        <x:v>3220623</x:v>
      </x:c>
      <x:c r="E1259" s="21" t="n">
        <x:v>79286520</x:v>
      </x:c>
      <x:c r="F1259" s="11" t="str">
        <x:v>Nasdaq public historical table</x:v>
      </x:c>
    </x:row>
    <x:row r="1260">
      <x:c r="A1260" s="14" t="n">
        <x:v>46056</x:v>
      </x:c>
      <x:c r="B1260" s="20" t="n">
        <x:v>122.075</x:v>
      </x:c>
      <x:c r="C1260" s="20" t="n">
        <x:v>689.53</x:v>
      </x:c>
      <x:c r="D1260" s="21" t="n">
        <x:v>6834497</x:v>
      </x:c>
      <x:c r="E1260" s="21" t="n">
        <x:v>107904600</x:v>
      </x:c>
      <x:c r="F1260" s="11" t="str">
        <x:v>Nasdaq public historical table</x:v>
      </x:c>
    </x:row>
    <x:row r="1261">
      <x:c r="A1261" s="14" t="n">
        <x:v>46057</x:v>
      </x:c>
      <x:c r="B1261" s="20" t="n">
        <x:v>124.61</x:v>
      </x:c>
      <x:c r="C1261" s="20" t="n">
        <x:v>686.19</x:v>
      </x:c>
      <x:c r="D1261" s="21" t="n">
        <x:v>5457057</x:v>
      </x:c>
      <x:c r="E1261" s="21" t="n">
        <x:v>105204600</x:v>
      </x:c>
      <x:c r="F1261" s="11" t="str">
        <x:v>Nasdaq public historical table</x:v>
      </x:c>
    </x:row>
    <x:row r="1262">
      <x:c r="A1262" s="14" t="n">
        <x:v>46058</x:v>
      </x:c>
      <x:c r="B1262" s="20" t="n">
        <x:v>121.27</x:v>
      </x:c>
      <x:c r="C1262" s="20" t="n">
        <x:v>677.62</x:v>
      </x:c>
      <x:c r="D1262" s="21" t="n">
        <x:v>4057778</x:v>
      </x:c>
      <x:c r="E1262" s="21" t="n">
        <x:v>113610800</x:v>
      </x:c>
      <x:c r="F1262" s="11" t="str">
        <x:v>Nasdaq public historical table</x:v>
      </x:c>
    </x:row>
    <x:row r="1263">
      <x:c r="A1263" s="14" t="n">
        <x:v>46059</x:v>
      </x:c>
      <x:c r="B1263" s="20" t="n">
        <x:v>122.18</x:v>
      </x:c>
      <x:c r="C1263" s="20" t="n">
        <x:v>690.62</x:v>
      </x:c>
      <x:c r="D1263" s="21" t="n">
        <x:v>5352847</x:v>
      </x:c>
      <x:c r="E1263" s="21" t="n">
        <x:v>89127570</x:v>
      </x:c>
      <x:c r="F1263" s="11" t="str">
        <x:v>Nasdaq public historical table</x:v>
      </x:c>
    </x:row>
    <x:row r="1264">
      <x:c r="A1264" s="14" t="n">
        <x:v>46062</x:v>
      </x:c>
      <x:c r="B1264" s="20" t="n">
        <x:v>121.31</x:v>
      </x:c>
      <x:c r="C1264" s="20" t="n">
        <x:v>693.95</x:v>
      </x:c>
      <x:c r="D1264" s="21" t="n">
        <x:v>4915178</x:v>
      </x:c>
      <x:c r="E1264" s="21" t="n">
        <x:v>73885190</x:v>
      </x:c>
      <x:c r="F1264" s="11" t="str">
        <x:v>Nasdaq public historical table</x:v>
      </x:c>
    </x:row>
    <x:row r="1265">
      <x:c r="A1265" s="14" t="n">
        <x:v>46063</x:v>
      </x:c>
      <x:c r="B1265" s="20" t="n">
        <x:v>120.32</x:v>
      </x:c>
      <x:c r="C1265" s="20" t="n">
        <x:v>692.12</x:v>
      </x:c>
      <x:c r="D1265" s="21" t="n">
        <x:v>5512685</x:v>
      </x:c>
      <x:c r="E1265" s="21" t="n">
        <x:v>65185730</x:v>
      </x:c>
      <x:c r="F1265" s="11" t="str">
        <x:v>Nasdaq public historical table</x:v>
      </x:c>
    </x:row>
    <x:row r="1266">
      <x:c r="A1266" s="14" t="n">
        <x:v>46064</x:v>
      </x:c>
      <x:c r="B1266" s="20" t="n">
        <x:v>119.55</x:v>
      </x:c>
      <x:c r="C1266" s="20" t="n">
        <x:v>691.96</x:v>
      </x:c>
      <x:c r="D1266" s="21" t="n">
        <x:v>5842371</x:v>
      </x:c>
      <x:c r="E1266" s="21" t="n">
        <x:v>76353870</x:v>
      </x:c>
      <x:c r="F1266" s="11" t="str">
        <x:v>Nasdaq public historical table</x:v>
      </x:c>
    </x:row>
    <x:row r="1267">
      <x:c r="A1267" s="14" t="n">
        <x:v>46065</x:v>
      </x:c>
      <x:c r="B1267" s="20" t="n">
        <x:v>115.96</x:v>
      </x:c>
      <x:c r="C1267" s="20" t="n">
        <x:v>681.27</x:v>
      </x:c>
      <x:c r="D1267" s="21" t="n">
        <x:v>10090660</x:v>
      </x:c>
      <x:c r="E1267" s="21" t="n">
        <x:v>118829000</x:v>
      </x:c>
      <x:c r="F1267" s="11" t="str">
        <x:v>Nasdaq public historical table</x:v>
      </x:c>
    </x:row>
    <x:row r="1268">
      <x:c r="A1268" s="14" t="n">
        <x:v>46066</x:v>
      </x:c>
      <x:c r="B1268" s="20" t="n">
        <x:v>121.35</x:v>
      </x:c>
      <x:c r="C1268" s="20" t="n">
        <x:v>681.75</x:v>
      </x:c>
      <x:c r="D1268" s="21" t="n">
        <x:v>11008600</x:v>
      </x:c>
      <x:c r="E1268" s="21" t="n">
        <x:v>96267490</x:v>
      </x:c>
      <x:c r="F1268" s="11" t="str">
        <x:v>Nasdaq public historical table</x:v>
      </x:c>
    </x:row>
    <x:row r="1269">
      <x:c r="A1269" s="14" t="n">
        <x:v>46070</x:v>
      </x:c>
      <x:c r="B1269" s="20" t="n">
        <x:v>124.23</x:v>
      </x:c>
      <x:c r="C1269" s="20" t="n">
        <x:v>682.85</x:v>
      </x:c>
      <x:c r="D1269" s="21" t="n">
        <x:v>6695428</x:v>
      </x:c>
      <x:c r="E1269" s="21" t="n">
        <x:v>81354660</x:v>
      </x:c>
      <x:c r="F1269" s="11" t="str">
        <x:v>Nasdaq public historical table</x:v>
      </x:c>
    </x:row>
    <x:row r="1270">
      <x:c r="A1270" s="14" t="n">
        <x:v>46071</x:v>
      </x:c>
      <x:c r="B1270" s="20" t="n">
        <x:v>124.27</x:v>
      </x:c>
      <x:c r="C1270" s="20" t="n">
        <x:v>686.29</x:v>
      </x:c>
      <x:c r="D1270" s="21" t="n">
        <x:v>4518888</x:v>
      </x:c>
      <x:c r="E1270" s="21" t="n">
        <x:v>73570340</x:v>
      </x:c>
      <x:c r="F1270" s="11" t="str">
        <x:v>Nasdaq public historical table</x:v>
      </x:c>
    </x:row>
    <x:row r="1271">
      <x:c r="A1271" s="14" t="n">
        <x:v>46072</x:v>
      </x:c>
      <x:c r="B1271" s="20" t="n">
        <x:v>125.81</x:v>
      </x:c>
      <x:c r="C1271" s="20" t="n">
        <x:v>684.48</x:v>
      </x:c>
      <x:c r="D1271" s="21" t="n">
        <x:v>6228942</x:v>
      </x:c>
      <x:c r="E1271" s="21" t="n">
        <x:v>58649360</x:v>
      </x:c>
      <x:c r="F1271" s="11" t="str">
        <x:v>Nasdaq public historical table</x:v>
      </x:c>
    </x:row>
    <x:row r="1272">
      <x:c r="A1272" s="14" t="n">
        <x:v>46073</x:v>
      </x:c>
      <x:c r="B1272" s="20" t="n">
        <x:v>127.89</x:v>
      </x:c>
      <x:c r="C1272" s="20" t="n">
        <x:v>689.43</x:v>
      </x:c>
      <x:c r="D1272" s="21" t="n">
        <x:v>6475512</x:v>
      </x:c>
      <x:c r="E1272" s="21" t="n">
        <x:v>100034000</x:v>
      </x:c>
      <x:c r="F1272" s="11" t="str">
        <x:v>Nasdaq public historical table</x:v>
      </x:c>
    </x:row>
    <x:row r="1273">
      <x:c r="A1273" s="14" t="n">
        <x:v>46076</x:v>
      </x:c>
      <x:c r="B1273" s="20" t="n">
        <x:v>122.96</x:v>
      </x:c>
      <x:c r="C1273" s="20" t="n">
        <x:v>682.39</x:v>
      </x:c>
      <x:c r="D1273" s="21" t="n">
        <x:v>6016476</x:v>
      </x:c>
      <x:c r="E1273" s="21" t="n">
        <x:v>90558090</x:v>
      </x:c>
      <x:c r="F1273" s="11" t="str">
        <x:v>Nasdaq public historical table</x:v>
      </x:c>
    </x:row>
    <x:row r="1274">
      <x:c r="A1274" s="14" t="n">
        <x:v>46077</x:v>
      </x:c>
      <x:c r="B1274" s="20" t="n">
        <x:v>125.66</x:v>
      </x:c>
      <x:c r="C1274" s="20" t="n">
        <x:v>687.35</x:v>
      </x:c>
      <x:c r="D1274" s="21" t="n">
        <x:v>4695980</x:v>
      </x:c>
      <x:c r="E1274" s="21" t="n">
        <x:v>73798730</x:v>
      </x:c>
      <x:c r="F1274" s="11" t="str">
        <x:v>Nasdaq public historical table</x:v>
      </x:c>
    </x:row>
    <x:row r="1275">
      <x:c r="A1275" s="14" t="n">
        <x:v>46078</x:v>
      </x:c>
      <x:c r="B1275" s="20" t="n">
        <x:v>132.02</x:v>
      </x:c>
      <x:c r="C1275" s="20" t="n">
        <x:v>693.15</x:v>
      </x:c>
      <x:c r="D1275" s="21" t="n">
        <x:v>7253347</x:v>
      </x:c>
      <x:c r="E1275" s="21" t="n">
        <x:v>56369480</x:v>
      </x:c>
      <x:c r="F1275" s="11" t="str">
        <x:v>Nasdaq public historical table</x:v>
      </x:c>
    </x:row>
    <x:row r="1276">
      <x:c r="A1276" s="14" t="n">
        <x:v>46079</x:v>
      </x:c>
      <x:c r="B1276" s="20" t="n">
        <x:v>136.97</x:v>
      </x:c>
      <x:c r="C1276" s="20" t="n">
        <x:v>689.3</x:v>
      </x:c>
      <x:c r="D1276" s="21" t="n">
        <x:v>7279628</x:v>
      </x:c>
      <x:c r="E1276" s="21" t="n">
        <x:v>71670990</x:v>
      </x:c>
      <x:c r="F1276" s="11" t="str">
        <x:v>Nasdaq public historical table</x:v>
      </x:c>
    </x:row>
    <x:row r="1277">
      <x:c r="A1277" s="14" t="n">
        <x:v>46080</x:v>
      </x:c>
      <x:c r="B1277" s="20" t="n">
        <x:v>135.11</x:v>
      </x:c>
      <x:c r="C1277" s="20" t="n">
        <x:v>685.99</x:v>
      </x:c>
      <x:c r="D1277" s="21" t="n">
        <x:v>6498546</x:v>
      </x:c>
      <x:c r="E1277" s="21" t="n">
        <x:v>83308870</x:v>
      </x:c>
      <x:c r="F1277" s="11" t="str">
        <x:v>Nasdaq public historical table</x:v>
      </x:c>
    </x:row>
    <x:row r="1278">
      <x:c r="A1278" s="14" t="n">
        <x:v>46083</x:v>
      </x:c>
      <x:c r="B1278" s="20" t="n">
        <x:v>133.26</x:v>
      </x:c>
      <x:c r="C1278" s="20" t="n">
        <x:v>686.38</x:v>
      </x:c>
      <x:c r="D1278" s="21" t="n">
        <x:v>4820022</x:v>
      </x:c>
      <x:c r="E1278" s="21" t="n">
        <x:v>87477200</x:v>
      </x:c>
      <x:c r="F1278" s="11" t="str">
        <x:v>Nasdaq public historical table</x:v>
      </x:c>
    </x:row>
    <x:row r="1279">
      <x:c r="A1279" s="14" t="n">
        <x:v>46084</x:v>
      </x:c>
      <x:c r="B1279" s="20" t="n">
        <x:v>133.04</x:v>
      </x:c>
      <x:c r="C1279" s="20" t="n">
        <x:v>680.33</x:v>
      </x:c>
      <x:c r="D1279" s="21" t="n">
        <x:v>4059636</x:v>
      </x:c>
      <x:c r="E1279" s="21" t="n">
        <x:v>105003100</x:v>
      </x:c>
      <x:c r="F1279" s="11" t="str">
        <x:v>Nasdaq public historical table</x:v>
      </x:c>
    </x:row>
    <x:row r="1280">
      <x:c r="A1280" s="14" t="n">
        <x:v>46085</x:v>
      </x:c>
      <x:c r="B1280" s="20" t="n">
        <x:v>135.54</x:v>
      </x:c>
      <x:c r="C1280" s="20" t="n">
        <x:v>685.13</x:v>
      </x:c>
      <x:c r="D1280" s="21" t="n">
        <x:v>4252523</x:v>
      </x:c>
      <x:c r="E1280" s="21" t="n">
        <x:v>79182240</x:v>
      </x:c>
      <x:c r="F1280" s="11" t="str">
        <x:v>Nasdaq public historical table</x:v>
      </x:c>
    </x:row>
    <x:row r="1281">
      <x:c r="A1281" s="14" t="n">
        <x:v>46086</x:v>
      </x:c>
      <x:c r="B1281" s="20" t="n">
        <x:v>135.85</x:v>
      </x:c>
      <x:c r="C1281" s="20" t="n">
        <x:v>681.31</x:v>
      </x:c>
      <x:c r="D1281" s="21" t="n">
        <x:v>5522165</x:v>
      </x:c>
      <x:c r="E1281" s="21" t="n">
        <x:v>106606500</x:v>
      </x:c>
      <x:c r="F1281" s="11" t="str">
        <x:v>Nasdaq public historical table</x:v>
      </x:c>
    </x:row>
    <x:row r="1282">
      <x:c r="A1282" s="14" t="n">
        <x:v>46087</x:v>
      </x:c>
      <x:c r="B1282" s="20" t="n">
        <x:v>133.23</x:v>
      </x:c>
      <x:c r="C1282" s="20" t="n">
        <x:v>672.38</x:v>
      </x:c>
      <x:c r="D1282" s="21" t="n">
        <x:v>4600495</x:v>
      </x:c>
      <x:c r="E1282" s="21" t="n">
        <x:v>100687000</x:v>
      </x:c>
      <x:c r="F1282" s="11" t="str">
        <x:v>Nasdaq public historical table</x:v>
      </x:c>
    </x:row>
    <x:row r="1283">
      <x:c r="A1283" s="14" t="n">
        <x:v>46090</x:v>
      </x:c>
      <x:c r="B1283" s="20" t="n">
        <x:v>134.03</x:v>
      </x:c>
      <x:c r="C1283" s="20" t="n">
        <x:v>678.27</x:v>
      </x:c>
      <x:c r="D1283" s="21" t="n">
        <x:v>3920479</x:v>
      </x:c>
      <x:c r="E1283" s="21" t="n">
        <x:v>102667700</x:v>
      </x:c>
      <x:c r="F1283" s="11" t="str">
        <x:v>Nasdaq public historical table</x:v>
      </x:c>
    </x:row>
    <x:row r="1284">
      <x:c r="A1284" s="14" t="n">
        <x:v>46091</x:v>
      </x:c>
      <x:c r="B1284" s="20" t="n">
        <x:v>132.44</x:v>
      </x:c>
      <x:c r="C1284" s="20" t="n">
        <x:v>677.18</x:v>
      </x:c>
      <x:c r="D1284" s="21" t="n">
        <x:v>3631402</x:v>
      </x:c>
      <x:c r="E1284" s="21" t="n">
        <x:v>81505320</x:v>
      </x:c>
      <x:c r="F1284" s="11" t="str">
        <x:v>Nasdaq public historical table</x:v>
      </x:c>
    </x:row>
    <x:row r="1285">
      <x:c r="A1285" s="14" t="n">
        <x:v>46092</x:v>
      </x:c>
      <x:c r="B1285" s="20" t="n">
        <x:v>133.39</x:v>
      </x:c>
      <x:c r="C1285" s="20" t="n">
        <x:v>676.33</x:v>
      </x:c>
      <x:c r="D1285" s="21" t="n">
        <x:v>2171821</x:v>
      </x:c>
      <x:c r="E1285" s="21" t="n">
        <x:v>68441670</x:v>
      </x:c>
      <x:c r="F1285" s="11" t="str">
        <x:v>Nasdaq public historical table</x:v>
      </x:c>
    </x:row>
    <x:row r="1286">
      <x:c r="A1286" s="14" t="n">
        <x:v>46093</x:v>
      </x:c>
      <x:c r="B1286" s="20" t="n">
        <x:v>127.7</x:v>
      </x:c>
      <x:c r="C1286" s="20" t="n">
        <x:v>666.06</x:v>
      </x:c>
      <x:c r="D1286" s="21" t="n">
        <x:v>4474216</x:v>
      </x:c>
      <x:c r="E1286" s="21" t="n">
        <x:v>108882200</x:v>
      </x:c>
      <x:c r="F1286" s="11" t="str">
        <x:v>Nasdaq public historical table</x:v>
      </x:c>
    </x:row>
    <x:row r="1287">
      <x:c r="A1287" s="14" t="n">
        <x:v>46094</x:v>
      </x:c>
      <x:c r="B1287" s="20" t="n">
        <x:v>126.3</x:v>
      </x:c>
      <x:c r="C1287" s="20" t="n">
        <x:v>662.29</x:v>
      </x:c>
      <x:c r="D1287" s="21" t="n">
        <x:v>3001002</x:v>
      </x:c>
      <x:c r="E1287" s="21" t="n">
        <x:v>97200240</x:v>
      </x:c>
      <x:c r="F1287" s="11" t="str">
        <x:v>Nasdaq public historical table</x:v>
      </x:c>
    </x:row>
    <x:row r="1288">
      <x:c r="A1288" s="14" t="n">
        <x:v>46097</x:v>
      </x:c>
      <x:c r="B1288" s="20" t="n">
        <x:v>128.32</x:v>
      </x:c>
      <x:c r="C1288" s="20" t="n">
        <x:v>669.03</x:v>
      </x:c>
      <x:c r="D1288" s="21" t="n">
        <x:v>3049270</x:v>
      </x:c>
      <x:c r="E1288" s="21" t="n">
        <x:v>82023130</x:v>
      </x:c>
      <x:c r="F1288" s="11" t="str">
        <x:v>Nasdaq public historical table</x:v>
      </x:c>
    </x:row>
    <x:row r="1289">
      <x:c r="A1289" s="14" t="n">
        <x:v>46098</x:v>
      </x:c>
      <x:c r="B1289" s="20" t="n">
        <x:v>131.95</x:v>
      </x:c>
      <x:c r="C1289" s="20" t="n">
        <x:v>670.79</x:v>
      </x:c>
      <x:c r="D1289" s="21" t="n">
        <x:v>2811963</x:v>
      </x:c>
      <x:c r="E1289" s="21" t="n">
        <x:v>87128040</x:v>
      </x:c>
      <x:c r="F1289" s="11" t="str">
        <x:v>Nasdaq public historical table</x:v>
      </x:c>
    </x:row>
    <x:row r="1290">
      <x:c r="A1290" s="14" t="n">
        <x:v>46099</x:v>
      </x:c>
      <x:c r="B1290" s="20" t="n">
        <x:v>131.13</x:v>
      </x:c>
      <x:c r="C1290" s="20" t="n">
        <x:v>661.43</x:v>
      </x:c>
      <x:c r="D1290" s="21" t="n">
        <x:v>3072008</x:v>
      </x:c>
      <x:c r="E1290" s="21" t="n">
        <x:v>82062580</x:v>
      </x:c>
      <x:c r="F1290" s="11" t="str">
        <x:v>Nasdaq public historical table</x:v>
      </x:c>
    </x:row>
    <x:row r="1291">
      <x:c r="A1291" s="14" t="n">
        <x:v>46100</x:v>
      </x:c>
      <x:c r="B1291" s="20" t="n">
        <x:v>130.79</x:v>
      </x:c>
      <x:c r="C1291" s="20" t="n">
        <x:v>659.8</x:v>
      </x:c>
      <x:c r="D1291" s="21" t="n">
        <x:v>3541679</x:v>
      </x:c>
      <x:c r="E1291" s="21" t="n">
        <x:v>111272500</x:v>
      </x:c>
      <x:c r="F1291" s="11" t="str">
        <x:v>Nasdaq public historical table</x:v>
      </x:c>
    </x:row>
    <x:row r="1292">
      <x:c r="A1292" s="14" t="n">
        <x:v>46101</x:v>
      </x:c>
      <x:c r="B1292" s="20" t="n">
        <x:v>128.52</x:v>
      </x:c>
      <x:c r="C1292" s="20" t="n">
        <x:v>648.57</x:v>
      </x:c>
      <x:c r="D1292" s="21" t="n">
        <x:v>7047906</x:v>
      </x:c>
      <x:c r="E1292" s="21" t="n">
        <x:v>163617500</x:v>
      </x:c>
      <x:c r="F1292" s="11" t="str">
        <x:v>Nasdaq public historical table</x:v>
      </x:c>
    </x:row>
    <x:row r="1293">
      <x:c r="A1293" s="14" t="n">
        <x:v>46104</x:v>
      </x:c>
      <x:c r="B1293" s="20" t="n">
        <x:v>132.59</x:v>
      </x:c>
      <x:c r="C1293" s="20" t="n">
        <x:v>655.38</x:v>
      </x:c>
      <x:c r="D1293" s="21" t="n">
        <x:v>3568357</x:v>
      </x:c>
      <x:c r="E1293" s="21" t="n">
        <x:v>134802700</x:v>
      </x:c>
      <x:c r="F1293" s="11" t="str">
        <x:v>Nasdaq public historical table</x:v>
      </x:c>
    </x:row>
    <x:row r="1294">
      <x:c r="A1294" s="14" t="n">
        <x:v>46105</x:v>
      </x:c>
      <x:c r="B1294" s="20" t="n">
        <x:v>130</x:v>
      </x:c>
      <x:c r="C1294" s="20" t="n">
        <x:v>653.18</x:v>
      </x:c>
      <x:c r="D1294" s="21" t="n">
        <x:v>3167629</x:v>
      </x:c>
      <x:c r="E1294" s="21" t="n">
        <x:v>96457480</x:v>
      </x:c>
      <x:c r="F1294" s="11" t="str">
        <x:v>Nasdaq public historical table</x:v>
      </x:c>
    </x:row>
    <x:row r="1295">
      <x:c r="A1295" s="14" t="n">
        <x:v>46106</x:v>
      </x:c>
      <x:c r="B1295" s="20" t="n">
        <x:v>131.81</x:v>
      </x:c>
      <x:c r="C1295" s="20" t="n">
        <x:v>656.82</x:v>
      </x:c>
      <x:c r="D1295" s="21" t="n">
        <x:v>2732193</x:v>
      </x:c>
      <x:c r="E1295" s="21" t="n">
        <x:v>90653790</x:v>
      </x:c>
      <x:c r="F1295" s="11" t="str">
        <x:v>Nasdaq public historical table</x:v>
      </x:c>
    </x:row>
    <x:row r="1296">
      <x:c r="A1296" s="14" t="n">
        <x:v>46107</x:v>
      </x:c>
      <x:c r="B1296" s="20" t="n">
        <x:v>131.06</x:v>
      </x:c>
      <x:c r="C1296" s="20" t="n">
        <x:v>645.09</x:v>
      </x:c>
      <x:c r="D1296" s="21" t="n">
        <x:v>3353316</x:v>
      </x:c>
      <x:c r="E1296" s="21" t="n">
        <x:v>96494380</x:v>
      </x:c>
      <x:c r="F1296" s="11" t="str">
        <x:v>Nasdaq public historical table</x:v>
      </x:c>
    </x:row>
    <x:row r="1297">
      <x:c r="A1297" s="14" t="n">
        <x:v>46108</x:v>
      </x:c>
      <x:c r="B1297" s="20" t="n">
        <x:v>122.87</x:v>
      </x:c>
      <x:c r="C1297" s="20" t="n">
        <x:v>634.09</x:v>
      </x:c>
      <x:c r="D1297" s="21" t="n">
        <x:v>4207196</x:v>
      </x:c>
      <x:c r="E1297" s="21" t="n">
        <x:v>103649400</x:v>
      </x:c>
      <x:c r="F1297" s="11" t="str">
        <x:v>Nasdaq public historical table</x:v>
      </x:c>
    </x:row>
    <x:row r="1298">
      <x:c r="A1298" s="14" t="n">
        <x:v>46111</x:v>
      </x:c>
      <x:c r="B1298" s="20" t="n">
        <x:v>123.1</x:v>
      </x:c>
      <x:c r="C1298" s="20" t="n">
        <x:v>631.97</x:v>
      </x:c>
      <x:c r="D1298" s="21" t="n">
        <x:v>3022691</x:v>
      </x:c>
      <x:c r="E1298" s="21" t="n">
        <x:v>99275850</x:v>
      </x:c>
      <x:c r="F1298" s="11" t="str">
        <x:v>Nasdaq public historical table</x:v>
      </x:c>
    </x:row>
    <x:row r="1299">
      <x:c r="A1299" s="14" t="n">
        <x:v>46112</x:v>
      </x:c>
      <x:c r="B1299" s="20" t="n">
        <x:v>126.28</x:v>
      </x:c>
      <x:c r="C1299" s="20" t="n">
        <x:v>650.34</x:v>
      </x:c>
      <x:c r="D1299" s="21" t="n">
        <x:v>3644160</x:v>
      </x:c>
      <x:c r="E1299" s="21" t="n">
        <x:v>152534100</x:v>
      </x:c>
      <x:c r="F1299" s="11" t="str">
        <x:v>Nasdaq public historical table</x:v>
      </x:c>
    </x:row>
    <x:row r="1300">
      <x:c r="A1300" s="14" t="n">
        <x:v>46113</x:v>
      </x:c>
      <x:c r="B1300" s="20" t="n">
        <x:v>125.19</x:v>
      </x:c>
      <x:c r="C1300" s="20" t="n">
        <x:v>655.24</x:v>
      </x:c>
      <x:c r="D1300" s="21" t="n">
        <x:v>2926264</x:v>
      </x:c>
      <x:c r="E1300" s="21" t="n">
        <x:v>97841470</x:v>
      </x:c>
      <x:c r="F1300" s="11" t="str">
        <x:v>Nasdaq public historical table</x:v>
      </x:c>
    </x:row>
    <x:row r="1301">
      <x:c r="A1301" s="14" t="n">
        <x:v>46114</x:v>
      </x:c>
      <x:c r="B1301" s="20" t="n">
        <x:v>124.95</x:v>
      </x:c>
      <x:c r="C1301" s="20" t="n">
        <x:v>655.83</x:v>
      </x:c>
      <x:c r="D1301" s="21" t="n">
        <x:v>3094935</x:v>
      </x:c>
      <x:c r="E1301" s="21" t="n">
        <x:v>68358710</x:v>
      </x:c>
      <x:c r="F1301" s="11" t="str">
        <x:v>Nasdaq public historical table</x:v>
      </x:c>
    </x:row>
    <x:row r="1302">
      <x:c r="A1302" s="14" t="n">
        <x:v>46118</x:v>
      </x:c>
      <x:c r="B1302" s="20" t="n">
        <x:v>126.81</x:v>
      </x:c>
      <x:c r="C1302" s="20" t="n">
        <x:v>658.93</x:v>
      </x:c>
      <x:c r="D1302" s="21" t="n">
        <x:v>2527902</x:v>
      </x:c>
      <x:c r="E1302" s="21" t="n">
        <x:v>39105760</x:v>
      </x:c>
      <x:c r="F1302" s="11" t="str">
        <x:v>Nasdaq public historical table</x:v>
      </x:c>
    </x:row>
    <x:row r="1303">
      <x:c r="A1303" s="14" t="n">
        <x:v>46119</x:v>
      </x:c>
      <x:c r="B1303" s="20" t="n">
        <x:v>124.97</x:v>
      </x:c>
      <x:c r="C1303" s="20" t="n">
        <x:v>659.22</x:v>
      </x:c>
      <x:c r="D1303" s="21" t="n">
        <x:v>2735296</x:v>
      </x:c>
      <x:c r="E1303" s="21" t="n">
        <x:v>69980360</x:v>
      </x:c>
      <x:c r="F1303" s="11" t="str">
        <x:v>Nasdaq public historical table</x:v>
      </x:c>
    </x:row>
    <x:row r="1304">
      <x:c r="A1304" s="14" t="n">
        <x:v>46120</x:v>
      </x:c>
      <x:c r="B1304" s="20" t="n">
        <x:v>131.4</x:v>
      </x:c>
      <x:c r="C1304" s="20" t="n">
        <x:v>676.01</x:v>
      </x:c>
      <x:c r="D1304" s="21" t="n">
        <x:v>3797224</x:v>
      </x:c>
      <x:c r="E1304" s="21" t="n">
        <x:v>93606110</x:v>
      </x:c>
      <x:c r="F1304" s="11" t="str">
        <x:v>Nasdaq public historical table</x:v>
      </x:c>
    </x:row>
    <x:row r="1305">
      <x:c r="A1305" s="14" t="n">
        <x:v>46121</x:v>
      </x:c>
      <x:c r="B1305" s="20" t="n">
        <x:v>129.16</x:v>
      </x:c>
      <x:c r="C1305" s="20" t="n">
        <x:v>679.91</x:v>
      </x:c>
      <x:c r="D1305" s="21" t="n">
        <x:v>3653657</x:v>
      </x:c>
      <x:c r="E1305" s="21" t="n">
        <x:v>57134450</x:v>
      </x:c>
      <x:c r="F1305" s="11" t="str">
        <x:v>Nasdaq public historical table</x:v>
      </x:c>
    </x:row>
    <x:row r="1306">
      <x:c r="A1306" s="14" t="n">
        <x:v>46122</x:v>
      </x:c>
      <x:c r="B1306" s="20" t="n">
        <x:v>128.96</x:v>
      </x:c>
      <x:c r="C1306" s="20" t="n">
        <x:v>679.46</x:v>
      </x:c>
      <x:c r="D1306" s="21" t="n">
        <x:v>3572699</x:v>
      </x:c>
      <x:c r="E1306" s="21" t="n">
        <x:v>42253460</x:v>
      </x:c>
      <x:c r="F1306" s="11" t="str">
        <x:v>Nasdaq public historical table</x:v>
      </x:c>
    </x:row>
    <x:row r="1307">
      <x:c r="A1307" s="14" t="n">
        <x:v>46125</x:v>
      </x:c>
      <x:c r="B1307" s="20" t="n">
        <x:v>130.32</x:v>
      </x:c>
      <x:c r="C1307" s="20" t="n">
        <x:v>686.1</x:v>
      </x:c>
      <x:c r="D1307" s="21" t="n">
        <x:v>3256972</x:v>
      </x:c>
      <x:c r="E1307" s="21" t="n">
        <x:v>54185820</x:v>
      </x:c>
      <x:c r="F1307" s="11" t="str">
        <x:v>Nasdaq public historical table</x:v>
      </x:c>
    </x:row>
    <x:row r="1308">
      <x:c r="A1308" s="14" t="n">
        <x:v>46126</x:v>
      </x:c>
      <x:c r="B1308" s="20" t="n">
        <x:v>133.85</x:v>
      </x:c>
      <x:c r="C1308" s="20" t="n">
        <x:v>694.46</x:v>
      </x:c>
      <x:c r="D1308" s="21" t="n">
        <x:v>3113508</x:v>
      </x:c>
      <x:c r="E1308" s="21" t="n">
        <x:v>63480530</x:v>
      </x:c>
      <x:c r="F1308" s="11" t="str">
        <x:v>Nasdaq public historical table</x:v>
      </x:c>
    </x:row>
    <x:row r="1309">
      <x:c r="A1309" s="14" t="n">
        <x:v>46127</x:v>
      </x:c>
      <x:c r="B1309" s="20" t="n">
        <x:v>137.51</x:v>
      </x:c>
      <x:c r="C1309" s="20" t="n">
        <x:v>699.94</x:v>
      </x:c>
      <x:c r="D1309" s="21" t="n">
        <x:v>3562351</x:v>
      </x:c>
      <x:c r="E1309" s="21" t="n">
        <x:v>58240380</x:v>
      </x:c>
      <x:c r="F1309" s="11" t="str">
        <x:v>Nasdaq public historical table</x:v>
      </x:c>
    </x:row>
    <x:row r="1310">
      <x:c r="A1310" s="14" t="n">
        <x:v>46128</x:v>
      </x:c>
      <x:c r="B1310" s="20" t="n">
        <x:v>137.81</x:v>
      </x:c>
      <x:c r="C1310" s="20" t="n">
        <x:v>701.66</x:v>
      </x:c>
      <x:c r="D1310" s="21" t="n">
        <x:v>2692580</x:v>
      </x:c>
      <x:c r="E1310" s="21" t="n">
        <x:v>49972360</x:v>
      </x:c>
      <x:c r="F1310" s="11" t="str">
        <x:v>Nasdaq public historical table</x:v>
      </x:c>
    </x:row>
    <x:row r="1311">
      <x:c r="A1311" s="14" t="n">
        <x:v>46129</x:v>
      </x:c>
      <x:c r="B1311" s="20" t="n">
        <x:v>141.55</x:v>
      </x:c>
      <x:c r="C1311" s="20" t="n">
        <x:v>710.14</x:v>
      </x:c>
      <x:c r="D1311" s="21" t="n">
        <x:v>4056791</x:v>
      </x:c>
      <x:c r="E1311" s="21" t="n">
        <x:v>9999999</x:v>
      </x:c>
      <x:c r="F1311" s="11" t="str">
        <x:v>Nasdaq public historical table</x:v>
      </x:c>
    </x:row>
    <x:row r="1312">
      <x:c r="A1312" s="14" t="n">
        <x:v>46132</x:v>
      </x:c>
      <x:c r="B1312" s="20" t="n">
        <x:v>143.59</x:v>
      </x:c>
      <x:c r="C1312" s="20" t="n">
        <x:v>710.14</x:v>
      </x:c>
      <x:c r="D1312" s="21" t="n">
        <x:v>2768678</x:v>
      </x:c>
      <x:c r="E1312" s="21"/>
      <x:c r="F1312" s="11" t="str">
        <x:v>Nasdaq public historical table</x:v>
      </x:c>
    </x:row>
    <x:row r="1313">
      <x:c r="A1313" s="14" t="n">
        <x:v>46133</x:v>
      </x:c>
      <x:c r="B1313" s="20" t="n">
        <x:v>142.65</x:v>
      </x:c>
      <x:c r="C1313" s="20" t="n">
        <x:v>704.08</x:v>
      </x:c>
      <x:c r="D1313" s="21" t="n">
        <x:v>3310401</x:v>
      </x:c>
      <x:c r="E1313" s="21" t="n">
        <x:v>58941380</x:v>
      </x:c>
      <x:c r="F1313" s="11" t="str">
        <x:v>Nasdaq public historical table</x:v>
      </x:c>
    </x:row>
    <x:row r="1314">
      <x:c r="A1314" s="14" t="n">
        <x:v>46134</x:v>
      </x:c>
      <x:c r="B1314" s="20" t="n">
        <x:v>144.18</x:v>
      </x:c>
      <x:c r="C1314" s="20" t="n">
        <x:v>711.21</x:v>
      </x:c>
      <x:c r="D1314" s="21" t="n">
        <x:v>4081778</x:v>
      </x:c>
      <x:c r="E1314" s="21" t="n">
        <x:v>42518500</x:v>
      </x:c>
      <x:c r="F1314" s="11" t="str">
        <x:v>Nasdaq public historical table</x:v>
      </x:c>
    </x:row>
    <x:row r="1315">
      <x:c r="A1315" s="14" t="n">
        <x:v>46135</x:v>
      </x:c>
      <x:c r="B1315" s="20" t="n">
        <x:v>141.87</x:v>
      </x:c>
      <x:c r="C1315" s="20" t="n">
        <x:v>708.45</x:v>
      </x:c>
      <x:c r="D1315" s="21" t="n">
        <x:v>3189333</x:v>
      </x:c>
      <x:c r="E1315" s="21" t="n">
        <x:v>56173990</x:v>
      </x:c>
      <x:c r="F1315" s="11" t="str">
        <x:v>Nasdaq public historical table</x:v>
      </x:c>
    </x:row>
    <x:row r="1316">
      <x:c r="A1316" s="14" t="n">
        <x:v>46136</x:v>
      </x:c>
      <x:c r="B1316" s="20" t="n">
        <x:v>142.82</x:v>
      </x:c>
      <x:c r="C1316" s="20" t="n">
        <x:v>713.94</x:v>
      </x:c>
      <x:c r="D1316" s="21" t="n">
        <x:v>2705668</x:v>
      </x:c>
      <x:c r="E1316" s="21" t="n">
        <x:v>45181960</x:v>
      </x:c>
      <x:c r="F1316" s="11" t="str">
        <x:v>Nasdaq public historical table</x:v>
      </x:c>
    </x:row>
    <x:row r="1317">
      <x:c r="A1317" s="14" t="n">
        <x:v>46139</x:v>
      </x:c>
      <x:c r="B1317" s="20" t="n">
        <x:v>141.06</x:v>
      </x:c>
      <x:c r="C1317" s="20" t="n">
        <x:v>715.17</x:v>
      </x:c>
      <x:c r="D1317" s="21" t="n">
        <x:v>2252024</x:v>
      </x:c>
      <x:c r="E1317" s="21" t="n">
        <x:v>33135940</x:v>
      </x:c>
      <x:c r="F1317" s="11" t="str">
        <x:v>Nasdaq public historical table</x:v>
      </x:c>
    </x:row>
    <x:row r="1318">
      <x:c r="A1318" s="14" t="n">
        <x:v>46140</x:v>
      </x:c>
      <x:c r="B1318" s="20" t="n">
        <x:v>139.04</x:v>
      </x:c>
      <x:c r="C1318" s="20" t="n">
        <x:v>711.69</x:v>
      </x:c>
      <x:c r="D1318" s="21" t="n">
        <x:v>4225585</x:v>
      </x:c>
      <x:c r="E1318" s="21" t="n">
        <x:v>43117440</x:v>
      </x:c>
      <x:c r="F1318" s="11" t="str">
        <x:v>Nasdaq public historical table</x:v>
      </x:c>
    </x:row>
    <x:row r="1319">
      <x:c r="A1319" s="14" t="n">
        <x:v>46141</x:v>
      </x:c>
      <x:c r="B1319" s="20" t="n">
        <x:v>140.28</x:v>
      </x:c>
      <x:c r="C1319" s="20" t="n">
        <x:v>711.58</x:v>
      </x:c>
      <x:c r="D1319" s="21" t="n">
        <x:v>3486641</x:v>
      </x:c>
      <x:c r="E1319" s="21" t="n">
        <x:v>41859230</x:v>
      </x:c>
      <x:c r="F1319" s="11" t="str">
        <x:v>Nasdaq public historical table</x:v>
      </x:c>
    </x:row>
    <x:row r="1320">
      <x:c r="A1320" s="14" t="n">
        <x:v>46142</x:v>
      </x:c>
      <x:c r="B1320" s="20" t="n">
        <x:v>140.36</x:v>
      </x:c>
      <x:c r="C1320" s="20" t="n">
        <x:v>718.66</x:v>
      </x:c>
      <x:c r="D1320" s="21" t="n">
        <x:v>2857632</x:v>
      </x:c>
      <x:c r="E1320" s="21" t="n">
        <x:v>67240950</x:v>
      </x:c>
      <x:c r="F1320" s="11" t="str">
        <x:v>Nasdaq public historical table</x:v>
      </x:c>
    </x:row>
    <x:row r="1321">
      <x:c r="A1321" s="14" t="n">
        <x:v>46143</x:v>
      </x:c>
      <x:c r="B1321" s="20" t="n">
        <x:v>141.66</x:v>
      </x:c>
      <x:c r="C1321" s="20" t="n">
        <x:v>720.65</x:v>
      </x:c>
      <x:c r="D1321" s="21" t="n">
        <x:v>2528313</x:v>
      </x:c>
      <x:c r="E1321" s="21" t="n">
        <x:v>43049850</x:v>
      </x:c>
      <x:c r="F1321" s="11" t="str">
        <x:v>Nasdaq public historical table</x:v>
      </x:c>
    </x:row>
    <x:row r="1322">
      <x:c r="A1322" s="14" t="n">
        <x:v>46146</x:v>
      </x:c>
      <x:c r="B1322" s="20" t="n">
        <x:v>138.86</x:v>
      </x:c>
      <x:c r="C1322" s="20" t="n">
        <x:v>718.01</x:v>
      </x:c>
      <x:c r="D1322" s="21" t="n">
        <x:v>3160350</x:v>
      </x:c>
      <x:c r="E1322" s="21" t="n">
        <x:v>51950560</x:v>
      </x:c>
      <x:c r="F1322" s="11" t="str">
        <x:v>Nasdaq public historical table</x:v>
      </x:c>
    </x:row>
    <x:row r="1323">
      <x:c r="A1323" s="14" t="n">
        <x:v>46147</x:v>
      </x:c>
      <x:c r="B1323" s="20" t="n">
        <x:v>139.73</x:v>
      </x:c>
      <x:c r="C1323" s="20" t="n">
        <x:v>723.77</x:v>
      </x:c>
      <x:c r="D1323" s="21" t="n">
        <x:v>3117989</x:v>
      </x:c>
      <x:c r="E1323" s="21" t="n">
        <x:v>36933230</x:v>
      </x:c>
      <x:c r="F1323" s="11" t="str">
        <x:v>Nasdaq public historical table</x:v>
      </x:c>
    </x:row>
    <x:row r="1324">
      <x:c r="A1324" s="14" t="n">
        <x:v>46148</x:v>
      </x:c>
      <x:c r="B1324" s="20" t="n">
        <x:v>139.88</x:v>
      </x:c>
      <x:c r="C1324" s="20" t="n">
        <x:v>733.83</x:v>
      </x:c>
      <x:c r="D1324" s="21" t="n">
        <x:v>4379791</x:v>
      </x:c>
      <x:c r="E1324" s="21" t="n">
        <x:v>53288940</x:v>
      </x:c>
      <x:c r="F1324" s="11" t="str">
        <x:v>Nasdaq public historical table</x:v>
      </x:c>
    </x:row>
    <x:row r="1325">
      <x:c r="A1325" s="14" t="n">
        <x:v>46149</x:v>
      </x:c>
      <x:c r="B1325" s="20" t="n">
        <x:v>140.46</x:v>
      </x:c>
      <x:c r="C1325" s="20" t="n">
        <x:v>731.58</x:v>
      </x:c>
      <x:c r="D1325" s="21" t="n">
        <x:v>7248337</x:v>
      </x:c>
      <x:c r="E1325" s="21" t="n">
        <x:v>51724640</x:v>
      </x:c>
      <x:c r="F1325" s="11" t="str">
        <x:v>Nasdaq public historical table</x:v>
      </x:c>
    </x:row>
    <x:row r="1326">
      <x:c r="A1326" s="14" t="n">
        <x:v>46150</x:v>
      </x:c>
      <x:c r="B1326" s="20" t="n">
        <x:v>141.49</x:v>
      </x:c>
      <x:c r="C1326" s="20" t="n">
        <x:v>737.62</x:v>
      </x:c>
      <x:c r="D1326" s="21" t="n">
        <x:v>7842947</x:v>
      </x:c>
      <x:c r="E1326" s="21" t="n">
        <x:v>47227090</x:v>
      </x:c>
      <x:c r="F1326" s="11" t="str">
        <x:v>Nasdaq public historical table</x:v>
      </x:c>
    </x:row>
    <x:row r="1327">
      <x:c r="A1327" s="14" t="n">
        <x:v>46153</x:v>
      </x:c>
      <x:c r="B1327" s="20" t="n">
        <x:v>137.05</x:v>
      </x:c>
      <x:c r="C1327" s="20" t="n">
        <x:v>739.3</x:v>
      </x:c>
      <x:c r="D1327" s="21" t="n">
        <x:v>5172812</x:v>
      </x:c>
      <x:c r="E1327" s="21" t="n">
        <x:v>44023950</x:v>
      </x:c>
      <x:c r="F1327" s="11" t="str">
        <x:v>Nasdaq public historical table</x:v>
      </x:c>
    </x:row>
    <x:row r="1328">
      <x:c r="A1328" s="14" t="n">
        <x:v>46154</x:v>
      </x:c>
      <x:c r="B1328" s="20" t="n">
        <x:v>135.48</x:v>
      </x:c>
      <x:c r="C1328" s="20" t="n">
        <x:v>738.18</x:v>
      </x:c>
      <x:c r="D1328" s="21" t="n">
        <x:v>4419932</x:v>
      </x:c>
      <x:c r="E1328" s="21" t="n">
        <x:v>54185270</x:v>
      </x:c>
      <x:c r="F1328" s="11" t="str">
        <x:v>Nasdaq public historical table</x:v>
      </x:c>
    </x:row>
    <x:row r="1329">
      <x:c r="A1329" s="14" t="n">
        <x:v>46155</x:v>
      </x:c>
      <x:c r="B1329" s="20" t="n">
        <x:v>132.97</x:v>
      </x:c>
      <x:c r="C1329" s="20" t="n">
        <x:v>742.31</x:v>
      </x:c>
      <x:c r="D1329" s="21" t="n">
        <x:v>3440911</x:v>
      </x:c>
      <x:c r="E1329" s="21" t="n">
        <x:v>44200200</x:v>
      </x:c>
      <x:c r="F1329" s="11" t="str">
        <x:v>Nasdaq public historical table</x:v>
      </x:c>
    </x:row>
    <x:row r="1330">
      <x:c r="A1330" s="14" t="n">
        <x:v>46156</x:v>
      </x:c>
      <x:c r="B1330" s="20" t="n">
        <x:v>133.67</x:v>
      </x:c>
      <x:c r="C1330" s="20" t="n">
        <x:v>748.17</x:v>
      </x:c>
      <x:c r="D1330" s="21" t="n">
        <x:v>2656233</x:v>
      </x:c>
      <x:c r="E1330" s="21" t="n">
        <x:v>45307600</x:v>
      </x:c>
      <x:c r="F1330" s="11" t="str">
        <x:v>Nasdaq public historical table</x:v>
      </x:c>
    </x:row>
    <x:row r="1331">
      <x:c r="A1331" s="14" t="n">
        <x:v>46157</x:v>
      </x:c>
      <x:c r="B1331" s="20" t="n">
        <x:v>132.85</x:v>
      </x:c>
      <x:c r="C1331" s="20" t="n">
        <x:v>739.17</x:v>
      </x:c>
      <x:c r="D1331" s="21" t="n">
        <x:v>2800395</x:v>
      </x:c>
      <x:c r="E1331" s="21" t="n">
        <x:v>60410770</x:v>
      </x:c>
      <x:c r="F1331" s="11" t="str">
        <x:v>Nasdaq public historical table</x:v>
      </x:c>
    </x:row>
    <x:row r="1332">
      <x:c r="A1332" s="14" t="n">
        <x:v>46160</x:v>
      </x:c>
      <x:c r="B1332" s="20" t="n">
        <x:v>134.3</x:v>
      </x:c>
      <x:c r="C1332" s="20" t="n">
        <x:v>738.65</x:v>
      </x:c>
      <x:c r="D1332" s="21" t="n">
        <x:v>3739508</x:v>
      </x:c>
      <x:c r="E1332" s="21" t="n">
        <x:v>47843870</x:v>
      </x:c>
      <x:c r="F1332" s="11" t="str">
        <x:v>Nasdaq public historical table</x:v>
      </x:c>
    </x:row>
    <x:row r="1333">
      <x:c r="A1333" s="14" t="n">
        <x:v>46161</x:v>
      </x:c>
      <x:c r="B1333" s="20" t="n">
        <x:v>131.16</x:v>
      </x:c>
      <x:c r="C1333" s="20" t="n">
        <x:v>733.73</x:v>
      </x:c>
      <x:c r="D1333" s="21" t="n">
        <x:v>3795679</x:v>
      </x:c>
      <x:c r="E1333" s="21" t="n">
        <x:v>54255910</x:v>
      </x:c>
      <x:c r="F1333" s="11" t="str">
        <x:v>Nasdaq public historical table</x:v>
      </x:c>
    </x:row>
    <x:row r="1334">
      <x:c r="A1334" s="14" t="n">
        <x:v>46162</x:v>
      </x:c>
      <x:c r="B1334" s="20" t="n">
        <x:v>135.55</x:v>
      </x:c>
      <x:c r="C1334" s="20" t="n">
        <x:v>741.25</x:v>
      </x:c>
      <x:c r="D1334" s="21" t="n">
        <x:v>6548459</x:v>
      </x:c>
      <x:c r="E1334" s="21" t="n">
        <x:v>45768040</x:v>
      </x:c>
      <x:c r="F1334" s="11" t="str">
        <x:v>Nasdaq public historical table</x:v>
      </x:c>
    </x:row>
    <x:row r="1335">
      <x:c r="A1335" s="14" t="n">
        <x:v>46163</x:v>
      </x:c>
      <x:c r="B1335" s="20" t="n">
        <x:v>134.25</x:v>
      </x:c>
      <x:c r="C1335" s="20" t="n">
        <x:v>742.72</x:v>
      </x:c>
      <x:c r="D1335" s="21" t="n">
        <x:v>4173979</x:v>
      </x:c>
      <x:c r="E1335" s="21" t="n">
        <x:v>43332230</x:v>
      </x:c>
      <x:c r="F1335" s="11" t="str">
        <x:v>Nasdaq public historical table</x:v>
      </x:c>
    </x:row>
    <x:row r="1336">
      <x:c r="A1336" s="14" t="n">
        <x:v>46164</x:v>
      </x:c>
      <x:c r="B1336" s="20" t="n">
        <x:v>132.35</x:v>
      </x:c>
      <x:c r="C1336" s="20" t="n">
        <x:v>745.64</x:v>
      </x:c>
      <x:c r="D1336" s="21" t="n">
        <x:v>3097906</x:v>
      </x:c>
      <x:c r="E1336" s="21" t="n">
        <x:v>41762010</x:v>
      </x:c>
      <x:c r="F1336" s="11" t="str">
        <x:v>Nasdaq public historical table</x:v>
      </x:c>
    </x:row>
    <x:row r="1337">
      <x:c r="A1337" s="14" t="n">
        <x:v>46168</x:v>
      </x:c>
      <x:c r="B1337" s="20" t="n">
        <x:v>132.68</x:v>
      </x:c>
      <x:c r="C1337" s="20" t="n">
        <x:v>750.59</x:v>
      </x:c>
      <x:c r="D1337" s="21" t="n">
        <x:v>3331674</x:v>
      </x:c>
      <x:c r="E1337" s="21" t="n">
        <x:v>41123620</x:v>
      </x:c>
      <x:c r="F1337" s="11" t="str">
        <x:v>Nasdaq public historical table</x:v>
      </x:c>
    </x:row>
    <x:row r="1338">
      <x:c r="A1338" s="14" t="n">
        <x:v>46169</x:v>
      </x:c>
      <x:c r="B1338" s="20" t="n">
        <x:v>132.1</x:v>
      </x:c>
      <x:c r="C1338" s="20" t="n">
        <x:v>750.46</x:v>
      </x:c>
      <x:c r="D1338" s="21" t="n">
        <x:v>3094887</x:v>
      </x:c>
      <x:c r="E1338" s="21" t="n">
        <x:v>42106290</x:v>
      </x:c>
      <x:c r="F1338" s="11" t="str">
        <x:v>Nasdaq public historical table</x:v>
      </x:c>
    </x:row>
    <x:row r="1339">
      <x:c r="A1339" s="14" t="n">
        <x:v>46170</x:v>
      </x:c>
      <x:c r="B1339" s="20" t="n">
        <x:v>134.5</x:v>
      </x:c>
      <x:c r="C1339" s="20" t="n">
        <x:v>754.6</x:v>
      </x:c>
      <x:c r="D1339" s="21" t="n">
        <x:v>3934769</x:v>
      </x:c>
      <x:c r="E1339" s="21" t="n">
        <x:v>41562560</x:v>
      </x:c>
      <x:c r="F1339" s="11" t="str">
        <x:v>Nasdaq public historical table</x:v>
      </x:c>
    </x:row>
    <x:row r="1340">
      <x:c r="A1340" s="14" t="n">
        <x:v>46171</x:v>
      </x:c>
      <x:c r="B1340" s="20" t="n">
        <x:v>133.31</x:v>
      </x:c>
      <x:c r="C1340" s="20" t="n">
        <x:v>756.48</x:v>
      </x:c>
      <x:c r="D1340" s="21" t="n">
        <x:v>4207350</x:v>
      </x:c>
      <x:c r="E1340" s="21" t="n">
        <x:v>55075740</x:v>
      </x:c>
      <x:c r="F1340" s="11" t="str">
        <x:v>Nasdaq public historical table</x:v>
      </x:c>
    </x:row>
    <x:row r="1341">
      <x:c r="A1341" s="14" t="n">
        <x:v>46174</x:v>
      </x:c>
      <x:c r="B1341" s="20" t="n">
        <x:v>137.87</x:v>
      </x:c>
      <x:c r="C1341" s="20" t="n">
        <x:v>758.54</x:v>
      </x:c>
      <x:c r="D1341" s="21" t="n">
        <x:v>4354311</x:v>
      </x:c>
      <x:c r="E1341" s="21" t="n">
        <x:v>43634930</x:v>
      </x:c>
      <x:c r="F1341" s="11" t="str">
        <x:v>Nasdaq public historical table</x:v>
      </x:c>
    </x:row>
    <x:row r="1342">
      <x:c r="A1342" s="14" t="n">
        <x:v>46175</x:v>
      </x:c>
      <x:c r="B1342" s="20" t="n">
        <x:v>134.35</x:v>
      </x:c>
      <x:c r="C1342" s="20" t="n">
        <x:v>759.57</x:v>
      </x:c>
      <x:c r="D1342" s="21" t="n">
        <x:v>3499364</x:v>
      </x:c>
      <x:c r="E1342" s="21" t="n">
        <x:v>31581850</x:v>
      </x:c>
      <x:c r="F1342" s="11" t="str">
        <x:v>Nasdaq public historical table</x:v>
      </x:c>
    </x:row>
    <x:row r="1343">
      <x:c r="A1343" s="14" t="n">
        <x:v>46176</x:v>
      </x:c>
      <x:c r="B1343" s="20" t="n">
        <x:v>133.59</x:v>
      </x:c>
      <x:c r="C1343" s="20" t="n">
        <x:v>754.24</x:v>
      </x:c>
      <x:c r="D1343" s="21" t="n">
        <x:v>3607553</x:v>
      </x:c>
      <x:c r="E1343" s="21" t="n">
        <x:v>51402520</x:v>
      </x:c>
      <x:c r="F1343" s="11" t="str">
        <x:v>Nasdaq public historical table</x:v>
      </x:c>
    </x:row>
    <x:row r="1344">
      <x:c r="A1344" s="14" t="n">
        <x:v>46177</x:v>
      </x:c>
      <x:c r="B1344" s="20" t="n">
        <x:v>133.72</x:v>
      </x:c>
      <x:c r="C1344" s="20" t="n">
        <x:v>757.09</x:v>
      </x:c>
      <x:c r="D1344" s="21" t="n">
        <x:v>3719663</x:v>
      </x:c>
      <x:c r="E1344" s="21" t="n">
        <x:v>49923040</x:v>
      </x:c>
      <x:c r="F1344" s="11" t="str">
        <x:v>Nasdaq public historical table</x:v>
      </x:c>
    </x:row>
    <x:row r="1345">
      <x:c r="A1345" s="14" t="n">
        <x:v>46178</x:v>
      </x:c>
      <x:c r="B1345" s="20" t="n">
        <x:v>133.54</x:v>
      </x:c>
      <x:c r="C1345" s="20" t="n">
        <x:v>737.55</x:v>
      </x:c>
      <x:c r="D1345" s="21" t="n">
        <x:v>4044942</x:v>
      </x:c>
      <x:c r="E1345" s="21" t="n">
        <x:v>93989420</x:v>
      </x:c>
      <x:c r="F1345" s="11" t="str">
        <x:v>Nasdaq public historical table</x:v>
      </x:c>
    </x:row>
    <x:row r="1346">
      <x:c r="A1346" s="14" t="n">
        <x:v>46181</x:v>
      </x:c>
      <x:c r="B1346" s="20" t="n">
        <x:v>134.43</x:v>
      </x:c>
      <x:c r="C1346" s="20" t="n">
        <x:v>739.22</x:v>
      </x:c>
      <x:c r="D1346" s="21" t="n">
        <x:v>3278041</x:v>
      </x:c>
      <x:c r="E1346" s="21" t="n">
        <x:v>49319140</x:v>
      </x:c>
      <x:c r="F1346" s="11" t="str">
        <x:v>Nasdaq public historical table</x:v>
      </x:c>
    </x:row>
    <x:row r="1347">
      <x:c r="A1347" s="14" t="n">
        <x:v>46182</x:v>
      </x:c>
      <x:c r="B1347" s="20" t="n">
        <x:v>131.35</x:v>
      </x:c>
      <x:c r="C1347" s="20" t="n">
        <x:v>737.05</x:v>
      </x:c>
      <x:c r="D1347" s="21" t="n">
        <x:v>3492442</x:v>
      </x:c>
      <x:c r="E1347" s="21" t="n">
        <x:v>87683520</x:v>
      </x:c>
      <x:c r="F1347" s="11" t="str">
        <x:v>Nasdaq public historical table</x:v>
      </x:c>
    </x:row>
    <x:row r="1348">
      <x:c r="A1348" s="14" t="n">
        <x:v>46183</x:v>
      </x:c>
      <x:c r="B1348" s="20" t="n">
        <x:v>129.1</x:v>
      </x:c>
      <x:c r="C1348" s="20" t="n">
        <x:v>725.43</x:v>
      </x:c>
      <x:c r="D1348" s="21" t="n">
        <x:v>3684154</x:v>
      </x:c>
      <x:c r="E1348" s="21" t="n">
        <x:v>60341350</x:v>
      </x:c>
      <x:c r="F1348" s="11" t="str">
        <x:v>Nasdaq public historical table</x:v>
      </x:c>
    </x:row>
    <x:row r="1349">
      <x:c r="A1349" s="14" t="n">
        <x:v>46184</x:v>
      </x:c>
      <x:c r="B1349" s="20" t="n">
        <x:v>130.87</x:v>
      </x:c>
      <x:c r="C1349" s="20" t="n">
        <x:v>737.76</x:v>
      </x:c>
      <x:c r="D1349" s="21" t="n">
        <x:v>3955233</x:v>
      </x:c>
      <x:c r="E1349" s="21" t="n">
        <x:v>86330520</x:v>
      </x:c>
      <x:c r="F1349" s="11" t="str">
        <x:v>Nasdaq public historical table</x:v>
      </x:c>
    </x:row>
    <x:row r="1350">
      <x:c r="A1350" s="14" t="n">
        <x:v>46185</x:v>
      </x:c>
      <x:c r="B1350" s="20" t="n">
        <x:v>132.28</x:v>
      </x:c>
      <x:c r="C1350" s="20" t="n">
        <x:v>741.75</x:v>
      </x:c>
      <x:c r="D1350" s="21" t="n">
        <x:v>2616274</x:v>
      </x:c>
      <x:c r="E1350" s="21" t="n">
        <x:v>57079530</x:v>
      </x:c>
      <x:c r="F1350" s="11" t="str">
        <x:v>Nasdaq public historical table</x:v>
      </x:c>
    </x:row>
    <x:row r="1351">
      <x:c r="A1351" s="14" t="n">
        <x:v>46188</x:v>
      </x:c>
      <x:c r="B1351" s="20" t="n">
        <x:v>138.96</x:v>
      </x:c>
      <x:c r="C1351" s="20" t="n">
        <x:v>754.83</x:v>
      </x:c>
      <x:c r="D1351" s="21" t="n">
        <x:v>4695230</x:v>
      </x:c>
      <x:c r="E1351" s="21" t="n">
        <x:v>60176430</x:v>
      </x:c>
      <x:c r="F1351" s="11" t="str">
        <x:v>Nasdaq public historical table</x:v>
      </x:c>
    </x:row>
    <x:row r="1352">
      <x:c r="A1352" s="14" t="n">
        <x:v>46189</x:v>
      </x:c>
      <x:c r="B1352" s="20" t="n">
        <x:v>141.2</x:v>
      </x:c>
      <x:c r="C1352" s="20" t="n">
        <x:v>750.33</x:v>
      </x:c>
      <x:c r="D1352" s="21" t="n">
        <x:v>3672481</x:v>
      </x:c>
      <x:c r="E1352" s="21" t="n">
        <x:v>67093140</x:v>
      </x:c>
      <x:c r="F1352" s="11" t="str">
        <x:v>Nasdaq public historical table</x:v>
      </x:c>
    </x:row>
    <x:row r="1353">
      <x:c r="A1353" s="14" t="n">
        <x:v>46190</x:v>
      </x:c>
      <x:c r="B1353" s="20" t="n">
        <x:v>140.54</x:v>
      </x:c>
      <x:c r="C1353" s="20" t="n">
        <x:v>740.96</x:v>
      </x:c>
      <x:c r="D1353" s="21" t="n">
        <x:v>3437959</x:v>
      </x:c>
      <x:c r="E1353" s="21" t="n">
        <x:v>85945230</x:v>
      </x:c>
      <x:c r="F1353" s="11" t="str">
        <x:v>Nasdaq public historical table</x:v>
      </x:c>
    </x:row>
    <x:row r="1354">
      <x:c r="A1354" s="14" t="n">
        <x:v>46191</x:v>
      </x:c>
      <x:c r="B1354" s="20" t="n">
        <x:v>142.41</x:v>
      </x:c>
      <x:c r="C1354" s="20" t="n">
        <x:v>746.74</x:v>
      </x:c>
      <x:c r="D1354" s="21" t="n">
        <x:v>7413230</x:v>
      </x:c>
      <x:c r="E1354" s="21" t="n">
        <x:v>80875660</x:v>
      </x:c>
      <x:c r="F1354" s="11" t="str">
        <x:v>Nasdaq public historical table</x:v>
      </x:c>
    </x:row>
    <x:row r="1355">
      <x:c r="A1355" s="14" t="n">
        <x:v>46195</x:v>
      </x:c>
      <x:c r="B1355" s="20" t="n">
        <x:v>139.19</x:v>
      </x:c>
      <x:c r="C1355" s="20" t="n">
        <x:v>744.39</x:v>
      </x:c>
      <x:c r="D1355" s="21" t="n">
        <x:v>4255749</x:v>
      </x:c>
      <x:c r="E1355" s="21" t="n">
        <x:v>46628070</x:v>
      </x:c>
      <x:c r="F1355" s="11" t="str">
        <x:v>Nasdaq public historical table</x:v>
      </x:c>
    </x:row>
    <x:row r="1356">
      <x:c r="A1356" s="14" t="n">
        <x:v>46196</x:v>
      </x:c>
      <x:c r="B1356" s="20" t="n">
        <x:v>138.85</x:v>
      </x:c>
      <x:c r="C1356" s="20" t="n">
        <x:v>733.58</x:v>
      </x:c>
      <x:c r="D1356" s="21" t="n">
        <x:v>3428889</x:v>
      </x:c>
      <x:c r="E1356" s="21" t="n">
        <x:v>66846780</x:v>
      </x:c>
      <x:c r="F1356" s="11" t="str">
        <x:v>Nasdaq public historical table</x:v>
      </x:c>
    </x:row>
    <x:row r="1357">
      <x:c r="A1357" s="14" t="n">
        <x:v>46197</x:v>
      </x:c>
      <x:c r="B1357" s="20" t="n">
        <x:v>144.4</x:v>
      </x:c>
      <x:c r="C1357" s="20" t="n">
        <x:v>733.24</x:v>
      </x:c>
      <x:c r="D1357" s="21" t="n">
        <x:v>4050600</x:v>
      </x:c>
      <x:c r="E1357" s="21" t="n">
        <x:v>57439510</x:v>
      </x:c>
      <x:c r="F1357" s="11" t="str">
        <x:v>Nasdaq public historical table</x:v>
      </x:c>
    </x:row>
    <x:row r="1358">
      <x:c r="A1358" s="14" t="n">
        <x:v>46198</x:v>
      </x:c>
      <x:c r="B1358" s="20" t="n">
        <x:v>141.88</x:v>
      </x:c>
      <x:c r="C1358" s="20" t="n">
        <x:v>734.3</x:v>
      </x:c>
      <x:c r="D1358" s="21" t="n">
        <x:v>3033293</x:v>
      </x:c>
      <x:c r="E1358" s="21" t="n">
        <x:v>54128070</x:v>
      </x:c>
      <x:c r="F1358" s="11" t="str">
        <x:v>Nasdaq public historical table</x:v>
      </x:c>
    </x:row>
    <x:row r="1359">
      <x:c r="A1359" s="14" t="n">
        <x:v>46199</x:v>
      </x:c>
      <x:c r="B1359" s="20" t="n">
        <x:v>145.56</x:v>
      </x:c>
      <x:c r="C1359" s="20" t="n">
        <x:v>728.99</x:v>
      </x:c>
      <x:c r="D1359" s="21" t="n">
        <x:v>6088978</x:v>
      </x:c>
      <x:c r="E1359" s="21" t="n">
        <x:v>71033970</x:v>
      </x:c>
      <x:c r="F1359" s="11" t="str">
        <x:v>Nasdaq public historical table</x:v>
      </x:c>
    </x:row>
    <x:row r="1360">
      <x:c r="A1360" s="14" t="n">
        <x:v>46202</x:v>
      </x:c>
      <x:c r="B1360" s="20" t="n">
        <x:v>147.17</x:v>
      </x:c>
      <x:c r="C1360" s="20" t="n">
        <x:v>741</x:v>
      </x:c>
      <x:c r="D1360" s="21" t="n">
        <x:v>5071708</x:v>
      </x:c>
      <x:c r="E1360" s="21" t="n">
        <x:v>58035230</x:v>
      </x:c>
      <x:c r="F1360" s="11" t="str">
        <x:v>Nasdaq public historical table</x:v>
      </x:c>
    </x:row>
    <x:row r="1361">
      <x:c r="A1361" s="14" t="n">
        <x:v>46203</x:v>
      </x:c>
      <x:c r="B1361" s="20" t="n">
        <x:v>143.1</x:v>
      </x:c>
      <x:c r="C1361" s="20" t="n">
        <x:v>746.77</x:v>
      </x:c>
      <x:c r="D1361" s="21" t="n">
        <x:v>3232019</x:v>
      </x:c>
      <x:c r="E1361" s="21" t="n">
        <x:v>55626040</x:v>
      </x:c>
      <x:c r="F1361" s="11" t="str">
        <x:v>Nasdaq public historical table</x:v>
      </x:c>
    </x:row>
    <x:row r="1362">
      <x:c r="A1362" s="14" t="n">
        <x:v>46204</x:v>
      </x:c>
      <x:c r="B1362" s="20" t="n">
        <x:v>147.31</x:v>
      </x:c>
      <x:c r="C1362" s="20" t="n">
        <x:v>745.76</x:v>
      </x:c>
      <x:c r="D1362" s="21" t="n">
        <x:v>3301215</x:v>
      </x:c>
      <x:c r="E1362" s="21" t="n">
        <x:v>47100880</x:v>
      </x:c>
      <x:c r="F1362" s="11" t="str">
        <x:v>Nasdaq public historical table</x:v>
      </x:c>
    </x:row>
    <x:row r="1363">
      <x:c r="A1363" s="14" t="n">
        <x:v>46205</x:v>
      </x:c>
      <x:c r="B1363" s="20" t="n">
        <x:v>148.93</x:v>
      </x:c>
      <x:c r="C1363" s="20" t="n">
        <x:v>744.78</x:v>
      </x:c>
      <x:c r="D1363" s="21" t="n">
        <x:v>3496652</x:v>
      </x:c>
      <x:c r="E1363" s="21" t="n">
        <x:v>57505950</x:v>
      </x:c>
      <x:c r="F1363" s="11" t="str">
        <x:v>Nasdaq public historical table</x:v>
      </x:c>
    </x:row>
    <x:row r="1364">
      <x:c r="A1364" s="14" t="n">
        <x:v>46209</x:v>
      </x:c>
      <x:c r="B1364" s="20" t="n">
        <x:v>147.65</x:v>
      </x:c>
      <x:c r="C1364" s="20" t="n">
        <x:v>751.28</x:v>
      </x:c>
      <x:c r="D1364" s="21" t="n">
        <x:v>2574734</x:v>
      </x:c>
      <x:c r="E1364" s="21" t="n">
        <x:v>50673310</x:v>
      </x:c>
      <x:c r="F1364" s="11" t="str">
        <x:v>Nasdaq public historical table</x:v>
      </x:c>
    </x:row>
    <x:row r="1365">
      <x:c r="A1365" s="14" t="n">
        <x:v>46210</x:v>
      </x:c>
      <x:c r="B1365" s="20" t="n">
        <x:v>148.8</x:v>
      </x:c>
      <x:c r="C1365" s="20" t="n">
        <x:v>747.71</x:v>
      </x:c>
      <x:c r="D1365" s="21" t="n">
        <x:v>2283724</x:v>
      </x:c>
      <x:c r="E1365" s="21" t="n">
        <x:v>43721490</x:v>
      </x:c>
      <x:c r="F1365" s="11" t="str">
        <x:v>Nasdaq public historical table</x:v>
      </x:c>
    </x:row>
    <x:row r="1366">
      <x:c r="A1366" s="14" t="n">
        <x:v>46211</x:v>
      </x:c>
      <x:c r="B1366" s="20" t="n">
        <x:v>142.95</x:v>
      </x:c>
      <x:c r="C1366" s="20" t="n">
        <x:v>745.4</x:v>
      </x:c>
      <x:c r="D1366" s="21" t="n">
        <x:v>2969101</x:v>
      </x:c>
      <x:c r="E1366" s="21" t="n">
        <x:v>43767390</x:v>
      </x:c>
      <x:c r="F1366" s="11" t="str">
        <x:v>Nasdaq public historical table</x:v>
      </x:c>
    </x:row>
    <x:row r="1367">
      <x:c r="A1367" s="14" t="n">
        <x:v>46212</x:v>
      </x:c>
      <x:c r="B1367" s="20" t="n">
        <x:v>146.89</x:v>
      </x:c>
      <x:c r="C1367" s="20" t="n">
        <x:v>751.71</x:v>
      </x:c>
      <x:c r="D1367" s="21" t="n">
        <x:v>3467876</x:v>
      </x:c>
      <x:c r="E1367" s="21" t="n">
        <x:v>41441720</x:v>
      </x:c>
      <x:c r="F1367" s="11" t="str">
        <x:v>Nasdaq public historical table</x:v>
      </x:c>
    </x:row>
    <x:row r="1368">
      <x:c r="A1368" s="14" t="n">
        <x:v>46213</x:v>
      </x:c>
      <x:c r="B1368" s="20" t="n">
        <x:v>148.62</x:v>
      </x:c>
      <x:c r="C1368" s="20" t="n">
        <x:v>754.95</x:v>
      </x:c>
      <x:c r="D1368" s="21" t="n">
        <x:v>2635916</x:v>
      </x:c>
      <x:c r="E1368" s="21" t="n">
        <x:v>42191310</x:v>
      </x:c>
      <x:c r="F1368" s="11" t="str">
        <x:v>Nasdaq public historical table</x:v>
      </x:c>
    </x:row>
    <x:row r="1369">
      <x:c r="A1369" s="14" t="n">
        <x:v>46216</x:v>
      </x:c>
      <x:c r="B1369" s="20" t="n">
        <x:v>146.33</x:v>
      </x:c>
      <x:c r="C1369" s="20" t="n">
        <x:v>749.17</x:v>
      </x:c>
      <x:c r="D1369" s="21" t="n">
        <x:v>4396813</x:v>
      </x:c>
      <x:c r="E1369" s="21" t="n">
        <x:v>44013630</x:v>
      </x:c>
      <x:c r="F1369" s="11" t="str">
        <x:v>Nasdaq public historical table</x:v>
      </x:c>
    </x:row>
    <x:row r="1370">
      <x:c r="A1370" s="14" t="n">
        <x:v>46217</x:v>
      </x:c>
      <x:c r="B1370" s="20" t="n">
        <x:v>146.54</x:v>
      </x:c>
      <x:c r="C1370" s="20" t="n">
        <x:v>751.83</x:v>
      </x:c>
      <x:c r="D1370" s="21" t="n">
        <x:v>3085361</x:v>
      </x:c>
      <x:c r="E1370" s="21" t="n">
        <x:v>35143140</x:v>
      </x:c>
      <x:c r="F1370" s="11" t="str">
        <x:v>Nasdaq public historical table</x:v>
      </x:c>
    </x:row>
    <x:row r="1371">
      <x:c r="A1371" s="14" t="n">
        <x:v>46218</x:v>
      </x:c>
      <x:c r="B1371" s="20" t="n">
        <x:v>148.38</x:v>
      </x:c>
      <x:c r="C1371" s="20" t="n">
        <x:v>754.81</x:v>
      </x:c>
      <x:c r="D1371" s="21" t="n">
        <x:v>3728680</x:v>
      </x:c>
      <x:c r="E1371" s="21" t="n">
        <x:v>43844770</x:v>
      </x:c>
      <x:c r="F1371" s="11" t="str">
        <x:v>Nasdaq public historical table</x:v>
      </x:c>
    </x:row>
    <x:row r="1372">
      <x:c r="A1372" s="14" t="n">
        <x:v>46219</x:v>
      </x:c>
      <x:c r="B1372" s="20" t="n">
        <x:v>147.8</x:v>
      </x:c>
      <x:c r="C1372" s="20" t="n">
        <x:v>750.72</x:v>
      </x:c>
      <x:c r="D1372" s="21" t="n">
        <x:v>3113339</x:v>
      </x:c>
      <x:c r="E1372" s="21" t="n">
        <x:v>46409810</x:v>
      </x:c>
      <x:c r="F1372" s="11" t="str">
        <x:v>Nasdaq public historical table</x:v>
      </x:c>
    </x:row>
    <x:row r="1373">
      <x:c r="A1373" s="14" t="n">
        <x:v>46220</x:v>
      </x:c>
      <x:c r="B1373" s="20" t="n">
        <x:v>145.98</x:v>
      </x:c>
      <x:c r="C1373" s="20" t="n">
        <x:v>743.29</x:v>
      </x:c>
      <x:c r="D1373" s="21" t="n">
        <x:v>5483534</x:v>
      </x:c>
      <x:c r="E1373" s="21" t="n">
        <x:v>62650960</x:v>
      </x:c>
      <x:c r="F1373" s="11" t="str">
        <x:v>Nasdaq public historical table</x:v>
      </x:c>
    </x:row>
    <x:row r="1374">
      <x:c r="A1374" s="14" t="n">
        <x:v>46223</x:v>
      </x:c>
      <x:c r="B1374" s="20" t="n">
        <x:v>144.94</x:v>
      </x:c>
      <x:c r="C1374" s="20" t="n">
        <x:v>742.09</x:v>
      </x:c>
      <x:c r="D1374" s="21" t="n">
        <x:v>3031186</x:v>
      </x:c>
      <x:c r="E1374" s="21" t="n">
        <x:v>50422320</x:v>
      </x:c>
      <x:c r="F1374" s="11" t="str">
        <x:v>Nasdaq public historical table</x:v>
      </x:c>
    </x:row>
    <x:row r="1375">
      <x:c r="A1375" s="14" t="n">
        <x:v>46224</x:v>
      </x:c>
      <x:c r="B1375" s="20" t="n">
        <x:v>144.1</x:v>
      </x:c>
      <x:c r="C1375" s="20" t="n">
        <x:v>748.28</x:v>
      </x:c>
      <x:c r="D1375" s="21" t="n">
        <x:v>2343571</x:v>
      </x:c>
      <x:c r="E1375" s="21" t="n">
        <x:v>34324260</x:v>
      </x:c>
      <x:c r="F1375" s="11" t="str">
        <x:v>Nasdaq public historical table</x:v>
      </x:c>
    </x:row>
    <x:row r="1376">
      <x:c r="A1376" s="14" t="n">
        <x:v>46225</x:v>
      </x:c>
      <x:c r="B1376" s="20" t="n">
        <x:v>140.05</x:v>
      </x:c>
      <x:c r="C1376" s="20" t="n">
        <x:v>747.41</x:v>
      </x:c>
      <x:c r="D1376" s="21" t="n">
        <x:v>2635648</x:v>
      </x:c>
      <x:c r="E1376" s="21" t="n">
        <x:v>32836200</x:v>
      </x:c>
      <x:c r="F1376" s="11" t="str">
        <x:v>Nasdaq public historical table</x:v>
      </x:c>
    </x:row>
    <x:row r="1377">
      <x:c r="A1377" s="14" t="n">
        <x:v>46226</x:v>
      </x:c>
      <x:c r="B1377" s="20" t="n">
        <x:v>137.57</x:v>
      </x:c>
      <x:c r="C1377" s="20" t="n">
        <x:v>738.18</x:v>
      </x:c>
      <x:c r="D1377" s="21" t="n">
        <x:v>3482681</x:v>
      </x:c>
      <x:c r="E1377" s="21" t="n">
        <x:v>55437330</x:v>
      </x:c>
      <x:c r="F1377" s="11" t="str">
        <x:v>Nasdaq public historical table</x:v>
      </x:c>
    </x:row>
    <x:row r="1378">
      <x:c r="A1378" s="14" t="n">
        <x:v>46227</x:v>
      </x:c>
      <x:c r="B1378" s="20" t="n">
        <x:v>141.1</x:v>
      </x:c>
      <x:c r="C1378" s="20" t="n">
        <x:v>738.93</x:v>
      </x:c>
      <x:c r="D1378" s="21" t="n">
        <x:v>2414881</x:v>
      </x:c>
      <x:c r="E1378" s="21" t="n">
        <x:v>44781980</x:v>
      </x:c>
      <x:c r="F1378" s="11" t="str">
        <x:v>Nasdaq public historical table</x:v>
      </x:c>
    </x:row>
    <x:row r="1379">
      <x:c r="A1379" s="14" t="n">
        <x:v>46230</x:v>
      </x:c>
      <x:c r="B1379" s="20" t="n">
        <x:v>146.86</x:v>
      </x:c>
      <x:c r="C1379" s="20" t="n">
        <x:v>739.09</x:v>
      </x:c>
      <x:c r="D1379" s="21" t="n">
        <x:v>2902656</x:v>
      </x:c>
      <x:c r="E1379" s="21" t="n">
        <x:v>41461190</x:v>
      </x:c>
      <x:c r="F1379" s="11" t="str">
        <x:v>Nasdaq public historical table</x:v>
      </x:c>
    </x:row>
    <x:row r="1380">
      <x:c r="A1380" s="14" t="n">
        <x:v>46231</x:v>
      </x:c>
      <x:c r="B1380" s="20" t="n">
        <x:v>153.11</x:v>
      </x:c>
      <x:c r="C1380" s="20" t="n">
        <x:v>740.86</x:v>
      </x:c>
      <x:c r="D1380" s="21" t="n">
        <x:v>6846162</x:v>
      </x:c>
      <x:c r="E1380" s="21" t="n">
        <x:v>47322250</x:v>
      </x:c>
      <x:c r="F1380" s="11" t="str">
        <x:v>Nasdaq public historical table</x:v>
      </x:c>
    </x:row>
    <x:row r="1381">
      <x:c r="A1381" s="14" t="n">
        <x:v>46232</x:v>
      </x:c>
      <x:c r="B1381" s="20" t="n">
        <x:v>153.01</x:v>
      </x:c>
      <x:c r="C1381" s="20" t="n">
        <x:v>729.46</x:v>
      </x:c>
      <x:c r="D1381" s="21" t="n">
        <x:v>3852540</x:v>
      </x:c>
      <x:c r="E1381" s="21" t="n">
        <x:v>70697220</x:v>
      </x:c>
      <x:c r="F1381" s="11" t="str">
        <x:v>Nasdaq public historical table</x:v>
      </x:c>
    </x:row>
    <x:row r="1382">
      <x:c r="A1382" s="14" t="n">
        <x:v>46233</x:v>
      </x:c>
      <x:c r="B1382" s="20" t="n">
        <x:v>152.08</x:v>
      </x:c>
      <x:c r="C1382" s="20" t="n">
        <x:v>741.69</x:v>
      </x:c>
      <x:c r="D1382" s="21" t="n">
        <x:v>3056066</x:v>
      </x:c>
      <x:c r="E1382" s="21" t="n">
        <x:v>66811270</x:v>
      </x:c>
      <x:c r="F1382" s="11" t="str">
        <x:v>Nasdaq public historical table</x:v>
      </x:c>
    </x:row>
    <x:row r="1383">
      <x:c r="A1383" s="14" t="n">
        <x:v>46234</x:v>
      </x:c>
      <x:c r="B1383" s="20" t="n">
        <x:v>151.52</x:v>
      </x:c>
      <x:c r="C1383" s="20" t="n">
        <x:v>747.03</x:v>
      </x:c>
      <x:c r="D1383" s="21" t="n">
        <x:v>2461545</x:v>
      </x:c>
      <x:c r="E1383" s="21" t="n">
        <x:v>62445900</x:v>
      </x:c>
      <x:c r="F1383" s="11" t="str">
        <x:v>Nasdaq public historical table</x:v>
      </x:c>
    </x:row>
    <x:row r="1384">
      <x:c r="A1384" s="14" t="n">
        <x:v>46237</x:v>
      </x:c>
      <x:c r="B1384" s="20" t="n">
        <x:v>150.64</x:v>
      </x:c>
      <x:c r="C1384" s="20" t="n">
        <x:v>757.67</x:v>
      </x:c>
      <x:c r="D1384" s="21" t="n">
        <x:v>3597522</x:v>
      </x:c>
      <x:c r="E1384" s="21" t="n">
        <x:v>59927540</x:v>
      </x:c>
      <x:c r="F1384" s="11" t="str">
        <x:v>Nasdaq public historical table</x:v>
      </x:c>
    </x:row>
    <x:row r="1385">
      <x:c r="A1385" s="14" t="n">
        <x:v>46238</x:v>
      </x:c>
      <x:c r="B1385" s="20" t="n">
        <x:v>149.92</x:v>
      </x:c>
      <x:c r="C1385" s="20" t="n">
        <x:v>771.33</x:v>
      </x:c>
      <x:c r="D1385" s="21" t="n">
        <x:v>3580645</x:v>
      </x:c>
      <x:c r="E1385" s="21" t="n">
        <x:v>69154790</x:v>
      </x:c>
      <x:c r="F1385" s="11" t="str">
        <x:v>Nasdaq public historical table</x:v>
      </x:c>
    </x:row>
    <x:row r="1386">
      <x:c r="A1386" s="14" t="n">
        <x:v>46239</x:v>
      </x:c>
      <x:c r="B1386" s="20" t="n">
        <x:v>152.49</x:v>
      </x:c>
      <x:c r="C1386" s="20" t="n">
        <x:v>769.79</x:v>
      </x:c>
      <x:c r="D1386" s="21" t="n">
        <x:v>4079580</x:v>
      </x:c>
      <x:c r="E1386" s="21" t="n">
        <x:v>44689080</x:v>
      </x:c>
      <x:c r="F1386" s="11" t="str">
        <x:v>Nasdaq public historical table</x:v>
      </x:c>
    </x:row>
    <x:row r="1387">
      <x:c r="A1387" s="14" t="n">
        <x:v>46240</x:v>
      </x:c>
      <x:c r="B1387" s="20" t="n">
        <x:v>151.64</x:v>
      </x:c>
      <x:c r="C1387" s="20" t="n">
        <x:v>768.56</x:v>
      </x:c>
      <x:c r="D1387" s="21" t="n">
        <x:v>6041107</x:v>
      </x:c>
      <x:c r="E1387" s="21" t="n">
        <x:v>38416900</x:v>
      </x:c>
      <x:c r="F1387" s="11" t="str">
        <x:v>Nasdaq public historical table</x:v>
      </x:c>
    </x:row>
    <x:row r="1388">
      <x:c r="A1388" s="14" t="n">
        <x:v>46241</x:v>
      </x:c>
      <x:c r="B1388" s="20" t="n">
        <x:v>178.07</x:v>
      </x:c>
      <x:c r="C1388" s="20" t="n">
        <x:v>773.26</x:v>
      </x:c>
      <x:c r="D1388" s="21" t="n">
        <x:v>15914960</x:v>
      </x:c>
      <x:c r="E1388" s="21" t="n">
        <x:v>43586330</x:v>
      </x:c>
      <x:c r="F1388" s="11" t="str">
        <x:v>Nasdaq public historical table</x:v>
      </x:c>
    </x:row>
    <x:row r="1389">
      <x:c r="A1389" s="14" t="n">
        <x:v>46244</x:v>
      </x:c>
      <x:c r="B1389" s="20" t="n">
        <x:v>184.7</x:v>
      </x:c>
      <x:c r="C1389" s="20" t="n">
        <x:v>773.03</x:v>
      </x:c>
      <x:c r="D1389" s="21" t="n">
        <x:v>9985945</x:v>
      </x:c>
      <x:c r="E1389" s="21" t="n">
        <x:v>39249480</x:v>
      </x:c>
      <x:c r="F1389" s="11" t="str">
        <x:v>Nasdaq public historical table</x:v>
      </x:c>
    </x:row>
    <x:row r="1390">
      <x:c r="A1390" s="14" t="n">
        <x:v>46245</x:v>
      </x:c>
      <x:c r="B1390" s="20" t="n">
        <x:v>184.98</x:v>
      </x:c>
      <x:c r="C1390" s="20" t="n">
        <x:v>770.56</x:v>
      </x:c>
      <x:c r="D1390" s="21" t="n">
        <x:v>8025660</x:v>
      </x:c>
      <x:c r="E1390" s="21" t="n">
        <x:v>36740560</x:v>
      </x:c>
      <x:c r="F1390" s="11" t="str">
        <x:v>Nasdaq public historical table</x:v>
      </x:c>
    </x:row>
    <x:row r="1391">
      <x:c r="A1391" s="14" t="n">
        <x:v>46246</x:v>
      </x:c>
      <x:c r="B1391" s="20" t="n">
        <x:v>180.095</x:v>
      </x:c>
      <x:c r="C1391" s="20" t="n">
        <x:v>772.49</x:v>
      </x:c>
      <x:c r="D1391" s="21" t="n">
        <x:v>5987416</x:v>
      </x:c>
      <x:c r="E1391" s="21" t="n">
        <x:v>33179130</x:v>
      </x:c>
      <x:c r="F1391" s="11" t="str">
        <x:v>Nasdaq public historical table</x:v>
      </x:c>
    </x:row>
    <x:row r="1392">
      <x:c r="A1392" s="14" t="n">
        <x:v>46247</x:v>
      </x:c>
      <x:c r="B1392" s="20" t="n">
        <x:v>185.13</x:v>
      </x:c>
      <x:c r="C1392" s="20" t="n">
        <x:v>777.88</x:v>
      </x:c>
      <x:c r="D1392" s="21" t="n">
        <x:v>5139906</x:v>
      </x:c>
      <x:c r="E1392" s="21" t="n">
        <x:v>35634480</x:v>
      </x:c>
      <x:c r="F1392" s="11" t="str">
        <x:v>Nasdaq public historical table</x:v>
      </x:c>
    </x:row>
    <x:row r="1393">
      <x:c r="A1393" s="14" t="n">
        <x:v>46248</x:v>
      </x:c>
      <x:c r="B1393" s="20" t="n">
        <x:v>184.06</x:v>
      </x:c>
      <x:c r="C1393" s="20" t="n">
        <x:v>776.34</x:v>
      </x:c>
      <x:c r="D1393" s="21" t="n">
        <x:v>3766173</x:v>
      </x:c>
      <x:c r="E1393" s="21" t="n">
        <x:v>31367910</x:v>
      </x:c>
      <x:c r="F1393" s="11" t="str">
        <x:v>Nasdaq public historical table</x:v>
      </x:c>
    </x:row>
    <x:row r="1394">
      <x:c r="A1394" s="14" t="n">
        <x:v>46251</x:v>
      </x:c>
      <x:c r="B1394" s="20" t="n">
        <x:v>179.29</x:v>
      </x:c>
      <x:c r="C1394" s="20" t="n">
        <x:v>772.67</x:v>
      </x:c>
      <x:c r="D1394" s="21" t="n">
        <x:v>3942358</x:v>
      </x:c>
      <x:c r="E1394" s="21" t="n">
        <x:v>34356580</x:v>
      </x:c>
      <x:c r="F1394" s="11" t="str">
        <x:v>Nasdaq public historical table</x:v>
      </x:c>
    </x:row>
    <x:row r="1395">
      <x:c r="A1395" s="14" t="n">
        <x:v>46252</x:v>
      </x:c>
      <x:c r="B1395" s="20" t="n">
        <x:v>183.25</x:v>
      </x:c>
      <x:c r="C1395" s="20" t="n">
        <x:v>767.45</x:v>
      </x:c>
      <x:c r="D1395" s="21" t="n">
        <x:v>4346637</x:v>
      </x:c>
      <x:c r="E1395" s="21" t="n">
        <x:v>43920910</x:v>
      </x:c>
      <x:c r="F1395" s="11" t="str">
        <x:v>Nasdaq public historical table</x:v>
      </x:c>
    </x:row>
    <x:row r="1396">
      <x:c r="A1396" s="14" t="n">
        <x:v>46253</x:v>
      </x:c>
      <x:c r="B1396" s="20" t="n">
        <x:v>186.39</x:v>
      </x:c>
      <x:c r="C1396" s="20" t="n">
        <x:v>769.06</x:v>
      </x:c>
      <x:c r="D1396" s="21" t="n">
        <x:v>4868017</x:v>
      </x:c>
      <x:c r="E1396" s="21" t="n">
        <x:v>40306020</x:v>
      </x:c>
      <x:c r="F1396" s="11" t="str">
        <x:v>Nasdaq public historical table</x:v>
      </x:c>
    </x:row>
    <x:row r="1397">
      <x:c r="A1397" s="14" t="n">
        <x:v>46254</x:v>
      </x:c>
      <x:c r="B1397" s="20" t="n">
        <x:v>185</x:v>
      </x:c>
      <x:c r="C1397" s="20" t="n">
        <x:v>762.6</x:v>
      </x:c>
      <x:c r="D1397" s="21" t="n">
        <x:v>5596821</x:v>
      </x:c>
      <x:c r="E1397" s="21" t="n">
        <x:v>45520300</x:v>
      </x:c>
      <x:c r="F1397" s="11" t="str">
        <x:v>Nasdaq public historical table</x:v>
      </x:c>
    </x:row>
    <x:row r="1398">
      <x:c r="A1398" s="14" t="n">
        <x:v>46255</x:v>
      </x:c>
      <x:c r="B1398" s="20" t="n">
        <x:v>187.3</x:v>
      </x:c>
      <x:c r="C1398" s="20" t="n">
        <x:v>765.72</x:v>
      </x:c>
      <x:c r="D1398" s="21" t="n">
        <x:v>4246257</x:v>
      </x:c>
      <x:c r="E1398" s="21" t="n">
        <x:v>39188670</x:v>
      </x:c>
      <x:c r="F1398" s="11" t="str">
        <x:v>Nasdaq public historical table</x:v>
      </x:c>
    </x:row>
    <x:row r="1399">
      <x:c r="A1399" s="14" t="n">
        <x:v>46258</x:v>
      </x:c>
      <x:c r="B1399" s="20" t="n">
        <x:v>190.21</x:v>
      </x:c>
      <x:c r="C1399" s="20" t="n">
        <x:v>763.47</x:v>
      </x:c>
      <x:c r="D1399" s="21" t="n">
        <x:v>5598787</x:v>
      </x:c>
      <x:c r="E1399" s="21" t="n">
        <x:v>32430890</x:v>
      </x:c>
      <x:c r="F1399" s="11" t="str">
        <x:v>Nasdaq public historical table</x:v>
      </x:c>
    </x:row>
    <x:row r="1400">
      <x:c r="A1400" s="14" t="n">
        <x:v>46259</x:v>
      </x:c>
      <x:c r="B1400" s="20" t="n">
        <x:v>190.5</x:v>
      </x:c>
      <x:c r="C1400" s="20" t="n">
        <x:v>765.91</x:v>
      </x:c>
      <x:c r="D1400" s="21" t="n">
        <x:v>4504981</x:v>
      </x:c>
      <x:c r="E1400" s="21" t="n">
        <x:v>27422260</x:v>
      </x:c>
      <x:c r="F1400" s="11" t="str">
        <x:v>Nasdaq public historical table</x:v>
      </x:c>
    </x:row>
    <x:row r="1401">
      <x:c r="A1401" s="14" t="n">
        <x:v>46260</x:v>
      </x:c>
      <x:c r="B1401" s="20" t="n">
        <x:v>188.07</x:v>
      </x:c>
      <x:c r="C1401" s="20" t="n">
        <x:v>766.08</x:v>
      </x:c>
      <x:c r="D1401" s="21" t="n">
        <x:v>3372772</x:v>
      </x:c>
      <x:c r="E1401" s="21" t="n">
        <x:v>28751590</x:v>
      </x:c>
      <x:c r="F1401" s="11" t="str">
        <x:v>Nasdaq public historical table</x:v>
      </x:c>
    </x:row>
    <x:row r="1402">
      <x:c r="A1402" s="14" t="n">
        <x:v>46261</x:v>
      </x:c>
      <x:c r="B1402" s="20" t="n">
        <x:v>184.4</x:v>
      </x:c>
      <x:c r="C1402" s="20" t="n">
        <x:v>771.1</x:v>
      </x:c>
      <x:c r="D1402" s="21" t="n">
        <x:v>4793691</x:v>
      </x:c>
      <x:c r="E1402" s="21" t="n">
        <x:v>34557060</x:v>
      </x:c>
      <x:c r="F1402" s="11" t="str">
        <x:v>Nasdaq public historical table</x:v>
      </x:c>
    </x:row>
    <x:row r="1403">
      <x:c r="A1403" s="14" t="n">
        <x:v>46262</x:v>
      </x:c>
      <x:c r="B1403" s="20" t="n">
        <x:v>189.43</x:v>
      </x:c>
      <x:c r="C1403" s="20" t="n">
        <x:v>769.35</x:v>
      </x:c>
      <x:c r="D1403" s="21" t="n">
        <x:v>4831671</x:v>
      </x:c>
      <x:c r="E1403" s="21" t="n">
        <x:v>36744340</x:v>
      </x:c>
      <x:c r="F1403" s="11" t="str">
        <x:v>Nasdaq public historical table</x:v>
      </x:c>
    </x:row>
    <x:row r="1404">
      <x:c r="A1404" s="14" t="n">
        <x:v>46265</x:v>
      </x:c>
      <x:c r="B1404" s="20" t="n">
        <x:v>183.22</x:v>
      </x:c>
      <x:c r="C1404" s="20" t="n">
        <x:v>767.05</x:v>
      </x:c>
      <x:c r="D1404" s="21" t="n">
        <x:v>7601774</x:v>
      </x:c>
      <x:c r="E1404" s="21" t="n">
        <x:v>38810780</x:v>
      </x:c>
      <x:c r="F1404" s="11" t="str">
        <x:v>Nasdaq public historical table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4a7a7b35b214c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58" hidden="0" customWidth="1"/>
  </x:cols>
  <x:sheetData>
    <x:row r="1" ht="28" customHeight="1">
      <x:c r="A1" s="135" t="str">
        <x:v>Workbook Quality and Reconciliation Checks</x:v>
      </x:c>
      <x:c r="B1" s="135" t="str">
        <x:v>Workbook Quality and Reconciliation Checks</x:v>
      </x:c>
      <x:c r="C1" s="135" t="str">
        <x:v>Workbook Quality and Reconciliation Checks</x:v>
      </x:c>
      <x:c r="D1" s="135" t="str">
        <x:v>Workbook Quality and Reconciliation Checks</x:v>
      </x:c>
      <x:c r="E1" s="135" t="str">
        <x:v>Workbook Quality and Reconciliation Checks</x:v>
      </x:c>
      <x:c r="F1" s="135" t="str">
        <x:v>Workbook Quality and Reconciliation Checks</x:v>
      </x:c>
      <x:c r="G1" s="135" t="str">
        <x:v>Workbook Quality and Reconciliation Checks</x:v>
      </x:c>
    </x:row>
    <x:row r="2" ht="34" customHeight="1">
      <x:c r="A2" s="136" t="str">
        <x:v>Check</x:v>
      </x:c>
      <x:c r="B2" s="136" t="str">
        <x:v>Actual</x:v>
      </x:c>
      <x:c r="C2" s="136" t="str">
        <x:v>Expected</x:v>
      </x:c>
      <x:c r="D2" s="136" t="str">
        <x:v>Difference</x:v>
      </x:c>
      <x:c r="E2" s="136" t="str">
        <x:v>Tolerance</x:v>
      </x:c>
      <x:c r="F2" s="136" t="str">
        <x:v>Status</x:v>
      </x:c>
      <x:c r="G2" s="136" t="str">
        <x:v>Notes</x:v>
      </x:c>
    </x:row>
    <x:row r="3">
      <x:c r="A3" s="11" t="str">
        <x:v>Guidance event count</x:v>
      </x:c>
      <x:c r="B3" s="134" t="n">
        <x:f>COUNTA('Guidance Events'!$A$3:$A$25)</x:f>
        <x:v>23</x:v>
      </x:c>
      <x:c r="C3" s="134" t="n">
        <x:v>23</x:v>
      </x:c>
      <x:c r="D3" s="134" t="n">
        <x:f>IF(AND(ISNUMBER(B3),ISNUMBER(C3)),B3-C3,IF(B3=C3,0,1))</x:f>
        <x:v>0</x:v>
      </x:c>
      <x:c r="E3" s="134" t="n">
        <x:f>0</x:f>
        <x:v>0</x:v>
      </x:c>
      <x:c r="F3" s="12" t="str">
        <x:f>IF(ABS(D3)&lt;=E3,"PASS","FAIL")</x:f>
        <x:v>PASS</x:v>
      </x:c>
      <x:c r="G3" s="11" t="str">
        <x:v>All preserved events loaded.</x:v>
      </x:c>
    </x:row>
    <x:row r="4">
      <x:c r="A4" s="11" t="str">
        <x:v>Numeric guidance midpoint count</x:v>
      </x:c>
      <x:c r="B4" s="134" t="n">
        <x:f>COUNT('Guidance Events'!$I$3:$I$25)</x:f>
        <x:v>20</x:v>
      </x:c>
      <x:c r="C4" s="134" t="n">
        <x:v>20</x:v>
      </x:c>
      <x:c r="D4" s="134" t="n">
        <x:f>IF(AND(ISNUMBER(B4),ISNUMBER(C4)),B4-C4,IF(B4=C4,0,1))</x:f>
        <x:v>0</x:v>
      </x:c>
      <x:c r="E4" s="134" t="n">
        <x:f>0</x:f>
        <x:v>0</x:v>
      </x:c>
      <x:c r="F4" s="12" t="str">
        <x:f>IF(ABS(D4)&lt;=E4,"PASS","FAIL")</x:f>
        <x:v>PASS</x:v>
      </x:c>
      <x:c r="G4" s="11" t="str">
        <x:v>Qualitative rows remain blank by design.</x:v>
      </x:c>
    </x:row>
    <x:row r="5">
      <x:c r="A5" s="11" t="str">
        <x:v>Price-history row count</x:v>
      </x:c>
      <x:c r="B5" s="134" t="n">
        <x:f>COUNTA('Price History'!$A$3:$A$1404)</x:f>
        <x:v>1402</x:v>
      </x:c>
      <x:c r="C5" s="134" t="n">
        <x:v>1402</x:v>
      </x:c>
      <x:c r="D5" s="134" t="n">
        <x:f>IF(AND(ISNUMBER(B5),ISNUMBER(C5)),B5-C5,IF(B5=C5,0,1))</x:f>
        <x:v>0</x:v>
      </x:c>
      <x:c r="E5" s="134" t="n">
        <x:f>0</x:f>
        <x:v>0</x:v>
      </x:c>
      <x:c r="F5" s="12" t="str">
        <x:f>IF(ABS(D5)&lt;=E5,"PASS","FAIL")</x:f>
        <x:v>PASS</x:v>
      </x:c>
      <x:c r="G5" s="11" t="str">
        <x:v>ABNB and SPY matched by trading date.</x:v>
      </x:c>
    </x:row>
    <x:row r="6">
      <x:c r="A6" s="11" t="str">
        <x:v>Edge observation count</x:v>
      </x:c>
      <x:c r="B6" s="134" t="n">
        <x:f>COUNTA('Edge Observations'!$A$3:$A$67)</x:f>
        <x:v>65</x:v>
      </x:c>
      <x:c r="C6" s="134" t="n">
        <x:v>65</x:v>
      </x:c>
      <x:c r="D6" s="134" t="n">
        <x:f>IF(AND(ISNUMBER(B6),ISNUMBER(C6)),B6-C6,IF(B6=C6,0,1))</x:f>
        <x:v>0</x:v>
      </x:c>
      <x:c r="E6" s="134" t="n">
        <x:f>0</x:f>
        <x:v>0</x:v>
      </x:c>
      <x:c r="F6" s="12" t="str">
        <x:f>IF(ABS(D6)&lt;=E6,"PASS","FAIL")</x:f>
        <x:v>PASS</x:v>
      </x:c>
      <x:c r="G6" s="11" t="str">
        <x:v>65 aggregate browser observations expected.</x:v>
      </x:c>
    </x:row>
    <x:row r="7">
      <x:c r="A7" s="11" t="str">
        <x:v>ABNB reaction windows populated</x:v>
      </x:c>
      <x:c r="B7" s="134" t="n">
        <x:f>COUNT('Price Reactions'!$G$3:$G$25)</x:f>
        <x:v>23</x:v>
      </x:c>
      <x:c r="C7" s="134" t="n">
        <x:v>23</x:v>
      </x:c>
      <x:c r="D7" s="134" t="n">
        <x:f>IF(AND(ISNUMBER(B7),ISNUMBER(C7)),B7-C7,IF(B7=C7,0,1))</x:f>
        <x:v>0</x:v>
      </x:c>
      <x:c r="E7" s="134" t="n">
        <x:f>0</x:f>
        <x:v>0</x:v>
      </x:c>
      <x:c r="F7" s="12" t="str">
        <x:f>IF(ABS(D7)&lt;=E7,"PASS","FAIL")</x:f>
        <x:v>PASS</x:v>
      </x:c>
      <x:c r="G7" s="11" t="str">
        <x:v>Every event must have T0 and T+1 closes.</x:v>
      </x:c>
    </x:row>
    <x:row r="8">
      <x:c r="A8" s="11" t="str">
        <x:v>SPY reaction windows populated</x:v>
      </x:c>
      <x:c r="B8" s="134" t="n">
        <x:f>COUNT('Price Reactions'!$J$3:$J$25)</x:f>
        <x:v>23</x:v>
      </x:c>
      <x:c r="C8" s="134" t="n">
        <x:v>23</x:v>
      </x:c>
      <x:c r="D8" s="134" t="n">
        <x:f>IF(AND(ISNUMBER(B8),ISNUMBER(C8)),B8-C8,IF(B8=C8,0,1))</x:f>
        <x:v>0</x:v>
      </x:c>
      <x:c r="E8" s="134" t="n">
        <x:f>0</x:f>
        <x:v>0</x:v>
      </x:c>
      <x:c r="F8" s="12" t="str">
        <x:f>IF(ABS(D8)&lt;=E8,"PASS","FAIL")</x:f>
        <x:v>PASS</x:v>
      </x:c>
      <x:c r="G8" s="11" t="str">
        <x:v>Every event must have benchmark closes.</x:v>
      </x:c>
    </x:row>
    <x:row r="9">
      <x:c r="A9" s="11" t="str">
        <x:v>Historically edge-covered events</x:v>
      </x:c>
      <x:c r="B9" s="134" t="n">
        <x:f>COUNTIF('Price Reactions'!$S$3:$S$25,"Yes — OSE 2024 only")</x:f>
        <x:v>4</x:v>
      </x:c>
      <x:c r="C9" s="134" t="n">
        <x:v>4</x:v>
      </x:c>
      <x:c r="D9" s="134" t="n">
        <x:f>IF(AND(ISNUMBER(B9),ISNUMBER(C9)),B9-C9,IF(B9=C9,0,1))</x:f>
        <x:v>0</x:v>
      </x:c>
      <x:c r="E9" s="134" t="n">
        <x:f>0</x:f>
        <x:v>0</x:v>
      </x:c>
      <x:c r="F9" s="12" t="str">
        <x:f>IF(ABS(D9)&lt;=E9,"PASS","FAIL")</x:f>
        <x:v>PASS</x:v>
      </x:c>
      <x:c r="G9" s="11" t="str">
        <x:v>Only OSE 2024 was available before four later events.</x:v>
      </x:c>
    </x:row>
    <x:row r="10">
      <x:c r="A10" s="11" t="str">
        <x:v>OSE 2024 inspection reconciliation</x:v>
      </x:c>
      <x:c r="B10" s="134" t="n">
        <x:f>'OSE Trend'!C5-SUM('OSE Trend'!C6,'OSE Trend'!C7,'OSE Trend'!C8)</x:f>
        <x:v>0</x:v>
      </x:c>
      <x:c r="C10" s="134" t="n">
        <x:v>0</x:v>
      </x:c>
      <x:c r="D10" s="134" t="n">
        <x:f>IF(AND(ISNUMBER(B10),ISNUMBER(C10)),B10-C10,IF(B10=C10,0,1))</x:f>
        <x:v>0</x:v>
      </x:c>
      <x:c r="E10" s="134" t="n">
        <x:f>0</x:f>
        <x:v>0</x:v>
      </x:c>
      <x:c r="F10" s="12" t="str">
        <x:f>IF(ABS(D10)&lt;=E10,"PASS","FAIL")</x:f>
        <x:v>PASS</x:v>
      </x:c>
      <x:c r="G10" s="11" t="str">
        <x:v>Total equals attempted + conducted + follow-up.</x:v>
      </x:c>
    </x:row>
    <x:row r="11">
      <x:c r="A11" s="11" t="str">
        <x:v>OSE 2025 inspection reconciliation</x:v>
      </x:c>
      <x:c r="B11" s="134" t="n">
        <x:f>'OSE Trend'!D5-SUM('OSE Trend'!D6,'OSE Trend'!D7,'OSE Trend'!D8)</x:f>
        <x:v>0</x:v>
      </x:c>
      <x:c r="C11" s="134" t="n">
        <x:v>0</x:v>
      </x:c>
      <x:c r="D11" s="134" t="n">
        <x:f>IF(AND(ISNUMBER(B11),ISNUMBER(C11)),B11-C11,IF(B11=C11,0,1))</x:f>
        <x:v>0</x:v>
      </x:c>
      <x:c r="E11" s="134" t="n">
        <x:f>0</x:f>
        <x:v>0</x:v>
      </x:c>
      <x:c r="F11" s="12" t="str">
        <x:f>IF(ABS(D11)&lt;=E11,"PASS","FAIL")</x:f>
        <x:v>PASS</x:v>
      </x:c>
      <x:c r="G11" s="11" t="str">
        <x:v>Total equals attempted + conducted + follow-up.</x:v>
      </x:c>
    </x:row>
    <x:row r="12">
      <x:c r="A12" s="11" t="str">
        <x:v>OSE 2024 paid-share reconciliation</x:v>
      </x:c>
      <x:c r="B12" s="134" t="n">
        <x:f>'OSE Trend'!C12-'OSE Trend'!C11/'OSE Trend'!C10</x:f>
        <x:v>0</x:v>
      </x:c>
      <x:c r="C12" s="134" t="n">
        <x:v>0</x:v>
      </x:c>
      <x:c r="D12" s="134" t="n">
        <x:f>IF(AND(ISNUMBER(B12),ISNUMBER(C12)),B12-C12,IF(B12=C12,0,1))</x:f>
        <x:v>0</x:v>
      </x:c>
      <x:c r="E12" s="134" t="n">
        <x:f>0.000001</x:f>
        <x:v>0.000001</x:v>
      </x:c>
      <x:c r="F12" s="12" t="str">
        <x:f>IF(ABS(D12)&lt;=E12,"PASS","FAIL")</x:f>
        <x:v>PASS</x:v>
      </x:c>
      <x:c r="G12" s="11" t="str">
        <x:v>Reported ratio reconciles to paid / imposed.</x:v>
      </x:c>
    </x:row>
    <x:row r="13">
      <x:c r="A13" s="11" t="str">
        <x:v>OSE 2025 paid-share reconciliation</x:v>
      </x:c>
      <x:c r="B13" s="134" t="n">
        <x:f>'OSE Trend'!D12-'OSE Trend'!D11/'OSE Trend'!D10</x:f>
        <x:v>0</x:v>
      </x:c>
      <x:c r="C13" s="134" t="n">
        <x:v>0</x:v>
      </x:c>
      <x:c r="D13" s="134" t="n">
        <x:f>IF(AND(ISNUMBER(B13),ISNUMBER(C13)),B13-C13,IF(B13=C13,0,1))</x:f>
        <x:v>0</x:v>
      </x:c>
      <x:c r="E13" s="134" t="n">
        <x:f>0.000001</x:f>
        <x:v>0.000001</x:v>
      </x:c>
      <x:c r="F13" s="12" t="str">
        <x:f>IF(ABS(D13)&lt;=E13,"PASS","FAIL")</x:f>
        <x:v>PASS</x:v>
      </x:c>
      <x:c r="G13" s="11" t="str">
        <x:v>Reported ratio reconciles to paid / imposed.</x:v>
      </x:c>
    </x:row>
  </x:sheetData>
  <x:mergeCells>
    <x:mergeCell ref="A1:G1"/>
  </x:mergeCells>
  <x:conditionalFormatting sqref="F3:F13">
    <x:cfRule type="containsText" dxfId="13" priority="1" operator="containsText" text="PASS"/>
    <x:cfRule type="containsText" dxfId="14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69d660b5634749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33" hidden="0" customWidth="1"/>
    <x:col min="4" max="4" width="38" hidden="0" customWidth="1"/>
    <x:col min="5" max="5" width="70" hidden="0" customWidth="1"/>
    <x:col min="6" max="6" width="30" hidden="0" customWidth="1"/>
    <x:col min="7" max="7" width="34" hidden="0" customWidth="1"/>
    <x:col min="8" max="8" width="44" hidden="0" customWidth="1"/>
    <x:col min="9" max="9" width="58" hidden="0" customWidth="1"/>
  </x:cols>
  <x:sheetData>
    <x:row r="1" ht="28" customHeight="1">
      <x:c r="A1" s="135" t="str">
        <x:v>Source and Methodology Register</x:v>
      </x:c>
      <x:c r="B1" s="135" t="str">
        <x:v>Source and Methodology Register</x:v>
      </x:c>
      <x:c r="C1" s="135" t="str">
        <x:v>Source and Methodology Register</x:v>
      </x:c>
      <x:c r="D1" s="135" t="str">
        <x:v>Source and Methodology Register</x:v>
      </x:c>
      <x:c r="E1" s="135" t="str">
        <x:v>Source and Methodology Register</x:v>
      </x:c>
      <x:c r="F1" s="135" t="str">
        <x:v>Source and Methodology Register</x:v>
      </x:c>
      <x:c r="G1" s="135" t="str">
        <x:v>Source and Methodology Register</x:v>
      </x:c>
      <x:c r="H1" s="135" t="str">
        <x:v>Source and Methodology Register</x:v>
      </x:c>
      <x:c r="I1" s="135" t="str">
        <x:v>Source and Methodology Register</x:v>
      </x:c>
    </x:row>
    <x:row r="2" ht="34" customHeight="1">
      <x:c r="A2" s="136" t="str">
        <x:v>Source ID</x:v>
      </x:c>
      <x:c r="B2" s="136" t="str">
        <x:v>Category</x:v>
      </x:c>
      <x:c r="C2" s="136" t="str">
        <x:v>Provider</x:v>
      </x:c>
      <x:c r="D2" s="136" t="str">
        <x:v>Dataset / Page</x:v>
      </x:c>
      <x:c r="E2" s="136" t="str">
        <x:v>URL or Local Path</x:v>
      </x:c>
      <x:c r="F2" s="136" t="str">
        <x:v>Retrieved / Dated</x:v>
      </x:c>
      <x:c r="G2" s="136" t="str">
        <x:v>License / Access</x:v>
      </x:c>
      <x:c r="H2" s="136" t="str">
        <x:v>Workbook Use</x:v>
      </x:c>
      <x:c r="I2" s="136" t="str">
        <x:v>Limitations</x:v>
      </x:c>
    </x:row>
    <x:row r="3">
      <x:c r="A3" s="11" t="str">
        <x:v>EDGE_VANCOUVER</x:v>
      </x:c>
      <x:c r="B3" s="11" t="str">
        <x:v>Edge data</x:v>
      </x:c>
      <x:c r="C3" s="11" t="str">
        <x:v>City of Vancouver</x:v>
      </x:c>
      <x:c r="D3" s="19" t="str">
        <x:v>Business licences 2013–2024 / current portal</x:v>
      </x:c>
      <x:c r="E3" s="29" t="str">
        <x:v>https://opendata.vancouver.ca/explore/dataset/business-licences-2013-to-2024/information/</x:v>
      </x:c>
      <x:c r="F3" s="19" t="str">
        <x:v>2026-09-03</x:v>
      </x:c>
      <x:c r="G3" s="19" t="str">
        <x:v>Open Government Licence – Vancouver</x:v>
      </x:c>
      <x:c r="H3" s="19" t="str">
        <x:v>Prospective monitoring</x:v>
      </x:c>
      <x:c r="I3" s="19" t="str">
        <x:v>Current portal view is not an original historical vintage.</x:v>
      </x:c>
    </x:row>
    <x:row r="4">
      <x:c r="A4" s="11" t="str">
        <x:v>EDGE_MELBOURNE</x:v>
      </x:c>
      <x:c r="B4" s="11" t="str">
        <x:v>Edge data</x:v>
      </x:c>
      <x:c r="C4" s="11" t="str">
        <x:v>City of Melbourne</x:v>
      </x:c>
      <x:c r="D4" s="19" t="str">
        <x:v>Pedestrian counting system</x:v>
      </x:c>
      <x:c r="E4" s="29" t="str">
        <x:v>https://data.melbourne.vic.gov.au/</x:v>
      </x:c>
      <x:c r="F4" s="19" t="str">
        <x:v>2026-09-03</x:v>
      </x:c>
      <x:c r="G4" s="19" t="str">
        <x:v>Open data portal</x:v>
      </x:c>
      <x:c r="H4" s="19" t="str">
        <x:v>Prospective physical-activity monitoring</x:v>
      </x:c>
      <x:c r="I4" s="19" t="str">
        <x:v>Coverage differs by year and sensor availability.</x:v>
      </x:c>
    </x:row>
    <x:row r="5">
      <x:c r="A5" s="11" t="str">
        <x:v>EDGE_NYC311</x:v>
      </x:c>
      <x:c r="B5" s="11" t="str">
        <x:v>Edge data</x:v>
      </x:c>
      <x:c r="C5" s="11" t="str">
        <x:v>NYC Open Data</x:v>
      </x:c>
      <x:c r="D5" s="19" t="str">
        <x:v>311 service requests / tourism-stress aggregate</x:v>
      </x:c>
      <x:c r="E5" s="29" t="str">
        <x:v>https://data.cityofnewyork.us/</x:v>
      </x:c>
      <x:c r="F5" s="19" t="str">
        <x:v>2026-09-03</x:v>
      </x:c>
      <x:c r="G5" s="19" t="str">
        <x:v>NYC Open Data terms</x:v>
      </x:c>
      <x:c r="H5" s="19" t="str">
        <x:v>Prospective monitoring</x:v>
      </x:c>
      <x:c r="I5" s="19" t="str">
        <x:v>Current mutable data; complaints are not bookings.</x:v>
      </x:c>
    </x:row>
    <x:row r="6">
      <x:c r="A6" s="11" t="str">
        <x:v>EDGE_NYCOSE</x:v>
      </x:c>
      <x:c r="B6" s="11" t="str">
        <x:v>Edge data</x:v>
      </x:c>
      <x:c r="C6" s="11" t="str">
        <x:v>NYC Mayor’s Office of Special Enforcement</x:v>
      </x:c>
      <x:c r="D6" s="19" t="str">
        <x:v>Local Law 87 annual enforcement reports</x:v>
      </x:c>
      <x:c r="E6" s="29" t="str">
        <x:v>https://www.nyc.gov/site/specialenforcement/reporting-law.page</x:v>
      </x:c>
      <x:c r="F6" s="19" t="str">
        <x:v>2024 report: 2025-09-01; 2025 report: 2026-09-01</x:v>
      </x:c>
      <x:c r="G6" s="19" t="str">
        <x:v>Public official reports</x:v>
      </x:c>
      <x:c r="H6" s="19" t="str">
        <x:v>Limited historical comparison and prospective monitoring</x:v>
      </x:c>
      <x:c r="I6" s="19" t="str">
        <x:v>Only one annual report was available before any covered ABNB event.</x:v>
      </x:c>
    </x:row>
    <x:row r="7">
      <x:c r="A7" s="11" t="str">
        <x:v>GUIDANCE_PANEL</x:v>
      </x:c>
      <x:c r="B7" s="11" t="str">
        <x:v>Guidance</x:v>
      </x:c>
      <x:c r="C7" s="11" t="str">
        <x:v>Airbnb / SEC</x:v>
      </x:c>
      <x:c r="D7" s="19" t="str">
        <x:v>Point-in-time target panel</x:v>
      </x:c>
      <x:c r="E7" s="29" t="str">
        <x:v>research/readiness/20260903T053309Z_abnb_readiness/target_panel.csv</x:v>
      </x:c>
      <x:c r="F7" s="19" t="str">
        <x:v>As preserved in panel</x:v>
      </x:c>
      <x:c r="G7" s="19" t="str">
        <x:v>Public filings / investor materials</x:v>
      </x:c>
      <x:c r="H7" s="19" t="str">
        <x:v>Guidance ranges, cutoffs, and citations</x:v>
      </x:c>
      <x:c r="I7" s="19" t="str">
        <x:v>Transcript fact tables are empty; guidance is anchored to preserved SEC/Airbnb evidence.</x:v>
      </x:c>
    </x:row>
    <x:row r="8">
      <x:c r="A8" s="11" t="str">
        <x:v>TRANSCRIPT_INDEX</x:v>
      </x:c>
      <x:c r="B8" s="11" t="str">
        <x:v>Transcript metadata</x:v>
      </x:c>
      <x:c r="C8" s="11" t="str">
        <x:v>User-provided FactSet CallStreet files</x:v>
      </x:c>
      <x:c r="D8" s="19" t="str">
        <x:v>Transcript index</x:v>
      </x:c>
      <x:c r="E8" s="29" t="str">
        <x:v>research/transcripts/transcript_index.csv</x:v>
      </x:c>
      <x:c r="F8" s="19" t="str">
        <x:v>Indexed 2026-09-03</x:v>
      </x:c>
      <x:c r="G8" s="19" t="str">
        <x:v>User-provided restricted</x:v>
      </x:c>
      <x:c r="H8" s="19" t="str">
        <x:v>Metadata/status only; no long transcript excerpts reproduced</x:v>
      </x:c>
      <x:c r="I8" s="19" t="str">
        <x:v>Published-at timestamps are not independently verified in the index.</x:v>
      </x:c>
    </x:row>
    <x:row r="9">
      <x:c r="A9" s="11" t="str">
        <x:v>NASDAQ_ABNB</x:v>
      </x:c>
      <x:c r="B9" s="11" t="str">
        <x:v>Market data</x:v>
      </x:c>
      <x:c r="C9" s="11" t="str">
        <x:v>Nasdaq</x:v>
      </x:c>
      <x:c r="D9" s="19" t="str">
        <x:v>ABNB historical quotes</x:v>
      </x:c>
      <x:c r="E9" s="29" t="str">
        <x:v>https://www.nasdaq.com/market-activity/stocks/abnb/historical</x:v>
      </x:c>
      <x:c r="F9" s="19" t="str">
        <x:v>Retrieved 2026-09-03</x:v>
      </x:c>
      <x:c r="G9" s="19" t="str">
        <x:v>Free public historical page</x:v>
      </x:c>
      <x:c r="H9" s="19" t="str">
        <x:v>ABNB daily closes and volumes</x:v>
      </x:c>
      <x:c r="I9" s="19" t="str">
        <x:v>Unadjusted displayed closes; close-to-next-close event study only.</x:v>
      </x:c>
    </x:row>
    <x:row r="10">
      <x:c r="A10" s="11" t="str">
        <x:v>NASDAQ_SPY</x:v>
      </x:c>
      <x:c r="B10" s="11" t="str">
        <x:v>Market data</x:v>
      </x:c>
      <x:c r="C10" s="11" t="str">
        <x:v>Nasdaq</x:v>
      </x:c>
      <x:c r="D10" s="19" t="str">
        <x:v>SPY historical quotes</x:v>
      </x:c>
      <x:c r="E10" s="29" t="str">
        <x:v>https://www.nasdaq.com/market-activity/etf/spy/historical</x:v>
      </x:c>
      <x:c r="F10" s="19" t="str">
        <x:v>Retrieved 2026-09-03</x:v>
      </x:c>
      <x:c r="G10" s="19" t="str">
        <x:v>Free public historical page</x:v>
      </x:c>
      <x:c r="H10" s="19" t="str">
        <x:v>SPY benchmark closes and volumes</x:v>
      </x:c>
      <x:c r="I10" s="19" t="str">
        <x:v>Simple benchmark subtraction is descriptive, not a factor model.</x:v>
      </x:c>
    </x:row>
    <x:row r="11">
      <x:c r="A11" s="11" t="str">
        <x:v>HYPOTHESIS_LEDGER</x:v>
      </x:c>
      <x:c r="B11" s="11" t="str">
        <x:v>Governance</x:v>
      </x:c>
      <x:c r="C11" s="11" t="str">
        <x:v>Internal research ledger</x:v>
      </x:c>
      <x:c r="D11" s="19" t="str">
        <x:v>Frozen hypotheses and minimum-evidence gates</x:v>
      </x:c>
      <x:c r="E11" s="29" t="str">
        <x:v>research/hypothesis_ledger.csv</x:v>
      </x:c>
      <x:c r="F11" s="19" t="str">
        <x:v>2026-09-03</x:v>
      </x:c>
      <x:c r="G11" s="19" t="str">
        <x:v>Local research artifact</x:v>
      </x:c>
      <x:c r="H11" s="19" t="str">
        <x:v>Eligibility and interpretation rules</x:v>
      </x:c>
      <x:c r="I11" s="19" t="str">
        <x:v>No model fitting or promotion is authorized by this workbook.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3788a8aca80547ab"/>
  </x:tableParts>
</x:worksheet>
</file>