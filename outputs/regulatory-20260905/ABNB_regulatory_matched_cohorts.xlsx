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9684c6169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ac083bb70c224364"/>
    <x:sheet xmlns:r="http://schemas.openxmlformats.org/officeDocument/2006/relationships" name="Matched supply" sheetId="2" r:id="R815720f1ae6a4e14"/>
    <x:sheet xmlns:r="http://schemas.openxmlformats.org/officeDocument/2006/relationships" name="Maui parcels" sheetId="3" r:id="R2abb15236acf428f"/>
    <x:sheet xmlns:r="http://schemas.openxmlformats.org/officeDocument/2006/relationships" name="Hawaii performance" sheetId="4" r:id="Rf2bbc54421d64bf0"/>
    <x:sheet xmlns:r="http://schemas.openxmlformats.org/officeDocument/2006/relationships" name="NYC benchmark" sheetId="5" r:id="R14ce5c8c68354b7c"/>
    <x:sheet xmlns:r="http://schemas.openxmlformats.org/officeDocument/2006/relationships" name="Sensitivities" sheetId="6" r:id="R4aef789e9981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"/>
    <x:numFmt numFmtId="203" formatCode="0.00%"/>
    <x:numFmt numFmtId="204" formatCode="0.0"/>
  </x:numFmts>
  <x:fonts count="6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i/>
      <x:sz val="11"/>
      <x:color rgb="FF20202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F50"/>
      </x:patternFill>
    </x:fill>
    <x:fill>
      <x:patternFill patternType="solid">
        <x:fgColor rgb="FFF1F4F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43464c4b247c8" /><Relationship Type="http://schemas.openxmlformats.org/officeDocument/2006/relationships/theme" Target="/xl/theme/theme1.xml" Id="R228fb1c251d04b23" /><Relationship Type="http://schemas.openxmlformats.org/officeDocument/2006/relationships/sharedStrings" Target="/xl/sharedStrings.xml" Id="R9bf7c0228c9b4db0" /><Relationship Type="http://schemas.openxmlformats.org/officeDocument/2006/relationships/worksheet" Target="/xl/worksheets/sheet1.xml" Id="Rac083bb70c224364" /><Relationship Type="http://schemas.openxmlformats.org/officeDocument/2006/relationships/worksheet" Target="/xl/worksheets/sheet2.xml" Id="R815720f1ae6a4e14" /><Relationship Type="http://schemas.openxmlformats.org/officeDocument/2006/relationships/worksheet" Target="/xl/worksheets/sheet3.xml" Id="R2abb15236acf428f" /><Relationship Type="http://schemas.openxmlformats.org/officeDocument/2006/relationships/worksheet" Target="/xl/worksheets/sheet4.xml" Id="Rf2bbc54421d64bf0" /><Relationship Type="http://schemas.openxmlformats.org/officeDocument/2006/relationships/worksheet" Target="/xl/worksheets/sheet5.xml" Id="R14ce5c8c68354b7c" /><Relationship Type="http://schemas.openxmlformats.org/officeDocument/2006/relationships/worksheet" Target="/xl/worksheets/sheet6.xml" Id="R4aef789e9981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18" hidden="0" customWidth="1"/>
  </x:cols>
  <x:sheetData>
    <x:row r="1" ht="30" customHeight="1">
      <x:c r="A1" s="2" t="str">
        <x:v>Airbnb regulatory exposure: matched inventory</x:v>
      </x:c>
      <x:c r="B1" s="1"/>
    </x:row>
    <x:row r="2">
      <x:c r="A2" s="3" t="str">
        <x:v>Research cutoff: 5 September 2026</x:v>
      </x:c>
      <x:c r="B2" s="1"/>
    </x:row>
    <x:row r="3">
      <x:c r="A3" s="1"/>
      <x:c r="B3" s="1"/>
    </x:row>
    <x:row r="4">
      <x:c r="A4" s="1"/>
      <x:c r="B4" s="1"/>
    </x:row>
    <x:row r="5">
      <x:c r="A5" s="1"/>
      <x:c r="B5" s="1"/>
    </x:row>
    <x:row r="6" ht="45" customHeight="1">
      <x:c r="A6" s="7" t="str">
        <x:v>Topic</x:v>
      </x:c>
      <x:c r="B6" s="7" t="str">
        <x:v>Finding and interpretation</x:v>
      </x:c>
    </x:row>
    <x:row r="7" ht="62" customHeight="1">
      <x:c r="A7" s="9" t="str">
        <x:v>Barcelona</x:v>
      </x:c>
      <x:c r="B7" s="9" t="str">
        <x:v>5,910 short-minimum entire-home ads match 5,146 unique six-digit HUTB registry identifiers. 4,823 of those identifiers have at least one reviewed listing in the past year. Registry matches are candidate exposure, not legal certification.</x:v>
      </x:c>
    </x:row>
    <x:row r="8" ht="62" customHeight="1">
      <x:c r="A8" s="10" t="str">
        <x:v>Maui</x:v>
      </x:c>
      <x:c r="B8" s="10" t="str">
        <x:v>4,350 short-minimum entire-home ads match 92 historical Minatoya parcels. They contain 3,862 distinct nonzero unit keys. Some listings give only a master parcel identifier.</x:v>
      </x:c>
    </x:row>
    <x:row r="9" ht="62" customHeight="1">
      <x:c r="A9" s="9" t="str">
        <x:v>Maui exemptions</x:v>
      </x:c>
      <x:c r="B9" s="9" t="str">
        <x:v>1,452 matched ads appear in the retrieved proposal union. These are incomplete/versioned proposal subsets. They are not enacted exemptions and cannot be subtracted as a forecast.</x:v>
      </x:c>
    </x:row>
    <x:row r="10" ht="62" customHeight="1">
      <x:c r="A10" s="10" t="str">
        <x:v>Historical NYC evidence</x:v>
      </x:c>
      <x:c r="B10" s="10" t="str">
        <x:v>An Airbnb-commissioned CRA report shows guest-nights falling 56.1% in the first post-LL18 year. The LL18 benchmark is a year-over-year comparison. It does not isolate consolidated fee revenue or external recapture.</x:v>
      </x:c>
    </x:row>
    <x:row r="11" ht="62" customHeight="1">
      <x:c r="A11" s="9" t="str">
        <x:v>Hawaii data revision</x:v>
      </x:c>
      <x:c r="B11" s="9" t="str">
        <x:v>Downloaded monthly vintages do not reconcile to July 2026 restated year-to-date demand. Use the same-report year-to-date comparison. Do not fit a causal model to the mixed-vintage monthly panel.</x:v>
      </x:c>
    </x:row>
    <x:row r="12" ht="62" customHeight="1">
      <x:c r="A12" s="10" t="str">
        <x:v>Financial meaning</x:v>
      </x:c>
      <x:c r="B12" s="10" t="str">
        <x:v>Use booked value of distinct affected inventory, then subtract revenue retained elsewhere on Airbnb. Multiply the net fee loss by incremental contribution margin. Keep compliance spending and one-off fines separate.</x:v>
      </x:c>
    </x:row>
    <x:row r="13" ht="62" customHeight="1">
      <x:c r="A13" s="9" t="str">
        <x:v>Guidance</x:v>
      </x:c>
      <x:c r="B13" s="9" t="str">
        <x:v>No city-level regulatory revenue/EBITDA bridge was found in the archived calls and filings. Known historical effects may be embedded in booking trends; this is an inference. Future Barcelona/Maui phase-outs do not justify a mechanical 2026 haircut.</x:v>
      </x:c>
    </x:row>
    <x:row r="14" ht="62" customHeight="1">
      <x:c r="A14" s="10" t="str">
        <x:v>Spain mitigation spending</x:v>
      </x:c>
      <x:c r="B14" s="10" t="str">
        <x:v>Airbnb announced a $50m rural-Spain commitment over three years in Nov 2025. An even $16.7m annual split is arithmetic, not expense guidance. Incrementality versus the existing budget is unknown.</x:v>
      </x:c>
    </x:row>
    <x:row r="15" ht="62" customHeight="1">
      <x:c r="A15" s="9" t="str">
        <x:v>Sensitivity inputs</x:v>
      </x:c>
      <x:c r="B15" s="9" t="str">
        <x:v>Count is derived from identifier matching. Annual room value, fee rate, recapture, retained legal scope and contribution margin are assumptions. Room value excludes fees and tax; do not substitute Hawaii total rate.</x:v>
      </x:c>
    </x:row>
    <x:row r="16" ht="62" customHeight="1">
      <x:c r="A16" s="10" t="str">
        <x:v>Timing</x:v>
      </x:c>
      <x:c r="B16" s="10" t="str">
        <x:v>Barcelona phase-out is scheduled for 2028. Maui is phased for 2029/2031. Sensitivities show steady-state annualized exposure after relevant deadlines and assume full legal scope before exemptions.</x:v>
      </x:c>
    </x:row>
    <x:row r="17" ht="62" customHeight="1">
      <x:c r="A17" s="9" t="str">
        <x:v>Access</x:v>
      </x:c>
      <x:c r="B17" s="9" t="str">
        <x:v>Refinitiv credentials work: refreshed Spain headlines and retrieved two additional stories. Some targeted queries returned 503. Fourteen transcripts remain archived. No listing-level transaction export was found.</x:v>
      </x:c>
    </x:row>
    <x:row r="18" ht="62" customHeight="1">
      <x:c r="A18" s="10" t="str">
        <x:v>Data required</x:v>
      </x:c>
      <x:c r="B18" s="10" t="str">
        <x:v>Monthly Airbnb-only listing IDs, property IDs, booked nights, realized room revenue, fees, cancellations, licence history and delisting dates, including vanished listings. Need legal-zone membership and destination recapture.</x:v>
      </x:c>
    </x:row>
    <x:row r="19" ht="62" customHeight="1">
      <x:c r="A19" s="9" t="str">
        <x:v>Comparison workbook</x:v>
      </x:c>
      <x:c r="B19" s="9" t="str">
        <x:v>This companion refines selected priority cohorts. The original workbook retains the complete 32-factor inventory and quarterly guidance history.</x:v>
      </x:c>
    </x:row>
    <x:row r="20" ht="62" customHeight="1">
      <x:c r="A20" s="10" t="str">
        <x:v>Latest filing</x:v>
      </x:c>
      <x:c r="B20" s="10" t="str">
        <x:v>https://www.sec.gov/Archives/edgar/data/1559720/000155972026000027/abnb-20260630.htm</x:v>
      </x:c>
    </x:row>
    <x:row r="21" ht="62" customHeight="1">
      <x:c r="A21" s="9" t="str">
        <x:v>Spain commitment source</x:v>
      </x:c>
      <x:c r="B21" s="9" t="str">
        <x:v>https://news.airbnb.com/es/compromiso-rural-una-apuesta-por-el-turismo-descentralizado-en-espana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16" hidden="0" customWidth="1"/>
    <x:col min="4" max="4" width="27" hidden="0" customWidth="1"/>
    <x:col min="5" max="5" width="67" hidden="0" customWidth="1"/>
    <x:col min="6" max="6" width="85" hidden="0" customWidth="1"/>
  </x:cols>
  <x:sheetData>
    <x:row r="1" ht="30" customHeight="1">
      <x:c r="A1" s="2" t="str">
        <x:v>Matched listing and property counts</x:v>
      </x:c>
      <x:c r="B1" s="1"/>
      <x:c r="C1" s="1"/>
      <x:c r="D1" s="1"/>
      <x:c r="E1" s="1"/>
      <x:c r="F1" s="1"/>
    </x:row>
    <x:row r="2">
      <x:c r="A2" s="3" t="str">
        <x:v>Different count units must not be added or treated as equivalent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45" customHeight="1">
      <x:c r="A6" s="7" t="str">
        <x:v>Market</x:v>
      </x:c>
      <x:c r="B6" s="7" t="str">
        <x:v>Measure</x:v>
      </x:c>
      <x:c r="C6" s="7" t="str">
        <x:v>Count</x:v>
      </x:c>
      <x:c r="D6" s="7" t="str">
        <x:v>Count unit</x:v>
      </x:c>
      <x:c r="E6" s="7" t="str">
        <x:v>Qualification</x:v>
      </x:c>
      <x:c r="F6" s="7" t="str">
        <x:v>Registry source</x:v>
      </x:c>
    </x:row>
    <x:row r="7" ht="56" customHeight="1">
      <x:c r="A7" s="9" t="str">
        <x:v>Barcelona</x:v>
      </x:c>
      <x:c r="B7" s="9" t="str">
        <x:v>Entire-home listings, minimum under 30 nights</x:v>
      </x:c>
      <x:c r="C7" s="11" t="n">
        <x:v>7069</x:v>
      </x:c>
      <x:c r="D7" s="9" t="str">
        <x:v>Airbnb listing IDs</x:v>
      </x:c>
      <x:c r="E7" s="9" t="str">
        <x:v>2026-06-24</x:v>
      </x:c>
      <x:c r="F7" s="9" t="str">
        <x:v>https://opendata-ajuntament.barcelona.cat/data/api/3/action/datastore_search?resource_id=b32fa7f6-d464-403b-8a02-0292a64883bf&amp;limit=20000</x:v>
      </x:c>
    </x:row>
    <x:row r="8" ht="56" customHeight="1">
      <x:c r="A8" s="10" t="str">
        <x:v>Barcelona</x:v>
      </x:c>
      <x:c r="B8" s="10" t="str">
        <x:v>Single six-digit HUTB registry match</x:v>
      </x:c>
      <x:c r="C8" s="12" t="n">
        <x:v>5910</x:v>
      </x:c>
      <x:c r="D8" s="10" t="str">
        <x:v>Airbnb listing IDs</x:v>
      </x:c>
      <x:c r="E8" s="10" t="str">
        <x:v>Self-reported licence only</x:v>
      </x:c>
      <x:c r="F8" s="10" t="str">
        <x:v>https://opendata-ajuntament.barcelona.cat/data/api/3/action/datastore_search?resource_id=b32fa7f6-d464-403b-8a02-0292a64883bf&amp;limit=20000</x:v>
      </x:c>
    </x:row>
    <x:row r="9" ht="56" customHeight="1">
      <x:c r="A9" s="9" t="str">
        <x:v>Barcelona</x:v>
      </x:c>
      <x:c r="B9" s="9" t="str">
        <x:v>Distinct matched HUTB identifiers</x:v>
      </x:c>
      <x:c r="C9" s="11" t="n">
        <x:v>5146</x:v>
      </x:c>
      <x:c r="D9" s="9" t="str">
        <x:v>Licence numbers</x:v>
      </x:c>
      <x:c r="E9" s="9" t="str">
        <x:v>Not verified current legal units</x:v>
      </x:c>
      <x:c r="F9" s="9" t="str">
        <x:v>https://opendata-ajuntament.barcelona.cat/data/api/3/action/datastore_search?resource_id=b32fa7f6-d464-403b-8a02-0292a64883bf&amp;limit=20000</x:v>
      </x:c>
    </x:row>
    <x:row r="10" ht="56" customHeight="1">
      <x:c r="A10" s="10" t="str">
        <x:v>Barcelona</x:v>
      </x:c>
      <x:c r="B10" s="10" t="str">
        <x:v>Distinct matched licences with reviews in last year</x:v>
      </x:c>
      <x:c r="C10" s="12" t="n">
        <x:v>4823</x:v>
      </x:c>
      <x:c r="D10" s="10" t="str">
        <x:v>Licence numbers</x:v>
      </x:c>
      <x:c r="E10" s="10" t="str">
        <x:v>Review activity is not booked revenue</x:v>
      </x:c>
      <x:c r="F10" s="10" t="str">
        <x:v>https://opendata-ajuntament.barcelona.cat/data/api/3/action/datastore_search?resource_id=b32fa7f6-d464-403b-8a02-0292a64883bf&amp;limit=20000</x:v>
      </x:c>
    </x:row>
    <x:row r="11" ht="56" customHeight="1">
      <x:c r="A11" s="9" t="str">
        <x:v>Barcelona</x:v>
      </x:c>
      <x:c r="B11" s="9" t="str">
        <x:v>Matched listings more than 300m from registry location</x:v>
      </x:c>
      <x:c r="C11" s="11" t="n">
        <x:v>162</x:v>
      </x:c>
      <x:c r="D11" s="9" t="str">
        <x:v>Airbnb listing IDs</x:v>
      </x:c>
      <x:c r="E11" s="9" t="str">
        <x:v>Analyst geographic sensitivity</x:v>
      </x:c>
      <x:c r="F11" s="9" t="str">
        <x:v>https://opendata-ajuntament.barcelona.cat/data/api/3/action/datastore_search?resource_id=b32fa7f6-d464-403b-8a02-0292a64883bf&amp;limit=20000</x:v>
      </x:c>
    </x:row>
    <x:row r="12" ht="56" customHeight="1">
      <x:c r="A12" s="10" t="str">
        <x:v>Barcelona</x:v>
      </x:c>
      <x:c r="B12" s="10" t="str">
        <x:v>Within-300m distinct matched licences</x:v>
      </x:c>
      <x:c r="C12" s="12" t="n">
        <x:v>5070</x:v>
      </x:c>
      <x:c r="D12" s="10" t="str">
        <x:v>Licence numbers</x:v>
      </x:c>
      <x:c r="E12" s="10" t="str">
        <x:v>Coordinates are approximate</x:v>
      </x:c>
      <x:c r="F12" s="10" t="str">
        <x:v>https://opendata-ajuntament.barcelona.cat/data/api/3/action/datastore_search?resource_id=b32fa7f6-d464-403b-8a02-0292a64883bf&amp;limit=20000</x:v>
      </x:c>
    </x:row>
    <x:row r="13" ht="56" customHeight="1">
      <x:c r="A13" s="9" t="str">
        <x:v>Barcelona</x:v>
      </x:c>
      <x:c r="B13" s="9" t="str">
        <x:v>Unique HUTB IDs in downloaded registry</x:v>
      </x:c>
      <x:c r="C13" s="11" t="n">
        <x:v>10622</x:v>
      </x:c>
      <x:c r="D13" s="9" t="str">
        <x:v>Licence numbers</x:v>
      </x:c>
      <x:c r="E13" s="9" t="str">
        <x:v>Does not reconcile to announced 10,101 licences</x:v>
      </x:c>
      <x:c r="F13" s="9" t="str">
        <x:v>https://opendata-ajuntament.barcelona.cat/data/api/3/action/datastore_search?resource_id=b32fa7f6-d464-403b-8a02-0292a64883bf&amp;limit=20000</x:v>
      </x:c>
    </x:row>
    <x:row r="14" ht="56" customHeight="1">
      <x:c r="A14" s="10" t="str">
        <x:v>Maui</x:v>
      </x:c>
      <x:c r="B14" s="10" t="str">
        <x:v>Historical apartment-district list</x:v>
      </x:c>
      <x:c r="C14" s="12" t="n">
        <x:v>7167</x:v>
      </x:c>
      <x:c r="D14" s="10" t="str">
        <x:v>Condominium/property units</x:v>
      </x:c>
      <x:c r="E14" s="10" t="str">
        <x:v>104 parcels; June 27 2024</x:v>
      </x:c>
      <x:c r="F14" s="10" t="str">
        <x:v>https://u.realgeeks.media/mauipropety/240725TVRList_WEB_202407252055590080.pdf</x:v>
      </x:c>
    </x:row>
    <x:row r="15" ht="56" customHeight="1">
      <x:c r="A15" s="9" t="str">
        <x:v>Maui</x:v>
      </x:c>
      <x:c r="B15" s="9" t="str">
        <x:v>Entire-home listings, minimum under 30 nights</x:v>
      </x:c>
      <x:c r="C15" s="11" t="n">
        <x:v>11473</x:v>
      </x:c>
      <x:c r="D15" s="9" t="str">
        <x:v>Airbnb listing IDs</x:v>
      </x:c>
      <x:c r="E15" s="9" t="str">
        <x:v>2026-06-21</x:v>
      </x:c>
      <x:c r="F15" s="9" t="str">
        <x:v>https://u.realgeeks.media/mauipropety/240725TVRList_WEB_202407252055590080.pdf</x:v>
      </x:c>
    </x:row>
    <x:row r="16" ht="56" customHeight="1">
      <x:c r="A16" s="10" t="str">
        <x:v>Maui</x:v>
      </x:c>
      <x:c r="B16" s="10" t="str">
        <x:v>Listings with one matched parcel identifier</x:v>
      </x:c>
      <x:c r="C16" s="12" t="n">
        <x:v>4350</x:v>
      </x:c>
      <x:c r="D16" s="10" t="str">
        <x:v>Airbnb listing IDs</x:v>
      </x:c>
      <x:c r="E16" s="10" t="str">
        <x:v>92 of 104 historical parcels</x:v>
      </x:c>
      <x:c r="F16" s="10" t="str">
        <x:v>https://u.realgeeks.media/mauipropety/240725TVRList_WEB_202407252055590080.pdf</x:v>
      </x:c>
    </x:row>
    <x:row r="17" ht="56" customHeight="1">
      <x:c r="A17" s="9" t="str">
        <x:v>Maui</x:v>
      </x:c>
      <x:c r="B17" s="9" t="str">
        <x:v>Distinct nonzero unit identifiers</x:v>
      </x:c>
      <x:c r="C17" s="11" t="n">
        <x:v>3862</x:v>
      </x:c>
      <x:c r="D17" s="9" t="str">
        <x:v>TMK unit identifiers</x:v>
      </x:c>
      <x:c r="E17" s="9" t="str">
        <x:v>Some duplicates and incorrect identifiers remain possible</x:v>
      </x:c>
      <x:c r="F17" s="9" t="str">
        <x:v>https://u.realgeeks.media/mauipropety/240725TVRList_WEB_202407252055590080.pdf</x:v>
      </x:c>
    </x:row>
    <x:row r="18" ht="56" customHeight="1">
      <x:c r="A18" s="10" t="str">
        <x:v>Maui</x:v>
      </x:c>
      <x:c r="B18" s="10" t="str">
        <x:v>Distinct matched unit IDs with reviews in last year</x:v>
      </x:c>
      <x:c r="C18" s="12" t="n">
        <x:v>3045</x:v>
      </x:c>
      <x:c r="D18" s="10" t="str">
        <x:v>TMK unit identifiers</x:v>
      </x:c>
      <x:c r="E18" s="10" t="str">
        <x:v>Review activity is not booked revenue</x:v>
      </x:c>
      <x:c r="F18" s="10" t="str">
        <x:v>https://u.realgeeks.media/mauipropety/240725TVRList_WEB_202407252055590080.pdf</x:v>
      </x:c>
    </x:row>
    <x:row r="19" ht="56" customHeight="1">
      <x:c r="A19" s="9" t="str">
        <x:v>Maui</x:v>
      </x:c>
      <x:c r="B19" s="9" t="str">
        <x:v>2029 phase: West Maui parcel screen</x:v>
      </x:c>
      <x:c r="C19" s="11" t="n">
        <x:v>1532</x:v>
      </x:c>
      <x:c r="D19" s="9" t="str">
        <x:v>Airbnb listing IDs</x:v>
      </x:c>
      <x:c r="E19" s="9" t="str">
        <x:v>Before unit-level exemptions</x:v>
      </x:c>
      <x:c r="F19" s="9" t="str">
        <x:v>https://u.realgeeks.media/mauipropety/240725TVRList_WEB_202407252055590080.pdf</x:v>
      </x:c>
    </x:row>
    <x:row r="20" ht="56" customHeight="1">
      <x:c r="A20" s="10" t="str">
        <x:v>Maui</x:v>
      </x:c>
      <x:c r="B20" s="10" t="str">
        <x:v>2031 phase: remaining parcel screen</x:v>
      </x:c>
      <x:c r="C20" s="12" t="n">
        <x:v>2818</x:v>
      </x:c>
      <x:c r="D20" s="10" t="str">
        <x:v>Airbnb listing IDs</x:v>
      </x:c>
      <x:c r="E20" s="10" t="str">
        <x:v>Before unit-level exemptions</x:v>
      </x:c>
      <x:c r="F20" s="10" t="str">
        <x:v>https://u.realgeeks.media/mauipropety/240725TVRList_WEB_202407252055590080.pdf</x:v>
      </x:c>
    </x:row>
    <x:row r="21" ht="56" customHeight="1">
      <x:c r="A21" s="9" t="str">
        <x:v>Maui</x:v>
      </x:c>
      <x:c r="B21" s="9" t="str">
        <x:v>Matched ads in retrieved proposal union</x:v>
      </x:c>
      <x:c r="C21" s="11" t="n">
        <x:v>1452</x:v>
      </x:c>
      <x:c r="D21" s="9" t="str">
        <x:v>Airbnb listing IDs</x:v>
      </x:c>
      <x:c r="E21" s="9" t="str">
        <x:v>Incomplete proposals; not approved exemptions</x:v>
      </x:c>
      <x:c r="F21" s="9" t="str">
        <x:v>https://u.realgeeks.media/mauipropety/240725TVRList_WEB_202407252055590080.pdf</x:v>
      </x:c>
    </x:row>
    <x:row r="22" ht="56" customHeight="1">
      <x:c r="A22" s="10" t="str">
        <x:v>Maui</x:v>
      </x:c>
      <x:c r="B22" s="10" t="str">
        <x:v>Short-minimum entire-home ads without parsed TMK</x:v>
      </x:c>
      <x:c r="C22" s="12" t="n">
        <x:v>1358</x:v>
      </x:c>
      <x:c r="D22" s="10" t="str">
        <x:v>Airbnb listing IDs</x:v>
      </x:c>
      <x:c r="E22" s="10" t="str">
        <x:v>Unmatched does not mean unaffected</x:v>
      </x:c>
      <x:c r="F22" s="10" t="str">
        <x:v>https://u.realgeeks.media/mauipropety/240725TVRList_WEB_202407252055590080.pdf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17" hidden="0" customWidth="1"/>
    <x:col min="4" max="4" width="20" hidden="0" customWidth="1"/>
    <x:col min="5" max="5" width="29" hidden="0" customWidth="1"/>
    <x:col min="6" max="6" width="95" hidden="0" customWidth="1"/>
  </x:cols>
  <x:sheetData>
    <x:row r="1" ht="30" customHeight="1">
      <x:c r="A1" s="2" t="str">
        <x:v>Historical Minatoya parcel register</x:v>
      </x:c>
      <x:c r="B1" s="1"/>
      <x:c r="C1" s="1"/>
      <x:c r="D1" s="1"/>
      <x:c r="E1" s="1"/>
      <x:c r="F1" s="1"/>
    </x:row>
    <x:row r="2">
      <x:c r="A2" s="3" t="str">
        <x:v>Retrieved proposal versions identify candidates. They do not establish enacted exemptions.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45" customHeight="1">
      <x:c r="A6" s="7" t="str">
        <x:v>Property</x:v>
      </x:c>
      <x:c r="B6" s="7" t="str">
        <x:v>County parcel key</x:v>
      </x:c>
      <x:c r="C6" s="7" t="str">
        <x:v>Listed units</x:v>
      </x:c>
      <x:c r="D6" s="7" t="str">
        <x:v>Phase-out year</x:v>
      </x:c>
      <x:c r="E6" s="7" t="str">
        <x:v>Proposal documents</x:v>
      </x:c>
      <x:c r="F6" s="7" t="str">
        <x:v>Qualification</x:v>
      </x:c>
    </x:row>
    <x:row r="7" ht="45" customHeight="1">
      <x:c r="A7" s="9" t="str">
        <x:v>HANA KAI-MAUI</x:v>
      </x:c>
      <x:c r="B7" s="9" t="str">
        <x:v>14005040</x:v>
      </x:c>
      <x:c r="C7" s="9" t="n">
        <x:v>19</x:v>
      </x:c>
      <x:c r="D7" s="9" t="n">
        <x:v>2031</x:v>
      </x:c>
      <x:c r="E7" s="9" t="str"/>
      <x:c r="F7" s="9" t="str">
        <x:v>No match to retrieved proposal subsets; does not establish exclusion from other amendments</x:v>
      </x:c>
    </x:row>
    <x:row r="8" ht="45" customHeight="1">
      <x:c r="A8" s="10" t="str">
        <x:v>WAILEA EKAHI II</x:v>
      </x:c>
      <x:c r="B8" s="10" t="str">
        <x:v>21008060</x:v>
      </x:c>
      <x:c r="C8" s="10" t="n">
        <x:v>92</x:v>
      </x:c>
      <x:c r="D8" s="10" t="n">
        <x:v>2031</x:v>
      </x:c>
      <x:c r="E8" s="10" t="str">
        <x:v>26111</x:v>
      </x:c>
      <x:c r="F8" s="10" t="str">
        <x:v>Candidate in retrieved proposal; approval and latest amendments unverified</x:v>
      </x:c>
    </x:row>
    <x:row r="9" ht="45" customHeight="1">
      <x:c r="A9" s="9" t="str">
        <x:v>WAILEA EKAHI I</x:v>
      </x:c>
      <x:c r="B9" s="9" t="str">
        <x:v>21008064</x:v>
      </x:c>
      <x:c r="C9" s="9" t="n">
        <x:v>100</x:v>
      </x:c>
      <x:c r="D9" s="9" t="n">
        <x:v>2031</x:v>
      </x:c>
      <x:c r="E9" s="9" t="str">
        <x:v>26111</x:v>
      </x:c>
      <x:c r="F9" s="9" t="str">
        <x:v>Candidate in retrieved proposal; approval and latest amendments unverified</x:v>
      </x:c>
    </x:row>
    <x:row r="10" ht="45" customHeight="1">
      <x:c r="A10" s="10" t="str">
        <x:v>WAILEA EKAHI III</x:v>
      </x:c>
      <x:c r="B10" s="10" t="str">
        <x:v>21008065</x:v>
      </x:c>
      <x:c r="C10" s="10" t="n">
        <x:v>104</x:v>
      </x:c>
      <x:c r="D10" s="10" t="n">
        <x:v>2031</x:v>
      </x:c>
      <x:c r="E10" s="10" t="str">
        <x:v>26111</x:v>
      </x:c>
      <x:c r="F10" s="10" t="str">
        <x:v>Candidate in retrieved proposal; approval and latest amendments unverified</x:v>
      </x:c>
    </x:row>
    <x:row r="11" ht="45" customHeight="1">
      <x:c r="A11" s="9" t="str">
        <x:v>WAILEA EKOLU</x:v>
      </x:c>
      <x:c r="B11" s="9" t="str">
        <x:v>21008077</x:v>
      </x:c>
      <x:c r="C11" s="9" t="n">
        <x:v>148</x:v>
      </x:c>
      <x:c r="D11" s="9" t="n">
        <x:v>2031</x:v>
      </x:c>
      <x:c r="E11" s="9" t="str">
        <x:v>26111</x:v>
      </x:c>
      <x:c r="F11" s="9" t="str">
        <x:v>Candidate in retrieved proposal; approval and latest amendments unverified</x:v>
      </x:c>
    </x:row>
    <x:row r="12" ht="45" customHeight="1">
      <x:c r="A12" s="10" t="str">
        <x:v>PALMS AT WAILEA I</x:v>
      </x:c>
      <x:c r="B12" s="10" t="str">
        <x:v>21008082</x:v>
      </x:c>
      <x:c r="C12" s="10" t="n">
        <x:v>150</x:v>
      </x:c>
      <x:c r="D12" s="10" t="n">
        <x:v>2031</x:v>
      </x:c>
      <x:c r="E12" s="10" t="str">
        <x:v>26111</x:v>
      </x:c>
      <x:c r="F12" s="10" t="str">
        <x:v>Candidate in retrieved proposal; approval and latest amendments unverified</x:v>
      </x:c>
    </x:row>
    <x:row r="13" ht="45" customHeight="1">
      <x:c r="A13" s="9" t="str">
        <x:v>GRND CHAMP VILLAS</x:v>
      </x:c>
      <x:c r="B13" s="9" t="str">
        <x:v>21008104</x:v>
      </x:c>
      <x:c r="C13" s="9" t="n">
        <x:v>188</x:v>
      </x:c>
      <x:c r="D13" s="9" t="n">
        <x:v>2031</x:v>
      </x:c>
      <x:c r="E13" s="9" t="str"/>
      <x:c r="F13" s="9" t="str">
        <x:v>No match to retrieved proposal subsets; does not establish exclusion from other amendments</x:v>
      </x:c>
    </x:row>
    <x:row r="14" ht="45" customHeight="1">
      <x:c r="A14" s="10" t="str">
        <x:v>KUAU PLAZA</x:v>
      </x:c>
      <x:c r="B14" s="10" t="str">
        <x:v>26012050</x:v>
      </x:c>
      <x:c r="C14" s="10" t="n">
        <x:v>30</x:v>
      </x:c>
      <x:c r="D14" s="10" t="n">
        <x:v>2031</x:v>
      </x:c>
      <x:c r="E14" s="10" t="str"/>
      <x:c r="F14" s="10" t="str">
        <x:v>No match to retrieved proposal subsets; does not establish exclusion from other amendments</x:v>
      </x:c>
    </x:row>
    <x:row r="15" ht="45" customHeight="1">
      <x:c r="A15" s="9" t="str">
        <x:v>MAKANI A KAI</x:v>
      </x:c>
      <x:c r="B15" s="9" t="str">
        <x:v>38014001</x:v>
      </x:c>
      <x:c r="C15" s="9" t="n">
        <x:v>24</x:v>
      </x:c>
      <x:c r="D15" s="9" t="n">
        <x:v>2031</x:v>
      </x:c>
      <x:c r="E15" s="9" t="str"/>
      <x:c r="F15" s="9" t="str">
        <x:v>No match to retrieved proposal subsets; does not establish exclusion from other amendments</x:v>
      </x:c>
    </x:row>
    <x:row r="16" ht="45" customHeight="1">
      <x:c r="A16" s="10" t="str">
        <x:v>HONO KAI</x:v>
      </x:c>
      <x:c r="B16" s="10" t="str">
        <x:v>38014002</x:v>
      </x:c>
      <x:c r="C16" s="10" t="n">
        <x:v>46</x:v>
      </x:c>
      <x:c r="D16" s="10" t="n">
        <x:v>2031</x:v>
      </x:c>
      <x:c r="E16" s="10" t="str">
        <x:v>26110</x:v>
      </x:c>
      <x:c r="F16" s="10" t="str">
        <x:v>Candidate in retrieved proposal; approval and latest amendments unverified</x:v>
      </x:c>
    </x:row>
    <x:row r="17" ht="45" customHeight="1">
      <x:c r="A17" s="9" t="str">
        <x:v>KANAI A NALU</x:v>
      </x:c>
      <x:c r="B17" s="9" t="str">
        <x:v>38014004</x:v>
      </x:c>
      <x:c r="C17" s="9" t="n">
        <x:v>80</x:v>
      </x:c>
      <x:c r="D17" s="9" t="n">
        <x:v>2031</x:v>
      </x:c>
      <x:c r="E17" s="9" t="str"/>
      <x:c r="F17" s="9" t="str">
        <x:v>No match to retrieved proposal subsets; does not establish exclusion from other amendments</x:v>
      </x:c>
    </x:row>
    <x:row r="18" ht="45" customHeight="1">
      <x:c r="A18" s="10" t="str">
        <x:v>MAALAEA BANYANS</x:v>
      </x:c>
      <x:c r="B18" s="10" t="str">
        <x:v>38014011</x:v>
      </x:c>
      <x:c r="C18" s="10" t="n">
        <x:v>78</x:v>
      </x:c>
      <x:c r="D18" s="10" t="n">
        <x:v>2031</x:v>
      </x:c>
      <x:c r="E18" s="10" t="str"/>
      <x:c r="F18" s="10" t="str">
        <x:v>No match to retrieved proposal subsets; does not establish exclusion from other amendments</x:v>
      </x:c>
    </x:row>
    <x:row r="19" ht="45" customHeight="1">
      <x:c r="A19" s="9" t="str">
        <x:v>ISLAND SANDS</x:v>
      </x:c>
      <x:c r="B19" s="9" t="str">
        <x:v>38014015</x:v>
      </x:c>
      <x:c r="C19" s="9" t="n">
        <x:v>83</x:v>
      </x:c>
      <x:c r="D19" s="9" t="n">
        <x:v>2031</x:v>
      </x:c>
      <x:c r="E19" s="9" t="str">
        <x:v>26129</x:v>
      </x:c>
      <x:c r="F19" s="9" t="str">
        <x:v>Candidate in retrieved proposal; approval and latest amendments unverified</x:v>
      </x:c>
    </x:row>
    <x:row r="20" ht="45" customHeight="1">
      <x:c r="A20" s="10" t="str">
        <x:v>LAULOA MAALAEA</x:v>
      </x:c>
      <x:c r="B20" s="10" t="str">
        <x:v>38014016</x:v>
      </x:c>
      <x:c r="C20" s="10" t="n">
        <x:v>47</x:v>
      </x:c>
      <x:c r="D20" s="10" t="n">
        <x:v>2031</x:v>
      </x:c>
      <x:c r="E20" s="10" t="str">
        <x:v>26110</x:v>
      </x:c>
      <x:c r="F20" s="10" t="str">
        <x:v>Candidate in retrieved proposal; approval and latest amendments unverified</x:v>
      </x:c>
    </x:row>
    <x:row r="21" ht="45" customHeight="1">
      <x:c r="A21" s="9" t="str">
        <x:v>MAALAEA KAI</x:v>
      </x:c>
      <x:c r="B21" s="9" t="str">
        <x:v>38014021</x:v>
      </x:c>
      <x:c r="C21" s="9" t="n">
        <x:v>79</x:v>
      </x:c>
      <x:c r="D21" s="9" t="n">
        <x:v>2031</x:v>
      </x:c>
      <x:c r="E21" s="9" t="str">
        <x:v>26110;26129</x:v>
      </x:c>
      <x:c r="F21" s="9" t="str">
        <x:v>Candidate in retrieved proposal; approval and latest amendments unverified</x:v>
      </x:c>
    </x:row>
    <x:row r="22" ht="45" customHeight="1">
      <x:c r="A22" s="10" t="str">
        <x:v>MILOWAI-MAALAEA</x:v>
      </x:c>
      <x:c r="B22" s="10" t="str">
        <x:v>38014022</x:v>
      </x:c>
      <x:c r="C22" s="10" t="n">
        <x:v>42</x:v>
      </x:c>
      <x:c r="D22" s="10" t="n">
        <x:v>2031</x:v>
      </x:c>
      <x:c r="E22" s="10" t="str">
        <x:v>26110</x:v>
      </x:c>
      <x:c r="F22" s="10" t="str">
        <x:v>Candidate in retrieved proposal; approval and latest amendments unverified</x:v>
      </x:c>
    </x:row>
    <x:row r="23" ht="45" customHeight="1">
      <x:c r="A23" s="9" t="str">
        <x:v>MAUI SUNSET</x:v>
      </x:c>
      <x:c r="B23" s="9" t="str">
        <x:v>39001002</x:v>
      </x:c>
      <x:c r="C23" s="9" t="n">
        <x:v>225</x:v>
      </x:c>
      <x:c r="D23" s="9" t="n">
        <x:v>2031</x:v>
      </x:c>
      <x:c r="E23" s="9" t="str">
        <x:v>26110</x:v>
      </x:c>
      <x:c r="F23" s="9" t="str">
        <x:v>Candidate in retrieved proposal; approval and latest amendments unverified</x:v>
      </x:c>
    </x:row>
    <x:row r="24" ht="45" customHeight="1">
      <x:c r="A24" s="10" t="str">
        <x:v>MAUI SCHOONER</x:v>
      </x:c>
      <x:c r="B24" s="10" t="str">
        <x:v>39001004</x:v>
      </x:c>
      <x:c r="C24" s="10" t="n">
        <x:v>58</x:v>
      </x:c>
      <x:c r="D24" s="10" t="n">
        <x:v>2031</x:v>
      </x:c>
      <x:c r="E24" s="10" t="str"/>
      <x:c r="F24" s="10" t="str">
        <x:v>No match to retrieved proposal subsets; does not establish exclusion from other amendments</x:v>
      </x:c>
    </x:row>
    <x:row r="25" ht="45" customHeight="1">
      <x:c r="A25" s="9" t="str">
        <x:v>LUANA KAI</x:v>
      </x:c>
      <x:c r="B25" s="9" t="str">
        <x:v>39001006</x:v>
      </x:c>
      <x:c r="C25" s="9" t="n">
        <x:v>113</x:v>
      </x:c>
      <x:c r="D25" s="9" t="n">
        <x:v>2031</x:v>
      </x:c>
      <x:c r="E25" s="9" t="str"/>
      <x:c r="F25" s="9" t="str">
        <x:v>No match to retrieved proposal subsets; does not establish exclusion from other amendments</x:v>
      </x:c>
    </x:row>
    <x:row r="26" ht="45" customHeight="1">
      <x:c r="A26" s="10" t="str">
        <x:v>WAIPUILANI</x:v>
      </x:c>
      <x:c r="B26" s="10" t="str">
        <x:v>39001057</x:v>
      </x:c>
      <x:c r="C26" s="10" t="n">
        <x:v>42</x:v>
      </x:c>
      <x:c r="D26" s="10" t="n">
        <x:v>2031</x:v>
      </x:c>
      <x:c r="E26" s="10" t="str"/>
      <x:c r="F26" s="10" t="str">
        <x:v>No match to retrieved proposal subsets; does not establish exclusion from other amendments</x:v>
      </x:c>
    </x:row>
    <x:row r="27" ht="45" customHeight="1">
      <x:c r="A27" s="9" t="str">
        <x:v>KAUHALE MAKAI</x:v>
      </x:c>
      <x:c r="B27" s="9" t="str">
        <x:v>39001075</x:v>
      </x:c>
      <x:c r="C27" s="9" t="n">
        <x:v>169</x:v>
      </x:c>
      <x:c r="D27" s="9" t="n">
        <x:v>2031</x:v>
      </x:c>
      <x:c r="E27" s="9" t="str"/>
      <x:c r="F27" s="9" t="str">
        <x:v>No match to retrieved proposal subsets; does not establish exclusion from other amendments</x:v>
      </x:c>
    </x:row>
    <x:row r="28" ht="45" customHeight="1">
      <x:c r="A28" s="10" t="str">
        <x:v>KIHEI BAY SURF</x:v>
      </x:c>
      <x:c r="B28" s="10" t="str">
        <x:v>39001107</x:v>
      </x:c>
      <x:c r="C28" s="10" t="n">
        <x:v>118</x:v>
      </x:c>
      <x:c r="D28" s="10" t="n">
        <x:v>2031</x:v>
      </x:c>
      <x:c r="E28" s="10" t="str">
        <x:v>26129</x:v>
      </x:c>
      <x:c r="F28" s="10" t="str">
        <x:v>Candidate in retrieved proposal; approval and latest amendments unverified</x:v>
      </x:c>
    </x:row>
    <x:row r="29" ht="45" customHeight="1">
      <x:c r="A29" s="9" t="str">
        <x:v>LEINAALA</x:v>
      </x:c>
      <x:c r="B29" s="9" t="str">
        <x:v>39001110</x:v>
      </x:c>
      <x:c r="C29" s="9" t="n">
        <x:v>24</x:v>
      </x:c>
      <x:c r="D29" s="9" t="n">
        <x:v>2031</x:v>
      </x:c>
      <x:c r="E29" s="9" t="str"/>
      <x:c r="F29" s="9" t="str">
        <x:v>No match to retrieved proposal subsets; does not establish exclusion from other amendments</x:v>
      </x:c>
    </x:row>
    <x:row r="30" ht="45" customHeight="1">
      <x:c r="A30" s="10" t="str">
        <x:v>KOA RESORT II</x:v>
      </x:c>
      <x:c r="B30" s="10" t="str">
        <x:v>39001134</x:v>
      </x:c>
      <x:c r="C30" s="10" t="n">
        <x:v>54</x:v>
      </x:c>
      <x:c r="D30" s="10" t="n">
        <x:v>2031</x:v>
      </x:c>
      <x:c r="E30" s="10" t="str"/>
      <x:c r="F30" s="10" t="str">
        <x:v>No match to retrieved proposal subsets; does not establish exclusion from other amendments</x:v>
      </x:c>
    </x:row>
    <x:row r="31" ht="45" customHeight="1">
      <x:c r="A31" s="9" t="str">
        <x:v>KIHEI RESORT</x:v>
      </x:c>
      <x:c r="B31" s="9" t="str">
        <x:v>39001136</x:v>
      </x:c>
      <x:c r="C31" s="9" t="n">
        <x:v>64</x:v>
      </x:c>
      <x:c r="D31" s="9" t="n">
        <x:v>2031</x:v>
      </x:c>
      <x:c r="E31" s="9" t="str"/>
      <x:c r="F31" s="9" t="str">
        <x:v>No match to retrieved proposal subsets; does not establish exclusion from other amendments</x:v>
      </x:c>
    </x:row>
    <x:row r="32" ht="45" customHeight="1">
      <x:c r="A32" s="10" t="str">
        <x:v>KIHEI BAY VISTA</x:v>
      </x:c>
      <x:c r="B32" s="10" t="str">
        <x:v>39001143</x:v>
      </x:c>
      <x:c r="C32" s="10" t="n">
        <x:v>60</x:v>
      </x:c>
      <x:c r="D32" s="10" t="n">
        <x:v>2031</x:v>
      </x:c>
      <x:c r="E32" s="10" t="str">
        <x:v>26129</x:v>
      </x:c>
      <x:c r="F32" s="10" t="str">
        <x:v>Candidate in retrieved proposal; approval and latest amendments unverified</x:v>
      </x:c>
    </x:row>
    <x:row r="33" ht="45" customHeight="1">
      <x:c r="A33" s="9" t="str">
        <x:v>KAMAOLE SANDS</x:v>
      </x:c>
      <x:c r="B33" s="9" t="str">
        <x:v>39004004</x:v>
      </x:c>
      <x:c r="C33" s="9" t="n">
        <x:v>440</x:v>
      </x:c>
      <x:c r="D33" s="9" t="n">
        <x:v>2031</x:v>
      </x:c>
      <x:c r="E33" s="9" t="str"/>
      <x:c r="F33" s="9" t="str">
        <x:v>No match to retrieved proposal subsets; does not establish exclusion from other amendments</x:v>
      </x:c>
    </x:row>
    <x:row r="34" ht="45" customHeight="1">
      <x:c r="A34" s="10" t="str">
        <x:v>MAUI HILL</x:v>
      </x:c>
      <x:c r="B34" s="10" t="str">
        <x:v>39004081</x:v>
      </x:c>
      <x:c r="C34" s="10" t="n">
        <x:v>140</x:v>
      </x:c>
      <x:c r="D34" s="10" t="n">
        <x:v>2031</x:v>
      </x:c>
      <x:c r="E34" s="10" t="str">
        <x:v>26110</x:v>
      </x:c>
      <x:c r="F34" s="10" t="str">
        <x:v>Candidate in retrieved proposal; approval and latest amendments unverified</x:v>
      </x:c>
    </x:row>
    <x:row r="35" ht="45" customHeight="1">
      <x:c r="A35" s="9" t="str">
        <x:v>MAUI KAMAOLE III</x:v>
      </x:c>
      <x:c r="B35" s="9" t="str">
        <x:v>39004082</x:v>
      </x:c>
      <x:c r="C35" s="9" t="n">
        <x:v>240</x:v>
      </x:c>
      <x:c r="D35" s="9" t="n">
        <x:v>2031</x:v>
      </x:c>
      <x:c r="E35" s="9" t="str"/>
      <x:c r="F35" s="9" t="str">
        <x:v>No match to retrieved proposal subsets; does not establish exclusion from other amendments</x:v>
      </x:c>
    </x:row>
    <x:row r="36" ht="45" customHeight="1">
      <x:c r="A36" s="10" t="str">
        <x:v>HALE KAMAOLE</x:v>
      </x:c>
      <x:c r="B36" s="10" t="str">
        <x:v>39004084</x:v>
      </x:c>
      <x:c r="C36" s="10" t="n">
        <x:v>188</x:v>
      </x:c>
      <x:c r="D36" s="10" t="n">
        <x:v>2031</x:v>
      </x:c>
      <x:c r="E36" s="10" t="str"/>
      <x:c r="F36" s="10" t="str">
        <x:v>No match to retrieved proposal subsets; does not establish exclusion from other amendments</x:v>
      </x:c>
    </x:row>
    <x:row r="37" ht="45" customHeight="1">
      <x:c r="A37" s="9" t="str">
        <x:v>HALEAKALA SHORES</x:v>
      </x:c>
      <x:c r="B37" s="9" t="str">
        <x:v>39004097</x:v>
      </x:c>
      <x:c r="C37" s="9" t="n">
        <x:v>76</x:v>
      </x:c>
      <x:c r="D37" s="9" t="n">
        <x:v>2031</x:v>
      </x:c>
      <x:c r="E37" s="9" t="str"/>
      <x:c r="F37" s="9" t="str">
        <x:v>No match to retrieved proposal subsets; does not establish exclusion from other amendments</x:v>
      </x:c>
    </x:row>
    <x:row r="38" ht="45" customHeight="1">
      <x:c r="A38" s="10" t="str">
        <x:v>MAUI PARKSHORE</x:v>
      </x:c>
      <x:c r="B38" s="10" t="str">
        <x:v>39004098</x:v>
      </x:c>
      <x:c r="C38" s="10" t="n">
        <x:v>64</x:v>
      </x:c>
      <x:c r="D38" s="10" t="n">
        <x:v>2031</x:v>
      </x:c>
      <x:c r="E38" s="10" t="str"/>
      <x:c r="F38" s="10" t="str">
        <x:v>No match to retrieved proposal subsets; does not establish exclusion from other amendments</x:v>
      </x:c>
    </x:row>
    <x:row r="39" ht="45" customHeight="1">
      <x:c r="A39" s="9" t="str">
        <x:v>KEAWAKAPU</x:v>
      </x:c>
      <x:c r="B39" s="9" t="str">
        <x:v>39004139</x:v>
      </x:c>
      <x:c r="C39" s="9" t="n">
        <x:v>18</x:v>
      </x:c>
      <x:c r="D39" s="9" t="n">
        <x:v>2031</x:v>
      </x:c>
      <x:c r="E39" s="9" t="str"/>
      <x:c r="F39" s="9" t="str">
        <x:v>No match to retrieved proposal subsets; does not establish exclusion from other amendments</x:v>
      </x:c>
    </x:row>
    <x:row r="40" ht="45" customHeight="1">
      <x:c r="A40" s="10" t="str">
        <x:v>MAUI KAMAOLE</x:v>
      </x:c>
      <x:c r="B40" s="10" t="str">
        <x:v>39004143</x:v>
      </x:c>
      <x:c r="C40" s="10" t="n">
        <x:v>28</x:v>
      </x:c>
      <x:c r="D40" s="10" t="n">
        <x:v>2031</x:v>
      </x:c>
      <x:c r="E40" s="10" t="str"/>
      <x:c r="F40" s="10" t="str">
        <x:v>No match to retrieved proposal subsets; does not establish exclusion from other amendments</x:v>
      </x:c>
    </x:row>
    <x:row r="41" ht="45" customHeight="1">
      <x:c r="A41" s="9" t="str">
        <x:v>MAUI KAMAOLE II</x:v>
      </x:c>
      <x:c r="B41" s="9" t="str">
        <x:v>39004144</x:v>
      </x:c>
      <x:c r="C41" s="9" t="n">
        <x:v>48</x:v>
      </x:c>
      <x:c r="D41" s="9" t="n">
        <x:v>2031</x:v>
      </x:c>
      <x:c r="E41" s="9" t="str"/>
      <x:c r="F41" s="9" t="str">
        <x:v>No match to retrieved proposal subsets; does not establish exclusion from other amendments</x:v>
      </x:c>
    </x:row>
    <x:row r="42" ht="45" customHeight="1">
      <x:c r="A42" s="10" t="str">
        <x:v>MY WAII BEACH COTTAGE</x:v>
      </x:c>
      <x:c r="B42" s="10" t="str">
        <x:v>39005012</x:v>
      </x:c>
      <x:c r="C42" s="10" t="n">
        <x:v>1</x:v>
      </x:c>
      <x:c r="D42" s="10" t="n">
        <x:v>2031</x:v>
      </x:c>
      <x:c r="E42" s="10" t="str">
        <x:v>26110</x:v>
      </x:c>
      <x:c r="F42" s="10" t="str">
        <x:v>Candidate in retrieved proposal; approval and latest amendments unverified</x:v>
      </x:c>
    </x:row>
    <x:row r="43" ht="45" customHeight="1">
      <x:c r="A43" s="9" t="str">
        <x:v>WAILEA INN</x:v>
      </x:c>
      <x:c r="B43" s="9" t="str">
        <x:v>39005013</x:v>
      </x:c>
      <x:c r="C43" s="9" t="n">
        <x:v>6</x:v>
      </x:c>
      <x:c r="D43" s="9" t="n">
        <x:v>2031</x:v>
      </x:c>
      <x:c r="E43" s="9" t="str"/>
      <x:c r="F43" s="9" t="str">
        <x:v>No match to retrieved proposal subsets; does not establish exclusion from other amendments</x:v>
      </x:c>
    </x:row>
    <x:row r="44" ht="45" customHeight="1">
      <x:c r="A44" s="10" t="str">
        <x:v>LIHIKAI APTS</x:v>
      </x:c>
      <x:c r="B44" s="10" t="str">
        <x:v>39005017</x:v>
      </x:c>
      <x:c r="C44" s="10" t="n">
        <x:v>8</x:v>
      </x:c>
      <x:c r="D44" s="10" t="n">
        <x:v>2031</x:v>
      </x:c>
      <x:c r="E44" s="10" t="str"/>
      <x:c r="F44" s="10" t="str">
        <x:v>No match to retrieved proposal subsets; does not establish exclusion from other amendments</x:v>
      </x:c>
    </x:row>
    <x:row r="45" ht="45" customHeight="1">
      <x:c r="A45" s="9" t="str">
        <x:v>KIHEI COVE</x:v>
      </x:c>
      <x:c r="B45" s="9" t="str">
        <x:v>39005018</x:v>
      </x:c>
      <x:c r="C45" s="9" t="n">
        <x:v>6</x:v>
      </x:c>
      <x:c r="D45" s="9" t="n">
        <x:v>2031</x:v>
      </x:c>
      <x:c r="E45" s="9" t="str"/>
      <x:c r="F45" s="9" t="str">
        <x:v>No match to retrieved proposal subsets; does not establish exclusion from other amendments</x:v>
      </x:c>
    </x:row>
    <x:row r="46" ht="45" customHeight="1">
      <x:c r="A46" s="10" t="str">
        <x:v>HALE MAHIALANI</x:v>
      </x:c>
      <x:c r="B46" s="10" t="str">
        <x:v>39005021</x:v>
      </x:c>
      <x:c r="C46" s="10" t="n">
        <x:v>7</x:v>
      </x:c>
      <x:c r="D46" s="10" t="n">
        <x:v>2031</x:v>
      </x:c>
      <x:c r="E46" s="10" t="str"/>
      <x:c r="F46" s="10" t="str">
        <x:v>No match to retrieved proposal subsets; does not establish exclusion from other amendments</x:v>
      </x:c>
    </x:row>
    <x:row r="47" ht="45" customHeight="1">
      <x:c r="A47" s="9" t="str">
        <x:v>INDO LOTUS BEACH HSE</x:v>
      </x:c>
      <x:c r="B47" s="9" t="str">
        <x:v>39005022</x:v>
      </x:c>
      <x:c r="C47" s="9" t="n">
        <x:v>1</x:v>
      </x:c>
      <x:c r="D47" s="9" t="n">
        <x:v>2031</x:v>
      </x:c>
      <x:c r="E47" s="9" t="str">
        <x:v>26110</x:v>
      </x:c>
      <x:c r="F47" s="9" t="str">
        <x:v>Candidate in retrieved proposal; approval and latest amendments unverified</x:v>
      </x:c>
    </x:row>
    <x:row r="48" ht="45" customHeight="1">
      <x:c r="A48" s="10" t="str">
        <x:v>KAMAOLE ONE</x:v>
      </x:c>
      <x:c r="B48" s="10" t="str">
        <x:v>39005023</x:v>
      </x:c>
      <x:c r="C48" s="10" t="n">
        <x:v>12</x:v>
      </x:c>
      <x:c r="D48" s="10" t="n">
        <x:v>2031</x:v>
      </x:c>
      <x:c r="E48" s="10" t="str"/>
      <x:c r="F48" s="10" t="str">
        <x:v>No match to retrieved proposal subsets; does not establish exclusion from other amendments</x:v>
      </x:c>
    </x:row>
    <x:row r="49" ht="45" customHeight="1">
      <x:c r="A49" s="9" t="str">
        <x:v>HALE ILIILI</x:v>
      </x:c>
      <x:c r="B49" s="9" t="str">
        <x:v>39005035</x:v>
      </x:c>
      <x:c r="C49" s="9" t="n">
        <x:v>4</x:v>
      </x:c>
      <x:c r="D49" s="9" t="n">
        <x:v>2031</x:v>
      </x:c>
      <x:c r="E49" s="9" t="str"/>
      <x:c r="F49" s="9" t="str">
        <x:v>No match to retrieved proposal subsets; does not establish exclusion from other amendments</x:v>
      </x:c>
    </x:row>
    <x:row r="50" ht="45" customHeight="1">
      <x:c r="A50" s="10" t="str">
        <x:v>PUNAHOA BEACH APTS</x:v>
      </x:c>
      <x:c r="B50" s="10" t="str">
        <x:v>39005038</x:v>
      </x:c>
      <x:c r="C50" s="10" t="n">
        <x:v>15</x:v>
      </x:c>
      <x:c r="D50" s="10" t="n">
        <x:v>2031</x:v>
      </x:c>
      <x:c r="E50" s="10" t="str"/>
      <x:c r="F50" s="10" t="str">
        <x:v>No match to retrieved proposal subsets; does not establish exclusion from other amendments</x:v>
      </x:c>
    </x:row>
    <x:row r="51" ht="45" customHeight="1">
      <x:c r="A51" s="9" t="str">
        <x:v>2131 ILIILI RD</x:v>
      </x:c>
      <x:c r="B51" s="9" t="str">
        <x:v>39005039</x:v>
      </x:c>
      <x:c r="C51" s="9" t="n">
        <x:v>1</x:v>
      </x:c>
      <x:c r="D51" s="9" t="n">
        <x:v>2031</x:v>
      </x:c>
      <x:c r="E51" s="9" t="str">
        <x:v>26110</x:v>
      </x:c>
      <x:c r="F51" s="9" t="str">
        <x:v>Candidate in retrieved proposal; approval and latest amendments unverified</x:v>
      </x:c>
    </x:row>
    <x:row r="52" ht="45" customHeight="1">
      <x:c r="A52" s="10" t="str">
        <x:v>1194 ULUNIU RD</x:v>
      </x:c>
      <x:c r="B52" s="10" t="str">
        <x:v>39007001</x:v>
      </x:c>
      <x:c r="C52" s="10" t="n">
        <x:v>2</x:v>
      </x:c>
      <x:c r="D52" s="10" t="n">
        <x:v>2031</x:v>
      </x:c>
      <x:c r="E52" s="10" t="str">
        <x:v>26110</x:v>
      </x:c>
      <x:c r="F52" s="10" t="str">
        <x:v>Candidate in retrieved proposal; approval and latest amendments unverified</x:v>
      </x:c>
    </x:row>
    <x:row r="53" ht="45" customHeight="1">
      <x:c r="A53" s="9" t="str">
        <x:v>1178 ULUNIU RD</x:v>
      </x:c>
      <x:c r="B53" s="9" t="str">
        <x:v>39007002</x:v>
      </x:c>
      <x:c r="C53" s="9" t="n">
        <x:v>1</x:v>
      </x:c>
      <x:c r="D53" s="9" t="n">
        <x:v>2031</x:v>
      </x:c>
      <x:c r="E53" s="9" t="str">
        <x:v>26110</x:v>
      </x:c>
      <x:c r="F53" s="9" t="str">
        <x:v>Candidate in retrieved proposal; approval and latest amendments unverified</x:v>
      </x:c>
    </x:row>
    <x:row r="54" ht="45" customHeight="1">
      <x:c r="A54" s="10" t="str">
        <x:v>MOANA VILLA</x:v>
      </x:c>
      <x:c r="B54" s="10" t="str">
        <x:v>39007025</x:v>
      </x:c>
      <x:c r="C54" s="10" t="n">
        <x:v>1</x:v>
      </x:c>
      <x:c r="D54" s="10" t="n">
        <x:v>2031</x:v>
      </x:c>
      <x:c r="E54" s="10" t="str">
        <x:v>26110</x:v>
      </x:c>
      <x:c r="F54" s="10" t="str">
        <x:v>Candidate in retrieved proposal; approval and latest amendments unverified</x:v>
      </x:c>
    </x:row>
    <x:row r="55" ht="45" customHeight="1">
      <x:c r="A55" s="9" t="str">
        <x:v>HALE KAI O'KIHEI</x:v>
      </x:c>
      <x:c r="B55" s="9" t="str">
        <x:v>39008003</x:v>
      </x:c>
      <x:c r="C55" s="9" t="n">
        <x:v>59</x:v>
      </x:c>
      <x:c r="D55" s="9" t="n">
        <x:v>2031</x:v>
      </x:c>
      <x:c r="E55" s="9" t="str"/>
      <x:c r="F55" s="9" t="str">
        <x:v>No match to retrieved proposal subsets; does not establish exclusion from other amendments</x:v>
      </x:c>
    </x:row>
    <x:row r="56" ht="45" customHeight="1">
      <x:c r="A56" s="10" t="str">
        <x:v>LEILANI KAI</x:v>
      </x:c>
      <x:c r="B56" s="10" t="str">
        <x:v>39008009</x:v>
      </x:c>
      <x:c r="C56" s="10" t="n">
        <x:v>9</x:v>
      </x:c>
      <x:c r="D56" s="10" t="n">
        <x:v>2031</x:v>
      </x:c>
      <x:c r="E56" s="10" t="str"/>
      <x:c r="F56" s="10" t="str">
        <x:v>No match to retrieved proposal subsets; does not establish exclusion from other amendments</x:v>
      </x:c>
    </x:row>
    <x:row r="57" ht="45" customHeight="1">
      <x:c r="A57" s="9" t="str">
        <x:v>KIHEI GARDEN ESTATES</x:v>
      </x:c>
      <x:c r="B57" s="9" t="str">
        <x:v>39008011</x:v>
      </x:c>
      <x:c r="C57" s="9" t="n">
        <x:v>84</x:v>
      </x:c>
      <x:c r="D57" s="9" t="n">
        <x:v>2031</x:v>
      </x:c>
      <x:c r="E57" s="9" t="str"/>
      <x:c r="F57" s="9" t="str">
        <x:v>No match to retrieved proposal subsets; does not establish exclusion from other amendments</x:v>
      </x:c>
    </x:row>
    <x:row r="58" ht="45" customHeight="1">
      <x:c r="A58" s="10" t="str">
        <x:v>ALOHA VILLAS</x:v>
      </x:c>
      <x:c r="B58" s="10" t="str">
        <x:v>39008031</x:v>
      </x:c>
      <x:c r="C58" s="10" t="n">
        <x:v>4</x:v>
      </x:c>
      <x:c r="D58" s="10" t="n">
        <x:v>2031</x:v>
      </x:c>
      <x:c r="E58" s="10" t="str"/>
      <x:c r="F58" s="10" t="str">
        <x:v>No match to retrieved proposal subsets; does not establish exclusion from other amendments</x:v>
      </x:c>
    </x:row>
    <x:row r="59" ht="45" customHeight="1">
      <x:c r="A59" s="9" t="str">
        <x:v>1444 HALAMA ST</x:v>
      </x:c>
      <x:c r="B59" s="9" t="str">
        <x:v>39009002</x:v>
      </x:c>
      <x:c r="C59" s="9" t="n">
        <x:v>4</x:v>
      </x:c>
      <x:c r="D59" s="9" t="n">
        <x:v>2031</x:v>
      </x:c>
      <x:c r="E59" s="9" t="str">
        <x:v>26110</x:v>
      </x:c>
      <x:c r="F59" s="9" t="str">
        <x:v>Candidate in retrieved proposal; approval and latest amendments unverified</x:v>
      </x:c>
    </x:row>
    <x:row r="60" ht="45" customHeight="1">
      <x:c r="A60" s="10" t="str">
        <x:v>1440 HALAMA ST</x:v>
      </x:c>
      <x:c r="B60" s="10" t="str">
        <x:v>39009003</x:v>
      </x:c>
      <x:c r="C60" s="10" t="n">
        <x:v>1</x:v>
      </x:c>
      <x:c r="D60" s="10" t="n">
        <x:v>2031</x:v>
      </x:c>
      <x:c r="E60" s="10" t="str">
        <x:v>26110</x:v>
      </x:c>
      <x:c r="F60" s="10" t="str">
        <x:v>Candidate in retrieved proposal; approval and latest amendments unverified</x:v>
      </x:c>
    </x:row>
    <x:row r="61" ht="45" customHeight="1">
      <x:c r="A61" s="9" t="str">
        <x:v>KAPU TOWNHOUSE</x:v>
      </x:c>
      <x:c r="B61" s="9" t="str">
        <x:v>39009005</x:v>
      </x:c>
      <x:c r="C61" s="9" t="n">
        <x:v>2</x:v>
      </x:c>
      <x:c r="D61" s="9" t="n">
        <x:v>2031</x:v>
      </x:c>
      <x:c r="E61" s="9" t="str">
        <x:v>26110</x:v>
      </x:c>
      <x:c r="F61" s="9" t="str">
        <x:v>Candidate in retrieved proposal; approval and latest amendments unverified</x:v>
      </x:c>
    </x:row>
    <x:row r="62" ht="45" customHeight="1">
      <x:c r="A62" s="10" t="str">
        <x:v>WAIOHULI BCH DUPLEX</x:v>
      </x:c>
      <x:c r="B62" s="10" t="str">
        <x:v>39009010</x:v>
      </x:c>
      <x:c r="C62" s="10" t="n">
        <x:v>2</x:v>
      </x:c>
      <x:c r="D62" s="10" t="n">
        <x:v>2031</x:v>
      </x:c>
      <x:c r="E62" s="10" t="str">
        <x:v>26110</x:v>
      </x:c>
      <x:c r="F62" s="10" t="str">
        <x:v>Candidate in retrieved proposal; approval and latest amendments unverified</x:v>
      </x:c>
    </x:row>
    <x:row r="63" ht="45" customHeight="1">
      <x:c r="A63" s="9" t="str">
        <x:v>1470 HALAMA ST</x:v>
      </x:c>
      <x:c r="B63" s="9" t="str">
        <x:v>39009025</x:v>
      </x:c>
      <x:c r="C63" s="9" t="n">
        <x:v>1</x:v>
      </x:c>
      <x:c r="D63" s="9" t="n">
        <x:v>2031</x:v>
      </x:c>
      <x:c r="E63" s="9" t="str">
        <x:v>26110</x:v>
      </x:c>
      <x:c r="F63" s="9" t="str">
        <x:v>Candidate in retrieved proposal; approval and latest amendments unverified</x:v>
      </x:c>
    </x:row>
    <x:row r="64" ht="45" customHeight="1">
      <x:c r="A64" s="10" t="str">
        <x:v>WAIOHULI BEACH HALE</x:v>
      </x:c>
      <x:c r="B64" s="10" t="str">
        <x:v>39009029</x:v>
      </x:c>
      <x:c r="C64" s="10" t="n">
        <x:v>52</x:v>
      </x:c>
      <x:c r="D64" s="10" t="n">
        <x:v>2031</x:v>
      </x:c>
      <x:c r="E64" s="10" t="str"/>
      <x:c r="F64" s="10" t="str">
        <x:v>No match to retrieved proposal subsets; does not establish exclusion from other amendments</x:v>
      </x:c>
    </x:row>
    <x:row r="65" ht="45" customHeight="1">
      <x:c r="A65" s="9" t="str">
        <x:v>KIHEI VILLA</x:v>
      </x:c>
      <x:c r="B65" s="9" t="str">
        <x:v>39016020</x:v>
      </x:c>
      <x:c r="C65" s="9" t="n">
        <x:v>24</x:v>
      </x:c>
      <x:c r="D65" s="9" t="n">
        <x:v>2031</x:v>
      </x:c>
      <x:c r="E65" s="9" t="str"/>
      <x:c r="F65" s="9" t="str">
        <x:v>No match to retrieved proposal subsets; does not establish exclusion from other amendments</x:v>
      </x:c>
    </x:row>
    <x:row r="66" ht="45" customHeight="1">
      <x:c r="A66" s="10" t="str">
        <x:v>KALAMA TERRACE</x:v>
      </x:c>
      <x:c r="B66" s="10" t="str">
        <x:v>39016027</x:v>
      </x:c>
      <x:c r="C66" s="10" t="n">
        <x:v>61</x:v>
      </x:c>
      <x:c r="D66" s="10" t="n">
        <x:v>2031</x:v>
      </x:c>
      <x:c r="E66" s="10" t="str"/>
      <x:c r="F66" s="10" t="str">
        <x:v>No match to retrieved proposal subsets; does not establish exclusion from other amendments</x:v>
      </x:c>
    </x:row>
    <x:row r="67" ht="45" customHeight="1">
      <x:c r="A67" s="9" t="str">
        <x:v>SHORES OF MAUI</x:v>
      </x:c>
      <x:c r="B67" s="9" t="str">
        <x:v>39017003</x:v>
      </x:c>
      <x:c r="C67" s="9" t="n">
        <x:v>50</x:v>
      </x:c>
      <x:c r="D67" s="9" t="n">
        <x:v>2031</x:v>
      </x:c>
      <x:c r="E67" s="9" t="str"/>
      <x:c r="F67" s="9" t="str">
        <x:v>No match to retrieved proposal subsets; does not establish exclusion from other amendments</x:v>
      </x:c>
    </x:row>
    <x:row r="68" ht="45" customHeight="1">
      <x:c r="A68" s="10" t="str">
        <x:v>KIHEI PARKSHORE</x:v>
      </x:c>
      <x:c r="B68" s="10" t="str">
        <x:v>39017010</x:v>
      </x:c>
      <x:c r="C68" s="10" t="n">
        <x:v>16</x:v>
      </x:c>
      <x:c r="D68" s="10" t="n">
        <x:v>2031</x:v>
      </x:c>
      <x:c r="E68" s="10" t="str"/>
      <x:c r="F68" s="10" t="str">
        <x:v>No match to retrieved proposal subsets; does not establish exclusion from other amendments</x:v>
      </x:c>
    </x:row>
    <x:row r="69" ht="45" customHeight="1">
      <x:c r="A69" s="9" t="str">
        <x:v>KANOE APTS</x:v>
      </x:c>
      <x:c r="B69" s="9" t="str">
        <x:v>39017017</x:v>
      </x:c>
      <x:c r="C69" s="9" t="n">
        <x:v>18</x:v>
      </x:c>
      <x:c r="D69" s="9" t="n">
        <x:v>2031</x:v>
      </x:c>
      <x:c r="E69" s="9" t="str"/>
      <x:c r="F69" s="9" t="str">
        <x:v>No match to retrieved proposal subsets; does not establish exclusion from other amendments</x:v>
      </x:c>
    </x:row>
    <x:row r="70" ht="45" customHeight="1">
      <x:c r="A70" s="10" t="str">
        <x:v>PACIFIC SHORES</x:v>
      </x:c>
      <x:c r="B70" s="10" t="str">
        <x:v>39018002</x:v>
      </x:c>
      <x:c r="C70" s="10" t="n">
        <x:v>136</x:v>
      </x:c>
      <x:c r="D70" s="10" t="n">
        <x:v>2031</x:v>
      </x:c>
      <x:c r="E70" s="10" t="str"/>
      <x:c r="F70" s="10" t="str">
        <x:v>No match to retrieved proposal subsets; does not establish exclusion from other amendments</x:v>
      </x:c>
    </x:row>
    <x:row r="71" ht="45" customHeight="1">
      <x:c r="A71" s="9" t="str">
        <x:v>MAUI VISTA</x:v>
      </x:c>
      <x:c r="B71" s="9" t="str">
        <x:v>39018003</x:v>
      </x:c>
      <x:c r="C71" s="9" t="n">
        <x:v>280</x:v>
      </x:c>
      <x:c r="D71" s="9" t="n">
        <x:v>2031</x:v>
      </x:c>
      <x:c r="E71" s="9" t="str"/>
      <x:c r="F71" s="9" t="str">
        <x:v>No match to retrieved proposal subsets; does not establish exclusion from other amendments</x:v>
      </x:c>
    </x:row>
    <x:row r="72" ht="45" customHeight="1">
      <x:c r="A72" s="10" t="str">
        <x:v>KAPALUA BAY VILLAS</x:v>
      </x:c>
      <x:c r="B72" s="10" t="str">
        <x:v>42001024</x:v>
      </x:c>
      <x:c r="C72" s="10" t="n">
        <x:v>141</x:v>
      </x:c>
      <x:c r="D72" s="10" t="n">
        <x:v>2029</x:v>
      </x:c>
      <x:c r="E72" s="10" t="str"/>
      <x:c r="F72" s="10" t="str">
        <x:v>No match to retrieved proposal subsets; does not establish exclusion from other amendments</x:v>
      </x:c>
    </x:row>
    <x:row r="73" ht="45" customHeight="1">
      <x:c r="A73" s="9" t="str">
        <x:v>KAPALUA GOLF VILLAS</x:v>
      </x:c>
      <x:c r="B73" s="9" t="str">
        <x:v>42001028</x:v>
      </x:c>
      <x:c r="C73" s="9" t="n">
        <x:v>186</x:v>
      </x:c>
      <x:c r="D73" s="9" t="n">
        <x:v>2029</x:v>
      </x:c>
      <x:c r="E73" s="9" t="str"/>
      <x:c r="F73" s="9" t="str">
        <x:v>No match to retrieved proposal subsets; does not establish exclusion from other amendments</x:v>
      </x:c>
    </x:row>
    <x:row r="74" ht="45" customHeight="1">
      <x:c r="A74" s="10" t="str">
        <x:v>THE RIDGE</x:v>
      </x:c>
      <x:c r="B74" s="10" t="str">
        <x:v>42001032</x:v>
      </x:c>
      <x:c r="C74" s="10" t="n">
        <x:v>161</x:v>
      </x:c>
      <x:c r="D74" s="10" t="n">
        <x:v>2029</x:v>
      </x:c>
      <x:c r="E74" s="10" t="str"/>
      <x:c r="F74" s="10" t="str">
        <x:v>No match to retrieved proposal subsets; does not establish exclusion from other amendments</x:v>
      </x:c>
    </x:row>
    <x:row r="75" ht="45" customHeight="1">
      <x:c r="A75" s="9" t="str">
        <x:v>KAHANA REEF</x:v>
      </x:c>
      <x:c r="B75" s="9" t="str">
        <x:v>43005009</x:v>
      </x:c>
      <x:c r="C75" s="9" t="n">
        <x:v>88</x:v>
      </x:c>
      <x:c r="D75" s="9" t="n">
        <x:v>2029</x:v>
      </x:c>
      <x:c r="E75" s="9" t="str"/>
      <x:c r="F75" s="9" t="str">
        <x:v>No match to retrieved proposal subsets; does not establish exclusion from other amendments</x:v>
      </x:c>
    </x:row>
    <x:row r="76" ht="45" customHeight="1">
      <x:c r="A76" s="10" t="str">
        <x:v>KAHANA OUTRIGGER</x:v>
      </x:c>
      <x:c r="B76" s="10" t="str">
        <x:v>43005020</x:v>
      </x:c>
      <x:c r="C76" s="10" t="n">
        <x:v>8</x:v>
      </x:c>
      <x:c r="D76" s="10" t="n">
        <x:v>2029</x:v>
      </x:c>
      <x:c r="E76" s="10" t="str">
        <x:v>26110</x:v>
      </x:c>
      <x:c r="F76" s="10" t="str">
        <x:v>Candidate in retrieved proposal; approval and latest amendments unverified</x:v>
      </x:c>
    </x:row>
    <x:row r="77" ht="45" customHeight="1">
      <x:c r="A77" s="9" t="str">
        <x:v>KAHANA OUTRIGGER</x:v>
      </x:c>
      <x:c r="B77" s="9" t="str">
        <x:v>43005021</x:v>
      </x:c>
      <x:c r="C77" s="9" t="n">
        <x:v>4</x:v>
      </x:c>
      <x:c r="D77" s="9" t="n">
        <x:v>2029</x:v>
      </x:c>
      <x:c r="E77" s="9" t="str"/>
      <x:c r="F77" s="9" t="str">
        <x:v>No match to retrieved proposal subsets; does not establish exclusion from other amendments</x:v>
      </x:c>
    </x:row>
    <x:row r="78" ht="45" customHeight="1">
      <x:c r="A78" s="10" t="str">
        <x:v>KAHANA VILLAGE</x:v>
      </x:c>
      <x:c r="B78" s="10" t="str">
        <x:v>43005029</x:v>
      </x:c>
      <x:c r="C78" s="10" t="n">
        <x:v>42</x:v>
      </x:c>
      <x:c r="D78" s="10" t="n">
        <x:v>2029</x:v>
      </x:c>
      <x:c r="E78" s="10" t="str"/>
      <x:c r="F78" s="10" t="str">
        <x:v>No match to retrieved proposal subsets; does not establish exclusion from other amendments</x:v>
      </x:c>
    </x:row>
    <x:row r="79" ht="45" customHeight="1">
      <x:c r="A79" s="9" t="str">
        <x:v>KAHANA OUTRIGGER</x:v>
      </x:c>
      <x:c r="B79" s="9" t="str">
        <x:v>43005031</x:v>
      </x:c>
      <x:c r="C79" s="9" t="n">
        <x:v>4</x:v>
      </x:c>
      <x:c r="D79" s="9" t="n">
        <x:v>2029</x:v>
      </x:c>
      <x:c r="E79" s="9" t="str">
        <x:v>26110</x:v>
      </x:c>
      <x:c r="F79" s="9" t="str">
        <x:v>Candidate in retrieved proposal; approval and latest amendments unverified</x:v>
      </x:c>
    </x:row>
    <x:row r="80" ht="45" customHeight="1">
      <x:c r="A80" s="10" t="str">
        <x:v>LAHAINA BEACH CLUB</x:v>
      </x:c>
      <x:c r="B80" s="10" t="str">
        <x:v>43006006</x:v>
      </x:c>
      <x:c r="C80" s="10" t="n">
        <x:v>12</x:v>
      </x:c>
      <x:c r="D80" s="10" t="n">
        <x:v>2029</x:v>
      </x:c>
      <x:c r="E80" s="10" t="str"/>
      <x:c r="F80" s="10" t="str">
        <x:v>No match to retrieved proposal subsets; does not establish exclusion from other amendments</x:v>
      </x:c>
    </x:row>
    <x:row r="81" ht="45" customHeight="1">
      <x:c r="A81" s="9" t="str">
        <x:v>NOHONANI</x:v>
      </x:c>
      <x:c r="B81" s="9" t="str">
        <x:v>43006007</x:v>
      </x:c>
      <x:c r="C81" s="9" t="n">
        <x:v>28</x:v>
      </x:c>
      <x:c r="D81" s="9" t="n">
        <x:v>2029</x:v>
      </x:c>
      <x:c r="E81" s="9" t="str"/>
      <x:c r="F81" s="9" t="str">
        <x:v>No match to retrieved proposal subsets; does not establish exclusion from other amendments</x:v>
      </x:c>
    </x:row>
    <x:row r="82" ht="45" customHeight="1">
      <x:c r="A82" s="10" t="str">
        <x:v>MAKANI SANDS</x:v>
      </x:c>
      <x:c r="B82" s="10" t="str">
        <x:v>43006012</x:v>
      </x:c>
      <x:c r="C82" s="10" t="n">
        <x:v>30</x:v>
      </x:c>
      <x:c r="D82" s="10" t="n">
        <x:v>2029</x:v>
      </x:c>
      <x:c r="E82" s="10" t="str"/>
      <x:c r="F82" s="10" t="str">
        <x:v>No match to retrieved proposal subsets; does not establish exclusion from other amendments</x:v>
      </x:c>
    </x:row>
    <x:row r="83" ht="45" customHeight="1">
      <x:c r="A83" s="9" t="str">
        <x:v>KALEIALOHA</x:v>
      </x:c>
      <x:c r="B83" s="9" t="str">
        <x:v>43006013</x:v>
      </x:c>
      <x:c r="C83" s="9" t="n">
        <x:v>67</x:v>
      </x:c>
      <x:c r="D83" s="9" t="n">
        <x:v>2029</x:v>
      </x:c>
      <x:c r="E83" s="9" t="str"/>
      <x:c r="F83" s="9" t="str">
        <x:v>No match to retrieved proposal subsets; does not establish exclusion from other amendments</x:v>
      </x:c>
    </x:row>
    <x:row r="84" ht="45" customHeight="1">
      <x:c r="A84" s="10" t="str">
        <x:v>HONO KOA</x:v>
      </x:c>
      <x:c r="B84" s="10" t="str">
        <x:v>43006014</x:v>
      </x:c>
      <x:c r="C84" s="10" t="n">
        <x:v>28</x:v>
      </x:c>
      <x:c r="D84" s="10" t="n">
        <x:v>2029</x:v>
      </x:c>
      <x:c r="E84" s="10" t="str"/>
      <x:c r="F84" s="10" t="str">
        <x:v>No match to retrieved proposal subsets; does not establish exclusion from other amendments</x:v>
      </x:c>
    </x:row>
    <x:row r="85" ht="45" customHeight="1">
      <x:c r="A85" s="9" t="str">
        <x:v>LOKELANI</x:v>
      </x:c>
      <x:c r="B85" s="9" t="str">
        <x:v>43006016</x:v>
      </x:c>
      <x:c r="C85" s="9" t="n">
        <x:v>36</x:v>
      </x:c>
      <x:c r="D85" s="9" t="n">
        <x:v>2029</x:v>
      </x:c>
      <x:c r="E85" s="9" t="str">
        <x:v>26129</x:v>
      </x:c>
      <x:c r="F85" s="9" t="str">
        <x:v>Candidate in retrieved proposal; approval and latest amendments unverified</x:v>
      </x:c>
    </x:row>
    <x:row r="86" ht="45" customHeight="1">
      <x:c r="A86" s="10" t="str">
        <x:v>HALE MAHINA BEACH</x:v>
      </x:c>
      <x:c r="B86" s="10" t="str">
        <x:v>43006041</x:v>
      </x:c>
      <x:c r="C86" s="10" t="n">
        <x:v>53</x:v>
      </x:c>
      <x:c r="D86" s="10" t="n">
        <x:v>2029</x:v>
      </x:c>
      <x:c r="E86" s="10" t="str">
        <x:v>26110</x:v>
      </x:c>
      <x:c r="F86" s="10" t="str">
        <x:v>Candidate in retrieved proposal; approval and latest amendments unverified</x:v>
      </x:c>
    </x:row>
    <x:row r="87" ht="45" customHeight="1">
      <x:c r="A87" s="9" t="str">
        <x:v>HALE ONO LOA</x:v>
      </x:c>
      <x:c r="B87" s="9" t="str">
        <x:v>43006044</x:v>
      </x:c>
      <x:c r="C87" s="9" t="n">
        <x:v>67</x:v>
      </x:c>
      <x:c r="D87" s="9" t="n">
        <x:v>2029</x:v>
      </x:c>
      <x:c r="E87" s="9" t="str">
        <x:v>26110;26129</x:v>
      </x:c>
      <x:c r="F87" s="9" t="str">
        <x:v>Candidate in retrieved proposal; approval and latest amendments unverified</x:v>
      </x:c>
    </x:row>
    <x:row r="88" ht="45" customHeight="1">
      <x:c r="A88" s="10" t="str">
        <x:v>PIKAKE</x:v>
      </x:c>
      <x:c r="B88" s="10" t="str">
        <x:v>43006063</x:v>
      </x:c>
      <x:c r="C88" s="10" t="n">
        <x:v>12</x:v>
      </x:c>
      <x:c r="D88" s="10" t="n">
        <x:v>2029</x:v>
      </x:c>
      <x:c r="E88" s="10" t="str">
        <x:v>26129</x:v>
      </x:c>
      <x:c r="F88" s="10" t="str">
        <x:v>Candidate in retrieved proposal; approval and latest amendments unverified</x:v>
      </x:c>
    </x:row>
    <x:row r="89" ht="45" customHeight="1">
      <x:c r="A89" s="9" t="str">
        <x:v>MAHINAHINA BEACH</x:v>
      </x:c>
      <x:c r="B89" s="9" t="str">
        <x:v>43008001</x:v>
      </x:c>
      <x:c r="C89" s="9" t="n">
        <x:v>32</x:v>
      </x:c>
      <x:c r="D89" s="9" t="n">
        <x:v>2029</x:v>
      </x:c>
      <x:c r="E89" s="9" t="str"/>
      <x:c r="F89" s="9" t="str">
        <x:v>No match to retrieved proposal subsets; does not establish exclusion from other amendments</x:v>
      </x:c>
    </x:row>
    <x:row r="90" ht="45" customHeight="1">
      <x:c r="A90" s="10" t="str">
        <x:v>POLYNESIAN SHORES</x:v>
      </x:c>
      <x:c r="B90" s="10" t="str">
        <x:v>43008002</x:v>
      </x:c>
      <x:c r="C90" s="10" t="n">
        <x:v>52</x:v>
      </x:c>
      <x:c r="D90" s="10" t="n">
        <x:v>2029</x:v>
      </x:c>
      <x:c r="E90" s="10" t="str"/>
      <x:c r="F90" s="10" t="str">
        <x:v>No match to retrieved proposal subsets; does not establish exclusion from other amendments</x:v>
      </x:c>
    </x:row>
    <x:row r="91" ht="45" customHeight="1">
      <x:c r="A91" s="9" t="str">
        <x:v>KULEANA</x:v>
      </x:c>
      <x:c r="B91" s="9" t="str">
        <x:v>43008004</x:v>
      </x:c>
      <x:c r="C91" s="9" t="n">
        <x:v>18</x:v>
      </x:c>
      <x:c r="D91" s="9" t="n">
        <x:v>2029</x:v>
      </x:c>
      <x:c r="E91" s="9" t="str">
        <x:v>26110</x:v>
      </x:c>
      <x:c r="F91" s="9" t="str">
        <x:v>Candidate in retrieved proposal; approval and latest amendments unverified</x:v>
      </x:c>
    </x:row>
    <x:row r="92" ht="45" customHeight="1">
      <x:c r="A92" s="10" t="str">
        <x:v>KULEANA</x:v>
      </x:c>
      <x:c r="B92" s="10" t="str">
        <x:v>43008005</x:v>
      </x:c>
      <x:c r="C92" s="10" t="n">
        <x:v>100</x:v>
      </x:c>
      <x:c r="D92" s="10" t="n">
        <x:v>2029</x:v>
      </x:c>
      <x:c r="E92" s="10" t="str">
        <x:v>26110</x:v>
      </x:c>
      <x:c r="F92" s="10" t="str">
        <x:v>Candidate in retrieved proposal; approval and latest amendments unverified</x:v>
      </x:c>
    </x:row>
    <x:row r="93" ht="45" customHeight="1">
      <x:c r="A93" s="9" t="str">
        <x:v>HOYOCHI NIKKO</x:v>
      </x:c>
      <x:c r="B93" s="9" t="str">
        <x:v>43008006</x:v>
      </x:c>
      <x:c r="C93" s="9" t="n">
        <x:v>17</x:v>
      </x:c>
      <x:c r="D93" s="9" t="n">
        <x:v>2029</x:v>
      </x:c>
      <x:c r="E93" s="9" t="str"/>
      <x:c r="F93" s="9" t="str">
        <x:v>No match to retrieved proposal subsets; does not establish exclusion from other amendments</x:v>
      </x:c>
    </x:row>
    <x:row r="94" ht="45" customHeight="1">
      <x:c r="A94" s="10" t="str">
        <x:v>NOELANI</x:v>
      </x:c>
      <x:c r="B94" s="10" t="str">
        <x:v>43009002</x:v>
      </x:c>
      <x:c r="C94" s="10" t="n">
        <x:v>50</x:v>
      </x:c>
      <x:c r="D94" s="10" t="n">
        <x:v>2029</x:v>
      </x:c>
      <x:c r="E94" s="10" t="str"/>
      <x:c r="F94" s="10" t="str">
        <x:v>No match to retrieved proposal subsets; does not establish exclusion from other amendments</x:v>
      </x:c>
    </x:row>
    <x:row r="95" ht="45" customHeight="1">
      <x:c r="A95" s="9" t="str">
        <x:v>MAHINA SURF</x:v>
      </x:c>
      <x:c r="B95" s="9" t="str">
        <x:v>43009005</x:v>
      </x:c>
      <x:c r="C95" s="9" t="n">
        <x:v>44</x:v>
      </x:c>
      <x:c r="D95" s="9" t="n">
        <x:v>2029</x:v>
      </x:c>
      <x:c r="E95" s="9" t="str"/>
      <x:c r="F95" s="9" t="str">
        <x:v>No match to retrieved proposal subsets; does not establish exclusion from other amendments</x:v>
      </x:c>
    </x:row>
    <x:row r="96" ht="45" customHeight="1">
      <x:c r="A96" s="10" t="str">
        <x:v>HONOKOWAI PALMS</x:v>
      </x:c>
      <x:c r="B96" s="10" t="str">
        <x:v>44001041</x:v>
      </x:c>
      <x:c r="C96" s="10" t="n">
        <x:v>30</x:v>
      </x:c>
      <x:c r="D96" s="10" t="n">
        <x:v>2029</x:v>
      </x:c>
      <x:c r="E96" s="10" t="str"/>
      <x:c r="F96" s="10" t="str">
        <x:v>No match to retrieved proposal subsets; does not establish exclusion from other amendments</x:v>
      </x:c>
    </x:row>
    <x:row r="97" ht="45" customHeight="1">
      <x:c r="A97" s="9" t="str">
        <x:v>HALE KAI I</x:v>
      </x:c>
      <x:c r="B97" s="9" t="str">
        <x:v>44001042</x:v>
      </x:c>
      <x:c r="C97" s="9" t="n">
        <x:v>40</x:v>
      </x:c>
      <x:c r="D97" s="9" t="n">
        <x:v>2029</x:v>
      </x:c>
      <x:c r="E97" s="9" t="str">
        <x:v>26129</x:v>
      </x:c>
      <x:c r="F97" s="9" t="str">
        <x:v>Candidate in retrieved proposal; approval and latest amendments unverified</x:v>
      </x:c>
    </x:row>
    <x:row r="98" ht="45" customHeight="1">
      <x:c r="A98" s="10" t="str">
        <x:v>PAKI MAUI III</x:v>
      </x:c>
      <x:c r="B98" s="10" t="str">
        <x:v>44001050</x:v>
      </x:c>
      <x:c r="C98" s="10" t="n">
        <x:v>28</x:v>
      </x:c>
      <x:c r="D98" s="10" t="n">
        <x:v>2029</x:v>
      </x:c>
      <x:c r="E98" s="10" t="str">
        <x:v>26110</x:v>
      </x:c>
      <x:c r="F98" s="10" t="str">
        <x:v>Candidate in retrieved proposal; approval and latest amendments unverified</x:v>
      </x:c>
    </x:row>
    <x:row r="99" ht="45" customHeight="1">
      <x:c r="A99" s="9" t="str">
        <x:v>PAKI MAUI I &amp; II</x:v>
      </x:c>
      <x:c r="B99" s="9" t="str">
        <x:v>44001051</x:v>
      </x:c>
      <x:c r="C99" s="9" t="n">
        <x:v>80</x:v>
      </x:c>
      <x:c r="D99" s="9" t="n">
        <x:v>2029</x:v>
      </x:c>
      <x:c r="E99" s="9" t="str">
        <x:v>26110</x:v>
      </x:c>
      <x:c r="F99" s="9" t="str">
        <x:v>Candidate in retrieved proposal; approval and latest amendments unverified</x:v>
      </x:c>
    </x:row>
    <x:row r="100" ht="45" customHeight="1">
      <x:c r="A100" s="10" t="str">
        <x:v>MAUI SANDS I</x:v>
      </x:c>
      <x:c r="B100" s="10" t="str">
        <x:v>44001052</x:v>
      </x:c>
      <x:c r="C100" s="10" t="n">
        <x:v>56</x:v>
      </x:c>
      <x:c r="D100" s="10" t="n">
        <x:v>2029</x:v>
      </x:c>
      <x:c r="E100" s="10" t="str"/>
      <x:c r="F100" s="10" t="str">
        <x:v>No match to retrieved proposal subsets; does not establish exclusion from other amendments</x:v>
      </x:c>
    </x:row>
    <x:row r="101" ht="45" customHeight="1">
      <x:c r="A101" s="9" t="str">
        <x:v>PAPAKEA</x:v>
      </x:c>
      <x:c r="B101" s="9" t="str">
        <x:v>44001055</x:v>
      </x:c>
      <x:c r="C101" s="9" t="n">
        <x:v>364</x:v>
      </x:c>
      <x:c r="D101" s="9" t="n">
        <x:v>2029</x:v>
      </x:c>
      <x:c r="E101" s="9" t="str">
        <x:v>26111</x:v>
      </x:c>
      <x:c r="F101" s="9" t="str">
        <x:v>Candidate in retrieved proposal; approval and latest amendments unverified</x:v>
      </x:c>
    </x:row>
    <x:row r="102" ht="45" customHeight="1">
      <x:c r="A102" s="10" t="str">
        <x:v>MAUI SANDS II</x:v>
      </x:c>
      <x:c r="B102" s="10" t="str">
        <x:v>44001071</x:v>
      </x:c>
      <x:c r="C102" s="10" t="n">
        <x:v>20</x:v>
      </x:c>
      <x:c r="D102" s="10" t="n">
        <x:v>2029</x:v>
      </x:c>
      <x:c r="E102" s="10" t="str">
        <x:v>26110</x:v>
      </x:c>
      <x:c r="F102" s="10" t="str">
        <x:v>Candidate in retrieved proposal; approval and latest amendments unverified</x:v>
      </x:c>
    </x:row>
    <x:row r="103" ht="45" customHeight="1">
      <x:c r="A103" s="9" t="str">
        <x:v>HALE KAANAPALI</x:v>
      </x:c>
      <x:c r="B103" s="9" t="str">
        <x:v>44006011</x:v>
      </x:c>
      <x:c r="C103" s="9" t="n">
        <x:v>258</x:v>
      </x:c>
      <x:c r="D103" s="9" t="n">
        <x:v>2029</x:v>
      </x:c>
      <x:c r="E103" s="9" t="str"/>
      <x:c r="F103" s="9" t="str">
        <x:v>No match to retrieved proposal subsets; does not establish exclusion from other amendments</x:v>
      </x:c>
    </x:row>
    <x:row r="104" ht="45" customHeight="1">
      <x:c r="A104" s="10" t="str">
        <x:v>MAUI ELDORADO</x:v>
      </x:c>
      <x:c r="B104" s="10" t="str">
        <x:v>44008021</x:v>
      </x:c>
      <x:c r="C104" s="10" t="n">
        <x:v>205</x:v>
      </x:c>
      <x:c r="D104" s="10" t="n">
        <x:v>2029</x:v>
      </x:c>
      <x:c r="E104" s="10" t="str">
        <x:v>26111</x:v>
      </x:c>
      <x:c r="F104" s="10" t="str">
        <x:v>Candidate in retrieved proposal; approval and latest amendments unverified</x:v>
      </x:c>
    </x:row>
    <x:row r="105" ht="45" customHeight="1">
      <x:c r="A105" s="9" t="str">
        <x:v>KAANAPALI ROYAL</x:v>
      </x:c>
      <x:c r="B105" s="9" t="str">
        <x:v>44008023</x:v>
      </x:c>
      <x:c r="C105" s="9" t="n">
        <x:v>105</x:v>
      </x:c>
      <x:c r="D105" s="9" t="n">
        <x:v>2029</x:v>
      </x:c>
      <x:c r="E105" s="9" t="str">
        <x:v>26110</x:v>
      </x:c>
      <x:c r="F105" s="9" t="str">
        <x:v>Candidate in retrieved proposal; approval and latest amendments unverified</x:v>
      </x:c>
    </x:row>
    <x:row r="106" ht="45" customHeight="1">
      <x:c r="A106" s="10" t="str">
        <x:v>PUUNOA BEACH ESTATES</x:v>
      </x:c>
      <x:c r="B106" s="10" t="str">
        <x:v>45004002</x:v>
      </x:c>
      <x:c r="C106" s="10" t="n">
        <x:v>10</x:v>
      </x:c>
      <x:c r="D106" s="10" t="n">
        <x:v>2029</x:v>
      </x:c>
      <x:c r="E106" s="10" t="str"/>
      <x:c r="F106" s="10" t="str">
        <x:v>No match to retrieved proposal subsets; does not establish exclusion from other amendments</x:v>
      </x:c>
    </x:row>
    <x:row r="107" ht="45" customHeight="1">
      <x:c r="A107" s="9" t="str">
        <x:v>LAHAINA ROADS</x:v>
      </x:c>
      <x:c r="B107" s="9" t="str">
        <x:v>45013027</x:v>
      </x:c>
      <x:c r="C107" s="9" t="n">
        <x:v>41</x:v>
      </x:c>
      <x:c r="D107" s="9" t="n">
        <x:v>2029</x:v>
      </x:c>
      <x:c r="E107" s="9" t="str"/>
      <x:c r="F107" s="9" t="str">
        <x:v>No match to retrieved proposal subsets; does not establish exclusion from other amendments</x:v>
      </x:c>
    </x:row>
    <x:row r="108" ht="45" customHeight="1">
      <x:c r="A108" s="10" t="str">
        <x:v>THE SPINNAKER</x:v>
      </x:c>
      <x:c r="B108" s="10" t="str">
        <x:v>46010002</x:v>
      </x:c>
      <x:c r="C108" s="10" t="n">
        <x:v>57</x:v>
      </x:c>
      <x:c r="D108" s="10" t="n">
        <x:v>2029</x:v>
      </x:c>
      <x:c r="E108" s="10" t="str"/>
      <x:c r="F108" s="10" t="str">
        <x:v>No match to retrieved proposal subsets; does not establish exclusion from other amendments</x:v>
      </x:c>
    </x:row>
    <x:row r="109" ht="45" customHeight="1">
      <x:c r="A109" s="9" t="str">
        <x:v>KENANI KAI</x:v>
      </x:c>
      <x:c r="B109" s="9" t="str">
        <x:v>51003013</x:v>
      </x:c>
      <x:c r="C109" s="9" t="n">
        <x:v>120</x:v>
      </x:c>
      <x:c r="D109" s="9" t="n">
        <x:v>2031</x:v>
      </x:c>
      <x:c r="E109" s="9" t="str"/>
      <x:c r="F109" s="9" t="str">
        <x:v>No match to retrieved proposal subsets; does not establish exclusion from other amendments</x:v>
      </x:c>
    </x:row>
    <x:row r="110" ht="45" customHeight="1">
      <x:c r="A110" s="10" t="str">
        <x:v>WAVECREST</x:v>
      </x:c>
      <x:c r="B110" s="10" t="str">
        <x:v>56004055</x:v>
      </x:c>
      <x:c r="C110" s="10" t="n">
        <x:v>126</x:v>
      </x:c>
      <x:c r="D110" s="10" t="n">
        <x:v>2031</x:v>
      </x:c>
      <x:c r="E110" s="10" t="str"/>
      <x:c r="F110" s="10" t="str">
        <x:v>No match to retrieved proposal subsets; does not establish exclusion from other amendments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18" hidden="0" customWidth="1"/>
    <x:col min="5" max="5" width="21" hidden="0" customWidth="1"/>
    <x:col min="6" max="6" width="26" hidden="0" customWidth="1"/>
    <x:col min="7" max="7" width="20" hidden="0" customWidth="1"/>
    <x:col min="8" max="8" width="89" hidden="0" customWidth="1"/>
  </x:cols>
  <x:sheetData>
    <x:row r="1" ht="30" customHeight="1">
      <x:c r="A1" s="2" t="str">
        <x:v>Maui rental-performance history</x:v>
      </x:c>
      <x:c r="B1" s="1"/>
      <x:c r="C1" s="1"/>
      <x:c r="D1" s="1"/>
      <x:c r="E1" s="1"/>
      <x:c r="F1" s="1"/>
      <x:c r="G1" s="1"/>
      <x:c r="H1" s="1"/>
    </x:row>
    <x:row r="2">
      <x:c r="A2" s="3" t="str">
        <x:v>All channels. Mixed vintages below do not reconcile to restated 2026 YTD.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45" customHeight="1">
      <x:c r="A6" s="7" t="str">
        <x:v>Month</x:v>
      </x:c>
      <x:c r="B6" s="7" t="str">
        <x:v>Supply nights</x:v>
      </x:c>
      <x:c r="C6" s="7" t="str">
        <x:v>Demand nights</x:v>
      </x:c>
      <x:c r="D6" s="7" t="str">
        <x:v>Occupancy</x:v>
      </x:c>
      <x:c r="E6" s="7" t="str">
        <x:v>Total rate USD</x:v>
      </x:c>
      <x:c r="F6" s="7" t="str">
        <x:v>Demand × total rate USD m</x:v>
      </x:c>
      <x:c r="G6" s="7" t="str">
        <x:v>Report vintage</x:v>
      </x:c>
      <x:c r="H6" s="7" t="str">
        <x:v>Interpretation</x:v>
      </x:c>
    </x:row>
    <x:row r="7" ht="42" customHeight="1">
      <x:c r="A7" s="9" t="str">
        <x:v>2024-01</x:v>
      </x:c>
      <x:c r="B7" s="11" t="n">
        <x:v>208877</x:v>
      </x:c>
      <x:c r="C7" s="11" t="n">
        <x:v>129103</x:v>
      </x:c>
      <x:c r="D7" s="13" t="n">
        <x:v>0.618081454635982</x:v>
      </x:c>
      <x:c r="E7" s="15" t="n">
        <x:v>426.151948444265</x:v>
      </x:c>
      <x:c r="F7" s="15" t="n">
        <x:f>C7*E7/1000000</x:f>
        <x:v>55.01749499999994</x:v>
      </x:c>
      <x:c r="G7" s="9" t="str">
        <x:v>2025-01</x:v>
      </x:c>
      <x:c r="H7" s="9" t="str">
        <x:v>Not a causal estimate; 2026 monthly vintages do not reconcile to July restated YTD</x:v>
      </x:c>
    </x:row>
    <x:row r="8" ht="42" customHeight="1">
      <x:c r="A8" s="10" t="str">
        <x:v>2024-02</x:v>
      </x:c>
      <x:c r="B8" s="12" t="n">
        <x:v>185636</x:v>
      </x:c>
      <x:c r="C8" s="12" t="n">
        <x:v>119165</x:v>
      </x:c>
      <x:c r="D8" s="14" t="n">
        <x:v>0.64192828977138</x:v>
      </x:c>
      <x:c r="E8" s="16" t="n">
        <x:v>440.096622330382</x:v>
      </x:c>
      <x:c r="F8" s="16" t="n">
        <x:f>C8*E8/1000000</x:f>
        <x:v>52.44411399999997</x:v>
      </x:c>
      <x:c r="G8" s="10" t="str">
        <x:v>2025-02</x:v>
      </x:c>
      <x:c r="H8" s="10" t="str">
        <x:v>Not a causal estimate; 2026 monthly vintages do not reconcile to July restated YTD</x:v>
      </x:c>
    </x:row>
    <x:row r="9" ht="42" customHeight="1">
      <x:c r="A9" s="9" t="str">
        <x:v>2024-03</x:v>
      </x:c>
      <x:c r="B9" s="11" t="n">
        <x:v>225941</x:v>
      </x:c>
      <x:c r="C9" s="11" t="n">
        <x:v>140630</x:v>
      </x:c>
      <x:c r="D9" s="13" t="n">
        <x:v>0.622419127117256</x:v>
      </x:c>
      <x:c r="E9" s="15" t="n">
        <x:v>423.922640972765</x:v>
      </x:c>
      <x:c r="F9" s="15" t="n">
        <x:f>C9*E9/1000000</x:f>
        <x:v>59.61624099999994</x:v>
      </x:c>
      <x:c r="G9" s="9" t="str">
        <x:v>2025-03</x:v>
      </x:c>
      <x:c r="H9" s="9" t="str">
        <x:v>Not a causal estimate; 2026 monthly vintages do not reconcile to July restated YTD</x:v>
      </x:c>
    </x:row>
    <x:row r="10" ht="42" customHeight="1">
      <x:c r="A10" s="10" t="str">
        <x:v>2024-04</x:v>
      </x:c>
      <x:c r="B10" s="12" t="n">
        <x:v>246500</x:v>
      </x:c>
      <x:c r="C10" s="12" t="n">
        <x:v>132407</x:v>
      </x:c>
      <x:c r="D10" s="14" t="n">
        <x:v>0.537148073022312</x:v>
      </x:c>
      <x:c r="E10" s="16" t="n">
        <x:v>376.822426306766</x:v>
      </x:c>
      <x:c r="F10" s="16" t="n">
        <x:f>C10*E10/1000000</x:f>
        <x:v>49.89392699999996</x:v>
      </x:c>
      <x:c r="G10" s="10" t="str">
        <x:v>2025-04</x:v>
      </x:c>
      <x:c r="H10" s="10" t="str">
        <x:v>Not a causal estimate; 2026 monthly vintages do not reconcile to July restated YTD</x:v>
      </x:c>
    </x:row>
    <x:row r="11" ht="42" customHeight="1">
      <x:c r="A11" s="9" t="str">
        <x:v>2024-05</x:v>
      </x:c>
      <x:c r="B11" s="11" t="n">
        <x:v>262607</x:v>
      </x:c>
      <x:c r="C11" s="11" t="n">
        <x:v>130059</x:v>
      </x:c>
      <x:c r="D11" s="13" t="n">
        <x:v>0.495260979334138</x:v>
      </x:c>
      <x:c r="E11" s="15" t="n">
        <x:v>359.835543868552</x:v>
      </x:c>
      <x:c r="F11" s="15" t="n">
        <x:f>C11*E11/1000000</x:f>
        <x:v>46.79985100000001</x:v>
      </x:c>
      <x:c r="G11" s="9" t="str">
        <x:v>2025-05</x:v>
      </x:c>
      <x:c r="H11" s="9" t="str">
        <x:v>Not a causal estimate; 2026 monthly vintages do not reconcile to July restated YTD</x:v>
      </x:c>
    </x:row>
    <x:row r="12" ht="42" customHeight="1">
      <x:c r="A12" s="10" t="str">
        <x:v>2024-06</x:v>
      </x:c>
      <x:c r="B12" s="12" t="n">
        <x:v>256819</x:v>
      </x:c>
      <x:c r="C12" s="12" t="n">
        <x:v>126508</x:v>
      </x:c>
      <x:c r="D12" s="14" t="n">
        <x:v>0.492595952791655</x:v>
      </x:c>
      <x:c r="E12" s="16" t="n">
        <x:v>380.485360609606</x:v>
      </x:c>
      <x:c r="F12" s="16" t="n">
        <x:f>C12*E12/1000000</x:f>
        <x:v>48.134442000000035</x:v>
      </x:c>
      <x:c r="G12" s="10" t="str">
        <x:v>2025-06</x:v>
      </x:c>
      <x:c r="H12" s="10" t="str">
        <x:v>Not a causal estimate; 2026 monthly vintages do not reconcile to July restated YTD</x:v>
      </x:c>
    </x:row>
    <x:row r="13" ht="42" customHeight="1">
      <x:c r="A13" s="9" t="str">
        <x:v>2024-07</x:v>
      </x:c>
      <x:c r="B13" s="11" t="n">
        <x:v>266357</x:v>
      </x:c>
      <x:c r="C13" s="11" t="n">
        <x:v>141413</x:v>
      </x:c>
      <x:c r="D13" s="13" t="n">
        <x:v>0.530915275363516</x:v>
      </x:c>
      <x:c r="E13" s="15" t="n">
        <x:v>388.438057321463</x:v>
      </x:c>
      <x:c r="F13" s="15" t="n">
        <x:f>C13*E13/1000000</x:f>
        <x:v>54.93019100000005</x:v>
      </x:c>
      <x:c r="G13" s="9" t="str">
        <x:v>2025-07</x:v>
      </x:c>
      <x:c r="H13" s="9" t="str">
        <x:v>Not a causal estimate; 2026 monthly vintages do not reconcile to July restated YTD</x:v>
      </x:c>
    </x:row>
    <x:row r="14" ht="42" customHeight="1">
      <x:c r="A14" s="10" t="str">
        <x:v>2024-08</x:v>
      </x:c>
      <x:c r="B14" s="12" t="n">
        <x:v>277958</x:v>
      </x:c>
      <x:c r="C14" s="12" t="n">
        <x:v>132723</x:v>
      </x:c>
      <x:c r="D14" s="14" t="n">
        <x:v>0.477493002539952</x:v>
      </x:c>
      <x:c r="E14" s="16" t="n">
        <x:v>566.632744286974</x:v>
      </x:c>
      <x:c r="F14" s="16" t="n">
        <x:f>C14*E14/1000000</x:f>
        <x:v>75.20519772000004</x:v>
      </x:c>
      <x:c r="G14" s="10" t="str">
        <x:v>2025-08</x:v>
      </x:c>
      <x:c r="H14" s="10" t="str">
        <x:v>Not a causal estimate; 2026 monthly vintages do not reconcile to July restated YTD</x:v>
      </x:c>
    </x:row>
    <x:row r="15" ht="42" customHeight="1">
      <x:c r="A15" s="9" t="str">
        <x:v>2024-09</x:v>
      </x:c>
      <x:c r="B15" s="11" t="n">
        <x:v>263935</x:v>
      </x:c>
      <x:c r="C15" s="11" t="n">
        <x:v>120431</x:v>
      </x:c>
      <x:c r="D15" s="13" t="n">
        <x:v>0.456290374524031</x:v>
      </x:c>
      <x:c r="E15" s="15" t="n">
        <x:v>539.051379628169</x:v>
      </x:c>
      <x:c r="F15" s="15" t="n">
        <x:f>C15*E15/1000000</x:f>
        <x:v>64.91849670000002</x:v>
      </x:c>
      <x:c r="G15" s="9" t="str">
        <x:v>2025-09</x:v>
      </x:c>
      <x:c r="H15" s="9" t="str">
        <x:v>Not a causal estimate; 2026 monthly vintages do not reconcile to July restated YTD</x:v>
      </x:c>
    </x:row>
    <x:row r="16" ht="42" customHeight="1">
      <x:c r="A16" s="10" t="str">
        <x:v>2024-10</x:v>
      </x:c>
      <x:c r="B16" s="12" t="n">
        <x:v>259480</x:v>
      </x:c>
      <x:c r="C16" s="12" t="n">
        <x:v>127123</x:v>
      </x:c>
      <x:c r="D16" s="14" t="n">
        <x:v>0.489914444273162</x:v>
      </x:c>
      <x:c r="E16" s="16" t="n">
        <x:v>550.027375455268</x:v>
      </x:c>
      <x:c r="F16" s="16" t="n">
        <x:f>C16*E16/1000000</x:f>
        <x:v>69.92113005000004</x:v>
      </x:c>
      <x:c r="G16" s="10" t="str">
        <x:v>2025-10</x:v>
      </x:c>
      <x:c r="H16" s="10" t="str">
        <x:v>Not a causal estimate; 2026 monthly vintages do not reconcile to July restated YTD</x:v>
      </x:c>
    </x:row>
    <x:row r="17" ht="42" customHeight="1">
      <x:c r="A17" s="9" t="str">
        <x:v>2024-11</x:v>
      </x:c>
      <x:c r="B17" s="11" t="n">
        <x:v>239842</x:v>
      </x:c>
      <x:c r="C17" s="11" t="n">
        <x:v>128049</x:v>
      </x:c>
      <x:c r="D17" s="13" t="n">
        <x:v>0.533888976909799</x:v>
      </x:c>
      <x:c r="E17" s="15" t="n">
        <x:v>566.899716514772</x:v>
      </x:c>
      <x:c r="F17" s="15" t="n">
        <x:f>C17*E17/1000000</x:f>
        <x:v>72.59094180000004</x:v>
      </x:c>
      <x:c r="G17" s="9" t="str">
        <x:v>2025-11</x:v>
      </x:c>
      <x:c r="H17" s="9" t="str">
        <x:v>Not a causal estimate; 2026 monthly vintages do not reconcile to July restated YTD</x:v>
      </x:c>
    </x:row>
    <x:row r="18" ht="42" customHeight="1">
      <x:c r="A18" s="10" t="str">
        <x:v>2024-12</x:v>
      </x:c>
      <x:c r="B18" s="12" t="n">
        <x:v>247357</x:v>
      </x:c>
      <x:c r="C18" s="12" t="n">
        <x:v>132731</x:v>
      </x:c>
      <x:c r="D18" s="14" t="n">
        <x:v>0.53659690245273</x:v>
      </x:c>
      <x:c r="E18" s="16" t="n">
        <x:v>650.563432657028</x:v>
      </x:c>
      <x:c r="F18" s="16" t="n">
        <x:f>C18*E18/1000000</x:f>
        <x:v>86.34993497999999</x:v>
      </x:c>
      <x:c r="G18" s="10" t="str">
        <x:v>2025-12</x:v>
      </x:c>
      <x:c r="H18" s="10" t="str">
        <x:v>Not a causal estimate; 2026 monthly vintages do not reconcile to July restated YTD</x:v>
      </x:c>
    </x:row>
    <x:row r="19" ht="42" customHeight="1">
      <x:c r="A19" s="9" t="str">
        <x:v>2025-01</x:v>
      </x:c>
      <x:c r="B19" s="11" t="n">
        <x:v>224102</x:v>
      </x:c>
      <x:c r="C19" s="11" t="n">
        <x:v>134902</x:v>
      </x:c>
      <x:c r="D19" s="13" t="n">
        <x:v>0.601966961472901</x:v>
      </x:c>
      <x:c r="E19" s="15" t="n">
        <x:v>725.195865146551</x:v>
      </x:c>
      <x:c r="F19" s="15" t="n">
        <x:f>C19*E19/1000000</x:f>
        <x:v>97.83037260000002</x:v>
      </x:c>
      <x:c r="G19" s="9" t="str">
        <x:v>2026-01</x:v>
      </x:c>
      <x:c r="H19" s="9" t="str">
        <x:v>Not a causal estimate; 2026 monthly vintages do not reconcile to July restated YTD</x:v>
      </x:c>
    </x:row>
    <x:row r="20" ht="42" customHeight="1">
      <x:c r="A20" s="10" t="str">
        <x:v>2025-02</x:v>
      </x:c>
      <x:c r="B20" s="12" t="n">
        <x:v>187871</x:v>
      </x:c>
      <x:c r="C20" s="12" t="n">
        <x:v>120710</x:v>
      </x:c>
      <x:c r="D20" s="14" t="n">
        <x:v>0.642515342974701</x:v>
      </x:c>
      <x:c r="E20" s="16" t="n">
        <x:v>749.009364261453</x:v>
      </x:c>
      <x:c r="F20" s="16" t="n">
        <x:f>C20*E20/1000000</x:f>
        <x:v>90.41292036</x:v>
      </x:c>
      <x:c r="G20" s="10" t="str">
        <x:v>2026-02</x:v>
      </x:c>
      <x:c r="H20" s="10" t="str">
        <x:v>Not a causal estimate; 2026 monthly vintages do not reconcile to July restated YTD</x:v>
      </x:c>
    </x:row>
    <x:row r="21" ht="42" customHeight="1">
      <x:c r="A21" s="9" t="str">
        <x:v>2025-03</x:v>
      </x:c>
      <x:c r="B21" s="11" t="n">
        <x:v>244994</x:v>
      </x:c>
      <x:c r="C21" s="11" t="n">
        <x:v>149005</x:v>
      </x:c>
      <x:c r="D21" s="13" t="n">
        <x:v>0.608198568128199</x:v>
      </x:c>
      <x:c r="E21" s="15" t="n">
        <x:v>701.525972618369</x:v>
      </x:c>
      <x:c r="F21" s="15" t="n">
        <x:f>C21*E21/1000000</x:f>
        <x:v>104.53087755000007</x:v>
      </x:c>
      <x:c r="G21" s="9" t="str">
        <x:v>2026-03</x:v>
      </x:c>
      <x:c r="H21" s="9" t="str">
        <x:v>Not a causal estimate; 2026 monthly vintages do not reconcile to July restated YTD</x:v>
      </x:c>
    </x:row>
    <x:row r="22" ht="42" customHeight="1">
      <x:c r="A22" s="10" t="str">
        <x:v>2025-04</x:v>
      </x:c>
      <x:c r="B22" s="12" t="n">
        <x:v>261863</x:v>
      </x:c>
      <x:c r="C22" s="12" t="n">
        <x:v>135516</x:v>
      </x:c>
      <x:c r="D22" s="14" t="n">
        <x:v>0.517507246155432</x:v>
      </x:c>
      <x:c r="E22" s="16" t="n">
        <x:v>663.745253475604</x:v>
      </x:c>
      <x:c r="F22" s="16" t="n">
        <x:f>C22*E22/1000000</x:f>
        <x:v>89.94810176999995</x:v>
      </x:c>
      <x:c r="G22" s="10" t="str">
        <x:v>2026-04</x:v>
      </x:c>
      <x:c r="H22" s="10" t="str">
        <x:v>Not a causal estimate; 2026 monthly vintages do not reconcile to July restated YTD</x:v>
      </x:c>
    </x:row>
    <x:row r="23" ht="42" customHeight="1">
      <x:c r="A23" s="9" t="str">
        <x:v>2025-05</x:v>
      </x:c>
      <x:c r="B23" s="11" t="n">
        <x:v>281833</x:v>
      </x:c>
      <x:c r="C23" s="11" t="n">
        <x:v>128295</x:v>
      </x:c>
      <x:c r="D23" s="13" t="n">
        <x:v>0.455216387009328</x:v>
      </x:c>
      <x:c r="E23" s="15" t="n">
        <x:v>483.112514127597</x:v>
      </x:c>
      <x:c r="F23" s="15" t="n">
        <x:f>C23*E23/1000000</x:f>
        <x:v>61.98092000000006</x:v>
      </x:c>
      <x:c r="G23" s="9" t="str">
        <x:v>2026-05</x:v>
      </x:c>
      <x:c r="H23" s="9" t="str">
        <x:v>Not a causal estimate; 2026 monthly vintages do not reconcile to July restated YTD</x:v>
      </x:c>
    </x:row>
    <x:row r="24" ht="42" customHeight="1">
      <x:c r="A24" s="10" t="str">
        <x:v>2025-06</x:v>
      </x:c>
      <x:c r="B24" s="12" t="n">
        <x:v>302666.5104437738</x:v>
      </x:c>
      <x:c r="C24" s="12" t="n">
        <x:v>135850.4559578353</x:v>
      </x:c>
      <x:c r="D24" s="14" t="n">
        <x:v>0.448845350477162</x:v>
      </x:c>
      <x:c r="E24" s="16" t="n">
        <x:v>533.3089717903159</x:v>
      </x:c>
      <x:c r="F24" s="16" t="n">
        <x:f>C24*E24/1000000</x:f>
        <x:v>72.45026698411874</x:v>
      </x:c>
      <x:c r="G24" s="10" t="str">
        <x:v>2026-06</x:v>
      </x:c>
      <x:c r="H24" s="10" t="str">
        <x:v>Not a causal estimate; 2026 monthly vintages do not reconcile to July restated YTD</x:v>
      </x:c>
    </x:row>
    <x:row r="25" ht="42" customHeight="1">
      <x:c r="A25" s="9" t="str">
        <x:v>2025-07</x:v>
      </x:c>
      <x:c r="B25" s="11" t="n">
        <x:v>297503.9651903007</x:v>
      </x:c>
      <x:c r="C25" s="11" t="n">
        <x:v>142785.8133596981</x:v>
      </x:c>
      <x:c r="D25" s="13" t="n">
        <x:v>0.4799459169169865</x:v>
      </x:c>
      <x:c r="E25" s="15" t="n">
        <x:v>550.833928039766</x:v>
      </x:c>
      <x:c r="F25" s="15" t="n">
        <x:f>C25*E25/1000000</x:f>
        <x:v>78.6512704412754</x:v>
      </x:c>
      <x:c r="G25" s="9" t="str">
        <x:v>2026-07</x:v>
      </x:c>
      <x:c r="H25" s="9" t="str">
        <x:v>Not a causal estimate; 2026 monthly vintages do not reconcile to July restated YTD</x:v>
      </x:c>
    </x:row>
    <x:row r="26" ht="42" customHeight="1">
      <x:c r="A26" s="10" t="str">
        <x:v>2025-08</x:v>
      </x:c>
      <x:c r="B26" s="12" t="n">
        <x:v>289908</x:v>
      </x:c>
      <x:c r="C26" s="12" t="n">
        <x:v>127189</x:v>
      </x:c>
      <x:c r="D26" s="14" t="n">
        <x:v>0.43872193937387</x:v>
      </x:c>
      <x:c r="E26" s="16" t="n">
        <x:v>497.088388146774</x:v>
      </x:c>
      <x:c r="F26" s="16" t="n">
        <x:f>C26*E26/1000000</x:f>
        <x:v>63.22417500000004</x:v>
      </x:c>
      <x:c r="G26" s="10" t="str">
        <x:v>2025-08</x:v>
      </x:c>
      <x:c r="H26" s="10" t="str">
        <x:v>Not a causal estimate; 2026 monthly vintages do not reconcile to July restated YTD</x:v>
      </x:c>
    </x:row>
    <x:row r="27" ht="42" customHeight="1">
      <x:c r="A27" s="9" t="str">
        <x:v>2025-09</x:v>
      </x:c>
      <x:c r="B27" s="11" t="n">
        <x:v>283971</x:v>
      </x:c>
      <x:c r="C27" s="11" t="n">
        <x:v>113861</x:v>
      </x:c>
      <x:c r="D27" s="13" t="n">
        <x:v>0.400959957178726</x:v>
      </x:c>
      <x:c r="E27" s="15" t="n">
        <x:v>466.807045432589</x:v>
      </x:c>
      <x:c r="F27" s="15" t="n">
        <x:f>C27*E27/1000000</x:f>
        <x:v>53.15111700000001</x:v>
      </x:c>
      <x:c r="G27" s="9" t="str">
        <x:v>2025-09</x:v>
      </x:c>
      <x:c r="H27" s="9" t="str">
        <x:v>Not a causal estimate; 2026 monthly vintages do not reconcile to July restated YTD</x:v>
      </x:c>
    </x:row>
    <x:row r="28" ht="42" customHeight="1">
      <x:c r="A28" s="10" t="str">
        <x:v>2025-10</x:v>
      </x:c>
      <x:c r="B28" s="12" t="n">
        <x:v>282646</x:v>
      </x:c>
      <x:c r="C28" s="12" t="n">
        <x:v>119804</x:v>
      </x:c>
      <x:c r="D28" s="14" t="n">
        <x:v>0.423865895855593</x:v>
      </x:c>
      <x:c r="E28" s="16" t="n">
        <x:v>505.382491402624</x:v>
      </x:c>
      <x:c r="F28" s="16" t="n">
        <x:f>C28*E28/1000000</x:f>
        <x:v>60.546843999999965</x:v>
      </x:c>
      <x:c r="G28" s="10" t="str">
        <x:v>2025-10</x:v>
      </x:c>
      <x:c r="H28" s="10" t="str">
        <x:v>Not a causal estimate; 2026 monthly vintages do not reconcile to July restated YTD</x:v>
      </x:c>
    </x:row>
    <x:row r="29" ht="42" customHeight="1">
      <x:c r="A29" s="9" t="str">
        <x:v>2025-11</x:v>
      </x:c>
      <x:c r="B29" s="11" t="n">
        <x:v>264416</x:v>
      </x:c>
      <x:c r="C29" s="11" t="n">
        <x:v>122715</x:v>
      </x:c>
      <x:c r="D29" s="13" t="n">
        <x:v>0.464098239138328</x:v>
      </x:c>
      <x:c r="E29" s="15" t="n">
        <x:v>537.114541824553</x:v>
      </x:c>
      <x:c r="F29" s="15" t="n">
        <x:f>C29*E29/1000000</x:f>
        <x:v>65.91201100000004</x:v>
      </x:c>
      <x:c r="G29" s="9" t="str">
        <x:v>2025-11</x:v>
      </x:c>
      <x:c r="H29" s="9" t="str">
        <x:v>Not a causal estimate; 2026 monthly vintages do not reconcile to July restated YTD</x:v>
      </x:c>
    </x:row>
    <x:row r="30" ht="42" customHeight="1">
      <x:c r="A30" s="10" t="str">
        <x:v>2025-12</x:v>
      </x:c>
      <x:c r="B30" s="12" t="n">
        <x:v>276342</x:v>
      </x:c>
      <x:c r="C30" s="12" t="n">
        <x:v>140084</x:v>
      </x:c>
      <x:c r="D30" s="14" t="n">
        <x:v>0.506922581438942</x:v>
      </x:c>
      <x:c r="E30" s="16" t="n">
        <x:v>632.045629764998</x:v>
      </x:c>
      <x:c r="F30" s="16" t="n">
        <x:f>C30*E30/1000000</x:f>
        <x:v>88.53947999999998</x:v>
      </x:c>
      <x:c r="G30" s="10" t="str">
        <x:v>2025-12</x:v>
      </x:c>
      <x:c r="H30" s="10" t="str">
        <x:v>Not a causal estimate; 2026 monthly vintages do not reconcile to July restated YTD</x:v>
      </x:c>
    </x:row>
    <x:row r="31" ht="42" customHeight="1">
      <x:c r="A31" s="9" t="str">
        <x:v>2026-01</x:v>
      </x:c>
      <x:c r="B31" s="11" t="n">
        <x:v>253863</x:v>
      </x:c>
      <x:c r="C31" s="11" t="n">
        <x:v>140053</x:v>
      </x:c>
      <x:c r="D31" s="13" t="n">
        <x:v>0.551687327416756</x:v>
      </x:c>
      <x:c r="E31" s="15" t="n">
        <x:v>675.410980128951</x:v>
      </x:c>
      <x:c r="F31" s="15" t="n">
        <x:f>C31*E31/1000000</x:f>
        <x:v>94.59333399999997</x:v>
      </x:c>
      <x:c r="G31" s="9" t="str">
        <x:v>2026-01</x:v>
      </x:c>
      <x:c r="H31" s="9" t="str">
        <x:v>Not a causal estimate; 2026 monthly vintages do not reconcile to July restated YTD</x:v>
      </x:c>
    </x:row>
    <x:row r="32" ht="42" customHeight="1">
      <x:c r="A32" s="10" t="str">
        <x:v>2026-02</x:v>
      </x:c>
      <x:c r="B32" s="12" t="n">
        <x:v>211886</x:v>
      </x:c>
      <x:c r="C32" s="12" t="n">
        <x:v>131967</x:v>
      </x:c>
      <x:c r="D32" s="14" t="n">
        <x:v>0.622820762107926</x:v>
      </x:c>
      <x:c r="E32" s="16" t="n">
        <x:v>698.427682678245</x:v>
      </x:c>
      <x:c r="F32" s="16" t="n">
        <x:f>C32*E32/1000000</x:f>
        <x:v>92.16940599999995</x:v>
      </x:c>
      <x:c r="G32" s="10" t="str">
        <x:v>2026-02</x:v>
      </x:c>
      <x:c r="H32" s="10" t="str">
        <x:v>Not a causal estimate; 2026 monthly vintages do not reconcile to July restated YTD</x:v>
      </x:c>
    </x:row>
    <x:row r="33" ht="42" customHeight="1">
      <x:c r="A33" s="9" t="str">
        <x:v>2026-03</x:v>
      </x:c>
      <x:c r="B33" s="11" t="n">
        <x:v>249270</x:v>
      </x:c>
      <x:c r="C33" s="11" t="n">
        <x:v>140252</x:v>
      </x:c>
      <x:c r="D33" s="13" t="n">
        <x:v>0.562650940746981</x:v>
      </x:c>
      <x:c r="E33" s="15" t="n">
        <x:v>690.79568205801</x:v>
      </x:c>
      <x:c r="F33" s="15" t="n">
        <x:f>C33*E33/1000000</x:f>
        <x:v>96.88547600000001</x:v>
      </x:c>
      <x:c r="G33" s="9" t="str">
        <x:v>2026-03</x:v>
      </x:c>
      <x:c r="H33" s="9" t="str">
        <x:v>Not a causal estimate; 2026 monthly vintages do not reconcile to July restated YTD</x:v>
      </x:c>
    </x:row>
    <x:row r="34" ht="42" customHeight="1">
      <x:c r="A34" s="10" t="str">
        <x:v>2026-04</x:v>
      </x:c>
      <x:c r="B34" s="12" t="n">
        <x:v>259526</x:v>
      </x:c>
      <x:c r="C34" s="12" t="n">
        <x:v>134029</x:v>
      </x:c>
      <x:c r="D34" s="14" t="n">
        <x:v>0.51643765942526</x:v>
      </x:c>
      <x:c r="E34" s="16" t="n">
        <x:v>609.398913667938</x:v>
      </x:c>
      <x:c r="F34" s="16" t="n">
        <x:f>C34*E34/1000000</x:f>
        <x:v>81.67712700000006</x:v>
      </x:c>
      <x:c r="G34" s="10" t="str">
        <x:v>2026-04</x:v>
      </x:c>
      <x:c r="H34" s="10" t="str">
        <x:v>Not a causal estimate; 2026 monthly vintages do not reconcile to July restated YTD</x:v>
      </x:c>
    </x:row>
    <x:row r="35" ht="42" customHeight="1">
      <x:c r="A35" s="9" t="str">
        <x:v>2026-05</x:v>
      </x:c>
      <x:c r="B35" s="11" t="n">
        <x:v>315800</x:v>
      </x:c>
      <x:c r="C35" s="11" t="n">
        <x:v>151321</x:v>
      </x:c>
      <x:c r="D35" s="13" t="n">
        <x:v>0.479167194426853</x:v>
      </x:c>
      <x:c r="E35" s="15" t="n">
        <x:v>595.832118476616</x:v>
      </x:c>
      <x:c r="F35" s="15" t="n">
        <x:f>C35*E35/1000000</x:f>
        <x:v>90.161912</x:v>
      </x:c>
      <x:c r="G35" s="9" t="str">
        <x:v>2026-05</x:v>
      </x:c>
      <x:c r="H35" s="9" t="str">
        <x:v>Not a causal estimate; 2026 monthly vintages do not reconcile to July restated YTD</x:v>
      </x:c>
    </x:row>
    <x:row r="36" ht="42" customHeight="1">
      <x:c r="A36" s="10" t="str">
        <x:v>2026-06</x:v>
      </x:c>
      <x:c r="B36" s="12" t="n">
        <x:v>327405.892479432</x:v>
      </x:c>
      <x:c r="C36" s="12" t="n">
        <x:v>164308.8506025763</x:v>
      </x:c>
      <x:c r="D36" s="14" t="n">
        <x:v>0.5018506214358935</x:v>
      </x:c>
      <x:c r="E36" s="16" t="n">
        <x:v>652.0163412391458</x:v>
      </x:c>
      <x:c r="F36" s="16" t="n">
        <x:f>C36*E36/1000000</x:f>
        <x:v>107.13205560310122</x:v>
      </x:c>
      <x:c r="G36" s="10" t="str">
        <x:v>2026-06</x:v>
      </x:c>
      <x:c r="H36" s="10" t="str">
        <x:v>Not a causal estimate; 2026 monthly vintages do not reconcile to July restated YTD</x:v>
      </x:c>
    </x:row>
    <x:row r="37" ht="42" customHeight="1">
      <x:c r="A37" s="9" t="str">
        <x:v>2026-07</x:v>
      </x:c>
      <x:c r="B37" s="11" t="n">
        <x:v>298309.7763663642</x:v>
      </x:c>
      <x:c r="C37" s="11" t="n">
        <x:v>157210.9459496641</x:v>
      </x:c>
      <x:c r="D37" s="13" t="n">
        <x:v>0.5270056780056315</x:v>
      </x:c>
      <x:c r="E37" s="15" t="n">
        <x:v>678.6824232037086</x:v>
      </x:c>
      <x:c r="F37" s="15" t="n">
        <x:f>C37*E37/1000000</x:f>
        <x:v>106.69630575126529</x:v>
      </x:c>
      <x:c r="G37" s="9" t="str">
        <x:v>2026-07</x:v>
      </x:c>
      <x:c r="H37" s="9" t="str">
        <x:v>Not a causal estimate; 2026 monthly vintages do not reconcile to July restated YTD</x:v>
      </x:c>
    </x:row>
    <x:row r="41" ht="56" customHeight="1">
      <x:c r="A41" s="18" t="str">
        <x:v>Same-report YTD</x:v>
      </x:c>
      <x:c r="B41" s="18" t="str">
        <x:v>Supply nights</x:v>
      </x:c>
      <x:c r="C41" s="18" t="str">
        <x:v>Demand nights</x:v>
      </x:c>
      <x:c r="D41" s="18" t="str">
        <x:v>Occupancy</x:v>
      </x:c>
      <x:c r="E41" s="18" t="str">
        <x:v>Total rate USD</x:v>
      </x:c>
      <x:c r="F41" s="18" t="str">
        <x:v>Implied total-rate value USD m</x:v>
      </x:c>
      <x:c r="G41" s="18" t="str">
        <x:v>Vintage</x:v>
      </x:c>
      <x:c r="H41" s="18" t="str">
        <x:v>Use</x:v>
      </x:c>
    </x:row>
    <x:row r="42" ht="56" customHeight="1">
      <x:c r="A42" s="9" t="str">
        <x:v>2026-07</x:v>
      </x:c>
      <x:c r="B42" s="11" t="n">
        <x:v>2012367.071191423</x:v>
      </x:c>
      <x:c r="C42" s="11" t="n">
        <x:v>1077877.515998549</x:v>
      </x:c>
      <x:c r="D42" s="13" t="n">
        <x:v>0.5356266912876838</x:v>
      </x:c>
      <x:c r="E42" s="15" t="n">
        <x:v>645.4430428676395</x:v>
      </x:c>
      <x:c r="F42" s="15" t="n">
        <x:v>695.7085437647163</x:v>
      </x:c>
      <x:c r="G42" s="9" t="str">
        <x:v>2026-07</x:v>
      </x:c>
      <x:c r="H42" s="9" t="str">
        <x:v>Preferred published comparison; not a causal estimate</x:v>
      </x:c>
    </x:row>
    <x:row r="43" ht="56" customHeight="1">
      <x:c r="A43" s="9" t="str">
        <x:v>2025-07</x:v>
      </x:c>
      <x:c r="B43" s="11" t="n">
        <x:v>1850790.862699691</x:v>
      </x:c>
      <x:c r="C43" s="11" t="n">
        <x:v>970706.1016890281</x:v>
      </x:c>
      <x:c r="D43" s="13" t="n">
        <x:v>0.5244817884356147</x:v>
      </x:c>
      <x:c r="E43" s="15" t="n">
        <x:v>590.9721787381885</x:v>
      </x:c>
      <x:c r="F43" s="15" t="n">
        <x:v>573.6602998296185</x:v>
      </x:c>
      <x:c r="G43" s="9" t="str">
        <x:v>2026-07</x:v>
      </x:c>
      <x:c r="H43" s="9" t="str">
        <x:v>Preferred published comparison; not a causal estimate</x:v>
      </x:c>
    </x:row>
    <x:row r="44" ht="56" customHeight="1">
      <x:c r="A44" s="9" t="str">
        <x:v>Monthly reconciliation</x:v>
      </x:c>
      <x:c r="B44" s="11"/>
      <x:c r="C44" s="11" t="n">
        <x:v>-58735.71944630868</x:v>
      </x:c>
      <x:c r="D44" s="9"/>
      <x:c r="E44" s="9"/>
      <x:c r="F44" s="9"/>
      <x:c r="G44" s="9"/>
      <x:c r="H44" s="9" t="str">
        <x:v>Monthly file sum minus restated YTD. Do not splice vintages.</x:v>
      </x:c>
    </x:row>
    <x:row r="47">
      <x:c r="A47" t="str">
        <x:v>Source: https://files.hawaii.gov/dbedt/economic/tourism/vacation-rental/hawaii-vacation-rental-performance-2026-07.xlsx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1" hidden="0" customWidth="1"/>
    <x:col min="5" max="5" width="100" hidden="0" customWidth="1"/>
  </x:cols>
  <x:sheetData>
    <x:row r="1" ht="30" customHeight="1">
      <x:c r="A1" s="2" t="str">
        <x:v>NYC activity after Local Law 18</x:v>
      </x:c>
      <x:c r="B1" s="1"/>
      <x:c r="C1" s="1"/>
      <x:c r="D1" s="1"/>
      <x:c r="E1" s="1"/>
    </x:row>
    <x:row r="2">
      <x:c r="A2" s="3" t="str">
        <x:v>Airbnb-commissioned CRA study dated December 20, 2024. PDF pages 9, 15–17.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45" customHeight="1">
      <x:c r="A6" s="7" t="str">
        <x:v>Measure</x:v>
      </x:c>
      <x:c r="B6" s="7" t="str">
        <x:v>Prior period</x:v>
      </x:c>
      <x:c r="C6" s="7" t="str">
        <x:v>Post period</x:v>
      </x:c>
      <x:c r="D6" s="7" t="str">
        <x:v>Change</x:v>
      </x:c>
      <x:c r="E6" s="7" t="str">
        <x:v>Interpretation</x:v>
      </x:c>
    </x:row>
    <x:row r="7" ht="64" customHeight="1">
      <x:c r="A7" s="9" t="str">
        <x:v>Guest-nights stayed</x:v>
      </x:c>
      <x:c r="B7" s="11" t="n">
        <x:v>6560000</x:v>
      </x:c>
      <x:c r="C7" s="11" t="n">
        <x:v>2880000</x:v>
      </x:c>
      <x:c r="D7" s="13" t="n">
        <x:f>C7/B7-1</x:f>
        <x:v>-0.5609756097560976</x:v>
      </x:c>
      <x:c r="E7" s="9" t="str">
        <x:v>Sep 2022–Aug 2023 versus Sep 2023–Aug 2024. Counts people × nights; not booked listing-nights.</x:v>
      </x:c>
    </x:row>
    <x:row r="8" ht="64" customHeight="1">
      <x:c r="A8" s="10" t="str">
        <x:v>Gross host earnings loss</x:v>
      </x:c>
      <x:c r="B8" s="12"/>
      <x:c r="C8" s="12" t="n">
        <x:v>351000000</x:v>
      </x:c>
      <x:c r="D8" s="10"/>
      <x:c r="E8" s="10" t="str">
        <x:v>USD. Study estimate includes NYC direct taxes; not Airbnb fee revenue.</x:v>
      </x:c>
    </x:row>
    <x:row r="9" ht="64" customHeight="1">
      <x:c r="A9" s="9" t="str">
        <x:v>Method</x:v>
      </x:c>
      <x:c r="B9" s="9"/>
      <x:c r="C9" s="9"/>
      <x:c r="D9" s="9"/>
      <x:c r="E9" s="9" t="str">
        <x:v>LL18 comparison is YoY, not synthetic control. It cannot isolate causality or consolidation-level recapture.</x:v>
      </x:c>
    </x:row>
    <x:row r="10" ht="64" customHeight="1">
      <x:c r="A10" s="10" t="str">
        <x:v>Recapture</x:v>
      </x:c>
      <x:c r="B10" s="10"/>
      <x:c r="C10" s="10"/>
      <x:c r="D10" s="10"/>
      <x:c r="E10" s="10" t="str">
        <x:v>An observed citywide decline already incorporates retained activity within that measured city. Further recapture must be incremental and measured consistently.</x:v>
      </x:c>
    </x:row>
    <x:row r="11" ht="64" customHeight="1">
      <x:c r="A11" s="9" t="str">
        <x:v>Source</x:v>
      </x:c>
      <x:c r="B11" s="9"/>
      <x:c r="C11" s="9"/>
      <x:c r="D11" s="9"/>
      <x:c r="E11" s="9" t="str">
        <x:v>https://news.airbnb.com/wp-content/uploads/sites/4/2025/05/The-Costs-of-STR-Restrictions.pdf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21" hidden="0" customWidth="1"/>
    <x:col min="3" max="3" width="26" hidden="0" customWidth="1"/>
    <x:col min="4" max="4" width="17" hidden="0" customWidth="1"/>
    <x:col min="5" max="5" width="18" hidden="0" customWidth="1"/>
    <x:col min="6" max="6" width="22" hidden="0" customWidth="1"/>
    <x:col min="7" max="7" width="19" hidden="0" customWidth="1"/>
    <x:col min="8" max="8" width="23" hidden="0" customWidth="1"/>
    <x:col min="9" max="9" width="25" hidden="0" customWidth="1"/>
    <x:col min="10" max="10" width="23" hidden="0" customWidth="1"/>
    <x:col min="11" max="11" width="23" hidden="0" customWidth="1"/>
    <x:col min="12" max="12" width="24" hidden="0" customWidth="1"/>
  </x:cols>
  <x:sheetData>
    <x:row r="1" ht="30" customHeight="1">
      <x:c r="A1" s="2" t="str">
        <x:v>Annualized exposure sensitivities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Assumptions apply after phase-out. Alternatives within each cohort must not be summed.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5" customHeight="1">
      <x:c r="A6" s="7" t="str">
        <x:v>Matched cohort</x:v>
      </x:c>
      <x:c r="B6" s="7" t="str">
        <x:v>Distinct identifiers</x:v>
      </x:c>
      <x:c r="C6" s="7" t="str">
        <x:v>Annual room value per ID USD</x:v>
      </x:c>
      <x:c r="D6" s="7" t="str">
        <x:v>Fee rate</x:v>
      </x:c>
      <x:c r="E6" s="7" t="str">
        <x:v>Recapture</x:v>
      </x:c>
      <x:c r="F6" s="7" t="str">
        <x:v>Contribution margin</x:v>
      </x:c>
      <x:c r="G6" s="7" t="str">
        <x:v>Net legal scope</x:v>
      </x:c>
      <x:c r="H6" s="7" t="str">
        <x:v>Gross fee USD m</x:v>
      </x:c>
      <x:c r="I6" s="7" t="str">
        <x:v>Net revenue loss USD m</x:v>
      </x:c>
      <x:c r="J6" s="7" t="str">
        <x:v>EBITDA loss USD m</x:v>
      </x:c>
      <x:c r="K6" s="7" t="str">
        <x:v>FY25 revenue share</x:v>
      </x:c>
      <x:c r="L6" s="7" t="str">
        <x:v>FY25 margin loss bps</x:v>
      </x:c>
    </x:row>
    <x:row r="7" ht="53" customHeight="1">
      <x:c r="A7" s="9" t="str">
        <x:v>Barcelona matched licences</x:v>
      </x:c>
      <x:c r="B7" s="11" t="n">
        <x:v>5146</x:v>
      </x:c>
      <x:c r="C7" s="27" t="n">
        <x:v>30000</x:v>
      </x:c>
      <x:c r="D7" s="28" t="n">
        <x:v>0.155</x:v>
      </x:c>
      <x:c r="E7" s="28" t="n">
        <x:v>0.25</x:v>
      </x:c>
      <x:c r="F7" s="28" t="n">
        <x:v>0.7</x:v>
      </x:c>
      <x:c r="G7" s="28" t="n">
        <x:v>1</x:v>
      </x:c>
      <x:c r="H7" s="15" t="n">
        <x:f>IF(COUNT(B7:G7)&lt;6,"",B7*C7*D7*G7/1000000)</x:f>
        <x:v>23.9289</x:v>
      </x:c>
      <x:c r="I7" s="15" t="n">
        <x:f>IF(H7="","",H7*(1-E7))</x:f>
        <x:v>17.946675</x:v>
      </x:c>
      <x:c r="J7" s="15" t="n">
        <x:f>IF(I7="","",I7*F7)</x:f>
        <x:v>12.562672499999998</x:v>
      </x:c>
      <x:c r="K7" s="19" t="n">
        <x:f>IF(I7="","",I7/$B$28)</x:f>
        <x:v>0.001466111837268197</x:v>
      </x:c>
      <x:c r="L7" s="21" t="n">
        <x:f>IF(I7="","",($B$29/$B$28-($B$29-J7)/($B$28-I7))*10000)</x:f>
        <x:v>5.123752444448071</x:v>
      </x:c>
    </x:row>
    <x:row r="8" ht="53" customHeight="1">
      <x:c r="A8" s="10" t="str">
        <x:v>Barcelona matched licences</x:v>
      </x:c>
      <x:c r="B8" s="12" t="n">
        <x:v>5146</x:v>
      </x:c>
      <x:c r="C8" s="27" t="n">
        <x:v>30000</x:v>
      </x:c>
      <x:c r="D8" s="28" t="n">
        <x:v>0.155</x:v>
      </x:c>
      <x:c r="E8" s="28" t="n">
        <x:v>0.5</x:v>
      </x:c>
      <x:c r="F8" s="28" t="n">
        <x:v>0.7</x:v>
      </x:c>
      <x:c r="G8" s="28" t="n">
        <x:v>1</x:v>
      </x:c>
      <x:c r="H8" s="16" t="n">
        <x:f>IF(COUNT(B8:G8)&lt;6,"",B8*C8*D8*G8/1000000)</x:f>
        <x:v>23.9289</x:v>
      </x:c>
      <x:c r="I8" s="16" t="n">
        <x:f>IF(H8="","",H8*(1-E8))</x:f>
        <x:v>11.96445</x:v>
      </x:c>
      <x:c r="J8" s="16" t="n">
        <x:f>IF(I8="","",I8*F8)</x:f>
        <x:v>8.375115</x:v>
      </x:c>
      <x:c r="K8" s="20" t="n">
        <x:f>IF(I8="","",I8/$B$28)</x:f>
        <x:v>0.0009774078915121313</x:v>
      </x:c>
      <x:c r="L8" s="22" t="n">
        <x:f>IF(I8="","",($B$29/$B$28-($B$29-J8)/($B$28-I8))*10000)</x:f>
        <x:v>3.414163997725872</x:v>
      </x:c>
    </x:row>
    <x:row r="9" ht="53" customHeight="1">
      <x:c r="A9" s="9" t="str">
        <x:v>Barcelona matched licences</x:v>
      </x:c>
      <x:c r="B9" s="11" t="n">
        <x:v>5146</x:v>
      </x:c>
      <x:c r="C9" s="27" t="n">
        <x:v>30000</x:v>
      </x:c>
      <x:c r="D9" s="28" t="n">
        <x:v>0.155</x:v>
      </x:c>
      <x:c r="E9" s="28" t="n">
        <x:v>0.75</x:v>
      </x:c>
      <x:c r="F9" s="28" t="n">
        <x:v>0.7</x:v>
      </x:c>
      <x:c r="G9" s="28" t="n">
        <x:v>1</x:v>
      </x:c>
      <x:c r="H9" s="15" t="n">
        <x:f>IF(COUNT(B9:G9)&lt;6,"",B9*C9*D9*G9/1000000)</x:f>
        <x:v>23.9289</x:v>
      </x:c>
      <x:c r="I9" s="15" t="n">
        <x:f>IF(H9="","",H9*(1-E9))</x:f>
        <x:v>5.982225</x:v>
      </x:c>
      <x:c r="J9" s="15" t="n">
        <x:f>IF(I9="","",I9*F9)</x:f>
        <x:v>4.1875575</x:v>
      </x:c>
      <x:c r="K9" s="19" t="n">
        <x:f>IF(I9="","",I9/$B$28)</x:f>
        <x:v>0.0004887039457560656</x:v>
      </x:c>
      <x:c r="L9" s="21" t="n">
        <x:f>IF(I9="","",($B$29/$B$28-($B$29-J9)/($B$28-I9))*10000)</x:f>
        <x:v>1.7062473332501993</x:v>
      </x:c>
    </x:row>
    <x:row r="10" ht="53" customHeight="1">
      <x:c r="A10" s="10" t="str">
        <x:v>Barcelona matched licences</x:v>
      </x:c>
      <x:c r="B10" s="12" t="n">
        <x:v>5146</x:v>
      </x:c>
      <x:c r="C10" s="27" t="n">
        <x:v>60000</x:v>
      </x:c>
      <x:c r="D10" s="28" t="n">
        <x:v>0.155</x:v>
      </x:c>
      <x:c r="E10" s="28" t="n">
        <x:v>0.25</x:v>
      </x:c>
      <x:c r="F10" s="28" t="n">
        <x:v>0.7</x:v>
      </x:c>
      <x:c r="G10" s="28" t="n">
        <x:v>1</x:v>
      </x:c>
      <x:c r="H10" s="16" t="n">
        <x:f>IF(COUNT(B10:G10)&lt;6,"",B10*C10*D10*G10/1000000)</x:f>
        <x:v>47.8578</x:v>
      </x:c>
      <x:c r="I10" s="16" t="n">
        <x:f>IF(H10="","",H10*(1-E10))</x:f>
        <x:v>35.89335</x:v>
      </x:c>
      <x:c r="J10" s="16" t="n">
        <x:f>IF(I10="","",I10*F10)</x:f>
        <x:v>25.125344999999996</x:v>
      </x:c>
      <x:c r="K10" s="20" t="n">
        <x:f>IF(I10="","",I10/$B$28)</x:f>
        <x:v>0.002932223674536394</x:v>
      </x:c>
      <x:c r="L10" s="22" t="n">
        <x:f>IF(I10="","",($B$29/$B$28-($B$29-J10)/($B$28-I10))*10000)</x:f>
        <x:v>10.262573060365042</x:v>
      </x:c>
    </x:row>
    <x:row r="11" ht="53" customHeight="1">
      <x:c r="A11" s="9" t="str">
        <x:v>Barcelona matched licences</x:v>
      </x:c>
      <x:c r="B11" s="11" t="n">
        <x:v>5146</x:v>
      </x:c>
      <x:c r="C11" s="27" t="n">
        <x:v>60000</x:v>
      </x:c>
      <x:c r="D11" s="28" t="n">
        <x:v>0.155</x:v>
      </x:c>
      <x:c r="E11" s="28" t="n">
        <x:v>0.5</x:v>
      </x:c>
      <x:c r="F11" s="28" t="n">
        <x:v>0.7</x:v>
      </x:c>
      <x:c r="G11" s="28" t="n">
        <x:v>1</x:v>
      </x:c>
      <x:c r="H11" s="15" t="n">
        <x:f>IF(COUNT(B11:G11)&lt;6,"",B11*C11*D11*G11/1000000)</x:f>
        <x:v>47.8578</x:v>
      </x:c>
      <x:c r="I11" s="15" t="n">
        <x:f>IF(H11="","",H11*(1-E11))</x:f>
        <x:v>23.9289</x:v>
      </x:c>
      <x:c r="J11" s="15" t="n">
        <x:f>IF(I11="","",I11*F11)</x:f>
        <x:v>16.75023</x:v>
      </x:c>
      <x:c r="K11" s="19" t="n">
        <x:f>IF(I11="","",I11/$B$28)</x:f>
        <x:v>0.0019548157830242626</x:v>
      </x:c>
      <x:c r="L11" s="21" t="n">
        <x:f>IF(I11="","",($B$29/$B$28-($B$29-J11)/($B$28-I11))*10000)</x:f>
        <x:v>6.8350151292351224</x:v>
      </x:c>
    </x:row>
    <x:row r="12" ht="53" customHeight="1">
      <x:c r="A12" s="10" t="str">
        <x:v>Barcelona matched licences</x:v>
      </x:c>
      <x:c r="B12" s="12" t="n">
        <x:v>5146</x:v>
      </x:c>
      <x:c r="C12" s="27" t="n">
        <x:v>60000</x:v>
      </x:c>
      <x:c r="D12" s="28" t="n">
        <x:v>0.155</x:v>
      </x:c>
      <x:c r="E12" s="28" t="n">
        <x:v>0.75</x:v>
      </x:c>
      <x:c r="F12" s="28" t="n">
        <x:v>0.7</x:v>
      </x:c>
      <x:c r="G12" s="28" t="n">
        <x:v>1</x:v>
      </x:c>
      <x:c r="H12" s="16" t="n">
        <x:f>IF(COUNT(B12:G12)&lt;6,"",B12*C12*D12*G12/1000000)</x:f>
        <x:v>47.8578</x:v>
      </x:c>
      <x:c r="I12" s="16" t="n">
        <x:f>IF(H12="","",H12*(1-E12))</x:f>
        <x:v>11.96445</x:v>
      </x:c>
      <x:c r="J12" s="16" t="n">
        <x:f>IF(I12="","",I12*F12)</x:f>
        <x:v>8.375115</x:v>
      </x:c>
      <x:c r="K12" s="20" t="n">
        <x:f>IF(I12="","",I12/$B$28)</x:f>
        <x:v>0.0009774078915121313</x:v>
      </x:c>
      <x:c r="L12" s="22" t="n">
        <x:f>IF(I12="","",($B$29/$B$28-($B$29-J12)/($B$28-I12))*10000)</x:f>
        <x:v>3.414163997725872</x:v>
      </x:c>
    </x:row>
    <x:row r="13" ht="53" customHeight="1">
      <x:c r="A13" s="9" t="str">
        <x:v>Barcelona matched licences</x:v>
      </x:c>
      <x:c r="B13" s="11" t="n">
        <x:v>5146</x:v>
      </x:c>
      <x:c r="C13" s="27" t="n">
        <x:v>90000</x:v>
      </x:c>
      <x:c r="D13" s="28" t="n">
        <x:v>0.155</x:v>
      </x:c>
      <x:c r="E13" s="28" t="n">
        <x:v>0.25</x:v>
      </x:c>
      <x:c r="F13" s="28" t="n">
        <x:v>0.7</x:v>
      </x:c>
      <x:c r="G13" s="28" t="n">
        <x:v>1</x:v>
      </x:c>
      <x:c r="H13" s="15" t="n">
        <x:f>IF(COUNT(B13:G13)&lt;6,"",B13*C13*D13*G13/1000000)</x:f>
        <x:v>71.7867</x:v>
      </x:c>
      <x:c r="I13" s="15" t="n">
        <x:f>IF(H13="","",H13*(1-E13))</x:f>
        <x:v>53.840025</x:v>
      </x:c>
      <x:c r="J13" s="15" t="n">
        <x:f>IF(I13="","",I13*F13)</x:f>
        <x:v>37.688017499999994</x:v>
      </x:c>
      <x:c r="K13" s="19" t="n">
        <x:f>IF(I13="","",I13/$B$28)</x:f>
        <x:v>0.004398335511804591</x:v>
      </x:c>
      <x:c r="L13" s="21" t="n">
        <x:f>IF(I13="","",($B$29/$B$28-($B$29-J13)/($B$28-I13))*10000)</x:f>
        <x:v>15.41652841541119</x:v>
      </x:c>
    </x:row>
    <x:row r="14" ht="53" customHeight="1">
      <x:c r="A14" s="10" t="str">
        <x:v>Barcelona matched licences</x:v>
      </x:c>
      <x:c r="B14" s="12" t="n">
        <x:v>5146</x:v>
      </x:c>
      <x:c r="C14" s="27" t="n">
        <x:v>90000</x:v>
      </x:c>
      <x:c r="D14" s="28" t="n">
        <x:v>0.155</x:v>
      </x:c>
      <x:c r="E14" s="28" t="n">
        <x:v>0.5</x:v>
      </x:c>
      <x:c r="F14" s="28" t="n">
        <x:v>0.7</x:v>
      </x:c>
      <x:c r="G14" s="28" t="n">
        <x:v>1</x:v>
      </x:c>
      <x:c r="H14" s="16" t="n">
        <x:f>IF(COUNT(B14:G14)&lt;6,"",B14*C14*D14*G14/1000000)</x:f>
        <x:v>71.7867</x:v>
      </x:c>
      <x:c r="I14" s="16" t="n">
        <x:f>IF(H14="","",H14*(1-E14))</x:f>
        <x:v>35.89335</x:v>
      </x:c>
      <x:c r="J14" s="16" t="n">
        <x:f>IF(I14="","",I14*F14)</x:f>
        <x:v>25.125344999999996</x:v>
      </x:c>
      <x:c r="K14" s="20" t="n">
        <x:f>IF(I14="","",I14/$B$28)</x:f>
        <x:v>0.002932223674536394</x:v>
      </x:c>
      <x:c r="L14" s="22" t="n">
        <x:f>IF(I14="","",($B$29/$B$28-($B$29-J14)/($B$28-I14))*10000)</x:f>
        <x:v>10.262573060365042</x:v>
      </x:c>
    </x:row>
    <x:row r="15" ht="53" customHeight="1">
      <x:c r="A15" s="9" t="str">
        <x:v>Barcelona matched licences</x:v>
      </x:c>
      <x:c r="B15" s="11" t="n">
        <x:v>5146</x:v>
      </x:c>
      <x:c r="C15" s="27" t="n">
        <x:v>90000</x:v>
      </x:c>
      <x:c r="D15" s="28" t="n">
        <x:v>0.155</x:v>
      </x:c>
      <x:c r="E15" s="28" t="n">
        <x:v>0.75</x:v>
      </x:c>
      <x:c r="F15" s="28" t="n">
        <x:v>0.7</x:v>
      </x:c>
      <x:c r="G15" s="28" t="n">
        <x:v>1</x:v>
      </x:c>
      <x:c r="H15" s="15" t="n">
        <x:f>IF(COUNT(B15:G15)&lt;6,"",B15*C15*D15*G15/1000000)</x:f>
        <x:v>71.7867</x:v>
      </x:c>
      <x:c r="I15" s="15" t="n">
        <x:f>IF(H15="","",H15*(1-E15))</x:f>
        <x:v>17.946675</x:v>
      </x:c>
      <x:c r="J15" s="15" t="n">
        <x:f>IF(I15="","",I15*F15)</x:f>
        <x:v>12.562672499999998</x:v>
      </x:c>
      <x:c r="K15" s="19" t="n">
        <x:f>IF(I15="","",I15/$B$28)</x:f>
        <x:v>0.001466111837268197</x:v>
      </x:c>
      <x:c r="L15" s="21" t="n">
        <x:f>IF(I15="","",($B$29/$B$28-($B$29-J15)/($B$28-I15))*10000)</x:f>
        <x:v>5.123752444448071</x:v>
      </x:c>
    </x:row>
    <x:row r="16" ht="53" customHeight="1">
      <x:c r="A16" s="10" t="str">
        <x:v>Maui matched unit identifiers</x:v>
      </x:c>
      <x:c r="B16" s="12" t="n">
        <x:v>3862</x:v>
      </x:c>
      <x:c r="C16" s="27" t="n">
        <x:v>30000</x:v>
      </x:c>
      <x:c r="D16" s="28" t="n">
        <x:v>0.155</x:v>
      </x:c>
      <x:c r="E16" s="28" t="n">
        <x:v>0.25</x:v>
      </x:c>
      <x:c r="F16" s="28" t="n">
        <x:v>0.7</x:v>
      </x:c>
      <x:c r="G16" s="28" t="n">
        <x:v>1</x:v>
      </x:c>
      <x:c r="H16" s="16" t="n">
        <x:f>IF(COUNT(B16:G16)&lt;6,"",B16*C16*D16*G16/1000000)</x:f>
        <x:v>17.9583</x:v>
      </x:c>
      <x:c r="I16" s="16" t="n">
        <x:f>IF(H16="","",H16*(1-E16))</x:f>
        <x:v>13.468725000000001</x:v>
      </x:c>
      <x:c r="J16" s="16" t="n">
        <x:f>IF(I16="","",I16*F16)</x:f>
        <x:v>9.4281075</x:v>
      </x:c>
      <x:c r="K16" s="20" t="n">
        <x:f>IF(I16="","",I16/$B$28)</x:f>
        <x:v>0.0011002961359366065</x:v>
      </x:c>
      <x:c r="L16" s="22" t="n">
        <x:f>IF(I16="","",($B$29/$B$28-($B$29-J16)/($B$28-I16))*10000)</x:f>
        <x:v>3.843895303289324</x:v>
      </x:c>
    </x:row>
    <x:row r="17" ht="53" customHeight="1">
      <x:c r="A17" s="9" t="str">
        <x:v>Maui matched unit identifiers</x:v>
      </x:c>
      <x:c r="B17" s="11" t="n">
        <x:v>3862</x:v>
      </x:c>
      <x:c r="C17" s="27" t="n">
        <x:v>30000</x:v>
      </x:c>
      <x:c r="D17" s="28" t="n">
        <x:v>0.155</x:v>
      </x:c>
      <x:c r="E17" s="28" t="n">
        <x:v>0.5</x:v>
      </x:c>
      <x:c r="F17" s="28" t="n">
        <x:v>0.7</x:v>
      </x:c>
      <x:c r="G17" s="28" t="n">
        <x:v>1</x:v>
      </x:c>
      <x:c r="H17" s="15" t="n">
        <x:f>IF(COUNT(B17:G17)&lt;6,"",B17*C17*D17*G17/1000000)</x:f>
        <x:v>17.9583</x:v>
      </x:c>
      <x:c r="I17" s="15" t="n">
        <x:f>IF(H17="","",H17*(1-E17))</x:f>
        <x:v>8.97915</x:v>
      </x:c>
      <x:c r="J17" s="15" t="n">
        <x:f>IF(I17="","",I17*F17)</x:f>
        <x:v>6.285405</x:v>
      </x:c>
      <x:c r="K17" s="19" t="n">
        <x:f>IF(I17="","",I17/$B$28)</x:f>
        <x:v>0.000733530757291071</x:v>
      </x:c>
      <x:c r="L17" s="21" t="n">
        <x:f>IF(I17="","",($B$29/$B$28-($B$29-J17)/($B$28-I17))*10000)</x:f>
        <x:v>2.56165630711791</x:v>
      </x:c>
    </x:row>
    <x:row r="18" ht="53" customHeight="1">
      <x:c r="A18" s="10" t="str">
        <x:v>Maui matched unit identifiers</x:v>
      </x:c>
      <x:c r="B18" s="12" t="n">
        <x:v>3862</x:v>
      </x:c>
      <x:c r="C18" s="27" t="n">
        <x:v>30000</x:v>
      </x:c>
      <x:c r="D18" s="28" t="n">
        <x:v>0.155</x:v>
      </x:c>
      <x:c r="E18" s="28" t="n">
        <x:v>0.75</x:v>
      </x:c>
      <x:c r="F18" s="28" t="n">
        <x:v>0.7</x:v>
      </x:c>
      <x:c r="G18" s="28" t="n">
        <x:v>1</x:v>
      </x:c>
      <x:c r="H18" s="16" t="n">
        <x:f>IF(COUNT(B18:G18)&lt;6,"",B18*C18*D18*G18/1000000)</x:f>
        <x:v>17.9583</x:v>
      </x:c>
      <x:c r="I18" s="16" t="n">
        <x:f>IF(H18="","",H18*(1-E18))</x:f>
        <x:v>4.489575</x:v>
      </x:c>
      <x:c r="J18" s="16" t="n">
        <x:f>IF(I18="","",I18*F18)</x:f>
        <x:v>3.1427025</x:v>
      </x:c>
      <x:c r="K18" s="20" t="n">
        <x:f>IF(I18="","",I18/$B$28)</x:f>
        <x:v>0.0003667653786455355</x:v>
      </x:c>
      <x:c r="L18" s="22" t="n">
        <x:f>IF(I18="","",($B$29/$B$28-($B$29-J18)/($B$28-I18))*10000)</x:f>
        <x:v>1.2803582177800532</x:v>
      </x:c>
    </x:row>
    <x:row r="19" ht="53" customHeight="1">
      <x:c r="A19" s="9" t="str">
        <x:v>Maui matched unit identifiers</x:v>
      </x:c>
      <x:c r="B19" s="11" t="n">
        <x:v>3862</x:v>
      </x:c>
      <x:c r="C19" s="27" t="n">
        <x:v>60000</x:v>
      </x:c>
      <x:c r="D19" s="28" t="n">
        <x:v>0.155</x:v>
      </x:c>
      <x:c r="E19" s="28" t="n">
        <x:v>0.25</x:v>
      </x:c>
      <x:c r="F19" s="28" t="n">
        <x:v>0.7</x:v>
      </x:c>
      <x:c r="G19" s="28" t="n">
        <x:v>1</x:v>
      </x:c>
      <x:c r="H19" s="15" t="n">
        <x:f>IF(COUNT(B19:G19)&lt;6,"",B19*C19*D19*G19/1000000)</x:f>
        <x:v>35.9166</x:v>
      </x:c>
      <x:c r="I19" s="15" t="n">
        <x:f>IF(H19="","",H19*(1-E19))</x:f>
        <x:v>26.937450000000002</x:v>
      </x:c>
      <x:c r="J19" s="15" t="n">
        <x:f>IF(I19="","",I19*F19)</x:f>
        <x:v>18.856215</x:v>
      </x:c>
      <x:c r="K19" s="19" t="n">
        <x:f>IF(I19="","",I19/$B$28)</x:f>
        <x:v>0.002200592271873213</x:v>
      </x:c>
      <x:c r="L19" s="21" t="n">
        <x:f>IF(I19="","",($B$29/$B$28-($B$29-J19)/($B$28-I19))*10000)</x:f>
        <x:v>7.69626810840307</x:v>
      </x:c>
    </x:row>
    <x:row r="20" ht="53" customHeight="1">
      <x:c r="A20" s="10" t="str">
        <x:v>Maui matched unit identifiers</x:v>
      </x:c>
      <x:c r="B20" s="12" t="n">
        <x:v>3862</x:v>
      </x:c>
      <x:c r="C20" s="27" t="n">
        <x:v>60000</x:v>
      </x:c>
      <x:c r="D20" s="28" t="n">
        <x:v>0.155</x:v>
      </x:c>
      <x:c r="E20" s="28" t="n">
        <x:v>0.5</x:v>
      </x:c>
      <x:c r="F20" s="28" t="n">
        <x:v>0.7</x:v>
      </x:c>
      <x:c r="G20" s="28" t="n">
        <x:v>1</x:v>
      </x:c>
      <x:c r="H20" s="16" t="n">
        <x:f>IF(COUNT(B20:G20)&lt;6,"",B20*C20*D20*G20/1000000)</x:f>
        <x:v>35.9166</x:v>
      </x:c>
      <x:c r="I20" s="16" t="n">
        <x:f>IF(H20="","",H20*(1-E20))</x:f>
        <x:v>17.9583</x:v>
      </x:c>
      <x:c r="J20" s="16" t="n">
        <x:f>IF(I20="","",I20*F20)</x:f>
        <x:v>12.57081</x:v>
      </x:c>
      <x:c r="K20" s="20" t="n">
        <x:f>IF(I20="","",I20/$B$28)</x:f>
        <x:v>0.001467061514582142</x:v>
      </x:c>
      <x:c r="L20" s="22" t="n">
        <x:f>IF(I20="","",($B$29/$B$28-($B$29-J20)/($B$28-I20))*10000)</x:f>
        <x:v>5.127076243092721</x:v>
      </x:c>
    </x:row>
    <x:row r="21" ht="53" customHeight="1">
      <x:c r="A21" s="9" t="str">
        <x:v>Maui matched unit identifiers</x:v>
      </x:c>
      <x:c r="B21" s="11" t="n">
        <x:v>3862</x:v>
      </x:c>
      <x:c r="C21" s="27" t="n">
        <x:v>60000</x:v>
      </x:c>
      <x:c r="D21" s="28" t="n">
        <x:v>0.155</x:v>
      </x:c>
      <x:c r="E21" s="28" t="n">
        <x:v>0.75</x:v>
      </x:c>
      <x:c r="F21" s="28" t="n">
        <x:v>0.7</x:v>
      </x:c>
      <x:c r="G21" s="28" t="n">
        <x:v>1</x:v>
      </x:c>
      <x:c r="H21" s="15" t="n">
        <x:f>IF(COUNT(B21:G21)&lt;6,"",B21*C21*D21*G21/1000000)</x:f>
        <x:v>35.9166</x:v>
      </x:c>
      <x:c r="I21" s="15" t="n">
        <x:f>IF(H21="","",H21*(1-E21))</x:f>
        <x:v>8.97915</x:v>
      </x:c>
      <x:c r="J21" s="15" t="n">
        <x:f>IF(I21="","",I21*F21)</x:f>
        <x:v>6.285405</x:v>
      </x:c>
      <x:c r="K21" s="19" t="n">
        <x:f>IF(I21="","",I21/$B$28)</x:f>
        <x:v>0.000733530757291071</x:v>
      </x:c>
      <x:c r="L21" s="21" t="n">
        <x:f>IF(I21="","",($B$29/$B$28-($B$29-J21)/($B$28-I21))*10000)</x:f>
        <x:v>2.56165630711791</x:v>
      </x:c>
    </x:row>
    <x:row r="22" ht="53" customHeight="1">
      <x:c r="A22" s="10" t="str">
        <x:v>Maui matched unit identifiers</x:v>
      </x:c>
      <x:c r="B22" s="12" t="n">
        <x:v>3862</x:v>
      </x:c>
      <x:c r="C22" s="27" t="n">
        <x:v>90000</x:v>
      </x:c>
      <x:c r="D22" s="28" t="n">
        <x:v>0.155</x:v>
      </x:c>
      <x:c r="E22" s="28" t="n">
        <x:v>0.25</x:v>
      </x:c>
      <x:c r="F22" s="28" t="n">
        <x:v>0.7</x:v>
      </x:c>
      <x:c r="G22" s="28" t="n">
        <x:v>1</x:v>
      </x:c>
      <x:c r="H22" s="16" t="n">
        <x:f>IF(COUNT(B22:G22)&lt;6,"",B22*C22*D22*G22/1000000)</x:f>
        <x:v>53.8749</x:v>
      </x:c>
      <x:c r="I22" s="16" t="n">
        <x:f>IF(H22="","",H22*(1-E22))</x:f>
        <x:v>40.406175</x:v>
      </x:c>
      <x:c r="J22" s="16" t="n">
        <x:f>IF(I22="","",I22*F22)</x:f>
        <x:v>28.284322499999995</x:v>
      </x:c>
      <x:c r="K22" s="20" t="n">
        <x:f>IF(I22="","",I22/$B$28)</x:f>
        <x:v>0.0033008884078098194</x:v>
      </x:c>
      <x:c r="L22" s="22" t="n">
        <x:f>IF(I22="","",($B$29/$B$28-($B$29-J22)/($B$28-I22))*10000)</x:f>
        <x:v>11.55714649130224</x:v>
      </x:c>
    </x:row>
    <x:row r="23" ht="53" customHeight="1">
      <x:c r="A23" s="9" t="str">
        <x:v>Maui matched unit identifiers</x:v>
      </x:c>
      <x:c r="B23" s="11" t="n">
        <x:v>3862</x:v>
      </x:c>
      <x:c r="C23" s="27" t="n">
        <x:v>90000</x:v>
      </x:c>
      <x:c r="D23" s="28" t="n">
        <x:v>0.155</x:v>
      </x:c>
      <x:c r="E23" s="28" t="n">
        <x:v>0.5</x:v>
      </x:c>
      <x:c r="F23" s="28" t="n">
        <x:v>0.7</x:v>
      </x:c>
      <x:c r="G23" s="28" t="n">
        <x:v>1</x:v>
      </x:c>
      <x:c r="H23" s="15" t="n">
        <x:f>IF(COUNT(B23:G23)&lt;6,"",B23*C23*D23*G23/1000000)</x:f>
        <x:v>53.8749</x:v>
      </x:c>
      <x:c r="I23" s="15" t="n">
        <x:f>IF(H23="","",H23*(1-E23))</x:f>
        <x:v>26.93745</x:v>
      </x:c>
      <x:c r="J23" s="15" t="n">
        <x:f>IF(I23="","",I23*F23)</x:f>
        <x:v>18.856215</x:v>
      </x:c>
      <x:c r="K23" s="19" t="n">
        <x:f>IF(I23="","",I23/$B$28)</x:f>
        <x:v>0.0022005922718732127</x:v>
      </x:c>
      <x:c r="L23" s="21" t="n">
        <x:f>IF(I23="","",($B$29/$B$28-($B$29-J23)/($B$28-I23))*10000)</x:f>
        <x:v>7.69626810840307</x:v>
      </x:c>
    </x:row>
    <x:row r="24" ht="53" customHeight="1">
      <x:c r="A24" s="10" t="str">
        <x:v>Maui matched unit identifiers</x:v>
      </x:c>
      <x:c r="B24" s="12" t="n">
        <x:v>3862</x:v>
      </x:c>
      <x:c r="C24" s="27" t="n">
        <x:v>90000</x:v>
      </x:c>
      <x:c r="D24" s="28" t="n">
        <x:v>0.155</x:v>
      </x:c>
      <x:c r="E24" s="28" t="n">
        <x:v>0.75</x:v>
      </x:c>
      <x:c r="F24" s="28" t="n">
        <x:v>0.7</x:v>
      </x:c>
      <x:c r="G24" s="28" t="n">
        <x:v>1</x:v>
      </x:c>
      <x:c r="H24" s="16" t="n">
        <x:f>IF(COUNT(B24:G24)&lt;6,"",B24*C24*D24*G24/1000000)</x:f>
        <x:v>53.8749</x:v>
      </x:c>
      <x:c r="I24" s="16" t="n">
        <x:f>IF(H24="","",H24*(1-E24))</x:f>
        <x:v>13.468725</x:v>
      </x:c>
      <x:c r="J24" s="16" t="n">
        <x:f>IF(I24="","",I24*F24)</x:f>
        <x:v>9.4281075</x:v>
      </x:c>
      <x:c r="K24" s="20" t="n">
        <x:f>IF(I24="","",I24/$B$28)</x:f>
        <x:v>0.0011002961359366063</x:v>
      </x:c>
      <x:c r="L24" s="22" t="n">
        <x:f>IF(I24="","",($B$29/$B$28-($B$29-J24)/($B$28-I24))*10000)</x:f>
        <x:v>3.843895303289324</x:v>
      </x:c>
    </x:row>
    <x:row r="28">
      <x:c r="A28" t="str">
        <x:v>FY25 revenue USD m</x:v>
      </x:c>
      <x:c r="B28" t="n">
        <x:v>12241</x:v>
      </x:c>
    </x:row>
    <x:row r="29">
      <x:c r="A29" t="str">
        <x:v>FY25 adjusted EBITDA USD m</x:v>
      </x:c>
      <x:c r="B29" t="n">
        <x:v>4297</x:v>
      </x:c>
    </x:row>
    <x:row r="31">
      <x:c r="A31" t="str">
        <x:v>Room value includes zero-production identifiers in the average. Fee rate, recapture, contribution and legal scope are assumptions.</x:v>
      </x:c>
    </x:row>
    <x:row r="32">
      <x:c r="A32" t="str">
        <x:v>Full scope is assumed before exemptions. Matched counts are an observed subset; omitted/misreported identifiers can change exposure.</x:v>
      </x:c>
    </x:row>
    <x:row r="33">
      <x:c r="A33" t="str">
        <x:v>FY25 denominator source: https://www.sec.gov/Archives/edgar/data/1559720/000119312526048670/d58192dex991.htm</x:v>
      </x:c>
    </x:row>
  </x:sheetData>
  <x:dataValidations count="4">
    <x:dataValidation type="decimal" operator="between" sqref="D7:D24">
      <x:formula1>0</x:formula1>
      <x:formula2>1</x:formula2>
    </x:dataValidation>
    <x:dataValidation type="decimal" operator="between" sqref="E7:E24">
      <x:formula1>0</x:formula1>
      <x:formula2>1</x:formula2>
    </x:dataValidation>
    <x:dataValidation type="decimal" operator="between" sqref="F7:F24">
      <x:formula1>0</x:formula1>
      <x:formula2>1</x:formula2>
    </x:dataValidation>
    <x:dataValidation type="decimal" operator="between" sqref="G7:G24">
      <x:formula1>0</x:formula1>
      <x:formula2>1</x:formula2>
    </x:dataValidation>
  </x:dataValidations>
  <x:pageMargins left="0.7" right="0.7" top="0.75" bottom="0.75" header="0.3" footer="0.3"/>
</x:worksheet>
</file>