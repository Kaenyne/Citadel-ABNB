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abe6e1399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e61a28b4ef54e35"/>
    <x:sheet xmlns:r="http://schemas.openxmlformats.org/officeDocument/2006/relationships" name="Supply" sheetId="2" r:id="R5855aa3f756e4d6c"/>
    <x:sheet xmlns:r="http://schemas.openxmlformats.org/officeDocument/2006/relationships" name="Rules" sheetId="3" r:id="R18f0b8f5e13140d6"/>
    <x:sheet xmlns:r="http://schemas.openxmlformats.org/officeDocument/2006/relationships" name="Observed changes" sheetId="4" r:id="Rdfe5e65d267142f8"/>
    <x:sheet xmlns:r="http://schemas.openxmlformats.org/officeDocument/2006/relationships" name="Guidance" sheetId="5" r:id="Rbc81bbd5ab274aca"/>
    <x:sheet xmlns:r="http://schemas.openxmlformats.org/officeDocument/2006/relationships" name="Scenarios" sheetId="6" r:id="Rf76bdd102a424c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(#,##0);0"/>
    <x:numFmt numFmtId="201" formatCode="0.0%"/>
    <x:numFmt numFmtId="202" formatCode="$0.0;($0.0);$0.0"/>
    <x:numFmt numFmtId="203" formatCode="0.0"/>
    <x:numFmt numFmtId="204" formatCode="0.00%"/>
  </x:numFmts>
  <x:fonts count="6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i/>
      <x:sz val="11"/>
      <x:color rgb="FF20202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3F50"/>
      </x:patternFill>
    </x:fill>
    <x:fill>
      <x:patternFill patternType="solid">
        <x:fgColor rgb="FFF1F4F6"/>
      </x:patternFill>
    </x:fill>
    <x:fill>
      <x:patternFill patternType="solid">
        <x:fgColor rgb="FFDDE5EB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8497A2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0feb56f4a499c" /><Relationship Type="http://schemas.openxmlformats.org/officeDocument/2006/relationships/theme" Target="/xl/theme/theme1.xml" Id="Rfd98f4374c4148d7" /><Relationship Type="http://schemas.openxmlformats.org/officeDocument/2006/relationships/sharedStrings" Target="/xl/sharedStrings.xml" Id="R3ccd86c7c84544b3" /><Relationship Type="http://schemas.openxmlformats.org/officeDocument/2006/relationships/worksheet" Target="/xl/worksheets/sheet1.xml" Id="R7e61a28b4ef54e35" /><Relationship Type="http://schemas.openxmlformats.org/officeDocument/2006/relationships/worksheet" Target="/xl/worksheets/sheet2.xml" Id="R5855aa3f756e4d6c" /><Relationship Type="http://schemas.openxmlformats.org/officeDocument/2006/relationships/worksheet" Target="/xl/worksheets/sheet3.xml" Id="R18f0b8f5e13140d6" /><Relationship Type="http://schemas.openxmlformats.org/officeDocument/2006/relationships/worksheet" Target="/xl/worksheets/sheet4.xml" Id="Rdfe5e65d267142f8" /><Relationship Type="http://schemas.openxmlformats.org/officeDocument/2006/relationships/worksheet" Target="/xl/worksheets/sheet5.xml" Id="Rbc81bbd5ab274aca" /><Relationship Type="http://schemas.openxmlformats.org/officeDocument/2006/relationships/worksheet" Target="/xl/worksheets/sheet6.xml" Id="Rf76bdd102a424c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15" hidden="0" customWidth="1"/>
  </x:cols>
  <x:sheetData>
    <x:row r="1" ht="32" customHeight="1">
      <x:c r="A1" s="3" t="str">
        <x:v>Airbnb regulatory exposure</x:v>
      </x:c>
      <x:c r="B1" s="4"/>
    </x:row>
    <x:row r="2">
      <x:c r="A2" s="5" t="str">
        <x:v>First quantitative inventory and editable annualized sensitivities</x:v>
      </x:c>
      <x:c r="B2" s="1"/>
    </x:row>
    <x:row r="3">
      <x:c r="A3" s="1"/>
      <x:c r="B3" s="1"/>
    </x:row>
    <x:row r="4">
      <x:c r="A4" s="1"/>
      <x:c r="B4" s="1"/>
    </x:row>
    <x:row r="5">
      <x:c r="A5" s="1"/>
      <x:c r="B5" s="1"/>
    </x:row>
    <x:row r="6" ht="46" customHeight="1">
      <x:c r="A6" s="9" t="str">
        <x:v>Topic</x:v>
      </x:c>
      <x:c r="B6" s="9" t="str">
        <x:v>Interpretation</x:v>
      </x:c>
    </x:row>
    <x:row r="7" ht="62" customHeight="1">
      <x:c r="A7" s="11" t="str">
        <x:v>Purpose</x:v>
      </x:c>
      <x:c r="B7" s="11" t="str">
        <x:v>Quantify housing- and overtourism-related regulatory exposure for Airbnb. Research cutoff: 5 September 2026.</x:v>
      </x:c>
    </x:row>
    <x:row r="8" ht="62" customHeight="1">
      <x:c r="A8" s="12" t="str">
        <x:v>Coverage</x:v>
      </x:c>
      <x:c r="B8" s="12" t="str">
        <x:v>All 32 factors in the prior register, plus Lisbon insurance cleanup. 20 downloaded Airbnb market snapshots. Country denominators use official or attributed data when Airbnb totals are unavailable.</x:v>
      </x:c>
    </x:row>
    <x:row r="9" ht="62" customHeight="1">
      <x:c r="A9" s="11" t="str">
        <x:v>What counts mean</x:v>
      </x:c>
      <x:c r="B9" s="11" t="str">
        <x:v>Airbnb IDs, registered properties, tourist dwellings and removed advertisements are different units. They are labeled separately and must not be divided by mismatched denominators.</x:v>
      </x:c>
    </x:row>
    <x:row r="10" ht="62" customHeight="1">
      <x:c r="A10" s="12" t="str">
        <x:v>Airbnb supply screen</x:v>
      </x:c>
      <x:c r="B10" s="12" t="str">
        <x:v>Minimum nights below 30 identifies advertised short-stay eligibility. It does not prove a booking, legal compliance or primary-residence status. Ireland, BC and Greece use different statutory duration definitions.</x:v>
      </x:c>
    </x:row>
    <x:row r="11" ht="62" customHeight="1">
      <x:c r="A11" s="11" t="str">
        <x:v>Geography</x:v>
      </x:c>
      <x:c r="B11" s="11" t="str">
        <x:v>Lisbon, Porto, Maui and Thessaloniki are filtered to municipality/county. Legal subdistricts, parcels and licences still need matching. No England-wide or EU-wide Airbnb total was verified.</x:v>
      </x:c>
    </x:row>
    <x:row r="12" ht="62" customHeight="1">
      <x:c r="A12" s="12" t="str">
        <x:v>Revenue mechanics</x:v>
      </x:c>
      <x:c r="B12" s="12" t="str">
        <x:v>Gross fee loss = affected cohort × Airbnb channel share × unique productive share × lost nights × room ADR × fee rate × net scope/enforcement. Net loss subtracts revenue retained elsewhere on Airbnb.</x:v>
      </x:c>
    </x:row>
    <x:row r="13" ht="62" customHeight="1">
      <x:c r="A13" s="11" t="str">
        <x:v>Caps and freezes</x:v>
      </x:c>
      <x:c r="B13" s="11" t="str">
        <x:v>Night caps remove only nights above the new limit. Entry freezes affect the future supply pipeline and transfer attrition. They do not remove every current listing.</x:v>
      </x:c>
    </x:row>
    <x:row r="14" ht="62" customHeight="1">
      <x:c r="A14" s="12" t="str">
        <x:v>Scenario meaning</x:v>
      </x:c>
      <x:c r="B14" s="12" t="str">
        <x:v>Every unit-economics and behavioral driver is illustrative. Scenario outputs are annualized sensitivities, not investment forecasts or company disclosures. Alternative and overlapping rows must not be summed.</x:v>
      </x:c>
    </x:row>
    <x:row r="15" ht="62" customHeight="1">
      <x:c r="A15" s="11" t="str">
        <x:v>Guidance conclusion</x:v>
      </x:c>
      <x:c r="B15" s="11" t="str">
        <x:v>No jurisdiction-by-jurisdiction regulatory revenue or EBITDA bridge was found in the reviewed calls and filings. Known effects may be embedded in current booking trends. This is an inference, not management confirmation.</x:v>
      </x:c>
    </x:row>
    <x:row r="16" ht="62" customHeight="1">
      <x:c r="A16" s="12" t="str">
        <x:v>Latest outlook</x:v>
      </x:c>
      <x:c r="B16" s="12" t="str">
        <x:v>August 2026 guidance raised FY26 revenue growth to at least mid teens and adjusted EBITDA margin to at least 35.5%. Reported resilience does not identify the no-regulation counterfactual.</x:v>
      </x:c>
    </x:row>
    <x:row r="17" ht="62" customHeight="1">
      <x:c r="A17" s="11" t="str">
        <x:v>Spain fine update</x:v>
      </x:c>
      <x:c r="B17" s="11" t="str">
        <x:v>Q2 2026 filing reports a EUR70m surety bond to suspend fine enforcement. Potential loss remains neither probable nor estimable. Bond face value is not an expense or proof of a cash payment.</x:v>
      </x:c>
    </x:row>
    <x:row r="18" ht="62" customHeight="1">
      <x:c r="A18" s="12" t="str">
        <x:v>Stock model treatment</x:v>
      </x:c>
      <x:c r="B18" s="12" t="str">
        <x:v>Deduct only incremental losses absent from the baseline. Separate revenue, incremental contribution margin, compliance/legal spending and contingent one-off fines. Do not mechanically haircut consolidated EBITDA by the reported average margin.</x:v>
      </x:c>
    </x:row>
    <x:row r="19" ht="62" customHeight="1">
      <x:c r="A19" s="11" t="str">
        <x:v>Next data purchase or pull</x:v>
      </x:c>
      <x:c r="B19" s="11" t="str">
        <x:v>Obtain monthly Airbnb-only listing IDs, booked nights, realized ADR and revenue before/after each event, plus matched licences and exact policy boundaries. No paid dataset was purchased.</x:v>
      </x:c>
    </x:row>
    <x:row r="20" ht="62" customHeight="1">
      <x:c r="A20" s="12" t="str">
        <x:v>Causal design</x:v>
      </x:c>
      <x:c r="B20" s="12" t="str">
        <x:v>Use same-month comparisons and matched untreated destinations with pre-trend checks. Nearby destinations may receive displaced demand, making them poor untreated controls. Track cohort exits, new entry and platform recapture.</x:v>
      </x:c>
    </x:row>
    <x:row r="21" ht="62" customHeight="1">
      <x:c r="A21" s="11" t="str">
        <x:v>Input colors</x:v>
      </x:c>
      <x:c r="B21" s="11" t="str">
        <x:v>Blue numeric cells with pale yellow fill are editable scenario assumptions. Black formulas calculate on the same tab; green formulas link other tabs. Blank unknowns remain unknown.</x:v>
      </x:c>
    </x:row>
    <x:row r="22" ht="62" customHeight="1">
      <x:c r="A22" s="12" t="str">
        <x:v>Primary financial sources</x:v>
      </x:c>
      <x:c r="B22" s="12" t="str">
        <x:v>https://www.sec.gov/Archives/edgar/data/1559720/000155972026000027/abnb-20260630.htm</x:v>
      </x:c>
    </x:row>
    <x:row r="23" ht="62" customHeight="1">
      <x:c r="A23" s="11" t="str">
        <x:v>Latest shareholder letter</x:v>
      </x:c>
      <x:c r="B23" s="11" t="str">
        <x:v>https://www.sec.gov/Archives/edgar/data/1559720/000119312526337928/d70413dex991.htm</x:v>
      </x:c>
    </x:row>
    <x:row r="24" ht="62" customHeight="1">
      <x:c r="A24" s="12" t="str">
        <x:v>Listing data attribution</x:v>
      </x:c>
      <x:c r="B24" s="12" t="str">
        <x:v>Inside Airbnb, CC BY 4.0. Download URLs and snapshot dates appear in Supply. https://insideairbnb.com/get-the-data/</x:v>
      </x:c>
    </x:row>
    <x:row r="25" ht="62" customHeight="1">
      <x:c r="A25" s="11" t="str">
        <x:v>Refinitiv and transcripts</x:v>
      </x:c>
      <x:c r="B25" s="11" t="str">
        <x:v>Existing LSEG connection and downloaded news were reused. Fourteen quarterly transcripts are archived separately: 13 company-hosted PDFs and a public Q2 2026 fallback. LSEG transcript entries linked to EventsViewer rather than supplying full text.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17" hidden="0" customWidth="1"/>
    <x:col min="3" max="3" width="20" hidden="0" customWidth="1"/>
    <x:col min="4" max="4" width="24" hidden="0" customWidth="1"/>
    <x:col min="5" max="5" width="15" hidden="0" customWidth="1"/>
    <x:col min="6" max="6" width="45" hidden="0" customWidth="1"/>
    <x:col min="7" max="7" width="75" hidden="0" customWidth="1"/>
    <x:col min="8" max="8" width="80" hidden="0" customWidth="1"/>
  </x:cols>
  <x:sheetData>
    <x:row r="1" ht="32" customHeight="1">
      <x:c r="A1" s="3" t="str">
        <x:v>Listing and registration counts</x:v>
      </x:c>
      <x:c r="B1" s="4"/>
      <x:c r="C1" s="4"/>
      <x:c r="D1" s="4"/>
      <x:c r="E1" s="4"/>
      <x:c r="F1" s="4"/>
      <x:c r="G1" s="4"/>
      <x:c r="H1" s="4"/>
    </x:row>
    <x:row r="2">
      <x:c r="A2" s="5" t="str">
        <x:v>Snapshot dates vary. Units and geographic scope are not interchangeable.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46" customHeight="1">
      <x:c r="A6" s="9" t="str">
        <x:v>Market</x:v>
      </x:c>
      <x:c r="B6" s="9" t="str">
        <x:v>Total inventory</x:v>
      </x:c>
      <x:c r="C6" s="9" t="str">
        <x:v>Short-stay listings</x:v>
      </x:c>
      <x:c r="D6" s="9" t="str">
        <x:v>Short-stay entire homes</x:v>
      </x:c>
      <x:c r="E6" s="9" t="str">
        <x:v>As of</x:v>
      </x:c>
      <x:c r="F6" s="9" t="str">
        <x:v>Count unit</x:v>
      </x:c>
      <x:c r="G6" s="9" t="str">
        <x:v>Scope and limitations</x:v>
      </x:c>
      <x:c r="H6" s="9" t="str">
        <x:v>Source URL</x:v>
      </x:c>
    </x:row>
    <x:row r="7" ht="76" customHeight="1">
      <x:c r="A7" s="11" t="str">
        <x:v>New York City</x:v>
      </x:c>
      <x:c r="B7" s="13" t="n">
        <x:v>30234</x:v>
      </x:c>
      <x:c r="C7" s="13" t="n">
        <x:v>5813</x:v>
      </x:c>
      <x:c r="D7" s="13" t="n">
        <x:v>1614</x:v>
      </x:c>
      <x:c r="E7" s="11" t="str">
        <x:v>2026-08-10</x:v>
      </x:c>
      <x:c r="F7" s="11" t="str">
        <x:v>Airbnb listing IDs in a public snapshot</x:v>
      </x:c>
      <x:c r="G7" s="11" t="str">
        <x:v>Minimum &lt;30 nights is a screening measure, not confirmed legal operation or actual booked stays.</x:v>
      </x:c>
      <x:c r="H7" s="11" t="str">
        <x:v>https://data.insideairbnb.com/united-states/ny/new-york-city/2026-08-10/visualisations/listings.csv</x:v>
      </x:c>
    </x:row>
    <x:row r="8" ht="76" customHeight="1">
      <x:c r="A8" s="12" t="str">
        <x:v>Barcelona</x:v>
      </x:c>
      <x:c r="B8" s="14" t="n">
        <x:v>15406</x:v>
      </x:c>
      <x:c r="C8" s="14" t="n">
        <x:v>9732</x:v>
      </x:c>
      <x:c r="D8" s="14" t="n">
        <x:v>7069</x:v>
      </x:c>
      <x:c r="E8" s="12" t="str">
        <x:v>2026-06-24</x:v>
      </x:c>
      <x:c r="F8" s="12" t="str">
        <x:v>Airbnb listing IDs in a public snapshot</x:v>
      </x:c>
      <x:c r="G8" s="12" t="str">
        <x:v>Minimum &lt;30 nights is a screening measure, not confirmed legal operation or actual booked stays.</x:v>
      </x:c>
      <x:c r="H8" s="12" t="str">
        <x:v>https://data.insideairbnb.com/spain/catalonia/barcelona/2026-06-24/visualisations/listings.csv</x:v>
      </x:c>
    </x:row>
    <x:row r="9" ht="76" customHeight="1">
      <x:c r="A9" s="11" t="str">
        <x:v>Athens</x:v>
      </x:c>
      <x:c r="B9" s="13" t="n">
        <x:v>14342</x:v>
      </x:c>
      <x:c r="C9" s="13" t="n">
        <x:v>14308</x:v>
      </x:c>
      <x:c r="D9" s="13" t="n">
        <x:v>13276</x:v>
      </x:c>
      <x:c r="E9" s="11" t="str">
        <x:v>2026-06-28</x:v>
      </x:c>
      <x:c r="F9" s="11" t="str">
        <x:v>Airbnb listing IDs in a public snapshot</x:v>
      </x:c>
      <x:c r="G9" s="11" t="str">
        <x:v>Minimum &lt;30 nights is a screening measure, not confirmed legal operation or actual booked stays.</x:v>
      </x:c>
      <x:c r="H9" s="11" t="str">
        <x:v>https://data.insideairbnb.com/greece/attica/athens/2026-06-28/visualisations/listings.csv</x:v>
      </x:c>
    </x:row>
    <x:row r="10" ht="76" customHeight="1">
      <x:c r="A10" s="12" t="str">
        <x:v>Paris</x:v>
      </x:c>
      <x:c r="B10" s="14" t="n">
        <x:v>77679</x:v>
      </x:c>
      <x:c r="C10" s="14" t="n">
        <x:v>62320</x:v>
      </x:c>
      <x:c r="D10" s="14" t="n">
        <x:v>54280</x:v>
      </x:c>
      <x:c r="E10" s="12" t="str">
        <x:v>2026-06-16</x:v>
      </x:c>
      <x:c r="F10" s="12" t="str">
        <x:v>Airbnb listing IDs in a public snapshot</x:v>
      </x:c>
      <x:c r="G10" s="12" t="str">
        <x:v>Minimum &lt;30 nights is a screening measure, not confirmed legal operation or actual booked stays.</x:v>
      </x:c>
      <x:c r="H10" s="12" t="str">
        <x:v>https://data.insideairbnb.com/france/ile-de-france/paris/2026-06-16/visualisations/listings.csv</x:v>
      </x:c>
    </x:row>
    <x:row r="11" ht="76" customHeight="1">
      <x:c r="A11" s="11" t="str">
        <x:v>Amsterdam</x:v>
      </x:c>
      <x:c r="B11" s="13" t="n">
        <x:v>10465</x:v>
      </x:c>
      <x:c r="C11" s="13" t="n">
        <x:v>10384</x:v>
      </x:c>
      <x:c r="D11" s="13" t="n">
        <x:v>8421</x:v>
      </x:c>
      <x:c r="E11" s="11" t="str">
        <x:v>2026-06-15</x:v>
      </x:c>
      <x:c r="F11" s="11" t="str">
        <x:v>Airbnb listing IDs in a public snapshot</x:v>
      </x:c>
      <x:c r="G11" s="11" t="str">
        <x:v>Minimum &lt;30 nights is a screening measure, not confirmed legal operation or actual booked stays.</x:v>
      </x:c>
      <x:c r="H11" s="11" t="str">
        <x:v>https://data.insideairbnb.com/the-netherlands/north-holland/amsterdam/2026-06-15/visualisations/listings.csv</x:v>
      </x:c>
    </x:row>
    <x:row r="12" ht="76" customHeight="1">
      <x:c r="A12" s="12" t="str">
        <x:v>Montreal</x:v>
      </x:c>
      <x:c r="B12" s="14" t="n">
        <x:v>10677</x:v>
      </x:c>
      <x:c r="C12" s="14" t="n">
        <x:v>4891</x:v>
      </x:c>
      <x:c r="D12" s="14" t="n">
        <x:v>4159</x:v>
      </x:c>
      <x:c r="E12" s="12" t="str">
        <x:v>2026-06-15</x:v>
      </x:c>
      <x:c r="F12" s="12" t="str">
        <x:v>Airbnb listing IDs in a public snapshot</x:v>
      </x:c>
      <x:c r="G12" s="12" t="str">
        <x:v>Minimum &lt;30 nights is a screening measure, not confirmed legal operation or actual booked stays.</x:v>
      </x:c>
      <x:c r="H12" s="12" t="str">
        <x:v>https://data.insideairbnb.com/canada/qc/montreal/2026-06-15/visualisations/listings.csv</x:v>
      </x:c>
    </x:row>
    <x:row r="13" ht="76" customHeight="1">
      <x:c r="A13" s="11" t="str">
        <x:v>Madrid</x:v>
      </x:c>
      <x:c r="B13" s="13" t="n">
        <x:v>22835</x:v>
      </x:c>
      <x:c r="C13" s="13" t="n">
        <x:v>20056</x:v>
      </x:c>
      <x:c r="D13" s="13" t="n">
        <x:v>13903</x:v>
      </x:c>
      <x:c r="E13" s="11" t="str">
        <x:v>2026-06-20</x:v>
      </x:c>
      <x:c r="F13" s="11" t="str">
        <x:v>Airbnb listing IDs in a public snapshot</x:v>
      </x:c>
      <x:c r="G13" s="11" t="str">
        <x:v>Minimum &lt;30 nights is a screening measure, not confirmed legal operation or actual booked stays.</x:v>
      </x:c>
      <x:c r="H13" s="11" t="str">
        <x:v>https://data.insideairbnb.com/spain/comunidad-de-madrid/madrid/2026-06-20/visualisations/listings.csv</x:v>
      </x:c>
    </x:row>
    <x:row r="14" ht="76" customHeight="1">
      <x:c r="A14" s="12" t="str">
        <x:v>Florence</x:v>
      </x:c>
      <x:c r="B14" s="14" t="n">
        <x:v>13508</x:v>
      </x:c>
      <x:c r="C14" s="14" t="n">
        <x:v>12652</x:v>
      </x:c>
      <x:c r="D14" s="14" t="n">
        <x:v>10640</x:v>
      </x:c>
      <x:c r="E14" s="12" t="str">
        <x:v>2026-06-26</x:v>
      </x:c>
      <x:c r="F14" s="12" t="str">
        <x:v>Airbnb listing IDs in a public snapshot</x:v>
      </x:c>
      <x:c r="G14" s="12" t="str">
        <x:v>Minimum &lt;30 nights is a screening measure, not confirmed legal operation or actual booked stays.</x:v>
      </x:c>
      <x:c r="H14" s="12" t="str">
        <x:v>https://data.insideairbnb.com/italy/toscana/florence/2026-06-26/visualisations/listings.csv</x:v>
      </x:c>
    </x:row>
    <x:row r="15" ht="76" customHeight="1">
      <x:c r="A15" s="11" t="str">
        <x:v>Ireland</x:v>
      </x:c>
      <x:c r="B15" s="13" t="n">
        <x:v>32456</x:v>
      </x:c>
      <x:c r="C15" s="13" t="n">
        <x:v>32230</x:v>
      </x:c>
      <x:c r="D15" s="13" t="n">
        <x:v>22199</x:v>
      </x:c>
      <x:c r="E15" s="11" t="str">
        <x:v>2026-06-21</x:v>
      </x:c>
      <x:c r="F15" s="11" t="str">
        <x:v>Airbnb listing IDs in a public snapshot</x:v>
      </x:c>
      <x:c r="G15" s="11" t="str">
        <x:v>Minimum &lt;30 nights is a screening measure, not confirmed legal operation or actual booked stays.</x:v>
      </x:c>
      <x:c r="H15" s="11" t="str">
        <x:v>https://data.insideairbnb.com/ireland/2026-06-21/visualisations/listings.csv</x:v>
      </x:c>
    </x:row>
    <x:row r="16" ht="76" customHeight="1">
      <x:c r="A16" s="12" t="str">
        <x:v>London</x:v>
      </x:c>
      <x:c r="B16" s="14" t="n">
        <x:v>92799</x:v>
      </x:c>
      <x:c r="C16" s="14" t="n">
        <x:v>90951</x:v>
      </x:c>
      <x:c r="D16" s="14" t="n">
        <x:v>59998</x:v>
      </x:c>
      <x:c r="E16" s="12" t="str">
        <x:v>2026-06-19</x:v>
      </x:c>
      <x:c r="F16" s="12" t="str">
        <x:v>Airbnb listing IDs in a public snapshot</x:v>
      </x:c>
      <x:c r="G16" s="12" t="str">
        <x:v>Minimum &lt;30 nights is a screening measure, not confirmed legal operation or actual booked stays.</x:v>
      </x:c>
      <x:c r="H16" s="12" t="str">
        <x:v>https://data.insideairbnb.com/united-kingdom/england/london/2026-06-19/visualisations/listings.csv</x:v>
      </x:c>
    </x:row>
    <x:row r="17" ht="76" customHeight="1">
      <x:c r="A17" s="11" t="str">
        <x:v>Edinburgh</x:v>
      </x:c>
      <x:c r="B17" s="13" t="n">
        <x:v>6258</x:v>
      </x:c>
      <x:c r="C17" s="13" t="n">
        <x:v>6228</x:v>
      </x:c>
      <x:c r="D17" s="13" t="n">
        <x:v>4425</x:v>
      </x:c>
      <x:c r="E17" s="11" t="str">
        <x:v>2026-06-23</x:v>
      </x:c>
      <x:c r="F17" s="11" t="str">
        <x:v>Airbnb listing IDs in a public snapshot</x:v>
      </x:c>
      <x:c r="G17" s="11" t="str">
        <x:v>Minimum &lt;30 nights is a screening measure, not confirmed legal operation or actual booked stays.</x:v>
      </x:c>
      <x:c r="H17" s="11" t="str">
        <x:v>https://data.insideairbnb.com/united-kingdom/scotland/edinburgh/2026-06-23/visualisations/listings.csv</x:v>
      </x:c>
    </x:row>
    <x:row r="18" ht="76" customHeight="1">
      <x:c r="A18" s="12" t="str">
        <x:v>Vancouver</x:v>
      </x:c>
      <x:c r="B18" s="14" t="n">
        <x:v>6656</x:v>
      </x:c>
      <x:c r="C18" s="14" t="n">
        <x:v>4728</x:v>
      </x:c>
      <x:c r="D18" s="14" t="n">
        <x:v>3951</x:v>
      </x:c>
      <x:c r="E18" s="12" t="str">
        <x:v>2026-07-14</x:v>
      </x:c>
      <x:c r="F18" s="12" t="str">
        <x:v>Airbnb listing IDs in a public snapshot</x:v>
      </x:c>
      <x:c r="G18" s="12" t="str">
        <x:v>Minimum &lt;30 nights is a screening measure, not confirmed legal operation or actual booked stays.</x:v>
      </x:c>
      <x:c r="H18" s="12" t="str">
        <x:v>https://data.insideairbnb.com/canada/bc/vancouver/2026-07-14/visualisations/listings.csv</x:v>
      </x:c>
    </x:row>
    <x:row r="19" ht="76" customHeight="1">
      <x:c r="A19" s="11" t="str">
        <x:v>Victoria</x:v>
      </x:c>
      <x:c r="B19" s="13" t="n">
        <x:v>3562</x:v>
      </x:c>
      <x:c r="C19" s="13" t="n">
        <x:v>2447</x:v>
      </x:c>
      <x:c r="D19" s="13" t="n">
        <x:v>2074</x:v>
      </x:c>
      <x:c r="E19" s="11" t="str">
        <x:v>2026-07-24</x:v>
      </x:c>
      <x:c r="F19" s="11" t="str">
        <x:v>Airbnb listing IDs in a public snapshot</x:v>
      </x:c>
      <x:c r="G19" s="11" t="str">
        <x:v>Minimum &lt;30 nights is a screening measure, not confirmed legal operation or actual booked stays.</x:v>
      </x:c>
      <x:c r="H19" s="11" t="str">
        <x:v>https://data.insideairbnb.com/canada/bc/victoria/2026-07-24/visualisations/listings.csv</x:v>
      </x:c>
    </x:row>
    <x:row r="20" ht="76" customHeight="1">
      <x:c r="A20" s="12" t="str">
        <x:v>Mallorca</x:v>
      </x:c>
      <x:c r="B20" s="14" t="n">
        <x:v>14901</x:v>
      </x:c>
      <x:c r="C20" s="14" t="n">
        <x:v>14265</x:v>
      </x:c>
      <x:c r="D20" s="14" t="n">
        <x:v>13489</x:v>
      </x:c>
      <x:c r="E20" s="12" t="str">
        <x:v>2026-06-23</x:v>
      </x:c>
      <x:c r="F20" s="12" t="str">
        <x:v>Airbnb listing IDs in a public snapshot</x:v>
      </x:c>
      <x:c r="G20" s="12" t="str">
        <x:v>Minimum &lt;30 nights is a screening measure, not confirmed legal operation or actual booked stays.</x:v>
      </x:c>
      <x:c r="H20" s="12" t="str">
        <x:v>https://data.insideairbnb.com/spain/islas-baleares/mallorca/2026-06-23/visualisations/listings.csv</x:v>
      </x:c>
    </x:row>
    <x:row r="21" ht="76" customHeight="1">
      <x:c r="A21" s="11" t="str">
        <x:v>Menorca</x:v>
      </x:c>
      <x:c r="B21" s="13" t="n">
        <x:v>3620</x:v>
      </x:c>
      <x:c r="C21" s="13" t="n">
        <x:v>3568</x:v>
      </x:c>
      <x:c r="D21" s="13" t="n">
        <x:v>3448</x:v>
      </x:c>
      <x:c r="E21" s="11" t="str">
        <x:v>2026-06-30</x:v>
      </x:c>
      <x:c r="F21" s="11" t="str">
        <x:v>Airbnb listing IDs in a public snapshot</x:v>
      </x:c>
      <x:c r="G21" s="11" t="str">
        <x:v>Minimum &lt;30 nights is a screening measure, not confirmed legal operation or actual booked stays.</x:v>
      </x:c>
      <x:c r="H21" s="11" t="str">
        <x:v>https://data.insideairbnb.com/spain/islas-baleares/menorca/2026-06-30/visualisations/listings.csv</x:v>
      </x:c>
    </x:row>
    <x:row r="22" ht="76" customHeight="1">
      <x:c r="A22" s="12" t="str">
        <x:v>Crete</x:v>
      </x:c>
      <x:c r="B22" s="14" t="n">
        <x:v>27333</x:v>
      </x:c>
      <x:c r="C22" s="14" t="n">
        <x:v>27220</x:v>
      </x:c>
      <x:c r="D22" s="14" t="n">
        <x:v>24723</x:v>
      </x:c>
      <x:c r="E22" s="12" t="str">
        <x:v>2026-06-29</x:v>
      </x:c>
      <x:c r="F22" s="12" t="str">
        <x:v>Airbnb listing IDs in a public snapshot</x:v>
      </x:c>
      <x:c r="G22" s="12" t="str">
        <x:v>Minimum &lt;30 nights is a screening measure, not confirmed legal operation or actual booked stays.</x:v>
      </x:c>
      <x:c r="H22" s="12" t="str">
        <x:v>https://data.insideairbnb.com/greece/crete/crete/2026-06-29/visualisations/listings.csv</x:v>
      </x:c>
    </x:row>
    <x:row r="23" ht="76" customHeight="1">
      <x:c r="A23" s="11" t="str">
        <x:v>Lisbon municipality</x:v>
      </x:c>
      <x:c r="B23" s="13" t="n">
        <x:v>17098</x:v>
      </x:c>
      <x:c r="C23" s="13" t="n">
        <x:v>16531</x:v>
      </x:c>
      <x:c r="D23" s="13" t="n">
        <x:v>12227</x:v>
      </x:c>
      <x:c r="E23" s="11" t="str">
        <x:v>2026-06-23</x:v>
      </x:c>
      <x:c r="F23" s="11" t="str">
        <x:v>Airbnb listing IDs in a public snapshot</x:v>
      </x:c>
      <x:c r="G23" s="11" t="str">
        <x:v>Filtered to municipality/county in Inside Airbnb. Remaining legal subareas require finer matching.</x:v>
      </x:c>
      <x:c r="H23" s="11" t="str">
        <x:v>https://data.insideairbnb.com/portugal/lisbon/lisbon/2026-06-23/visualisations/listings.csv</x:v>
      </x:c>
    </x:row>
    <x:row r="24" ht="76" customHeight="1">
      <x:c r="A24" s="12" t="str">
        <x:v>Porto municipality</x:v>
      </x:c>
      <x:c r="B24" s="14" t="n">
        <x:v>11070</x:v>
      </x:c>
      <x:c r="C24" s="14" t="n">
        <x:v>10900</x:v>
      </x:c>
      <x:c r="D24" s="14" t="n">
        <x:v>9464</x:v>
      </x:c>
      <x:c r="E24" s="12" t="str">
        <x:v>2026-06-23</x:v>
      </x:c>
      <x:c r="F24" s="12" t="str">
        <x:v>Airbnb listing IDs in a public snapshot</x:v>
      </x:c>
      <x:c r="G24" s="12" t="str">
        <x:v>Filtered to municipality/county in Inside Airbnb. Remaining legal subareas require finer matching.</x:v>
      </x:c>
      <x:c r="H24" s="12" t="str">
        <x:v>https://data.insideairbnb.com/portugal/norte/porto/2026-06-23/visualisations/listings.csv</x:v>
      </x:c>
    </x:row>
    <x:row r="25" ht="76" customHeight="1">
      <x:c r="A25" s="11" t="str">
        <x:v>Maui County</x:v>
      </x:c>
      <x:c r="B25" s="13" t="n">
        <x:v>12687</x:v>
      </x:c>
      <x:c r="C25" s="13" t="n">
        <x:v>12412</x:v>
      </x:c>
      <x:c r="D25" s="13" t="n">
        <x:v>11473</x:v>
      </x:c>
      <x:c r="E25" s="11" t="str">
        <x:v>2026-06-21</x:v>
      </x:c>
      <x:c r="F25" s="11" t="str">
        <x:v>Airbnb listing IDs in a public snapshot</x:v>
      </x:c>
      <x:c r="G25" s="11" t="str">
        <x:v>Filtered to municipality/county in Inside Airbnb. Remaining legal subareas require finer matching.</x:v>
      </x:c>
      <x:c r="H25" s="11" t="str">
        <x:v>https://data.insideairbnb.com/united-states/hi/hawaii/2026-06-21/visualisations/listings.csv</x:v>
      </x:c>
    </x:row>
    <x:row r="26" ht="76" customHeight="1">
      <x:c r="A26" s="12" t="str">
        <x:v>Thessaloniki municipality</x:v>
      </x:c>
      <x:c r="B26" s="14" t="n">
        <x:v>4408</x:v>
      </x:c>
      <x:c r="C26" s="14" t="n">
        <x:v>4373</x:v>
      </x:c>
      <x:c r="D26" s="14" t="n">
        <x:v>4244</x:v>
      </x:c>
      <x:c r="E26" s="12" t="str">
        <x:v>2026-06-29</x:v>
      </x:c>
      <x:c r="F26" s="12" t="str">
        <x:v>Airbnb listing IDs in a public snapshot</x:v>
      </x:c>
      <x:c r="G26" s="12" t="str">
        <x:v>Filtered to municipality/county in Inside Airbnb. Remaining legal subareas require finer matching.</x:v>
      </x:c>
      <x:c r="H26" s="12" t="str">
        <x:v>https://data.insideairbnb.com/greece/central-macedonia/thessaloniki/2026-06-29/visualisations/listings.csv</x:v>
      </x:c>
    </x:row>
    <x:row r="27" ht="76" customHeight="1">
      <x:c r="A27" s="11" t="str">
        <x:v>Spain (INE)</x:v>
      </x:c>
      <x:c r="B27" s="13" t="n">
        <x:v>341001</x:v>
      </x:c>
      <x:c r="C27" s="13"/>
      <x:c r="D27" s="13"/>
      <x:c r="E27" s="11" t="str">
        <x:v>2026-05</x:v>
      </x:c>
      <x:c r="F27" s="11" t="str">
        <x:v>Tourist dwellings advertised across platforms (INE)</x:v>
      </x:c>
      <x:c r="G27" s="11" t="str">
        <x:v>Multi-platform tourist dwellings. Not an Airbnb listing denominator.</x:v>
      </x:c>
      <x:c r="H27" s="11" t="str">
        <x:v>https://www.ine.es/jaxiT3/Tabla.htm?L=0&amp;t=39364</x:v>
      </x:c>
    </x:row>
    <x:row r="28" ht="76" customHeight="1">
      <x:c r="A28" s="12" t="str">
        <x:v>Canary Islands (INE)</x:v>
      </x:c>
      <x:c r="B28" s="14" t="n">
        <x:v>48356</x:v>
      </x:c>
      <x:c r="C28" s="14"/>
      <x:c r="D28" s="14"/>
      <x:c r="E28" s="12" t="str">
        <x:v>2026-05</x:v>
      </x:c>
      <x:c r="F28" s="12" t="str">
        <x:v>Tourist dwellings advertised across platforms (INE)</x:v>
      </x:c>
      <x:c r="G28" s="12" t="str">
        <x:v>Multi-platform tourist dwellings. Not an Airbnb listing denominator.</x:v>
      </x:c>
      <x:c r="H28" s="12" t="str">
        <x:v>https://www.ine.es/jaxiT3/Tabla.htm?L=0&amp;t=39364</x:v>
      </x:c>
    </x:row>
    <x:row r="29" ht="76" customHeight="1">
      <x:c r="A29" s="11" t="str">
        <x:v>Balearic Islands (INE)</x:v>
      </x:c>
      <x:c r="B29" s="13" t="n">
        <x:v>21304</x:v>
      </x:c>
      <x:c r="C29" s="13"/>
      <x:c r="D29" s="13"/>
      <x:c r="E29" s="11" t="str">
        <x:v>2026-05</x:v>
      </x:c>
      <x:c r="F29" s="11" t="str">
        <x:v>Tourist dwellings advertised across platforms (INE)</x:v>
      </x:c>
      <x:c r="G29" s="11" t="str">
        <x:v>Multi-platform tourist dwellings. Not an Airbnb listing denominator.</x:v>
      </x:c>
      <x:c r="H29" s="11" t="str">
        <x:v>https://www.ine.es/jaxiT3/Tabla.htm?L=0&amp;t=39364</x:v>
      </x:c>
    </x:row>
    <x:row r="30" ht="76" customHeight="1">
      <x:c r="A30" s="12" t="str">
        <x:v>Malaga (INE)</x:v>
      </x:c>
      <x:c r="B30" s="14" t="n">
        <x:v>8288</x:v>
      </x:c>
      <x:c r="C30" s="14"/>
      <x:c r="D30" s="14"/>
      <x:c r="E30" s="12" t="str">
        <x:v>2026-05</x:v>
      </x:c>
      <x:c r="F30" s="12" t="str">
        <x:v>Tourist dwellings advertised across platforms (INE)</x:v>
      </x:c>
      <x:c r="G30" s="12" t="str">
        <x:v>Multi-platform tourist dwellings. Not an Airbnb listing denominator.</x:v>
      </x:c>
      <x:c r="H30" s="12" t="str">
        <x:v>https://www.ine.es/jaxiT3/Tabla.htm?L=0&amp;t=39363</x:v>
      </x:c>
    </x:row>
    <x:row r="31" ht="76" customHeight="1">
      <x:c r="A31" s="11" t="str">
        <x:v>Ibiza island (INE)</x:v>
      </x:c>
      <x:c r="B31" s="13" t="n">
        <x:v>2314</x:v>
      </x:c>
      <x:c r="C31" s="13"/>
      <x:c r="D31" s="13"/>
      <x:c r="E31" s="11" t="str">
        <x:v>2026-05</x:v>
      </x:c>
      <x:c r="F31" s="11" t="str">
        <x:v>Tourist dwellings advertised across platforms (INE)</x:v>
      </x:c>
      <x:c r="G31" s="11" t="str">
        <x:v>Multi-platform tourist dwellings. Not an Airbnb listing denominator.</x:v>
      </x:c>
      <x:c r="H31" s="11" t="str">
        <x:v>https://www.ine.es/jaxiT3/Tabla.htm?L=0&amp;t=39363</x:v>
      </x:c>
    </x:row>
    <x:row r="32" ht="76" customHeight="1">
      <x:c r="A32" s="12" t="str">
        <x:v>Portugal</x:v>
      </x:c>
      <x:c r="B32" s="14" t="n">
        <x:v>119147</x:v>
      </x:c>
      <x:c r="C32" s="14"/>
      <x:c r="D32" s="14"/>
      <x:c r="E32" s="12" t="str">
        <x:v>2026-06-11</x:v>
      </x:c>
      <x:c r="F32" s="12" t="str">
        <x:v>RNAL active registrations, reported by ALEP via ECO</x:v>
      </x:c>
      <x:c r="G32" s="12" t="str">
        <x:v>Includes potentially inactive businesses; 37,000 lacked insurance evidence.</x:v>
      </x:c>
      <x:c r="H32" s="12" t="str">
        <x:v>https://eco.sapo.pt/2026/06/11/mais-de-dez-mil-alojamentos-locais-encerrados-pelos-municipios/</x:v>
      </x:c>
    </x:row>
    <x:row r="33" ht="76" customHeight="1">
      <x:c r="A33" s="11" t="str">
        <x:v>Greece</x:v>
      </x:c>
      <x:c r="B33" s="13" t="n">
        <x:v>203122</x:v>
      </x:c>
      <x:c r="C33" s="13"/>
      <x:c r="D33" s="13"/>
      <x:c r="E33" s="11" t="str">
        <x:v>2026-03</x:v>
      </x:c>
      <x:c r="F33" s="11" t="str">
        <x:v>Finalized property registrations, ELSTAT</x:v>
      </x:c>
      <x:c r="G33" s="11" t="str">
        <x:v>Not unique Airbnb listings or all economically active units.</x:v>
      </x:c>
      <x:c r="H33" s="11" t="str">
        <x:v>https://www.statistics.gr/documents/20181/9520c869-6216-4180-2282-d92150044d23</x:v>
      </x:c>
    </x:row>
    <x:row r="34" ht="76" customHeight="1">
      <x:c r="A34" s="12" t="str">
        <x:v>Scotland</x:v>
      </x:c>
      <x:c r="B34" s="14" t="n">
        <x:v>32317</x:v>
      </x:c>
      <x:c r="C34" s="14"/>
      <x:c r="D34" s="14"/>
      <x:c r="E34" s="12" t="str">
        <x:v>2025-12-31</x:v>
      </x:c>
      <x:c r="F34" s="12" t="str">
        <x:v>Licences or exemptions in operation</x:v>
      </x:c>
      <x:c r="G34" s="12" t="str">
        <x:v>Includes B&amp;B and other accommodation; not Airbnb only.</x:v>
      </x:c>
      <x:c r="H34" s="12" t="str">
        <x:v>https://www.gov.scot/news/short-term-lets-licensing-statistics-to-31-december-2025/</x:v>
      </x:c>
    </x:row>
    <x:row r="35" ht="76" customHeight="1">
      <x:c r="A35" s="11" t="str">
        <x:v>British Columbia</x:v>
      </x:c>
      <x:c r="B35" s="13" t="n">
        <x:v>23000</x:v>
      </x:c>
      <x:c r="C35" s="13"/>
      <x:c r="D35" s="13"/>
      <x:c r="E35" s="11" t="str">
        <x:v>2026-06-02</x:v>
      </x:c>
      <x:c r="F35" s="11" t="str">
        <x:v>Approximate active STR listings, government report</x:v>
      </x:c>
      <x:c r="G35" s="11" t="str">
        <x:v>Source says just over 23,000, down from 28,000; platform mix and exact measurement dates unspecified.</x:v>
      </x:c>
      <x:c r="H35" s="11" t="str">
        <x:v>https://archive.news.gov.bc.ca/releases/news_releases_2024-2028/2026HMA0028-000639.pdf</x:v>
      </x:c>
    </x:row>
    <x:row r="36" ht="76" customHeight="1">
      <x:c r="A36" s="12" t="str">
        <x:v>Budapest district VI</x:v>
      </x:c>
      <x:c r="B36" s="14" t="n">
        <x:v>2226</x:v>
      </x:c>
      <x:c r="C36" s="14"/>
      <x:c r="D36" s="14"/>
      <x:c r="E36" s="12" t="str">
        <x:v>2024-08</x:v>
      </x:c>
      <x:c r="F36" s="12" t="str">
        <x:v>Legal private and other accommodation establishments</x:v>
      </x:c>
      <x:c r="G36" s="12" t="str">
        <x:v>Historical affected policy cohort; current Airbnb download failed.</x:v>
      </x:c>
      <x:c r="H36" s="12" t="str">
        <x:v>https://nepszava.hu/3245205_airbnb-terezvaros-betiltas</x:v>
      </x:c>
    </x:row>
    <x:row r="37" ht="76" customHeight="1">
      <x:c r="A37" s="11" t="str">
        <x:v>England</x:v>
      </x:c>
      <x:c r="B37" s="13"/>
      <x:c r="C37" s="13"/>
      <x:c r="D37" s="13"/>
      <x:c r="E37" s="11" t="str">
        <x:v>2026-09-05</x:v>
      </x:c>
      <x:c r="F37" s="11" t="str">
        <x:v>National Airbnb total unresolved</x:v>
      </x:c>
      <x:c r="G37" s="11" t="str">
        <x:v>London is only a partial proxy, not England.</x:v>
      </x:c>
      <x:c r="H37" s="11" t="str">
        <x:v>https://www.gov.uk/guidance/letting-out-a-self-catering-holiday-home-in-england-rules-and-regulations</x:v>
      </x:c>
    </x:row>
    <x:row r="38" ht="76" customHeight="1">
      <x:c r="A38" s="12" t="str">
        <x:v>European Union</x:v>
      </x:c>
      <x:c r="B38" s="14"/>
      <x:c r="C38" s="14"/>
      <x:c r="D38" s="14"/>
      <x:c r="E38" s="12" t="str">
        <x:v>2026-09-05</x:v>
      </x:c>
      <x:c r="F38" s="12" t="str">
        <x:v>EU Airbnb total unresolved</x:v>
      </x:c>
      <x:c r="G38" s="12" t="str">
        <x:v>Must sum distinct EU destinations from a consistent licensed dataset. EMEA is not EU.</x:v>
      </x:c>
      <x:c r="H38" s="12" t="str">
        <x:v>https://single-market-economy.ec.europa.eu/news/new-rules-bring-increased-transparency-short-term-rentals-sector-2026-05-20_en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9" hidden="0" customWidth="1"/>
    <x:col min="2" max="2" width="9" hidden="0" customWidth="1"/>
    <x:col min="3" max="3" width="44" hidden="0" customWidth="1"/>
    <x:col min="4" max="4" width="17" hidden="0" customWidth="1"/>
    <x:col min="5" max="5" width="47" hidden="0" customWidth="1"/>
    <x:col min="6" max="6" width="20" hidden="0" customWidth="1"/>
    <x:col min="7" max="7" width="90" hidden="0" customWidth="1"/>
    <x:col min="8" max="8" width="40" hidden="0" customWidth="1"/>
    <x:col min="9" max="9" width="92" hidden="0" customWidth="1"/>
    <x:col min="10" max="10" width="27" hidden="0" customWidth="1"/>
    <x:col min="11" max="11" width="70" hidden="0" customWidth="1"/>
    <x:col min="12" max="12" width="120" hidden="0" customWidth="1"/>
  </x:cols>
  <x:sheetData>
    <x:row r="1" ht="32" customHeight="1">
      <x:c r="A1" s="3" t="str">
        <x:v>Inventory affected by each rule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 t="str">
        <x:v>A reported cohort is not necessarily the number of productive Airbnb listings lost.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6" customHeight="1">
      <x:c r="A6" s="9" t="str">
        <x:v>Factor</x:v>
      </x:c>
      <x:c r="B6" s="9" t="str">
        <x:v>Tier</x:v>
      </x:c>
      <x:c r="C6" s="9" t="str">
        <x:v>Jurisdiction</x:v>
      </x:c>
      <x:c r="D6" s="9" t="str">
        <x:v>Inventory</x:v>
      </x:c>
      <x:c r="E6" s="9" t="str">
        <x:v>Inventory unit and date</x:v>
      </x:c>
      <x:c r="F6" s="9" t="str">
        <x:v>Reported affected count</x:v>
      </x:c>
      <x:c r="G6" s="9" t="str">
        <x:v>What the affected count means</x:v>
      </x:c>
      <x:c r="H6" s="9" t="str">
        <x:v>Mechanism</x:v>
      </x:c>
      <x:c r="I6" s="9" t="str">
        <x:v>Data still needed</x:v>
      </x:c>
      <x:c r="J6" s="9" t="str">
        <x:v>Overlap group</x:v>
      </x:c>
      <x:c r="K6" s="9" t="str">
        <x:v>Guidance assessment</x:v>
      </x:c>
      <x:c r="L6" s="9" t="str">
        <x:v>Sources</x:v>
      </x:c>
    </x:row>
    <x:row r="7" ht="130" customHeight="1">
      <x:c r="A7" s="11" t="str">
        <x:v>REG-01</x:v>
      </x:c>
      <x:c r="B7" s="11" t="n">
        <x:v>1</x:v>
      </x:c>
      <x:c r="C7" s="11" t="str">
        <x:v>United States / New York City</x:v>
      </x:c>
      <x:c r="D7" s="13" t="n">
        <x:v>30234</x:v>
      </x:c>
      <x:c r="E7" s="11" t="str">
        <x:v>Airbnb listing IDs in a public snapshot; 2026-08-10</x:v>
      </x:c>
      <x:c r="F7" s="13" t="n">
        <x:v>17900</x:v>
      </x:c>
      <x:c r="G7" s="11" t="str">
        <x:v>Historical short-stay listing reduction: 22,500 to 4,600, June–Sep 2023 (AirDNA via Skift).</x:v>
      </x:c>
      <x:c r="H7" s="11" t="str">
        <x:v>Enforced registration</x:v>
      </x:c>
      <x:c r="I7" s="11" t="str">
        <x:v>Existing loss already in current base; current 5,813 short-minimum listings include hosted stays and hotels.</x:v>
      </x:c>
      <x:c r="J7" s="11" t="str">
        <x:v>NYC historical</x:v>
      </x:c>
      <x:c r="K7" s="11" t="str">
        <x:v>No quantified jurisdiction-specific guidance bridge found. Implemented effects may be reflected in operating trends; not separately confirmed.</x:v>
      </x:c>
      <x:c r="L7" s="11" t="str">
        <x:v>https://data.insideairbnb.com/united-states/ny/new-york-city/2026-08-10/visualisations/listings.csv ; https://www.nyc.gov/site/specialenforcement/registration-law/enforcement.page ; https://www.sec.gov/Archives/edgar/data/1559720/000119312523268164/d481318dex991.htm ; https://www.nyc.gov/site/specialenforcement/news/new-yorkers-registered-to-host-surpassed-3500-for-first-time.page ; https://skift.com/2023/09/13/airbnbs-nyc-listings-fall-77-big-hotelier-sees-tailwind/</x:v>
      </x:c>
    </x:row>
    <x:row r="8" ht="130" customHeight="1">
      <x:c r="A8" s="12" t="str">
        <x:v>REG-02</x:v>
      </x:c>
      <x:c r="B8" s="12" t="n">
        <x:v>1</x:v>
      </x:c>
      <x:c r="C8" s="12" t="str">
        <x:v>Spain / national consumer enforcement</x:v>
      </x:c>
      <x:c r="D8" s="14" t="n">
        <x:v>341001</x:v>
      </x:c>
      <x:c r="E8" s="12" t="str">
        <x:v>Tourist dwellings advertised across platforms (INE); 2026-05</x:v>
      </x:c>
      <x:c r="F8" s="14" t="n">
        <x:v>65122</x:v>
      </x:c>
      <x:c r="G8" s="12" t="str">
        <x:v>Reported Airbnb ads removed in July 2025; overlaps earlier 65,935 order.</x:v>
      </x:c>
      <x:c r="H8" s="12" t="str">
        <x:v>Delisting enforcement</x:v>
      </x:c>
      <x:c r="I8" s="12" t="str">
        <x:v>Need ad-to-unit deduplication, prior activity, reinstatement and actual displaced booked nights.</x:v>
      </x:c>
      <x:c r="J8" s="12" t="str">
        <x:v>Spain combined</x:v>
      </x:c>
      <x:c r="K8" s="12" t="str">
        <x:v>No quantified jurisdiction-specific guidance bridge found. Implemented effects may be reflected in operating trends; not separately confirmed.</x:v>
      </x:c>
      <x:c r="L8" s="12" t="str">
        <x:v>https://www.ine.es/jaxiT3/Tabla.htm?L=0&amp;t=39364 ; https://www.dsca.gob.es/es/comunicacion/notas-prensa/justicia-obliga-airbnb-pagar-64-millones-euros-previstos-multa-que-le ; https://apnews.com/article/a91e605f6342db1b169d4f9d1681e9d4 ; https://www.sec.gov/Archives/edgar/data/1559720/000155972026000027/abnb-20260630.htm</x:v>
      </x:c>
    </x:row>
    <x:row r="9" ht="130" customHeight="1">
      <x:c r="A9" s="11" t="str">
        <x:v>REG-03</x:v>
      </x:c>
      <x:c r="B9" s="11" t="n">
        <x:v>1</x:v>
      </x:c>
      <x:c r="C9" s="11" t="str">
        <x:v>Spain / national registration</x:v>
      </x:c>
      <x:c r="D9" s="13" t="n">
        <x:v>341001</x:v>
      </x:c>
      <x:c r="E9" s="11" t="str">
        <x:v>Tourist dwellings advertised across platforms (INE); 2026-05</x:v>
      </x:c>
      <x:c r="F9" s="13"/>
      <x:c r="G9" s="11" t="str">
        <x:v>No verified net removals attributable only to the national register.</x:v>
      </x:c>
      <x:c r="H9" s="11" t="str">
        <x:v>Registration and legal reversal</x:v>
      </x:c>
      <x:c r="I9" s="11" t="str">
        <x:v>May 2026 judgment annulled material registry procedures. Do not reuse original blanket delisting case.</x:v>
      </x:c>
      <x:c r="J9" s="11" t="str">
        <x:v>Spain combined</x:v>
      </x:c>
      <x:c r="K9" s="11" t="str">
        <x:v>No quantified jurisdiction-specific guidance bridge found. Implemented effects may be reflected in operating trends; not separately confirmed.</x:v>
      </x:c>
      <x:c r="L9" s="11" t="str">
        <x:v>https://www.ine.es/jaxiT3/Tabla.htm?L=0&amp;t=39364 ; https://www.boe.es/buscar/act.php?id=BOE-A-2024-26931 ; https://www.boe.es/buscar/doc.php?id=BOE-A-2026-12300</x:v>
      </x:c>
    </x:row>
    <x:row r="10" ht="130" customHeight="1">
      <x:c r="A10" s="12" t="str">
        <x:v>REG-04</x:v>
      </x:c>
      <x:c r="B10" s="12" t="n">
        <x:v>1</x:v>
      </x:c>
      <x:c r="C10" s="12" t="str">
        <x:v>Greece / Athens districts 1, 2 and 3</x:v>
      </x:c>
      <x:c r="D10" s="14" t="n">
        <x:v>14342</x:v>
      </x:c>
      <x:c r="E10" s="12" t="str">
        <x:v>Airbnb listing IDs in a public snapshot; 2026-06-28</x:v>
      </x:c>
      <x:c r="F10" s="14"/>
      <x:c r="G10" s="12" t="str">
        <x:v>Districts 1–3 affected. Immediate mandated closure of grandfathered stock: zero from freeze alone.</x:v>
      </x:c>
      <x:c r="H10" s="12" t="str">
        <x:v>Entry freeze and transfer attrition</x:v>
      </x:c>
      <x:c r="I10" s="12" t="str">
        <x:v>14,308 citywide short-minimum listings are an outer screen; need district GIS, transfers and new-entry counterfactual.</x:v>
      </x:c>
      <x:c r="J10" s="12" t="str">
        <x:v>Athens</x:v>
      </x:c>
      <x:c r="K10" s="12" t="str">
        <x:v>No quantified jurisdiction-specific guidance bridge found. Implemented effects may be reflected in operating trends; not separately confirmed.</x:v>
      </x:c>
      <x:c r="L10" s="12" t="str">
        <x:v>https://data.insideairbnb.com/greece/attica/athens/2026-06-28/visualisations/listings.csv ; https://stegasi.gov.gr/programs/prosorinoi-periorismoi-stis-vrachychronies-misthoseis/</x:v>
      </x:c>
    </x:row>
    <x:row r="11" ht="130" customHeight="1">
      <x:c r="A11" s="11" t="str">
        <x:v>REG-05</x:v>
      </x:c>
      <x:c r="B11" s="11" t="n">
        <x:v>1</x:v>
      </x:c>
      <x:c r="C11" s="11" t="str">
        <x:v>Greece / Thessaloniki first municipal community</x:v>
      </x:c>
      <x:c r="D11" s="13" t="n">
        <x:v>4408</x:v>
      </x:c>
      <x:c r="E11" s="11" t="str">
        <x:v>Airbnb listing IDs in a public snapshot; 2026-06-29</x:v>
      </x:c>
      <x:c r="F11" s="13"/>
      <x:c r="G11" s="11" t="str">
        <x:v>First municipal community only; existing stock generally survives.</x:v>
      </x:c>
      <x:c r="H11" s="11" t="str">
        <x:v>Entry freeze and transfer attrition</x:v>
      </x:c>
      <x:c r="I11" s="11" t="str">
        <x:v>Need first-community boundary and registration dates. City has 4,373 short-minimum listings.</x:v>
      </x:c>
      <x:c r="J11" s="11" t="str">
        <x:v>Thessaloniki</x:v>
      </x:c>
      <x:c r="K11" s="11" t="str">
        <x:v>No quantified jurisdiction-specific guidance bridge found. Implemented effects may be reflected in operating trends; not separately confirmed.</x:v>
      </x:c>
      <x:c r="L11" s="11" t="str">
        <x:v>https://data.insideairbnb.com/greece/central-macedonia/thessaloniki/2026-06-29/visualisations/listings.csv ; https://stegasi.gov.gr/programs/prosorinoi-periorismoi-stis-vrachychronies-misthoseis/</x:v>
      </x:c>
    </x:row>
    <x:row r="12" ht="130" customHeight="1">
      <x:c r="A12" s="12" t="str">
        <x:v>REG-06</x:v>
      </x:c>
      <x:c r="B12" s="12" t="n">
        <x:v>1</x:v>
      </x:c>
      <x:c r="C12" s="12" t="str">
        <x:v>Portugal / Lisbon</x:v>
      </x:c>
      <x:c r="D12" s="14" t="n">
        <x:v>17098</x:v>
      </x:c>
      <x:c r="E12" s="12" t="str">
        <x:v>Airbnb listing IDs in a public snapshot; 2026-06-23</x:v>
      </x:c>
      <x:c r="F12" s="14"/>
      <x:c r="G12" s="12" t="str">
        <x:v>12,227 entire-home short-minimum listings are a broad city screen.</x:v>
      </x:c>
      <x:c r="H12" s="12" t="str">
        <x:v>Containment, new registration and transfer limits</x:v>
      </x:c>
      <x:c r="I12" s="12" t="str">
        <x:v>Match containment areas, exceptions and transfer/renewal events; add insurance cleanup only once.</x:v>
      </x:c>
      <x:c r="J12" s="12" t="str">
        <x:v>Lisbon combined</x:v>
      </x:c>
      <x:c r="K12" s="12" t="str">
        <x:v>No quantified jurisdiction-specific guidance bridge found. Implemented effects may be reflected in operating trends; not separately confirmed.</x:v>
      </x:c>
      <x:c r="L12" s="12" t="str">
        <x:v>https://data.insideairbnb.com/portugal/lisbon/lisbon/2026-06-23/visualisations/listings.csv ; https://diariodarepublica.pt/dr/detalhe/aviso/29926-a-2025-964380181 ; https://informacao.lisboa.pt/en/news/detail/local-authority-cancels-40-of-inactive-local-accommodation-registrations</x:v>
      </x:c>
    </x:row>
    <x:row r="13" ht="130" customHeight="1">
      <x:c r="A13" s="11" t="str">
        <x:v>REG-07</x:v>
      </x:c>
      <x:c r="B13" s="11" t="n">
        <x:v>1</x:v>
      </x:c>
      <x:c r="C13" s="11" t="str">
        <x:v>Portugal / national</x:v>
      </x:c>
      <x:c r="D13" s="13" t="n">
        <x:v>119147</x:v>
      </x:c>
      <x:c r="E13" s="11" t="str">
        <x:v>RNAL active registrations, reported by ALEP via ECO; 2026-06-11</x:v>
      </x:c>
      <x:c r="F13" s="13"/>
      <x:c r="G13" s="11" t="str">
        <x:v>No unchanged nationwide ban or verified future forced-removal count.</x:v>
      </x:c>
      <x:c r="H13" s="11" t="str">
        <x:v>Partly reversed national restrictions</x:v>
      </x:c>
      <x:c r="I13" s="11" t="str">
        <x:v>Current RNAL universe is not operating Airbnb supply. Municipal restrictions persist.</x:v>
      </x:c>
      <x:c r="J13" s="11" t="str">
        <x:v>Portugal combined</x:v>
      </x:c>
      <x:c r="K13" s="11" t="str">
        <x:v>No quantified jurisdiction-specific guidance bridge found. Implemented effects may be reflected in operating trends; not separately confirmed.</x:v>
      </x:c>
      <x:c r="L13" s="11" t="str">
        <x:v>https://eco.sapo.pt/2026/06/11/mais-de-dez-mil-alojamentos-locais-encerrados-pelos-municipios/ ; https://portugal.gov.pt/pt/gc23/comunicacao/noticias/alojamento-local-perguntas-e-respostas ; https://info.portaldasfinancas.gov.pt/pt/atualidades/legislativa/Paginas/Decreto_Lei_76_2024.aspx</x:v>
      </x:c>
    </x:row>
    <x:row r="14" ht="130" customHeight="1">
      <x:c r="A14" s="12" t="str">
        <x:v>REG-08</x:v>
      </x:c>
      <x:c r="B14" s="12" t="n">
        <x:v>1</x:v>
      </x:c>
      <x:c r="C14" s="12" t="str">
        <x:v>France / Paris</x:v>
      </x:c>
      <x:c r="D14" s="14" t="n">
        <x:v>77679</x:v>
      </x:c>
      <x:c r="E14" s="12" t="str">
        <x:v>Airbnb listing IDs in a public snapshot; 2026-06-16</x:v>
      </x:c>
      <x:c r="F14" s="14"/>
      <x:c r="G14" s="12" t="str">
        <x:v>54,280 entire-home short-minimum listings are an outer screen, not verified primary residences.</x:v>
      </x:c>
      <x:c r="H14" s="12" t="str">
        <x:v>Annual cap: 120 to 90 nights</x:v>
      </x:c>
      <x:c r="I14" s="12" t="str">
        <x:v>Count primary homes previously booked &gt;90 nights; lost nights=min(B,120)-min(B,90).</x:v>
      </x:c>
      <x:c r="J14" s="12" t="str">
        <x:v>Paris combined</x:v>
      </x:c>
      <x:c r="K14" s="12" t="str">
        <x:v>No quantified jurisdiction-specific guidance bridge found. Implemented effects may be reflected in operating trends; not separately confirmed.</x:v>
      </x:c>
      <x:c r="L14" s="12" t="str">
        <x:v>https://data.insideairbnb.com/france/ile-de-france/paris/2026-06-16/visualisations/listings.csv ; https://www.paris.fr/pages/location-limitee-a-90-jours-paris-serre-la-vis-sur-les-meubles-touristiques-29653</x:v>
      </x:c>
    </x:row>
    <x:row r="15" ht="130" customHeight="1">
      <x:c r="A15" s="11" t="str">
        <x:v>REG-09</x:v>
      </x:c>
      <x:c r="B15" s="11" t="n">
        <x:v>1</x:v>
      </x:c>
      <x:c r="C15" s="11" t="str">
        <x:v>Netherlands / Amsterdam selected districts</x:v>
      </x:c>
      <x:c r="D15" s="13" t="n">
        <x:v>10465</x:v>
      </x:c>
      <x:c r="E15" s="11" t="str">
        <x:v>Airbnb listing IDs in a public snapshot; 2026-06-15</x:v>
      </x:c>
      <x:c r="F15" s="13"/>
      <x:c r="G15" s="11" t="str">
        <x:v>Only eight covered neighbourhoods; 8,421 entire-home short-minimum listings citywide.</x:v>
      </x:c>
      <x:c r="H15" s="11" t="str">
        <x:v>Selected-area cap: 30 to 15 nights</x:v>
      </x:c>
      <x:c r="I15" s="11" t="str">
        <x:v>Need exact polygons, holiday-home vs B&amp;B licence and pre-rule booked nights &gt;15.</x:v>
      </x:c>
      <x:c r="J15" s="11" t="str">
        <x:v>Amsterdam</x:v>
      </x:c>
      <x:c r="K15" s="11" t="str">
        <x:v>No quantified jurisdiction-specific guidance bridge found. Implemented effects may be reflected in operating trends; not separately confirmed.</x:v>
      </x:c>
      <x:c r="L15" s="11" t="str">
        <x:v>https://data.insideairbnb.com/the-netherlands/north-holland/amsterdam/2026-06-15/visualisations/listings.csv ; https://www.amsterdam.nl/wonen-bouwen-verbouwen/huisvestingsvergunning/vergunning-vakantieverhuur-aanvragen/regels-vakantieverhuur-deel-centrum-en/</x:v>
      </x:c>
    </x:row>
    <x:row r="16" ht="130" customHeight="1">
      <x:c r="A16" s="12" t="str">
        <x:v>REG-10</x:v>
      </x:c>
      <x:c r="B16" s="12" t="n">
        <x:v>1</x:v>
      </x:c>
      <x:c r="C16" s="12" t="str">
        <x:v>Canada / British Columbia</x:v>
      </x:c>
      <x:c r="D16" s="14" t="n">
        <x:v>23000</x:v>
      </x:c>
      <x:c r="E16" s="12" t="str">
        <x:v>Approximate active STR listings, government report; 2026-06-02</x:v>
      </x:c>
      <x:c r="F16" s="14"/>
      <x:c r="G16" s="12" t="str">
        <x:v>Active STR listings fell from 28,000 to just over 23,000 per June 2026 government report.</x:v>
      </x:c>
      <x:c r="H16" s="12" t="str">
        <x:v>Principal residence and registry</x:v>
      </x:c>
      <x:c r="I16" s="12" t="str">
        <x:v>Nearly 5,000 net contraction is descriptive; identify exemptions, compliance and Airbnb share.</x:v>
      </x:c>
      <x:c r="J16" s="12" t="str">
        <x:v>British Columbia</x:v>
      </x:c>
      <x:c r="K16" s="12" t="str">
        <x:v>No quantified jurisdiction-specific guidance bridge found. Implemented effects may be reflected in operating trends; not separately confirmed.</x:v>
      </x:c>
      <x:c r="L16" s="12" t="str">
        <x:v>https://archive.news.gov.bc.ca/releases/news_releases_2024-2028/2026HMA0028-000639.pdf ; https://news.gov.bc.ca/releases/2024HOUS0020-000590 ; https://archive.news.gov.bc.ca/releases/news_releases_2024-2028/2025HMA0001-000024.htm</x:v>
      </x:c>
    </x:row>
    <x:row r="17" ht="130" customHeight="1">
      <x:c r="A17" s="11" t="str">
        <x:v>REG-11</x:v>
      </x:c>
      <x:c r="B17" s="11" t="n">
        <x:v>1</x:v>
      </x:c>
      <x:c r="C17" s="11" t="str">
        <x:v>Canada / Montreal</x:v>
      </x:c>
      <x:c r="D17" s="13" t="n">
        <x:v>10677</x:v>
      </x:c>
      <x:c r="E17" s="11" t="str">
        <x:v>Airbnb listing IDs in a public snapshot; 2026-06-15</x:v>
      </x:c>
      <x:c r="F17" s="13"/>
      <x:c r="G17" s="11" t="str">
        <x:v>4,159 entire-home short-minimum listings are an outer screen.</x:v>
      </x:c>
      <x:c r="H17" s="11" t="str">
        <x:v>Seasonal primary-home rentals</x:v>
      </x:c>
      <x:c r="I17" s="11" t="str">
        <x:v>Must separate primary from commercial licences and count bookings outside Jun 10–Sep 10.</x:v>
      </x:c>
      <x:c r="J17" s="11" t="str">
        <x:v>Montreal</x:v>
      </x:c>
      <x:c r="K17" s="11" t="str">
        <x:v>No quantified jurisdiction-specific guidance bridge found. Implemented effects may be reflected in operating trends; not separately confirmed.</x:v>
      </x:c>
      <x:c r="L17" s="11" t="str">
        <x:v>https://data.insideairbnb.com/canada/qc/montreal/2026-06-15/visualisations/listings.csv ; https://montreal.ca/en/topics/short-term-tourist-accommodation ; https://montreal.ca/en/how-to/operate-commercial-tourist-home</x:v>
      </x:c>
    </x:row>
    <x:row r="18" ht="130" customHeight="1">
      <x:c r="A18" s="12" t="str">
        <x:v>REG-12</x:v>
      </x:c>
      <x:c r="B18" s="12" t="n">
        <x:v>1</x:v>
      </x:c>
      <x:c r="C18" s="12" t="str">
        <x:v>Spain / Madrid</x:v>
      </x:c>
      <x:c r="D18" s="14" t="n">
        <x:v>22835</x:v>
      </x:c>
      <x:c r="E18" s="12" t="str">
        <x:v>Airbnb listing IDs in a public snapshot; 2026-06-20</x:v>
      </x:c>
      <x:c r="F18" s="14"/>
      <x:c r="G18" s="12" t="str">
        <x:v>13,903 entire-home short-minimum listings across city; INE dwellings down 28.9% YoY.</x:v>
      </x:c>
      <x:c r="H18" s="12" t="str">
        <x:v>Residential land-use enforcement</x:v>
      </x:c>
      <x:c r="I18" s="12" t="str">
        <x:v>Need historic-centre boundary, building use and operating permissions; supply trend is not a causal effect.</x:v>
      </x:c>
      <x:c r="J18" s="12" t="str">
        <x:v>Spain combined</x:v>
      </x:c>
      <x:c r="K18" s="12" t="str">
        <x:v>No quantified jurisdiction-specific guidance bridge found. Implemented effects may be reflected in operating trends; not separately confirmed.</x:v>
      </x:c>
      <x:c r="L18" s="12" t="str">
        <x:v>https://data.insideairbnb.com/spain/comunidad-de-madrid/madrid/2026-06-20/visualisations/listings.csv ; https://diario.madrid.es/blog/notas-de-prensa/el-ayuntamiento-concedio-en-2025-un-41-mas-de-licencias-residenciales-y-recupero-para-este-uso-un-33-mas-de-vut-ilegales/</x:v>
      </x:c>
    </x:row>
    <x:row r="19" ht="130" customHeight="1">
      <x:c r="A19" s="11" t="str">
        <x:v>REG-13</x:v>
      </x:c>
      <x:c r="B19" s="11" t="n">
        <x:v>1</x:v>
      </x:c>
      <x:c r="C19" s="11" t="str">
        <x:v>Spain / Malaga</x:v>
      </x:c>
      <x:c r="D19" s="13" t="n">
        <x:v>8288</x:v>
      </x:c>
      <x:c r="E19" s="11" t="str">
        <x:v>Tourist dwellings advertised across platforms (INE); 2026-05</x:v>
      </x:c>
      <x:c r="F19" s="13"/>
      <x:c r="G19" s="11" t="str">
        <x:v>8,288 tourist dwellings observed by INE in May 2026 across platforms.</x:v>
      </x:c>
      <x:c r="H19" s="11" t="str">
        <x:v>New-entry moratorium</x:v>
      </x:c>
      <x:c r="I19" s="11" t="str">
        <x:v>Airbnb snapshot download failed. July 2026 also restricted new hotels/apartment blocks on residential land, subject to pipeline exceptions.</x:v>
      </x:c>
      <x:c r="J19" s="11" t="str">
        <x:v>Spain combined</x:v>
      </x:c>
      <x:c r="K19" s="11" t="str">
        <x:v>No quantified jurisdiction-specific guidance bridge found. Implemented effects may be reflected in operating trends; not separately confirmed.</x:v>
      </x:c>
      <x:c r="L19" s="11" t="str">
        <x:v>https://www.ine.es/jaxiT3/Tabla.htm?L=0&amp;t=39363 ; https://cadenaser.com/andalucia/2025/08/22/desde-manana-no-se-podran-inscribir-nuevos-pisos-turisticos-en-malaga-ser-malaga/ ; https://urbanismo.malaga.eu/notas-de-prensa/detalle-de-la-nota-de-prensa/index.html?id=176346 ; https://cadenaser.com/andalucia/2026/07/24/publicada-la-moratoria-para-apartamentos-turisticos-y-hoteles-en-suelo-para-viviendas-en-malaga-ser-malaga/</x:v>
      </x:c>
    </x:row>
    <x:row r="20" ht="130" customHeight="1">
      <x:c r="A20" s="12" t="str">
        <x:v>REG-14</x:v>
      </x:c>
      <x:c r="B20" s="12" t="n">
        <x:v>1</x:v>
      </x:c>
      <x:c r="C20" s="12" t="str">
        <x:v>Italy / Florence</x:v>
      </x:c>
      <x:c r="D20" s="14" t="n">
        <x:v>13508</x:v>
      </x:c>
      <x:c r="E20" s="12" t="str">
        <x:v>Airbnb listing IDs in a public snapshot; 2026-06-26</x:v>
      </x:c>
      <x:c r="F20" s="14"/>
      <x:c r="G20" s="12" t="str">
        <x:v>10,640 entire-home short-minimum listings citywide; 9,903 listings of all types in Centro Storico.</x:v>
      </x:c>
      <x:c r="H20" s="12" t="str">
        <x:v>Zoning and licence transition</x:v>
      </x:c>
      <x:c r="I20" s="12" t="str">
        <x:v>Centro Storico is not an exact A1/A3/A4 match; identify property start dates and May 2028 transition cohort.</x:v>
      </x:c>
      <x:c r="J20" s="12" t="str">
        <x:v>Florence</x:v>
      </x:c>
      <x:c r="K20" s="12" t="str">
        <x:v>No quantified jurisdiction-specific guidance bridge found. Implemented effects may be reflected in operating trends; not separately confirmed.</x:v>
      </x:c>
      <x:c r="L20" s="12" t="str">
        <x:v>https://data.insideairbnb.com/italy/toscana/florence/2026-06-26/visualisations/listings.csv ; https://www.comune.firenze.it/turismo/locazioni-turistiche-brevi</x:v>
      </x:c>
    </x:row>
    <x:row r="21" ht="130" customHeight="1">
      <x:c r="A21" s="11" t="str">
        <x:v>REG-15</x:v>
      </x:c>
      <x:c r="B21" s="11" t="n">
        <x:v>1</x:v>
      </x:c>
      <x:c r="C21" s="11" t="str">
        <x:v>Hungary / Budapest district VI (Terezvaros)</x:v>
      </x:c>
      <x:c r="D21" s="13" t="n">
        <x:v>2226</x:v>
      </x:c>
      <x:c r="E21" s="11" t="str">
        <x:v>Legal private and other accommodation establishments; 2024-08</x:v>
      </x:c>
      <x:c r="F21" s="13" t="n">
        <x:v>2226</x:v>
      </x:c>
      <x:c r="G21" s="11" t="str">
        <x:v>Historical registered private/other accommodation cohort; not Airbnb-only listings.</x:v>
      </x:c>
      <x:c r="H21" s="11" t="str">
        <x:v>Zero-day rule for covered accommodation</x:v>
      </x:c>
      <x:c r="I21" s="11" t="str">
        <x:v>Current surviving hotels, reclassification and actual closure rate need matching.</x:v>
      </x:c>
      <x:c r="J21" s="11" t="str">
        <x:v>Budapest district VI</x:v>
      </x:c>
      <x:c r="K21" s="11" t="str">
        <x:v>No quantified jurisdiction-specific guidance bridge found. Implemented effects may be reflected in operating trends; not separately confirmed.</x:v>
      </x:c>
      <x:c r="L21" s="11" t="str">
        <x:v>https://nepszava.hu/3245205_airbnb-terezvaros-betiltas ; https://terezvaros.hu/terezvaros-portal/methods/fmFrontendControl/getFile?key=TcTzqP0RHJjHyxf6vIHmCXeOPtdpfRILSRh5ZJzu9K1dgu2lkl</x:v>
      </x:c>
    </x:row>
    <x:row r="22" ht="130" customHeight="1">
      <x:c r="A22" s="12" t="str">
        <x:v>REG-16</x:v>
      </x:c>
      <x:c r="B22" s="12" t="n">
        <x:v>1</x:v>
      </x:c>
      <x:c r="C22" s="12" t="str">
        <x:v>Spain / Canary Islands</x:v>
      </x:c>
      <x:c r="D22" s="14" t="n">
        <x:v>48356</x:v>
      </x:c>
      <x:c r="E22" s="12" t="str">
        <x:v>Tourist dwellings advertised across platforms (INE); 2026-05</x:v>
      </x:c>
      <x:c r="F22" s="14"/>
      <x:c r="G22" s="12" t="str">
        <x:v>48,356 multi-platform tourist dwellings in May 2026; subset not determined.</x:v>
      </x:c>
      <x:c r="H22" s="12" t="str">
        <x:v>Planning restrictions and transition</x:v>
      </x:c>
      <x:c r="I22" s="12" t="str">
        <x:v>Map island/municipal planning, residential use, grandfathering and expiry before any removal assumption.</x:v>
      </x:c>
      <x:c r="J22" s="12" t="str">
        <x:v>Spain combined</x:v>
      </x:c>
      <x:c r="K22" s="12" t="str">
        <x:v>No quantified jurisdiction-specific guidance bridge found. Implemented effects may be reflected in operating trends; not separately confirmed.</x:v>
      </x:c>
      <x:c r="L22" s="12" t="str">
        <x:v>https://www.ine.es/jaxiT3/Tabla.htm?L=0&amp;t=39364 ; https://www.boe.es/buscar/act.php?id=BOE-A-2025-26358</x:v>
      </x:c>
    </x:row>
    <x:row r="23" ht="130" customHeight="1">
      <x:c r="A23" s="11" t="str">
        <x:v>REG-17</x:v>
      </x:c>
      <x:c r="B23" s="11" t="n">
        <x:v>1</x:v>
      </x:c>
      <x:c r="C23" s="11" t="str">
        <x:v>European Union</x:v>
      </x:c>
      <x:c r="D23" s="13"/>
      <x:c r="E23" s="11" t="str">
        <x:v>EU Airbnb total unresolved; 2026-09-05</x:v>
      </x:c>
      <x:c r="F23" s="13"/>
      <x:c r="G23" s="11" t="str">
        <x:v>Compliance scope is broad; no EU-wide numerical listing cap.</x:v>
      </x:c>
      <x:c r="H23" s="11" t="str">
        <x:v>Data sharing and registration checks</x:v>
      </x:c>
      <x:c r="I23" s="11" t="str">
        <x:v>Quantify local enforcement made possible, then subtract overlap with city/national rules.</x:v>
      </x:c>
      <x:c r="J23" s="11" t="str">
        <x:v>EU overlay</x:v>
      </x:c>
      <x:c r="K23" s="11" t="str">
        <x:v>No quantified jurisdiction-specific guidance bridge found. Implemented effects may be reflected in operating trends; not separately confirmed.</x:v>
      </x:c>
      <x:c r="L23" s="11" t="str">
        <x:v>https://single-market-economy.ec.europa.eu/news/new-rules-bring-increased-transparency-short-term-rentals-sector-2026-05-20_en</x:v>
      </x:c>
    </x:row>
    <x:row r="24" ht="130" customHeight="1">
      <x:c r="A24" s="12" t="str">
        <x:v>REG-18</x:v>
      </x:c>
      <x:c r="B24" s="12" t="n">
        <x:v>1</x:v>
      </x:c>
      <x:c r="C24" s="12" t="str">
        <x:v>Spain / communities governed by national Horizontal Property Law</x:v>
      </x:c>
      <x:c r="D24" s="14" t="n">
        <x:v>341001</x:v>
      </x:c>
      <x:c r="E24" s="12" t="str">
        <x:v>Tourist dwellings advertised across platforms (INE); 2026-05</x:v>
      </x:c>
      <x:c r="F24" s="14"/>
      <x:c r="G24" s="12" t="str">
        <x:v>New activity under national condominium law; no universal cancellation of existing stock.</x:v>
      </x:c>
      <x:c r="H24" s="12" t="str">
        <x:v>Condominium approval for new activity</x:v>
      </x:c>
      <x:c r="I24" s="12" t="str">
        <x:v>Need new applicants, votes, grandfathered status and separate Catalonia regime.</x:v>
      </x:c>
      <x:c r="J24" s="12" t="str">
        <x:v>Spain combined</x:v>
      </x:c>
      <x:c r="K24" s="12" t="str">
        <x:v>No quantified jurisdiction-specific guidance bridge found. Implemented effects may be reflected in operating trends; not separately confirmed.</x:v>
      </x:c>
      <x:c r="L24" s="12" t="str">
        <x:v>https://www.ine.es/jaxiT3/Tabla.htm?L=0&amp;t=39364 ; https://www.boe.es/diario_boe/txt.php?id=BOE-A-2025-21876</x:v>
      </x:c>
    </x:row>
    <x:row r="25" ht="130" customHeight="1">
      <x:c r="A25" s="11" t="str">
        <x:v>REG-19</x:v>
      </x:c>
      <x:c r="B25" s="11" t="n">
        <x:v>1</x:v>
      </x:c>
      <x:c r="C25" s="11" t="str">
        <x:v>United Kingdom / Scotland</x:v>
      </x:c>
      <x:c r="D25" s="13" t="n">
        <x:v>32317</x:v>
      </x:c>
      <x:c r="E25" s="11" t="str">
        <x:v>Licences or exemptions in operation; 2025-12-31</x:v>
      </x:c>
      <x:c r="F25" s="13"/>
      <x:c r="G25" s="11" t="str">
        <x:v>32,317 licences/exemptions operating at Dec 2025; no verified net Airbnb listing loss.</x:v>
      </x:c>
      <x:c r="H25" s="11" t="str">
        <x:v>Licensing</x:v>
      </x:c>
      <x:c r="I25" s="11" t="str">
        <x:v>Licence totals include renewals and lodging types; official source advises against time comparisons.</x:v>
      </x:c>
      <x:c r="J25" s="11" t="str">
        <x:v>Scotland</x:v>
      </x:c>
      <x:c r="K25" s="11" t="str">
        <x:v>No quantified jurisdiction-specific guidance bridge found. Implemented effects may be reflected in operating trends; not separately confirmed.</x:v>
      </x:c>
      <x:c r="L25" s="11" t="str">
        <x:v>https://www.gov.scot/news/short-term-lets-licensing-statistics-to-31-december-2025/ ; https://www.gov.scot/publications/short-term-lets/pages/licensing-scheme/</x:v>
      </x:c>
    </x:row>
    <x:row r="26" ht="130" customHeight="1">
      <x:c r="A26" s="12" t="str">
        <x:v>REG-20</x:v>
      </x:c>
      <x:c r="B26" s="12" t="n">
        <x:v>1</x:v>
      </x:c>
      <x:c r="C26" s="12" t="str">
        <x:v>Greece / national</x:v>
      </x:c>
      <x:c r="D26" s="14" t="n">
        <x:v>203122</x:v>
      </x:c>
      <x:c r="E26" s="12" t="str">
        <x:v>Finalized property registrations, ELSTAT; 2026-03</x:v>
      </x:c>
      <x:c r="F26" s="14"/>
      <x:c r="G26" s="12" t="str">
        <x:v>203,122 registered properties nationally; noncompliant subset unknown.</x:v>
      </x:c>
      <x:c r="H26" s="12" t="str">
        <x:v>Operating standards</x:v>
      </x:c>
      <x:c r="I26" s="12" t="str">
        <x:v>Join light/ventilation, insurance and inspection outcomes. Do not add Athens twice.</x:v>
      </x:c>
      <x:c r="J26" s="12" t="str">
        <x:v>Greece combined</x:v>
      </x:c>
      <x:c r="K26" s="12" t="str">
        <x:v>No quantified jurisdiction-specific guidance bridge found. Implemented effects may be reflected in operating trends; not separately confirmed.</x:v>
      </x:c>
      <x:c r="L26" s="12" t="str">
        <x:v>https://www.statistics.gr/documents/20181/9520c869-6216-4180-2282-d92150044d23 ; https://mintour.gov.gr/wp-content/uploads/2025/09/%CE%A86%CE%9B%CE%98465%CE%A7%CE%98%CE%9F-%CE%93%CE%9F7.pdf</x:v>
      </x:c>
    </x:row>
    <x:row r="27" ht="130" customHeight="1">
      <x:c r="A27" s="11" t="str">
        <x:v>REG-21</x:v>
      </x:c>
      <x:c r="B27" s="11" t="n">
        <x:v>1</x:v>
      </x:c>
      <x:c r="C27" s="11" t="str">
        <x:v>Spain / Ibiza and Balearic destinations</x:v>
      </x:c>
      <x:c r="D27" s="13" t="n">
        <x:v>2314</x:v>
      </x:c>
      <x:c r="E27" s="11" t="str">
        <x:v>Tourist dwellings advertised across platforms (INE); 2026-05</x:v>
      </x:c>
      <x:c r="F27" s="13"/>
      <x:c r="G27" s="11" t="str">
        <x:v>INE tourist dwellings: 2,314 May 2026 vs 3,158 May 2025.</x:v>
      </x:c>
      <x:c r="H27" s="11" t="str">
        <x:v>Illegal-supply enforcement</x:v>
      </x:c>
      <x:c r="I27" s="11" t="str">
        <x:v>Distinct from industry bed-capacity metric. Need Airbnb-only cohort and enforcement versus seasonality/market demand.</x:v>
      </x:c>
      <x:c r="J27" s="11" t="str">
        <x:v>Spain combined</x:v>
      </x:c>
      <x:c r="K27" s="11" t="str">
        <x:v>No quantified jurisdiction-specific guidance bridge found. Implemented effects may be reflected in operating trends; not separately confirmed.</x:v>
      </x:c>
      <x:c r="L27" s="11" t="str">
        <x:v>https://www.ine.es/jaxiT3/Tabla.htm?L=0&amp;t=39363 ; reuters://REALTIME/verb=NewsStory/ric=nL1N3YE0GX</x:v>
      </x:c>
    </x:row>
    <x:row r="28" ht="130" customHeight="1">
      <x:c r="A28" s="12" t="str">
        <x:v>REG-22</x:v>
      </x:c>
      <x:c r="B28" s="12" t="n">
        <x:v>2</x:v>
      </x:c>
      <x:c r="C28" s="12" t="str">
        <x:v>Spain / Barcelona</x:v>
      </x:c>
      <x:c r="D28" s="14" t="n">
        <x:v>15406</x:v>
      </x:c>
      <x:c r="E28" s="12" t="str">
        <x:v>Airbnb listing IDs in a public snapshot; 2026-06-24</x:v>
      </x:c>
      <x:c r="F28" s="14" t="n">
        <x:v>10101</x:v>
      </x:c>
      <x:c r="G28" s="12" t="str">
        <x:v>Tourist-apartment licences in city policy, across platforms.</x:v>
      </x:c>
      <x:c r="H28" s="12" t="str">
        <x:v>2028 licence non-renewal</x:v>
      </x:c>
      <x:c r="I28" s="12" t="str">
        <x:v>Airbnb screen: 6,698 entire-home short-minimum listings with HUTB text; not an audited legal match.</x:v>
      </x:c>
      <x:c r="J28" s="12" t="str">
        <x:v>Spain combined</x:v>
      </x:c>
      <x:c r="K28" s="12" t="str">
        <x:v>No quantified jurisdiction-specific guidance bridge found. Implemented effects may be reflected in operating trends; not separately confirmed.</x:v>
      </x:c>
      <x:c r="L28" s="12" t="str">
        <x:v>https://data.insideairbnb.com/spain/catalonia/barcelona/2026-06-24/visualisations/listings.csv ; https://ajuntament.barcelona.cat/turisme/sites/default/files/2025-08/Gestio_turi%C3%BCstica_llarg_CAT-en-GB-WEB_compressed.pdf</x:v>
      </x:c>
    </x:row>
    <x:row r="29" ht="130" customHeight="1">
      <x:c r="A29" s="11" t="str">
        <x:v>REG-23</x:v>
      </x:c>
      <x:c r="B29" s="11" t="n">
        <x:v>2</x:v>
      </x:c>
      <x:c r="C29" s="11" t="str">
        <x:v>United States / Maui</x:v>
      </x:c>
      <x:c r="D29" s="13" t="n">
        <x:v>12687</x:v>
      </x:c>
      <x:c r="E29" s="11" t="str">
        <x:v>Airbnb listing IDs in a public snapshot; 2026-06-21</x:v>
      </x:c>
      <x:c r="F29" s="13" t="n">
        <x:v>6208</x:v>
      </x:c>
      <x:c r="G29" s="11" t="str">
        <x:v>Active Minatoya units as of May 29, 2024, across channels.</x:v>
      </x:c>
      <x:c r="H29" s="11" t="str">
        <x:v>Apartment-zone phase-out: 2029/2031</x:v>
      </x:c>
      <x:c r="I29" s="11" t="str">
        <x:v>4,519 rezoning candidates may reduce exposure; intersect parcel lists before subtracting.</x:v>
      </x:c>
      <x:c r="J29" s="11" t="str">
        <x:v>Maui</x:v>
      </x:c>
      <x:c r="K29" s="11" t="str">
        <x:v>No quantified jurisdiction-specific guidance bridge found. Implemented effects may be reflected in operating trends; not separately confirmed.</x:v>
      </x:c>
      <x:c r="L29" s="11" t="str">
        <x:v>https://data.insideairbnb.com/united-states/hi/hawaii/2026-06-21/visualisations/listings.csv ; https://www.mauicounty.gov/m/newsflash/home/detail/18061 ; https://mauicounty.us/press-release/final-reading-brings-approval-to-bill-9/</x:v>
      </x:c>
    </x:row>
    <x:row r="30" ht="130" customHeight="1">
      <x:c r="A30" s="12" t="str">
        <x:v>REG-24</x:v>
      </x:c>
      <x:c r="B30" s="12" t="n">
        <x:v>2</x:v>
      </x:c>
      <x:c r="C30" s="12" t="str">
        <x:v>Ireland / national</x:v>
      </x:c>
      <x:c r="D30" s="14" t="n">
        <x:v>32456</x:v>
      </x:c>
      <x:c r="E30" s="12" t="str">
        <x:v>Airbnb listing IDs in a public snapshot; 2026-06-21</x:v>
      </x:c>
      <x:c r="F30" s="14"/>
      <x:c r="G30" s="12" t="str">
        <x:v>32,456 Airbnb listings; 32,230 minimum &lt;30. Actual rule includes stays &lt;=21 nights.</x:v>
      </x:c>
      <x:c r="H30" s="12" t="str">
        <x:v>December 2026 registration</x:v>
      </x:c>
      <x:c r="I30" s="12" t="str">
        <x:v>Join registration/planning eligibility; unknown failures do not mean all listings disappear.</x:v>
      </x:c>
      <x:c r="J30" s="12" t="str">
        <x:v>Ireland</x:v>
      </x:c>
      <x:c r="K30" s="12" t="str">
        <x:v>No quantified jurisdiction-specific guidance bridge found. Implemented effects may be reflected in operating trends; not separately confirmed.</x:v>
      </x:c>
      <x:c r="L30" s="12" t="str">
        <x:v>https://data.insideairbnb.com/ireland/2026-06-21/visualisations/listings.csv ; https://www.gov.ie/en/department-of-enterprise-tourism-and-employment/press-releases/short-term-let-register-to-come-into-effect-from-december-2026/</x:v>
      </x:c>
    </x:row>
    <x:row r="31" ht="130" customHeight="1">
      <x:c r="A31" s="11" t="str">
        <x:v>REG-25</x:v>
      </x:c>
      <x:c r="B31" s="11" t="n">
        <x:v>3</x:v>
      </x:c>
      <x:c r="C31" s="11" t="str">
        <x:v>European Union</x:v>
      </x:c>
      <x:c r="D31" s="13"/>
      <x:c r="E31" s="11" t="str">
        <x:v>EU Airbnb total unresolved; 2026-09-05</x:v>
      </x:c>
      <x:c r="F31" s="13"/>
      <x:c r="G31" s="11" t="str">
        <x:v>Affected housing-stress areas and local actions not determined.</x:v>
      </x:c>
      <x:c r="H31" s="11" t="str">
        <x:v>Draft framework</x:v>
      </x:c>
      <x:c r="I31" s="11" t="str">
        <x:v>No incremental losses booked until legal scope, probability and implementation dates are specified.</x:v>
      </x:c>
      <x:c r="J31" s="11" t="str">
        <x:v>EU overlay</x:v>
      </x:c>
      <x:c r="K31" s="11" t="str">
        <x:v>No quantified jurisdiction-specific guidance bridge found. Implemented effects may be reflected in operating trends; not separately confirmed.</x:v>
      </x:c>
      <x:c r="L31" s="11" t="str">
        <x:v>https://single-market-economy.ec.europa.eu/news/new-rules-bring-increased-transparency-short-term-rentals-sector-2026-05-20_en ; https://www.marketscreener.com/news/proposed-eu-rules-would-curb-airbnb-short-term-rental-homes-draft-shows-ce785bdbd98cf526 ; https://housing.ec.europa.eu/european-affordable-housing-plan/affordable-housing-act_en?prefLang=lv</x:v>
      </x:c>
    </x:row>
    <x:row r="32" ht="130" customHeight="1">
      <x:c r="A32" s="12" t="str">
        <x:v>REG-26</x:v>
      </x:c>
      <x:c r="B32" s="12" t="n">
        <x:v>3</x:v>
      </x:c>
      <x:c r="C32" s="12" t="str">
        <x:v>France / Paris</x:v>
      </x:c>
      <x:c r="D32" s="14" t="n">
        <x:v>77679</x:v>
      </x:c>
      <x:c r="E32" s="12" t="str">
        <x:v>Airbnb listing IDs in a public snapshot; 2026-06-16</x:v>
      </x:c>
      <x:c r="F32" s="14"/>
      <x:c r="G32" s="12" t="str">
        <x:v>Professional multi-owner cohort not identified.</x:v>
      </x:c>
      <x:c r="H32" s="12" t="str">
        <x:v>Further proposed professional restrictions</x:v>
      </x:c>
      <x:c r="I32" s="12" t="str">
        <x:v>Do not reuse primary-residence cap population without deduplication.</x:v>
      </x:c>
      <x:c r="J32" s="12" t="str">
        <x:v>Paris combined</x:v>
      </x:c>
      <x:c r="K32" s="12" t="str">
        <x:v>No quantified jurisdiction-specific guidance bridge found. Implemented effects may be reflected in operating trends; not separately confirmed.</x:v>
      </x:c>
      <x:c r="L32" s="12" t="str">
        <x:v>https://data.insideairbnb.com/france/ile-de-france/paris/2026-06-16/visualisations/listings.csv ; https://www.paris.fr/pages/lutte-contre-la-speculation-et-les-logements-inoccupes-comment-paris-va-s-engager-34842</x:v>
      </x:c>
    </x:row>
    <x:row r="33" ht="130" customHeight="1">
      <x:c r="A33" s="11" t="str">
        <x:v>REG-27</x:v>
      </x:c>
      <x:c r="B33" s="11" t="n">
        <x:v>3</x:v>
      </x:c>
      <x:c r="C33" s="11" t="str">
        <x:v>United Kingdom / England</x:v>
      </x:c>
      <x:c r="D33" s="13"/>
      <x:c r="E33" s="11" t="str">
        <x:v>National Airbnb total unresolved; 2026-09-05</x:v>
      </x:c>
      <x:c r="F33" s="13"/>
      <x:c r="G33" s="11" t="str">
        <x:v>National Airbnb denominator and compliance-failure cohort unresolved.</x:v>
      </x:c>
      <x:c r="H33" s="11" t="str">
        <x:v>Registry implementation uncertain</x:v>
      </x:c>
      <x:c r="I33" s="11" t="str">
        <x:v>London count available separately; cannot extrapolate to England.</x:v>
      </x:c>
      <x:c r="J33" s="11" t="str">
        <x:v>England</x:v>
      </x:c>
      <x:c r="K33" s="11" t="str">
        <x:v>No quantified jurisdiction-specific guidance bridge found. Implemented effects may be reflected in operating trends; not separately confirmed.</x:v>
      </x:c>
      <x:c r="L33" s="11" t="str">
        <x:v>https://www.gov.uk/guidance/letting-out-a-self-catering-holiday-home-in-england-rules-and-regulations</x:v>
      </x:c>
    </x:row>
    <x:row r="34" ht="130" customHeight="1">
      <x:c r="A34" s="12" t="str">
        <x:v>REG-28</x:v>
      </x:c>
      <x:c r="B34" s="12" t="n">
        <x:v>3</x:v>
      </x:c>
      <x:c r="C34" s="12" t="str">
        <x:v>Portugal / Lisbon</x:v>
      </x:c>
      <x:c r="D34" s="14" t="n">
        <x:v>17098</x:v>
      </x:c>
      <x:c r="E34" s="12" t="str">
        <x:v>Airbnb listing IDs in a public snapshot; 2026-06-23</x:v>
      </x:c>
      <x:c r="F34" s="14" t="n">
        <x:v>0</x:v>
      </x:c>
      <x:c r="G34" s="12" t="str">
        <x:v>Zero incremental mandated removals from the blocked referendum.</x:v>
      </x:c>
      <x:c r="H34" s="12" t="str">
        <x:v>Referendum blocked</x:v>
      </x:c>
      <x:c r="I34" s="12" t="str">
        <x:v>Policy could re-emerge; distinguish from operative containment and insurance enforcement.</x:v>
      </x:c>
      <x:c r="J34" s="12" t="str">
        <x:v>Lisbon combined</x:v>
      </x:c>
      <x:c r="K34" s="12" t="str">
        <x:v>No quantified jurisdiction-specific guidance bridge found. Implemented effects may be reflected in operating trends; not separately confirmed.</x:v>
      </x:c>
      <x:c r="L34" s="12" t="str">
        <x:v>https://data.insideairbnb.com/portugal/lisbon/lisbon/2026-06-23/visualisations/listings.csv ; https://www.tribunalconstitucional.pt/tc/acordaos/20250001.html</x:v>
      </x:c>
    </x:row>
    <x:row r="35" ht="130" customHeight="1">
      <x:c r="A35" s="11" t="str">
        <x:v>REG-29</x:v>
      </x:c>
      <x:c r="B35" s="11" t="n">
        <x:v>4</x:v>
      </x:c>
      <x:c r="C35" s="11" t="str">
        <x:v>Spain / Barcelona, Balearics and other cities</x:v>
      </x:c>
      <x:c r="D35" s="13" t="n">
        <x:v>341001</x:v>
      </x:c>
      <x:c r="E35" s="11" t="str">
        <x:v>Tourist dwellings advertised across platforms (INE); 2026-05</x:v>
      </x:c>
      <x:c r="F35" s="13" t="n">
        <x:v>0</x:v>
      </x:c>
      <x:c r="G35" s="11" t="str">
        <x:v>Zero removals attributable to a separate enacted measure in this factor.</x:v>
      </x:c>
      <x:c r="H35" s="11" t="str">
        <x:v>Activism</x:v>
      </x:c>
      <x:c r="I35" s="11" t="str">
        <x:v>Activism changes scenario probability; do not add existing Spain/Barcelona removals again.</x:v>
      </x:c>
      <x:c r="J35" s="11" t="str">
        <x:v>Spain combined</x:v>
      </x:c>
      <x:c r="K35" s="11" t="str">
        <x:v>No quantified jurisdiction-specific guidance bridge found. Implemented effects may be reflected in operating trends; not separately confirmed.</x:v>
      </x:c>
      <x:c r="L35" s="11" t="str">
        <x:v>https://www.ine.es/jaxiT3/Tabla.htm?L=0&amp;t=39364 ; https://www.investing.com/news/world-news/coordinated-protests-against-tourism-levels-planned-in-spain-portugal-and-italy-4095112 ; https://es.marketscreener.com/noticias/ultimas/Manifestantes-contra-el-turismo-masivo-toman-las-calles-del-sur-de-Europa-50244966/</x:v>
      </x:c>
    </x:row>
    <x:row r="36" ht="130" customHeight="1">
      <x:c r="A36" s="12" t="str">
        <x:v>REG-30</x:v>
      </x:c>
      <x:c r="B36" s="12" t="n">
        <x:v>4</x:v>
      </x:c>
      <x:c r="C36" s="12" t="str">
        <x:v>Spain / Canary Islands</x:v>
      </x:c>
      <x:c r="D36" s="14" t="n">
        <x:v>48356</x:v>
      </x:c>
      <x:c r="E36" s="12" t="str">
        <x:v>Tourist dwellings advertised across platforms (INE); 2026-05</x:v>
      </x:c>
      <x:c r="F36" s="14" t="n">
        <x:v>0</x:v>
      </x:c>
      <x:c r="G36" s="12" t="str">
        <x:v>Zero separate legal removal count.</x:v>
      </x:c>
      <x:c r="H36" s="12" t="str">
        <x:v>Activism</x:v>
      </x:c>
      <x:c r="I36" s="12" t="str">
        <x:v>Later law counted under REG-16; no duplicate loss from protest.</x:v>
      </x:c>
      <x:c r="J36" s="12" t="str">
        <x:v>Spain combined</x:v>
      </x:c>
      <x:c r="K36" s="12" t="str">
        <x:v>No quantified jurisdiction-specific guidance bridge found. Implemented effects may be reflected in operating trends; not separately confirmed.</x:v>
      </x:c>
      <x:c r="L36" s="12" t="str">
        <x:v>https://www.ine.es/jaxiT3/Tabla.htm?L=0&amp;t=39364 ; https://es.investing.com/news/world-news/miles-de-personas-protestan-en-las-islas-canarias-por-el-turismo-masivo-2644228</x:v>
      </x:c>
    </x:row>
    <x:row r="37" ht="130" customHeight="1">
      <x:c r="A37" s="11" t="str">
        <x:v>REG-31</x:v>
      </x:c>
      <x:c r="B37" s="11" t="n">
        <x:v>4</x:v>
      </x:c>
      <x:c r="C37" s="11" t="str">
        <x:v>Portugal / Lisbon and wider housing movement</x:v>
      </x:c>
      <x:c r="D37" s="13" t="n">
        <x:v>119147</x:v>
      </x:c>
      <x:c r="E37" s="11" t="str">
        <x:v>RNAL active registrations, reported by ALEP via ECO; 2026-06-11</x:v>
      </x:c>
      <x:c r="F37" s="13" t="n">
        <x:v>0</x:v>
      </x:c>
      <x:c r="G37" s="11" t="str">
        <x:v>Zero separate legal removal count.</x:v>
      </x:c>
      <x:c r="H37" s="11" t="str">
        <x:v>Activism</x:v>
      </x:c>
      <x:c r="I37" s="11" t="str">
        <x:v>Track conversion into an operative measure; no arbitrary haircut on all Portugal.</x:v>
      </x:c>
      <x:c r="J37" s="11" t="str">
        <x:v>Portugal combined</x:v>
      </x:c>
      <x:c r="K37" s="11" t="str">
        <x:v>No quantified jurisdiction-specific guidance bridge found. Implemented effects may be reflected in operating trends; not separately confirmed.</x:v>
      </x:c>
      <x:c r="L37" s="11" t="str">
        <x:v>https://eco.sapo.pt/2026/06/11/mais-de-dez-mil-alojamentos-locais-encerrados-pelos-municipios/ ; https://www.investing.com/news/world-news/coordinated-protests-against-tourism-levels-planned-in-spain-portugal-and-italy-4095112 ; https://www.tribunalconstitucional.pt/tc/acordaos/20250001.html</x:v>
      </x:c>
    </x:row>
    <x:row r="38" ht="130" customHeight="1">
      <x:c r="A38" s="12" t="str">
        <x:v>REG-32</x:v>
      </x:c>
      <x:c r="B38" s="12" t="n">
        <x:v>4</x:v>
      </x:c>
      <x:c r="C38" s="12" t="str">
        <x:v>Greece / tourism-intensive islands and Athens</x:v>
      </x:c>
      <x:c r="D38" s="14" t="n">
        <x:v>203122</x:v>
      </x:c>
      <x:c r="E38" s="12" t="str">
        <x:v>Finalized property registrations, ELSTAT; 2026-03</x:v>
      </x:c>
      <x:c r="F38" s="14" t="n">
        <x:v>0</x:v>
      </x:c>
      <x:c r="G38" s="12" t="str">
        <x:v>Zero separate legal removal count.</x:v>
      </x:c>
      <x:c r="H38" s="12" t="str">
        <x:v>Social pressure</x:v>
      </x:c>
      <x:c r="I38" s="12" t="str">
        <x:v>Track concrete proposals; existing restrictions counted under REG-04/05/20.</x:v>
      </x:c>
      <x:c r="J38" s="12" t="str">
        <x:v>Greece combined</x:v>
      </x:c>
      <x:c r="K38" s="12" t="str">
        <x:v>No quantified jurisdiction-specific guidance bridge found. Implemented effects may be reflected in operating trends; not separately confirmed.</x:v>
      </x:c>
      <x:c r="L38" s="12" t="str">
        <x:v>https://www.statistics.gr/documents/20181/9520c869-6216-4180-2282-d92150044d23 ; https://apnews.com/article/fc99da0aa610dca84b8a2753645a0d6a</x:v>
      </x:c>
    </x:row>
    <x:row r="39" ht="130" customHeight="1">
      <x:c r="A39" s="11" t="str">
        <x:v>REG-06-SUPP</x:v>
      </x:c>
      <x:c r="B39" s="11" t="n">
        <x:v>1</x:v>
      </x:c>
      <x:c r="C39" s="11" t="str">
        <x:v>Portugal / Lisbon insurance cleanup</x:v>
      </x:c>
      <x:c r="D39" s="13" t="n">
        <x:v>17098</x:v>
      </x:c>
      <x:c r="E39" s="11" t="str">
        <x:v>Airbnb listing IDs in a public snapshot; 2026-06-23</x:v>
      </x:c>
      <x:c r="F39" s="13" t="n">
        <x:v>6765</x:v>
      </x:c>
      <x:c r="G39" s="11" t="str">
        <x:v>Cancelled registrations reported by city in Feb 2026 as inactive. Not 6,765 revenue-producing Airbnb units.</x:v>
      </x:c>
      <x:c r="H39" s="11" t="str">
        <x:v>Insurance evidence / inactive registry cleanup</x:v>
      </x:c>
      <x:c r="I39" s="11" t="str">
        <x:v>Match cancelled licences to active Airbnb IDs before assigning revenue loss.</x:v>
      </x:c>
      <x:c r="J39" s="11" t="str">
        <x:v>Lisbon combined</x:v>
      </x:c>
      <x:c r="K39" s="11" t="str">
        <x:v>No quantified guidance adjustment found.</x:v>
      </x:c>
      <x:c r="L39" s="11" t="str">
        <x:v>https://informacao.lisboa.pt/en/news/detail/local-authority-cancels-40-of-inactive-local-accommodation-registrations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21" hidden="0" customWidth="1"/>
    <x:col min="5" max="5" width="16" hidden="0" customWidth="1"/>
    <x:col min="6" max="6" width="18" hidden="0" customWidth="1"/>
    <x:col min="7" max="7" width="18" hidden="0" customWidth="1"/>
    <x:col min="8" max="8" width="17" hidden="0" customWidth="1"/>
    <x:col min="9" max="9" width="100" hidden="0" customWidth="1"/>
    <x:col min="10" max="10" width="90" hidden="0" customWidth="1"/>
  </x:cols>
  <x:sheetData>
    <x:row r="1" ht="32" customHeight="1">
      <x:c r="A1" s="3" t="str">
        <x:v>Observed supply changes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5" t="str">
        <x:v>Same-month INE comparisons across platforms. These changes do not identify causality.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6" customHeight="1">
      <x:c r="A6" s="9" t="str">
        <x:v>Market</x:v>
      </x:c>
      <x:c r="B6" s="9" t="str">
        <x:v>Prior May 2025</x:v>
      </x:c>
      <x:c r="C6" s="9" t="str">
        <x:v>Current May 2026</x:v>
      </x:c>
      <x:c r="D6" s="9" t="str">
        <x:v>Change in dwellings</x:v>
      </x:c>
      <x:c r="E6" s="9" t="str">
        <x:v>Change %</x:v>
      </x:c>
      <x:c r="F6" s="9" t="str">
        <x:v>Nov 2024</x:v>
      </x:c>
      <x:c r="G6" s="9" t="str">
        <x:v>Nov 2025</x:v>
      </x:c>
      <x:c r="H6" s="9" t="str">
        <x:v>Nov YoY %</x:v>
      </x:c>
      <x:c r="I6" s="9" t="str">
        <x:v>Metric and interpretation</x:v>
      </x:c>
      <x:c r="J6" s="9" t="str">
        <x:v>Source URL</x:v>
      </x:c>
    </x:row>
    <x:row r="7" ht="76" customHeight="1">
      <x:c r="A7" s="11" t="str">
        <x:v>Spain</x:v>
      </x:c>
      <x:c r="B7" s="13" t="n">
        <x:v>381837</x:v>
      </x:c>
      <x:c r="C7" s="13" t="n">
        <x:v>341001</x:v>
      </x:c>
      <x:c r="D7" s="13" t="n">
        <x:f>C7-B7</x:f>
        <x:v>-40836</x:v>
      </x:c>
      <x:c r="E7" s="15" t="n">
        <x:f>C7/B7-1</x:f>
        <x:v>-0.10694615765365845</x:v>
      </x:c>
      <x:c r="F7" s="13" t="n">
        <x:v>376463</x:v>
      </x:c>
      <x:c r="G7" s="13" t="n">
        <x:v>329764</x:v>
      </x:c>
      <x:c r="H7" s="15" t="n">
        <x:f>G7/F7-1</x:f>
        <x:v>-0.12404671906668119</x:v>
      </x:c>
      <x:c r="I7" s="11" t="str">
        <x:v>Tourist dwellings advertised across platforms (INE). Descriptive same-month change. Not a causal policy estimate or Airbnb-specific revenue.</x:v>
      </x:c>
      <x:c r="J7" s="11" t="str">
        <x:v>https://www.ine.es/jaxiT3/Tabla.htm?L=0&amp;t=39364</x:v>
      </x:c>
    </x:row>
    <x:row r="8" ht="76" customHeight="1">
      <x:c r="A8" s="12" t="str">
        <x:v>Canary Islands</x:v>
      </x:c>
      <x:c r="B8" s="14" t="n">
        <x:v>50686</x:v>
      </x:c>
      <x:c r="C8" s="14" t="n">
        <x:v>48356</x:v>
      </x:c>
      <x:c r="D8" s="14" t="n">
        <x:f>C8-B8</x:f>
        <x:v>-2330</x:v>
      </x:c>
      <x:c r="E8" s="16" t="n">
        <x:f>C8/B8-1</x:f>
        <x:v>-0.0459693011877047</x:v>
      </x:c>
      <x:c r="F8" s="14" t="n">
        <x:v>51286</x:v>
      </x:c>
      <x:c r="G8" s="14" t="n">
        <x:v>49676</x:v>
      </x:c>
      <x:c r="H8" s="16" t="n">
        <x:f>G8/F8-1</x:f>
        <x:v>-0.031392582771126665</x:v>
      </x:c>
      <x:c r="I8" s="12" t="str">
        <x:v>Tourist dwellings advertised across platforms (INE). Descriptive same-month change. Not a causal policy estimate or Airbnb-specific revenue.</x:v>
      </x:c>
      <x:c r="J8" s="12" t="str">
        <x:v>https://www.ine.es/jaxiT3/Tabla.htm?L=0&amp;t=39364</x:v>
      </x:c>
    </x:row>
    <x:row r="9" ht="76" customHeight="1">
      <x:c r="A9" s="11" t="str">
        <x:v>Balearic Islands</x:v>
      </x:c>
      <x:c r="B9" s="13" t="n">
        <x:v>24361</x:v>
      </x:c>
      <x:c r="C9" s="13" t="n">
        <x:v>21304</x:v>
      </x:c>
      <x:c r="D9" s="13" t="n">
        <x:f>C9-B9</x:f>
        <x:v>-3057</x:v>
      </x:c>
      <x:c r="E9" s="15" t="n">
        <x:f>C9/B9-1</x:f>
        <x:v>-0.12548745946389717</x:v>
      </x:c>
      <x:c r="F9" s="13" t="n">
        <x:v>24190</x:v>
      </x:c>
      <x:c r="G9" s="13" t="n">
        <x:v>19398</x:v>
      </x:c>
      <x:c r="H9" s="15" t="n">
        <x:f>G9/F9-1</x:f>
        <x:v>-0.1980983877635386</x:v>
      </x:c>
      <x:c r="I9" s="11" t="str">
        <x:v>Tourist dwellings advertised across platforms (INE). Descriptive same-month change. Not a causal policy estimate or Airbnb-specific revenue.</x:v>
      </x:c>
      <x:c r="J9" s="11" t="str">
        <x:v>https://www.ine.es/jaxiT3/Tabla.htm?L=0&amp;t=39364</x:v>
      </x:c>
    </x:row>
    <x:row r="10" ht="76" customHeight="1">
      <x:c r="A10" s="12" t="str">
        <x:v>Barcelona</x:v>
      </x:c>
      <x:c r="B10" s="14" t="n">
        <x:v>9579</x:v>
      </x:c>
      <x:c r="C10" s="14" t="n">
        <x:v>8231</x:v>
      </x:c>
      <x:c r="D10" s="14" t="n">
        <x:f>C10-B10</x:f>
        <x:v>-1348</x:v>
      </x:c>
      <x:c r="E10" s="16" t="n">
        <x:f>C10/B10-1</x:f>
        <x:v>-0.14072450151372795</x:v>
      </x:c>
      <x:c r="F10" s="14" t="n">
        <x:v>9750</x:v>
      </x:c>
      <x:c r="G10" s="14" t="n">
        <x:v>8536</x:v>
      </x:c>
      <x:c r="H10" s="16" t="n">
        <x:f>G10/F10-1</x:f>
        <x:v>-0.12451282051282053</x:v>
      </x:c>
      <x:c r="I10" s="12" t="str">
        <x:v>Tourist dwellings advertised across platforms (INE). Descriptive same-month change. Not a causal policy estimate or Airbnb-specific revenue.</x:v>
      </x:c>
      <x:c r="J10" s="12" t="str">
        <x:v>https://www.ine.es/jaxiT3/Tabla.htm?L=0&amp;t=39363</x:v>
      </x:c>
    </x:row>
    <x:row r="11" ht="76" customHeight="1">
      <x:c r="A11" s="11" t="str">
        <x:v>Madrid</x:v>
      </x:c>
      <x:c r="B11" s="13" t="n">
        <x:v>15242</x:v>
      </x:c>
      <x:c r="C11" s="13" t="n">
        <x:v>10836</x:v>
      </x:c>
      <x:c r="D11" s="13" t="n">
        <x:f>C11-B11</x:f>
        <x:v>-4406</x:v>
      </x:c>
      <x:c r="E11" s="15" t="n">
        <x:f>C11/B11-1</x:f>
        <x:v>-0.28906967589555177</x:v>
      </x:c>
      <x:c r="F11" s="13" t="n">
        <x:v>17274</x:v>
      </x:c>
      <x:c r="G11" s="13" t="n">
        <x:v>12637</x:v>
      </x:c>
      <x:c r="H11" s="15" t="n">
        <x:f>G11/F11-1</x:f>
        <x:v>-0.2684381150862568</x:v>
      </x:c>
      <x:c r="I11" s="11" t="str">
        <x:v>Tourist dwellings advertised across platforms (INE). Descriptive same-month change. Not a causal policy estimate or Airbnb-specific revenue.</x:v>
      </x:c>
      <x:c r="J11" s="11" t="str">
        <x:v>https://www.ine.es/jaxiT3/Tabla.htm?L=0&amp;t=39363</x:v>
      </x:c>
    </x:row>
    <x:row r="12" ht="76" customHeight="1">
      <x:c r="A12" s="12" t="str">
        <x:v>Malaga</x:v>
      </x:c>
      <x:c r="B12" s="14" t="n">
        <x:v>8597</x:v>
      </x:c>
      <x:c r="C12" s="14" t="n">
        <x:v>8288</x:v>
      </x:c>
      <x:c r="D12" s="14" t="n">
        <x:f>C12-B12</x:f>
        <x:v>-309</x:v>
      </x:c>
      <x:c r="E12" s="16" t="n">
        <x:f>C12/B12-1</x:f>
        <x:v>-0.035942770733977</x:v>
      </x:c>
      <x:c r="F12" s="14" t="n">
        <x:v>8197</x:v>
      </x:c>
      <x:c r="G12" s="14" t="n">
        <x:v>8638</x:v>
      </x:c>
      <x:c r="H12" s="16" t="n">
        <x:f>G12/F12-1</x:f>
        <x:v>0.05380017079419308</x:v>
      </x:c>
      <x:c r="I12" s="12" t="str">
        <x:v>Tourist dwellings advertised across platforms (INE). Descriptive same-month change. Not a causal policy estimate or Airbnb-specific revenue.</x:v>
      </x:c>
      <x:c r="J12" s="12" t="str">
        <x:v>https://www.ine.es/jaxiT3/Tabla.htm?L=0&amp;t=39363</x:v>
      </x:c>
    </x:row>
    <x:row r="13" ht="76" customHeight="1">
      <x:c r="A13" s="11" t="str">
        <x:v>Ibiza island</x:v>
      </x:c>
      <x:c r="B13" s="13" t="n">
        <x:v>3158</x:v>
      </x:c>
      <x:c r="C13" s="13" t="n">
        <x:v>2314</x:v>
      </x:c>
      <x:c r="D13" s="13" t="n">
        <x:f>C13-B13</x:f>
        <x:v>-844</x:v>
      </x:c>
      <x:c r="E13" s="15" t="n">
        <x:f>C13/B13-1</x:f>
        <x:v>-0.26725775807473084</x:v>
      </x:c>
      <x:c r="F13" s="13" t="n">
        <x:v>3399</x:v>
      </x:c>
      <x:c r="G13" s="13" t="n">
        <x:v>2081</x:v>
      </x:c>
      <x:c r="H13" s="15" t="n">
        <x:f>G13/F13-1</x:f>
        <x:v>-0.3877611062077081</x:v>
      </x:c>
      <x:c r="I13" s="11" t="str">
        <x:v>Tourist dwellings advertised across platforms (INE). Descriptive same-month change. Not a causal policy estimate or Airbnb-specific revenue.</x:v>
      </x:c>
      <x:c r="J13" s="11" t="str">
        <x:v>https://www.ine.es/jaxiT3/Tabla.htm?L=0&amp;t=39363</x:v>
      </x:c>
    </x:row>
    <x:row r="17" ht="75" customHeight="1">
      <x:c r="A17" s="18" t="str">
        <x:v>Other observed evidence</x:v>
      </x:c>
      <x:c r="B17" s="18"/>
      <x:c r="C17" s="18"/>
      <x:c r="D17" s="18"/>
      <x:c r="E17" s="18"/>
      <x:c r="F17" s="18"/>
      <x:c r="G17" s="18"/>
      <x:c r="H17" s="18"/>
      <x:c r="I17" s="18" t="str">
        <x:v>Interpretation</x:v>
      </x:c>
      <x:c r="J17" s="18" t="str">
        <x:v>Source URL</x:v>
      </x:c>
    </x:row>
    <x:row r="18" ht="75" customHeight="1">
      <x:c r="A18" s="17" t="str">
        <x:v>NYC</x:v>
      </x:c>
      <x:c r="B18" s="17"/>
      <x:c r="C18" s="17"/>
      <x:c r="D18" s="17"/>
      <x:c r="E18" s="17"/>
      <x:c r="F18" s="17"/>
      <x:c r="G18" s="17"/>
      <x:c r="H18" s="17"/>
      <x:c r="I18" s="17" t="str">
        <x:v>AirDNA reported an 83% short-stay listing decline one year after enforcement. Nearby and longer-stay recapture are unquantified.</x:v>
      </x:c>
      <x:c r="J18" s="17" t="str">
        <x:v>https://www.airdna.co/blog/nycs-short-term-rental-crackdown</x:v>
      </x:c>
    </x:row>
    <x:row r="19" ht="75" customHeight="1">
      <x:c r="A19" s="17" t="str">
        <x:v>British Columbia</x:v>
      </x:c>
      <x:c r="B19" s="17"/>
      <x:c r="C19" s="17"/>
      <x:c r="D19" s="17"/>
      <x:c r="E19" s="17"/>
      <x:c r="F19" s="17"/>
      <x:c r="G19" s="17"/>
      <x:c r="H19" s="17"/>
      <x:c r="I19" s="17" t="str">
        <x:v>Government reported active STR listings declining from 28,000 to just over 23,000 by its June 2026 release. About 5,000 net decline; not a causal Airbnb-only loss.</x:v>
      </x:c>
      <x:c r="J19" s="17" t="str">
        <x:v>https://archive.news.gov.bc.ca/releases/news_releases_2024-2028/2026HMA0028-000639.pdf</x:v>
      </x:c>
    </x:row>
    <x:row r="20" ht="75" customHeight="1">
      <x:c r="A20" s="17" t="str">
        <x:v>Lisbon</x:v>
      </x:c>
      <x:c r="B20" s="17"/>
      <x:c r="C20" s="17"/>
      <x:c r="D20" s="17"/>
      <x:c r="E20" s="17"/>
      <x:c r="F20" s="17"/>
      <x:c r="G20" s="17"/>
      <x:c r="H20" s="17"/>
      <x:c r="I20" s="17" t="str">
        <x:v>City cancelled 6,765 registrations described as inactive. Match prior productive listings before attributing revenue.</x:v>
      </x:c>
      <x:c r="J20" s="17" t="str">
        <x:v>https://informacao.lisboa.pt/en/news/detail/local-authority-cancels-40-of-inactive-local-accommodation-registrations</x:v>
      </x:c>
    </x:row>
    <x:row r="21" ht="75" customHeight="1">
      <x:c r="A21" s="17" t="str">
        <x:v>Greece</x:v>
      </x:c>
      <x:c r="B21" s="17"/>
      <x:c r="C21" s="17"/>
      <x:c r="D21" s="17"/>
      <x:c r="E21" s="17"/>
      <x:c r="F21" s="17"/>
      <x:c r="G21" s="17"/>
      <x:c r="H21" s="17"/>
      <x:c r="I21" s="17" t="str">
        <x:v>ELSTAT 2025 lease days rose 4.7% nationally; Attiki rose 0.8%. Regions exceed regulated districts and include multiple platforms.</x:v>
      </x:c>
      <x:c r="J21" s="17" t="str">
        <x:v>https://www.statistics.gr/documents/20181/9520c869-6216-4180-2282-d92150044d23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7" hidden="0" customWidth="1"/>
    <x:col min="5" max="5" width="19" hidden="0" customWidth="1"/>
    <x:col min="6" max="6" width="20" hidden="0" customWidth="1"/>
    <x:col min="7" max="7" width="21" hidden="0" customWidth="1"/>
    <x:col min="8" max="8" width="20" hidden="0" customWidth="1"/>
    <x:col min="9" max="9" width="20" hidden="0" customWidth="1"/>
    <x:col min="10" max="10" width="100" hidden="0" customWidth="1"/>
    <x:col min="11" max="11" width="90" hidden="0" customWidth="1"/>
  </x:cols>
  <x:sheetData>
    <x:row r="1" ht="32" customHeight="1">
      <x:c r="A1" s="3" t="str">
        <x:v>Revenue guidance and reported margins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5" t="str">
        <x:v>USD millions. Quarterly margins are seasonal; consolidated results cannot isolate local regulation.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46" customHeight="1">
      <x:c r="A6" s="9" t="str">
        <x:v>Quarter</x:v>
      </x:c>
      <x:c r="B6" s="9" t="str">
        <x:v>Issued on call</x:v>
      </x:c>
      <x:c r="C6" s="9" t="str">
        <x:v>Guide low</x:v>
      </x:c>
      <x:c r="D6" s="9" t="str">
        <x:v>Guide high</x:v>
      </x:c>
      <x:c r="E6" s="9" t="str">
        <x:v>Guide midpoint</x:v>
      </x:c>
      <x:c r="F6" s="9" t="str">
        <x:v>Actual revenue</x:v>
      </x:c>
      <x:c r="G6" s="9" t="str">
        <x:v>Beat / miss midpoint</x:v>
      </x:c>
      <x:c r="H6" s="9" t="str">
        <x:v>Adjusted EBITDA</x:v>
      </x:c>
      <x:c r="I6" s="9" t="str">
        <x:v>EBITDA margin</x:v>
      </x:c>
      <x:c r="J6" s="9" t="str">
        <x:v>Policy context</x:v>
      </x:c>
      <x:c r="K6" s="9" t="str">
        <x:v>Source URL</x:v>
      </x:c>
    </x:row>
    <x:row r="7" ht="74" customHeight="1">
      <x:c r="A7" s="11" t="str">
        <x:v>2023Q3</x:v>
      </x:c>
      <x:c r="B7" s="11" t="str">
        <x:v>2023Q2</x:v>
      </x:c>
      <x:c r="C7" s="13" t="n">
        <x:v>3300</x:v>
      </x:c>
      <x:c r="D7" s="13" t="n">
        <x:v>3400</x:v>
      </x:c>
      <x:c r="E7" s="13" t="n">
        <x:f>(C7+D7)/2</x:f>
        <x:v>3350</x:v>
      </x:c>
      <x:c r="F7" s="13" t="n">
        <x:v>3397</x:v>
      </x:c>
      <x:c r="G7" s="15" t="n">
        <x:f>IF(F7="","",F7/E7-1)</x:f>
        <x:v>0.014029850746268613</x:v>
      </x:c>
      <x:c r="H7" s="13" t="n">
        <x:v>1834</x:v>
      </x:c>
      <x:c r="I7" s="15" t="n">
        <x:f>H7/F7</x:f>
        <x:v>0.5398881365911098</x:v>
      </x:c>
      <x:c r="J7" s="11" t="str">
        <x:v>NYC enforcement began in September. Pre-enforcement guidance; only one month partly affected.</x:v>
      </x:c>
      <x:c r="K7" s="11" t="str">
        <x:v>https://investors.airbnb.com/financials/default.aspx</x:v>
      </x:c>
    </x:row>
    <x:row r="8" ht="74" customHeight="1">
      <x:c r="A8" s="12" t="str">
        <x:v>2023Q4</x:v>
      </x:c>
      <x:c r="B8" s="12" t="str">
        <x:v>2023Q3</x:v>
      </x:c>
      <x:c r="C8" s="14" t="n">
        <x:v>2130</x:v>
      </x:c>
      <x:c r="D8" s="14" t="n">
        <x:v>2170</x:v>
      </x:c>
      <x:c r="E8" s="14" t="n">
        <x:f>(C8+D8)/2</x:f>
        <x:v>2150</x:v>
      </x:c>
      <x:c r="F8" s="14" t="n">
        <x:v>2218</x:v>
      </x:c>
      <x:c r="G8" s="16" t="n">
        <x:f>IF(F8="","",F8/E8-1)</x:f>
        <x:v>0.031627906976744224</x:v>
      </x:c>
      <x:c r="H8" s="14" t="n">
        <x:v>738</x:v>
      </x:c>
      <x:c r="I8" s="16" t="n">
        <x:f>H8/F8</x:f>
        <x:v>0.3327321911632101</x:v>
      </x:c>
      <x:c r="J8" s="12" t="str">
        <x:v>First full quarter after NYC enforcement. Actual revenue beat issued range; not proof of no NYC loss.</x:v>
      </x:c>
      <x:c r="K8" s="12" t="str">
        <x:v>https://investors.airbnb.com/financials/default.aspx</x:v>
      </x:c>
    </x:row>
    <x:row r="9" ht="74" customHeight="1">
      <x:c r="A9" s="11" t="str">
        <x:v>2024Q1</x:v>
      </x:c>
      <x:c r="B9" s="11" t="str">
        <x:v>2023Q4</x:v>
      </x:c>
      <x:c r="C9" s="13" t="n">
        <x:v>2030</x:v>
      </x:c>
      <x:c r="D9" s="13" t="n">
        <x:v>2070</x:v>
      </x:c>
      <x:c r="E9" s="13" t="n">
        <x:f>(C9+D9)/2</x:f>
        <x:v>2050</x:v>
      </x:c>
      <x:c r="F9" s="13" t="n">
        <x:v>2142</x:v>
      </x:c>
      <x:c r="G9" s="15" t="n">
        <x:f>IF(F9="","",F9/E9-1)</x:f>
        <x:v>0.044878048780487845</x:v>
      </x:c>
      <x:c r="H9" s="13" t="n">
        <x:v>424</x:v>
      </x:c>
      <x:c r="I9" s="15" t="n">
        <x:f>H9/F9</x:f>
        <x:v>0.19794584500466852</x:v>
      </x:c>
      <x:c r="J9" s="11" t="str">
        <x:v>NYC present in operating base. Quarterly margin is seasonal.</x:v>
      </x:c>
      <x:c r="K9" s="11" t="str">
        <x:v>https://investors.airbnb.com/financials/default.aspx</x:v>
      </x:c>
    </x:row>
    <x:row r="10" ht="74" customHeight="1">
      <x:c r="A10" s="12" t="str">
        <x:v>2024Q2</x:v>
      </x:c>
      <x:c r="B10" s="12" t="str">
        <x:v>2024Q1</x:v>
      </x:c>
      <x:c r="C10" s="14" t="n">
        <x:v>2680</x:v>
      </x:c>
      <x:c r="D10" s="14" t="n">
        <x:v>2740</x:v>
      </x:c>
      <x:c r="E10" s="14" t="n">
        <x:f>(C10+D10)/2</x:f>
        <x:v>2710</x:v>
      </x:c>
      <x:c r="F10" s="14" t="n">
        <x:v>2748</x:v>
      </x:c>
      <x:c r="G10" s="16" t="n">
        <x:f>IF(F10="","",F10/E10-1)</x:f>
        <x:v>0.014022140221402246</x:v>
      </x:c>
      <x:c r="H10" s="14" t="n">
        <x:v>894</x:v>
      </x:c>
      <x:c r="I10" s="16" t="n">
        <x:f>H10/F10</x:f>
        <x:v>0.32532751091703055</x:v>
      </x:c>
      <x:c r="J10" s="12" t="str">
        <x:v>BC principal-residence rule began May 1. Company margin does not isolate provincial impact.</x:v>
      </x:c>
      <x:c r="K10" s="12" t="str">
        <x:v>https://investors.airbnb.com/financials/default.aspx</x:v>
      </x:c>
    </x:row>
    <x:row r="11" ht="74" customHeight="1">
      <x:c r="A11" s="11" t="str">
        <x:v>2024Q3</x:v>
      </x:c>
      <x:c r="B11" s="11" t="str">
        <x:v>2024Q2</x:v>
      </x:c>
      <x:c r="C11" s="13" t="n">
        <x:v>3670</x:v>
      </x:c>
      <x:c r="D11" s="13" t="n">
        <x:v>3730</x:v>
      </x:c>
      <x:c r="E11" s="13" t="n">
        <x:f>(C11+D11)/2</x:f>
        <x:v>3700</x:v>
      </x:c>
      <x:c r="F11" s="13" t="n">
        <x:v>3732</x:v>
      </x:c>
      <x:c r="G11" s="15" t="n">
        <x:f>IF(F11="","",F11/E11-1)</x:f>
        <x:v>0.00864864864864856</x:v>
      </x:c>
      <x:c r="H11" s="13" t="n">
        <x:v>1958</x:v>
      </x:c>
      <x:c r="I11" s="15" t="n">
        <x:f>H11/F11</x:f>
        <x:v>0.5246516613076099</x:v>
      </x:c>
      <x:c r="J11" s="11" t="str">
        <x:v>NYC anniversary and Paris Olympics confound simple before/after comparisons.</x:v>
      </x:c>
      <x:c r="K11" s="11" t="str">
        <x:v>https://investors.airbnb.com/financials/default.aspx</x:v>
      </x:c>
    </x:row>
    <x:row r="12" ht="74" customHeight="1">
      <x:c r="A12" s="12" t="str">
        <x:v>2024Q4</x:v>
      </x:c>
      <x:c r="B12" s="12" t="str">
        <x:v>2024Q3</x:v>
      </x:c>
      <x:c r="C12" s="14" t="n">
        <x:v>2390</x:v>
      </x:c>
      <x:c r="D12" s="14" t="n">
        <x:v>2440</x:v>
      </x:c>
      <x:c r="E12" s="14" t="n">
        <x:f>(C12+D12)/2</x:f>
        <x:v>2415</x:v>
      </x:c>
      <x:c r="F12" s="14" t="n">
        <x:v>2480</x:v>
      </x:c>
      <x:c r="G12" s="16" t="n">
        <x:f>IF(F12="","",F12/E12-1)</x:f>
        <x:v>0.0269151138716357</x:v>
      </x:c>
      <x:c r="H12" s="14" t="n">
        <x:v>765</x:v>
      </x:c>
      <x:c r="I12" s="16" t="n">
        <x:f>H12/F12</x:f>
        <x:v>0.3084677419354839</x:v>
      </x:c>
      <x:c r="J12" s="12" t="str">
        <x:v>Portugal national rules partly reversed. No attributed regulatory loss disclosed.</x:v>
      </x:c>
      <x:c r="K12" s="12" t="str">
        <x:v>https://investors.airbnb.com/financials/default.aspx</x:v>
      </x:c>
    </x:row>
    <x:row r="13" ht="74" customHeight="1">
      <x:c r="A13" s="11" t="str">
        <x:v>2025Q1</x:v>
      </x:c>
      <x:c r="B13" s="11" t="str">
        <x:v>2024Q4</x:v>
      </x:c>
      <x:c r="C13" s="13" t="n">
        <x:v>2230</x:v>
      </x:c>
      <x:c r="D13" s="13" t="n">
        <x:v>2270</x:v>
      </x:c>
      <x:c r="E13" s="13" t="n">
        <x:f>(C13+D13)/2</x:f>
        <x:v>2250</x:v>
      </x:c>
      <x:c r="F13" s="13" t="n">
        <x:v>2272</x:v>
      </x:c>
      <x:c r="G13" s="15" t="n">
        <x:f>IF(F13="","",F13/E13-1)</x:f>
        <x:v>0.009777777777777885</x:v>
      </x:c>
      <x:c r="H13" s="13" t="n">
        <x:v>417</x:v>
      </x:c>
      <x:c r="I13" s="15" t="n">
        <x:f>H13/F13</x:f>
        <x:v>0.1835387323943662</x:v>
      </x:c>
      <x:c r="J13" s="11" t="str">
        <x:v>Athens freeze and Paris 90-night cap began. No separate revenue/margin bridge.</x:v>
      </x:c>
      <x:c r="K13" s="11" t="str">
        <x:v>https://investors.airbnb.com/financials/default.aspx</x:v>
      </x:c>
    </x:row>
    <x:row r="14" ht="74" customHeight="1">
      <x:c r="A14" s="12" t="str">
        <x:v>2025Q2</x:v>
      </x:c>
      <x:c r="B14" s="12" t="str">
        <x:v>2025Q1</x:v>
      </x:c>
      <x:c r="C14" s="14" t="n">
        <x:v>2990</x:v>
      </x:c>
      <x:c r="D14" s="14" t="n">
        <x:v>3050</x:v>
      </x:c>
      <x:c r="E14" s="14" t="n">
        <x:f>(C14+D14)/2</x:f>
        <x:v>3020</x:v>
      </x:c>
      <x:c r="F14" s="14" t="n">
        <x:v>3096</x:v>
      </x:c>
      <x:c r="G14" s="16" t="n">
        <x:f>IF(F14="","",F14/E14-1)</x:f>
        <x:v>0.02516556291390737</x:v>
      </x:c>
      <x:c r="H14" s="14" t="n">
        <x:v>1043</x:v>
      </x:c>
      <x:c r="I14" s="16" t="n">
        <x:f>H14/F14</x:f>
        <x:v>0.33688630490956073</x:v>
      </x:c>
      <x:c r="J14" s="12" t="str">
        <x:v>Spanish delisting orders and BC registry. Strong revenue does not identify counterfactual loss.</x:v>
      </x:c>
      <x:c r="K14" s="12" t="str">
        <x:v>https://investors.airbnb.com/financials/default.aspx</x:v>
      </x:c>
    </x:row>
    <x:row r="15" ht="74" customHeight="1">
      <x:c r="A15" s="11" t="str">
        <x:v>2025Q3</x:v>
      </x:c>
      <x:c r="B15" s="11" t="str">
        <x:v>2025Q2</x:v>
      </x:c>
      <x:c r="C15" s="13" t="n">
        <x:v>4020</x:v>
      </x:c>
      <x:c r="D15" s="13" t="n">
        <x:v>4100</x:v>
      </x:c>
      <x:c r="E15" s="13" t="n">
        <x:f>(C15+D15)/2</x:f>
        <x:v>4060</x:v>
      </x:c>
      <x:c r="F15" s="13" t="n">
        <x:v>4095</x:v>
      </x:c>
      <x:c r="G15" s="15" t="n">
        <x:f>IF(F15="","",F15/E15-1)</x:f>
        <x:v>0.008620689655172376</x:v>
      </x:c>
      <x:c r="H15" s="13" t="n">
        <x:v>2051</x:v>
      </x:c>
      <x:c r="I15" s="15" t="n">
        <x:f>H15/F15</x:f>
        <x:v>0.5008547008547009</x:v>
      </x:c>
      <x:c r="J15" s="11" t="str">
        <x:v>Spanish registry/delistings; revenue was within guidance. Madrid hotel pilot discussed.</x:v>
      </x:c>
      <x:c r="K15" s="11" t="str">
        <x:v>https://investors.airbnb.com/financials/default.aspx</x:v>
      </x:c>
    </x:row>
    <x:row r="16" ht="74" customHeight="1">
      <x:c r="A16" s="12" t="str">
        <x:v>2025Q4</x:v>
      </x:c>
      <x:c r="B16" s="12" t="str">
        <x:v>2025Q3</x:v>
      </x:c>
      <x:c r="C16" s="14" t="n">
        <x:v>2660</x:v>
      </x:c>
      <x:c r="D16" s="14" t="n">
        <x:v>2720</x:v>
      </x:c>
      <x:c r="E16" s="14" t="n">
        <x:f>(C16+D16)/2</x:f>
        <x:v>2690</x:v>
      </x:c>
      <x:c r="F16" s="14" t="n">
        <x:v>2778</x:v>
      </x:c>
      <x:c r="G16" s="16" t="n">
        <x:f>IF(F16="","",F16/E16-1)</x:f>
        <x:v>0.03271375464684012</x:v>
      </x:c>
      <x:c r="H16" s="14" t="n">
        <x:v>786</x:v>
      </x:c>
      <x:c r="I16" s="16" t="n">
        <x:f>H16/F16</x:f>
        <x:v>0.28293736501079914</x:v>
      </x:c>
      <x:c r="J16" s="12" t="str">
        <x:v>Spain fine headlines. FY25 filing says potential loss neither probable nor estimable.</x:v>
      </x:c>
      <x:c r="K16" s="12" t="str">
        <x:v>https://investors.airbnb.com/financials/default.aspx</x:v>
      </x:c>
    </x:row>
    <x:row r="17" ht="74" customHeight="1">
      <x:c r="A17" s="11" t="str">
        <x:v>2026Q1</x:v>
      </x:c>
      <x:c r="B17" s="11" t="str">
        <x:v>2025Q4</x:v>
      </x:c>
      <x:c r="C17" s="13" t="n">
        <x:v>2590</x:v>
      </x:c>
      <x:c r="D17" s="13" t="n">
        <x:v>2630</x:v>
      </x:c>
      <x:c r="E17" s="13" t="n">
        <x:f>(C17+D17)/2</x:f>
        <x:v>2610</x:v>
      </x:c>
      <x:c r="F17" s="13" t="n">
        <x:v>2678</x:v>
      </x:c>
      <x:c r="G17" s="15" t="n">
        <x:f>IF(F17="","",F17/E17-1)</x:f>
        <x:v>0.02605363984674325</x:v>
      </x:c>
      <x:c r="H17" s="13" t="n">
        <x:v>519</x:v>
      </x:c>
      <x:c r="I17" s="15" t="n">
        <x:f>H17/F17</x:f>
        <x:v>0.19380134428678117</x:v>
      </x:c>
      <x:c r="J17" s="11" t="str">
        <x:v>Budapest VI rule in force; policy risk remains in base. Hotels target constrained supply.</x:v>
      </x:c>
      <x:c r="K17" s="11" t="str">
        <x:v>https://investors.airbnb.com/financials/default.aspx</x:v>
      </x:c>
    </x:row>
    <x:row r="18" ht="74" customHeight="1">
      <x:c r="A18" s="12" t="str">
        <x:v>2026Q2</x:v>
      </x:c>
      <x:c r="B18" s="12" t="str">
        <x:v>2026Q1</x:v>
      </x:c>
      <x:c r="C18" s="14" t="n">
        <x:v>3540</x:v>
      </x:c>
      <x:c r="D18" s="14" t="n">
        <x:v>3600</x:v>
      </x:c>
      <x:c r="E18" s="14" t="n">
        <x:f>(C18+D18)/2</x:f>
        <x:v>3570</x:v>
      </x:c>
      <x:c r="F18" s="14" t="n">
        <x:v>3608</x:v>
      </x:c>
      <x:c r="G18" s="16" t="n">
        <x:f>IF(F18="","",F18/E18-1)</x:f>
        <x:v>0.010644257703081195</x:v>
      </x:c>
      <x:c r="H18" s="14" t="n">
        <x:v>1261</x:v>
      </x:c>
      <x:c r="I18" s="16" t="n">
        <x:f>H18/F18</x:f>
        <x:v>0.3495011086474501</x:v>
      </x:c>
      <x:c r="J18" s="12" t="str">
        <x:v>Spain surety bond in May; Amsterdam tighter cap. FY26 revenue and margin outlook raised.</x:v>
      </x:c>
      <x:c r="K18" s="12" t="str">
        <x:v>https://investors.airbnb.com/financials/default.aspx</x:v>
      </x:c>
    </x:row>
    <x:row r="19" ht="74" customHeight="1">
      <x:c r="A19" s="11" t="str">
        <x:v>2026Q3</x:v>
      </x:c>
      <x:c r="B19" s="11" t="str">
        <x:v>2026Q2</x:v>
      </x:c>
      <x:c r="C19" s="13" t="n">
        <x:v>4690</x:v>
      </x:c>
      <x:c r="D19" s="13" t="n">
        <x:v>4770</x:v>
      </x:c>
      <x:c r="E19" s="13" t="n">
        <x:f>(C19+D19)/2</x:f>
        <x:v>4730</x:v>
      </x:c>
      <x:c r="F19" s="13"/>
      <x:c r="G19" s="15" t="str">
        <x:f>IF(F19="","",F19/E19-1)</x:f>
      </x:c>
      <x:c r="H19" s="13"/>
      <x:c r="I19" s="15"/>
      <x:c r="J19" s="11" t="str">
        <x:v>Guidance only, no actual. FY26 growth at least mid teens and adjusted EBITDA margin at least 35.5%.</x:v>
      </x:c>
      <x:c r="K19" s="11" t="str">
        <x:v>https://www.sec.gov/Archives/edgar/data/1559720/000119312526337928/d70413dex991.htm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3" hidden="0" customWidth="1"/>
    <x:col min="11" max="11" width="22" hidden="0" customWidth="1"/>
    <x:col min="12" max="12" width="24" hidden="0" customWidth="1"/>
    <x:col min="13" max="13" width="23" hidden="0" customWidth="1"/>
    <x:col min="14" max="14" width="21" hidden="0" customWidth="1"/>
    <x:col min="15" max="15" width="23" hidden="0" customWidth="1"/>
    <x:col min="16" max="16" width="24" hidden="0" customWidth="1"/>
    <x:col min="17" max="17" width="115" hidden="0" customWidth="1"/>
  </x:cols>
  <x:sheetData>
    <x:row r="1" ht="32" customHeight="1">
      <x:c r="A1" s="3" t="str">
        <x:v>Annualized revenue sensitivities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5" t="str">
        <x:v>Illustrative inputs. Alternative rows overlap. Do not sum these outputs or treat them as a forecast.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8" customHeight="1">
      <x:c r="A4" s="10" t="str">
        <x:v>FY25 revenue, $m</x:v>
      </x:c>
      <x:c r="B4" s="19" t="n">
        <x:v>12241</x:v>
      </x:c>
      <x:c r="C4" s="10" t="str">
        <x:v>FY25 adjusted EBITDA, $m</x:v>
      </x:c>
      <x:c r="D4" s="19" t="n">
        <x:v>4297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6" customHeight="1">
      <x:c r="A6" s="9" t="str">
        <x:v>Scenario</x:v>
      </x:c>
      <x:c r="B6" s="9" t="str">
        <x:v>Cohort count</x:v>
      </x:c>
      <x:c r="C6" s="9" t="str">
        <x:v>Airbnb channel share</x:v>
      </x:c>
      <x:c r="D6" s="9" t="str">
        <x:v>Unique productive share</x:v>
      </x:c>
      <x:c r="E6" s="9" t="str">
        <x:v>Lost nights / listing</x:v>
      </x:c>
      <x:c r="F6" s="9" t="str">
        <x:v>Room ADR, USD</x:v>
      </x:c>
      <x:c r="G6" s="9" t="str">
        <x:v>Fee on room value</x:v>
      </x:c>
      <x:c r="H6" s="9" t="str">
        <x:v>Revenue recapture</x:v>
      </x:c>
      <x:c r="I6" s="9" t="str">
        <x:v>Contribution margin</x:v>
      </x:c>
      <x:c r="J6" s="9" t="str">
        <x:v>Net scope / enforcement</x:v>
      </x:c>
      <x:c r="K6" s="9" t="str">
        <x:v>Gross fee loss, $m</x:v>
      </x:c>
      <x:c r="L6" s="9" t="str">
        <x:v>Net revenue loss, $m</x:v>
      </x:c>
      <x:c r="M6" s="9" t="str">
        <x:v>EBITDA loss, $m</x:v>
      </x:c>
      <x:c r="N6" s="9" t="str">
        <x:v>% FY25 revenue</x:v>
      </x:c>
      <x:c r="O6" s="9" t="str">
        <x:v>Margin after loss</x:v>
      </x:c>
      <x:c r="P6" s="9" t="str">
        <x:v>Margin change, bps</x:v>
      </x:c>
      <x:c r="Q6" s="9" t="str">
        <x:v>Timing and assumptions</x:v>
      </x:c>
    </x:row>
    <x:row r="7" ht="100" customHeight="1">
      <x:c r="A7" s="11" t="str">
        <x:v>Illustrative unit conversion</x:v>
      </x:c>
      <x:c r="B7" s="24" t="n">
        <x:v>10000</x:v>
      </x:c>
      <x:c r="C7" s="23" t="n">
        <x:v>1</x:v>
      </x:c>
      <x:c r="D7" s="23" t="n">
        <x:v>1</x:v>
      </x:c>
      <x:c r="E7" s="24" t="n">
        <x:v>150</x:v>
      </x:c>
      <x:c r="F7" s="24" t="n">
        <x:v>200</x:v>
      </x:c>
      <x:c r="G7" s="23" t="n">
        <x:v>0.155</x:v>
      </x:c>
      <x:c r="H7" s="23" t="n">
        <x:v>0.5</x:v>
      </x:c>
      <x:c r="I7" s="23" t="n">
        <x:v>0.7</x:v>
      </x:c>
      <x:c r="J7" s="23" t="n">
        <x:v>1</x:v>
      </x:c>
      <x:c r="K7" s="25" t="n">
        <x:f>IF(COUNT(B7:J7)&lt;9,"",B7*C7*D7*E7*F7*G7*J7/1000000)</x:f>
        <x:v>46.5</x:v>
      </x:c>
      <x:c r="L7" s="25" t="n">
        <x:f>IF(K7="","",K7*(1-H7))</x:f>
        <x:v>23.25</x:v>
      </x:c>
      <x:c r="M7" s="25" t="n">
        <x:f>IF(L7="","",L7*I7)</x:f>
        <x:v>16.275</x:v>
      </x:c>
      <x:c r="N7" s="29" t="n">
        <x:f>IF(L7="","",L7/$B$4)</x:f>
        <x:v>0.0018993546278898783</x:v>
      </x:c>
      <x:c r="O7" s="29" t="n">
        <x:f>IF(L7="","",($D$4-M7)/($B$4-L7))</x:f>
        <x:v>0.35036933969020484</x:v>
      </x:c>
      <x:c r="P7" s="27" t="n">
        <x:f>IF(O7="","",(O7-$D$4/$B$4)*10000)</x:f>
        <x:v>-6.640726127115637</x:v>
      </x:c>
      <x:c r="Q7" s="11" t="str">
        <x:v>Neutral scale example; 10,000 actual productive Airbnb listings assumed lost.</x:v>
      </x:c>
    </x:row>
    <x:row r="8" ht="100" customHeight="1">
      <x:c r="A8" s="12" t="str">
        <x:v>Barcelona licence cohort</x:v>
      </x:c>
      <x:c r="B8" s="24" t="n">
        <x:v>10101</x:v>
      </x:c>
      <x:c r="C8" s="23" t="n">
        <x:v>0.65</x:v>
      </x:c>
      <x:c r="D8" s="23" t="n">
        <x:v>0.85</x:v>
      </x:c>
      <x:c r="E8" s="24" t="n">
        <x:v>180</x:v>
      </x:c>
      <x:c r="F8" s="24" t="n">
        <x:v>220</x:v>
      </x:c>
      <x:c r="G8" s="23" t="n">
        <x:v>0.155</x:v>
      </x:c>
      <x:c r="H8" s="23" t="n">
        <x:v>0.5</x:v>
      </x:c>
      <x:c r="I8" s="23" t="n">
        <x:v>0.7</x:v>
      </x:c>
      <x:c r="J8" s="23" t="n">
        <x:v>1</x:v>
      </x:c>
      <x:c r="K8" s="26" t="n">
        <x:f>IF(COUNT(B8:J8)&lt;9,"",B8*C8*D8*E8*F8*G8*J8/1000000)</x:f>
        <x:v>34.25496574500001</x:v>
      </x:c>
      <x:c r="L8" s="26" t="n">
        <x:f>IF(K8="","",K8*(1-H8))</x:f>
        <x:v>17.127482872500003</x:v>
      </x:c>
      <x:c r="M8" s="26" t="n">
        <x:f>IF(L8="","",L8*I8)</x:f>
        <x:v>11.989238010750002</x:v>
      </x:c>
      <x:c r="N8" s="30" t="n">
        <x:f>IF(L8="","",L8/$B$4)</x:f>
        <x:v>0.0013991898433543014</x:v>
      </x:c>
      <x:c r="O8" s="30" t="n">
        <x:f>IF(L8="","",($D$4-M8)/($B$4-L8))</x:f>
        <x:v>0.3505444576573667</x:v>
      </x:c>
      <x:c r="P8" s="28" t="n">
        <x:f>IF(O8="","",(O8-$D$4/$B$4)*10000)</x:f>
        <x:v>-4.889546455497107</x:v>
      </x:c>
      <x:c r="Q8" s="12" t="str">
        <x:v>Full-year after 2028 non-renewal, conditional on implementation. Platform share/activity/nights/ADR/recapture assumed.</x:v>
      </x:c>
    </x:row>
    <x:row r="9" ht="100" customHeight="1">
      <x:c r="A9" s="11" t="str">
        <x:v>Barcelona observed HUTB screen</x:v>
      </x:c>
      <x:c r="B9" s="24" t="n">
        <x:v>6698</x:v>
      </x:c>
      <x:c r="C9" s="23" t="n">
        <x:v>1</x:v>
      </x:c>
      <x:c r="D9" s="23" t="n">
        <x:v>0.85</x:v>
      </x:c>
      <x:c r="E9" s="24" t="n">
        <x:v>180</x:v>
      </x:c>
      <x:c r="F9" s="24" t="n">
        <x:v>220</x:v>
      </x:c>
      <x:c r="G9" s="23" t="n">
        <x:v>0.155</x:v>
      </x:c>
      <x:c r="H9" s="23" t="n">
        <x:v>0.5</x:v>
      </x:c>
      <x:c r="I9" s="23" t="n">
        <x:v>0.7</x:v>
      </x:c>
      <x:c r="J9" s="23" t="n">
        <x:v>1</x:v>
      </x:c>
      <x:c r="K9" s="25" t="n">
        <x:f>IF(COUNT(B9:J9)&lt;9,"",B9*C9*D9*E9*F9*G9*J9/1000000)</x:f>
        <x:v>34.9454754</x:v>
      </x:c>
      <x:c r="L9" s="25" t="n">
        <x:f>IF(K9="","",K9*(1-H9))</x:f>
        <x:v>17.4727377</x:v>
      </x:c>
      <x:c r="M9" s="25" t="n">
        <x:f>IF(L9="","",L9*I9)</x:f>
        <x:v>12.230916389999999</x:v>
      </x:c>
      <x:c r="N9" s="29" t="n">
        <x:f>IF(L9="","",L9/$B$4)</x:f>
        <x:v>0.0014273946327914386</x:v>
      </x:c>
      <x:c r="O9" s="29" t="n">
        <x:f>IF(L9="","",($D$4-M9)/($B$4-L9))</x:f>
        <x:v>0.3505345872484086</x:v>
      </x:c>
      <x:c r="P9" s="27" t="n">
        <x:f>IF(O9="","",(O9-$D$4/$B$4)*10000)</x:f>
        <x:v>-4.988250545078232</x:v>
      </x:c>
      <x:c r="Q9" s="11" t="str">
        <x:v>Alternative to licence cohort, not additive. Scraped IDs not validated licences or distinct homes.</x:v>
      </x:c>
    </x:row>
    <x:row r="10" ht="100" customHeight="1">
      <x:c r="A10" s="12" t="str">
        <x:v>Maui phase-out before rezoning</x:v>
      </x:c>
      <x:c r="B10" s="24" t="n">
        <x:v>6208</x:v>
      </x:c>
      <x:c r="C10" s="23" t="n">
        <x:v>0.6</x:v>
      </x:c>
      <x:c r="D10" s="23" t="n">
        <x:v>1</x:v>
      </x:c>
      <x:c r="E10" s="24" t="n">
        <x:v>210</x:v>
      </x:c>
      <x:c r="F10" s="24" t="n">
        <x:v>375</x:v>
      </x:c>
      <x:c r="G10" s="23" t="n">
        <x:v>0.155</x:v>
      </x:c>
      <x:c r="H10" s="23" t="n">
        <x:v>0.5</x:v>
      </x:c>
      <x:c r="I10" s="23" t="n">
        <x:v>0.7</x:v>
      </x:c>
      <x:c r="J10" s="23" t="n">
        <x:v>1</x:v>
      </x:c>
      <x:c r="K10" s="26" t="n">
        <x:f>IF(COUNT(B10:J10)&lt;9,"",B10*C10*D10*E10*F10*G10*J10/1000000)</x:f>
        <x:v>45.46584</x:v>
      </x:c>
      <x:c r="L10" s="26" t="n">
        <x:f>IF(K10="","",K10*(1-H10))</x:f>
        <x:v>22.73292</x:v>
      </x:c>
      <x:c r="M10" s="26" t="n">
        <x:f>IF(L10="","",L10*I10)</x:f>
        <x:v>15.913044</x:v>
      </x:c>
      <x:c r="N10" s="30" t="n">
        <x:f>IF(L10="","",L10/$B$4)</x:f>
        <x:v>0.0018571129809656073</x:v>
      </x:c>
      <x:c r="O10" s="30" t="n">
        <x:f>IF(L10="","",($D$4-M10)/($B$4-L10))</x:f>
        <x:v>0.3503841361437976</x:v>
      </x:c>
      <x:c r="P10" s="28" t="n">
        <x:f>IF(O10="","",(O10-$D$4/$B$4)*10000)</x:f>
        <x:v>-6.4927615911880565</x:v>
      </x:c>
      <x:c r="Q10" s="12" t="str">
        <x:v>Annualized only after respective 2029/2031 phases. Platform share and activity at future date unverified.</x:v>
      </x:c>
    </x:row>
    <x:row r="11" ht="100" customHeight="1">
      <x:c r="A11" s="11" t="str">
        <x:v>Maui with assumed 60% exemption</x:v>
      </x:c>
      <x:c r="B11" s="24" t="n">
        <x:v>6208</x:v>
      </x:c>
      <x:c r="C11" s="23" t="n">
        <x:v>0.6</x:v>
      </x:c>
      <x:c r="D11" s="23" t="n">
        <x:v>1</x:v>
      </x:c>
      <x:c r="E11" s="24" t="n">
        <x:v>210</x:v>
      </x:c>
      <x:c r="F11" s="24" t="n">
        <x:v>375</x:v>
      </x:c>
      <x:c r="G11" s="23" t="n">
        <x:v>0.155</x:v>
      </x:c>
      <x:c r="H11" s="23" t="n">
        <x:v>0.5</x:v>
      </x:c>
      <x:c r="I11" s="23" t="n">
        <x:v>0.7</x:v>
      </x:c>
      <x:c r="J11" s="23" t="n">
        <x:v>0.4</x:v>
      </x:c>
      <x:c r="K11" s="25" t="n">
        <x:f>IF(COUNT(B11:J11)&lt;9,"",B11*C11*D11*E11*F11*G11*J11/1000000)</x:f>
        <x:v>18.186336</x:v>
      </x:c>
      <x:c r="L11" s="25" t="n">
        <x:f>IF(K11="","",K11*(1-H11))</x:f>
        <x:v>9.093168</x:v>
      </x:c>
      <x:c r="M11" s="25" t="n">
        <x:f>IF(L11="","",L11*I11)</x:f>
        <x:v>6.3652176</x:v>
      </x:c>
      <x:c r="N11" s="29" t="n">
        <x:f>IF(L11="","",L11/$B$4)</x:f>
        <x:v>0.000742845192386243</x:v>
      </x:c>
      <x:c r="O11" s="29" t="n">
        <x:f>IF(L11="","",($D$4-M11)/($B$4-L11))</x:f>
        <x:v>0.3507739914414025</x:v>
      </x:c>
      <x:c r="P11" s="27" t="n">
        <x:f>IF(O11="","",(O11-$D$4/$B$4)*10000)</x:f>
        <x:v>-2.5942086151392596</x:v>
      </x:c>
      <x:c r="Q11" s="11" t="str">
        <x:v>Alternative scenario: assume 60% of active cohort exempt/reclassified. Not 4,519 automatically subtracted.</x:v>
      </x:c>
    </x:row>
    <x:row r="12" ht="100" customHeight="1">
      <x:c r="A12" s="12" t="str">
        <x:v>Spain reported removed ads</x:v>
      </x:c>
      <x:c r="B12" s="24" t="n">
        <x:v>65122</x:v>
      </x:c>
      <x:c r="C12" s="23" t="n">
        <x:v>1</x:v>
      </x:c>
      <x:c r="D12" s="23" t="n">
        <x:v>0.35</x:v>
      </x:c>
      <x:c r="E12" s="24" t="n">
        <x:v>150</x:v>
      </x:c>
      <x:c r="F12" s="24" t="n">
        <x:v>180</x:v>
      </x:c>
      <x:c r="G12" s="23" t="n">
        <x:v>0.155</x:v>
      </x:c>
      <x:c r="H12" s="23" t="n">
        <x:v>0.5</x:v>
      </x:c>
      <x:c r="I12" s="23" t="n">
        <x:v>0.7</x:v>
      </x:c>
      <x:c r="J12" s="23" t="n">
        <x:v>1</x:v>
      </x:c>
      <x:c r="K12" s="26" t="n">
        <x:f>IF(COUNT(B12:J12)&lt;9,"",B12*C12*D12*E12*F12*G12*J12/1000000)</x:f>
        <x:v>95.38744949999999</x:v>
      </x:c>
      <x:c r="L12" s="26" t="n">
        <x:f>IF(K12="","",K12*(1-H12))</x:f>
        <x:v>47.693724749999994</x:v>
      </x:c>
      <x:c r="M12" s="26" t="n">
        <x:f>IF(L12="","",L12*I12)</x:f>
        <x:v>33.385607324999995</x:v>
      </x:c>
      <x:c r="N12" s="30" t="n">
        <x:f>IF(L12="","",L12/$B$4)</x:f>
        <x:v>0.003896227820439506</x:v>
      </x:c>
      <x:c r="O12" s="30" t="n">
        <x:f>IF(L12="","",($D$4-M12)/($B$4-L12))</x:f>
        <x:v>0.34966844073533143</x:v>
      </x:c>
      <x:c r="P12" s="28" t="n">
        <x:f>IF(O12="","",(O12-$D$4/$B$4)*10000)</x:f>
        <x:v>-13.649715675849716</x:v>
      </x:c>
      <x:c r="Q12" s="12" t="str">
        <x:v>Historical reconstruction illustration, not new future guidance downside. 35% unique productive net-lost share assumed.</x:v>
      </x:c>
    </x:row>
    <x:row r="13" ht="100" customHeight="1">
      <x:c r="A13" s="11" t="str">
        <x:v>Paris 10,000 cap-binding homes</x:v>
      </x:c>
      <x:c r="B13" s="24" t="n">
        <x:v>10000</x:v>
      </x:c>
      <x:c r="C13" s="23" t="n">
        <x:v>1</x:v>
      </x:c>
      <x:c r="D13" s="23" t="n">
        <x:v>1</x:v>
      </x:c>
      <x:c r="E13" s="24" t="n">
        <x:v>30</x:v>
      </x:c>
      <x:c r="F13" s="24" t="n">
        <x:v>220</x:v>
      </x:c>
      <x:c r="G13" s="23" t="n">
        <x:v>0.155</x:v>
      </x:c>
      <x:c r="H13" s="23" t="n">
        <x:v>0.5</x:v>
      </x:c>
      <x:c r="I13" s="23" t="n">
        <x:v>0.7</x:v>
      </x:c>
      <x:c r="J13" s="23" t="n">
        <x:v>1</x:v>
      </x:c>
      <x:c r="K13" s="25" t="n">
        <x:f>IF(COUNT(B13:J13)&lt;9,"",B13*C13*D13*E13*F13*G13*J13/1000000)</x:f>
        <x:v>10.23</x:v>
      </x:c>
      <x:c r="L13" s="25" t="n">
        <x:f>IF(K13="","",K13*(1-H13))</x:f>
        <x:v>5.115</x:v>
      </x:c>
      <x:c r="M13" s="25" t="n">
        <x:f>IF(L13="","",L13*I13)</x:f>
        <x:v>3.5805</x:v>
      </x:c>
      <x:c r="N13" s="29" t="n">
        <x:f>IF(L13="","",L13/$B$4)</x:f>
        <x:v>0.0004178580181357732</x:v>
      </x:c>
      <x:c r="O13" s="29" t="n">
        <x:f>IF(L13="","",($D$4-M13)/($B$4-L13))</x:f>
        <x:v>0.35088753285929053</x:v>
      </x:c>
      <x:c r="P13" s="27" t="n">
        <x:f>IF(O13="","",(O13-$D$4/$B$4)*10000)</x:f>
        <x:v>-1.4587944362587368</x:v>
      </x:c>
      <x:c r="Q13" s="11" t="str">
        <x:v>Hypothetical subset previously at 120 nights. Lose 30 nights each, not the full listing.</x:v>
      </x:c>
    </x:row>
    <x:row r="14" ht="100" customHeight="1">
      <x:c r="A14" s="12" t="str">
        <x:v>Athens 1,000 blocked new listings</x:v>
      </x:c>
      <x:c r="B14" s="24" t="n">
        <x:v>1000</x:v>
      </x:c>
      <x:c r="C14" s="23" t="n">
        <x:v>1</x:v>
      </x:c>
      <x:c r="D14" s="23" t="n">
        <x:v>1</x:v>
      </x:c>
      <x:c r="E14" s="24" t="n">
        <x:v>100</x:v>
      </x:c>
      <x:c r="F14" s="24" t="n">
        <x:v>140</x:v>
      </x:c>
      <x:c r="G14" s="23" t="n">
        <x:v>0.155</x:v>
      </x:c>
      <x:c r="H14" s="23" t="n">
        <x:v>0.5</x:v>
      </x:c>
      <x:c r="I14" s="23" t="n">
        <x:v>0.7</x:v>
      </x:c>
      <x:c r="J14" s="23" t="n">
        <x:v>1</x:v>
      </x:c>
      <x:c r="K14" s="26" t="n">
        <x:f>IF(COUNT(B14:J14)&lt;9,"",B14*C14*D14*E14*F14*G14*J14/1000000)</x:f>
        <x:v>2.17</x:v>
      </x:c>
      <x:c r="L14" s="26" t="n">
        <x:f>IF(K14="","",K14*(1-H14))</x:f>
        <x:v>1.085</x:v>
      </x:c>
      <x:c r="M14" s="26" t="n">
        <x:f>IF(L14="","",L14*I14)</x:f>
        <x:v>0.7595</x:v>
      </x:c>
      <x:c r="N14" s="30" t="n">
        <x:f>IF(L14="","",L14/$B$4)</x:f>
        <x:v>0.00008863654930152765</x:v>
      </x:c>
      <x:c r="O14" s="30" t="n">
        <x:f>IF(L14="","",($D$4-M14)/($B$4-L14))</x:f>
        <x:v>0.35100247836688403</x:v>
      </x:c>
      <x:c r="P14" s="28" t="n">
        <x:f>IF(O14="","",(O14-$D$4/$B$4)*10000)</x:f>
        <x:v>-0.3093393603237349</x:v>
      </x:c>
      <x:c r="Q14" s="12" t="str">
        <x:v>Hypothetical annual foregone entrants after partial-year ramp; no existing stock ban assumed.</x:v>
      </x:c>
    </x:row>
    <x:row r="17" ht="75" customHeight="1">
      <x:c r="A17" s="17" t="str">
        <x:v>Model detail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 t="str">
        <x:v>Definition</x:v>
      </x:c>
    </x:row>
    <x:row r="18" ht="75" customHeight="1">
      <x:c r="A18" s="17" t="str">
        <x:v>Fee basis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 t="str">
        <x:v>15.5% of assumed room value is a scenario input informed by announced fee migration. Not the 13.2% revenue/GBV ratio, whose denominator includes fees and taxes.</x:v>
      </x:c>
    </x:row>
    <x:row r="19" ht="75" customHeight="1">
      <x:c r="A19" s="17" t="str">
        <x:v>Costs</x:v>
      </x:c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 t="str">
        <x:v>Contribution margin assumes variable-cost savings. No incremental legal/compliance spend or fine is included. EBITDA margin uses the smaller revenue denominator.</x:v>
      </x:c>
    </x:row>
    <x:row r="20" ht="75" customHeight="1">
      <x:c r="A20" s="17" t="str">
        <x:v>Recapture</x:v>
      </x:c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 t="str">
        <x:v>Share of lost fee revenue retained via other Airbnb homes, hotels, destinations or longer stays. Includes monetization differences; not just guest-count retention.</x:v>
      </x:c>
    </x:row>
    <x:row r="22" ht="50" customHeight="1">
      <x:c r="A22" s="17" t="str">
        <x:v>FY25 financial source</x:v>
      </x:c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 t="str">
        <x:v>https://www.sec.gov/Archives/edgar/data/1559720/000119312526048670/d58192dex991.htm</x:v>
      </x:c>
    </x:row>
    <x:row r="23" ht="50" customHeight="1">
      <x:c r="A23" s="17" t="str">
        <x:v>Fee migration source</x:v>
      </x:c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 t="str">
        <x:v>https://www.sec.gov/Archives/edgar/data/1559720/000119312526337928/d70413dex991.htm</x:v>
      </x:c>
    </x:row>
  </x:sheetData>
  <x:dataValidations count="6">
    <x:dataValidation type="decimal" operator="between" sqref="C7:C14">
      <x:formula1>0</x:formula1>
      <x:formula2>1</x:formula2>
    </x:dataValidation>
    <x:dataValidation type="decimal" operator="between" sqref="D7:D14">
      <x:formula1>0</x:formula1>
      <x:formula2>1</x:formula2>
    </x:dataValidation>
    <x:dataValidation type="decimal" operator="between" sqref="G7:G14">
      <x:formula1>0</x:formula1>
      <x:formula2>1</x:formula2>
    </x:dataValidation>
    <x:dataValidation type="decimal" operator="between" sqref="H7:H14">
      <x:formula1>0</x:formula1>
      <x:formula2>1</x:formula2>
    </x:dataValidation>
    <x:dataValidation type="decimal" operator="between" sqref="I7:I14">
      <x:formula1>0</x:formula1>
      <x:formula2>1</x:formula2>
    </x:dataValidation>
    <x:dataValidation type="decimal" operator="between" sqref="J7:J14">
      <x:formula1>0</x:formula1>
      <x:formula2>1</x:formula2>
    </x:dataValidation>
  </x:dataValidations>
  <x:pageMargins left="0.7" right="0.7" top="0.75" bottom="0.75" header="0.3" footer="0.3"/>
</x:worksheet>
</file>