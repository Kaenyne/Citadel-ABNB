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wille\Desktop\Citadel - ABNB\.worktrees\submission-readiness-v1\outputs\gbv-event-20260915\"/>
    </mc:Choice>
  </mc:AlternateContent>
  <xr:revisionPtr revIDLastSave="0" documentId="13_ncr:1_{B0A8BA2F-271B-4ED7-8186-30ACA2FF4EDF}" xr6:coauthVersionLast="47" xr6:coauthVersionMax="47" xr10:uidLastSave="{00000000-0000-0000-0000-000000000000}"/>
  <bookViews>
    <workbookView xWindow="0" yWindow="2200" windowWidth="19200" windowHeight="8460" xr2:uid="{00000000-000D-0000-FFFF-FFFF00000000}"/>
  </bookViews>
  <sheets>
    <sheet name="Decision" sheetId="1" r:id="rId1"/>
    <sheet name="Conversion" sheetId="2" r:id="rId2"/>
    <sheet name="Inputs" sheetId="3" r:id="rId3"/>
    <sheet name="Forecast audit" sheetId="4" r:id="rId4"/>
    <sheet name="Event study" sheetId="5" r:id="rId5"/>
    <sheet name="Event data" sheetId="6" r:id="rId6"/>
    <sheet name="Source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 i="5" l="1"/>
  <c r="C71" i="5"/>
  <c r="B71" i="5"/>
  <c r="D70" i="5"/>
  <c r="C70" i="5"/>
  <c r="B70" i="5"/>
  <c r="D69" i="5"/>
  <c r="C69" i="5"/>
  <c r="B69" i="5"/>
  <c r="D68" i="5"/>
  <c r="C68" i="5"/>
  <c r="B68" i="5"/>
  <c r="D67" i="5"/>
  <c r="C67" i="5"/>
  <c r="B67" i="5"/>
  <c r="D66" i="5"/>
  <c r="C66" i="5"/>
  <c r="B66" i="5"/>
  <c r="D65" i="5"/>
  <c r="C65" i="5"/>
  <c r="B65" i="5"/>
  <c r="D64" i="5"/>
  <c r="C64" i="5"/>
  <c r="B64" i="5"/>
  <c r="D63" i="5"/>
  <c r="C63" i="5"/>
  <c r="B63" i="5"/>
  <c r="D62" i="5"/>
  <c r="C62" i="5"/>
  <c r="B62" i="5"/>
  <c r="D61" i="5"/>
  <c r="C61" i="5"/>
  <c r="B61" i="5"/>
  <c r="D60" i="5"/>
  <c r="C60" i="5"/>
  <c r="B60" i="5"/>
  <c r="D59" i="5"/>
  <c r="C59" i="5"/>
  <c r="B59" i="5"/>
  <c r="D58" i="5"/>
  <c r="C58" i="5"/>
  <c r="B58" i="5"/>
  <c r="D57" i="5"/>
  <c r="C57" i="5"/>
  <c r="B57" i="5"/>
  <c r="D56" i="5"/>
  <c r="C56" i="5"/>
  <c r="B56" i="5"/>
  <c r="D55" i="5"/>
  <c r="C55" i="5"/>
  <c r="B55" i="5"/>
  <c r="D54" i="5"/>
  <c r="C54" i="5"/>
  <c r="B54" i="5"/>
  <c r="D53" i="5"/>
  <c r="C53" i="5"/>
  <c r="B53" i="5"/>
  <c r="D52" i="5"/>
  <c r="C52" i="5"/>
  <c r="B52" i="5"/>
  <c r="D51" i="5"/>
  <c r="C51" i="5"/>
  <c r="B51" i="5"/>
  <c r="D50" i="5"/>
  <c r="C50" i="5"/>
  <c r="B50" i="5"/>
  <c r="D49" i="5"/>
  <c r="C49" i="5"/>
  <c r="B49" i="5"/>
  <c r="D20" i="4"/>
  <c r="C20" i="4"/>
  <c r="F21" i="2"/>
  <c r="E21" i="2"/>
  <c r="D21" i="2"/>
  <c r="C21" i="2"/>
  <c r="C18" i="2"/>
  <c r="F17" i="2"/>
  <c r="E17" i="2"/>
  <c r="D17" i="2"/>
  <c r="C17" i="2"/>
  <c r="F16" i="2"/>
  <c r="E16" i="2"/>
  <c r="D16" i="2"/>
  <c r="C16" i="2"/>
  <c r="F12" i="2"/>
  <c r="E12" i="2"/>
  <c r="D12" i="2"/>
  <c r="C12" i="2"/>
  <c r="F10" i="2"/>
  <c r="E10" i="2"/>
  <c r="D10" i="2"/>
  <c r="C10" i="2"/>
  <c r="F8" i="2"/>
  <c r="E8" i="2"/>
  <c r="D8" i="2"/>
  <c r="C8" i="2"/>
  <c r="F7" i="2"/>
  <c r="E7" i="2"/>
  <c r="D7" i="2"/>
  <c r="C7" i="2"/>
  <c r="F6" i="2"/>
  <c r="E6" i="2"/>
  <c r="D6" i="2"/>
  <c r="C6" i="2"/>
  <c r="D10" i="1"/>
  <c r="C9" i="2" l="1"/>
  <c r="C11" i="2" s="1"/>
  <c r="E9" i="2"/>
  <c r="F9" i="2"/>
  <c r="D38" i="2"/>
  <c r="C10" i="1"/>
  <c r="C13" i="2"/>
  <c r="I6" i="2"/>
  <c r="E11" i="2"/>
  <c r="F11" i="2"/>
  <c r="E10" i="1"/>
  <c r="C26" i="2"/>
  <c r="C27" i="2" s="1"/>
  <c r="D26" i="2"/>
  <c r="D18" i="2"/>
  <c r="F18" i="1" s="1"/>
  <c r="E11" i="1"/>
  <c r="C24" i="2"/>
  <c r="C25" i="2" s="1"/>
  <c r="E26" i="2"/>
  <c r="E27" i="2" s="1"/>
  <c r="G38" i="2"/>
  <c r="C36" i="2"/>
  <c r="F38" i="2"/>
  <c r="F26" i="2"/>
  <c r="F27" i="2" s="1"/>
  <c r="E38" i="2"/>
  <c r="E24" i="2"/>
  <c r="E25" i="2" s="1"/>
  <c r="F24" i="2"/>
  <c r="F25" i="2" s="1"/>
  <c r="D36" i="2"/>
  <c r="C39" i="2"/>
  <c r="E36" i="2"/>
  <c r="D39" i="2"/>
  <c r="E12" i="1"/>
  <c r="F36" i="2"/>
  <c r="E39" i="2"/>
  <c r="G36" i="2"/>
  <c r="F39" i="2"/>
  <c r="D9" i="2"/>
  <c r="D11" i="2" s="1"/>
  <c r="C37" i="2"/>
  <c r="G39" i="2"/>
  <c r="E13" i="1"/>
  <c r="D37" i="2"/>
  <c r="C40" i="2"/>
  <c r="E37" i="2"/>
  <c r="D40" i="2"/>
  <c r="E18" i="2"/>
  <c r="F37" i="2"/>
  <c r="E40" i="2"/>
  <c r="F18" i="2"/>
  <c r="G37" i="2"/>
  <c r="F40" i="2"/>
  <c r="C38" i="2"/>
  <c r="G40" i="2"/>
  <c r="D24" i="2" l="1"/>
  <c r="D25" i="2" s="1"/>
  <c r="F23" i="1" s="1"/>
  <c r="D27" i="2"/>
  <c r="F22" i="1" s="1"/>
  <c r="F21" i="1"/>
  <c r="F13" i="2"/>
  <c r="I9" i="2"/>
  <c r="C13" i="1"/>
  <c r="E13" i="2"/>
  <c r="I8" i="2"/>
  <c r="C12" i="1"/>
  <c r="I7" i="2"/>
  <c r="D13" i="2"/>
  <c r="C11" i="1"/>
  <c r="C19" i="2"/>
  <c r="C22" i="2"/>
  <c r="J6" i="2"/>
  <c r="C20" i="2"/>
  <c r="D19" i="2" l="1"/>
  <c r="F19" i="1" s="1"/>
  <c r="B5" i="1" s="1"/>
  <c r="J7" i="2"/>
  <c r="D22" i="2"/>
  <c r="F17" i="1"/>
  <c r="D20" i="2"/>
  <c r="F20" i="1" s="1"/>
  <c r="D11" i="1"/>
  <c r="E22" i="2"/>
  <c r="J8" i="2"/>
  <c r="E20" i="2"/>
  <c r="D12" i="1"/>
  <c r="E19" i="2"/>
  <c r="F22" i="2"/>
  <c r="J9" i="2"/>
  <c r="D13" i="1"/>
  <c r="F20" i="2"/>
  <c r="F19" i="2"/>
</calcChain>
</file>

<file path=xl/sharedStrings.xml><?xml version="1.0" encoding="utf-8"?>
<sst xmlns="http://schemas.openxmlformats.org/spreadsheetml/2006/main" count="488" uniqueCount="332">
  <si>
    <t>ABNB | guidance-led event model</t>
  </si>
  <si>
    <t>GBV conversion track only. Q3 2026 through Q2 2027. Prepared 15 Sep 2026.</t>
  </si>
  <si>
    <t>Quarter</t>
  </si>
  <si>
    <t>Revenue $m</t>
  </si>
  <si>
    <t>Guide $m</t>
  </si>
  <si>
    <t>Street revenue $m</t>
  </si>
  <si>
    <t>Guide treatment</t>
  </si>
  <si>
    <t>2026Q3</t>
  </si>
  <si>
    <t>Observed midpoint</t>
  </si>
  <si>
    <t>2026Q4</t>
  </si>
  <si>
    <t>Conditional estimate</t>
  </si>
  <si>
    <t>2027Q1</t>
  </si>
  <si>
    <t>2027Q2</t>
  </si>
  <si>
    <t>Next key guide: Q4 2026</t>
  </si>
  <si>
    <t>Our implied guide ($m)</t>
  </si>
  <si>
    <t>Street guide proxy ($m)</t>
  </si>
  <si>
    <t>Conditional gap ($m)</t>
  </si>
  <si>
    <t>Conditional gap (%)</t>
  </si>
  <si>
    <t>Q3 GBV break-even ($m)</t>
  </si>
  <si>
    <t>Q3 GBV change to break-even</t>
  </si>
  <si>
    <t>Q4 lambda change to break-even (bp)</t>
  </si>
  <si>
    <t>A lower conditional guide requires weaker lagged GBV, lower conversion, or a larger management cushion. RNPL risk belongs in a measurable change to those inputs. A guide below revenue consensus alone is not evidence of a bearish surprise. Break-even thresholds are conditions, not probabilities or calibrated short triggers.</t>
  </si>
  <si>
    <t>Decision gates and next steps</t>
  </si>
  <si>
    <t>Gate</t>
  </si>
  <si>
    <t>Evidence in hand</t>
  </si>
  <si>
    <t>Missing evidence</t>
  </si>
  <si>
    <t>Next action</t>
  </si>
  <si>
    <t>Forecast quality</t>
  </si>
  <si>
    <t>Reproduced fixed replay; 12 / 10 matched observations</t>
  </si>
  <si>
    <t>Outperformance in both windows and stable deletions</t>
  </si>
  <si>
    <t>Keep conditional status; prospectively track input revisions</t>
  </si>
  <si>
    <t>Variant view</t>
  </si>
  <si>
    <t>Dated Q3 / Q4 revenue expectations; explicit Q4 threshold</t>
  </si>
  <si>
    <t>Observed guide expectations and Q1/Q2 Street quarters</t>
  </si>
  <si>
    <t>Refresh vendor-dated expectations before the event</t>
  </si>
  <si>
    <t>Price response</t>
  </si>
  <si>
    <t>23-event daily gap and next-session panel</t>
  </si>
  <si>
    <t>Stable coefficient; release/call attribution</t>
  </si>
  <si>
    <t>Obtain entitled ABNB + QQQ timestamped event bars</t>
  </si>
  <si>
    <t>Trade execution</t>
  </si>
  <si>
    <t>Entry windows and information timing separated</t>
  </si>
  <si>
    <t>Net costs, borrow/option pricing, robust ex-ante rule</t>
  </si>
  <si>
    <t>Pre-register a rule before testing; do not infer a trade from this correlation</t>
  </si>
  <si>
    <t>Read order: Decision → Conversion → Forecast audit → Event study. Inputs holds the editable working assumptions; Event data keeps the full universe; Sources records evidence and limitations. The two-page memo is a static dated companion. Changing workbook inputs does not rewrite the historical audit or memo.</t>
  </si>
  <si>
    <t>GBV conversion | four-quarter build</t>
  </si>
  <si>
    <t>Prepared 15 Sep 2026; inherited parameters through 13 Sep. No 2028 extension.</t>
  </si>
  <si>
    <t>USDm, except ratios</t>
  </si>
  <si>
    <t>Revenue</t>
  </si>
  <si>
    <t>Implied guide</t>
  </si>
  <si>
    <t>GBV: previous quarter</t>
  </si>
  <si>
    <t>GBV: two quarters prior</t>
  </si>
  <si>
    <t>Weight: previous quarter</t>
  </si>
  <si>
    <t>Weighted lagged GBV</t>
  </si>
  <si>
    <t>Conversion lambda</t>
  </si>
  <si>
    <t>Revenue forecast</t>
  </si>
  <si>
    <t>Guidance cushion</t>
  </si>
  <si>
    <t>Implied guide midpoint</t>
  </si>
  <si>
    <t>Guide status</t>
  </si>
  <si>
    <t>Already issued</t>
  </si>
  <si>
    <t>Conditional</t>
  </si>
  <si>
    <t>Street revenue</t>
  </si>
  <si>
    <t>Assumed Street cushion</t>
  </si>
  <si>
    <t>Implied Street guide proxy</t>
  </si>
  <si>
    <t>Guide gap to proxy ($m)</t>
  </si>
  <si>
    <t>Guide gap to proxy (%)</t>
  </si>
  <si>
    <t>Direct guide expectation</t>
  </si>
  <si>
    <t>Gap to direct guide ($m)</t>
  </si>
  <si>
    <t>Break-even lambda*</t>
  </si>
  <si>
    <t>Lambda change (bp)*</t>
  </si>
  <si>
    <t>Break-even recent GBV*</t>
  </si>
  <si>
    <t>Recent GBV change (%)*</t>
  </si>
  <si>
    <t>*Break-even ratios hold our other inputs fixed and equate model revenue with Street revenue. They are not observed Street GBV/conversion forecasts. A common cushion cancels from the relative guide gap. Q3 guide output is a diagnostic, never a future surprise.</t>
  </si>
  <si>
    <t>Q4 guide sensitivity | lambda change (basis points) across columns</t>
  </si>
  <si>
    <t>Q3 GBV change</t>
  </si>
  <si>
    <t>Sensitivity values are conditional guide levels, not forecasts with assigned probabilities. GBV and conversion can move together. RNPL could affect booking timing, cancellations or conversion; without identified incremental data, adding another haircut would double-count an assumption.</t>
  </si>
  <si>
    <t>Model inputs | one conditional working path</t>
  </si>
  <si>
    <t>Blue values are editable. Green cells link to another sheet. USD millions unless stated.</t>
  </si>
  <si>
    <t>GBV quarter</t>
  </si>
  <si>
    <t>GBV $m</t>
  </si>
  <si>
    <t>Input status</t>
  </si>
  <si>
    <t>Available by</t>
  </si>
  <si>
    <t>Lineage / limitation</t>
  </si>
  <si>
    <t>2026Q1</t>
  </si>
  <si>
    <t>Reported, original rounded convention</t>
  </si>
  <si>
    <t>2026-05-07</t>
  </si>
  <si>
    <t>Exact filing comparison shown separately</t>
  </si>
  <si>
    <t>2026Q2</t>
  </si>
  <si>
    <t>2026-08-06</t>
  </si>
  <si>
    <t>Conditional GBV assumption</t>
  </si>
  <si>
    <t>2026-09-13</t>
  </si>
  <si>
    <t>Originally component-derived; shared-input uncertainty</t>
  </si>
  <si>
    <t>Not a validated Q1 GBV forecast</t>
  </si>
  <si>
    <t>Target</t>
  </si>
  <si>
    <t>Cushion</t>
  </si>
  <si>
    <t>Lambda n</t>
  </si>
  <si>
    <t>Last lambda observation</t>
  </si>
  <si>
    <t>2025-11-06</t>
  </si>
  <si>
    <t>2026-02-12</t>
  </si>
  <si>
    <t>Lambda is a revenue / weighted-lag-GBV ratio, not a commission take rate. Weights are a fixed empirical mapping, not literal booking-cohort shares. Cushion = revenue / issued guide - 1. Eight realized quarters supply the inherited median.</t>
  </si>
  <si>
    <t>Observed at (UTC)</t>
  </si>
  <si>
    <t>Named source</t>
  </si>
  <si>
    <t>2026-09-13T15:20Z</t>
  </si>
  <si>
    <t>Yahoo Finance (LSEG family)</t>
  </si>
  <si>
    <t>Unavailable; no vendor substitution</t>
  </si>
  <si>
    <t>Direct guide expectations are unobserved. If an admissible direct estimate is entered, add its vendor and timestamp here before using it. Q1/Q2 2027 Street revenue remains unavailable; do not split annual estimates.</t>
  </si>
  <si>
    <t>Observed Q3 guide</t>
  </si>
  <si>
    <t>USDm</t>
  </si>
  <si>
    <t>Disclosure date</t>
  </si>
  <si>
    <t>Low</t>
  </si>
  <si>
    <t>Midpoint</t>
  </si>
  <si>
    <t>High</t>
  </si>
  <si>
    <t>Precision check: change the GBV inputs only, not lambda</t>
  </si>
  <si>
    <t>Exact-input revenue</t>
  </si>
  <si>
    <t>Delta from rounded</t>
  </si>
  <si>
    <t>Scope</t>
  </si>
  <si>
    <t>Frozen lambda; SEC GBV 29,187 / 27,247</t>
  </si>
  <si>
    <t>The current GBV assumptions inherit the prior L4 working case, including inputs originally derived from the component track. This is a shared input dependency, not independent confirmation. Q1 2027 GBV is an assumption needed for the explicit Q2 conversion. No second RNPL, fee or FX haircut is added.</t>
  </si>
  <si>
    <t>Street cushion assumption</t>
  </si>
  <si>
    <t>Convention</t>
  </si>
  <si>
    <t>Common at default; independently editable</t>
  </si>
  <si>
    <t>The Street cushion is an assumption, not observed guide expectations. It starts equal to our cushion. Editing our cushion alone holds this benchmark fixed; shared-cushion cancellation applies only when both use the same value. Historical audit figures remain frozen.</t>
  </si>
  <si>
    <t>Forecast risk | fixed earlier-origin replay</t>
  </si>
  <si>
    <t>W1 and W2 are nested. Historical analysis is already explored; these results are not a new holdout.</t>
  </si>
  <si>
    <t>Guide RMSE, $m</t>
  </si>
  <si>
    <t>W1 (n=12)</t>
  </si>
  <si>
    <t>W2 (n=10)</t>
  </si>
  <si>
    <t>Interpretation</t>
  </si>
  <si>
    <t>GBV conversion candidate</t>
  </si>
  <si>
    <t>Promotion hurdle failed</t>
  </si>
  <si>
    <t>Guide-growth baseline</t>
  </si>
  <si>
    <t>Same target rows</t>
  </si>
  <si>
    <t>Revenue-naive + cushion</t>
  </si>
  <si>
    <t>Scores use the project midpoint +/- $0.5m convention. Raw candidate RMSE is $63.9m / $64.1m. Candidate does not beat the guide-growth baseline in W2 and fails deletion robustness. Historical origins were roughly 48-62 days before the guide; this is not a calibrated Q1/Q2 2027 risk band.</t>
  </si>
  <si>
    <t>Variance, USDm squared</t>
  </si>
  <si>
    <t>W1</t>
  </si>
  <si>
    <t>W2</t>
  </si>
  <si>
    <t>GBV input</t>
  </si>
  <si>
    <t>Conversion</t>
  </si>
  <si>
    <t>Covariance contribution</t>
  </si>
  <si>
    <t>Reconciled total</t>
  </si>
  <si>
    <t>Exact symmetric (Shapley) attribution sums to raw guide error. Standalone factor variance cannot be added without covariance. The exact cells reconcile the W1 diagonal and covariance terms to 4,027.3 USDm squared. Observed population SD is $63.5m; independence would imply $82.6m. This ex-post decomposition explains historical error, not available trading features.</t>
  </si>
  <si>
    <t>Replacing only unknown GBV with realized GBV lowers raw guide RMSE to $36.4m / $38.7m. That is an oracle diagnostic, not a tradable strategy. Two events account for 51% / 61% of squared error; small samples and influential events prevent stable promotion. No new optimized predictor was fitted.</t>
  </si>
  <si>
    <t>Target quarter</t>
  </si>
  <si>
    <t>GBV effect</t>
  </si>
  <si>
    <t>Conversion effect</t>
  </si>
  <si>
    <t>Cushion effect</t>
  </si>
  <si>
    <t>Raw guide error</t>
  </si>
  <si>
    <t>2023Q2</t>
  </si>
  <si>
    <t>2023Q4</t>
  </si>
  <si>
    <t>2024Q1</t>
  </si>
  <si>
    <t>2024Q2</t>
  </si>
  <si>
    <t>2024Q3</t>
  </si>
  <si>
    <t>2024Q4</t>
  </si>
  <si>
    <t>2025Q1</t>
  </si>
  <si>
    <t>2025Q2</t>
  </si>
  <si>
    <t>2025Q3</t>
  </si>
  <si>
    <t>2025Q4</t>
  </si>
  <si>
    <t>Historical outputs stay frozen when working inputs change.</t>
  </si>
  <si>
    <t>Validation boundary: this earlier-origin replay used the frozen ex-COVID conversion variant. The current working four-quarter case inherits seasonal EWM conversion. The replay identifies method risks and failed promotion; its error statistics are not a direct backtest or calibrated interval for the current EWM case.</t>
  </si>
  <si>
    <t>Earnings reactions | association, not a price law</t>
  </si>
  <si>
    <t>23 events / 20 numeric forward guides / 16 raw comparison proxies / 15 implied-guide proxies.</t>
  </si>
  <si>
    <t>All-event association</t>
  </si>
  <si>
    <t>n</t>
  </si>
  <si>
    <t>Pearson r</t>
  </si>
  <si>
    <t>Slope</t>
  </si>
  <si>
    <t>95% low</t>
  </si>
  <si>
    <t>95% high</t>
  </si>
  <si>
    <t>Raw proxy %</t>
  </si>
  <si>
    <t>Excess gap %</t>
  </si>
  <si>
    <t>Excess session %</t>
  </si>
  <si>
    <t>Raw proxy: gap</t>
  </si>
  <si>
    <t>Raw proxy: session</t>
  </si>
  <si>
    <t>Implied proxy: gap</t>
  </si>
  <si>
    <t>Implied proxy: session</t>
  </si>
  <si>
    <t>Slope units: percentage points of excess stock return per 1 percentage point of comparison proxy. All 12 primary Holm-adjusted p-values are 1.0. Intervals include zero; leave-event/year results are unstable. This does not prove no relationship; it means this panel has not established a reliable trading response.</t>
  </si>
  <si>
    <t>Entry method</t>
  </si>
  <si>
    <t>Signal available</t>
  </si>
  <si>
    <t>What can be measured</t>
  </si>
  <si>
    <t>Current verdict</t>
  </si>
  <si>
    <t>Before release</t>
  </si>
  <si>
    <t>Earlier GBV/conversion forecast + contemporaneous expectations</t>
  </si>
  <si>
    <t>Origin-to-exit return, including intervening exposure</t>
  </si>
  <si>
    <t>No promoted edge; sparse matched history</t>
  </si>
  <si>
    <t>Next regular open</t>
  </si>
  <si>
    <t>Published guide comparison; other release news already known</t>
  </si>
  <si>
    <t>Next open-to-close or explicitly chosen later exit</t>
  </si>
  <si>
    <t>Gap is already completed; association is insufficient</t>
  </si>
  <si>
    <t>During release / call</t>
  </si>
  <si>
    <t>Timestamped guide/news and executable quote</t>
  </si>
  <si>
    <t>Release-to-call and call legs with costs</t>
  </si>
  <si>
    <t>Unavailable: no verified intraday panel</t>
  </si>
  <si>
    <t>The original proxy compares an issued guide with expected realized revenue. The adjusted proxy assumes a historical common cushion; it is not observed guide expectations. In the earlier-origin model comparison, the shared cushion cancels exactly, so the relative signal is the same as candidate revenue / origin Street revenue - 1. No causal call attribution or calibrated stock-price target is assigned.</t>
  </si>
  <si>
    <t>Reported quarter</t>
  </si>
  <si>
    <t>Earnings data | all 23 events</t>
  </si>
  <si>
    <t>Daily raw ABNB and QQQ OHLC; gap = pre-release close to next open; session = next open to close.</t>
  </si>
  <si>
    <t>Release date</t>
  </si>
  <si>
    <t>Guided quarter</t>
  </si>
  <si>
    <t>Issued guide $m</t>
  </si>
  <si>
    <t>Revenue Street $m</t>
  </si>
  <si>
    <t>Guide / revenue proxy %</t>
  </si>
  <si>
    <t>Guide / implied proxy %</t>
  </si>
  <si>
    <t>ABNB gap %</t>
  </si>
  <si>
    <t>ABNB session %</t>
  </si>
  <si>
    <t>QQQ gap %</t>
  </si>
  <si>
    <t>QQQ session %</t>
  </si>
  <si>
    <t>Excess close-close %</t>
  </si>
  <si>
    <t>Vendor</t>
  </si>
  <si>
    <t>Consensus timestamp</t>
  </si>
  <si>
    <t>Eligibility</t>
  </si>
  <si>
    <t>2020Q4</t>
  </si>
  <si>
    <t>2021-02-25</t>
  </si>
  <si>
    <t>no_numeric_forward_guide</t>
  </si>
  <si>
    <t>2021Q1</t>
  </si>
  <si>
    <t>2021-05-13</t>
  </si>
  <si>
    <t>2021Q2</t>
  </si>
  <si>
    <t>2021-08-12</t>
  </si>
  <si>
    <t>2021Q3</t>
  </si>
  <si>
    <t>2021-11-04</t>
  </si>
  <si>
    <t>2021Q4</t>
  </si>
  <si>
    <t>quarantined_or_unattributed</t>
  </si>
  <si>
    <t>2022-02-15</t>
  </si>
  <si>
    <t>2022Q1</t>
  </si>
  <si>
    <t>2022-05-03</t>
  </si>
  <si>
    <t>2022Q2</t>
  </si>
  <si>
    <t>2022-08-02</t>
  </si>
  <si>
    <t>2022Q3</t>
  </si>
  <si>
    <t>StreetAccount</t>
  </si>
  <si>
    <t>eligible_original:date_only_morning_convention</t>
  </si>
  <si>
    <t>2022-11-01</t>
  </si>
  <si>
    <t>2022Q4</t>
  </si>
  <si>
    <t>Refinitiv</t>
  </si>
  <si>
    <t>2023-02-14</t>
  </si>
  <si>
    <t>2023Q1</t>
  </si>
  <si>
    <t>2023-05-09</t>
  </si>
  <si>
    <t>2023-08-03</t>
  </si>
  <si>
    <t>2023Q3</t>
  </si>
  <si>
    <t>2023-11-01</t>
  </si>
  <si>
    <t>LSEG</t>
  </si>
  <si>
    <t>2024-02-13</t>
  </si>
  <si>
    <t>2024-05-08</t>
  </si>
  <si>
    <t>2024-08-06</t>
  </si>
  <si>
    <t>2024-11-07</t>
  </si>
  <si>
    <t>2025-02-13</t>
  </si>
  <si>
    <t>2025-05-01</t>
  </si>
  <si>
    <t>2025-08-06</t>
  </si>
  <si>
    <t>Returns in this sheet are percentage points, not decimal fractions. Excess = ABNB leg minus QQQ leg. Close-close is calculated from each ticker's compounded legs, not the sum of excess gap and excess session. A guide comparison is known only after the release; it cannot be used to earn the completed gap.</t>
  </si>
  <si>
    <t>Sources and audit trail</t>
  </si>
  <si>
    <t>Source precision is not forecast accuracy. Vendor families are not independent replications.</t>
  </si>
  <si>
    <t>Item</t>
  </si>
  <si>
    <t>Coverage / date</t>
  </si>
  <si>
    <t>Source or path</t>
  </si>
  <si>
    <t>Status</t>
  </si>
  <si>
    <t>Q3 issued guide</t>
  </si>
  <si>
    <t>6 Aug 2026</t>
  </si>
  <si>
    <t>https://www.sec.gov/Archives/edgar/data/1559720/000119312526337928/d70413dex991.htm</t>
  </si>
  <si>
    <t>$4,690–4,770m; midpoint $4,730m</t>
  </si>
  <si>
    <t>Observed</t>
  </si>
  <si>
    <t>Current expectations</t>
  </si>
  <si>
    <t>13 Sep 2026 15:20:58 UTC</t>
  </si>
  <si>
    <t>L0_vintage_register.csv; Yahoo / LSEG-family API</t>
  </si>
  <si>
    <t>Q3 $4,744.88187m; Q4 $3,161.02149m; n=36</t>
  </si>
  <si>
    <t>Revenue estimates</t>
  </si>
  <si>
    <t>Other vendor panels</t>
  </si>
  <si>
    <t>10–13 Sep 2026</t>
  </si>
  <si>
    <t>L0 current/pit_history rows, separate vendor families</t>
  </si>
  <si>
    <t>Zacks/DoltHub one family; S&amp;P separately attributed</t>
  </si>
  <si>
    <t>No silent mixing</t>
  </si>
  <si>
    <t>Parameters</t>
  </si>
  <si>
    <t>Frozen through 13 Sep 2026</t>
  </si>
  <si>
    <t>kernel_engine_v2/engine.py; KPI panel; calendar; cushion series</t>
  </si>
  <si>
    <t>4 seasonal EWM ratios + 1 cushion; zero new optimized parameters</t>
  </si>
  <si>
    <t>Inherited estimates</t>
  </si>
  <si>
    <t>GBV scenario</t>
  </si>
  <si>
    <t>L4 working case</t>
  </si>
  <si>
    <t>lane4_revenue_v2/snapshot_v1 + lane4_model_v2/snapshot_v2</t>
  </si>
  <si>
    <t>Shared component-derived input ancestry; Q1 GBV assumption</t>
  </si>
  <si>
    <t>Forecast replay</t>
  </si>
  <si>
    <t>Fixed earlier origins</t>
  </si>
  <si>
    <t>gbv_event_v1/forecast_v1/results_v1</t>
  </si>
  <si>
    <t>20 frozen CSVs reproduced; 617 strict date checks; leakage poisoning</t>
  </si>
  <si>
    <t>Promotion failed</t>
  </si>
  <si>
    <t>Reaction study</t>
  </si>
  <si>
    <t>run_v3</t>
  </si>
  <si>
    <t>gbv_event_v1/events_v1/run_v3</t>
  </si>
  <si>
    <t>23 full events; 16 raw / 15 adjusted proxies; 12 primary tests</t>
  </si>
  <si>
    <t>Descriptive</t>
  </si>
  <si>
    <t>Daily price provenance</t>
  </si>
  <si>
    <t>Retrieved 13 Sep; through 11 Sep</t>
  </si>
  <si>
    <t>returns_v1/ohlc_daily.csv; Yahoo/yfinance raw bars</t>
  </si>
  <si>
    <t>CRLF and LF byte hashes differ; normalized content agrees</t>
  </si>
  <si>
    <t>Daily only</t>
  </si>
  <si>
    <t>Intraday coverage</t>
  </si>
  <si>
    <t>0 verified event panels</t>
  </si>
  <si>
    <t>GE_SOURCE_RESULTS_v2.md</t>
  </si>
  <si>
    <t>Daily gap combines release, call and overnight information</t>
  </si>
  <si>
    <t>Unavailable</t>
  </si>
  <si>
    <t>Forward call date</t>
  </si>
  <si>
    <t>Project planning estimate</t>
  </si>
  <si>
    <t>5 Nov 2026 not confirmed by issuer in bounded source check</t>
  </si>
  <si>
    <t>Planning only</t>
  </si>
  <si>
    <t>Validation scope</t>
  </si>
  <si>
    <t>Historical audit</t>
  </si>
  <si>
    <t>GE_PREREG_v1.md</t>
  </si>
  <si>
    <t>Previously examined data; nested W1/W2; small samples</t>
  </si>
  <si>
    <t>No new holdout</t>
  </si>
  <si>
    <t>Input file</t>
  </si>
  <si>
    <t>SHA256</t>
  </si>
  <si>
    <t>Local relative path</t>
  </si>
  <si>
    <t>model.json</t>
  </si>
  <si>
    <t>91f8eb92d4a94ba52750e5aefb8a74f6a03fa50f5b548cbd1101c22f46b1e349</t>
  </si>
  <si>
    <t>data\processed\forecast_methods\gbv_event_v1\integration_v2\model.json</t>
  </si>
  <si>
    <t>frozen_scores.csv</t>
  </si>
  <si>
    <t>942a3a46e653a66cb36a1e2a2e9613f66b653fb57302d154c490189583517341</t>
  </si>
  <si>
    <t>data\processed\forecast_methods\gbv_event_v1\forecast_v1\results_v1\frozen_scores.csv</t>
  </si>
  <si>
    <t>per_event_decomposition.csv</t>
  </si>
  <si>
    <t>3c30a923837781e8cae4217e641e7cad9687c11dcb946ce262a9822f2c5d8565</t>
  </si>
  <si>
    <t>data\processed\forecast_methods\gbv_event_v1\forecast_v1\results_v1\per_event_decomposition.csv</t>
  </si>
  <si>
    <t>variance_reconciliation.csv</t>
  </si>
  <si>
    <t>d8b91a1af15cae7cf0ad9879fd702acc69b9534cb5682db2faabf8c08690d48e</t>
  </si>
  <si>
    <t>data\processed\forecast_methods\gbv_event_v1\forecast_v1\results_v1\variance_reconciliation.csv</t>
  </si>
  <si>
    <t>shapley_cross_moments.csv</t>
  </si>
  <si>
    <t>3915a753d56a06e9e6dad9f1dabf7baad74eb202a6517f8aa606977bc8533d8f</t>
  </si>
  <si>
    <t>data\processed\forecast_methods\gbv_event_v1\forecast_v1\results_v1\shapley_cross_moments.csv</t>
  </si>
  <si>
    <t>event_panel.csv</t>
  </si>
  <si>
    <t>6327bc888826bf2d9cbef8bb0207c9a4a3cd350afbb6cf7aaa81da3ae13aae0b</t>
  </si>
  <si>
    <t>data\processed\forecast_methods\gbv_event_v1\events_v1\run_v3\event_panel.csv</t>
  </si>
  <si>
    <t>associations.csv</t>
  </si>
  <si>
    <t>11af6979ecc86c89d59a48e96a1f2e25cd4b4ff35f57fe45bd41f102f5ce0f0f</t>
  </si>
  <si>
    <t>data\processed\forecast_methods\gbv_event_v1\events_v1\run_v3\associations.csv</t>
  </si>
  <si>
    <t>pre_event_forecast_join.csv</t>
  </si>
  <si>
    <t>d9163addfdd10240894ef4bc7532d75ba09bd9001cc28dcd4f8bb302d3d9cf4e</t>
  </si>
  <si>
    <t>data\processed\forecast_methods\gbv_event_v1\events_v1\run_v3\pre_event_forecast_join.csv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</si>
</sst>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quot;-&quot;"/>
    <numFmt numFmtId="165" formatCode="0.00%;\(0.00%\);&quot;-&quot;"/>
    <numFmt numFmtId="166" formatCode="0.00;\(0.00\);&quot;-&quot;"/>
  </numFmts>
  <fonts count="13">
    <font>
      <sz val="11"/>
      <name val="Carlito"/>
    </font>
    <font>
      <sz val="10"/>
      <color rgb="FF243746"/>
      <name val="Arial"/>
    </font>
    <font>
      <b/>
      <sz val="17"/>
      <color rgb="FF17324D"/>
      <name val="Arial"/>
    </font>
    <font>
      <sz val="10"/>
      <color rgb="FF64748B"/>
      <name val="Arial"/>
    </font>
    <font>
      <b/>
      <sz val="10"/>
      <color rgb="FFFFFFFF"/>
      <name val="Arial"/>
    </font>
    <font>
      <sz val="10"/>
      <color rgb="FF0000FF"/>
      <name val="Arial"/>
    </font>
    <font>
      <i/>
      <sz val="10"/>
      <color rgb="FF0000FF"/>
      <name val="Arial"/>
    </font>
    <font>
      <b/>
      <sz val="10"/>
      <color rgb="FF17324D"/>
      <name val="Arial"/>
    </font>
    <font>
      <sz val="10"/>
      <color rgb="FF00804A"/>
      <name val="Arial"/>
    </font>
    <font>
      <sz val="10"/>
      <color rgb="FF111111"/>
      <name val="Arial"/>
    </font>
    <font>
      <i/>
      <sz val="10"/>
      <color rgb="FF111111"/>
      <name val="Arial"/>
    </font>
    <font>
      <i/>
      <sz val="10"/>
      <color rgb="FF00804A"/>
      <name val="Arial"/>
    </font>
    <font>
      <b/>
      <sz val="12"/>
      <color rgb="FF17324D"/>
      <name val="Arial"/>
    </font>
  </fonts>
  <fills count="4">
    <fill>
      <patternFill patternType="none"/>
    </fill>
    <fill>
      <patternFill patternType="gray125"/>
    </fill>
    <fill>
      <patternFill patternType="solid">
        <fgColor rgb="FF17324D"/>
      </patternFill>
    </fill>
    <fill>
      <patternFill patternType="solid">
        <fgColor rgb="FFEDF3F6"/>
      </patternFill>
    </fill>
  </fills>
  <borders count="4">
    <border>
      <left/>
      <right/>
      <top/>
      <bottom/>
      <diagonal/>
    </border>
    <border>
      <left/>
      <right/>
      <top/>
      <bottom style="thin">
        <color rgb="FFE2E8F0"/>
      </bottom>
      <diagonal/>
    </border>
    <border>
      <left/>
      <right/>
      <top style="thin">
        <color rgb="FFE2E8F0"/>
      </top>
      <bottom style="thin">
        <color rgb="FFE2E8F0"/>
      </bottom>
      <diagonal/>
    </border>
    <border>
      <left/>
      <right/>
      <top style="thin">
        <color rgb="FFE2E8F0"/>
      </top>
      <bottom/>
      <diagonal/>
    </border>
  </borders>
  <cellStyleXfs count="1">
    <xf numFmtId="0" fontId="0" fillId="0" borderId="0"/>
  </cellStyleXfs>
  <cellXfs count="44">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2" borderId="0" xfId="0" applyFont="1" applyFill="1" applyAlignment="1">
      <alignment vertical="center" wrapText="1"/>
    </xf>
    <xf numFmtId="164" fontId="8" fillId="0" borderId="0" xfId="0" applyNumberFormat="1" applyFont="1" applyAlignment="1">
      <alignment vertical="center"/>
    </xf>
    <xf numFmtId="0" fontId="7" fillId="3" borderId="0" xfId="0" applyFont="1" applyFill="1" applyAlignment="1">
      <alignment vertical="center"/>
    </xf>
    <xf numFmtId="165" fontId="8" fillId="0" borderId="0" xfId="0" applyNumberFormat="1" applyFont="1" applyAlignment="1">
      <alignment vertical="center"/>
    </xf>
    <xf numFmtId="0" fontId="1" fillId="0" borderId="0" xfId="0" applyFont="1" applyAlignment="1">
      <alignment vertical="center" wrapText="1"/>
    </xf>
    <xf numFmtId="164" fontId="9" fillId="0" borderId="0" xfId="0" applyNumberFormat="1" applyFont="1" applyAlignment="1">
      <alignment vertical="center"/>
    </xf>
    <xf numFmtId="0" fontId="1" fillId="3" borderId="0" xfId="0" applyFont="1" applyFill="1" applyAlignment="1">
      <alignment vertical="center"/>
    </xf>
    <xf numFmtId="164" fontId="1" fillId="0" borderId="0" xfId="0" applyNumberFormat="1" applyFont="1" applyAlignment="1">
      <alignment vertical="center"/>
    </xf>
    <xf numFmtId="165" fontId="1" fillId="0" borderId="0" xfId="0" applyNumberFormat="1" applyFont="1" applyAlignment="1">
      <alignment vertical="center"/>
    </xf>
    <xf numFmtId="165" fontId="6" fillId="0" borderId="0" xfId="0" applyNumberFormat="1" applyFont="1" applyAlignment="1">
      <alignment vertical="center"/>
    </xf>
    <xf numFmtId="166" fontId="1" fillId="0" borderId="0" xfId="0" applyNumberFormat="1" applyFont="1" applyAlignment="1">
      <alignment vertical="center"/>
    </xf>
    <xf numFmtId="0" fontId="8" fillId="0" borderId="0" xfId="0" applyFont="1" applyAlignment="1">
      <alignment vertical="center"/>
    </xf>
    <xf numFmtId="166" fontId="8" fillId="0" borderId="0" xfId="0" applyNumberFormat="1" applyFont="1" applyAlignment="1">
      <alignment vertical="center"/>
    </xf>
    <xf numFmtId="164" fontId="8" fillId="0" borderId="0" xfId="0" applyNumberFormat="1" applyFont="1" applyAlignment="1">
      <alignment horizontal="right" vertical="center"/>
    </xf>
    <xf numFmtId="165" fontId="10" fillId="0" borderId="0" xfId="0" applyNumberFormat="1" applyFont="1" applyAlignment="1">
      <alignment horizontal="right" vertical="center"/>
    </xf>
    <xf numFmtId="164" fontId="9" fillId="3" borderId="0" xfId="0" applyNumberFormat="1" applyFont="1" applyFill="1" applyAlignment="1">
      <alignment horizontal="right" vertical="center"/>
    </xf>
    <xf numFmtId="165" fontId="11" fillId="0" borderId="0" xfId="0" applyNumberFormat="1" applyFont="1" applyAlignment="1">
      <alignment horizontal="right" vertical="center"/>
    </xf>
    <xf numFmtId="164" fontId="1" fillId="0" borderId="0" xfId="0" applyNumberFormat="1" applyFont="1" applyAlignment="1">
      <alignment horizontal="right" vertical="center"/>
    </xf>
    <xf numFmtId="164" fontId="9" fillId="0" borderId="0" xfId="0" applyNumberFormat="1" applyFont="1" applyAlignment="1">
      <alignment horizontal="right" vertical="center"/>
    </xf>
    <xf numFmtId="0" fontId="1" fillId="0" borderId="0" xfId="0" applyFont="1" applyAlignment="1">
      <alignment horizontal="right" vertical="center"/>
    </xf>
    <xf numFmtId="166" fontId="1" fillId="0" borderId="0" xfId="0" applyNumberFormat="1" applyFont="1" applyAlignment="1">
      <alignment horizontal="right" vertical="center"/>
    </xf>
    <xf numFmtId="0" fontId="1" fillId="0" borderId="1" xfId="0" applyFont="1" applyBorder="1" applyAlignment="1">
      <alignment vertical="center"/>
    </xf>
    <xf numFmtId="164" fontId="5" fillId="0" borderId="1" xfId="0" applyNumberFormat="1" applyFont="1" applyBorder="1" applyAlignment="1">
      <alignment vertical="center"/>
    </xf>
    <xf numFmtId="0" fontId="1" fillId="0" borderId="1" xfId="0" applyFont="1" applyBorder="1" applyAlignment="1">
      <alignment vertical="center" wrapText="1"/>
    </xf>
    <xf numFmtId="0" fontId="1" fillId="0" borderId="2" xfId="0" applyFont="1" applyBorder="1" applyAlignment="1">
      <alignment vertical="center"/>
    </xf>
    <xf numFmtId="164" fontId="5" fillId="0" borderId="2" xfId="0" applyNumberFormat="1" applyFont="1" applyBorder="1" applyAlignment="1">
      <alignment vertical="center"/>
    </xf>
    <xf numFmtId="0" fontId="1" fillId="0" borderId="2" xfId="0" applyFont="1" applyBorder="1" applyAlignment="1">
      <alignment vertical="center" wrapText="1"/>
    </xf>
    <xf numFmtId="0" fontId="1" fillId="0" borderId="3" xfId="0" applyFont="1" applyBorder="1" applyAlignment="1">
      <alignment vertical="center"/>
    </xf>
    <xf numFmtId="164" fontId="5" fillId="0" borderId="3" xfId="0" applyNumberFormat="1" applyFont="1" applyBorder="1" applyAlignment="1">
      <alignment vertical="center"/>
    </xf>
    <xf numFmtId="0" fontId="1" fillId="0" borderId="3" xfId="0" applyFont="1" applyBorder="1" applyAlignment="1">
      <alignment vertical="center" wrapText="1"/>
    </xf>
    <xf numFmtId="164" fontId="1" fillId="0" borderId="1" xfId="0" applyNumberFormat="1" applyFont="1" applyBorder="1" applyAlignment="1">
      <alignment vertical="center"/>
    </xf>
    <xf numFmtId="166" fontId="1" fillId="0" borderId="1" xfId="0" applyNumberFormat="1" applyFont="1" applyBorder="1" applyAlignment="1">
      <alignment vertical="center"/>
    </xf>
    <xf numFmtId="164" fontId="1" fillId="0" borderId="2" xfId="0" applyNumberFormat="1" applyFont="1" applyBorder="1" applyAlignment="1">
      <alignment vertical="center"/>
    </xf>
    <xf numFmtId="166" fontId="1" fillId="0" borderId="2" xfId="0" applyNumberFormat="1" applyFont="1" applyBorder="1" applyAlignment="1">
      <alignment vertical="center"/>
    </xf>
    <xf numFmtId="164" fontId="1" fillId="0" borderId="3" xfId="0" applyNumberFormat="1" applyFont="1" applyBorder="1" applyAlignment="1">
      <alignment vertical="center"/>
    </xf>
    <xf numFmtId="166" fontId="1" fillId="0" borderId="3" xfId="0" applyNumberFormat="1" applyFont="1" applyBorder="1" applyAlignment="1">
      <alignment vertical="center"/>
    </xf>
    <xf numFmtId="0" fontId="12" fillId="3" borderId="0" xfId="0" applyFont="1" applyFill="1" applyAlignment="1">
      <alignment vertical="center" wrapText="1"/>
    </xf>
    <xf numFmtId="0" fontId="1" fillId="0" borderId="0" xfId="0" applyFont="1" applyAlignment="1">
      <alignment vertical="center"/>
    </xf>
    <xf numFmtId="0" fontId="3" fillId="0" borderId="0" xfId="0" applyFont="1"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75">
                <a:latin typeface="Arial"/>
                <a:ea typeface="Arial"/>
                <a:cs typeface="Arial"/>
              </a:rPr>
              <a:t>Four-quarter path | Q3 guide observed</a:t>
            </a:r>
          </a:p>
        </c:rich>
      </c:tx>
      <c:overlay val="0"/>
    </c:title>
    <c:autoTitleDeleted val="0"/>
    <c:plotArea>
      <c:layout/>
      <c:lineChart>
        <c:grouping val="standard"/>
        <c:varyColors val="0"/>
        <c:ser>
          <c:idx val="0"/>
          <c:order val="0"/>
          <c:tx>
            <c:v>Revenue $m</c:v>
          </c:tx>
          <c:spPr>
            <a:ln w="19050">
              <a:solidFill>
                <a:srgbClr val="167D8D"/>
              </a:solidFill>
              <a:prstDash val="solid"/>
            </a:ln>
          </c:spPr>
          <c:marker>
            <c:symbol val="none"/>
          </c:marker>
          <c:cat>
            <c:strRef>
              <c:f>Decision!$B$10:$B$13</c:f>
              <c:strCache>
                <c:ptCount val="4"/>
                <c:pt idx="0">
                  <c:v>2026Q3</c:v>
                </c:pt>
                <c:pt idx="1">
                  <c:v>2026Q4</c:v>
                </c:pt>
                <c:pt idx="2">
                  <c:v>2027Q1</c:v>
                </c:pt>
                <c:pt idx="3">
                  <c:v>2027Q2</c:v>
                </c:pt>
              </c:strCache>
            </c:strRef>
          </c:cat>
          <c:val>
            <c:numRef>
              <c:f>Decision!$C$10:$C$13</c:f>
              <c:numCache>
                <c:formatCode>#,##0.0;\(#,##0.0\);"-"</c:formatCode>
                <c:ptCount val="4"/>
                <c:pt idx="0">
                  <c:v>4808.3629294939174</c:v>
                </c:pt>
                <c:pt idx="1">
                  <c:v>3179.3436542864042</c:v>
                </c:pt>
                <c:pt idx="2">
                  <c:v>3055.6805804424221</c:v>
                </c:pt>
                <c:pt idx="3">
                  <c:v>4048.3953075731279</c:v>
                </c:pt>
              </c:numCache>
            </c:numRef>
          </c:val>
          <c:smooth val="0"/>
          <c:extLst>
            <c:ext xmlns:c16="http://schemas.microsoft.com/office/drawing/2014/chart" uri="{C3380CC4-5D6E-409C-BE32-E72D297353CC}">
              <c16:uniqueId val="{00000000-A91C-4724-843C-2631828C09B8}"/>
            </c:ext>
          </c:extLst>
        </c:ser>
        <c:ser>
          <c:idx val="1"/>
          <c:order val="1"/>
          <c:tx>
            <c:v>Guide $m</c:v>
          </c:tx>
          <c:spPr>
            <a:ln w="19050">
              <a:solidFill>
                <a:srgbClr val="17324D"/>
              </a:solidFill>
              <a:prstDash val="solid"/>
            </a:ln>
          </c:spPr>
          <c:marker>
            <c:symbol val="none"/>
          </c:marker>
          <c:cat>
            <c:strRef>
              <c:f>Decision!$B$10:$B$13</c:f>
              <c:strCache>
                <c:ptCount val="4"/>
                <c:pt idx="0">
                  <c:v>2026Q3</c:v>
                </c:pt>
                <c:pt idx="1">
                  <c:v>2026Q4</c:v>
                </c:pt>
                <c:pt idx="2">
                  <c:v>2027Q1</c:v>
                </c:pt>
                <c:pt idx="3">
                  <c:v>2027Q2</c:v>
                </c:pt>
              </c:strCache>
            </c:strRef>
          </c:cat>
          <c:val>
            <c:numRef>
              <c:f>Decision!$D$10:$D$13</c:f>
              <c:numCache>
                <c:formatCode>#,##0.0;\(#,##0.0\);"-"</c:formatCode>
                <c:ptCount val="4"/>
                <c:pt idx="0">
                  <c:v>4730</c:v>
                </c:pt>
                <c:pt idx="1">
                  <c:v>3123.419115173388</c:v>
                </c:pt>
                <c:pt idx="2">
                  <c:v>3001.9312702955167</c:v>
                </c:pt>
                <c:pt idx="3">
                  <c:v>3977.1841815226035</c:v>
                </c:pt>
              </c:numCache>
            </c:numRef>
          </c:val>
          <c:smooth val="0"/>
          <c:extLst>
            <c:ext xmlns:c16="http://schemas.microsoft.com/office/drawing/2014/chart" uri="{C3380CC4-5D6E-409C-BE32-E72D297353CC}">
              <c16:uniqueId val="{00000001-A91C-4724-843C-2631828C09B8}"/>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0\);&quot;-&quot;" sourceLinked="0"/>
        <c:majorTickMark val="none"/>
        <c:minorTickMark val="none"/>
        <c:tickLblPos val="nextTo"/>
        <c:txPr>
          <a:bodyPr anchorCtr="1"/>
          <a:lstStyle/>
          <a:p>
            <a:pPr>
              <a:defRPr sz="750">
                <a:latin typeface="Arial"/>
                <a:ea typeface="Arial"/>
                <a:cs typeface="Arial"/>
              </a:defRPr>
            </a:pPr>
            <a:endParaRPr lang="en-US"/>
          </a:p>
        </c:txPr>
        <c:crossAx val="48650112"/>
        <c:crosses val="autoZero"/>
        <c:crossBetween val="between"/>
      </c:valAx>
    </c:plotArea>
    <c:legend>
      <c:legendPos val="t"/>
      <c:overlay val="0"/>
      <c:txPr>
        <a:bodyPr anchorCtr="1"/>
        <a:lstStyle/>
        <a:p>
          <a:pPr>
            <a:defRPr sz="750">
              <a:latin typeface="Arial"/>
              <a:ea typeface="Arial"/>
              <a:cs typeface="Arial"/>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975">
                <a:latin typeface="Arial"/>
                <a:ea typeface="Arial"/>
                <a:cs typeface="Arial"/>
              </a:rPr>
              <a:t>Conditional revenue and implied guide</a:t>
            </a:r>
          </a:p>
        </c:rich>
      </c:tx>
      <c:overlay val="0"/>
    </c:title>
    <c:autoTitleDeleted val="0"/>
    <c:plotArea>
      <c:layout/>
      <c:barChart>
        <c:barDir val="col"/>
        <c:grouping val="clustered"/>
        <c:varyColors val="0"/>
        <c:ser>
          <c:idx val="0"/>
          <c:order val="0"/>
          <c:tx>
            <c:v>Revenue</c:v>
          </c:tx>
          <c:spPr>
            <a:solidFill>
              <a:srgbClr val="167D8D"/>
            </a:solidFill>
          </c:spPr>
          <c:invertIfNegative val="1"/>
          <c:cat>
            <c:strRef>
              <c:f>Conversion!$H$6:$H$9</c:f>
              <c:strCache>
                <c:ptCount val="4"/>
                <c:pt idx="0">
                  <c:v>2026Q3</c:v>
                </c:pt>
                <c:pt idx="1">
                  <c:v>2026Q4</c:v>
                </c:pt>
                <c:pt idx="2">
                  <c:v>2027Q1</c:v>
                </c:pt>
                <c:pt idx="3">
                  <c:v>2027Q2</c:v>
                </c:pt>
              </c:strCache>
            </c:strRef>
          </c:cat>
          <c:val>
            <c:numRef>
              <c:f>Conversion!$I$6:$I$9</c:f>
              <c:numCache>
                <c:formatCode>#,##0.0;\(#,##0.0\);"-"</c:formatCode>
                <c:ptCount val="4"/>
                <c:pt idx="0">
                  <c:v>4808.3629294939174</c:v>
                </c:pt>
                <c:pt idx="1">
                  <c:v>3179.3436542864042</c:v>
                </c:pt>
                <c:pt idx="2">
                  <c:v>3055.6805804424221</c:v>
                </c:pt>
                <c:pt idx="3">
                  <c:v>4048.3953075731279</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DEEA-4621-8397-9FF2369C914C}"/>
            </c:ext>
          </c:extLst>
        </c:ser>
        <c:ser>
          <c:idx val="1"/>
          <c:order val="1"/>
          <c:tx>
            <c:v>Implied guide</c:v>
          </c:tx>
          <c:spPr>
            <a:solidFill>
              <a:srgbClr val="17324D"/>
            </a:solidFill>
          </c:spPr>
          <c:invertIfNegative val="1"/>
          <c:cat>
            <c:strRef>
              <c:f>Conversion!$H$6:$H$9</c:f>
              <c:strCache>
                <c:ptCount val="4"/>
                <c:pt idx="0">
                  <c:v>2026Q3</c:v>
                </c:pt>
                <c:pt idx="1">
                  <c:v>2026Q4</c:v>
                </c:pt>
                <c:pt idx="2">
                  <c:v>2027Q1</c:v>
                </c:pt>
                <c:pt idx="3">
                  <c:v>2027Q2</c:v>
                </c:pt>
              </c:strCache>
            </c:strRef>
          </c:cat>
          <c:val>
            <c:numRef>
              <c:f>Conversion!$J$6:$J$9</c:f>
              <c:numCache>
                <c:formatCode>#,##0.0;\(#,##0.0\);"-"</c:formatCode>
                <c:ptCount val="4"/>
                <c:pt idx="0">
                  <c:v>4723.7840006456563</c:v>
                </c:pt>
                <c:pt idx="1">
                  <c:v>3123.419115173388</c:v>
                </c:pt>
                <c:pt idx="2">
                  <c:v>3001.9312702955167</c:v>
                </c:pt>
                <c:pt idx="3">
                  <c:v>3977.1841815226035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DEEA-4621-8397-9FF2369C914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0\);&quot;-&quot;" sourceLinked="0"/>
        <c:majorTickMark val="none"/>
        <c:minorTickMark val="none"/>
        <c:tickLblPos val="nextTo"/>
        <c:txPr>
          <a:bodyPr anchorCtr="1"/>
          <a:lstStyle/>
          <a:p>
            <a:pPr>
              <a:defRPr sz="750">
                <a:latin typeface="Arial"/>
                <a:ea typeface="Arial"/>
                <a:cs typeface="Arial"/>
              </a:defRPr>
            </a:pPr>
            <a:endParaRPr lang="en-US"/>
          </a:p>
        </c:txPr>
        <c:crossAx val="48650112"/>
        <c:crosses val="autoZero"/>
        <c:crossBetween val="between"/>
      </c:valAx>
    </c:plotArea>
    <c:legend>
      <c:legendPos val="t"/>
      <c:overlay val="0"/>
      <c:txPr>
        <a:bodyPr anchorCtr="1"/>
        <a:lstStyle/>
        <a:p>
          <a:pPr>
            <a:defRPr sz="750">
              <a:latin typeface="Arial"/>
              <a:ea typeface="Arial"/>
              <a:cs typeface="Arial"/>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975">
                <a:latin typeface="Arial"/>
                <a:ea typeface="Arial"/>
                <a:cs typeface="Arial"/>
              </a:rPr>
              <a:t>Guide error | lower is better</a:t>
            </a:r>
          </a:p>
        </c:rich>
      </c:tx>
      <c:overlay val="0"/>
    </c:title>
    <c:autoTitleDeleted val="0"/>
    <c:plotArea>
      <c:layout/>
      <c:barChart>
        <c:barDir val="col"/>
        <c:grouping val="clustered"/>
        <c:varyColors val="0"/>
        <c:ser>
          <c:idx val="0"/>
          <c:order val="0"/>
          <c:tx>
            <c:v>W1 (n=12)</c:v>
          </c:tx>
          <c:spPr>
            <a:solidFill>
              <a:srgbClr val="167D8D"/>
            </a:solidFill>
          </c:spPr>
          <c:invertIfNegative val="1"/>
          <c:cat>
            <c:strRef>
              <c:f>'Forecast audit'!$B$6:$B$8</c:f>
              <c:strCache>
                <c:ptCount val="3"/>
                <c:pt idx="0">
                  <c:v>GBV conversion candidate</c:v>
                </c:pt>
                <c:pt idx="1">
                  <c:v>Guide-growth baseline</c:v>
                </c:pt>
                <c:pt idx="2">
                  <c:v>Revenue-naive + cushion</c:v>
                </c:pt>
              </c:strCache>
            </c:strRef>
          </c:cat>
          <c:val>
            <c:numRef>
              <c:f>'Forecast audit'!$C$6:$C$8</c:f>
              <c:numCache>
                <c:formatCode>#,##0.0;\(#,##0.0\);"-"</c:formatCode>
                <c:ptCount val="3"/>
                <c:pt idx="0">
                  <c:v>63.444677571600003</c:v>
                </c:pt>
                <c:pt idx="1">
                  <c:v>74.330785604300004</c:v>
                </c:pt>
                <c:pt idx="2">
                  <c:v>117.3090338232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3A0C-45D4-A997-C555671D7514}"/>
            </c:ext>
          </c:extLst>
        </c:ser>
        <c:ser>
          <c:idx val="1"/>
          <c:order val="1"/>
          <c:tx>
            <c:v>W2 (n=10)</c:v>
          </c:tx>
          <c:spPr>
            <a:solidFill>
              <a:srgbClr val="17324D"/>
            </a:solidFill>
          </c:spPr>
          <c:invertIfNegative val="1"/>
          <c:cat>
            <c:strRef>
              <c:f>'Forecast audit'!$B$6:$B$8</c:f>
              <c:strCache>
                <c:ptCount val="3"/>
                <c:pt idx="0">
                  <c:v>GBV conversion candidate</c:v>
                </c:pt>
                <c:pt idx="1">
                  <c:v>Guide-growth baseline</c:v>
                </c:pt>
                <c:pt idx="2">
                  <c:v>Revenue-naive + cushion</c:v>
                </c:pt>
              </c:strCache>
            </c:strRef>
          </c:cat>
          <c:val>
            <c:numRef>
              <c:f>'Forecast audit'!$D$6:$D$8</c:f>
              <c:numCache>
                <c:formatCode>#,##0.0;\(#,##0.0\);"-"</c:formatCode>
                <c:ptCount val="3"/>
                <c:pt idx="0">
                  <c:v>63.696189476000001</c:v>
                </c:pt>
                <c:pt idx="1">
                  <c:v>60.834441365399996</c:v>
                </c:pt>
                <c:pt idx="2">
                  <c:v>121.92589458960001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3A0C-45D4-A997-C555671D751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0\);&quot;-&quot;" sourceLinked="0"/>
        <c:majorTickMark val="none"/>
        <c:minorTickMark val="none"/>
        <c:tickLblPos val="nextTo"/>
        <c:txPr>
          <a:bodyPr anchorCtr="1"/>
          <a:lstStyle/>
          <a:p>
            <a:pPr>
              <a:defRPr sz="750">
                <a:latin typeface="Arial"/>
                <a:ea typeface="Arial"/>
                <a:cs typeface="Arial"/>
              </a:defRPr>
            </a:pPr>
            <a:endParaRPr lang="en-US"/>
          </a:p>
        </c:txPr>
        <c:crossAx val="48650112"/>
        <c:crosses val="autoZero"/>
        <c:crossBetween val="between"/>
      </c:valAx>
    </c:plotArea>
    <c:legend>
      <c:legendPos val="t"/>
      <c:overlay val="0"/>
      <c:txPr>
        <a:bodyPr anchorCtr="1"/>
        <a:lstStyle/>
        <a:p>
          <a:pPr>
            <a:defRPr sz="750">
              <a:latin typeface="Arial"/>
              <a:ea typeface="Arial"/>
              <a:cs typeface="Arial"/>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975">
                <a:latin typeface="Arial"/>
                <a:ea typeface="Arial"/>
                <a:cs typeface="Arial"/>
              </a:rPr>
              <a:t>Correlated errors partly offset</a:t>
            </a:r>
          </a:p>
        </c:rich>
      </c:tx>
      <c:overlay val="0"/>
    </c:title>
    <c:autoTitleDeleted val="0"/>
    <c:plotArea>
      <c:layout/>
      <c:barChart>
        <c:barDir val="col"/>
        <c:grouping val="clustered"/>
        <c:varyColors val="0"/>
        <c:ser>
          <c:idx val="0"/>
          <c:order val="0"/>
          <c:tx>
            <c:v>W1</c:v>
          </c:tx>
          <c:spPr>
            <a:solidFill>
              <a:srgbClr val="167D8D"/>
            </a:solidFill>
          </c:spPr>
          <c:invertIfNegative val="1"/>
          <c:cat>
            <c:strRef>
              <c:f>'Forecast audit'!$B$16:$B$19</c:f>
              <c:strCache>
                <c:ptCount val="4"/>
                <c:pt idx="0">
                  <c:v>GBV input</c:v>
                </c:pt>
                <c:pt idx="1">
                  <c:v>Conversion</c:v>
                </c:pt>
                <c:pt idx="2">
                  <c:v>Cushion</c:v>
                </c:pt>
                <c:pt idx="3">
                  <c:v>Covariance contribution</c:v>
                </c:pt>
              </c:strCache>
            </c:strRef>
          </c:cat>
          <c:val>
            <c:numRef>
              <c:f>'Forecast audit'!$C$16:$C$19</c:f>
              <c:numCache>
                <c:formatCode>#,##0.0;\(#,##0.0\);"-"</c:formatCode>
                <c:ptCount val="4"/>
                <c:pt idx="0">
                  <c:v>3714.1363295417</c:v>
                </c:pt>
                <c:pt idx="1">
                  <c:v>2202.1253499391</c:v>
                </c:pt>
                <c:pt idx="2">
                  <c:v>909.2637650982</c:v>
                </c:pt>
                <c:pt idx="3">
                  <c:v>-2798.2733065796001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BDFA-4CC3-8F1D-B42654A1E5DB}"/>
            </c:ext>
          </c:extLst>
        </c:ser>
        <c:ser>
          <c:idx val="1"/>
          <c:order val="1"/>
          <c:tx>
            <c:v>W2</c:v>
          </c:tx>
          <c:spPr>
            <a:solidFill>
              <a:srgbClr val="17324D"/>
            </a:solidFill>
          </c:spPr>
          <c:invertIfNegative val="1"/>
          <c:cat>
            <c:strRef>
              <c:f>'Forecast audit'!$B$16:$B$19</c:f>
              <c:strCache>
                <c:ptCount val="4"/>
                <c:pt idx="0">
                  <c:v>GBV input</c:v>
                </c:pt>
                <c:pt idx="1">
                  <c:v>Conversion</c:v>
                </c:pt>
                <c:pt idx="2">
                  <c:v>Cushion</c:v>
                </c:pt>
                <c:pt idx="3">
                  <c:v>Covariance contribution</c:v>
                </c:pt>
              </c:strCache>
            </c:strRef>
          </c:cat>
          <c:val>
            <c:numRef>
              <c:f>'Forecast audit'!$D$16:$D$19</c:f>
              <c:numCache>
                <c:formatCode>#,##0.0;\(#,##0.0\);"-"</c:formatCode>
                <c:ptCount val="4"/>
                <c:pt idx="0">
                  <c:v>4130.9404212682002</c:v>
                </c:pt>
                <c:pt idx="1">
                  <c:v>2556.5335887933002</c:v>
                </c:pt>
                <c:pt idx="2">
                  <c:v>1072.2191034432999</c:v>
                </c:pt>
                <c:pt idx="3">
                  <c:v>-3662.674283927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BDFA-4CC3-8F1D-B42654A1E5D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0\);&quot;-&quot;" sourceLinked="0"/>
        <c:majorTickMark val="none"/>
        <c:minorTickMark val="none"/>
        <c:tickLblPos val="nextTo"/>
        <c:txPr>
          <a:bodyPr anchorCtr="1"/>
          <a:lstStyle/>
          <a:p>
            <a:pPr>
              <a:defRPr sz="750">
                <a:latin typeface="Arial"/>
                <a:ea typeface="Arial"/>
                <a:cs typeface="Arial"/>
              </a:defRPr>
            </a:pPr>
            <a:endParaRPr lang="en-US"/>
          </a:p>
        </c:txPr>
        <c:crossAx val="48650112"/>
        <c:crosses val="autoZero"/>
        <c:crossBetween val="between"/>
      </c:valAx>
    </c:plotArea>
    <c:legend>
      <c:legendPos val="t"/>
      <c:overlay val="0"/>
      <c:txPr>
        <a:bodyPr anchorCtr="1"/>
        <a:lstStyle/>
        <a:p>
          <a:pPr>
            <a:defRPr sz="750">
              <a:latin typeface="Arial"/>
              <a:ea typeface="Arial"/>
              <a:cs typeface="Arial"/>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975">
                <a:latin typeface="Arial"/>
                <a:ea typeface="Arial"/>
                <a:cs typeface="Arial"/>
              </a:rPr>
              <a:t>Published guide proxy vs excess gap</a:t>
            </a:r>
          </a:p>
        </c:rich>
      </c:tx>
      <c:overlay val="0"/>
    </c:title>
    <c:autoTitleDeleted val="0"/>
    <c:plotArea>
      <c:layout/>
      <c:scatterChart>
        <c:scatterStyle val="lineMarker"/>
        <c:varyColors val="1"/>
        <c:ser>
          <c:idx val="0"/>
          <c:order val="0"/>
          <c:tx>
            <c:v>Excess gap %</c:v>
          </c:tx>
          <c:xVal>
            <c:numRef>
              <c:f>'Event study'!$I$6:$I$21</c:f>
              <c:numCache>
                <c:formatCode>0.00;\(0.00\);"-"</c:formatCode>
                <c:ptCount val="16"/>
                <c:pt idx="0">
                  <c:v>2.1660649819</c:v>
                </c:pt>
                <c:pt idx="1">
                  <c:v>-0.5405405405</c:v>
                </c:pt>
                <c:pt idx="2">
                  <c:v>5.6213017751000001</c:v>
                </c:pt>
                <c:pt idx="3">
                  <c:v>-0.82644628099999995</c:v>
                </c:pt>
                <c:pt idx="4">
                  <c:v>4.0372670807000004</c:v>
                </c:pt>
                <c:pt idx="5">
                  <c:v>-1.3761467890000001</c:v>
                </c:pt>
                <c:pt idx="6">
                  <c:v>0.98522167490000001</c:v>
                </c:pt>
                <c:pt idx="7">
                  <c:v>-1.0948905109</c:v>
                </c:pt>
                <c:pt idx="8">
                  <c:v>-0.20661157020000001</c:v>
                </c:pt>
                <c:pt idx="9">
                  <c:v>-2.1739130434999998</c:v>
                </c:pt>
                <c:pt idx="10">
                  <c:v>-0.65789473679999999</c:v>
                </c:pt>
                <c:pt idx="11">
                  <c:v>0.24691358020000001</c:v>
                </c:pt>
                <c:pt idx="12">
                  <c:v>0.74906367039999999</c:v>
                </c:pt>
                <c:pt idx="13">
                  <c:v>3.1620553359999999</c:v>
                </c:pt>
                <c:pt idx="14">
                  <c:v>3.1791907514000002</c:v>
                </c:pt>
                <c:pt idx="15">
                  <c:v>2.6030368764</c:v>
                </c:pt>
              </c:numCache>
            </c:numRef>
          </c:xVal>
          <c:yVal>
            <c:numRef>
              <c:f>'Event study'!$J$6:$J$21</c:f>
              <c:numCache>
                <c:formatCode>0.00;\(0.00\);"-"</c:formatCode>
                <c:ptCount val="16"/>
                <c:pt idx="0">
                  <c:v>-7.5224393891999997</c:v>
                </c:pt>
                <c:pt idx="1">
                  <c:v>-5.8625539712999997</c:v>
                </c:pt>
                <c:pt idx="2">
                  <c:v>8.1566664815000003</c:v>
                </c:pt>
                <c:pt idx="3">
                  <c:v>-14.322629002899999</c:v>
                </c:pt>
                <c:pt idx="4">
                  <c:v>-0.81538671350000003</c:v>
                </c:pt>
                <c:pt idx="5">
                  <c:v>1.2615108558999999</c:v>
                </c:pt>
                <c:pt idx="6">
                  <c:v>-3.7221482667000001</c:v>
                </c:pt>
                <c:pt idx="7">
                  <c:v>-7.2177734384000001</c:v>
                </c:pt>
                <c:pt idx="8">
                  <c:v>-8.5203996210999993</c:v>
                </c:pt>
                <c:pt idx="9">
                  <c:v>12.1356060464</c:v>
                </c:pt>
                <c:pt idx="10">
                  <c:v>-3.3555597852000001</c:v>
                </c:pt>
                <c:pt idx="11">
                  <c:v>-8.5215500894999998</c:v>
                </c:pt>
                <c:pt idx="12">
                  <c:v>4.6686231580999999</c:v>
                </c:pt>
                <c:pt idx="13">
                  <c:v>9.0941223971999996</c:v>
                </c:pt>
                <c:pt idx="14">
                  <c:v>-2.3790055034000002</c:v>
                </c:pt>
                <c:pt idx="15">
                  <c:v>7.8428942481000004</c:v>
                </c:pt>
              </c:numCache>
            </c:numRef>
          </c:yVal>
          <c:smooth val="1"/>
          <c:extLst>
            <c:ext xmlns:c16="http://schemas.microsoft.com/office/drawing/2014/chart" uri="{C3380CC4-5D6E-409C-BE32-E72D297353CC}">
              <c16:uniqueId val="{00000000-BE29-490D-B06A-69251393B886}"/>
            </c:ext>
          </c:extLst>
        </c:ser>
        <c:dLbls>
          <c:showLegendKey val="0"/>
          <c:showVal val="0"/>
          <c:showCatName val="0"/>
          <c:showSerName val="0"/>
          <c:showPercent val="0"/>
          <c:showBubbleSize val="0"/>
        </c:dLbls>
        <c:axId val="48650112"/>
        <c:axId val="48672768"/>
      </c:scatterChart>
      <c:valAx>
        <c:axId val="48672768"/>
        <c:scaling>
          <c:orientation val="minMax"/>
        </c:scaling>
        <c:delete val="0"/>
        <c:axPos val="l"/>
        <c:majorGridlines>
          <c:spPr>
            <a:ln w="9525">
              <a:solidFill>
                <a:srgbClr val="CCCCCC"/>
              </a:solidFill>
              <a:prstDash val="dash"/>
            </a:ln>
          </c:spPr>
        </c:majorGridlines>
        <c:numFmt formatCode="0.00;\(0.00\);&quot;-&quot;" sourceLinked="0"/>
        <c:majorTickMark val="none"/>
        <c:minorTickMark val="none"/>
        <c:tickLblPos val="nextTo"/>
        <c:txPr>
          <a:bodyPr anchorCtr="1"/>
          <a:lstStyle/>
          <a:p>
            <a:pPr>
              <a:defRPr sz="750">
                <a:latin typeface="Arial"/>
                <a:ea typeface="Arial"/>
                <a:cs typeface="Arial"/>
              </a:defRPr>
            </a:pPr>
            <a:endParaRPr lang="en-US"/>
          </a:p>
        </c:txPr>
        <c:crossAx val="48650112"/>
        <c:crosses val="autoZero"/>
        <c:crossBetween val="midCat"/>
      </c:valAx>
      <c:valAx>
        <c:axId val="48650112"/>
        <c:scaling>
          <c:orientation val="minMax"/>
        </c:scaling>
        <c:delete val="0"/>
        <c:axPos val="b"/>
        <c:majorGridlines>
          <c:spPr>
            <a:ln w="9525">
              <a:solidFill>
                <a:srgbClr val="CCCCCC"/>
              </a:solidFill>
              <a:prstDash val="dash"/>
            </a:ln>
          </c:spPr>
        </c:majorGridlines>
        <c:numFmt formatCode="0.00;\(0.00\);&quot;-&quot;" sourceLinked="1"/>
        <c:majorTickMark val="none"/>
        <c:minorTickMark val="none"/>
        <c:tickLblPos val="nextTo"/>
        <c:txPr>
          <a:bodyPr anchorCtr="1"/>
          <a:lstStyle/>
          <a:p>
            <a:pPr>
              <a:defRPr sz="750">
                <a:latin typeface="Arial"/>
                <a:ea typeface="Arial"/>
                <a:cs typeface="Arial"/>
              </a:defRPr>
            </a:pPr>
            <a:endParaRPr lang="en-US"/>
          </a:p>
        </c:txPr>
        <c:crossAx val="48672768"/>
        <c:crosses val="autoZero"/>
        <c:crossBetween val="midCat"/>
      </c:valAx>
    </c:plotArea>
    <c:legend>
      <c:legendPos val="t"/>
      <c:overlay val="0"/>
      <c:txPr>
        <a:bodyPr anchorCtr="1"/>
        <a:lstStyle/>
        <a:p>
          <a:pPr>
            <a:defRPr sz="750">
              <a:latin typeface="Arial"/>
              <a:ea typeface="Arial"/>
              <a:cs typeface="Arial"/>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975">
                <a:latin typeface="Arial"/>
                <a:ea typeface="Arial"/>
                <a:cs typeface="Arial"/>
              </a:rPr>
              <a:t>Same proxy vs next-session leg</a:t>
            </a:r>
          </a:p>
        </c:rich>
      </c:tx>
      <c:overlay val="0"/>
    </c:title>
    <c:autoTitleDeleted val="0"/>
    <c:plotArea>
      <c:layout/>
      <c:scatterChart>
        <c:scatterStyle val="lineMarker"/>
        <c:varyColors val="1"/>
        <c:ser>
          <c:idx val="0"/>
          <c:order val="0"/>
          <c:tx>
            <c:v>Excess session %</c:v>
          </c:tx>
          <c:xVal>
            <c:numRef>
              <c:f>'Event study'!$I$6:$I$21</c:f>
              <c:numCache>
                <c:formatCode>0.00;\(0.00\);"-"</c:formatCode>
                <c:ptCount val="16"/>
                <c:pt idx="0">
                  <c:v>2.1660649819</c:v>
                </c:pt>
                <c:pt idx="1">
                  <c:v>-0.5405405405</c:v>
                </c:pt>
                <c:pt idx="2">
                  <c:v>5.6213017751000001</c:v>
                </c:pt>
                <c:pt idx="3">
                  <c:v>-0.82644628099999995</c:v>
                </c:pt>
                <c:pt idx="4">
                  <c:v>4.0372670807000004</c:v>
                </c:pt>
                <c:pt idx="5">
                  <c:v>-1.3761467890000001</c:v>
                </c:pt>
                <c:pt idx="6">
                  <c:v>0.98522167490000001</c:v>
                </c:pt>
                <c:pt idx="7">
                  <c:v>-1.0948905109</c:v>
                </c:pt>
                <c:pt idx="8">
                  <c:v>-0.20661157020000001</c:v>
                </c:pt>
                <c:pt idx="9">
                  <c:v>-2.1739130434999998</c:v>
                </c:pt>
                <c:pt idx="10">
                  <c:v>-0.65789473679999999</c:v>
                </c:pt>
                <c:pt idx="11">
                  <c:v>0.24691358020000001</c:v>
                </c:pt>
                <c:pt idx="12">
                  <c:v>0.74906367039999999</c:v>
                </c:pt>
                <c:pt idx="13">
                  <c:v>3.1620553359999999</c:v>
                </c:pt>
                <c:pt idx="14">
                  <c:v>3.1791907514000002</c:v>
                </c:pt>
                <c:pt idx="15">
                  <c:v>2.6030368764</c:v>
                </c:pt>
              </c:numCache>
            </c:numRef>
          </c:xVal>
          <c:yVal>
            <c:numRef>
              <c:f>'Event study'!$K$6:$K$21</c:f>
              <c:numCache>
                <c:formatCode>0.00;\(0.00\);"-"</c:formatCode>
                <c:ptCount val="16"/>
                <c:pt idx="0">
                  <c:v>4.1143615713999999</c:v>
                </c:pt>
                <c:pt idx="1">
                  <c:v>-4.6056047679000001</c:v>
                </c:pt>
                <c:pt idx="2">
                  <c:v>4.0147986157000002</c:v>
                </c:pt>
                <c:pt idx="3">
                  <c:v>2.7258091492999998</c:v>
                </c:pt>
                <c:pt idx="4">
                  <c:v>0.77378543779999998</c:v>
                </c:pt>
                <c:pt idx="5">
                  <c:v>-6.247511501</c:v>
                </c:pt>
                <c:pt idx="6">
                  <c:v>0.94124585439999997</c:v>
                </c:pt>
                <c:pt idx="7">
                  <c:v>0.15025439800000001</c:v>
                </c:pt>
                <c:pt idx="8">
                  <c:v>-0.25896692090000001</c:v>
                </c:pt>
                <c:pt idx="9">
                  <c:v>1.6458252150999999</c:v>
                </c:pt>
                <c:pt idx="10">
                  <c:v>2.9645146823999999</c:v>
                </c:pt>
                <c:pt idx="11">
                  <c:v>0.1343244291</c:v>
                </c:pt>
                <c:pt idx="12">
                  <c:v>-3.9125179515999999</c:v>
                </c:pt>
                <c:pt idx="13">
                  <c:v>-4.2927496124999998</c:v>
                </c:pt>
                <c:pt idx="14">
                  <c:v>0.82030442140000004</c:v>
                </c:pt>
                <c:pt idx="15">
                  <c:v>7.7178790229000001</c:v>
                </c:pt>
              </c:numCache>
            </c:numRef>
          </c:yVal>
          <c:smooth val="1"/>
          <c:extLst>
            <c:ext xmlns:c16="http://schemas.microsoft.com/office/drawing/2014/chart" uri="{C3380CC4-5D6E-409C-BE32-E72D297353CC}">
              <c16:uniqueId val="{00000000-2093-46D9-A212-A5409C71B0F3}"/>
            </c:ext>
          </c:extLst>
        </c:ser>
        <c:dLbls>
          <c:showLegendKey val="0"/>
          <c:showVal val="0"/>
          <c:showCatName val="0"/>
          <c:showSerName val="0"/>
          <c:showPercent val="0"/>
          <c:showBubbleSize val="0"/>
        </c:dLbls>
        <c:axId val="48650112"/>
        <c:axId val="48672768"/>
      </c:scatterChart>
      <c:valAx>
        <c:axId val="48672768"/>
        <c:scaling>
          <c:orientation val="minMax"/>
        </c:scaling>
        <c:delete val="0"/>
        <c:axPos val="l"/>
        <c:majorGridlines>
          <c:spPr>
            <a:ln w="9525">
              <a:solidFill>
                <a:srgbClr val="CCCCCC"/>
              </a:solidFill>
              <a:prstDash val="dash"/>
            </a:ln>
          </c:spPr>
        </c:majorGridlines>
        <c:numFmt formatCode="0.00;\(0.00\);&quot;-&quot;" sourceLinked="0"/>
        <c:majorTickMark val="none"/>
        <c:minorTickMark val="none"/>
        <c:tickLblPos val="nextTo"/>
        <c:txPr>
          <a:bodyPr anchorCtr="1"/>
          <a:lstStyle/>
          <a:p>
            <a:pPr>
              <a:defRPr sz="750">
                <a:latin typeface="Arial"/>
                <a:ea typeface="Arial"/>
                <a:cs typeface="Arial"/>
              </a:defRPr>
            </a:pPr>
            <a:endParaRPr lang="en-US"/>
          </a:p>
        </c:txPr>
        <c:crossAx val="48650112"/>
        <c:crosses val="autoZero"/>
        <c:crossBetween val="midCat"/>
      </c:valAx>
      <c:valAx>
        <c:axId val="48650112"/>
        <c:scaling>
          <c:orientation val="minMax"/>
        </c:scaling>
        <c:delete val="0"/>
        <c:axPos val="b"/>
        <c:majorGridlines>
          <c:spPr>
            <a:ln w="9525">
              <a:solidFill>
                <a:srgbClr val="CCCCCC"/>
              </a:solidFill>
              <a:prstDash val="dash"/>
            </a:ln>
          </c:spPr>
        </c:majorGridlines>
        <c:numFmt formatCode="0.00;\(0.00\);&quot;-&quot;" sourceLinked="1"/>
        <c:majorTickMark val="none"/>
        <c:minorTickMark val="none"/>
        <c:tickLblPos val="nextTo"/>
        <c:txPr>
          <a:bodyPr anchorCtr="1"/>
          <a:lstStyle/>
          <a:p>
            <a:pPr>
              <a:defRPr sz="750">
                <a:latin typeface="Arial"/>
                <a:ea typeface="Arial"/>
                <a:cs typeface="Arial"/>
              </a:defRPr>
            </a:pPr>
            <a:endParaRPr lang="en-US"/>
          </a:p>
        </c:txPr>
        <c:crossAx val="48672768"/>
        <c:crosses val="autoZero"/>
        <c:crossBetween val="midCat"/>
      </c:valAx>
    </c:plotArea>
    <c:legend>
      <c:legendPos val="t"/>
      <c:overlay val="0"/>
      <c:txPr>
        <a:bodyPr anchorCtr="1"/>
        <a:lstStyle/>
        <a:p>
          <a:pPr>
            <a:defRPr sz="750">
              <a:latin typeface="Arial"/>
              <a:ea typeface="Arial"/>
              <a:cs typeface="Arial"/>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975">
                <a:latin typeface="Arial"/>
                <a:ea typeface="Arial"/>
                <a:cs typeface="Arial"/>
              </a:rPr>
              <a:t>Full earnings universe | daily legs</a:t>
            </a:r>
          </a:p>
        </c:rich>
      </c:tx>
      <c:overlay val="0"/>
    </c:title>
    <c:autoTitleDeleted val="0"/>
    <c:plotArea>
      <c:layout/>
      <c:barChart>
        <c:barDir val="col"/>
        <c:grouping val="clustered"/>
        <c:varyColors val="0"/>
        <c:ser>
          <c:idx val="0"/>
          <c:order val="0"/>
          <c:tx>
            <c:v>Excess gap %</c:v>
          </c:tx>
          <c:spPr>
            <a:solidFill>
              <a:srgbClr val="167D8D"/>
            </a:solidFill>
          </c:spPr>
          <c:invertIfNegative val="1"/>
          <c:cat>
            <c:strRef>
              <c:f>'Event study'!$B$49:$B$71</c:f>
              <c:strCache>
                <c:ptCount val="23"/>
                <c:pt idx="0">
                  <c:v>2020Q4</c:v>
                </c:pt>
                <c:pt idx="1">
                  <c:v>2021Q1</c:v>
                </c:pt>
                <c:pt idx="2">
                  <c:v>2021Q2</c:v>
                </c:pt>
                <c:pt idx="3">
                  <c:v>2021Q3</c:v>
                </c:pt>
                <c:pt idx="4">
                  <c:v>2021Q4</c:v>
                </c:pt>
                <c:pt idx="5">
                  <c:v>2022Q1</c:v>
                </c:pt>
                <c:pt idx="6">
                  <c:v>2022Q2</c:v>
                </c:pt>
                <c:pt idx="7">
                  <c:v>2022Q3</c:v>
                </c:pt>
                <c:pt idx="8">
                  <c:v>2022Q4</c:v>
                </c:pt>
                <c:pt idx="9">
                  <c:v>2023Q1</c:v>
                </c:pt>
                <c:pt idx="10">
                  <c:v>2023Q2</c:v>
                </c:pt>
                <c:pt idx="11">
                  <c:v>2023Q3</c:v>
                </c:pt>
                <c:pt idx="12">
                  <c:v>2023Q4</c:v>
                </c:pt>
                <c:pt idx="13">
                  <c:v>2024Q1</c:v>
                </c:pt>
                <c:pt idx="14">
                  <c:v>2024Q2</c:v>
                </c:pt>
                <c:pt idx="15">
                  <c:v>2024Q3</c:v>
                </c:pt>
                <c:pt idx="16">
                  <c:v>2024Q4</c:v>
                </c:pt>
                <c:pt idx="17">
                  <c:v>2025Q1</c:v>
                </c:pt>
                <c:pt idx="18">
                  <c:v>2025Q2</c:v>
                </c:pt>
                <c:pt idx="19">
                  <c:v>2025Q3</c:v>
                </c:pt>
                <c:pt idx="20">
                  <c:v>2025Q4</c:v>
                </c:pt>
                <c:pt idx="21">
                  <c:v>2026Q1</c:v>
                </c:pt>
                <c:pt idx="22">
                  <c:v>2026Q2</c:v>
                </c:pt>
              </c:strCache>
            </c:strRef>
          </c:cat>
          <c:val>
            <c:numRef>
              <c:f>'Event study'!$C$49:$C$71</c:f>
              <c:numCache>
                <c:formatCode>0.00;\(0.00\);"-"</c:formatCode>
                <c:ptCount val="23"/>
                <c:pt idx="0">
                  <c:v>5.6917565601</c:v>
                </c:pt>
                <c:pt idx="1">
                  <c:v>0.40086714369999998</c:v>
                </c:pt>
                <c:pt idx="2">
                  <c:v>-3.0685082120999998</c:v>
                </c:pt>
                <c:pt idx="3">
                  <c:v>3.8578968805999998</c:v>
                </c:pt>
                <c:pt idx="4">
                  <c:v>-0.33709396940000003</c:v>
                </c:pt>
                <c:pt idx="5">
                  <c:v>5.0532099846999996</c:v>
                </c:pt>
                <c:pt idx="6">
                  <c:v>-7.5224393891999997</c:v>
                </c:pt>
                <c:pt idx="7">
                  <c:v>-5.8625539712999997</c:v>
                </c:pt>
                <c:pt idx="8">
                  <c:v>8.1566664815000003</c:v>
                </c:pt>
                <c:pt idx="9">
                  <c:v>-14.322629002899999</c:v>
                </c:pt>
                <c:pt idx="10">
                  <c:v>-0.81538671350000003</c:v>
                </c:pt>
                <c:pt idx="11">
                  <c:v>1.2615108558999999</c:v>
                </c:pt>
                <c:pt idx="12">
                  <c:v>-3.7221482667000001</c:v>
                </c:pt>
                <c:pt idx="13">
                  <c:v>-7.2177734384000001</c:v>
                </c:pt>
                <c:pt idx="14">
                  <c:v>-15.4027754508</c:v>
                </c:pt>
                <c:pt idx="15">
                  <c:v>-8.5203996210999993</c:v>
                </c:pt>
                <c:pt idx="16">
                  <c:v>12.1356060464</c:v>
                </c:pt>
                <c:pt idx="17">
                  <c:v>-3.3555597852000001</c:v>
                </c:pt>
                <c:pt idx="18">
                  <c:v>-8.5215500894999998</c:v>
                </c:pt>
                <c:pt idx="19">
                  <c:v>4.6686231580999999</c:v>
                </c:pt>
                <c:pt idx="20">
                  <c:v>9.0941223971999996</c:v>
                </c:pt>
                <c:pt idx="21">
                  <c:v>-2.3790055034000002</c:v>
                </c:pt>
                <c:pt idx="22">
                  <c:v>7.8428942481000004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FCDC-455C-88CB-E284CDF4C151}"/>
            </c:ext>
          </c:extLst>
        </c:ser>
        <c:ser>
          <c:idx val="1"/>
          <c:order val="1"/>
          <c:tx>
            <c:v>Excess session %</c:v>
          </c:tx>
          <c:spPr>
            <a:solidFill>
              <a:srgbClr val="17324D"/>
            </a:solidFill>
          </c:spPr>
          <c:invertIfNegative val="1"/>
          <c:cat>
            <c:strRef>
              <c:f>'Event study'!$B$49:$B$71</c:f>
              <c:strCache>
                <c:ptCount val="23"/>
                <c:pt idx="0">
                  <c:v>2020Q4</c:v>
                </c:pt>
                <c:pt idx="1">
                  <c:v>2021Q1</c:v>
                </c:pt>
                <c:pt idx="2">
                  <c:v>2021Q2</c:v>
                </c:pt>
                <c:pt idx="3">
                  <c:v>2021Q3</c:v>
                </c:pt>
                <c:pt idx="4">
                  <c:v>2021Q4</c:v>
                </c:pt>
                <c:pt idx="5">
                  <c:v>2022Q1</c:v>
                </c:pt>
                <c:pt idx="6">
                  <c:v>2022Q2</c:v>
                </c:pt>
                <c:pt idx="7">
                  <c:v>2022Q3</c:v>
                </c:pt>
                <c:pt idx="8">
                  <c:v>2022Q4</c:v>
                </c:pt>
                <c:pt idx="9">
                  <c:v>2023Q1</c:v>
                </c:pt>
                <c:pt idx="10">
                  <c:v>2023Q2</c:v>
                </c:pt>
                <c:pt idx="11">
                  <c:v>2023Q3</c:v>
                </c:pt>
                <c:pt idx="12">
                  <c:v>2023Q4</c:v>
                </c:pt>
                <c:pt idx="13">
                  <c:v>2024Q1</c:v>
                </c:pt>
                <c:pt idx="14">
                  <c:v>2024Q2</c:v>
                </c:pt>
                <c:pt idx="15">
                  <c:v>2024Q3</c:v>
                </c:pt>
                <c:pt idx="16">
                  <c:v>2024Q4</c:v>
                </c:pt>
                <c:pt idx="17">
                  <c:v>2025Q1</c:v>
                </c:pt>
                <c:pt idx="18">
                  <c:v>2025Q2</c:v>
                </c:pt>
                <c:pt idx="19">
                  <c:v>2025Q3</c:v>
                </c:pt>
                <c:pt idx="20">
                  <c:v>2025Q4</c:v>
                </c:pt>
                <c:pt idx="21">
                  <c:v>2026Q1</c:v>
                </c:pt>
                <c:pt idx="22">
                  <c:v>2026Q2</c:v>
                </c:pt>
              </c:strCache>
            </c:strRef>
          </c:cat>
          <c:val>
            <c:numRef>
              <c:f>'Event study'!$D$49:$D$71</c:f>
              <c:numCache>
                <c:formatCode>0.00;\(0.00\);"-"</c:formatCode>
                <c:ptCount val="23"/>
                <c:pt idx="0">
                  <c:v>6.8087814487999996</c:v>
                </c:pt>
                <c:pt idx="1">
                  <c:v>1.3818242111000001</c:v>
                </c:pt>
                <c:pt idx="2">
                  <c:v>3.9064826674000002</c:v>
                </c:pt>
                <c:pt idx="3">
                  <c:v>8.6704678176000005</c:v>
                </c:pt>
                <c:pt idx="4">
                  <c:v>4.0530080498999999</c:v>
                </c:pt>
                <c:pt idx="5">
                  <c:v>-0.84303553519999996</c:v>
                </c:pt>
                <c:pt idx="6">
                  <c:v>4.1143615713999999</c:v>
                </c:pt>
                <c:pt idx="7">
                  <c:v>-4.6056047679000001</c:v>
                </c:pt>
                <c:pt idx="8">
                  <c:v>4.0147986157000002</c:v>
                </c:pt>
                <c:pt idx="9">
                  <c:v>2.7258091492999998</c:v>
                </c:pt>
                <c:pt idx="10">
                  <c:v>0.77378543779999998</c:v>
                </c:pt>
                <c:pt idx="11">
                  <c:v>-6.247511501</c:v>
                </c:pt>
                <c:pt idx="12">
                  <c:v>0.94124585439999997</c:v>
                </c:pt>
                <c:pt idx="13">
                  <c:v>0.15025439800000001</c:v>
                </c:pt>
                <c:pt idx="14">
                  <c:v>3.1318558926</c:v>
                </c:pt>
                <c:pt idx="15">
                  <c:v>-0.25896692090000001</c:v>
                </c:pt>
                <c:pt idx="16">
                  <c:v>1.6458252150999999</c:v>
                </c:pt>
                <c:pt idx="17">
                  <c:v>2.9645146823999999</c:v>
                </c:pt>
                <c:pt idx="18">
                  <c:v>0.1343244291</c:v>
                </c:pt>
                <c:pt idx="19">
                  <c:v>-3.9125179515999999</c:v>
                </c:pt>
                <c:pt idx="20">
                  <c:v>-4.2927496124999998</c:v>
                </c:pt>
                <c:pt idx="21">
                  <c:v>0.82030442140000004</c:v>
                </c:pt>
                <c:pt idx="22">
                  <c:v>7.7178790229000001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FCDC-455C-88CB-E284CDF4C15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0.00\);&quot;-&quot;" sourceLinked="0"/>
        <c:majorTickMark val="none"/>
        <c:minorTickMark val="none"/>
        <c:tickLblPos val="nextTo"/>
        <c:txPr>
          <a:bodyPr anchorCtr="1"/>
          <a:lstStyle/>
          <a:p>
            <a:pPr>
              <a:defRPr sz="750">
                <a:latin typeface="Arial"/>
                <a:ea typeface="Arial"/>
                <a:cs typeface="Arial"/>
              </a:defRPr>
            </a:pPr>
            <a:endParaRPr lang="en-US"/>
          </a:p>
        </c:txPr>
        <c:crossAx val="48650112"/>
        <c:crosses val="autoZero"/>
        <c:crossBetween val="between"/>
      </c:valAx>
    </c:plotArea>
    <c:legend>
      <c:legendPos val="t"/>
      <c:overlay val="0"/>
      <c:txPr>
        <a:bodyPr anchorCtr="1"/>
        <a:lstStyle/>
        <a:p>
          <a:pPr>
            <a:defRPr sz="750">
              <a:latin typeface="Arial"/>
              <a:ea typeface="Arial"/>
              <a:cs typeface="Arial"/>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0</xdr:colOff>
      <xdr:row>8</xdr:row>
      <xdr:rowOff>0</xdr:rowOff>
    </xdr:from>
    <xdr:to>
      <xdr:col>15</xdr:col>
      <xdr:colOff>0</xdr:colOff>
      <xdr:row>27</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10</xdr:row>
      <xdr:rowOff>0</xdr:rowOff>
    </xdr:from>
    <xdr:to>
      <xdr:col>15</xdr:col>
      <xdr:colOff>0</xdr:colOff>
      <xdr:row>27</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4</xdr:row>
      <xdr:rowOff>0</xdr:rowOff>
    </xdr:from>
    <xdr:to>
      <xdr:col>15</xdr:col>
      <xdr:colOff>0</xdr:colOff>
      <xdr:row>20</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21</xdr:row>
      <xdr:rowOff>0</xdr:rowOff>
    </xdr:from>
    <xdr:to>
      <xdr:col>15</xdr:col>
      <xdr:colOff>0</xdr:colOff>
      <xdr:row>38</xdr:row>
      <xdr:rowOff>0</xdr:rowOff>
    </xdr:to>
    <xdr:graphicFrame macro="">
      <xdr:nvGraphicFramePr>
        <xdr:cNvPr id="3" nam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16</xdr:row>
      <xdr:rowOff>0</xdr:rowOff>
    </xdr:from>
    <xdr:to>
      <xdr:col>8</xdr:col>
      <xdr:colOff>0</xdr:colOff>
      <xdr:row>33</xdr:row>
      <xdr:rowOff>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23</xdr:row>
      <xdr:rowOff>0</xdr:rowOff>
    </xdr:from>
    <xdr:to>
      <xdr:col>15</xdr:col>
      <xdr:colOff>0</xdr:colOff>
      <xdr:row>40</xdr:row>
      <xdr:rowOff>0</xdr:rowOff>
    </xdr:to>
    <xdr:graphicFrame macro="">
      <xdr:nvGraphicFramePr>
        <xdr:cNvPr id="3" nam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47</xdr:row>
      <xdr:rowOff>0</xdr:rowOff>
    </xdr:from>
    <xdr:to>
      <xdr:col>16</xdr:col>
      <xdr:colOff>0</xdr:colOff>
      <xdr:row>70</xdr:row>
      <xdr:rowOff>0</xdr:rowOff>
    </xdr:to>
    <xdr:graphicFrame macro="">
      <xdr:nvGraphicFramePr>
        <xdr:cNvPr id="4" nam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0"/>
  <sheetViews>
    <sheetView showGridLines="0" tabSelected="1" zoomScale="85" zoomScaleNormal="85" workbookViewId="0">
      <pane ySplit="5" topLeftCell="A6" activePane="bottomLeft" state="frozen"/>
      <selection pane="bottomLeft" activeCell="B2" sqref="B2"/>
    </sheetView>
  </sheetViews>
  <sheetFormatPr defaultRowHeight="14"/>
  <cols>
    <col min="1" max="1" width="3" customWidth="1"/>
    <col min="2" max="2" width="28" customWidth="1"/>
    <col min="3" max="5" width="22" customWidth="1"/>
    <col min="6" max="6" width="23" customWidth="1"/>
    <col min="7" max="23" width="13" customWidth="1"/>
  </cols>
  <sheetData>
    <row r="1" spans="1:23" ht="23" customHeight="1">
      <c r="A1" s="1"/>
      <c r="B1" s="1"/>
      <c r="C1" s="1"/>
      <c r="D1" s="1"/>
      <c r="E1" s="1"/>
      <c r="F1" s="1"/>
      <c r="G1" s="1"/>
      <c r="H1" s="1"/>
      <c r="I1" s="1"/>
      <c r="J1" s="1"/>
      <c r="K1" s="1"/>
      <c r="L1" s="1"/>
      <c r="M1" s="1"/>
      <c r="N1" s="1"/>
      <c r="O1" s="1"/>
      <c r="P1" s="1"/>
      <c r="Q1" s="1"/>
      <c r="R1" s="1"/>
      <c r="S1" s="1"/>
      <c r="T1" s="1"/>
      <c r="U1" s="1"/>
      <c r="V1" s="1"/>
      <c r="W1" s="1"/>
    </row>
    <row r="2" spans="1:23" ht="32" customHeight="1">
      <c r="A2" s="1"/>
      <c r="B2" s="2" t="s">
        <v>0</v>
      </c>
      <c r="C2" s="2"/>
      <c r="D2" s="2"/>
      <c r="E2" s="2"/>
      <c r="F2" s="2"/>
      <c r="G2" s="2"/>
      <c r="H2" s="2"/>
      <c r="I2" s="2"/>
      <c r="J2" s="2"/>
      <c r="K2" s="2"/>
      <c r="L2" s="2"/>
      <c r="M2" s="2"/>
      <c r="N2" s="1"/>
      <c r="O2" s="1"/>
      <c r="P2" s="1"/>
      <c r="Q2" s="1"/>
      <c r="R2" s="1"/>
      <c r="S2" s="1"/>
      <c r="T2" s="1"/>
      <c r="U2" s="1"/>
      <c r="V2" s="1"/>
      <c r="W2" s="1"/>
    </row>
    <row r="3" spans="1:23" ht="23" customHeight="1">
      <c r="A3" s="1"/>
      <c r="B3" s="3" t="s">
        <v>1</v>
      </c>
      <c r="C3" s="3"/>
      <c r="D3" s="3"/>
      <c r="E3" s="3"/>
      <c r="F3" s="3"/>
      <c r="G3" s="3"/>
      <c r="H3" s="3"/>
      <c r="I3" s="3"/>
      <c r="J3" s="3"/>
      <c r="K3" s="3"/>
      <c r="L3" s="3"/>
      <c r="M3" s="3"/>
      <c r="N3" s="1"/>
      <c r="O3" s="1"/>
      <c r="P3" s="1"/>
      <c r="Q3" s="1"/>
      <c r="R3" s="1"/>
      <c r="S3" s="1"/>
      <c r="T3" s="1"/>
      <c r="U3" s="1"/>
      <c r="V3" s="1"/>
      <c r="W3" s="1"/>
    </row>
    <row r="4" spans="1:23" ht="23" customHeight="1">
      <c r="A4" s="1"/>
      <c r="B4" s="1"/>
      <c r="C4" s="1"/>
      <c r="D4" s="1"/>
      <c r="E4" s="1"/>
      <c r="F4" s="1"/>
      <c r="G4" s="1"/>
      <c r="H4" s="1"/>
      <c r="I4" s="1"/>
      <c r="J4" s="1"/>
      <c r="K4" s="1"/>
      <c r="L4" s="1"/>
      <c r="M4" s="1"/>
      <c r="N4" s="1"/>
      <c r="O4" s="1"/>
      <c r="P4" s="1"/>
      <c r="Q4" s="1"/>
      <c r="R4" s="1"/>
      <c r="S4" s="1"/>
      <c r="T4" s="1"/>
      <c r="U4" s="1"/>
      <c r="V4" s="1"/>
      <c r="W4" s="1"/>
    </row>
    <row r="5" spans="1:23" ht="23" customHeight="1">
      <c r="A5" s="1"/>
      <c r="B5" s="40" t="str">
        <f>IF(ISNUMBER(F19),IF(F19&gt;0,"Working Q4 guide is above the assumed Street guide proxy. ",IF(F19&lt;0,"Working Q4 guide is below the assumed Street guide proxy. ","Working Q4 guide equals the assumed Street guide proxy. ")),"Working Q4 comparison is unavailable. ")&amp;"Forecast and reaction tests have not established an investable edge. The proxy is conditional, not observed guide expectations."</f>
        <v>Working Q4 guide is above the assumed Street guide proxy. Forecast and reaction tests have not established an investable edge. The proxy is conditional, not observed guide expectations.</v>
      </c>
      <c r="C5" s="40"/>
      <c r="D5" s="40"/>
      <c r="E5" s="40"/>
      <c r="F5" s="40"/>
      <c r="G5" s="40"/>
      <c r="H5" s="40"/>
      <c r="I5" s="40"/>
      <c r="J5" s="40"/>
      <c r="K5" s="40"/>
      <c r="L5" s="40"/>
      <c r="M5" s="40"/>
      <c r="N5" s="1"/>
      <c r="O5" s="1"/>
      <c r="P5" s="1"/>
      <c r="Q5" s="1"/>
      <c r="R5" s="1"/>
      <c r="S5" s="1"/>
      <c r="T5" s="1"/>
      <c r="U5" s="1"/>
      <c r="V5" s="1"/>
      <c r="W5" s="1"/>
    </row>
    <row r="6" spans="1:23" ht="23" customHeight="1">
      <c r="A6" s="1"/>
      <c r="B6" s="40"/>
      <c r="C6" s="40"/>
      <c r="D6" s="40"/>
      <c r="E6" s="40"/>
      <c r="F6" s="40"/>
      <c r="G6" s="40"/>
      <c r="H6" s="40"/>
      <c r="I6" s="40"/>
      <c r="J6" s="40"/>
      <c r="K6" s="40"/>
      <c r="L6" s="40"/>
      <c r="M6" s="40"/>
      <c r="N6" s="1"/>
      <c r="O6" s="1"/>
      <c r="P6" s="1"/>
      <c r="Q6" s="1"/>
      <c r="R6" s="1"/>
      <c r="S6" s="1"/>
      <c r="T6" s="1"/>
      <c r="U6" s="1"/>
      <c r="V6" s="1"/>
      <c r="W6" s="1"/>
    </row>
    <row r="7" spans="1:23" ht="23" customHeight="1">
      <c r="A7" s="1"/>
      <c r="B7" s="40"/>
      <c r="C7" s="40"/>
      <c r="D7" s="40"/>
      <c r="E7" s="40"/>
      <c r="F7" s="40"/>
      <c r="G7" s="40"/>
      <c r="H7" s="40"/>
      <c r="I7" s="40"/>
      <c r="J7" s="40"/>
      <c r="K7" s="40"/>
      <c r="L7" s="40"/>
      <c r="M7" s="40"/>
      <c r="N7" s="1"/>
      <c r="O7" s="1"/>
      <c r="P7" s="1"/>
      <c r="Q7" s="1"/>
      <c r="R7" s="1"/>
      <c r="S7" s="1"/>
      <c r="T7" s="1"/>
      <c r="U7" s="1"/>
      <c r="V7" s="1"/>
      <c r="W7" s="1"/>
    </row>
    <row r="8" spans="1:23" ht="23" customHeight="1">
      <c r="A8" s="1"/>
      <c r="B8" s="1"/>
      <c r="C8" s="1"/>
      <c r="D8" s="1"/>
      <c r="E8" s="1"/>
      <c r="F8" s="1"/>
      <c r="G8" s="1"/>
      <c r="H8" s="1"/>
      <c r="I8" s="1"/>
      <c r="J8" s="1"/>
      <c r="K8" s="1"/>
      <c r="L8" s="1"/>
      <c r="M8" s="1"/>
      <c r="N8" s="1"/>
      <c r="O8" s="1"/>
      <c r="P8" s="1"/>
      <c r="Q8" s="1"/>
      <c r="R8" s="1"/>
      <c r="S8" s="1"/>
      <c r="T8" s="1"/>
      <c r="U8" s="1"/>
      <c r="V8" s="1"/>
      <c r="W8" s="1"/>
    </row>
    <row r="9" spans="1:23" ht="32" customHeight="1">
      <c r="A9" s="1"/>
      <c r="B9" s="4" t="s">
        <v>2</v>
      </c>
      <c r="C9" s="4" t="s">
        <v>3</v>
      </c>
      <c r="D9" s="4" t="s">
        <v>4</v>
      </c>
      <c r="E9" s="4" t="s">
        <v>5</v>
      </c>
      <c r="F9" s="4" t="s">
        <v>6</v>
      </c>
      <c r="G9" s="1"/>
      <c r="H9" s="1"/>
      <c r="I9" s="1"/>
      <c r="J9" s="1"/>
      <c r="K9" s="1"/>
      <c r="L9" s="1"/>
      <c r="M9" s="1"/>
      <c r="N9" s="1"/>
      <c r="O9" s="1"/>
      <c r="P9" s="1"/>
      <c r="Q9" s="1"/>
      <c r="R9" s="1"/>
      <c r="S9" s="1"/>
      <c r="T9" s="1"/>
      <c r="U9" s="1"/>
      <c r="V9" s="1"/>
      <c r="W9" s="1"/>
    </row>
    <row r="10" spans="1:23" ht="23" customHeight="1">
      <c r="A10" s="1"/>
      <c r="B10" s="1" t="s">
        <v>7</v>
      </c>
      <c r="C10" s="17">
        <f>Conversion!C11</f>
        <v>4808.3629294939174</v>
      </c>
      <c r="D10" s="17">
        <f>Inputs!C35</f>
        <v>4730</v>
      </c>
      <c r="E10" s="17">
        <f>Conversion!C16</f>
        <v>4744.8818700000002</v>
      </c>
      <c r="F10" s="1" t="s">
        <v>8</v>
      </c>
      <c r="G10" s="1"/>
      <c r="H10" s="1"/>
      <c r="I10" s="1"/>
      <c r="J10" s="1"/>
      <c r="K10" s="1"/>
      <c r="L10" s="1"/>
      <c r="M10" s="1"/>
      <c r="N10" s="1"/>
      <c r="O10" s="1"/>
      <c r="P10" s="1"/>
      <c r="Q10" s="1"/>
      <c r="R10" s="1"/>
      <c r="S10" s="1"/>
      <c r="T10" s="1"/>
      <c r="U10" s="1"/>
      <c r="V10" s="1"/>
      <c r="W10" s="1"/>
    </row>
    <row r="11" spans="1:23" ht="23" customHeight="1">
      <c r="A11" s="1"/>
      <c r="B11" s="1" t="s">
        <v>9</v>
      </c>
      <c r="C11" s="17">
        <f>Conversion!D11</f>
        <v>3179.3436542864042</v>
      </c>
      <c r="D11" s="17">
        <f>Conversion!D13</f>
        <v>3123.419115173388</v>
      </c>
      <c r="E11" s="17">
        <f>Conversion!D16</f>
        <v>3161.0214900000001</v>
      </c>
      <c r="F11" s="1" t="s">
        <v>10</v>
      </c>
      <c r="G11" s="1"/>
      <c r="H11" s="1"/>
      <c r="I11" s="1"/>
      <c r="J11" s="1"/>
      <c r="K11" s="1"/>
      <c r="L11" s="1"/>
      <c r="M11" s="1"/>
      <c r="N11" s="1"/>
      <c r="O11" s="1"/>
      <c r="P11" s="1"/>
      <c r="Q11" s="1"/>
      <c r="R11" s="1"/>
      <c r="S11" s="1"/>
      <c r="T11" s="1"/>
      <c r="U11" s="1"/>
      <c r="V11" s="1"/>
      <c r="W11" s="1"/>
    </row>
    <row r="12" spans="1:23" ht="23" customHeight="1">
      <c r="A12" s="1"/>
      <c r="B12" s="1" t="s">
        <v>11</v>
      </c>
      <c r="C12" s="17">
        <f>Conversion!E11</f>
        <v>3055.6805804424221</v>
      </c>
      <c r="D12" s="17">
        <f>Conversion!E13</f>
        <v>3001.9312702955167</v>
      </c>
      <c r="E12" s="17" t="str">
        <f>Conversion!E16</f>
        <v>n.a.</v>
      </c>
      <c r="F12" s="1" t="s">
        <v>10</v>
      </c>
      <c r="G12" s="1"/>
      <c r="H12" s="1"/>
      <c r="I12" s="1"/>
      <c r="J12" s="1"/>
      <c r="K12" s="1"/>
      <c r="L12" s="1"/>
      <c r="M12" s="1"/>
      <c r="N12" s="1"/>
      <c r="O12" s="1"/>
      <c r="P12" s="1"/>
      <c r="Q12" s="1"/>
      <c r="R12" s="1"/>
      <c r="S12" s="1"/>
      <c r="T12" s="1"/>
      <c r="U12" s="1"/>
      <c r="V12" s="1"/>
      <c r="W12" s="1"/>
    </row>
    <row r="13" spans="1:23" ht="23" customHeight="1">
      <c r="A13" s="1"/>
      <c r="B13" s="1" t="s">
        <v>12</v>
      </c>
      <c r="C13" s="17">
        <f>Conversion!F11</f>
        <v>4048.3953075731279</v>
      </c>
      <c r="D13" s="17">
        <f>Conversion!F13</f>
        <v>3977.1841815226035</v>
      </c>
      <c r="E13" s="17" t="str">
        <f>Conversion!F16</f>
        <v>n.a.</v>
      </c>
      <c r="F13" s="1" t="s">
        <v>10</v>
      </c>
      <c r="G13" s="1"/>
      <c r="H13" s="1"/>
      <c r="I13" s="1"/>
      <c r="J13" s="1"/>
      <c r="K13" s="1"/>
      <c r="L13" s="1"/>
      <c r="M13" s="1"/>
      <c r="N13" s="1"/>
      <c r="O13" s="1"/>
      <c r="P13" s="1"/>
      <c r="Q13" s="1"/>
      <c r="R13" s="1"/>
      <c r="S13" s="1"/>
      <c r="T13" s="1"/>
      <c r="U13" s="1"/>
      <c r="V13" s="1"/>
      <c r="W13" s="1"/>
    </row>
    <row r="14" spans="1:23" ht="23" customHeight="1">
      <c r="A14" s="1"/>
      <c r="B14" s="1"/>
      <c r="C14" s="1"/>
      <c r="D14" s="1"/>
      <c r="E14" s="1"/>
      <c r="F14" s="1"/>
      <c r="G14" s="1"/>
      <c r="H14" s="1"/>
      <c r="I14" s="1"/>
      <c r="J14" s="1"/>
      <c r="K14" s="1"/>
      <c r="L14" s="1"/>
      <c r="M14" s="1"/>
      <c r="N14" s="1"/>
      <c r="O14" s="1"/>
      <c r="P14" s="1"/>
      <c r="Q14" s="1"/>
      <c r="R14" s="1"/>
      <c r="S14" s="1"/>
      <c r="T14" s="1"/>
      <c r="U14" s="1"/>
      <c r="V14" s="1"/>
      <c r="W14" s="1"/>
    </row>
    <row r="15" spans="1:23" ht="23" customHeight="1">
      <c r="A15" s="1"/>
      <c r="B15" s="1"/>
      <c r="C15" s="1"/>
      <c r="D15" s="1"/>
      <c r="E15" s="1"/>
      <c r="F15" s="1"/>
      <c r="G15" s="1"/>
      <c r="H15" s="1"/>
      <c r="I15" s="1"/>
      <c r="J15" s="1"/>
      <c r="K15" s="1"/>
      <c r="L15" s="1"/>
      <c r="M15" s="1"/>
      <c r="N15" s="1"/>
      <c r="O15" s="1"/>
      <c r="P15" s="1"/>
      <c r="Q15" s="1"/>
      <c r="R15" s="1"/>
      <c r="S15" s="1"/>
      <c r="T15" s="1"/>
      <c r="U15" s="1"/>
      <c r="V15" s="1"/>
      <c r="W15" s="1"/>
    </row>
    <row r="16" spans="1:23" ht="27" customHeight="1">
      <c r="A16" s="1"/>
      <c r="B16" s="6" t="s">
        <v>13</v>
      </c>
      <c r="C16" s="6"/>
      <c r="D16" s="6"/>
      <c r="E16" s="6"/>
      <c r="F16" s="6"/>
      <c r="G16" s="1"/>
      <c r="H16" s="1"/>
      <c r="I16" s="1"/>
      <c r="J16" s="1"/>
      <c r="K16" s="1"/>
      <c r="L16" s="1"/>
      <c r="M16" s="1"/>
      <c r="N16" s="1"/>
      <c r="O16" s="1"/>
      <c r="P16" s="1"/>
      <c r="Q16" s="1"/>
      <c r="R16" s="1"/>
      <c r="S16" s="1"/>
      <c r="T16" s="1"/>
      <c r="U16" s="1"/>
      <c r="V16" s="1"/>
      <c r="W16" s="1"/>
    </row>
    <row r="17" spans="1:23" ht="23" customHeight="1">
      <c r="A17" s="1"/>
      <c r="B17" s="41" t="s">
        <v>14</v>
      </c>
      <c r="C17" s="41"/>
      <c r="D17" s="41"/>
      <c r="E17" s="41"/>
      <c r="F17" s="5">
        <f>Conversion!D13</f>
        <v>3123.419115173388</v>
      </c>
      <c r="G17" s="1"/>
      <c r="H17" s="1"/>
      <c r="I17" s="1"/>
      <c r="J17" s="1"/>
      <c r="K17" s="1"/>
      <c r="L17" s="1"/>
      <c r="M17" s="1"/>
      <c r="N17" s="1"/>
      <c r="O17" s="1"/>
      <c r="P17" s="1"/>
      <c r="Q17" s="1"/>
      <c r="R17" s="1"/>
      <c r="S17" s="1"/>
      <c r="T17" s="1"/>
      <c r="U17" s="1"/>
      <c r="V17" s="1"/>
      <c r="W17" s="1"/>
    </row>
    <row r="18" spans="1:23" ht="23" customHeight="1">
      <c r="A18" s="1"/>
      <c r="B18" s="41" t="s">
        <v>15</v>
      </c>
      <c r="C18" s="41"/>
      <c r="D18" s="41"/>
      <c r="E18" s="41"/>
      <c r="F18" s="5">
        <f>Conversion!D18</f>
        <v>3105.4192370896376</v>
      </c>
      <c r="G18" s="1"/>
      <c r="H18" s="1"/>
      <c r="I18" s="1"/>
      <c r="J18" s="1"/>
      <c r="K18" s="1"/>
      <c r="L18" s="1"/>
      <c r="M18" s="1"/>
      <c r="N18" s="1"/>
      <c r="O18" s="1"/>
      <c r="P18" s="1"/>
      <c r="Q18" s="1"/>
      <c r="R18" s="1"/>
      <c r="S18" s="1"/>
      <c r="T18" s="1"/>
      <c r="U18" s="1"/>
      <c r="V18" s="1"/>
      <c r="W18" s="1"/>
    </row>
    <row r="19" spans="1:23" ht="23" customHeight="1">
      <c r="A19" s="1"/>
      <c r="B19" s="41" t="s">
        <v>16</v>
      </c>
      <c r="C19" s="41"/>
      <c r="D19" s="41"/>
      <c r="E19" s="41"/>
      <c r="F19" s="5">
        <f>Conversion!D19</f>
        <v>17.999878083750446</v>
      </c>
      <c r="G19" s="1"/>
      <c r="H19" s="1"/>
      <c r="I19" s="1"/>
      <c r="J19" s="1"/>
      <c r="K19" s="1"/>
      <c r="L19" s="1"/>
      <c r="M19" s="1"/>
      <c r="N19" s="1"/>
      <c r="O19" s="1"/>
      <c r="P19" s="1"/>
      <c r="Q19" s="1"/>
      <c r="R19" s="1"/>
      <c r="S19" s="1"/>
      <c r="T19" s="1"/>
      <c r="U19" s="1"/>
      <c r="V19" s="1"/>
      <c r="W19" s="1"/>
    </row>
    <row r="20" spans="1:23" ht="23" customHeight="1">
      <c r="A20" s="1"/>
      <c r="B20" s="41" t="s">
        <v>17</v>
      </c>
      <c r="C20" s="41"/>
      <c r="D20" s="41"/>
      <c r="E20" s="41"/>
      <c r="F20" s="7">
        <f>Conversion!D20</f>
        <v>5.7962795711343773E-3</v>
      </c>
      <c r="G20" s="1"/>
      <c r="H20" s="1"/>
      <c r="I20" s="1"/>
      <c r="J20" s="1"/>
      <c r="K20" s="1"/>
      <c r="L20" s="1"/>
      <c r="M20" s="1"/>
      <c r="N20" s="1"/>
      <c r="O20" s="1"/>
      <c r="P20" s="1"/>
      <c r="Q20" s="1"/>
      <c r="R20" s="1"/>
      <c r="S20" s="1"/>
      <c r="T20" s="1"/>
      <c r="U20" s="1"/>
      <c r="V20" s="1"/>
      <c r="W20" s="1"/>
    </row>
    <row r="21" spans="1:23" ht="23" customHeight="1">
      <c r="A21" s="1"/>
      <c r="B21" s="41" t="s">
        <v>18</v>
      </c>
      <c r="C21" s="41"/>
      <c r="D21" s="41"/>
      <c r="E21" s="41"/>
      <c r="F21" s="5">
        <f>Conversion!D26</f>
        <v>25780.296790209697</v>
      </c>
      <c r="G21" s="1"/>
      <c r="H21" s="1"/>
      <c r="I21" s="1"/>
      <c r="J21" s="1"/>
      <c r="K21" s="1"/>
      <c r="L21" s="1"/>
      <c r="M21" s="1"/>
      <c r="N21" s="1"/>
      <c r="O21" s="1"/>
      <c r="P21" s="1"/>
      <c r="Q21" s="1"/>
      <c r="R21" s="1"/>
      <c r="S21" s="1"/>
      <c r="T21" s="1"/>
      <c r="U21" s="1"/>
      <c r="V21" s="1"/>
      <c r="W21" s="1"/>
    </row>
    <row r="22" spans="1:23" ht="23" customHeight="1">
      <c r="A22" s="1"/>
      <c r="B22" s="41" t="s">
        <v>19</v>
      </c>
      <c r="C22" s="41"/>
      <c r="D22" s="41"/>
      <c r="E22" s="41"/>
      <c r="F22" s="7">
        <f>Conversion!D27</f>
        <v>-8.7763122947042138E-3</v>
      </c>
      <c r="G22" s="1"/>
      <c r="H22" s="1"/>
      <c r="I22" s="1"/>
      <c r="J22" s="1"/>
      <c r="K22" s="1"/>
      <c r="L22" s="1"/>
      <c r="M22" s="1"/>
      <c r="N22" s="1"/>
      <c r="O22" s="1"/>
      <c r="P22" s="1"/>
      <c r="Q22" s="1"/>
      <c r="R22" s="1"/>
      <c r="S22" s="1"/>
      <c r="T22" s="1"/>
      <c r="U22" s="1"/>
      <c r="V22" s="1"/>
      <c r="W22" s="1"/>
    </row>
    <row r="23" spans="1:23" ht="23" customHeight="1">
      <c r="A23" s="1"/>
      <c r="B23" s="41" t="s">
        <v>20</v>
      </c>
      <c r="C23" s="41"/>
      <c r="D23" s="41"/>
      <c r="E23" s="41"/>
      <c r="F23" s="5">
        <f>Conversion!D25</f>
        <v>-6.9387145619764778</v>
      </c>
      <c r="G23" s="1"/>
      <c r="H23" s="1"/>
      <c r="I23" s="1"/>
      <c r="J23" s="1"/>
      <c r="K23" s="1"/>
      <c r="L23" s="1"/>
      <c r="M23" s="1"/>
      <c r="N23" s="1"/>
      <c r="O23" s="1"/>
      <c r="P23" s="1"/>
      <c r="Q23" s="1"/>
      <c r="R23" s="1"/>
      <c r="S23" s="1"/>
      <c r="T23" s="1"/>
      <c r="U23" s="1"/>
      <c r="V23" s="1"/>
      <c r="W23" s="1"/>
    </row>
    <row r="24" spans="1:23" ht="23" customHeight="1">
      <c r="A24" s="1"/>
      <c r="B24" s="1"/>
      <c r="C24" s="1"/>
      <c r="D24" s="1"/>
      <c r="E24" s="1"/>
      <c r="F24" s="1"/>
      <c r="G24" s="1"/>
      <c r="H24" s="1"/>
      <c r="I24" s="1"/>
      <c r="J24" s="1"/>
      <c r="K24" s="1"/>
      <c r="L24" s="1"/>
      <c r="M24" s="1"/>
      <c r="N24" s="1"/>
      <c r="O24" s="1"/>
      <c r="P24" s="1"/>
      <c r="Q24" s="1"/>
      <c r="R24" s="1"/>
      <c r="S24" s="1"/>
      <c r="T24" s="1"/>
      <c r="U24" s="1"/>
      <c r="V24" s="1"/>
      <c r="W24" s="1"/>
    </row>
    <row r="25" spans="1:23" ht="23" customHeight="1">
      <c r="A25" s="1"/>
      <c r="B25" s="42" t="s">
        <v>21</v>
      </c>
      <c r="C25" s="42"/>
      <c r="D25" s="42"/>
      <c r="E25" s="42"/>
      <c r="F25" s="42"/>
      <c r="G25" s="1"/>
      <c r="H25" s="1"/>
      <c r="I25" s="1"/>
      <c r="J25" s="1"/>
      <c r="K25" s="1"/>
      <c r="L25" s="1"/>
      <c r="M25" s="1"/>
      <c r="N25" s="1"/>
      <c r="O25" s="1"/>
      <c r="P25" s="1"/>
      <c r="Q25" s="1"/>
      <c r="R25" s="1"/>
      <c r="S25" s="1"/>
      <c r="T25" s="1"/>
      <c r="U25" s="1"/>
      <c r="V25" s="1"/>
      <c r="W25" s="1"/>
    </row>
    <row r="26" spans="1:23" ht="23" customHeight="1">
      <c r="A26" s="1"/>
      <c r="B26" s="42"/>
      <c r="C26" s="42"/>
      <c r="D26" s="42"/>
      <c r="E26" s="42"/>
      <c r="F26" s="42"/>
      <c r="G26" s="1"/>
      <c r="H26" s="1"/>
      <c r="I26" s="1"/>
      <c r="J26" s="1"/>
      <c r="K26" s="1"/>
      <c r="L26" s="1"/>
      <c r="M26" s="1"/>
      <c r="N26" s="1"/>
      <c r="O26" s="1"/>
      <c r="P26" s="1"/>
      <c r="Q26" s="1"/>
      <c r="R26" s="1"/>
      <c r="S26" s="1"/>
      <c r="T26" s="1"/>
      <c r="U26" s="1"/>
      <c r="V26" s="1"/>
      <c r="W26" s="1"/>
    </row>
    <row r="27" spans="1:23" ht="23" customHeight="1">
      <c r="A27" s="1"/>
      <c r="B27" s="42"/>
      <c r="C27" s="42"/>
      <c r="D27" s="42"/>
      <c r="E27" s="42"/>
      <c r="F27" s="42"/>
      <c r="G27" s="1"/>
      <c r="H27" s="1"/>
      <c r="I27" s="1"/>
      <c r="J27" s="1"/>
      <c r="K27" s="1"/>
      <c r="L27" s="1"/>
      <c r="M27" s="1"/>
      <c r="N27" s="1"/>
      <c r="O27" s="1"/>
      <c r="P27" s="1"/>
      <c r="Q27" s="1"/>
      <c r="R27" s="1"/>
      <c r="S27" s="1"/>
      <c r="T27" s="1"/>
      <c r="U27" s="1"/>
      <c r="V27" s="1"/>
      <c r="W27" s="1"/>
    </row>
    <row r="28" spans="1:23" ht="23" customHeight="1">
      <c r="A28" s="1"/>
      <c r="B28" s="42"/>
      <c r="C28" s="42"/>
      <c r="D28" s="42"/>
      <c r="E28" s="42"/>
      <c r="F28" s="42"/>
      <c r="G28" s="1"/>
      <c r="H28" s="1"/>
      <c r="I28" s="1"/>
      <c r="J28" s="1"/>
      <c r="K28" s="1"/>
      <c r="L28" s="1"/>
      <c r="M28" s="1"/>
      <c r="N28" s="1"/>
      <c r="O28" s="1"/>
      <c r="P28" s="1"/>
      <c r="Q28" s="1"/>
      <c r="R28" s="1"/>
      <c r="S28" s="1"/>
      <c r="T28" s="1"/>
      <c r="U28" s="1"/>
      <c r="V28" s="1"/>
      <c r="W28" s="1"/>
    </row>
    <row r="29" spans="1:23" ht="23" customHeight="1">
      <c r="A29" s="1"/>
      <c r="B29" s="1"/>
      <c r="C29" s="1"/>
      <c r="D29" s="1"/>
      <c r="E29" s="1"/>
      <c r="F29" s="1"/>
      <c r="G29" s="1"/>
      <c r="H29" s="1"/>
      <c r="I29" s="1"/>
      <c r="J29" s="1"/>
      <c r="K29" s="1"/>
      <c r="L29" s="1"/>
      <c r="M29" s="1"/>
      <c r="N29" s="1"/>
      <c r="O29" s="1"/>
      <c r="P29" s="1"/>
      <c r="Q29" s="1"/>
      <c r="R29" s="1"/>
      <c r="S29" s="1"/>
      <c r="T29" s="1"/>
      <c r="U29" s="1"/>
      <c r="V29" s="1"/>
      <c r="W29" s="1"/>
    </row>
    <row r="30" spans="1:23" ht="23" customHeight="1">
      <c r="A30" s="1"/>
      <c r="B30" s="1"/>
      <c r="C30" s="1"/>
      <c r="D30" s="1"/>
      <c r="E30" s="1"/>
      <c r="F30" s="1"/>
      <c r="G30" s="1"/>
      <c r="H30" s="1"/>
      <c r="I30" s="1"/>
      <c r="J30" s="1"/>
      <c r="K30" s="1"/>
      <c r="L30" s="1"/>
      <c r="M30" s="1"/>
      <c r="N30" s="1"/>
      <c r="O30" s="1"/>
      <c r="P30" s="1"/>
      <c r="Q30" s="1"/>
      <c r="R30" s="1"/>
      <c r="S30" s="1"/>
      <c r="T30" s="1"/>
      <c r="U30" s="1"/>
      <c r="V30" s="1"/>
      <c r="W30" s="1"/>
    </row>
    <row r="31" spans="1:23" ht="27" customHeight="1">
      <c r="A31" s="1"/>
      <c r="B31" s="6" t="s">
        <v>22</v>
      </c>
      <c r="C31" s="6"/>
      <c r="D31" s="6"/>
      <c r="E31" s="6"/>
      <c r="F31" s="6"/>
      <c r="G31" s="6"/>
      <c r="H31" s="6"/>
      <c r="I31" s="6"/>
      <c r="J31" s="6"/>
      <c r="K31" s="6"/>
      <c r="L31" s="6"/>
      <c r="M31" s="6"/>
      <c r="N31" s="1"/>
      <c r="O31" s="1"/>
      <c r="P31" s="1"/>
      <c r="Q31" s="1"/>
      <c r="R31" s="1"/>
      <c r="S31" s="1"/>
      <c r="T31" s="1"/>
      <c r="U31" s="1"/>
      <c r="V31" s="1"/>
      <c r="W31" s="1"/>
    </row>
    <row r="32" spans="1:23" ht="23" customHeight="1">
      <c r="A32" s="1"/>
      <c r="B32" s="1"/>
      <c r="C32" s="1"/>
      <c r="D32" s="1"/>
      <c r="E32" s="1"/>
      <c r="F32" s="1"/>
      <c r="G32" s="1"/>
      <c r="H32" s="1"/>
      <c r="I32" s="1"/>
      <c r="J32" s="1"/>
      <c r="K32" s="1"/>
      <c r="L32" s="1"/>
      <c r="M32" s="1"/>
      <c r="N32" s="1"/>
      <c r="O32" s="1"/>
      <c r="P32" s="1"/>
      <c r="Q32" s="1"/>
      <c r="R32" s="1"/>
      <c r="S32" s="1"/>
      <c r="T32" s="1"/>
      <c r="U32" s="1"/>
      <c r="V32" s="1"/>
      <c r="W32" s="1"/>
    </row>
    <row r="33" spans="1:23" ht="32" customHeight="1">
      <c r="A33" s="1"/>
      <c r="B33" s="4" t="s">
        <v>23</v>
      </c>
      <c r="C33" s="4" t="s">
        <v>24</v>
      </c>
      <c r="D33" s="4" t="s">
        <v>25</v>
      </c>
      <c r="E33" s="4" t="s">
        <v>26</v>
      </c>
      <c r="F33" s="1"/>
      <c r="G33" s="1"/>
      <c r="H33" s="1"/>
      <c r="I33" s="1"/>
      <c r="J33" s="1"/>
      <c r="K33" s="1"/>
      <c r="L33" s="1"/>
      <c r="M33" s="1"/>
      <c r="N33" s="1"/>
      <c r="O33" s="1"/>
      <c r="P33" s="1"/>
      <c r="Q33" s="1"/>
      <c r="R33" s="1"/>
      <c r="S33" s="1"/>
      <c r="T33" s="1"/>
      <c r="U33" s="1"/>
      <c r="V33" s="1"/>
      <c r="W33" s="1"/>
    </row>
    <row r="34" spans="1:23" ht="85" customHeight="1">
      <c r="A34" s="1"/>
      <c r="B34" s="8" t="s">
        <v>27</v>
      </c>
      <c r="C34" s="8" t="s">
        <v>28</v>
      </c>
      <c r="D34" s="8" t="s">
        <v>29</v>
      </c>
      <c r="E34" s="8" t="s">
        <v>30</v>
      </c>
      <c r="F34" s="1"/>
      <c r="G34" s="1"/>
      <c r="H34" s="1"/>
      <c r="I34" s="1"/>
      <c r="J34" s="1"/>
      <c r="K34" s="1"/>
      <c r="L34" s="1"/>
      <c r="M34" s="1"/>
      <c r="N34" s="1"/>
      <c r="O34" s="1"/>
      <c r="P34" s="1"/>
      <c r="Q34" s="1"/>
      <c r="R34" s="1"/>
      <c r="S34" s="1"/>
      <c r="T34" s="1"/>
      <c r="U34" s="1"/>
      <c r="V34" s="1"/>
      <c r="W34" s="1"/>
    </row>
    <row r="35" spans="1:23" ht="85" customHeight="1">
      <c r="A35" s="1"/>
      <c r="B35" s="8" t="s">
        <v>31</v>
      </c>
      <c r="C35" s="8" t="s">
        <v>32</v>
      </c>
      <c r="D35" s="8" t="s">
        <v>33</v>
      </c>
      <c r="E35" s="8" t="s">
        <v>34</v>
      </c>
      <c r="F35" s="1"/>
      <c r="G35" s="1"/>
      <c r="H35" s="1"/>
      <c r="I35" s="1"/>
      <c r="J35" s="1"/>
      <c r="K35" s="1"/>
      <c r="L35" s="1"/>
      <c r="M35" s="1"/>
      <c r="N35" s="1"/>
      <c r="O35" s="1"/>
      <c r="P35" s="1"/>
      <c r="Q35" s="1"/>
      <c r="R35" s="1"/>
      <c r="S35" s="1"/>
      <c r="T35" s="1"/>
      <c r="U35" s="1"/>
      <c r="V35" s="1"/>
      <c r="W35" s="1"/>
    </row>
    <row r="36" spans="1:23" ht="85" customHeight="1">
      <c r="A36" s="1"/>
      <c r="B36" s="8" t="s">
        <v>35</v>
      </c>
      <c r="C36" s="8" t="s">
        <v>36</v>
      </c>
      <c r="D36" s="8" t="s">
        <v>37</v>
      </c>
      <c r="E36" s="8" t="s">
        <v>38</v>
      </c>
      <c r="F36" s="1"/>
      <c r="G36" s="1"/>
      <c r="H36" s="1"/>
      <c r="I36" s="1"/>
      <c r="J36" s="1"/>
      <c r="K36" s="1"/>
      <c r="L36" s="1"/>
      <c r="M36" s="1"/>
      <c r="N36" s="1"/>
      <c r="O36" s="1"/>
      <c r="P36" s="1"/>
      <c r="Q36" s="1"/>
      <c r="R36" s="1"/>
      <c r="S36" s="1"/>
      <c r="T36" s="1"/>
      <c r="U36" s="1"/>
      <c r="V36" s="1"/>
      <c r="W36" s="1"/>
    </row>
    <row r="37" spans="1:23" ht="85" customHeight="1">
      <c r="A37" s="1"/>
      <c r="B37" s="8" t="s">
        <v>39</v>
      </c>
      <c r="C37" s="8" t="s">
        <v>40</v>
      </c>
      <c r="D37" s="8" t="s">
        <v>41</v>
      </c>
      <c r="E37" s="8" t="s">
        <v>42</v>
      </c>
      <c r="F37" s="1"/>
      <c r="G37" s="1"/>
      <c r="H37" s="1"/>
      <c r="I37" s="1"/>
      <c r="J37" s="1"/>
      <c r="K37" s="1"/>
      <c r="L37" s="1"/>
      <c r="M37" s="1"/>
      <c r="N37" s="1"/>
      <c r="O37" s="1"/>
      <c r="P37" s="1"/>
      <c r="Q37" s="1"/>
      <c r="R37" s="1"/>
      <c r="S37" s="1"/>
      <c r="T37" s="1"/>
      <c r="U37" s="1"/>
      <c r="V37" s="1"/>
      <c r="W37" s="1"/>
    </row>
    <row r="38" spans="1:23" ht="23" customHeight="1">
      <c r="A38" s="1"/>
      <c r="B38" s="1"/>
      <c r="C38" s="1"/>
      <c r="D38" s="1"/>
      <c r="E38" s="1"/>
      <c r="F38" s="1"/>
      <c r="G38" s="1"/>
      <c r="H38" s="1"/>
      <c r="I38" s="1"/>
      <c r="J38" s="1"/>
      <c r="K38" s="1"/>
      <c r="L38" s="1"/>
      <c r="M38" s="1"/>
      <c r="N38" s="1"/>
      <c r="O38" s="1"/>
      <c r="P38" s="1"/>
      <c r="Q38" s="1"/>
      <c r="R38" s="1"/>
      <c r="S38" s="1"/>
      <c r="T38" s="1"/>
      <c r="U38" s="1"/>
      <c r="V38" s="1"/>
      <c r="W38" s="1"/>
    </row>
    <row r="39" spans="1:23" ht="23" customHeight="1">
      <c r="A39" s="1"/>
      <c r="B39" s="1"/>
      <c r="C39" s="1"/>
      <c r="D39" s="1"/>
      <c r="E39" s="1"/>
      <c r="F39" s="1"/>
      <c r="G39" s="1"/>
      <c r="H39" s="1"/>
      <c r="I39" s="1"/>
      <c r="J39" s="1"/>
      <c r="K39" s="1"/>
      <c r="L39" s="1"/>
      <c r="M39" s="1"/>
      <c r="N39" s="1"/>
      <c r="O39" s="1"/>
      <c r="P39" s="1"/>
      <c r="Q39" s="1"/>
      <c r="R39" s="1"/>
      <c r="S39" s="1"/>
      <c r="T39" s="1"/>
      <c r="U39" s="1"/>
      <c r="V39" s="1"/>
      <c r="W39" s="1"/>
    </row>
    <row r="40" spans="1:23" ht="23" customHeight="1">
      <c r="A40" s="1"/>
      <c r="B40" s="42" t="s">
        <v>43</v>
      </c>
      <c r="C40" s="42"/>
      <c r="D40" s="42"/>
      <c r="E40" s="42"/>
      <c r="F40" s="42"/>
      <c r="G40" s="42"/>
      <c r="H40" s="42"/>
      <c r="I40" s="42"/>
      <c r="J40" s="42"/>
      <c r="K40" s="42"/>
      <c r="L40" s="42"/>
      <c r="M40" s="42"/>
      <c r="N40" s="1"/>
      <c r="O40" s="1"/>
      <c r="P40" s="1"/>
      <c r="Q40" s="1"/>
      <c r="R40" s="1"/>
      <c r="S40" s="1"/>
      <c r="T40" s="1"/>
      <c r="U40" s="1"/>
      <c r="V40" s="1"/>
      <c r="W40" s="1"/>
    </row>
    <row r="41" spans="1:23" ht="23" customHeight="1">
      <c r="A41" s="1"/>
      <c r="B41" s="42"/>
      <c r="C41" s="42"/>
      <c r="D41" s="42"/>
      <c r="E41" s="42"/>
      <c r="F41" s="42"/>
      <c r="G41" s="42"/>
      <c r="H41" s="42"/>
      <c r="I41" s="42"/>
      <c r="J41" s="42"/>
      <c r="K41" s="42"/>
      <c r="L41" s="42"/>
      <c r="M41" s="42"/>
      <c r="N41" s="1"/>
      <c r="O41" s="1"/>
      <c r="P41" s="1"/>
      <c r="Q41" s="1"/>
      <c r="R41" s="1"/>
      <c r="S41" s="1"/>
      <c r="T41" s="1"/>
      <c r="U41" s="1"/>
      <c r="V41" s="1"/>
      <c r="W41" s="1"/>
    </row>
    <row r="42" spans="1:23" ht="23" customHeight="1">
      <c r="A42" s="1"/>
      <c r="B42" s="42"/>
      <c r="C42" s="42"/>
      <c r="D42" s="42"/>
      <c r="E42" s="42"/>
      <c r="F42" s="42"/>
      <c r="G42" s="42"/>
      <c r="H42" s="42"/>
      <c r="I42" s="42"/>
      <c r="J42" s="42"/>
      <c r="K42" s="42"/>
      <c r="L42" s="42"/>
      <c r="M42" s="42"/>
      <c r="N42" s="1"/>
      <c r="O42" s="1"/>
      <c r="P42" s="1"/>
      <c r="Q42" s="1"/>
      <c r="R42" s="1"/>
      <c r="S42" s="1"/>
      <c r="T42" s="1"/>
      <c r="U42" s="1"/>
      <c r="V42" s="1"/>
      <c r="W42" s="1"/>
    </row>
    <row r="43" spans="1:23" ht="23" customHeight="1">
      <c r="A43" s="1"/>
      <c r="B43" s="1"/>
      <c r="C43" s="1"/>
      <c r="D43" s="1"/>
      <c r="E43" s="1"/>
      <c r="F43" s="1"/>
      <c r="G43" s="1"/>
      <c r="H43" s="1"/>
      <c r="I43" s="1"/>
      <c r="J43" s="1"/>
      <c r="K43" s="1"/>
      <c r="L43" s="1"/>
      <c r="M43" s="1"/>
      <c r="N43" s="1"/>
      <c r="O43" s="1"/>
      <c r="P43" s="1"/>
      <c r="Q43" s="1"/>
      <c r="R43" s="1"/>
      <c r="S43" s="1"/>
      <c r="T43" s="1"/>
      <c r="U43" s="1"/>
      <c r="V43" s="1"/>
      <c r="W43" s="1"/>
    </row>
    <row r="44" spans="1:23" ht="23" customHeight="1">
      <c r="A44" s="1"/>
      <c r="B44" s="1"/>
      <c r="C44" s="1"/>
      <c r="D44" s="1"/>
      <c r="E44" s="1"/>
      <c r="F44" s="1"/>
      <c r="G44" s="1"/>
      <c r="H44" s="1"/>
      <c r="I44" s="1"/>
      <c r="J44" s="1"/>
      <c r="K44" s="1"/>
      <c r="L44" s="1"/>
      <c r="M44" s="1"/>
      <c r="N44" s="1"/>
      <c r="O44" s="1"/>
      <c r="P44" s="1"/>
      <c r="Q44" s="1"/>
      <c r="R44" s="1"/>
      <c r="S44" s="1"/>
      <c r="T44" s="1"/>
      <c r="U44" s="1"/>
      <c r="V44" s="1"/>
      <c r="W44" s="1"/>
    </row>
    <row r="45" spans="1:23" ht="23" customHeight="1">
      <c r="A45" s="1"/>
      <c r="B45" s="1"/>
      <c r="C45" s="1"/>
      <c r="D45" s="1"/>
      <c r="E45" s="1"/>
      <c r="F45" s="1"/>
      <c r="G45" s="1"/>
      <c r="H45" s="1"/>
      <c r="I45" s="1"/>
      <c r="J45" s="1"/>
      <c r="K45" s="1"/>
      <c r="L45" s="1"/>
      <c r="M45" s="1"/>
      <c r="N45" s="1"/>
      <c r="O45" s="1"/>
      <c r="P45" s="1"/>
      <c r="Q45" s="1"/>
      <c r="R45" s="1"/>
      <c r="S45" s="1"/>
      <c r="T45" s="1"/>
      <c r="U45" s="1"/>
      <c r="V45" s="1"/>
      <c r="W45" s="1"/>
    </row>
    <row r="46" spans="1:23" ht="23" customHeight="1">
      <c r="A46" s="1"/>
      <c r="B46" s="1"/>
      <c r="C46" s="1"/>
      <c r="D46" s="1"/>
      <c r="E46" s="1"/>
      <c r="F46" s="1"/>
      <c r="G46" s="1"/>
      <c r="H46" s="1"/>
      <c r="I46" s="1"/>
      <c r="J46" s="1"/>
      <c r="K46" s="1"/>
      <c r="L46" s="1"/>
      <c r="M46" s="1"/>
      <c r="N46" s="1"/>
      <c r="O46" s="1"/>
      <c r="P46" s="1"/>
      <c r="Q46" s="1"/>
      <c r="R46" s="1"/>
      <c r="S46" s="1"/>
      <c r="T46" s="1"/>
      <c r="U46" s="1"/>
      <c r="V46" s="1"/>
      <c r="W46" s="1"/>
    </row>
    <row r="47" spans="1:23" ht="23" customHeight="1">
      <c r="A47" s="1"/>
      <c r="B47" s="1"/>
      <c r="C47" s="1"/>
      <c r="D47" s="1"/>
      <c r="E47" s="1"/>
      <c r="F47" s="1"/>
      <c r="G47" s="1"/>
      <c r="H47" s="1"/>
      <c r="I47" s="1"/>
      <c r="J47" s="1"/>
      <c r="K47" s="1"/>
      <c r="L47" s="1"/>
      <c r="M47" s="1"/>
      <c r="N47" s="1"/>
      <c r="O47" s="1"/>
      <c r="P47" s="1"/>
      <c r="Q47" s="1"/>
      <c r="R47" s="1"/>
      <c r="S47" s="1"/>
      <c r="T47" s="1"/>
      <c r="U47" s="1"/>
      <c r="V47" s="1"/>
      <c r="W47" s="1"/>
    </row>
    <row r="48" spans="1:23" ht="23" customHeight="1">
      <c r="A48" s="1"/>
      <c r="B48" s="1"/>
      <c r="C48" s="1"/>
      <c r="D48" s="1"/>
      <c r="E48" s="1"/>
      <c r="F48" s="1"/>
      <c r="G48" s="1"/>
      <c r="H48" s="1"/>
      <c r="I48" s="1"/>
      <c r="J48" s="1"/>
      <c r="K48" s="1"/>
      <c r="L48" s="1"/>
      <c r="M48" s="1"/>
      <c r="N48" s="1"/>
      <c r="O48" s="1"/>
      <c r="P48" s="1"/>
      <c r="Q48" s="1"/>
      <c r="R48" s="1"/>
      <c r="S48" s="1"/>
      <c r="T48" s="1"/>
      <c r="U48" s="1"/>
      <c r="V48" s="1"/>
      <c r="W48" s="1"/>
    </row>
    <row r="49" spans="1:23" ht="23" customHeight="1">
      <c r="A49" s="1"/>
      <c r="B49" s="1"/>
      <c r="C49" s="1"/>
      <c r="D49" s="1"/>
      <c r="E49" s="1"/>
      <c r="F49" s="1"/>
      <c r="G49" s="1"/>
      <c r="H49" s="1"/>
      <c r="I49" s="1"/>
      <c r="J49" s="1"/>
      <c r="K49" s="1"/>
      <c r="L49" s="1"/>
      <c r="M49" s="1"/>
      <c r="N49" s="1"/>
      <c r="O49" s="1"/>
      <c r="P49" s="1"/>
      <c r="Q49" s="1"/>
      <c r="R49" s="1"/>
      <c r="S49" s="1"/>
      <c r="T49" s="1"/>
      <c r="U49" s="1"/>
      <c r="V49" s="1"/>
      <c r="W49" s="1"/>
    </row>
    <row r="50" spans="1:23" ht="23" customHeight="1">
      <c r="A50" s="1"/>
      <c r="B50" s="1"/>
      <c r="C50" s="1"/>
      <c r="D50" s="1"/>
      <c r="E50" s="1"/>
      <c r="F50" s="1"/>
      <c r="G50" s="1"/>
      <c r="H50" s="1"/>
      <c r="I50" s="1"/>
      <c r="J50" s="1"/>
      <c r="K50" s="1"/>
      <c r="L50" s="1"/>
      <c r="M50" s="1"/>
      <c r="N50" s="1"/>
      <c r="O50" s="1"/>
      <c r="P50" s="1"/>
      <c r="Q50" s="1"/>
      <c r="R50" s="1"/>
      <c r="S50" s="1"/>
      <c r="T50" s="1"/>
      <c r="U50" s="1"/>
      <c r="V50" s="1"/>
      <c r="W50" s="1"/>
    </row>
    <row r="51" spans="1:23" ht="23" customHeight="1">
      <c r="A51" s="1"/>
      <c r="B51" s="1"/>
      <c r="C51" s="1"/>
      <c r="D51" s="1"/>
      <c r="E51" s="1"/>
      <c r="F51" s="1"/>
      <c r="G51" s="1"/>
      <c r="H51" s="1"/>
      <c r="I51" s="1"/>
      <c r="J51" s="1"/>
      <c r="K51" s="1"/>
      <c r="L51" s="1"/>
      <c r="M51" s="1"/>
      <c r="N51" s="1"/>
      <c r="O51" s="1"/>
      <c r="P51" s="1"/>
      <c r="Q51" s="1"/>
      <c r="R51" s="1"/>
      <c r="S51" s="1"/>
      <c r="T51" s="1"/>
      <c r="U51" s="1"/>
      <c r="V51" s="1"/>
      <c r="W51" s="1"/>
    </row>
    <row r="52" spans="1:23" ht="23" customHeight="1">
      <c r="A52" s="1"/>
      <c r="B52" s="1"/>
      <c r="C52" s="1"/>
      <c r="D52" s="1"/>
      <c r="E52" s="1"/>
      <c r="F52" s="1"/>
      <c r="G52" s="1"/>
      <c r="H52" s="1"/>
      <c r="I52" s="1"/>
      <c r="J52" s="1"/>
      <c r="K52" s="1"/>
      <c r="L52" s="1"/>
      <c r="M52" s="1"/>
      <c r="N52" s="1"/>
      <c r="O52" s="1"/>
      <c r="P52" s="1"/>
      <c r="Q52" s="1"/>
      <c r="R52" s="1"/>
      <c r="S52" s="1"/>
      <c r="T52" s="1"/>
      <c r="U52" s="1"/>
      <c r="V52" s="1"/>
      <c r="W52" s="1"/>
    </row>
    <row r="53" spans="1:23" ht="23" customHeight="1">
      <c r="A53" s="1"/>
      <c r="B53" s="1"/>
      <c r="C53" s="1"/>
      <c r="D53" s="1"/>
      <c r="E53" s="1"/>
      <c r="F53" s="1"/>
      <c r="G53" s="1"/>
      <c r="H53" s="1"/>
      <c r="I53" s="1"/>
      <c r="J53" s="1"/>
      <c r="K53" s="1"/>
      <c r="L53" s="1"/>
      <c r="M53" s="1"/>
      <c r="N53" s="1"/>
      <c r="O53" s="1"/>
      <c r="P53" s="1"/>
      <c r="Q53" s="1"/>
      <c r="R53" s="1"/>
      <c r="S53" s="1"/>
      <c r="T53" s="1"/>
      <c r="U53" s="1"/>
      <c r="V53" s="1"/>
      <c r="W53" s="1"/>
    </row>
    <row r="54" spans="1:23" ht="23" customHeight="1">
      <c r="A54" s="1"/>
      <c r="B54" s="1"/>
      <c r="C54" s="1"/>
      <c r="D54" s="1"/>
      <c r="E54" s="1"/>
      <c r="F54" s="1"/>
      <c r="G54" s="1"/>
      <c r="H54" s="1"/>
      <c r="I54" s="1"/>
      <c r="J54" s="1"/>
      <c r="K54" s="1"/>
      <c r="L54" s="1"/>
      <c r="M54" s="1"/>
      <c r="N54" s="1"/>
      <c r="O54" s="1"/>
      <c r="P54" s="1"/>
      <c r="Q54" s="1"/>
      <c r="R54" s="1"/>
      <c r="S54" s="1"/>
      <c r="T54" s="1"/>
      <c r="U54" s="1"/>
      <c r="V54" s="1"/>
      <c r="W54" s="1"/>
    </row>
    <row r="55" spans="1:23" ht="23" customHeight="1">
      <c r="A55" s="1"/>
      <c r="B55" s="1"/>
      <c r="C55" s="1"/>
      <c r="D55" s="1"/>
      <c r="E55" s="1"/>
      <c r="F55" s="1"/>
      <c r="G55" s="1"/>
      <c r="H55" s="1"/>
      <c r="I55" s="1"/>
      <c r="J55" s="1"/>
      <c r="K55" s="1"/>
      <c r="L55" s="1"/>
      <c r="M55" s="1"/>
      <c r="N55" s="1"/>
      <c r="O55" s="1"/>
      <c r="P55" s="1"/>
      <c r="Q55" s="1"/>
      <c r="R55" s="1"/>
      <c r="S55" s="1"/>
      <c r="T55" s="1"/>
      <c r="U55" s="1"/>
      <c r="V55" s="1"/>
      <c r="W55" s="1"/>
    </row>
    <row r="56" spans="1:23" ht="23" customHeight="1">
      <c r="A56" s="1"/>
      <c r="B56" s="1"/>
      <c r="C56" s="1"/>
      <c r="D56" s="1"/>
      <c r="E56" s="1"/>
      <c r="F56" s="1"/>
      <c r="G56" s="1"/>
      <c r="H56" s="1"/>
      <c r="I56" s="1"/>
      <c r="J56" s="1"/>
      <c r="K56" s="1"/>
      <c r="L56" s="1"/>
      <c r="M56" s="1"/>
      <c r="N56" s="1"/>
      <c r="O56" s="1"/>
      <c r="P56" s="1"/>
      <c r="Q56" s="1"/>
      <c r="R56" s="1"/>
      <c r="S56" s="1"/>
      <c r="T56" s="1"/>
      <c r="U56" s="1"/>
      <c r="V56" s="1"/>
      <c r="W56" s="1"/>
    </row>
    <row r="57" spans="1:23" ht="23" customHeight="1">
      <c r="A57" s="1"/>
      <c r="B57" s="1"/>
      <c r="C57" s="1"/>
      <c r="D57" s="1"/>
      <c r="E57" s="1"/>
      <c r="F57" s="1"/>
      <c r="G57" s="1"/>
      <c r="H57" s="1"/>
      <c r="I57" s="1"/>
      <c r="J57" s="1"/>
      <c r="K57" s="1"/>
      <c r="L57" s="1"/>
      <c r="M57" s="1"/>
      <c r="N57" s="1"/>
      <c r="O57" s="1"/>
      <c r="P57" s="1"/>
      <c r="Q57" s="1"/>
      <c r="R57" s="1"/>
      <c r="S57" s="1"/>
      <c r="T57" s="1"/>
      <c r="U57" s="1"/>
      <c r="V57" s="1"/>
      <c r="W57" s="1"/>
    </row>
    <row r="58" spans="1:23" ht="23" customHeight="1">
      <c r="A58" s="1"/>
      <c r="B58" s="1"/>
      <c r="C58" s="1"/>
      <c r="D58" s="1"/>
      <c r="E58" s="1"/>
      <c r="F58" s="1"/>
      <c r="G58" s="1"/>
      <c r="H58" s="1"/>
      <c r="I58" s="1"/>
      <c r="J58" s="1"/>
      <c r="K58" s="1"/>
      <c r="L58" s="1"/>
      <c r="M58" s="1"/>
      <c r="N58" s="1"/>
      <c r="O58" s="1"/>
      <c r="P58" s="1"/>
      <c r="Q58" s="1"/>
      <c r="R58" s="1"/>
      <c r="S58" s="1"/>
      <c r="T58" s="1"/>
      <c r="U58" s="1"/>
      <c r="V58" s="1"/>
      <c r="W58" s="1"/>
    </row>
    <row r="59" spans="1:23" ht="23" customHeight="1">
      <c r="A59" s="1"/>
      <c r="B59" s="1"/>
      <c r="C59" s="1"/>
      <c r="D59" s="1"/>
      <c r="E59" s="1"/>
      <c r="F59" s="1"/>
      <c r="G59" s="1"/>
      <c r="H59" s="1"/>
      <c r="I59" s="1"/>
      <c r="J59" s="1"/>
      <c r="K59" s="1"/>
      <c r="L59" s="1"/>
      <c r="M59" s="1"/>
      <c r="N59" s="1"/>
      <c r="O59" s="1"/>
      <c r="P59" s="1"/>
      <c r="Q59" s="1"/>
      <c r="R59" s="1"/>
      <c r="S59" s="1"/>
      <c r="T59" s="1"/>
      <c r="U59" s="1"/>
      <c r="V59" s="1"/>
      <c r="W59" s="1"/>
    </row>
    <row r="60" spans="1:23" ht="23" customHeight="1">
      <c r="A60" s="1"/>
      <c r="B60" s="1"/>
      <c r="C60" s="1"/>
      <c r="D60" s="1"/>
      <c r="E60" s="1"/>
      <c r="F60" s="1"/>
      <c r="G60" s="1"/>
      <c r="H60" s="1"/>
      <c r="I60" s="1"/>
      <c r="J60" s="1"/>
      <c r="K60" s="1"/>
      <c r="L60" s="1"/>
      <c r="M60" s="1"/>
      <c r="N60" s="1"/>
      <c r="O60" s="1"/>
      <c r="P60" s="1"/>
      <c r="Q60" s="1"/>
      <c r="R60" s="1"/>
      <c r="S60" s="1"/>
      <c r="T60" s="1"/>
      <c r="U60" s="1"/>
      <c r="V60" s="1"/>
      <c r="W60" s="1"/>
    </row>
    <row r="61" spans="1:23" ht="23" customHeight="1">
      <c r="A61" s="1"/>
      <c r="B61" s="1"/>
      <c r="C61" s="1"/>
      <c r="D61" s="1"/>
      <c r="E61" s="1"/>
      <c r="F61" s="1"/>
      <c r="G61" s="1"/>
      <c r="H61" s="1"/>
      <c r="I61" s="1"/>
      <c r="J61" s="1"/>
      <c r="K61" s="1"/>
      <c r="L61" s="1"/>
      <c r="M61" s="1"/>
      <c r="N61" s="1"/>
      <c r="O61" s="1"/>
      <c r="P61" s="1"/>
      <c r="Q61" s="1"/>
      <c r="R61" s="1"/>
      <c r="S61" s="1"/>
      <c r="T61" s="1"/>
      <c r="U61" s="1"/>
      <c r="V61" s="1"/>
      <c r="W61" s="1"/>
    </row>
    <row r="62" spans="1:23" ht="23" customHeight="1">
      <c r="A62" s="1"/>
      <c r="B62" s="1"/>
      <c r="C62" s="1"/>
      <c r="D62" s="1"/>
      <c r="E62" s="1"/>
      <c r="F62" s="1"/>
      <c r="G62" s="1"/>
      <c r="H62" s="1"/>
      <c r="I62" s="1"/>
      <c r="J62" s="1"/>
      <c r="K62" s="1"/>
      <c r="L62" s="1"/>
      <c r="M62" s="1"/>
      <c r="N62" s="1"/>
      <c r="O62" s="1"/>
      <c r="P62" s="1"/>
      <c r="Q62" s="1"/>
      <c r="R62" s="1"/>
      <c r="S62" s="1"/>
      <c r="T62" s="1"/>
      <c r="U62" s="1"/>
      <c r="V62" s="1"/>
      <c r="W62" s="1"/>
    </row>
    <row r="63" spans="1:23" ht="23" customHeight="1">
      <c r="A63" s="1"/>
      <c r="B63" s="1"/>
      <c r="C63" s="1"/>
      <c r="D63" s="1"/>
      <c r="E63" s="1"/>
      <c r="F63" s="1"/>
      <c r="G63" s="1"/>
      <c r="H63" s="1"/>
      <c r="I63" s="1"/>
      <c r="J63" s="1"/>
      <c r="K63" s="1"/>
      <c r="L63" s="1"/>
      <c r="M63" s="1"/>
      <c r="N63" s="1"/>
      <c r="O63" s="1"/>
      <c r="P63" s="1"/>
      <c r="Q63" s="1"/>
      <c r="R63" s="1"/>
      <c r="S63" s="1"/>
      <c r="T63" s="1"/>
      <c r="U63" s="1"/>
      <c r="V63" s="1"/>
      <c r="W63" s="1"/>
    </row>
    <row r="64" spans="1:23" ht="23" customHeight="1">
      <c r="A64" s="1"/>
      <c r="B64" s="1"/>
      <c r="C64" s="1"/>
      <c r="D64" s="1"/>
      <c r="E64" s="1"/>
      <c r="F64" s="1"/>
      <c r="G64" s="1"/>
      <c r="H64" s="1"/>
      <c r="I64" s="1"/>
      <c r="J64" s="1"/>
      <c r="K64" s="1"/>
      <c r="L64" s="1"/>
      <c r="M64" s="1"/>
      <c r="N64" s="1"/>
      <c r="O64" s="1"/>
      <c r="P64" s="1"/>
      <c r="Q64" s="1"/>
      <c r="R64" s="1"/>
      <c r="S64" s="1"/>
      <c r="T64" s="1"/>
      <c r="U64" s="1"/>
      <c r="V64" s="1"/>
      <c r="W64" s="1"/>
    </row>
    <row r="65" spans="1:23" ht="23" customHeight="1">
      <c r="A65" s="1"/>
      <c r="B65" s="1"/>
      <c r="C65" s="1"/>
      <c r="D65" s="1"/>
      <c r="E65" s="1"/>
      <c r="F65" s="1"/>
      <c r="G65" s="1"/>
      <c r="H65" s="1"/>
      <c r="I65" s="1"/>
      <c r="J65" s="1"/>
      <c r="K65" s="1"/>
      <c r="L65" s="1"/>
      <c r="M65" s="1"/>
      <c r="N65" s="1"/>
      <c r="O65" s="1"/>
      <c r="P65" s="1"/>
      <c r="Q65" s="1"/>
      <c r="R65" s="1"/>
      <c r="S65" s="1"/>
      <c r="T65" s="1"/>
      <c r="U65" s="1"/>
      <c r="V65" s="1"/>
      <c r="W65" s="1"/>
    </row>
    <row r="66" spans="1:23" ht="23" customHeight="1">
      <c r="A66" s="1"/>
      <c r="B66" s="1"/>
      <c r="C66" s="1"/>
      <c r="D66" s="1"/>
      <c r="E66" s="1"/>
      <c r="F66" s="1"/>
      <c r="G66" s="1"/>
      <c r="H66" s="1"/>
      <c r="I66" s="1"/>
      <c r="J66" s="1"/>
      <c r="K66" s="1"/>
      <c r="L66" s="1"/>
      <c r="M66" s="1"/>
      <c r="N66" s="1"/>
      <c r="O66" s="1"/>
      <c r="P66" s="1"/>
      <c r="Q66" s="1"/>
      <c r="R66" s="1"/>
      <c r="S66" s="1"/>
      <c r="T66" s="1"/>
      <c r="U66" s="1"/>
      <c r="V66" s="1"/>
      <c r="W66" s="1"/>
    </row>
    <row r="67" spans="1:23" ht="23" customHeight="1">
      <c r="A67" s="1"/>
      <c r="B67" s="1"/>
      <c r="C67" s="1"/>
      <c r="D67" s="1"/>
      <c r="E67" s="1"/>
      <c r="F67" s="1"/>
      <c r="G67" s="1"/>
      <c r="H67" s="1"/>
      <c r="I67" s="1"/>
      <c r="J67" s="1"/>
      <c r="K67" s="1"/>
      <c r="L67" s="1"/>
      <c r="M67" s="1"/>
      <c r="N67" s="1"/>
      <c r="O67" s="1"/>
      <c r="P67" s="1"/>
      <c r="Q67" s="1"/>
      <c r="R67" s="1"/>
      <c r="S67" s="1"/>
      <c r="T67" s="1"/>
      <c r="U67" s="1"/>
      <c r="V67" s="1"/>
      <c r="W67" s="1"/>
    </row>
    <row r="68" spans="1:23" ht="23" customHeight="1">
      <c r="A68" s="1"/>
      <c r="B68" s="1"/>
      <c r="C68" s="1"/>
      <c r="D68" s="1"/>
      <c r="E68" s="1"/>
      <c r="F68" s="1"/>
      <c r="G68" s="1"/>
      <c r="H68" s="1"/>
      <c r="I68" s="1"/>
      <c r="J68" s="1"/>
      <c r="K68" s="1"/>
      <c r="L68" s="1"/>
      <c r="M68" s="1"/>
      <c r="N68" s="1"/>
      <c r="O68" s="1"/>
      <c r="P68" s="1"/>
      <c r="Q68" s="1"/>
      <c r="R68" s="1"/>
      <c r="S68" s="1"/>
      <c r="T68" s="1"/>
      <c r="U68" s="1"/>
      <c r="V68" s="1"/>
      <c r="W68" s="1"/>
    </row>
    <row r="69" spans="1:23" ht="23" customHeight="1">
      <c r="A69" s="1"/>
      <c r="B69" s="1"/>
      <c r="C69" s="1"/>
      <c r="D69" s="1"/>
      <c r="E69" s="1"/>
      <c r="F69" s="1"/>
      <c r="G69" s="1"/>
      <c r="H69" s="1"/>
      <c r="I69" s="1"/>
      <c r="J69" s="1"/>
      <c r="K69" s="1"/>
      <c r="L69" s="1"/>
      <c r="M69" s="1"/>
      <c r="N69" s="1"/>
      <c r="O69" s="1"/>
      <c r="P69" s="1"/>
      <c r="Q69" s="1"/>
      <c r="R69" s="1"/>
      <c r="S69" s="1"/>
      <c r="T69" s="1"/>
      <c r="U69" s="1"/>
      <c r="V69" s="1"/>
      <c r="W69" s="1"/>
    </row>
    <row r="70" spans="1:23" ht="23" customHeight="1">
      <c r="A70" s="1"/>
      <c r="B70" s="1"/>
      <c r="C70" s="1"/>
      <c r="D70" s="1"/>
      <c r="E70" s="1"/>
      <c r="F70" s="1"/>
      <c r="G70" s="1"/>
      <c r="H70" s="1"/>
      <c r="I70" s="1"/>
      <c r="J70" s="1"/>
      <c r="K70" s="1"/>
      <c r="L70" s="1"/>
      <c r="M70" s="1"/>
      <c r="N70" s="1"/>
      <c r="O70" s="1"/>
      <c r="P70" s="1"/>
      <c r="Q70" s="1"/>
      <c r="R70" s="1"/>
      <c r="S70" s="1"/>
      <c r="T70" s="1"/>
      <c r="U70" s="1"/>
      <c r="V70" s="1"/>
      <c r="W70" s="1"/>
    </row>
    <row r="71" spans="1:23" ht="23" customHeight="1">
      <c r="A71" s="1"/>
      <c r="B71" s="1"/>
      <c r="C71" s="1"/>
      <c r="D71" s="1"/>
      <c r="E71" s="1"/>
      <c r="F71" s="1"/>
      <c r="G71" s="1"/>
      <c r="H71" s="1"/>
      <c r="I71" s="1"/>
      <c r="J71" s="1"/>
      <c r="K71" s="1"/>
      <c r="L71" s="1"/>
      <c r="M71" s="1"/>
      <c r="N71" s="1"/>
      <c r="O71" s="1"/>
      <c r="P71" s="1"/>
      <c r="Q71" s="1"/>
      <c r="R71" s="1"/>
      <c r="S71" s="1"/>
      <c r="T71" s="1"/>
      <c r="U71" s="1"/>
      <c r="V71" s="1"/>
      <c r="W71" s="1"/>
    </row>
    <row r="72" spans="1:23" ht="23" customHeight="1">
      <c r="A72" s="1"/>
      <c r="B72" s="1"/>
      <c r="C72" s="1"/>
      <c r="D72" s="1"/>
      <c r="E72" s="1"/>
      <c r="F72" s="1"/>
      <c r="G72" s="1"/>
      <c r="H72" s="1"/>
      <c r="I72" s="1"/>
      <c r="J72" s="1"/>
      <c r="K72" s="1"/>
      <c r="L72" s="1"/>
      <c r="M72" s="1"/>
      <c r="N72" s="1"/>
      <c r="O72" s="1"/>
      <c r="P72" s="1"/>
      <c r="Q72" s="1"/>
      <c r="R72" s="1"/>
      <c r="S72" s="1"/>
      <c r="T72" s="1"/>
      <c r="U72" s="1"/>
      <c r="V72" s="1"/>
      <c r="W72" s="1"/>
    </row>
    <row r="73" spans="1:23" ht="23" customHeight="1">
      <c r="A73" s="1"/>
      <c r="B73" s="1"/>
      <c r="C73" s="1"/>
      <c r="D73" s="1"/>
      <c r="E73" s="1"/>
      <c r="F73" s="1"/>
      <c r="G73" s="1"/>
      <c r="H73" s="1"/>
      <c r="I73" s="1"/>
      <c r="J73" s="1"/>
      <c r="K73" s="1"/>
      <c r="L73" s="1"/>
      <c r="M73" s="1"/>
      <c r="N73" s="1"/>
      <c r="O73" s="1"/>
      <c r="P73" s="1"/>
      <c r="Q73" s="1"/>
      <c r="R73" s="1"/>
      <c r="S73" s="1"/>
      <c r="T73" s="1"/>
      <c r="U73" s="1"/>
      <c r="V73" s="1"/>
      <c r="W73" s="1"/>
    </row>
    <row r="74" spans="1:23" ht="23" customHeight="1">
      <c r="A74" s="1"/>
      <c r="B74" s="1"/>
      <c r="C74" s="1"/>
      <c r="D74" s="1"/>
      <c r="E74" s="1"/>
      <c r="F74" s="1"/>
      <c r="G74" s="1"/>
      <c r="H74" s="1"/>
      <c r="I74" s="1"/>
      <c r="J74" s="1"/>
      <c r="K74" s="1"/>
      <c r="L74" s="1"/>
      <c r="M74" s="1"/>
      <c r="N74" s="1"/>
      <c r="O74" s="1"/>
      <c r="P74" s="1"/>
      <c r="Q74" s="1"/>
      <c r="R74" s="1"/>
      <c r="S74" s="1"/>
      <c r="T74" s="1"/>
      <c r="U74" s="1"/>
      <c r="V74" s="1"/>
      <c r="W74" s="1"/>
    </row>
    <row r="75" spans="1:23" ht="23" customHeight="1">
      <c r="A75" s="1"/>
      <c r="B75" s="1"/>
      <c r="C75" s="1"/>
      <c r="D75" s="1"/>
      <c r="E75" s="1"/>
      <c r="F75" s="1"/>
      <c r="G75" s="1"/>
      <c r="H75" s="1"/>
      <c r="I75" s="1"/>
      <c r="J75" s="1"/>
      <c r="K75" s="1"/>
      <c r="L75" s="1"/>
      <c r="M75" s="1"/>
      <c r="N75" s="1"/>
      <c r="O75" s="1"/>
      <c r="P75" s="1"/>
      <c r="Q75" s="1"/>
      <c r="R75" s="1"/>
      <c r="S75" s="1"/>
      <c r="T75" s="1"/>
      <c r="U75" s="1"/>
      <c r="V75" s="1"/>
      <c r="W75" s="1"/>
    </row>
    <row r="76" spans="1:23" ht="23" customHeight="1">
      <c r="A76" s="1"/>
      <c r="B76" s="1"/>
      <c r="C76" s="1"/>
      <c r="D76" s="1"/>
      <c r="E76" s="1"/>
      <c r="F76" s="1"/>
      <c r="G76" s="1"/>
      <c r="H76" s="1"/>
      <c r="I76" s="1"/>
      <c r="J76" s="1"/>
      <c r="K76" s="1"/>
      <c r="L76" s="1"/>
      <c r="M76" s="1"/>
      <c r="N76" s="1"/>
      <c r="O76" s="1"/>
      <c r="P76" s="1"/>
      <c r="Q76" s="1"/>
      <c r="R76" s="1"/>
      <c r="S76" s="1"/>
      <c r="T76" s="1"/>
      <c r="U76" s="1"/>
      <c r="V76" s="1"/>
      <c r="W76" s="1"/>
    </row>
    <row r="77" spans="1:23" ht="23" customHeight="1">
      <c r="A77" s="1"/>
      <c r="B77" s="1"/>
      <c r="C77" s="1"/>
      <c r="D77" s="1"/>
      <c r="E77" s="1"/>
      <c r="F77" s="1"/>
      <c r="G77" s="1"/>
      <c r="H77" s="1"/>
      <c r="I77" s="1"/>
      <c r="J77" s="1"/>
      <c r="K77" s="1"/>
      <c r="L77" s="1"/>
      <c r="M77" s="1"/>
      <c r="N77" s="1"/>
      <c r="O77" s="1"/>
      <c r="P77" s="1"/>
      <c r="Q77" s="1"/>
      <c r="R77" s="1"/>
      <c r="S77" s="1"/>
      <c r="T77" s="1"/>
      <c r="U77" s="1"/>
      <c r="V77" s="1"/>
      <c r="W77" s="1"/>
    </row>
    <row r="78" spans="1:23" ht="23" customHeight="1">
      <c r="A78" s="1"/>
      <c r="B78" s="1"/>
      <c r="C78" s="1"/>
      <c r="D78" s="1"/>
      <c r="E78" s="1"/>
      <c r="F78" s="1"/>
      <c r="G78" s="1"/>
      <c r="H78" s="1"/>
      <c r="I78" s="1"/>
      <c r="J78" s="1"/>
      <c r="K78" s="1"/>
      <c r="L78" s="1"/>
      <c r="M78" s="1"/>
      <c r="N78" s="1"/>
      <c r="O78" s="1"/>
      <c r="P78" s="1"/>
      <c r="Q78" s="1"/>
      <c r="R78" s="1"/>
      <c r="S78" s="1"/>
      <c r="T78" s="1"/>
      <c r="U78" s="1"/>
      <c r="V78" s="1"/>
      <c r="W78" s="1"/>
    </row>
    <row r="79" spans="1:23" ht="23" customHeight="1">
      <c r="A79" s="1"/>
      <c r="B79" s="1"/>
      <c r="C79" s="1"/>
      <c r="D79" s="1"/>
      <c r="E79" s="1"/>
      <c r="F79" s="1"/>
      <c r="G79" s="1"/>
      <c r="H79" s="1"/>
      <c r="I79" s="1"/>
      <c r="J79" s="1"/>
      <c r="K79" s="1"/>
      <c r="L79" s="1"/>
      <c r="M79" s="1"/>
      <c r="N79" s="1"/>
      <c r="O79" s="1"/>
      <c r="P79" s="1"/>
      <c r="Q79" s="1"/>
      <c r="R79" s="1"/>
      <c r="S79" s="1"/>
      <c r="T79" s="1"/>
      <c r="U79" s="1"/>
      <c r="V79" s="1"/>
      <c r="W79" s="1"/>
    </row>
    <row r="80" spans="1:23" ht="23" customHeight="1">
      <c r="A80" s="1"/>
      <c r="B80" s="1"/>
      <c r="C80" s="1"/>
      <c r="D80" s="1"/>
      <c r="E80" s="1"/>
      <c r="F80" s="1"/>
      <c r="G80" s="1"/>
      <c r="H80" s="1"/>
      <c r="I80" s="1"/>
      <c r="J80" s="1"/>
      <c r="K80" s="1"/>
      <c r="L80" s="1"/>
      <c r="M80" s="1"/>
      <c r="N80" s="1"/>
      <c r="O80" s="1"/>
      <c r="P80" s="1"/>
      <c r="Q80" s="1"/>
      <c r="R80" s="1"/>
      <c r="S80" s="1"/>
      <c r="T80" s="1"/>
      <c r="U80" s="1"/>
      <c r="V80" s="1"/>
      <c r="W80" s="1"/>
    </row>
    <row r="81" spans="1:23" ht="23" customHeight="1">
      <c r="A81" s="1"/>
      <c r="B81" s="1"/>
      <c r="C81" s="1"/>
      <c r="D81" s="1"/>
      <c r="E81" s="1"/>
      <c r="F81" s="1"/>
      <c r="G81" s="1"/>
      <c r="H81" s="1"/>
      <c r="I81" s="1"/>
      <c r="J81" s="1"/>
      <c r="K81" s="1"/>
      <c r="L81" s="1"/>
      <c r="M81" s="1"/>
      <c r="N81" s="1"/>
      <c r="O81" s="1"/>
      <c r="P81" s="1"/>
      <c r="Q81" s="1"/>
      <c r="R81" s="1"/>
      <c r="S81" s="1"/>
      <c r="T81" s="1"/>
      <c r="U81" s="1"/>
      <c r="V81" s="1"/>
      <c r="W81" s="1"/>
    </row>
    <row r="82" spans="1:23" ht="23" customHeight="1">
      <c r="A82" s="1"/>
      <c r="B82" s="1"/>
      <c r="C82" s="1"/>
      <c r="D82" s="1"/>
      <c r="E82" s="1"/>
      <c r="F82" s="1"/>
      <c r="G82" s="1"/>
      <c r="H82" s="1"/>
      <c r="I82" s="1"/>
      <c r="J82" s="1"/>
      <c r="K82" s="1"/>
      <c r="L82" s="1"/>
      <c r="M82" s="1"/>
      <c r="N82" s="1"/>
      <c r="O82" s="1"/>
      <c r="P82" s="1"/>
      <c r="Q82" s="1"/>
      <c r="R82" s="1"/>
      <c r="S82" s="1"/>
      <c r="T82" s="1"/>
      <c r="U82" s="1"/>
      <c r="V82" s="1"/>
      <c r="W82" s="1"/>
    </row>
    <row r="83" spans="1:23" ht="23" customHeight="1">
      <c r="A83" s="1"/>
      <c r="B83" s="1"/>
      <c r="C83" s="1"/>
      <c r="D83" s="1"/>
      <c r="E83" s="1"/>
      <c r="F83" s="1"/>
      <c r="G83" s="1"/>
      <c r="H83" s="1"/>
      <c r="I83" s="1"/>
      <c r="J83" s="1"/>
      <c r="K83" s="1"/>
      <c r="L83" s="1"/>
      <c r="M83" s="1"/>
      <c r="N83" s="1"/>
      <c r="O83" s="1"/>
      <c r="P83" s="1"/>
      <c r="Q83" s="1"/>
      <c r="R83" s="1"/>
      <c r="S83" s="1"/>
      <c r="T83" s="1"/>
      <c r="U83" s="1"/>
      <c r="V83" s="1"/>
      <c r="W83" s="1"/>
    </row>
    <row r="84" spans="1:23" ht="23" customHeight="1">
      <c r="A84" s="1"/>
      <c r="B84" s="1"/>
      <c r="C84" s="1"/>
      <c r="D84" s="1"/>
      <c r="E84" s="1"/>
      <c r="F84" s="1"/>
      <c r="G84" s="1"/>
      <c r="H84" s="1"/>
      <c r="I84" s="1"/>
      <c r="J84" s="1"/>
      <c r="K84" s="1"/>
      <c r="L84" s="1"/>
      <c r="M84" s="1"/>
      <c r="N84" s="1"/>
      <c r="O84" s="1"/>
      <c r="P84" s="1"/>
      <c r="Q84" s="1"/>
      <c r="R84" s="1"/>
      <c r="S84" s="1"/>
      <c r="T84" s="1"/>
      <c r="U84" s="1"/>
      <c r="V84" s="1"/>
      <c r="W84" s="1"/>
    </row>
    <row r="85" spans="1:23" ht="23" customHeight="1">
      <c r="A85" s="1"/>
      <c r="B85" s="1"/>
      <c r="C85" s="1"/>
      <c r="D85" s="1"/>
      <c r="E85" s="1"/>
      <c r="F85" s="1"/>
      <c r="G85" s="1"/>
      <c r="H85" s="1"/>
      <c r="I85" s="1"/>
      <c r="J85" s="1"/>
      <c r="K85" s="1"/>
      <c r="L85" s="1"/>
      <c r="M85" s="1"/>
      <c r="N85" s="1"/>
      <c r="O85" s="1"/>
      <c r="P85" s="1"/>
      <c r="Q85" s="1"/>
      <c r="R85" s="1"/>
      <c r="S85" s="1"/>
      <c r="T85" s="1"/>
      <c r="U85" s="1"/>
      <c r="V85" s="1"/>
      <c r="W85" s="1"/>
    </row>
    <row r="86" spans="1:23" ht="23" customHeight="1">
      <c r="A86" s="1"/>
      <c r="B86" s="1"/>
      <c r="C86" s="1"/>
      <c r="D86" s="1"/>
      <c r="E86" s="1"/>
      <c r="F86" s="1"/>
      <c r="G86" s="1"/>
      <c r="H86" s="1"/>
      <c r="I86" s="1"/>
      <c r="J86" s="1"/>
      <c r="K86" s="1"/>
      <c r="L86" s="1"/>
      <c r="M86" s="1"/>
      <c r="N86" s="1"/>
      <c r="O86" s="1"/>
      <c r="P86" s="1"/>
      <c r="Q86" s="1"/>
      <c r="R86" s="1"/>
      <c r="S86" s="1"/>
      <c r="T86" s="1"/>
      <c r="U86" s="1"/>
      <c r="V86" s="1"/>
      <c r="W86" s="1"/>
    </row>
    <row r="87" spans="1:23" ht="23" customHeight="1">
      <c r="A87" s="1"/>
      <c r="B87" s="1"/>
      <c r="C87" s="1"/>
      <c r="D87" s="1"/>
      <c r="E87" s="1"/>
      <c r="F87" s="1"/>
      <c r="G87" s="1"/>
      <c r="H87" s="1"/>
      <c r="I87" s="1"/>
      <c r="J87" s="1"/>
      <c r="K87" s="1"/>
      <c r="L87" s="1"/>
      <c r="M87" s="1"/>
      <c r="N87" s="1"/>
      <c r="O87" s="1"/>
      <c r="P87" s="1"/>
      <c r="Q87" s="1"/>
      <c r="R87" s="1"/>
      <c r="S87" s="1"/>
      <c r="T87" s="1"/>
      <c r="U87" s="1"/>
      <c r="V87" s="1"/>
      <c r="W87" s="1"/>
    </row>
    <row r="88" spans="1:23" ht="23" customHeight="1">
      <c r="A88" s="1"/>
      <c r="B88" s="1"/>
      <c r="C88" s="1"/>
      <c r="D88" s="1"/>
      <c r="E88" s="1"/>
      <c r="F88" s="1"/>
      <c r="G88" s="1"/>
      <c r="H88" s="1"/>
      <c r="I88" s="1"/>
      <c r="J88" s="1"/>
      <c r="K88" s="1"/>
      <c r="L88" s="1"/>
      <c r="M88" s="1"/>
      <c r="N88" s="1"/>
      <c r="O88" s="1"/>
      <c r="P88" s="1"/>
      <c r="Q88" s="1"/>
      <c r="R88" s="1"/>
      <c r="S88" s="1"/>
      <c r="T88" s="1"/>
      <c r="U88" s="1"/>
      <c r="V88" s="1"/>
      <c r="W88" s="1"/>
    </row>
    <row r="89" spans="1:23" ht="23" customHeight="1">
      <c r="A89" s="1"/>
      <c r="B89" s="1"/>
      <c r="C89" s="1"/>
      <c r="D89" s="1"/>
      <c r="E89" s="1"/>
      <c r="F89" s="1"/>
      <c r="G89" s="1"/>
      <c r="H89" s="1"/>
      <c r="I89" s="1"/>
      <c r="J89" s="1"/>
      <c r="K89" s="1"/>
      <c r="L89" s="1"/>
      <c r="M89" s="1"/>
      <c r="N89" s="1"/>
      <c r="O89" s="1"/>
      <c r="P89" s="1"/>
      <c r="Q89" s="1"/>
      <c r="R89" s="1"/>
      <c r="S89" s="1"/>
      <c r="T89" s="1"/>
      <c r="U89" s="1"/>
      <c r="V89" s="1"/>
      <c r="W89" s="1"/>
    </row>
    <row r="90" spans="1:23" ht="23" customHeight="1">
      <c r="A90" s="1"/>
      <c r="B90" s="1"/>
      <c r="C90" s="1"/>
      <c r="D90" s="1"/>
      <c r="E90" s="1"/>
      <c r="F90" s="1"/>
      <c r="G90" s="1"/>
      <c r="H90" s="1"/>
      <c r="I90" s="1"/>
      <c r="J90" s="1"/>
      <c r="K90" s="1"/>
      <c r="L90" s="1"/>
      <c r="M90" s="1"/>
      <c r="N90" s="1"/>
      <c r="O90" s="1"/>
      <c r="P90" s="1"/>
      <c r="Q90" s="1"/>
      <c r="R90" s="1"/>
      <c r="S90" s="1"/>
      <c r="T90" s="1"/>
      <c r="U90" s="1"/>
      <c r="V90" s="1"/>
      <c r="W90" s="1"/>
    </row>
    <row r="91" spans="1:23" ht="23" customHeight="1">
      <c r="A91" s="1"/>
      <c r="B91" s="1"/>
      <c r="C91" s="1"/>
      <c r="D91" s="1"/>
      <c r="E91" s="1"/>
      <c r="F91" s="1"/>
      <c r="G91" s="1"/>
      <c r="H91" s="1"/>
      <c r="I91" s="1"/>
      <c r="J91" s="1"/>
      <c r="K91" s="1"/>
      <c r="L91" s="1"/>
      <c r="M91" s="1"/>
      <c r="N91" s="1"/>
      <c r="O91" s="1"/>
      <c r="P91" s="1"/>
      <c r="Q91" s="1"/>
      <c r="R91" s="1"/>
      <c r="S91" s="1"/>
      <c r="T91" s="1"/>
      <c r="U91" s="1"/>
      <c r="V91" s="1"/>
      <c r="W91" s="1"/>
    </row>
    <row r="92" spans="1:23" ht="23" customHeight="1">
      <c r="A92" s="1"/>
      <c r="B92" s="1"/>
      <c r="C92" s="1"/>
      <c r="D92" s="1"/>
      <c r="E92" s="1"/>
      <c r="F92" s="1"/>
      <c r="G92" s="1"/>
      <c r="H92" s="1"/>
      <c r="I92" s="1"/>
      <c r="J92" s="1"/>
      <c r="K92" s="1"/>
      <c r="L92" s="1"/>
      <c r="M92" s="1"/>
      <c r="N92" s="1"/>
      <c r="O92" s="1"/>
      <c r="P92" s="1"/>
      <c r="Q92" s="1"/>
      <c r="R92" s="1"/>
      <c r="S92" s="1"/>
      <c r="T92" s="1"/>
      <c r="U92" s="1"/>
      <c r="V92" s="1"/>
      <c r="W92" s="1"/>
    </row>
    <row r="93" spans="1:23" ht="23" customHeight="1">
      <c r="A93" s="1"/>
      <c r="B93" s="1"/>
      <c r="C93" s="1"/>
      <c r="D93" s="1"/>
      <c r="E93" s="1"/>
      <c r="F93" s="1"/>
      <c r="G93" s="1"/>
      <c r="H93" s="1"/>
      <c r="I93" s="1"/>
      <c r="J93" s="1"/>
      <c r="K93" s="1"/>
      <c r="L93" s="1"/>
      <c r="M93" s="1"/>
      <c r="N93" s="1"/>
      <c r="O93" s="1"/>
      <c r="P93" s="1"/>
      <c r="Q93" s="1"/>
      <c r="R93" s="1"/>
      <c r="S93" s="1"/>
      <c r="T93" s="1"/>
      <c r="U93" s="1"/>
      <c r="V93" s="1"/>
      <c r="W93" s="1"/>
    </row>
    <row r="94" spans="1:23" ht="23" customHeight="1">
      <c r="A94" s="1"/>
      <c r="B94" s="1"/>
      <c r="C94" s="1"/>
      <c r="D94" s="1"/>
      <c r="E94" s="1"/>
      <c r="F94" s="1"/>
      <c r="G94" s="1"/>
      <c r="H94" s="1"/>
      <c r="I94" s="1"/>
      <c r="J94" s="1"/>
      <c r="K94" s="1"/>
      <c r="L94" s="1"/>
      <c r="M94" s="1"/>
      <c r="N94" s="1"/>
      <c r="O94" s="1"/>
      <c r="P94" s="1"/>
      <c r="Q94" s="1"/>
      <c r="R94" s="1"/>
      <c r="S94" s="1"/>
      <c r="T94" s="1"/>
      <c r="U94" s="1"/>
      <c r="V94" s="1"/>
      <c r="W94" s="1"/>
    </row>
    <row r="95" spans="1:23" ht="23" customHeight="1">
      <c r="A95" s="1"/>
      <c r="B95" s="1"/>
      <c r="C95" s="1"/>
      <c r="D95" s="1"/>
      <c r="E95" s="1"/>
      <c r="F95" s="1"/>
      <c r="G95" s="1"/>
      <c r="H95" s="1"/>
      <c r="I95" s="1"/>
      <c r="J95" s="1"/>
      <c r="K95" s="1"/>
      <c r="L95" s="1"/>
      <c r="M95" s="1"/>
      <c r="N95" s="1"/>
      <c r="O95" s="1"/>
      <c r="P95" s="1"/>
      <c r="Q95" s="1"/>
      <c r="R95" s="1"/>
      <c r="S95" s="1"/>
      <c r="T95" s="1"/>
      <c r="U95" s="1"/>
      <c r="V95" s="1"/>
      <c r="W95" s="1"/>
    </row>
    <row r="96" spans="1:23" ht="23" customHeight="1">
      <c r="A96" s="1"/>
      <c r="B96" s="1"/>
      <c r="C96" s="1"/>
      <c r="D96" s="1"/>
      <c r="E96" s="1"/>
      <c r="F96" s="1"/>
      <c r="G96" s="1"/>
      <c r="H96" s="1"/>
      <c r="I96" s="1"/>
      <c r="J96" s="1"/>
      <c r="K96" s="1"/>
      <c r="L96" s="1"/>
      <c r="M96" s="1"/>
      <c r="N96" s="1"/>
      <c r="O96" s="1"/>
      <c r="P96" s="1"/>
      <c r="Q96" s="1"/>
      <c r="R96" s="1"/>
      <c r="S96" s="1"/>
      <c r="T96" s="1"/>
      <c r="U96" s="1"/>
      <c r="V96" s="1"/>
      <c r="W96" s="1"/>
    </row>
    <row r="97" spans="1:23" ht="23" customHeight="1">
      <c r="A97" s="1"/>
      <c r="B97" s="1"/>
      <c r="C97" s="1"/>
      <c r="D97" s="1"/>
      <c r="E97" s="1"/>
      <c r="F97" s="1"/>
      <c r="G97" s="1"/>
      <c r="H97" s="1"/>
      <c r="I97" s="1"/>
      <c r="J97" s="1"/>
      <c r="K97" s="1"/>
      <c r="L97" s="1"/>
      <c r="M97" s="1"/>
      <c r="N97" s="1"/>
      <c r="O97" s="1"/>
      <c r="P97" s="1"/>
      <c r="Q97" s="1"/>
      <c r="R97" s="1"/>
      <c r="S97" s="1"/>
      <c r="T97" s="1"/>
      <c r="U97" s="1"/>
      <c r="V97" s="1"/>
      <c r="W97" s="1"/>
    </row>
    <row r="98" spans="1:23" ht="23" customHeight="1">
      <c r="A98" s="1"/>
      <c r="B98" s="1"/>
      <c r="C98" s="1"/>
      <c r="D98" s="1"/>
      <c r="E98" s="1"/>
      <c r="F98" s="1"/>
      <c r="G98" s="1"/>
      <c r="H98" s="1"/>
      <c r="I98" s="1"/>
      <c r="J98" s="1"/>
      <c r="K98" s="1"/>
      <c r="L98" s="1"/>
      <c r="M98" s="1"/>
      <c r="N98" s="1"/>
      <c r="O98" s="1"/>
      <c r="P98" s="1"/>
      <c r="Q98" s="1"/>
      <c r="R98" s="1"/>
      <c r="S98" s="1"/>
      <c r="T98" s="1"/>
      <c r="U98" s="1"/>
      <c r="V98" s="1"/>
      <c r="W98" s="1"/>
    </row>
    <row r="99" spans="1:23" ht="23" customHeight="1">
      <c r="A99" s="1"/>
      <c r="B99" s="1"/>
      <c r="C99" s="1"/>
      <c r="D99" s="1"/>
      <c r="E99" s="1"/>
      <c r="F99" s="1"/>
      <c r="G99" s="1"/>
      <c r="H99" s="1"/>
      <c r="I99" s="1"/>
      <c r="J99" s="1"/>
      <c r="K99" s="1"/>
      <c r="L99" s="1"/>
      <c r="M99" s="1"/>
      <c r="N99" s="1"/>
      <c r="O99" s="1"/>
      <c r="P99" s="1"/>
      <c r="Q99" s="1"/>
      <c r="R99" s="1"/>
      <c r="S99" s="1"/>
      <c r="T99" s="1"/>
      <c r="U99" s="1"/>
      <c r="V99" s="1"/>
      <c r="W99" s="1"/>
    </row>
    <row r="100" spans="1:23" ht="23" customHeight="1">
      <c r="A100" s="1"/>
      <c r="B100" s="1"/>
      <c r="C100" s="1"/>
      <c r="D100" s="1"/>
      <c r="E100" s="1"/>
      <c r="F100" s="1"/>
      <c r="G100" s="1"/>
      <c r="H100" s="1"/>
      <c r="I100" s="1"/>
      <c r="J100" s="1"/>
      <c r="K100" s="1"/>
      <c r="L100" s="1"/>
      <c r="M100" s="1"/>
      <c r="N100" s="1"/>
      <c r="O100" s="1"/>
      <c r="P100" s="1"/>
      <c r="Q100" s="1"/>
      <c r="R100" s="1"/>
      <c r="S100" s="1"/>
      <c r="T100" s="1"/>
      <c r="U100" s="1"/>
      <c r="V100" s="1"/>
      <c r="W100" s="1"/>
    </row>
    <row r="101" spans="1:23" ht="23" customHeight="1">
      <c r="A101" s="1"/>
      <c r="B101" s="1"/>
      <c r="C101" s="1"/>
      <c r="D101" s="1"/>
      <c r="E101" s="1"/>
      <c r="F101" s="1"/>
      <c r="G101" s="1"/>
      <c r="H101" s="1"/>
      <c r="I101" s="1"/>
      <c r="J101" s="1"/>
      <c r="K101" s="1"/>
      <c r="L101" s="1"/>
      <c r="M101" s="1"/>
      <c r="N101" s="1"/>
      <c r="O101" s="1"/>
      <c r="P101" s="1"/>
      <c r="Q101" s="1"/>
      <c r="R101" s="1"/>
      <c r="S101" s="1"/>
      <c r="T101" s="1"/>
      <c r="U101" s="1"/>
      <c r="V101" s="1"/>
      <c r="W101" s="1"/>
    </row>
    <row r="102" spans="1:23" ht="23" customHeight="1">
      <c r="A102" s="1"/>
      <c r="B102" s="1"/>
      <c r="C102" s="1"/>
      <c r="D102" s="1"/>
      <c r="E102" s="1"/>
      <c r="F102" s="1"/>
      <c r="G102" s="1"/>
      <c r="H102" s="1"/>
      <c r="I102" s="1"/>
      <c r="J102" s="1"/>
      <c r="K102" s="1"/>
      <c r="L102" s="1"/>
      <c r="M102" s="1"/>
      <c r="N102" s="1"/>
      <c r="O102" s="1"/>
      <c r="P102" s="1"/>
      <c r="Q102" s="1"/>
      <c r="R102" s="1"/>
      <c r="S102" s="1"/>
      <c r="T102" s="1"/>
      <c r="U102" s="1"/>
      <c r="V102" s="1"/>
      <c r="W102" s="1"/>
    </row>
    <row r="103" spans="1:23" ht="23" customHeight="1">
      <c r="A103" s="1"/>
      <c r="B103" s="1"/>
      <c r="C103" s="1"/>
      <c r="D103" s="1"/>
      <c r="E103" s="1"/>
      <c r="F103" s="1"/>
      <c r="G103" s="1"/>
      <c r="H103" s="1"/>
      <c r="I103" s="1"/>
      <c r="J103" s="1"/>
      <c r="K103" s="1"/>
      <c r="L103" s="1"/>
      <c r="M103" s="1"/>
      <c r="N103" s="1"/>
      <c r="O103" s="1"/>
      <c r="P103" s="1"/>
      <c r="Q103" s="1"/>
      <c r="R103" s="1"/>
      <c r="S103" s="1"/>
      <c r="T103" s="1"/>
      <c r="U103" s="1"/>
      <c r="V103" s="1"/>
      <c r="W103" s="1"/>
    </row>
    <row r="104" spans="1:23" ht="23" customHeight="1">
      <c r="A104" s="1"/>
      <c r="B104" s="1"/>
      <c r="C104" s="1"/>
      <c r="D104" s="1"/>
      <c r="E104" s="1"/>
      <c r="F104" s="1"/>
      <c r="G104" s="1"/>
      <c r="H104" s="1"/>
      <c r="I104" s="1"/>
      <c r="J104" s="1"/>
      <c r="K104" s="1"/>
      <c r="L104" s="1"/>
      <c r="M104" s="1"/>
      <c r="N104" s="1"/>
      <c r="O104" s="1"/>
      <c r="P104" s="1"/>
      <c r="Q104" s="1"/>
      <c r="R104" s="1"/>
      <c r="S104" s="1"/>
      <c r="T104" s="1"/>
      <c r="U104" s="1"/>
      <c r="V104" s="1"/>
      <c r="W104" s="1"/>
    </row>
    <row r="105" spans="1:23" ht="23" customHeight="1">
      <c r="A105" s="1"/>
      <c r="B105" s="1"/>
      <c r="C105" s="1"/>
      <c r="D105" s="1"/>
      <c r="E105" s="1"/>
      <c r="F105" s="1"/>
      <c r="G105" s="1"/>
      <c r="H105" s="1"/>
      <c r="I105" s="1"/>
      <c r="J105" s="1"/>
      <c r="K105" s="1"/>
      <c r="L105" s="1"/>
      <c r="M105" s="1"/>
      <c r="N105" s="1"/>
      <c r="O105" s="1"/>
      <c r="P105" s="1"/>
      <c r="Q105" s="1"/>
      <c r="R105" s="1"/>
      <c r="S105" s="1"/>
      <c r="T105" s="1"/>
      <c r="U105" s="1"/>
      <c r="V105" s="1"/>
      <c r="W105" s="1"/>
    </row>
    <row r="106" spans="1:23" ht="23" customHeight="1">
      <c r="A106" s="1"/>
      <c r="B106" s="1"/>
      <c r="C106" s="1"/>
      <c r="D106" s="1"/>
      <c r="E106" s="1"/>
      <c r="F106" s="1"/>
      <c r="G106" s="1"/>
      <c r="H106" s="1"/>
      <c r="I106" s="1"/>
      <c r="J106" s="1"/>
      <c r="K106" s="1"/>
      <c r="L106" s="1"/>
      <c r="M106" s="1"/>
      <c r="N106" s="1"/>
      <c r="O106" s="1"/>
      <c r="P106" s="1"/>
      <c r="Q106" s="1"/>
      <c r="R106" s="1"/>
      <c r="S106" s="1"/>
      <c r="T106" s="1"/>
      <c r="U106" s="1"/>
      <c r="V106" s="1"/>
      <c r="W106" s="1"/>
    </row>
    <row r="107" spans="1:23" ht="23" customHeight="1">
      <c r="A107" s="1"/>
      <c r="B107" s="1"/>
      <c r="C107" s="1"/>
      <c r="D107" s="1"/>
      <c r="E107" s="1"/>
      <c r="F107" s="1"/>
      <c r="G107" s="1"/>
      <c r="H107" s="1"/>
      <c r="I107" s="1"/>
      <c r="J107" s="1"/>
      <c r="K107" s="1"/>
      <c r="L107" s="1"/>
      <c r="M107" s="1"/>
      <c r="N107" s="1"/>
      <c r="O107" s="1"/>
      <c r="P107" s="1"/>
      <c r="Q107" s="1"/>
      <c r="R107" s="1"/>
      <c r="S107" s="1"/>
      <c r="T107" s="1"/>
      <c r="U107" s="1"/>
      <c r="V107" s="1"/>
      <c r="W107" s="1"/>
    </row>
    <row r="108" spans="1:23" ht="23" customHeight="1">
      <c r="A108" s="1"/>
      <c r="B108" s="1"/>
      <c r="C108" s="1"/>
      <c r="D108" s="1"/>
      <c r="E108" s="1"/>
      <c r="F108" s="1"/>
      <c r="G108" s="1"/>
      <c r="H108" s="1"/>
      <c r="I108" s="1"/>
      <c r="J108" s="1"/>
      <c r="K108" s="1"/>
      <c r="L108" s="1"/>
      <c r="M108" s="1"/>
      <c r="N108" s="1"/>
      <c r="O108" s="1"/>
      <c r="P108" s="1"/>
      <c r="Q108" s="1"/>
      <c r="R108" s="1"/>
      <c r="S108" s="1"/>
      <c r="T108" s="1"/>
      <c r="U108" s="1"/>
      <c r="V108" s="1"/>
      <c r="W108" s="1"/>
    </row>
    <row r="109" spans="1:23" ht="23" customHeight="1">
      <c r="A109" s="1"/>
      <c r="B109" s="1"/>
      <c r="C109" s="1"/>
      <c r="D109" s="1"/>
      <c r="E109" s="1"/>
      <c r="F109" s="1"/>
      <c r="G109" s="1"/>
      <c r="H109" s="1"/>
      <c r="I109" s="1"/>
      <c r="J109" s="1"/>
      <c r="K109" s="1"/>
      <c r="L109" s="1"/>
      <c r="M109" s="1"/>
      <c r="N109" s="1"/>
      <c r="O109" s="1"/>
      <c r="P109" s="1"/>
      <c r="Q109" s="1"/>
      <c r="R109" s="1"/>
      <c r="S109" s="1"/>
      <c r="T109" s="1"/>
      <c r="U109" s="1"/>
      <c r="V109" s="1"/>
      <c r="W109" s="1"/>
    </row>
    <row r="110" spans="1:23" ht="23" customHeight="1">
      <c r="A110" s="1"/>
      <c r="B110" s="1"/>
      <c r="C110" s="1"/>
      <c r="D110" s="1"/>
      <c r="E110" s="1"/>
      <c r="F110" s="1"/>
      <c r="G110" s="1"/>
      <c r="H110" s="1"/>
      <c r="I110" s="1"/>
      <c r="J110" s="1"/>
      <c r="K110" s="1"/>
      <c r="L110" s="1"/>
      <c r="M110" s="1"/>
      <c r="N110" s="1"/>
      <c r="O110" s="1"/>
      <c r="P110" s="1"/>
      <c r="Q110" s="1"/>
      <c r="R110" s="1"/>
      <c r="S110" s="1"/>
      <c r="T110" s="1"/>
      <c r="U110" s="1"/>
      <c r="V110" s="1"/>
      <c r="W110" s="1"/>
    </row>
    <row r="111" spans="1:23" ht="23" customHeight="1">
      <c r="A111" s="1"/>
      <c r="B111" s="1"/>
      <c r="C111" s="1"/>
      <c r="D111" s="1"/>
      <c r="E111" s="1"/>
      <c r="F111" s="1"/>
      <c r="G111" s="1"/>
      <c r="H111" s="1"/>
      <c r="I111" s="1"/>
      <c r="J111" s="1"/>
      <c r="K111" s="1"/>
      <c r="L111" s="1"/>
      <c r="M111" s="1"/>
      <c r="N111" s="1"/>
      <c r="O111" s="1"/>
      <c r="P111" s="1"/>
      <c r="Q111" s="1"/>
      <c r="R111" s="1"/>
      <c r="S111" s="1"/>
      <c r="T111" s="1"/>
      <c r="U111" s="1"/>
      <c r="V111" s="1"/>
      <c r="W111" s="1"/>
    </row>
    <row r="112" spans="1:23" ht="23" customHeight="1">
      <c r="A112" s="1"/>
      <c r="B112" s="1"/>
      <c r="C112" s="1"/>
      <c r="D112" s="1"/>
      <c r="E112" s="1"/>
      <c r="F112" s="1"/>
      <c r="G112" s="1"/>
      <c r="H112" s="1"/>
      <c r="I112" s="1"/>
      <c r="J112" s="1"/>
      <c r="K112" s="1"/>
      <c r="L112" s="1"/>
      <c r="M112" s="1"/>
      <c r="N112" s="1"/>
      <c r="O112" s="1"/>
      <c r="P112" s="1"/>
      <c r="Q112" s="1"/>
      <c r="R112" s="1"/>
      <c r="S112" s="1"/>
      <c r="T112" s="1"/>
      <c r="U112" s="1"/>
      <c r="V112" s="1"/>
      <c r="W112" s="1"/>
    </row>
    <row r="113" spans="1:23" ht="23" customHeight="1">
      <c r="A113" s="1"/>
      <c r="B113" s="1"/>
      <c r="C113" s="1"/>
      <c r="D113" s="1"/>
      <c r="E113" s="1"/>
      <c r="F113" s="1"/>
      <c r="G113" s="1"/>
      <c r="H113" s="1"/>
      <c r="I113" s="1"/>
      <c r="J113" s="1"/>
      <c r="K113" s="1"/>
      <c r="L113" s="1"/>
      <c r="M113" s="1"/>
      <c r="N113" s="1"/>
      <c r="O113" s="1"/>
      <c r="P113" s="1"/>
      <c r="Q113" s="1"/>
      <c r="R113" s="1"/>
      <c r="S113" s="1"/>
      <c r="T113" s="1"/>
      <c r="U113" s="1"/>
      <c r="V113" s="1"/>
      <c r="W113" s="1"/>
    </row>
    <row r="114" spans="1:23" ht="23" customHeight="1">
      <c r="A114" s="1"/>
      <c r="B114" s="1"/>
      <c r="C114" s="1"/>
      <c r="D114" s="1"/>
      <c r="E114" s="1"/>
      <c r="F114" s="1"/>
      <c r="G114" s="1"/>
      <c r="H114" s="1"/>
      <c r="I114" s="1"/>
      <c r="J114" s="1"/>
      <c r="K114" s="1"/>
      <c r="L114" s="1"/>
      <c r="M114" s="1"/>
      <c r="N114" s="1"/>
      <c r="O114" s="1"/>
      <c r="P114" s="1"/>
      <c r="Q114" s="1"/>
      <c r="R114" s="1"/>
      <c r="S114" s="1"/>
      <c r="T114" s="1"/>
      <c r="U114" s="1"/>
      <c r="V114" s="1"/>
      <c r="W114" s="1"/>
    </row>
    <row r="115" spans="1:23" ht="23" customHeight="1">
      <c r="A115" s="1"/>
      <c r="B115" s="1"/>
      <c r="C115" s="1"/>
      <c r="D115" s="1"/>
      <c r="E115" s="1"/>
      <c r="F115" s="1"/>
      <c r="G115" s="1"/>
      <c r="H115" s="1"/>
      <c r="I115" s="1"/>
      <c r="J115" s="1"/>
      <c r="K115" s="1"/>
      <c r="L115" s="1"/>
      <c r="M115" s="1"/>
      <c r="N115" s="1"/>
      <c r="O115" s="1"/>
      <c r="P115" s="1"/>
      <c r="Q115" s="1"/>
      <c r="R115" s="1"/>
      <c r="S115" s="1"/>
      <c r="T115" s="1"/>
      <c r="U115" s="1"/>
      <c r="V115" s="1"/>
      <c r="W115" s="1"/>
    </row>
    <row r="116" spans="1:23" ht="23" customHeight="1">
      <c r="A116" s="1"/>
      <c r="B116" s="1"/>
      <c r="C116" s="1"/>
      <c r="D116" s="1"/>
      <c r="E116" s="1"/>
      <c r="F116" s="1"/>
      <c r="G116" s="1"/>
      <c r="H116" s="1"/>
      <c r="I116" s="1"/>
      <c r="J116" s="1"/>
      <c r="K116" s="1"/>
      <c r="L116" s="1"/>
      <c r="M116" s="1"/>
      <c r="N116" s="1"/>
      <c r="O116" s="1"/>
      <c r="P116" s="1"/>
      <c r="Q116" s="1"/>
      <c r="R116" s="1"/>
      <c r="S116" s="1"/>
      <c r="T116" s="1"/>
      <c r="U116" s="1"/>
      <c r="V116" s="1"/>
      <c r="W116" s="1"/>
    </row>
    <row r="117" spans="1:23" ht="23" customHeight="1">
      <c r="A117" s="1"/>
      <c r="B117" s="1"/>
      <c r="C117" s="1"/>
      <c r="D117" s="1"/>
      <c r="E117" s="1"/>
      <c r="F117" s="1"/>
      <c r="G117" s="1"/>
      <c r="H117" s="1"/>
      <c r="I117" s="1"/>
      <c r="J117" s="1"/>
      <c r="K117" s="1"/>
      <c r="L117" s="1"/>
      <c r="M117" s="1"/>
      <c r="N117" s="1"/>
      <c r="O117" s="1"/>
      <c r="P117" s="1"/>
      <c r="Q117" s="1"/>
      <c r="R117" s="1"/>
      <c r="S117" s="1"/>
      <c r="T117" s="1"/>
      <c r="U117" s="1"/>
      <c r="V117" s="1"/>
      <c r="W117" s="1"/>
    </row>
    <row r="118" spans="1:23" ht="23" customHeight="1">
      <c r="A118" s="1"/>
      <c r="B118" s="1"/>
      <c r="C118" s="1"/>
      <c r="D118" s="1"/>
      <c r="E118" s="1"/>
      <c r="F118" s="1"/>
      <c r="G118" s="1"/>
      <c r="H118" s="1"/>
      <c r="I118" s="1"/>
      <c r="J118" s="1"/>
      <c r="K118" s="1"/>
      <c r="L118" s="1"/>
      <c r="M118" s="1"/>
      <c r="N118" s="1"/>
      <c r="O118" s="1"/>
      <c r="P118" s="1"/>
      <c r="Q118" s="1"/>
      <c r="R118" s="1"/>
      <c r="S118" s="1"/>
      <c r="T118" s="1"/>
      <c r="U118" s="1"/>
      <c r="V118" s="1"/>
      <c r="W118" s="1"/>
    </row>
    <row r="119" spans="1:23" ht="23" customHeight="1">
      <c r="A119" s="1"/>
      <c r="B119" s="1"/>
      <c r="C119" s="1"/>
      <c r="D119" s="1"/>
      <c r="E119" s="1"/>
      <c r="F119" s="1"/>
      <c r="G119" s="1"/>
      <c r="H119" s="1"/>
      <c r="I119" s="1"/>
      <c r="J119" s="1"/>
      <c r="K119" s="1"/>
      <c r="L119" s="1"/>
      <c r="M119" s="1"/>
      <c r="N119" s="1"/>
      <c r="O119" s="1"/>
      <c r="P119" s="1"/>
      <c r="Q119" s="1"/>
      <c r="R119" s="1"/>
      <c r="S119" s="1"/>
      <c r="T119" s="1"/>
      <c r="U119" s="1"/>
      <c r="V119" s="1"/>
      <c r="W119" s="1"/>
    </row>
    <row r="120" spans="1:23" ht="23" customHeight="1">
      <c r="A120" s="1"/>
      <c r="B120" s="1"/>
      <c r="C120" s="1"/>
      <c r="D120" s="1"/>
      <c r="E120" s="1"/>
      <c r="F120" s="1"/>
      <c r="G120" s="1"/>
      <c r="H120" s="1"/>
      <c r="I120" s="1"/>
      <c r="J120" s="1"/>
      <c r="K120" s="1"/>
      <c r="L120" s="1"/>
      <c r="M120" s="1"/>
      <c r="N120" s="1"/>
      <c r="O120" s="1"/>
      <c r="P120" s="1"/>
      <c r="Q120" s="1"/>
      <c r="R120" s="1"/>
      <c r="S120" s="1"/>
      <c r="T120" s="1"/>
      <c r="U120" s="1"/>
      <c r="V120" s="1"/>
      <c r="W120" s="1"/>
    </row>
  </sheetData>
  <mergeCells count="10">
    <mergeCell ref="B21:E21"/>
    <mergeCell ref="B22:E22"/>
    <mergeCell ref="B23:E23"/>
    <mergeCell ref="B25:F28"/>
    <mergeCell ref="B40:M42"/>
    <mergeCell ref="B5:M7"/>
    <mergeCell ref="B17:E17"/>
    <mergeCell ref="B18:E18"/>
    <mergeCell ref="B19:E19"/>
    <mergeCell ref="B20:E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20"/>
  <sheetViews>
    <sheetView showGridLines="0" workbookViewId="0">
      <pane ySplit="5" topLeftCell="A6" activePane="bottomLeft" state="frozen"/>
      <selection pane="bottomLeft"/>
    </sheetView>
  </sheetViews>
  <sheetFormatPr defaultRowHeight="14"/>
  <cols>
    <col min="1" max="1" width="3" customWidth="1"/>
    <col min="2" max="2" width="28" customWidth="1"/>
    <col min="3" max="23" width="13" customWidth="1"/>
  </cols>
  <sheetData>
    <row r="1" spans="1:23" ht="23" customHeight="1">
      <c r="A1" s="1"/>
      <c r="B1" s="1"/>
      <c r="C1" s="1"/>
      <c r="D1" s="1"/>
      <c r="E1" s="1"/>
      <c r="F1" s="1"/>
      <c r="G1" s="1"/>
      <c r="H1" s="1"/>
      <c r="I1" s="1"/>
      <c r="J1" s="1"/>
      <c r="K1" s="1"/>
      <c r="L1" s="1"/>
      <c r="M1" s="1"/>
      <c r="N1" s="1"/>
      <c r="O1" s="1"/>
      <c r="P1" s="1"/>
      <c r="Q1" s="1"/>
      <c r="R1" s="1"/>
      <c r="S1" s="1"/>
      <c r="T1" s="1"/>
      <c r="U1" s="1"/>
      <c r="V1" s="1"/>
      <c r="W1" s="1"/>
    </row>
    <row r="2" spans="1:23" ht="32" customHeight="1">
      <c r="A2" s="1"/>
      <c r="B2" s="2" t="s">
        <v>44</v>
      </c>
      <c r="C2" s="2"/>
      <c r="D2" s="2"/>
      <c r="E2" s="2"/>
      <c r="F2" s="2"/>
      <c r="G2" s="2"/>
      <c r="H2" s="2"/>
      <c r="I2" s="2"/>
      <c r="J2" s="2"/>
      <c r="K2" s="2"/>
      <c r="L2" s="2"/>
      <c r="M2" s="2"/>
      <c r="N2" s="1"/>
      <c r="O2" s="1"/>
      <c r="P2" s="1"/>
      <c r="Q2" s="1"/>
      <c r="R2" s="1"/>
      <c r="S2" s="1"/>
      <c r="T2" s="1"/>
      <c r="U2" s="1"/>
      <c r="V2" s="1"/>
      <c r="W2" s="1"/>
    </row>
    <row r="3" spans="1:23" ht="23" customHeight="1">
      <c r="A3" s="1"/>
      <c r="B3" s="3" t="s">
        <v>45</v>
      </c>
      <c r="C3" s="3"/>
      <c r="D3" s="3"/>
      <c r="E3" s="3"/>
      <c r="F3" s="3"/>
      <c r="G3" s="3"/>
      <c r="H3" s="3"/>
      <c r="I3" s="3"/>
      <c r="J3" s="3"/>
      <c r="K3" s="3"/>
      <c r="L3" s="3"/>
      <c r="M3" s="3"/>
      <c r="N3" s="1"/>
      <c r="O3" s="1"/>
      <c r="P3" s="1"/>
      <c r="Q3" s="1"/>
      <c r="R3" s="1"/>
      <c r="S3" s="1"/>
      <c r="T3" s="1"/>
      <c r="U3" s="1"/>
      <c r="V3" s="1"/>
      <c r="W3" s="1"/>
    </row>
    <row r="4" spans="1:23" ht="23" customHeight="1">
      <c r="A4" s="1"/>
      <c r="B4" s="1"/>
      <c r="C4" s="1"/>
      <c r="D4" s="1"/>
      <c r="E4" s="1"/>
      <c r="F4" s="1"/>
      <c r="G4" s="1"/>
      <c r="H4" s="1"/>
      <c r="I4" s="1"/>
      <c r="J4" s="1"/>
      <c r="K4" s="1"/>
      <c r="L4" s="1"/>
      <c r="M4" s="1"/>
      <c r="N4" s="1"/>
      <c r="O4" s="1"/>
      <c r="P4" s="1"/>
      <c r="Q4" s="1"/>
      <c r="R4" s="1"/>
      <c r="S4" s="1"/>
      <c r="T4" s="1"/>
      <c r="U4" s="1"/>
      <c r="V4" s="1"/>
      <c r="W4" s="1"/>
    </row>
    <row r="5" spans="1:23" ht="32" customHeight="1">
      <c r="A5" s="1"/>
      <c r="B5" s="4" t="s">
        <v>46</v>
      </c>
      <c r="C5" s="4" t="s">
        <v>7</v>
      </c>
      <c r="D5" s="4" t="s">
        <v>9</v>
      </c>
      <c r="E5" s="4" t="s">
        <v>11</v>
      </c>
      <c r="F5" s="4" t="s">
        <v>12</v>
      </c>
      <c r="G5" s="1"/>
      <c r="H5" s="4" t="s">
        <v>2</v>
      </c>
      <c r="I5" s="4" t="s">
        <v>47</v>
      </c>
      <c r="J5" s="4" t="s">
        <v>48</v>
      </c>
      <c r="K5" s="1"/>
      <c r="L5" s="1"/>
      <c r="M5" s="1"/>
      <c r="N5" s="1"/>
      <c r="O5" s="1"/>
      <c r="P5" s="1"/>
      <c r="Q5" s="1"/>
      <c r="R5" s="1"/>
      <c r="S5" s="1"/>
      <c r="T5" s="1"/>
      <c r="U5" s="1"/>
      <c r="V5" s="1"/>
      <c r="W5" s="1"/>
    </row>
    <row r="6" spans="1:23" ht="23" customHeight="1">
      <c r="A6" s="1"/>
      <c r="B6" s="1" t="s">
        <v>49</v>
      </c>
      <c r="C6" s="17">
        <f>IF(ISNUMBER(Inputs!C7),Inputs!C7,"n.a.")</f>
        <v>27200</v>
      </c>
      <c r="D6" s="17">
        <f>IF(ISNUMBER(Inputs!C8),Inputs!C8,"n.a.")</f>
        <v>26008.556</v>
      </c>
      <c r="E6" s="17">
        <f>IF(ISNUMBER(Inputs!C9),Inputs!C9,"n.a.")</f>
        <v>23008.326000000001</v>
      </c>
      <c r="F6" s="17">
        <f>IF(ISNUMBER(Inputs!C10),Inputs!C10,"n.a.")</f>
        <v>32424.358475969053</v>
      </c>
      <c r="G6" s="1"/>
      <c r="H6" s="1" t="s">
        <v>7</v>
      </c>
      <c r="I6" s="9">
        <f>C11</f>
        <v>4808.3629294939174</v>
      </c>
      <c r="J6" s="9">
        <f>C13</f>
        <v>4723.7840006456563</v>
      </c>
      <c r="K6" s="1"/>
      <c r="L6" s="1"/>
      <c r="M6" s="1"/>
      <c r="N6" s="1"/>
      <c r="O6" s="1"/>
      <c r="P6" s="1"/>
      <c r="Q6" s="1"/>
      <c r="R6" s="1"/>
      <c r="S6" s="1"/>
      <c r="T6" s="1"/>
      <c r="U6" s="1"/>
      <c r="V6" s="1"/>
      <c r="W6" s="1"/>
    </row>
    <row r="7" spans="1:23" ht="23" customHeight="1">
      <c r="A7" s="1"/>
      <c r="B7" s="1" t="s">
        <v>50</v>
      </c>
      <c r="C7" s="17">
        <f>IF(ISNUMBER(Inputs!C6),Inputs!C6,"n.a.")</f>
        <v>29200</v>
      </c>
      <c r="D7" s="17">
        <f>IF(ISNUMBER(Inputs!C7),Inputs!C7,"n.a.")</f>
        <v>27200</v>
      </c>
      <c r="E7" s="17">
        <f>IF(ISNUMBER(Inputs!C8),Inputs!C8,"n.a.")</f>
        <v>26008.556</v>
      </c>
      <c r="F7" s="17">
        <f>IF(ISNUMBER(Inputs!C9),Inputs!C9,"n.a.")</f>
        <v>23008.326000000001</v>
      </c>
      <c r="G7" s="1"/>
      <c r="H7" s="1" t="s">
        <v>9</v>
      </c>
      <c r="I7" s="9">
        <f>D11</f>
        <v>3179.3436542864042</v>
      </c>
      <c r="J7" s="9">
        <f>D13</f>
        <v>3123.419115173388</v>
      </c>
      <c r="K7" s="1"/>
      <c r="L7" s="1"/>
      <c r="M7" s="1"/>
      <c r="N7" s="1"/>
      <c r="O7" s="1"/>
      <c r="P7" s="1"/>
      <c r="Q7" s="1"/>
      <c r="R7" s="1"/>
      <c r="S7" s="1"/>
      <c r="T7" s="1"/>
      <c r="U7" s="1"/>
      <c r="V7" s="1"/>
      <c r="W7" s="1"/>
    </row>
    <row r="8" spans="1:23" ht="23" customHeight="1">
      <c r="A8" s="1"/>
      <c r="B8" s="1" t="s">
        <v>51</v>
      </c>
      <c r="C8" s="18">
        <f>2/3</f>
        <v>0.66666666666666663</v>
      </c>
      <c r="D8" s="18">
        <f>2/3</f>
        <v>0.66666666666666663</v>
      </c>
      <c r="E8" s="18">
        <f>2/3</f>
        <v>0.66666666666666663</v>
      </c>
      <c r="F8" s="18">
        <f>2/3</f>
        <v>0.66666666666666663</v>
      </c>
      <c r="G8" s="1"/>
      <c r="H8" s="1" t="s">
        <v>11</v>
      </c>
      <c r="I8" s="9">
        <f>E11</f>
        <v>3055.6805804424221</v>
      </c>
      <c r="J8" s="9">
        <f>E13</f>
        <v>3001.9312702955167</v>
      </c>
      <c r="K8" s="1"/>
      <c r="L8" s="1"/>
      <c r="M8" s="1"/>
      <c r="N8" s="1"/>
      <c r="O8" s="1"/>
      <c r="P8" s="1"/>
      <c r="Q8" s="1"/>
      <c r="R8" s="1"/>
      <c r="S8" s="1"/>
      <c r="T8" s="1"/>
      <c r="U8" s="1"/>
      <c r="V8" s="1"/>
      <c r="W8" s="1"/>
    </row>
    <row r="9" spans="1:23" ht="23" customHeight="1">
      <c r="A9" s="1"/>
      <c r="B9" s="10" t="s">
        <v>52</v>
      </c>
      <c r="C9" s="19">
        <f>IF(AND(ISNUMBER(C6),ISNUMBER(C7)),IF(AND(C6&gt;0,C7&gt;0),C8*C6+(1-C8)*C7,"n.a."),"n.a.")</f>
        <v>27866.666666666664</v>
      </c>
      <c r="D9" s="19">
        <f>IF(AND(ISNUMBER(D6),ISNUMBER(D7)),IF(AND(D6&gt;0,D7&gt;0),D8*D6+(1-D8)*D7,"n.a."),"n.a.")</f>
        <v>26405.704000000002</v>
      </c>
      <c r="E9" s="19">
        <f>IF(AND(ISNUMBER(E6),ISNUMBER(E7)),IF(AND(E6&gt;0,E7&gt;0),E8*E6+(1-E8)*E7,"n.a."),"n.a.")</f>
        <v>24008.402666666669</v>
      </c>
      <c r="F9" s="19">
        <f>IF(AND(ISNUMBER(F6),ISNUMBER(F7)),IF(AND(F6&gt;0,F7&gt;0),F8*F6+(1-F8)*F7,"n.a."),"n.a.")</f>
        <v>29285.680983979371</v>
      </c>
      <c r="G9" s="1"/>
      <c r="H9" s="1" t="s">
        <v>12</v>
      </c>
      <c r="I9" s="9">
        <f>F11</f>
        <v>4048.3953075731279</v>
      </c>
      <c r="J9" s="9">
        <f>F13</f>
        <v>3977.1841815226035</v>
      </c>
      <c r="K9" s="1"/>
      <c r="L9" s="1"/>
      <c r="M9" s="1"/>
      <c r="N9" s="1"/>
      <c r="O9" s="1"/>
      <c r="P9" s="1"/>
      <c r="Q9" s="1"/>
      <c r="R9" s="1"/>
      <c r="S9" s="1"/>
      <c r="T9" s="1"/>
      <c r="U9" s="1"/>
      <c r="V9" s="1"/>
      <c r="W9" s="1"/>
    </row>
    <row r="10" spans="1:23" ht="23" customHeight="1">
      <c r="A10" s="1"/>
      <c r="B10" s="1" t="s">
        <v>53</v>
      </c>
      <c r="C10" s="20">
        <f>IF(ISNUMBER(Inputs!C14),Inputs!C14,"n.a.")</f>
        <v>0.17254890895313102</v>
      </c>
      <c r="D10" s="20">
        <f>IF(ISNUMBER(Inputs!C15),Inputs!C15,"n.a.")</f>
        <v>0.12040366938470581</v>
      </c>
      <c r="E10" s="20">
        <f>IF(ISNUMBER(Inputs!C16),Inputs!C16,"n.a.")</f>
        <v>0.12727546363111183</v>
      </c>
      <c r="F10" s="20">
        <f>IF(ISNUMBER(Inputs!C17),Inputs!C17,"n.a.")</f>
        <v>0.13823804574623988</v>
      </c>
      <c r="G10" s="1"/>
      <c r="H10" s="1"/>
      <c r="I10" s="1"/>
      <c r="J10" s="1"/>
      <c r="K10" s="1"/>
      <c r="L10" s="1"/>
      <c r="M10" s="1"/>
      <c r="N10" s="1"/>
      <c r="O10" s="1"/>
      <c r="P10" s="1"/>
      <c r="Q10" s="1"/>
      <c r="R10" s="1"/>
      <c r="S10" s="1"/>
      <c r="T10" s="1"/>
      <c r="U10" s="1"/>
      <c r="V10" s="1"/>
      <c r="W10" s="1"/>
    </row>
    <row r="11" spans="1:23" ht="23" customHeight="1">
      <c r="A11" s="1"/>
      <c r="B11" s="10" t="s">
        <v>54</v>
      </c>
      <c r="C11" s="19">
        <f>IF(AND(ISNUMBER(C9),ISNUMBER(C10)),IF(C10&gt;0,C9*C10,"n.a."),"n.a.")</f>
        <v>4808.3629294939174</v>
      </c>
      <c r="D11" s="19">
        <f>IF(AND(ISNUMBER(D9),ISNUMBER(D10)),IF(D10&gt;0,D9*D10,"n.a."),"n.a.")</f>
        <v>3179.3436542864042</v>
      </c>
      <c r="E11" s="19">
        <f>IF(AND(ISNUMBER(E9),ISNUMBER(E10)),IF(E10&gt;0,E9*E10,"n.a."),"n.a.")</f>
        <v>3055.6805804424221</v>
      </c>
      <c r="F11" s="19">
        <f>IF(AND(ISNUMBER(F9),ISNUMBER(F10)),IF(F10&gt;0,F9*F10,"n.a."),"n.a.")</f>
        <v>4048.3953075731279</v>
      </c>
      <c r="G11" s="1"/>
      <c r="H11" s="1"/>
      <c r="I11" s="1"/>
      <c r="J11" s="1"/>
      <c r="K11" s="1"/>
      <c r="L11" s="1"/>
      <c r="M11" s="1"/>
      <c r="N11" s="1"/>
      <c r="O11" s="1"/>
      <c r="P11" s="1"/>
      <c r="Q11" s="1"/>
      <c r="R11" s="1"/>
      <c r="S11" s="1"/>
      <c r="T11" s="1"/>
      <c r="U11" s="1"/>
      <c r="V11" s="1"/>
      <c r="W11" s="1"/>
    </row>
    <row r="12" spans="1:23" ht="23" customHeight="1">
      <c r="A12" s="1"/>
      <c r="B12" s="1" t="s">
        <v>55</v>
      </c>
      <c r="C12" s="20">
        <f>IF(ISNUMBER(Inputs!D14),Inputs!D14,"n.a.")</f>
        <v>1.7904910308494199E-2</v>
      </c>
      <c r="D12" s="20">
        <f>IF(ISNUMBER(Inputs!D15),Inputs!D15,"n.a.")</f>
        <v>1.7904910308494199E-2</v>
      </c>
      <c r="E12" s="20">
        <f>IF(ISNUMBER(Inputs!D16),Inputs!D16,"n.a.")</f>
        <v>1.7904910308494199E-2</v>
      </c>
      <c r="F12" s="20">
        <f>IF(ISNUMBER(Inputs!D17),Inputs!D17,"n.a.")</f>
        <v>1.7904910308494199E-2</v>
      </c>
      <c r="G12" s="1"/>
      <c r="H12" s="1"/>
      <c r="I12" s="1"/>
      <c r="J12" s="1"/>
      <c r="K12" s="1"/>
      <c r="L12" s="1"/>
      <c r="M12" s="1"/>
      <c r="N12" s="1"/>
      <c r="O12" s="1"/>
      <c r="P12" s="1"/>
      <c r="Q12" s="1"/>
      <c r="R12" s="1"/>
      <c r="S12" s="1"/>
      <c r="T12" s="1"/>
      <c r="U12" s="1"/>
      <c r="V12" s="1"/>
      <c r="W12" s="1"/>
    </row>
    <row r="13" spans="1:23" ht="23" customHeight="1">
      <c r="A13" s="1"/>
      <c r="B13" s="10" t="s">
        <v>56</v>
      </c>
      <c r="C13" s="19">
        <f>IF(AND(ISNUMBER(C11),ISNUMBER(C12)),IF(C12&gt;-1,C11/(1+C12),"n.a."),"n.a.")</f>
        <v>4723.7840006456563</v>
      </c>
      <c r="D13" s="19">
        <f>IF(AND(ISNUMBER(D11),ISNUMBER(D12)),IF(D12&gt;-1,D11/(1+D12),"n.a."),"n.a.")</f>
        <v>3123.419115173388</v>
      </c>
      <c r="E13" s="19">
        <f>IF(AND(ISNUMBER(E11),ISNUMBER(E12)),IF(E12&gt;-1,E11/(1+E12),"n.a."),"n.a.")</f>
        <v>3001.9312702955167</v>
      </c>
      <c r="F13" s="19">
        <f>IF(AND(ISNUMBER(F11),ISNUMBER(F12)),IF(F12&gt;-1,F11/(1+F12),"n.a."),"n.a.")</f>
        <v>3977.1841815226035</v>
      </c>
      <c r="G13" s="1"/>
      <c r="H13" s="1"/>
      <c r="I13" s="1"/>
      <c r="J13" s="1"/>
      <c r="K13" s="1"/>
      <c r="L13" s="1"/>
      <c r="M13" s="1"/>
      <c r="N13" s="1"/>
      <c r="O13" s="1"/>
      <c r="P13" s="1"/>
      <c r="Q13" s="1"/>
      <c r="R13" s="1"/>
      <c r="S13" s="1"/>
      <c r="T13" s="1"/>
      <c r="U13" s="1"/>
      <c r="V13" s="1"/>
      <c r="W13" s="1"/>
    </row>
    <row r="14" spans="1:23" ht="23" customHeight="1">
      <c r="A14" s="1"/>
      <c r="B14" s="1" t="s">
        <v>57</v>
      </c>
      <c r="C14" s="21" t="s">
        <v>58</v>
      </c>
      <c r="D14" s="21" t="s">
        <v>59</v>
      </c>
      <c r="E14" s="21" t="s">
        <v>59</v>
      </c>
      <c r="F14" s="21" t="s">
        <v>59</v>
      </c>
      <c r="G14" s="1"/>
      <c r="H14" s="1"/>
      <c r="I14" s="1"/>
      <c r="J14" s="1"/>
      <c r="K14" s="1"/>
      <c r="L14" s="1"/>
      <c r="M14" s="1"/>
      <c r="N14" s="1"/>
      <c r="O14" s="1"/>
      <c r="P14" s="1"/>
      <c r="Q14" s="1"/>
      <c r="R14" s="1"/>
      <c r="S14" s="1"/>
      <c r="T14" s="1"/>
      <c r="U14" s="1"/>
      <c r="V14" s="1"/>
      <c r="W14" s="1"/>
    </row>
    <row r="15" spans="1:23" ht="23" customHeight="1">
      <c r="A15" s="1"/>
      <c r="B15" s="1"/>
      <c r="C15" s="21"/>
      <c r="D15" s="21"/>
      <c r="E15" s="21"/>
      <c r="F15" s="21"/>
      <c r="G15" s="1"/>
      <c r="H15" s="1"/>
      <c r="I15" s="1"/>
      <c r="J15" s="1"/>
      <c r="K15" s="1"/>
      <c r="L15" s="1"/>
      <c r="M15" s="1"/>
      <c r="N15" s="1"/>
      <c r="O15" s="1"/>
      <c r="P15" s="1"/>
      <c r="Q15" s="1"/>
      <c r="R15" s="1"/>
      <c r="S15" s="1"/>
      <c r="T15" s="1"/>
      <c r="U15" s="1"/>
      <c r="V15" s="1"/>
      <c r="W15" s="1"/>
    </row>
    <row r="16" spans="1:23" ht="23" customHeight="1">
      <c r="A16" s="1"/>
      <c r="B16" s="1" t="s">
        <v>60</v>
      </c>
      <c r="C16" s="17">
        <f>IF(ISNUMBER(Inputs!C24),Inputs!C24,"n.a.")</f>
        <v>4744.8818700000002</v>
      </c>
      <c r="D16" s="17">
        <f>IF(ISNUMBER(Inputs!C25),Inputs!C25,"n.a.")</f>
        <v>3161.0214900000001</v>
      </c>
      <c r="E16" s="17" t="str">
        <f>IF(ISNUMBER(Inputs!C26),Inputs!C26,"n.a.")</f>
        <v>n.a.</v>
      </c>
      <c r="F16" s="17" t="str">
        <f>IF(ISNUMBER(Inputs!C27),Inputs!C27,"n.a.")</f>
        <v>n.a.</v>
      </c>
      <c r="G16" s="1"/>
      <c r="H16" s="1"/>
      <c r="I16" s="1"/>
      <c r="J16" s="1"/>
      <c r="K16" s="1"/>
      <c r="L16" s="1"/>
      <c r="M16" s="1"/>
      <c r="N16" s="1"/>
      <c r="O16" s="1"/>
      <c r="P16" s="1"/>
      <c r="Q16" s="1"/>
      <c r="R16" s="1"/>
      <c r="S16" s="1"/>
      <c r="T16" s="1"/>
      <c r="U16" s="1"/>
      <c r="V16" s="1"/>
      <c r="W16" s="1"/>
    </row>
    <row r="17" spans="1:23" ht="23" customHeight="1">
      <c r="A17" s="1"/>
      <c r="B17" s="1" t="s">
        <v>61</v>
      </c>
      <c r="C17" s="20">
        <f>IF(ISNUMBER(Inputs!C53),Inputs!C53,"n.a.")</f>
        <v>1.7904910308494199E-2</v>
      </c>
      <c r="D17" s="20">
        <f>IF(ISNUMBER(Inputs!C54),Inputs!C54,"n.a.")</f>
        <v>1.7904910308494199E-2</v>
      </c>
      <c r="E17" s="20">
        <f>IF(ISNUMBER(Inputs!C55),Inputs!C55,"n.a.")</f>
        <v>1.7904910308494199E-2</v>
      </c>
      <c r="F17" s="20">
        <f>IF(ISNUMBER(Inputs!C56),Inputs!C56,"n.a.")</f>
        <v>1.7904910308494199E-2</v>
      </c>
      <c r="G17" s="1"/>
      <c r="H17" s="1"/>
      <c r="I17" s="1"/>
      <c r="J17" s="1"/>
      <c r="K17" s="1"/>
      <c r="L17" s="1"/>
      <c r="M17" s="1"/>
      <c r="N17" s="1"/>
      <c r="O17" s="1"/>
      <c r="P17" s="1"/>
      <c r="Q17" s="1"/>
      <c r="R17" s="1"/>
      <c r="S17" s="1"/>
      <c r="T17" s="1"/>
      <c r="U17" s="1"/>
      <c r="V17" s="1"/>
      <c r="W17" s="1"/>
    </row>
    <row r="18" spans="1:23" ht="23" customHeight="1">
      <c r="A18" s="1"/>
      <c r="B18" s="1" t="s">
        <v>62</v>
      </c>
      <c r="C18" s="22" t="str">
        <f>"Already issued"</f>
        <v>Already issued</v>
      </c>
      <c r="D18" s="22">
        <f>IF(AND(ISNUMBER(D16),ISNUMBER(D17)),IF(D17&gt;-1,D16/(1+D17),"n.a."),"n.a.")</f>
        <v>3105.4192370896376</v>
      </c>
      <c r="E18" s="22" t="str">
        <f>IF(AND(ISNUMBER(E16),ISNUMBER(E17)),IF(E17&gt;-1,E16/(1+E17),"n.a."),"n.a.")</f>
        <v>n.a.</v>
      </c>
      <c r="F18" s="22" t="str">
        <f>IF(AND(ISNUMBER(F16),ISNUMBER(F17)),IF(F17&gt;-1,F16/(1+F17),"n.a."),"n.a.")</f>
        <v>n.a.</v>
      </c>
      <c r="G18" s="1"/>
      <c r="H18" s="1"/>
      <c r="I18" s="1"/>
      <c r="J18" s="1"/>
      <c r="K18" s="1"/>
      <c r="L18" s="1"/>
      <c r="M18" s="1"/>
      <c r="N18" s="1"/>
      <c r="O18" s="1"/>
      <c r="P18" s="1"/>
      <c r="Q18" s="1"/>
      <c r="R18" s="1"/>
      <c r="S18" s="1"/>
      <c r="T18" s="1"/>
      <c r="U18" s="1"/>
      <c r="V18" s="1"/>
      <c r="W18" s="1"/>
    </row>
    <row r="19" spans="1:23" ht="23" customHeight="1">
      <c r="A19" s="1"/>
      <c r="B19" s="10" t="s">
        <v>63</v>
      </c>
      <c r="C19" s="19" t="str">
        <f>IF(AND(ISNUMBER(C13),ISNUMBER(C18)),C13-C18,"n.a.")</f>
        <v>n.a.</v>
      </c>
      <c r="D19" s="19">
        <f>IF(AND(ISNUMBER(D13),ISNUMBER(D18)),D13-D18,"n.a.")</f>
        <v>17.999878083750446</v>
      </c>
      <c r="E19" s="19" t="str">
        <f>IF(AND(ISNUMBER(E13),ISNUMBER(E18)),E13-E18,"n.a.")</f>
        <v>n.a.</v>
      </c>
      <c r="F19" s="19" t="str">
        <f>IF(AND(ISNUMBER(F13),ISNUMBER(F18)),F13-F18,"n.a.")</f>
        <v>n.a.</v>
      </c>
      <c r="G19" s="1"/>
      <c r="H19" s="1"/>
      <c r="I19" s="1"/>
      <c r="J19" s="1"/>
      <c r="K19" s="1"/>
      <c r="L19" s="1"/>
      <c r="M19" s="1"/>
      <c r="N19" s="1"/>
      <c r="O19" s="1"/>
      <c r="P19" s="1"/>
      <c r="Q19" s="1"/>
      <c r="R19" s="1"/>
      <c r="S19" s="1"/>
      <c r="T19" s="1"/>
      <c r="U19" s="1"/>
      <c r="V19" s="1"/>
      <c r="W19" s="1"/>
    </row>
    <row r="20" spans="1:23" ht="23" customHeight="1">
      <c r="A20" s="1"/>
      <c r="B20" s="1" t="s">
        <v>64</v>
      </c>
      <c r="C20" s="18" t="str">
        <f>IF(AND(ISNUMBER(C13),ISNUMBER(C18)),IF(C18&gt;0,C13/C18-1,"n.a."),"n.a.")</f>
        <v>n.a.</v>
      </c>
      <c r="D20" s="18">
        <f>IF(AND(ISNUMBER(D13),ISNUMBER(D18)),IF(D18&gt;0,D13/D18-1,"n.a."),"n.a.")</f>
        <v>5.7962795711343773E-3</v>
      </c>
      <c r="E20" s="18" t="str">
        <f>IF(AND(ISNUMBER(E13),ISNUMBER(E18)),IF(E18&gt;0,E13/E18-1,"n.a."),"n.a.")</f>
        <v>n.a.</v>
      </c>
      <c r="F20" s="18" t="str">
        <f>IF(AND(ISNUMBER(F13),ISNUMBER(F18)),IF(F18&gt;0,F13/F18-1,"n.a."),"n.a.")</f>
        <v>n.a.</v>
      </c>
      <c r="G20" s="1"/>
      <c r="H20" s="1"/>
      <c r="I20" s="1"/>
      <c r="J20" s="1"/>
      <c r="K20" s="1"/>
      <c r="L20" s="1"/>
      <c r="M20" s="1"/>
      <c r="N20" s="1"/>
      <c r="O20" s="1"/>
      <c r="P20" s="1"/>
      <c r="Q20" s="1"/>
      <c r="R20" s="1"/>
      <c r="S20" s="1"/>
      <c r="T20" s="1"/>
      <c r="U20" s="1"/>
      <c r="V20" s="1"/>
      <c r="W20" s="1"/>
    </row>
    <row r="21" spans="1:23" ht="23" customHeight="1">
      <c r="A21" s="1"/>
      <c r="B21" s="1" t="s">
        <v>65</v>
      </c>
      <c r="C21" s="22" t="str">
        <f>"Already issued"</f>
        <v>Already issued</v>
      </c>
      <c r="D21" s="17" t="str">
        <f>IF(ISNUMBER(Inputs!D25),Inputs!D25,"n.a.")</f>
        <v>n.a.</v>
      </c>
      <c r="E21" s="17" t="str">
        <f>IF(ISNUMBER(Inputs!D26),Inputs!D26,"n.a.")</f>
        <v>n.a.</v>
      </c>
      <c r="F21" s="17" t="str">
        <f>IF(ISNUMBER(Inputs!D27),Inputs!D27,"n.a.")</f>
        <v>n.a.</v>
      </c>
      <c r="G21" s="1"/>
      <c r="H21" s="1"/>
      <c r="I21" s="1"/>
      <c r="J21" s="1"/>
      <c r="K21" s="1"/>
      <c r="L21" s="1"/>
      <c r="M21" s="1"/>
      <c r="N21" s="1"/>
      <c r="O21" s="1"/>
      <c r="P21" s="1"/>
      <c r="Q21" s="1"/>
      <c r="R21" s="1"/>
      <c r="S21" s="1"/>
      <c r="T21" s="1"/>
      <c r="U21" s="1"/>
      <c r="V21" s="1"/>
      <c r="W21" s="1"/>
    </row>
    <row r="22" spans="1:23" ht="23" customHeight="1">
      <c r="A22" s="1"/>
      <c r="B22" s="1" t="s">
        <v>66</v>
      </c>
      <c r="C22" s="22" t="str">
        <f>IF(AND(ISNUMBER(C13),ISNUMBER(C21)),C13-C21,"n.a.")</f>
        <v>n.a.</v>
      </c>
      <c r="D22" s="22" t="str">
        <f>IF(AND(ISNUMBER(D13),ISNUMBER(D21)),D13-D21,"n.a.")</f>
        <v>n.a.</v>
      </c>
      <c r="E22" s="22" t="str">
        <f>IF(AND(ISNUMBER(E13),ISNUMBER(E21)),E13-E21,"n.a.")</f>
        <v>n.a.</v>
      </c>
      <c r="F22" s="22" t="str">
        <f>IF(AND(ISNUMBER(F13),ISNUMBER(F21)),F13-F21,"n.a.")</f>
        <v>n.a.</v>
      </c>
      <c r="G22" s="1"/>
      <c r="H22" s="1"/>
      <c r="I22" s="1"/>
      <c r="J22" s="1"/>
      <c r="K22" s="1"/>
      <c r="L22" s="1"/>
      <c r="M22" s="1"/>
      <c r="N22" s="1"/>
      <c r="O22" s="1"/>
      <c r="P22" s="1"/>
      <c r="Q22" s="1"/>
      <c r="R22" s="1"/>
      <c r="S22" s="1"/>
      <c r="T22" s="1"/>
      <c r="U22" s="1"/>
      <c r="V22" s="1"/>
      <c r="W22" s="1"/>
    </row>
    <row r="23" spans="1:23" ht="23" customHeight="1">
      <c r="A23" s="1"/>
      <c r="B23" s="1"/>
      <c r="C23" s="21"/>
      <c r="D23" s="21"/>
      <c r="E23" s="21"/>
      <c r="F23" s="21"/>
      <c r="G23" s="1"/>
      <c r="H23" s="1"/>
      <c r="I23" s="1"/>
      <c r="J23" s="1"/>
      <c r="K23" s="1"/>
      <c r="L23" s="1"/>
      <c r="M23" s="1"/>
      <c r="N23" s="1"/>
      <c r="O23" s="1"/>
      <c r="P23" s="1"/>
      <c r="Q23" s="1"/>
      <c r="R23" s="1"/>
      <c r="S23" s="1"/>
      <c r="T23" s="1"/>
      <c r="U23" s="1"/>
      <c r="V23" s="1"/>
      <c r="W23" s="1"/>
    </row>
    <row r="24" spans="1:23" ht="23" customHeight="1">
      <c r="A24" s="1"/>
      <c r="B24" s="1" t="s">
        <v>67</v>
      </c>
      <c r="C24" s="18">
        <f>IF(AND(ISNUMBER(C16),ISNUMBER(C9)),C16/C9,"n.a.")</f>
        <v>0.17027088050239236</v>
      </c>
      <c r="D24" s="18">
        <f>IF(AND(ISNUMBER(D16),ISNUMBER(D9)),D16/D9,"n.a.")</f>
        <v>0.11970979792850817</v>
      </c>
      <c r="E24" s="18" t="str">
        <f>IF(AND(ISNUMBER(E16),ISNUMBER(E9)),E16/E9,"n.a.")</f>
        <v>n.a.</v>
      </c>
      <c r="F24" s="18" t="str">
        <f>IF(AND(ISNUMBER(F16),ISNUMBER(F9)),F16/F9,"n.a.")</f>
        <v>n.a.</v>
      </c>
      <c r="G24" s="1"/>
      <c r="H24" s="1"/>
      <c r="I24" s="1"/>
      <c r="J24" s="1"/>
      <c r="K24" s="1"/>
      <c r="L24" s="1"/>
      <c r="M24" s="1"/>
      <c r="N24" s="1"/>
      <c r="O24" s="1"/>
      <c r="P24" s="1"/>
      <c r="Q24" s="1"/>
      <c r="R24" s="1"/>
      <c r="S24" s="1"/>
      <c r="T24" s="1"/>
      <c r="U24" s="1"/>
      <c r="V24" s="1"/>
      <c r="W24" s="1"/>
    </row>
    <row r="25" spans="1:23" ht="23" customHeight="1">
      <c r="A25" s="1"/>
      <c r="B25" s="1" t="s">
        <v>68</v>
      </c>
      <c r="C25" s="22">
        <f>IF(AND(ISNUMBER(C24),ISNUMBER(C10)),(C24-C10)*10000,"n.a.")</f>
        <v>-22.780284507386561</v>
      </c>
      <c r="D25" s="22">
        <f>IF(AND(ISNUMBER(D24),ISNUMBER(D10)),(D24-D10)*10000,"n.a.")</f>
        <v>-6.9387145619764778</v>
      </c>
      <c r="E25" s="22" t="str">
        <f>IF(AND(ISNUMBER(E24),ISNUMBER(E10)),(E24-E10)*10000,"n.a.")</f>
        <v>n.a.</v>
      </c>
      <c r="F25" s="22" t="str">
        <f>IF(AND(ISNUMBER(F24),ISNUMBER(F10)),(F24-F10)*10000,"n.a.")</f>
        <v>n.a.</v>
      </c>
      <c r="G25" s="1"/>
      <c r="H25" s="1"/>
      <c r="I25" s="1"/>
      <c r="J25" s="1"/>
      <c r="K25" s="1"/>
      <c r="L25" s="1"/>
      <c r="M25" s="1"/>
      <c r="N25" s="1"/>
      <c r="O25" s="1"/>
      <c r="P25" s="1"/>
      <c r="Q25" s="1"/>
      <c r="R25" s="1"/>
      <c r="S25" s="1"/>
      <c r="T25" s="1"/>
      <c r="U25" s="1"/>
      <c r="V25" s="1"/>
      <c r="W25" s="1"/>
    </row>
    <row r="26" spans="1:23" ht="23" customHeight="1">
      <c r="A26" s="1"/>
      <c r="B26" s="1" t="s">
        <v>69</v>
      </c>
      <c r="C26" s="22">
        <f>IF(AND(ISNUMBER(C16),ISNUMBER(C10),ISNUMBER(C7)),IF(AND(C10&gt;0,C7&gt;0),(C16/C10-(1-C8)*C7)/C8,"n.a."),"n.a.")</f>
        <v>26648.147253908508</v>
      </c>
      <c r="D26" s="22">
        <f>IF(AND(ISNUMBER(D16),ISNUMBER(D10),ISNUMBER(D7)),IF(AND(D10&gt;0,D7&gt;0),(D16/D10-(1-D8)*D7)/D8,"n.a."),"n.a.")</f>
        <v>25780.296790209697</v>
      </c>
      <c r="E26" s="22" t="str">
        <f>IF(AND(ISNUMBER(E16),ISNUMBER(E10),ISNUMBER(E7)),IF(AND(E10&gt;0,E7&gt;0),(E16/E10-(1-E8)*E7)/E8,"n.a."),"n.a.")</f>
        <v>n.a.</v>
      </c>
      <c r="F26" s="22" t="str">
        <f>IF(AND(ISNUMBER(F16),ISNUMBER(F10),ISNUMBER(F7)),IF(AND(F10&gt;0,F7&gt;0),(F16/F10-(1-F8)*F7)/F8,"n.a."),"n.a.")</f>
        <v>n.a.</v>
      </c>
      <c r="G26" s="1"/>
      <c r="H26" s="1"/>
      <c r="I26" s="1"/>
      <c r="J26" s="1"/>
      <c r="K26" s="1"/>
      <c r="L26" s="1"/>
      <c r="M26" s="1"/>
      <c r="N26" s="1"/>
      <c r="O26" s="1"/>
      <c r="P26" s="1"/>
      <c r="Q26" s="1"/>
      <c r="R26" s="1"/>
      <c r="S26" s="1"/>
      <c r="T26" s="1"/>
      <c r="U26" s="1"/>
      <c r="V26" s="1"/>
      <c r="W26" s="1"/>
    </row>
    <row r="27" spans="1:23" ht="23" customHeight="1">
      <c r="A27" s="1"/>
      <c r="B27" s="1" t="s">
        <v>70</v>
      </c>
      <c r="C27" s="18">
        <f>IF(AND(ISNUMBER(C26),ISNUMBER(C6)),IF(C6&gt;0,C26/C6-1,"n.a."),"n.a.")</f>
        <v>-2.0288703900422478E-2</v>
      </c>
      <c r="D27" s="18">
        <f>IF(AND(ISNUMBER(D26),ISNUMBER(D6)),IF(D6&gt;0,D26/D6-1,"n.a."),"n.a.")</f>
        <v>-8.7763122947042138E-3</v>
      </c>
      <c r="E27" s="18" t="str">
        <f>IF(AND(ISNUMBER(E26),ISNUMBER(E6)),IF(E6&gt;0,E26/E6-1,"n.a."),"n.a.")</f>
        <v>n.a.</v>
      </c>
      <c r="F27" s="18" t="str">
        <f>IF(AND(ISNUMBER(F26),ISNUMBER(F6)),IF(F6&gt;0,F26/F6-1,"n.a."),"n.a.")</f>
        <v>n.a.</v>
      </c>
      <c r="G27" s="1"/>
      <c r="H27" s="1"/>
      <c r="I27" s="1"/>
      <c r="J27" s="1"/>
      <c r="K27" s="1"/>
      <c r="L27" s="1"/>
      <c r="M27" s="1"/>
      <c r="N27" s="1"/>
      <c r="O27" s="1"/>
      <c r="P27" s="1"/>
      <c r="Q27" s="1"/>
      <c r="R27" s="1"/>
      <c r="S27" s="1"/>
      <c r="T27" s="1"/>
      <c r="U27" s="1"/>
      <c r="V27" s="1"/>
      <c r="W27" s="1"/>
    </row>
    <row r="28" spans="1:23" ht="23" customHeight="1">
      <c r="A28" s="1"/>
      <c r="B28" s="1"/>
      <c r="C28" s="1"/>
      <c r="D28" s="1"/>
      <c r="E28" s="1"/>
      <c r="F28" s="1"/>
      <c r="G28" s="1"/>
      <c r="H28" s="1"/>
      <c r="I28" s="1"/>
      <c r="J28" s="1"/>
      <c r="K28" s="1"/>
      <c r="L28" s="1"/>
      <c r="M28" s="1"/>
      <c r="N28" s="1"/>
      <c r="O28" s="1"/>
      <c r="P28" s="1"/>
      <c r="Q28" s="1"/>
      <c r="R28" s="1"/>
      <c r="S28" s="1"/>
      <c r="T28" s="1"/>
      <c r="U28" s="1"/>
      <c r="V28" s="1"/>
      <c r="W28" s="1"/>
    </row>
    <row r="29" spans="1:23" ht="23" customHeight="1">
      <c r="A29" s="1"/>
      <c r="B29" s="42" t="s">
        <v>71</v>
      </c>
      <c r="C29" s="42"/>
      <c r="D29" s="42"/>
      <c r="E29" s="42"/>
      <c r="F29" s="42"/>
      <c r="G29" s="1"/>
      <c r="H29" s="1"/>
      <c r="I29" s="1"/>
      <c r="J29" s="1"/>
      <c r="K29" s="1"/>
      <c r="L29" s="1"/>
      <c r="M29" s="1"/>
      <c r="N29" s="1"/>
      <c r="O29" s="1"/>
      <c r="P29" s="1"/>
      <c r="Q29" s="1"/>
      <c r="R29" s="1"/>
      <c r="S29" s="1"/>
      <c r="T29" s="1"/>
      <c r="U29" s="1"/>
      <c r="V29" s="1"/>
      <c r="W29" s="1"/>
    </row>
    <row r="30" spans="1:23" ht="23" customHeight="1">
      <c r="A30" s="1"/>
      <c r="B30" s="42"/>
      <c r="C30" s="42"/>
      <c r="D30" s="42"/>
      <c r="E30" s="42"/>
      <c r="F30" s="42"/>
      <c r="G30" s="1"/>
      <c r="H30" s="1"/>
      <c r="I30" s="1"/>
      <c r="J30" s="1"/>
      <c r="K30" s="1"/>
      <c r="L30" s="1"/>
      <c r="M30" s="1"/>
      <c r="N30" s="1"/>
      <c r="O30" s="1"/>
      <c r="P30" s="1"/>
      <c r="Q30" s="1"/>
      <c r="R30" s="1"/>
      <c r="S30" s="1"/>
      <c r="T30" s="1"/>
      <c r="U30" s="1"/>
      <c r="V30" s="1"/>
      <c r="W30" s="1"/>
    </row>
    <row r="31" spans="1:23" ht="23" customHeight="1">
      <c r="A31" s="1"/>
      <c r="B31" s="42"/>
      <c r="C31" s="42"/>
      <c r="D31" s="42"/>
      <c r="E31" s="42"/>
      <c r="F31" s="42"/>
      <c r="G31" s="1"/>
      <c r="H31" s="1"/>
      <c r="I31" s="1"/>
      <c r="J31" s="1"/>
      <c r="K31" s="1"/>
      <c r="L31" s="1"/>
      <c r="M31" s="1"/>
      <c r="N31" s="1"/>
      <c r="O31" s="1"/>
      <c r="P31" s="1"/>
      <c r="Q31" s="1"/>
      <c r="R31" s="1"/>
      <c r="S31" s="1"/>
      <c r="T31" s="1"/>
      <c r="U31" s="1"/>
      <c r="V31" s="1"/>
      <c r="W31" s="1"/>
    </row>
    <row r="32" spans="1:23" ht="23" customHeight="1">
      <c r="A32" s="1"/>
      <c r="B32" s="1"/>
      <c r="C32" s="1"/>
      <c r="D32" s="1"/>
      <c r="E32" s="1"/>
      <c r="F32" s="1"/>
      <c r="G32" s="1"/>
      <c r="H32" s="1"/>
      <c r="I32" s="1"/>
      <c r="J32" s="1"/>
      <c r="K32" s="1"/>
      <c r="L32" s="1"/>
      <c r="M32" s="1"/>
      <c r="N32" s="1"/>
      <c r="O32" s="1"/>
      <c r="P32" s="1"/>
      <c r="Q32" s="1"/>
      <c r="R32" s="1"/>
      <c r="S32" s="1"/>
      <c r="T32" s="1"/>
      <c r="U32" s="1"/>
      <c r="V32" s="1"/>
      <c r="W32" s="1"/>
    </row>
    <row r="33" spans="1:23" ht="23" customHeight="1">
      <c r="A33" s="1"/>
      <c r="B33" s="1"/>
      <c r="C33" s="1"/>
      <c r="D33" s="1"/>
      <c r="E33" s="1"/>
      <c r="F33" s="1"/>
      <c r="G33" s="1"/>
      <c r="H33" s="1"/>
      <c r="I33" s="1"/>
      <c r="J33" s="1"/>
      <c r="K33" s="1"/>
      <c r="L33" s="1"/>
      <c r="M33" s="1"/>
      <c r="N33" s="1"/>
      <c r="O33" s="1"/>
      <c r="P33" s="1"/>
      <c r="Q33" s="1"/>
      <c r="R33" s="1"/>
      <c r="S33" s="1"/>
      <c r="T33" s="1"/>
      <c r="U33" s="1"/>
      <c r="V33" s="1"/>
      <c r="W33" s="1"/>
    </row>
    <row r="34" spans="1:23" ht="27" customHeight="1">
      <c r="A34" s="1"/>
      <c r="B34" s="6" t="s">
        <v>72</v>
      </c>
      <c r="C34" s="6"/>
      <c r="D34" s="6"/>
      <c r="E34" s="6"/>
      <c r="F34" s="6"/>
      <c r="G34" s="6"/>
      <c r="H34" s="6"/>
      <c r="I34" s="1"/>
      <c r="J34" s="1"/>
      <c r="K34" s="1"/>
      <c r="L34" s="1"/>
      <c r="M34" s="1"/>
      <c r="N34" s="1"/>
      <c r="O34" s="1"/>
      <c r="P34" s="1"/>
      <c r="Q34" s="1"/>
      <c r="R34" s="1"/>
      <c r="S34" s="1"/>
      <c r="T34" s="1"/>
      <c r="U34" s="1"/>
      <c r="V34" s="1"/>
      <c r="W34" s="1"/>
    </row>
    <row r="35" spans="1:23" ht="23" customHeight="1">
      <c r="A35" s="1"/>
      <c r="B35" s="1" t="s">
        <v>73</v>
      </c>
      <c r="C35" s="1">
        <v>-20</v>
      </c>
      <c r="D35" s="1">
        <v>-10</v>
      </c>
      <c r="E35" s="1">
        <v>0</v>
      </c>
      <c r="F35" s="1">
        <v>10</v>
      </c>
      <c r="G35" s="1">
        <v>20</v>
      </c>
      <c r="H35" s="1"/>
      <c r="I35" s="1"/>
      <c r="J35" s="1"/>
      <c r="K35" s="1"/>
      <c r="L35" s="1"/>
      <c r="M35" s="1"/>
      <c r="N35" s="1"/>
      <c r="O35" s="1"/>
      <c r="P35" s="1"/>
      <c r="Q35" s="1"/>
      <c r="R35" s="1"/>
      <c r="S35" s="1"/>
      <c r="T35" s="1"/>
      <c r="U35" s="1"/>
      <c r="V35" s="1"/>
      <c r="W35" s="1"/>
    </row>
    <row r="36" spans="1:23" ht="23" customHeight="1">
      <c r="A36" s="1"/>
      <c r="B36" s="12">
        <v>-0.04</v>
      </c>
      <c r="C36" s="9">
        <f t="shared" ref="C36:G40" si="0">IF(AND(ISNUMBER($D$6),ISNUMBER($D$7),ISNUMBER($D$10),ISNUMBER($D$12)),IF(AND($D$6&gt;0,$D$7&gt;0,$D$10+C$35/10000&gt;0,$D$12&gt;-1),(($D$6*(1+$B36)*$D$8+$D$7*(1-$D$8))*($D$10+C$35/10000))/(1+$D$12),"n.a."),"n.a.")</f>
        <v>2990.8609239434136</v>
      </c>
      <c r="D36" s="9">
        <f t="shared" si="0"/>
        <v>3016.1207907996154</v>
      </c>
      <c r="E36" s="9">
        <f t="shared" si="0"/>
        <v>3041.3806576558177</v>
      </c>
      <c r="F36" s="9">
        <f t="shared" si="0"/>
        <v>3066.6405245120195</v>
      </c>
      <c r="G36" s="9">
        <f t="shared" si="0"/>
        <v>3091.9003913682213</v>
      </c>
      <c r="H36" s="1"/>
      <c r="I36" s="1"/>
      <c r="J36" s="1"/>
      <c r="K36" s="1"/>
      <c r="L36" s="1"/>
      <c r="M36" s="1"/>
      <c r="N36" s="1"/>
      <c r="O36" s="1"/>
      <c r="P36" s="1"/>
      <c r="Q36" s="1"/>
      <c r="R36" s="1"/>
      <c r="S36" s="1"/>
      <c r="T36" s="1"/>
      <c r="U36" s="1"/>
      <c r="V36" s="1"/>
      <c r="W36" s="1"/>
    </row>
    <row r="37" spans="1:23" ht="23" customHeight="1">
      <c r="A37" s="1"/>
      <c r="B37" s="12">
        <v>-0.02</v>
      </c>
      <c r="C37" s="9">
        <f t="shared" si="0"/>
        <v>3031.1987909302793</v>
      </c>
      <c r="D37" s="9">
        <f t="shared" si="0"/>
        <v>3056.7993386724411</v>
      </c>
      <c r="E37" s="9">
        <f t="shared" si="0"/>
        <v>3082.3998864146029</v>
      </c>
      <c r="F37" s="9">
        <f t="shared" si="0"/>
        <v>3108.0004341567646</v>
      </c>
      <c r="G37" s="9">
        <f t="shared" si="0"/>
        <v>3133.600981898926</v>
      </c>
      <c r="H37" s="1"/>
      <c r="I37" s="1"/>
      <c r="J37" s="1"/>
      <c r="K37" s="1"/>
      <c r="L37" s="1"/>
      <c r="M37" s="1"/>
      <c r="N37" s="1"/>
      <c r="O37" s="1"/>
      <c r="P37" s="1"/>
      <c r="Q37" s="1"/>
      <c r="R37" s="1"/>
      <c r="S37" s="1"/>
      <c r="T37" s="1"/>
      <c r="U37" s="1"/>
      <c r="V37" s="1"/>
      <c r="W37" s="1"/>
    </row>
    <row r="38" spans="1:23" ht="23" customHeight="1">
      <c r="A38" s="1"/>
      <c r="B38" s="12">
        <v>0</v>
      </c>
      <c r="C38" s="9">
        <f t="shared" si="0"/>
        <v>3071.5366579171455</v>
      </c>
      <c r="D38" s="9">
        <f t="shared" si="0"/>
        <v>3097.4778865452668</v>
      </c>
      <c r="E38" s="9">
        <f t="shared" si="0"/>
        <v>3123.419115173388</v>
      </c>
      <c r="F38" s="9">
        <f t="shared" si="0"/>
        <v>3149.3603438015093</v>
      </c>
      <c r="G38" s="9">
        <f t="shared" si="0"/>
        <v>3175.3015724296311</v>
      </c>
      <c r="H38" s="1"/>
      <c r="I38" s="1"/>
      <c r="J38" s="1"/>
      <c r="K38" s="1"/>
      <c r="L38" s="1"/>
      <c r="M38" s="1"/>
      <c r="N38" s="1"/>
      <c r="O38" s="1"/>
      <c r="P38" s="1"/>
      <c r="Q38" s="1"/>
      <c r="R38" s="1"/>
      <c r="S38" s="1"/>
      <c r="T38" s="1"/>
      <c r="U38" s="1"/>
      <c r="V38" s="1"/>
      <c r="W38" s="1"/>
    </row>
    <row r="39" spans="1:23" ht="23" customHeight="1">
      <c r="A39" s="1"/>
      <c r="B39" s="12">
        <v>0.02</v>
      </c>
      <c r="C39" s="9">
        <f t="shared" si="0"/>
        <v>3111.8745249040107</v>
      </c>
      <c r="D39" s="9">
        <f t="shared" si="0"/>
        <v>3138.1564344180915</v>
      </c>
      <c r="E39" s="9">
        <f t="shared" si="0"/>
        <v>3164.4383439321728</v>
      </c>
      <c r="F39" s="9">
        <f t="shared" si="0"/>
        <v>3190.7202534462535</v>
      </c>
      <c r="G39" s="9">
        <f t="shared" si="0"/>
        <v>3217.0021629603352</v>
      </c>
      <c r="H39" s="1"/>
      <c r="I39" s="1"/>
      <c r="J39" s="1"/>
      <c r="K39" s="1"/>
      <c r="L39" s="1"/>
      <c r="M39" s="1"/>
      <c r="N39" s="1"/>
      <c r="O39" s="1"/>
      <c r="P39" s="1"/>
      <c r="Q39" s="1"/>
      <c r="R39" s="1"/>
      <c r="S39" s="1"/>
      <c r="T39" s="1"/>
      <c r="U39" s="1"/>
      <c r="V39" s="1"/>
      <c r="W39" s="1"/>
    </row>
    <row r="40" spans="1:23" ht="23" customHeight="1">
      <c r="A40" s="1"/>
      <c r="B40" s="12">
        <v>0.04</v>
      </c>
      <c r="C40" s="9">
        <f t="shared" si="0"/>
        <v>3152.2123918908765</v>
      </c>
      <c r="D40" s="9">
        <f t="shared" si="0"/>
        <v>3178.8349822909177</v>
      </c>
      <c r="E40" s="9">
        <f t="shared" si="0"/>
        <v>3205.4575726909584</v>
      </c>
      <c r="F40" s="9">
        <f t="shared" si="0"/>
        <v>3232.0801630909991</v>
      </c>
      <c r="G40" s="9">
        <f t="shared" si="0"/>
        <v>3258.7027534910399</v>
      </c>
      <c r="H40" s="1"/>
      <c r="I40" s="1"/>
      <c r="J40" s="1"/>
      <c r="K40" s="1"/>
      <c r="L40" s="1"/>
      <c r="M40" s="1"/>
      <c r="N40" s="1"/>
      <c r="O40" s="1"/>
      <c r="P40" s="1"/>
      <c r="Q40" s="1"/>
      <c r="R40" s="1"/>
      <c r="S40" s="1"/>
      <c r="T40" s="1"/>
      <c r="U40" s="1"/>
      <c r="V40" s="1"/>
      <c r="W40" s="1"/>
    </row>
    <row r="41" spans="1:23" ht="23" customHeight="1">
      <c r="A41" s="1"/>
      <c r="B41" s="1"/>
      <c r="C41" s="1"/>
      <c r="D41" s="1"/>
      <c r="E41" s="1"/>
      <c r="F41" s="1"/>
      <c r="G41" s="1"/>
      <c r="H41" s="1"/>
      <c r="I41" s="1"/>
      <c r="J41" s="1"/>
      <c r="K41" s="1"/>
      <c r="L41" s="1"/>
      <c r="M41" s="1"/>
      <c r="N41" s="1"/>
      <c r="O41" s="1"/>
      <c r="P41" s="1"/>
      <c r="Q41" s="1"/>
      <c r="R41" s="1"/>
      <c r="S41" s="1"/>
      <c r="T41" s="1"/>
      <c r="U41" s="1"/>
      <c r="V41" s="1"/>
      <c r="W41" s="1"/>
    </row>
    <row r="42" spans="1:23" ht="23" customHeight="1">
      <c r="A42" s="1"/>
      <c r="B42" s="42" t="s">
        <v>74</v>
      </c>
      <c r="C42" s="42"/>
      <c r="D42" s="42"/>
      <c r="E42" s="42"/>
      <c r="F42" s="42"/>
      <c r="G42" s="42"/>
      <c r="H42" s="1"/>
      <c r="I42" s="1"/>
      <c r="J42" s="1"/>
      <c r="K42" s="1"/>
      <c r="L42" s="1"/>
      <c r="M42" s="1"/>
      <c r="N42" s="1"/>
      <c r="O42" s="1"/>
      <c r="P42" s="1"/>
      <c r="Q42" s="1"/>
      <c r="R42" s="1"/>
      <c r="S42" s="1"/>
      <c r="T42" s="1"/>
      <c r="U42" s="1"/>
      <c r="V42" s="1"/>
      <c r="W42" s="1"/>
    </row>
    <row r="43" spans="1:23" ht="23" customHeight="1">
      <c r="A43" s="1"/>
      <c r="B43" s="42"/>
      <c r="C43" s="42"/>
      <c r="D43" s="42"/>
      <c r="E43" s="42"/>
      <c r="F43" s="42"/>
      <c r="G43" s="42"/>
      <c r="H43" s="1"/>
      <c r="I43" s="1"/>
      <c r="J43" s="1"/>
      <c r="K43" s="1"/>
      <c r="L43" s="1"/>
      <c r="M43" s="1"/>
      <c r="N43" s="1"/>
      <c r="O43" s="1"/>
      <c r="P43" s="1"/>
      <c r="Q43" s="1"/>
      <c r="R43" s="1"/>
      <c r="S43" s="1"/>
      <c r="T43" s="1"/>
      <c r="U43" s="1"/>
      <c r="V43" s="1"/>
      <c r="W43" s="1"/>
    </row>
    <row r="44" spans="1:23" ht="23" customHeight="1">
      <c r="A44" s="1"/>
      <c r="B44" s="42"/>
      <c r="C44" s="42"/>
      <c r="D44" s="42"/>
      <c r="E44" s="42"/>
      <c r="F44" s="42"/>
      <c r="G44" s="42"/>
      <c r="H44" s="1"/>
      <c r="I44" s="1"/>
      <c r="J44" s="1"/>
      <c r="K44" s="1"/>
      <c r="L44" s="1"/>
      <c r="M44" s="1"/>
      <c r="N44" s="1"/>
      <c r="O44" s="1"/>
      <c r="P44" s="1"/>
      <c r="Q44" s="1"/>
      <c r="R44" s="1"/>
      <c r="S44" s="1"/>
      <c r="T44" s="1"/>
      <c r="U44" s="1"/>
      <c r="V44" s="1"/>
      <c r="W44" s="1"/>
    </row>
    <row r="45" spans="1:23" ht="23" customHeight="1">
      <c r="A45" s="1"/>
      <c r="B45" s="1"/>
      <c r="C45" s="1"/>
      <c r="D45" s="1"/>
      <c r="E45" s="1"/>
      <c r="F45" s="1"/>
      <c r="G45" s="1"/>
      <c r="H45" s="1"/>
      <c r="I45" s="1"/>
      <c r="J45" s="1"/>
      <c r="K45" s="1"/>
      <c r="L45" s="1"/>
      <c r="M45" s="1"/>
      <c r="N45" s="1"/>
      <c r="O45" s="1"/>
      <c r="P45" s="1"/>
      <c r="Q45" s="1"/>
      <c r="R45" s="1"/>
      <c r="S45" s="1"/>
      <c r="T45" s="1"/>
      <c r="U45" s="1"/>
      <c r="V45" s="1"/>
      <c r="W45" s="1"/>
    </row>
    <row r="46" spans="1:23" ht="23" customHeight="1">
      <c r="A46" s="1"/>
      <c r="B46" s="1"/>
      <c r="C46" s="1"/>
      <c r="D46" s="1"/>
      <c r="E46" s="1"/>
      <c r="F46" s="1"/>
      <c r="G46" s="1"/>
      <c r="H46" s="1"/>
      <c r="I46" s="1"/>
      <c r="J46" s="1"/>
      <c r="K46" s="1"/>
      <c r="L46" s="1"/>
      <c r="M46" s="1"/>
      <c r="N46" s="1"/>
      <c r="O46" s="1"/>
      <c r="P46" s="1"/>
      <c r="Q46" s="1"/>
      <c r="R46" s="1"/>
      <c r="S46" s="1"/>
      <c r="T46" s="1"/>
      <c r="U46" s="1"/>
      <c r="V46" s="1"/>
      <c r="W46" s="1"/>
    </row>
    <row r="47" spans="1:23" ht="23" customHeight="1">
      <c r="A47" s="1"/>
      <c r="B47" s="1"/>
      <c r="C47" s="1"/>
      <c r="D47" s="1"/>
      <c r="E47" s="1"/>
      <c r="F47" s="1"/>
      <c r="G47" s="1"/>
      <c r="H47" s="1"/>
      <c r="I47" s="1"/>
      <c r="J47" s="1"/>
      <c r="K47" s="1"/>
      <c r="L47" s="1"/>
      <c r="M47" s="1"/>
      <c r="N47" s="1"/>
      <c r="O47" s="1"/>
      <c r="P47" s="1"/>
      <c r="Q47" s="1"/>
      <c r="R47" s="1"/>
      <c r="S47" s="1"/>
      <c r="T47" s="1"/>
      <c r="U47" s="1"/>
      <c r="V47" s="1"/>
      <c r="W47" s="1"/>
    </row>
    <row r="48" spans="1:23" ht="23" customHeight="1">
      <c r="A48" s="1"/>
      <c r="B48" s="1"/>
      <c r="C48" s="1"/>
      <c r="D48" s="1"/>
      <c r="E48" s="1"/>
      <c r="F48" s="1"/>
      <c r="G48" s="1"/>
      <c r="H48" s="1"/>
      <c r="I48" s="1"/>
      <c r="J48" s="1"/>
      <c r="K48" s="1"/>
      <c r="L48" s="1"/>
      <c r="M48" s="1"/>
      <c r="N48" s="1"/>
      <c r="O48" s="1"/>
      <c r="P48" s="1"/>
      <c r="Q48" s="1"/>
      <c r="R48" s="1"/>
      <c r="S48" s="1"/>
      <c r="T48" s="1"/>
      <c r="U48" s="1"/>
      <c r="V48" s="1"/>
      <c r="W48" s="1"/>
    </row>
    <row r="49" spans="1:23" ht="23" customHeight="1">
      <c r="A49" s="1"/>
      <c r="B49" s="1"/>
      <c r="C49" s="1"/>
      <c r="D49" s="1"/>
      <c r="E49" s="1"/>
      <c r="F49" s="1"/>
      <c r="G49" s="1"/>
      <c r="H49" s="1"/>
      <c r="I49" s="1"/>
      <c r="J49" s="1"/>
      <c r="K49" s="1"/>
      <c r="L49" s="1"/>
      <c r="M49" s="1"/>
      <c r="N49" s="1"/>
      <c r="O49" s="1"/>
      <c r="P49" s="1"/>
      <c r="Q49" s="1"/>
      <c r="R49" s="1"/>
      <c r="S49" s="1"/>
      <c r="T49" s="1"/>
      <c r="U49" s="1"/>
      <c r="V49" s="1"/>
      <c r="W49" s="1"/>
    </row>
    <row r="50" spans="1:23" ht="23" customHeight="1">
      <c r="A50" s="1"/>
      <c r="B50" s="1"/>
      <c r="C50" s="1"/>
      <c r="D50" s="1"/>
      <c r="E50" s="1"/>
      <c r="F50" s="1"/>
      <c r="G50" s="1"/>
      <c r="H50" s="1"/>
      <c r="I50" s="1"/>
      <c r="J50" s="1"/>
      <c r="K50" s="1"/>
      <c r="L50" s="1"/>
      <c r="M50" s="1"/>
      <c r="N50" s="1"/>
      <c r="O50" s="1"/>
      <c r="P50" s="1"/>
      <c r="Q50" s="1"/>
      <c r="R50" s="1"/>
      <c r="S50" s="1"/>
      <c r="T50" s="1"/>
      <c r="U50" s="1"/>
      <c r="V50" s="1"/>
      <c r="W50" s="1"/>
    </row>
    <row r="51" spans="1:23" ht="23" customHeight="1">
      <c r="A51" s="1"/>
      <c r="B51" s="1"/>
      <c r="C51" s="1"/>
      <c r="D51" s="1"/>
      <c r="E51" s="1"/>
      <c r="F51" s="1"/>
      <c r="G51" s="1"/>
      <c r="H51" s="1"/>
      <c r="I51" s="1"/>
      <c r="J51" s="1"/>
      <c r="K51" s="1"/>
      <c r="L51" s="1"/>
      <c r="M51" s="1"/>
      <c r="N51" s="1"/>
      <c r="O51" s="1"/>
      <c r="P51" s="1"/>
      <c r="Q51" s="1"/>
      <c r="R51" s="1"/>
      <c r="S51" s="1"/>
      <c r="T51" s="1"/>
      <c r="U51" s="1"/>
      <c r="V51" s="1"/>
      <c r="W51" s="1"/>
    </row>
    <row r="52" spans="1:23" ht="23" customHeight="1">
      <c r="A52" s="1"/>
      <c r="B52" s="1"/>
      <c r="C52" s="1"/>
      <c r="D52" s="1"/>
      <c r="E52" s="1"/>
      <c r="F52" s="1"/>
      <c r="G52" s="1"/>
      <c r="H52" s="1"/>
      <c r="I52" s="1"/>
      <c r="J52" s="1"/>
      <c r="K52" s="1"/>
      <c r="L52" s="1"/>
      <c r="M52" s="1"/>
      <c r="N52" s="1"/>
      <c r="O52" s="1"/>
      <c r="P52" s="1"/>
      <c r="Q52" s="1"/>
      <c r="R52" s="1"/>
      <c r="S52" s="1"/>
      <c r="T52" s="1"/>
      <c r="U52" s="1"/>
      <c r="V52" s="1"/>
      <c r="W52" s="1"/>
    </row>
    <row r="53" spans="1:23" ht="23" customHeight="1">
      <c r="A53" s="1"/>
      <c r="B53" s="1"/>
      <c r="C53" s="1"/>
      <c r="D53" s="1"/>
      <c r="E53" s="1"/>
      <c r="F53" s="1"/>
      <c r="G53" s="1"/>
      <c r="H53" s="1"/>
      <c r="I53" s="1"/>
      <c r="J53" s="1"/>
      <c r="K53" s="1"/>
      <c r="L53" s="1"/>
      <c r="M53" s="1"/>
      <c r="N53" s="1"/>
      <c r="O53" s="1"/>
      <c r="P53" s="1"/>
      <c r="Q53" s="1"/>
      <c r="R53" s="1"/>
      <c r="S53" s="1"/>
      <c r="T53" s="1"/>
      <c r="U53" s="1"/>
      <c r="V53" s="1"/>
      <c r="W53" s="1"/>
    </row>
    <row r="54" spans="1:23" ht="23" customHeight="1">
      <c r="A54" s="1"/>
      <c r="B54" s="1"/>
      <c r="C54" s="1"/>
      <c r="D54" s="1"/>
      <c r="E54" s="1"/>
      <c r="F54" s="1"/>
      <c r="G54" s="1"/>
      <c r="H54" s="1"/>
      <c r="I54" s="1"/>
      <c r="J54" s="1"/>
      <c r="K54" s="1"/>
      <c r="L54" s="1"/>
      <c r="M54" s="1"/>
      <c r="N54" s="1"/>
      <c r="O54" s="1"/>
      <c r="P54" s="1"/>
      <c r="Q54" s="1"/>
      <c r="R54" s="1"/>
      <c r="S54" s="1"/>
      <c r="T54" s="1"/>
      <c r="U54" s="1"/>
      <c r="V54" s="1"/>
      <c r="W54" s="1"/>
    </row>
    <row r="55" spans="1:23" ht="23" customHeight="1">
      <c r="A55" s="1"/>
      <c r="B55" s="1"/>
      <c r="C55" s="1"/>
      <c r="D55" s="1"/>
      <c r="E55" s="1"/>
      <c r="F55" s="1"/>
      <c r="G55" s="1"/>
      <c r="H55" s="1"/>
      <c r="I55" s="1"/>
      <c r="J55" s="1"/>
      <c r="K55" s="1"/>
      <c r="L55" s="1"/>
      <c r="M55" s="1"/>
      <c r="N55" s="1"/>
      <c r="O55" s="1"/>
      <c r="P55" s="1"/>
      <c r="Q55" s="1"/>
      <c r="R55" s="1"/>
      <c r="S55" s="1"/>
      <c r="T55" s="1"/>
      <c r="U55" s="1"/>
      <c r="V55" s="1"/>
      <c r="W55" s="1"/>
    </row>
    <row r="56" spans="1:23" ht="23" customHeight="1">
      <c r="A56" s="1"/>
      <c r="B56" s="1"/>
      <c r="C56" s="1"/>
      <c r="D56" s="1"/>
      <c r="E56" s="1"/>
      <c r="F56" s="1"/>
      <c r="G56" s="1"/>
      <c r="H56" s="1"/>
      <c r="I56" s="1"/>
      <c r="J56" s="1"/>
      <c r="K56" s="1"/>
      <c r="L56" s="1"/>
      <c r="M56" s="1"/>
      <c r="N56" s="1"/>
      <c r="O56" s="1"/>
      <c r="P56" s="1"/>
      <c r="Q56" s="1"/>
      <c r="R56" s="1"/>
      <c r="S56" s="1"/>
      <c r="T56" s="1"/>
      <c r="U56" s="1"/>
      <c r="V56" s="1"/>
      <c r="W56" s="1"/>
    </row>
    <row r="57" spans="1:23" ht="23" customHeight="1">
      <c r="A57" s="1"/>
      <c r="B57" s="1"/>
      <c r="C57" s="1"/>
      <c r="D57" s="1"/>
      <c r="E57" s="1"/>
      <c r="F57" s="1"/>
      <c r="G57" s="1"/>
      <c r="H57" s="1"/>
      <c r="I57" s="1"/>
      <c r="J57" s="1"/>
      <c r="K57" s="1"/>
      <c r="L57" s="1"/>
      <c r="M57" s="1"/>
      <c r="N57" s="1"/>
      <c r="O57" s="1"/>
      <c r="P57" s="1"/>
      <c r="Q57" s="1"/>
      <c r="R57" s="1"/>
      <c r="S57" s="1"/>
      <c r="T57" s="1"/>
      <c r="U57" s="1"/>
      <c r="V57" s="1"/>
      <c r="W57" s="1"/>
    </row>
    <row r="58" spans="1:23" ht="23" customHeight="1">
      <c r="A58" s="1"/>
      <c r="B58" s="1"/>
      <c r="C58" s="1"/>
      <c r="D58" s="1"/>
      <c r="E58" s="1"/>
      <c r="F58" s="1"/>
      <c r="G58" s="1"/>
      <c r="H58" s="1"/>
      <c r="I58" s="1"/>
      <c r="J58" s="1"/>
      <c r="K58" s="1"/>
      <c r="L58" s="1"/>
      <c r="M58" s="1"/>
      <c r="N58" s="1"/>
      <c r="O58" s="1"/>
      <c r="P58" s="1"/>
      <c r="Q58" s="1"/>
      <c r="R58" s="1"/>
      <c r="S58" s="1"/>
      <c r="T58" s="1"/>
      <c r="U58" s="1"/>
      <c r="V58" s="1"/>
      <c r="W58" s="1"/>
    </row>
    <row r="59" spans="1:23" ht="23" customHeight="1">
      <c r="A59" s="1"/>
      <c r="B59" s="1"/>
      <c r="C59" s="1"/>
      <c r="D59" s="1"/>
      <c r="E59" s="1"/>
      <c r="F59" s="1"/>
      <c r="G59" s="1"/>
      <c r="H59" s="1"/>
      <c r="I59" s="1"/>
      <c r="J59" s="1"/>
      <c r="K59" s="1"/>
      <c r="L59" s="1"/>
      <c r="M59" s="1"/>
      <c r="N59" s="1"/>
      <c r="O59" s="1"/>
      <c r="P59" s="1"/>
      <c r="Q59" s="1"/>
      <c r="R59" s="1"/>
      <c r="S59" s="1"/>
      <c r="T59" s="1"/>
      <c r="U59" s="1"/>
      <c r="V59" s="1"/>
      <c r="W59" s="1"/>
    </row>
    <row r="60" spans="1:23" ht="23" customHeight="1">
      <c r="A60" s="1"/>
      <c r="B60" s="1"/>
      <c r="C60" s="1"/>
      <c r="D60" s="1"/>
      <c r="E60" s="1"/>
      <c r="F60" s="1"/>
      <c r="G60" s="1"/>
      <c r="H60" s="1"/>
      <c r="I60" s="1"/>
      <c r="J60" s="1"/>
      <c r="K60" s="1"/>
      <c r="L60" s="1"/>
      <c r="M60" s="1"/>
      <c r="N60" s="1"/>
      <c r="O60" s="1"/>
      <c r="P60" s="1"/>
      <c r="Q60" s="1"/>
      <c r="R60" s="1"/>
      <c r="S60" s="1"/>
      <c r="T60" s="1"/>
      <c r="U60" s="1"/>
      <c r="V60" s="1"/>
      <c r="W60" s="1"/>
    </row>
    <row r="61" spans="1:23" ht="23" customHeight="1">
      <c r="A61" s="1"/>
      <c r="B61" s="1"/>
      <c r="C61" s="1"/>
      <c r="D61" s="1"/>
      <c r="E61" s="1"/>
      <c r="F61" s="1"/>
      <c r="G61" s="1"/>
      <c r="H61" s="1"/>
      <c r="I61" s="1"/>
      <c r="J61" s="1"/>
      <c r="K61" s="1"/>
      <c r="L61" s="1"/>
      <c r="M61" s="1"/>
      <c r="N61" s="1"/>
      <c r="O61" s="1"/>
      <c r="P61" s="1"/>
      <c r="Q61" s="1"/>
      <c r="R61" s="1"/>
      <c r="S61" s="1"/>
      <c r="T61" s="1"/>
      <c r="U61" s="1"/>
      <c r="V61" s="1"/>
      <c r="W61" s="1"/>
    </row>
    <row r="62" spans="1:23" ht="23" customHeight="1">
      <c r="A62" s="1"/>
      <c r="B62" s="1"/>
      <c r="C62" s="1"/>
      <c r="D62" s="1"/>
      <c r="E62" s="1"/>
      <c r="F62" s="1"/>
      <c r="G62" s="1"/>
      <c r="H62" s="1"/>
      <c r="I62" s="1"/>
      <c r="J62" s="1"/>
      <c r="K62" s="1"/>
      <c r="L62" s="1"/>
      <c r="M62" s="1"/>
      <c r="N62" s="1"/>
      <c r="O62" s="1"/>
      <c r="P62" s="1"/>
      <c r="Q62" s="1"/>
      <c r="R62" s="1"/>
      <c r="S62" s="1"/>
      <c r="T62" s="1"/>
      <c r="U62" s="1"/>
      <c r="V62" s="1"/>
      <c r="W62" s="1"/>
    </row>
    <row r="63" spans="1:23" ht="23" customHeight="1">
      <c r="A63" s="1"/>
      <c r="B63" s="1"/>
      <c r="C63" s="1"/>
      <c r="D63" s="1"/>
      <c r="E63" s="1"/>
      <c r="F63" s="1"/>
      <c r="G63" s="1"/>
      <c r="H63" s="1"/>
      <c r="I63" s="1"/>
      <c r="J63" s="1"/>
      <c r="K63" s="1"/>
      <c r="L63" s="1"/>
      <c r="M63" s="1"/>
      <c r="N63" s="1"/>
      <c r="O63" s="1"/>
      <c r="P63" s="1"/>
      <c r="Q63" s="1"/>
      <c r="R63" s="1"/>
      <c r="S63" s="1"/>
      <c r="T63" s="1"/>
      <c r="U63" s="1"/>
      <c r="V63" s="1"/>
      <c r="W63" s="1"/>
    </row>
    <row r="64" spans="1:23" ht="23" customHeight="1">
      <c r="A64" s="1"/>
      <c r="B64" s="1"/>
      <c r="C64" s="1"/>
      <c r="D64" s="1"/>
      <c r="E64" s="1"/>
      <c r="F64" s="1"/>
      <c r="G64" s="1"/>
      <c r="H64" s="1"/>
      <c r="I64" s="1"/>
      <c r="J64" s="1"/>
      <c r="K64" s="1"/>
      <c r="L64" s="1"/>
      <c r="M64" s="1"/>
      <c r="N64" s="1"/>
      <c r="O64" s="1"/>
      <c r="P64" s="1"/>
      <c r="Q64" s="1"/>
      <c r="R64" s="1"/>
      <c r="S64" s="1"/>
      <c r="T64" s="1"/>
      <c r="U64" s="1"/>
      <c r="V64" s="1"/>
      <c r="W64" s="1"/>
    </row>
    <row r="65" spans="1:23" ht="23" customHeight="1">
      <c r="A65" s="1"/>
      <c r="B65" s="1"/>
      <c r="C65" s="1"/>
      <c r="D65" s="1"/>
      <c r="E65" s="1"/>
      <c r="F65" s="1"/>
      <c r="G65" s="1"/>
      <c r="H65" s="1"/>
      <c r="I65" s="1"/>
      <c r="J65" s="1"/>
      <c r="K65" s="1"/>
      <c r="L65" s="1"/>
      <c r="M65" s="1"/>
      <c r="N65" s="1"/>
      <c r="O65" s="1"/>
      <c r="P65" s="1"/>
      <c r="Q65" s="1"/>
      <c r="R65" s="1"/>
      <c r="S65" s="1"/>
      <c r="T65" s="1"/>
      <c r="U65" s="1"/>
      <c r="V65" s="1"/>
      <c r="W65" s="1"/>
    </row>
    <row r="66" spans="1:23" ht="23" customHeight="1">
      <c r="A66" s="1"/>
      <c r="B66" s="1"/>
      <c r="C66" s="1"/>
      <c r="D66" s="1"/>
      <c r="E66" s="1"/>
      <c r="F66" s="1"/>
      <c r="G66" s="1"/>
      <c r="H66" s="1"/>
      <c r="I66" s="1"/>
      <c r="J66" s="1"/>
      <c r="K66" s="1"/>
      <c r="L66" s="1"/>
      <c r="M66" s="1"/>
      <c r="N66" s="1"/>
      <c r="O66" s="1"/>
      <c r="P66" s="1"/>
      <c r="Q66" s="1"/>
      <c r="R66" s="1"/>
      <c r="S66" s="1"/>
      <c r="T66" s="1"/>
      <c r="U66" s="1"/>
      <c r="V66" s="1"/>
      <c r="W66" s="1"/>
    </row>
    <row r="67" spans="1:23" ht="23" customHeight="1">
      <c r="A67" s="1"/>
      <c r="B67" s="1"/>
      <c r="C67" s="1"/>
      <c r="D67" s="1"/>
      <c r="E67" s="1"/>
      <c r="F67" s="1"/>
      <c r="G67" s="1"/>
      <c r="H67" s="1"/>
      <c r="I67" s="1"/>
      <c r="J67" s="1"/>
      <c r="K67" s="1"/>
      <c r="L67" s="1"/>
      <c r="M67" s="1"/>
      <c r="N67" s="1"/>
      <c r="O67" s="1"/>
      <c r="P67" s="1"/>
      <c r="Q67" s="1"/>
      <c r="R67" s="1"/>
      <c r="S67" s="1"/>
      <c r="T67" s="1"/>
      <c r="U67" s="1"/>
      <c r="V67" s="1"/>
      <c r="W67" s="1"/>
    </row>
    <row r="68" spans="1:23" ht="23" customHeight="1">
      <c r="A68" s="1"/>
      <c r="B68" s="1"/>
      <c r="C68" s="1"/>
      <c r="D68" s="1"/>
      <c r="E68" s="1"/>
      <c r="F68" s="1"/>
      <c r="G68" s="1"/>
      <c r="H68" s="1"/>
      <c r="I68" s="1"/>
      <c r="J68" s="1"/>
      <c r="K68" s="1"/>
      <c r="L68" s="1"/>
      <c r="M68" s="1"/>
      <c r="N68" s="1"/>
      <c r="O68" s="1"/>
      <c r="P68" s="1"/>
      <c r="Q68" s="1"/>
      <c r="R68" s="1"/>
      <c r="S68" s="1"/>
      <c r="T68" s="1"/>
      <c r="U68" s="1"/>
      <c r="V68" s="1"/>
      <c r="W68" s="1"/>
    </row>
    <row r="69" spans="1:23" ht="23" customHeight="1">
      <c r="A69" s="1"/>
      <c r="B69" s="1"/>
      <c r="C69" s="1"/>
      <c r="D69" s="1"/>
      <c r="E69" s="1"/>
      <c r="F69" s="1"/>
      <c r="G69" s="1"/>
      <c r="H69" s="1"/>
      <c r="I69" s="1"/>
      <c r="J69" s="1"/>
      <c r="K69" s="1"/>
      <c r="L69" s="1"/>
      <c r="M69" s="1"/>
      <c r="N69" s="1"/>
      <c r="O69" s="1"/>
      <c r="P69" s="1"/>
      <c r="Q69" s="1"/>
      <c r="R69" s="1"/>
      <c r="S69" s="1"/>
      <c r="T69" s="1"/>
      <c r="U69" s="1"/>
      <c r="V69" s="1"/>
      <c r="W69" s="1"/>
    </row>
    <row r="70" spans="1:23" ht="23" customHeight="1">
      <c r="A70" s="1"/>
      <c r="B70" s="1"/>
      <c r="C70" s="1"/>
      <c r="D70" s="1"/>
      <c r="E70" s="1"/>
      <c r="F70" s="1"/>
      <c r="G70" s="1"/>
      <c r="H70" s="1"/>
      <c r="I70" s="1"/>
      <c r="J70" s="1"/>
      <c r="K70" s="1"/>
      <c r="L70" s="1"/>
      <c r="M70" s="1"/>
      <c r="N70" s="1"/>
      <c r="O70" s="1"/>
      <c r="P70" s="1"/>
      <c r="Q70" s="1"/>
      <c r="R70" s="1"/>
      <c r="S70" s="1"/>
      <c r="T70" s="1"/>
      <c r="U70" s="1"/>
      <c r="V70" s="1"/>
      <c r="W70" s="1"/>
    </row>
    <row r="71" spans="1:23" ht="23" customHeight="1">
      <c r="A71" s="1"/>
      <c r="B71" s="1"/>
      <c r="C71" s="1"/>
      <c r="D71" s="1"/>
      <c r="E71" s="1"/>
      <c r="F71" s="1"/>
      <c r="G71" s="1"/>
      <c r="H71" s="1"/>
      <c r="I71" s="1"/>
      <c r="J71" s="1"/>
      <c r="K71" s="1"/>
      <c r="L71" s="1"/>
      <c r="M71" s="1"/>
      <c r="N71" s="1"/>
      <c r="O71" s="1"/>
      <c r="P71" s="1"/>
      <c r="Q71" s="1"/>
      <c r="R71" s="1"/>
      <c r="S71" s="1"/>
      <c r="T71" s="1"/>
      <c r="U71" s="1"/>
      <c r="V71" s="1"/>
      <c r="W71" s="1"/>
    </row>
    <row r="72" spans="1:23" ht="23" customHeight="1">
      <c r="A72" s="1"/>
      <c r="B72" s="1"/>
      <c r="C72" s="1"/>
      <c r="D72" s="1"/>
      <c r="E72" s="1"/>
      <c r="F72" s="1"/>
      <c r="G72" s="1"/>
      <c r="H72" s="1"/>
      <c r="I72" s="1"/>
      <c r="J72" s="1"/>
      <c r="K72" s="1"/>
      <c r="L72" s="1"/>
      <c r="M72" s="1"/>
      <c r="N72" s="1"/>
      <c r="O72" s="1"/>
      <c r="P72" s="1"/>
      <c r="Q72" s="1"/>
      <c r="R72" s="1"/>
      <c r="S72" s="1"/>
      <c r="T72" s="1"/>
      <c r="U72" s="1"/>
      <c r="V72" s="1"/>
      <c r="W72" s="1"/>
    </row>
    <row r="73" spans="1:23" ht="23" customHeight="1">
      <c r="A73" s="1"/>
      <c r="B73" s="1"/>
      <c r="C73" s="1"/>
      <c r="D73" s="1"/>
      <c r="E73" s="1"/>
      <c r="F73" s="1"/>
      <c r="G73" s="1"/>
      <c r="H73" s="1"/>
      <c r="I73" s="1"/>
      <c r="J73" s="1"/>
      <c r="K73" s="1"/>
      <c r="L73" s="1"/>
      <c r="M73" s="1"/>
      <c r="N73" s="1"/>
      <c r="O73" s="1"/>
      <c r="P73" s="1"/>
      <c r="Q73" s="1"/>
      <c r="R73" s="1"/>
      <c r="S73" s="1"/>
      <c r="T73" s="1"/>
      <c r="U73" s="1"/>
      <c r="V73" s="1"/>
      <c r="W73" s="1"/>
    </row>
    <row r="74" spans="1:23" ht="23" customHeight="1">
      <c r="A74" s="1"/>
      <c r="B74" s="1"/>
      <c r="C74" s="1"/>
      <c r="D74" s="1"/>
      <c r="E74" s="1"/>
      <c r="F74" s="1"/>
      <c r="G74" s="1"/>
      <c r="H74" s="1"/>
      <c r="I74" s="1"/>
      <c r="J74" s="1"/>
      <c r="K74" s="1"/>
      <c r="L74" s="1"/>
      <c r="M74" s="1"/>
      <c r="N74" s="1"/>
      <c r="O74" s="1"/>
      <c r="P74" s="1"/>
      <c r="Q74" s="1"/>
      <c r="R74" s="1"/>
      <c r="S74" s="1"/>
      <c r="T74" s="1"/>
      <c r="U74" s="1"/>
      <c r="V74" s="1"/>
      <c r="W74" s="1"/>
    </row>
    <row r="75" spans="1:23" ht="23" customHeight="1">
      <c r="A75" s="1"/>
      <c r="B75" s="1"/>
      <c r="C75" s="1"/>
      <c r="D75" s="1"/>
      <c r="E75" s="1"/>
      <c r="F75" s="1"/>
      <c r="G75" s="1"/>
      <c r="H75" s="1"/>
      <c r="I75" s="1"/>
      <c r="J75" s="1"/>
      <c r="K75" s="1"/>
      <c r="L75" s="1"/>
      <c r="M75" s="1"/>
      <c r="N75" s="1"/>
      <c r="O75" s="1"/>
      <c r="P75" s="1"/>
      <c r="Q75" s="1"/>
      <c r="R75" s="1"/>
      <c r="S75" s="1"/>
      <c r="T75" s="1"/>
      <c r="U75" s="1"/>
      <c r="V75" s="1"/>
      <c r="W75" s="1"/>
    </row>
    <row r="76" spans="1:23" ht="23" customHeight="1">
      <c r="A76" s="1"/>
      <c r="B76" s="1"/>
      <c r="C76" s="1"/>
      <c r="D76" s="1"/>
      <c r="E76" s="1"/>
      <c r="F76" s="1"/>
      <c r="G76" s="1"/>
      <c r="H76" s="1"/>
      <c r="I76" s="1"/>
      <c r="J76" s="1"/>
      <c r="K76" s="1"/>
      <c r="L76" s="1"/>
      <c r="M76" s="1"/>
      <c r="N76" s="1"/>
      <c r="O76" s="1"/>
      <c r="P76" s="1"/>
      <c r="Q76" s="1"/>
      <c r="R76" s="1"/>
      <c r="S76" s="1"/>
      <c r="T76" s="1"/>
      <c r="U76" s="1"/>
      <c r="V76" s="1"/>
      <c r="W76" s="1"/>
    </row>
    <row r="77" spans="1:23" ht="23" customHeight="1">
      <c r="A77" s="1"/>
      <c r="B77" s="1"/>
      <c r="C77" s="1"/>
      <c r="D77" s="1"/>
      <c r="E77" s="1"/>
      <c r="F77" s="1"/>
      <c r="G77" s="1"/>
      <c r="H77" s="1"/>
      <c r="I77" s="1"/>
      <c r="J77" s="1"/>
      <c r="K77" s="1"/>
      <c r="L77" s="1"/>
      <c r="M77" s="1"/>
      <c r="N77" s="1"/>
      <c r="O77" s="1"/>
      <c r="P77" s="1"/>
      <c r="Q77" s="1"/>
      <c r="R77" s="1"/>
      <c r="S77" s="1"/>
      <c r="T77" s="1"/>
      <c r="U77" s="1"/>
      <c r="V77" s="1"/>
      <c r="W77" s="1"/>
    </row>
    <row r="78" spans="1:23" ht="23" customHeight="1">
      <c r="A78" s="1"/>
      <c r="B78" s="1"/>
      <c r="C78" s="1"/>
      <c r="D78" s="1"/>
      <c r="E78" s="1"/>
      <c r="F78" s="1"/>
      <c r="G78" s="1"/>
      <c r="H78" s="1"/>
      <c r="I78" s="1"/>
      <c r="J78" s="1"/>
      <c r="K78" s="1"/>
      <c r="L78" s="1"/>
      <c r="M78" s="1"/>
      <c r="N78" s="1"/>
      <c r="O78" s="1"/>
      <c r="P78" s="1"/>
      <c r="Q78" s="1"/>
      <c r="R78" s="1"/>
      <c r="S78" s="1"/>
      <c r="T78" s="1"/>
      <c r="U78" s="1"/>
      <c r="V78" s="1"/>
      <c r="W78" s="1"/>
    </row>
    <row r="79" spans="1:23" ht="23" customHeight="1">
      <c r="A79" s="1"/>
      <c r="B79" s="1"/>
      <c r="C79" s="1"/>
      <c r="D79" s="1"/>
      <c r="E79" s="1"/>
      <c r="F79" s="1"/>
      <c r="G79" s="1"/>
      <c r="H79" s="1"/>
      <c r="I79" s="1"/>
      <c r="J79" s="1"/>
      <c r="K79" s="1"/>
      <c r="L79" s="1"/>
      <c r="M79" s="1"/>
      <c r="N79" s="1"/>
      <c r="O79" s="1"/>
      <c r="P79" s="1"/>
      <c r="Q79" s="1"/>
      <c r="R79" s="1"/>
      <c r="S79" s="1"/>
      <c r="T79" s="1"/>
      <c r="U79" s="1"/>
      <c r="V79" s="1"/>
      <c r="W79" s="1"/>
    </row>
    <row r="80" spans="1:23" ht="23" customHeight="1">
      <c r="A80" s="1"/>
      <c r="B80" s="1"/>
      <c r="C80" s="1"/>
      <c r="D80" s="1"/>
      <c r="E80" s="1"/>
      <c r="F80" s="1"/>
      <c r="G80" s="1"/>
      <c r="H80" s="1"/>
      <c r="I80" s="1"/>
      <c r="J80" s="1"/>
      <c r="K80" s="1"/>
      <c r="L80" s="1"/>
      <c r="M80" s="1"/>
      <c r="N80" s="1"/>
      <c r="O80" s="1"/>
      <c r="P80" s="1"/>
      <c r="Q80" s="1"/>
      <c r="R80" s="1"/>
      <c r="S80" s="1"/>
      <c r="T80" s="1"/>
      <c r="U80" s="1"/>
      <c r="V80" s="1"/>
      <c r="W80" s="1"/>
    </row>
    <row r="81" spans="1:23" ht="23" customHeight="1">
      <c r="A81" s="1"/>
      <c r="B81" s="1"/>
      <c r="C81" s="1"/>
      <c r="D81" s="1"/>
      <c r="E81" s="1"/>
      <c r="F81" s="1"/>
      <c r="G81" s="1"/>
      <c r="H81" s="1"/>
      <c r="I81" s="1"/>
      <c r="J81" s="1"/>
      <c r="K81" s="1"/>
      <c r="L81" s="1"/>
      <c r="M81" s="1"/>
      <c r="N81" s="1"/>
      <c r="O81" s="1"/>
      <c r="P81" s="1"/>
      <c r="Q81" s="1"/>
      <c r="R81" s="1"/>
      <c r="S81" s="1"/>
      <c r="T81" s="1"/>
      <c r="U81" s="1"/>
      <c r="V81" s="1"/>
      <c r="W81" s="1"/>
    </row>
    <row r="82" spans="1:23" ht="23" customHeight="1">
      <c r="A82" s="1"/>
      <c r="B82" s="1"/>
      <c r="C82" s="1"/>
      <c r="D82" s="1"/>
      <c r="E82" s="1"/>
      <c r="F82" s="1"/>
      <c r="G82" s="1"/>
      <c r="H82" s="1"/>
      <c r="I82" s="1"/>
      <c r="J82" s="1"/>
      <c r="K82" s="1"/>
      <c r="L82" s="1"/>
      <c r="M82" s="1"/>
      <c r="N82" s="1"/>
      <c r="O82" s="1"/>
      <c r="P82" s="1"/>
      <c r="Q82" s="1"/>
      <c r="R82" s="1"/>
      <c r="S82" s="1"/>
      <c r="T82" s="1"/>
      <c r="U82" s="1"/>
      <c r="V82" s="1"/>
      <c r="W82" s="1"/>
    </row>
    <row r="83" spans="1:23" ht="23" customHeight="1">
      <c r="A83" s="1"/>
      <c r="B83" s="1"/>
      <c r="C83" s="1"/>
      <c r="D83" s="1"/>
      <c r="E83" s="1"/>
      <c r="F83" s="1"/>
      <c r="G83" s="1"/>
      <c r="H83" s="1"/>
      <c r="I83" s="1"/>
      <c r="J83" s="1"/>
      <c r="K83" s="1"/>
      <c r="L83" s="1"/>
      <c r="M83" s="1"/>
      <c r="N83" s="1"/>
      <c r="O83" s="1"/>
      <c r="P83" s="1"/>
      <c r="Q83" s="1"/>
      <c r="R83" s="1"/>
      <c r="S83" s="1"/>
      <c r="T83" s="1"/>
      <c r="U83" s="1"/>
      <c r="V83" s="1"/>
      <c r="W83" s="1"/>
    </row>
    <row r="84" spans="1:23" ht="23" customHeight="1">
      <c r="A84" s="1"/>
      <c r="B84" s="1"/>
      <c r="C84" s="1"/>
      <c r="D84" s="1"/>
      <c r="E84" s="1"/>
      <c r="F84" s="1"/>
      <c r="G84" s="1"/>
      <c r="H84" s="1"/>
      <c r="I84" s="1"/>
      <c r="J84" s="1"/>
      <c r="K84" s="1"/>
      <c r="L84" s="1"/>
      <c r="M84" s="1"/>
      <c r="N84" s="1"/>
      <c r="O84" s="1"/>
      <c r="P84" s="1"/>
      <c r="Q84" s="1"/>
      <c r="R84" s="1"/>
      <c r="S84" s="1"/>
      <c r="T84" s="1"/>
      <c r="U84" s="1"/>
      <c r="V84" s="1"/>
      <c r="W84" s="1"/>
    </row>
    <row r="85" spans="1:23" ht="23" customHeight="1">
      <c r="A85" s="1"/>
      <c r="B85" s="1"/>
      <c r="C85" s="1"/>
      <c r="D85" s="1"/>
      <c r="E85" s="1"/>
      <c r="F85" s="1"/>
      <c r="G85" s="1"/>
      <c r="H85" s="1"/>
      <c r="I85" s="1"/>
      <c r="J85" s="1"/>
      <c r="K85" s="1"/>
      <c r="L85" s="1"/>
      <c r="M85" s="1"/>
      <c r="N85" s="1"/>
      <c r="O85" s="1"/>
      <c r="P85" s="1"/>
      <c r="Q85" s="1"/>
      <c r="R85" s="1"/>
      <c r="S85" s="1"/>
      <c r="T85" s="1"/>
      <c r="U85" s="1"/>
      <c r="V85" s="1"/>
      <c r="W85" s="1"/>
    </row>
    <row r="86" spans="1:23" ht="23" customHeight="1">
      <c r="A86" s="1"/>
      <c r="B86" s="1"/>
      <c r="C86" s="1"/>
      <c r="D86" s="1"/>
      <c r="E86" s="1"/>
      <c r="F86" s="1"/>
      <c r="G86" s="1"/>
      <c r="H86" s="1"/>
      <c r="I86" s="1"/>
      <c r="J86" s="1"/>
      <c r="K86" s="1"/>
      <c r="L86" s="1"/>
      <c r="M86" s="1"/>
      <c r="N86" s="1"/>
      <c r="O86" s="1"/>
      <c r="P86" s="1"/>
      <c r="Q86" s="1"/>
      <c r="R86" s="1"/>
      <c r="S86" s="1"/>
      <c r="T86" s="1"/>
      <c r="U86" s="1"/>
      <c r="V86" s="1"/>
      <c r="W86" s="1"/>
    </row>
    <row r="87" spans="1:23" ht="23" customHeight="1">
      <c r="A87" s="1"/>
      <c r="B87" s="1"/>
      <c r="C87" s="1"/>
      <c r="D87" s="1"/>
      <c r="E87" s="1"/>
      <c r="F87" s="1"/>
      <c r="G87" s="1"/>
      <c r="H87" s="1"/>
      <c r="I87" s="1"/>
      <c r="J87" s="1"/>
      <c r="K87" s="1"/>
      <c r="L87" s="1"/>
      <c r="M87" s="1"/>
      <c r="N87" s="1"/>
      <c r="O87" s="1"/>
      <c r="P87" s="1"/>
      <c r="Q87" s="1"/>
      <c r="R87" s="1"/>
      <c r="S87" s="1"/>
      <c r="T87" s="1"/>
      <c r="U87" s="1"/>
      <c r="V87" s="1"/>
      <c r="W87" s="1"/>
    </row>
    <row r="88" spans="1:23" ht="23" customHeight="1">
      <c r="A88" s="1"/>
      <c r="B88" s="1"/>
      <c r="C88" s="1"/>
      <c r="D88" s="1"/>
      <c r="E88" s="1"/>
      <c r="F88" s="1"/>
      <c r="G88" s="1"/>
      <c r="H88" s="1"/>
      <c r="I88" s="1"/>
      <c r="J88" s="1"/>
      <c r="K88" s="1"/>
      <c r="L88" s="1"/>
      <c r="M88" s="1"/>
      <c r="N88" s="1"/>
      <c r="O88" s="1"/>
      <c r="P88" s="1"/>
      <c r="Q88" s="1"/>
      <c r="R88" s="1"/>
      <c r="S88" s="1"/>
      <c r="T88" s="1"/>
      <c r="U88" s="1"/>
      <c r="V88" s="1"/>
      <c r="W88" s="1"/>
    </row>
    <row r="89" spans="1:23" ht="23" customHeight="1">
      <c r="A89" s="1"/>
      <c r="B89" s="1"/>
      <c r="C89" s="1"/>
      <c r="D89" s="1"/>
      <c r="E89" s="1"/>
      <c r="F89" s="1"/>
      <c r="G89" s="1"/>
      <c r="H89" s="1"/>
      <c r="I89" s="1"/>
      <c r="J89" s="1"/>
      <c r="K89" s="1"/>
      <c r="L89" s="1"/>
      <c r="M89" s="1"/>
      <c r="N89" s="1"/>
      <c r="O89" s="1"/>
      <c r="P89" s="1"/>
      <c r="Q89" s="1"/>
      <c r="R89" s="1"/>
      <c r="S89" s="1"/>
      <c r="T89" s="1"/>
      <c r="U89" s="1"/>
      <c r="V89" s="1"/>
      <c r="W89" s="1"/>
    </row>
    <row r="90" spans="1:23" ht="23" customHeight="1">
      <c r="A90" s="1"/>
      <c r="B90" s="1"/>
      <c r="C90" s="1"/>
      <c r="D90" s="1"/>
      <c r="E90" s="1"/>
      <c r="F90" s="1"/>
      <c r="G90" s="1"/>
      <c r="H90" s="1"/>
      <c r="I90" s="1"/>
      <c r="J90" s="1"/>
      <c r="K90" s="1"/>
      <c r="L90" s="1"/>
      <c r="M90" s="1"/>
      <c r="N90" s="1"/>
      <c r="O90" s="1"/>
      <c r="P90" s="1"/>
      <c r="Q90" s="1"/>
      <c r="R90" s="1"/>
      <c r="S90" s="1"/>
      <c r="T90" s="1"/>
      <c r="U90" s="1"/>
      <c r="V90" s="1"/>
      <c r="W90" s="1"/>
    </row>
    <row r="91" spans="1:23" ht="23" customHeight="1">
      <c r="A91" s="1"/>
      <c r="B91" s="1"/>
      <c r="C91" s="1"/>
      <c r="D91" s="1"/>
      <c r="E91" s="1"/>
      <c r="F91" s="1"/>
      <c r="G91" s="1"/>
      <c r="H91" s="1"/>
      <c r="I91" s="1"/>
      <c r="J91" s="1"/>
      <c r="K91" s="1"/>
      <c r="L91" s="1"/>
      <c r="M91" s="1"/>
      <c r="N91" s="1"/>
      <c r="O91" s="1"/>
      <c r="P91" s="1"/>
      <c r="Q91" s="1"/>
      <c r="R91" s="1"/>
      <c r="S91" s="1"/>
      <c r="T91" s="1"/>
      <c r="U91" s="1"/>
      <c r="V91" s="1"/>
      <c r="W91" s="1"/>
    </row>
    <row r="92" spans="1:23" ht="23" customHeight="1">
      <c r="A92" s="1"/>
      <c r="B92" s="1"/>
      <c r="C92" s="1"/>
      <c r="D92" s="1"/>
      <c r="E92" s="1"/>
      <c r="F92" s="1"/>
      <c r="G92" s="1"/>
      <c r="H92" s="1"/>
      <c r="I92" s="1"/>
      <c r="J92" s="1"/>
      <c r="K92" s="1"/>
      <c r="L92" s="1"/>
      <c r="M92" s="1"/>
      <c r="N92" s="1"/>
      <c r="O92" s="1"/>
      <c r="P92" s="1"/>
      <c r="Q92" s="1"/>
      <c r="R92" s="1"/>
      <c r="S92" s="1"/>
      <c r="T92" s="1"/>
      <c r="U92" s="1"/>
      <c r="V92" s="1"/>
      <c r="W92" s="1"/>
    </row>
    <row r="93" spans="1:23" ht="23" customHeight="1">
      <c r="A93" s="1"/>
      <c r="B93" s="1"/>
      <c r="C93" s="1"/>
      <c r="D93" s="1"/>
      <c r="E93" s="1"/>
      <c r="F93" s="1"/>
      <c r="G93" s="1"/>
      <c r="H93" s="1"/>
      <c r="I93" s="1"/>
      <c r="J93" s="1"/>
      <c r="K93" s="1"/>
      <c r="L93" s="1"/>
      <c r="M93" s="1"/>
      <c r="N93" s="1"/>
      <c r="O93" s="1"/>
      <c r="P93" s="1"/>
      <c r="Q93" s="1"/>
      <c r="R93" s="1"/>
      <c r="S93" s="1"/>
      <c r="T93" s="1"/>
      <c r="U93" s="1"/>
      <c r="V93" s="1"/>
      <c r="W93" s="1"/>
    </row>
    <row r="94" spans="1:23" ht="23" customHeight="1">
      <c r="A94" s="1"/>
      <c r="B94" s="1"/>
      <c r="C94" s="1"/>
      <c r="D94" s="1"/>
      <c r="E94" s="1"/>
      <c r="F94" s="1"/>
      <c r="G94" s="1"/>
      <c r="H94" s="1"/>
      <c r="I94" s="1"/>
      <c r="J94" s="1"/>
      <c r="K94" s="1"/>
      <c r="L94" s="1"/>
      <c r="M94" s="1"/>
      <c r="N94" s="1"/>
      <c r="O94" s="1"/>
      <c r="P94" s="1"/>
      <c r="Q94" s="1"/>
      <c r="R94" s="1"/>
      <c r="S94" s="1"/>
      <c r="T94" s="1"/>
      <c r="U94" s="1"/>
      <c r="V94" s="1"/>
      <c r="W94" s="1"/>
    </row>
    <row r="95" spans="1:23" ht="23" customHeight="1">
      <c r="A95" s="1"/>
      <c r="B95" s="1"/>
      <c r="C95" s="1"/>
      <c r="D95" s="1"/>
      <c r="E95" s="1"/>
      <c r="F95" s="1"/>
      <c r="G95" s="1"/>
      <c r="H95" s="1"/>
      <c r="I95" s="1"/>
      <c r="J95" s="1"/>
      <c r="K95" s="1"/>
      <c r="L95" s="1"/>
      <c r="M95" s="1"/>
      <c r="N95" s="1"/>
      <c r="O95" s="1"/>
      <c r="P95" s="1"/>
      <c r="Q95" s="1"/>
      <c r="R95" s="1"/>
      <c r="S95" s="1"/>
      <c r="T95" s="1"/>
      <c r="U95" s="1"/>
      <c r="V95" s="1"/>
      <c r="W95" s="1"/>
    </row>
    <row r="96" spans="1:23" ht="23" customHeight="1">
      <c r="A96" s="1"/>
      <c r="B96" s="1"/>
      <c r="C96" s="1"/>
      <c r="D96" s="1"/>
      <c r="E96" s="1"/>
      <c r="F96" s="1"/>
      <c r="G96" s="1"/>
      <c r="H96" s="1"/>
      <c r="I96" s="1"/>
      <c r="J96" s="1"/>
      <c r="K96" s="1"/>
      <c r="L96" s="1"/>
      <c r="M96" s="1"/>
      <c r="N96" s="1"/>
      <c r="O96" s="1"/>
      <c r="P96" s="1"/>
      <c r="Q96" s="1"/>
      <c r="R96" s="1"/>
      <c r="S96" s="1"/>
      <c r="T96" s="1"/>
      <c r="U96" s="1"/>
      <c r="V96" s="1"/>
      <c r="W96" s="1"/>
    </row>
    <row r="97" spans="1:23" ht="23" customHeight="1">
      <c r="A97" s="1"/>
      <c r="B97" s="1"/>
      <c r="C97" s="1"/>
      <c r="D97" s="1"/>
      <c r="E97" s="1"/>
      <c r="F97" s="1"/>
      <c r="G97" s="1"/>
      <c r="H97" s="1"/>
      <c r="I97" s="1"/>
      <c r="J97" s="1"/>
      <c r="K97" s="1"/>
      <c r="L97" s="1"/>
      <c r="M97" s="1"/>
      <c r="N97" s="1"/>
      <c r="O97" s="1"/>
      <c r="P97" s="1"/>
      <c r="Q97" s="1"/>
      <c r="R97" s="1"/>
      <c r="S97" s="1"/>
      <c r="T97" s="1"/>
      <c r="U97" s="1"/>
      <c r="V97" s="1"/>
      <c r="W97" s="1"/>
    </row>
    <row r="98" spans="1:23" ht="23" customHeight="1">
      <c r="A98" s="1"/>
      <c r="B98" s="1"/>
      <c r="C98" s="1"/>
      <c r="D98" s="1"/>
      <c r="E98" s="1"/>
      <c r="F98" s="1"/>
      <c r="G98" s="1"/>
      <c r="H98" s="1"/>
      <c r="I98" s="1"/>
      <c r="J98" s="1"/>
      <c r="K98" s="1"/>
      <c r="L98" s="1"/>
      <c r="M98" s="1"/>
      <c r="N98" s="1"/>
      <c r="O98" s="1"/>
      <c r="P98" s="1"/>
      <c r="Q98" s="1"/>
      <c r="R98" s="1"/>
      <c r="S98" s="1"/>
      <c r="T98" s="1"/>
      <c r="U98" s="1"/>
      <c r="V98" s="1"/>
      <c r="W98" s="1"/>
    </row>
    <row r="99" spans="1:23" ht="23" customHeight="1">
      <c r="A99" s="1"/>
      <c r="B99" s="1"/>
      <c r="C99" s="1"/>
      <c r="D99" s="1"/>
      <c r="E99" s="1"/>
      <c r="F99" s="1"/>
      <c r="G99" s="1"/>
      <c r="H99" s="1"/>
      <c r="I99" s="1"/>
      <c r="J99" s="1"/>
      <c r="K99" s="1"/>
      <c r="L99" s="1"/>
      <c r="M99" s="1"/>
      <c r="N99" s="1"/>
      <c r="O99" s="1"/>
      <c r="P99" s="1"/>
      <c r="Q99" s="1"/>
      <c r="R99" s="1"/>
      <c r="S99" s="1"/>
      <c r="T99" s="1"/>
      <c r="U99" s="1"/>
      <c r="V99" s="1"/>
      <c r="W99" s="1"/>
    </row>
    <row r="100" spans="1:23" ht="23" customHeight="1">
      <c r="A100" s="1"/>
      <c r="B100" s="1"/>
      <c r="C100" s="1"/>
      <c r="D100" s="1"/>
      <c r="E100" s="1"/>
      <c r="F100" s="1"/>
      <c r="G100" s="1"/>
      <c r="H100" s="1"/>
      <c r="I100" s="1"/>
      <c r="J100" s="1"/>
      <c r="K100" s="1"/>
      <c r="L100" s="1"/>
      <c r="M100" s="1"/>
      <c r="N100" s="1"/>
      <c r="O100" s="1"/>
      <c r="P100" s="1"/>
      <c r="Q100" s="1"/>
      <c r="R100" s="1"/>
      <c r="S100" s="1"/>
      <c r="T100" s="1"/>
      <c r="U100" s="1"/>
      <c r="V100" s="1"/>
      <c r="W100" s="1"/>
    </row>
    <row r="101" spans="1:23" ht="23" customHeight="1">
      <c r="A101" s="1"/>
      <c r="B101" s="1"/>
      <c r="C101" s="1"/>
      <c r="D101" s="1"/>
      <c r="E101" s="1"/>
      <c r="F101" s="1"/>
      <c r="G101" s="1"/>
      <c r="H101" s="1"/>
      <c r="I101" s="1"/>
      <c r="J101" s="1"/>
      <c r="K101" s="1"/>
      <c r="L101" s="1"/>
      <c r="M101" s="1"/>
      <c r="N101" s="1"/>
      <c r="O101" s="1"/>
      <c r="P101" s="1"/>
      <c r="Q101" s="1"/>
      <c r="R101" s="1"/>
      <c r="S101" s="1"/>
      <c r="T101" s="1"/>
      <c r="U101" s="1"/>
      <c r="V101" s="1"/>
      <c r="W101" s="1"/>
    </row>
    <row r="102" spans="1:23" ht="23" customHeight="1">
      <c r="A102" s="1"/>
      <c r="B102" s="1"/>
      <c r="C102" s="1"/>
      <c r="D102" s="1"/>
      <c r="E102" s="1"/>
      <c r="F102" s="1"/>
      <c r="G102" s="1"/>
      <c r="H102" s="1"/>
      <c r="I102" s="1"/>
      <c r="J102" s="1"/>
      <c r="K102" s="1"/>
      <c r="L102" s="1"/>
      <c r="M102" s="1"/>
      <c r="N102" s="1"/>
      <c r="O102" s="1"/>
      <c r="P102" s="1"/>
      <c r="Q102" s="1"/>
      <c r="R102" s="1"/>
      <c r="S102" s="1"/>
      <c r="T102" s="1"/>
      <c r="U102" s="1"/>
      <c r="V102" s="1"/>
      <c r="W102" s="1"/>
    </row>
    <row r="103" spans="1:23" ht="23" customHeight="1">
      <c r="A103" s="1"/>
      <c r="B103" s="1"/>
      <c r="C103" s="1"/>
      <c r="D103" s="1"/>
      <c r="E103" s="1"/>
      <c r="F103" s="1"/>
      <c r="G103" s="1"/>
      <c r="H103" s="1"/>
      <c r="I103" s="1"/>
      <c r="J103" s="1"/>
      <c r="K103" s="1"/>
      <c r="L103" s="1"/>
      <c r="M103" s="1"/>
      <c r="N103" s="1"/>
      <c r="O103" s="1"/>
      <c r="P103" s="1"/>
      <c r="Q103" s="1"/>
      <c r="R103" s="1"/>
      <c r="S103" s="1"/>
      <c r="T103" s="1"/>
      <c r="U103" s="1"/>
      <c r="V103" s="1"/>
      <c r="W103" s="1"/>
    </row>
    <row r="104" spans="1:23" ht="23" customHeight="1">
      <c r="A104" s="1"/>
      <c r="B104" s="1"/>
      <c r="C104" s="1"/>
      <c r="D104" s="1"/>
      <c r="E104" s="1"/>
      <c r="F104" s="1"/>
      <c r="G104" s="1"/>
      <c r="H104" s="1"/>
      <c r="I104" s="1"/>
      <c r="J104" s="1"/>
      <c r="K104" s="1"/>
      <c r="L104" s="1"/>
      <c r="M104" s="1"/>
      <c r="N104" s="1"/>
      <c r="O104" s="1"/>
      <c r="P104" s="1"/>
      <c r="Q104" s="1"/>
      <c r="R104" s="1"/>
      <c r="S104" s="1"/>
      <c r="T104" s="1"/>
      <c r="U104" s="1"/>
      <c r="V104" s="1"/>
      <c r="W104" s="1"/>
    </row>
    <row r="105" spans="1:23" ht="23" customHeight="1">
      <c r="A105" s="1"/>
      <c r="B105" s="1"/>
      <c r="C105" s="1"/>
      <c r="D105" s="1"/>
      <c r="E105" s="1"/>
      <c r="F105" s="1"/>
      <c r="G105" s="1"/>
      <c r="H105" s="1"/>
      <c r="I105" s="1"/>
      <c r="J105" s="1"/>
      <c r="K105" s="1"/>
      <c r="L105" s="1"/>
      <c r="M105" s="1"/>
      <c r="N105" s="1"/>
      <c r="O105" s="1"/>
      <c r="P105" s="1"/>
      <c r="Q105" s="1"/>
      <c r="R105" s="1"/>
      <c r="S105" s="1"/>
      <c r="T105" s="1"/>
      <c r="U105" s="1"/>
      <c r="V105" s="1"/>
      <c r="W105" s="1"/>
    </row>
    <row r="106" spans="1:23" ht="23" customHeight="1">
      <c r="A106" s="1"/>
      <c r="B106" s="1"/>
      <c r="C106" s="1"/>
      <c r="D106" s="1"/>
      <c r="E106" s="1"/>
      <c r="F106" s="1"/>
      <c r="G106" s="1"/>
      <c r="H106" s="1"/>
      <c r="I106" s="1"/>
      <c r="J106" s="1"/>
      <c r="K106" s="1"/>
      <c r="L106" s="1"/>
      <c r="M106" s="1"/>
      <c r="N106" s="1"/>
      <c r="O106" s="1"/>
      <c r="P106" s="1"/>
      <c r="Q106" s="1"/>
      <c r="R106" s="1"/>
      <c r="S106" s="1"/>
      <c r="T106" s="1"/>
      <c r="U106" s="1"/>
      <c r="V106" s="1"/>
      <c r="W106" s="1"/>
    </row>
    <row r="107" spans="1:23" ht="23" customHeight="1">
      <c r="A107" s="1"/>
      <c r="B107" s="1"/>
      <c r="C107" s="1"/>
      <c r="D107" s="1"/>
      <c r="E107" s="1"/>
      <c r="F107" s="1"/>
      <c r="G107" s="1"/>
      <c r="H107" s="1"/>
      <c r="I107" s="1"/>
      <c r="J107" s="1"/>
      <c r="K107" s="1"/>
      <c r="L107" s="1"/>
      <c r="M107" s="1"/>
      <c r="N107" s="1"/>
      <c r="O107" s="1"/>
      <c r="P107" s="1"/>
      <c r="Q107" s="1"/>
      <c r="R107" s="1"/>
      <c r="S107" s="1"/>
      <c r="T107" s="1"/>
      <c r="U107" s="1"/>
      <c r="V107" s="1"/>
      <c r="W107" s="1"/>
    </row>
    <row r="108" spans="1:23" ht="23" customHeight="1">
      <c r="A108" s="1"/>
      <c r="B108" s="1"/>
      <c r="C108" s="1"/>
      <c r="D108" s="1"/>
      <c r="E108" s="1"/>
      <c r="F108" s="1"/>
      <c r="G108" s="1"/>
      <c r="H108" s="1"/>
      <c r="I108" s="1"/>
      <c r="J108" s="1"/>
      <c r="K108" s="1"/>
      <c r="L108" s="1"/>
      <c r="M108" s="1"/>
      <c r="N108" s="1"/>
      <c r="O108" s="1"/>
      <c r="P108" s="1"/>
      <c r="Q108" s="1"/>
      <c r="R108" s="1"/>
      <c r="S108" s="1"/>
      <c r="T108" s="1"/>
      <c r="U108" s="1"/>
      <c r="V108" s="1"/>
      <c r="W108" s="1"/>
    </row>
    <row r="109" spans="1:23" ht="23" customHeight="1">
      <c r="A109" s="1"/>
      <c r="B109" s="1"/>
      <c r="C109" s="1"/>
      <c r="D109" s="1"/>
      <c r="E109" s="1"/>
      <c r="F109" s="1"/>
      <c r="G109" s="1"/>
      <c r="H109" s="1"/>
      <c r="I109" s="1"/>
      <c r="J109" s="1"/>
      <c r="K109" s="1"/>
      <c r="L109" s="1"/>
      <c r="M109" s="1"/>
      <c r="N109" s="1"/>
      <c r="O109" s="1"/>
      <c r="P109" s="1"/>
      <c r="Q109" s="1"/>
      <c r="R109" s="1"/>
      <c r="S109" s="1"/>
      <c r="T109" s="1"/>
      <c r="U109" s="1"/>
      <c r="V109" s="1"/>
      <c r="W109" s="1"/>
    </row>
    <row r="110" spans="1:23" ht="23" customHeight="1">
      <c r="A110" s="1"/>
      <c r="B110" s="1"/>
      <c r="C110" s="1"/>
      <c r="D110" s="1"/>
      <c r="E110" s="1"/>
      <c r="F110" s="1"/>
      <c r="G110" s="1"/>
      <c r="H110" s="1"/>
      <c r="I110" s="1"/>
      <c r="J110" s="1"/>
      <c r="K110" s="1"/>
      <c r="L110" s="1"/>
      <c r="M110" s="1"/>
      <c r="N110" s="1"/>
      <c r="O110" s="1"/>
      <c r="P110" s="1"/>
      <c r="Q110" s="1"/>
      <c r="R110" s="1"/>
      <c r="S110" s="1"/>
      <c r="T110" s="1"/>
      <c r="U110" s="1"/>
      <c r="V110" s="1"/>
      <c r="W110" s="1"/>
    </row>
    <row r="111" spans="1:23" ht="23" customHeight="1">
      <c r="A111" s="1"/>
      <c r="B111" s="1"/>
      <c r="C111" s="1"/>
      <c r="D111" s="1"/>
      <c r="E111" s="1"/>
      <c r="F111" s="1"/>
      <c r="G111" s="1"/>
      <c r="H111" s="1"/>
      <c r="I111" s="1"/>
      <c r="J111" s="1"/>
      <c r="K111" s="1"/>
      <c r="L111" s="1"/>
      <c r="M111" s="1"/>
      <c r="N111" s="1"/>
      <c r="O111" s="1"/>
      <c r="P111" s="1"/>
      <c r="Q111" s="1"/>
      <c r="R111" s="1"/>
      <c r="S111" s="1"/>
      <c r="T111" s="1"/>
      <c r="U111" s="1"/>
      <c r="V111" s="1"/>
      <c r="W111" s="1"/>
    </row>
    <row r="112" spans="1:23" ht="23" customHeight="1">
      <c r="A112" s="1"/>
      <c r="B112" s="1"/>
      <c r="C112" s="1"/>
      <c r="D112" s="1"/>
      <c r="E112" s="1"/>
      <c r="F112" s="1"/>
      <c r="G112" s="1"/>
      <c r="H112" s="1"/>
      <c r="I112" s="1"/>
      <c r="J112" s="1"/>
      <c r="K112" s="1"/>
      <c r="L112" s="1"/>
      <c r="M112" s="1"/>
      <c r="N112" s="1"/>
      <c r="O112" s="1"/>
      <c r="P112" s="1"/>
      <c r="Q112" s="1"/>
      <c r="R112" s="1"/>
      <c r="S112" s="1"/>
      <c r="T112" s="1"/>
      <c r="U112" s="1"/>
      <c r="V112" s="1"/>
      <c r="W112" s="1"/>
    </row>
    <row r="113" spans="1:23" ht="23" customHeight="1">
      <c r="A113" s="1"/>
      <c r="B113" s="1"/>
      <c r="C113" s="1"/>
      <c r="D113" s="1"/>
      <c r="E113" s="1"/>
      <c r="F113" s="1"/>
      <c r="G113" s="1"/>
      <c r="H113" s="1"/>
      <c r="I113" s="1"/>
      <c r="J113" s="1"/>
      <c r="K113" s="1"/>
      <c r="L113" s="1"/>
      <c r="M113" s="1"/>
      <c r="N113" s="1"/>
      <c r="O113" s="1"/>
      <c r="P113" s="1"/>
      <c r="Q113" s="1"/>
      <c r="R113" s="1"/>
      <c r="S113" s="1"/>
      <c r="T113" s="1"/>
      <c r="U113" s="1"/>
      <c r="V113" s="1"/>
      <c r="W113" s="1"/>
    </row>
    <row r="114" spans="1:23" ht="23" customHeight="1">
      <c r="A114" s="1"/>
      <c r="B114" s="1"/>
      <c r="C114" s="1"/>
      <c r="D114" s="1"/>
      <c r="E114" s="1"/>
      <c r="F114" s="1"/>
      <c r="G114" s="1"/>
      <c r="H114" s="1"/>
      <c r="I114" s="1"/>
      <c r="J114" s="1"/>
      <c r="K114" s="1"/>
      <c r="L114" s="1"/>
      <c r="M114" s="1"/>
      <c r="N114" s="1"/>
      <c r="O114" s="1"/>
      <c r="P114" s="1"/>
      <c r="Q114" s="1"/>
      <c r="R114" s="1"/>
      <c r="S114" s="1"/>
      <c r="T114" s="1"/>
      <c r="U114" s="1"/>
      <c r="V114" s="1"/>
      <c r="W114" s="1"/>
    </row>
    <row r="115" spans="1:23" ht="23" customHeight="1">
      <c r="A115" s="1"/>
      <c r="B115" s="1"/>
      <c r="C115" s="1"/>
      <c r="D115" s="1"/>
      <c r="E115" s="1"/>
      <c r="F115" s="1"/>
      <c r="G115" s="1"/>
      <c r="H115" s="1"/>
      <c r="I115" s="1"/>
      <c r="J115" s="1"/>
      <c r="K115" s="1"/>
      <c r="L115" s="1"/>
      <c r="M115" s="1"/>
      <c r="N115" s="1"/>
      <c r="O115" s="1"/>
      <c r="P115" s="1"/>
      <c r="Q115" s="1"/>
      <c r="R115" s="1"/>
      <c r="S115" s="1"/>
      <c r="T115" s="1"/>
      <c r="U115" s="1"/>
      <c r="V115" s="1"/>
      <c r="W115" s="1"/>
    </row>
    <row r="116" spans="1:23" ht="23" customHeight="1">
      <c r="A116" s="1"/>
      <c r="B116" s="1"/>
      <c r="C116" s="1"/>
      <c r="D116" s="1"/>
      <c r="E116" s="1"/>
      <c r="F116" s="1"/>
      <c r="G116" s="1"/>
      <c r="H116" s="1"/>
      <c r="I116" s="1"/>
      <c r="J116" s="1"/>
      <c r="K116" s="1"/>
      <c r="L116" s="1"/>
      <c r="M116" s="1"/>
      <c r="N116" s="1"/>
      <c r="O116" s="1"/>
      <c r="P116" s="1"/>
      <c r="Q116" s="1"/>
      <c r="R116" s="1"/>
      <c r="S116" s="1"/>
      <c r="T116" s="1"/>
      <c r="U116" s="1"/>
      <c r="V116" s="1"/>
      <c r="W116" s="1"/>
    </row>
    <row r="117" spans="1:23" ht="23" customHeight="1">
      <c r="A117" s="1"/>
      <c r="B117" s="1"/>
      <c r="C117" s="1"/>
      <c r="D117" s="1"/>
      <c r="E117" s="1"/>
      <c r="F117" s="1"/>
      <c r="G117" s="1"/>
      <c r="H117" s="1"/>
      <c r="I117" s="1"/>
      <c r="J117" s="1"/>
      <c r="K117" s="1"/>
      <c r="L117" s="1"/>
      <c r="M117" s="1"/>
      <c r="N117" s="1"/>
      <c r="O117" s="1"/>
      <c r="P117" s="1"/>
      <c r="Q117" s="1"/>
      <c r="R117" s="1"/>
      <c r="S117" s="1"/>
      <c r="T117" s="1"/>
      <c r="U117" s="1"/>
      <c r="V117" s="1"/>
      <c r="W117" s="1"/>
    </row>
    <row r="118" spans="1:23" ht="23" customHeight="1">
      <c r="A118" s="1"/>
      <c r="B118" s="1"/>
      <c r="C118" s="1"/>
      <c r="D118" s="1"/>
      <c r="E118" s="1"/>
      <c r="F118" s="1"/>
      <c r="G118" s="1"/>
      <c r="H118" s="1"/>
      <c r="I118" s="1"/>
      <c r="J118" s="1"/>
      <c r="K118" s="1"/>
      <c r="L118" s="1"/>
      <c r="M118" s="1"/>
      <c r="N118" s="1"/>
      <c r="O118" s="1"/>
      <c r="P118" s="1"/>
      <c r="Q118" s="1"/>
      <c r="R118" s="1"/>
      <c r="S118" s="1"/>
      <c r="T118" s="1"/>
      <c r="U118" s="1"/>
      <c r="V118" s="1"/>
      <c r="W118" s="1"/>
    </row>
    <row r="119" spans="1:23" ht="23" customHeight="1">
      <c r="A119" s="1"/>
      <c r="B119" s="1"/>
      <c r="C119" s="1"/>
      <c r="D119" s="1"/>
      <c r="E119" s="1"/>
      <c r="F119" s="1"/>
      <c r="G119" s="1"/>
      <c r="H119" s="1"/>
      <c r="I119" s="1"/>
      <c r="J119" s="1"/>
      <c r="K119" s="1"/>
      <c r="L119" s="1"/>
      <c r="M119" s="1"/>
      <c r="N119" s="1"/>
      <c r="O119" s="1"/>
      <c r="P119" s="1"/>
      <c r="Q119" s="1"/>
      <c r="R119" s="1"/>
      <c r="S119" s="1"/>
      <c r="T119" s="1"/>
      <c r="U119" s="1"/>
      <c r="V119" s="1"/>
      <c r="W119" s="1"/>
    </row>
    <row r="120" spans="1:23" ht="23" customHeight="1">
      <c r="A120" s="1"/>
      <c r="B120" s="1"/>
      <c r="C120" s="1"/>
      <c r="D120" s="1"/>
      <c r="E120" s="1"/>
      <c r="F120" s="1"/>
      <c r="G120" s="1"/>
      <c r="H120" s="1"/>
      <c r="I120" s="1"/>
      <c r="J120" s="1"/>
      <c r="K120" s="1"/>
      <c r="L120" s="1"/>
      <c r="M120" s="1"/>
      <c r="N120" s="1"/>
      <c r="O120" s="1"/>
      <c r="P120" s="1"/>
      <c r="Q120" s="1"/>
      <c r="R120" s="1"/>
      <c r="S120" s="1"/>
      <c r="T120" s="1"/>
      <c r="U120" s="1"/>
      <c r="V120" s="1"/>
      <c r="W120" s="1"/>
    </row>
  </sheetData>
  <mergeCells count="2">
    <mergeCell ref="B29:F31"/>
    <mergeCell ref="B42:G44"/>
  </mergeCells>
  <conditionalFormatting sqref="C36:G40">
    <cfRule type="colorScale" priority="1">
      <colorScale>
        <cfvo type="min"/>
        <cfvo type="percentile" val="50"/>
        <cfvo type="max"/>
        <color rgb="FFF1D4CF"/>
        <color rgb="FFFFFFFF"/>
        <color rgb="FFCEE6DE"/>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20"/>
  <sheetViews>
    <sheetView showGridLines="0" workbookViewId="0">
      <pane ySplit="5" topLeftCell="A6" activePane="bottomLeft" state="frozen"/>
      <selection pane="bottomLeft"/>
    </sheetView>
  </sheetViews>
  <sheetFormatPr defaultRowHeight="14"/>
  <cols>
    <col min="1" max="1" width="3" customWidth="1"/>
    <col min="2" max="2" width="28" customWidth="1"/>
    <col min="3" max="3" width="13" customWidth="1"/>
    <col min="4" max="4" width="29" customWidth="1"/>
    <col min="5" max="5" width="16" customWidth="1"/>
    <col min="6" max="6" width="57" customWidth="1"/>
    <col min="7" max="23" width="13" customWidth="1"/>
  </cols>
  <sheetData>
    <row r="1" spans="1:23" ht="23" customHeight="1">
      <c r="A1" s="1"/>
      <c r="B1" s="1"/>
      <c r="C1" s="1"/>
      <c r="D1" s="1"/>
      <c r="E1" s="1"/>
      <c r="F1" s="1"/>
      <c r="G1" s="1"/>
      <c r="H1" s="1"/>
      <c r="I1" s="1"/>
      <c r="J1" s="1"/>
      <c r="K1" s="1"/>
      <c r="L1" s="1"/>
      <c r="M1" s="1"/>
      <c r="N1" s="1"/>
      <c r="O1" s="1"/>
      <c r="P1" s="1"/>
      <c r="Q1" s="1"/>
      <c r="R1" s="1"/>
      <c r="S1" s="1"/>
      <c r="T1" s="1"/>
      <c r="U1" s="1"/>
      <c r="V1" s="1"/>
      <c r="W1" s="1"/>
    </row>
    <row r="2" spans="1:23" ht="32" customHeight="1">
      <c r="A2" s="1"/>
      <c r="B2" s="2" t="s">
        <v>75</v>
      </c>
      <c r="C2" s="2"/>
      <c r="D2" s="2"/>
      <c r="E2" s="2"/>
      <c r="F2" s="2"/>
      <c r="G2" s="2"/>
      <c r="H2" s="2"/>
      <c r="I2" s="2"/>
      <c r="J2" s="2"/>
      <c r="K2" s="2"/>
      <c r="L2" s="2"/>
      <c r="M2" s="2"/>
      <c r="N2" s="1"/>
      <c r="O2" s="1"/>
      <c r="P2" s="1"/>
      <c r="Q2" s="1"/>
      <c r="R2" s="1"/>
      <c r="S2" s="1"/>
      <c r="T2" s="1"/>
      <c r="U2" s="1"/>
      <c r="V2" s="1"/>
      <c r="W2" s="1"/>
    </row>
    <row r="3" spans="1:23" ht="23" customHeight="1">
      <c r="A3" s="1"/>
      <c r="B3" s="3" t="s">
        <v>76</v>
      </c>
      <c r="C3" s="3"/>
      <c r="D3" s="3"/>
      <c r="E3" s="3"/>
      <c r="F3" s="3"/>
      <c r="G3" s="3"/>
      <c r="H3" s="3"/>
      <c r="I3" s="3"/>
      <c r="J3" s="3"/>
      <c r="K3" s="3"/>
      <c r="L3" s="3"/>
      <c r="M3" s="3"/>
      <c r="N3" s="1"/>
      <c r="O3" s="1"/>
      <c r="P3" s="1"/>
      <c r="Q3" s="1"/>
      <c r="R3" s="1"/>
      <c r="S3" s="1"/>
      <c r="T3" s="1"/>
      <c r="U3" s="1"/>
      <c r="V3" s="1"/>
      <c r="W3" s="1"/>
    </row>
    <row r="4" spans="1:23" ht="23" customHeight="1">
      <c r="A4" s="1"/>
      <c r="B4" s="1"/>
      <c r="C4" s="1"/>
      <c r="D4" s="1"/>
      <c r="E4" s="1"/>
      <c r="F4" s="1"/>
      <c r="G4" s="1"/>
      <c r="H4" s="1"/>
      <c r="I4" s="1"/>
      <c r="J4" s="1"/>
      <c r="K4" s="1"/>
      <c r="L4" s="1"/>
      <c r="M4" s="1"/>
      <c r="N4" s="1"/>
      <c r="O4" s="1"/>
      <c r="P4" s="1"/>
      <c r="Q4" s="1"/>
      <c r="R4" s="1"/>
      <c r="S4" s="1"/>
      <c r="T4" s="1"/>
      <c r="U4" s="1"/>
      <c r="V4" s="1"/>
      <c r="W4" s="1"/>
    </row>
    <row r="5" spans="1:23" ht="32" customHeight="1">
      <c r="A5" s="1"/>
      <c r="B5" s="4" t="s">
        <v>77</v>
      </c>
      <c r="C5" s="4" t="s">
        <v>78</v>
      </c>
      <c r="D5" s="4" t="s">
        <v>79</v>
      </c>
      <c r="E5" s="4" t="s">
        <v>80</v>
      </c>
      <c r="F5" s="4" t="s">
        <v>81</v>
      </c>
      <c r="G5" s="1"/>
      <c r="H5" s="1"/>
      <c r="I5" s="1"/>
      <c r="J5" s="1"/>
      <c r="K5" s="1"/>
      <c r="L5" s="1"/>
      <c r="M5" s="1"/>
      <c r="N5" s="1"/>
      <c r="O5" s="1"/>
      <c r="P5" s="1"/>
      <c r="Q5" s="1"/>
      <c r="R5" s="1"/>
      <c r="S5" s="1"/>
      <c r="T5" s="1"/>
      <c r="U5" s="1"/>
      <c r="V5" s="1"/>
      <c r="W5" s="1"/>
    </row>
    <row r="6" spans="1:23" ht="38" customHeight="1">
      <c r="A6" s="1"/>
      <c r="B6" s="25" t="s">
        <v>82</v>
      </c>
      <c r="C6" s="26">
        <v>29200</v>
      </c>
      <c r="D6" s="27" t="s">
        <v>83</v>
      </c>
      <c r="E6" s="27" t="s">
        <v>84</v>
      </c>
      <c r="F6" s="27" t="s">
        <v>85</v>
      </c>
      <c r="G6" s="1"/>
      <c r="H6" s="1"/>
      <c r="I6" s="1"/>
      <c r="J6" s="1"/>
      <c r="K6" s="1"/>
      <c r="L6" s="1"/>
      <c r="M6" s="1"/>
      <c r="N6" s="1"/>
      <c r="O6" s="1"/>
      <c r="P6" s="1"/>
      <c r="Q6" s="1"/>
      <c r="R6" s="1"/>
      <c r="S6" s="1"/>
      <c r="T6" s="1"/>
      <c r="U6" s="1"/>
      <c r="V6" s="1"/>
      <c r="W6" s="1"/>
    </row>
    <row r="7" spans="1:23" ht="38" customHeight="1">
      <c r="A7" s="1"/>
      <c r="B7" s="28" t="s">
        <v>86</v>
      </c>
      <c r="C7" s="29">
        <v>27200</v>
      </c>
      <c r="D7" s="30" t="s">
        <v>83</v>
      </c>
      <c r="E7" s="30" t="s">
        <v>87</v>
      </c>
      <c r="F7" s="30" t="s">
        <v>85</v>
      </c>
      <c r="G7" s="1"/>
      <c r="H7" s="1"/>
      <c r="I7" s="1"/>
      <c r="J7" s="1"/>
      <c r="K7" s="1"/>
      <c r="L7" s="1"/>
      <c r="M7" s="1"/>
      <c r="N7" s="1"/>
      <c r="O7" s="1"/>
      <c r="P7" s="1"/>
      <c r="Q7" s="1"/>
      <c r="R7" s="1"/>
      <c r="S7" s="1"/>
      <c r="T7" s="1"/>
      <c r="U7" s="1"/>
      <c r="V7" s="1"/>
      <c r="W7" s="1"/>
    </row>
    <row r="8" spans="1:23" ht="38" customHeight="1">
      <c r="A8" s="1"/>
      <c r="B8" s="28" t="s">
        <v>7</v>
      </c>
      <c r="C8" s="29">
        <v>26008.556</v>
      </c>
      <c r="D8" s="30" t="s">
        <v>88</v>
      </c>
      <c r="E8" s="30" t="s">
        <v>89</v>
      </c>
      <c r="F8" s="30" t="s">
        <v>90</v>
      </c>
      <c r="G8" s="1"/>
      <c r="H8" s="1"/>
      <c r="I8" s="1"/>
      <c r="J8" s="1"/>
      <c r="K8" s="1"/>
      <c r="L8" s="1"/>
      <c r="M8" s="1"/>
      <c r="N8" s="1"/>
      <c r="O8" s="1"/>
      <c r="P8" s="1"/>
      <c r="Q8" s="1"/>
      <c r="R8" s="1"/>
      <c r="S8" s="1"/>
      <c r="T8" s="1"/>
      <c r="U8" s="1"/>
      <c r="V8" s="1"/>
      <c r="W8" s="1"/>
    </row>
    <row r="9" spans="1:23" ht="38" customHeight="1">
      <c r="A9" s="1"/>
      <c r="B9" s="28" t="s">
        <v>9</v>
      </c>
      <c r="C9" s="29">
        <v>23008.326000000001</v>
      </c>
      <c r="D9" s="30" t="s">
        <v>88</v>
      </c>
      <c r="E9" s="30" t="s">
        <v>89</v>
      </c>
      <c r="F9" s="30" t="s">
        <v>90</v>
      </c>
      <c r="G9" s="1"/>
      <c r="H9" s="1"/>
      <c r="I9" s="1"/>
      <c r="J9" s="1"/>
      <c r="K9" s="1"/>
      <c r="L9" s="1"/>
      <c r="M9" s="1"/>
      <c r="N9" s="1"/>
      <c r="O9" s="1"/>
      <c r="P9" s="1"/>
      <c r="Q9" s="1"/>
      <c r="R9" s="1"/>
      <c r="S9" s="1"/>
      <c r="T9" s="1"/>
      <c r="U9" s="1"/>
      <c r="V9" s="1"/>
      <c r="W9" s="1"/>
    </row>
    <row r="10" spans="1:23" ht="38" customHeight="1">
      <c r="A10" s="1"/>
      <c r="B10" s="31" t="s">
        <v>11</v>
      </c>
      <c r="C10" s="32">
        <v>32424.358475969053</v>
      </c>
      <c r="D10" s="33" t="s">
        <v>88</v>
      </c>
      <c r="E10" s="33" t="s">
        <v>89</v>
      </c>
      <c r="F10" s="33" t="s">
        <v>91</v>
      </c>
      <c r="G10" s="1"/>
      <c r="H10" s="1"/>
      <c r="I10" s="1"/>
      <c r="J10" s="1"/>
      <c r="K10" s="1"/>
      <c r="L10" s="1"/>
      <c r="M10" s="1"/>
      <c r="N10" s="1"/>
      <c r="O10" s="1"/>
      <c r="P10" s="1"/>
      <c r="Q10" s="1"/>
      <c r="R10" s="1"/>
      <c r="S10" s="1"/>
      <c r="T10" s="1"/>
      <c r="U10" s="1"/>
      <c r="V10" s="1"/>
      <c r="W10" s="1"/>
    </row>
    <row r="11" spans="1:23" ht="23" customHeight="1">
      <c r="A11" s="1"/>
      <c r="B11" s="1"/>
      <c r="C11" s="1"/>
      <c r="D11" s="1"/>
      <c r="E11" s="1"/>
      <c r="F11" s="1"/>
      <c r="G11" s="1"/>
      <c r="H11" s="1"/>
      <c r="I11" s="1"/>
      <c r="J11" s="1"/>
      <c r="K11" s="1"/>
      <c r="L11" s="1"/>
      <c r="M11" s="1"/>
      <c r="N11" s="1"/>
      <c r="O11" s="1"/>
      <c r="P11" s="1"/>
      <c r="Q11" s="1"/>
      <c r="R11" s="1"/>
      <c r="S11" s="1"/>
      <c r="T11" s="1"/>
      <c r="U11" s="1"/>
      <c r="V11" s="1"/>
      <c r="W11" s="1"/>
    </row>
    <row r="12" spans="1:23" ht="23" customHeight="1">
      <c r="A12" s="1"/>
      <c r="B12" s="1"/>
      <c r="C12" s="1"/>
      <c r="D12" s="1"/>
      <c r="E12" s="1"/>
      <c r="F12" s="1"/>
      <c r="G12" s="1"/>
      <c r="H12" s="1"/>
      <c r="I12" s="1"/>
      <c r="J12" s="1"/>
      <c r="K12" s="1"/>
      <c r="L12" s="1"/>
      <c r="M12" s="1"/>
      <c r="N12" s="1"/>
      <c r="O12" s="1"/>
      <c r="P12" s="1"/>
      <c r="Q12" s="1"/>
      <c r="R12" s="1"/>
      <c r="S12" s="1"/>
      <c r="T12" s="1"/>
      <c r="U12" s="1"/>
      <c r="V12" s="1"/>
      <c r="W12" s="1"/>
    </row>
    <row r="13" spans="1:23" ht="32" customHeight="1">
      <c r="A13" s="1"/>
      <c r="B13" s="4" t="s">
        <v>92</v>
      </c>
      <c r="C13" s="4" t="s">
        <v>53</v>
      </c>
      <c r="D13" s="4" t="s">
        <v>93</v>
      </c>
      <c r="E13" s="4" t="s">
        <v>94</v>
      </c>
      <c r="F13" s="4" t="s">
        <v>95</v>
      </c>
      <c r="G13" s="1"/>
      <c r="H13" s="1"/>
      <c r="I13" s="1"/>
      <c r="J13" s="1"/>
      <c r="K13" s="1"/>
      <c r="L13" s="1"/>
      <c r="M13" s="1"/>
      <c r="N13" s="1"/>
      <c r="O13" s="1"/>
      <c r="P13" s="1"/>
      <c r="Q13" s="1"/>
      <c r="R13" s="1"/>
      <c r="S13" s="1"/>
      <c r="T13" s="1"/>
      <c r="U13" s="1"/>
      <c r="V13" s="1"/>
      <c r="W13" s="1"/>
    </row>
    <row r="14" spans="1:23" ht="23" customHeight="1">
      <c r="A14" s="1"/>
      <c r="B14" s="1" t="s">
        <v>7</v>
      </c>
      <c r="C14" s="13">
        <v>0.17254890895313102</v>
      </c>
      <c r="D14" s="13">
        <v>1.7904910308494199E-2</v>
      </c>
      <c r="E14" s="1">
        <v>5</v>
      </c>
      <c r="F14" s="1" t="s">
        <v>96</v>
      </c>
      <c r="G14" s="1"/>
      <c r="H14" s="1"/>
      <c r="I14" s="1"/>
      <c r="J14" s="1"/>
      <c r="K14" s="1"/>
      <c r="L14" s="1"/>
      <c r="M14" s="1"/>
      <c r="N14" s="1"/>
      <c r="O14" s="1"/>
      <c r="P14" s="1"/>
      <c r="Q14" s="1"/>
      <c r="R14" s="1"/>
      <c r="S14" s="1"/>
      <c r="T14" s="1"/>
      <c r="U14" s="1"/>
      <c r="V14" s="1"/>
      <c r="W14" s="1"/>
    </row>
    <row r="15" spans="1:23" ht="23" customHeight="1">
      <c r="A15" s="1"/>
      <c r="B15" s="1" t="s">
        <v>9</v>
      </c>
      <c r="C15" s="13">
        <v>0.12040366938470581</v>
      </c>
      <c r="D15" s="13">
        <v>1.7904910308494199E-2</v>
      </c>
      <c r="E15" s="1">
        <v>5</v>
      </c>
      <c r="F15" s="1" t="s">
        <v>97</v>
      </c>
      <c r="G15" s="1"/>
      <c r="H15" s="1"/>
      <c r="I15" s="1"/>
      <c r="J15" s="1"/>
      <c r="K15" s="1"/>
      <c r="L15" s="1"/>
      <c r="M15" s="1"/>
      <c r="N15" s="1"/>
      <c r="O15" s="1"/>
      <c r="P15" s="1"/>
      <c r="Q15" s="1"/>
      <c r="R15" s="1"/>
      <c r="S15" s="1"/>
      <c r="T15" s="1"/>
      <c r="U15" s="1"/>
      <c r="V15" s="1"/>
      <c r="W15" s="1"/>
    </row>
    <row r="16" spans="1:23" ht="23" customHeight="1">
      <c r="A16" s="1"/>
      <c r="B16" s="1" t="s">
        <v>11</v>
      </c>
      <c r="C16" s="13">
        <v>0.12727546363111183</v>
      </c>
      <c r="D16" s="13">
        <v>1.7904910308494199E-2</v>
      </c>
      <c r="E16" s="1">
        <v>6</v>
      </c>
      <c r="F16" s="1" t="s">
        <v>84</v>
      </c>
      <c r="G16" s="1"/>
      <c r="H16" s="1"/>
      <c r="I16" s="1"/>
      <c r="J16" s="1"/>
      <c r="K16" s="1"/>
      <c r="L16" s="1"/>
      <c r="M16" s="1"/>
      <c r="N16" s="1"/>
      <c r="O16" s="1"/>
      <c r="P16" s="1"/>
      <c r="Q16" s="1"/>
      <c r="R16" s="1"/>
      <c r="S16" s="1"/>
      <c r="T16" s="1"/>
      <c r="U16" s="1"/>
      <c r="V16" s="1"/>
      <c r="W16" s="1"/>
    </row>
    <row r="17" spans="1:23" ht="23" customHeight="1">
      <c r="A17" s="1"/>
      <c r="B17" s="1" t="s">
        <v>12</v>
      </c>
      <c r="C17" s="13">
        <v>0.13823804574623988</v>
      </c>
      <c r="D17" s="13">
        <v>1.7904910308494199E-2</v>
      </c>
      <c r="E17" s="1">
        <v>6</v>
      </c>
      <c r="F17" s="1" t="s">
        <v>87</v>
      </c>
      <c r="G17" s="1"/>
      <c r="H17" s="1"/>
      <c r="I17" s="1"/>
      <c r="J17" s="1"/>
      <c r="K17" s="1"/>
      <c r="L17" s="1"/>
      <c r="M17" s="1"/>
      <c r="N17" s="1"/>
      <c r="O17" s="1"/>
      <c r="P17" s="1"/>
      <c r="Q17" s="1"/>
      <c r="R17" s="1"/>
      <c r="S17" s="1"/>
      <c r="T17" s="1"/>
      <c r="U17" s="1"/>
      <c r="V17" s="1"/>
      <c r="W17" s="1"/>
    </row>
    <row r="18" spans="1:23" ht="23" customHeight="1">
      <c r="A18" s="1"/>
      <c r="B18" s="1"/>
      <c r="C18" s="1"/>
      <c r="D18" s="1"/>
      <c r="E18" s="1"/>
      <c r="F18" s="1"/>
      <c r="G18" s="1"/>
      <c r="H18" s="1"/>
      <c r="I18" s="1"/>
      <c r="J18" s="1"/>
      <c r="K18" s="1"/>
      <c r="L18" s="1"/>
      <c r="M18" s="1"/>
      <c r="N18" s="1"/>
      <c r="O18" s="1"/>
      <c r="P18" s="1"/>
      <c r="Q18" s="1"/>
      <c r="R18" s="1"/>
      <c r="S18" s="1"/>
      <c r="T18" s="1"/>
      <c r="U18" s="1"/>
      <c r="V18" s="1"/>
      <c r="W18" s="1"/>
    </row>
    <row r="19" spans="1:23" ht="23" customHeight="1">
      <c r="A19" s="1"/>
      <c r="B19" s="42" t="s">
        <v>98</v>
      </c>
      <c r="C19" s="42"/>
      <c r="D19" s="42"/>
      <c r="E19" s="42"/>
      <c r="F19" s="42"/>
      <c r="G19" s="1"/>
      <c r="H19" s="1"/>
      <c r="I19" s="1"/>
      <c r="J19" s="1"/>
      <c r="K19" s="1"/>
      <c r="L19" s="1"/>
      <c r="M19" s="1"/>
      <c r="N19" s="1"/>
      <c r="O19" s="1"/>
      <c r="P19" s="1"/>
      <c r="Q19" s="1"/>
      <c r="R19" s="1"/>
      <c r="S19" s="1"/>
      <c r="T19" s="1"/>
      <c r="U19" s="1"/>
      <c r="V19" s="1"/>
      <c r="W19" s="1"/>
    </row>
    <row r="20" spans="1:23" ht="23" customHeight="1">
      <c r="A20" s="1"/>
      <c r="B20" s="42"/>
      <c r="C20" s="42"/>
      <c r="D20" s="42"/>
      <c r="E20" s="42"/>
      <c r="F20" s="42"/>
      <c r="G20" s="1"/>
      <c r="H20" s="1"/>
      <c r="I20" s="1"/>
      <c r="J20" s="1"/>
      <c r="K20" s="1"/>
      <c r="L20" s="1"/>
      <c r="M20" s="1"/>
      <c r="N20" s="1"/>
      <c r="O20" s="1"/>
      <c r="P20" s="1"/>
      <c r="Q20" s="1"/>
      <c r="R20" s="1"/>
      <c r="S20" s="1"/>
      <c r="T20" s="1"/>
      <c r="U20" s="1"/>
      <c r="V20" s="1"/>
      <c r="W20" s="1"/>
    </row>
    <row r="21" spans="1:23" ht="23" customHeight="1">
      <c r="A21" s="1"/>
      <c r="B21" s="1"/>
      <c r="C21" s="1"/>
      <c r="D21" s="1"/>
      <c r="E21" s="1"/>
      <c r="F21" s="1"/>
      <c r="G21" s="1"/>
      <c r="H21" s="1"/>
      <c r="I21" s="1"/>
      <c r="J21" s="1"/>
      <c r="K21" s="1"/>
      <c r="L21" s="1"/>
      <c r="M21" s="1"/>
      <c r="N21" s="1"/>
      <c r="O21" s="1"/>
      <c r="P21" s="1"/>
      <c r="Q21" s="1"/>
      <c r="R21" s="1"/>
      <c r="S21" s="1"/>
      <c r="T21" s="1"/>
      <c r="U21" s="1"/>
      <c r="V21" s="1"/>
      <c r="W21" s="1"/>
    </row>
    <row r="22" spans="1:23" ht="23" customHeight="1">
      <c r="A22" s="1"/>
      <c r="B22" s="1"/>
      <c r="C22" s="1"/>
      <c r="D22" s="1"/>
      <c r="E22" s="1"/>
      <c r="F22" s="1"/>
      <c r="G22" s="1"/>
      <c r="H22" s="1"/>
      <c r="I22" s="1"/>
      <c r="J22" s="1"/>
      <c r="K22" s="1"/>
      <c r="L22" s="1"/>
      <c r="M22" s="1"/>
      <c r="N22" s="1"/>
      <c r="O22" s="1"/>
      <c r="P22" s="1"/>
      <c r="Q22" s="1"/>
      <c r="R22" s="1"/>
      <c r="S22" s="1"/>
      <c r="T22" s="1"/>
      <c r="U22" s="1"/>
      <c r="V22" s="1"/>
      <c r="W22" s="1"/>
    </row>
    <row r="23" spans="1:23" ht="32" customHeight="1">
      <c r="A23" s="1"/>
      <c r="B23" s="4" t="s">
        <v>2</v>
      </c>
      <c r="C23" s="4" t="s">
        <v>60</v>
      </c>
      <c r="D23" s="4" t="s">
        <v>65</v>
      </c>
      <c r="E23" s="4" t="s">
        <v>99</v>
      </c>
      <c r="F23" s="4" t="s">
        <v>100</v>
      </c>
      <c r="G23" s="1"/>
      <c r="H23" s="1"/>
      <c r="I23" s="1"/>
      <c r="J23" s="1"/>
      <c r="K23" s="1"/>
      <c r="L23" s="1"/>
      <c r="M23" s="1"/>
      <c r="N23" s="1"/>
      <c r="O23" s="1"/>
      <c r="P23" s="1"/>
      <c r="Q23" s="1"/>
      <c r="R23" s="1"/>
      <c r="S23" s="1"/>
      <c r="T23" s="1"/>
      <c r="U23" s="1"/>
      <c r="V23" s="1"/>
      <c r="W23" s="1"/>
    </row>
    <row r="24" spans="1:23" ht="41" customHeight="1">
      <c r="A24" s="1"/>
      <c r="B24" s="25" t="s">
        <v>7</v>
      </c>
      <c r="C24" s="26">
        <v>4744.8818700000002</v>
      </c>
      <c r="D24" s="26"/>
      <c r="E24" s="27" t="s">
        <v>101</v>
      </c>
      <c r="F24" s="27" t="s">
        <v>102</v>
      </c>
      <c r="G24" s="1"/>
      <c r="H24" s="1"/>
      <c r="I24" s="1"/>
      <c r="J24" s="1"/>
      <c r="K24" s="1"/>
      <c r="L24" s="1"/>
      <c r="M24" s="1"/>
      <c r="N24" s="1"/>
      <c r="O24" s="1"/>
      <c r="P24" s="1"/>
      <c r="Q24" s="1"/>
      <c r="R24" s="1"/>
      <c r="S24" s="1"/>
      <c r="T24" s="1"/>
      <c r="U24" s="1"/>
      <c r="V24" s="1"/>
      <c r="W24" s="1"/>
    </row>
    <row r="25" spans="1:23" ht="41" customHeight="1">
      <c r="A25" s="1"/>
      <c r="B25" s="28" t="s">
        <v>9</v>
      </c>
      <c r="C25" s="29">
        <v>3161.0214900000001</v>
      </c>
      <c r="D25" s="29"/>
      <c r="E25" s="30" t="s">
        <v>101</v>
      </c>
      <c r="F25" s="30" t="s">
        <v>102</v>
      </c>
      <c r="G25" s="1"/>
      <c r="H25" s="1"/>
      <c r="I25" s="1"/>
      <c r="J25" s="1"/>
      <c r="K25" s="1"/>
      <c r="L25" s="1"/>
      <c r="M25" s="1"/>
      <c r="N25" s="1"/>
      <c r="O25" s="1"/>
      <c r="P25" s="1"/>
      <c r="Q25" s="1"/>
      <c r="R25" s="1"/>
      <c r="S25" s="1"/>
      <c r="T25" s="1"/>
      <c r="U25" s="1"/>
      <c r="V25" s="1"/>
      <c r="W25" s="1"/>
    </row>
    <row r="26" spans="1:23" ht="41" customHeight="1">
      <c r="A26" s="1"/>
      <c r="B26" s="28" t="s">
        <v>11</v>
      </c>
      <c r="C26" s="29"/>
      <c r="D26" s="29"/>
      <c r="E26" s="30"/>
      <c r="F26" s="30" t="s">
        <v>103</v>
      </c>
      <c r="G26" s="1"/>
      <c r="H26" s="1"/>
      <c r="I26" s="1"/>
      <c r="J26" s="1"/>
      <c r="K26" s="1"/>
      <c r="L26" s="1"/>
      <c r="M26" s="1"/>
      <c r="N26" s="1"/>
      <c r="O26" s="1"/>
      <c r="P26" s="1"/>
      <c r="Q26" s="1"/>
      <c r="R26" s="1"/>
      <c r="S26" s="1"/>
      <c r="T26" s="1"/>
      <c r="U26" s="1"/>
      <c r="V26" s="1"/>
      <c r="W26" s="1"/>
    </row>
    <row r="27" spans="1:23" ht="41" customHeight="1">
      <c r="A27" s="1"/>
      <c r="B27" s="31" t="s">
        <v>12</v>
      </c>
      <c r="C27" s="32"/>
      <c r="D27" s="32"/>
      <c r="E27" s="33"/>
      <c r="F27" s="33" t="s">
        <v>103</v>
      </c>
      <c r="G27" s="1"/>
      <c r="H27" s="1"/>
      <c r="I27" s="1"/>
      <c r="J27" s="1"/>
      <c r="K27" s="1"/>
      <c r="L27" s="1"/>
      <c r="M27" s="1"/>
      <c r="N27" s="1"/>
      <c r="O27" s="1"/>
      <c r="P27" s="1"/>
      <c r="Q27" s="1"/>
      <c r="R27" s="1"/>
      <c r="S27" s="1"/>
      <c r="T27" s="1"/>
      <c r="U27" s="1"/>
      <c r="V27" s="1"/>
      <c r="W27" s="1"/>
    </row>
    <row r="28" spans="1:23" ht="23" customHeight="1">
      <c r="A28" s="1"/>
      <c r="B28" s="1"/>
      <c r="C28" s="1"/>
      <c r="D28" s="1"/>
      <c r="E28" s="1"/>
      <c r="F28" s="1"/>
      <c r="G28" s="1"/>
      <c r="H28" s="1"/>
      <c r="I28" s="1"/>
      <c r="J28" s="1"/>
      <c r="K28" s="1"/>
      <c r="L28" s="1"/>
      <c r="M28" s="1"/>
      <c r="N28" s="1"/>
      <c r="O28" s="1"/>
      <c r="P28" s="1"/>
      <c r="Q28" s="1"/>
      <c r="R28" s="1"/>
      <c r="S28" s="1"/>
      <c r="T28" s="1"/>
      <c r="U28" s="1"/>
      <c r="V28" s="1"/>
      <c r="W28" s="1"/>
    </row>
    <row r="29" spans="1:23" ht="23" customHeight="1">
      <c r="A29" s="1"/>
      <c r="B29" s="42" t="s">
        <v>104</v>
      </c>
      <c r="C29" s="42"/>
      <c r="D29" s="42"/>
      <c r="E29" s="42"/>
      <c r="F29" s="42"/>
      <c r="G29" s="1"/>
      <c r="H29" s="1"/>
      <c r="I29" s="1"/>
      <c r="J29" s="1"/>
      <c r="K29" s="1"/>
      <c r="L29" s="1"/>
      <c r="M29" s="1"/>
      <c r="N29" s="1"/>
      <c r="O29" s="1"/>
      <c r="P29" s="1"/>
      <c r="Q29" s="1"/>
      <c r="R29" s="1"/>
      <c r="S29" s="1"/>
      <c r="T29" s="1"/>
      <c r="U29" s="1"/>
      <c r="V29" s="1"/>
      <c r="W29" s="1"/>
    </row>
    <row r="30" spans="1:23" ht="23" customHeight="1">
      <c r="A30" s="1"/>
      <c r="B30" s="42"/>
      <c r="C30" s="42"/>
      <c r="D30" s="42"/>
      <c r="E30" s="42"/>
      <c r="F30" s="42"/>
      <c r="G30" s="1"/>
      <c r="H30" s="1"/>
      <c r="I30" s="1"/>
      <c r="J30" s="1"/>
      <c r="K30" s="1"/>
      <c r="L30" s="1"/>
      <c r="M30" s="1"/>
      <c r="N30" s="1"/>
      <c r="O30" s="1"/>
      <c r="P30" s="1"/>
      <c r="Q30" s="1"/>
      <c r="R30" s="1"/>
      <c r="S30" s="1"/>
      <c r="T30" s="1"/>
      <c r="U30" s="1"/>
      <c r="V30" s="1"/>
      <c r="W30" s="1"/>
    </row>
    <row r="31" spans="1:23" ht="23" customHeight="1">
      <c r="A31" s="1"/>
      <c r="B31" s="1"/>
      <c r="C31" s="1"/>
      <c r="D31" s="1"/>
      <c r="E31" s="1"/>
      <c r="F31" s="1"/>
      <c r="G31" s="1"/>
      <c r="H31" s="1"/>
      <c r="I31" s="1"/>
      <c r="J31" s="1"/>
      <c r="K31" s="1"/>
      <c r="L31" s="1"/>
      <c r="M31" s="1"/>
      <c r="N31" s="1"/>
      <c r="O31" s="1"/>
      <c r="P31" s="1"/>
      <c r="Q31" s="1"/>
      <c r="R31" s="1"/>
      <c r="S31" s="1"/>
      <c r="T31" s="1"/>
      <c r="U31" s="1"/>
      <c r="V31" s="1"/>
      <c r="W31" s="1"/>
    </row>
    <row r="32" spans="1:23" ht="23" customHeight="1">
      <c r="A32" s="1"/>
      <c r="B32" s="1"/>
      <c r="C32" s="1"/>
      <c r="D32" s="1"/>
      <c r="E32" s="1"/>
      <c r="F32" s="1"/>
      <c r="G32" s="1"/>
      <c r="H32" s="1"/>
      <c r="I32" s="1"/>
      <c r="J32" s="1"/>
      <c r="K32" s="1"/>
      <c r="L32" s="1"/>
      <c r="M32" s="1"/>
      <c r="N32" s="1"/>
      <c r="O32" s="1"/>
      <c r="P32" s="1"/>
      <c r="Q32" s="1"/>
      <c r="R32" s="1"/>
      <c r="S32" s="1"/>
      <c r="T32" s="1"/>
      <c r="U32" s="1"/>
      <c r="V32" s="1"/>
      <c r="W32" s="1"/>
    </row>
    <row r="33" spans="1:23" ht="32" customHeight="1">
      <c r="A33" s="1"/>
      <c r="B33" s="4" t="s">
        <v>105</v>
      </c>
      <c r="C33" s="4" t="s">
        <v>106</v>
      </c>
      <c r="D33" s="4" t="s">
        <v>107</v>
      </c>
      <c r="E33" s="1"/>
      <c r="F33" s="1"/>
      <c r="G33" s="1"/>
      <c r="H33" s="1"/>
      <c r="I33" s="1"/>
      <c r="J33" s="1"/>
      <c r="K33" s="1"/>
      <c r="L33" s="1"/>
      <c r="M33" s="1"/>
      <c r="N33" s="1"/>
      <c r="O33" s="1"/>
      <c r="P33" s="1"/>
      <c r="Q33" s="1"/>
      <c r="R33" s="1"/>
      <c r="S33" s="1"/>
      <c r="T33" s="1"/>
      <c r="U33" s="1"/>
      <c r="V33" s="1"/>
      <c r="W33" s="1"/>
    </row>
    <row r="34" spans="1:23" ht="23" customHeight="1">
      <c r="A34" s="1"/>
      <c r="B34" s="1" t="s">
        <v>108</v>
      </c>
      <c r="C34" s="11">
        <v>4690</v>
      </c>
      <c r="D34" s="1" t="s">
        <v>87</v>
      </c>
      <c r="E34" s="1"/>
      <c r="F34" s="1"/>
      <c r="G34" s="1"/>
      <c r="H34" s="1"/>
      <c r="I34" s="1"/>
      <c r="J34" s="1"/>
      <c r="K34" s="1"/>
      <c r="L34" s="1"/>
      <c r="M34" s="1"/>
      <c r="N34" s="1"/>
      <c r="O34" s="1"/>
      <c r="P34" s="1"/>
      <c r="Q34" s="1"/>
      <c r="R34" s="1"/>
      <c r="S34" s="1"/>
      <c r="T34" s="1"/>
      <c r="U34" s="1"/>
      <c r="V34" s="1"/>
      <c r="W34" s="1"/>
    </row>
    <row r="35" spans="1:23" ht="23" customHeight="1">
      <c r="A35" s="1"/>
      <c r="B35" s="1" t="s">
        <v>109</v>
      </c>
      <c r="C35" s="11">
        <v>4730</v>
      </c>
      <c r="D35" s="1" t="s">
        <v>87</v>
      </c>
      <c r="E35" s="1"/>
      <c r="F35" s="1"/>
      <c r="G35" s="1"/>
      <c r="H35" s="1"/>
      <c r="I35" s="1"/>
      <c r="J35" s="1"/>
      <c r="K35" s="1"/>
      <c r="L35" s="1"/>
      <c r="M35" s="1"/>
      <c r="N35" s="1"/>
      <c r="O35" s="1"/>
      <c r="P35" s="1"/>
      <c r="Q35" s="1"/>
      <c r="R35" s="1"/>
      <c r="S35" s="1"/>
      <c r="T35" s="1"/>
      <c r="U35" s="1"/>
      <c r="V35" s="1"/>
      <c r="W35" s="1"/>
    </row>
    <row r="36" spans="1:23" ht="23" customHeight="1">
      <c r="A36" s="1"/>
      <c r="B36" s="1" t="s">
        <v>110</v>
      </c>
      <c r="C36" s="11">
        <v>4770</v>
      </c>
      <c r="D36" s="1" t="s">
        <v>87</v>
      </c>
      <c r="E36" s="1"/>
      <c r="F36" s="1"/>
      <c r="G36" s="1"/>
      <c r="H36" s="1"/>
      <c r="I36" s="1"/>
      <c r="J36" s="1"/>
      <c r="K36" s="1"/>
      <c r="L36" s="1"/>
      <c r="M36" s="1"/>
      <c r="N36" s="1"/>
      <c r="O36" s="1"/>
      <c r="P36" s="1"/>
      <c r="Q36" s="1"/>
      <c r="R36" s="1"/>
      <c r="S36" s="1"/>
      <c r="T36" s="1"/>
      <c r="U36" s="1"/>
      <c r="V36" s="1"/>
      <c r="W36" s="1"/>
    </row>
    <row r="37" spans="1:23" ht="23" customHeight="1">
      <c r="A37" s="1"/>
      <c r="B37" s="1"/>
      <c r="C37" s="1"/>
      <c r="D37" s="1"/>
      <c r="E37" s="1"/>
      <c r="F37" s="1"/>
      <c r="G37" s="1"/>
      <c r="H37" s="1"/>
      <c r="I37" s="1"/>
      <c r="J37" s="1"/>
      <c r="K37" s="1"/>
      <c r="L37" s="1"/>
      <c r="M37" s="1"/>
      <c r="N37" s="1"/>
      <c r="O37" s="1"/>
      <c r="P37" s="1"/>
      <c r="Q37" s="1"/>
      <c r="R37" s="1"/>
      <c r="S37" s="1"/>
      <c r="T37" s="1"/>
      <c r="U37" s="1"/>
      <c r="V37" s="1"/>
      <c r="W37" s="1"/>
    </row>
    <row r="38" spans="1:23" ht="23" customHeight="1">
      <c r="A38" s="1"/>
      <c r="B38" s="1"/>
      <c r="C38" s="1"/>
      <c r="D38" s="1"/>
      <c r="E38" s="1"/>
      <c r="F38" s="1"/>
      <c r="G38" s="1"/>
      <c r="H38" s="1"/>
      <c r="I38" s="1"/>
      <c r="J38" s="1"/>
      <c r="K38" s="1"/>
      <c r="L38" s="1"/>
      <c r="M38" s="1"/>
      <c r="N38" s="1"/>
      <c r="O38" s="1"/>
      <c r="P38" s="1"/>
      <c r="Q38" s="1"/>
      <c r="R38" s="1"/>
      <c r="S38" s="1"/>
      <c r="T38" s="1"/>
      <c r="U38" s="1"/>
      <c r="V38" s="1"/>
      <c r="W38" s="1"/>
    </row>
    <row r="39" spans="1:23" ht="27" customHeight="1">
      <c r="A39" s="1"/>
      <c r="B39" s="6" t="s">
        <v>111</v>
      </c>
      <c r="C39" s="6"/>
      <c r="D39" s="6"/>
      <c r="E39" s="6"/>
      <c r="F39" s="6"/>
      <c r="G39" s="1"/>
      <c r="H39" s="1"/>
      <c r="I39" s="1"/>
      <c r="J39" s="1"/>
      <c r="K39" s="1"/>
      <c r="L39" s="1"/>
      <c r="M39" s="1"/>
      <c r="N39" s="1"/>
      <c r="O39" s="1"/>
      <c r="P39" s="1"/>
      <c r="Q39" s="1"/>
      <c r="R39" s="1"/>
      <c r="S39" s="1"/>
      <c r="T39" s="1"/>
      <c r="U39" s="1"/>
      <c r="V39" s="1"/>
      <c r="W39" s="1"/>
    </row>
    <row r="40" spans="1:23" ht="32" customHeight="1">
      <c r="A40" s="1"/>
      <c r="B40" s="4" t="s">
        <v>2</v>
      </c>
      <c r="C40" s="4" t="s">
        <v>112</v>
      </c>
      <c r="D40" s="4" t="s">
        <v>113</v>
      </c>
      <c r="E40" s="4" t="s">
        <v>114</v>
      </c>
      <c r="F40" s="1"/>
      <c r="G40" s="1"/>
      <c r="H40" s="1"/>
      <c r="I40" s="1"/>
      <c r="J40" s="1"/>
      <c r="K40" s="1"/>
      <c r="L40" s="1"/>
      <c r="M40" s="1"/>
      <c r="N40" s="1"/>
      <c r="O40" s="1"/>
      <c r="P40" s="1"/>
      <c r="Q40" s="1"/>
      <c r="R40" s="1"/>
      <c r="S40" s="1"/>
      <c r="T40" s="1"/>
      <c r="U40" s="1"/>
      <c r="V40" s="1"/>
      <c r="W40" s="1"/>
    </row>
    <row r="41" spans="1:23" ht="42" customHeight="1">
      <c r="A41" s="1"/>
      <c r="B41" s="1" t="s">
        <v>7</v>
      </c>
      <c r="C41" s="11">
        <v>4813.0217500356521</v>
      </c>
      <c r="D41" s="11">
        <v>4.6588205417347126</v>
      </c>
      <c r="E41" s="43" t="s">
        <v>115</v>
      </c>
      <c r="F41" s="43"/>
      <c r="G41" s="1"/>
      <c r="H41" s="1"/>
      <c r="I41" s="1"/>
      <c r="J41" s="1"/>
      <c r="K41" s="1"/>
      <c r="L41" s="1"/>
      <c r="M41" s="1"/>
      <c r="N41" s="1"/>
      <c r="O41" s="1"/>
      <c r="P41" s="1"/>
      <c r="Q41" s="1"/>
      <c r="R41" s="1"/>
      <c r="S41" s="1"/>
      <c r="T41" s="1"/>
      <c r="U41" s="1"/>
      <c r="V41" s="1"/>
      <c r="W41" s="1"/>
    </row>
    <row r="42" spans="1:23" ht="42" customHeight="1">
      <c r="A42" s="1"/>
      <c r="B42" s="1" t="s">
        <v>9</v>
      </c>
      <c r="C42" s="11">
        <v>3181.229978440098</v>
      </c>
      <c r="D42" s="11">
        <v>1.8863241536937494</v>
      </c>
      <c r="E42" s="43" t="s">
        <v>115</v>
      </c>
      <c r="F42" s="43"/>
      <c r="G42" s="1"/>
      <c r="H42" s="1"/>
      <c r="I42" s="1"/>
      <c r="J42" s="1"/>
      <c r="K42" s="1"/>
      <c r="L42" s="1"/>
      <c r="M42" s="1"/>
      <c r="N42" s="1"/>
      <c r="O42" s="1"/>
      <c r="P42" s="1"/>
      <c r="Q42" s="1"/>
      <c r="R42" s="1"/>
      <c r="S42" s="1"/>
      <c r="T42" s="1"/>
      <c r="U42" s="1"/>
      <c r="V42" s="1"/>
      <c r="W42" s="1"/>
    </row>
    <row r="43" spans="1:23" ht="42" customHeight="1">
      <c r="A43" s="1"/>
      <c r="B43" s="1" t="s">
        <v>11</v>
      </c>
      <c r="C43" s="11">
        <v>3055.6805804424221</v>
      </c>
      <c r="D43" s="11">
        <v>0</v>
      </c>
      <c r="E43" s="43" t="s">
        <v>115</v>
      </c>
      <c r="F43" s="43"/>
      <c r="G43" s="1"/>
      <c r="H43" s="1"/>
      <c r="I43" s="1"/>
      <c r="J43" s="1"/>
      <c r="K43" s="1"/>
      <c r="L43" s="1"/>
      <c r="M43" s="1"/>
      <c r="N43" s="1"/>
      <c r="O43" s="1"/>
      <c r="P43" s="1"/>
      <c r="Q43" s="1"/>
      <c r="R43" s="1"/>
      <c r="S43" s="1"/>
      <c r="T43" s="1"/>
      <c r="U43" s="1"/>
      <c r="V43" s="1"/>
      <c r="W43" s="1"/>
    </row>
    <row r="44" spans="1:23" ht="42" customHeight="1">
      <c r="A44" s="1"/>
      <c r="B44" s="1" t="s">
        <v>12</v>
      </c>
      <c r="C44" s="11">
        <v>4048.3953075731279</v>
      </c>
      <c r="D44" s="11">
        <v>0</v>
      </c>
      <c r="E44" s="43" t="s">
        <v>115</v>
      </c>
      <c r="F44" s="43"/>
      <c r="G44" s="1"/>
      <c r="H44" s="1"/>
      <c r="I44" s="1"/>
      <c r="J44" s="1"/>
      <c r="K44" s="1"/>
      <c r="L44" s="1"/>
      <c r="M44" s="1"/>
      <c r="N44" s="1"/>
      <c r="O44" s="1"/>
      <c r="P44" s="1"/>
      <c r="Q44" s="1"/>
      <c r="R44" s="1"/>
      <c r="S44" s="1"/>
      <c r="T44" s="1"/>
      <c r="U44" s="1"/>
      <c r="V44" s="1"/>
      <c r="W44" s="1"/>
    </row>
    <row r="45" spans="1:23" ht="23" customHeight="1">
      <c r="A45" s="1"/>
      <c r="B45" s="1"/>
      <c r="C45" s="1"/>
      <c r="D45" s="1"/>
      <c r="E45" s="1"/>
      <c r="F45" s="1"/>
      <c r="G45" s="1"/>
      <c r="H45" s="1"/>
      <c r="I45" s="1"/>
      <c r="J45" s="1"/>
      <c r="K45" s="1"/>
      <c r="L45" s="1"/>
      <c r="M45" s="1"/>
      <c r="N45" s="1"/>
      <c r="O45" s="1"/>
      <c r="P45" s="1"/>
      <c r="Q45" s="1"/>
      <c r="R45" s="1"/>
      <c r="S45" s="1"/>
      <c r="T45" s="1"/>
      <c r="U45" s="1"/>
      <c r="V45" s="1"/>
      <c r="W45" s="1"/>
    </row>
    <row r="46" spans="1:23" ht="23" customHeight="1">
      <c r="A46" s="1"/>
      <c r="B46" s="1"/>
      <c r="C46" s="1"/>
      <c r="D46" s="1"/>
      <c r="E46" s="1"/>
      <c r="F46" s="1"/>
      <c r="G46" s="1"/>
      <c r="H46" s="1"/>
      <c r="I46" s="1"/>
      <c r="J46" s="1"/>
      <c r="K46" s="1"/>
      <c r="L46" s="1"/>
      <c r="M46" s="1"/>
      <c r="N46" s="1"/>
      <c r="O46" s="1"/>
      <c r="P46" s="1"/>
      <c r="Q46" s="1"/>
      <c r="R46" s="1"/>
      <c r="S46" s="1"/>
      <c r="T46" s="1"/>
      <c r="U46" s="1"/>
      <c r="V46" s="1"/>
      <c r="W46" s="1"/>
    </row>
    <row r="47" spans="1:23" ht="23" customHeight="1">
      <c r="A47" s="1"/>
      <c r="B47" s="42" t="s">
        <v>116</v>
      </c>
      <c r="C47" s="42"/>
      <c r="D47" s="42"/>
      <c r="E47" s="42"/>
      <c r="F47" s="42"/>
      <c r="G47" s="1"/>
      <c r="H47" s="1"/>
      <c r="I47" s="1"/>
      <c r="J47" s="1"/>
      <c r="K47" s="1"/>
      <c r="L47" s="1"/>
      <c r="M47" s="1"/>
      <c r="N47" s="1"/>
      <c r="O47" s="1"/>
      <c r="P47" s="1"/>
      <c r="Q47" s="1"/>
      <c r="R47" s="1"/>
      <c r="S47" s="1"/>
      <c r="T47" s="1"/>
      <c r="U47" s="1"/>
      <c r="V47" s="1"/>
      <c r="W47" s="1"/>
    </row>
    <row r="48" spans="1:23" ht="23" customHeight="1">
      <c r="A48" s="1"/>
      <c r="B48" s="42"/>
      <c r="C48" s="42"/>
      <c r="D48" s="42"/>
      <c r="E48" s="42"/>
      <c r="F48" s="42"/>
      <c r="G48" s="1"/>
      <c r="H48" s="1"/>
      <c r="I48" s="1"/>
      <c r="J48" s="1"/>
      <c r="K48" s="1"/>
      <c r="L48" s="1"/>
      <c r="M48" s="1"/>
      <c r="N48" s="1"/>
      <c r="O48" s="1"/>
      <c r="P48" s="1"/>
      <c r="Q48" s="1"/>
      <c r="R48" s="1"/>
      <c r="S48" s="1"/>
      <c r="T48" s="1"/>
      <c r="U48" s="1"/>
      <c r="V48" s="1"/>
      <c r="W48" s="1"/>
    </row>
    <row r="49" spans="1:23" ht="23" customHeight="1">
      <c r="A49" s="1"/>
      <c r="B49" s="42"/>
      <c r="C49" s="42"/>
      <c r="D49" s="42"/>
      <c r="E49" s="42"/>
      <c r="F49" s="42"/>
      <c r="G49" s="1"/>
      <c r="H49" s="1"/>
      <c r="I49" s="1"/>
      <c r="J49" s="1"/>
      <c r="K49" s="1"/>
      <c r="L49" s="1"/>
      <c r="M49" s="1"/>
      <c r="N49" s="1"/>
      <c r="O49" s="1"/>
      <c r="P49" s="1"/>
      <c r="Q49" s="1"/>
      <c r="R49" s="1"/>
      <c r="S49" s="1"/>
      <c r="T49" s="1"/>
      <c r="U49" s="1"/>
      <c r="V49" s="1"/>
      <c r="W49" s="1"/>
    </row>
    <row r="50" spans="1:23" ht="23" customHeight="1">
      <c r="A50" s="1"/>
      <c r="B50" s="1"/>
      <c r="C50" s="1"/>
      <c r="D50" s="1"/>
      <c r="E50" s="1"/>
      <c r="F50" s="1"/>
      <c r="G50" s="1"/>
      <c r="H50" s="1"/>
      <c r="I50" s="1"/>
      <c r="J50" s="1"/>
      <c r="K50" s="1"/>
      <c r="L50" s="1"/>
      <c r="M50" s="1"/>
      <c r="N50" s="1"/>
      <c r="O50" s="1"/>
      <c r="P50" s="1"/>
      <c r="Q50" s="1"/>
      <c r="R50" s="1"/>
      <c r="S50" s="1"/>
      <c r="T50" s="1"/>
      <c r="U50" s="1"/>
      <c r="V50" s="1"/>
      <c r="W50" s="1"/>
    </row>
    <row r="51" spans="1:23" ht="23" customHeight="1">
      <c r="A51" s="1"/>
      <c r="B51" s="1"/>
      <c r="C51" s="1"/>
      <c r="D51" s="1"/>
      <c r="E51" s="1"/>
      <c r="F51" s="1"/>
      <c r="G51" s="1"/>
      <c r="H51" s="1"/>
      <c r="I51" s="1"/>
      <c r="J51" s="1"/>
      <c r="K51" s="1"/>
      <c r="L51" s="1"/>
      <c r="M51" s="1"/>
      <c r="N51" s="1"/>
      <c r="O51" s="1"/>
      <c r="P51" s="1"/>
      <c r="Q51" s="1"/>
      <c r="R51" s="1"/>
      <c r="S51" s="1"/>
      <c r="T51" s="1"/>
      <c r="U51" s="1"/>
      <c r="V51" s="1"/>
      <c r="W51" s="1"/>
    </row>
    <row r="52" spans="1:23" ht="32" customHeight="1">
      <c r="A52" s="1"/>
      <c r="B52" s="4" t="s">
        <v>92</v>
      </c>
      <c r="C52" s="4" t="s">
        <v>117</v>
      </c>
      <c r="D52" s="4" t="s">
        <v>118</v>
      </c>
      <c r="E52" s="1"/>
      <c r="F52" s="1"/>
      <c r="G52" s="1"/>
      <c r="H52" s="1"/>
      <c r="I52" s="1"/>
      <c r="J52" s="1"/>
      <c r="K52" s="1"/>
      <c r="L52" s="1"/>
      <c r="M52" s="1"/>
      <c r="N52" s="1"/>
      <c r="O52" s="1"/>
      <c r="P52" s="1"/>
      <c r="Q52" s="1"/>
      <c r="R52" s="1"/>
      <c r="S52" s="1"/>
      <c r="T52" s="1"/>
      <c r="U52" s="1"/>
      <c r="V52" s="1"/>
      <c r="W52" s="1"/>
    </row>
    <row r="53" spans="1:23" ht="23" customHeight="1">
      <c r="A53" s="1"/>
      <c r="B53" s="1" t="s">
        <v>7</v>
      </c>
      <c r="C53" s="13">
        <v>1.7904910308494199E-2</v>
      </c>
      <c r="D53" s="43" t="s">
        <v>119</v>
      </c>
      <c r="E53" s="43"/>
      <c r="F53" s="43"/>
      <c r="G53" s="1"/>
      <c r="H53" s="1"/>
      <c r="I53" s="1"/>
      <c r="J53" s="1"/>
      <c r="K53" s="1"/>
      <c r="L53" s="1"/>
      <c r="M53" s="1"/>
      <c r="N53" s="1"/>
      <c r="O53" s="1"/>
      <c r="P53" s="1"/>
      <c r="Q53" s="1"/>
      <c r="R53" s="1"/>
      <c r="S53" s="1"/>
      <c r="T53" s="1"/>
      <c r="U53" s="1"/>
      <c r="V53" s="1"/>
      <c r="W53" s="1"/>
    </row>
    <row r="54" spans="1:23" ht="23" customHeight="1">
      <c r="A54" s="1"/>
      <c r="B54" s="1" t="s">
        <v>9</v>
      </c>
      <c r="C54" s="13">
        <v>1.7904910308494199E-2</v>
      </c>
      <c r="D54" s="43" t="s">
        <v>119</v>
      </c>
      <c r="E54" s="43"/>
      <c r="F54" s="43"/>
      <c r="G54" s="1"/>
      <c r="H54" s="1"/>
      <c r="I54" s="1"/>
      <c r="J54" s="1"/>
      <c r="K54" s="1"/>
      <c r="L54" s="1"/>
      <c r="M54" s="1"/>
      <c r="N54" s="1"/>
      <c r="O54" s="1"/>
      <c r="P54" s="1"/>
      <c r="Q54" s="1"/>
      <c r="R54" s="1"/>
      <c r="S54" s="1"/>
      <c r="T54" s="1"/>
      <c r="U54" s="1"/>
      <c r="V54" s="1"/>
      <c r="W54" s="1"/>
    </row>
    <row r="55" spans="1:23" ht="23" customHeight="1">
      <c r="A55" s="1"/>
      <c r="B55" s="1" t="s">
        <v>11</v>
      </c>
      <c r="C55" s="13">
        <v>1.7904910308494199E-2</v>
      </c>
      <c r="D55" s="43" t="s">
        <v>119</v>
      </c>
      <c r="E55" s="43"/>
      <c r="F55" s="43"/>
      <c r="G55" s="1"/>
      <c r="H55" s="1"/>
      <c r="I55" s="1"/>
      <c r="J55" s="1"/>
      <c r="K55" s="1"/>
      <c r="L55" s="1"/>
      <c r="M55" s="1"/>
      <c r="N55" s="1"/>
      <c r="O55" s="1"/>
      <c r="P55" s="1"/>
      <c r="Q55" s="1"/>
      <c r="R55" s="1"/>
      <c r="S55" s="1"/>
      <c r="T55" s="1"/>
      <c r="U55" s="1"/>
      <c r="V55" s="1"/>
      <c r="W55" s="1"/>
    </row>
    <row r="56" spans="1:23" ht="23" customHeight="1">
      <c r="A56" s="1"/>
      <c r="B56" s="1" t="s">
        <v>12</v>
      </c>
      <c r="C56" s="13">
        <v>1.7904910308494199E-2</v>
      </c>
      <c r="D56" s="43" t="s">
        <v>119</v>
      </c>
      <c r="E56" s="43"/>
      <c r="F56" s="43"/>
      <c r="G56" s="1"/>
      <c r="H56" s="1"/>
      <c r="I56" s="1"/>
      <c r="J56" s="1"/>
      <c r="K56" s="1"/>
      <c r="L56" s="1"/>
      <c r="M56" s="1"/>
      <c r="N56" s="1"/>
      <c r="O56" s="1"/>
      <c r="P56" s="1"/>
      <c r="Q56" s="1"/>
      <c r="R56" s="1"/>
      <c r="S56" s="1"/>
      <c r="T56" s="1"/>
      <c r="U56" s="1"/>
      <c r="V56" s="1"/>
      <c r="W56" s="1"/>
    </row>
    <row r="57" spans="1:23" ht="23" customHeight="1">
      <c r="A57" s="1"/>
      <c r="B57" s="1"/>
      <c r="C57" s="1"/>
      <c r="D57" s="1"/>
      <c r="E57" s="1"/>
      <c r="F57" s="1"/>
      <c r="G57" s="1"/>
      <c r="H57" s="1"/>
      <c r="I57" s="1"/>
      <c r="J57" s="1"/>
      <c r="K57" s="1"/>
      <c r="L57" s="1"/>
      <c r="M57" s="1"/>
      <c r="N57" s="1"/>
      <c r="O57" s="1"/>
      <c r="P57" s="1"/>
      <c r="Q57" s="1"/>
      <c r="R57" s="1"/>
      <c r="S57" s="1"/>
      <c r="T57" s="1"/>
      <c r="U57" s="1"/>
      <c r="V57" s="1"/>
      <c r="W57" s="1"/>
    </row>
    <row r="58" spans="1:23" ht="23" customHeight="1">
      <c r="A58" s="1"/>
      <c r="B58" s="42" t="s">
        <v>120</v>
      </c>
      <c r="C58" s="42"/>
      <c r="D58" s="42"/>
      <c r="E58" s="42"/>
      <c r="F58" s="42"/>
      <c r="G58" s="1"/>
      <c r="H58" s="1"/>
      <c r="I58" s="1"/>
      <c r="J58" s="1"/>
      <c r="K58" s="1"/>
      <c r="L58" s="1"/>
      <c r="M58" s="1"/>
      <c r="N58" s="1"/>
      <c r="O58" s="1"/>
      <c r="P58" s="1"/>
      <c r="Q58" s="1"/>
      <c r="R58" s="1"/>
      <c r="S58" s="1"/>
      <c r="T58" s="1"/>
      <c r="U58" s="1"/>
      <c r="V58" s="1"/>
      <c r="W58" s="1"/>
    </row>
    <row r="59" spans="1:23" ht="23" customHeight="1">
      <c r="A59" s="1"/>
      <c r="B59" s="42"/>
      <c r="C59" s="42"/>
      <c r="D59" s="42"/>
      <c r="E59" s="42"/>
      <c r="F59" s="42"/>
      <c r="G59" s="1"/>
      <c r="H59" s="1"/>
      <c r="I59" s="1"/>
      <c r="J59" s="1"/>
      <c r="K59" s="1"/>
      <c r="L59" s="1"/>
      <c r="M59" s="1"/>
      <c r="N59" s="1"/>
      <c r="O59" s="1"/>
      <c r="P59" s="1"/>
      <c r="Q59" s="1"/>
      <c r="R59" s="1"/>
      <c r="S59" s="1"/>
      <c r="T59" s="1"/>
      <c r="U59" s="1"/>
      <c r="V59" s="1"/>
      <c r="W59" s="1"/>
    </row>
    <row r="60" spans="1:23" ht="23" customHeight="1">
      <c r="A60" s="1"/>
      <c r="B60" s="42"/>
      <c r="C60" s="42"/>
      <c r="D60" s="42"/>
      <c r="E60" s="42"/>
      <c r="F60" s="42"/>
      <c r="G60" s="1"/>
      <c r="H60" s="1"/>
      <c r="I60" s="1"/>
      <c r="J60" s="1"/>
      <c r="K60" s="1"/>
      <c r="L60" s="1"/>
      <c r="M60" s="1"/>
      <c r="N60" s="1"/>
      <c r="O60" s="1"/>
      <c r="P60" s="1"/>
      <c r="Q60" s="1"/>
      <c r="R60" s="1"/>
      <c r="S60" s="1"/>
      <c r="T60" s="1"/>
      <c r="U60" s="1"/>
      <c r="V60" s="1"/>
      <c r="W60" s="1"/>
    </row>
    <row r="61" spans="1:23" ht="23" customHeight="1">
      <c r="A61" s="1"/>
      <c r="B61" s="1"/>
      <c r="C61" s="1"/>
      <c r="D61" s="1"/>
      <c r="E61" s="1"/>
      <c r="F61" s="1"/>
      <c r="G61" s="1"/>
      <c r="H61" s="1"/>
      <c r="I61" s="1"/>
      <c r="J61" s="1"/>
      <c r="K61" s="1"/>
      <c r="L61" s="1"/>
      <c r="M61" s="1"/>
      <c r="N61" s="1"/>
      <c r="O61" s="1"/>
      <c r="P61" s="1"/>
      <c r="Q61" s="1"/>
      <c r="R61" s="1"/>
      <c r="S61" s="1"/>
      <c r="T61" s="1"/>
      <c r="U61" s="1"/>
      <c r="V61" s="1"/>
      <c r="W61" s="1"/>
    </row>
    <row r="62" spans="1:23" ht="23" customHeight="1">
      <c r="A62" s="1"/>
      <c r="B62" s="1"/>
      <c r="C62" s="1"/>
      <c r="D62" s="1"/>
      <c r="E62" s="1"/>
      <c r="F62" s="1"/>
      <c r="G62" s="1"/>
      <c r="H62" s="1"/>
      <c r="I62" s="1"/>
      <c r="J62" s="1"/>
      <c r="K62" s="1"/>
      <c r="L62" s="1"/>
      <c r="M62" s="1"/>
      <c r="N62" s="1"/>
      <c r="O62" s="1"/>
      <c r="P62" s="1"/>
      <c r="Q62" s="1"/>
      <c r="R62" s="1"/>
      <c r="S62" s="1"/>
      <c r="T62" s="1"/>
      <c r="U62" s="1"/>
      <c r="V62" s="1"/>
      <c r="W62" s="1"/>
    </row>
    <row r="63" spans="1:23" ht="23" customHeight="1">
      <c r="A63" s="1"/>
      <c r="B63" s="1"/>
      <c r="C63" s="1"/>
      <c r="D63" s="1"/>
      <c r="E63" s="1"/>
      <c r="F63" s="1"/>
      <c r="G63" s="1"/>
      <c r="H63" s="1"/>
      <c r="I63" s="1"/>
      <c r="J63" s="1"/>
      <c r="K63" s="1"/>
      <c r="L63" s="1"/>
      <c r="M63" s="1"/>
      <c r="N63" s="1"/>
      <c r="O63" s="1"/>
      <c r="P63" s="1"/>
      <c r="Q63" s="1"/>
      <c r="R63" s="1"/>
      <c r="S63" s="1"/>
      <c r="T63" s="1"/>
      <c r="U63" s="1"/>
      <c r="V63" s="1"/>
      <c r="W63" s="1"/>
    </row>
    <row r="64" spans="1:23" ht="23" customHeight="1">
      <c r="A64" s="1"/>
      <c r="B64" s="1"/>
      <c r="C64" s="1"/>
      <c r="D64" s="1"/>
      <c r="E64" s="1"/>
      <c r="F64" s="1"/>
      <c r="G64" s="1"/>
      <c r="H64" s="1"/>
      <c r="I64" s="1"/>
      <c r="J64" s="1"/>
      <c r="K64" s="1"/>
      <c r="L64" s="1"/>
      <c r="M64" s="1"/>
      <c r="N64" s="1"/>
      <c r="O64" s="1"/>
      <c r="P64" s="1"/>
      <c r="Q64" s="1"/>
      <c r="R64" s="1"/>
      <c r="S64" s="1"/>
      <c r="T64" s="1"/>
      <c r="U64" s="1"/>
      <c r="V64" s="1"/>
      <c r="W64" s="1"/>
    </row>
    <row r="65" spans="1:23" ht="23" customHeight="1">
      <c r="A65" s="1"/>
      <c r="B65" s="1"/>
      <c r="C65" s="1"/>
      <c r="D65" s="1"/>
      <c r="E65" s="1"/>
      <c r="F65" s="1"/>
      <c r="G65" s="1"/>
      <c r="H65" s="1"/>
      <c r="I65" s="1"/>
      <c r="J65" s="1"/>
      <c r="K65" s="1"/>
      <c r="L65" s="1"/>
      <c r="M65" s="1"/>
      <c r="N65" s="1"/>
      <c r="O65" s="1"/>
      <c r="P65" s="1"/>
      <c r="Q65" s="1"/>
      <c r="R65" s="1"/>
      <c r="S65" s="1"/>
      <c r="T65" s="1"/>
      <c r="U65" s="1"/>
      <c r="V65" s="1"/>
      <c r="W65" s="1"/>
    </row>
    <row r="66" spans="1:23" ht="23" customHeight="1">
      <c r="A66" s="1"/>
      <c r="B66" s="1"/>
      <c r="C66" s="1"/>
      <c r="D66" s="1"/>
      <c r="E66" s="1"/>
      <c r="F66" s="1"/>
      <c r="G66" s="1"/>
      <c r="H66" s="1"/>
      <c r="I66" s="1"/>
      <c r="J66" s="1"/>
      <c r="K66" s="1"/>
      <c r="L66" s="1"/>
      <c r="M66" s="1"/>
      <c r="N66" s="1"/>
      <c r="O66" s="1"/>
      <c r="P66" s="1"/>
      <c r="Q66" s="1"/>
      <c r="R66" s="1"/>
      <c r="S66" s="1"/>
      <c r="T66" s="1"/>
      <c r="U66" s="1"/>
      <c r="V66" s="1"/>
      <c r="W66" s="1"/>
    </row>
    <row r="67" spans="1:23" ht="23" customHeight="1">
      <c r="A67" s="1"/>
      <c r="B67" s="1"/>
      <c r="C67" s="1"/>
      <c r="D67" s="1"/>
      <c r="E67" s="1"/>
      <c r="F67" s="1"/>
      <c r="G67" s="1"/>
      <c r="H67" s="1"/>
      <c r="I67" s="1"/>
      <c r="J67" s="1"/>
      <c r="K67" s="1"/>
      <c r="L67" s="1"/>
      <c r="M67" s="1"/>
      <c r="N67" s="1"/>
      <c r="O67" s="1"/>
      <c r="P67" s="1"/>
      <c r="Q67" s="1"/>
      <c r="R67" s="1"/>
      <c r="S67" s="1"/>
      <c r="T67" s="1"/>
      <c r="U67" s="1"/>
      <c r="V67" s="1"/>
      <c r="W67" s="1"/>
    </row>
    <row r="68" spans="1:23" ht="23" customHeight="1">
      <c r="A68" s="1"/>
      <c r="B68" s="1"/>
      <c r="C68" s="1"/>
      <c r="D68" s="1"/>
      <c r="E68" s="1"/>
      <c r="F68" s="1"/>
      <c r="G68" s="1"/>
      <c r="H68" s="1"/>
      <c r="I68" s="1"/>
      <c r="J68" s="1"/>
      <c r="K68" s="1"/>
      <c r="L68" s="1"/>
      <c r="M68" s="1"/>
      <c r="N68" s="1"/>
      <c r="O68" s="1"/>
      <c r="P68" s="1"/>
      <c r="Q68" s="1"/>
      <c r="R68" s="1"/>
      <c r="S68" s="1"/>
      <c r="T68" s="1"/>
      <c r="U68" s="1"/>
      <c r="V68" s="1"/>
      <c r="W68" s="1"/>
    </row>
    <row r="69" spans="1:23" ht="23" customHeight="1">
      <c r="A69" s="1"/>
      <c r="B69" s="1"/>
      <c r="C69" s="1"/>
      <c r="D69" s="1"/>
      <c r="E69" s="1"/>
      <c r="F69" s="1"/>
      <c r="G69" s="1"/>
      <c r="H69" s="1"/>
      <c r="I69" s="1"/>
      <c r="J69" s="1"/>
      <c r="K69" s="1"/>
      <c r="L69" s="1"/>
      <c r="M69" s="1"/>
      <c r="N69" s="1"/>
      <c r="O69" s="1"/>
      <c r="P69" s="1"/>
      <c r="Q69" s="1"/>
      <c r="R69" s="1"/>
      <c r="S69" s="1"/>
      <c r="T69" s="1"/>
      <c r="U69" s="1"/>
      <c r="V69" s="1"/>
      <c r="W69" s="1"/>
    </row>
    <row r="70" spans="1:23" ht="23" customHeight="1">
      <c r="A70" s="1"/>
      <c r="B70" s="1"/>
      <c r="C70" s="1"/>
      <c r="D70" s="1"/>
      <c r="E70" s="1"/>
      <c r="F70" s="1"/>
      <c r="G70" s="1"/>
      <c r="H70" s="1"/>
      <c r="I70" s="1"/>
      <c r="J70" s="1"/>
      <c r="K70" s="1"/>
      <c r="L70" s="1"/>
      <c r="M70" s="1"/>
      <c r="N70" s="1"/>
      <c r="O70" s="1"/>
      <c r="P70" s="1"/>
      <c r="Q70" s="1"/>
      <c r="R70" s="1"/>
      <c r="S70" s="1"/>
      <c r="T70" s="1"/>
      <c r="U70" s="1"/>
      <c r="V70" s="1"/>
      <c r="W70" s="1"/>
    </row>
    <row r="71" spans="1:23" ht="23" customHeight="1">
      <c r="A71" s="1"/>
      <c r="B71" s="1"/>
      <c r="C71" s="1"/>
      <c r="D71" s="1"/>
      <c r="E71" s="1"/>
      <c r="F71" s="1"/>
      <c r="G71" s="1"/>
      <c r="H71" s="1"/>
      <c r="I71" s="1"/>
      <c r="J71" s="1"/>
      <c r="K71" s="1"/>
      <c r="L71" s="1"/>
      <c r="M71" s="1"/>
      <c r="N71" s="1"/>
      <c r="O71" s="1"/>
      <c r="P71" s="1"/>
      <c r="Q71" s="1"/>
      <c r="R71" s="1"/>
      <c r="S71" s="1"/>
      <c r="T71" s="1"/>
      <c r="U71" s="1"/>
      <c r="V71" s="1"/>
      <c r="W71" s="1"/>
    </row>
    <row r="72" spans="1:23" ht="23" customHeight="1">
      <c r="A72" s="1"/>
      <c r="B72" s="1"/>
      <c r="C72" s="1"/>
      <c r="D72" s="1"/>
      <c r="E72" s="1"/>
      <c r="F72" s="1"/>
      <c r="G72" s="1"/>
      <c r="H72" s="1"/>
      <c r="I72" s="1"/>
      <c r="J72" s="1"/>
      <c r="K72" s="1"/>
      <c r="L72" s="1"/>
      <c r="M72" s="1"/>
      <c r="N72" s="1"/>
      <c r="O72" s="1"/>
      <c r="P72" s="1"/>
      <c r="Q72" s="1"/>
      <c r="R72" s="1"/>
      <c r="S72" s="1"/>
      <c r="T72" s="1"/>
      <c r="U72" s="1"/>
      <c r="V72" s="1"/>
      <c r="W72" s="1"/>
    </row>
    <row r="73" spans="1:23" ht="23" customHeight="1">
      <c r="A73" s="1"/>
      <c r="B73" s="1"/>
      <c r="C73" s="1"/>
      <c r="D73" s="1"/>
      <c r="E73" s="1"/>
      <c r="F73" s="1"/>
      <c r="G73" s="1"/>
      <c r="H73" s="1"/>
      <c r="I73" s="1"/>
      <c r="J73" s="1"/>
      <c r="K73" s="1"/>
      <c r="L73" s="1"/>
      <c r="M73" s="1"/>
      <c r="N73" s="1"/>
      <c r="O73" s="1"/>
      <c r="P73" s="1"/>
      <c r="Q73" s="1"/>
      <c r="R73" s="1"/>
      <c r="S73" s="1"/>
      <c r="T73" s="1"/>
      <c r="U73" s="1"/>
      <c r="V73" s="1"/>
      <c r="W73" s="1"/>
    </row>
    <row r="74" spans="1:23" ht="23" customHeight="1">
      <c r="A74" s="1"/>
      <c r="B74" s="1"/>
      <c r="C74" s="1"/>
      <c r="D74" s="1"/>
      <c r="E74" s="1"/>
      <c r="F74" s="1"/>
      <c r="G74" s="1"/>
      <c r="H74" s="1"/>
      <c r="I74" s="1"/>
      <c r="J74" s="1"/>
      <c r="K74" s="1"/>
      <c r="L74" s="1"/>
      <c r="M74" s="1"/>
      <c r="N74" s="1"/>
      <c r="O74" s="1"/>
      <c r="P74" s="1"/>
      <c r="Q74" s="1"/>
      <c r="R74" s="1"/>
      <c r="S74" s="1"/>
      <c r="T74" s="1"/>
      <c r="U74" s="1"/>
      <c r="V74" s="1"/>
      <c r="W74" s="1"/>
    </row>
    <row r="75" spans="1:23" ht="23" customHeight="1">
      <c r="A75" s="1"/>
      <c r="B75" s="1"/>
      <c r="C75" s="1"/>
      <c r="D75" s="1"/>
      <c r="E75" s="1"/>
      <c r="F75" s="1"/>
      <c r="G75" s="1"/>
      <c r="H75" s="1"/>
      <c r="I75" s="1"/>
      <c r="J75" s="1"/>
      <c r="K75" s="1"/>
      <c r="L75" s="1"/>
      <c r="M75" s="1"/>
      <c r="N75" s="1"/>
      <c r="O75" s="1"/>
      <c r="P75" s="1"/>
      <c r="Q75" s="1"/>
      <c r="R75" s="1"/>
      <c r="S75" s="1"/>
      <c r="T75" s="1"/>
      <c r="U75" s="1"/>
      <c r="V75" s="1"/>
      <c r="W75" s="1"/>
    </row>
    <row r="76" spans="1:23" ht="23" customHeight="1">
      <c r="A76" s="1"/>
      <c r="B76" s="1"/>
      <c r="C76" s="1"/>
      <c r="D76" s="1"/>
      <c r="E76" s="1"/>
      <c r="F76" s="1"/>
      <c r="G76" s="1"/>
      <c r="H76" s="1"/>
      <c r="I76" s="1"/>
      <c r="J76" s="1"/>
      <c r="K76" s="1"/>
      <c r="L76" s="1"/>
      <c r="M76" s="1"/>
      <c r="N76" s="1"/>
      <c r="O76" s="1"/>
      <c r="P76" s="1"/>
      <c r="Q76" s="1"/>
      <c r="R76" s="1"/>
      <c r="S76" s="1"/>
      <c r="T76" s="1"/>
      <c r="U76" s="1"/>
      <c r="V76" s="1"/>
      <c r="W76" s="1"/>
    </row>
    <row r="77" spans="1:23" ht="23" customHeight="1">
      <c r="A77" s="1"/>
      <c r="B77" s="1"/>
      <c r="C77" s="1"/>
      <c r="D77" s="1"/>
      <c r="E77" s="1"/>
      <c r="F77" s="1"/>
      <c r="G77" s="1"/>
      <c r="H77" s="1"/>
      <c r="I77" s="1"/>
      <c r="J77" s="1"/>
      <c r="K77" s="1"/>
      <c r="L77" s="1"/>
      <c r="M77" s="1"/>
      <c r="N77" s="1"/>
      <c r="O77" s="1"/>
      <c r="P77" s="1"/>
      <c r="Q77" s="1"/>
      <c r="R77" s="1"/>
      <c r="S77" s="1"/>
      <c r="T77" s="1"/>
      <c r="U77" s="1"/>
      <c r="V77" s="1"/>
      <c r="W77" s="1"/>
    </row>
    <row r="78" spans="1:23" ht="23" customHeight="1">
      <c r="A78" s="1"/>
      <c r="B78" s="1"/>
      <c r="C78" s="1"/>
      <c r="D78" s="1"/>
      <c r="E78" s="1"/>
      <c r="F78" s="1"/>
      <c r="G78" s="1"/>
      <c r="H78" s="1"/>
      <c r="I78" s="1"/>
      <c r="J78" s="1"/>
      <c r="K78" s="1"/>
      <c r="L78" s="1"/>
      <c r="M78" s="1"/>
      <c r="N78" s="1"/>
      <c r="O78" s="1"/>
      <c r="P78" s="1"/>
      <c r="Q78" s="1"/>
      <c r="R78" s="1"/>
      <c r="S78" s="1"/>
      <c r="T78" s="1"/>
      <c r="U78" s="1"/>
      <c r="V78" s="1"/>
      <c r="W78" s="1"/>
    </row>
    <row r="79" spans="1:23" ht="23" customHeight="1">
      <c r="A79" s="1"/>
      <c r="B79" s="1"/>
      <c r="C79" s="1"/>
      <c r="D79" s="1"/>
      <c r="E79" s="1"/>
      <c r="F79" s="1"/>
      <c r="G79" s="1"/>
      <c r="H79" s="1"/>
      <c r="I79" s="1"/>
      <c r="J79" s="1"/>
      <c r="K79" s="1"/>
      <c r="L79" s="1"/>
      <c r="M79" s="1"/>
      <c r="N79" s="1"/>
      <c r="O79" s="1"/>
      <c r="P79" s="1"/>
      <c r="Q79" s="1"/>
      <c r="R79" s="1"/>
      <c r="S79" s="1"/>
      <c r="T79" s="1"/>
      <c r="U79" s="1"/>
      <c r="V79" s="1"/>
      <c r="W79" s="1"/>
    </row>
    <row r="80" spans="1:23" ht="23" customHeight="1">
      <c r="A80" s="1"/>
      <c r="B80" s="1"/>
      <c r="C80" s="1"/>
      <c r="D80" s="1"/>
      <c r="E80" s="1"/>
      <c r="F80" s="1"/>
      <c r="G80" s="1"/>
      <c r="H80" s="1"/>
      <c r="I80" s="1"/>
      <c r="J80" s="1"/>
      <c r="K80" s="1"/>
      <c r="L80" s="1"/>
      <c r="M80" s="1"/>
      <c r="N80" s="1"/>
      <c r="O80" s="1"/>
      <c r="P80" s="1"/>
      <c r="Q80" s="1"/>
      <c r="R80" s="1"/>
      <c r="S80" s="1"/>
      <c r="T80" s="1"/>
      <c r="U80" s="1"/>
      <c r="V80" s="1"/>
      <c r="W80" s="1"/>
    </row>
    <row r="81" spans="1:23" ht="23" customHeight="1">
      <c r="A81" s="1"/>
      <c r="B81" s="1"/>
      <c r="C81" s="1"/>
      <c r="D81" s="1"/>
      <c r="E81" s="1"/>
      <c r="F81" s="1"/>
      <c r="G81" s="1"/>
      <c r="H81" s="1"/>
      <c r="I81" s="1"/>
      <c r="J81" s="1"/>
      <c r="K81" s="1"/>
      <c r="L81" s="1"/>
      <c r="M81" s="1"/>
      <c r="N81" s="1"/>
      <c r="O81" s="1"/>
      <c r="P81" s="1"/>
      <c r="Q81" s="1"/>
      <c r="R81" s="1"/>
      <c r="S81" s="1"/>
      <c r="T81" s="1"/>
      <c r="U81" s="1"/>
      <c r="V81" s="1"/>
      <c r="W81" s="1"/>
    </row>
    <row r="82" spans="1:23" ht="23" customHeight="1">
      <c r="A82" s="1"/>
      <c r="B82" s="1"/>
      <c r="C82" s="1"/>
      <c r="D82" s="1"/>
      <c r="E82" s="1"/>
      <c r="F82" s="1"/>
      <c r="G82" s="1"/>
      <c r="H82" s="1"/>
      <c r="I82" s="1"/>
      <c r="J82" s="1"/>
      <c r="K82" s="1"/>
      <c r="L82" s="1"/>
      <c r="M82" s="1"/>
      <c r="N82" s="1"/>
      <c r="O82" s="1"/>
      <c r="P82" s="1"/>
      <c r="Q82" s="1"/>
      <c r="R82" s="1"/>
      <c r="S82" s="1"/>
      <c r="T82" s="1"/>
      <c r="U82" s="1"/>
      <c r="V82" s="1"/>
      <c r="W82" s="1"/>
    </row>
    <row r="83" spans="1:23" ht="23" customHeight="1">
      <c r="A83" s="1"/>
      <c r="B83" s="1"/>
      <c r="C83" s="1"/>
      <c r="D83" s="1"/>
      <c r="E83" s="1"/>
      <c r="F83" s="1"/>
      <c r="G83" s="1"/>
      <c r="H83" s="1"/>
      <c r="I83" s="1"/>
      <c r="J83" s="1"/>
      <c r="K83" s="1"/>
      <c r="L83" s="1"/>
      <c r="M83" s="1"/>
      <c r="N83" s="1"/>
      <c r="O83" s="1"/>
      <c r="P83" s="1"/>
      <c r="Q83" s="1"/>
      <c r="R83" s="1"/>
      <c r="S83" s="1"/>
      <c r="T83" s="1"/>
      <c r="U83" s="1"/>
      <c r="V83" s="1"/>
      <c r="W83" s="1"/>
    </row>
    <row r="84" spans="1:23" ht="23" customHeight="1">
      <c r="A84" s="1"/>
      <c r="B84" s="1"/>
      <c r="C84" s="1"/>
      <c r="D84" s="1"/>
      <c r="E84" s="1"/>
      <c r="F84" s="1"/>
      <c r="G84" s="1"/>
      <c r="H84" s="1"/>
      <c r="I84" s="1"/>
      <c r="J84" s="1"/>
      <c r="K84" s="1"/>
      <c r="L84" s="1"/>
      <c r="M84" s="1"/>
      <c r="N84" s="1"/>
      <c r="O84" s="1"/>
      <c r="P84" s="1"/>
      <c r="Q84" s="1"/>
      <c r="R84" s="1"/>
      <c r="S84" s="1"/>
      <c r="T84" s="1"/>
      <c r="U84" s="1"/>
      <c r="V84" s="1"/>
      <c r="W84" s="1"/>
    </row>
    <row r="85" spans="1:23" ht="23" customHeight="1">
      <c r="A85" s="1"/>
      <c r="B85" s="1"/>
      <c r="C85" s="1"/>
      <c r="D85" s="1"/>
      <c r="E85" s="1"/>
      <c r="F85" s="1"/>
      <c r="G85" s="1"/>
      <c r="H85" s="1"/>
      <c r="I85" s="1"/>
      <c r="J85" s="1"/>
      <c r="K85" s="1"/>
      <c r="L85" s="1"/>
      <c r="M85" s="1"/>
      <c r="N85" s="1"/>
      <c r="O85" s="1"/>
      <c r="P85" s="1"/>
      <c r="Q85" s="1"/>
      <c r="R85" s="1"/>
      <c r="S85" s="1"/>
      <c r="T85" s="1"/>
      <c r="U85" s="1"/>
      <c r="V85" s="1"/>
      <c r="W85" s="1"/>
    </row>
    <row r="86" spans="1:23" ht="23" customHeight="1">
      <c r="A86" s="1"/>
      <c r="B86" s="1"/>
      <c r="C86" s="1"/>
      <c r="D86" s="1"/>
      <c r="E86" s="1"/>
      <c r="F86" s="1"/>
      <c r="G86" s="1"/>
      <c r="H86" s="1"/>
      <c r="I86" s="1"/>
      <c r="J86" s="1"/>
      <c r="K86" s="1"/>
      <c r="L86" s="1"/>
      <c r="M86" s="1"/>
      <c r="N86" s="1"/>
      <c r="O86" s="1"/>
      <c r="P86" s="1"/>
      <c r="Q86" s="1"/>
      <c r="R86" s="1"/>
      <c r="S86" s="1"/>
      <c r="T86" s="1"/>
      <c r="U86" s="1"/>
      <c r="V86" s="1"/>
      <c r="W86" s="1"/>
    </row>
    <row r="87" spans="1:23" ht="23" customHeight="1">
      <c r="A87" s="1"/>
      <c r="B87" s="1"/>
      <c r="C87" s="1"/>
      <c r="D87" s="1"/>
      <c r="E87" s="1"/>
      <c r="F87" s="1"/>
      <c r="G87" s="1"/>
      <c r="H87" s="1"/>
      <c r="I87" s="1"/>
      <c r="J87" s="1"/>
      <c r="K87" s="1"/>
      <c r="L87" s="1"/>
      <c r="M87" s="1"/>
      <c r="N87" s="1"/>
      <c r="O87" s="1"/>
      <c r="P87" s="1"/>
      <c r="Q87" s="1"/>
      <c r="R87" s="1"/>
      <c r="S87" s="1"/>
      <c r="T87" s="1"/>
      <c r="U87" s="1"/>
      <c r="V87" s="1"/>
      <c r="W87" s="1"/>
    </row>
    <row r="88" spans="1:23" ht="23" customHeight="1">
      <c r="A88" s="1"/>
      <c r="B88" s="1"/>
      <c r="C88" s="1"/>
      <c r="D88" s="1"/>
      <c r="E88" s="1"/>
      <c r="F88" s="1"/>
      <c r="G88" s="1"/>
      <c r="H88" s="1"/>
      <c r="I88" s="1"/>
      <c r="J88" s="1"/>
      <c r="K88" s="1"/>
      <c r="L88" s="1"/>
      <c r="M88" s="1"/>
      <c r="N88" s="1"/>
      <c r="O88" s="1"/>
      <c r="P88" s="1"/>
      <c r="Q88" s="1"/>
      <c r="R88" s="1"/>
      <c r="S88" s="1"/>
      <c r="T88" s="1"/>
      <c r="U88" s="1"/>
      <c r="V88" s="1"/>
      <c r="W88" s="1"/>
    </row>
    <row r="89" spans="1:23" ht="23" customHeight="1">
      <c r="A89" s="1"/>
      <c r="B89" s="1"/>
      <c r="C89" s="1"/>
      <c r="D89" s="1"/>
      <c r="E89" s="1"/>
      <c r="F89" s="1"/>
      <c r="G89" s="1"/>
      <c r="H89" s="1"/>
      <c r="I89" s="1"/>
      <c r="J89" s="1"/>
      <c r="K89" s="1"/>
      <c r="L89" s="1"/>
      <c r="M89" s="1"/>
      <c r="N89" s="1"/>
      <c r="O89" s="1"/>
      <c r="P89" s="1"/>
      <c r="Q89" s="1"/>
      <c r="R89" s="1"/>
      <c r="S89" s="1"/>
      <c r="T89" s="1"/>
      <c r="U89" s="1"/>
      <c r="V89" s="1"/>
      <c r="W89" s="1"/>
    </row>
    <row r="90" spans="1:23" ht="23" customHeight="1">
      <c r="A90" s="1"/>
      <c r="B90" s="1"/>
      <c r="C90" s="1"/>
      <c r="D90" s="1"/>
      <c r="E90" s="1"/>
      <c r="F90" s="1"/>
      <c r="G90" s="1"/>
      <c r="H90" s="1"/>
      <c r="I90" s="1"/>
      <c r="J90" s="1"/>
      <c r="K90" s="1"/>
      <c r="L90" s="1"/>
      <c r="M90" s="1"/>
      <c r="N90" s="1"/>
      <c r="O90" s="1"/>
      <c r="P90" s="1"/>
      <c r="Q90" s="1"/>
      <c r="R90" s="1"/>
      <c r="S90" s="1"/>
      <c r="T90" s="1"/>
      <c r="U90" s="1"/>
      <c r="V90" s="1"/>
      <c r="W90" s="1"/>
    </row>
    <row r="91" spans="1:23" ht="23" customHeight="1">
      <c r="A91" s="1"/>
      <c r="B91" s="1"/>
      <c r="C91" s="1"/>
      <c r="D91" s="1"/>
      <c r="E91" s="1"/>
      <c r="F91" s="1"/>
      <c r="G91" s="1"/>
      <c r="H91" s="1"/>
      <c r="I91" s="1"/>
      <c r="J91" s="1"/>
      <c r="K91" s="1"/>
      <c r="L91" s="1"/>
      <c r="M91" s="1"/>
      <c r="N91" s="1"/>
      <c r="O91" s="1"/>
      <c r="P91" s="1"/>
      <c r="Q91" s="1"/>
      <c r="R91" s="1"/>
      <c r="S91" s="1"/>
      <c r="T91" s="1"/>
      <c r="U91" s="1"/>
      <c r="V91" s="1"/>
      <c r="W91" s="1"/>
    </row>
    <row r="92" spans="1:23" ht="23" customHeight="1">
      <c r="A92" s="1"/>
      <c r="B92" s="1"/>
      <c r="C92" s="1"/>
      <c r="D92" s="1"/>
      <c r="E92" s="1"/>
      <c r="F92" s="1"/>
      <c r="G92" s="1"/>
      <c r="H92" s="1"/>
      <c r="I92" s="1"/>
      <c r="J92" s="1"/>
      <c r="K92" s="1"/>
      <c r="L92" s="1"/>
      <c r="M92" s="1"/>
      <c r="N92" s="1"/>
      <c r="O92" s="1"/>
      <c r="P92" s="1"/>
      <c r="Q92" s="1"/>
      <c r="R92" s="1"/>
      <c r="S92" s="1"/>
      <c r="T92" s="1"/>
      <c r="U92" s="1"/>
      <c r="V92" s="1"/>
      <c r="W92" s="1"/>
    </row>
    <row r="93" spans="1:23" ht="23" customHeight="1">
      <c r="A93" s="1"/>
      <c r="B93" s="1"/>
      <c r="C93" s="1"/>
      <c r="D93" s="1"/>
      <c r="E93" s="1"/>
      <c r="F93" s="1"/>
      <c r="G93" s="1"/>
      <c r="H93" s="1"/>
      <c r="I93" s="1"/>
      <c r="J93" s="1"/>
      <c r="K93" s="1"/>
      <c r="L93" s="1"/>
      <c r="M93" s="1"/>
      <c r="N93" s="1"/>
      <c r="O93" s="1"/>
      <c r="P93" s="1"/>
      <c r="Q93" s="1"/>
      <c r="R93" s="1"/>
      <c r="S93" s="1"/>
      <c r="T93" s="1"/>
      <c r="U93" s="1"/>
      <c r="V93" s="1"/>
      <c r="W93" s="1"/>
    </row>
    <row r="94" spans="1:23" ht="23" customHeight="1">
      <c r="A94" s="1"/>
      <c r="B94" s="1"/>
      <c r="C94" s="1"/>
      <c r="D94" s="1"/>
      <c r="E94" s="1"/>
      <c r="F94" s="1"/>
      <c r="G94" s="1"/>
      <c r="H94" s="1"/>
      <c r="I94" s="1"/>
      <c r="J94" s="1"/>
      <c r="K94" s="1"/>
      <c r="L94" s="1"/>
      <c r="M94" s="1"/>
      <c r="N94" s="1"/>
      <c r="O94" s="1"/>
      <c r="P94" s="1"/>
      <c r="Q94" s="1"/>
      <c r="R94" s="1"/>
      <c r="S94" s="1"/>
      <c r="T94" s="1"/>
      <c r="U94" s="1"/>
      <c r="V94" s="1"/>
      <c r="W94" s="1"/>
    </row>
    <row r="95" spans="1:23" ht="23" customHeight="1">
      <c r="A95" s="1"/>
      <c r="B95" s="1"/>
      <c r="C95" s="1"/>
      <c r="D95" s="1"/>
      <c r="E95" s="1"/>
      <c r="F95" s="1"/>
      <c r="G95" s="1"/>
      <c r="H95" s="1"/>
      <c r="I95" s="1"/>
      <c r="J95" s="1"/>
      <c r="K95" s="1"/>
      <c r="L95" s="1"/>
      <c r="M95" s="1"/>
      <c r="N95" s="1"/>
      <c r="O95" s="1"/>
      <c r="P95" s="1"/>
      <c r="Q95" s="1"/>
      <c r="R95" s="1"/>
      <c r="S95" s="1"/>
      <c r="T95" s="1"/>
      <c r="U95" s="1"/>
      <c r="V95" s="1"/>
      <c r="W95" s="1"/>
    </row>
    <row r="96" spans="1:23" ht="23" customHeight="1">
      <c r="A96" s="1"/>
      <c r="B96" s="1"/>
      <c r="C96" s="1"/>
      <c r="D96" s="1"/>
      <c r="E96" s="1"/>
      <c r="F96" s="1"/>
      <c r="G96" s="1"/>
      <c r="H96" s="1"/>
      <c r="I96" s="1"/>
      <c r="J96" s="1"/>
      <c r="K96" s="1"/>
      <c r="L96" s="1"/>
      <c r="M96" s="1"/>
      <c r="N96" s="1"/>
      <c r="O96" s="1"/>
      <c r="P96" s="1"/>
      <c r="Q96" s="1"/>
      <c r="R96" s="1"/>
      <c r="S96" s="1"/>
      <c r="T96" s="1"/>
      <c r="U96" s="1"/>
      <c r="V96" s="1"/>
      <c r="W96" s="1"/>
    </row>
    <row r="97" spans="1:23" ht="23" customHeight="1">
      <c r="A97" s="1"/>
      <c r="B97" s="1"/>
      <c r="C97" s="1"/>
      <c r="D97" s="1"/>
      <c r="E97" s="1"/>
      <c r="F97" s="1"/>
      <c r="G97" s="1"/>
      <c r="H97" s="1"/>
      <c r="I97" s="1"/>
      <c r="J97" s="1"/>
      <c r="K97" s="1"/>
      <c r="L97" s="1"/>
      <c r="M97" s="1"/>
      <c r="N97" s="1"/>
      <c r="O97" s="1"/>
      <c r="P97" s="1"/>
      <c r="Q97" s="1"/>
      <c r="R97" s="1"/>
      <c r="S97" s="1"/>
      <c r="T97" s="1"/>
      <c r="U97" s="1"/>
      <c r="V97" s="1"/>
      <c r="W97" s="1"/>
    </row>
    <row r="98" spans="1:23" ht="23" customHeight="1">
      <c r="A98" s="1"/>
      <c r="B98" s="1"/>
      <c r="C98" s="1"/>
      <c r="D98" s="1"/>
      <c r="E98" s="1"/>
      <c r="F98" s="1"/>
      <c r="G98" s="1"/>
      <c r="H98" s="1"/>
      <c r="I98" s="1"/>
      <c r="J98" s="1"/>
      <c r="K98" s="1"/>
      <c r="L98" s="1"/>
      <c r="M98" s="1"/>
      <c r="N98" s="1"/>
      <c r="O98" s="1"/>
      <c r="P98" s="1"/>
      <c r="Q98" s="1"/>
      <c r="R98" s="1"/>
      <c r="S98" s="1"/>
      <c r="T98" s="1"/>
      <c r="U98" s="1"/>
      <c r="V98" s="1"/>
      <c r="W98" s="1"/>
    </row>
    <row r="99" spans="1:23" ht="23" customHeight="1">
      <c r="A99" s="1"/>
      <c r="B99" s="1"/>
      <c r="C99" s="1"/>
      <c r="D99" s="1"/>
      <c r="E99" s="1"/>
      <c r="F99" s="1"/>
      <c r="G99" s="1"/>
      <c r="H99" s="1"/>
      <c r="I99" s="1"/>
      <c r="J99" s="1"/>
      <c r="K99" s="1"/>
      <c r="L99" s="1"/>
      <c r="M99" s="1"/>
      <c r="N99" s="1"/>
      <c r="O99" s="1"/>
      <c r="P99" s="1"/>
      <c r="Q99" s="1"/>
      <c r="R99" s="1"/>
      <c r="S99" s="1"/>
      <c r="T99" s="1"/>
      <c r="U99" s="1"/>
      <c r="V99" s="1"/>
      <c r="W99" s="1"/>
    </row>
    <row r="100" spans="1:23" ht="23" customHeight="1">
      <c r="A100" s="1"/>
      <c r="B100" s="1"/>
      <c r="C100" s="1"/>
      <c r="D100" s="1"/>
      <c r="E100" s="1"/>
      <c r="F100" s="1"/>
      <c r="G100" s="1"/>
      <c r="H100" s="1"/>
      <c r="I100" s="1"/>
      <c r="J100" s="1"/>
      <c r="K100" s="1"/>
      <c r="L100" s="1"/>
      <c r="M100" s="1"/>
      <c r="N100" s="1"/>
      <c r="O100" s="1"/>
      <c r="P100" s="1"/>
      <c r="Q100" s="1"/>
      <c r="R100" s="1"/>
      <c r="S100" s="1"/>
      <c r="T100" s="1"/>
      <c r="U100" s="1"/>
      <c r="V100" s="1"/>
      <c r="W100" s="1"/>
    </row>
    <row r="101" spans="1:23" ht="23" customHeight="1">
      <c r="A101" s="1"/>
      <c r="B101" s="1"/>
      <c r="C101" s="1"/>
      <c r="D101" s="1"/>
      <c r="E101" s="1"/>
      <c r="F101" s="1"/>
      <c r="G101" s="1"/>
      <c r="H101" s="1"/>
      <c r="I101" s="1"/>
      <c r="J101" s="1"/>
      <c r="K101" s="1"/>
      <c r="L101" s="1"/>
      <c r="M101" s="1"/>
      <c r="N101" s="1"/>
      <c r="O101" s="1"/>
      <c r="P101" s="1"/>
      <c r="Q101" s="1"/>
      <c r="R101" s="1"/>
      <c r="S101" s="1"/>
      <c r="T101" s="1"/>
      <c r="U101" s="1"/>
      <c r="V101" s="1"/>
      <c r="W101" s="1"/>
    </row>
    <row r="102" spans="1:23" ht="23" customHeight="1">
      <c r="A102" s="1"/>
      <c r="B102" s="1"/>
      <c r="C102" s="1"/>
      <c r="D102" s="1"/>
      <c r="E102" s="1"/>
      <c r="F102" s="1"/>
      <c r="G102" s="1"/>
      <c r="H102" s="1"/>
      <c r="I102" s="1"/>
      <c r="J102" s="1"/>
      <c r="K102" s="1"/>
      <c r="L102" s="1"/>
      <c r="M102" s="1"/>
      <c r="N102" s="1"/>
      <c r="O102" s="1"/>
      <c r="P102" s="1"/>
      <c r="Q102" s="1"/>
      <c r="R102" s="1"/>
      <c r="S102" s="1"/>
      <c r="T102" s="1"/>
      <c r="U102" s="1"/>
      <c r="V102" s="1"/>
      <c r="W102" s="1"/>
    </row>
    <row r="103" spans="1:23" ht="23" customHeight="1">
      <c r="A103" s="1"/>
      <c r="B103" s="1"/>
      <c r="C103" s="1"/>
      <c r="D103" s="1"/>
      <c r="E103" s="1"/>
      <c r="F103" s="1"/>
      <c r="G103" s="1"/>
      <c r="H103" s="1"/>
      <c r="I103" s="1"/>
      <c r="J103" s="1"/>
      <c r="K103" s="1"/>
      <c r="L103" s="1"/>
      <c r="M103" s="1"/>
      <c r="N103" s="1"/>
      <c r="O103" s="1"/>
      <c r="P103" s="1"/>
      <c r="Q103" s="1"/>
      <c r="R103" s="1"/>
      <c r="S103" s="1"/>
      <c r="T103" s="1"/>
      <c r="U103" s="1"/>
      <c r="V103" s="1"/>
      <c r="W103" s="1"/>
    </row>
    <row r="104" spans="1:23" ht="23" customHeight="1">
      <c r="A104" s="1"/>
      <c r="B104" s="1"/>
      <c r="C104" s="1"/>
      <c r="D104" s="1"/>
      <c r="E104" s="1"/>
      <c r="F104" s="1"/>
      <c r="G104" s="1"/>
      <c r="H104" s="1"/>
      <c r="I104" s="1"/>
      <c r="J104" s="1"/>
      <c r="K104" s="1"/>
      <c r="L104" s="1"/>
      <c r="M104" s="1"/>
      <c r="N104" s="1"/>
      <c r="O104" s="1"/>
      <c r="P104" s="1"/>
      <c r="Q104" s="1"/>
      <c r="R104" s="1"/>
      <c r="S104" s="1"/>
      <c r="T104" s="1"/>
      <c r="U104" s="1"/>
      <c r="V104" s="1"/>
      <c r="W104" s="1"/>
    </row>
    <row r="105" spans="1:23" ht="23" customHeight="1">
      <c r="A105" s="1"/>
      <c r="B105" s="1"/>
      <c r="C105" s="1"/>
      <c r="D105" s="1"/>
      <c r="E105" s="1"/>
      <c r="F105" s="1"/>
      <c r="G105" s="1"/>
      <c r="H105" s="1"/>
      <c r="I105" s="1"/>
      <c r="J105" s="1"/>
      <c r="K105" s="1"/>
      <c r="L105" s="1"/>
      <c r="M105" s="1"/>
      <c r="N105" s="1"/>
      <c r="O105" s="1"/>
      <c r="P105" s="1"/>
      <c r="Q105" s="1"/>
      <c r="R105" s="1"/>
      <c r="S105" s="1"/>
      <c r="T105" s="1"/>
      <c r="U105" s="1"/>
      <c r="V105" s="1"/>
      <c r="W105" s="1"/>
    </row>
    <row r="106" spans="1:23" ht="23" customHeight="1">
      <c r="A106" s="1"/>
      <c r="B106" s="1"/>
      <c r="C106" s="1"/>
      <c r="D106" s="1"/>
      <c r="E106" s="1"/>
      <c r="F106" s="1"/>
      <c r="G106" s="1"/>
      <c r="H106" s="1"/>
      <c r="I106" s="1"/>
      <c r="J106" s="1"/>
      <c r="K106" s="1"/>
      <c r="L106" s="1"/>
      <c r="M106" s="1"/>
      <c r="N106" s="1"/>
      <c r="O106" s="1"/>
      <c r="P106" s="1"/>
      <c r="Q106" s="1"/>
      <c r="R106" s="1"/>
      <c r="S106" s="1"/>
      <c r="T106" s="1"/>
      <c r="U106" s="1"/>
      <c r="V106" s="1"/>
      <c r="W106" s="1"/>
    </row>
    <row r="107" spans="1:23" ht="23" customHeight="1">
      <c r="A107" s="1"/>
      <c r="B107" s="1"/>
      <c r="C107" s="1"/>
      <c r="D107" s="1"/>
      <c r="E107" s="1"/>
      <c r="F107" s="1"/>
      <c r="G107" s="1"/>
      <c r="H107" s="1"/>
      <c r="I107" s="1"/>
      <c r="J107" s="1"/>
      <c r="K107" s="1"/>
      <c r="L107" s="1"/>
      <c r="M107" s="1"/>
      <c r="N107" s="1"/>
      <c r="O107" s="1"/>
      <c r="P107" s="1"/>
      <c r="Q107" s="1"/>
      <c r="R107" s="1"/>
      <c r="S107" s="1"/>
      <c r="T107" s="1"/>
      <c r="U107" s="1"/>
      <c r="V107" s="1"/>
      <c r="W107" s="1"/>
    </row>
    <row r="108" spans="1:23" ht="23" customHeight="1">
      <c r="A108" s="1"/>
      <c r="B108" s="1"/>
      <c r="C108" s="1"/>
      <c r="D108" s="1"/>
      <c r="E108" s="1"/>
      <c r="F108" s="1"/>
      <c r="G108" s="1"/>
      <c r="H108" s="1"/>
      <c r="I108" s="1"/>
      <c r="J108" s="1"/>
      <c r="K108" s="1"/>
      <c r="L108" s="1"/>
      <c r="M108" s="1"/>
      <c r="N108" s="1"/>
      <c r="O108" s="1"/>
      <c r="P108" s="1"/>
      <c r="Q108" s="1"/>
      <c r="R108" s="1"/>
      <c r="S108" s="1"/>
      <c r="T108" s="1"/>
      <c r="U108" s="1"/>
      <c r="V108" s="1"/>
      <c r="W108" s="1"/>
    </row>
    <row r="109" spans="1:23" ht="23" customHeight="1">
      <c r="A109" s="1"/>
      <c r="B109" s="1"/>
      <c r="C109" s="1"/>
      <c r="D109" s="1"/>
      <c r="E109" s="1"/>
      <c r="F109" s="1"/>
      <c r="G109" s="1"/>
      <c r="H109" s="1"/>
      <c r="I109" s="1"/>
      <c r="J109" s="1"/>
      <c r="K109" s="1"/>
      <c r="L109" s="1"/>
      <c r="M109" s="1"/>
      <c r="N109" s="1"/>
      <c r="O109" s="1"/>
      <c r="P109" s="1"/>
      <c r="Q109" s="1"/>
      <c r="R109" s="1"/>
      <c r="S109" s="1"/>
      <c r="T109" s="1"/>
      <c r="U109" s="1"/>
      <c r="V109" s="1"/>
      <c r="W109" s="1"/>
    </row>
    <row r="110" spans="1:23" ht="23" customHeight="1">
      <c r="A110" s="1"/>
      <c r="B110" s="1"/>
      <c r="C110" s="1"/>
      <c r="D110" s="1"/>
      <c r="E110" s="1"/>
      <c r="F110" s="1"/>
      <c r="G110" s="1"/>
      <c r="H110" s="1"/>
      <c r="I110" s="1"/>
      <c r="J110" s="1"/>
      <c r="K110" s="1"/>
      <c r="L110" s="1"/>
      <c r="M110" s="1"/>
      <c r="N110" s="1"/>
      <c r="O110" s="1"/>
      <c r="P110" s="1"/>
      <c r="Q110" s="1"/>
      <c r="R110" s="1"/>
      <c r="S110" s="1"/>
      <c r="T110" s="1"/>
      <c r="U110" s="1"/>
      <c r="V110" s="1"/>
      <c r="W110" s="1"/>
    </row>
    <row r="111" spans="1:23" ht="23" customHeight="1">
      <c r="A111" s="1"/>
      <c r="B111" s="1"/>
      <c r="C111" s="1"/>
      <c r="D111" s="1"/>
      <c r="E111" s="1"/>
      <c r="F111" s="1"/>
      <c r="G111" s="1"/>
      <c r="H111" s="1"/>
      <c r="I111" s="1"/>
      <c r="J111" s="1"/>
      <c r="K111" s="1"/>
      <c r="L111" s="1"/>
      <c r="M111" s="1"/>
      <c r="N111" s="1"/>
      <c r="O111" s="1"/>
      <c r="P111" s="1"/>
      <c r="Q111" s="1"/>
      <c r="R111" s="1"/>
      <c r="S111" s="1"/>
      <c r="T111" s="1"/>
      <c r="U111" s="1"/>
      <c r="V111" s="1"/>
      <c r="W111" s="1"/>
    </row>
    <row r="112" spans="1:23" ht="23" customHeight="1">
      <c r="A112" s="1"/>
      <c r="B112" s="1"/>
      <c r="C112" s="1"/>
      <c r="D112" s="1"/>
      <c r="E112" s="1"/>
      <c r="F112" s="1"/>
      <c r="G112" s="1"/>
      <c r="H112" s="1"/>
      <c r="I112" s="1"/>
      <c r="J112" s="1"/>
      <c r="K112" s="1"/>
      <c r="L112" s="1"/>
      <c r="M112" s="1"/>
      <c r="N112" s="1"/>
      <c r="O112" s="1"/>
      <c r="P112" s="1"/>
      <c r="Q112" s="1"/>
      <c r="R112" s="1"/>
      <c r="S112" s="1"/>
      <c r="T112" s="1"/>
      <c r="U112" s="1"/>
      <c r="V112" s="1"/>
      <c r="W112" s="1"/>
    </row>
    <row r="113" spans="1:23" ht="23" customHeight="1">
      <c r="A113" s="1"/>
      <c r="B113" s="1"/>
      <c r="C113" s="1"/>
      <c r="D113" s="1"/>
      <c r="E113" s="1"/>
      <c r="F113" s="1"/>
      <c r="G113" s="1"/>
      <c r="H113" s="1"/>
      <c r="I113" s="1"/>
      <c r="J113" s="1"/>
      <c r="K113" s="1"/>
      <c r="L113" s="1"/>
      <c r="M113" s="1"/>
      <c r="N113" s="1"/>
      <c r="O113" s="1"/>
      <c r="P113" s="1"/>
      <c r="Q113" s="1"/>
      <c r="R113" s="1"/>
      <c r="S113" s="1"/>
      <c r="T113" s="1"/>
      <c r="U113" s="1"/>
      <c r="V113" s="1"/>
      <c r="W113" s="1"/>
    </row>
    <row r="114" spans="1:23" ht="23" customHeight="1">
      <c r="A114" s="1"/>
      <c r="B114" s="1"/>
      <c r="C114" s="1"/>
      <c r="D114" s="1"/>
      <c r="E114" s="1"/>
      <c r="F114" s="1"/>
      <c r="G114" s="1"/>
      <c r="H114" s="1"/>
      <c r="I114" s="1"/>
      <c r="J114" s="1"/>
      <c r="K114" s="1"/>
      <c r="L114" s="1"/>
      <c r="M114" s="1"/>
      <c r="N114" s="1"/>
      <c r="O114" s="1"/>
      <c r="P114" s="1"/>
      <c r="Q114" s="1"/>
      <c r="R114" s="1"/>
      <c r="S114" s="1"/>
      <c r="T114" s="1"/>
      <c r="U114" s="1"/>
      <c r="V114" s="1"/>
      <c r="W114" s="1"/>
    </row>
    <row r="115" spans="1:23" ht="23" customHeight="1">
      <c r="A115" s="1"/>
      <c r="B115" s="1"/>
      <c r="C115" s="1"/>
      <c r="D115" s="1"/>
      <c r="E115" s="1"/>
      <c r="F115" s="1"/>
      <c r="G115" s="1"/>
      <c r="H115" s="1"/>
      <c r="I115" s="1"/>
      <c r="J115" s="1"/>
      <c r="K115" s="1"/>
      <c r="L115" s="1"/>
      <c r="M115" s="1"/>
      <c r="N115" s="1"/>
      <c r="O115" s="1"/>
      <c r="P115" s="1"/>
      <c r="Q115" s="1"/>
      <c r="R115" s="1"/>
      <c r="S115" s="1"/>
      <c r="T115" s="1"/>
      <c r="U115" s="1"/>
      <c r="V115" s="1"/>
      <c r="W115" s="1"/>
    </row>
    <row r="116" spans="1:23" ht="23" customHeight="1">
      <c r="A116" s="1"/>
      <c r="B116" s="1"/>
      <c r="C116" s="1"/>
      <c r="D116" s="1"/>
      <c r="E116" s="1"/>
      <c r="F116" s="1"/>
      <c r="G116" s="1"/>
      <c r="H116" s="1"/>
      <c r="I116" s="1"/>
      <c r="J116" s="1"/>
      <c r="K116" s="1"/>
      <c r="L116" s="1"/>
      <c r="M116" s="1"/>
      <c r="N116" s="1"/>
      <c r="O116" s="1"/>
      <c r="P116" s="1"/>
      <c r="Q116" s="1"/>
      <c r="R116" s="1"/>
      <c r="S116" s="1"/>
      <c r="T116" s="1"/>
      <c r="U116" s="1"/>
      <c r="V116" s="1"/>
      <c r="W116" s="1"/>
    </row>
    <row r="117" spans="1:23" ht="23" customHeight="1">
      <c r="A117" s="1"/>
      <c r="B117" s="1"/>
      <c r="C117" s="1"/>
      <c r="D117" s="1"/>
      <c r="E117" s="1"/>
      <c r="F117" s="1"/>
      <c r="G117" s="1"/>
      <c r="H117" s="1"/>
      <c r="I117" s="1"/>
      <c r="J117" s="1"/>
      <c r="K117" s="1"/>
      <c r="L117" s="1"/>
      <c r="M117" s="1"/>
      <c r="N117" s="1"/>
      <c r="O117" s="1"/>
      <c r="P117" s="1"/>
      <c r="Q117" s="1"/>
      <c r="R117" s="1"/>
      <c r="S117" s="1"/>
      <c r="T117" s="1"/>
      <c r="U117" s="1"/>
      <c r="V117" s="1"/>
      <c r="W117" s="1"/>
    </row>
    <row r="118" spans="1:23" ht="23" customHeight="1">
      <c r="A118" s="1"/>
      <c r="B118" s="1"/>
      <c r="C118" s="1"/>
      <c r="D118" s="1"/>
      <c r="E118" s="1"/>
      <c r="F118" s="1"/>
      <c r="G118" s="1"/>
      <c r="H118" s="1"/>
      <c r="I118" s="1"/>
      <c r="J118" s="1"/>
      <c r="K118" s="1"/>
      <c r="L118" s="1"/>
      <c r="M118" s="1"/>
      <c r="N118" s="1"/>
      <c r="O118" s="1"/>
      <c r="P118" s="1"/>
      <c r="Q118" s="1"/>
      <c r="R118" s="1"/>
      <c r="S118" s="1"/>
      <c r="T118" s="1"/>
      <c r="U118" s="1"/>
      <c r="V118" s="1"/>
      <c r="W118" s="1"/>
    </row>
    <row r="119" spans="1:23" ht="23" customHeight="1">
      <c r="A119" s="1"/>
      <c r="B119" s="1"/>
      <c r="C119" s="1"/>
      <c r="D119" s="1"/>
      <c r="E119" s="1"/>
      <c r="F119" s="1"/>
      <c r="G119" s="1"/>
      <c r="H119" s="1"/>
      <c r="I119" s="1"/>
      <c r="J119" s="1"/>
      <c r="K119" s="1"/>
      <c r="L119" s="1"/>
      <c r="M119" s="1"/>
      <c r="N119" s="1"/>
      <c r="O119" s="1"/>
      <c r="P119" s="1"/>
      <c r="Q119" s="1"/>
      <c r="R119" s="1"/>
      <c r="S119" s="1"/>
      <c r="T119" s="1"/>
      <c r="U119" s="1"/>
      <c r="V119" s="1"/>
      <c r="W119" s="1"/>
    </row>
    <row r="120" spans="1:23" ht="23" customHeight="1">
      <c r="A120" s="1"/>
      <c r="B120" s="1"/>
      <c r="C120" s="1"/>
      <c r="D120" s="1"/>
      <c r="E120" s="1"/>
      <c r="F120" s="1"/>
      <c r="G120" s="1"/>
      <c r="H120" s="1"/>
      <c r="I120" s="1"/>
      <c r="J120" s="1"/>
      <c r="K120" s="1"/>
      <c r="L120" s="1"/>
      <c r="M120" s="1"/>
      <c r="N120" s="1"/>
      <c r="O120" s="1"/>
      <c r="P120" s="1"/>
      <c r="Q120" s="1"/>
      <c r="R120" s="1"/>
      <c r="S120" s="1"/>
      <c r="T120" s="1"/>
      <c r="U120" s="1"/>
      <c r="V120" s="1"/>
      <c r="W120" s="1"/>
    </row>
  </sheetData>
  <mergeCells count="12">
    <mergeCell ref="D55:F55"/>
    <mergeCell ref="D56:F56"/>
    <mergeCell ref="B58:F60"/>
    <mergeCell ref="E41:F41"/>
    <mergeCell ref="E42:F42"/>
    <mergeCell ref="E43:F43"/>
    <mergeCell ref="E44:F44"/>
    <mergeCell ref="B19:F20"/>
    <mergeCell ref="B29:F30"/>
    <mergeCell ref="B47:F49"/>
    <mergeCell ref="D53:F53"/>
    <mergeCell ref="D54:F5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20"/>
  <sheetViews>
    <sheetView showGridLines="0" workbookViewId="0">
      <pane ySplit="5" topLeftCell="A6" activePane="bottomLeft" state="frozen"/>
      <selection pane="bottomLeft"/>
    </sheetView>
  </sheetViews>
  <sheetFormatPr defaultRowHeight="14"/>
  <cols>
    <col min="1" max="1" width="3" customWidth="1"/>
    <col min="2" max="2" width="28" customWidth="1"/>
    <col min="3" max="4" width="13" customWidth="1"/>
    <col min="5" max="5" width="24" customWidth="1"/>
    <col min="6" max="23" width="13" customWidth="1"/>
  </cols>
  <sheetData>
    <row r="1" spans="1:23" ht="23" customHeight="1">
      <c r="A1" s="1"/>
      <c r="B1" s="1"/>
      <c r="C1" s="1"/>
      <c r="D1" s="1"/>
      <c r="E1" s="1"/>
      <c r="F1" s="1"/>
      <c r="G1" s="1"/>
      <c r="H1" s="1"/>
      <c r="I1" s="1"/>
      <c r="J1" s="1"/>
      <c r="K1" s="1"/>
      <c r="L1" s="1"/>
      <c r="M1" s="1"/>
      <c r="N1" s="1"/>
      <c r="O1" s="1"/>
      <c r="P1" s="1"/>
      <c r="Q1" s="1"/>
      <c r="R1" s="1"/>
      <c r="S1" s="1"/>
      <c r="T1" s="1"/>
      <c r="U1" s="1"/>
      <c r="V1" s="1"/>
      <c r="W1" s="1"/>
    </row>
    <row r="2" spans="1:23" ht="32" customHeight="1">
      <c r="A2" s="1"/>
      <c r="B2" s="2" t="s">
        <v>121</v>
      </c>
      <c r="C2" s="2"/>
      <c r="D2" s="2"/>
      <c r="E2" s="2"/>
      <c r="F2" s="2"/>
      <c r="G2" s="2"/>
      <c r="H2" s="2"/>
      <c r="I2" s="2"/>
      <c r="J2" s="2"/>
      <c r="K2" s="2"/>
      <c r="L2" s="2"/>
      <c r="M2" s="2"/>
      <c r="N2" s="1"/>
      <c r="O2" s="1"/>
      <c r="P2" s="1"/>
      <c r="Q2" s="1"/>
      <c r="R2" s="1"/>
      <c r="S2" s="1"/>
      <c r="T2" s="1"/>
      <c r="U2" s="1"/>
      <c r="V2" s="1"/>
      <c r="W2" s="1"/>
    </row>
    <row r="3" spans="1:23" ht="23" customHeight="1">
      <c r="A3" s="1"/>
      <c r="B3" s="3" t="s">
        <v>122</v>
      </c>
      <c r="C3" s="3"/>
      <c r="D3" s="3"/>
      <c r="E3" s="3"/>
      <c r="F3" s="3"/>
      <c r="G3" s="3"/>
      <c r="H3" s="3"/>
      <c r="I3" s="3"/>
      <c r="J3" s="3"/>
      <c r="K3" s="3"/>
      <c r="L3" s="3"/>
      <c r="M3" s="3"/>
      <c r="N3" s="1"/>
      <c r="O3" s="1"/>
      <c r="P3" s="1"/>
      <c r="Q3" s="1"/>
      <c r="R3" s="1"/>
      <c r="S3" s="1"/>
      <c r="T3" s="1"/>
      <c r="U3" s="1"/>
      <c r="V3" s="1"/>
      <c r="W3" s="1"/>
    </row>
    <row r="4" spans="1:23" ht="23" customHeight="1">
      <c r="A4" s="1"/>
      <c r="B4" s="1"/>
      <c r="C4" s="1"/>
      <c r="D4" s="1"/>
      <c r="E4" s="1"/>
      <c r="F4" s="1"/>
      <c r="G4" s="1"/>
      <c r="H4" s="1"/>
      <c r="I4" s="1"/>
      <c r="J4" s="1"/>
      <c r="K4" s="1"/>
      <c r="L4" s="1"/>
      <c r="M4" s="1"/>
      <c r="N4" s="1"/>
      <c r="O4" s="1"/>
      <c r="P4" s="1"/>
      <c r="Q4" s="1"/>
      <c r="R4" s="1"/>
      <c r="S4" s="1"/>
      <c r="T4" s="1"/>
      <c r="U4" s="1"/>
      <c r="V4" s="1"/>
      <c r="W4" s="1"/>
    </row>
    <row r="5" spans="1:23" ht="32" customHeight="1">
      <c r="A5" s="1"/>
      <c r="B5" s="4" t="s">
        <v>123</v>
      </c>
      <c r="C5" s="4" t="s">
        <v>124</v>
      </c>
      <c r="D5" s="4" t="s">
        <v>125</v>
      </c>
      <c r="E5" s="4" t="s">
        <v>126</v>
      </c>
      <c r="F5" s="1"/>
      <c r="G5" s="1"/>
      <c r="H5" s="1"/>
      <c r="I5" s="1"/>
      <c r="J5" s="1"/>
      <c r="K5" s="1"/>
      <c r="L5" s="1"/>
      <c r="M5" s="1"/>
      <c r="N5" s="1"/>
      <c r="O5" s="1"/>
      <c r="P5" s="1"/>
      <c r="Q5" s="1"/>
      <c r="R5" s="1"/>
      <c r="S5" s="1"/>
      <c r="T5" s="1"/>
      <c r="U5" s="1"/>
      <c r="V5" s="1"/>
      <c r="W5" s="1"/>
    </row>
    <row r="6" spans="1:23" ht="23" customHeight="1">
      <c r="A6" s="1"/>
      <c r="B6" s="1" t="s">
        <v>127</v>
      </c>
      <c r="C6" s="11">
        <v>63.444677571600003</v>
      </c>
      <c r="D6" s="11">
        <v>63.696189476000001</v>
      </c>
      <c r="E6" s="1" t="s">
        <v>128</v>
      </c>
      <c r="F6" s="1"/>
      <c r="G6" s="1"/>
      <c r="H6" s="1"/>
      <c r="I6" s="1"/>
      <c r="J6" s="1"/>
      <c r="K6" s="1"/>
      <c r="L6" s="1"/>
      <c r="M6" s="1"/>
      <c r="N6" s="1"/>
      <c r="O6" s="1"/>
      <c r="P6" s="1"/>
      <c r="Q6" s="1"/>
      <c r="R6" s="1"/>
      <c r="S6" s="1"/>
      <c r="T6" s="1"/>
      <c r="U6" s="1"/>
      <c r="V6" s="1"/>
      <c r="W6" s="1"/>
    </row>
    <row r="7" spans="1:23" ht="23" customHeight="1">
      <c r="A7" s="1"/>
      <c r="B7" s="1" t="s">
        <v>129</v>
      </c>
      <c r="C7" s="11">
        <v>74.330785604300004</v>
      </c>
      <c r="D7" s="11">
        <v>60.834441365399996</v>
      </c>
      <c r="E7" s="1" t="s">
        <v>130</v>
      </c>
      <c r="F7" s="1"/>
      <c r="G7" s="1"/>
      <c r="H7" s="1"/>
      <c r="I7" s="1"/>
      <c r="J7" s="1"/>
      <c r="K7" s="1"/>
      <c r="L7" s="1"/>
      <c r="M7" s="1"/>
      <c r="N7" s="1"/>
      <c r="O7" s="1"/>
      <c r="P7" s="1"/>
      <c r="Q7" s="1"/>
      <c r="R7" s="1"/>
      <c r="S7" s="1"/>
      <c r="T7" s="1"/>
      <c r="U7" s="1"/>
      <c r="V7" s="1"/>
      <c r="W7" s="1"/>
    </row>
    <row r="8" spans="1:23" ht="23" customHeight="1">
      <c r="A8" s="1"/>
      <c r="B8" s="1" t="s">
        <v>131</v>
      </c>
      <c r="C8" s="11">
        <v>117.3090338232</v>
      </c>
      <c r="D8" s="11">
        <v>121.92589458960001</v>
      </c>
      <c r="E8" s="1" t="s">
        <v>130</v>
      </c>
      <c r="F8" s="1"/>
      <c r="G8" s="1"/>
      <c r="H8" s="1"/>
      <c r="I8" s="1"/>
      <c r="J8" s="1"/>
      <c r="K8" s="1"/>
      <c r="L8" s="1"/>
      <c r="M8" s="1"/>
      <c r="N8" s="1"/>
      <c r="O8" s="1"/>
      <c r="P8" s="1"/>
      <c r="Q8" s="1"/>
      <c r="R8" s="1"/>
      <c r="S8" s="1"/>
      <c r="T8" s="1"/>
      <c r="U8" s="1"/>
      <c r="V8" s="1"/>
      <c r="W8" s="1"/>
    </row>
    <row r="9" spans="1:23" ht="23" customHeight="1">
      <c r="A9" s="1"/>
      <c r="B9" s="1"/>
      <c r="C9" s="1"/>
      <c r="D9" s="1"/>
      <c r="E9" s="1"/>
      <c r="F9" s="1"/>
      <c r="G9" s="1"/>
      <c r="H9" s="1"/>
      <c r="I9" s="1"/>
      <c r="J9" s="1"/>
      <c r="K9" s="1"/>
      <c r="L9" s="1"/>
      <c r="M9" s="1"/>
      <c r="N9" s="1"/>
      <c r="O9" s="1"/>
      <c r="P9" s="1"/>
      <c r="Q9" s="1"/>
      <c r="R9" s="1"/>
      <c r="S9" s="1"/>
      <c r="T9" s="1"/>
      <c r="U9" s="1"/>
      <c r="V9" s="1"/>
      <c r="W9" s="1"/>
    </row>
    <row r="10" spans="1:23" ht="23" customHeight="1">
      <c r="A10" s="1"/>
      <c r="B10" s="42" t="s">
        <v>132</v>
      </c>
      <c r="C10" s="42"/>
      <c r="D10" s="42"/>
      <c r="E10" s="42"/>
      <c r="F10" s="42"/>
      <c r="G10" s="1"/>
      <c r="H10" s="1"/>
      <c r="I10" s="1"/>
      <c r="J10" s="1"/>
      <c r="K10" s="1"/>
      <c r="L10" s="1"/>
      <c r="M10" s="1"/>
      <c r="N10" s="1"/>
      <c r="O10" s="1"/>
      <c r="P10" s="1"/>
      <c r="Q10" s="1"/>
      <c r="R10" s="1"/>
      <c r="S10" s="1"/>
      <c r="T10" s="1"/>
      <c r="U10" s="1"/>
      <c r="V10" s="1"/>
      <c r="W10" s="1"/>
    </row>
    <row r="11" spans="1:23" ht="23" customHeight="1">
      <c r="A11" s="1"/>
      <c r="B11" s="42"/>
      <c r="C11" s="42"/>
      <c r="D11" s="42"/>
      <c r="E11" s="42"/>
      <c r="F11" s="42"/>
      <c r="G11" s="1"/>
      <c r="H11" s="1"/>
      <c r="I11" s="1"/>
      <c r="J11" s="1"/>
      <c r="K11" s="1"/>
      <c r="L11" s="1"/>
      <c r="M11" s="1"/>
      <c r="N11" s="1"/>
      <c r="O11" s="1"/>
      <c r="P11" s="1"/>
      <c r="Q11" s="1"/>
      <c r="R11" s="1"/>
      <c r="S11" s="1"/>
      <c r="T11" s="1"/>
      <c r="U11" s="1"/>
      <c r="V11" s="1"/>
      <c r="W11" s="1"/>
    </row>
    <row r="12" spans="1:23" ht="23" customHeight="1">
      <c r="A12" s="1"/>
      <c r="B12" s="42"/>
      <c r="C12" s="42"/>
      <c r="D12" s="42"/>
      <c r="E12" s="42"/>
      <c r="F12" s="42"/>
      <c r="G12" s="1"/>
      <c r="H12" s="1"/>
      <c r="I12" s="1"/>
      <c r="J12" s="1"/>
      <c r="K12" s="1"/>
      <c r="L12" s="1"/>
      <c r="M12" s="1"/>
      <c r="N12" s="1"/>
      <c r="O12" s="1"/>
      <c r="P12" s="1"/>
      <c r="Q12" s="1"/>
      <c r="R12" s="1"/>
      <c r="S12" s="1"/>
      <c r="T12" s="1"/>
      <c r="U12" s="1"/>
      <c r="V12" s="1"/>
      <c r="W12" s="1"/>
    </row>
    <row r="13" spans="1:23" ht="23" customHeight="1">
      <c r="A13" s="1"/>
      <c r="B13" s="1"/>
      <c r="C13" s="1"/>
      <c r="D13" s="1"/>
      <c r="E13" s="1"/>
      <c r="F13" s="1"/>
      <c r="G13" s="1"/>
      <c r="H13" s="1"/>
      <c r="I13" s="1"/>
      <c r="J13" s="1"/>
      <c r="K13" s="1"/>
      <c r="L13" s="1"/>
      <c r="M13" s="1"/>
      <c r="N13" s="1"/>
      <c r="O13" s="1"/>
      <c r="P13" s="1"/>
      <c r="Q13" s="1"/>
      <c r="R13" s="1"/>
      <c r="S13" s="1"/>
      <c r="T13" s="1"/>
      <c r="U13" s="1"/>
      <c r="V13" s="1"/>
      <c r="W13" s="1"/>
    </row>
    <row r="14" spans="1:23" ht="23" customHeight="1">
      <c r="A14" s="1"/>
      <c r="B14" s="1"/>
      <c r="C14" s="1"/>
      <c r="D14" s="1"/>
      <c r="E14" s="1"/>
      <c r="F14" s="1"/>
      <c r="G14" s="1"/>
      <c r="H14" s="1"/>
      <c r="I14" s="1"/>
      <c r="J14" s="1"/>
      <c r="K14" s="1"/>
      <c r="L14" s="1"/>
      <c r="M14" s="1"/>
      <c r="N14" s="1"/>
      <c r="O14" s="1"/>
      <c r="P14" s="1"/>
      <c r="Q14" s="1"/>
      <c r="R14" s="1"/>
      <c r="S14" s="1"/>
      <c r="T14" s="1"/>
      <c r="U14" s="1"/>
      <c r="V14" s="1"/>
      <c r="W14" s="1"/>
    </row>
    <row r="15" spans="1:23" ht="32" customHeight="1">
      <c r="A15" s="1"/>
      <c r="B15" s="4" t="s">
        <v>133</v>
      </c>
      <c r="C15" s="4" t="s">
        <v>134</v>
      </c>
      <c r="D15" s="4" t="s">
        <v>135</v>
      </c>
      <c r="E15" s="1"/>
      <c r="F15" s="1"/>
      <c r="G15" s="1"/>
      <c r="H15" s="1"/>
      <c r="I15" s="1"/>
      <c r="J15" s="1"/>
      <c r="K15" s="1"/>
      <c r="L15" s="1"/>
      <c r="M15" s="1"/>
      <c r="N15" s="1"/>
      <c r="O15" s="1"/>
      <c r="P15" s="1"/>
      <c r="Q15" s="1"/>
      <c r="R15" s="1"/>
      <c r="S15" s="1"/>
      <c r="T15" s="1"/>
      <c r="U15" s="1"/>
      <c r="V15" s="1"/>
      <c r="W15" s="1"/>
    </row>
    <row r="16" spans="1:23" ht="23" customHeight="1">
      <c r="A16" s="1"/>
      <c r="B16" s="1" t="s">
        <v>136</v>
      </c>
      <c r="C16" s="11">
        <v>3714.1363295417</v>
      </c>
      <c r="D16" s="11">
        <v>4130.9404212682002</v>
      </c>
      <c r="E16" s="1"/>
      <c r="F16" s="1"/>
      <c r="G16" s="1"/>
      <c r="H16" s="1"/>
      <c r="I16" s="1"/>
      <c r="J16" s="1"/>
      <c r="K16" s="1"/>
      <c r="L16" s="1"/>
      <c r="M16" s="1"/>
      <c r="N16" s="1"/>
      <c r="O16" s="1"/>
      <c r="P16" s="1"/>
      <c r="Q16" s="1"/>
      <c r="R16" s="1"/>
      <c r="S16" s="1"/>
      <c r="T16" s="1"/>
      <c r="U16" s="1"/>
      <c r="V16" s="1"/>
      <c r="W16" s="1"/>
    </row>
    <row r="17" spans="1:23" ht="23" customHeight="1">
      <c r="A17" s="1"/>
      <c r="B17" s="1" t="s">
        <v>137</v>
      </c>
      <c r="C17" s="11">
        <v>2202.1253499391</v>
      </c>
      <c r="D17" s="11">
        <v>2556.5335887933002</v>
      </c>
      <c r="E17" s="1"/>
      <c r="F17" s="1"/>
      <c r="G17" s="1"/>
      <c r="H17" s="1"/>
      <c r="I17" s="1"/>
      <c r="J17" s="1"/>
      <c r="K17" s="1"/>
      <c r="L17" s="1"/>
      <c r="M17" s="1"/>
      <c r="N17" s="1"/>
      <c r="O17" s="1"/>
      <c r="P17" s="1"/>
      <c r="Q17" s="1"/>
      <c r="R17" s="1"/>
      <c r="S17" s="1"/>
      <c r="T17" s="1"/>
      <c r="U17" s="1"/>
      <c r="V17" s="1"/>
      <c r="W17" s="1"/>
    </row>
    <row r="18" spans="1:23" ht="23" customHeight="1">
      <c r="A18" s="1"/>
      <c r="B18" s="1" t="s">
        <v>93</v>
      </c>
      <c r="C18" s="11">
        <v>909.2637650982</v>
      </c>
      <c r="D18" s="11">
        <v>1072.2191034432999</v>
      </c>
      <c r="E18" s="1"/>
      <c r="F18" s="1"/>
      <c r="G18" s="1"/>
      <c r="H18" s="1"/>
      <c r="I18" s="1"/>
      <c r="J18" s="1"/>
      <c r="K18" s="1"/>
      <c r="L18" s="1"/>
      <c r="M18" s="1"/>
      <c r="N18" s="1"/>
      <c r="O18" s="1"/>
      <c r="P18" s="1"/>
      <c r="Q18" s="1"/>
      <c r="R18" s="1"/>
      <c r="S18" s="1"/>
      <c r="T18" s="1"/>
      <c r="U18" s="1"/>
      <c r="V18" s="1"/>
      <c r="W18" s="1"/>
    </row>
    <row r="19" spans="1:23" ht="23" customHeight="1">
      <c r="A19" s="1"/>
      <c r="B19" s="1" t="s">
        <v>138</v>
      </c>
      <c r="C19" s="11">
        <v>-2798.2733065796001</v>
      </c>
      <c r="D19" s="11">
        <v>-3662.674283927</v>
      </c>
      <c r="E19" s="1"/>
      <c r="F19" s="1"/>
      <c r="G19" s="1"/>
      <c r="H19" s="1"/>
      <c r="I19" s="1"/>
      <c r="J19" s="1"/>
      <c r="K19" s="1"/>
      <c r="L19" s="1"/>
      <c r="M19" s="1"/>
      <c r="N19" s="1"/>
      <c r="O19" s="1"/>
      <c r="P19" s="1"/>
      <c r="Q19" s="1"/>
      <c r="R19" s="1"/>
      <c r="S19" s="1"/>
      <c r="T19" s="1"/>
      <c r="U19" s="1"/>
      <c r="V19" s="1"/>
      <c r="W19" s="1"/>
    </row>
    <row r="20" spans="1:23" ht="23" customHeight="1">
      <c r="A20" s="1"/>
      <c r="B20" s="1" t="s">
        <v>139</v>
      </c>
      <c r="C20" s="9">
        <f>SUM(C16:C19)</f>
        <v>4027.2521379993996</v>
      </c>
      <c r="D20" s="9">
        <f>SUM(D16:D19)</f>
        <v>4097.0188295777998</v>
      </c>
      <c r="E20" s="1"/>
      <c r="F20" s="1"/>
      <c r="G20" s="1"/>
      <c r="H20" s="1"/>
      <c r="I20" s="1"/>
      <c r="J20" s="1"/>
      <c r="K20" s="1"/>
      <c r="L20" s="1"/>
      <c r="M20" s="1"/>
      <c r="N20" s="1"/>
      <c r="O20" s="1"/>
      <c r="P20" s="1"/>
      <c r="Q20" s="1"/>
      <c r="R20" s="1"/>
      <c r="S20" s="1"/>
      <c r="T20" s="1"/>
      <c r="U20" s="1"/>
      <c r="V20" s="1"/>
      <c r="W20" s="1"/>
    </row>
    <row r="21" spans="1:23" ht="23" customHeight="1">
      <c r="A21" s="1"/>
      <c r="B21" s="1"/>
      <c r="C21" s="1"/>
      <c r="D21" s="1"/>
      <c r="E21" s="1"/>
      <c r="F21" s="1"/>
      <c r="G21" s="1"/>
      <c r="H21" s="1"/>
      <c r="I21" s="1"/>
      <c r="J21" s="1"/>
      <c r="K21" s="1"/>
      <c r="L21" s="1"/>
      <c r="M21" s="1"/>
      <c r="N21" s="1"/>
      <c r="O21" s="1"/>
      <c r="P21" s="1"/>
      <c r="Q21" s="1"/>
      <c r="R21" s="1"/>
      <c r="S21" s="1"/>
      <c r="T21" s="1"/>
      <c r="U21" s="1"/>
      <c r="V21" s="1"/>
      <c r="W21" s="1"/>
    </row>
    <row r="22" spans="1:23" ht="23" customHeight="1">
      <c r="A22" s="1"/>
      <c r="B22" s="42" t="s">
        <v>140</v>
      </c>
      <c r="C22" s="42"/>
      <c r="D22" s="42"/>
      <c r="E22" s="42"/>
      <c r="F22" s="42"/>
      <c r="G22" s="1"/>
      <c r="H22" s="1"/>
      <c r="I22" s="1"/>
      <c r="J22" s="1"/>
      <c r="K22" s="1"/>
      <c r="L22" s="1"/>
      <c r="M22" s="1"/>
      <c r="N22" s="1"/>
      <c r="O22" s="1"/>
      <c r="P22" s="1"/>
      <c r="Q22" s="1"/>
      <c r="R22" s="1"/>
      <c r="S22" s="1"/>
      <c r="T22" s="1"/>
      <c r="U22" s="1"/>
      <c r="V22" s="1"/>
      <c r="W22" s="1"/>
    </row>
    <row r="23" spans="1:23" ht="23" customHeight="1">
      <c r="A23" s="1"/>
      <c r="B23" s="42"/>
      <c r="C23" s="42"/>
      <c r="D23" s="42"/>
      <c r="E23" s="42"/>
      <c r="F23" s="42"/>
      <c r="G23" s="1"/>
      <c r="H23" s="1"/>
      <c r="I23" s="1"/>
      <c r="J23" s="1"/>
      <c r="K23" s="1"/>
      <c r="L23" s="1"/>
      <c r="M23" s="1"/>
      <c r="N23" s="1"/>
      <c r="O23" s="1"/>
      <c r="P23" s="1"/>
      <c r="Q23" s="1"/>
      <c r="R23" s="1"/>
      <c r="S23" s="1"/>
      <c r="T23" s="1"/>
      <c r="U23" s="1"/>
      <c r="V23" s="1"/>
      <c r="W23" s="1"/>
    </row>
    <row r="24" spans="1:23" ht="23" customHeight="1">
      <c r="A24" s="1"/>
      <c r="B24" s="42"/>
      <c r="C24" s="42"/>
      <c r="D24" s="42"/>
      <c r="E24" s="42"/>
      <c r="F24" s="42"/>
      <c r="G24" s="1"/>
      <c r="H24" s="1"/>
      <c r="I24" s="1"/>
      <c r="J24" s="1"/>
      <c r="K24" s="1"/>
      <c r="L24" s="1"/>
      <c r="M24" s="1"/>
      <c r="N24" s="1"/>
      <c r="O24" s="1"/>
      <c r="P24" s="1"/>
      <c r="Q24" s="1"/>
      <c r="R24" s="1"/>
      <c r="S24" s="1"/>
      <c r="T24" s="1"/>
      <c r="U24" s="1"/>
      <c r="V24" s="1"/>
      <c r="W24" s="1"/>
    </row>
    <row r="25" spans="1:23" ht="23" customHeight="1">
      <c r="A25" s="1"/>
      <c r="B25" s="42"/>
      <c r="C25" s="42"/>
      <c r="D25" s="42"/>
      <c r="E25" s="42"/>
      <c r="F25" s="42"/>
      <c r="G25" s="1"/>
      <c r="H25" s="1"/>
      <c r="I25" s="1"/>
      <c r="J25" s="1"/>
      <c r="K25" s="1"/>
      <c r="L25" s="1"/>
      <c r="M25" s="1"/>
      <c r="N25" s="1"/>
      <c r="O25" s="1"/>
      <c r="P25" s="1"/>
      <c r="Q25" s="1"/>
      <c r="R25" s="1"/>
      <c r="S25" s="1"/>
      <c r="T25" s="1"/>
      <c r="U25" s="1"/>
      <c r="V25" s="1"/>
      <c r="W25" s="1"/>
    </row>
    <row r="26" spans="1:23" ht="23" customHeight="1">
      <c r="A26" s="1"/>
      <c r="B26" s="1"/>
      <c r="C26" s="1"/>
      <c r="D26" s="1"/>
      <c r="E26" s="1"/>
      <c r="F26" s="1"/>
      <c r="G26" s="1"/>
      <c r="H26" s="1"/>
      <c r="I26" s="1"/>
      <c r="J26" s="1"/>
      <c r="K26" s="1"/>
      <c r="L26" s="1"/>
      <c r="M26" s="1"/>
      <c r="N26" s="1"/>
      <c r="O26" s="1"/>
      <c r="P26" s="1"/>
      <c r="Q26" s="1"/>
      <c r="R26" s="1"/>
      <c r="S26" s="1"/>
      <c r="T26" s="1"/>
      <c r="U26" s="1"/>
      <c r="V26" s="1"/>
      <c r="W26" s="1"/>
    </row>
    <row r="27" spans="1:23" ht="23" customHeight="1">
      <c r="A27" s="1"/>
      <c r="B27" s="42" t="s">
        <v>141</v>
      </c>
      <c r="C27" s="42"/>
      <c r="D27" s="42"/>
      <c r="E27" s="42"/>
      <c r="F27" s="42"/>
      <c r="G27" s="1"/>
      <c r="H27" s="1"/>
      <c r="I27" s="1"/>
      <c r="J27" s="1"/>
      <c r="K27" s="1"/>
      <c r="L27" s="1"/>
      <c r="M27" s="1"/>
      <c r="N27" s="1"/>
      <c r="O27" s="1"/>
      <c r="P27" s="1"/>
      <c r="Q27" s="1"/>
      <c r="R27" s="1"/>
      <c r="S27" s="1"/>
      <c r="T27" s="1"/>
      <c r="U27" s="1"/>
      <c r="V27" s="1"/>
      <c r="W27" s="1"/>
    </row>
    <row r="28" spans="1:23" ht="23" customHeight="1">
      <c r="A28" s="1"/>
      <c r="B28" s="42"/>
      <c r="C28" s="42"/>
      <c r="D28" s="42"/>
      <c r="E28" s="42"/>
      <c r="F28" s="42"/>
      <c r="G28" s="1"/>
      <c r="H28" s="1"/>
      <c r="I28" s="1"/>
      <c r="J28" s="1"/>
      <c r="K28" s="1"/>
      <c r="L28" s="1"/>
      <c r="M28" s="1"/>
      <c r="N28" s="1"/>
      <c r="O28" s="1"/>
      <c r="P28" s="1"/>
      <c r="Q28" s="1"/>
      <c r="R28" s="1"/>
      <c r="S28" s="1"/>
      <c r="T28" s="1"/>
      <c r="U28" s="1"/>
      <c r="V28" s="1"/>
      <c r="W28" s="1"/>
    </row>
    <row r="29" spans="1:23" ht="23" customHeight="1">
      <c r="A29" s="1"/>
      <c r="B29" s="42"/>
      <c r="C29" s="42"/>
      <c r="D29" s="42"/>
      <c r="E29" s="42"/>
      <c r="F29" s="42"/>
      <c r="G29" s="1"/>
      <c r="H29" s="1"/>
      <c r="I29" s="1"/>
      <c r="J29" s="1"/>
      <c r="K29" s="1"/>
      <c r="L29" s="1"/>
      <c r="M29" s="1"/>
      <c r="N29" s="1"/>
      <c r="O29" s="1"/>
      <c r="P29" s="1"/>
      <c r="Q29" s="1"/>
      <c r="R29" s="1"/>
      <c r="S29" s="1"/>
      <c r="T29" s="1"/>
      <c r="U29" s="1"/>
      <c r="V29" s="1"/>
      <c r="W29" s="1"/>
    </row>
    <row r="30" spans="1:23" ht="23" customHeight="1">
      <c r="A30" s="1"/>
      <c r="B30" s="42"/>
      <c r="C30" s="42"/>
      <c r="D30" s="42"/>
      <c r="E30" s="42"/>
      <c r="F30" s="42"/>
      <c r="G30" s="1"/>
      <c r="H30" s="1"/>
      <c r="I30" s="1"/>
      <c r="J30" s="1"/>
      <c r="K30" s="1"/>
      <c r="L30" s="1"/>
      <c r="M30" s="1"/>
      <c r="N30" s="1"/>
      <c r="O30" s="1"/>
      <c r="P30" s="1"/>
      <c r="Q30" s="1"/>
      <c r="R30" s="1"/>
      <c r="S30" s="1"/>
      <c r="T30" s="1"/>
      <c r="U30" s="1"/>
      <c r="V30" s="1"/>
      <c r="W30" s="1"/>
    </row>
    <row r="31" spans="1:23" ht="23" customHeight="1">
      <c r="A31" s="1"/>
      <c r="B31" s="1"/>
      <c r="C31" s="1"/>
      <c r="D31" s="1"/>
      <c r="E31" s="1"/>
      <c r="F31" s="1"/>
      <c r="G31" s="1"/>
      <c r="H31" s="1"/>
      <c r="I31" s="1"/>
      <c r="J31" s="1"/>
      <c r="K31" s="1"/>
      <c r="L31" s="1"/>
      <c r="M31" s="1"/>
      <c r="N31" s="1"/>
      <c r="O31" s="1"/>
      <c r="P31" s="1"/>
      <c r="Q31" s="1"/>
      <c r="R31" s="1"/>
      <c r="S31" s="1"/>
      <c r="T31" s="1"/>
      <c r="U31" s="1"/>
      <c r="V31" s="1"/>
      <c r="W31" s="1"/>
    </row>
    <row r="32" spans="1:23" ht="23" customHeight="1">
      <c r="A32" s="1"/>
      <c r="B32" s="1"/>
      <c r="C32" s="1"/>
      <c r="D32" s="1"/>
      <c r="E32" s="1"/>
      <c r="F32" s="1"/>
      <c r="G32" s="1"/>
      <c r="H32" s="1"/>
      <c r="I32" s="1"/>
      <c r="J32" s="1"/>
      <c r="K32" s="1"/>
      <c r="L32" s="1"/>
      <c r="M32" s="1"/>
      <c r="N32" s="1"/>
      <c r="O32" s="1"/>
      <c r="P32" s="1"/>
      <c r="Q32" s="1"/>
      <c r="R32" s="1"/>
      <c r="S32" s="1"/>
      <c r="T32" s="1"/>
      <c r="U32" s="1"/>
      <c r="V32" s="1"/>
      <c r="W32" s="1"/>
    </row>
    <row r="33" spans="1:23" ht="23" customHeight="1">
      <c r="A33" s="1"/>
      <c r="B33" s="1"/>
      <c r="C33" s="1"/>
      <c r="D33" s="1"/>
      <c r="E33" s="1"/>
      <c r="F33" s="1"/>
      <c r="G33" s="1"/>
      <c r="H33" s="1"/>
      <c r="I33" s="1"/>
      <c r="J33" s="1"/>
      <c r="K33" s="1"/>
      <c r="L33" s="1"/>
      <c r="M33" s="1"/>
      <c r="N33" s="1"/>
      <c r="O33" s="1"/>
      <c r="P33" s="1"/>
      <c r="Q33" s="1"/>
      <c r="R33" s="1"/>
      <c r="S33" s="1"/>
      <c r="T33" s="1"/>
      <c r="U33" s="1"/>
      <c r="V33" s="1"/>
      <c r="W33" s="1"/>
    </row>
    <row r="34" spans="1:23" ht="32" customHeight="1">
      <c r="A34" s="1"/>
      <c r="B34" s="4" t="s">
        <v>142</v>
      </c>
      <c r="C34" s="4" t="s">
        <v>143</v>
      </c>
      <c r="D34" s="4" t="s">
        <v>144</v>
      </c>
      <c r="E34" s="4" t="s">
        <v>145</v>
      </c>
      <c r="F34" s="4" t="s">
        <v>146</v>
      </c>
      <c r="G34" s="1"/>
      <c r="H34" s="1"/>
      <c r="I34" s="1"/>
      <c r="J34" s="1"/>
      <c r="K34" s="1"/>
      <c r="L34" s="1"/>
      <c r="M34" s="1"/>
      <c r="N34" s="1"/>
      <c r="O34" s="1"/>
      <c r="P34" s="1"/>
      <c r="Q34" s="1"/>
      <c r="R34" s="1"/>
      <c r="S34" s="1"/>
      <c r="T34" s="1"/>
      <c r="U34" s="1"/>
      <c r="V34" s="1"/>
      <c r="W34" s="1"/>
    </row>
    <row r="35" spans="1:23" ht="23" customHeight="1">
      <c r="A35" s="1"/>
      <c r="B35" s="1" t="s">
        <v>147</v>
      </c>
      <c r="C35" s="11">
        <v>13.192817718600001</v>
      </c>
      <c r="D35" s="11">
        <v>15.451655600200001</v>
      </c>
      <c r="E35" s="11">
        <v>3.0464342493999998</v>
      </c>
      <c r="F35" s="11">
        <v>31.6909075682</v>
      </c>
      <c r="G35" s="1"/>
      <c r="H35" s="1"/>
      <c r="I35" s="1"/>
      <c r="J35" s="1"/>
      <c r="K35" s="1"/>
      <c r="L35" s="1"/>
      <c r="M35" s="1"/>
      <c r="N35" s="1"/>
      <c r="O35" s="1"/>
      <c r="P35" s="1"/>
      <c r="Q35" s="1"/>
      <c r="R35" s="1"/>
      <c r="S35" s="1"/>
      <c r="T35" s="1"/>
      <c r="U35" s="1"/>
      <c r="V35" s="1"/>
      <c r="W35" s="1"/>
    </row>
    <row r="36" spans="1:23" ht="23" customHeight="1">
      <c r="A36" s="1"/>
      <c r="B36" s="1" t="s">
        <v>148</v>
      </c>
      <c r="C36" s="11">
        <v>-59.3415402296</v>
      </c>
      <c r="D36" s="11">
        <v>-19.142361594299999</v>
      </c>
      <c r="E36" s="11">
        <v>-4.2219805289999996</v>
      </c>
      <c r="F36" s="11">
        <v>-82.705882352900005</v>
      </c>
      <c r="G36" s="1"/>
      <c r="H36" s="1"/>
      <c r="I36" s="1"/>
      <c r="J36" s="1"/>
      <c r="K36" s="1"/>
      <c r="L36" s="1"/>
      <c r="M36" s="1"/>
      <c r="N36" s="1"/>
      <c r="O36" s="1"/>
      <c r="P36" s="1"/>
      <c r="Q36" s="1"/>
      <c r="R36" s="1"/>
      <c r="S36" s="1"/>
      <c r="T36" s="1"/>
      <c r="U36" s="1"/>
      <c r="V36" s="1"/>
      <c r="W36" s="1"/>
    </row>
    <row r="37" spans="1:23" ht="23" customHeight="1">
      <c r="A37" s="1"/>
      <c r="B37" s="1" t="s">
        <v>149</v>
      </c>
      <c r="C37" s="11">
        <v>27.9883699825</v>
      </c>
      <c r="D37" s="11">
        <v>-37.015161396000003</v>
      </c>
      <c r="E37" s="11">
        <v>36.850076497499998</v>
      </c>
      <c r="F37" s="11">
        <v>27.8232850839</v>
      </c>
      <c r="G37" s="1"/>
      <c r="H37" s="1"/>
      <c r="I37" s="1"/>
      <c r="J37" s="1"/>
      <c r="K37" s="1"/>
      <c r="L37" s="1"/>
      <c r="M37" s="1"/>
      <c r="N37" s="1"/>
      <c r="O37" s="1"/>
      <c r="P37" s="1"/>
      <c r="Q37" s="1"/>
      <c r="R37" s="1"/>
      <c r="S37" s="1"/>
      <c r="T37" s="1"/>
      <c r="U37" s="1"/>
      <c r="V37" s="1"/>
      <c r="W37" s="1"/>
    </row>
    <row r="38" spans="1:23" ht="23" customHeight="1">
      <c r="A38" s="1"/>
      <c r="B38" s="1" t="s">
        <v>150</v>
      </c>
      <c r="C38" s="11">
        <v>46.462362034900003</v>
      </c>
      <c r="D38" s="11">
        <v>64.504333021099995</v>
      </c>
      <c r="E38" s="11">
        <v>-30.5661435102</v>
      </c>
      <c r="F38" s="11">
        <v>80.400551545699997</v>
      </c>
      <c r="G38" s="1"/>
      <c r="H38" s="1"/>
      <c r="I38" s="1"/>
      <c r="J38" s="1"/>
      <c r="K38" s="1"/>
      <c r="L38" s="1"/>
      <c r="M38" s="1"/>
      <c r="N38" s="1"/>
      <c r="O38" s="1"/>
      <c r="P38" s="1"/>
      <c r="Q38" s="1"/>
      <c r="R38" s="1"/>
      <c r="S38" s="1"/>
      <c r="T38" s="1"/>
      <c r="U38" s="1"/>
      <c r="V38" s="1"/>
      <c r="W38" s="1"/>
    </row>
    <row r="39" spans="1:23" ht="23" customHeight="1">
      <c r="A39" s="1"/>
      <c r="B39" s="1" t="s">
        <v>151</v>
      </c>
      <c r="C39" s="11">
        <v>27.246120700999999</v>
      </c>
      <c r="D39" s="11">
        <v>52.698124329300001</v>
      </c>
      <c r="E39" s="11">
        <v>-60.939074972100002</v>
      </c>
      <c r="F39" s="11">
        <v>19.005170058200001</v>
      </c>
      <c r="G39" s="1"/>
      <c r="H39" s="1"/>
      <c r="I39" s="1"/>
      <c r="J39" s="1"/>
      <c r="K39" s="1"/>
      <c r="L39" s="1"/>
      <c r="M39" s="1"/>
      <c r="N39" s="1"/>
      <c r="O39" s="1"/>
      <c r="P39" s="1"/>
      <c r="Q39" s="1"/>
      <c r="R39" s="1"/>
      <c r="S39" s="1"/>
      <c r="T39" s="1"/>
      <c r="U39" s="1"/>
      <c r="V39" s="1"/>
      <c r="W39" s="1"/>
    </row>
    <row r="40" spans="1:23" ht="23" customHeight="1">
      <c r="A40" s="1"/>
      <c r="B40" s="1" t="s">
        <v>152</v>
      </c>
      <c r="C40" s="11">
        <v>16.537767002399999</v>
      </c>
      <c r="D40" s="11">
        <v>-45.053541878399997</v>
      </c>
      <c r="E40" s="11">
        <v>3.6538716606000001</v>
      </c>
      <c r="F40" s="11">
        <v>-24.861903215400002</v>
      </c>
      <c r="G40" s="1"/>
      <c r="H40" s="1"/>
      <c r="I40" s="1"/>
      <c r="J40" s="1"/>
      <c r="K40" s="1"/>
      <c r="L40" s="1"/>
      <c r="M40" s="1"/>
      <c r="N40" s="1"/>
      <c r="O40" s="1"/>
      <c r="P40" s="1"/>
      <c r="Q40" s="1"/>
      <c r="R40" s="1"/>
      <c r="S40" s="1"/>
      <c r="T40" s="1"/>
      <c r="U40" s="1"/>
      <c r="V40" s="1"/>
      <c r="W40" s="1"/>
    </row>
    <row r="41" spans="1:23" ht="23" customHeight="1">
      <c r="A41" s="1"/>
      <c r="B41" s="1" t="s">
        <v>153</v>
      </c>
      <c r="C41" s="11">
        <v>-47.590074061899998</v>
      </c>
      <c r="D41" s="11">
        <v>106.35656041129999</v>
      </c>
      <c r="E41" s="11">
        <v>-33.986140814999999</v>
      </c>
      <c r="F41" s="11">
        <v>24.780345534399999</v>
      </c>
      <c r="G41" s="1"/>
      <c r="H41" s="1"/>
      <c r="I41" s="1"/>
      <c r="J41" s="1"/>
      <c r="K41" s="1"/>
      <c r="L41" s="1"/>
      <c r="M41" s="1"/>
      <c r="N41" s="1"/>
      <c r="O41" s="1"/>
      <c r="P41" s="1"/>
      <c r="Q41" s="1"/>
      <c r="R41" s="1"/>
      <c r="S41" s="1"/>
      <c r="T41" s="1"/>
      <c r="U41" s="1"/>
      <c r="V41" s="1"/>
      <c r="W41" s="1"/>
    </row>
    <row r="42" spans="1:23" ht="23" customHeight="1">
      <c r="A42" s="1"/>
      <c r="B42" s="1" t="s">
        <v>154</v>
      </c>
      <c r="C42" s="11">
        <v>135.04180748600001</v>
      </c>
      <c r="D42" s="11">
        <v>-63.0861982793</v>
      </c>
      <c r="E42" s="11">
        <v>7.3647203435000002</v>
      </c>
      <c r="F42" s="11">
        <v>79.320329550300002</v>
      </c>
      <c r="G42" s="1"/>
      <c r="H42" s="1"/>
      <c r="I42" s="1"/>
      <c r="J42" s="1"/>
      <c r="K42" s="1"/>
      <c r="L42" s="1"/>
      <c r="M42" s="1"/>
      <c r="N42" s="1"/>
      <c r="O42" s="1"/>
      <c r="P42" s="1"/>
      <c r="Q42" s="1"/>
      <c r="R42" s="1"/>
      <c r="S42" s="1"/>
      <c r="T42" s="1"/>
      <c r="U42" s="1"/>
      <c r="V42" s="1"/>
      <c r="W42" s="1"/>
    </row>
    <row r="43" spans="1:23" ht="23" customHeight="1">
      <c r="A43" s="1"/>
      <c r="B43" s="1" t="s">
        <v>155</v>
      </c>
      <c r="C43" s="11">
        <v>-92.677403733299997</v>
      </c>
      <c r="D43" s="11">
        <v>20.045838560699998</v>
      </c>
      <c r="E43" s="11">
        <v>-46.729603418499998</v>
      </c>
      <c r="F43" s="11">
        <v>-119.36116859099999</v>
      </c>
      <c r="G43" s="1"/>
      <c r="H43" s="1"/>
      <c r="I43" s="1"/>
      <c r="J43" s="1"/>
      <c r="K43" s="1"/>
      <c r="L43" s="1"/>
      <c r="M43" s="1"/>
      <c r="N43" s="1"/>
      <c r="O43" s="1"/>
      <c r="P43" s="1"/>
      <c r="Q43" s="1"/>
      <c r="R43" s="1"/>
      <c r="S43" s="1"/>
      <c r="T43" s="1"/>
      <c r="U43" s="1"/>
      <c r="V43" s="1"/>
      <c r="W43" s="1"/>
    </row>
    <row r="44" spans="1:23" ht="23" customHeight="1">
      <c r="A44" s="1"/>
      <c r="B44" s="1" t="s">
        <v>156</v>
      </c>
      <c r="C44" s="11">
        <v>-48.272231934200001</v>
      </c>
      <c r="D44" s="11">
        <v>-13.1144045057</v>
      </c>
      <c r="E44" s="11">
        <v>34.211188528199997</v>
      </c>
      <c r="F44" s="11">
        <v>-27.175447911700001</v>
      </c>
      <c r="G44" s="1"/>
      <c r="H44" s="1"/>
      <c r="I44" s="1"/>
      <c r="J44" s="1"/>
      <c r="K44" s="1"/>
      <c r="L44" s="1"/>
      <c r="M44" s="1"/>
      <c r="N44" s="1"/>
      <c r="O44" s="1"/>
      <c r="P44" s="1"/>
      <c r="Q44" s="1"/>
      <c r="R44" s="1"/>
      <c r="S44" s="1"/>
      <c r="T44" s="1"/>
      <c r="U44" s="1"/>
      <c r="V44" s="1"/>
      <c r="W44" s="1"/>
    </row>
    <row r="45" spans="1:23" ht="23" customHeight="1">
      <c r="A45" s="1"/>
      <c r="B45" s="1" t="s">
        <v>82</v>
      </c>
      <c r="C45" s="11">
        <v>-28.752517673300002</v>
      </c>
      <c r="D45" s="11">
        <v>22.439728018099999</v>
      </c>
      <c r="E45" s="11">
        <v>16.516368497399998</v>
      </c>
      <c r="F45" s="11">
        <v>10.203578842200001</v>
      </c>
      <c r="G45" s="1"/>
      <c r="H45" s="1"/>
      <c r="I45" s="1"/>
      <c r="J45" s="1"/>
      <c r="K45" s="1"/>
      <c r="L45" s="1"/>
      <c r="M45" s="1"/>
      <c r="N45" s="1"/>
      <c r="O45" s="1"/>
      <c r="P45" s="1"/>
      <c r="Q45" s="1"/>
      <c r="R45" s="1"/>
      <c r="S45" s="1"/>
      <c r="T45" s="1"/>
      <c r="U45" s="1"/>
      <c r="V45" s="1"/>
      <c r="W45" s="1"/>
    </row>
    <row r="46" spans="1:23" ht="23" customHeight="1">
      <c r="A46" s="1"/>
      <c r="B46" s="1" t="s">
        <v>86</v>
      </c>
      <c r="C46" s="11">
        <v>-72.364976353100005</v>
      </c>
      <c r="D46" s="11">
        <v>-0.89837335910000005</v>
      </c>
      <c r="E46" s="11">
        <v>-31.013073203800001</v>
      </c>
      <c r="F46" s="11">
        <v>-104.276422916</v>
      </c>
      <c r="G46" s="1"/>
      <c r="H46" s="1"/>
      <c r="I46" s="1"/>
      <c r="J46" s="1"/>
      <c r="K46" s="1"/>
      <c r="L46" s="1"/>
      <c r="M46" s="1"/>
      <c r="N46" s="1"/>
      <c r="O46" s="1"/>
      <c r="P46" s="1"/>
      <c r="Q46" s="1"/>
      <c r="R46" s="1"/>
      <c r="S46" s="1"/>
      <c r="T46" s="1"/>
      <c r="U46" s="1"/>
      <c r="V46" s="1"/>
      <c r="W46" s="1"/>
    </row>
    <row r="47" spans="1:23" ht="23" customHeight="1">
      <c r="A47" s="1"/>
      <c r="B47" s="1"/>
      <c r="C47" s="1"/>
      <c r="D47" s="1"/>
      <c r="E47" s="1"/>
      <c r="F47" s="1"/>
      <c r="G47" s="1"/>
      <c r="H47" s="1"/>
      <c r="I47" s="1"/>
      <c r="J47" s="1"/>
      <c r="K47" s="1"/>
      <c r="L47" s="1"/>
      <c r="M47" s="1"/>
      <c r="N47" s="1"/>
      <c r="O47" s="1"/>
      <c r="P47" s="1"/>
      <c r="Q47" s="1"/>
      <c r="R47" s="1"/>
      <c r="S47" s="1"/>
      <c r="T47" s="1"/>
      <c r="U47" s="1"/>
      <c r="V47" s="1"/>
      <c r="W47" s="1"/>
    </row>
    <row r="48" spans="1:23" ht="23" customHeight="1">
      <c r="A48" s="1"/>
      <c r="B48" s="1"/>
      <c r="C48" s="1"/>
      <c r="D48" s="1"/>
      <c r="E48" s="1"/>
      <c r="F48" s="1"/>
      <c r="G48" s="1"/>
      <c r="H48" s="1"/>
      <c r="I48" s="1"/>
      <c r="J48" s="1"/>
      <c r="K48" s="1"/>
      <c r="L48" s="1"/>
      <c r="M48" s="1"/>
      <c r="N48" s="1"/>
      <c r="O48" s="1"/>
      <c r="P48" s="1"/>
      <c r="Q48" s="1"/>
      <c r="R48" s="1"/>
      <c r="S48" s="1"/>
      <c r="T48" s="1"/>
      <c r="U48" s="1"/>
      <c r="V48" s="1"/>
      <c r="W48" s="1"/>
    </row>
    <row r="49" spans="1:23" ht="23" customHeight="1">
      <c r="A49" s="1"/>
      <c r="B49" s="1" t="s">
        <v>157</v>
      </c>
      <c r="C49" s="1"/>
      <c r="D49" s="1"/>
      <c r="E49" s="1"/>
      <c r="F49" s="1"/>
      <c r="G49" s="1"/>
      <c r="H49" s="1"/>
      <c r="I49" s="1"/>
      <c r="J49" s="1"/>
      <c r="K49" s="1"/>
      <c r="L49" s="1"/>
      <c r="M49" s="1"/>
      <c r="N49" s="1"/>
      <c r="O49" s="1"/>
      <c r="P49" s="1"/>
      <c r="Q49" s="1"/>
      <c r="R49" s="1"/>
      <c r="S49" s="1"/>
      <c r="T49" s="1"/>
      <c r="U49" s="1"/>
      <c r="V49" s="1"/>
      <c r="W49" s="1"/>
    </row>
    <row r="50" spans="1:23" ht="23" customHeight="1">
      <c r="A50" s="1"/>
      <c r="B50" s="1"/>
      <c r="C50" s="1"/>
      <c r="D50" s="1"/>
      <c r="E50" s="1"/>
      <c r="F50" s="1"/>
      <c r="G50" s="1"/>
      <c r="H50" s="1"/>
      <c r="I50" s="1"/>
      <c r="J50" s="1"/>
      <c r="K50" s="1"/>
      <c r="L50" s="1"/>
      <c r="M50" s="1"/>
      <c r="N50" s="1"/>
      <c r="O50" s="1"/>
      <c r="P50" s="1"/>
      <c r="Q50" s="1"/>
      <c r="R50" s="1"/>
      <c r="S50" s="1"/>
      <c r="T50" s="1"/>
      <c r="U50" s="1"/>
      <c r="V50" s="1"/>
      <c r="W50" s="1"/>
    </row>
    <row r="51" spans="1:23" ht="23" customHeight="1">
      <c r="A51" s="1"/>
      <c r="B51" s="42" t="s">
        <v>158</v>
      </c>
      <c r="C51" s="42"/>
      <c r="D51" s="42"/>
      <c r="E51" s="42"/>
      <c r="F51" s="42"/>
      <c r="G51" s="42"/>
      <c r="H51" s="42"/>
      <c r="I51" s="42"/>
      <c r="J51" s="42"/>
      <c r="K51" s="42"/>
      <c r="L51" s="42"/>
      <c r="M51" s="42"/>
      <c r="N51" s="42"/>
      <c r="O51" s="42"/>
      <c r="P51" s="1"/>
      <c r="Q51" s="1"/>
      <c r="R51" s="1"/>
      <c r="S51" s="1"/>
      <c r="T51" s="1"/>
      <c r="U51" s="1"/>
      <c r="V51" s="1"/>
      <c r="W51" s="1"/>
    </row>
    <row r="52" spans="1:23" ht="23" customHeight="1">
      <c r="A52" s="1"/>
      <c r="B52" s="42"/>
      <c r="C52" s="42"/>
      <c r="D52" s="42"/>
      <c r="E52" s="42"/>
      <c r="F52" s="42"/>
      <c r="G52" s="42"/>
      <c r="H52" s="42"/>
      <c r="I52" s="42"/>
      <c r="J52" s="42"/>
      <c r="K52" s="42"/>
      <c r="L52" s="42"/>
      <c r="M52" s="42"/>
      <c r="N52" s="42"/>
      <c r="O52" s="42"/>
      <c r="P52" s="1"/>
      <c r="Q52" s="1"/>
      <c r="R52" s="1"/>
      <c r="S52" s="1"/>
      <c r="T52" s="1"/>
      <c r="U52" s="1"/>
      <c r="V52" s="1"/>
      <c r="W52" s="1"/>
    </row>
    <row r="53" spans="1:23" ht="23" customHeight="1">
      <c r="A53" s="1"/>
      <c r="B53" s="42"/>
      <c r="C53" s="42"/>
      <c r="D53" s="42"/>
      <c r="E53" s="42"/>
      <c r="F53" s="42"/>
      <c r="G53" s="42"/>
      <c r="H53" s="42"/>
      <c r="I53" s="42"/>
      <c r="J53" s="42"/>
      <c r="K53" s="42"/>
      <c r="L53" s="42"/>
      <c r="M53" s="42"/>
      <c r="N53" s="42"/>
      <c r="O53" s="42"/>
      <c r="P53" s="1"/>
      <c r="Q53" s="1"/>
      <c r="R53" s="1"/>
      <c r="S53" s="1"/>
      <c r="T53" s="1"/>
      <c r="U53" s="1"/>
      <c r="V53" s="1"/>
      <c r="W53" s="1"/>
    </row>
    <row r="54" spans="1:23" ht="23" customHeight="1">
      <c r="A54" s="1"/>
      <c r="B54" s="1"/>
      <c r="C54" s="1"/>
      <c r="D54" s="1"/>
      <c r="E54" s="1"/>
      <c r="F54" s="1"/>
      <c r="G54" s="1"/>
      <c r="H54" s="1"/>
      <c r="I54" s="1"/>
      <c r="J54" s="1"/>
      <c r="K54" s="1"/>
      <c r="L54" s="1"/>
      <c r="M54" s="1"/>
      <c r="N54" s="1"/>
      <c r="O54" s="1"/>
      <c r="P54" s="1"/>
      <c r="Q54" s="1"/>
      <c r="R54" s="1"/>
      <c r="S54" s="1"/>
      <c r="T54" s="1"/>
      <c r="U54" s="1"/>
      <c r="V54" s="1"/>
      <c r="W54" s="1"/>
    </row>
    <row r="55" spans="1:23" ht="23" customHeight="1">
      <c r="A55" s="1"/>
      <c r="B55" s="1"/>
      <c r="C55" s="1"/>
      <c r="D55" s="1"/>
      <c r="E55" s="1"/>
      <c r="F55" s="1"/>
      <c r="G55" s="1"/>
      <c r="H55" s="1"/>
      <c r="I55" s="1"/>
      <c r="J55" s="1"/>
      <c r="K55" s="1"/>
      <c r="L55" s="1"/>
      <c r="M55" s="1"/>
      <c r="N55" s="1"/>
      <c r="O55" s="1"/>
      <c r="P55" s="1"/>
      <c r="Q55" s="1"/>
      <c r="R55" s="1"/>
      <c r="S55" s="1"/>
      <c r="T55" s="1"/>
      <c r="U55" s="1"/>
      <c r="V55" s="1"/>
      <c r="W55" s="1"/>
    </row>
    <row r="56" spans="1:23" ht="23" customHeight="1">
      <c r="A56" s="1"/>
      <c r="B56" s="1"/>
      <c r="C56" s="1"/>
      <c r="D56" s="1"/>
      <c r="E56" s="1"/>
      <c r="F56" s="1"/>
      <c r="G56" s="1"/>
      <c r="H56" s="1"/>
      <c r="I56" s="1"/>
      <c r="J56" s="1"/>
      <c r="K56" s="1"/>
      <c r="L56" s="1"/>
      <c r="M56" s="1"/>
      <c r="N56" s="1"/>
      <c r="O56" s="1"/>
      <c r="P56" s="1"/>
      <c r="Q56" s="1"/>
      <c r="R56" s="1"/>
      <c r="S56" s="1"/>
      <c r="T56" s="1"/>
      <c r="U56" s="1"/>
      <c r="V56" s="1"/>
      <c r="W56" s="1"/>
    </row>
    <row r="57" spans="1:23" ht="23" customHeight="1">
      <c r="A57" s="1"/>
      <c r="B57" s="1"/>
      <c r="C57" s="1"/>
      <c r="D57" s="1"/>
      <c r="E57" s="1"/>
      <c r="F57" s="1"/>
      <c r="G57" s="1"/>
      <c r="H57" s="1"/>
      <c r="I57" s="1"/>
      <c r="J57" s="1"/>
      <c r="K57" s="1"/>
      <c r="L57" s="1"/>
      <c r="M57" s="1"/>
      <c r="N57" s="1"/>
      <c r="O57" s="1"/>
      <c r="P57" s="1"/>
      <c r="Q57" s="1"/>
      <c r="R57" s="1"/>
      <c r="S57" s="1"/>
      <c r="T57" s="1"/>
      <c r="U57" s="1"/>
      <c r="V57" s="1"/>
      <c r="W57" s="1"/>
    </row>
    <row r="58" spans="1:23" ht="23" customHeight="1">
      <c r="A58" s="1"/>
      <c r="B58" s="1"/>
      <c r="C58" s="1"/>
      <c r="D58" s="1"/>
      <c r="E58" s="1"/>
      <c r="F58" s="1"/>
      <c r="G58" s="1"/>
      <c r="H58" s="1"/>
      <c r="I58" s="1"/>
      <c r="J58" s="1"/>
      <c r="K58" s="1"/>
      <c r="L58" s="1"/>
      <c r="M58" s="1"/>
      <c r="N58" s="1"/>
      <c r="O58" s="1"/>
      <c r="P58" s="1"/>
      <c r="Q58" s="1"/>
      <c r="R58" s="1"/>
      <c r="S58" s="1"/>
      <c r="T58" s="1"/>
      <c r="U58" s="1"/>
      <c r="V58" s="1"/>
      <c r="W58" s="1"/>
    </row>
    <row r="59" spans="1:23" ht="23" customHeight="1">
      <c r="A59" s="1"/>
      <c r="B59" s="1"/>
      <c r="C59" s="1"/>
      <c r="D59" s="1"/>
      <c r="E59" s="1"/>
      <c r="F59" s="1"/>
      <c r="G59" s="1"/>
      <c r="H59" s="1"/>
      <c r="I59" s="1"/>
      <c r="J59" s="1"/>
      <c r="K59" s="1"/>
      <c r="L59" s="1"/>
      <c r="M59" s="1"/>
      <c r="N59" s="1"/>
      <c r="O59" s="1"/>
      <c r="P59" s="1"/>
      <c r="Q59" s="1"/>
      <c r="R59" s="1"/>
      <c r="S59" s="1"/>
      <c r="T59" s="1"/>
      <c r="U59" s="1"/>
      <c r="V59" s="1"/>
      <c r="W59" s="1"/>
    </row>
    <row r="60" spans="1:23" ht="23" customHeight="1">
      <c r="A60" s="1"/>
      <c r="B60" s="1"/>
      <c r="C60" s="1"/>
      <c r="D60" s="1"/>
      <c r="E60" s="1"/>
      <c r="F60" s="1"/>
      <c r="G60" s="1"/>
      <c r="H60" s="1"/>
      <c r="I60" s="1"/>
      <c r="J60" s="1"/>
      <c r="K60" s="1"/>
      <c r="L60" s="1"/>
      <c r="M60" s="1"/>
      <c r="N60" s="1"/>
      <c r="O60" s="1"/>
      <c r="P60" s="1"/>
      <c r="Q60" s="1"/>
      <c r="R60" s="1"/>
      <c r="S60" s="1"/>
      <c r="T60" s="1"/>
      <c r="U60" s="1"/>
      <c r="V60" s="1"/>
      <c r="W60" s="1"/>
    </row>
    <row r="61" spans="1:23" ht="23" customHeight="1">
      <c r="A61" s="1"/>
      <c r="B61" s="1"/>
      <c r="C61" s="1"/>
      <c r="D61" s="1"/>
      <c r="E61" s="1"/>
      <c r="F61" s="1"/>
      <c r="G61" s="1"/>
      <c r="H61" s="1"/>
      <c r="I61" s="1"/>
      <c r="J61" s="1"/>
      <c r="K61" s="1"/>
      <c r="L61" s="1"/>
      <c r="M61" s="1"/>
      <c r="N61" s="1"/>
      <c r="O61" s="1"/>
      <c r="P61" s="1"/>
      <c r="Q61" s="1"/>
      <c r="R61" s="1"/>
      <c r="S61" s="1"/>
      <c r="T61" s="1"/>
      <c r="U61" s="1"/>
      <c r="V61" s="1"/>
      <c r="W61" s="1"/>
    </row>
    <row r="62" spans="1:23" ht="23" customHeight="1">
      <c r="A62" s="1"/>
      <c r="B62" s="1"/>
      <c r="C62" s="1"/>
      <c r="D62" s="1"/>
      <c r="E62" s="1"/>
      <c r="F62" s="1"/>
      <c r="G62" s="1"/>
      <c r="H62" s="1"/>
      <c r="I62" s="1"/>
      <c r="J62" s="1"/>
      <c r="K62" s="1"/>
      <c r="L62" s="1"/>
      <c r="M62" s="1"/>
      <c r="N62" s="1"/>
      <c r="O62" s="1"/>
      <c r="P62" s="1"/>
      <c r="Q62" s="1"/>
      <c r="R62" s="1"/>
      <c r="S62" s="1"/>
      <c r="T62" s="1"/>
      <c r="U62" s="1"/>
      <c r="V62" s="1"/>
      <c r="W62" s="1"/>
    </row>
    <row r="63" spans="1:23" ht="23" customHeight="1">
      <c r="A63" s="1"/>
      <c r="B63" s="1"/>
      <c r="C63" s="1"/>
      <c r="D63" s="1"/>
      <c r="E63" s="1"/>
      <c r="F63" s="1"/>
      <c r="G63" s="1"/>
      <c r="H63" s="1"/>
      <c r="I63" s="1"/>
      <c r="J63" s="1"/>
      <c r="K63" s="1"/>
      <c r="L63" s="1"/>
      <c r="M63" s="1"/>
      <c r="N63" s="1"/>
      <c r="O63" s="1"/>
      <c r="P63" s="1"/>
      <c r="Q63" s="1"/>
      <c r="R63" s="1"/>
      <c r="S63" s="1"/>
      <c r="T63" s="1"/>
      <c r="U63" s="1"/>
      <c r="V63" s="1"/>
      <c r="W63" s="1"/>
    </row>
    <row r="64" spans="1:23" ht="23" customHeight="1">
      <c r="A64" s="1"/>
      <c r="B64" s="1"/>
      <c r="C64" s="1"/>
      <c r="D64" s="1"/>
      <c r="E64" s="1"/>
      <c r="F64" s="1"/>
      <c r="G64" s="1"/>
      <c r="H64" s="1"/>
      <c r="I64" s="1"/>
      <c r="J64" s="1"/>
      <c r="K64" s="1"/>
      <c r="L64" s="1"/>
      <c r="M64" s="1"/>
      <c r="N64" s="1"/>
      <c r="O64" s="1"/>
      <c r="P64" s="1"/>
      <c r="Q64" s="1"/>
      <c r="R64" s="1"/>
      <c r="S64" s="1"/>
      <c r="T64" s="1"/>
      <c r="U64" s="1"/>
      <c r="V64" s="1"/>
      <c r="W64" s="1"/>
    </row>
    <row r="65" spans="1:23" ht="23" customHeight="1">
      <c r="A65" s="1"/>
      <c r="B65" s="1"/>
      <c r="C65" s="1"/>
      <c r="D65" s="1"/>
      <c r="E65" s="1"/>
      <c r="F65" s="1"/>
      <c r="G65" s="1"/>
      <c r="H65" s="1"/>
      <c r="I65" s="1"/>
      <c r="J65" s="1"/>
      <c r="K65" s="1"/>
      <c r="L65" s="1"/>
      <c r="M65" s="1"/>
      <c r="N65" s="1"/>
      <c r="O65" s="1"/>
      <c r="P65" s="1"/>
      <c r="Q65" s="1"/>
      <c r="R65" s="1"/>
      <c r="S65" s="1"/>
      <c r="T65" s="1"/>
      <c r="U65" s="1"/>
      <c r="V65" s="1"/>
      <c r="W65" s="1"/>
    </row>
    <row r="66" spans="1:23" ht="23" customHeight="1">
      <c r="A66" s="1"/>
      <c r="B66" s="1"/>
      <c r="C66" s="1"/>
      <c r="D66" s="1"/>
      <c r="E66" s="1"/>
      <c r="F66" s="1"/>
      <c r="G66" s="1"/>
      <c r="H66" s="1"/>
      <c r="I66" s="1"/>
      <c r="J66" s="1"/>
      <c r="K66" s="1"/>
      <c r="L66" s="1"/>
      <c r="M66" s="1"/>
      <c r="N66" s="1"/>
      <c r="O66" s="1"/>
      <c r="P66" s="1"/>
      <c r="Q66" s="1"/>
      <c r="R66" s="1"/>
      <c r="S66" s="1"/>
      <c r="T66" s="1"/>
      <c r="U66" s="1"/>
      <c r="V66" s="1"/>
      <c r="W66" s="1"/>
    </row>
    <row r="67" spans="1:23" ht="23" customHeight="1">
      <c r="A67" s="1"/>
      <c r="B67" s="1"/>
      <c r="C67" s="1"/>
      <c r="D67" s="1"/>
      <c r="E67" s="1"/>
      <c r="F67" s="1"/>
      <c r="G67" s="1"/>
      <c r="H67" s="1"/>
      <c r="I67" s="1"/>
      <c r="J67" s="1"/>
      <c r="K67" s="1"/>
      <c r="L67" s="1"/>
      <c r="M67" s="1"/>
      <c r="N67" s="1"/>
      <c r="O67" s="1"/>
      <c r="P67" s="1"/>
      <c r="Q67" s="1"/>
      <c r="R67" s="1"/>
      <c r="S67" s="1"/>
      <c r="T67" s="1"/>
      <c r="U67" s="1"/>
      <c r="V67" s="1"/>
      <c r="W67" s="1"/>
    </row>
    <row r="68" spans="1:23" ht="23" customHeight="1">
      <c r="A68" s="1"/>
      <c r="B68" s="1"/>
      <c r="C68" s="1"/>
      <c r="D68" s="1"/>
      <c r="E68" s="1"/>
      <c r="F68" s="1"/>
      <c r="G68" s="1"/>
      <c r="H68" s="1"/>
      <c r="I68" s="1"/>
      <c r="J68" s="1"/>
      <c r="K68" s="1"/>
      <c r="L68" s="1"/>
      <c r="M68" s="1"/>
      <c r="N68" s="1"/>
      <c r="O68" s="1"/>
      <c r="P68" s="1"/>
      <c r="Q68" s="1"/>
      <c r="R68" s="1"/>
      <c r="S68" s="1"/>
      <c r="T68" s="1"/>
      <c r="U68" s="1"/>
      <c r="V68" s="1"/>
      <c r="W68" s="1"/>
    </row>
    <row r="69" spans="1:23" ht="23" customHeight="1">
      <c r="A69" s="1"/>
      <c r="B69" s="1"/>
      <c r="C69" s="1"/>
      <c r="D69" s="1"/>
      <c r="E69" s="1"/>
      <c r="F69" s="1"/>
      <c r="G69" s="1"/>
      <c r="H69" s="1"/>
      <c r="I69" s="1"/>
      <c r="J69" s="1"/>
      <c r="K69" s="1"/>
      <c r="L69" s="1"/>
      <c r="M69" s="1"/>
      <c r="N69" s="1"/>
      <c r="O69" s="1"/>
      <c r="P69" s="1"/>
      <c r="Q69" s="1"/>
      <c r="R69" s="1"/>
      <c r="S69" s="1"/>
      <c r="T69" s="1"/>
      <c r="U69" s="1"/>
      <c r="V69" s="1"/>
      <c r="W69" s="1"/>
    </row>
    <row r="70" spans="1:23" ht="23" customHeight="1">
      <c r="A70" s="1"/>
      <c r="B70" s="1"/>
      <c r="C70" s="1"/>
      <c r="D70" s="1"/>
      <c r="E70" s="1"/>
      <c r="F70" s="1"/>
      <c r="G70" s="1"/>
      <c r="H70" s="1"/>
      <c r="I70" s="1"/>
      <c r="J70" s="1"/>
      <c r="K70" s="1"/>
      <c r="L70" s="1"/>
      <c r="M70" s="1"/>
      <c r="N70" s="1"/>
      <c r="O70" s="1"/>
      <c r="P70" s="1"/>
      <c r="Q70" s="1"/>
      <c r="R70" s="1"/>
      <c r="S70" s="1"/>
      <c r="T70" s="1"/>
      <c r="U70" s="1"/>
      <c r="V70" s="1"/>
      <c r="W70" s="1"/>
    </row>
    <row r="71" spans="1:23" ht="23" customHeight="1">
      <c r="A71" s="1"/>
      <c r="B71" s="1"/>
      <c r="C71" s="1"/>
      <c r="D71" s="1"/>
      <c r="E71" s="1"/>
      <c r="F71" s="1"/>
      <c r="G71" s="1"/>
      <c r="H71" s="1"/>
      <c r="I71" s="1"/>
      <c r="J71" s="1"/>
      <c r="K71" s="1"/>
      <c r="L71" s="1"/>
      <c r="M71" s="1"/>
      <c r="N71" s="1"/>
      <c r="O71" s="1"/>
      <c r="P71" s="1"/>
      <c r="Q71" s="1"/>
      <c r="R71" s="1"/>
      <c r="S71" s="1"/>
      <c r="T71" s="1"/>
      <c r="U71" s="1"/>
      <c r="V71" s="1"/>
      <c r="W71" s="1"/>
    </row>
    <row r="72" spans="1:23" ht="23" customHeight="1">
      <c r="A72" s="1"/>
      <c r="B72" s="1"/>
      <c r="C72" s="1"/>
      <c r="D72" s="1"/>
      <c r="E72" s="1"/>
      <c r="F72" s="1"/>
      <c r="G72" s="1"/>
      <c r="H72" s="1"/>
      <c r="I72" s="1"/>
      <c r="J72" s="1"/>
      <c r="K72" s="1"/>
      <c r="L72" s="1"/>
      <c r="M72" s="1"/>
      <c r="N72" s="1"/>
      <c r="O72" s="1"/>
      <c r="P72" s="1"/>
      <c r="Q72" s="1"/>
      <c r="R72" s="1"/>
      <c r="S72" s="1"/>
      <c r="T72" s="1"/>
      <c r="U72" s="1"/>
      <c r="V72" s="1"/>
      <c r="W72" s="1"/>
    </row>
    <row r="73" spans="1:23" ht="23" customHeight="1">
      <c r="A73" s="1"/>
      <c r="B73" s="1"/>
      <c r="C73" s="1"/>
      <c r="D73" s="1"/>
      <c r="E73" s="1"/>
      <c r="F73" s="1"/>
      <c r="G73" s="1"/>
      <c r="H73" s="1"/>
      <c r="I73" s="1"/>
      <c r="J73" s="1"/>
      <c r="K73" s="1"/>
      <c r="L73" s="1"/>
      <c r="M73" s="1"/>
      <c r="N73" s="1"/>
      <c r="O73" s="1"/>
      <c r="P73" s="1"/>
      <c r="Q73" s="1"/>
      <c r="R73" s="1"/>
      <c r="S73" s="1"/>
      <c r="T73" s="1"/>
      <c r="U73" s="1"/>
      <c r="V73" s="1"/>
      <c r="W73" s="1"/>
    </row>
    <row r="74" spans="1:23" ht="23" customHeight="1">
      <c r="A74" s="1"/>
      <c r="B74" s="1"/>
      <c r="C74" s="1"/>
      <c r="D74" s="1"/>
      <c r="E74" s="1"/>
      <c r="F74" s="1"/>
      <c r="G74" s="1"/>
      <c r="H74" s="1"/>
      <c r="I74" s="1"/>
      <c r="J74" s="1"/>
      <c r="K74" s="1"/>
      <c r="L74" s="1"/>
      <c r="M74" s="1"/>
      <c r="N74" s="1"/>
      <c r="O74" s="1"/>
      <c r="P74" s="1"/>
      <c r="Q74" s="1"/>
      <c r="R74" s="1"/>
      <c r="S74" s="1"/>
      <c r="T74" s="1"/>
      <c r="U74" s="1"/>
      <c r="V74" s="1"/>
      <c r="W74" s="1"/>
    </row>
    <row r="75" spans="1:23" ht="23" customHeight="1">
      <c r="A75" s="1"/>
      <c r="B75" s="1"/>
      <c r="C75" s="1"/>
      <c r="D75" s="1"/>
      <c r="E75" s="1"/>
      <c r="F75" s="1"/>
      <c r="G75" s="1"/>
      <c r="H75" s="1"/>
      <c r="I75" s="1"/>
      <c r="J75" s="1"/>
      <c r="K75" s="1"/>
      <c r="L75" s="1"/>
      <c r="M75" s="1"/>
      <c r="N75" s="1"/>
      <c r="O75" s="1"/>
      <c r="P75" s="1"/>
      <c r="Q75" s="1"/>
      <c r="R75" s="1"/>
      <c r="S75" s="1"/>
      <c r="T75" s="1"/>
      <c r="U75" s="1"/>
      <c r="V75" s="1"/>
      <c r="W75" s="1"/>
    </row>
    <row r="76" spans="1:23" ht="23" customHeight="1">
      <c r="A76" s="1"/>
      <c r="B76" s="1"/>
      <c r="C76" s="1"/>
      <c r="D76" s="1"/>
      <c r="E76" s="1"/>
      <c r="F76" s="1"/>
      <c r="G76" s="1"/>
      <c r="H76" s="1"/>
      <c r="I76" s="1"/>
      <c r="J76" s="1"/>
      <c r="K76" s="1"/>
      <c r="L76" s="1"/>
      <c r="M76" s="1"/>
      <c r="N76" s="1"/>
      <c r="O76" s="1"/>
      <c r="P76" s="1"/>
      <c r="Q76" s="1"/>
      <c r="R76" s="1"/>
      <c r="S76" s="1"/>
      <c r="T76" s="1"/>
      <c r="U76" s="1"/>
      <c r="V76" s="1"/>
      <c r="W76" s="1"/>
    </row>
    <row r="77" spans="1:23" ht="23" customHeight="1">
      <c r="A77" s="1"/>
      <c r="B77" s="1"/>
      <c r="C77" s="1"/>
      <c r="D77" s="1"/>
      <c r="E77" s="1"/>
      <c r="F77" s="1"/>
      <c r="G77" s="1"/>
      <c r="H77" s="1"/>
      <c r="I77" s="1"/>
      <c r="J77" s="1"/>
      <c r="K77" s="1"/>
      <c r="L77" s="1"/>
      <c r="M77" s="1"/>
      <c r="N77" s="1"/>
      <c r="O77" s="1"/>
      <c r="P77" s="1"/>
      <c r="Q77" s="1"/>
      <c r="R77" s="1"/>
      <c r="S77" s="1"/>
      <c r="T77" s="1"/>
      <c r="U77" s="1"/>
      <c r="V77" s="1"/>
      <c r="W77" s="1"/>
    </row>
    <row r="78" spans="1:23" ht="23" customHeight="1">
      <c r="A78" s="1"/>
      <c r="B78" s="1"/>
      <c r="C78" s="1"/>
      <c r="D78" s="1"/>
      <c r="E78" s="1"/>
      <c r="F78" s="1"/>
      <c r="G78" s="1"/>
      <c r="H78" s="1"/>
      <c r="I78" s="1"/>
      <c r="J78" s="1"/>
      <c r="K78" s="1"/>
      <c r="L78" s="1"/>
      <c r="M78" s="1"/>
      <c r="N78" s="1"/>
      <c r="O78" s="1"/>
      <c r="P78" s="1"/>
      <c r="Q78" s="1"/>
      <c r="R78" s="1"/>
      <c r="S78" s="1"/>
      <c r="T78" s="1"/>
      <c r="U78" s="1"/>
      <c r="V78" s="1"/>
      <c r="W78" s="1"/>
    </row>
    <row r="79" spans="1:23" ht="23" customHeight="1">
      <c r="A79" s="1"/>
      <c r="B79" s="1"/>
      <c r="C79" s="1"/>
      <c r="D79" s="1"/>
      <c r="E79" s="1"/>
      <c r="F79" s="1"/>
      <c r="G79" s="1"/>
      <c r="H79" s="1"/>
      <c r="I79" s="1"/>
      <c r="J79" s="1"/>
      <c r="K79" s="1"/>
      <c r="L79" s="1"/>
      <c r="M79" s="1"/>
      <c r="N79" s="1"/>
      <c r="O79" s="1"/>
      <c r="P79" s="1"/>
      <c r="Q79" s="1"/>
      <c r="R79" s="1"/>
      <c r="S79" s="1"/>
      <c r="T79" s="1"/>
      <c r="U79" s="1"/>
      <c r="V79" s="1"/>
      <c r="W79" s="1"/>
    </row>
    <row r="80" spans="1:23" ht="23" customHeight="1">
      <c r="A80" s="1"/>
      <c r="B80" s="1"/>
      <c r="C80" s="1"/>
      <c r="D80" s="1"/>
      <c r="E80" s="1"/>
      <c r="F80" s="1"/>
      <c r="G80" s="1"/>
      <c r="H80" s="1"/>
      <c r="I80" s="1"/>
      <c r="J80" s="1"/>
      <c r="K80" s="1"/>
      <c r="L80" s="1"/>
      <c r="M80" s="1"/>
      <c r="N80" s="1"/>
      <c r="O80" s="1"/>
      <c r="P80" s="1"/>
      <c r="Q80" s="1"/>
      <c r="R80" s="1"/>
      <c r="S80" s="1"/>
      <c r="T80" s="1"/>
      <c r="U80" s="1"/>
      <c r="V80" s="1"/>
      <c r="W80" s="1"/>
    </row>
    <row r="81" spans="1:23" ht="23" customHeight="1">
      <c r="A81" s="1"/>
      <c r="B81" s="1"/>
      <c r="C81" s="1"/>
      <c r="D81" s="1"/>
      <c r="E81" s="1"/>
      <c r="F81" s="1"/>
      <c r="G81" s="1"/>
      <c r="H81" s="1"/>
      <c r="I81" s="1"/>
      <c r="J81" s="1"/>
      <c r="K81" s="1"/>
      <c r="L81" s="1"/>
      <c r="M81" s="1"/>
      <c r="N81" s="1"/>
      <c r="O81" s="1"/>
      <c r="P81" s="1"/>
      <c r="Q81" s="1"/>
      <c r="R81" s="1"/>
      <c r="S81" s="1"/>
      <c r="T81" s="1"/>
      <c r="U81" s="1"/>
      <c r="V81" s="1"/>
      <c r="W81" s="1"/>
    </row>
    <row r="82" spans="1:23" ht="23" customHeight="1">
      <c r="A82" s="1"/>
      <c r="B82" s="1"/>
      <c r="C82" s="1"/>
      <c r="D82" s="1"/>
      <c r="E82" s="1"/>
      <c r="F82" s="1"/>
      <c r="G82" s="1"/>
      <c r="H82" s="1"/>
      <c r="I82" s="1"/>
      <c r="J82" s="1"/>
      <c r="K82" s="1"/>
      <c r="L82" s="1"/>
      <c r="M82" s="1"/>
      <c r="N82" s="1"/>
      <c r="O82" s="1"/>
      <c r="P82" s="1"/>
      <c r="Q82" s="1"/>
      <c r="R82" s="1"/>
      <c r="S82" s="1"/>
      <c r="T82" s="1"/>
      <c r="U82" s="1"/>
      <c r="V82" s="1"/>
      <c r="W82" s="1"/>
    </row>
    <row r="83" spans="1:23" ht="23" customHeight="1">
      <c r="A83" s="1"/>
      <c r="B83" s="1"/>
      <c r="C83" s="1"/>
      <c r="D83" s="1"/>
      <c r="E83" s="1"/>
      <c r="F83" s="1"/>
      <c r="G83" s="1"/>
      <c r="H83" s="1"/>
      <c r="I83" s="1"/>
      <c r="J83" s="1"/>
      <c r="K83" s="1"/>
      <c r="L83" s="1"/>
      <c r="M83" s="1"/>
      <c r="N83" s="1"/>
      <c r="O83" s="1"/>
      <c r="P83" s="1"/>
      <c r="Q83" s="1"/>
      <c r="R83" s="1"/>
      <c r="S83" s="1"/>
      <c r="T83" s="1"/>
      <c r="U83" s="1"/>
      <c r="V83" s="1"/>
      <c r="W83" s="1"/>
    </row>
    <row r="84" spans="1:23" ht="23" customHeight="1">
      <c r="A84" s="1"/>
      <c r="B84" s="1"/>
      <c r="C84" s="1"/>
      <c r="D84" s="1"/>
      <c r="E84" s="1"/>
      <c r="F84" s="1"/>
      <c r="G84" s="1"/>
      <c r="H84" s="1"/>
      <c r="I84" s="1"/>
      <c r="J84" s="1"/>
      <c r="K84" s="1"/>
      <c r="L84" s="1"/>
      <c r="M84" s="1"/>
      <c r="N84" s="1"/>
      <c r="O84" s="1"/>
      <c r="P84" s="1"/>
      <c r="Q84" s="1"/>
      <c r="R84" s="1"/>
      <c r="S84" s="1"/>
      <c r="T84" s="1"/>
      <c r="U84" s="1"/>
      <c r="V84" s="1"/>
      <c r="W84" s="1"/>
    </row>
    <row r="85" spans="1:23" ht="23" customHeight="1">
      <c r="A85" s="1"/>
      <c r="B85" s="1"/>
      <c r="C85" s="1"/>
      <c r="D85" s="1"/>
      <c r="E85" s="1"/>
      <c r="F85" s="1"/>
      <c r="G85" s="1"/>
      <c r="H85" s="1"/>
      <c r="I85" s="1"/>
      <c r="J85" s="1"/>
      <c r="K85" s="1"/>
      <c r="L85" s="1"/>
      <c r="M85" s="1"/>
      <c r="N85" s="1"/>
      <c r="O85" s="1"/>
      <c r="P85" s="1"/>
      <c r="Q85" s="1"/>
      <c r="R85" s="1"/>
      <c r="S85" s="1"/>
      <c r="T85" s="1"/>
      <c r="U85" s="1"/>
      <c r="V85" s="1"/>
      <c r="W85" s="1"/>
    </row>
    <row r="86" spans="1:23" ht="23" customHeight="1">
      <c r="A86" s="1"/>
      <c r="B86" s="1"/>
      <c r="C86" s="1"/>
      <c r="D86" s="1"/>
      <c r="E86" s="1"/>
      <c r="F86" s="1"/>
      <c r="G86" s="1"/>
      <c r="H86" s="1"/>
      <c r="I86" s="1"/>
      <c r="J86" s="1"/>
      <c r="K86" s="1"/>
      <c r="L86" s="1"/>
      <c r="M86" s="1"/>
      <c r="N86" s="1"/>
      <c r="O86" s="1"/>
      <c r="P86" s="1"/>
      <c r="Q86" s="1"/>
      <c r="R86" s="1"/>
      <c r="S86" s="1"/>
      <c r="T86" s="1"/>
      <c r="U86" s="1"/>
      <c r="V86" s="1"/>
      <c r="W86" s="1"/>
    </row>
    <row r="87" spans="1:23" ht="23" customHeight="1">
      <c r="A87" s="1"/>
      <c r="B87" s="1"/>
      <c r="C87" s="1"/>
      <c r="D87" s="1"/>
      <c r="E87" s="1"/>
      <c r="F87" s="1"/>
      <c r="G87" s="1"/>
      <c r="H87" s="1"/>
      <c r="I87" s="1"/>
      <c r="J87" s="1"/>
      <c r="K87" s="1"/>
      <c r="L87" s="1"/>
      <c r="M87" s="1"/>
      <c r="N87" s="1"/>
      <c r="O87" s="1"/>
      <c r="P87" s="1"/>
      <c r="Q87" s="1"/>
      <c r="R87" s="1"/>
      <c r="S87" s="1"/>
      <c r="T87" s="1"/>
      <c r="U87" s="1"/>
      <c r="V87" s="1"/>
      <c r="W87" s="1"/>
    </row>
    <row r="88" spans="1:23" ht="23" customHeight="1">
      <c r="A88" s="1"/>
      <c r="B88" s="1"/>
      <c r="C88" s="1"/>
      <c r="D88" s="1"/>
      <c r="E88" s="1"/>
      <c r="F88" s="1"/>
      <c r="G88" s="1"/>
      <c r="H88" s="1"/>
      <c r="I88" s="1"/>
      <c r="J88" s="1"/>
      <c r="K88" s="1"/>
      <c r="L88" s="1"/>
      <c r="M88" s="1"/>
      <c r="N88" s="1"/>
      <c r="O88" s="1"/>
      <c r="P88" s="1"/>
      <c r="Q88" s="1"/>
      <c r="R88" s="1"/>
      <c r="S88" s="1"/>
      <c r="T88" s="1"/>
      <c r="U88" s="1"/>
      <c r="V88" s="1"/>
      <c r="W88" s="1"/>
    </row>
    <row r="89" spans="1:23" ht="23" customHeight="1">
      <c r="A89" s="1"/>
      <c r="B89" s="1"/>
      <c r="C89" s="1"/>
      <c r="D89" s="1"/>
      <c r="E89" s="1"/>
      <c r="F89" s="1"/>
      <c r="G89" s="1"/>
      <c r="H89" s="1"/>
      <c r="I89" s="1"/>
      <c r="J89" s="1"/>
      <c r="K89" s="1"/>
      <c r="L89" s="1"/>
      <c r="M89" s="1"/>
      <c r="N89" s="1"/>
      <c r="O89" s="1"/>
      <c r="P89" s="1"/>
      <c r="Q89" s="1"/>
      <c r="R89" s="1"/>
      <c r="S89" s="1"/>
      <c r="T89" s="1"/>
      <c r="U89" s="1"/>
      <c r="V89" s="1"/>
      <c r="W89" s="1"/>
    </row>
    <row r="90" spans="1:23" ht="23" customHeight="1">
      <c r="A90" s="1"/>
      <c r="B90" s="1"/>
      <c r="C90" s="1"/>
      <c r="D90" s="1"/>
      <c r="E90" s="1"/>
      <c r="F90" s="1"/>
      <c r="G90" s="1"/>
      <c r="H90" s="1"/>
      <c r="I90" s="1"/>
      <c r="J90" s="1"/>
      <c r="K90" s="1"/>
      <c r="L90" s="1"/>
      <c r="M90" s="1"/>
      <c r="N90" s="1"/>
      <c r="O90" s="1"/>
      <c r="P90" s="1"/>
      <c r="Q90" s="1"/>
      <c r="R90" s="1"/>
      <c r="S90" s="1"/>
      <c r="T90" s="1"/>
      <c r="U90" s="1"/>
      <c r="V90" s="1"/>
      <c r="W90" s="1"/>
    </row>
    <row r="91" spans="1:23" ht="23" customHeight="1">
      <c r="A91" s="1"/>
      <c r="B91" s="1"/>
      <c r="C91" s="1"/>
      <c r="D91" s="1"/>
      <c r="E91" s="1"/>
      <c r="F91" s="1"/>
      <c r="G91" s="1"/>
      <c r="H91" s="1"/>
      <c r="I91" s="1"/>
      <c r="J91" s="1"/>
      <c r="K91" s="1"/>
      <c r="L91" s="1"/>
      <c r="M91" s="1"/>
      <c r="N91" s="1"/>
      <c r="O91" s="1"/>
      <c r="P91" s="1"/>
      <c r="Q91" s="1"/>
      <c r="R91" s="1"/>
      <c r="S91" s="1"/>
      <c r="T91" s="1"/>
      <c r="U91" s="1"/>
      <c r="V91" s="1"/>
      <c r="W91" s="1"/>
    </row>
    <row r="92" spans="1:23" ht="23" customHeight="1">
      <c r="A92" s="1"/>
      <c r="B92" s="1"/>
      <c r="C92" s="1"/>
      <c r="D92" s="1"/>
      <c r="E92" s="1"/>
      <c r="F92" s="1"/>
      <c r="G92" s="1"/>
      <c r="H92" s="1"/>
      <c r="I92" s="1"/>
      <c r="J92" s="1"/>
      <c r="K92" s="1"/>
      <c r="L92" s="1"/>
      <c r="M92" s="1"/>
      <c r="N92" s="1"/>
      <c r="O92" s="1"/>
      <c r="P92" s="1"/>
      <c r="Q92" s="1"/>
      <c r="R92" s="1"/>
      <c r="S92" s="1"/>
      <c r="T92" s="1"/>
      <c r="U92" s="1"/>
      <c r="V92" s="1"/>
      <c r="W92" s="1"/>
    </row>
    <row r="93" spans="1:23" ht="23" customHeight="1">
      <c r="A93" s="1"/>
      <c r="B93" s="1"/>
      <c r="C93" s="1"/>
      <c r="D93" s="1"/>
      <c r="E93" s="1"/>
      <c r="F93" s="1"/>
      <c r="G93" s="1"/>
      <c r="H93" s="1"/>
      <c r="I93" s="1"/>
      <c r="J93" s="1"/>
      <c r="K93" s="1"/>
      <c r="L93" s="1"/>
      <c r="M93" s="1"/>
      <c r="N93" s="1"/>
      <c r="O93" s="1"/>
      <c r="P93" s="1"/>
      <c r="Q93" s="1"/>
      <c r="R93" s="1"/>
      <c r="S93" s="1"/>
      <c r="T93" s="1"/>
      <c r="U93" s="1"/>
      <c r="V93" s="1"/>
      <c r="W93" s="1"/>
    </row>
    <row r="94" spans="1:23" ht="23" customHeight="1">
      <c r="A94" s="1"/>
      <c r="B94" s="1"/>
      <c r="C94" s="1"/>
      <c r="D94" s="1"/>
      <c r="E94" s="1"/>
      <c r="F94" s="1"/>
      <c r="G94" s="1"/>
      <c r="H94" s="1"/>
      <c r="I94" s="1"/>
      <c r="J94" s="1"/>
      <c r="K94" s="1"/>
      <c r="L94" s="1"/>
      <c r="M94" s="1"/>
      <c r="N94" s="1"/>
      <c r="O94" s="1"/>
      <c r="P94" s="1"/>
      <c r="Q94" s="1"/>
      <c r="R94" s="1"/>
      <c r="S94" s="1"/>
      <c r="T94" s="1"/>
      <c r="U94" s="1"/>
      <c r="V94" s="1"/>
      <c r="W94" s="1"/>
    </row>
    <row r="95" spans="1:23" ht="23" customHeight="1">
      <c r="A95" s="1"/>
      <c r="B95" s="1"/>
      <c r="C95" s="1"/>
      <c r="D95" s="1"/>
      <c r="E95" s="1"/>
      <c r="F95" s="1"/>
      <c r="G95" s="1"/>
      <c r="H95" s="1"/>
      <c r="I95" s="1"/>
      <c r="J95" s="1"/>
      <c r="K95" s="1"/>
      <c r="L95" s="1"/>
      <c r="M95" s="1"/>
      <c r="N95" s="1"/>
      <c r="O95" s="1"/>
      <c r="P95" s="1"/>
      <c r="Q95" s="1"/>
      <c r="R95" s="1"/>
      <c r="S95" s="1"/>
      <c r="T95" s="1"/>
      <c r="U95" s="1"/>
      <c r="V95" s="1"/>
      <c r="W95" s="1"/>
    </row>
    <row r="96" spans="1:23" ht="23" customHeight="1">
      <c r="A96" s="1"/>
      <c r="B96" s="1"/>
      <c r="C96" s="1"/>
      <c r="D96" s="1"/>
      <c r="E96" s="1"/>
      <c r="F96" s="1"/>
      <c r="G96" s="1"/>
      <c r="H96" s="1"/>
      <c r="I96" s="1"/>
      <c r="J96" s="1"/>
      <c r="K96" s="1"/>
      <c r="L96" s="1"/>
      <c r="M96" s="1"/>
      <c r="N96" s="1"/>
      <c r="O96" s="1"/>
      <c r="P96" s="1"/>
      <c r="Q96" s="1"/>
      <c r="R96" s="1"/>
      <c r="S96" s="1"/>
      <c r="T96" s="1"/>
      <c r="U96" s="1"/>
      <c r="V96" s="1"/>
      <c r="W96" s="1"/>
    </row>
    <row r="97" spans="1:23" ht="23" customHeight="1">
      <c r="A97" s="1"/>
      <c r="B97" s="1"/>
      <c r="C97" s="1"/>
      <c r="D97" s="1"/>
      <c r="E97" s="1"/>
      <c r="F97" s="1"/>
      <c r="G97" s="1"/>
      <c r="H97" s="1"/>
      <c r="I97" s="1"/>
      <c r="J97" s="1"/>
      <c r="K97" s="1"/>
      <c r="L97" s="1"/>
      <c r="M97" s="1"/>
      <c r="N97" s="1"/>
      <c r="O97" s="1"/>
      <c r="P97" s="1"/>
      <c r="Q97" s="1"/>
      <c r="R97" s="1"/>
      <c r="S97" s="1"/>
      <c r="T97" s="1"/>
      <c r="U97" s="1"/>
      <c r="V97" s="1"/>
      <c r="W97" s="1"/>
    </row>
    <row r="98" spans="1:23" ht="23" customHeight="1">
      <c r="A98" s="1"/>
      <c r="B98" s="1"/>
      <c r="C98" s="1"/>
      <c r="D98" s="1"/>
      <c r="E98" s="1"/>
      <c r="F98" s="1"/>
      <c r="G98" s="1"/>
      <c r="H98" s="1"/>
      <c r="I98" s="1"/>
      <c r="J98" s="1"/>
      <c r="K98" s="1"/>
      <c r="L98" s="1"/>
      <c r="M98" s="1"/>
      <c r="N98" s="1"/>
      <c r="O98" s="1"/>
      <c r="P98" s="1"/>
      <c r="Q98" s="1"/>
      <c r="R98" s="1"/>
      <c r="S98" s="1"/>
      <c r="T98" s="1"/>
      <c r="U98" s="1"/>
      <c r="V98" s="1"/>
      <c r="W98" s="1"/>
    </row>
    <row r="99" spans="1:23" ht="23" customHeight="1">
      <c r="A99" s="1"/>
      <c r="B99" s="1"/>
      <c r="C99" s="1"/>
      <c r="D99" s="1"/>
      <c r="E99" s="1"/>
      <c r="F99" s="1"/>
      <c r="G99" s="1"/>
      <c r="H99" s="1"/>
      <c r="I99" s="1"/>
      <c r="J99" s="1"/>
      <c r="K99" s="1"/>
      <c r="L99" s="1"/>
      <c r="M99" s="1"/>
      <c r="N99" s="1"/>
      <c r="O99" s="1"/>
      <c r="P99" s="1"/>
      <c r="Q99" s="1"/>
      <c r="R99" s="1"/>
      <c r="S99" s="1"/>
      <c r="T99" s="1"/>
      <c r="U99" s="1"/>
      <c r="V99" s="1"/>
      <c r="W99" s="1"/>
    </row>
    <row r="100" spans="1:23" ht="23" customHeight="1">
      <c r="A100" s="1"/>
      <c r="B100" s="1"/>
      <c r="C100" s="1"/>
      <c r="D100" s="1"/>
      <c r="E100" s="1"/>
      <c r="F100" s="1"/>
      <c r="G100" s="1"/>
      <c r="H100" s="1"/>
      <c r="I100" s="1"/>
      <c r="J100" s="1"/>
      <c r="K100" s="1"/>
      <c r="L100" s="1"/>
      <c r="M100" s="1"/>
      <c r="N100" s="1"/>
      <c r="O100" s="1"/>
      <c r="P100" s="1"/>
      <c r="Q100" s="1"/>
      <c r="R100" s="1"/>
      <c r="S100" s="1"/>
      <c r="T100" s="1"/>
      <c r="U100" s="1"/>
      <c r="V100" s="1"/>
      <c r="W100" s="1"/>
    </row>
    <row r="101" spans="1:23" ht="23" customHeight="1">
      <c r="A101" s="1"/>
      <c r="B101" s="1"/>
      <c r="C101" s="1"/>
      <c r="D101" s="1"/>
      <c r="E101" s="1"/>
      <c r="F101" s="1"/>
      <c r="G101" s="1"/>
      <c r="H101" s="1"/>
      <c r="I101" s="1"/>
      <c r="J101" s="1"/>
      <c r="K101" s="1"/>
      <c r="L101" s="1"/>
      <c r="M101" s="1"/>
      <c r="N101" s="1"/>
      <c r="O101" s="1"/>
      <c r="P101" s="1"/>
      <c r="Q101" s="1"/>
      <c r="R101" s="1"/>
      <c r="S101" s="1"/>
      <c r="T101" s="1"/>
      <c r="U101" s="1"/>
      <c r="V101" s="1"/>
      <c r="W101" s="1"/>
    </row>
    <row r="102" spans="1:23" ht="23" customHeight="1">
      <c r="A102" s="1"/>
      <c r="B102" s="1"/>
      <c r="C102" s="1"/>
      <c r="D102" s="1"/>
      <c r="E102" s="1"/>
      <c r="F102" s="1"/>
      <c r="G102" s="1"/>
      <c r="H102" s="1"/>
      <c r="I102" s="1"/>
      <c r="J102" s="1"/>
      <c r="K102" s="1"/>
      <c r="L102" s="1"/>
      <c r="M102" s="1"/>
      <c r="N102" s="1"/>
      <c r="O102" s="1"/>
      <c r="P102" s="1"/>
      <c r="Q102" s="1"/>
      <c r="R102" s="1"/>
      <c r="S102" s="1"/>
      <c r="T102" s="1"/>
      <c r="U102" s="1"/>
      <c r="V102" s="1"/>
      <c r="W102" s="1"/>
    </row>
    <row r="103" spans="1:23" ht="23" customHeight="1">
      <c r="A103" s="1"/>
      <c r="B103" s="1"/>
      <c r="C103" s="1"/>
      <c r="D103" s="1"/>
      <c r="E103" s="1"/>
      <c r="F103" s="1"/>
      <c r="G103" s="1"/>
      <c r="H103" s="1"/>
      <c r="I103" s="1"/>
      <c r="J103" s="1"/>
      <c r="K103" s="1"/>
      <c r="L103" s="1"/>
      <c r="M103" s="1"/>
      <c r="N103" s="1"/>
      <c r="O103" s="1"/>
      <c r="P103" s="1"/>
      <c r="Q103" s="1"/>
      <c r="R103" s="1"/>
      <c r="S103" s="1"/>
      <c r="T103" s="1"/>
      <c r="U103" s="1"/>
      <c r="V103" s="1"/>
      <c r="W103" s="1"/>
    </row>
    <row r="104" spans="1:23" ht="23" customHeight="1">
      <c r="A104" s="1"/>
      <c r="B104" s="1"/>
      <c r="C104" s="1"/>
      <c r="D104" s="1"/>
      <c r="E104" s="1"/>
      <c r="F104" s="1"/>
      <c r="G104" s="1"/>
      <c r="H104" s="1"/>
      <c r="I104" s="1"/>
      <c r="J104" s="1"/>
      <c r="K104" s="1"/>
      <c r="L104" s="1"/>
      <c r="M104" s="1"/>
      <c r="N104" s="1"/>
      <c r="O104" s="1"/>
      <c r="P104" s="1"/>
      <c r="Q104" s="1"/>
      <c r="R104" s="1"/>
      <c r="S104" s="1"/>
      <c r="T104" s="1"/>
      <c r="U104" s="1"/>
      <c r="V104" s="1"/>
      <c r="W104" s="1"/>
    </row>
    <row r="105" spans="1:23" ht="23" customHeight="1">
      <c r="A105" s="1"/>
      <c r="B105" s="1"/>
      <c r="C105" s="1"/>
      <c r="D105" s="1"/>
      <c r="E105" s="1"/>
      <c r="F105" s="1"/>
      <c r="G105" s="1"/>
      <c r="H105" s="1"/>
      <c r="I105" s="1"/>
      <c r="J105" s="1"/>
      <c r="K105" s="1"/>
      <c r="L105" s="1"/>
      <c r="M105" s="1"/>
      <c r="N105" s="1"/>
      <c r="O105" s="1"/>
      <c r="P105" s="1"/>
      <c r="Q105" s="1"/>
      <c r="R105" s="1"/>
      <c r="S105" s="1"/>
      <c r="T105" s="1"/>
      <c r="U105" s="1"/>
      <c r="V105" s="1"/>
      <c r="W105" s="1"/>
    </row>
    <row r="106" spans="1:23" ht="23" customHeight="1">
      <c r="A106" s="1"/>
      <c r="B106" s="1"/>
      <c r="C106" s="1"/>
      <c r="D106" s="1"/>
      <c r="E106" s="1"/>
      <c r="F106" s="1"/>
      <c r="G106" s="1"/>
      <c r="H106" s="1"/>
      <c r="I106" s="1"/>
      <c r="J106" s="1"/>
      <c r="K106" s="1"/>
      <c r="L106" s="1"/>
      <c r="M106" s="1"/>
      <c r="N106" s="1"/>
      <c r="O106" s="1"/>
      <c r="P106" s="1"/>
      <c r="Q106" s="1"/>
      <c r="R106" s="1"/>
      <c r="S106" s="1"/>
      <c r="T106" s="1"/>
      <c r="U106" s="1"/>
      <c r="V106" s="1"/>
      <c r="W106" s="1"/>
    </row>
    <row r="107" spans="1:23" ht="23" customHeight="1">
      <c r="A107" s="1"/>
      <c r="B107" s="1"/>
      <c r="C107" s="1"/>
      <c r="D107" s="1"/>
      <c r="E107" s="1"/>
      <c r="F107" s="1"/>
      <c r="G107" s="1"/>
      <c r="H107" s="1"/>
      <c r="I107" s="1"/>
      <c r="J107" s="1"/>
      <c r="K107" s="1"/>
      <c r="L107" s="1"/>
      <c r="M107" s="1"/>
      <c r="N107" s="1"/>
      <c r="O107" s="1"/>
      <c r="P107" s="1"/>
      <c r="Q107" s="1"/>
      <c r="R107" s="1"/>
      <c r="S107" s="1"/>
      <c r="T107" s="1"/>
      <c r="U107" s="1"/>
      <c r="V107" s="1"/>
      <c r="W107" s="1"/>
    </row>
    <row r="108" spans="1:23" ht="23" customHeight="1">
      <c r="A108" s="1"/>
      <c r="B108" s="1"/>
      <c r="C108" s="1"/>
      <c r="D108" s="1"/>
      <c r="E108" s="1"/>
      <c r="F108" s="1"/>
      <c r="G108" s="1"/>
      <c r="H108" s="1"/>
      <c r="I108" s="1"/>
      <c r="J108" s="1"/>
      <c r="K108" s="1"/>
      <c r="L108" s="1"/>
      <c r="M108" s="1"/>
      <c r="N108" s="1"/>
      <c r="O108" s="1"/>
      <c r="P108" s="1"/>
      <c r="Q108" s="1"/>
      <c r="R108" s="1"/>
      <c r="S108" s="1"/>
      <c r="T108" s="1"/>
      <c r="U108" s="1"/>
      <c r="V108" s="1"/>
      <c r="W108" s="1"/>
    </row>
    <row r="109" spans="1:23" ht="23" customHeight="1">
      <c r="A109" s="1"/>
      <c r="B109" s="1"/>
      <c r="C109" s="1"/>
      <c r="D109" s="1"/>
      <c r="E109" s="1"/>
      <c r="F109" s="1"/>
      <c r="G109" s="1"/>
      <c r="H109" s="1"/>
      <c r="I109" s="1"/>
      <c r="J109" s="1"/>
      <c r="K109" s="1"/>
      <c r="L109" s="1"/>
      <c r="M109" s="1"/>
      <c r="N109" s="1"/>
      <c r="O109" s="1"/>
      <c r="P109" s="1"/>
      <c r="Q109" s="1"/>
      <c r="R109" s="1"/>
      <c r="S109" s="1"/>
      <c r="T109" s="1"/>
      <c r="U109" s="1"/>
      <c r="V109" s="1"/>
      <c r="W109" s="1"/>
    </row>
    <row r="110" spans="1:23" ht="23" customHeight="1">
      <c r="A110" s="1"/>
      <c r="B110" s="1"/>
      <c r="C110" s="1"/>
      <c r="D110" s="1"/>
      <c r="E110" s="1"/>
      <c r="F110" s="1"/>
      <c r="G110" s="1"/>
      <c r="H110" s="1"/>
      <c r="I110" s="1"/>
      <c r="J110" s="1"/>
      <c r="K110" s="1"/>
      <c r="L110" s="1"/>
      <c r="M110" s="1"/>
      <c r="N110" s="1"/>
      <c r="O110" s="1"/>
      <c r="P110" s="1"/>
      <c r="Q110" s="1"/>
      <c r="R110" s="1"/>
      <c r="S110" s="1"/>
      <c r="T110" s="1"/>
      <c r="U110" s="1"/>
      <c r="V110" s="1"/>
      <c r="W110" s="1"/>
    </row>
    <row r="111" spans="1:23" ht="23" customHeight="1">
      <c r="A111" s="1"/>
      <c r="B111" s="1"/>
      <c r="C111" s="1"/>
      <c r="D111" s="1"/>
      <c r="E111" s="1"/>
      <c r="F111" s="1"/>
      <c r="G111" s="1"/>
      <c r="H111" s="1"/>
      <c r="I111" s="1"/>
      <c r="J111" s="1"/>
      <c r="K111" s="1"/>
      <c r="L111" s="1"/>
      <c r="M111" s="1"/>
      <c r="N111" s="1"/>
      <c r="O111" s="1"/>
      <c r="P111" s="1"/>
      <c r="Q111" s="1"/>
      <c r="R111" s="1"/>
      <c r="S111" s="1"/>
      <c r="T111" s="1"/>
      <c r="U111" s="1"/>
      <c r="V111" s="1"/>
      <c r="W111" s="1"/>
    </row>
    <row r="112" spans="1:23" ht="23" customHeight="1">
      <c r="A112" s="1"/>
      <c r="B112" s="1"/>
      <c r="C112" s="1"/>
      <c r="D112" s="1"/>
      <c r="E112" s="1"/>
      <c r="F112" s="1"/>
      <c r="G112" s="1"/>
      <c r="H112" s="1"/>
      <c r="I112" s="1"/>
      <c r="J112" s="1"/>
      <c r="K112" s="1"/>
      <c r="L112" s="1"/>
      <c r="M112" s="1"/>
      <c r="N112" s="1"/>
      <c r="O112" s="1"/>
      <c r="P112" s="1"/>
      <c r="Q112" s="1"/>
      <c r="R112" s="1"/>
      <c r="S112" s="1"/>
      <c r="T112" s="1"/>
      <c r="U112" s="1"/>
      <c r="V112" s="1"/>
      <c r="W112" s="1"/>
    </row>
    <row r="113" spans="1:23" ht="23" customHeight="1">
      <c r="A113" s="1"/>
      <c r="B113" s="1"/>
      <c r="C113" s="1"/>
      <c r="D113" s="1"/>
      <c r="E113" s="1"/>
      <c r="F113" s="1"/>
      <c r="G113" s="1"/>
      <c r="H113" s="1"/>
      <c r="I113" s="1"/>
      <c r="J113" s="1"/>
      <c r="K113" s="1"/>
      <c r="L113" s="1"/>
      <c r="M113" s="1"/>
      <c r="N113" s="1"/>
      <c r="O113" s="1"/>
      <c r="P113" s="1"/>
      <c r="Q113" s="1"/>
      <c r="R113" s="1"/>
      <c r="S113" s="1"/>
      <c r="T113" s="1"/>
      <c r="U113" s="1"/>
      <c r="V113" s="1"/>
      <c r="W113" s="1"/>
    </row>
    <row r="114" spans="1:23" ht="23" customHeight="1">
      <c r="A114" s="1"/>
      <c r="B114" s="1"/>
      <c r="C114" s="1"/>
      <c r="D114" s="1"/>
      <c r="E114" s="1"/>
      <c r="F114" s="1"/>
      <c r="G114" s="1"/>
      <c r="H114" s="1"/>
      <c r="I114" s="1"/>
      <c r="J114" s="1"/>
      <c r="K114" s="1"/>
      <c r="L114" s="1"/>
      <c r="M114" s="1"/>
      <c r="N114" s="1"/>
      <c r="O114" s="1"/>
      <c r="P114" s="1"/>
      <c r="Q114" s="1"/>
      <c r="R114" s="1"/>
      <c r="S114" s="1"/>
      <c r="T114" s="1"/>
      <c r="U114" s="1"/>
      <c r="V114" s="1"/>
      <c r="W114" s="1"/>
    </row>
    <row r="115" spans="1:23" ht="23" customHeight="1">
      <c r="A115" s="1"/>
      <c r="B115" s="1"/>
      <c r="C115" s="1"/>
      <c r="D115" s="1"/>
      <c r="E115" s="1"/>
      <c r="F115" s="1"/>
      <c r="G115" s="1"/>
      <c r="H115" s="1"/>
      <c r="I115" s="1"/>
      <c r="J115" s="1"/>
      <c r="K115" s="1"/>
      <c r="L115" s="1"/>
      <c r="M115" s="1"/>
      <c r="N115" s="1"/>
      <c r="O115" s="1"/>
      <c r="P115" s="1"/>
      <c r="Q115" s="1"/>
      <c r="R115" s="1"/>
      <c r="S115" s="1"/>
      <c r="T115" s="1"/>
      <c r="U115" s="1"/>
      <c r="V115" s="1"/>
      <c r="W115" s="1"/>
    </row>
    <row r="116" spans="1:23" ht="23" customHeight="1">
      <c r="A116" s="1"/>
      <c r="B116" s="1"/>
      <c r="C116" s="1"/>
      <c r="D116" s="1"/>
      <c r="E116" s="1"/>
      <c r="F116" s="1"/>
      <c r="G116" s="1"/>
      <c r="H116" s="1"/>
      <c r="I116" s="1"/>
      <c r="J116" s="1"/>
      <c r="K116" s="1"/>
      <c r="L116" s="1"/>
      <c r="M116" s="1"/>
      <c r="N116" s="1"/>
      <c r="O116" s="1"/>
      <c r="P116" s="1"/>
      <c r="Q116" s="1"/>
      <c r="R116" s="1"/>
      <c r="S116" s="1"/>
      <c r="T116" s="1"/>
      <c r="U116" s="1"/>
      <c r="V116" s="1"/>
      <c r="W116" s="1"/>
    </row>
    <row r="117" spans="1:23" ht="23" customHeight="1">
      <c r="A117" s="1"/>
      <c r="B117" s="1"/>
      <c r="C117" s="1"/>
      <c r="D117" s="1"/>
      <c r="E117" s="1"/>
      <c r="F117" s="1"/>
      <c r="G117" s="1"/>
      <c r="H117" s="1"/>
      <c r="I117" s="1"/>
      <c r="J117" s="1"/>
      <c r="K117" s="1"/>
      <c r="L117" s="1"/>
      <c r="M117" s="1"/>
      <c r="N117" s="1"/>
      <c r="O117" s="1"/>
      <c r="P117" s="1"/>
      <c r="Q117" s="1"/>
      <c r="R117" s="1"/>
      <c r="S117" s="1"/>
      <c r="T117" s="1"/>
      <c r="U117" s="1"/>
      <c r="V117" s="1"/>
      <c r="W117" s="1"/>
    </row>
    <row r="118" spans="1:23" ht="23" customHeight="1">
      <c r="A118" s="1"/>
      <c r="B118" s="1"/>
      <c r="C118" s="1"/>
      <c r="D118" s="1"/>
      <c r="E118" s="1"/>
      <c r="F118" s="1"/>
      <c r="G118" s="1"/>
      <c r="H118" s="1"/>
      <c r="I118" s="1"/>
      <c r="J118" s="1"/>
      <c r="K118" s="1"/>
      <c r="L118" s="1"/>
      <c r="M118" s="1"/>
      <c r="N118" s="1"/>
      <c r="O118" s="1"/>
      <c r="P118" s="1"/>
      <c r="Q118" s="1"/>
      <c r="R118" s="1"/>
      <c r="S118" s="1"/>
      <c r="T118" s="1"/>
      <c r="U118" s="1"/>
      <c r="V118" s="1"/>
      <c r="W118" s="1"/>
    </row>
    <row r="119" spans="1:23" ht="23" customHeight="1">
      <c r="A119" s="1"/>
      <c r="B119" s="1"/>
      <c r="C119" s="1"/>
      <c r="D119" s="1"/>
      <c r="E119" s="1"/>
      <c r="F119" s="1"/>
      <c r="G119" s="1"/>
      <c r="H119" s="1"/>
      <c r="I119" s="1"/>
      <c r="J119" s="1"/>
      <c r="K119" s="1"/>
      <c r="L119" s="1"/>
      <c r="M119" s="1"/>
      <c r="N119" s="1"/>
      <c r="O119" s="1"/>
      <c r="P119" s="1"/>
      <c r="Q119" s="1"/>
      <c r="R119" s="1"/>
      <c r="S119" s="1"/>
      <c r="T119" s="1"/>
      <c r="U119" s="1"/>
      <c r="V119" s="1"/>
      <c r="W119" s="1"/>
    </row>
    <row r="120" spans="1:23" ht="23" customHeight="1">
      <c r="A120" s="1"/>
      <c r="B120" s="1"/>
      <c r="C120" s="1"/>
      <c r="D120" s="1"/>
      <c r="E120" s="1"/>
      <c r="F120" s="1"/>
      <c r="G120" s="1"/>
      <c r="H120" s="1"/>
      <c r="I120" s="1"/>
      <c r="J120" s="1"/>
      <c r="K120" s="1"/>
      <c r="L120" s="1"/>
      <c r="M120" s="1"/>
      <c r="N120" s="1"/>
      <c r="O120" s="1"/>
      <c r="P120" s="1"/>
      <c r="Q120" s="1"/>
      <c r="R120" s="1"/>
      <c r="S120" s="1"/>
      <c r="T120" s="1"/>
      <c r="U120" s="1"/>
      <c r="V120" s="1"/>
      <c r="W120" s="1"/>
    </row>
  </sheetData>
  <mergeCells count="4">
    <mergeCell ref="B10:F12"/>
    <mergeCell ref="B22:F25"/>
    <mergeCell ref="B27:F30"/>
    <mergeCell ref="B51:O5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20"/>
  <sheetViews>
    <sheetView showGridLines="0" workbookViewId="0">
      <pane ySplit="5" topLeftCell="A6" activePane="bottomLeft" state="frozen"/>
      <selection pane="bottomLeft"/>
    </sheetView>
  </sheetViews>
  <sheetFormatPr defaultRowHeight="14"/>
  <cols>
    <col min="1" max="1" width="3" customWidth="1"/>
    <col min="2" max="2" width="28" customWidth="1"/>
    <col min="3" max="5" width="19" customWidth="1"/>
    <col min="6" max="23" width="13" customWidth="1"/>
  </cols>
  <sheetData>
    <row r="1" spans="1:23" ht="23" customHeight="1">
      <c r="A1" s="1"/>
      <c r="B1" s="1"/>
      <c r="C1" s="1"/>
      <c r="D1" s="1"/>
      <c r="E1" s="1"/>
      <c r="F1" s="1"/>
      <c r="G1" s="1"/>
      <c r="H1" s="1"/>
      <c r="I1" s="1"/>
      <c r="J1" s="1"/>
      <c r="K1" s="1"/>
      <c r="L1" s="1"/>
      <c r="M1" s="1"/>
      <c r="N1" s="1"/>
      <c r="O1" s="1"/>
      <c r="P1" s="1"/>
      <c r="Q1" s="1"/>
      <c r="R1" s="1"/>
      <c r="S1" s="1"/>
      <c r="T1" s="1"/>
      <c r="U1" s="1"/>
      <c r="V1" s="1"/>
      <c r="W1" s="1"/>
    </row>
    <row r="2" spans="1:23" ht="32" customHeight="1">
      <c r="A2" s="1"/>
      <c r="B2" s="2" t="s">
        <v>159</v>
      </c>
      <c r="C2" s="2"/>
      <c r="D2" s="2"/>
      <c r="E2" s="2"/>
      <c r="F2" s="2"/>
      <c r="G2" s="2"/>
      <c r="H2" s="2"/>
      <c r="I2" s="2"/>
      <c r="J2" s="2"/>
      <c r="K2" s="2"/>
      <c r="L2" s="2"/>
      <c r="M2" s="2"/>
      <c r="N2" s="1"/>
      <c r="O2" s="1"/>
      <c r="P2" s="1"/>
      <c r="Q2" s="1"/>
      <c r="R2" s="1"/>
      <c r="S2" s="1"/>
      <c r="T2" s="1"/>
      <c r="U2" s="1"/>
      <c r="V2" s="1"/>
      <c r="W2" s="1"/>
    </row>
    <row r="3" spans="1:23" ht="23" customHeight="1">
      <c r="A3" s="1"/>
      <c r="B3" s="3" t="s">
        <v>160</v>
      </c>
      <c r="C3" s="3"/>
      <c r="D3" s="3"/>
      <c r="E3" s="3"/>
      <c r="F3" s="3"/>
      <c r="G3" s="3"/>
      <c r="H3" s="3"/>
      <c r="I3" s="3"/>
      <c r="J3" s="3"/>
      <c r="K3" s="3"/>
      <c r="L3" s="3"/>
      <c r="M3" s="3"/>
      <c r="N3" s="1"/>
      <c r="O3" s="1"/>
      <c r="P3" s="1"/>
      <c r="Q3" s="1"/>
      <c r="R3" s="1"/>
      <c r="S3" s="1"/>
      <c r="T3" s="1"/>
      <c r="U3" s="1"/>
      <c r="V3" s="1"/>
      <c r="W3" s="1"/>
    </row>
    <row r="4" spans="1:23" ht="23" customHeight="1">
      <c r="A4" s="1"/>
      <c r="B4" s="1"/>
      <c r="C4" s="1"/>
      <c r="D4" s="1"/>
      <c r="E4" s="1"/>
      <c r="F4" s="1"/>
      <c r="G4" s="1"/>
      <c r="H4" s="1"/>
      <c r="I4" s="1"/>
      <c r="J4" s="1"/>
      <c r="K4" s="1"/>
      <c r="L4" s="1"/>
      <c r="M4" s="1"/>
      <c r="N4" s="1"/>
      <c r="O4" s="1"/>
      <c r="P4" s="1"/>
      <c r="Q4" s="1"/>
      <c r="R4" s="1"/>
      <c r="S4" s="1"/>
      <c r="T4" s="1"/>
      <c r="U4" s="1"/>
      <c r="V4" s="1"/>
      <c r="W4" s="1"/>
    </row>
    <row r="5" spans="1:23" ht="32" customHeight="1">
      <c r="A5" s="1"/>
      <c r="B5" s="4" t="s">
        <v>161</v>
      </c>
      <c r="C5" s="4" t="s">
        <v>162</v>
      </c>
      <c r="D5" s="4" t="s">
        <v>163</v>
      </c>
      <c r="E5" s="4" t="s">
        <v>164</v>
      </c>
      <c r="F5" s="4" t="s">
        <v>165</v>
      </c>
      <c r="G5" s="4" t="s">
        <v>166</v>
      </c>
      <c r="H5" s="1"/>
      <c r="I5" s="4" t="s">
        <v>167</v>
      </c>
      <c r="J5" s="4" t="s">
        <v>168</v>
      </c>
      <c r="K5" s="4" t="s">
        <v>169</v>
      </c>
      <c r="L5" s="1"/>
      <c r="M5" s="1"/>
      <c r="N5" s="1"/>
      <c r="O5" s="1"/>
      <c r="P5" s="1"/>
      <c r="Q5" s="1"/>
      <c r="R5" s="1"/>
      <c r="S5" s="1"/>
      <c r="T5" s="1"/>
      <c r="U5" s="1"/>
      <c r="V5" s="1"/>
      <c r="W5" s="1"/>
    </row>
    <row r="6" spans="1:23" ht="23" customHeight="1">
      <c r="A6" s="1"/>
      <c r="B6" s="1" t="s">
        <v>170</v>
      </c>
      <c r="C6" s="23">
        <v>16</v>
      </c>
      <c r="D6" s="24">
        <v>0.32445050040000001</v>
      </c>
      <c r="E6" s="24">
        <v>1.1166658655999999</v>
      </c>
      <c r="F6" s="24">
        <v>-0.96626332520000002</v>
      </c>
      <c r="G6" s="24">
        <v>3.1995950565000002</v>
      </c>
      <c r="H6" s="1"/>
      <c r="I6" s="14">
        <v>2.1660649819</v>
      </c>
      <c r="J6" s="14">
        <v>-7.5224393891999997</v>
      </c>
      <c r="K6" s="14">
        <v>4.1143615713999999</v>
      </c>
      <c r="L6" s="1"/>
      <c r="M6" s="1"/>
      <c r="N6" s="1"/>
      <c r="O6" s="1"/>
      <c r="P6" s="1"/>
      <c r="Q6" s="1"/>
      <c r="R6" s="1"/>
      <c r="S6" s="1"/>
      <c r="T6" s="1"/>
      <c r="U6" s="1"/>
      <c r="V6" s="1"/>
      <c r="W6" s="1"/>
    </row>
    <row r="7" spans="1:23" ht="23" customHeight="1">
      <c r="A7" s="1"/>
      <c r="B7" s="1" t="s">
        <v>171</v>
      </c>
      <c r="C7" s="23">
        <v>16</v>
      </c>
      <c r="D7" s="24">
        <v>0.30990864369999999</v>
      </c>
      <c r="E7" s="24">
        <v>0.51377374499999995</v>
      </c>
      <c r="F7" s="24">
        <v>-0.29367767360000002</v>
      </c>
      <c r="G7" s="24">
        <v>1.3212251637000001</v>
      </c>
      <c r="H7" s="1"/>
      <c r="I7" s="14">
        <v>-0.5405405405</v>
      </c>
      <c r="J7" s="14">
        <v>-5.8625539712999997</v>
      </c>
      <c r="K7" s="14">
        <v>-4.6056047679000001</v>
      </c>
      <c r="L7" s="1"/>
      <c r="M7" s="1"/>
      <c r="N7" s="1"/>
      <c r="O7" s="1"/>
      <c r="P7" s="1"/>
      <c r="Q7" s="1"/>
      <c r="R7" s="1"/>
      <c r="S7" s="1"/>
      <c r="T7" s="1"/>
      <c r="U7" s="1"/>
      <c r="V7" s="1"/>
      <c r="W7" s="1"/>
    </row>
    <row r="8" spans="1:23" ht="23" customHeight="1">
      <c r="A8" s="1"/>
      <c r="B8" s="1" t="s">
        <v>172</v>
      </c>
      <c r="C8" s="23">
        <v>15</v>
      </c>
      <c r="D8" s="24">
        <v>0.28675595879999999</v>
      </c>
      <c r="E8" s="24">
        <v>0.97369997929999996</v>
      </c>
      <c r="F8" s="24">
        <v>-1.0428820773</v>
      </c>
      <c r="G8" s="24">
        <v>2.9902820359</v>
      </c>
      <c r="H8" s="1"/>
      <c r="I8" s="14">
        <v>5.6213017751000001</v>
      </c>
      <c r="J8" s="14">
        <v>8.1566664815000003</v>
      </c>
      <c r="K8" s="14">
        <v>4.0147986157000002</v>
      </c>
      <c r="L8" s="1"/>
      <c r="M8" s="1"/>
      <c r="N8" s="1"/>
      <c r="O8" s="1"/>
      <c r="P8" s="1"/>
      <c r="Q8" s="1"/>
      <c r="R8" s="1"/>
      <c r="S8" s="1"/>
      <c r="T8" s="1"/>
      <c r="U8" s="1"/>
      <c r="V8" s="1"/>
      <c r="W8" s="1"/>
    </row>
    <row r="9" spans="1:23" ht="23" customHeight="1">
      <c r="A9" s="1"/>
      <c r="B9" s="1" t="s">
        <v>173</v>
      </c>
      <c r="C9" s="23">
        <v>15</v>
      </c>
      <c r="D9" s="24">
        <v>0.2080137349</v>
      </c>
      <c r="E9" s="24">
        <v>0.33613937799999999</v>
      </c>
      <c r="F9" s="24">
        <v>-0.35910627820000002</v>
      </c>
      <c r="G9" s="24">
        <v>1.0313850341999999</v>
      </c>
      <c r="H9" s="1"/>
      <c r="I9" s="14">
        <v>-0.82644628099999995</v>
      </c>
      <c r="J9" s="14">
        <v>-14.322629002899999</v>
      </c>
      <c r="K9" s="14">
        <v>2.7258091492999998</v>
      </c>
      <c r="L9" s="1"/>
      <c r="M9" s="1"/>
      <c r="N9" s="1"/>
      <c r="O9" s="1"/>
      <c r="P9" s="1"/>
      <c r="Q9" s="1"/>
      <c r="R9" s="1"/>
      <c r="S9" s="1"/>
      <c r="T9" s="1"/>
      <c r="U9" s="1"/>
      <c r="V9" s="1"/>
      <c r="W9" s="1"/>
    </row>
    <row r="10" spans="1:23" ht="23" customHeight="1">
      <c r="A10" s="1"/>
      <c r="B10" s="1"/>
      <c r="C10" s="1"/>
      <c r="D10" s="1"/>
      <c r="E10" s="1"/>
      <c r="F10" s="1"/>
      <c r="G10" s="1"/>
      <c r="H10" s="1"/>
      <c r="I10" s="14">
        <v>4.0372670807000004</v>
      </c>
      <c r="J10" s="14">
        <v>-0.81538671350000003</v>
      </c>
      <c r="K10" s="14">
        <v>0.77378543779999998</v>
      </c>
      <c r="L10" s="1"/>
      <c r="M10" s="1"/>
      <c r="N10" s="1"/>
      <c r="O10" s="1"/>
      <c r="P10" s="1"/>
      <c r="Q10" s="1"/>
      <c r="R10" s="1"/>
      <c r="S10" s="1"/>
      <c r="T10" s="1"/>
      <c r="U10" s="1"/>
      <c r="V10" s="1"/>
      <c r="W10" s="1"/>
    </row>
    <row r="11" spans="1:23" ht="23" customHeight="1">
      <c r="A11" s="1"/>
      <c r="B11" s="42" t="s">
        <v>174</v>
      </c>
      <c r="C11" s="42"/>
      <c r="D11" s="42"/>
      <c r="E11" s="42"/>
      <c r="F11" s="42"/>
      <c r="G11" s="42"/>
      <c r="H11" s="1"/>
      <c r="I11" s="14">
        <v>-1.3761467890000001</v>
      </c>
      <c r="J11" s="14">
        <v>1.2615108558999999</v>
      </c>
      <c r="K11" s="14">
        <v>-6.247511501</v>
      </c>
      <c r="L11" s="1"/>
      <c r="M11" s="1"/>
      <c r="N11" s="1"/>
      <c r="O11" s="1"/>
      <c r="P11" s="1"/>
      <c r="Q11" s="1"/>
      <c r="R11" s="1"/>
      <c r="S11" s="1"/>
      <c r="T11" s="1"/>
      <c r="U11" s="1"/>
      <c r="V11" s="1"/>
      <c r="W11" s="1"/>
    </row>
    <row r="12" spans="1:23" ht="23" customHeight="1">
      <c r="A12" s="1"/>
      <c r="B12" s="42"/>
      <c r="C12" s="42"/>
      <c r="D12" s="42"/>
      <c r="E12" s="42"/>
      <c r="F12" s="42"/>
      <c r="G12" s="42"/>
      <c r="H12" s="1"/>
      <c r="I12" s="14">
        <v>0.98522167490000001</v>
      </c>
      <c r="J12" s="14">
        <v>-3.7221482667000001</v>
      </c>
      <c r="K12" s="14">
        <v>0.94124585439999997</v>
      </c>
      <c r="L12" s="1"/>
      <c r="M12" s="1"/>
      <c r="N12" s="1"/>
      <c r="O12" s="1"/>
      <c r="P12" s="1"/>
      <c r="Q12" s="1"/>
      <c r="R12" s="1"/>
      <c r="S12" s="1"/>
      <c r="T12" s="1"/>
      <c r="U12" s="1"/>
      <c r="V12" s="1"/>
      <c r="W12" s="1"/>
    </row>
    <row r="13" spans="1:23" ht="23" customHeight="1">
      <c r="A13" s="1"/>
      <c r="B13" s="42"/>
      <c r="C13" s="42"/>
      <c r="D13" s="42"/>
      <c r="E13" s="42"/>
      <c r="F13" s="42"/>
      <c r="G13" s="42"/>
      <c r="H13" s="1"/>
      <c r="I13" s="14">
        <v>-1.0948905109</v>
      </c>
      <c r="J13" s="14">
        <v>-7.2177734384000001</v>
      </c>
      <c r="K13" s="14">
        <v>0.15025439800000001</v>
      </c>
      <c r="L13" s="1"/>
      <c r="M13" s="1"/>
      <c r="N13" s="1"/>
      <c r="O13" s="1"/>
      <c r="P13" s="1"/>
      <c r="Q13" s="1"/>
      <c r="R13" s="1"/>
      <c r="S13" s="1"/>
      <c r="T13" s="1"/>
      <c r="U13" s="1"/>
      <c r="V13" s="1"/>
      <c r="W13" s="1"/>
    </row>
    <row r="14" spans="1:23" ht="23" customHeight="1">
      <c r="A14" s="1"/>
      <c r="B14" s="42"/>
      <c r="C14" s="42"/>
      <c r="D14" s="42"/>
      <c r="E14" s="42"/>
      <c r="F14" s="42"/>
      <c r="G14" s="42"/>
      <c r="H14" s="1"/>
      <c r="I14" s="14">
        <v>-0.20661157020000001</v>
      </c>
      <c r="J14" s="14">
        <v>-8.5203996210999993</v>
      </c>
      <c r="K14" s="14">
        <v>-0.25896692090000001</v>
      </c>
      <c r="L14" s="1"/>
      <c r="M14" s="1"/>
      <c r="N14" s="1"/>
      <c r="O14" s="1"/>
      <c r="P14" s="1"/>
      <c r="Q14" s="1"/>
      <c r="R14" s="1"/>
      <c r="S14" s="1"/>
      <c r="T14" s="1"/>
      <c r="U14" s="1"/>
      <c r="V14" s="1"/>
      <c r="W14" s="1"/>
    </row>
    <row r="15" spans="1:23" ht="23" customHeight="1">
      <c r="A15" s="1"/>
      <c r="B15" s="1"/>
      <c r="C15" s="1"/>
      <c r="D15" s="1"/>
      <c r="E15" s="1"/>
      <c r="F15" s="1"/>
      <c r="G15" s="1"/>
      <c r="H15" s="1"/>
      <c r="I15" s="14">
        <v>-2.1739130434999998</v>
      </c>
      <c r="J15" s="14">
        <v>12.1356060464</v>
      </c>
      <c r="K15" s="14">
        <v>1.6458252150999999</v>
      </c>
      <c r="L15" s="1"/>
      <c r="M15" s="1"/>
      <c r="N15" s="1"/>
      <c r="O15" s="1"/>
      <c r="P15" s="1"/>
      <c r="Q15" s="1"/>
      <c r="R15" s="1"/>
      <c r="S15" s="1"/>
      <c r="T15" s="1"/>
      <c r="U15" s="1"/>
      <c r="V15" s="1"/>
      <c r="W15" s="1"/>
    </row>
    <row r="16" spans="1:23" ht="23" customHeight="1">
      <c r="A16" s="1"/>
      <c r="B16" s="1"/>
      <c r="C16" s="1"/>
      <c r="D16" s="1"/>
      <c r="E16" s="1"/>
      <c r="F16" s="1"/>
      <c r="G16" s="1"/>
      <c r="H16" s="1"/>
      <c r="I16" s="14">
        <v>-0.65789473679999999</v>
      </c>
      <c r="J16" s="14">
        <v>-3.3555597852000001</v>
      </c>
      <c r="K16" s="14">
        <v>2.9645146823999999</v>
      </c>
      <c r="L16" s="1"/>
      <c r="M16" s="1"/>
      <c r="N16" s="1"/>
      <c r="O16" s="1"/>
      <c r="P16" s="1"/>
      <c r="Q16" s="1"/>
      <c r="R16" s="1"/>
      <c r="S16" s="1"/>
      <c r="T16" s="1"/>
      <c r="U16" s="1"/>
      <c r="V16" s="1"/>
      <c r="W16" s="1"/>
    </row>
    <row r="17" spans="1:23" ht="23" customHeight="1">
      <c r="A17" s="1"/>
      <c r="B17" s="1"/>
      <c r="C17" s="1"/>
      <c r="D17" s="1"/>
      <c r="E17" s="1"/>
      <c r="F17" s="1"/>
      <c r="G17" s="1"/>
      <c r="H17" s="1"/>
      <c r="I17" s="14">
        <v>0.24691358020000001</v>
      </c>
      <c r="J17" s="14">
        <v>-8.5215500894999998</v>
      </c>
      <c r="K17" s="14">
        <v>0.1343244291</v>
      </c>
      <c r="L17" s="1"/>
      <c r="M17" s="1"/>
      <c r="N17" s="1"/>
      <c r="O17" s="1"/>
      <c r="P17" s="1"/>
      <c r="Q17" s="1"/>
      <c r="R17" s="1"/>
      <c r="S17" s="1"/>
      <c r="T17" s="1"/>
      <c r="U17" s="1"/>
      <c r="V17" s="1"/>
      <c r="W17" s="1"/>
    </row>
    <row r="18" spans="1:23" ht="23" customHeight="1">
      <c r="A18" s="1"/>
      <c r="B18" s="1"/>
      <c r="C18" s="1"/>
      <c r="D18" s="1"/>
      <c r="E18" s="1"/>
      <c r="F18" s="1"/>
      <c r="G18" s="1"/>
      <c r="H18" s="1"/>
      <c r="I18" s="14">
        <v>0.74906367039999999</v>
      </c>
      <c r="J18" s="14">
        <v>4.6686231580999999</v>
      </c>
      <c r="K18" s="14">
        <v>-3.9125179515999999</v>
      </c>
      <c r="L18" s="1"/>
      <c r="M18" s="1"/>
      <c r="N18" s="1"/>
      <c r="O18" s="1"/>
      <c r="P18" s="1"/>
      <c r="Q18" s="1"/>
      <c r="R18" s="1"/>
      <c r="S18" s="1"/>
      <c r="T18" s="1"/>
      <c r="U18" s="1"/>
      <c r="V18" s="1"/>
      <c r="W18" s="1"/>
    </row>
    <row r="19" spans="1:23" ht="23" customHeight="1">
      <c r="A19" s="1"/>
      <c r="B19" s="1"/>
      <c r="C19" s="1"/>
      <c r="D19" s="1"/>
      <c r="E19" s="1"/>
      <c r="F19" s="1"/>
      <c r="G19" s="1"/>
      <c r="H19" s="1"/>
      <c r="I19" s="14">
        <v>3.1620553359999999</v>
      </c>
      <c r="J19" s="14">
        <v>9.0941223971999996</v>
      </c>
      <c r="K19" s="14">
        <v>-4.2927496124999998</v>
      </c>
      <c r="L19" s="1"/>
      <c r="M19" s="1"/>
      <c r="N19" s="1"/>
      <c r="O19" s="1"/>
      <c r="P19" s="1"/>
      <c r="Q19" s="1"/>
      <c r="R19" s="1"/>
      <c r="S19" s="1"/>
      <c r="T19" s="1"/>
      <c r="U19" s="1"/>
      <c r="V19" s="1"/>
      <c r="W19" s="1"/>
    </row>
    <row r="20" spans="1:23" ht="23" customHeight="1">
      <c r="A20" s="1"/>
      <c r="B20" s="1"/>
      <c r="C20" s="1"/>
      <c r="D20" s="1"/>
      <c r="E20" s="1"/>
      <c r="F20" s="1"/>
      <c r="G20" s="1"/>
      <c r="H20" s="1"/>
      <c r="I20" s="14">
        <v>3.1791907514000002</v>
      </c>
      <c r="J20" s="14">
        <v>-2.3790055034000002</v>
      </c>
      <c r="K20" s="14">
        <v>0.82030442140000004</v>
      </c>
      <c r="L20" s="1"/>
      <c r="M20" s="1"/>
      <c r="N20" s="1"/>
      <c r="O20" s="1"/>
      <c r="P20" s="1"/>
      <c r="Q20" s="1"/>
      <c r="R20" s="1"/>
      <c r="S20" s="1"/>
      <c r="T20" s="1"/>
      <c r="U20" s="1"/>
      <c r="V20" s="1"/>
      <c r="W20" s="1"/>
    </row>
    <row r="21" spans="1:23" ht="23" customHeight="1">
      <c r="A21" s="1"/>
      <c r="B21" s="1"/>
      <c r="C21" s="1"/>
      <c r="D21" s="1"/>
      <c r="E21" s="1"/>
      <c r="F21" s="1"/>
      <c r="G21" s="1"/>
      <c r="H21" s="1"/>
      <c r="I21" s="14">
        <v>2.6030368764</v>
      </c>
      <c r="J21" s="14">
        <v>7.8428942481000004</v>
      </c>
      <c r="K21" s="14">
        <v>7.7178790229000001</v>
      </c>
      <c r="L21" s="1"/>
      <c r="M21" s="1"/>
      <c r="N21" s="1"/>
      <c r="O21" s="1"/>
      <c r="P21" s="1"/>
      <c r="Q21" s="1"/>
      <c r="R21" s="1"/>
      <c r="S21" s="1"/>
      <c r="T21" s="1"/>
      <c r="U21" s="1"/>
      <c r="V21" s="1"/>
      <c r="W21" s="1"/>
    </row>
    <row r="22" spans="1:23" ht="23" customHeight="1">
      <c r="A22" s="1"/>
      <c r="B22" s="1"/>
      <c r="C22" s="1"/>
      <c r="D22" s="1"/>
      <c r="E22" s="1"/>
      <c r="F22" s="1"/>
      <c r="G22" s="1"/>
      <c r="H22" s="1"/>
      <c r="I22" s="1"/>
      <c r="J22" s="1"/>
      <c r="K22" s="1"/>
      <c r="L22" s="1"/>
      <c r="M22" s="1"/>
      <c r="N22" s="1"/>
      <c r="O22" s="1"/>
      <c r="P22" s="1"/>
      <c r="Q22" s="1"/>
      <c r="R22" s="1"/>
      <c r="S22" s="1"/>
      <c r="T22" s="1"/>
      <c r="U22" s="1"/>
      <c r="V22" s="1"/>
      <c r="W22" s="1"/>
    </row>
    <row r="23" spans="1:23" ht="23" customHeight="1">
      <c r="A23" s="1"/>
      <c r="B23" s="1"/>
      <c r="C23" s="1"/>
      <c r="D23" s="1"/>
      <c r="E23" s="1"/>
      <c r="F23" s="1"/>
      <c r="G23" s="1"/>
      <c r="H23" s="1"/>
      <c r="I23" s="1"/>
      <c r="J23" s="1"/>
      <c r="K23" s="1"/>
      <c r="L23" s="1"/>
      <c r="M23" s="1"/>
      <c r="N23" s="1"/>
      <c r="O23" s="1"/>
      <c r="P23" s="1"/>
      <c r="Q23" s="1"/>
      <c r="R23" s="1"/>
      <c r="S23" s="1"/>
      <c r="T23" s="1"/>
      <c r="U23" s="1"/>
      <c r="V23" s="1"/>
      <c r="W23" s="1"/>
    </row>
    <row r="24" spans="1:23" ht="23" customHeight="1">
      <c r="A24" s="1"/>
      <c r="B24" s="1"/>
      <c r="C24" s="1"/>
      <c r="D24" s="1"/>
      <c r="E24" s="1"/>
      <c r="F24" s="1"/>
      <c r="G24" s="1"/>
      <c r="H24" s="1"/>
      <c r="I24" s="1"/>
      <c r="J24" s="1"/>
      <c r="K24" s="1"/>
      <c r="L24" s="1"/>
      <c r="M24" s="1"/>
      <c r="N24" s="1"/>
      <c r="O24" s="1"/>
      <c r="P24" s="1"/>
      <c r="Q24" s="1"/>
      <c r="R24" s="1"/>
      <c r="S24" s="1"/>
      <c r="T24" s="1"/>
      <c r="U24" s="1"/>
      <c r="V24" s="1"/>
      <c r="W24" s="1"/>
    </row>
    <row r="25" spans="1:23" ht="23" customHeight="1">
      <c r="A25" s="1"/>
      <c r="B25" s="1"/>
      <c r="C25" s="1"/>
      <c r="D25" s="1"/>
      <c r="E25" s="1"/>
      <c r="F25" s="1"/>
      <c r="G25" s="1"/>
      <c r="H25" s="1"/>
      <c r="I25" s="1"/>
      <c r="J25" s="1"/>
      <c r="K25" s="1"/>
      <c r="L25" s="1"/>
      <c r="M25" s="1"/>
      <c r="N25" s="1"/>
      <c r="O25" s="1"/>
      <c r="P25" s="1"/>
      <c r="Q25" s="1"/>
      <c r="R25" s="1"/>
      <c r="S25" s="1"/>
      <c r="T25" s="1"/>
      <c r="U25" s="1"/>
      <c r="V25" s="1"/>
      <c r="W25" s="1"/>
    </row>
    <row r="26" spans="1:23" ht="23" customHeight="1">
      <c r="A26" s="1"/>
      <c r="B26" s="1"/>
      <c r="C26" s="1"/>
      <c r="D26" s="1"/>
      <c r="E26" s="1"/>
      <c r="F26" s="1"/>
      <c r="G26" s="1"/>
      <c r="H26" s="1"/>
      <c r="I26" s="1"/>
      <c r="J26" s="1"/>
      <c r="K26" s="1"/>
      <c r="L26" s="1"/>
      <c r="M26" s="1"/>
      <c r="N26" s="1"/>
      <c r="O26" s="1"/>
      <c r="P26" s="1"/>
      <c r="Q26" s="1"/>
      <c r="R26" s="1"/>
      <c r="S26" s="1"/>
      <c r="T26" s="1"/>
      <c r="U26" s="1"/>
      <c r="V26" s="1"/>
      <c r="W26" s="1"/>
    </row>
    <row r="27" spans="1:23" ht="23" customHeight="1">
      <c r="A27" s="1"/>
      <c r="B27" s="1"/>
      <c r="C27" s="1"/>
      <c r="D27" s="1"/>
      <c r="E27" s="1"/>
      <c r="F27" s="1"/>
      <c r="G27" s="1"/>
      <c r="H27" s="1"/>
      <c r="I27" s="1"/>
      <c r="J27" s="1"/>
      <c r="K27" s="1"/>
      <c r="L27" s="1"/>
      <c r="M27" s="1"/>
      <c r="N27" s="1"/>
      <c r="O27" s="1"/>
      <c r="P27" s="1"/>
      <c r="Q27" s="1"/>
      <c r="R27" s="1"/>
      <c r="S27" s="1"/>
      <c r="T27" s="1"/>
      <c r="U27" s="1"/>
      <c r="V27" s="1"/>
      <c r="W27" s="1"/>
    </row>
    <row r="28" spans="1:23" ht="23" customHeight="1">
      <c r="A28" s="1"/>
      <c r="B28" s="1"/>
      <c r="C28" s="1"/>
      <c r="D28" s="1"/>
      <c r="E28" s="1"/>
      <c r="F28" s="1"/>
      <c r="G28" s="1"/>
      <c r="H28" s="1"/>
      <c r="I28" s="1"/>
      <c r="J28" s="1"/>
      <c r="K28" s="1"/>
      <c r="L28" s="1"/>
      <c r="M28" s="1"/>
      <c r="N28" s="1"/>
      <c r="O28" s="1"/>
      <c r="P28" s="1"/>
      <c r="Q28" s="1"/>
      <c r="R28" s="1"/>
      <c r="S28" s="1"/>
      <c r="T28" s="1"/>
      <c r="U28" s="1"/>
      <c r="V28" s="1"/>
      <c r="W28" s="1"/>
    </row>
    <row r="29" spans="1:23" ht="23" customHeight="1">
      <c r="A29" s="1"/>
      <c r="B29" s="1"/>
      <c r="C29" s="1"/>
      <c r="D29" s="1"/>
      <c r="E29" s="1"/>
      <c r="F29" s="1"/>
      <c r="G29" s="1"/>
      <c r="H29" s="1"/>
      <c r="I29" s="1"/>
      <c r="J29" s="1"/>
      <c r="K29" s="1"/>
      <c r="L29" s="1"/>
      <c r="M29" s="1"/>
      <c r="N29" s="1"/>
      <c r="O29" s="1"/>
      <c r="P29" s="1"/>
      <c r="Q29" s="1"/>
      <c r="R29" s="1"/>
      <c r="S29" s="1"/>
      <c r="T29" s="1"/>
      <c r="U29" s="1"/>
      <c r="V29" s="1"/>
      <c r="W29" s="1"/>
    </row>
    <row r="30" spans="1:23" ht="23" customHeight="1">
      <c r="A30" s="1"/>
      <c r="B30" s="1"/>
      <c r="C30" s="1"/>
      <c r="D30" s="1"/>
      <c r="E30" s="1"/>
      <c r="F30" s="1"/>
      <c r="G30" s="1"/>
      <c r="H30" s="1"/>
      <c r="I30" s="1"/>
      <c r="J30" s="1"/>
      <c r="K30" s="1"/>
      <c r="L30" s="1"/>
      <c r="M30" s="1"/>
      <c r="N30" s="1"/>
      <c r="O30" s="1"/>
      <c r="P30" s="1"/>
      <c r="Q30" s="1"/>
      <c r="R30" s="1"/>
      <c r="S30" s="1"/>
      <c r="T30" s="1"/>
      <c r="U30" s="1"/>
      <c r="V30" s="1"/>
      <c r="W30" s="1"/>
    </row>
    <row r="31" spans="1:23" ht="23" customHeight="1">
      <c r="A31" s="1"/>
      <c r="B31" s="1"/>
      <c r="C31" s="1"/>
      <c r="D31" s="1"/>
      <c r="E31" s="1"/>
      <c r="F31" s="1"/>
      <c r="G31" s="1"/>
      <c r="H31" s="1"/>
      <c r="I31" s="1"/>
      <c r="J31" s="1"/>
      <c r="K31" s="1"/>
      <c r="L31" s="1"/>
      <c r="M31" s="1"/>
      <c r="N31" s="1"/>
      <c r="O31" s="1"/>
      <c r="P31" s="1"/>
      <c r="Q31" s="1"/>
      <c r="R31" s="1"/>
      <c r="S31" s="1"/>
      <c r="T31" s="1"/>
      <c r="U31" s="1"/>
      <c r="V31" s="1"/>
      <c r="W31" s="1"/>
    </row>
    <row r="32" spans="1:23" ht="23" customHeight="1">
      <c r="A32" s="1"/>
      <c r="B32" s="1"/>
      <c r="C32" s="1"/>
      <c r="D32" s="1"/>
      <c r="E32" s="1"/>
      <c r="F32" s="1"/>
      <c r="G32" s="1"/>
      <c r="H32" s="1"/>
      <c r="I32" s="1"/>
      <c r="J32" s="1"/>
      <c r="K32" s="1"/>
      <c r="L32" s="1"/>
      <c r="M32" s="1"/>
      <c r="N32" s="1"/>
      <c r="O32" s="1"/>
      <c r="P32" s="1"/>
      <c r="Q32" s="1"/>
      <c r="R32" s="1"/>
      <c r="S32" s="1"/>
      <c r="T32" s="1"/>
      <c r="U32" s="1"/>
      <c r="V32" s="1"/>
      <c r="W32" s="1"/>
    </row>
    <row r="33" spans="1:23" ht="23" customHeight="1">
      <c r="A33" s="1"/>
      <c r="B33" s="1"/>
      <c r="C33" s="1"/>
      <c r="D33" s="1"/>
      <c r="E33" s="1"/>
      <c r="F33" s="1"/>
      <c r="G33" s="1"/>
      <c r="H33" s="1"/>
      <c r="I33" s="1"/>
      <c r="J33" s="1"/>
      <c r="K33" s="1"/>
      <c r="L33" s="1"/>
      <c r="M33" s="1"/>
      <c r="N33" s="1"/>
      <c r="O33" s="1"/>
      <c r="P33" s="1"/>
      <c r="Q33" s="1"/>
      <c r="R33" s="1"/>
      <c r="S33" s="1"/>
      <c r="T33" s="1"/>
      <c r="U33" s="1"/>
      <c r="V33" s="1"/>
      <c r="W33" s="1"/>
    </row>
    <row r="34" spans="1:23" ht="23" customHeight="1">
      <c r="A34" s="1"/>
      <c r="B34" s="1"/>
      <c r="C34" s="1"/>
      <c r="D34" s="1"/>
      <c r="E34" s="1"/>
      <c r="F34" s="1"/>
      <c r="G34" s="1"/>
      <c r="H34" s="1"/>
      <c r="I34" s="1"/>
      <c r="J34" s="1"/>
      <c r="K34" s="1"/>
      <c r="L34" s="1"/>
      <c r="M34" s="1"/>
      <c r="N34" s="1"/>
      <c r="O34" s="1"/>
      <c r="P34" s="1"/>
      <c r="Q34" s="1"/>
      <c r="R34" s="1"/>
      <c r="S34" s="1"/>
      <c r="T34" s="1"/>
      <c r="U34" s="1"/>
      <c r="V34" s="1"/>
      <c r="W34" s="1"/>
    </row>
    <row r="35" spans="1:23" ht="23" customHeight="1">
      <c r="A35" s="1"/>
      <c r="B35" s="1"/>
      <c r="C35" s="1"/>
      <c r="D35" s="1"/>
      <c r="E35" s="1"/>
      <c r="F35" s="1"/>
      <c r="G35" s="1"/>
      <c r="H35" s="1"/>
      <c r="I35" s="1"/>
      <c r="J35" s="1"/>
      <c r="K35" s="1"/>
      <c r="L35" s="1"/>
      <c r="M35" s="1"/>
      <c r="N35" s="1"/>
      <c r="O35" s="1"/>
      <c r="P35" s="1"/>
      <c r="Q35" s="1"/>
      <c r="R35" s="1"/>
      <c r="S35" s="1"/>
      <c r="T35" s="1"/>
      <c r="U35" s="1"/>
      <c r="V35" s="1"/>
      <c r="W35" s="1"/>
    </row>
    <row r="36" spans="1:23" ht="47" customHeight="1">
      <c r="A36" s="1"/>
      <c r="B36" s="4" t="s">
        <v>175</v>
      </c>
      <c r="C36" s="4" t="s">
        <v>176</v>
      </c>
      <c r="D36" s="4" t="s">
        <v>177</v>
      </c>
      <c r="E36" s="4" t="s">
        <v>178</v>
      </c>
      <c r="F36" s="1"/>
      <c r="G36" s="1"/>
      <c r="H36" s="1"/>
      <c r="I36" s="1"/>
      <c r="J36" s="1"/>
      <c r="K36" s="1"/>
      <c r="L36" s="1"/>
      <c r="M36" s="1"/>
      <c r="N36" s="1"/>
      <c r="O36" s="1"/>
      <c r="P36" s="1"/>
      <c r="Q36" s="1"/>
      <c r="R36" s="1"/>
      <c r="S36" s="1"/>
      <c r="T36" s="1"/>
      <c r="U36" s="1"/>
      <c r="V36" s="1"/>
      <c r="W36" s="1"/>
    </row>
    <row r="37" spans="1:23" ht="85" customHeight="1">
      <c r="A37" s="1"/>
      <c r="B37" s="8" t="s">
        <v>179</v>
      </c>
      <c r="C37" s="8" t="s">
        <v>180</v>
      </c>
      <c r="D37" s="8" t="s">
        <v>181</v>
      </c>
      <c r="E37" s="8" t="s">
        <v>182</v>
      </c>
      <c r="F37" s="1"/>
      <c r="G37" s="1"/>
      <c r="H37" s="1"/>
      <c r="I37" s="1"/>
      <c r="J37" s="1"/>
      <c r="K37" s="1"/>
      <c r="L37" s="1"/>
      <c r="M37" s="1"/>
      <c r="N37" s="1"/>
      <c r="O37" s="1"/>
      <c r="P37" s="1"/>
      <c r="Q37" s="1"/>
      <c r="R37" s="1"/>
      <c r="S37" s="1"/>
      <c r="T37" s="1"/>
      <c r="U37" s="1"/>
      <c r="V37" s="1"/>
      <c r="W37" s="1"/>
    </row>
    <row r="38" spans="1:23" ht="85" customHeight="1">
      <c r="A38" s="1"/>
      <c r="B38" s="8" t="s">
        <v>183</v>
      </c>
      <c r="C38" s="8" t="s">
        <v>184</v>
      </c>
      <c r="D38" s="8" t="s">
        <v>185</v>
      </c>
      <c r="E38" s="8" t="s">
        <v>186</v>
      </c>
      <c r="F38" s="1"/>
      <c r="G38" s="1"/>
      <c r="H38" s="1"/>
      <c r="I38" s="1"/>
      <c r="J38" s="1"/>
      <c r="K38" s="1"/>
      <c r="L38" s="1"/>
      <c r="M38" s="1"/>
      <c r="N38" s="1"/>
      <c r="O38" s="1"/>
      <c r="P38" s="1"/>
      <c r="Q38" s="1"/>
      <c r="R38" s="1"/>
      <c r="S38" s="1"/>
      <c r="T38" s="1"/>
      <c r="U38" s="1"/>
      <c r="V38" s="1"/>
      <c r="W38" s="1"/>
    </row>
    <row r="39" spans="1:23" ht="85" customHeight="1">
      <c r="A39" s="1"/>
      <c r="B39" s="8" t="s">
        <v>187</v>
      </c>
      <c r="C39" s="8" t="s">
        <v>188</v>
      </c>
      <c r="D39" s="8" t="s">
        <v>189</v>
      </c>
      <c r="E39" s="8" t="s">
        <v>190</v>
      </c>
      <c r="F39" s="1"/>
      <c r="G39" s="1"/>
      <c r="H39" s="1"/>
      <c r="I39" s="1"/>
      <c r="J39" s="1"/>
      <c r="K39" s="1"/>
      <c r="L39" s="1"/>
      <c r="M39" s="1"/>
      <c r="N39" s="1"/>
      <c r="O39" s="1"/>
      <c r="P39" s="1"/>
      <c r="Q39" s="1"/>
      <c r="R39" s="1"/>
      <c r="S39" s="1"/>
      <c r="T39" s="1"/>
      <c r="U39" s="1"/>
      <c r="V39" s="1"/>
      <c r="W39" s="1"/>
    </row>
    <row r="40" spans="1:23" ht="23" customHeight="1">
      <c r="A40" s="1"/>
      <c r="B40" s="1"/>
      <c r="C40" s="1"/>
      <c r="D40" s="1"/>
      <c r="E40" s="1"/>
      <c r="F40" s="1"/>
      <c r="G40" s="1"/>
      <c r="H40" s="1"/>
      <c r="I40" s="1"/>
      <c r="J40" s="1"/>
      <c r="K40" s="1"/>
      <c r="L40" s="1"/>
      <c r="M40" s="1"/>
      <c r="N40" s="1"/>
      <c r="O40" s="1"/>
      <c r="P40" s="1"/>
      <c r="Q40" s="1"/>
      <c r="R40" s="1"/>
      <c r="S40" s="1"/>
      <c r="T40" s="1"/>
      <c r="U40" s="1"/>
      <c r="V40" s="1"/>
      <c r="W40" s="1"/>
    </row>
    <row r="41" spans="1:23" ht="23" customHeight="1">
      <c r="A41" s="1"/>
      <c r="B41" s="1"/>
      <c r="C41" s="1"/>
      <c r="D41" s="1"/>
      <c r="E41" s="1"/>
      <c r="F41" s="1"/>
      <c r="G41" s="1"/>
      <c r="H41" s="1"/>
      <c r="I41" s="1"/>
      <c r="J41" s="1"/>
      <c r="K41" s="1"/>
      <c r="L41" s="1"/>
      <c r="M41" s="1"/>
      <c r="N41" s="1"/>
      <c r="O41" s="1"/>
      <c r="P41" s="1"/>
      <c r="Q41" s="1"/>
      <c r="R41" s="1"/>
      <c r="S41" s="1"/>
      <c r="T41" s="1"/>
      <c r="U41" s="1"/>
      <c r="V41" s="1"/>
      <c r="W41" s="1"/>
    </row>
    <row r="42" spans="1:23" ht="23" customHeight="1">
      <c r="A42" s="1"/>
      <c r="B42" s="42" t="s">
        <v>191</v>
      </c>
      <c r="C42" s="42"/>
      <c r="D42" s="42"/>
      <c r="E42" s="42"/>
      <c r="F42" s="42"/>
      <c r="G42" s="42"/>
      <c r="H42" s="1"/>
      <c r="I42" s="1"/>
      <c r="J42" s="1"/>
      <c r="K42" s="1"/>
      <c r="L42" s="1"/>
      <c r="M42" s="1"/>
      <c r="N42" s="1"/>
      <c r="O42" s="1"/>
      <c r="P42" s="1"/>
      <c r="Q42" s="1"/>
      <c r="R42" s="1"/>
      <c r="S42" s="1"/>
      <c r="T42" s="1"/>
      <c r="U42" s="1"/>
      <c r="V42" s="1"/>
      <c r="W42" s="1"/>
    </row>
    <row r="43" spans="1:23" ht="23" customHeight="1">
      <c r="A43" s="1"/>
      <c r="B43" s="42"/>
      <c r="C43" s="42"/>
      <c r="D43" s="42"/>
      <c r="E43" s="42"/>
      <c r="F43" s="42"/>
      <c r="G43" s="42"/>
      <c r="H43" s="1"/>
      <c r="I43" s="1"/>
      <c r="J43" s="1"/>
      <c r="K43" s="1"/>
      <c r="L43" s="1"/>
      <c r="M43" s="1"/>
      <c r="N43" s="1"/>
      <c r="O43" s="1"/>
      <c r="P43" s="1"/>
      <c r="Q43" s="1"/>
      <c r="R43" s="1"/>
      <c r="S43" s="1"/>
      <c r="T43" s="1"/>
      <c r="U43" s="1"/>
      <c r="V43" s="1"/>
      <c r="W43" s="1"/>
    </row>
    <row r="44" spans="1:23" ht="23" customHeight="1">
      <c r="A44" s="1"/>
      <c r="B44" s="42"/>
      <c r="C44" s="42"/>
      <c r="D44" s="42"/>
      <c r="E44" s="42"/>
      <c r="F44" s="42"/>
      <c r="G44" s="42"/>
      <c r="H44" s="1"/>
      <c r="I44" s="1"/>
      <c r="J44" s="1"/>
      <c r="K44" s="1"/>
      <c r="L44" s="1"/>
      <c r="M44" s="1"/>
      <c r="N44" s="1"/>
      <c r="O44" s="1"/>
      <c r="P44" s="1"/>
      <c r="Q44" s="1"/>
      <c r="R44" s="1"/>
      <c r="S44" s="1"/>
      <c r="T44" s="1"/>
      <c r="U44" s="1"/>
      <c r="V44" s="1"/>
      <c r="W44" s="1"/>
    </row>
    <row r="45" spans="1:23" ht="23" customHeight="1">
      <c r="A45" s="1"/>
      <c r="B45" s="42"/>
      <c r="C45" s="42"/>
      <c r="D45" s="42"/>
      <c r="E45" s="42"/>
      <c r="F45" s="42"/>
      <c r="G45" s="42"/>
      <c r="H45" s="1"/>
      <c r="I45" s="1"/>
      <c r="J45" s="1"/>
      <c r="K45" s="1"/>
      <c r="L45" s="1"/>
      <c r="M45" s="1"/>
      <c r="N45" s="1"/>
      <c r="O45" s="1"/>
      <c r="P45" s="1"/>
      <c r="Q45" s="1"/>
      <c r="R45" s="1"/>
      <c r="S45" s="1"/>
      <c r="T45" s="1"/>
      <c r="U45" s="1"/>
      <c r="V45" s="1"/>
      <c r="W45" s="1"/>
    </row>
    <row r="46" spans="1:23" ht="23" customHeight="1">
      <c r="A46" s="1"/>
      <c r="B46" s="1"/>
      <c r="C46" s="1"/>
      <c r="D46" s="1"/>
      <c r="E46" s="1"/>
      <c r="F46" s="1"/>
      <c r="G46" s="1"/>
      <c r="H46" s="1"/>
      <c r="I46" s="1"/>
      <c r="J46" s="1"/>
      <c r="K46" s="1"/>
      <c r="L46" s="1"/>
      <c r="M46" s="1"/>
      <c r="N46" s="1"/>
      <c r="O46" s="1"/>
      <c r="P46" s="1"/>
      <c r="Q46" s="1"/>
      <c r="R46" s="1"/>
      <c r="S46" s="1"/>
      <c r="T46" s="1"/>
      <c r="U46" s="1"/>
      <c r="V46" s="1"/>
      <c r="W46" s="1"/>
    </row>
    <row r="47" spans="1:23" ht="23" customHeight="1">
      <c r="A47" s="1"/>
      <c r="B47" s="1"/>
      <c r="C47" s="1"/>
      <c r="D47" s="1"/>
      <c r="E47" s="1"/>
      <c r="F47" s="1"/>
      <c r="G47" s="1"/>
      <c r="H47" s="1"/>
      <c r="I47" s="1"/>
      <c r="J47" s="1"/>
      <c r="K47" s="1"/>
      <c r="L47" s="1"/>
      <c r="M47" s="1"/>
      <c r="N47" s="1"/>
      <c r="O47" s="1"/>
      <c r="P47" s="1"/>
      <c r="Q47" s="1"/>
      <c r="R47" s="1"/>
      <c r="S47" s="1"/>
      <c r="T47" s="1"/>
      <c r="U47" s="1"/>
      <c r="V47" s="1"/>
      <c r="W47" s="1"/>
    </row>
    <row r="48" spans="1:23" ht="32" customHeight="1">
      <c r="A48" s="1"/>
      <c r="B48" s="4" t="s">
        <v>192</v>
      </c>
      <c r="C48" s="4" t="s">
        <v>168</v>
      </c>
      <c r="D48" s="4" t="s">
        <v>169</v>
      </c>
      <c r="E48" s="1"/>
      <c r="F48" s="1"/>
      <c r="G48" s="1"/>
      <c r="H48" s="1"/>
      <c r="I48" s="1"/>
      <c r="J48" s="1"/>
      <c r="K48" s="1"/>
      <c r="L48" s="1"/>
      <c r="M48" s="1"/>
      <c r="N48" s="1"/>
      <c r="O48" s="1"/>
      <c r="P48" s="1"/>
      <c r="Q48" s="1"/>
      <c r="R48" s="1"/>
      <c r="S48" s="1"/>
      <c r="T48" s="1"/>
      <c r="U48" s="1"/>
      <c r="V48" s="1"/>
      <c r="W48" s="1"/>
    </row>
    <row r="49" spans="1:23" ht="23" customHeight="1">
      <c r="A49" s="1"/>
      <c r="B49" s="15" t="str">
        <f>'Event data'!B6</f>
        <v>2020Q4</v>
      </c>
      <c r="C49" s="16">
        <f>'Event data'!M6</f>
        <v>5.6917565601</v>
      </c>
      <c r="D49" s="16">
        <f>'Event data'!N6</f>
        <v>6.8087814487999996</v>
      </c>
      <c r="E49" s="1"/>
      <c r="F49" s="1"/>
      <c r="G49" s="1"/>
      <c r="H49" s="1"/>
      <c r="I49" s="1"/>
      <c r="J49" s="1"/>
      <c r="K49" s="1"/>
      <c r="L49" s="1"/>
      <c r="M49" s="1"/>
      <c r="N49" s="1"/>
      <c r="O49" s="1"/>
      <c r="P49" s="1"/>
      <c r="Q49" s="1"/>
      <c r="R49" s="1"/>
      <c r="S49" s="1"/>
      <c r="T49" s="1"/>
      <c r="U49" s="1"/>
      <c r="V49" s="1"/>
      <c r="W49" s="1"/>
    </row>
    <row r="50" spans="1:23" ht="23" customHeight="1">
      <c r="A50" s="1"/>
      <c r="B50" s="15" t="str">
        <f>'Event data'!B7</f>
        <v>2021Q1</v>
      </c>
      <c r="C50" s="16">
        <f>'Event data'!M7</f>
        <v>0.40086714369999998</v>
      </c>
      <c r="D50" s="16">
        <f>'Event data'!N7</f>
        <v>1.3818242111000001</v>
      </c>
      <c r="E50" s="1"/>
      <c r="F50" s="1"/>
      <c r="G50" s="1"/>
      <c r="H50" s="1"/>
      <c r="I50" s="1"/>
      <c r="J50" s="1"/>
      <c r="K50" s="1"/>
      <c r="L50" s="1"/>
      <c r="M50" s="1"/>
      <c r="N50" s="1"/>
      <c r="O50" s="1"/>
      <c r="P50" s="1"/>
      <c r="Q50" s="1"/>
      <c r="R50" s="1"/>
      <c r="S50" s="1"/>
      <c r="T50" s="1"/>
      <c r="U50" s="1"/>
      <c r="V50" s="1"/>
      <c r="W50" s="1"/>
    </row>
    <row r="51" spans="1:23" ht="23" customHeight="1">
      <c r="A51" s="1"/>
      <c r="B51" s="15" t="str">
        <f>'Event data'!B8</f>
        <v>2021Q2</v>
      </c>
      <c r="C51" s="16">
        <f>'Event data'!M8</f>
        <v>-3.0685082120999998</v>
      </c>
      <c r="D51" s="16">
        <f>'Event data'!N8</f>
        <v>3.9064826674000002</v>
      </c>
      <c r="E51" s="1"/>
      <c r="F51" s="1"/>
      <c r="G51" s="1"/>
      <c r="H51" s="1"/>
      <c r="I51" s="1"/>
      <c r="J51" s="1"/>
      <c r="K51" s="1"/>
      <c r="L51" s="1"/>
      <c r="M51" s="1"/>
      <c r="N51" s="1"/>
      <c r="O51" s="1"/>
      <c r="P51" s="1"/>
      <c r="Q51" s="1"/>
      <c r="R51" s="1"/>
      <c r="S51" s="1"/>
      <c r="T51" s="1"/>
      <c r="U51" s="1"/>
      <c r="V51" s="1"/>
      <c r="W51" s="1"/>
    </row>
    <row r="52" spans="1:23" ht="23" customHeight="1">
      <c r="A52" s="1"/>
      <c r="B52" s="15" t="str">
        <f>'Event data'!B9</f>
        <v>2021Q3</v>
      </c>
      <c r="C52" s="16">
        <f>'Event data'!M9</f>
        <v>3.8578968805999998</v>
      </c>
      <c r="D52" s="16">
        <f>'Event data'!N9</f>
        <v>8.6704678176000005</v>
      </c>
      <c r="E52" s="1"/>
      <c r="F52" s="1"/>
      <c r="G52" s="1"/>
      <c r="H52" s="1"/>
      <c r="I52" s="1"/>
      <c r="J52" s="1"/>
      <c r="K52" s="1"/>
      <c r="L52" s="1"/>
      <c r="M52" s="1"/>
      <c r="N52" s="1"/>
      <c r="O52" s="1"/>
      <c r="P52" s="1"/>
      <c r="Q52" s="1"/>
      <c r="R52" s="1"/>
      <c r="S52" s="1"/>
      <c r="T52" s="1"/>
      <c r="U52" s="1"/>
      <c r="V52" s="1"/>
      <c r="W52" s="1"/>
    </row>
    <row r="53" spans="1:23" ht="23" customHeight="1">
      <c r="A53" s="1"/>
      <c r="B53" s="15" t="str">
        <f>'Event data'!B10</f>
        <v>2021Q4</v>
      </c>
      <c r="C53" s="16">
        <f>'Event data'!M10</f>
        <v>-0.33709396940000003</v>
      </c>
      <c r="D53" s="16">
        <f>'Event data'!N10</f>
        <v>4.0530080498999999</v>
      </c>
      <c r="E53" s="1"/>
      <c r="F53" s="1"/>
      <c r="G53" s="1"/>
      <c r="H53" s="1"/>
      <c r="I53" s="1"/>
      <c r="J53" s="1"/>
      <c r="K53" s="1"/>
      <c r="L53" s="1"/>
      <c r="M53" s="1"/>
      <c r="N53" s="1"/>
      <c r="O53" s="1"/>
      <c r="P53" s="1"/>
      <c r="Q53" s="1"/>
      <c r="R53" s="1"/>
      <c r="S53" s="1"/>
      <c r="T53" s="1"/>
      <c r="U53" s="1"/>
      <c r="V53" s="1"/>
      <c r="W53" s="1"/>
    </row>
    <row r="54" spans="1:23" ht="23" customHeight="1">
      <c r="A54" s="1"/>
      <c r="B54" s="15" t="str">
        <f>'Event data'!B11</f>
        <v>2022Q1</v>
      </c>
      <c r="C54" s="16">
        <f>'Event data'!M11</f>
        <v>5.0532099846999996</v>
      </c>
      <c r="D54" s="16">
        <f>'Event data'!N11</f>
        <v>-0.84303553519999996</v>
      </c>
      <c r="E54" s="1"/>
      <c r="F54" s="1"/>
      <c r="G54" s="1"/>
      <c r="H54" s="1"/>
      <c r="I54" s="1"/>
      <c r="J54" s="1"/>
      <c r="K54" s="1"/>
      <c r="L54" s="1"/>
      <c r="M54" s="1"/>
      <c r="N54" s="1"/>
      <c r="O54" s="1"/>
      <c r="P54" s="1"/>
      <c r="Q54" s="1"/>
      <c r="R54" s="1"/>
      <c r="S54" s="1"/>
      <c r="T54" s="1"/>
      <c r="U54" s="1"/>
      <c r="V54" s="1"/>
      <c r="W54" s="1"/>
    </row>
    <row r="55" spans="1:23" ht="23" customHeight="1">
      <c r="A55" s="1"/>
      <c r="B55" s="15" t="str">
        <f>'Event data'!B12</f>
        <v>2022Q2</v>
      </c>
      <c r="C55" s="16">
        <f>'Event data'!M12</f>
        <v>-7.5224393891999997</v>
      </c>
      <c r="D55" s="16">
        <f>'Event data'!N12</f>
        <v>4.1143615713999999</v>
      </c>
      <c r="E55" s="1"/>
      <c r="F55" s="1"/>
      <c r="G55" s="1"/>
      <c r="H55" s="1"/>
      <c r="I55" s="1"/>
      <c r="J55" s="1"/>
      <c r="K55" s="1"/>
      <c r="L55" s="1"/>
      <c r="M55" s="1"/>
      <c r="N55" s="1"/>
      <c r="O55" s="1"/>
      <c r="P55" s="1"/>
      <c r="Q55" s="1"/>
      <c r="R55" s="1"/>
      <c r="S55" s="1"/>
      <c r="T55" s="1"/>
      <c r="U55" s="1"/>
      <c r="V55" s="1"/>
      <c r="W55" s="1"/>
    </row>
    <row r="56" spans="1:23" ht="23" customHeight="1">
      <c r="A56" s="1"/>
      <c r="B56" s="15" t="str">
        <f>'Event data'!B13</f>
        <v>2022Q3</v>
      </c>
      <c r="C56" s="16">
        <f>'Event data'!M13</f>
        <v>-5.8625539712999997</v>
      </c>
      <c r="D56" s="16">
        <f>'Event data'!N13</f>
        <v>-4.6056047679000001</v>
      </c>
      <c r="E56" s="1"/>
      <c r="F56" s="1"/>
      <c r="G56" s="1"/>
      <c r="H56" s="1"/>
      <c r="I56" s="1"/>
      <c r="J56" s="1"/>
      <c r="K56" s="1"/>
      <c r="L56" s="1"/>
      <c r="M56" s="1"/>
      <c r="N56" s="1"/>
      <c r="O56" s="1"/>
      <c r="P56" s="1"/>
      <c r="Q56" s="1"/>
      <c r="R56" s="1"/>
      <c r="S56" s="1"/>
      <c r="T56" s="1"/>
      <c r="U56" s="1"/>
      <c r="V56" s="1"/>
      <c r="W56" s="1"/>
    </row>
    <row r="57" spans="1:23" ht="23" customHeight="1">
      <c r="A57" s="1"/>
      <c r="B57" s="15" t="str">
        <f>'Event data'!B14</f>
        <v>2022Q4</v>
      </c>
      <c r="C57" s="16">
        <f>'Event data'!M14</f>
        <v>8.1566664815000003</v>
      </c>
      <c r="D57" s="16">
        <f>'Event data'!N14</f>
        <v>4.0147986157000002</v>
      </c>
      <c r="E57" s="1"/>
      <c r="F57" s="1"/>
      <c r="G57" s="1"/>
      <c r="H57" s="1"/>
      <c r="I57" s="1"/>
      <c r="J57" s="1"/>
      <c r="K57" s="1"/>
      <c r="L57" s="1"/>
      <c r="M57" s="1"/>
      <c r="N57" s="1"/>
      <c r="O57" s="1"/>
      <c r="P57" s="1"/>
      <c r="Q57" s="1"/>
      <c r="R57" s="1"/>
      <c r="S57" s="1"/>
      <c r="T57" s="1"/>
      <c r="U57" s="1"/>
      <c r="V57" s="1"/>
      <c r="W57" s="1"/>
    </row>
    <row r="58" spans="1:23" ht="23" customHeight="1">
      <c r="A58" s="1"/>
      <c r="B58" s="15" t="str">
        <f>'Event data'!B15</f>
        <v>2023Q1</v>
      </c>
      <c r="C58" s="16">
        <f>'Event data'!M15</f>
        <v>-14.322629002899999</v>
      </c>
      <c r="D58" s="16">
        <f>'Event data'!N15</f>
        <v>2.7258091492999998</v>
      </c>
      <c r="E58" s="1"/>
      <c r="F58" s="1"/>
      <c r="G58" s="1"/>
      <c r="H58" s="1"/>
      <c r="I58" s="1"/>
      <c r="J58" s="1"/>
      <c r="K58" s="1"/>
      <c r="L58" s="1"/>
      <c r="M58" s="1"/>
      <c r="N58" s="1"/>
      <c r="O58" s="1"/>
      <c r="P58" s="1"/>
      <c r="Q58" s="1"/>
      <c r="R58" s="1"/>
      <c r="S58" s="1"/>
      <c r="T58" s="1"/>
      <c r="U58" s="1"/>
      <c r="V58" s="1"/>
      <c r="W58" s="1"/>
    </row>
    <row r="59" spans="1:23" ht="23" customHeight="1">
      <c r="A59" s="1"/>
      <c r="B59" s="15" t="str">
        <f>'Event data'!B16</f>
        <v>2023Q2</v>
      </c>
      <c r="C59" s="16">
        <f>'Event data'!M16</f>
        <v>-0.81538671350000003</v>
      </c>
      <c r="D59" s="16">
        <f>'Event data'!N16</f>
        <v>0.77378543779999998</v>
      </c>
      <c r="E59" s="1"/>
      <c r="F59" s="1"/>
      <c r="G59" s="1"/>
      <c r="H59" s="1"/>
      <c r="I59" s="1"/>
      <c r="J59" s="1"/>
      <c r="K59" s="1"/>
      <c r="L59" s="1"/>
      <c r="M59" s="1"/>
      <c r="N59" s="1"/>
      <c r="O59" s="1"/>
      <c r="P59" s="1"/>
      <c r="Q59" s="1"/>
      <c r="R59" s="1"/>
      <c r="S59" s="1"/>
      <c r="T59" s="1"/>
      <c r="U59" s="1"/>
      <c r="V59" s="1"/>
      <c r="W59" s="1"/>
    </row>
    <row r="60" spans="1:23" ht="23" customHeight="1">
      <c r="A60" s="1"/>
      <c r="B60" s="15" t="str">
        <f>'Event data'!B17</f>
        <v>2023Q3</v>
      </c>
      <c r="C60" s="16">
        <f>'Event data'!M17</f>
        <v>1.2615108558999999</v>
      </c>
      <c r="D60" s="16">
        <f>'Event data'!N17</f>
        <v>-6.247511501</v>
      </c>
      <c r="E60" s="1"/>
      <c r="F60" s="1"/>
      <c r="G60" s="1"/>
      <c r="H60" s="1"/>
      <c r="I60" s="1"/>
      <c r="J60" s="1"/>
      <c r="K60" s="1"/>
      <c r="L60" s="1"/>
      <c r="M60" s="1"/>
      <c r="N60" s="1"/>
      <c r="O60" s="1"/>
      <c r="P60" s="1"/>
      <c r="Q60" s="1"/>
      <c r="R60" s="1"/>
      <c r="S60" s="1"/>
      <c r="T60" s="1"/>
      <c r="U60" s="1"/>
      <c r="V60" s="1"/>
      <c r="W60" s="1"/>
    </row>
    <row r="61" spans="1:23" ht="23" customHeight="1">
      <c r="A61" s="1"/>
      <c r="B61" s="15" t="str">
        <f>'Event data'!B18</f>
        <v>2023Q4</v>
      </c>
      <c r="C61" s="16">
        <f>'Event data'!M18</f>
        <v>-3.7221482667000001</v>
      </c>
      <c r="D61" s="16">
        <f>'Event data'!N18</f>
        <v>0.94124585439999997</v>
      </c>
      <c r="E61" s="1"/>
      <c r="F61" s="1"/>
      <c r="G61" s="1"/>
      <c r="H61" s="1"/>
      <c r="I61" s="1"/>
      <c r="J61" s="1"/>
      <c r="K61" s="1"/>
      <c r="L61" s="1"/>
      <c r="M61" s="1"/>
      <c r="N61" s="1"/>
      <c r="O61" s="1"/>
      <c r="P61" s="1"/>
      <c r="Q61" s="1"/>
      <c r="R61" s="1"/>
      <c r="S61" s="1"/>
      <c r="T61" s="1"/>
      <c r="U61" s="1"/>
      <c r="V61" s="1"/>
      <c r="W61" s="1"/>
    </row>
    <row r="62" spans="1:23" ht="23" customHeight="1">
      <c r="A62" s="1"/>
      <c r="B62" s="15" t="str">
        <f>'Event data'!B19</f>
        <v>2024Q1</v>
      </c>
      <c r="C62" s="16">
        <f>'Event data'!M19</f>
        <v>-7.2177734384000001</v>
      </c>
      <c r="D62" s="16">
        <f>'Event data'!N19</f>
        <v>0.15025439800000001</v>
      </c>
      <c r="E62" s="1"/>
      <c r="F62" s="1"/>
      <c r="G62" s="1"/>
      <c r="H62" s="1"/>
      <c r="I62" s="1"/>
      <c r="J62" s="1"/>
      <c r="K62" s="1"/>
      <c r="L62" s="1"/>
      <c r="M62" s="1"/>
      <c r="N62" s="1"/>
      <c r="O62" s="1"/>
      <c r="P62" s="1"/>
      <c r="Q62" s="1"/>
      <c r="R62" s="1"/>
      <c r="S62" s="1"/>
      <c r="T62" s="1"/>
      <c r="U62" s="1"/>
      <c r="V62" s="1"/>
      <c r="W62" s="1"/>
    </row>
    <row r="63" spans="1:23" ht="23" customHeight="1">
      <c r="A63" s="1"/>
      <c r="B63" s="15" t="str">
        <f>'Event data'!B20</f>
        <v>2024Q2</v>
      </c>
      <c r="C63" s="16">
        <f>'Event data'!M20</f>
        <v>-15.4027754508</v>
      </c>
      <c r="D63" s="16">
        <f>'Event data'!N20</f>
        <v>3.1318558926</v>
      </c>
      <c r="E63" s="1"/>
      <c r="F63" s="1"/>
      <c r="G63" s="1"/>
      <c r="H63" s="1"/>
      <c r="I63" s="1"/>
      <c r="J63" s="1"/>
      <c r="K63" s="1"/>
      <c r="L63" s="1"/>
      <c r="M63" s="1"/>
      <c r="N63" s="1"/>
      <c r="O63" s="1"/>
      <c r="P63" s="1"/>
      <c r="Q63" s="1"/>
      <c r="R63" s="1"/>
      <c r="S63" s="1"/>
      <c r="T63" s="1"/>
      <c r="U63" s="1"/>
      <c r="V63" s="1"/>
      <c r="W63" s="1"/>
    </row>
    <row r="64" spans="1:23" ht="23" customHeight="1">
      <c r="A64" s="1"/>
      <c r="B64" s="15" t="str">
        <f>'Event data'!B21</f>
        <v>2024Q3</v>
      </c>
      <c r="C64" s="16">
        <f>'Event data'!M21</f>
        <v>-8.5203996210999993</v>
      </c>
      <c r="D64" s="16">
        <f>'Event data'!N21</f>
        <v>-0.25896692090000001</v>
      </c>
      <c r="E64" s="1"/>
      <c r="F64" s="1"/>
      <c r="G64" s="1"/>
      <c r="H64" s="1"/>
      <c r="I64" s="1"/>
      <c r="J64" s="1"/>
      <c r="K64" s="1"/>
      <c r="L64" s="1"/>
      <c r="M64" s="1"/>
      <c r="N64" s="1"/>
      <c r="O64" s="1"/>
      <c r="P64" s="1"/>
      <c r="Q64" s="1"/>
      <c r="R64" s="1"/>
      <c r="S64" s="1"/>
      <c r="T64" s="1"/>
      <c r="U64" s="1"/>
      <c r="V64" s="1"/>
      <c r="W64" s="1"/>
    </row>
    <row r="65" spans="1:23" ht="23" customHeight="1">
      <c r="A65" s="1"/>
      <c r="B65" s="15" t="str">
        <f>'Event data'!B22</f>
        <v>2024Q4</v>
      </c>
      <c r="C65" s="16">
        <f>'Event data'!M22</f>
        <v>12.1356060464</v>
      </c>
      <c r="D65" s="16">
        <f>'Event data'!N22</f>
        <v>1.6458252150999999</v>
      </c>
      <c r="E65" s="1"/>
      <c r="F65" s="1"/>
      <c r="G65" s="1"/>
      <c r="H65" s="1"/>
      <c r="I65" s="1"/>
      <c r="J65" s="1"/>
      <c r="K65" s="1"/>
      <c r="L65" s="1"/>
      <c r="M65" s="1"/>
      <c r="N65" s="1"/>
      <c r="O65" s="1"/>
      <c r="P65" s="1"/>
      <c r="Q65" s="1"/>
      <c r="R65" s="1"/>
      <c r="S65" s="1"/>
      <c r="T65" s="1"/>
      <c r="U65" s="1"/>
      <c r="V65" s="1"/>
      <c r="W65" s="1"/>
    </row>
    <row r="66" spans="1:23" ht="23" customHeight="1">
      <c r="A66" s="1"/>
      <c r="B66" s="15" t="str">
        <f>'Event data'!B23</f>
        <v>2025Q1</v>
      </c>
      <c r="C66" s="16">
        <f>'Event data'!M23</f>
        <v>-3.3555597852000001</v>
      </c>
      <c r="D66" s="16">
        <f>'Event data'!N23</f>
        <v>2.9645146823999999</v>
      </c>
      <c r="E66" s="1"/>
      <c r="F66" s="1"/>
      <c r="G66" s="1"/>
      <c r="H66" s="1"/>
      <c r="I66" s="1"/>
      <c r="J66" s="1"/>
      <c r="K66" s="1"/>
      <c r="L66" s="1"/>
      <c r="M66" s="1"/>
      <c r="N66" s="1"/>
      <c r="O66" s="1"/>
      <c r="P66" s="1"/>
      <c r="Q66" s="1"/>
      <c r="R66" s="1"/>
      <c r="S66" s="1"/>
      <c r="T66" s="1"/>
      <c r="U66" s="1"/>
      <c r="V66" s="1"/>
      <c r="W66" s="1"/>
    </row>
    <row r="67" spans="1:23" ht="23" customHeight="1">
      <c r="A67" s="1"/>
      <c r="B67" s="15" t="str">
        <f>'Event data'!B24</f>
        <v>2025Q2</v>
      </c>
      <c r="C67" s="16">
        <f>'Event data'!M24</f>
        <v>-8.5215500894999998</v>
      </c>
      <c r="D67" s="16">
        <f>'Event data'!N24</f>
        <v>0.1343244291</v>
      </c>
      <c r="E67" s="1"/>
      <c r="F67" s="1"/>
      <c r="G67" s="1"/>
      <c r="H67" s="1"/>
      <c r="I67" s="1"/>
      <c r="J67" s="1"/>
      <c r="K67" s="1"/>
      <c r="L67" s="1"/>
      <c r="M67" s="1"/>
      <c r="N67" s="1"/>
      <c r="O67" s="1"/>
      <c r="P67" s="1"/>
      <c r="Q67" s="1"/>
      <c r="R67" s="1"/>
      <c r="S67" s="1"/>
      <c r="T67" s="1"/>
      <c r="U67" s="1"/>
      <c r="V67" s="1"/>
      <c r="W67" s="1"/>
    </row>
    <row r="68" spans="1:23" ht="23" customHeight="1">
      <c r="A68" s="1"/>
      <c r="B68" s="15" t="str">
        <f>'Event data'!B25</f>
        <v>2025Q3</v>
      </c>
      <c r="C68" s="16">
        <f>'Event data'!M25</f>
        <v>4.6686231580999999</v>
      </c>
      <c r="D68" s="16">
        <f>'Event data'!N25</f>
        <v>-3.9125179515999999</v>
      </c>
      <c r="E68" s="1"/>
      <c r="F68" s="1"/>
      <c r="G68" s="1"/>
      <c r="H68" s="1"/>
      <c r="I68" s="1"/>
      <c r="J68" s="1"/>
      <c r="K68" s="1"/>
      <c r="L68" s="1"/>
      <c r="M68" s="1"/>
      <c r="N68" s="1"/>
      <c r="O68" s="1"/>
      <c r="P68" s="1"/>
      <c r="Q68" s="1"/>
      <c r="R68" s="1"/>
      <c r="S68" s="1"/>
      <c r="T68" s="1"/>
      <c r="U68" s="1"/>
      <c r="V68" s="1"/>
      <c r="W68" s="1"/>
    </row>
    <row r="69" spans="1:23" ht="23" customHeight="1">
      <c r="A69" s="1"/>
      <c r="B69" s="15" t="str">
        <f>'Event data'!B26</f>
        <v>2025Q4</v>
      </c>
      <c r="C69" s="16">
        <f>'Event data'!M26</f>
        <v>9.0941223971999996</v>
      </c>
      <c r="D69" s="16">
        <f>'Event data'!N26</f>
        <v>-4.2927496124999998</v>
      </c>
      <c r="E69" s="1"/>
      <c r="F69" s="1"/>
      <c r="G69" s="1"/>
      <c r="H69" s="1"/>
      <c r="I69" s="1"/>
      <c r="J69" s="1"/>
      <c r="K69" s="1"/>
      <c r="L69" s="1"/>
      <c r="M69" s="1"/>
      <c r="N69" s="1"/>
      <c r="O69" s="1"/>
      <c r="P69" s="1"/>
      <c r="Q69" s="1"/>
      <c r="R69" s="1"/>
      <c r="S69" s="1"/>
      <c r="T69" s="1"/>
      <c r="U69" s="1"/>
      <c r="V69" s="1"/>
      <c r="W69" s="1"/>
    </row>
    <row r="70" spans="1:23" ht="23" customHeight="1">
      <c r="A70" s="1"/>
      <c r="B70" s="15" t="str">
        <f>'Event data'!B27</f>
        <v>2026Q1</v>
      </c>
      <c r="C70" s="16">
        <f>'Event data'!M27</f>
        <v>-2.3790055034000002</v>
      </c>
      <c r="D70" s="16">
        <f>'Event data'!N27</f>
        <v>0.82030442140000004</v>
      </c>
      <c r="E70" s="1"/>
      <c r="F70" s="1"/>
      <c r="G70" s="1"/>
      <c r="H70" s="1"/>
      <c r="I70" s="1"/>
      <c r="J70" s="1"/>
      <c r="K70" s="1"/>
      <c r="L70" s="1"/>
      <c r="M70" s="1"/>
      <c r="N70" s="1"/>
      <c r="O70" s="1"/>
      <c r="P70" s="1"/>
      <c r="Q70" s="1"/>
      <c r="R70" s="1"/>
      <c r="S70" s="1"/>
      <c r="T70" s="1"/>
      <c r="U70" s="1"/>
      <c r="V70" s="1"/>
      <c r="W70" s="1"/>
    </row>
    <row r="71" spans="1:23" ht="23" customHeight="1">
      <c r="A71" s="1"/>
      <c r="B71" s="15" t="str">
        <f>'Event data'!B28</f>
        <v>2026Q2</v>
      </c>
      <c r="C71" s="16">
        <f>'Event data'!M28</f>
        <v>7.8428942481000004</v>
      </c>
      <c r="D71" s="16">
        <f>'Event data'!N28</f>
        <v>7.7178790229000001</v>
      </c>
      <c r="E71" s="1"/>
      <c r="F71" s="1"/>
      <c r="G71" s="1"/>
      <c r="H71" s="1"/>
      <c r="I71" s="1"/>
      <c r="J71" s="1"/>
      <c r="K71" s="1"/>
      <c r="L71" s="1"/>
      <c r="M71" s="1"/>
      <c r="N71" s="1"/>
      <c r="O71" s="1"/>
      <c r="P71" s="1"/>
      <c r="Q71" s="1"/>
      <c r="R71" s="1"/>
      <c r="S71" s="1"/>
      <c r="T71" s="1"/>
      <c r="U71" s="1"/>
      <c r="V71" s="1"/>
      <c r="W71" s="1"/>
    </row>
    <row r="72" spans="1:23" ht="23" customHeight="1">
      <c r="A72" s="1"/>
      <c r="B72" s="1"/>
      <c r="C72" s="1"/>
      <c r="D72" s="1"/>
      <c r="E72" s="1"/>
      <c r="F72" s="1"/>
      <c r="G72" s="1"/>
      <c r="H72" s="1"/>
      <c r="I72" s="1"/>
      <c r="J72" s="1"/>
      <c r="K72" s="1"/>
      <c r="L72" s="1"/>
      <c r="M72" s="1"/>
      <c r="N72" s="1"/>
      <c r="O72" s="1"/>
      <c r="P72" s="1"/>
      <c r="Q72" s="1"/>
      <c r="R72" s="1"/>
      <c r="S72" s="1"/>
      <c r="T72" s="1"/>
      <c r="U72" s="1"/>
      <c r="V72" s="1"/>
      <c r="W72" s="1"/>
    </row>
    <row r="73" spans="1:23" ht="23" customHeight="1">
      <c r="A73" s="1"/>
      <c r="B73" s="1"/>
      <c r="C73" s="1"/>
      <c r="D73" s="1"/>
      <c r="E73" s="1"/>
      <c r="F73" s="1"/>
      <c r="G73" s="1"/>
      <c r="H73" s="1"/>
      <c r="I73" s="1"/>
      <c r="J73" s="1"/>
      <c r="K73" s="1"/>
      <c r="L73" s="1"/>
      <c r="M73" s="1"/>
      <c r="N73" s="1"/>
      <c r="O73" s="1"/>
      <c r="P73" s="1"/>
      <c r="Q73" s="1"/>
      <c r="R73" s="1"/>
      <c r="S73" s="1"/>
      <c r="T73" s="1"/>
      <c r="U73" s="1"/>
      <c r="V73" s="1"/>
      <c r="W73" s="1"/>
    </row>
    <row r="74" spans="1:23" ht="23" customHeight="1">
      <c r="A74" s="1"/>
      <c r="B74" s="1"/>
      <c r="C74" s="1"/>
      <c r="D74" s="1"/>
      <c r="E74" s="1"/>
      <c r="F74" s="1"/>
      <c r="G74" s="1"/>
      <c r="H74" s="1"/>
      <c r="I74" s="1"/>
      <c r="J74" s="1"/>
      <c r="K74" s="1"/>
      <c r="L74" s="1"/>
      <c r="M74" s="1"/>
      <c r="N74" s="1"/>
      <c r="O74" s="1"/>
      <c r="P74" s="1"/>
      <c r="Q74" s="1"/>
      <c r="R74" s="1"/>
      <c r="S74" s="1"/>
      <c r="T74" s="1"/>
      <c r="U74" s="1"/>
      <c r="V74" s="1"/>
      <c r="W74" s="1"/>
    </row>
    <row r="75" spans="1:23" ht="23" customHeight="1">
      <c r="A75" s="1"/>
      <c r="B75" s="1"/>
      <c r="C75" s="1"/>
      <c r="D75" s="1"/>
      <c r="E75" s="1"/>
      <c r="F75" s="1"/>
      <c r="G75" s="1"/>
      <c r="H75" s="1"/>
      <c r="I75" s="1"/>
      <c r="J75" s="1"/>
      <c r="K75" s="1"/>
      <c r="L75" s="1"/>
      <c r="M75" s="1"/>
      <c r="N75" s="1"/>
      <c r="O75" s="1"/>
      <c r="P75" s="1"/>
      <c r="Q75" s="1"/>
      <c r="R75" s="1"/>
      <c r="S75" s="1"/>
      <c r="T75" s="1"/>
      <c r="U75" s="1"/>
      <c r="V75" s="1"/>
      <c r="W75" s="1"/>
    </row>
    <row r="76" spans="1:23" ht="23" customHeight="1">
      <c r="A76" s="1"/>
      <c r="B76" s="1"/>
      <c r="C76" s="1"/>
      <c r="D76" s="1"/>
      <c r="E76" s="1"/>
      <c r="F76" s="1"/>
      <c r="G76" s="1"/>
      <c r="H76" s="1"/>
      <c r="I76" s="1"/>
      <c r="J76" s="1"/>
      <c r="K76" s="1"/>
      <c r="L76" s="1"/>
      <c r="M76" s="1"/>
      <c r="N76" s="1"/>
      <c r="O76" s="1"/>
      <c r="P76" s="1"/>
      <c r="Q76" s="1"/>
      <c r="R76" s="1"/>
      <c r="S76" s="1"/>
      <c r="T76" s="1"/>
      <c r="U76" s="1"/>
      <c r="V76" s="1"/>
      <c r="W76" s="1"/>
    </row>
    <row r="77" spans="1:23" ht="23" customHeight="1">
      <c r="A77" s="1"/>
      <c r="B77" s="1"/>
      <c r="C77" s="1"/>
      <c r="D77" s="1"/>
      <c r="E77" s="1"/>
      <c r="F77" s="1"/>
      <c r="G77" s="1"/>
      <c r="H77" s="1"/>
      <c r="I77" s="1"/>
      <c r="J77" s="1"/>
      <c r="K77" s="1"/>
      <c r="L77" s="1"/>
      <c r="M77" s="1"/>
      <c r="N77" s="1"/>
      <c r="O77" s="1"/>
      <c r="P77" s="1"/>
      <c r="Q77" s="1"/>
      <c r="R77" s="1"/>
      <c r="S77" s="1"/>
      <c r="T77" s="1"/>
      <c r="U77" s="1"/>
      <c r="V77" s="1"/>
      <c r="W77" s="1"/>
    </row>
    <row r="78" spans="1:23" ht="23" customHeight="1">
      <c r="A78" s="1"/>
      <c r="B78" s="1"/>
      <c r="C78" s="1"/>
      <c r="D78" s="1"/>
      <c r="E78" s="1"/>
      <c r="F78" s="1"/>
      <c r="G78" s="1"/>
      <c r="H78" s="1"/>
      <c r="I78" s="1"/>
      <c r="J78" s="1"/>
      <c r="K78" s="1"/>
      <c r="L78" s="1"/>
      <c r="M78" s="1"/>
      <c r="N78" s="1"/>
      <c r="O78" s="1"/>
      <c r="P78" s="1"/>
      <c r="Q78" s="1"/>
      <c r="R78" s="1"/>
      <c r="S78" s="1"/>
      <c r="T78" s="1"/>
      <c r="U78" s="1"/>
      <c r="V78" s="1"/>
      <c r="W78" s="1"/>
    </row>
    <row r="79" spans="1:23" ht="23" customHeight="1">
      <c r="A79" s="1"/>
      <c r="B79" s="1"/>
      <c r="C79" s="1"/>
      <c r="D79" s="1"/>
      <c r="E79" s="1"/>
      <c r="F79" s="1"/>
      <c r="G79" s="1"/>
      <c r="H79" s="1"/>
      <c r="I79" s="1"/>
      <c r="J79" s="1"/>
      <c r="K79" s="1"/>
      <c r="L79" s="1"/>
      <c r="M79" s="1"/>
      <c r="N79" s="1"/>
      <c r="O79" s="1"/>
      <c r="P79" s="1"/>
      <c r="Q79" s="1"/>
      <c r="R79" s="1"/>
      <c r="S79" s="1"/>
      <c r="T79" s="1"/>
      <c r="U79" s="1"/>
      <c r="V79" s="1"/>
      <c r="W79" s="1"/>
    </row>
    <row r="80" spans="1:23" ht="23" customHeight="1">
      <c r="A80" s="1"/>
      <c r="B80" s="1"/>
      <c r="C80" s="1"/>
      <c r="D80" s="1"/>
      <c r="E80" s="1"/>
      <c r="F80" s="1"/>
      <c r="G80" s="1"/>
      <c r="H80" s="1"/>
      <c r="I80" s="1"/>
      <c r="J80" s="1"/>
      <c r="K80" s="1"/>
      <c r="L80" s="1"/>
      <c r="M80" s="1"/>
      <c r="N80" s="1"/>
      <c r="O80" s="1"/>
      <c r="P80" s="1"/>
      <c r="Q80" s="1"/>
      <c r="R80" s="1"/>
      <c r="S80" s="1"/>
      <c r="T80" s="1"/>
      <c r="U80" s="1"/>
      <c r="V80" s="1"/>
      <c r="W80" s="1"/>
    </row>
    <row r="81" spans="1:23" ht="23" customHeight="1">
      <c r="A81" s="1"/>
      <c r="B81" s="1"/>
      <c r="C81" s="1"/>
      <c r="D81" s="1"/>
      <c r="E81" s="1"/>
      <c r="F81" s="1"/>
      <c r="G81" s="1"/>
      <c r="H81" s="1"/>
      <c r="I81" s="1"/>
      <c r="J81" s="1"/>
      <c r="K81" s="1"/>
      <c r="L81" s="1"/>
      <c r="M81" s="1"/>
      <c r="N81" s="1"/>
      <c r="O81" s="1"/>
      <c r="P81" s="1"/>
      <c r="Q81" s="1"/>
      <c r="R81" s="1"/>
      <c r="S81" s="1"/>
      <c r="T81" s="1"/>
      <c r="U81" s="1"/>
      <c r="V81" s="1"/>
      <c r="W81" s="1"/>
    </row>
    <row r="82" spans="1:23" ht="23" customHeight="1">
      <c r="A82" s="1"/>
      <c r="B82" s="1"/>
      <c r="C82" s="1"/>
      <c r="D82" s="1"/>
      <c r="E82" s="1"/>
      <c r="F82" s="1"/>
      <c r="G82" s="1"/>
      <c r="H82" s="1"/>
      <c r="I82" s="1"/>
      <c r="J82" s="1"/>
      <c r="K82" s="1"/>
      <c r="L82" s="1"/>
      <c r="M82" s="1"/>
      <c r="N82" s="1"/>
      <c r="O82" s="1"/>
      <c r="P82" s="1"/>
      <c r="Q82" s="1"/>
      <c r="R82" s="1"/>
      <c r="S82" s="1"/>
      <c r="T82" s="1"/>
      <c r="U82" s="1"/>
      <c r="V82" s="1"/>
      <c r="W82" s="1"/>
    </row>
    <row r="83" spans="1:23" ht="23" customHeight="1">
      <c r="A83" s="1"/>
      <c r="B83" s="1"/>
      <c r="C83" s="1"/>
      <c r="D83" s="1"/>
      <c r="E83" s="1"/>
      <c r="F83" s="1"/>
      <c r="G83" s="1"/>
      <c r="H83" s="1"/>
      <c r="I83" s="1"/>
      <c r="J83" s="1"/>
      <c r="K83" s="1"/>
      <c r="L83" s="1"/>
      <c r="M83" s="1"/>
      <c r="N83" s="1"/>
      <c r="O83" s="1"/>
      <c r="P83" s="1"/>
      <c r="Q83" s="1"/>
      <c r="R83" s="1"/>
      <c r="S83" s="1"/>
      <c r="T83" s="1"/>
      <c r="U83" s="1"/>
      <c r="V83" s="1"/>
      <c r="W83" s="1"/>
    </row>
    <row r="84" spans="1:23" ht="23" customHeight="1">
      <c r="A84" s="1"/>
      <c r="B84" s="1"/>
      <c r="C84" s="1"/>
      <c r="D84" s="1"/>
      <c r="E84" s="1"/>
      <c r="F84" s="1"/>
      <c r="G84" s="1"/>
      <c r="H84" s="1"/>
      <c r="I84" s="1"/>
      <c r="J84" s="1"/>
      <c r="K84" s="1"/>
      <c r="L84" s="1"/>
      <c r="M84" s="1"/>
      <c r="N84" s="1"/>
      <c r="O84" s="1"/>
      <c r="P84" s="1"/>
      <c r="Q84" s="1"/>
      <c r="R84" s="1"/>
      <c r="S84" s="1"/>
      <c r="T84" s="1"/>
      <c r="U84" s="1"/>
      <c r="V84" s="1"/>
      <c r="W84" s="1"/>
    </row>
    <row r="85" spans="1:23" ht="23" customHeight="1">
      <c r="A85" s="1"/>
      <c r="B85" s="1"/>
      <c r="C85" s="1"/>
      <c r="D85" s="1"/>
      <c r="E85" s="1"/>
      <c r="F85" s="1"/>
      <c r="G85" s="1"/>
      <c r="H85" s="1"/>
      <c r="I85" s="1"/>
      <c r="J85" s="1"/>
      <c r="K85" s="1"/>
      <c r="L85" s="1"/>
      <c r="M85" s="1"/>
      <c r="N85" s="1"/>
      <c r="O85" s="1"/>
      <c r="P85" s="1"/>
      <c r="Q85" s="1"/>
      <c r="R85" s="1"/>
      <c r="S85" s="1"/>
      <c r="T85" s="1"/>
      <c r="U85" s="1"/>
      <c r="V85" s="1"/>
      <c r="W85" s="1"/>
    </row>
    <row r="86" spans="1:23" ht="23" customHeight="1">
      <c r="A86" s="1"/>
      <c r="B86" s="1"/>
      <c r="C86" s="1"/>
      <c r="D86" s="1"/>
      <c r="E86" s="1"/>
      <c r="F86" s="1"/>
      <c r="G86" s="1"/>
      <c r="H86" s="1"/>
      <c r="I86" s="1"/>
      <c r="J86" s="1"/>
      <c r="K86" s="1"/>
      <c r="L86" s="1"/>
      <c r="M86" s="1"/>
      <c r="N86" s="1"/>
      <c r="O86" s="1"/>
      <c r="P86" s="1"/>
      <c r="Q86" s="1"/>
      <c r="R86" s="1"/>
      <c r="S86" s="1"/>
      <c r="T86" s="1"/>
      <c r="U86" s="1"/>
      <c r="V86" s="1"/>
      <c r="W86" s="1"/>
    </row>
    <row r="87" spans="1:23" ht="23" customHeight="1">
      <c r="A87" s="1"/>
      <c r="B87" s="1"/>
      <c r="C87" s="1"/>
      <c r="D87" s="1"/>
      <c r="E87" s="1"/>
      <c r="F87" s="1"/>
      <c r="G87" s="1"/>
      <c r="H87" s="1"/>
      <c r="I87" s="1"/>
      <c r="J87" s="1"/>
      <c r="K87" s="1"/>
      <c r="L87" s="1"/>
      <c r="M87" s="1"/>
      <c r="N87" s="1"/>
      <c r="O87" s="1"/>
      <c r="P87" s="1"/>
      <c r="Q87" s="1"/>
      <c r="R87" s="1"/>
      <c r="S87" s="1"/>
      <c r="T87" s="1"/>
      <c r="U87" s="1"/>
      <c r="V87" s="1"/>
      <c r="W87" s="1"/>
    </row>
    <row r="88" spans="1:23" ht="23" customHeight="1">
      <c r="A88" s="1"/>
      <c r="B88" s="1"/>
      <c r="C88" s="1"/>
      <c r="D88" s="1"/>
      <c r="E88" s="1"/>
      <c r="F88" s="1"/>
      <c r="G88" s="1"/>
      <c r="H88" s="1"/>
      <c r="I88" s="1"/>
      <c r="J88" s="1"/>
      <c r="K88" s="1"/>
      <c r="L88" s="1"/>
      <c r="M88" s="1"/>
      <c r="N88" s="1"/>
      <c r="O88" s="1"/>
      <c r="P88" s="1"/>
      <c r="Q88" s="1"/>
      <c r="R88" s="1"/>
      <c r="S88" s="1"/>
      <c r="T88" s="1"/>
      <c r="U88" s="1"/>
      <c r="V88" s="1"/>
      <c r="W88" s="1"/>
    </row>
    <row r="89" spans="1:23" ht="23" customHeight="1">
      <c r="A89" s="1"/>
      <c r="B89" s="1"/>
      <c r="C89" s="1"/>
      <c r="D89" s="1"/>
      <c r="E89" s="1"/>
      <c r="F89" s="1"/>
      <c r="G89" s="1"/>
      <c r="H89" s="1"/>
      <c r="I89" s="1"/>
      <c r="J89" s="1"/>
      <c r="K89" s="1"/>
      <c r="L89" s="1"/>
      <c r="M89" s="1"/>
      <c r="N89" s="1"/>
      <c r="O89" s="1"/>
      <c r="P89" s="1"/>
      <c r="Q89" s="1"/>
      <c r="R89" s="1"/>
      <c r="S89" s="1"/>
      <c r="T89" s="1"/>
      <c r="U89" s="1"/>
      <c r="V89" s="1"/>
      <c r="W89" s="1"/>
    </row>
    <row r="90" spans="1:23" ht="23" customHeight="1">
      <c r="A90" s="1"/>
      <c r="B90" s="1"/>
      <c r="C90" s="1"/>
      <c r="D90" s="1"/>
      <c r="E90" s="1"/>
      <c r="F90" s="1"/>
      <c r="G90" s="1"/>
      <c r="H90" s="1"/>
      <c r="I90" s="1"/>
      <c r="J90" s="1"/>
      <c r="K90" s="1"/>
      <c r="L90" s="1"/>
      <c r="M90" s="1"/>
      <c r="N90" s="1"/>
      <c r="O90" s="1"/>
      <c r="P90" s="1"/>
      <c r="Q90" s="1"/>
      <c r="R90" s="1"/>
      <c r="S90" s="1"/>
      <c r="T90" s="1"/>
      <c r="U90" s="1"/>
      <c r="V90" s="1"/>
      <c r="W90" s="1"/>
    </row>
    <row r="91" spans="1:23" ht="23" customHeight="1">
      <c r="A91" s="1"/>
      <c r="B91" s="1"/>
      <c r="C91" s="1"/>
      <c r="D91" s="1"/>
      <c r="E91" s="1"/>
      <c r="F91" s="1"/>
      <c r="G91" s="1"/>
      <c r="H91" s="1"/>
      <c r="I91" s="1"/>
      <c r="J91" s="1"/>
      <c r="K91" s="1"/>
      <c r="L91" s="1"/>
      <c r="M91" s="1"/>
      <c r="N91" s="1"/>
      <c r="O91" s="1"/>
      <c r="P91" s="1"/>
      <c r="Q91" s="1"/>
      <c r="R91" s="1"/>
      <c r="S91" s="1"/>
      <c r="T91" s="1"/>
      <c r="U91" s="1"/>
      <c r="V91" s="1"/>
      <c r="W91" s="1"/>
    </row>
    <row r="92" spans="1:23" ht="23" customHeight="1">
      <c r="A92" s="1"/>
      <c r="B92" s="1"/>
      <c r="C92" s="1"/>
      <c r="D92" s="1"/>
      <c r="E92" s="1"/>
      <c r="F92" s="1"/>
      <c r="G92" s="1"/>
      <c r="H92" s="1"/>
      <c r="I92" s="1"/>
      <c r="J92" s="1"/>
      <c r="K92" s="1"/>
      <c r="L92" s="1"/>
      <c r="M92" s="1"/>
      <c r="N92" s="1"/>
      <c r="O92" s="1"/>
      <c r="P92" s="1"/>
      <c r="Q92" s="1"/>
      <c r="R92" s="1"/>
      <c r="S92" s="1"/>
      <c r="T92" s="1"/>
      <c r="U92" s="1"/>
      <c r="V92" s="1"/>
      <c r="W92" s="1"/>
    </row>
    <row r="93" spans="1:23" ht="23" customHeight="1">
      <c r="A93" s="1"/>
      <c r="B93" s="1"/>
      <c r="C93" s="1"/>
      <c r="D93" s="1"/>
      <c r="E93" s="1"/>
      <c r="F93" s="1"/>
      <c r="G93" s="1"/>
      <c r="H93" s="1"/>
      <c r="I93" s="1"/>
      <c r="J93" s="1"/>
      <c r="K93" s="1"/>
      <c r="L93" s="1"/>
      <c r="M93" s="1"/>
      <c r="N93" s="1"/>
      <c r="O93" s="1"/>
      <c r="P93" s="1"/>
      <c r="Q93" s="1"/>
      <c r="R93" s="1"/>
      <c r="S93" s="1"/>
      <c r="T93" s="1"/>
      <c r="U93" s="1"/>
      <c r="V93" s="1"/>
      <c r="W93" s="1"/>
    </row>
    <row r="94" spans="1:23" ht="23" customHeight="1">
      <c r="A94" s="1"/>
      <c r="B94" s="1"/>
      <c r="C94" s="1"/>
      <c r="D94" s="1"/>
      <c r="E94" s="1"/>
      <c r="F94" s="1"/>
      <c r="G94" s="1"/>
      <c r="H94" s="1"/>
      <c r="I94" s="1"/>
      <c r="J94" s="1"/>
      <c r="K94" s="1"/>
      <c r="L94" s="1"/>
      <c r="M94" s="1"/>
      <c r="N94" s="1"/>
      <c r="O94" s="1"/>
      <c r="P94" s="1"/>
      <c r="Q94" s="1"/>
      <c r="R94" s="1"/>
      <c r="S94" s="1"/>
      <c r="T94" s="1"/>
      <c r="U94" s="1"/>
      <c r="V94" s="1"/>
      <c r="W94" s="1"/>
    </row>
    <row r="95" spans="1:23" ht="23" customHeight="1">
      <c r="A95" s="1"/>
      <c r="B95" s="1"/>
      <c r="C95" s="1"/>
      <c r="D95" s="1"/>
      <c r="E95" s="1"/>
      <c r="F95" s="1"/>
      <c r="G95" s="1"/>
      <c r="H95" s="1"/>
      <c r="I95" s="1"/>
      <c r="J95" s="1"/>
      <c r="K95" s="1"/>
      <c r="L95" s="1"/>
      <c r="M95" s="1"/>
      <c r="N95" s="1"/>
      <c r="O95" s="1"/>
      <c r="P95" s="1"/>
      <c r="Q95" s="1"/>
      <c r="R95" s="1"/>
      <c r="S95" s="1"/>
      <c r="T95" s="1"/>
      <c r="U95" s="1"/>
      <c r="V95" s="1"/>
      <c r="W95" s="1"/>
    </row>
    <row r="96" spans="1:23" ht="23" customHeight="1">
      <c r="A96" s="1"/>
      <c r="B96" s="1"/>
      <c r="C96" s="1"/>
      <c r="D96" s="1"/>
      <c r="E96" s="1"/>
      <c r="F96" s="1"/>
      <c r="G96" s="1"/>
      <c r="H96" s="1"/>
      <c r="I96" s="1"/>
      <c r="J96" s="1"/>
      <c r="K96" s="1"/>
      <c r="L96" s="1"/>
      <c r="M96" s="1"/>
      <c r="N96" s="1"/>
      <c r="O96" s="1"/>
      <c r="P96" s="1"/>
      <c r="Q96" s="1"/>
      <c r="R96" s="1"/>
      <c r="S96" s="1"/>
      <c r="T96" s="1"/>
      <c r="U96" s="1"/>
      <c r="V96" s="1"/>
      <c r="W96" s="1"/>
    </row>
    <row r="97" spans="1:23" ht="23" customHeight="1">
      <c r="A97" s="1"/>
      <c r="B97" s="1"/>
      <c r="C97" s="1"/>
      <c r="D97" s="1"/>
      <c r="E97" s="1"/>
      <c r="F97" s="1"/>
      <c r="G97" s="1"/>
      <c r="H97" s="1"/>
      <c r="I97" s="1"/>
      <c r="J97" s="1"/>
      <c r="K97" s="1"/>
      <c r="L97" s="1"/>
      <c r="M97" s="1"/>
      <c r="N97" s="1"/>
      <c r="O97" s="1"/>
      <c r="P97" s="1"/>
      <c r="Q97" s="1"/>
      <c r="R97" s="1"/>
      <c r="S97" s="1"/>
      <c r="T97" s="1"/>
      <c r="U97" s="1"/>
      <c r="V97" s="1"/>
      <c r="W97" s="1"/>
    </row>
    <row r="98" spans="1:23" ht="23" customHeight="1">
      <c r="A98" s="1"/>
      <c r="B98" s="1"/>
      <c r="C98" s="1"/>
      <c r="D98" s="1"/>
      <c r="E98" s="1"/>
      <c r="F98" s="1"/>
      <c r="G98" s="1"/>
      <c r="H98" s="1"/>
      <c r="I98" s="1"/>
      <c r="J98" s="1"/>
      <c r="K98" s="1"/>
      <c r="L98" s="1"/>
      <c r="M98" s="1"/>
      <c r="N98" s="1"/>
      <c r="O98" s="1"/>
      <c r="P98" s="1"/>
      <c r="Q98" s="1"/>
      <c r="R98" s="1"/>
      <c r="S98" s="1"/>
      <c r="T98" s="1"/>
      <c r="U98" s="1"/>
      <c r="V98" s="1"/>
      <c r="W98" s="1"/>
    </row>
    <row r="99" spans="1:23" ht="23" customHeight="1">
      <c r="A99" s="1"/>
      <c r="B99" s="1"/>
      <c r="C99" s="1"/>
      <c r="D99" s="1"/>
      <c r="E99" s="1"/>
      <c r="F99" s="1"/>
      <c r="G99" s="1"/>
      <c r="H99" s="1"/>
      <c r="I99" s="1"/>
      <c r="J99" s="1"/>
      <c r="K99" s="1"/>
      <c r="L99" s="1"/>
      <c r="M99" s="1"/>
      <c r="N99" s="1"/>
      <c r="O99" s="1"/>
      <c r="P99" s="1"/>
      <c r="Q99" s="1"/>
      <c r="R99" s="1"/>
      <c r="S99" s="1"/>
      <c r="T99" s="1"/>
      <c r="U99" s="1"/>
      <c r="V99" s="1"/>
      <c r="W99" s="1"/>
    </row>
    <row r="100" spans="1:23" ht="23" customHeight="1">
      <c r="A100" s="1"/>
      <c r="B100" s="1"/>
      <c r="C100" s="1"/>
      <c r="D100" s="1"/>
      <c r="E100" s="1"/>
      <c r="F100" s="1"/>
      <c r="G100" s="1"/>
      <c r="H100" s="1"/>
      <c r="I100" s="1"/>
      <c r="J100" s="1"/>
      <c r="K100" s="1"/>
      <c r="L100" s="1"/>
      <c r="M100" s="1"/>
      <c r="N100" s="1"/>
      <c r="O100" s="1"/>
      <c r="P100" s="1"/>
      <c r="Q100" s="1"/>
      <c r="R100" s="1"/>
      <c r="S100" s="1"/>
      <c r="T100" s="1"/>
      <c r="U100" s="1"/>
      <c r="V100" s="1"/>
      <c r="W100" s="1"/>
    </row>
    <row r="101" spans="1:23" ht="23" customHeight="1">
      <c r="A101" s="1"/>
      <c r="B101" s="1"/>
      <c r="C101" s="1"/>
      <c r="D101" s="1"/>
      <c r="E101" s="1"/>
      <c r="F101" s="1"/>
      <c r="G101" s="1"/>
      <c r="H101" s="1"/>
      <c r="I101" s="1"/>
      <c r="J101" s="1"/>
      <c r="K101" s="1"/>
      <c r="L101" s="1"/>
      <c r="M101" s="1"/>
      <c r="N101" s="1"/>
      <c r="O101" s="1"/>
      <c r="P101" s="1"/>
      <c r="Q101" s="1"/>
      <c r="R101" s="1"/>
      <c r="S101" s="1"/>
      <c r="T101" s="1"/>
      <c r="U101" s="1"/>
      <c r="V101" s="1"/>
      <c r="W101" s="1"/>
    </row>
    <row r="102" spans="1:23" ht="23" customHeight="1">
      <c r="A102" s="1"/>
      <c r="B102" s="1"/>
      <c r="C102" s="1"/>
      <c r="D102" s="1"/>
      <c r="E102" s="1"/>
      <c r="F102" s="1"/>
      <c r="G102" s="1"/>
      <c r="H102" s="1"/>
      <c r="I102" s="1"/>
      <c r="J102" s="1"/>
      <c r="K102" s="1"/>
      <c r="L102" s="1"/>
      <c r="M102" s="1"/>
      <c r="N102" s="1"/>
      <c r="O102" s="1"/>
      <c r="P102" s="1"/>
      <c r="Q102" s="1"/>
      <c r="R102" s="1"/>
      <c r="S102" s="1"/>
      <c r="T102" s="1"/>
      <c r="U102" s="1"/>
      <c r="V102" s="1"/>
      <c r="W102" s="1"/>
    </row>
    <row r="103" spans="1:23" ht="23" customHeight="1">
      <c r="A103" s="1"/>
      <c r="B103" s="1"/>
      <c r="C103" s="1"/>
      <c r="D103" s="1"/>
      <c r="E103" s="1"/>
      <c r="F103" s="1"/>
      <c r="G103" s="1"/>
      <c r="H103" s="1"/>
      <c r="I103" s="1"/>
      <c r="J103" s="1"/>
      <c r="K103" s="1"/>
      <c r="L103" s="1"/>
      <c r="M103" s="1"/>
      <c r="N103" s="1"/>
      <c r="O103" s="1"/>
      <c r="P103" s="1"/>
      <c r="Q103" s="1"/>
      <c r="R103" s="1"/>
      <c r="S103" s="1"/>
      <c r="T103" s="1"/>
      <c r="U103" s="1"/>
      <c r="V103" s="1"/>
      <c r="W103" s="1"/>
    </row>
    <row r="104" spans="1:23" ht="23" customHeight="1">
      <c r="A104" s="1"/>
      <c r="B104" s="1"/>
      <c r="C104" s="1"/>
      <c r="D104" s="1"/>
      <c r="E104" s="1"/>
      <c r="F104" s="1"/>
      <c r="G104" s="1"/>
      <c r="H104" s="1"/>
      <c r="I104" s="1"/>
      <c r="J104" s="1"/>
      <c r="K104" s="1"/>
      <c r="L104" s="1"/>
      <c r="M104" s="1"/>
      <c r="N104" s="1"/>
      <c r="O104" s="1"/>
      <c r="P104" s="1"/>
      <c r="Q104" s="1"/>
      <c r="R104" s="1"/>
      <c r="S104" s="1"/>
      <c r="T104" s="1"/>
      <c r="U104" s="1"/>
      <c r="V104" s="1"/>
      <c r="W104" s="1"/>
    </row>
    <row r="105" spans="1:23" ht="23" customHeight="1">
      <c r="A105" s="1"/>
      <c r="B105" s="1"/>
      <c r="C105" s="1"/>
      <c r="D105" s="1"/>
      <c r="E105" s="1"/>
      <c r="F105" s="1"/>
      <c r="G105" s="1"/>
      <c r="H105" s="1"/>
      <c r="I105" s="1"/>
      <c r="J105" s="1"/>
      <c r="K105" s="1"/>
      <c r="L105" s="1"/>
      <c r="M105" s="1"/>
      <c r="N105" s="1"/>
      <c r="O105" s="1"/>
      <c r="P105" s="1"/>
      <c r="Q105" s="1"/>
      <c r="R105" s="1"/>
      <c r="S105" s="1"/>
      <c r="T105" s="1"/>
      <c r="U105" s="1"/>
      <c r="V105" s="1"/>
      <c r="W105" s="1"/>
    </row>
    <row r="106" spans="1:23" ht="23" customHeight="1">
      <c r="A106" s="1"/>
      <c r="B106" s="1"/>
      <c r="C106" s="1"/>
      <c r="D106" s="1"/>
      <c r="E106" s="1"/>
      <c r="F106" s="1"/>
      <c r="G106" s="1"/>
      <c r="H106" s="1"/>
      <c r="I106" s="1"/>
      <c r="J106" s="1"/>
      <c r="K106" s="1"/>
      <c r="L106" s="1"/>
      <c r="M106" s="1"/>
      <c r="N106" s="1"/>
      <c r="O106" s="1"/>
      <c r="P106" s="1"/>
      <c r="Q106" s="1"/>
      <c r="R106" s="1"/>
      <c r="S106" s="1"/>
      <c r="T106" s="1"/>
      <c r="U106" s="1"/>
      <c r="V106" s="1"/>
      <c r="W106" s="1"/>
    </row>
    <row r="107" spans="1:23" ht="23" customHeight="1">
      <c r="A107" s="1"/>
      <c r="B107" s="1"/>
      <c r="C107" s="1"/>
      <c r="D107" s="1"/>
      <c r="E107" s="1"/>
      <c r="F107" s="1"/>
      <c r="G107" s="1"/>
      <c r="H107" s="1"/>
      <c r="I107" s="1"/>
      <c r="J107" s="1"/>
      <c r="K107" s="1"/>
      <c r="L107" s="1"/>
      <c r="M107" s="1"/>
      <c r="N107" s="1"/>
      <c r="O107" s="1"/>
      <c r="P107" s="1"/>
      <c r="Q107" s="1"/>
      <c r="R107" s="1"/>
      <c r="S107" s="1"/>
      <c r="T107" s="1"/>
      <c r="U107" s="1"/>
      <c r="V107" s="1"/>
      <c r="W107" s="1"/>
    </row>
    <row r="108" spans="1:23" ht="23" customHeight="1">
      <c r="A108" s="1"/>
      <c r="B108" s="1"/>
      <c r="C108" s="1"/>
      <c r="D108" s="1"/>
      <c r="E108" s="1"/>
      <c r="F108" s="1"/>
      <c r="G108" s="1"/>
      <c r="H108" s="1"/>
      <c r="I108" s="1"/>
      <c r="J108" s="1"/>
      <c r="K108" s="1"/>
      <c r="L108" s="1"/>
      <c r="M108" s="1"/>
      <c r="N108" s="1"/>
      <c r="O108" s="1"/>
      <c r="P108" s="1"/>
      <c r="Q108" s="1"/>
      <c r="R108" s="1"/>
      <c r="S108" s="1"/>
      <c r="T108" s="1"/>
      <c r="U108" s="1"/>
      <c r="V108" s="1"/>
      <c r="W108" s="1"/>
    </row>
    <row r="109" spans="1:23" ht="23" customHeight="1">
      <c r="A109" s="1"/>
      <c r="B109" s="1"/>
      <c r="C109" s="1"/>
      <c r="D109" s="1"/>
      <c r="E109" s="1"/>
      <c r="F109" s="1"/>
      <c r="G109" s="1"/>
      <c r="H109" s="1"/>
      <c r="I109" s="1"/>
      <c r="J109" s="1"/>
      <c r="K109" s="1"/>
      <c r="L109" s="1"/>
      <c r="M109" s="1"/>
      <c r="N109" s="1"/>
      <c r="O109" s="1"/>
      <c r="P109" s="1"/>
      <c r="Q109" s="1"/>
      <c r="R109" s="1"/>
      <c r="S109" s="1"/>
      <c r="T109" s="1"/>
      <c r="U109" s="1"/>
      <c r="V109" s="1"/>
      <c r="W109" s="1"/>
    </row>
    <row r="110" spans="1:23" ht="23" customHeight="1">
      <c r="A110" s="1"/>
      <c r="B110" s="1"/>
      <c r="C110" s="1"/>
      <c r="D110" s="1"/>
      <c r="E110" s="1"/>
      <c r="F110" s="1"/>
      <c r="G110" s="1"/>
      <c r="H110" s="1"/>
      <c r="I110" s="1"/>
      <c r="J110" s="1"/>
      <c r="K110" s="1"/>
      <c r="L110" s="1"/>
      <c r="M110" s="1"/>
      <c r="N110" s="1"/>
      <c r="O110" s="1"/>
      <c r="P110" s="1"/>
      <c r="Q110" s="1"/>
      <c r="R110" s="1"/>
      <c r="S110" s="1"/>
      <c r="T110" s="1"/>
      <c r="U110" s="1"/>
      <c r="V110" s="1"/>
      <c r="W110" s="1"/>
    </row>
    <row r="111" spans="1:23" ht="23" customHeight="1">
      <c r="A111" s="1"/>
      <c r="B111" s="1"/>
      <c r="C111" s="1"/>
      <c r="D111" s="1"/>
      <c r="E111" s="1"/>
      <c r="F111" s="1"/>
      <c r="G111" s="1"/>
      <c r="H111" s="1"/>
      <c r="I111" s="1"/>
      <c r="J111" s="1"/>
      <c r="K111" s="1"/>
      <c r="L111" s="1"/>
      <c r="M111" s="1"/>
      <c r="N111" s="1"/>
      <c r="O111" s="1"/>
      <c r="P111" s="1"/>
      <c r="Q111" s="1"/>
      <c r="R111" s="1"/>
      <c r="S111" s="1"/>
      <c r="T111" s="1"/>
      <c r="U111" s="1"/>
      <c r="V111" s="1"/>
      <c r="W111" s="1"/>
    </row>
    <row r="112" spans="1:23" ht="23" customHeight="1">
      <c r="A112" s="1"/>
      <c r="B112" s="1"/>
      <c r="C112" s="1"/>
      <c r="D112" s="1"/>
      <c r="E112" s="1"/>
      <c r="F112" s="1"/>
      <c r="G112" s="1"/>
      <c r="H112" s="1"/>
      <c r="I112" s="1"/>
      <c r="J112" s="1"/>
      <c r="K112" s="1"/>
      <c r="L112" s="1"/>
      <c r="M112" s="1"/>
      <c r="N112" s="1"/>
      <c r="O112" s="1"/>
      <c r="P112" s="1"/>
      <c r="Q112" s="1"/>
      <c r="R112" s="1"/>
      <c r="S112" s="1"/>
      <c r="T112" s="1"/>
      <c r="U112" s="1"/>
      <c r="V112" s="1"/>
      <c r="W112" s="1"/>
    </row>
    <row r="113" spans="1:23" ht="23" customHeight="1">
      <c r="A113" s="1"/>
      <c r="B113" s="1"/>
      <c r="C113" s="1"/>
      <c r="D113" s="1"/>
      <c r="E113" s="1"/>
      <c r="F113" s="1"/>
      <c r="G113" s="1"/>
      <c r="H113" s="1"/>
      <c r="I113" s="1"/>
      <c r="J113" s="1"/>
      <c r="K113" s="1"/>
      <c r="L113" s="1"/>
      <c r="M113" s="1"/>
      <c r="N113" s="1"/>
      <c r="O113" s="1"/>
      <c r="P113" s="1"/>
      <c r="Q113" s="1"/>
      <c r="R113" s="1"/>
      <c r="S113" s="1"/>
      <c r="T113" s="1"/>
      <c r="U113" s="1"/>
      <c r="V113" s="1"/>
      <c r="W113" s="1"/>
    </row>
    <row r="114" spans="1:23" ht="23" customHeight="1">
      <c r="A114" s="1"/>
      <c r="B114" s="1"/>
      <c r="C114" s="1"/>
      <c r="D114" s="1"/>
      <c r="E114" s="1"/>
      <c r="F114" s="1"/>
      <c r="G114" s="1"/>
      <c r="H114" s="1"/>
      <c r="I114" s="1"/>
      <c r="J114" s="1"/>
      <c r="K114" s="1"/>
      <c r="L114" s="1"/>
      <c r="M114" s="1"/>
      <c r="N114" s="1"/>
      <c r="O114" s="1"/>
      <c r="P114" s="1"/>
      <c r="Q114" s="1"/>
      <c r="R114" s="1"/>
      <c r="S114" s="1"/>
      <c r="T114" s="1"/>
      <c r="U114" s="1"/>
      <c r="V114" s="1"/>
      <c r="W114" s="1"/>
    </row>
    <row r="115" spans="1:23" ht="23" customHeight="1">
      <c r="A115" s="1"/>
      <c r="B115" s="1"/>
      <c r="C115" s="1"/>
      <c r="D115" s="1"/>
      <c r="E115" s="1"/>
      <c r="F115" s="1"/>
      <c r="G115" s="1"/>
      <c r="H115" s="1"/>
      <c r="I115" s="1"/>
      <c r="J115" s="1"/>
      <c r="K115" s="1"/>
      <c r="L115" s="1"/>
      <c r="M115" s="1"/>
      <c r="N115" s="1"/>
      <c r="O115" s="1"/>
      <c r="P115" s="1"/>
      <c r="Q115" s="1"/>
      <c r="R115" s="1"/>
      <c r="S115" s="1"/>
      <c r="T115" s="1"/>
      <c r="U115" s="1"/>
      <c r="V115" s="1"/>
      <c r="W115" s="1"/>
    </row>
    <row r="116" spans="1:23" ht="23" customHeight="1">
      <c r="A116" s="1"/>
      <c r="B116" s="1"/>
      <c r="C116" s="1"/>
      <c r="D116" s="1"/>
      <c r="E116" s="1"/>
      <c r="F116" s="1"/>
      <c r="G116" s="1"/>
      <c r="H116" s="1"/>
      <c r="I116" s="1"/>
      <c r="J116" s="1"/>
      <c r="K116" s="1"/>
      <c r="L116" s="1"/>
      <c r="M116" s="1"/>
      <c r="N116" s="1"/>
      <c r="O116" s="1"/>
      <c r="P116" s="1"/>
      <c r="Q116" s="1"/>
      <c r="R116" s="1"/>
      <c r="S116" s="1"/>
      <c r="T116" s="1"/>
      <c r="U116" s="1"/>
      <c r="V116" s="1"/>
      <c r="W116" s="1"/>
    </row>
    <row r="117" spans="1:23" ht="23" customHeight="1">
      <c r="A117" s="1"/>
      <c r="B117" s="1"/>
      <c r="C117" s="1"/>
      <c r="D117" s="1"/>
      <c r="E117" s="1"/>
      <c r="F117" s="1"/>
      <c r="G117" s="1"/>
      <c r="H117" s="1"/>
      <c r="I117" s="1"/>
      <c r="J117" s="1"/>
      <c r="K117" s="1"/>
      <c r="L117" s="1"/>
      <c r="M117" s="1"/>
      <c r="N117" s="1"/>
      <c r="O117" s="1"/>
      <c r="P117" s="1"/>
      <c r="Q117" s="1"/>
      <c r="R117" s="1"/>
      <c r="S117" s="1"/>
      <c r="T117" s="1"/>
      <c r="U117" s="1"/>
      <c r="V117" s="1"/>
      <c r="W117" s="1"/>
    </row>
    <row r="118" spans="1:23" ht="23" customHeight="1">
      <c r="A118" s="1"/>
      <c r="B118" s="1"/>
      <c r="C118" s="1"/>
      <c r="D118" s="1"/>
      <c r="E118" s="1"/>
      <c r="F118" s="1"/>
      <c r="G118" s="1"/>
      <c r="H118" s="1"/>
      <c r="I118" s="1"/>
      <c r="J118" s="1"/>
      <c r="K118" s="1"/>
      <c r="L118" s="1"/>
      <c r="M118" s="1"/>
      <c r="N118" s="1"/>
      <c r="O118" s="1"/>
      <c r="P118" s="1"/>
      <c r="Q118" s="1"/>
      <c r="R118" s="1"/>
      <c r="S118" s="1"/>
      <c r="T118" s="1"/>
      <c r="U118" s="1"/>
      <c r="V118" s="1"/>
      <c r="W118" s="1"/>
    </row>
    <row r="119" spans="1:23" ht="23" customHeight="1">
      <c r="A119" s="1"/>
      <c r="B119" s="1"/>
      <c r="C119" s="1"/>
      <c r="D119" s="1"/>
      <c r="E119" s="1"/>
      <c r="F119" s="1"/>
      <c r="G119" s="1"/>
      <c r="H119" s="1"/>
      <c r="I119" s="1"/>
      <c r="J119" s="1"/>
      <c r="K119" s="1"/>
      <c r="L119" s="1"/>
      <c r="M119" s="1"/>
      <c r="N119" s="1"/>
      <c r="O119" s="1"/>
      <c r="P119" s="1"/>
      <c r="Q119" s="1"/>
      <c r="R119" s="1"/>
      <c r="S119" s="1"/>
      <c r="T119" s="1"/>
      <c r="U119" s="1"/>
      <c r="V119" s="1"/>
      <c r="W119" s="1"/>
    </row>
    <row r="120" spans="1:23" ht="23" customHeight="1">
      <c r="A120" s="1"/>
      <c r="B120" s="1"/>
      <c r="C120" s="1"/>
      <c r="D120" s="1"/>
      <c r="E120" s="1"/>
      <c r="F120" s="1"/>
      <c r="G120" s="1"/>
      <c r="H120" s="1"/>
      <c r="I120" s="1"/>
      <c r="J120" s="1"/>
      <c r="K120" s="1"/>
      <c r="L120" s="1"/>
      <c r="M120" s="1"/>
      <c r="N120" s="1"/>
      <c r="O120" s="1"/>
      <c r="P120" s="1"/>
      <c r="Q120" s="1"/>
      <c r="R120" s="1"/>
      <c r="S120" s="1"/>
      <c r="T120" s="1"/>
      <c r="U120" s="1"/>
      <c r="V120" s="1"/>
      <c r="W120" s="1"/>
    </row>
  </sheetData>
  <mergeCells count="2">
    <mergeCell ref="B11:G14"/>
    <mergeCell ref="B42:G4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20"/>
  <sheetViews>
    <sheetView showGridLines="0" workbookViewId="0">
      <pane ySplit="5" topLeftCell="A6" activePane="bottomLeft" state="frozen"/>
      <selection pane="bottomLeft"/>
    </sheetView>
  </sheetViews>
  <sheetFormatPr defaultRowHeight="14"/>
  <cols>
    <col min="1" max="1" width="3" customWidth="1"/>
    <col min="2" max="2" width="18" customWidth="1"/>
    <col min="3" max="15" width="14" customWidth="1"/>
    <col min="16" max="18" width="32" customWidth="1"/>
    <col min="19" max="23" width="13" customWidth="1"/>
  </cols>
  <sheetData>
    <row r="1" spans="1:23" ht="23" customHeight="1">
      <c r="A1" s="1"/>
      <c r="B1" s="1"/>
      <c r="C1" s="1"/>
      <c r="D1" s="1"/>
      <c r="E1" s="1"/>
      <c r="F1" s="1"/>
      <c r="G1" s="1"/>
      <c r="H1" s="1"/>
      <c r="I1" s="1"/>
      <c r="J1" s="1"/>
      <c r="K1" s="1"/>
      <c r="L1" s="1"/>
      <c r="M1" s="1"/>
      <c r="N1" s="1"/>
      <c r="O1" s="1"/>
      <c r="P1" s="1"/>
      <c r="Q1" s="1"/>
      <c r="R1" s="1"/>
      <c r="S1" s="1"/>
      <c r="T1" s="1"/>
      <c r="U1" s="1"/>
      <c r="V1" s="1"/>
      <c r="W1" s="1"/>
    </row>
    <row r="2" spans="1:23" ht="32" customHeight="1">
      <c r="A2" s="1"/>
      <c r="B2" s="2" t="s">
        <v>193</v>
      </c>
      <c r="C2" s="2"/>
      <c r="D2" s="2"/>
      <c r="E2" s="2"/>
      <c r="F2" s="2"/>
      <c r="G2" s="2"/>
      <c r="H2" s="2"/>
      <c r="I2" s="2"/>
      <c r="J2" s="2"/>
      <c r="K2" s="2"/>
      <c r="L2" s="2"/>
      <c r="M2" s="2"/>
      <c r="N2" s="1"/>
      <c r="O2" s="1"/>
      <c r="P2" s="1"/>
      <c r="Q2" s="1"/>
      <c r="R2" s="1"/>
      <c r="S2" s="1"/>
      <c r="T2" s="1"/>
      <c r="U2" s="1"/>
      <c r="V2" s="1"/>
      <c r="W2" s="1"/>
    </row>
    <row r="3" spans="1:23" ht="23" customHeight="1">
      <c r="A3" s="1"/>
      <c r="B3" s="3" t="s">
        <v>194</v>
      </c>
      <c r="C3" s="3"/>
      <c r="D3" s="3"/>
      <c r="E3" s="3"/>
      <c r="F3" s="3"/>
      <c r="G3" s="3"/>
      <c r="H3" s="3"/>
      <c r="I3" s="3"/>
      <c r="J3" s="3"/>
      <c r="K3" s="3"/>
      <c r="L3" s="3"/>
      <c r="M3" s="3"/>
      <c r="N3" s="1"/>
      <c r="O3" s="1"/>
      <c r="P3" s="1"/>
      <c r="Q3" s="1"/>
      <c r="R3" s="1"/>
      <c r="S3" s="1"/>
      <c r="T3" s="1"/>
      <c r="U3" s="1"/>
      <c r="V3" s="1"/>
      <c r="W3" s="1"/>
    </row>
    <row r="4" spans="1:23" ht="23" customHeight="1">
      <c r="A4" s="1"/>
      <c r="B4" s="1"/>
      <c r="C4" s="1"/>
      <c r="D4" s="1"/>
      <c r="E4" s="1"/>
      <c r="F4" s="1"/>
      <c r="G4" s="1"/>
      <c r="H4" s="1"/>
      <c r="I4" s="1"/>
      <c r="J4" s="1"/>
      <c r="K4" s="1"/>
      <c r="L4" s="1"/>
      <c r="M4" s="1"/>
      <c r="N4" s="1"/>
      <c r="O4" s="1"/>
      <c r="P4" s="1"/>
      <c r="Q4" s="1"/>
      <c r="R4" s="1"/>
      <c r="S4" s="1"/>
      <c r="T4" s="1"/>
      <c r="U4" s="1"/>
      <c r="V4" s="1"/>
      <c r="W4" s="1"/>
    </row>
    <row r="5" spans="1:23" ht="48" customHeight="1">
      <c r="A5" s="1"/>
      <c r="B5" s="4" t="s">
        <v>192</v>
      </c>
      <c r="C5" s="4" t="s">
        <v>195</v>
      </c>
      <c r="D5" s="4" t="s">
        <v>196</v>
      </c>
      <c r="E5" s="4" t="s">
        <v>197</v>
      </c>
      <c r="F5" s="4" t="s">
        <v>198</v>
      </c>
      <c r="G5" s="4" t="s">
        <v>199</v>
      </c>
      <c r="H5" s="4" t="s">
        <v>200</v>
      </c>
      <c r="I5" s="4" t="s">
        <v>201</v>
      </c>
      <c r="J5" s="4" t="s">
        <v>202</v>
      </c>
      <c r="K5" s="4" t="s">
        <v>203</v>
      </c>
      <c r="L5" s="4" t="s">
        <v>204</v>
      </c>
      <c r="M5" s="4" t="s">
        <v>168</v>
      </c>
      <c r="N5" s="4" t="s">
        <v>169</v>
      </c>
      <c r="O5" s="4" t="s">
        <v>205</v>
      </c>
      <c r="P5" s="4" t="s">
        <v>206</v>
      </c>
      <c r="Q5" s="4" t="s">
        <v>207</v>
      </c>
      <c r="R5" s="4" t="s">
        <v>208</v>
      </c>
      <c r="S5" s="1"/>
      <c r="T5" s="1"/>
      <c r="U5" s="1"/>
      <c r="V5" s="1"/>
      <c r="W5" s="1"/>
    </row>
    <row r="6" spans="1:23" ht="42" customHeight="1">
      <c r="A6" s="1"/>
      <c r="B6" s="25" t="s">
        <v>209</v>
      </c>
      <c r="C6" s="25" t="s">
        <v>210</v>
      </c>
      <c r="D6" s="25"/>
      <c r="E6" s="34"/>
      <c r="F6" s="34"/>
      <c r="G6" s="35"/>
      <c r="H6" s="35"/>
      <c r="I6" s="35">
        <v>6.6571434031000001</v>
      </c>
      <c r="J6" s="35">
        <v>6.2673879322000001</v>
      </c>
      <c r="K6" s="35">
        <v>0.96538684299999999</v>
      </c>
      <c r="L6" s="35">
        <v>-0.54139351660000001</v>
      </c>
      <c r="M6" s="35">
        <v>5.6917565601</v>
      </c>
      <c r="N6" s="35">
        <v>6.8087814487999996</v>
      </c>
      <c r="O6" s="35">
        <v>12.922993553</v>
      </c>
      <c r="P6" s="27"/>
      <c r="Q6" s="27"/>
      <c r="R6" s="27" t="s">
        <v>211</v>
      </c>
      <c r="S6" s="1"/>
      <c r="T6" s="1"/>
      <c r="U6" s="1"/>
      <c r="V6" s="1"/>
      <c r="W6" s="1"/>
    </row>
    <row r="7" spans="1:23" ht="42" customHeight="1">
      <c r="A7" s="1"/>
      <c r="B7" s="28" t="s">
        <v>212</v>
      </c>
      <c r="C7" s="28" t="s">
        <v>213</v>
      </c>
      <c r="D7" s="28"/>
      <c r="E7" s="36"/>
      <c r="F7" s="36"/>
      <c r="G7" s="37"/>
      <c r="H7" s="37"/>
      <c r="I7" s="37">
        <v>1.421725728</v>
      </c>
      <c r="J7" s="37">
        <v>2.5566563478000002</v>
      </c>
      <c r="K7" s="37">
        <v>1.0208585843</v>
      </c>
      <c r="L7" s="37">
        <v>1.1748321368000001</v>
      </c>
      <c r="M7" s="37">
        <v>0.40086714369999998</v>
      </c>
      <c r="N7" s="37">
        <v>1.3818242111000001</v>
      </c>
      <c r="O7" s="37">
        <v>1.8070466212</v>
      </c>
      <c r="P7" s="30"/>
      <c r="Q7" s="30"/>
      <c r="R7" s="30" t="s">
        <v>211</v>
      </c>
      <c r="S7" s="1"/>
      <c r="T7" s="1"/>
      <c r="U7" s="1"/>
      <c r="V7" s="1"/>
      <c r="W7" s="1"/>
    </row>
    <row r="8" spans="1:23" ht="42" customHeight="1">
      <c r="A8" s="1"/>
      <c r="B8" s="28" t="s">
        <v>214</v>
      </c>
      <c r="C8" s="28" t="s">
        <v>215</v>
      </c>
      <c r="D8" s="28"/>
      <c r="E8" s="36"/>
      <c r="F8" s="36"/>
      <c r="G8" s="37"/>
      <c r="H8" s="37"/>
      <c r="I8" s="37">
        <v>-2.9705527063999999</v>
      </c>
      <c r="J8" s="37">
        <v>4.1592736208999996</v>
      </c>
      <c r="K8" s="37">
        <v>9.7955505799999995E-2</v>
      </c>
      <c r="L8" s="37">
        <v>0.25279095350000003</v>
      </c>
      <c r="M8" s="37">
        <v>-3.0685082120999998</v>
      </c>
      <c r="N8" s="37">
        <v>3.9064826674000002</v>
      </c>
      <c r="O8" s="37">
        <v>0.71417341749999996</v>
      </c>
      <c r="P8" s="30"/>
      <c r="Q8" s="30"/>
      <c r="R8" s="30" t="s">
        <v>211</v>
      </c>
      <c r="S8" s="1"/>
      <c r="T8" s="1"/>
      <c r="U8" s="1"/>
      <c r="V8" s="1"/>
      <c r="W8" s="1"/>
    </row>
    <row r="9" spans="1:23" ht="42" customHeight="1">
      <c r="A9" s="1"/>
      <c r="B9" s="28" t="s">
        <v>216</v>
      </c>
      <c r="C9" s="28" t="s">
        <v>217</v>
      </c>
      <c r="D9" s="28" t="s">
        <v>218</v>
      </c>
      <c r="E9" s="36">
        <v>1435</v>
      </c>
      <c r="F9" s="36"/>
      <c r="G9" s="37"/>
      <c r="H9" s="37"/>
      <c r="I9" s="37">
        <v>4.3149325189000001</v>
      </c>
      <c r="J9" s="37">
        <v>8.3105032114000004</v>
      </c>
      <c r="K9" s="37">
        <v>0.45703563829999999</v>
      </c>
      <c r="L9" s="37">
        <v>-0.35996460619999998</v>
      </c>
      <c r="M9" s="37">
        <v>3.8578968805999998</v>
      </c>
      <c r="N9" s="37">
        <v>8.6704678176000005</v>
      </c>
      <c r="O9" s="37">
        <v>12.8886024703</v>
      </c>
      <c r="P9" s="30"/>
      <c r="Q9" s="30"/>
      <c r="R9" s="30" t="s">
        <v>219</v>
      </c>
      <c r="S9" s="1"/>
      <c r="T9" s="1"/>
      <c r="U9" s="1"/>
      <c r="V9" s="1"/>
      <c r="W9" s="1"/>
    </row>
    <row r="10" spans="1:23" ht="42" customHeight="1">
      <c r="A10" s="1"/>
      <c r="B10" s="28" t="s">
        <v>218</v>
      </c>
      <c r="C10" s="28" t="s">
        <v>220</v>
      </c>
      <c r="D10" s="28" t="s">
        <v>221</v>
      </c>
      <c r="E10" s="36">
        <v>1445</v>
      </c>
      <c r="F10" s="36"/>
      <c r="G10" s="37"/>
      <c r="H10" s="37"/>
      <c r="I10" s="37">
        <v>-0.98573281670000001</v>
      </c>
      <c r="J10" s="37">
        <v>4.6804460620999997</v>
      </c>
      <c r="K10" s="37">
        <v>-0.64863884729999999</v>
      </c>
      <c r="L10" s="37">
        <v>0.62743801219999995</v>
      </c>
      <c r="M10" s="37">
        <v>-0.33709396940000003</v>
      </c>
      <c r="N10" s="37">
        <v>4.0530080498999999</v>
      </c>
      <c r="O10" s="37">
        <v>3.6738471944</v>
      </c>
      <c r="P10" s="30"/>
      <c r="Q10" s="30"/>
      <c r="R10" s="30" t="s">
        <v>219</v>
      </c>
      <c r="S10" s="1"/>
      <c r="T10" s="1"/>
      <c r="U10" s="1"/>
      <c r="V10" s="1"/>
      <c r="W10" s="1"/>
    </row>
    <row r="11" spans="1:23" ht="42" customHeight="1">
      <c r="A11" s="1"/>
      <c r="B11" s="28" t="s">
        <v>221</v>
      </c>
      <c r="C11" s="28" t="s">
        <v>222</v>
      </c>
      <c r="D11" s="28" t="s">
        <v>223</v>
      </c>
      <c r="E11" s="36">
        <v>2080</v>
      </c>
      <c r="F11" s="36"/>
      <c r="G11" s="37"/>
      <c r="H11" s="37"/>
      <c r="I11" s="37">
        <v>5.2068986563999999</v>
      </c>
      <c r="J11" s="37">
        <v>2.3795408400000002</v>
      </c>
      <c r="K11" s="37">
        <v>0.1536886717</v>
      </c>
      <c r="L11" s="37">
        <v>3.2225763752000001</v>
      </c>
      <c r="M11" s="37">
        <v>5.0532099846999996</v>
      </c>
      <c r="N11" s="37">
        <v>-0.84303553519999996</v>
      </c>
      <c r="O11" s="37">
        <v>4.3291219947000004</v>
      </c>
      <c r="P11" s="30"/>
      <c r="Q11" s="30"/>
      <c r="R11" s="30" t="s">
        <v>219</v>
      </c>
      <c r="S11" s="1"/>
      <c r="T11" s="1"/>
      <c r="U11" s="1"/>
      <c r="V11" s="1"/>
      <c r="W11" s="1"/>
    </row>
    <row r="12" spans="1:23" ht="42" customHeight="1">
      <c r="A12" s="1"/>
      <c r="B12" s="28" t="s">
        <v>223</v>
      </c>
      <c r="C12" s="28" t="s">
        <v>224</v>
      </c>
      <c r="D12" s="28" t="s">
        <v>225</v>
      </c>
      <c r="E12" s="36">
        <v>2830</v>
      </c>
      <c r="F12" s="36">
        <v>2770</v>
      </c>
      <c r="G12" s="37">
        <v>2.1660649819</v>
      </c>
      <c r="H12" s="37"/>
      <c r="I12" s="37">
        <v>-6.9752433549999999</v>
      </c>
      <c r="J12" s="37">
        <v>6.2785846752000003</v>
      </c>
      <c r="K12" s="37">
        <v>0.54719603419999996</v>
      </c>
      <c r="L12" s="37">
        <v>2.1642231037999999</v>
      </c>
      <c r="M12" s="37">
        <v>-7.5224393891999997</v>
      </c>
      <c r="N12" s="37">
        <v>4.1143615713999999</v>
      </c>
      <c r="O12" s="37">
        <v>-3.8578669210999998</v>
      </c>
      <c r="P12" s="30" t="s">
        <v>226</v>
      </c>
      <c r="Q12" s="30" t="s">
        <v>224</v>
      </c>
      <c r="R12" s="30" t="s">
        <v>227</v>
      </c>
      <c r="S12" s="1"/>
      <c r="T12" s="1"/>
      <c r="U12" s="1"/>
      <c r="V12" s="1"/>
      <c r="W12" s="1"/>
    </row>
    <row r="13" spans="1:23" ht="42" customHeight="1">
      <c r="A13" s="1"/>
      <c r="B13" s="28" t="s">
        <v>225</v>
      </c>
      <c r="C13" s="28" t="s">
        <v>228</v>
      </c>
      <c r="D13" s="28" t="s">
        <v>229</v>
      </c>
      <c r="E13" s="36">
        <v>1840</v>
      </c>
      <c r="F13" s="36">
        <v>1850</v>
      </c>
      <c r="G13" s="37">
        <v>-0.5405405405</v>
      </c>
      <c r="H13" s="37">
        <v>3.8645843074999999</v>
      </c>
      <c r="I13" s="37">
        <v>-5.8734582572000003</v>
      </c>
      <c r="J13" s="37">
        <v>-8.0227904430999999</v>
      </c>
      <c r="K13" s="37">
        <v>-1.09042859E-2</v>
      </c>
      <c r="L13" s="37">
        <v>-3.4171856751999998</v>
      </c>
      <c r="M13" s="37">
        <v>-5.8625539712999997</v>
      </c>
      <c r="N13" s="37">
        <v>-4.6056047679000001</v>
      </c>
      <c r="O13" s="37">
        <v>-9.9973161111</v>
      </c>
      <c r="P13" s="30" t="s">
        <v>230</v>
      </c>
      <c r="Q13" s="30" t="s">
        <v>228</v>
      </c>
      <c r="R13" s="30" t="s">
        <v>227</v>
      </c>
      <c r="S13" s="1"/>
      <c r="T13" s="1"/>
      <c r="U13" s="1"/>
      <c r="V13" s="1"/>
      <c r="W13" s="1"/>
    </row>
    <row r="14" spans="1:23" ht="42" customHeight="1">
      <c r="A14" s="1"/>
      <c r="B14" s="28" t="s">
        <v>229</v>
      </c>
      <c r="C14" s="28" t="s">
        <v>231</v>
      </c>
      <c r="D14" s="28" t="s">
        <v>232</v>
      </c>
      <c r="E14" s="36">
        <v>1785</v>
      </c>
      <c r="F14" s="36">
        <v>1690</v>
      </c>
      <c r="G14" s="37">
        <v>5.6213017751000001</v>
      </c>
      <c r="H14" s="37">
        <v>8.9680146213</v>
      </c>
      <c r="I14" s="37">
        <v>7.5535675072000004</v>
      </c>
      <c r="J14" s="37">
        <v>5.3923034667999996</v>
      </c>
      <c r="K14" s="37">
        <v>-0.60309897430000003</v>
      </c>
      <c r="L14" s="37">
        <v>1.3775048511000001</v>
      </c>
      <c r="M14" s="37">
        <v>8.1566664815000003</v>
      </c>
      <c r="N14" s="37">
        <v>4.0147986157000002</v>
      </c>
      <c r="O14" s="37">
        <v>12.5870840973</v>
      </c>
      <c r="P14" s="30" t="s">
        <v>230</v>
      </c>
      <c r="Q14" s="30" t="s">
        <v>231</v>
      </c>
      <c r="R14" s="30" t="s">
        <v>227</v>
      </c>
      <c r="S14" s="1"/>
      <c r="T14" s="1"/>
      <c r="U14" s="1"/>
      <c r="V14" s="1"/>
      <c r="W14" s="1"/>
    </row>
    <row r="15" spans="1:23" ht="42" customHeight="1">
      <c r="A15" s="1"/>
      <c r="B15" s="28" t="s">
        <v>232</v>
      </c>
      <c r="C15" s="28" t="s">
        <v>233</v>
      </c>
      <c r="D15" s="28" t="s">
        <v>147</v>
      </c>
      <c r="E15" s="36">
        <v>2400</v>
      </c>
      <c r="F15" s="36">
        <v>2420</v>
      </c>
      <c r="G15" s="37">
        <v>-0.82644628099999995</v>
      </c>
      <c r="H15" s="37">
        <v>2.5152712899999998</v>
      </c>
      <c r="I15" s="37">
        <v>-13.551586733300001</v>
      </c>
      <c r="J15" s="37">
        <v>3.0405134398999998</v>
      </c>
      <c r="K15" s="37">
        <v>0.7710422696</v>
      </c>
      <c r="L15" s="37">
        <v>0.31470429059999999</v>
      </c>
      <c r="M15" s="37">
        <v>-14.322629002899999</v>
      </c>
      <c r="N15" s="37">
        <v>2.7258091492999998</v>
      </c>
      <c r="O15" s="37">
        <v>-12.0112841727</v>
      </c>
      <c r="P15" s="30" t="s">
        <v>230</v>
      </c>
      <c r="Q15" s="30" t="s">
        <v>233</v>
      </c>
      <c r="R15" s="30" t="s">
        <v>227</v>
      </c>
      <c r="S15" s="1"/>
      <c r="T15" s="1"/>
      <c r="U15" s="1"/>
      <c r="V15" s="1"/>
      <c r="W15" s="1"/>
    </row>
    <row r="16" spans="1:23" ht="42" customHeight="1">
      <c r="A16" s="1"/>
      <c r="B16" s="28" t="s">
        <v>147</v>
      </c>
      <c r="C16" s="28" t="s">
        <v>234</v>
      </c>
      <c r="D16" s="28" t="s">
        <v>235</v>
      </c>
      <c r="E16" s="36">
        <v>3350</v>
      </c>
      <c r="F16" s="36">
        <v>3220</v>
      </c>
      <c r="G16" s="37">
        <v>4.0372670807000004</v>
      </c>
      <c r="H16" s="37">
        <v>6.7826505630999998</v>
      </c>
      <c r="I16" s="37">
        <v>-0.2910304145</v>
      </c>
      <c r="J16" s="37">
        <v>-0.21357090419999999</v>
      </c>
      <c r="K16" s="37">
        <v>0.52435629910000003</v>
      </c>
      <c r="L16" s="37">
        <v>-0.987356342</v>
      </c>
      <c r="M16" s="37">
        <v>-0.81538671350000003</v>
      </c>
      <c r="N16" s="37">
        <v>0.77378543779999998</v>
      </c>
      <c r="O16" s="37">
        <v>-3.5802454300000001E-2</v>
      </c>
      <c r="P16" s="30" t="s">
        <v>230</v>
      </c>
      <c r="Q16" s="30" t="s">
        <v>234</v>
      </c>
      <c r="R16" s="30" t="s">
        <v>227</v>
      </c>
      <c r="S16" s="1"/>
      <c r="T16" s="1"/>
      <c r="U16" s="1"/>
      <c r="V16" s="1"/>
      <c r="W16" s="1"/>
    </row>
    <row r="17" spans="1:23" ht="42" customHeight="1">
      <c r="A17" s="1"/>
      <c r="B17" s="28" t="s">
        <v>235</v>
      </c>
      <c r="C17" s="28" t="s">
        <v>236</v>
      </c>
      <c r="D17" s="28" t="s">
        <v>148</v>
      </c>
      <c r="E17" s="36">
        <v>2150</v>
      </c>
      <c r="F17" s="36">
        <v>2180</v>
      </c>
      <c r="G17" s="37">
        <v>-1.3761467890000001</v>
      </c>
      <c r="H17" s="37">
        <v>1.9470482649</v>
      </c>
      <c r="I17" s="37">
        <v>2.5445725993999999</v>
      </c>
      <c r="J17" s="37">
        <v>-5.7219835229999996</v>
      </c>
      <c r="K17" s="37">
        <v>1.2830617435</v>
      </c>
      <c r="L17" s="37">
        <v>0.52552797799999995</v>
      </c>
      <c r="M17" s="37">
        <v>1.2615108558999999</v>
      </c>
      <c r="N17" s="37">
        <v>-6.247511501</v>
      </c>
      <c r="O17" s="37">
        <v>-5.1383435184000001</v>
      </c>
      <c r="P17" s="30" t="s">
        <v>237</v>
      </c>
      <c r="Q17" s="30" t="s">
        <v>236</v>
      </c>
      <c r="R17" s="30" t="s">
        <v>227</v>
      </c>
      <c r="S17" s="1"/>
      <c r="T17" s="1"/>
      <c r="U17" s="1"/>
      <c r="V17" s="1"/>
      <c r="W17" s="1"/>
    </row>
    <row r="18" spans="1:23" ht="42" customHeight="1">
      <c r="A18" s="1"/>
      <c r="B18" s="28" t="s">
        <v>148</v>
      </c>
      <c r="C18" s="28" t="s">
        <v>238</v>
      </c>
      <c r="D18" s="28" t="s">
        <v>149</v>
      </c>
      <c r="E18" s="36">
        <v>2050</v>
      </c>
      <c r="F18" s="36">
        <v>2030</v>
      </c>
      <c r="G18" s="37">
        <v>0.98522167490000001</v>
      </c>
      <c r="H18" s="37">
        <v>3.6500663727</v>
      </c>
      <c r="I18" s="37">
        <v>-3.0897781699000002</v>
      </c>
      <c r="J18" s="37">
        <v>1.3957260776</v>
      </c>
      <c r="K18" s="37">
        <v>0.6323700968</v>
      </c>
      <c r="L18" s="37">
        <v>0.45448022319999998</v>
      </c>
      <c r="M18" s="37">
        <v>-3.7221482667000001</v>
      </c>
      <c r="N18" s="37">
        <v>0.94124585439999997</v>
      </c>
      <c r="O18" s="37">
        <v>-2.8269012490000001</v>
      </c>
      <c r="P18" s="30" t="s">
        <v>237</v>
      </c>
      <c r="Q18" s="30" t="s">
        <v>238</v>
      </c>
      <c r="R18" s="30" t="s">
        <v>227</v>
      </c>
      <c r="S18" s="1"/>
      <c r="T18" s="1"/>
      <c r="U18" s="1"/>
      <c r="V18" s="1"/>
      <c r="W18" s="1"/>
    </row>
    <row r="19" spans="1:23" ht="42" customHeight="1">
      <c r="A19" s="1"/>
      <c r="B19" s="28" t="s">
        <v>149</v>
      </c>
      <c r="C19" s="28" t="s">
        <v>239</v>
      </c>
      <c r="D19" s="28" t="s">
        <v>150</v>
      </c>
      <c r="E19" s="36">
        <v>2710</v>
      </c>
      <c r="F19" s="36">
        <v>2740</v>
      </c>
      <c r="G19" s="37">
        <v>-1.0948905109</v>
      </c>
      <c r="H19" s="37">
        <v>1.4128079426</v>
      </c>
      <c r="I19" s="37">
        <v>-7.1564206647999997</v>
      </c>
      <c r="J19" s="37">
        <v>0.30695561360000001</v>
      </c>
      <c r="K19" s="37">
        <v>6.1352773499999999E-2</v>
      </c>
      <c r="L19" s="37">
        <v>0.1567012156</v>
      </c>
      <c r="M19" s="37">
        <v>-7.2177734384000001</v>
      </c>
      <c r="N19" s="37">
        <v>0.15025439800000001</v>
      </c>
      <c r="O19" s="37">
        <v>-7.0895822158000001</v>
      </c>
      <c r="P19" s="30" t="s">
        <v>237</v>
      </c>
      <c r="Q19" s="30" t="s">
        <v>239</v>
      </c>
      <c r="R19" s="30" t="s">
        <v>227</v>
      </c>
      <c r="S19" s="1"/>
      <c r="T19" s="1"/>
      <c r="U19" s="1"/>
      <c r="V19" s="1"/>
      <c r="W19" s="1"/>
    </row>
    <row r="20" spans="1:23" ht="42" customHeight="1">
      <c r="A20" s="1"/>
      <c r="B20" s="28" t="s">
        <v>150</v>
      </c>
      <c r="C20" s="28" t="s">
        <v>240</v>
      </c>
      <c r="D20" s="28" t="s">
        <v>151</v>
      </c>
      <c r="E20" s="36">
        <v>3700</v>
      </c>
      <c r="F20" s="36"/>
      <c r="G20" s="37"/>
      <c r="H20" s="37"/>
      <c r="I20" s="37">
        <v>-13.8192677325</v>
      </c>
      <c r="J20" s="37">
        <v>0.50693675069999999</v>
      </c>
      <c r="K20" s="37">
        <v>1.5835077182999999</v>
      </c>
      <c r="L20" s="37">
        <v>-2.624919142</v>
      </c>
      <c r="M20" s="37">
        <v>-15.4027754508</v>
      </c>
      <c r="N20" s="37">
        <v>3.1318558926</v>
      </c>
      <c r="O20" s="37">
        <v>-12.2994087078</v>
      </c>
      <c r="P20" s="30"/>
      <c r="Q20" s="30"/>
      <c r="R20" s="30" t="s">
        <v>219</v>
      </c>
      <c r="S20" s="1"/>
      <c r="T20" s="1"/>
      <c r="U20" s="1"/>
      <c r="V20" s="1"/>
      <c r="W20" s="1"/>
    </row>
    <row r="21" spans="1:23" ht="42" customHeight="1">
      <c r="A21" s="1"/>
      <c r="B21" s="28" t="s">
        <v>151</v>
      </c>
      <c r="C21" s="28" t="s">
        <v>241</v>
      </c>
      <c r="D21" s="28" t="s">
        <v>152</v>
      </c>
      <c r="E21" s="36">
        <v>2415</v>
      </c>
      <c r="F21" s="36">
        <v>2420</v>
      </c>
      <c r="G21" s="37">
        <v>-0.20661157020000001</v>
      </c>
      <c r="H21" s="37">
        <v>2.3236088313000001</v>
      </c>
      <c r="I21" s="37">
        <v>-8.6177630244000003</v>
      </c>
      <c r="J21" s="37">
        <v>-4.4551540399999999E-2</v>
      </c>
      <c r="K21" s="37">
        <v>-9.7363403299999998E-2</v>
      </c>
      <c r="L21" s="37">
        <v>0.2144153805</v>
      </c>
      <c r="M21" s="37">
        <v>-8.5203996210999993</v>
      </c>
      <c r="N21" s="37">
        <v>-0.25896692090000001</v>
      </c>
      <c r="O21" s="37">
        <v>-8.7753184337000008</v>
      </c>
      <c r="P21" s="30" t="s">
        <v>237</v>
      </c>
      <c r="Q21" s="30" t="s">
        <v>241</v>
      </c>
      <c r="R21" s="30" t="s">
        <v>227</v>
      </c>
      <c r="S21" s="1"/>
      <c r="T21" s="1"/>
      <c r="U21" s="1"/>
      <c r="V21" s="1"/>
      <c r="W21" s="1"/>
    </row>
    <row r="22" spans="1:23" ht="42" customHeight="1">
      <c r="A22" s="1"/>
      <c r="B22" s="28" t="s">
        <v>152</v>
      </c>
      <c r="C22" s="28" t="s">
        <v>242</v>
      </c>
      <c r="D22" s="28" t="s">
        <v>153</v>
      </c>
      <c r="E22" s="36">
        <v>2250</v>
      </c>
      <c r="F22" s="36">
        <v>2300</v>
      </c>
      <c r="G22" s="37">
        <v>-2.1739130434999998</v>
      </c>
      <c r="H22" s="37">
        <v>0.27737889900000001</v>
      </c>
      <c r="I22" s="37">
        <v>12.156129529599999</v>
      </c>
      <c r="J22" s="37">
        <v>2.0450742233999999</v>
      </c>
      <c r="K22" s="37">
        <v>2.0523483200000001E-2</v>
      </c>
      <c r="L22" s="37">
        <v>0.39924900829999999</v>
      </c>
      <c r="M22" s="37">
        <v>12.1356060464</v>
      </c>
      <c r="N22" s="37">
        <v>1.6458252150999999</v>
      </c>
      <c r="O22" s="37">
        <v>14.029951193300001</v>
      </c>
      <c r="P22" s="30" t="s">
        <v>237</v>
      </c>
      <c r="Q22" s="30" t="s">
        <v>242</v>
      </c>
      <c r="R22" s="30" t="s">
        <v>227</v>
      </c>
      <c r="S22" s="1"/>
      <c r="T22" s="1"/>
      <c r="U22" s="1"/>
      <c r="V22" s="1"/>
      <c r="W22" s="1"/>
    </row>
    <row r="23" spans="1:23" ht="42" customHeight="1">
      <c r="A23" s="1"/>
      <c r="B23" s="28" t="s">
        <v>153</v>
      </c>
      <c r="C23" s="28" t="s">
        <v>243</v>
      </c>
      <c r="D23" s="28" t="s">
        <v>154</v>
      </c>
      <c r="E23" s="36">
        <v>3020</v>
      </c>
      <c r="F23" s="36">
        <v>3040</v>
      </c>
      <c r="G23" s="37">
        <v>-0.65789473679999999</v>
      </c>
      <c r="H23" s="37">
        <v>1.5972956688</v>
      </c>
      <c r="I23" s="37">
        <v>-2.3465878655000001</v>
      </c>
      <c r="J23" s="37">
        <v>3.4351806064999999</v>
      </c>
      <c r="K23" s="37">
        <v>1.0089719197</v>
      </c>
      <c r="L23" s="37">
        <v>0.47066592410000002</v>
      </c>
      <c r="M23" s="37">
        <v>-3.3555597852000001</v>
      </c>
      <c r="N23" s="37">
        <v>2.9645146823999999</v>
      </c>
      <c r="O23" s="37">
        <v>-0.4764035211</v>
      </c>
      <c r="P23" s="30" t="s">
        <v>237</v>
      </c>
      <c r="Q23" s="30" t="s">
        <v>243</v>
      </c>
      <c r="R23" s="30" t="s">
        <v>227</v>
      </c>
      <c r="S23" s="1"/>
      <c r="T23" s="1"/>
      <c r="U23" s="1"/>
      <c r="V23" s="1"/>
      <c r="W23" s="1"/>
    </row>
    <row r="24" spans="1:23" ht="42" customHeight="1">
      <c r="A24" s="1"/>
      <c r="B24" s="28" t="s">
        <v>154</v>
      </c>
      <c r="C24" s="28" t="s">
        <v>244</v>
      </c>
      <c r="D24" s="28" t="s">
        <v>155</v>
      </c>
      <c r="E24" s="36">
        <v>4060</v>
      </c>
      <c r="F24" s="36">
        <v>4050</v>
      </c>
      <c r="G24" s="37">
        <v>0.24691358020000001</v>
      </c>
      <c r="H24" s="37">
        <v>2.2992167449999998</v>
      </c>
      <c r="I24" s="37">
        <v>-7.7547913767000001</v>
      </c>
      <c r="J24" s="37">
        <v>-0.29074471019999998</v>
      </c>
      <c r="K24" s="37">
        <v>0.76675871289999997</v>
      </c>
      <c r="L24" s="37">
        <v>-0.42506913930000001</v>
      </c>
      <c r="M24" s="37">
        <v>-8.5215500894999998</v>
      </c>
      <c r="N24" s="37">
        <v>0.1343244291</v>
      </c>
      <c r="O24" s="37">
        <v>-8.3614197601000004</v>
      </c>
      <c r="P24" s="30" t="s">
        <v>237</v>
      </c>
      <c r="Q24" s="30" t="s">
        <v>244</v>
      </c>
      <c r="R24" s="30" t="s">
        <v>227</v>
      </c>
      <c r="S24" s="1"/>
      <c r="T24" s="1"/>
      <c r="U24" s="1"/>
      <c r="V24" s="1"/>
      <c r="W24" s="1"/>
    </row>
    <row r="25" spans="1:23" ht="42" customHeight="1">
      <c r="A25" s="1"/>
      <c r="B25" s="28" t="s">
        <v>155</v>
      </c>
      <c r="C25" s="28" t="s">
        <v>96</v>
      </c>
      <c r="D25" s="28" t="s">
        <v>156</v>
      </c>
      <c r="E25" s="36">
        <v>2690</v>
      </c>
      <c r="F25" s="36">
        <v>2670</v>
      </c>
      <c r="G25" s="37">
        <v>0.74906367039999999</v>
      </c>
      <c r="H25" s="37">
        <v>2.7235142836000001</v>
      </c>
      <c r="I25" s="37">
        <v>4.1193097300000003</v>
      </c>
      <c r="J25" s="37">
        <v>-3.6774416448</v>
      </c>
      <c r="K25" s="37">
        <v>-0.54931342809999995</v>
      </c>
      <c r="L25" s="37">
        <v>0.23507630669999999</v>
      </c>
      <c r="M25" s="37">
        <v>4.6686231580999999</v>
      </c>
      <c r="N25" s="37">
        <v>-3.9125179515999999</v>
      </c>
      <c r="O25" s="37">
        <v>0.60591130069999999</v>
      </c>
      <c r="P25" s="30" t="s">
        <v>237</v>
      </c>
      <c r="Q25" s="30" t="s">
        <v>96</v>
      </c>
      <c r="R25" s="30" t="s">
        <v>227</v>
      </c>
      <c r="S25" s="1"/>
      <c r="T25" s="1"/>
      <c r="U25" s="1"/>
      <c r="V25" s="1"/>
      <c r="W25" s="1"/>
    </row>
    <row r="26" spans="1:23" ht="42" customHeight="1">
      <c r="A26" s="1"/>
      <c r="B26" s="28" t="s">
        <v>156</v>
      </c>
      <c r="C26" s="28" t="s">
        <v>97</v>
      </c>
      <c r="D26" s="28" t="s">
        <v>82</v>
      </c>
      <c r="E26" s="36">
        <v>2610</v>
      </c>
      <c r="F26" s="36">
        <v>2530</v>
      </c>
      <c r="G26" s="37">
        <v>3.1620553359999999</v>
      </c>
      <c r="H26" s="37">
        <v>5.1833973355999996</v>
      </c>
      <c r="I26" s="37">
        <v>9.0591560334000008</v>
      </c>
      <c r="J26" s="37">
        <v>-4.0445957473999998</v>
      </c>
      <c r="K26" s="37">
        <v>-3.4966363799999997E-2</v>
      </c>
      <c r="L26" s="37">
        <v>0.24815386519999999</v>
      </c>
      <c r="M26" s="37">
        <v>9.0941223971999996</v>
      </c>
      <c r="N26" s="37">
        <v>-4.2927496124999998</v>
      </c>
      <c r="O26" s="37">
        <v>4.4350533154000003</v>
      </c>
      <c r="P26" s="30" t="s">
        <v>237</v>
      </c>
      <c r="Q26" s="30" t="s">
        <v>97</v>
      </c>
      <c r="R26" s="30" t="s">
        <v>227</v>
      </c>
      <c r="S26" s="1"/>
      <c r="T26" s="1"/>
      <c r="U26" s="1"/>
      <c r="V26" s="1"/>
      <c r="W26" s="1"/>
    </row>
    <row r="27" spans="1:23" ht="42" customHeight="1">
      <c r="A27" s="1"/>
      <c r="B27" s="28" t="s">
        <v>82</v>
      </c>
      <c r="C27" s="28" t="s">
        <v>84</v>
      </c>
      <c r="D27" s="28" t="s">
        <v>86</v>
      </c>
      <c r="E27" s="36">
        <v>3570</v>
      </c>
      <c r="F27" s="36">
        <v>3460</v>
      </c>
      <c r="G27" s="37">
        <v>3.1791907514000002</v>
      </c>
      <c r="H27" s="37">
        <v>5.2008684999000003</v>
      </c>
      <c r="I27" s="37">
        <v>-1.6623996883000001</v>
      </c>
      <c r="J27" s="37">
        <v>2.4362030720000001</v>
      </c>
      <c r="K27" s="37">
        <v>0.71660581509999999</v>
      </c>
      <c r="L27" s="37">
        <v>1.6158986504999999</v>
      </c>
      <c r="M27" s="37">
        <v>-2.3790055034000002</v>
      </c>
      <c r="N27" s="37">
        <v>0.82030442140000004</v>
      </c>
      <c r="O27" s="37">
        <v>-1.6107801379</v>
      </c>
      <c r="P27" s="30" t="s">
        <v>237</v>
      </c>
      <c r="Q27" s="30" t="s">
        <v>84</v>
      </c>
      <c r="R27" s="30" t="s">
        <v>227</v>
      </c>
      <c r="S27" s="1"/>
      <c r="T27" s="1"/>
      <c r="U27" s="1"/>
      <c r="V27" s="1"/>
      <c r="W27" s="1"/>
    </row>
    <row r="28" spans="1:23" ht="42" customHeight="1">
      <c r="A28" s="1"/>
      <c r="B28" s="31" t="s">
        <v>86</v>
      </c>
      <c r="C28" s="31" t="s">
        <v>87</v>
      </c>
      <c r="D28" s="31" t="s">
        <v>7</v>
      </c>
      <c r="E28" s="38">
        <v>4730</v>
      </c>
      <c r="F28" s="38">
        <v>4610</v>
      </c>
      <c r="G28" s="39">
        <v>2.6030368764</v>
      </c>
      <c r="H28" s="39">
        <v>4.6134255512999998</v>
      </c>
      <c r="I28" s="39">
        <v>8.6125017218999993</v>
      </c>
      <c r="J28" s="39">
        <v>8.1177963714000008</v>
      </c>
      <c r="K28" s="39">
        <v>0.76960747389999995</v>
      </c>
      <c r="L28" s="39">
        <v>0.39991734849999999</v>
      </c>
      <c r="M28" s="39">
        <v>7.8428942481000004</v>
      </c>
      <c r="N28" s="39">
        <v>7.7178790229000001</v>
      </c>
      <c r="O28" s="39">
        <v>16.256840829400002</v>
      </c>
      <c r="P28" s="33" t="s">
        <v>237</v>
      </c>
      <c r="Q28" s="33" t="s">
        <v>87</v>
      </c>
      <c r="R28" s="33" t="s">
        <v>227</v>
      </c>
      <c r="S28" s="1"/>
      <c r="T28" s="1"/>
      <c r="U28" s="1"/>
      <c r="V28" s="1"/>
      <c r="W28" s="1"/>
    </row>
    <row r="29" spans="1:23" ht="23" customHeight="1">
      <c r="A29" s="1"/>
      <c r="B29" s="1"/>
      <c r="C29" s="1"/>
      <c r="D29" s="1"/>
      <c r="E29" s="1"/>
      <c r="F29" s="1"/>
      <c r="G29" s="1"/>
      <c r="H29" s="1"/>
      <c r="I29" s="1"/>
      <c r="J29" s="1"/>
      <c r="K29" s="1"/>
      <c r="L29" s="1"/>
      <c r="M29" s="1"/>
      <c r="N29" s="1"/>
      <c r="O29" s="1"/>
      <c r="P29" s="1"/>
      <c r="Q29" s="1"/>
      <c r="R29" s="1"/>
      <c r="S29" s="1"/>
      <c r="T29" s="1"/>
      <c r="U29" s="1"/>
      <c r="V29" s="1"/>
      <c r="W29" s="1"/>
    </row>
    <row r="30" spans="1:23" ht="23" customHeight="1">
      <c r="A30" s="1"/>
      <c r="B30" s="1"/>
      <c r="C30" s="1"/>
      <c r="D30" s="1"/>
      <c r="E30" s="1"/>
      <c r="F30" s="1"/>
      <c r="G30" s="1"/>
      <c r="H30" s="1"/>
      <c r="I30" s="1"/>
      <c r="J30" s="1"/>
      <c r="K30" s="1"/>
      <c r="L30" s="1"/>
      <c r="M30" s="1"/>
      <c r="N30" s="1"/>
      <c r="O30" s="1"/>
      <c r="P30" s="1"/>
      <c r="Q30" s="1"/>
      <c r="R30" s="1"/>
      <c r="S30" s="1"/>
      <c r="T30" s="1"/>
      <c r="U30" s="1"/>
      <c r="V30" s="1"/>
      <c r="W30" s="1"/>
    </row>
    <row r="31" spans="1:23" ht="23" customHeight="1">
      <c r="A31" s="1"/>
      <c r="B31" s="42" t="s">
        <v>245</v>
      </c>
      <c r="C31" s="42"/>
      <c r="D31" s="42"/>
      <c r="E31" s="42"/>
      <c r="F31" s="42"/>
      <c r="G31" s="42"/>
      <c r="H31" s="42"/>
      <c r="I31" s="42"/>
      <c r="J31" s="42"/>
      <c r="K31" s="42"/>
      <c r="L31" s="1"/>
      <c r="M31" s="1"/>
      <c r="N31" s="1"/>
      <c r="O31" s="1"/>
      <c r="P31" s="1"/>
      <c r="Q31" s="1"/>
      <c r="R31" s="1"/>
      <c r="S31" s="1"/>
      <c r="T31" s="1"/>
      <c r="U31" s="1"/>
      <c r="V31" s="1"/>
      <c r="W31" s="1"/>
    </row>
    <row r="32" spans="1:23" ht="23" customHeight="1">
      <c r="A32" s="1"/>
      <c r="B32" s="42"/>
      <c r="C32" s="42"/>
      <c r="D32" s="42"/>
      <c r="E32" s="42"/>
      <c r="F32" s="42"/>
      <c r="G32" s="42"/>
      <c r="H32" s="42"/>
      <c r="I32" s="42"/>
      <c r="J32" s="42"/>
      <c r="K32" s="42"/>
      <c r="L32" s="1"/>
      <c r="M32" s="1"/>
      <c r="N32" s="1"/>
      <c r="O32" s="1"/>
      <c r="P32" s="1"/>
      <c r="Q32" s="1"/>
      <c r="R32" s="1"/>
      <c r="S32" s="1"/>
      <c r="T32" s="1"/>
      <c r="U32" s="1"/>
      <c r="V32" s="1"/>
      <c r="W32" s="1"/>
    </row>
    <row r="33" spans="1:23" ht="23" customHeight="1">
      <c r="A33" s="1"/>
      <c r="B33" s="42"/>
      <c r="C33" s="42"/>
      <c r="D33" s="42"/>
      <c r="E33" s="42"/>
      <c r="F33" s="42"/>
      <c r="G33" s="42"/>
      <c r="H33" s="42"/>
      <c r="I33" s="42"/>
      <c r="J33" s="42"/>
      <c r="K33" s="42"/>
      <c r="L33" s="1"/>
      <c r="M33" s="1"/>
      <c r="N33" s="1"/>
      <c r="O33" s="1"/>
      <c r="P33" s="1"/>
      <c r="Q33" s="1"/>
      <c r="R33" s="1"/>
      <c r="S33" s="1"/>
      <c r="T33" s="1"/>
      <c r="U33" s="1"/>
      <c r="V33" s="1"/>
      <c r="W33" s="1"/>
    </row>
    <row r="34" spans="1:23" ht="23" customHeight="1">
      <c r="A34" s="1"/>
      <c r="B34" s="1"/>
      <c r="C34" s="1"/>
      <c r="D34" s="1"/>
      <c r="E34" s="1"/>
      <c r="F34" s="1"/>
      <c r="G34" s="1"/>
      <c r="H34" s="1"/>
      <c r="I34" s="1"/>
      <c r="J34" s="1"/>
      <c r="K34" s="1"/>
      <c r="L34" s="1"/>
      <c r="M34" s="1"/>
      <c r="N34" s="1"/>
      <c r="O34" s="1"/>
      <c r="P34" s="1"/>
      <c r="Q34" s="1"/>
      <c r="R34" s="1"/>
      <c r="S34" s="1"/>
      <c r="T34" s="1"/>
      <c r="U34" s="1"/>
      <c r="V34" s="1"/>
      <c r="W34" s="1"/>
    </row>
    <row r="35" spans="1:23" ht="23" customHeight="1">
      <c r="A35" s="1"/>
      <c r="B35" s="1"/>
      <c r="C35" s="1"/>
      <c r="D35" s="1"/>
      <c r="E35" s="1"/>
      <c r="F35" s="1"/>
      <c r="G35" s="1"/>
      <c r="H35" s="1"/>
      <c r="I35" s="1"/>
      <c r="J35" s="1"/>
      <c r="K35" s="1"/>
      <c r="L35" s="1"/>
      <c r="M35" s="1"/>
      <c r="N35" s="1"/>
      <c r="O35" s="1"/>
      <c r="P35" s="1"/>
      <c r="Q35" s="1"/>
      <c r="R35" s="1"/>
      <c r="S35" s="1"/>
      <c r="T35" s="1"/>
      <c r="U35" s="1"/>
      <c r="V35" s="1"/>
      <c r="W35" s="1"/>
    </row>
    <row r="36" spans="1:23" ht="23" customHeight="1">
      <c r="A36" s="1"/>
      <c r="B36" s="1"/>
      <c r="C36" s="1"/>
      <c r="D36" s="1"/>
      <c r="E36" s="1"/>
      <c r="F36" s="1"/>
      <c r="G36" s="1"/>
      <c r="H36" s="1"/>
      <c r="I36" s="1"/>
      <c r="J36" s="1"/>
      <c r="K36" s="1"/>
      <c r="L36" s="1"/>
      <c r="M36" s="1"/>
      <c r="N36" s="1"/>
      <c r="O36" s="1"/>
      <c r="P36" s="1"/>
      <c r="Q36" s="1"/>
      <c r="R36" s="1"/>
      <c r="S36" s="1"/>
      <c r="T36" s="1"/>
      <c r="U36" s="1"/>
      <c r="V36" s="1"/>
      <c r="W36" s="1"/>
    </row>
    <row r="37" spans="1:23" ht="23" customHeight="1">
      <c r="A37" s="1"/>
      <c r="B37" s="1"/>
      <c r="C37" s="1"/>
      <c r="D37" s="1"/>
      <c r="E37" s="1"/>
      <c r="F37" s="1"/>
      <c r="G37" s="1"/>
      <c r="H37" s="1"/>
      <c r="I37" s="1"/>
      <c r="J37" s="1"/>
      <c r="K37" s="1"/>
      <c r="L37" s="1"/>
      <c r="M37" s="1"/>
      <c r="N37" s="1"/>
      <c r="O37" s="1"/>
      <c r="P37" s="1"/>
      <c r="Q37" s="1"/>
      <c r="R37" s="1"/>
      <c r="S37" s="1"/>
      <c r="T37" s="1"/>
      <c r="U37" s="1"/>
      <c r="V37" s="1"/>
      <c r="W37" s="1"/>
    </row>
    <row r="38" spans="1:23" ht="23" customHeight="1">
      <c r="A38" s="1"/>
      <c r="B38" s="1"/>
      <c r="C38" s="1"/>
      <c r="D38" s="1"/>
      <c r="E38" s="1"/>
      <c r="F38" s="1"/>
      <c r="G38" s="1"/>
      <c r="H38" s="1"/>
      <c r="I38" s="1"/>
      <c r="J38" s="1"/>
      <c r="K38" s="1"/>
      <c r="L38" s="1"/>
      <c r="M38" s="1"/>
      <c r="N38" s="1"/>
      <c r="O38" s="1"/>
      <c r="P38" s="1"/>
      <c r="Q38" s="1"/>
      <c r="R38" s="1"/>
      <c r="S38" s="1"/>
      <c r="T38" s="1"/>
      <c r="U38" s="1"/>
      <c r="V38" s="1"/>
      <c r="W38" s="1"/>
    </row>
    <row r="39" spans="1:23" ht="23" customHeight="1">
      <c r="A39" s="1"/>
      <c r="B39" s="1"/>
      <c r="C39" s="1"/>
      <c r="D39" s="1"/>
      <c r="E39" s="1"/>
      <c r="F39" s="1"/>
      <c r="G39" s="1"/>
      <c r="H39" s="1"/>
      <c r="I39" s="1"/>
      <c r="J39" s="1"/>
      <c r="K39" s="1"/>
      <c r="L39" s="1"/>
      <c r="M39" s="1"/>
      <c r="N39" s="1"/>
      <c r="O39" s="1"/>
      <c r="P39" s="1"/>
      <c r="Q39" s="1"/>
      <c r="R39" s="1"/>
      <c r="S39" s="1"/>
      <c r="T39" s="1"/>
      <c r="U39" s="1"/>
      <c r="V39" s="1"/>
      <c r="W39" s="1"/>
    </row>
    <row r="40" spans="1:23" ht="23" customHeight="1">
      <c r="A40" s="1"/>
      <c r="B40" s="1"/>
      <c r="C40" s="1"/>
      <c r="D40" s="1"/>
      <c r="E40" s="1"/>
      <c r="F40" s="1"/>
      <c r="G40" s="1"/>
      <c r="H40" s="1"/>
      <c r="I40" s="1"/>
      <c r="J40" s="1"/>
      <c r="K40" s="1"/>
      <c r="L40" s="1"/>
      <c r="M40" s="1"/>
      <c r="N40" s="1"/>
      <c r="O40" s="1"/>
      <c r="P40" s="1"/>
      <c r="Q40" s="1"/>
      <c r="R40" s="1"/>
      <c r="S40" s="1"/>
      <c r="T40" s="1"/>
      <c r="U40" s="1"/>
      <c r="V40" s="1"/>
      <c r="W40" s="1"/>
    </row>
    <row r="41" spans="1:23" ht="23" customHeight="1">
      <c r="A41" s="1"/>
      <c r="B41" s="1"/>
      <c r="C41" s="1"/>
      <c r="D41" s="1"/>
      <c r="E41" s="1"/>
      <c r="F41" s="1"/>
      <c r="G41" s="1"/>
      <c r="H41" s="1"/>
      <c r="I41" s="1"/>
      <c r="J41" s="1"/>
      <c r="K41" s="1"/>
      <c r="L41" s="1"/>
      <c r="M41" s="1"/>
      <c r="N41" s="1"/>
      <c r="O41" s="1"/>
      <c r="P41" s="1"/>
      <c r="Q41" s="1"/>
      <c r="R41" s="1"/>
      <c r="S41" s="1"/>
      <c r="T41" s="1"/>
      <c r="U41" s="1"/>
      <c r="V41" s="1"/>
      <c r="W41" s="1"/>
    </row>
    <row r="42" spans="1:23" ht="23" customHeight="1">
      <c r="A42" s="1"/>
      <c r="B42" s="1"/>
      <c r="C42" s="1"/>
      <c r="D42" s="1"/>
      <c r="E42" s="1"/>
      <c r="F42" s="1"/>
      <c r="G42" s="1"/>
      <c r="H42" s="1"/>
      <c r="I42" s="1"/>
      <c r="J42" s="1"/>
      <c r="K42" s="1"/>
      <c r="L42" s="1"/>
      <c r="M42" s="1"/>
      <c r="N42" s="1"/>
      <c r="O42" s="1"/>
      <c r="P42" s="1"/>
      <c r="Q42" s="1"/>
      <c r="R42" s="1"/>
      <c r="S42" s="1"/>
      <c r="T42" s="1"/>
      <c r="U42" s="1"/>
      <c r="V42" s="1"/>
      <c r="W42" s="1"/>
    </row>
    <row r="43" spans="1:23" ht="23" customHeight="1">
      <c r="A43" s="1"/>
      <c r="B43" s="1"/>
      <c r="C43" s="1"/>
      <c r="D43" s="1"/>
      <c r="E43" s="1"/>
      <c r="F43" s="1"/>
      <c r="G43" s="1"/>
      <c r="H43" s="1"/>
      <c r="I43" s="1"/>
      <c r="J43" s="1"/>
      <c r="K43" s="1"/>
      <c r="L43" s="1"/>
      <c r="M43" s="1"/>
      <c r="N43" s="1"/>
      <c r="O43" s="1"/>
      <c r="P43" s="1"/>
      <c r="Q43" s="1"/>
      <c r="R43" s="1"/>
      <c r="S43" s="1"/>
      <c r="T43" s="1"/>
      <c r="U43" s="1"/>
      <c r="V43" s="1"/>
      <c r="W43" s="1"/>
    </row>
    <row r="44" spans="1:23" ht="23" customHeight="1">
      <c r="A44" s="1"/>
      <c r="B44" s="1"/>
      <c r="C44" s="1"/>
      <c r="D44" s="1"/>
      <c r="E44" s="1"/>
      <c r="F44" s="1"/>
      <c r="G44" s="1"/>
      <c r="H44" s="1"/>
      <c r="I44" s="1"/>
      <c r="J44" s="1"/>
      <c r="K44" s="1"/>
      <c r="L44" s="1"/>
      <c r="M44" s="1"/>
      <c r="N44" s="1"/>
      <c r="O44" s="1"/>
      <c r="P44" s="1"/>
      <c r="Q44" s="1"/>
      <c r="R44" s="1"/>
      <c r="S44" s="1"/>
      <c r="T44" s="1"/>
      <c r="U44" s="1"/>
      <c r="V44" s="1"/>
      <c r="W44" s="1"/>
    </row>
    <row r="45" spans="1:23" ht="23" customHeight="1">
      <c r="A45" s="1"/>
      <c r="B45" s="1"/>
      <c r="C45" s="1"/>
      <c r="D45" s="1"/>
      <c r="E45" s="1"/>
      <c r="F45" s="1"/>
      <c r="G45" s="1"/>
      <c r="H45" s="1"/>
      <c r="I45" s="1"/>
      <c r="J45" s="1"/>
      <c r="K45" s="1"/>
      <c r="L45" s="1"/>
      <c r="M45" s="1"/>
      <c r="N45" s="1"/>
      <c r="O45" s="1"/>
      <c r="P45" s="1"/>
      <c r="Q45" s="1"/>
      <c r="R45" s="1"/>
      <c r="S45" s="1"/>
      <c r="T45" s="1"/>
      <c r="U45" s="1"/>
      <c r="V45" s="1"/>
      <c r="W45" s="1"/>
    </row>
    <row r="46" spans="1:23" ht="23" customHeight="1">
      <c r="A46" s="1"/>
      <c r="B46" s="1"/>
      <c r="C46" s="1"/>
      <c r="D46" s="1"/>
      <c r="E46" s="1"/>
      <c r="F46" s="1"/>
      <c r="G46" s="1"/>
      <c r="H46" s="1"/>
      <c r="I46" s="1"/>
      <c r="J46" s="1"/>
      <c r="K46" s="1"/>
      <c r="L46" s="1"/>
      <c r="M46" s="1"/>
      <c r="N46" s="1"/>
      <c r="O46" s="1"/>
      <c r="P46" s="1"/>
      <c r="Q46" s="1"/>
      <c r="R46" s="1"/>
      <c r="S46" s="1"/>
      <c r="T46" s="1"/>
      <c r="U46" s="1"/>
      <c r="V46" s="1"/>
      <c r="W46" s="1"/>
    </row>
    <row r="47" spans="1:23" ht="23" customHeight="1">
      <c r="A47" s="1"/>
      <c r="B47" s="1"/>
      <c r="C47" s="1"/>
      <c r="D47" s="1"/>
      <c r="E47" s="1"/>
      <c r="F47" s="1"/>
      <c r="G47" s="1"/>
      <c r="H47" s="1"/>
      <c r="I47" s="1"/>
      <c r="J47" s="1"/>
      <c r="K47" s="1"/>
      <c r="L47" s="1"/>
      <c r="M47" s="1"/>
      <c r="N47" s="1"/>
      <c r="O47" s="1"/>
      <c r="P47" s="1"/>
      <c r="Q47" s="1"/>
      <c r="R47" s="1"/>
      <c r="S47" s="1"/>
      <c r="T47" s="1"/>
      <c r="U47" s="1"/>
      <c r="V47" s="1"/>
      <c r="W47" s="1"/>
    </row>
    <row r="48" spans="1:23" ht="23" customHeight="1">
      <c r="A48" s="1"/>
      <c r="B48" s="1"/>
      <c r="C48" s="1"/>
      <c r="D48" s="1"/>
      <c r="E48" s="1"/>
      <c r="F48" s="1"/>
      <c r="G48" s="1"/>
      <c r="H48" s="1"/>
      <c r="I48" s="1"/>
      <c r="J48" s="1"/>
      <c r="K48" s="1"/>
      <c r="L48" s="1"/>
      <c r="M48" s="1"/>
      <c r="N48" s="1"/>
      <c r="O48" s="1"/>
      <c r="P48" s="1"/>
      <c r="Q48" s="1"/>
      <c r="R48" s="1"/>
      <c r="S48" s="1"/>
      <c r="T48" s="1"/>
      <c r="U48" s="1"/>
      <c r="V48" s="1"/>
      <c r="W48" s="1"/>
    </row>
    <row r="49" spans="1:23" ht="23" customHeight="1">
      <c r="A49" s="1"/>
      <c r="B49" s="1"/>
      <c r="C49" s="1"/>
      <c r="D49" s="1"/>
      <c r="E49" s="1"/>
      <c r="F49" s="1"/>
      <c r="G49" s="1"/>
      <c r="H49" s="1"/>
      <c r="I49" s="1"/>
      <c r="J49" s="1"/>
      <c r="K49" s="1"/>
      <c r="L49" s="1"/>
      <c r="M49" s="1"/>
      <c r="N49" s="1"/>
      <c r="O49" s="1"/>
      <c r="P49" s="1"/>
      <c r="Q49" s="1"/>
      <c r="R49" s="1"/>
      <c r="S49" s="1"/>
      <c r="T49" s="1"/>
      <c r="U49" s="1"/>
      <c r="V49" s="1"/>
      <c r="W49" s="1"/>
    </row>
    <row r="50" spans="1:23" ht="23" customHeight="1">
      <c r="A50" s="1"/>
      <c r="B50" s="1"/>
      <c r="C50" s="1"/>
      <c r="D50" s="1"/>
      <c r="E50" s="1"/>
      <c r="F50" s="1"/>
      <c r="G50" s="1"/>
      <c r="H50" s="1"/>
      <c r="I50" s="1"/>
      <c r="J50" s="1"/>
      <c r="K50" s="1"/>
      <c r="L50" s="1"/>
      <c r="M50" s="1"/>
      <c r="N50" s="1"/>
      <c r="O50" s="1"/>
      <c r="P50" s="1"/>
      <c r="Q50" s="1"/>
      <c r="R50" s="1"/>
      <c r="S50" s="1"/>
      <c r="T50" s="1"/>
      <c r="U50" s="1"/>
      <c r="V50" s="1"/>
      <c r="W50" s="1"/>
    </row>
    <row r="51" spans="1:23" ht="23" customHeight="1">
      <c r="A51" s="1"/>
      <c r="B51" s="1"/>
      <c r="C51" s="1"/>
      <c r="D51" s="1"/>
      <c r="E51" s="1"/>
      <c r="F51" s="1"/>
      <c r="G51" s="1"/>
      <c r="H51" s="1"/>
      <c r="I51" s="1"/>
      <c r="J51" s="1"/>
      <c r="K51" s="1"/>
      <c r="L51" s="1"/>
      <c r="M51" s="1"/>
      <c r="N51" s="1"/>
      <c r="O51" s="1"/>
      <c r="P51" s="1"/>
      <c r="Q51" s="1"/>
      <c r="R51" s="1"/>
      <c r="S51" s="1"/>
      <c r="T51" s="1"/>
      <c r="U51" s="1"/>
      <c r="V51" s="1"/>
      <c r="W51" s="1"/>
    </row>
    <row r="52" spans="1:23" ht="23" customHeight="1">
      <c r="A52" s="1"/>
      <c r="B52" s="1"/>
      <c r="C52" s="1"/>
      <c r="D52" s="1"/>
      <c r="E52" s="1"/>
      <c r="F52" s="1"/>
      <c r="G52" s="1"/>
      <c r="H52" s="1"/>
      <c r="I52" s="1"/>
      <c r="J52" s="1"/>
      <c r="K52" s="1"/>
      <c r="L52" s="1"/>
      <c r="M52" s="1"/>
      <c r="N52" s="1"/>
      <c r="O52" s="1"/>
      <c r="P52" s="1"/>
      <c r="Q52" s="1"/>
      <c r="R52" s="1"/>
      <c r="S52" s="1"/>
      <c r="T52" s="1"/>
      <c r="U52" s="1"/>
      <c r="V52" s="1"/>
      <c r="W52" s="1"/>
    </row>
    <row r="53" spans="1:23" ht="23" customHeight="1">
      <c r="A53" s="1"/>
      <c r="B53" s="1"/>
      <c r="C53" s="1"/>
      <c r="D53" s="1"/>
      <c r="E53" s="1"/>
      <c r="F53" s="1"/>
      <c r="G53" s="1"/>
      <c r="H53" s="1"/>
      <c r="I53" s="1"/>
      <c r="J53" s="1"/>
      <c r="K53" s="1"/>
      <c r="L53" s="1"/>
      <c r="M53" s="1"/>
      <c r="N53" s="1"/>
      <c r="O53" s="1"/>
      <c r="P53" s="1"/>
      <c r="Q53" s="1"/>
      <c r="R53" s="1"/>
      <c r="S53" s="1"/>
      <c r="T53" s="1"/>
      <c r="U53" s="1"/>
      <c r="V53" s="1"/>
      <c r="W53" s="1"/>
    </row>
    <row r="54" spans="1:23" ht="23" customHeight="1">
      <c r="A54" s="1"/>
      <c r="B54" s="1"/>
      <c r="C54" s="1"/>
      <c r="D54" s="1"/>
      <c r="E54" s="1"/>
      <c r="F54" s="1"/>
      <c r="G54" s="1"/>
      <c r="H54" s="1"/>
      <c r="I54" s="1"/>
      <c r="J54" s="1"/>
      <c r="K54" s="1"/>
      <c r="L54" s="1"/>
      <c r="M54" s="1"/>
      <c r="N54" s="1"/>
      <c r="O54" s="1"/>
      <c r="P54" s="1"/>
      <c r="Q54" s="1"/>
      <c r="R54" s="1"/>
      <c r="S54" s="1"/>
      <c r="T54" s="1"/>
      <c r="U54" s="1"/>
      <c r="V54" s="1"/>
      <c r="W54" s="1"/>
    </row>
    <row r="55" spans="1:23" ht="23" customHeight="1">
      <c r="A55" s="1"/>
      <c r="B55" s="1"/>
      <c r="C55" s="1"/>
      <c r="D55" s="1"/>
      <c r="E55" s="1"/>
      <c r="F55" s="1"/>
      <c r="G55" s="1"/>
      <c r="H55" s="1"/>
      <c r="I55" s="1"/>
      <c r="J55" s="1"/>
      <c r="K55" s="1"/>
      <c r="L55" s="1"/>
      <c r="M55" s="1"/>
      <c r="N55" s="1"/>
      <c r="O55" s="1"/>
      <c r="P55" s="1"/>
      <c r="Q55" s="1"/>
      <c r="R55" s="1"/>
      <c r="S55" s="1"/>
      <c r="T55" s="1"/>
      <c r="U55" s="1"/>
      <c r="V55" s="1"/>
      <c r="W55" s="1"/>
    </row>
    <row r="56" spans="1:23" ht="23" customHeight="1">
      <c r="A56" s="1"/>
      <c r="B56" s="1"/>
      <c r="C56" s="1"/>
      <c r="D56" s="1"/>
      <c r="E56" s="1"/>
      <c r="F56" s="1"/>
      <c r="G56" s="1"/>
      <c r="H56" s="1"/>
      <c r="I56" s="1"/>
      <c r="J56" s="1"/>
      <c r="K56" s="1"/>
      <c r="L56" s="1"/>
      <c r="M56" s="1"/>
      <c r="N56" s="1"/>
      <c r="O56" s="1"/>
      <c r="P56" s="1"/>
      <c r="Q56" s="1"/>
      <c r="R56" s="1"/>
      <c r="S56" s="1"/>
      <c r="T56" s="1"/>
      <c r="U56" s="1"/>
      <c r="V56" s="1"/>
      <c r="W56" s="1"/>
    </row>
    <row r="57" spans="1:23" ht="23" customHeight="1">
      <c r="A57" s="1"/>
      <c r="B57" s="1"/>
      <c r="C57" s="1"/>
      <c r="D57" s="1"/>
      <c r="E57" s="1"/>
      <c r="F57" s="1"/>
      <c r="G57" s="1"/>
      <c r="H57" s="1"/>
      <c r="I57" s="1"/>
      <c r="J57" s="1"/>
      <c r="K57" s="1"/>
      <c r="L57" s="1"/>
      <c r="M57" s="1"/>
      <c r="N57" s="1"/>
      <c r="O57" s="1"/>
      <c r="P57" s="1"/>
      <c r="Q57" s="1"/>
      <c r="R57" s="1"/>
      <c r="S57" s="1"/>
      <c r="T57" s="1"/>
      <c r="U57" s="1"/>
      <c r="V57" s="1"/>
      <c r="W57" s="1"/>
    </row>
    <row r="58" spans="1:23" ht="23" customHeight="1">
      <c r="A58" s="1"/>
      <c r="B58" s="1"/>
      <c r="C58" s="1"/>
      <c r="D58" s="1"/>
      <c r="E58" s="1"/>
      <c r="F58" s="1"/>
      <c r="G58" s="1"/>
      <c r="H58" s="1"/>
      <c r="I58" s="1"/>
      <c r="J58" s="1"/>
      <c r="K58" s="1"/>
      <c r="L58" s="1"/>
      <c r="M58" s="1"/>
      <c r="N58" s="1"/>
      <c r="O58" s="1"/>
      <c r="P58" s="1"/>
      <c r="Q58" s="1"/>
      <c r="R58" s="1"/>
      <c r="S58" s="1"/>
      <c r="T58" s="1"/>
      <c r="U58" s="1"/>
      <c r="V58" s="1"/>
      <c r="W58" s="1"/>
    </row>
    <row r="59" spans="1:23" ht="23" customHeight="1">
      <c r="A59" s="1"/>
      <c r="B59" s="1"/>
      <c r="C59" s="1"/>
      <c r="D59" s="1"/>
      <c r="E59" s="1"/>
      <c r="F59" s="1"/>
      <c r="G59" s="1"/>
      <c r="H59" s="1"/>
      <c r="I59" s="1"/>
      <c r="J59" s="1"/>
      <c r="K59" s="1"/>
      <c r="L59" s="1"/>
      <c r="M59" s="1"/>
      <c r="N59" s="1"/>
      <c r="O59" s="1"/>
      <c r="P59" s="1"/>
      <c r="Q59" s="1"/>
      <c r="R59" s="1"/>
      <c r="S59" s="1"/>
      <c r="T59" s="1"/>
      <c r="U59" s="1"/>
      <c r="V59" s="1"/>
      <c r="W59" s="1"/>
    </row>
    <row r="60" spans="1:23" ht="23" customHeight="1">
      <c r="A60" s="1"/>
      <c r="B60" s="1"/>
      <c r="C60" s="1"/>
      <c r="D60" s="1"/>
      <c r="E60" s="1"/>
      <c r="F60" s="1"/>
      <c r="G60" s="1"/>
      <c r="H60" s="1"/>
      <c r="I60" s="1"/>
      <c r="J60" s="1"/>
      <c r="K60" s="1"/>
      <c r="L60" s="1"/>
      <c r="M60" s="1"/>
      <c r="N60" s="1"/>
      <c r="O60" s="1"/>
      <c r="P60" s="1"/>
      <c r="Q60" s="1"/>
      <c r="R60" s="1"/>
      <c r="S60" s="1"/>
      <c r="T60" s="1"/>
      <c r="U60" s="1"/>
      <c r="V60" s="1"/>
      <c r="W60" s="1"/>
    </row>
    <row r="61" spans="1:23" ht="23" customHeight="1">
      <c r="A61" s="1"/>
      <c r="B61" s="1"/>
      <c r="C61" s="1"/>
      <c r="D61" s="1"/>
      <c r="E61" s="1"/>
      <c r="F61" s="1"/>
      <c r="G61" s="1"/>
      <c r="H61" s="1"/>
      <c r="I61" s="1"/>
      <c r="J61" s="1"/>
      <c r="K61" s="1"/>
      <c r="L61" s="1"/>
      <c r="M61" s="1"/>
      <c r="N61" s="1"/>
      <c r="O61" s="1"/>
      <c r="P61" s="1"/>
      <c r="Q61" s="1"/>
      <c r="R61" s="1"/>
      <c r="S61" s="1"/>
      <c r="T61" s="1"/>
      <c r="U61" s="1"/>
      <c r="V61" s="1"/>
      <c r="W61" s="1"/>
    </row>
    <row r="62" spans="1:23" ht="23" customHeight="1">
      <c r="A62" s="1"/>
      <c r="B62" s="1"/>
      <c r="C62" s="1"/>
      <c r="D62" s="1"/>
      <c r="E62" s="1"/>
      <c r="F62" s="1"/>
      <c r="G62" s="1"/>
      <c r="H62" s="1"/>
      <c r="I62" s="1"/>
      <c r="J62" s="1"/>
      <c r="K62" s="1"/>
      <c r="L62" s="1"/>
      <c r="M62" s="1"/>
      <c r="N62" s="1"/>
      <c r="O62" s="1"/>
      <c r="P62" s="1"/>
      <c r="Q62" s="1"/>
      <c r="R62" s="1"/>
      <c r="S62" s="1"/>
      <c r="T62" s="1"/>
      <c r="U62" s="1"/>
      <c r="V62" s="1"/>
      <c r="W62" s="1"/>
    </row>
    <row r="63" spans="1:23" ht="23" customHeight="1">
      <c r="A63" s="1"/>
      <c r="B63" s="1"/>
      <c r="C63" s="1"/>
      <c r="D63" s="1"/>
      <c r="E63" s="1"/>
      <c r="F63" s="1"/>
      <c r="G63" s="1"/>
      <c r="H63" s="1"/>
      <c r="I63" s="1"/>
      <c r="J63" s="1"/>
      <c r="K63" s="1"/>
      <c r="L63" s="1"/>
      <c r="M63" s="1"/>
      <c r="N63" s="1"/>
      <c r="O63" s="1"/>
      <c r="P63" s="1"/>
      <c r="Q63" s="1"/>
      <c r="R63" s="1"/>
      <c r="S63" s="1"/>
      <c r="T63" s="1"/>
      <c r="U63" s="1"/>
      <c r="V63" s="1"/>
      <c r="W63" s="1"/>
    </row>
    <row r="64" spans="1:23" ht="23" customHeight="1">
      <c r="A64" s="1"/>
      <c r="B64" s="1"/>
      <c r="C64" s="1"/>
      <c r="D64" s="1"/>
      <c r="E64" s="1"/>
      <c r="F64" s="1"/>
      <c r="G64" s="1"/>
      <c r="H64" s="1"/>
      <c r="I64" s="1"/>
      <c r="J64" s="1"/>
      <c r="K64" s="1"/>
      <c r="L64" s="1"/>
      <c r="M64" s="1"/>
      <c r="N64" s="1"/>
      <c r="O64" s="1"/>
      <c r="P64" s="1"/>
      <c r="Q64" s="1"/>
      <c r="R64" s="1"/>
      <c r="S64" s="1"/>
      <c r="T64" s="1"/>
      <c r="U64" s="1"/>
      <c r="V64" s="1"/>
      <c r="W64" s="1"/>
    </row>
    <row r="65" spans="1:23" ht="23" customHeight="1">
      <c r="A65" s="1"/>
      <c r="B65" s="1"/>
      <c r="C65" s="1"/>
      <c r="D65" s="1"/>
      <c r="E65" s="1"/>
      <c r="F65" s="1"/>
      <c r="G65" s="1"/>
      <c r="H65" s="1"/>
      <c r="I65" s="1"/>
      <c r="J65" s="1"/>
      <c r="K65" s="1"/>
      <c r="L65" s="1"/>
      <c r="M65" s="1"/>
      <c r="N65" s="1"/>
      <c r="O65" s="1"/>
      <c r="P65" s="1"/>
      <c r="Q65" s="1"/>
      <c r="R65" s="1"/>
      <c r="S65" s="1"/>
      <c r="T65" s="1"/>
      <c r="U65" s="1"/>
      <c r="V65" s="1"/>
      <c r="W65" s="1"/>
    </row>
    <row r="66" spans="1:23" ht="23" customHeight="1">
      <c r="A66" s="1"/>
      <c r="B66" s="1"/>
      <c r="C66" s="1"/>
      <c r="D66" s="1"/>
      <c r="E66" s="1"/>
      <c r="F66" s="1"/>
      <c r="G66" s="1"/>
      <c r="H66" s="1"/>
      <c r="I66" s="1"/>
      <c r="J66" s="1"/>
      <c r="K66" s="1"/>
      <c r="L66" s="1"/>
      <c r="M66" s="1"/>
      <c r="N66" s="1"/>
      <c r="O66" s="1"/>
      <c r="P66" s="1"/>
      <c r="Q66" s="1"/>
      <c r="R66" s="1"/>
      <c r="S66" s="1"/>
      <c r="T66" s="1"/>
      <c r="U66" s="1"/>
      <c r="V66" s="1"/>
      <c r="W66" s="1"/>
    </row>
    <row r="67" spans="1:23" ht="23" customHeight="1">
      <c r="A67" s="1"/>
      <c r="B67" s="1"/>
      <c r="C67" s="1"/>
      <c r="D67" s="1"/>
      <c r="E67" s="1"/>
      <c r="F67" s="1"/>
      <c r="G67" s="1"/>
      <c r="H67" s="1"/>
      <c r="I67" s="1"/>
      <c r="J67" s="1"/>
      <c r="K67" s="1"/>
      <c r="L67" s="1"/>
      <c r="M67" s="1"/>
      <c r="N67" s="1"/>
      <c r="O67" s="1"/>
      <c r="P67" s="1"/>
      <c r="Q67" s="1"/>
      <c r="R67" s="1"/>
      <c r="S67" s="1"/>
      <c r="T67" s="1"/>
      <c r="U67" s="1"/>
      <c r="V67" s="1"/>
      <c r="W67" s="1"/>
    </row>
    <row r="68" spans="1:23" ht="23" customHeight="1">
      <c r="A68" s="1"/>
      <c r="B68" s="1"/>
      <c r="C68" s="1"/>
      <c r="D68" s="1"/>
      <c r="E68" s="1"/>
      <c r="F68" s="1"/>
      <c r="G68" s="1"/>
      <c r="H68" s="1"/>
      <c r="I68" s="1"/>
      <c r="J68" s="1"/>
      <c r="K68" s="1"/>
      <c r="L68" s="1"/>
      <c r="M68" s="1"/>
      <c r="N68" s="1"/>
      <c r="O68" s="1"/>
      <c r="P68" s="1"/>
      <c r="Q68" s="1"/>
      <c r="R68" s="1"/>
      <c r="S68" s="1"/>
      <c r="T68" s="1"/>
      <c r="U68" s="1"/>
      <c r="V68" s="1"/>
      <c r="W68" s="1"/>
    </row>
    <row r="69" spans="1:23" ht="23" customHeight="1">
      <c r="A69" s="1"/>
      <c r="B69" s="1"/>
      <c r="C69" s="1"/>
      <c r="D69" s="1"/>
      <c r="E69" s="1"/>
      <c r="F69" s="1"/>
      <c r="G69" s="1"/>
      <c r="H69" s="1"/>
      <c r="I69" s="1"/>
      <c r="J69" s="1"/>
      <c r="K69" s="1"/>
      <c r="L69" s="1"/>
      <c r="M69" s="1"/>
      <c r="N69" s="1"/>
      <c r="O69" s="1"/>
      <c r="P69" s="1"/>
      <c r="Q69" s="1"/>
      <c r="R69" s="1"/>
      <c r="S69" s="1"/>
      <c r="T69" s="1"/>
      <c r="U69" s="1"/>
      <c r="V69" s="1"/>
      <c r="W69" s="1"/>
    </row>
    <row r="70" spans="1:23" ht="23" customHeight="1">
      <c r="A70" s="1"/>
      <c r="B70" s="1"/>
      <c r="C70" s="1"/>
      <c r="D70" s="1"/>
      <c r="E70" s="1"/>
      <c r="F70" s="1"/>
      <c r="G70" s="1"/>
      <c r="H70" s="1"/>
      <c r="I70" s="1"/>
      <c r="J70" s="1"/>
      <c r="K70" s="1"/>
      <c r="L70" s="1"/>
      <c r="M70" s="1"/>
      <c r="N70" s="1"/>
      <c r="O70" s="1"/>
      <c r="P70" s="1"/>
      <c r="Q70" s="1"/>
      <c r="R70" s="1"/>
      <c r="S70" s="1"/>
      <c r="T70" s="1"/>
      <c r="U70" s="1"/>
      <c r="V70" s="1"/>
      <c r="W70" s="1"/>
    </row>
    <row r="71" spans="1:23" ht="23" customHeight="1">
      <c r="A71" s="1"/>
      <c r="B71" s="1"/>
      <c r="C71" s="1"/>
      <c r="D71" s="1"/>
      <c r="E71" s="1"/>
      <c r="F71" s="1"/>
      <c r="G71" s="1"/>
      <c r="H71" s="1"/>
      <c r="I71" s="1"/>
      <c r="J71" s="1"/>
      <c r="K71" s="1"/>
      <c r="L71" s="1"/>
      <c r="M71" s="1"/>
      <c r="N71" s="1"/>
      <c r="O71" s="1"/>
      <c r="P71" s="1"/>
      <c r="Q71" s="1"/>
      <c r="R71" s="1"/>
      <c r="S71" s="1"/>
      <c r="T71" s="1"/>
      <c r="U71" s="1"/>
      <c r="V71" s="1"/>
      <c r="W71" s="1"/>
    </row>
    <row r="72" spans="1:23" ht="23" customHeight="1">
      <c r="A72" s="1"/>
      <c r="B72" s="1"/>
      <c r="C72" s="1"/>
      <c r="D72" s="1"/>
      <c r="E72" s="1"/>
      <c r="F72" s="1"/>
      <c r="G72" s="1"/>
      <c r="H72" s="1"/>
      <c r="I72" s="1"/>
      <c r="J72" s="1"/>
      <c r="K72" s="1"/>
      <c r="L72" s="1"/>
      <c r="M72" s="1"/>
      <c r="N72" s="1"/>
      <c r="O72" s="1"/>
      <c r="P72" s="1"/>
      <c r="Q72" s="1"/>
      <c r="R72" s="1"/>
      <c r="S72" s="1"/>
      <c r="T72" s="1"/>
      <c r="U72" s="1"/>
      <c r="V72" s="1"/>
      <c r="W72" s="1"/>
    </row>
    <row r="73" spans="1:23" ht="23" customHeight="1">
      <c r="A73" s="1"/>
      <c r="B73" s="1"/>
      <c r="C73" s="1"/>
      <c r="D73" s="1"/>
      <c r="E73" s="1"/>
      <c r="F73" s="1"/>
      <c r="G73" s="1"/>
      <c r="H73" s="1"/>
      <c r="I73" s="1"/>
      <c r="J73" s="1"/>
      <c r="K73" s="1"/>
      <c r="L73" s="1"/>
      <c r="M73" s="1"/>
      <c r="N73" s="1"/>
      <c r="O73" s="1"/>
      <c r="P73" s="1"/>
      <c r="Q73" s="1"/>
      <c r="R73" s="1"/>
      <c r="S73" s="1"/>
      <c r="T73" s="1"/>
      <c r="U73" s="1"/>
      <c r="V73" s="1"/>
      <c r="W73" s="1"/>
    </row>
    <row r="74" spans="1:23" ht="23" customHeight="1">
      <c r="A74" s="1"/>
      <c r="B74" s="1"/>
      <c r="C74" s="1"/>
      <c r="D74" s="1"/>
      <c r="E74" s="1"/>
      <c r="F74" s="1"/>
      <c r="G74" s="1"/>
      <c r="H74" s="1"/>
      <c r="I74" s="1"/>
      <c r="J74" s="1"/>
      <c r="K74" s="1"/>
      <c r="L74" s="1"/>
      <c r="M74" s="1"/>
      <c r="N74" s="1"/>
      <c r="O74" s="1"/>
      <c r="P74" s="1"/>
      <c r="Q74" s="1"/>
      <c r="R74" s="1"/>
      <c r="S74" s="1"/>
      <c r="T74" s="1"/>
      <c r="U74" s="1"/>
      <c r="V74" s="1"/>
      <c r="W74" s="1"/>
    </row>
    <row r="75" spans="1:23" ht="23" customHeight="1">
      <c r="A75" s="1"/>
      <c r="B75" s="1"/>
      <c r="C75" s="1"/>
      <c r="D75" s="1"/>
      <c r="E75" s="1"/>
      <c r="F75" s="1"/>
      <c r="G75" s="1"/>
      <c r="H75" s="1"/>
      <c r="I75" s="1"/>
      <c r="J75" s="1"/>
      <c r="K75" s="1"/>
      <c r="L75" s="1"/>
      <c r="M75" s="1"/>
      <c r="N75" s="1"/>
      <c r="O75" s="1"/>
      <c r="P75" s="1"/>
      <c r="Q75" s="1"/>
      <c r="R75" s="1"/>
      <c r="S75" s="1"/>
      <c r="T75" s="1"/>
      <c r="U75" s="1"/>
      <c r="V75" s="1"/>
      <c r="W75" s="1"/>
    </row>
    <row r="76" spans="1:23" ht="23" customHeight="1">
      <c r="A76" s="1"/>
      <c r="B76" s="1"/>
      <c r="C76" s="1"/>
      <c r="D76" s="1"/>
      <c r="E76" s="1"/>
      <c r="F76" s="1"/>
      <c r="G76" s="1"/>
      <c r="H76" s="1"/>
      <c r="I76" s="1"/>
      <c r="J76" s="1"/>
      <c r="K76" s="1"/>
      <c r="L76" s="1"/>
      <c r="M76" s="1"/>
      <c r="N76" s="1"/>
      <c r="O76" s="1"/>
      <c r="P76" s="1"/>
      <c r="Q76" s="1"/>
      <c r="R76" s="1"/>
      <c r="S76" s="1"/>
      <c r="T76" s="1"/>
      <c r="U76" s="1"/>
      <c r="V76" s="1"/>
      <c r="W76" s="1"/>
    </row>
    <row r="77" spans="1:23" ht="23" customHeight="1">
      <c r="A77" s="1"/>
      <c r="B77" s="1"/>
      <c r="C77" s="1"/>
      <c r="D77" s="1"/>
      <c r="E77" s="1"/>
      <c r="F77" s="1"/>
      <c r="G77" s="1"/>
      <c r="H77" s="1"/>
      <c r="I77" s="1"/>
      <c r="J77" s="1"/>
      <c r="K77" s="1"/>
      <c r="L77" s="1"/>
      <c r="M77" s="1"/>
      <c r="N77" s="1"/>
      <c r="O77" s="1"/>
      <c r="P77" s="1"/>
      <c r="Q77" s="1"/>
      <c r="R77" s="1"/>
      <c r="S77" s="1"/>
      <c r="T77" s="1"/>
      <c r="U77" s="1"/>
      <c r="V77" s="1"/>
      <c r="W77" s="1"/>
    </row>
    <row r="78" spans="1:23" ht="23" customHeight="1">
      <c r="A78" s="1"/>
      <c r="B78" s="1"/>
      <c r="C78" s="1"/>
      <c r="D78" s="1"/>
      <c r="E78" s="1"/>
      <c r="F78" s="1"/>
      <c r="G78" s="1"/>
      <c r="H78" s="1"/>
      <c r="I78" s="1"/>
      <c r="J78" s="1"/>
      <c r="K78" s="1"/>
      <c r="L78" s="1"/>
      <c r="M78" s="1"/>
      <c r="N78" s="1"/>
      <c r="O78" s="1"/>
      <c r="P78" s="1"/>
      <c r="Q78" s="1"/>
      <c r="R78" s="1"/>
      <c r="S78" s="1"/>
      <c r="T78" s="1"/>
      <c r="U78" s="1"/>
      <c r="V78" s="1"/>
      <c r="W78" s="1"/>
    </row>
    <row r="79" spans="1:23" ht="23" customHeight="1">
      <c r="A79" s="1"/>
      <c r="B79" s="1"/>
      <c r="C79" s="1"/>
      <c r="D79" s="1"/>
      <c r="E79" s="1"/>
      <c r="F79" s="1"/>
      <c r="G79" s="1"/>
      <c r="H79" s="1"/>
      <c r="I79" s="1"/>
      <c r="J79" s="1"/>
      <c r="K79" s="1"/>
      <c r="L79" s="1"/>
      <c r="M79" s="1"/>
      <c r="N79" s="1"/>
      <c r="O79" s="1"/>
      <c r="P79" s="1"/>
      <c r="Q79" s="1"/>
      <c r="R79" s="1"/>
      <c r="S79" s="1"/>
      <c r="T79" s="1"/>
      <c r="U79" s="1"/>
      <c r="V79" s="1"/>
      <c r="W79" s="1"/>
    </row>
    <row r="80" spans="1:23" ht="23" customHeight="1">
      <c r="A80" s="1"/>
      <c r="B80" s="1"/>
      <c r="C80" s="1"/>
      <c r="D80" s="1"/>
      <c r="E80" s="1"/>
      <c r="F80" s="1"/>
      <c r="G80" s="1"/>
      <c r="H80" s="1"/>
      <c r="I80" s="1"/>
      <c r="J80" s="1"/>
      <c r="K80" s="1"/>
      <c r="L80" s="1"/>
      <c r="M80" s="1"/>
      <c r="N80" s="1"/>
      <c r="O80" s="1"/>
      <c r="P80" s="1"/>
      <c r="Q80" s="1"/>
      <c r="R80" s="1"/>
      <c r="S80" s="1"/>
      <c r="T80" s="1"/>
      <c r="U80" s="1"/>
      <c r="V80" s="1"/>
      <c r="W80" s="1"/>
    </row>
    <row r="81" spans="1:23" ht="23" customHeight="1">
      <c r="A81" s="1"/>
      <c r="B81" s="1"/>
      <c r="C81" s="1"/>
      <c r="D81" s="1"/>
      <c r="E81" s="1"/>
      <c r="F81" s="1"/>
      <c r="G81" s="1"/>
      <c r="H81" s="1"/>
      <c r="I81" s="1"/>
      <c r="J81" s="1"/>
      <c r="K81" s="1"/>
      <c r="L81" s="1"/>
      <c r="M81" s="1"/>
      <c r="N81" s="1"/>
      <c r="O81" s="1"/>
      <c r="P81" s="1"/>
      <c r="Q81" s="1"/>
      <c r="R81" s="1"/>
      <c r="S81" s="1"/>
      <c r="T81" s="1"/>
      <c r="U81" s="1"/>
      <c r="V81" s="1"/>
      <c r="W81" s="1"/>
    </row>
    <row r="82" spans="1:23" ht="23" customHeight="1">
      <c r="A82" s="1"/>
      <c r="B82" s="1"/>
      <c r="C82" s="1"/>
      <c r="D82" s="1"/>
      <c r="E82" s="1"/>
      <c r="F82" s="1"/>
      <c r="G82" s="1"/>
      <c r="H82" s="1"/>
      <c r="I82" s="1"/>
      <c r="J82" s="1"/>
      <c r="K82" s="1"/>
      <c r="L82" s="1"/>
      <c r="M82" s="1"/>
      <c r="N82" s="1"/>
      <c r="O82" s="1"/>
      <c r="P82" s="1"/>
      <c r="Q82" s="1"/>
      <c r="R82" s="1"/>
      <c r="S82" s="1"/>
      <c r="T82" s="1"/>
      <c r="U82" s="1"/>
      <c r="V82" s="1"/>
      <c r="W82" s="1"/>
    </row>
    <row r="83" spans="1:23" ht="23" customHeight="1">
      <c r="A83" s="1"/>
      <c r="B83" s="1"/>
      <c r="C83" s="1"/>
      <c r="D83" s="1"/>
      <c r="E83" s="1"/>
      <c r="F83" s="1"/>
      <c r="G83" s="1"/>
      <c r="H83" s="1"/>
      <c r="I83" s="1"/>
      <c r="J83" s="1"/>
      <c r="K83" s="1"/>
      <c r="L83" s="1"/>
      <c r="M83" s="1"/>
      <c r="N83" s="1"/>
      <c r="O83" s="1"/>
      <c r="P83" s="1"/>
      <c r="Q83" s="1"/>
      <c r="R83" s="1"/>
      <c r="S83" s="1"/>
      <c r="T83" s="1"/>
      <c r="U83" s="1"/>
      <c r="V83" s="1"/>
      <c r="W83" s="1"/>
    </row>
    <row r="84" spans="1:23" ht="23" customHeight="1">
      <c r="A84" s="1"/>
      <c r="B84" s="1"/>
      <c r="C84" s="1"/>
      <c r="D84" s="1"/>
      <c r="E84" s="1"/>
      <c r="F84" s="1"/>
      <c r="G84" s="1"/>
      <c r="H84" s="1"/>
      <c r="I84" s="1"/>
      <c r="J84" s="1"/>
      <c r="K84" s="1"/>
      <c r="L84" s="1"/>
      <c r="M84" s="1"/>
      <c r="N84" s="1"/>
      <c r="O84" s="1"/>
      <c r="P84" s="1"/>
      <c r="Q84" s="1"/>
      <c r="R84" s="1"/>
      <c r="S84" s="1"/>
      <c r="T84" s="1"/>
      <c r="U84" s="1"/>
      <c r="V84" s="1"/>
      <c r="W84" s="1"/>
    </row>
    <row r="85" spans="1:23" ht="23" customHeight="1">
      <c r="A85" s="1"/>
      <c r="B85" s="1"/>
      <c r="C85" s="1"/>
      <c r="D85" s="1"/>
      <c r="E85" s="1"/>
      <c r="F85" s="1"/>
      <c r="G85" s="1"/>
      <c r="H85" s="1"/>
      <c r="I85" s="1"/>
      <c r="J85" s="1"/>
      <c r="K85" s="1"/>
      <c r="L85" s="1"/>
      <c r="M85" s="1"/>
      <c r="N85" s="1"/>
      <c r="O85" s="1"/>
      <c r="P85" s="1"/>
      <c r="Q85" s="1"/>
      <c r="R85" s="1"/>
      <c r="S85" s="1"/>
      <c r="T85" s="1"/>
      <c r="U85" s="1"/>
      <c r="V85" s="1"/>
      <c r="W85" s="1"/>
    </row>
    <row r="86" spans="1:23" ht="23" customHeight="1">
      <c r="A86" s="1"/>
      <c r="B86" s="1"/>
      <c r="C86" s="1"/>
      <c r="D86" s="1"/>
      <c r="E86" s="1"/>
      <c r="F86" s="1"/>
      <c r="G86" s="1"/>
      <c r="H86" s="1"/>
      <c r="I86" s="1"/>
      <c r="J86" s="1"/>
      <c r="K86" s="1"/>
      <c r="L86" s="1"/>
      <c r="M86" s="1"/>
      <c r="N86" s="1"/>
      <c r="O86" s="1"/>
      <c r="P86" s="1"/>
      <c r="Q86" s="1"/>
      <c r="R86" s="1"/>
      <c r="S86" s="1"/>
      <c r="T86" s="1"/>
      <c r="U86" s="1"/>
      <c r="V86" s="1"/>
      <c r="W86" s="1"/>
    </row>
    <row r="87" spans="1:23" ht="23" customHeight="1">
      <c r="A87" s="1"/>
      <c r="B87" s="1"/>
      <c r="C87" s="1"/>
      <c r="D87" s="1"/>
      <c r="E87" s="1"/>
      <c r="F87" s="1"/>
      <c r="G87" s="1"/>
      <c r="H87" s="1"/>
      <c r="I87" s="1"/>
      <c r="J87" s="1"/>
      <c r="K87" s="1"/>
      <c r="L87" s="1"/>
      <c r="M87" s="1"/>
      <c r="N87" s="1"/>
      <c r="O87" s="1"/>
      <c r="P87" s="1"/>
      <c r="Q87" s="1"/>
      <c r="R87" s="1"/>
      <c r="S87" s="1"/>
      <c r="T87" s="1"/>
      <c r="U87" s="1"/>
      <c r="V87" s="1"/>
      <c r="W87" s="1"/>
    </row>
    <row r="88" spans="1:23" ht="23" customHeight="1">
      <c r="A88" s="1"/>
      <c r="B88" s="1"/>
      <c r="C88" s="1"/>
      <c r="D88" s="1"/>
      <c r="E88" s="1"/>
      <c r="F88" s="1"/>
      <c r="G88" s="1"/>
      <c r="H88" s="1"/>
      <c r="I88" s="1"/>
      <c r="J88" s="1"/>
      <c r="K88" s="1"/>
      <c r="L88" s="1"/>
      <c r="M88" s="1"/>
      <c r="N88" s="1"/>
      <c r="O88" s="1"/>
      <c r="P88" s="1"/>
      <c r="Q88" s="1"/>
      <c r="R88" s="1"/>
      <c r="S88" s="1"/>
      <c r="T88" s="1"/>
      <c r="U88" s="1"/>
      <c r="V88" s="1"/>
      <c r="W88" s="1"/>
    </row>
    <row r="89" spans="1:23" ht="23" customHeight="1">
      <c r="A89" s="1"/>
      <c r="B89" s="1"/>
      <c r="C89" s="1"/>
      <c r="D89" s="1"/>
      <c r="E89" s="1"/>
      <c r="F89" s="1"/>
      <c r="G89" s="1"/>
      <c r="H89" s="1"/>
      <c r="I89" s="1"/>
      <c r="J89" s="1"/>
      <c r="K89" s="1"/>
      <c r="L89" s="1"/>
      <c r="M89" s="1"/>
      <c r="N89" s="1"/>
      <c r="O89" s="1"/>
      <c r="P89" s="1"/>
      <c r="Q89" s="1"/>
      <c r="R89" s="1"/>
      <c r="S89" s="1"/>
      <c r="T89" s="1"/>
      <c r="U89" s="1"/>
      <c r="V89" s="1"/>
      <c r="W89" s="1"/>
    </row>
    <row r="90" spans="1:23" ht="23" customHeight="1">
      <c r="A90" s="1"/>
      <c r="B90" s="1"/>
      <c r="C90" s="1"/>
      <c r="D90" s="1"/>
      <c r="E90" s="1"/>
      <c r="F90" s="1"/>
      <c r="G90" s="1"/>
      <c r="H90" s="1"/>
      <c r="I90" s="1"/>
      <c r="J90" s="1"/>
      <c r="K90" s="1"/>
      <c r="L90" s="1"/>
      <c r="M90" s="1"/>
      <c r="N90" s="1"/>
      <c r="O90" s="1"/>
      <c r="P90" s="1"/>
      <c r="Q90" s="1"/>
      <c r="R90" s="1"/>
      <c r="S90" s="1"/>
      <c r="T90" s="1"/>
      <c r="U90" s="1"/>
      <c r="V90" s="1"/>
      <c r="W90" s="1"/>
    </row>
    <row r="91" spans="1:23" ht="23" customHeight="1">
      <c r="A91" s="1"/>
      <c r="B91" s="1"/>
      <c r="C91" s="1"/>
      <c r="D91" s="1"/>
      <c r="E91" s="1"/>
      <c r="F91" s="1"/>
      <c r="G91" s="1"/>
      <c r="H91" s="1"/>
      <c r="I91" s="1"/>
      <c r="J91" s="1"/>
      <c r="K91" s="1"/>
      <c r="L91" s="1"/>
      <c r="M91" s="1"/>
      <c r="N91" s="1"/>
      <c r="O91" s="1"/>
      <c r="P91" s="1"/>
      <c r="Q91" s="1"/>
      <c r="R91" s="1"/>
      <c r="S91" s="1"/>
      <c r="T91" s="1"/>
      <c r="U91" s="1"/>
      <c r="V91" s="1"/>
      <c r="W91" s="1"/>
    </row>
    <row r="92" spans="1:23" ht="23" customHeight="1">
      <c r="A92" s="1"/>
      <c r="B92" s="1"/>
      <c r="C92" s="1"/>
      <c r="D92" s="1"/>
      <c r="E92" s="1"/>
      <c r="F92" s="1"/>
      <c r="G92" s="1"/>
      <c r="H92" s="1"/>
      <c r="I92" s="1"/>
      <c r="J92" s="1"/>
      <c r="K92" s="1"/>
      <c r="L92" s="1"/>
      <c r="M92" s="1"/>
      <c r="N92" s="1"/>
      <c r="O92" s="1"/>
      <c r="P92" s="1"/>
      <c r="Q92" s="1"/>
      <c r="R92" s="1"/>
      <c r="S92" s="1"/>
      <c r="T92" s="1"/>
      <c r="U92" s="1"/>
      <c r="V92" s="1"/>
      <c r="W92" s="1"/>
    </row>
    <row r="93" spans="1:23" ht="23" customHeight="1">
      <c r="A93" s="1"/>
      <c r="B93" s="1"/>
      <c r="C93" s="1"/>
      <c r="D93" s="1"/>
      <c r="E93" s="1"/>
      <c r="F93" s="1"/>
      <c r="G93" s="1"/>
      <c r="H93" s="1"/>
      <c r="I93" s="1"/>
      <c r="J93" s="1"/>
      <c r="K93" s="1"/>
      <c r="L93" s="1"/>
      <c r="M93" s="1"/>
      <c r="N93" s="1"/>
      <c r="O93" s="1"/>
      <c r="P93" s="1"/>
      <c r="Q93" s="1"/>
      <c r="R93" s="1"/>
      <c r="S93" s="1"/>
      <c r="T93" s="1"/>
      <c r="U93" s="1"/>
      <c r="V93" s="1"/>
      <c r="W93" s="1"/>
    </row>
    <row r="94" spans="1:23" ht="23" customHeight="1">
      <c r="A94" s="1"/>
      <c r="B94" s="1"/>
      <c r="C94" s="1"/>
      <c r="D94" s="1"/>
      <c r="E94" s="1"/>
      <c r="F94" s="1"/>
      <c r="G94" s="1"/>
      <c r="H94" s="1"/>
      <c r="I94" s="1"/>
      <c r="J94" s="1"/>
      <c r="K94" s="1"/>
      <c r="L94" s="1"/>
      <c r="M94" s="1"/>
      <c r="N94" s="1"/>
      <c r="O94" s="1"/>
      <c r="P94" s="1"/>
      <c r="Q94" s="1"/>
      <c r="R94" s="1"/>
      <c r="S94" s="1"/>
      <c r="T94" s="1"/>
      <c r="U94" s="1"/>
      <c r="V94" s="1"/>
      <c r="W94" s="1"/>
    </row>
    <row r="95" spans="1:23" ht="23" customHeight="1">
      <c r="A95" s="1"/>
      <c r="B95" s="1"/>
      <c r="C95" s="1"/>
      <c r="D95" s="1"/>
      <c r="E95" s="1"/>
      <c r="F95" s="1"/>
      <c r="G95" s="1"/>
      <c r="H95" s="1"/>
      <c r="I95" s="1"/>
      <c r="J95" s="1"/>
      <c r="K95" s="1"/>
      <c r="L95" s="1"/>
      <c r="M95" s="1"/>
      <c r="N95" s="1"/>
      <c r="O95" s="1"/>
      <c r="P95" s="1"/>
      <c r="Q95" s="1"/>
      <c r="R95" s="1"/>
      <c r="S95" s="1"/>
      <c r="T95" s="1"/>
      <c r="U95" s="1"/>
      <c r="V95" s="1"/>
      <c r="W95" s="1"/>
    </row>
    <row r="96" spans="1:23" ht="23" customHeight="1">
      <c r="A96" s="1"/>
      <c r="B96" s="1"/>
      <c r="C96" s="1"/>
      <c r="D96" s="1"/>
      <c r="E96" s="1"/>
      <c r="F96" s="1"/>
      <c r="G96" s="1"/>
      <c r="H96" s="1"/>
      <c r="I96" s="1"/>
      <c r="J96" s="1"/>
      <c r="K96" s="1"/>
      <c r="L96" s="1"/>
      <c r="M96" s="1"/>
      <c r="N96" s="1"/>
      <c r="O96" s="1"/>
      <c r="P96" s="1"/>
      <c r="Q96" s="1"/>
      <c r="R96" s="1"/>
      <c r="S96" s="1"/>
      <c r="T96" s="1"/>
      <c r="U96" s="1"/>
      <c r="V96" s="1"/>
      <c r="W96" s="1"/>
    </row>
    <row r="97" spans="1:23" ht="23" customHeight="1">
      <c r="A97" s="1"/>
      <c r="B97" s="1"/>
      <c r="C97" s="1"/>
      <c r="D97" s="1"/>
      <c r="E97" s="1"/>
      <c r="F97" s="1"/>
      <c r="G97" s="1"/>
      <c r="H97" s="1"/>
      <c r="I97" s="1"/>
      <c r="J97" s="1"/>
      <c r="K97" s="1"/>
      <c r="L97" s="1"/>
      <c r="M97" s="1"/>
      <c r="N97" s="1"/>
      <c r="O97" s="1"/>
      <c r="P97" s="1"/>
      <c r="Q97" s="1"/>
      <c r="R97" s="1"/>
      <c r="S97" s="1"/>
      <c r="T97" s="1"/>
      <c r="U97" s="1"/>
      <c r="V97" s="1"/>
      <c r="W97" s="1"/>
    </row>
    <row r="98" spans="1:23" ht="23" customHeight="1">
      <c r="A98" s="1"/>
      <c r="B98" s="1"/>
      <c r="C98" s="1"/>
      <c r="D98" s="1"/>
      <c r="E98" s="1"/>
      <c r="F98" s="1"/>
      <c r="G98" s="1"/>
      <c r="H98" s="1"/>
      <c r="I98" s="1"/>
      <c r="J98" s="1"/>
      <c r="K98" s="1"/>
      <c r="L98" s="1"/>
      <c r="M98" s="1"/>
      <c r="N98" s="1"/>
      <c r="O98" s="1"/>
      <c r="P98" s="1"/>
      <c r="Q98" s="1"/>
      <c r="R98" s="1"/>
      <c r="S98" s="1"/>
      <c r="T98" s="1"/>
      <c r="U98" s="1"/>
      <c r="V98" s="1"/>
      <c r="W98" s="1"/>
    </row>
    <row r="99" spans="1:23" ht="23" customHeight="1">
      <c r="A99" s="1"/>
      <c r="B99" s="1"/>
      <c r="C99" s="1"/>
      <c r="D99" s="1"/>
      <c r="E99" s="1"/>
      <c r="F99" s="1"/>
      <c r="G99" s="1"/>
      <c r="H99" s="1"/>
      <c r="I99" s="1"/>
      <c r="J99" s="1"/>
      <c r="K99" s="1"/>
      <c r="L99" s="1"/>
      <c r="M99" s="1"/>
      <c r="N99" s="1"/>
      <c r="O99" s="1"/>
      <c r="P99" s="1"/>
      <c r="Q99" s="1"/>
      <c r="R99" s="1"/>
      <c r="S99" s="1"/>
      <c r="T99" s="1"/>
      <c r="U99" s="1"/>
      <c r="V99" s="1"/>
      <c r="W99" s="1"/>
    </row>
    <row r="100" spans="1:23" ht="23" customHeight="1">
      <c r="A100" s="1"/>
      <c r="B100" s="1"/>
      <c r="C100" s="1"/>
      <c r="D100" s="1"/>
      <c r="E100" s="1"/>
      <c r="F100" s="1"/>
      <c r="G100" s="1"/>
      <c r="H100" s="1"/>
      <c r="I100" s="1"/>
      <c r="J100" s="1"/>
      <c r="K100" s="1"/>
      <c r="L100" s="1"/>
      <c r="M100" s="1"/>
      <c r="N100" s="1"/>
      <c r="O100" s="1"/>
      <c r="P100" s="1"/>
      <c r="Q100" s="1"/>
      <c r="R100" s="1"/>
      <c r="S100" s="1"/>
      <c r="T100" s="1"/>
      <c r="U100" s="1"/>
      <c r="V100" s="1"/>
      <c r="W100" s="1"/>
    </row>
    <row r="101" spans="1:23" ht="23" customHeight="1">
      <c r="A101" s="1"/>
      <c r="B101" s="1"/>
      <c r="C101" s="1"/>
      <c r="D101" s="1"/>
      <c r="E101" s="1"/>
      <c r="F101" s="1"/>
      <c r="G101" s="1"/>
      <c r="H101" s="1"/>
      <c r="I101" s="1"/>
      <c r="J101" s="1"/>
      <c r="K101" s="1"/>
      <c r="L101" s="1"/>
      <c r="M101" s="1"/>
      <c r="N101" s="1"/>
      <c r="O101" s="1"/>
      <c r="P101" s="1"/>
      <c r="Q101" s="1"/>
      <c r="R101" s="1"/>
      <c r="S101" s="1"/>
      <c r="T101" s="1"/>
      <c r="U101" s="1"/>
      <c r="V101" s="1"/>
      <c r="W101" s="1"/>
    </row>
    <row r="102" spans="1:23" ht="23" customHeight="1">
      <c r="A102" s="1"/>
      <c r="B102" s="1"/>
      <c r="C102" s="1"/>
      <c r="D102" s="1"/>
      <c r="E102" s="1"/>
      <c r="F102" s="1"/>
      <c r="G102" s="1"/>
      <c r="H102" s="1"/>
      <c r="I102" s="1"/>
      <c r="J102" s="1"/>
      <c r="K102" s="1"/>
      <c r="L102" s="1"/>
      <c r="M102" s="1"/>
      <c r="N102" s="1"/>
      <c r="O102" s="1"/>
      <c r="P102" s="1"/>
      <c r="Q102" s="1"/>
      <c r="R102" s="1"/>
      <c r="S102" s="1"/>
      <c r="T102" s="1"/>
      <c r="U102" s="1"/>
      <c r="V102" s="1"/>
      <c r="W102" s="1"/>
    </row>
    <row r="103" spans="1:23" ht="23" customHeight="1">
      <c r="A103" s="1"/>
      <c r="B103" s="1"/>
      <c r="C103" s="1"/>
      <c r="D103" s="1"/>
      <c r="E103" s="1"/>
      <c r="F103" s="1"/>
      <c r="G103" s="1"/>
      <c r="H103" s="1"/>
      <c r="I103" s="1"/>
      <c r="J103" s="1"/>
      <c r="K103" s="1"/>
      <c r="L103" s="1"/>
      <c r="M103" s="1"/>
      <c r="N103" s="1"/>
      <c r="O103" s="1"/>
      <c r="P103" s="1"/>
      <c r="Q103" s="1"/>
      <c r="R103" s="1"/>
      <c r="S103" s="1"/>
      <c r="T103" s="1"/>
      <c r="U103" s="1"/>
      <c r="V103" s="1"/>
      <c r="W103" s="1"/>
    </row>
    <row r="104" spans="1:23" ht="23" customHeight="1">
      <c r="A104" s="1"/>
      <c r="B104" s="1"/>
      <c r="C104" s="1"/>
      <c r="D104" s="1"/>
      <c r="E104" s="1"/>
      <c r="F104" s="1"/>
      <c r="G104" s="1"/>
      <c r="H104" s="1"/>
      <c r="I104" s="1"/>
      <c r="J104" s="1"/>
      <c r="K104" s="1"/>
      <c r="L104" s="1"/>
      <c r="M104" s="1"/>
      <c r="N104" s="1"/>
      <c r="O104" s="1"/>
      <c r="P104" s="1"/>
      <c r="Q104" s="1"/>
      <c r="R104" s="1"/>
      <c r="S104" s="1"/>
      <c r="T104" s="1"/>
      <c r="U104" s="1"/>
      <c r="V104" s="1"/>
      <c r="W104" s="1"/>
    </row>
    <row r="105" spans="1:23" ht="23" customHeight="1">
      <c r="A105" s="1"/>
      <c r="B105" s="1"/>
      <c r="C105" s="1"/>
      <c r="D105" s="1"/>
      <c r="E105" s="1"/>
      <c r="F105" s="1"/>
      <c r="G105" s="1"/>
      <c r="H105" s="1"/>
      <c r="I105" s="1"/>
      <c r="J105" s="1"/>
      <c r="K105" s="1"/>
      <c r="L105" s="1"/>
      <c r="M105" s="1"/>
      <c r="N105" s="1"/>
      <c r="O105" s="1"/>
      <c r="P105" s="1"/>
      <c r="Q105" s="1"/>
      <c r="R105" s="1"/>
      <c r="S105" s="1"/>
      <c r="T105" s="1"/>
      <c r="U105" s="1"/>
      <c r="V105" s="1"/>
      <c r="W105" s="1"/>
    </row>
    <row r="106" spans="1:23" ht="23" customHeight="1">
      <c r="A106" s="1"/>
      <c r="B106" s="1"/>
      <c r="C106" s="1"/>
      <c r="D106" s="1"/>
      <c r="E106" s="1"/>
      <c r="F106" s="1"/>
      <c r="G106" s="1"/>
      <c r="H106" s="1"/>
      <c r="I106" s="1"/>
      <c r="J106" s="1"/>
      <c r="K106" s="1"/>
      <c r="L106" s="1"/>
      <c r="M106" s="1"/>
      <c r="N106" s="1"/>
      <c r="O106" s="1"/>
      <c r="P106" s="1"/>
      <c r="Q106" s="1"/>
      <c r="R106" s="1"/>
      <c r="S106" s="1"/>
      <c r="T106" s="1"/>
      <c r="U106" s="1"/>
      <c r="V106" s="1"/>
      <c r="W106" s="1"/>
    </row>
    <row r="107" spans="1:23" ht="23" customHeight="1">
      <c r="A107" s="1"/>
      <c r="B107" s="1"/>
      <c r="C107" s="1"/>
      <c r="D107" s="1"/>
      <c r="E107" s="1"/>
      <c r="F107" s="1"/>
      <c r="G107" s="1"/>
      <c r="H107" s="1"/>
      <c r="I107" s="1"/>
      <c r="J107" s="1"/>
      <c r="K107" s="1"/>
      <c r="L107" s="1"/>
      <c r="M107" s="1"/>
      <c r="N107" s="1"/>
      <c r="O107" s="1"/>
      <c r="P107" s="1"/>
      <c r="Q107" s="1"/>
      <c r="R107" s="1"/>
      <c r="S107" s="1"/>
      <c r="T107" s="1"/>
      <c r="U107" s="1"/>
      <c r="V107" s="1"/>
      <c r="W107" s="1"/>
    </row>
    <row r="108" spans="1:23" ht="23" customHeight="1">
      <c r="A108" s="1"/>
      <c r="B108" s="1"/>
      <c r="C108" s="1"/>
      <c r="D108" s="1"/>
      <c r="E108" s="1"/>
      <c r="F108" s="1"/>
      <c r="G108" s="1"/>
      <c r="H108" s="1"/>
      <c r="I108" s="1"/>
      <c r="J108" s="1"/>
      <c r="K108" s="1"/>
      <c r="L108" s="1"/>
      <c r="M108" s="1"/>
      <c r="N108" s="1"/>
      <c r="O108" s="1"/>
      <c r="P108" s="1"/>
      <c r="Q108" s="1"/>
      <c r="R108" s="1"/>
      <c r="S108" s="1"/>
      <c r="T108" s="1"/>
      <c r="U108" s="1"/>
      <c r="V108" s="1"/>
      <c r="W108" s="1"/>
    </row>
    <row r="109" spans="1:23" ht="23" customHeight="1">
      <c r="A109" s="1"/>
      <c r="B109" s="1"/>
      <c r="C109" s="1"/>
      <c r="D109" s="1"/>
      <c r="E109" s="1"/>
      <c r="F109" s="1"/>
      <c r="G109" s="1"/>
      <c r="H109" s="1"/>
      <c r="I109" s="1"/>
      <c r="J109" s="1"/>
      <c r="K109" s="1"/>
      <c r="L109" s="1"/>
      <c r="M109" s="1"/>
      <c r="N109" s="1"/>
      <c r="O109" s="1"/>
      <c r="P109" s="1"/>
      <c r="Q109" s="1"/>
      <c r="R109" s="1"/>
      <c r="S109" s="1"/>
      <c r="T109" s="1"/>
      <c r="U109" s="1"/>
      <c r="V109" s="1"/>
      <c r="W109" s="1"/>
    </row>
    <row r="110" spans="1:23" ht="23" customHeight="1">
      <c r="A110" s="1"/>
      <c r="B110" s="1"/>
      <c r="C110" s="1"/>
      <c r="D110" s="1"/>
      <c r="E110" s="1"/>
      <c r="F110" s="1"/>
      <c r="G110" s="1"/>
      <c r="H110" s="1"/>
      <c r="I110" s="1"/>
      <c r="J110" s="1"/>
      <c r="K110" s="1"/>
      <c r="L110" s="1"/>
      <c r="M110" s="1"/>
      <c r="N110" s="1"/>
      <c r="O110" s="1"/>
      <c r="P110" s="1"/>
      <c r="Q110" s="1"/>
      <c r="R110" s="1"/>
      <c r="S110" s="1"/>
      <c r="T110" s="1"/>
      <c r="U110" s="1"/>
      <c r="V110" s="1"/>
      <c r="W110" s="1"/>
    </row>
    <row r="111" spans="1:23" ht="23" customHeight="1">
      <c r="A111" s="1"/>
      <c r="B111" s="1"/>
      <c r="C111" s="1"/>
      <c r="D111" s="1"/>
      <c r="E111" s="1"/>
      <c r="F111" s="1"/>
      <c r="G111" s="1"/>
      <c r="H111" s="1"/>
      <c r="I111" s="1"/>
      <c r="J111" s="1"/>
      <c r="K111" s="1"/>
      <c r="L111" s="1"/>
      <c r="M111" s="1"/>
      <c r="N111" s="1"/>
      <c r="O111" s="1"/>
      <c r="P111" s="1"/>
      <c r="Q111" s="1"/>
      <c r="R111" s="1"/>
      <c r="S111" s="1"/>
      <c r="T111" s="1"/>
      <c r="U111" s="1"/>
      <c r="V111" s="1"/>
      <c r="W111" s="1"/>
    </row>
    <row r="112" spans="1:23" ht="23" customHeight="1">
      <c r="A112" s="1"/>
      <c r="B112" s="1"/>
      <c r="C112" s="1"/>
      <c r="D112" s="1"/>
      <c r="E112" s="1"/>
      <c r="F112" s="1"/>
      <c r="G112" s="1"/>
      <c r="H112" s="1"/>
      <c r="I112" s="1"/>
      <c r="J112" s="1"/>
      <c r="K112" s="1"/>
      <c r="L112" s="1"/>
      <c r="M112" s="1"/>
      <c r="N112" s="1"/>
      <c r="O112" s="1"/>
      <c r="P112" s="1"/>
      <c r="Q112" s="1"/>
      <c r="R112" s="1"/>
      <c r="S112" s="1"/>
      <c r="T112" s="1"/>
      <c r="U112" s="1"/>
      <c r="V112" s="1"/>
      <c r="W112" s="1"/>
    </row>
    <row r="113" spans="1:23" ht="23" customHeight="1">
      <c r="A113" s="1"/>
      <c r="B113" s="1"/>
      <c r="C113" s="1"/>
      <c r="D113" s="1"/>
      <c r="E113" s="1"/>
      <c r="F113" s="1"/>
      <c r="G113" s="1"/>
      <c r="H113" s="1"/>
      <c r="I113" s="1"/>
      <c r="J113" s="1"/>
      <c r="K113" s="1"/>
      <c r="L113" s="1"/>
      <c r="M113" s="1"/>
      <c r="N113" s="1"/>
      <c r="O113" s="1"/>
      <c r="P113" s="1"/>
      <c r="Q113" s="1"/>
      <c r="R113" s="1"/>
      <c r="S113" s="1"/>
      <c r="T113" s="1"/>
      <c r="U113" s="1"/>
      <c r="V113" s="1"/>
      <c r="W113" s="1"/>
    </row>
    <row r="114" spans="1:23" ht="23" customHeight="1">
      <c r="A114" s="1"/>
      <c r="B114" s="1"/>
      <c r="C114" s="1"/>
      <c r="D114" s="1"/>
      <c r="E114" s="1"/>
      <c r="F114" s="1"/>
      <c r="G114" s="1"/>
      <c r="H114" s="1"/>
      <c r="I114" s="1"/>
      <c r="J114" s="1"/>
      <c r="K114" s="1"/>
      <c r="L114" s="1"/>
      <c r="M114" s="1"/>
      <c r="N114" s="1"/>
      <c r="O114" s="1"/>
      <c r="P114" s="1"/>
      <c r="Q114" s="1"/>
      <c r="R114" s="1"/>
      <c r="S114" s="1"/>
      <c r="T114" s="1"/>
      <c r="U114" s="1"/>
      <c r="V114" s="1"/>
      <c r="W114" s="1"/>
    </row>
    <row r="115" spans="1:23" ht="23" customHeight="1">
      <c r="A115" s="1"/>
      <c r="B115" s="1"/>
      <c r="C115" s="1"/>
      <c r="D115" s="1"/>
      <c r="E115" s="1"/>
      <c r="F115" s="1"/>
      <c r="G115" s="1"/>
      <c r="H115" s="1"/>
      <c r="I115" s="1"/>
      <c r="J115" s="1"/>
      <c r="K115" s="1"/>
      <c r="L115" s="1"/>
      <c r="M115" s="1"/>
      <c r="N115" s="1"/>
      <c r="O115" s="1"/>
      <c r="P115" s="1"/>
      <c r="Q115" s="1"/>
      <c r="R115" s="1"/>
      <c r="S115" s="1"/>
      <c r="T115" s="1"/>
      <c r="U115" s="1"/>
      <c r="V115" s="1"/>
      <c r="W115" s="1"/>
    </row>
    <row r="116" spans="1:23" ht="23" customHeight="1">
      <c r="A116" s="1"/>
      <c r="B116" s="1"/>
      <c r="C116" s="1"/>
      <c r="D116" s="1"/>
      <c r="E116" s="1"/>
      <c r="F116" s="1"/>
      <c r="G116" s="1"/>
      <c r="H116" s="1"/>
      <c r="I116" s="1"/>
      <c r="J116" s="1"/>
      <c r="K116" s="1"/>
      <c r="L116" s="1"/>
      <c r="M116" s="1"/>
      <c r="N116" s="1"/>
      <c r="O116" s="1"/>
      <c r="P116" s="1"/>
      <c r="Q116" s="1"/>
      <c r="R116" s="1"/>
      <c r="S116" s="1"/>
      <c r="T116" s="1"/>
      <c r="U116" s="1"/>
      <c r="V116" s="1"/>
      <c r="W116" s="1"/>
    </row>
    <row r="117" spans="1:23" ht="23" customHeight="1">
      <c r="A117" s="1"/>
      <c r="B117" s="1"/>
      <c r="C117" s="1"/>
      <c r="D117" s="1"/>
      <c r="E117" s="1"/>
      <c r="F117" s="1"/>
      <c r="G117" s="1"/>
      <c r="H117" s="1"/>
      <c r="I117" s="1"/>
      <c r="J117" s="1"/>
      <c r="K117" s="1"/>
      <c r="L117" s="1"/>
      <c r="M117" s="1"/>
      <c r="N117" s="1"/>
      <c r="O117" s="1"/>
      <c r="P117" s="1"/>
      <c r="Q117" s="1"/>
      <c r="R117" s="1"/>
      <c r="S117" s="1"/>
      <c r="T117" s="1"/>
      <c r="U117" s="1"/>
      <c r="V117" s="1"/>
      <c r="W117" s="1"/>
    </row>
    <row r="118" spans="1:23" ht="23" customHeight="1">
      <c r="A118" s="1"/>
      <c r="B118" s="1"/>
      <c r="C118" s="1"/>
      <c r="D118" s="1"/>
      <c r="E118" s="1"/>
      <c r="F118" s="1"/>
      <c r="G118" s="1"/>
      <c r="H118" s="1"/>
      <c r="I118" s="1"/>
      <c r="J118" s="1"/>
      <c r="K118" s="1"/>
      <c r="L118" s="1"/>
      <c r="M118" s="1"/>
      <c r="N118" s="1"/>
      <c r="O118" s="1"/>
      <c r="P118" s="1"/>
      <c r="Q118" s="1"/>
      <c r="R118" s="1"/>
      <c r="S118" s="1"/>
      <c r="T118" s="1"/>
      <c r="U118" s="1"/>
      <c r="V118" s="1"/>
      <c r="W118" s="1"/>
    </row>
    <row r="119" spans="1:23" ht="23" customHeight="1">
      <c r="A119" s="1"/>
      <c r="B119" s="1"/>
      <c r="C119" s="1"/>
      <c r="D119" s="1"/>
      <c r="E119" s="1"/>
      <c r="F119" s="1"/>
      <c r="G119" s="1"/>
      <c r="H119" s="1"/>
      <c r="I119" s="1"/>
      <c r="J119" s="1"/>
      <c r="K119" s="1"/>
      <c r="L119" s="1"/>
      <c r="M119" s="1"/>
      <c r="N119" s="1"/>
      <c r="O119" s="1"/>
      <c r="P119" s="1"/>
      <c r="Q119" s="1"/>
      <c r="R119" s="1"/>
      <c r="S119" s="1"/>
      <c r="T119" s="1"/>
      <c r="U119" s="1"/>
      <c r="V119" s="1"/>
      <c r="W119" s="1"/>
    </row>
    <row r="120" spans="1:23" ht="23" customHeight="1">
      <c r="A120" s="1"/>
      <c r="B120" s="1"/>
      <c r="C120" s="1"/>
      <c r="D120" s="1"/>
      <c r="E120" s="1"/>
      <c r="F120" s="1"/>
      <c r="G120" s="1"/>
      <c r="H120" s="1"/>
      <c r="I120" s="1"/>
      <c r="J120" s="1"/>
      <c r="K120" s="1"/>
      <c r="L120" s="1"/>
      <c r="M120" s="1"/>
      <c r="N120" s="1"/>
      <c r="O120" s="1"/>
      <c r="P120" s="1"/>
      <c r="Q120" s="1"/>
      <c r="R120" s="1"/>
      <c r="S120" s="1"/>
      <c r="T120" s="1"/>
      <c r="U120" s="1"/>
      <c r="V120" s="1"/>
      <c r="W120" s="1"/>
    </row>
  </sheetData>
  <mergeCells count="1">
    <mergeCell ref="B31:K3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0"/>
  <sheetViews>
    <sheetView showGridLines="0" workbookViewId="0">
      <pane ySplit="5" topLeftCell="A6" activePane="bottomLeft" state="frozen"/>
      <selection pane="bottomLeft"/>
    </sheetView>
  </sheetViews>
  <sheetFormatPr defaultRowHeight="14"/>
  <cols>
    <col min="1" max="1" width="3" customWidth="1"/>
    <col min="2" max="2" width="28" customWidth="1"/>
    <col min="3" max="3" width="22" customWidth="1"/>
    <col min="4" max="4" width="65" customWidth="1"/>
    <col min="5" max="5" width="43" customWidth="1"/>
    <col min="6" max="6" width="20" customWidth="1"/>
    <col min="7" max="23" width="13" customWidth="1"/>
  </cols>
  <sheetData>
    <row r="1" spans="1:23" ht="23" customHeight="1">
      <c r="A1" s="1"/>
      <c r="B1" s="1"/>
      <c r="C1" s="1"/>
      <c r="D1" s="1"/>
      <c r="E1" s="1"/>
      <c r="F1" s="1"/>
      <c r="G1" s="1"/>
      <c r="H1" s="1"/>
      <c r="I1" s="1"/>
      <c r="J1" s="1"/>
      <c r="K1" s="1"/>
      <c r="L1" s="1"/>
      <c r="M1" s="1"/>
      <c r="N1" s="1"/>
      <c r="O1" s="1"/>
      <c r="P1" s="1"/>
      <c r="Q1" s="1"/>
      <c r="R1" s="1"/>
      <c r="S1" s="1"/>
      <c r="T1" s="1"/>
      <c r="U1" s="1"/>
      <c r="V1" s="1"/>
      <c r="W1" s="1"/>
    </row>
    <row r="2" spans="1:23" ht="32" customHeight="1">
      <c r="A2" s="1"/>
      <c r="B2" s="2" t="s">
        <v>246</v>
      </c>
      <c r="C2" s="2"/>
      <c r="D2" s="2"/>
      <c r="E2" s="2"/>
      <c r="F2" s="2"/>
      <c r="G2" s="2"/>
      <c r="H2" s="2"/>
      <c r="I2" s="2"/>
      <c r="J2" s="2"/>
      <c r="K2" s="2"/>
      <c r="L2" s="2"/>
      <c r="M2" s="2"/>
      <c r="N2" s="1"/>
      <c r="O2" s="1"/>
      <c r="P2" s="1"/>
      <c r="Q2" s="1"/>
      <c r="R2" s="1"/>
      <c r="S2" s="1"/>
      <c r="T2" s="1"/>
      <c r="U2" s="1"/>
      <c r="V2" s="1"/>
      <c r="W2" s="1"/>
    </row>
    <row r="3" spans="1:23" ht="23" customHeight="1">
      <c r="A3" s="1"/>
      <c r="B3" s="3" t="s">
        <v>247</v>
      </c>
      <c r="C3" s="3"/>
      <c r="D3" s="3"/>
      <c r="E3" s="3"/>
      <c r="F3" s="3"/>
      <c r="G3" s="3"/>
      <c r="H3" s="3"/>
      <c r="I3" s="3"/>
      <c r="J3" s="3"/>
      <c r="K3" s="3"/>
      <c r="L3" s="3"/>
      <c r="M3" s="3"/>
      <c r="N3" s="1"/>
      <c r="O3" s="1"/>
      <c r="P3" s="1"/>
      <c r="Q3" s="1"/>
      <c r="R3" s="1"/>
      <c r="S3" s="1"/>
      <c r="T3" s="1"/>
      <c r="U3" s="1"/>
      <c r="V3" s="1"/>
      <c r="W3" s="1"/>
    </row>
    <row r="4" spans="1:23" ht="23" customHeight="1">
      <c r="A4" s="1"/>
      <c r="B4" s="1"/>
      <c r="C4" s="1"/>
      <c r="D4" s="1"/>
      <c r="E4" s="1"/>
      <c r="F4" s="1"/>
      <c r="G4" s="1"/>
      <c r="H4" s="1"/>
      <c r="I4" s="1"/>
      <c r="J4" s="1"/>
      <c r="K4" s="1"/>
      <c r="L4" s="1"/>
      <c r="M4" s="1"/>
      <c r="N4" s="1"/>
      <c r="O4" s="1"/>
      <c r="P4" s="1"/>
      <c r="Q4" s="1"/>
      <c r="R4" s="1"/>
      <c r="S4" s="1"/>
      <c r="T4" s="1"/>
      <c r="U4" s="1"/>
      <c r="V4" s="1"/>
      <c r="W4" s="1"/>
    </row>
    <row r="5" spans="1:23" ht="32" customHeight="1">
      <c r="A5" s="1"/>
      <c r="B5" s="4" t="s">
        <v>248</v>
      </c>
      <c r="C5" s="4" t="s">
        <v>249</v>
      </c>
      <c r="D5" s="4" t="s">
        <v>250</v>
      </c>
      <c r="E5" s="4" t="s">
        <v>126</v>
      </c>
      <c r="F5" s="4" t="s">
        <v>251</v>
      </c>
      <c r="G5" s="1"/>
      <c r="H5" s="1"/>
      <c r="I5" s="1"/>
      <c r="J5" s="1"/>
      <c r="K5" s="1"/>
      <c r="L5" s="1"/>
      <c r="M5" s="1"/>
      <c r="N5" s="1"/>
      <c r="O5" s="1"/>
      <c r="P5" s="1"/>
      <c r="Q5" s="1"/>
      <c r="R5" s="1"/>
      <c r="S5" s="1"/>
      <c r="T5" s="1"/>
      <c r="U5" s="1"/>
      <c r="V5" s="1"/>
      <c r="W5" s="1"/>
    </row>
    <row r="6" spans="1:23" ht="70" customHeight="1">
      <c r="A6" s="1"/>
      <c r="B6" s="8" t="s">
        <v>252</v>
      </c>
      <c r="C6" s="8" t="s">
        <v>253</v>
      </c>
      <c r="D6" s="8" t="s">
        <v>254</v>
      </c>
      <c r="E6" s="8" t="s">
        <v>255</v>
      </c>
      <c r="F6" s="8" t="s">
        <v>256</v>
      </c>
      <c r="G6" s="1"/>
      <c r="H6" s="1"/>
      <c r="I6" s="1"/>
      <c r="J6" s="1"/>
      <c r="K6" s="1"/>
      <c r="L6" s="1"/>
      <c r="M6" s="1"/>
      <c r="N6" s="1"/>
      <c r="O6" s="1"/>
      <c r="P6" s="1"/>
      <c r="Q6" s="1"/>
      <c r="R6" s="1"/>
      <c r="S6" s="1"/>
      <c r="T6" s="1"/>
      <c r="U6" s="1"/>
      <c r="V6" s="1"/>
      <c r="W6" s="1"/>
    </row>
    <row r="7" spans="1:23" ht="70" customHeight="1">
      <c r="A7" s="1"/>
      <c r="B7" s="8" t="s">
        <v>257</v>
      </c>
      <c r="C7" s="8" t="s">
        <v>258</v>
      </c>
      <c r="D7" s="8" t="s">
        <v>259</v>
      </c>
      <c r="E7" s="8" t="s">
        <v>260</v>
      </c>
      <c r="F7" s="8" t="s">
        <v>261</v>
      </c>
      <c r="G7" s="1"/>
      <c r="H7" s="1"/>
      <c r="I7" s="1"/>
      <c r="J7" s="1"/>
      <c r="K7" s="1"/>
      <c r="L7" s="1"/>
      <c r="M7" s="1"/>
      <c r="N7" s="1"/>
      <c r="O7" s="1"/>
      <c r="P7" s="1"/>
      <c r="Q7" s="1"/>
      <c r="R7" s="1"/>
      <c r="S7" s="1"/>
      <c r="T7" s="1"/>
      <c r="U7" s="1"/>
      <c r="V7" s="1"/>
      <c r="W7" s="1"/>
    </row>
    <row r="8" spans="1:23" ht="70" customHeight="1">
      <c r="A8" s="1"/>
      <c r="B8" s="8" t="s">
        <v>262</v>
      </c>
      <c r="C8" s="8" t="s">
        <v>263</v>
      </c>
      <c r="D8" s="8" t="s">
        <v>264</v>
      </c>
      <c r="E8" s="8" t="s">
        <v>265</v>
      </c>
      <c r="F8" s="8" t="s">
        <v>266</v>
      </c>
      <c r="G8" s="1"/>
      <c r="H8" s="1"/>
      <c r="I8" s="1"/>
      <c r="J8" s="1"/>
      <c r="K8" s="1"/>
      <c r="L8" s="1"/>
      <c r="M8" s="1"/>
      <c r="N8" s="1"/>
      <c r="O8" s="1"/>
      <c r="P8" s="1"/>
      <c r="Q8" s="1"/>
      <c r="R8" s="1"/>
      <c r="S8" s="1"/>
      <c r="T8" s="1"/>
      <c r="U8" s="1"/>
      <c r="V8" s="1"/>
      <c r="W8" s="1"/>
    </row>
    <row r="9" spans="1:23" ht="70" customHeight="1">
      <c r="A9" s="1"/>
      <c r="B9" s="8" t="s">
        <v>267</v>
      </c>
      <c r="C9" s="8" t="s">
        <v>268</v>
      </c>
      <c r="D9" s="8" t="s">
        <v>269</v>
      </c>
      <c r="E9" s="8" t="s">
        <v>270</v>
      </c>
      <c r="F9" s="8" t="s">
        <v>271</v>
      </c>
      <c r="G9" s="1"/>
      <c r="H9" s="1"/>
      <c r="I9" s="1"/>
      <c r="J9" s="1"/>
      <c r="K9" s="1"/>
      <c r="L9" s="1"/>
      <c r="M9" s="1"/>
      <c r="N9" s="1"/>
      <c r="O9" s="1"/>
      <c r="P9" s="1"/>
      <c r="Q9" s="1"/>
      <c r="R9" s="1"/>
      <c r="S9" s="1"/>
      <c r="T9" s="1"/>
      <c r="U9" s="1"/>
      <c r="V9" s="1"/>
      <c r="W9" s="1"/>
    </row>
    <row r="10" spans="1:23" ht="70" customHeight="1">
      <c r="A10" s="1"/>
      <c r="B10" s="8" t="s">
        <v>272</v>
      </c>
      <c r="C10" s="8" t="s">
        <v>273</v>
      </c>
      <c r="D10" s="8" t="s">
        <v>274</v>
      </c>
      <c r="E10" s="8" t="s">
        <v>275</v>
      </c>
      <c r="F10" s="8" t="s">
        <v>59</v>
      </c>
      <c r="G10" s="1"/>
      <c r="H10" s="1"/>
      <c r="I10" s="1"/>
      <c r="J10" s="1"/>
      <c r="K10" s="1"/>
      <c r="L10" s="1"/>
      <c r="M10" s="1"/>
      <c r="N10" s="1"/>
      <c r="O10" s="1"/>
      <c r="P10" s="1"/>
      <c r="Q10" s="1"/>
      <c r="R10" s="1"/>
      <c r="S10" s="1"/>
      <c r="T10" s="1"/>
      <c r="U10" s="1"/>
      <c r="V10" s="1"/>
      <c r="W10" s="1"/>
    </row>
    <row r="11" spans="1:23" ht="70" customHeight="1">
      <c r="A11" s="1"/>
      <c r="B11" s="8" t="s">
        <v>276</v>
      </c>
      <c r="C11" s="8" t="s">
        <v>277</v>
      </c>
      <c r="D11" s="8" t="s">
        <v>278</v>
      </c>
      <c r="E11" s="8" t="s">
        <v>279</v>
      </c>
      <c r="F11" s="8" t="s">
        <v>280</v>
      </c>
      <c r="G11" s="1"/>
      <c r="H11" s="1"/>
      <c r="I11" s="1"/>
      <c r="J11" s="1"/>
      <c r="K11" s="1"/>
      <c r="L11" s="1"/>
      <c r="M11" s="1"/>
      <c r="N11" s="1"/>
      <c r="O11" s="1"/>
      <c r="P11" s="1"/>
      <c r="Q11" s="1"/>
      <c r="R11" s="1"/>
      <c r="S11" s="1"/>
      <c r="T11" s="1"/>
      <c r="U11" s="1"/>
      <c r="V11" s="1"/>
      <c r="W11" s="1"/>
    </row>
    <row r="12" spans="1:23" ht="70" customHeight="1">
      <c r="A12" s="1"/>
      <c r="B12" s="8" t="s">
        <v>281</v>
      </c>
      <c r="C12" s="8" t="s">
        <v>282</v>
      </c>
      <c r="D12" s="8" t="s">
        <v>283</v>
      </c>
      <c r="E12" s="8" t="s">
        <v>284</v>
      </c>
      <c r="F12" s="8" t="s">
        <v>285</v>
      </c>
      <c r="G12" s="1"/>
      <c r="H12" s="1"/>
      <c r="I12" s="1"/>
      <c r="J12" s="1"/>
      <c r="K12" s="1"/>
      <c r="L12" s="1"/>
      <c r="M12" s="1"/>
      <c r="N12" s="1"/>
      <c r="O12" s="1"/>
      <c r="P12" s="1"/>
      <c r="Q12" s="1"/>
      <c r="R12" s="1"/>
      <c r="S12" s="1"/>
      <c r="T12" s="1"/>
      <c r="U12" s="1"/>
      <c r="V12" s="1"/>
      <c r="W12" s="1"/>
    </row>
    <row r="13" spans="1:23" ht="70" customHeight="1">
      <c r="A13" s="1"/>
      <c r="B13" s="8" t="s">
        <v>286</v>
      </c>
      <c r="C13" s="8" t="s">
        <v>287</v>
      </c>
      <c r="D13" s="8" t="s">
        <v>288</v>
      </c>
      <c r="E13" s="8" t="s">
        <v>289</v>
      </c>
      <c r="F13" s="8" t="s">
        <v>290</v>
      </c>
      <c r="G13" s="1"/>
      <c r="H13" s="1"/>
      <c r="I13" s="1"/>
      <c r="J13" s="1"/>
      <c r="K13" s="1"/>
      <c r="L13" s="1"/>
      <c r="M13" s="1"/>
      <c r="N13" s="1"/>
      <c r="O13" s="1"/>
      <c r="P13" s="1"/>
      <c r="Q13" s="1"/>
      <c r="R13" s="1"/>
      <c r="S13" s="1"/>
      <c r="T13" s="1"/>
      <c r="U13" s="1"/>
      <c r="V13" s="1"/>
      <c r="W13" s="1"/>
    </row>
    <row r="14" spans="1:23" ht="70" customHeight="1">
      <c r="A14" s="1"/>
      <c r="B14" s="8" t="s">
        <v>291</v>
      </c>
      <c r="C14" s="8" t="s">
        <v>292</v>
      </c>
      <c r="D14" s="8" t="s">
        <v>293</v>
      </c>
      <c r="E14" s="8" t="s">
        <v>294</v>
      </c>
      <c r="F14" s="8" t="s">
        <v>295</v>
      </c>
      <c r="G14" s="1"/>
      <c r="H14" s="1"/>
      <c r="I14" s="1"/>
      <c r="J14" s="1"/>
      <c r="K14" s="1"/>
      <c r="L14" s="1"/>
      <c r="M14" s="1"/>
      <c r="N14" s="1"/>
      <c r="O14" s="1"/>
      <c r="P14" s="1"/>
      <c r="Q14" s="1"/>
      <c r="R14" s="1"/>
      <c r="S14" s="1"/>
      <c r="T14" s="1"/>
      <c r="U14" s="1"/>
      <c r="V14" s="1"/>
      <c r="W14" s="1"/>
    </row>
    <row r="15" spans="1:23" ht="70" customHeight="1">
      <c r="A15" s="1"/>
      <c r="B15" s="8" t="s">
        <v>296</v>
      </c>
      <c r="C15" s="8" t="s">
        <v>297</v>
      </c>
      <c r="D15" s="8" t="s">
        <v>293</v>
      </c>
      <c r="E15" s="8" t="s">
        <v>298</v>
      </c>
      <c r="F15" s="8" t="s">
        <v>299</v>
      </c>
      <c r="G15" s="1"/>
      <c r="H15" s="1"/>
      <c r="I15" s="1"/>
      <c r="J15" s="1"/>
      <c r="K15" s="1"/>
      <c r="L15" s="1"/>
      <c r="M15" s="1"/>
      <c r="N15" s="1"/>
      <c r="O15" s="1"/>
      <c r="P15" s="1"/>
      <c r="Q15" s="1"/>
      <c r="R15" s="1"/>
      <c r="S15" s="1"/>
      <c r="T15" s="1"/>
      <c r="U15" s="1"/>
      <c r="V15" s="1"/>
      <c r="W15" s="1"/>
    </row>
    <row r="16" spans="1:23" ht="70" customHeight="1">
      <c r="A16" s="1"/>
      <c r="B16" s="8" t="s">
        <v>300</v>
      </c>
      <c r="C16" s="8" t="s">
        <v>301</v>
      </c>
      <c r="D16" s="8" t="s">
        <v>302</v>
      </c>
      <c r="E16" s="8" t="s">
        <v>303</v>
      </c>
      <c r="F16" s="8" t="s">
        <v>304</v>
      </c>
      <c r="G16" s="1"/>
      <c r="H16" s="1"/>
      <c r="I16" s="1"/>
      <c r="J16" s="1"/>
      <c r="K16" s="1"/>
      <c r="L16" s="1"/>
      <c r="M16" s="1"/>
      <c r="N16" s="1"/>
      <c r="O16" s="1"/>
      <c r="P16" s="1"/>
      <c r="Q16" s="1"/>
      <c r="R16" s="1"/>
      <c r="S16" s="1"/>
      <c r="T16" s="1"/>
      <c r="U16" s="1"/>
      <c r="V16" s="1"/>
      <c r="W16" s="1"/>
    </row>
    <row r="17" spans="1:23" ht="23" customHeight="1">
      <c r="A17" s="1"/>
      <c r="B17" s="1"/>
      <c r="C17" s="1"/>
      <c r="D17" s="1"/>
      <c r="E17" s="1"/>
      <c r="F17" s="1"/>
      <c r="G17" s="1"/>
      <c r="H17" s="1"/>
      <c r="I17" s="1"/>
      <c r="J17" s="1"/>
      <c r="K17" s="1"/>
      <c r="L17" s="1"/>
      <c r="M17" s="1"/>
      <c r="N17" s="1"/>
      <c r="O17" s="1"/>
      <c r="P17" s="1"/>
      <c r="Q17" s="1"/>
      <c r="R17" s="1"/>
      <c r="S17" s="1"/>
      <c r="T17" s="1"/>
      <c r="U17" s="1"/>
      <c r="V17" s="1"/>
      <c r="W17" s="1"/>
    </row>
    <row r="18" spans="1:23" ht="23" customHeight="1">
      <c r="A18" s="1"/>
      <c r="B18" s="1"/>
      <c r="C18" s="1"/>
      <c r="D18" s="1"/>
      <c r="E18" s="1"/>
      <c r="F18" s="1"/>
      <c r="G18" s="1"/>
      <c r="H18" s="1"/>
      <c r="I18" s="1"/>
      <c r="J18" s="1"/>
      <c r="K18" s="1"/>
      <c r="L18" s="1"/>
      <c r="M18" s="1"/>
      <c r="N18" s="1"/>
      <c r="O18" s="1"/>
      <c r="P18" s="1"/>
      <c r="Q18" s="1"/>
      <c r="R18" s="1"/>
      <c r="S18" s="1"/>
      <c r="T18" s="1"/>
      <c r="U18" s="1"/>
      <c r="V18" s="1"/>
      <c r="W18" s="1"/>
    </row>
    <row r="19" spans="1:23" ht="23" customHeight="1">
      <c r="A19" s="1"/>
      <c r="B19" s="1"/>
      <c r="C19" s="1"/>
      <c r="D19" s="1"/>
      <c r="E19" s="1"/>
      <c r="F19" s="1"/>
      <c r="G19" s="1"/>
      <c r="H19" s="1"/>
      <c r="I19" s="1"/>
      <c r="J19" s="1"/>
      <c r="K19" s="1"/>
      <c r="L19" s="1"/>
      <c r="M19" s="1"/>
      <c r="N19" s="1"/>
      <c r="O19" s="1"/>
      <c r="P19" s="1"/>
      <c r="Q19" s="1"/>
      <c r="R19" s="1"/>
      <c r="S19" s="1"/>
      <c r="T19" s="1"/>
      <c r="U19" s="1"/>
      <c r="V19" s="1"/>
      <c r="W19" s="1"/>
    </row>
    <row r="20" spans="1:23" ht="32" customHeight="1">
      <c r="A20" s="1"/>
      <c r="B20" s="4" t="s">
        <v>305</v>
      </c>
      <c r="C20" s="4" t="s">
        <v>306</v>
      </c>
      <c r="D20" s="4" t="s">
        <v>307</v>
      </c>
      <c r="E20" s="1"/>
      <c r="F20" s="1"/>
      <c r="G20" s="1"/>
      <c r="H20" s="1"/>
      <c r="I20" s="1"/>
      <c r="J20" s="1"/>
      <c r="K20" s="1"/>
      <c r="L20" s="1"/>
      <c r="M20" s="1"/>
      <c r="N20" s="1"/>
      <c r="O20" s="1"/>
      <c r="P20" s="1"/>
      <c r="Q20" s="1"/>
      <c r="R20" s="1"/>
      <c r="S20" s="1"/>
      <c r="T20" s="1"/>
      <c r="U20" s="1"/>
      <c r="V20" s="1"/>
      <c r="W20" s="1"/>
    </row>
    <row r="21" spans="1:23" ht="53" customHeight="1">
      <c r="A21" s="1"/>
      <c r="B21" s="8" t="s">
        <v>308</v>
      </c>
      <c r="C21" s="8" t="s">
        <v>309</v>
      </c>
      <c r="D21" s="8" t="s">
        <v>310</v>
      </c>
      <c r="E21" s="1"/>
      <c r="F21" s="1"/>
      <c r="G21" s="1"/>
      <c r="H21" s="1"/>
      <c r="I21" s="1"/>
      <c r="J21" s="1"/>
      <c r="K21" s="1"/>
      <c r="L21" s="1"/>
      <c r="M21" s="1"/>
      <c r="N21" s="1"/>
      <c r="O21" s="1"/>
      <c r="P21" s="1"/>
      <c r="Q21" s="1"/>
      <c r="R21" s="1"/>
      <c r="S21" s="1"/>
      <c r="T21" s="1"/>
      <c r="U21" s="1"/>
      <c r="V21" s="1"/>
      <c r="W21" s="1"/>
    </row>
    <row r="22" spans="1:23" ht="53" customHeight="1">
      <c r="A22" s="1"/>
      <c r="B22" s="8" t="s">
        <v>311</v>
      </c>
      <c r="C22" s="8" t="s">
        <v>312</v>
      </c>
      <c r="D22" s="8" t="s">
        <v>313</v>
      </c>
      <c r="E22" s="1"/>
      <c r="F22" s="1"/>
      <c r="G22" s="1"/>
      <c r="H22" s="1"/>
      <c r="I22" s="1"/>
      <c r="J22" s="1"/>
      <c r="K22" s="1"/>
      <c r="L22" s="1"/>
      <c r="M22" s="1"/>
      <c r="N22" s="1"/>
      <c r="O22" s="1"/>
      <c r="P22" s="1"/>
      <c r="Q22" s="1"/>
      <c r="R22" s="1"/>
      <c r="S22" s="1"/>
      <c r="T22" s="1"/>
      <c r="U22" s="1"/>
      <c r="V22" s="1"/>
      <c r="W22" s="1"/>
    </row>
    <row r="23" spans="1:23" ht="53" customHeight="1">
      <c r="A23" s="1"/>
      <c r="B23" s="8" t="s">
        <v>314</v>
      </c>
      <c r="C23" s="8" t="s">
        <v>315</v>
      </c>
      <c r="D23" s="8" t="s">
        <v>316</v>
      </c>
      <c r="E23" s="1"/>
      <c r="F23" s="1"/>
      <c r="G23" s="1"/>
      <c r="H23" s="1"/>
      <c r="I23" s="1"/>
      <c r="J23" s="1"/>
      <c r="K23" s="1"/>
      <c r="L23" s="1"/>
      <c r="M23" s="1"/>
      <c r="N23" s="1"/>
      <c r="O23" s="1"/>
      <c r="P23" s="1"/>
      <c r="Q23" s="1"/>
      <c r="R23" s="1"/>
      <c r="S23" s="1"/>
      <c r="T23" s="1"/>
      <c r="U23" s="1"/>
      <c r="V23" s="1"/>
      <c r="W23" s="1"/>
    </row>
    <row r="24" spans="1:23" ht="53" customHeight="1">
      <c r="A24" s="1"/>
      <c r="B24" s="8" t="s">
        <v>317</v>
      </c>
      <c r="C24" s="8" t="s">
        <v>318</v>
      </c>
      <c r="D24" s="8" t="s">
        <v>319</v>
      </c>
      <c r="E24" s="1"/>
      <c r="F24" s="1"/>
      <c r="G24" s="1"/>
      <c r="H24" s="1"/>
      <c r="I24" s="1"/>
      <c r="J24" s="1"/>
      <c r="K24" s="1"/>
      <c r="L24" s="1"/>
      <c r="M24" s="1"/>
      <c r="N24" s="1"/>
      <c r="O24" s="1"/>
      <c r="P24" s="1"/>
      <c r="Q24" s="1"/>
      <c r="R24" s="1"/>
      <c r="S24" s="1"/>
      <c r="T24" s="1"/>
      <c r="U24" s="1"/>
      <c r="V24" s="1"/>
      <c r="W24" s="1"/>
    </row>
    <row r="25" spans="1:23" ht="53" customHeight="1">
      <c r="A25" s="1"/>
      <c r="B25" s="8" t="s">
        <v>320</v>
      </c>
      <c r="C25" s="8" t="s">
        <v>321</v>
      </c>
      <c r="D25" s="8" t="s">
        <v>322</v>
      </c>
      <c r="E25" s="1"/>
      <c r="F25" s="1"/>
      <c r="G25" s="1"/>
      <c r="H25" s="1"/>
      <c r="I25" s="1"/>
      <c r="J25" s="1"/>
      <c r="K25" s="1"/>
      <c r="L25" s="1"/>
      <c r="M25" s="1"/>
      <c r="N25" s="1"/>
      <c r="O25" s="1"/>
      <c r="P25" s="1"/>
      <c r="Q25" s="1"/>
      <c r="R25" s="1"/>
      <c r="S25" s="1"/>
      <c r="T25" s="1"/>
      <c r="U25" s="1"/>
      <c r="V25" s="1"/>
      <c r="W25" s="1"/>
    </row>
    <row r="26" spans="1:23" ht="53" customHeight="1">
      <c r="A26" s="1"/>
      <c r="B26" s="8" t="s">
        <v>323</v>
      </c>
      <c r="C26" s="8" t="s">
        <v>324</v>
      </c>
      <c r="D26" s="8" t="s">
        <v>325</v>
      </c>
      <c r="E26" s="1"/>
      <c r="F26" s="1"/>
      <c r="G26" s="1"/>
      <c r="H26" s="1"/>
      <c r="I26" s="1"/>
      <c r="J26" s="1"/>
      <c r="K26" s="1"/>
      <c r="L26" s="1"/>
      <c r="M26" s="1"/>
      <c r="N26" s="1"/>
      <c r="O26" s="1"/>
      <c r="P26" s="1"/>
      <c r="Q26" s="1"/>
      <c r="R26" s="1"/>
      <c r="S26" s="1"/>
      <c r="T26" s="1"/>
      <c r="U26" s="1"/>
      <c r="V26" s="1"/>
      <c r="W26" s="1"/>
    </row>
    <row r="27" spans="1:23" ht="53" customHeight="1">
      <c r="A27" s="1"/>
      <c r="B27" s="8" t="s">
        <v>326</v>
      </c>
      <c r="C27" s="8" t="s">
        <v>327</v>
      </c>
      <c r="D27" s="8" t="s">
        <v>328</v>
      </c>
      <c r="E27" s="1"/>
      <c r="F27" s="1"/>
      <c r="G27" s="1"/>
      <c r="H27" s="1"/>
      <c r="I27" s="1"/>
      <c r="J27" s="1"/>
      <c r="K27" s="1"/>
      <c r="L27" s="1"/>
      <c r="M27" s="1"/>
      <c r="N27" s="1"/>
      <c r="O27" s="1"/>
      <c r="P27" s="1"/>
      <c r="Q27" s="1"/>
      <c r="R27" s="1"/>
      <c r="S27" s="1"/>
      <c r="T27" s="1"/>
      <c r="U27" s="1"/>
      <c r="V27" s="1"/>
      <c r="W27" s="1"/>
    </row>
    <row r="28" spans="1:23" ht="53" customHeight="1">
      <c r="A28" s="1"/>
      <c r="B28" s="8" t="s">
        <v>329</v>
      </c>
      <c r="C28" s="8" t="s">
        <v>330</v>
      </c>
      <c r="D28" s="8" t="s">
        <v>331</v>
      </c>
      <c r="E28" s="1"/>
      <c r="F28" s="1"/>
      <c r="G28" s="1"/>
      <c r="H28" s="1"/>
      <c r="I28" s="1"/>
      <c r="J28" s="1"/>
      <c r="K28" s="1"/>
      <c r="L28" s="1"/>
      <c r="M28" s="1"/>
      <c r="N28" s="1"/>
      <c r="O28" s="1"/>
      <c r="P28" s="1"/>
      <c r="Q28" s="1"/>
      <c r="R28" s="1"/>
      <c r="S28" s="1"/>
      <c r="T28" s="1"/>
      <c r="U28" s="1"/>
      <c r="V28" s="1"/>
      <c r="W28" s="1"/>
    </row>
    <row r="29" spans="1:23" ht="23" customHeight="1">
      <c r="A29" s="1"/>
      <c r="B29" s="1"/>
      <c r="C29" s="1"/>
      <c r="D29" s="1"/>
      <c r="E29" s="1"/>
      <c r="F29" s="1"/>
      <c r="G29" s="1"/>
      <c r="H29" s="1"/>
      <c r="I29" s="1"/>
      <c r="J29" s="1"/>
      <c r="K29" s="1"/>
      <c r="L29" s="1"/>
      <c r="M29" s="1"/>
      <c r="N29" s="1"/>
      <c r="O29" s="1"/>
      <c r="P29" s="1"/>
      <c r="Q29" s="1"/>
      <c r="R29" s="1"/>
      <c r="S29" s="1"/>
      <c r="T29" s="1"/>
      <c r="U29" s="1"/>
      <c r="V29" s="1"/>
      <c r="W29" s="1"/>
    </row>
    <row r="30" spans="1:23" ht="23" customHeight="1">
      <c r="A30" s="1"/>
      <c r="B30" s="1"/>
      <c r="C30" s="1"/>
      <c r="D30" s="1"/>
      <c r="E30" s="1"/>
      <c r="F30" s="1"/>
      <c r="G30" s="1"/>
      <c r="H30" s="1"/>
      <c r="I30" s="1"/>
      <c r="J30" s="1"/>
      <c r="K30" s="1"/>
      <c r="L30" s="1"/>
      <c r="M30" s="1"/>
      <c r="N30" s="1"/>
      <c r="O30" s="1"/>
      <c r="P30" s="1"/>
      <c r="Q30" s="1"/>
      <c r="R30" s="1"/>
      <c r="S30" s="1"/>
      <c r="T30" s="1"/>
      <c r="U30" s="1"/>
      <c r="V30" s="1"/>
      <c r="W30" s="1"/>
    </row>
    <row r="31" spans="1:23" ht="23" customHeight="1">
      <c r="A31" s="1"/>
      <c r="B31" s="1"/>
      <c r="C31" s="1"/>
      <c r="D31" s="1"/>
      <c r="E31" s="1"/>
      <c r="F31" s="1"/>
      <c r="G31" s="1"/>
      <c r="H31" s="1"/>
      <c r="I31" s="1"/>
      <c r="J31" s="1"/>
      <c r="K31" s="1"/>
      <c r="L31" s="1"/>
      <c r="M31" s="1"/>
      <c r="N31" s="1"/>
      <c r="O31" s="1"/>
      <c r="P31" s="1"/>
      <c r="Q31" s="1"/>
      <c r="R31" s="1"/>
      <c r="S31" s="1"/>
      <c r="T31" s="1"/>
      <c r="U31" s="1"/>
      <c r="V31" s="1"/>
      <c r="W31" s="1"/>
    </row>
    <row r="32" spans="1:23" ht="23" customHeight="1">
      <c r="A32" s="1"/>
      <c r="B32" s="1"/>
      <c r="C32" s="1"/>
      <c r="D32" s="1"/>
      <c r="E32" s="1"/>
      <c r="F32" s="1"/>
      <c r="G32" s="1"/>
      <c r="H32" s="1"/>
      <c r="I32" s="1"/>
      <c r="J32" s="1"/>
      <c r="K32" s="1"/>
      <c r="L32" s="1"/>
      <c r="M32" s="1"/>
      <c r="N32" s="1"/>
      <c r="O32" s="1"/>
      <c r="P32" s="1"/>
      <c r="Q32" s="1"/>
      <c r="R32" s="1"/>
      <c r="S32" s="1"/>
      <c r="T32" s="1"/>
      <c r="U32" s="1"/>
      <c r="V32" s="1"/>
      <c r="W32" s="1"/>
    </row>
    <row r="33" spans="1:23" ht="23" customHeight="1">
      <c r="A33" s="1"/>
      <c r="B33" s="1"/>
      <c r="C33" s="1"/>
      <c r="D33" s="1"/>
      <c r="E33" s="1"/>
      <c r="F33" s="1"/>
      <c r="G33" s="1"/>
      <c r="H33" s="1"/>
      <c r="I33" s="1"/>
      <c r="J33" s="1"/>
      <c r="K33" s="1"/>
      <c r="L33" s="1"/>
      <c r="M33" s="1"/>
      <c r="N33" s="1"/>
      <c r="O33" s="1"/>
      <c r="P33" s="1"/>
      <c r="Q33" s="1"/>
      <c r="R33" s="1"/>
      <c r="S33" s="1"/>
      <c r="T33" s="1"/>
      <c r="U33" s="1"/>
      <c r="V33" s="1"/>
      <c r="W33" s="1"/>
    </row>
    <row r="34" spans="1:23" ht="23" customHeight="1">
      <c r="A34" s="1"/>
      <c r="B34" s="1"/>
      <c r="C34" s="1"/>
      <c r="D34" s="1"/>
      <c r="E34" s="1"/>
      <c r="F34" s="1"/>
      <c r="G34" s="1"/>
      <c r="H34" s="1"/>
      <c r="I34" s="1"/>
      <c r="J34" s="1"/>
      <c r="K34" s="1"/>
      <c r="L34" s="1"/>
      <c r="M34" s="1"/>
      <c r="N34" s="1"/>
      <c r="O34" s="1"/>
      <c r="P34" s="1"/>
      <c r="Q34" s="1"/>
      <c r="R34" s="1"/>
      <c r="S34" s="1"/>
      <c r="T34" s="1"/>
      <c r="U34" s="1"/>
      <c r="V34" s="1"/>
      <c r="W34" s="1"/>
    </row>
    <row r="35" spans="1:23" ht="23" customHeight="1">
      <c r="A35" s="1"/>
      <c r="B35" s="1"/>
      <c r="C35" s="1"/>
      <c r="D35" s="1"/>
      <c r="E35" s="1"/>
      <c r="F35" s="1"/>
      <c r="G35" s="1"/>
      <c r="H35" s="1"/>
      <c r="I35" s="1"/>
      <c r="J35" s="1"/>
      <c r="K35" s="1"/>
      <c r="L35" s="1"/>
      <c r="M35" s="1"/>
      <c r="N35" s="1"/>
      <c r="O35" s="1"/>
      <c r="P35" s="1"/>
      <c r="Q35" s="1"/>
      <c r="R35" s="1"/>
      <c r="S35" s="1"/>
      <c r="T35" s="1"/>
      <c r="U35" s="1"/>
      <c r="V35" s="1"/>
      <c r="W35" s="1"/>
    </row>
    <row r="36" spans="1:23" ht="23" customHeight="1">
      <c r="A36" s="1"/>
      <c r="B36" s="1"/>
      <c r="C36" s="1"/>
      <c r="D36" s="1"/>
      <c r="E36" s="1"/>
      <c r="F36" s="1"/>
      <c r="G36" s="1"/>
      <c r="H36" s="1"/>
      <c r="I36" s="1"/>
      <c r="J36" s="1"/>
      <c r="K36" s="1"/>
      <c r="L36" s="1"/>
      <c r="M36" s="1"/>
      <c r="N36" s="1"/>
      <c r="O36" s="1"/>
      <c r="P36" s="1"/>
      <c r="Q36" s="1"/>
      <c r="R36" s="1"/>
      <c r="S36" s="1"/>
      <c r="T36" s="1"/>
      <c r="U36" s="1"/>
      <c r="V36" s="1"/>
      <c r="W36" s="1"/>
    </row>
    <row r="37" spans="1:23" ht="23" customHeight="1">
      <c r="A37" s="1"/>
      <c r="B37" s="1"/>
      <c r="C37" s="1"/>
      <c r="D37" s="1"/>
      <c r="E37" s="1"/>
      <c r="F37" s="1"/>
      <c r="G37" s="1"/>
      <c r="H37" s="1"/>
      <c r="I37" s="1"/>
      <c r="J37" s="1"/>
      <c r="K37" s="1"/>
      <c r="L37" s="1"/>
      <c r="M37" s="1"/>
      <c r="N37" s="1"/>
      <c r="O37" s="1"/>
      <c r="P37" s="1"/>
      <c r="Q37" s="1"/>
      <c r="R37" s="1"/>
      <c r="S37" s="1"/>
      <c r="T37" s="1"/>
      <c r="U37" s="1"/>
      <c r="V37" s="1"/>
      <c r="W37" s="1"/>
    </row>
    <row r="38" spans="1:23" ht="23" customHeight="1">
      <c r="A38" s="1"/>
      <c r="B38" s="1"/>
      <c r="C38" s="1"/>
      <c r="D38" s="1"/>
      <c r="E38" s="1"/>
      <c r="F38" s="1"/>
      <c r="G38" s="1"/>
      <c r="H38" s="1"/>
      <c r="I38" s="1"/>
      <c r="J38" s="1"/>
      <c r="K38" s="1"/>
      <c r="L38" s="1"/>
      <c r="M38" s="1"/>
      <c r="N38" s="1"/>
      <c r="O38" s="1"/>
      <c r="P38" s="1"/>
      <c r="Q38" s="1"/>
      <c r="R38" s="1"/>
      <c r="S38" s="1"/>
      <c r="T38" s="1"/>
      <c r="U38" s="1"/>
      <c r="V38" s="1"/>
      <c r="W38" s="1"/>
    </row>
    <row r="39" spans="1:23" ht="23" customHeight="1">
      <c r="A39" s="1"/>
      <c r="B39" s="1"/>
      <c r="C39" s="1"/>
      <c r="D39" s="1"/>
      <c r="E39" s="1"/>
      <c r="F39" s="1"/>
      <c r="G39" s="1"/>
      <c r="H39" s="1"/>
      <c r="I39" s="1"/>
      <c r="J39" s="1"/>
      <c r="K39" s="1"/>
      <c r="L39" s="1"/>
      <c r="M39" s="1"/>
      <c r="N39" s="1"/>
      <c r="O39" s="1"/>
      <c r="P39" s="1"/>
      <c r="Q39" s="1"/>
      <c r="R39" s="1"/>
      <c r="S39" s="1"/>
      <c r="T39" s="1"/>
      <c r="U39" s="1"/>
      <c r="V39" s="1"/>
      <c r="W39" s="1"/>
    </row>
    <row r="40" spans="1:23" ht="23" customHeight="1">
      <c r="A40" s="1"/>
      <c r="B40" s="1"/>
      <c r="C40" s="1"/>
      <c r="D40" s="1"/>
      <c r="E40" s="1"/>
      <c r="F40" s="1"/>
      <c r="G40" s="1"/>
      <c r="H40" s="1"/>
      <c r="I40" s="1"/>
      <c r="J40" s="1"/>
      <c r="K40" s="1"/>
      <c r="L40" s="1"/>
      <c r="M40" s="1"/>
      <c r="N40" s="1"/>
      <c r="O40" s="1"/>
      <c r="P40" s="1"/>
      <c r="Q40" s="1"/>
      <c r="R40" s="1"/>
      <c r="S40" s="1"/>
      <c r="T40" s="1"/>
      <c r="U40" s="1"/>
      <c r="V40" s="1"/>
      <c r="W40" s="1"/>
    </row>
    <row r="41" spans="1:23" ht="23" customHeight="1">
      <c r="A41" s="1"/>
      <c r="B41" s="1"/>
      <c r="C41" s="1"/>
      <c r="D41" s="1"/>
      <c r="E41" s="1"/>
      <c r="F41" s="1"/>
      <c r="G41" s="1"/>
      <c r="H41" s="1"/>
      <c r="I41" s="1"/>
      <c r="J41" s="1"/>
      <c r="K41" s="1"/>
      <c r="L41" s="1"/>
      <c r="M41" s="1"/>
      <c r="N41" s="1"/>
      <c r="O41" s="1"/>
      <c r="P41" s="1"/>
      <c r="Q41" s="1"/>
      <c r="R41" s="1"/>
      <c r="S41" s="1"/>
      <c r="T41" s="1"/>
      <c r="U41" s="1"/>
      <c r="V41" s="1"/>
      <c r="W41" s="1"/>
    </row>
    <row r="42" spans="1:23" ht="23" customHeight="1">
      <c r="A42" s="1"/>
      <c r="B42" s="1"/>
      <c r="C42" s="1"/>
      <c r="D42" s="1"/>
      <c r="E42" s="1"/>
      <c r="F42" s="1"/>
      <c r="G42" s="1"/>
      <c r="H42" s="1"/>
      <c r="I42" s="1"/>
      <c r="J42" s="1"/>
      <c r="K42" s="1"/>
      <c r="L42" s="1"/>
      <c r="M42" s="1"/>
      <c r="N42" s="1"/>
      <c r="O42" s="1"/>
      <c r="P42" s="1"/>
      <c r="Q42" s="1"/>
      <c r="R42" s="1"/>
      <c r="S42" s="1"/>
      <c r="T42" s="1"/>
      <c r="U42" s="1"/>
      <c r="V42" s="1"/>
      <c r="W42" s="1"/>
    </row>
    <row r="43" spans="1:23" ht="23" customHeight="1">
      <c r="A43" s="1"/>
      <c r="B43" s="1"/>
      <c r="C43" s="1"/>
      <c r="D43" s="1"/>
      <c r="E43" s="1"/>
      <c r="F43" s="1"/>
      <c r="G43" s="1"/>
      <c r="H43" s="1"/>
      <c r="I43" s="1"/>
      <c r="J43" s="1"/>
      <c r="K43" s="1"/>
      <c r="L43" s="1"/>
      <c r="M43" s="1"/>
      <c r="N43" s="1"/>
      <c r="O43" s="1"/>
      <c r="P43" s="1"/>
      <c r="Q43" s="1"/>
      <c r="R43" s="1"/>
      <c r="S43" s="1"/>
      <c r="T43" s="1"/>
      <c r="U43" s="1"/>
      <c r="V43" s="1"/>
      <c r="W43" s="1"/>
    </row>
    <row r="44" spans="1:23" ht="23" customHeight="1">
      <c r="A44" s="1"/>
      <c r="B44" s="1"/>
      <c r="C44" s="1"/>
      <c r="D44" s="1"/>
      <c r="E44" s="1"/>
      <c r="F44" s="1"/>
      <c r="G44" s="1"/>
      <c r="H44" s="1"/>
      <c r="I44" s="1"/>
      <c r="J44" s="1"/>
      <c r="K44" s="1"/>
      <c r="L44" s="1"/>
      <c r="M44" s="1"/>
      <c r="N44" s="1"/>
      <c r="O44" s="1"/>
      <c r="P44" s="1"/>
      <c r="Q44" s="1"/>
      <c r="R44" s="1"/>
      <c r="S44" s="1"/>
      <c r="T44" s="1"/>
      <c r="U44" s="1"/>
      <c r="V44" s="1"/>
      <c r="W44" s="1"/>
    </row>
    <row r="45" spans="1:23" ht="23" customHeight="1">
      <c r="A45" s="1"/>
      <c r="B45" s="1"/>
      <c r="C45" s="1"/>
      <c r="D45" s="1"/>
      <c r="E45" s="1"/>
      <c r="F45" s="1"/>
      <c r="G45" s="1"/>
      <c r="H45" s="1"/>
      <c r="I45" s="1"/>
      <c r="J45" s="1"/>
      <c r="K45" s="1"/>
      <c r="L45" s="1"/>
      <c r="M45" s="1"/>
      <c r="N45" s="1"/>
      <c r="O45" s="1"/>
      <c r="P45" s="1"/>
      <c r="Q45" s="1"/>
      <c r="R45" s="1"/>
      <c r="S45" s="1"/>
      <c r="T45" s="1"/>
      <c r="U45" s="1"/>
      <c r="V45" s="1"/>
      <c r="W45" s="1"/>
    </row>
    <row r="46" spans="1:23" ht="23" customHeight="1">
      <c r="A46" s="1"/>
      <c r="B46" s="1"/>
      <c r="C46" s="1"/>
      <c r="D46" s="1"/>
      <c r="E46" s="1"/>
      <c r="F46" s="1"/>
      <c r="G46" s="1"/>
      <c r="H46" s="1"/>
      <c r="I46" s="1"/>
      <c r="J46" s="1"/>
      <c r="K46" s="1"/>
      <c r="L46" s="1"/>
      <c r="M46" s="1"/>
      <c r="N46" s="1"/>
      <c r="O46" s="1"/>
      <c r="P46" s="1"/>
      <c r="Q46" s="1"/>
      <c r="R46" s="1"/>
      <c r="S46" s="1"/>
      <c r="T46" s="1"/>
      <c r="U46" s="1"/>
      <c r="V46" s="1"/>
      <c r="W46" s="1"/>
    </row>
    <row r="47" spans="1:23" ht="23" customHeight="1">
      <c r="A47" s="1"/>
      <c r="B47" s="1"/>
      <c r="C47" s="1"/>
      <c r="D47" s="1"/>
      <c r="E47" s="1"/>
      <c r="F47" s="1"/>
      <c r="G47" s="1"/>
      <c r="H47" s="1"/>
      <c r="I47" s="1"/>
      <c r="J47" s="1"/>
      <c r="K47" s="1"/>
      <c r="L47" s="1"/>
      <c r="M47" s="1"/>
      <c r="N47" s="1"/>
      <c r="O47" s="1"/>
      <c r="P47" s="1"/>
      <c r="Q47" s="1"/>
      <c r="R47" s="1"/>
      <c r="S47" s="1"/>
      <c r="T47" s="1"/>
      <c r="U47" s="1"/>
      <c r="V47" s="1"/>
      <c r="W47" s="1"/>
    </row>
    <row r="48" spans="1:23" ht="23" customHeight="1">
      <c r="A48" s="1"/>
      <c r="B48" s="1"/>
      <c r="C48" s="1"/>
      <c r="D48" s="1"/>
      <c r="E48" s="1"/>
      <c r="F48" s="1"/>
      <c r="G48" s="1"/>
      <c r="H48" s="1"/>
      <c r="I48" s="1"/>
      <c r="J48" s="1"/>
      <c r="K48" s="1"/>
      <c r="L48" s="1"/>
      <c r="M48" s="1"/>
      <c r="N48" s="1"/>
      <c r="O48" s="1"/>
      <c r="P48" s="1"/>
      <c r="Q48" s="1"/>
      <c r="R48" s="1"/>
      <c r="S48" s="1"/>
      <c r="T48" s="1"/>
      <c r="U48" s="1"/>
      <c r="V48" s="1"/>
      <c r="W48" s="1"/>
    </row>
    <row r="49" spans="1:23" ht="23" customHeight="1">
      <c r="A49" s="1"/>
      <c r="B49" s="1"/>
      <c r="C49" s="1"/>
      <c r="D49" s="1"/>
      <c r="E49" s="1"/>
      <c r="F49" s="1"/>
      <c r="G49" s="1"/>
      <c r="H49" s="1"/>
      <c r="I49" s="1"/>
      <c r="J49" s="1"/>
      <c r="K49" s="1"/>
      <c r="L49" s="1"/>
      <c r="M49" s="1"/>
      <c r="N49" s="1"/>
      <c r="O49" s="1"/>
      <c r="P49" s="1"/>
      <c r="Q49" s="1"/>
      <c r="R49" s="1"/>
      <c r="S49" s="1"/>
      <c r="T49" s="1"/>
      <c r="U49" s="1"/>
      <c r="V49" s="1"/>
      <c r="W49" s="1"/>
    </row>
    <row r="50" spans="1:23" ht="23" customHeight="1">
      <c r="A50" s="1"/>
      <c r="B50" s="1"/>
      <c r="C50" s="1"/>
      <c r="D50" s="1"/>
      <c r="E50" s="1"/>
      <c r="F50" s="1"/>
      <c r="G50" s="1"/>
      <c r="H50" s="1"/>
      <c r="I50" s="1"/>
      <c r="J50" s="1"/>
      <c r="K50" s="1"/>
      <c r="L50" s="1"/>
      <c r="M50" s="1"/>
      <c r="N50" s="1"/>
      <c r="O50" s="1"/>
      <c r="P50" s="1"/>
      <c r="Q50" s="1"/>
      <c r="R50" s="1"/>
      <c r="S50" s="1"/>
      <c r="T50" s="1"/>
      <c r="U50" s="1"/>
      <c r="V50" s="1"/>
      <c r="W50" s="1"/>
    </row>
    <row r="51" spans="1:23" ht="23" customHeight="1">
      <c r="A51" s="1"/>
      <c r="B51" s="1"/>
      <c r="C51" s="1"/>
      <c r="D51" s="1"/>
      <c r="E51" s="1"/>
      <c r="F51" s="1"/>
      <c r="G51" s="1"/>
      <c r="H51" s="1"/>
      <c r="I51" s="1"/>
      <c r="J51" s="1"/>
      <c r="K51" s="1"/>
      <c r="L51" s="1"/>
      <c r="M51" s="1"/>
      <c r="N51" s="1"/>
      <c r="O51" s="1"/>
      <c r="P51" s="1"/>
      <c r="Q51" s="1"/>
      <c r="R51" s="1"/>
      <c r="S51" s="1"/>
      <c r="T51" s="1"/>
      <c r="U51" s="1"/>
      <c r="V51" s="1"/>
      <c r="W51" s="1"/>
    </row>
    <row r="52" spans="1:23" ht="23" customHeight="1">
      <c r="A52" s="1"/>
      <c r="B52" s="1"/>
      <c r="C52" s="1"/>
      <c r="D52" s="1"/>
      <c r="E52" s="1"/>
      <c r="F52" s="1"/>
      <c r="G52" s="1"/>
      <c r="H52" s="1"/>
      <c r="I52" s="1"/>
      <c r="J52" s="1"/>
      <c r="K52" s="1"/>
      <c r="L52" s="1"/>
      <c r="M52" s="1"/>
      <c r="N52" s="1"/>
      <c r="O52" s="1"/>
      <c r="P52" s="1"/>
      <c r="Q52" s="1"/>
      <c r="R52" s="1"/>
      <c r="S52" s="1"/>
      <c r="T52" s="1"/>
      <c r="U52" s="1"/>
      <c r="V52" s="1"/>
      <c r="W52" s="1"/>
    </row>
    <row r="53" spans="1:23" ht="23" customHeight="1">
      <c r="A53" s="1"/>
      <c r="B53" s="1"/>
      <c r="C53" s="1"/>
      <c r="D53" s="1"/>
      <c r="E53" s="1"/>
      <c r="F53" s="1"/>
      <c r="G53" s="1"/>
      <c r="H53" s="1"/>
      <c r="I53" s="1"/>
      <c r="J53" s="1"/>
      <c r="K53" s="1"/>
      <c r="L53" s="1"/>
      <c r="M53" s="1"/>
      <c r="N53" s="1"/>
      <c r="O53" s="1"/>
      <c r="P53" s="1"/>
      <c r="Q53" s="1"/>
      <c r="R53" s="1"/>
      <c r="S53" s="1"/>
      <c r="T53" s="1"/>
      <c r="U53" s="1"/>
      <c r="V53" s="1"/>
      <c r="W53" s="1"/>
    </row>
    <row r="54" spans="1:23" ht="23" customHeight="1">
      <c r="A54" s="1"/>
      <c r="B54" s="1"/>
      <c r="C54" s="1"/>
      <c r="D54" s="1"/>
      <c r="E54" s="1"/>
      <c r="F54" s="1"/>
      <c r="G54" s="1"/>
      <c r="H54" s="1"/>
      <c r="I54" s="1"/>
      <c r="J54" s="1"/>
      <c r="K54" s="1"/>
      <c r="L54" s="1"/>
      <c r="M54" s="1"/>
      <c r="N54" s="1"/>
      <c r="O54" s="1"/>
      <c r="P54" s="1"/>
      <c r="Q54" s="1"/>
      <c r="R54" s="1"/>
      <c r="S54" s="1"/>
      <c r="T54" s="1"/>
      <c r="U54" s="1"/>
      <c r="V54" s="1"/>
      <c r="W54" s="1"/>
    </row>
    <row r="55" spans="1:23" ht="23" customHeight="1">
      <c r="A55" s="1"/>
      <c r="B55" s="1"/>
      <c r="C55" s="1"/>
      <c r="D55" s="1"/>
      <c r="E55" s="1"/>
      <c r="F55" s="1"/>
      <c r="G55" s="1"/>
      <c r="H55" s="1"/>
      <c r="I55" s="1"/>
      <c r="J55" s="1"/>
      <c r="K55" s="1"/>
      <c r="L55" s="1"/>
      <c r="M55" s="1"/>
      <c r="N55" s="1"/>
      <c r="O55" s="1"/>
      <c r="P55" s="1"/>
      <c r="Q55" s="1"/>
      <c r="R55" s="1"/>
      <c r="S55" s="1"/>
      <c r="T55" s="1"/>
      <c r="U55" s="1"/>
      <c r="V55" s="1"/>
      <c r="W55" s="1"/>
    </row>
    <row r="56" spans="1:23" ht="23" customHeight="1">
      <c r="A56" s="1"/>
      <c r="B56" s="1"/>
      <c r="C56" s="1"/>
      <c r="D56" s="1"/>
      <c r="E56" s="1"/>
      <c r="F56" s="1"/>
      <c r="G56" s="1"/>
      <c r="H56" s="1"/>
      <c r="I56" s="1"/>
      <c r="J56" s="1"/>
      <c r="K56" s="1"/>
      <c r="L56" s="1"/>
      <c r="M56" s="1"/>
      <c r="N56" s="1"/>
      <c r="O56" s="1"/>
      <c r="P56" s="1"/>
      <c r="Q56" s="1"/>
      <c r="R56" s="1"/>
      <c r="S56" s="1"/>
      <c r="T56" s="1"/>
      <c r="U56" s="1"/>
      <c r="V56" s="1"/>
      <c r="W56" s="1"/>
    </row>
    <row r="57" spans="1:23" ht="23" customHeight="1">
      <c r="A57" s="1"/>
      <c r="B57" s="1"/>
      <c r="C57" s="1"/>
      <c r="D57" s="1"/>
      <c r="E57" s="1"/>
      <c r="F57" s="1"/>
      <c r="G57" s="1"/>
      <c r="H57" s="1"/>
      <c r="I57" s="1"/>
      <c r="J57" s="1"/>
      <c r="K57" s="1"/>
      <c r="L57" s="1"/>
      <c r="M57" s="1"/>
      <c r="N57" s="1"/>
      <c r="O57" s="1"/>
      <c r="P57" s="1"/>
      <c r="Q57" s="1"/>
      <c r="R57" s="1"/>
      <c r="S57" s="1"/>
      <c r="T57" s="1"/>
      <c r="U57" s="1"/>
      <c r="V57" s="1"/>
      <c r="W57" s="1"/>
    </row>
    <row r="58" spans="1:23" ht="23" customHeight="1">
      <c r="A58" s="1"/>
      <c r="B58" s="1"/>
      <c r="C58" s="1"/>
      <c r="D58" s="1"/>
      <c r="E58" s="1"/>
      <c r="F58" s="1"/>
      <c r="G58" s="1"/>
      <c r="H58" s="1"/>
      <c r="I58" s="1"/>
      <c r="J58" s="1"/>
      <c r="K58" s="1"/>
      <c r="L58" s="1"/>
      <c r="M58" s="1"/>
      <c r="N58" s="1"/>
      <c r="O58" s="1"/>
      <c r="P58" s="1"/>
      <c r="Q58" s="1"/>
      <c r="R58" s="1"/>
      <c r="S58" s="1"/>
      <c r="T58" s="1"/>
      <c r="U58" s="1"/>
      <c r="V58" s="1"/>
      <c r="W58" s="1"/>
    </row>
    <row r="59" spans="1:23" ht="23" customHeight="1">
      <c r="A59" s="1"/>
      <c r="B59" s="1"/>
      <c r="C59" s="1"/>
      <c r="D59" s="1"/>
      <c r="E59" s="1"/>
      <c r="F59" s="1"/>
      <c r="G59" s="1"/>
      <c r="H59" s="1"/>
      <c r="I59" s="1"/>
      <c r="J59" s="1"/>
      <c r="K59" s="1"/>
      <c r="L59" s="1"/>
      <c r="M59" s="1"/>
      <c r="N59" s="1"/>
      <c r="O59" s="1"/>
      <c r="P59" s="1"/>
      <c r="Q59" s="1"/>
      <c r="R59" s="1"/>
      <c r="S59" s="1"/>
      <c r="T59" s="1"/>
      <c r="U59" s="1"/>
      <c r="V59" s="1"/>
      <c r="W59" s="1"/>
    </row>
    <row r="60" spans="1:23" ht="23" customHeight="1">
      <c r="A60" s="1"/>
      <c r="B60" s="1"/>
      <c r="C60" s="1"/>
      <c r="D60" s="1"/>
      <c r="E60" s="1"/>
      <c r="F60" s="1"/>
      <c r="G60" s="1"/>
      <c r="H60" s="1"/>
      <c r="I60" s="1"/>
      <c r="J60" s="1"/>
      <c r="K60" s="1"/>
      <c r="L60" s="1"/>
      <c r="M60" s="1"/>
      <c r="N60" s="1"/>
      <c r="O60" s="1"/>
      <c r="P60" s="1"/>
      <c r="Q60" s="1"/>
      <c r="R60" s="1"/>
      <c r="S60" s="1"/>
      <c r="T60" s="1"/>
      <c r="U60" s="1"/>
      <c r="V60" s="1"/>
      <c r="W60" s="1"/>
    </row>
    <row r="61" spans="1:23" ht="23" customHeight="1">
      <c r="A61" s="1"/>
      <c r="B61" s="1"/>
      <c r="C61" s="1"/>
      <c r="D61" s="1"/>
      <c r="E61" s="1"/>
      <c r="F61" s="1"/>
      <c r="G61" s="1"/>
      <c r="H61" s="1"/>
      <c r="I61" s="1"/>
      <c r="J61" s="1"/>
      <c r="K61" s="1"/>
      <c r="L61" s="1"/>
      <c r="M61" s="1"/>
      <c r="N61" s="1"/>
      <c r="O61" s="1"/>
      <c r="P61" s="1"/>
      <c r="Q61" s="1"/>
      <c r="R61" s="1"/>
      <c r="S61" s="1"/>
      <c r="T61" s="1"/>
      <c r="U61" s="1"/>
      <c r="V61" s="1"/>
      <c r="W61" s="1"/>
    </row>
    <row r="62" spans="1:23" ht="23" customHeight="1">
      <c r="A62" s="1"/>
      <c r="B62" s="1"/>
      <c r="C62" s="1"/>
      <c r="D62" s="1"/>
      <c r="E62" s="1"/>
      <c r="F62" s="1"/>
      <c r="G62" s="1"/>
      <c r="H62" s="1"/>
      <c r="I62" s="1"/>
      <c r="J62" s="1"/>
      <c r="K62" s="1"/>
      <c r="L62" s="1"/>
      <c r="M62" s="1"/>
      <c r="N62" s="1"/>
      <c r="O62" s="1"/>
      <c r="P62" s="1"/>
      <c r="Q62" s="1"/>
      <c r="R62" s="1"/>
      <c r="S62" s="1"/>
      <c r="T62" s="1"/>
      <c r="U62" s="1"/>
      <c r="V62" s="1"/>
      <c r="W62" s="1"/>
    </row>
    <row r="63" spans="1:23" ht="23" customHeight="1">
      <c r="A63" s="1"/>
      <c r="B63" s="1"/>
      <c r="C63" s="1"/>
      <c r="D63" s="1"/>
      <c r="E63" s="1"/>
      <c r="F63" s="1"/>
      <c r="G63" s="1"/>
      <c r="H63" s="1"/>
      <c r="I63" s="1"/>
      <c r="J63" s="1"/>
      <c r="K63" s="1"/>
      <c r="L63" s="1"/>
      <c r="M63" s="1"/>
      <c r="N63" s="1"/>
      <c r="O63" s="1"/>
      <c r="P63" s="1"/>
      <c r="Q63" s="1"/>
      <c r="R63" s="1"/>
      <c r="S63" s="1"/>
      <c r="T63" s="1"/>
      <c r="U63" s="1"/>
      <c r="V63" s="1"/>
      <c r="W63" s="1"/>
    </row>
    <row r="64" spans="1:23" ht="23" customHeight="1">
      <c r="A64" s="1"/>
      <c r="B64" s="1"/>
      <c r="C64" s="1"/>
      <c r="D64" s="1"/>
      <c r="E64" s="1"/>
      <c r="F64" s="1"/>
      <c r="G64" s="1"/>
      <c r="H64" s="1"/>
      <c r="I64" s="1"/>
      <c r="J64" s="1"/>
      <c r="K64" s="1"/>
      <c r="L64" s="1"/>
      <c r="M64" s="1"/>
      <c r="N64" s="1"/>
      <c r="O64" s="1"/>
      <c r="P64" s="1"/>
      <c r="Q64" s="1"/>
      <c r="R64" s="1"/>
      <c r="S64" s="1"/>
      <c r="T64" s="1"/>
      <c r="U64" s="1"/>
      <c r="V64" s="1"/>
      <c r="W64" s="1"/>
    </row>
    <row r="65" spans="1:23" ht="23" customHeight="1">
      <c r="A65" s="1"/>
      <c r="B65" s="1"/>
      <c r="C65" s="1"/>
      <c r="D65" s="1"/>
      <c r="E65" s="1"/>
      <c r="F65" s="1"/>
      <c r="G65" s="1"/>
      <c r="H65" s="1"/>
      <c r="I65" s="1"/>
      <c r="J65" s="1"/>
      <c r="K65" s="1"/>
      <c r="L65" s="1"/>
      <c r="M65" s="1"/>
      <c r="N65" s="1"/>
      <c r="O65" s="1"/>
      <c r="P65" s="1"/>
      <c r="Q65" s="1"/>
      <c r="R65" s="1"/>
      <c r="S65" s="1"/>
      <c r="T65" s="1"/>
      <c r="U65" s="1"/>
      <c r="V65" s="1"/>
      <c r="W65" s="1"/>
    </row>
    <row r="66" spans="1:23" ht="23" customHeight="1">
      <c r="A66" s="1"/>
      <c r="B66" s="1"/>
      <c r="C66" s="1"/>
      <c r="D66" s="1"/>
      <c r="E66" s="1"/>
      <c r="F66" s="1"/>
      <c r="G66" s="1"/>
      <c r="H66" s="1"/>
      <c r="I66" s="1"/>
      <c r="J66" s="1"/>
      <c r="K66" s="1"/>
      <c r="L66" s="1"/>
      <c r="M66" s="1"/>
      <c r="N66" s="1"/>
      <c r="O66" s="1"/>
      <c r="P66" s="1"/>
      <c r="Q66" s="1"/>
      <c r="R66" s="1"/>
      <c r="S66" s="1"/>
      <c r="T66" s="1"/>
      <c r="U66" s="1"/>
      <c r="V66" s="1"/>
      <c r="W66" s="1"/>
    </row>
    <row r="67" spans="1:23" ht="23" customHeight="1">
      <c r="A67" s="1"/>
      <c r="B67" s="1"/>
      <c r="C67" s="1"/>
      <c r="D67" s="1"/>
      <c r="E67" s="1"/>
      <c r="F67" s="1"/>
      <c r="G67" s="1"/>
      <c r="H67" s="1"/>
      <c r="I67" s="1"/>
      <c r="J67" s="1"/>
      <c r="K67" s="1"/>
      <c r="L67" s="1"/>
      <c r="M67" s="1"/>
      <c r="N67" s="1"/>
      <c r="O67" s="1"/>
      <c r="P67" s="1"/>
      <c r="Q67" s="1"/>
      <c r="R67" s="1"/>
      <c r="S67" s="1"/>
      <c r="T67" s="1"/>
      <c r="U67" s="1"/>
      <c r="V67" s="1"/>
      <c r="W67" s="1"/>
    </row>
    <row r="68" spans="1:23" ht="23" customHeight="1">
      <c r="A68" s="1"/>
      <c r="B68" s="1"/>
      <c r="C68" s="1"/>
      <c r="D68" s="1"/>
      <c r="E68" s="1"/>
      <c r="F68" s="1"/>
      <c r="G68" s="1"/>
      <c r="H68" s="1"/>
      <c r="I68" s="1"/>
      <c r="J68" s="1"/>
      <c r="K68" s="1"/>
      <c r="L68" s="1"/>
      <c r="M68" s="1"/>
      <c r="N68" s="1"/>
      <c r="O68" s="1"/>
      <c r="P68" s="1"/>
      <c r="Q68" s="1"/>
      <c r="R68" s="1"/>
      <c r="S68" s="1"/>
      <c r="T68" s="1"/>
      <c r="U68" s="1"/>
      <c r="V68" s="1"/>
      <c r="W68" s="1"/>
    </row>
    <row r="69" spans="1:23" ht="23" customHeight="1">
      <c r="A69" s="1"/>
      <c r="B69" s="1"/>
      <c r="C69" s="1"/>
      <c r="D69" s="1"/>
      <c r="E69" s="1"/>
      <c r="F69" s="1"/>
      <c r="G69" s="1"/>
      <c r="H69" s="1"/>
      <c r="I69" s="1"/>
      <c r="J69" s="1"/>
      <c r="K69" s="1"/>
      <c r="L69" s="1"/>
      <c r="M69" s="1"/>
      <c r="N69" s="1"/>
      <c r="O69" s="1"/>
      <c r="P69" s="1"/>
      <c r="Q69" s="1"/>
      <c r="R69" s="1"/>
      <c r="S69" s="1"/>
      <c r="T69" s="1"/>
      <c r="U69" s="1"/>
      <c r="V69" s="1"/>
      <c r="W69" s="1"/>
    </row>
    <row r="70" spans="1:23" ht="23" customHeight="1">
      <c r="A70" s="1"/>
      <c r="B70" s="1"/>
      <c r="C70" s="1"/>
      <c r="D70" s="1"/>
      <c r="E70" s="1"/>
      <c r="F70" s="1"/>
      <c r="G70" s="1"/>
      <c r="H70" s="1"/>
      <c r="I70" s="1"/>
      <c r="J70" s="1"/>
      <c r="K70" s="1"/>
      <c r="L70" s="1"/>
      <c r="M70" s="1"/>
      <c r="N70" s="1"/>
      <c r="O70" s="1"/>
      <c r="P70" s="1"/>
      <c r="Q70" s="1"/>
      <c r="R70" s="1"/>
      <c r="S70" s="1"/>
      <c r="T70" s="1"/>
      <c r="U70" s="1"/>
      <c r="V70" s="1"/>
      <c r="W70" s="1"/>
    </row>
    <row r="71" spans="1:23" ht="23" customHeight="1">
      <c r="A71" s="1"/>
      <c r="B71" s="1"/>
      <c r="C71" s="1"/>
      <c r="D71" s="1"/>
      <c r="E71" s="1"/>
      <c r="F71" s="1"/>
      <c r="G71" s="1"/>
      <c r="H71" s="1"/>
      <c r="I71" s="1"/>
      <c r="J71" s="1"/>
      <c r="K71" s="1"/>
      <c r="L71" s="1"/>
      <c r="M71" s="1"/>
      <c r="N71" s="1"/>
      <c r="O71" s="1"/>
      <c r="P71" s="1"/>
      <c r="Q71" s="1"/>
      <c r="R71" s="1"/>
      <c r="S71" s="1"/>
      <c r="T71" s="1"/>
      <c r="U71" s="1"/>
      <c r="V71" s="1"/>
      <c r="W71" s="1"/>
    </row>
    <row r="72" spans="1:23" ht="23" customHeight="1">
      <c r="A72" s="1"/>
      <c r="B72" s="1"/>
      <c r="C72" s="1"/>
      <c r="D72" s="1"/>
      <c r="E72" s="1"/>
      <c r="F72" s="1"/>
      <c r="G72" s="1"/>
      <c r="H72" s="1"/>
      <c r="I72" s="1"/>
      <c r="J72" s="1"/>
      <c r="K72" s="1"/>
      <c r="L72" s="1"/>
      <c r="M72" s="1"/>
      <c r="N72" s="1"/>
      <c r="O72" s="1"/>
      <c r="P72" s="1"/>
      <c r="Q72" s="1"/>
      <c r="R72" s="1"/>
      <c r="S72" s="1"/>
      <c r="T72" s="1"/>
      <c r="U72" s="1"/>
      <c r="V72" s="1"/>
      <c r="W72" s="1"/>
    </row>
    <row r="73" spans="1:23" ht="23" customHeight="1">
      <c r="A73" s="1"/>
      <c r="B73" s="1"/>
      <c r="C73" s="1"/>
      <c r="D73" s="1"/>
      <c r="E73" s="1"/>
      <c r="F73" s="1"/>
      <c r="G73" s="1"/>
      <c r="H73" s="1"/>
      <c r="I73" s="1"/>
      <c r="J73" s="1"/>
      <c r="K73" s="1"/>
      <c r="L73" s="1"/>
      <c r="M73" s="1"/>
      <c r="N73" s="1"/>
      <c r="O73" s="1"/>
      <c r="P73" s="1"/>
      <c r="Q73" s="1"/>
      <c r="R73" s="1"/>
      <c r="S73" s="1"/>
      <c r="T73" s="1"/>
      <c r="U73" s="1"/>
      <c r="V73" s="1"/>
      <c r="W73" s="1"/>
    </row>
    <row r="74" spans="1:23" ht="23" customHeight="1">
      <c r="A74" s="1"/>
      <c r="B74" s="1"/>
      <c r="C74" s="1"/>
      <c r="D74" s="1"/>
      <c r="E74" s="1"/>
      <c r="F74" s="1"/>
      <c r="G74" s="1"/>
      <c r="H74" s="1"/>
      <c r="I74" s="1"/>
      <c r="J74" s="1"/>
      <c r="K74" s="1"/>
      <c r="L74" s="1"/>
      <c r="M74" s="1"/>
      <c r="N74" s="1"/>
      <c r="O74" s="1"/>
      <c r="P74" s="1"/>
      <c r="Q74" s="1"/>
      <c r="R74" s="1"/>
      <c r="S74" s="1"/>
      <c r="T74" s="1"/>
      <c r="U74" s="1"/>
      <c r="V74" s="1"/>
      <c r="W74" s="1"/>
    </row>
    <row r="75" spans="1:23" ht="23" customHeight="1">
      <c r="A75" s="1"/>
      <c r="B75" s="1"/>
      <c r="C75" s="1"/>
      <c r="D75" s="1"/>
      <c r="E75" s="1"/>
      <c r="F75" s="1"/>
      <c r="G75" s="1"/>
      <c r="H75" s="1"/>
      <c r="I75" s="1"/>
      <c r="J75" s="1"/>
      <c r="K75" s="1"/>
      <c r="L75" s="1"/>
      <c r="M75" s="1"/>
      <c r="N75" s="1"/>
      <c r="O75" s="1"/>
      <c r="P75" s="1"/>
      <c r="Q75" s="1"/>
      <c r="R75" s="1"/>
      <c r="S75" s="1"/>
      <c r="T75" s="1"/>
      <c r="U75" s="1"/>
      <c r="V75" s="1"/>
      <c r="W75" s="1"/>
    </row>
    <row r="76" spans="1:23" ht="23" customHeight="1">
      <c r="A76" s="1"/>
      <c r="B76" s="1"/>
      <c r="C76" s="1"/>
      <c r="D76" s="1"/>
      <c r="E76" s="1"/>
      <c r="F76" s="1"/>
      <c r="G76" s="1"/>
      <c r="H76" s="1"/>
      <c r="I76" s="1"/>
      <c r="J76" s="1"/>
      <c r="K76" s="1"/>
      <c r="L76" s="1"/>
      <c r="M76" s="1"/>
      <c r="N76" s="1"/>
      <c r="O76" s="1"/>
      <c r="P76" s="1"/>
      <c r="Q76" s="1"/>
      <c r="R76" s="1"/>
      <c r="S76" s="1"/>
      <c r="T76" s="1"/>
      <c r="U76" s="1"/>
      <c r="V76" s="1"/>
      <c r="W76" s="1"/>
    </row>
    <row r="77" spans="1:23" ht="23" customHeight="1">
      <c r="A77" s="1"/>
      <c r="B77" s="1"/>
      <c r="C77" s="1"/>
      <c r="D77" s="1"/>
      <c r="E77" s="1"/>
      <c r="F77" s="1"/>
      <c r="G77" s="1"/>
      <c r="H77" s="1"/>
      <c r="I77" s="1"/>
      <c r="J77" s="1"/>
      <c r="K77" s="1"/>
      <c r="L77" s="1"/>
      <c r="M77" s="1"/>
      <c r="N77" s="1"/>
      <c r="O77" s="1"/>
      <c r="P77" s="1"/>
      <c r="Q77" s="1"/>
      <c r="R77" s="1"/>
      <c r="S77" s="1"/>
      <c r="T77" s="1"/>
      <c r="U77" s="1"/>
      <c r="V77" s="1"/>
      <c r="W77" s="1"/>
    </row>
    <row r="78" spans="1:23" ht="23" customHeight="1">
      <c r="A78" s="1"/>
      <c r="B78" s="1"/>
      <c r="C78" s="1"/>
      <c r="D78" s="1"/>
      <c r="E78" s="1"/>
      <c r="F78" s="1"/>
      <c r="G78" s="1"/>
      <c r="H78" s="1"/>
      <c r="I78" s="1"/>
      <c r="J78" s="1"/>
      <c r="K78" s="1"/>
      <c r="L78" s="1"/>
      <c r="M78" s="1"/>
      <c r="N78" s="1"/>
      <c r="O78" s="1"/>
      <c r="P78" s="1"/>
      <c r="Q78" s="1"/>
      <c r="R78" s="1"/>
      <c r="S78" s="1"/>
      <c r="T78" s="1"/>
      <c r="U78" s="1"/>
      <c r="V78" s="1"/>
      <c r="W78" s="1"/>
    </row>
    <row r="79" spans="1:23" ht="23" customHeight="1">
      <c r="A79" s="1"/>
      <c r="B79" s="1"/>
      <c r="C79" s="1"/>
      <c r="D79" s="1"/>
      <c r="E79" s="1"/>
      <c r="F79" s="1"/>
      <c r="G79" s="1"/>
      <c r="H79" s="1"/>
      <c r="I79" s="1"/>
      <c r="J79" s="1"/>
      <c r="K79" s="1"/>
      <c r="L79" s="1"/>
      <c r="M79" s="1"/>
      <c r="N79" s="1"/>
      <c r="O79" s="1"/>
      <c r="P79" s="1"/>
      <c r="Q79" s="1"/>
      <c r="R79" s="1"/>
      <c r="S79" s="1"/>
      <c r="T79" s="1"/>
      <c r="U79" s="1"/>
      <c r="V79" s="1"/>
      <c r="W79" s="1"/>
    </row>
    <row r="80" spans="1:23" ht="23" customHeight="1">
      <c r="A80" s="1"/>
      <c r="B80" s="1"/>
      <c r="C80" s="1"/>
      <c r="D80" s="1"/>
      <c r="E80" s="1"/>
      <c r="F80" s="1"/>
      <c r="G80" s="1"/>
      <c r="H80" s="1"/>
      <c r="I80" s="1"/>
      <c r="J80" s="1"/>
      <c r="K80" s="1"/>
      <c r="L80" s="1"/>
      <c r="M80" s="1"/>
      <c r="N80" s="1"/>
      <c r="O80" s="1"/>
      <c r="P80" s="1"/>
      <c r="Q80" s="1"/>
      <c r="R80" s="1"/>
      <c r="S80" s="1"/>
      <c r="T80" s="1"/>
      <c r="U80" s="1"/>
      <c r="V80" s="1"/>
      <c r="W80" s="1"/>
    </row>
    <row r="81" spans="1:23" ht="23" customHeight="1">
      <c r="A81" s="1"/>
      <c r="B81" s="1"/>
      <c r="C81" s="1"/>
      <c r="D81" s="1"/>
      <c r="E81" s="1"/>
      <c r="F81" s="1"/>
      <c r="G81" s="1"/>
      <c r="H81" s="1"/>
      <c r="I81" s="1"/>
      <c r="J81" s="1"/>
      <c r="K81" s="1"/>
      <c r="L81" s="1"/>
      <c r="M81" s="1"/>
      <c r="N81" s="1"/>
      <c r="O81" s="1"/>
      <c r="P81" s="1"/>
      <c r="Q81" s="1"/>
      <c r="R81" s="1"/>
      <c r="S81" s="1"/>
      <c r="T81" s="1"/>
      <c r="U81" s="1"/>
      <c r="V81" s="1"/>
      <c r="W81" s="1"/>
    </row>
    <row r="82" spans="1:23" ht="23" customHeight="1">
      <c r="A82" s="1"/>
      <c r="B82" s="1"/>
      <c r="C82" s="1"/>
      <c r="D82" s="1"/>
      <c r="E82" s="1"/>
      <c r="F82" s="1"/>
      <c r="G82" s="1"/>
      <c r="H82" s="1"/>
      <c r="I82" s="1"/>
      <c r="J82" s="1"/>
      <c r="K82" s="1"/>
      <c r="L82" s="1"/>
      <c r="M82" s="1"/>
      <c r="N82" s="1"/>
      <c r="O82" s="1"/>
      <c r="P82" s="1"/>
      <c r="Q82" s="1"/>
      <c r="R82" s="1"/>
      <c r="S82" s="1"/>
      <c r="T82" s="1"/>
      <c r="U82" s="1"/>
      <c r="V82" s="1"/>
      <c r="W82" s="1"/>
    </row>
    <row r="83" spans="1:23" ht="23" customHeight="1">
      <c r="A83" s="1"/>
      <c r="B83" s="1"/>
      <c r="C83" s="1"/>
      <c r="D83" s="1"/>
      <c r="E83" s="1"/>
      <c r="F83" s="1"/>
      <c r="G83" s="1"/>
      <c r="H83" s="1"/>
      <c r="I83" s="1"/>
      <c r="J83" s="1"/>
      <c r="K83" s="1"/>
      <c r="L83" s="1"/>
      <c r="M83" s="1"/>
      <c r="N83" s="1"/>
      <c r="O83" s="1"/>
      <c r="P83" s="1"/>
      <c r="Q83" s="1"/>
      <c r="R83" s="1"/>
      <c r="S83" s="1"/>
      <c r="T83" s="1"/>
      <c r="U83" s="1"/>
      <c r="V83" s="1"/>
      <c r="W83" s="1"/>
    </row>
    <row r="84" spans="1:23" ht="23" customHeight="1">
      <c r="A84" s="1"/>
      <c r="B84" s="1"/>
      <c r="C84" s="1"/>
      <c r="D84" s="1"/>
      <c r="E84" s="1"/>
      <c r="F84" s="1"/>
      <c r="G84" s="1"/>
      <c r="H84" s="1"/>
      <c r="I84" s="1"/>
      <c r="J84" s="1"/>
      <c r="K84" s="1"/>
      <c r="L84" s="1"/>
      <c r="M84" s="1"/>
      <c r="N84" s="1"/>
      <c r="O84" s="1"/>
      <c r="P84" s="1"/>
      <c r="Q84" s="1"/>
      <c r="R84" s="1"/>
      <c r="S84" s="1"/>
      <c r="T84" s="1"/>
      <c r="U84" s="1"/>
      <c r="V84" s="1"/>
      <c r="W84" s="1"/>
    </row>
    <row r="85" spans="1:23" ht="23" customHeight="1">
      <c r="A85" s="1"/>
      <c r="B85" s="1"/>
      <c r="C85" s="1"/>
      <c r="D85" s="1"/>
      <c r="E85" s="1"/>
      <c r="F85" s="1"/>
      <c r="G85" s="1"/>
      <c r="H85" s="1"/>
      <c r="I85" s="1"/>
      <c r="J85" s="1"/>
      <c r="K85" s="1"/>
      <c r="L85" s="1"/>
      <c r="M85" s="1"/>
      <c r="N85" s="1"/>
      <c r="O85" s="1"/>
      <c r="P85" s="1"/>
      <c r="Q85" s="1"/>
      <c r="R85" s="1"/>
      <c r="S85" s="1"/>
      <c r="T85" s="1"/>
      <c r="U85" s="1"/>
      <c r="V85" s="1"/>
      <c r="W85" s="1"/>
    </row>
    <row r="86" spans="1:23" ht="23" customHeight="1">
      <c r="A86" s="1"/>
      <c r="B86" s="1"/>
      <c r="C86" s="1"/>
      <c r="D86" s="1"/>
      <c r="E86" s="1"/>
      <c r="F86" s="1"/>
      <c r="G86" s="1"/>
      <c r="H86" s="1"/>
      <c r="I86" s="1"/>
      <c r="J86" s="1"/>
      <c r="K86" s="1"/>
      <c r="L86" s="1"/>
      <c r="M86" s="1"/>
      <c r="N86" s="1"/>
      <c r="O86" s="1"/>
      <c r="P86" s="1"/>
      <c r="Q86" s="1"/>
      <c r="R86" s="1"/>
      <c r="S86" s="1"/>
      <c r="T86" s="1"/>
      <c r="U86" s="1"/>
      <c r="V86" s="1"/>
      <c r="W86" s="1"/>
    </row>
    <row r="87" spans="1:23" ht="23" customHeight="1">
      <c r="A87" s="1"/>
      <c r="B87" s="1"/>
      <c r="C87" s="1"/>
      <c r="D87" s="1"/>
      <c r="E87" s="1"/>
      <c r="F87" s="1"/>
      <c r="G87" s="1"/>
      <c r="H87" s="1"/>
      <c r="I87" s="1"/>
      <c r="J87" s="1"/>
      <c r="K87" s="1"/>
      <c r="L87" s="1"/>
      <c r="M87" s="1"/>
      <c r="N87" s="1"/>
      <c r="O87" s="1"/>
      <c r="P87" s="1"/>
      <c r="Q87" s="1"/>
      <c r="R87" s="1"/>
      <c r="S87" s="1"/>
      <c r="T87" s="1"/>
      <c r="U87" s="1"/>
      <c r="V87" s="1"/>
      <c r="W87" s="1"/>
    </row>
    <row r="88" spans="1:23" ht="23" customHeight="1">
      <c r="A88" s="1"/>
      <c r="B88" s="1"/>
      <c r="C88" s="1"/>
      <c r="D88" s="1"/>
      <c r="E88" s="1"/>
      <c r="F88" s="1"/>
      <c r="G88" s="1"/>
      <c r="H88" s="1"/>
      <c r="I88" s="1"/>
      <c r="J88" s="1"/>
      <c r="K88" s="1"/>
      <c r="L88" s="1"/>
      <c r="M88" s="1"/>
      <c r="N88" s="1"/>
      <c r="O88" s="1"/>
      <c r="P88" s="1"/>
      <c r="Q88" s="1"/>
      <c r="R88" s="1"/>
      <c r="S88" s="1"/>
      <c r="T88" s="1"/>
      <c r="U88" s="1"/>
      <c r="V88" s="1"/>
      <c r="W88" s="1"/>
    </row>
    <row r="89" spans="1:23" ht="23" customHeight="1">
      <c r="A89" s="1"/>
      <c r="B89" s="1"/>
      <c r="C89" s="1"/>
      <c r="D89" s="1"/>
      <c r="E89" s="1"/>
      <c r="F89" s="1"/>
      <c r="G89" s="1"/>
      <c r="H89" s="1"/>
      <c r="I89" s="1"/>
      <c r="J89" s="1"/>
      <c r="K89" s="1"/>
      <c r="L89" s="1"/>
      <c r="M89" s="1"/>
      <c r="N89" s="1"/>
      <c r="O89" s="1"/>
      <c r="P89" s="1"/>
      <c r="Q89" s="1"/>
      <c r="R89" s="1"/>
      <c r="S89" s="1"/>
      <c r="T89" s="1"/>
      <c r="U89" s="1"/>
      <c r="V89" s="1"/>
      <c r="W89" s="1"/>
    </row>
    <row r="90" spans="1:23" ht="23" customHeight="1">
      <c r="A90" s="1"/>
      <c r="B90" s="1"/>
      <c r="C90" s="1"/>
      <c r="D90" s="1"/>
      <c r="E90" s="1"/>
      <c r="F90" s="1"/>
      <c r="G90" s="1"/>
      <c r="H90" s="1"/>
      <c r="I90" s="1"/>
      <c r="J90" s="1"/>
      <c r="K90" s="1"/>
      <c r="L90" s="1"/>
      <c r="M90" s="1"/>
      <c r="N90" s="1"/>
      <c r="O90" s="1"/>
      <c r="P90" s="1"/>
      <c r="Q90" s="1"/>
      <c r="R90" s="1"/>
      <c r="S90" s="1"/>
      <c r="T90" s="1"/>
      <c r="U90" s="1"/>
      <c r="V90" s="1"/>
      <c r="W90" s="1"/>
    </row>
    <row r="91" spans="1:23" ht="23" customHeight="1">
      <c r="A91" s="1"/>
      <c r="B91" s="1"/>
      <c r="C91" s="1"/>
      <c r="D91" s="1"/>
      <c r="E91" s="1"/>
      <c r="F91" s="1"/>
      <c r="G91" s="1"/>
      <c r="H91" s="1"/>
      <c r="I91" s="1"/>
      <c r="J91" s="1"/>
      <c r="K91" s="1"/>
      <c r="L91" s="1"/>
      <c r="M91" s="1"/>
      <c r="N91" s="1"/>
      <c r="O91" s="1"/>
      <c r="P91" s="1"/>
      <c r="Q91" s="1"/>
      <c r="R91" s="1"/>
      <c r="S91" s="1"/>
      <c r="T91" s="1"/>
      <c r="U91" s="1"/>
      <c r="V91" s="1"/>
      <c r="W91" s="1"/>
    </row>
    <row r="92" spans="1:23" ht="23" customHeight="1">
      <c r="A92" s="1"/>
      <c r="B92" s="1"/>
      <c r="C92" s="1"/>
      <c r="D92" s="1"/>
      <c r="E92" s="1"/>
      <c r="F92" s="1"/>
      <c r="G92" s="1"/>
      <c r="H92" s="1"/>
      <c r="I92" s="1"/>
      <c r="J92" s="1"/>
      <c r="K92" s="1"/>
      <c r="L92" s="1"/>
      <c r="M92" s="1"/>
      <c r="N92" s="1"/>
      <c r="O92" s="1"/>
      <c r="P92" s="1"/>
      <c r="Q92" s="1"/>
      <c r="R92" s="1"/>
      <c r="S92" s="1"/>
      <c r="T92" s="1"/>
      <c r="U92" s="1"/>
      <c r="V92" s="1"/>
      <c r="W92" s="1"/>
    </row>
    <row r="93" spans="1:23" ht="23" customHeight="1">
      <c r="A93" s="1"/>
      <c r="B93" s="1"/>
      <c r="C93" s="1"/>
      <c r="D93" s="1"/>
      <c r="E93" s="1"/>
      <c r="F93" s="1"/>
      <c r="G93" s="1"/>
      <c r="H93" s="1"/>
      <c r="I93" s="1"/>
      <c r="J93" s="1"/>
      <c r="K93" s="1"/>
      <c r="L93" s="1"/>
      <c r="M93" s="1"/>
      <c r="N93" s="1"/>
      <c r="O93" s="1"/>
      <c r="P93" s="1"/>
      <c r="Q93" s="1"/>
      <c r="R93" s="1"/>
      <c r="S93" s="1"/>
      <c r="T93" s="1"/>
      <c r="U93" s="1"/>
      <c r="V93" s="1"/>
      <c r="W93" s="1"/>
    </row>
    <row r="94" spans="1:23" ht="23" customHeight="1">
      <c r="A94" s="1"/>
      <c r="B94" s="1"/>
      <c r="C94" s="1"/>
      <c r="D94" s="1"/>
      <c r="E94" s="1"/>
      <c r="F94" s="1"/>
      <c r="G94" s="1"/>
      <c r="H94" s="1"/>
      <c r="I94" s="1"/>
      <c r="J94" s="1"/>
      <c r="K94" s="1"/>
      <c r="L94" s="1"/>
      <c r="M94" s="1"/>
      <c r="N94" s="1"/>
      <c r="O94" s="1"/>
      <c r="P94" s="1"/>
      <c r="Q94" s="1"/>
      <c r="R94" s="1"/>
      <c r="S94" s="1"/>
      <c r="T94" s="1"/>
      <c r="U94" s="1"/>
      <c r="V94" s="1"/>
      <c r="W94" s="1"/>
    </row>
    <row r="95" spans="1:23" ht="23" customHeight="1">
      <c r="A95" s="1"/>
      <c r="B95" s="1"/>
      <c r="C95" s="1"/>
      <c r="D95" s="1"/>
      <c r="E95" s="1"/>
      <c r="F95" s="1"/>
      <c r="G95" s="1"/>
      <c r="H95" s="1"/>
      <c r="I95" s="1"/>
      <c r="J95" s="1"/>
      <c r="K95" s="1"/>
      <c r="L95" s="1"/>
      <c r="M95" s="1"/>
      <c r="N95" s="1"/>
      <c r="O95" s="1"/>
      <c r="P95" s="1"/>
      <c r="Q95" s="1"/>
      <c r="R95" s="1"/>
      <c r="S95" s="1"/>
      <c r="T95" s="1"/>
      <c r="U95" s="1"/>
      <c r="V95" s="1"/>
      <c r="W95" s="1"/>
    </row>
    <row r="96" spans="1:23" ht="23" customHeight="1">
      <c r="A96" s="1"/>
      <c r="B96" s="1"/>
      <c r="C96" s="1"/>
      <c r="D96" s="1"/>
      <c r="E96" s="1"/>
      <c r="F96" s="1"/>
      <c r="G96" s="1"/>
      <c r="H96" s="1"/>
      <c r="I96" s="1"/>
      <c r="J96" s="1"/>
      <c r="K96" s="1"/>
      <c r="L96" s="1"/>
      <c r="M96" s="1"/>
      <c r="N96" s="1"/>
      <c r="O96" s="1"/>
      <c r="P96" s="1"/>
      <c r="Q96" s="1"/>
      <c r="R96" s="1"/>
      <c r="S96" s="1"/>
      <c r="T96" s="1"/>
      <c r="U96" s="1"/>
      <c r="V96" s="1"/>
      <c r="W96" s="1"/>
    </row>
    <row r="97" spans="1:23" ht="23" customHeight="1">
      <c r="A97" s="1"/>
      <c r="B97" s="1"/>
      <c r="C97" s="1"/>
      <c r="D97" s="1"/>
      <c r="E97" s="1"/>
      <c r="F97" s="1"/>
      <c r="G97" s="1"/>
      <c r="H97" s="1"/>
      <c r="I97" s="1"/>
      <c r="J97" s="1"/>
      <c r="K97" s="1"/>
      <c r="L97" s="1"/>
      <c r="M97" s="1"/>
      <c r="N97" s="1"/>
      <c r="O97" s="1"/>
      <c r="P97" s="1"/>
      <c r="Q97" s="1"/>
      <c r="R97" s="1"/>
      <c r="S97" s="1"/>
      <c r="T97" s="1"/>
      <c r="U97" s="1"/>
      <c r="V97" s="1"/>
      <c r="W97" s="1"/>
    </row>
    <row r="98" spans="1:23" ht="23" customHeight="1">
      <c r="A98" s="1"/>
      <c r="B98" s="1"/>
      <c r="C98" s="1"/>
      <c r="D98" s="1"/>
      <c r="E98" s="1"/>
      <c r="F98" s="1"/>
      <c r="G98" s="1"/>
      <c r="H98" s="1"/>
      <c r="I98" s="1"/>
      <c r="J98" s="1"/>
      <c r="K98" s="1"/>
      <c r="L98" s="1"/>
      <c r="M98" s="1"/>
      <c r="N98" s="1"/>
      <c r="O98" s="1"/>
      <c r="P98" s="1"/>
      <c r="Q98" s="1"/>
      <c r="R98" s="1"/>
      <c r="S98" s="1"/>
      <c r="T98" s="1"/>
      <c r="U98" s="1"/>
      <c r="V98" s="1"/>
      <c r="W98" s="1"/>
    </row>
    <row r="99" spans="1:23" ht="23" customHeight="1">
      <c r="A99" s="1"/>
      <c r="B99" s="1"/>
      <c r="C99" s="1"/>
      <c r="D99" s="1"/>
      <c r="E99" s="1"/>
      <c r="F99" s="1"/>
      <c r="G99" s="1"/>
      <c r="H99" s="1"/>
      <c r="I99" s="1"/>
      <c r="J99" s="1"/>
      <c r="K99" s="1"/>
      <c r="L99" s="1"/>
      <c r="M99" s="1"/>
      <c r="N99" s="1"/>
      <c r="O99" s="1"/>
      <c r="P99" s="1"/>
      <c r="Q99" s="1"/>
      <c r="R99" s="1"/>
      <c r="S99" s="1"/>
      <c r="T99" s="1"/>
      <c r="U99" s="1"/>
      <c r="V99" s="1"/>
      <c r="W99" s="1"/>
    </row>
    <row r="100" spans="1:23" ht="23" customHeight="1">
      <c r="A100" s="1"/>
      <c r="B100" s="1"/>
      <c r="C100" s="1"/>
      <c r="D100" s="1"/>
      <c r="E100" s="1"/>
      <c r="F100" s="1"/>
      <c r="G100" s="1"/>
      <c r="H100" s="1"/>
      <c r="I100" s="1"/>
      <c r="J100" s="1"/>
      <c r="K100" s="1"/>
      <c r="L100" s="1"/>
      <c r="M100" s="1"/>
      <c r="N100" s="1"/>
      <c r="O100" s="1"/>
      <c r="P100" s="1"/>
      <c r="Q100" s="1"/>
      <c r="R100" s="1"/>
      <c r="S100" s="1"/>
      <c r="T100" s="1"/>
      <c r="U100" s="1"/>
      <c r="V100" s="1"/>
      <c r="W100" s="1"/>
    </row>
    <row r="101" spans="1:23" ht="23" customHeight="1">
      <c r="A101" s="1"/>
      <c r="B101" s="1"/>
      <c r="C101" s="1"/>
      <c r="D101" s="1"/>
      <c r="E101" s="1"/>
      <c r="F101" s="1"/>
      <c r="G101" s="1"/>
      <c r="H101" s="1"/>
      <c r="I101" s="1"/>
      <c r="J101" s="1"/>
      <c r="K101" s="1"/>
      <c r="L101" s="1"/>
      <c r="M101" s="1"/>
      <c r="N101" s="1"/>
      <c r="O101" s="1"/>
      <c r="P101" s="1"/>
      <c r="Q101" s="1"/>
      <c r="R101" s="1"/>
      <c r="S101" s="1"/>
      <c r="T101" s="1"/>
      <c r="U101" s="1"/>
      <c r="V101" s="1"/>
      <c r="W101" s="1"/>
    </row>
    <row r="102" spans="1:23" ht="23" customHeight="1">
      <c r="A102" s="1"/>
      <c r="B102" s="1"/>
      <c r="C102" s="1"/>
      <c r="D102" s="1"/>
      <c r="E102" s="1"/>
      <c r="F102" s="1"/>
      <c r="G102" s="1"/>
      <c r="H102" s="1"/>
      <c r="I102" s="1"/>
      <c r="J102" s="1"/>
      <c r="K102" s="1"/>
      <c r="L102" s="1"/>
      <c r="M102" s="1"/>
      <c r="N102" s="1"/>
      <c r="O102" s="1"/>
      <c r="P102" s="1"/>
      <c r="Q102" s="1"/>
      <c r="R102" s="1"/>
      <c r="S102" s="1"/>
      <c r="T102" s="1"/>
      <c r="U102" s="1"/>
      <c r="V102" s="1"/>
      <c r="W102" s="1"/>
    </row>
    <row r="103" spans="1:23" ht="23" customHeight="1">
      <c r="A103" s="1"/>
      <c r="B103" s="1"/>
      <c r="C103" s="1"/>
      <c r="D103" s="1"/>
      <c r="E103" s="1"/>
      <c r="F103" s="1"/>
      <c r="G103" s="1"/>
      <c r="H103" s="1"/>
      <c r="I103" s="1"/>
      <c r="J103" s="1"/>
      <c r="K103" s="1"/>
      <c r="L103" s="1"/>
      <c r="M103" s="1"/>
      <c r="N103" s="1"/>
      <c r="O103" s="1"/>
      <c r="P103" s="1"/>
      <c r="Q103" s="1"/>
      <c r="R103" s="1"/>
      <c r="S103" s="1"/>
      <c r="T103" s="1"/>
      <c r="U103" s="1"/>
      <c r="V103" s="1"/>
      <c r="W103" s="1"/>
    </row>
    <row r="104" spans="1:23" ht="23" customHeight="1">
      <c r="A104" s="1"/>
      <c r="B104" s="1"/>
      <c r="C104" s="1"/>
      <c r="D104" s="1"/>
      <c r="E104" s="1"/>
      <c r="F104" s="1"/>
      <c r="G104" s="1"/>
      <c r="H104" s="1"/>
      <c r="I104" s="1"/>
      <c r="J104" s="1"/>
      <c r="K104" s="1"/>
      <c r="L104" s="1"/>
      <c r="M104" s="1"/>
      <c r="N104" s="1"/>
      <c r="O104" s="1"/>
      <c r="P104" s="1"/>
      <c r="Q104" s="1"/>
      <c r="R104" s="1"/>
      <c r="S104" s="1"/>
      <c r="T104" s="1"/>
      <c r="U104" s="1"/>
      <c r="V104" s="1"/>
      <c r="W104" s="1"/>
    </row>
    <row r="105" spans="1:23" ht="23" customHeight="1">
      <c r="A105" s="1"/>
      <c r="B105" s="1"/>
      <c r="C105" s="1"/>
      <c r="D105" s="1"/>
      <c r="E105" s="1"/>
      <c r="F105" s="1"/>
      <c r="G105" s="1"/>
      <c r="H105" s="1"/>
      <c r="I105" s="1"/>
      <c r="J105" s="1"/>
      <c r="K105" s="1"/>
      <c r="L105" s="1"/>
      <c r="M105" s="1"/>
      <c r="N105" s="1"/>
      <c r="O105" s="1"/>
      <c r="P105" s="1"/>
      <c r="Q105" s="1"/>
      <c r="R105" s="1"/>
      <c r="S105" s="1"/>
      <c r="T105" s="1"/>
      <c r="U105" s="1"/>
      <c r="V105" s="1"/>
      <c r="W105" s="1"/>
    </row>
    <row r="106" spans="1:23" ht="23" customHeight="1">
      <c r="A106" s="1"/>
      <c r="B106" s="1"/>
      <c r="C106" s="1"/>
      <c r="D106" s="1"/>
      <c r="E106" s="1"/>
      <c r="F106" s="1"/>
      <c r="G106" s="1"/>
      <c r="H106" s="1"/>
      <c r="I106" s="1"/>
      <c r="J106" s="1"/>
      <c r="K106" s="1"/>
      <c r="L106" s="1"/>
      <c r="M106" s="1"/>
      <c r="N106" s="1"/>
      <c r="O106" s="1"/>
      <c r="P106" s="1"/>
      <c r="Q106" s="1"/>
      <c r="R106" s="1"/>
      <c r="S106" s="1"/>
      <c r="T106" s="1"/>
      <c r="U106" s="1"/>
      <c r="V106" s="1"/>
      <c r="W106" s="1"/>
    </row>
    <row r="107" spans="1:23" ht="23" customHeight="1">
      <c r="A107" s="1"/>
      <c r="B107" s="1"/>
      <c r="C107" s="1"/>
      <c r="D107" s="1"/>
      <c r="E107" s="1"/>
      <c r="F107" s="1"/>
      <c r="G107" s="1"/>
      <c r="H107" s="1"/>
      <c r="I107" s="1"/>
      <c r="J107" s="1"/>
      <c r="K107" s="1"/>
      <c r="L107" s="1"/>
      <c r="M107" s="1"/>
      <c r="N107" s="1"/>
      <c r="O107" s="1"/>
      <c r="P107" s="1"/>
      <c r="Q107" s="1"/>
      <c r="R107" s="1"/>
      <c r="S107" s="1"/>
      <c r="T107" s="1"/>
      <c r="U107" s="1"/>
      <c r="V107" s="1"/>
      <c r="W107" s="1"/>
    </row>
    <row r="108" spans="1:23" ht="23" customHeight="1">
      <c r="A108" s="1"/>
      <c r="B108" s="1"/>
      <c r="C108" s="1"/>
      <c r="D108" s="1"/>
      <c r="E108" s="1"/>
      <c r="F108" s="1"/>
      <c r="G108" s="1"/>
      <c r="H108" s="1"/>
      <c r="I108" s="1"/>
      <c r="J108" s="1"/>
      <c r="K108" s="1"/>
      <c r="L108" s="1"/>
      <c r="M108" s="1"/>
      <c r="N108" s="1"/>
      <c r="O108" s="1"/>
      <c r="P108" s="1"/>
      <c r="Q108" s="1"/>
      <c r="R108" s="1"/>
      <c r="S108" s="1"/>
      <c r="T108" s="1"/>
      <c r="U108" s="1"/>
      <c r="V108" s="1"/>
      <c r="W108" s="1"/>
    </row>
    <row r="109" spans="1:23" ht="23" customHeight="1">
      <c r="A109" s="1"/>
      <c r="B109" s="1"/>
      <c r="C109" s="1"/>
      <c r="D109" s="1"/>
      <c r="E109" s="1"/>
      <c r="F109" s="1"/>
      <c r="G109" s="1"/>
      <c r="H109" s="1"/>
      <c r="I109" s="1"/>
      <c r="J109" s="1"/>
      <c r="K109" s="1"/>
      <c r="L109" s="1"/>
      <c r="M109" s="1"/>
      <c r="N109" s="1"/>
      <c r="O109" s="1"/>
      <c r="P109" s="1"/>
      <c r="Q109" s="1"/>
      <c r="R109" s="1"/>
      <c r="S109" s="1"/>
      <c r="T109" s="1"/>
      <c r="U109" s="1"/>
      <c r="V109" s="1"/>
      <c r="W109" s="1"/>
    </row>
    <row r="110" spans="1:23" ht="23" customHeight="1">
      <c r="A110" s="1"/>
      <c r="B110" s="1"/>
      <c r="C110" s="1"/>
      <c r="D110" s="1"/>
      <c r="E110" s="1"/>
      <c r="F110" s="1"/>
      <c r="G110" s="1"/>
      <c r="H110" s="1"/>
      <c r="I110" s="1"/>
      <c r="J110" s="1"/>
      <c r="K110" s="1"/>
      <c r="L110" s="1"/>
      <c r="M110" s="1"/>
      <c r="N110" s="1"/>
      <c r="O110" s="1"/>
      <c r="P110" s="1"/>
      <c r="Q110" s="1"/>
      <c r="R110" s="1"/>
      <c r="S110" s="1"/>
      <c r="T110" s="1"/>
      <c r="U110" s="1"/>
      <c r="V110" s="1"/>
      <c r="W110" s="1"/>
    </row>
    <row r="111" spans="1:23" ht="23" customHeight="1">
      <c r="A111" s="1"/>
      <c r="B111" s="1"/>
      <c r="C111" s="1"/>
      <c r="D111" s="1"/>
      <c r="E111" s="1"/>
      <c r="F111" s="1"/>
      <c r="G111" s="1"/>
      <c r="H111" s="1"/>
      <c r="I111" s="1"/>
      <c r="J111" s="1"/>
      <c r="K111" s="1"/>
      <c r="L111" s="1"/>
      <c r="M111" s="1"/>
      <c r="N111" s="1"/>
      <c r="O111" s="1"/>
      <c r="P111" s="1"/>
      <c r="Q111" s="1"/>
      <c r="R111" s="1"/>
      <c r="S111" s="1"/>
      <c r="T111" s="1"/>
      <c r="U111" s="1"/>
      <c r="V111" s="1"/>
      <c r="W111" s="1"/>
    </row>
    <row r="112" spans="1:23" ht="23" customHeight="1">
      <c r="A112" s="1"/>
      <c r="B112" s="1"/>
      <c r="C112" s="1"/>
      <c r="D112" s="1"/>
      <c r="E112" s="1"/>
      <c r="F112" s="1"/>
      <c r="G112" s="1"/>
      <c r="H112" s="1"/>
      <c r="I112" s="1"/>
      <c r="J112" s="1"/>
      <c r="K112" s="1"/>
      <c r="L112" s="1"/>
      <c r="M112" s="1"/>
      <c r="N112" s="1"/>
      <c r="O112" s="1"/>
      <c r="P112" s="1"/>
      <c r="Q112" s="1"/>
      <c r="R112" s="1"/>
      <c r="S112" s="1"/>
      <c r="T112" s="1"/>
      <c r="U112" s="1"/>
      <c r="V112" s="1"/>
      <c r="W112" s="1"/>
    </row>
    <row r="113" spans="1:23" ht="23" customHeight="1">
      <c r="A113" s="1"/>
      <c r="B113" s="1"/>
      <c r="C113" s="1"/>
      <c r="D113" s="1"/>
      <c r="E113" s="1"/>
      <c r="F113" s="1"/>
      <c r="G113" s="1"/>
      <c r="H113" s="1"/>
      <c r="I113" s="1"/>
      <c r="J113" s="1"/>
      <c r="K113" s="1"/>
      <c r="L113" s="1"/>
      <c r="M113" s="1"/>
      <c r="N113" s="1"/>
      <c r="O113" s="1"/>
      <c r="P113" s="1"/>
      <c r="Q113" s="1"/>
      <c r="R113" s="1"/>
      <c r="S113" s="1"/>
      <c r="T113" s="1"/>
      <c r="U113" s="1"/>
      <c r="V113" s="1"/>
      <c r="W113" s="1"/>
    </row>
    <row r="114" spans="1:23" ht="23" customHeight="1">
      <c r="A114" s="1"/>
      <c r="B114" s="1"/>
      <c r="C114" s="1"/>
      <c r="D114" s="1"/>
      <c r="E114" s="1"/>
      <c r="F114" s="1"/>
      <c r="G114" s="1"/>
      <c r="H114" s="1"/>
      <c r="I114" s="1"/>
      <c r="J114" s="1"/>
      <c r="K114" s="1"/>
      <c r="L114" s="1"/>
      <c r="M114" s="1"/>
      <c r="N114" s="1"/>
      <c r="O114" s="1"/>
      <c r="P114" s="1"/>
      <c r="Q114" s="1"/>
      <c r="R114" s="1"/>
      <c r="S114" s="1"/>
      <c r="T114" s="1"/>
      <c r="U114" s="1"/>
      <c r="V114" s="1"/>
      <c r="W114" s="1"/>
    </row>
    <row r="115" spans="1:23" ht="23" customHeight="1">
      <c r="A115" s="1"/>
      <c r="B115" s="1"/>
      <c r="C115" s="1"/>
      <c r="D115" s="1"/>
      <c r="E115" s="1"/>
      <c r="F115" s="1"/>
      <c r="G115" s="1"/>
      <c r="H115" s="1"/>
      <c r="I115" s="1"/>
      <c r="J115" s="1"/>
      <c r="K115" s="1"/>
      <c r="L115" s="1"/>
      <c r="M115" s="1"/>
      <c r="N115" s="1"/>
      <c r="O115" s="1"/>
      <c r="P115" s="1"/>
      <c r="Q115" s="1"/>
      <c r="R115" s="1"/>
      <c r="S115" s="1"/>
      <c r="T115" s="1"/>
      <c r="U115" s="1"/>
      <c r="V115" s="1"/>
      <c r="W115" s="1"/>
    </row>
    <row r="116" spans="1:23" ht="23" customHeight="1">
      <c r="A116" s="1"/>
      <c r="B116" s="1"/>
      <c r="C116" s="1"/>
      <c r="D116" s="1"/>
      <c r="E116" s="1"/>
      <c r="F116" s="1"/>
      <c r="G116" s="1"/>
      <c r="H116" s="1"/>
      <c r="I116" s="1"/>
      <c r="J116" s="1"/>
      <c r="K116" s="1"/>
      <c r="L116" s="1"/>
      <c r="M116" s="1"/>
      <c r="N116" s="1"/>
      <c r="O116" s="1"/>
      <c r="P116" s="1"/>
      <c r="Q116" s="1"/>
      <c r="R116" s="1"/>
      <c r="S116" s="1"/>
      <c r="T116" s="1"/>
      <c r="U116" s="1"/>
      <c r="V116" s="1"/>
      <c r="W116" s="1"/>
    </row>
    <row r="117" spans="1:23" ht="23" customHeight="1">
      <c r="A117" s="1"/>
      <c r="B117" s="1"/>
      <c r="C117" s="1"/>
      <c r="D117" s="1"/>
      <c r="E117" s="1"/>
      <c r="F117" s="1"/>
      <c r="G117" s="1"/>
      <c r="H117" s="1"/>
      <c r="I117" s="1"/>
      <c r="J117" s="1"/>
      <c r="K117" s="1"/>
      <c r="L117" s="1"/>
      <c r="M117" s="1"/>
      <c r="N117" s="1"/>
      <c r="O117" s="1"/>
      <c r="P117" s="1"/>
      <c r="Q117" s="1"/>
      <c r="R117" s="1"/>
      <c r="S117" s="1"/>
      <c r="T117" s="1"/>
      <c r="U117" s="1"/>
      <c r="V117" s="1"/>
      <c r="W117" s="1"/>
    </row>
    <row r="118" spans="1:23" ht="23" customHeight="1">
      <c r="A118" s="1"/>
      <c r="B118" s="1"/>
      <c r="C118" s="1"/>
      <c r="D118" s="1"/>
      <c r="E118" s="1"/>
      <c r="F118" s="1"/>
      <c r="G118" s="1"/>
      <c r="H118" s="1"/>
      <c r="I118" s="1"/>
      <c r="J118" s="1"/>
      <c r="K118" s="1"/>
      <c r="L118" s="1"/>
      <c r="M118" s="1"/>
      <c r="N118" s="1"/>
      <c r="O118" s="1"/>
      <c r="P118" s="1"/>
      <c r="Q118" s="1"/>
      <c r="R118" s="1"/>
      <c r="S118" s="1"/>
      <c r="T118" s="1"/>
      <c r="U118" s="1"/>
      <c r="V118" s="1"/>
      <c r="W118" s="1"/>
    </row>
    <row r="119" spans="1:23" ht="23" customHeight="1">
      <c r="A119" s="1"/>
      <c r="B119" s="1"/>
      <c r="C119" s="1"/>
      <c r="D119" s="1"/>
      <c r="E119" s="1"/>
      <c r="F119" s="1"/>
      <c r="G119" s="1"/>
      <c r="H119" s="1"/>
      <c r="I119" s="1"/>
      <c r="J119" s="1"/>
      <c r="K119" s="1"/>
      <c r="L119" s="1"/>
      <c r="M119" s="1"/>
      <c r="N119" s="1"/>
      <c r="O119" s="1"/>
      <c r="P119" s="1"/>
      <c r="Q119" s="1"/>
      <c r="R119" s="1"/>
      <c r="S119" s="1"/>
      <c r="T119" s="1"/>
      <c r="U119" s="1"/>
      <c r="V119" s="1"/>
      <c r="W119" s="1"/>
    </row>
    <row r="120" spans="1:23" ht="23" customHeight="1">
      <c r="A120" s="1"/>
      <c r="B120" s="1"/>
      <c r="C120" s="1"/>
      <c r="D120" s="1"/>
      <c r="E120" s="1"/>
      <c r="F120" s="1"/>
      <c r="G120" s="1"/>
      <c r="H120" s="1"/>
      <c r="I120" s="1"/>
      <c r="J120" s="1"/>
      <c r="K120" s="1"/>
      <c r="L120" s="1"/>
      <c r="M120" s="1"/>
      <c r="N120" s="1"/>
      <c r="O120" s="1"/>
      <c r="P120" s="1"/>
      <c r="Q120" s="1"/>
      <c r="R120" s="1"/>
      <c r="S120" s="1"/>
      <c r="T120" s="1"/>
      <c r="U120" s="1"/>
      <c r="V120" s="1"/>
      <c r="W12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Decision</vt:lpstr>
      <vt:lpstr>Conversion</vt:lpstr>
      <vt:lpstr>Inputs</vt:lpstr>
      <vt:lpstr>Forecast audit</vt:lpstr>
      <vt:lpstr>Event study</vt:lpstr>
      <vt:lpstr>Event data</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Young, Willem K.</cp:lastModifiedBy>
  <dcterms:modified xsi:type="dcterms:W3CDTF">2026-09-15T19:10:25Z</dcterms:modified>
</cp:coreProperties>
</file>