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s" sheetId="1" state="visible" r:id="rId1"/>
    <sheet name="Calibration_2025" sheetId="2" state="visible" r:id="rId2"/>
    <sheet name="Projection" sheetId="3" state="visible" r:id="rId3"/>
    <sheet name="Sensitivity" sheetId="4" state="visible" r:id="rId4"/>
    <sheet name="Countries" sheetId="5" state="visible" r:id="rId5"/>
    <sheet name="Global" sheetId="6" state="visible" r:id="rId6"/>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
    <numFmt numFmtId="167" formatCode="$#,##0"/>
  </numFmts>
  <fonts count="9">
    <font>
      <name val="Calibri"/>
      <family val="2"/>
      <color theme="1"/>
      <sz val="11"/>
      <scheme val="minor"/>
    </font>
    <font>
      <name val="Arial"/>
      <b val="1"/>
      <sz val="12"/>
    </font>
    <font>
      <name val="Arial"/>
      <i val="1"/>
      <sz val="9"/>
    </font>
    <font>
      <name val="Arial"/>
      <b val="1"/>
      <sz val="10"/>
    </font>
    <font>
      <name val="Arial"/>
      <color rgb="000000FF"/>
      <sz val="10"/>
    </font>
    <font>
      <name val="Arial"/>
      <sz val="9"/>
    </font>
    <font>
      <name val="Arial"/>
      <color rgb="00008000"/>
      <sz val="10"/>
    </font>
    <font>
      <name val="Arial"/>
      <sz val="10"/>
    </font>
    <font>
      <name val="Arial"/>
      <color theme="1"/>
      <sz val="11"/>
    </font>
  </fonts>
  <fills count="4">
    <fill>
      <patternFill/>
    </fill>
    <fill>
      <patternFill patternType="gray125"/>
    </fill>
    <fill>
      <patternFill patternType="solid">
        <fgColor rgb="00EEEEEE"/>
      </patternFill>
    </fill>
    <fill>
      <patternFill patternType="solid">
        <fgColor rgb="00FFFF00"/>
      </patternFill>
    </fill>
  </fills>
  <borders count="1">
    <border>
      <left/>
      <right/>
      <top/>
      <bottom/>
      <diagonal/>
    </border>
  </borders>
  <cellStyleXfs count="1">
    <xf numFmtId="0" fontId="0" fillId="0" borderId="0"/>
  </cellStyleXfs>
  <cellXfs count="28">
    <xf numFmtId="0" fontId="0" fillId="0" borderId="0" pivotButton="0" quotePrefix="0" xfId="0"/>
    <xf numFmtId="0" fontId="1" fillId="0" borderId="0" pivotButton="0" quotePrefix="0" xfId="0"/>
    <xf numFmtId="0" fontId="8" fillId="0" borderId="0" pivotButton="0" quotePrefix="0" xfId="0"/>
    <xf numFmtId="0" fontId="2" fillId="0" borderId="0" pivotButton="0" quotePrefix="0" xfId="0"/>
    <xf numFmtId="0" fontId="3" fillId="2" borderId="0" pivotButton="0" quotePrefix="0" xfId="0"/>
    <xf numFmtId="164" fontId="4" fillId="0" borderId="0" pivotButton="0" quotePrefix="0" xfId="0"/>
    <xf numFmtId="0" fontId="5" fillId="0" borderId="0" pivotButton="0" quotePrefix="0" xfId="0"/>
    <xf numFmtId="165" fontId="4" fillId="0" borderId="0" pivotButton="0" quotePrefix="0" xfId="0"/>
    <xf numFmtId="2" fontId="4" fillId="0" borderId="0" pivotButton="0" quotePrefix="0" xfId="0"/>
    <xf numFmtId="165" fontId="4" fillId="3" borderId="0" pivotButton="0" quotePrefix="0" xfId="0"/>
    <xf numFmtId="2" fontId="4" fillId="3" borderId="0" pivotButton="0" quotePrefix="0" xfId="0"/>
    <xf numFmtId="0" fontId="3" fillId="0" borderId="0" applyAlignment="1" pivotButton="0" quotePrefix="0" xfId="0">
      <alignment wrapText="1"/>
    </xf>
    <xf numFmtId="0" fontId="2" fillId="0" borderId="0" applyAlignment="1" pivotButton="0" quotePrefix="0" xfId="0">
      <alignment vertical="top" wrapText="1"/>
    </xf>
    <xf numFmtId="0" fontId="3" fillId="0" borderId="0" pivotButton="0" quotePrefix="0" xfId="0"/>
    <xf numFmtId="0" fontId="8" fillId="3" borderId="0" pivotButton="0" quotePrefix="0" xfId="0"/>
    <xf numFmtId="164" fontId="8" fillId="0" borderId="0" pivotButton="0" quotePrefix="0" xfId="0"/>
    <xf numFmtId="165" fontId="8" fillId="0" borderId="0" pivotButton="0" quotePrefix="0" xfId="0"/>
    <xf numFmtId="164" fontId="3" fillId="0" borderId="0" pivotButton="0" quotePrefix="0" xfId="0"/>
    <xf numFmtId="165" fontId="3" fillId="0" borderId="0" pivotButton="0" quotePrefix="0" xfId="0"/>
    <xf numFmtId="0" fontId="2" fillId="0" borderId="0" applyAlignment="1" pivotButton="0" quotePrefix="0" xfId="0">
      <alignment wrapText="1"/>
    </xf>
    <xf numFmtId="166" fontId="8" fillId="0" borderId="0" pivotButton="0" quotePrefix="0" xfId="0"/>
    <xf numFmtId="164" fontId="6" fillId="0" borderId="0" pivotButton="0" quotePrefix="0" xfId="0"/>
    <xf numFmtId="165" fontId="6" fillId="0" borderId="0" pivotButton="0" quotePrefix="0" xfId="0"/>
    <xf numFmtId="167" fontId="4" fillId="3" borderId="0" pivotButton="0" quotePrefix="0" xfId="0"/>
    <xf numFmtId="167" fontId="8" fillId="0" borderId="0" pivotButton="0" quotePrefix="0" xfId="0"/>
    <xf numFmtId="167" fontId="3" fillId="0" borderId="0" pivotButton="0" quotePrefix="0" xfId="0"/>
    <xf numFmtId="0" fontId="4"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46" customWidth="1" min="1" max="1"/>
    <col width="12" customWidth="1" min="2" max="2"/>
    <col width="12" customWidth="1" min="3" max="3"/>
    <col width="12" customWidth="1" min="4" max="4"/>
    <col width="12" customWidth="1" min="5" max="5"/>
    <col width="12" customWidth="1" min="6" max="6"/>
    <col width="90" customWidth="1" min="7" max="7"/>
  </cols>
  <sheetData>
    <row r="1">
      <c r="A1" s="1" t="inlineStr">
        <is>
          <t>Choice-probability nights driver — INPUTS</t>
        </is>
      </c>
      <c r="B1" s="2" t="n"/>
      <c r="C1" s="2" t="n"/>
      <c r="D1" s="2" t="n"/>
      <c r="E1" s="2" t="n"/>
      <c r="F1" s="2" t="n"/>
      <c r="G1" s="2" t="n"/>
      <c r="H1" s="2" t="n"/>
      <c r="I1" s="2" t="n"/>
      <c r="J1" s="2" t="n"/>
    </row>
    <row r="2">
      <c r="A2" s="3" t="inlineStr">
        <is>
          <t>Blue = hardcoded input you can change. Black = formula. Green = link to another sheet. Yellow = key levers. Every input carries its source in column G.</t>
        </is>
      </c>
      <c r="B2" s="2" t="n"/>
      <c r="C2" s="2" t="n"/>
      <c r="D2" s="2" t="n"/>
      <c r="E2" s="2" t="n"/>
      <c r="F2" s="2" t="n"/>
      <c r="G2" s="2" t="n"/>
      <c r="H2" s="2" t="n"/>
      <c r="I2" s="2" t="n"/>
      <c r="J2" s="2" t="n"/>
    </row>
    <row r="3">
      <c r="A3" s="2" t="n"/>
      <c r="B3" s="2" t="n"/>
      <c r="C3" s="2" t="n"/>
      <c r="D3" s="2" t="n"/>
      <c r="E3" s="2" t="n"/>
      <c r="F3" s="2" t="n"/>
      <c r="G3" s="2" t="n"/>
      <c r="H3" s="2" t="n"/>
      <c r="I3" s="2" t="n"/>
      <c r="J3" s="2" t="n"/>
    </row>
    <row r="4">
      <c r="A4" s="4" t="inlineStr">
        <is>
          <t>AIRBNB 2025 (U.S.)</t>
        </is>
      </c>
      <c r="B4" s="2" t="n"/>
      <c r="C4" s="2" t="n"/>
      <c r="D4" s="2" t="n"/>
      <c r="E4" s="2" t="n"/>
      <c r="F4" s="2" t="n"/>
      <c r="G4" s="2" t="n"/>
      <c r="H4" s="2" t="n"/>
      <c r="I4" s="2" t="n"/>
      <c r="J4" s="2" t="n"/>
    </row>
    <row r="5">
      <c r="A5" s="2" t="inlineStr">
        <is>
          <t>Airbnb North America nights 2025 (mm)</t>
        </is>
      </c>
      <c r="B5" s="5" t="n">
        <v>158</v>
      </c>
      <c r="C5" s="2" t="n"/>
      <c r="D5" s="2" t="n"/>
      <c r="E5" s="2" t="n"/>
      <c r="F5" s="2" t="n"/>
      <c r="G5" s="6" t="inlineStr">
        <is>
          <t>Airbnb FY2025 10-K, MD&amp;A regional table — https://www.sec.gov/Archives/edgar/data/1559720/000155972026000004/abnb-20251231.htm</t>
        </is>
      </c>
      <c r="H5" s="2" t="n"/>
      <c r="I5" s="2" t="n"/>
      <c r="J5" s="2" t="n"/>
    </row>
    <row r="6">
      <c r="A6" s="2" t="inlineStr">
        <is>
          <t>U.S. share of North America (revenue proxy)</t>
        </is>
      </c>
      <c r="B6" s="7" t="n">
        <v>0.92</v>
      </c>
      <c r="C6" s="2" t="n"/>
      <c r="D6" s="2" t="n"/>
      <c r="E6" s="2" t="n"/>
      <c r="F6" s="2" t="n"/>
      <c r="G6" s="6" t="inlineStr">
        <is>
          <t>U.S. = 39% of FY2025 revenue ($4.76B of $12.2B; 61% non-U.S. per 10-K) ÷ NA revenue $5.196B</t>
        </is>
      </c>
      <c r="H6" s="2" t="n"/>
      <c r="I6" s="2" t="n"/>
      <c r="J6" s="2" t="n"/>
    </row>
    <row r="7">
      <c r="A7" s="2" t="inlineStr">
        <is>
          <t>Nights per booking, North America</t>
        </is>
      </c>
      <c r="B7" s="8" t="n">
        <v>4.1</v>
      </c>
      <c r="C7" s="2" t="n"/>
      <c r="D7" s="2" t="n"/>
      <c r="E7" s="2" t="n"/>
      <c r="F7" s="2" t="n"/>
      <c r="G7" s="6" t="inlineStr">
        <is>
          <t>Airbnb FY2025 10-K</t>
        </is>
      </c>
      <c r="H7" s="2" t="n"/>
      <c r="I7" s="2" t="n"/>
      <c r="J7" s="2" t="n"/>
    </row>
    <row r="8">
      <c r="A8" s="2" t="inlineStr">
        <is>
          <t>Share of Airbnb guests who would have used a hotel absent Airbnb</t>
        </is>
      </c>
      <c r="B8" s="9" t="n">
        <v>0.38</v>
      </c>
      <c r="C8" s="2" t="n"/>
      <c r="D8" s="2" t="n"/>
      <c r="E8" s="2" t="n"/>
      <c r="F8" s="2" t="n"/>
      <c r="G8" s="6" t="inlineStr">
        <is>
          <t>Farronato &amp; Fradkin (AER 2022): 62% would NOT have switched to a hotel — https://andreyfradkin.com/assets/airbnb_welfare_paper.pdf</t>
        </is>
      </c>
      <c r="H8" s="2" t="n"/>
      <c r="I8" s="2" t="n"/>
      <c r="J8" s="2" t="n"/>
    </row>
    <row r="9">
      <c r="A9" s="4" t="inlineStr">
        <is>
          <t>HOTELS 2025 (U.S.)</t>
        </is>
      </c>
      <c r="B9" s="2" t="n"/>
      <c r="C9" s="2" t="n"/>
      <c r="D9" s="2" t="n"/>
      <c r="E9" s="2" t="n"/>
      <c r="F9" s="2" t="n"/>
      <c r="G9" s="2" t="n"/>
      <c r="H9" s="2" t="n"/>
      <c r="I9" s="2" t="n"/>
      <c r="J9" s="2" t="n"/>
    </row>
    <row r="10">
      <c r="A10" s="2" t="inlineStr">
        <is>
          <t>U.S. hotel room nights sold 2024 (mm)</t>
        </is>
      </c>
      <c r="B10" s="5" t="n">
        <v>1300</v>
      </c>
      <c r="C10" s="2" t="n"/>
      <c r="D10" s="2" t="n"/>
      <c r="E10" s="2" t="n"/>
      <c r="F10" s="2" t="n"/>
      <c r="G10" s="6" t="inlineStr">
        <is>
          <t>STR/CoStar via HospitalityNet — https://www.hospitalitynet.org/news/4127015.html</t>
        </is>
      </c>
      <c r="H10" s="2" t="n"/>
      <c r="I10" s="2" t="n"/>
      <c r="J10" s="2" t="n"/>
    </row>
    <row r="11">
      <c r="A11" s="2" t="inlineStr">
        <is>
          <t>Room-night growth 2025 (assumed)</t>
        </is>
      </c>
      <c r="B11" s="7" t="n">
        <v>0.01</v>
      </c>
      <c r="C11" s="2" t="n"/>
      <c r="D11" s="2" t="n"/>
      <c r="E11" s="2" t="n"/>
      <c r="F11" s="2" t="n"/>
      <c r="G11" s="6" t="inlineStr">
        <is>
          <t>Assumption; CoStar/TE 2026 forecast is +1.7%</t>
        </is>
      </c>
      <c r="H11" s="2" t="n"/>
      <c r="I11" s="2" t="n"/>
      <c r="J11" s="2" t="n"/>
    </row>
    <row r="12">
      <c r="A12" s="2" t="inlineStr">
        <is>
          <t>Business share of room nights</t>
        </is>
      </c>
      <c r="B12" s="7" t="n">
        <v>0.4204980842911877</v>
      </c>
      <c r="C12" s="2" t="n"/>
      <c r="D12" s="2" t="n"/>
      <c r="E12" s="2" t="n"/>
      <c r="F12" s="2" t="n"/>
      <c r="G12" s="6" t="inlineStr">
        <is>
          <t>AHLA 2024 State of the Industry: 439M business / 605M leisure (2023) — https://www.ahla.com/sites/default/files/SOTI.2024.Final_.Draft_.v4.pdf</t>
        </is>
      </c>
      <c r="H12" s="2" t="n"/>
      <c r="I12" s="2" t="n"/>
      <c r="J12" s="2" t="n"/>
    </row>
    <row r="13">
      <c r="A13" s="2" t="inlineStr">
        <is>
          <t>Corporate bookings single-occupancy share</t>
        </is>
      </c>
      <c r="B13" s="7" t="n">
        <v>0.795</v>
      </c>
      <c r="C13" s="2" t="n"/>
      <c r="D13" s="2" t="n"/>
      <c r="E13" s="2" t="n"/>
      <c r="F13" s="2" t="n"/>
      <c r="G13" s="6" t="inlineStr">
        <is>
          <t>Hotel Booking Demand dataset (Antonio et al. 2019), corporate segment, n=4,291 — https://www.sciencedirect.com/science/article/pii/S2352340918315191</t>
        </is>
      </c>
      <c r="H13" s="2" t="n"/>
      <c r="I13" s="2" t="n"/>
      <c r="J13" s="2" t="n"/>
    </row>
    <row r="14">
      <c r="A14" s="4" t="inlineStr">
        <is>
          <t>SHARE DYNAMICS</t>
        </is>
      </c>
      <c r="B14" s="2" t="n"/>
      <c r="C14" s="2" t="n"/>
      <c r="D14" s="2" t="n"/>
      <c r="E14" s="2" t="n"/>
      <c r="F14" s="2" t="n"/>
      <c r="G14" s="2" t="n"/>
      <c r="H14" s="2" t="n"/>
      <c r="I14" s="2" t="n"/>
      <c r="J14" s="2" t="n"/>
    </row>
    <row r="15">
      <c r="A15" s="2" t="inlineStr">
        <is>
          <t>Switch rate: Airbnb-hotel switching per % price gap</t>
        </is>
      </c>
      <c r="B15" s="10" t="n">
        <v>5</v>
      </c>
      <c r="C15" s="2" t="n"/>
      <c r="D15" s="2" t="n"/>
      <c r="E15" s="2" t="n"/>
      <c r="F15" s="2" t="n"/>
      <c r="G15" s="6" t="inlineStr">
        <is>
          <t>Central 5.0; grid 2.5–10.3. Anchor: F&amp;F (AER 2022) online Appendix Table E9 — Airbnb demand rises 3.76% when all hotel prices rise 1%; model reproduces that at beta 10.3 (= 3.76/(0.38×0.955)), discounted for tier-level, 10-city, city-night scope. 2.5 = bull floor (no evidential support as a central)</t>
        </is>
      </c>
      <c r="H15" s="2" t="n"/>
      <c r="I15" s="2" t="n"/>
      <c r="J15" s="2" t="n"/>
    </row>
    <row r="16">
      <c r="A16" s="2" t="inlineStr">
        <is>
          <t>Rest-of-world nights growth (placeholder, team input)</t>
        </is>
      </c>
      <c r="B16" s="7" t="n">
        <v>0.1</v>
      </c>
      <c r="C16" s="2" t="n"/>
      <c r="D16" s="2" t="n"/>
      <c r="E16" s="2" t="n"/>
      <c r="F16" s="2" t="n"/>
      <c r="G16" s="6" t="inlineStr">
        <is>
          <t>SUPERSEDED by the Global sheet: EMEA from the measured 4-country calibration, LatAm/APAC explicit fades from disclosed +18%/+15% (choice_nights_driver_global.py)</t>
        </is>
      </c>
      <c r="H16" s="2" t="n"/>
      <c r="I16" s="2" t="n"/>
      <c r="J16" s="2" t="n"/>
    </row>
    <row r="17">
      <c r="A17" s="2" t="n"/>
      <c r="B17" s="2" t="n"/>
      <c r="C17" s="2" t="n"/>
      <c r="D17" s="2" t="n"/>
      <c r="E17" s="2" t="n"/>
      <c r="F17" s="2" t="n"/>
      <c r="G17" s="2" t="n"/>
      <c r="H17" s="2" t="n"/>
      <c r="I17" s="2" t="n"/>
      <c r="J17" s="2" t="n"/>
    </row>
    <row r="18">
      <c r="A18" s="4" t="inlineStr">
        <is>
          <t>SEGMENT INPUTS (party size)</t>
        </is>
      </c>
      <c r="B18" s="2" t="n"/>
      <c r="C18" s="2" t="n"/>
      <c r="D18" s="2" t="n"/>
      <c r="E18" s="2" t="n"/>
      <c r="F18" s="2" t="n"/>
      <c r="G18" s="2" t="n"/>
      <c r="H18" s="2" t="n"/>
      <c r="I18" s="2" t="n"/>
      <c r="J18" s="2" t="n"/>
    </row>
    <row r="19" ht="42" customHeight="1">
      <c r="A19" s="11" t="inlineStr">
        <is>
          <t>Segment</t>
        </is>
      </c>
      <c r="B19" s="11" t="inlineStr">
        <is>
          <t>Airbnb booking share</t>
        </is>
      </c>
      <c r="C19" s="11" t="inlineStr">
        <is>
          <t>Airbnb relative stay length</t>
        </is>
      </c>
      <c r="D19" s="11" t="inlineStr">
        <is>
          <t>Hotel leisure party share</t>
        </is>
      </c>
      <c r="E19" s="11" t="inlineStr">
        <is>
          <t>Hotel leisure relative nights</t>
        </is>
      </c>
      <c r="F19" s="11" t="inlineStr">
        <is>
          <t>Hotel rooms per party</t>
        </is>
      </c>
      <c r="G19" s="11" t="inlineStr">
        <is>
          <t>Price ratio 2025 (Airbnb ÷ hotel)</t>
        </is>
      </c>
      <c r="H19" s="11" t="inlineStr">
        <is>
          <t>Mix drift / yr — Airbnb pool</t>
        </is>
      </c>
      <c r="I19" s="11" t="inlineStr">
        <is>
          <t>Mix drift / yr — hotel pool</t>
        </is>
      </c>
      <c r="J19" s="11" t="inlineStr">
        <is>
          <t>Product shift (logit pts/yr)</t>
        </is>
      </c>
    </row>
    <row r="20">
      <c r="A20" s="2" t="inlineStr">
        <is>
          <t>solo</t>
        </is>
      </c>
      <c r="B20" s="7" t="n">
        <v>0.16</v>
      </c>
      <c r="C20" s="8" t="n">
        <v>1.5</v>
      </c>
      <c r="D20" s="7" t="n">
        <v>0.2</v>
      </c>
      <c r="E20" s="8" t="n">
        <v>0.7</v>
      </c>
      <c r="F20" s="8" t="n">
        <v>1</v>
      </c>
      <c r="G20" s="8" t="n">
        <v>0.54</v>
      </c>
      <c r="H20" s="9" t="n">
        <v>-0.0063</v>
      </c>
      <c r="I20" s="10" t="n">
        <v>-0.0027</v>
      </c>
      <c r="J20" s="8" t="n">
        <v>0</v>
      </c>
    </row>
    <row r="21">
      <c r="A21" s="2" t="inlineStr">
        <is>
          <t>pair</t>
        </is>
      </c>
      <c r="B21" s="7" t="n">
        <v>0.358</v>
      </c>
      <c r="C21" s="8" t="n">
        <v>0.95</v>
      </c>
      <c r="D21" s="7" t="n">
        <v>0.54</v>
      </c>
      <c r="E21" s="8" t="n">
        <v>1</v>
      </c>
      <c r="F21" s="8" t="n">
        <v>1</v>
      </c>
      <c r="G21" s="8" t="n">
        <v>1.03</v>
      </c>
      <c r="H21" s="9" t="n">
        <v>0</v>
      </c>
      <c r="I21" s="10" t="n">
        <v>0</v>
      </c>
      <c r="J21" s="8" t="n">
        <v>0</v>
      </c>
    </row>
    <row r="22">
      <c r="A22" s="2" t="inlineStr">
        <is>
          <t>3-4</t>
        </is>
      </c>
      <c r="B22" s="7" t="n">
        <v>0.323</v>
      </c>
      <c r="C22" s="8" t="n">
        <v>0.9</v>
      </c>
      <c r="D22" s="7" t="n">
        <v>0.2</v>
      </c>
      <c r="E22" s="8" t="n">
        <v>1</v>
      </c>
      <c r="F22" s="8" t="n">
        <v>1.5</v>
      </c>
      <c r="G22" s="8" t="n">
        <v>0.6899999999999999</v>
      </c>
      <c r="H22" s="9" t="n">
        <v>0.0127</v>
      </c>
      <c r="I22" s="10" t="n">
        <v>0.0054</v>
      </c>
      <c r="J22" s="8" t="n">
        <v>0</v>
      </c>
    </row>
    <row r="23">
      <c r="A23" s="2" t="inlineStr">
        <is>
          <t>5+</t>
        </is>
      </c>
      <c r="B23" s="7" t="n">
        <v>0.159</v>
      </c>
      <c r="C23" s="8" t="n">
        <v>0.8</v>
      </c>
      <c r="D23" s="7" t="n">
        <v>0.06</v>
      </c>
      <c r="E23" s="8" t="n">
        <v>1</v>
      </c>
      <c r="F23" s="8" t="n">
        <v>2.5</v>
      </c>
      <c r="G23" s="8" t="n">
        <v>0.71</v>
      </c>
      <c r="H23" s="9" t="n">
        <v>0.0253</v>
      </c>
      <c r="I23" s="10" t="n">
        <v>0.0107</v>
      </c>
      <c r="J23" s="8" t="n">
        <v>0</v>
      </c>
    </row>
    <row r="24" ht="70" customHeight="1">
      <c r="A24" s="12" t="inlineStr">
        <is>
          <t>Sources: booking share = fitted party-size distribution (research/party_size_distribution.md; anchors: guest arrivals ÷ bookings 2.97, Airbnb '&gt;80% of bookings are group trips'). Relative stay length: solo = 24% of nights ÷ 16% of bookings (Airbnb 2022); others from Inside Airbnb booked-run lengths by capacity. Hotel leisure party share = mean of Hawaii DBEDT 2024 hotel-only (Table 43) and Las Vegas Visitor Profile 2024. Relative nights: Portuguese ledger (solo 2.5 vs 3.6). Rooms per party: 2 people/room, families with small kids 1.5. Price ratio: party_size_cost_crossover.csv - the Jun-2026 Inside Airbnb `price` is a stay quote that ALREADY includes the guest service fee and amortised cleaning, so no fee is added (corrected 7 Sep 2026; the earlier 0.69/1.22/0.80/0.79 counted the 14% fee twice) vs rooms × $158.67 ADR. Descriptive - no formula reads this column. Mix drift SPLIT 8 Sep 2026 into two vectors (was one applied to both pools). Airbnb pool implies mean party size +0.62%/yr, from the Inside Airbnb review-text proxy (74m reviews, 123 markets, 2018-25); hotel pool +0.26%/yr, from the Hawaii DBEDT ratio (rental 2.28-&gt;2.49 = +0.80%/yr vs hotel 2.22-&gt;2.30 = +0.34%/yr, 2013-24 - the only source observing both in one market). The old single vector implied +0.98%/yr for both and flattered the forecast.</t>
        </is>
      </c>
      <c r="B24" s="2" t="n"/>
      <c r="C24" s="2" t="n"/>
      <c r="D24" s="2" t="n"/>
      <c r="E24" s="2" t="n"/>
      <c r="F24" s="2" t="n"/>
      <c r="G24" s="2" t="n"/>
      <c r="H24" s="2" t="n"/>
      <c r="I24" s="2" t="n"/>
      <c r="J24" s="2" t="n"/>
    </row>
    <row r="25">
      <c r="A25" s="2" t="n"/>
      <c r="B25" s="2" t="n"/>
      <c r="C25" s="2" t="n"/>
      <c r="D25" s="2" t="n"/>
      <c r="E25" s="2" t="n"/>
      <c r="F25" s="2" t="n"/>
      <c r="G25" s="2" t="n"/>
      <c r="H25" s="2" t="n"/>
      <c r="I25" s="2" t="n"/>
      <c r="J25" s="2" t="n"/>
    </row>
    <row r="26">
      <c r="A26" s="4" t="inlineStr">
        <is>
          <t>YEAR PATHS</t>
        </is>
      </c>
      <c r="B26" s="2" t="n"/>
      <c r="C26" s="2" t="n"/>
      <c r="D26" s="2" t="n"/>
      <c r="E26" s="2" t="n"/>
      <c r="F26" s="2" t="n"/>
      <c r="G26" s="2" t="n"/>
      <c r="H26" s="2" t="n"/>
      <c r="I26" s="2" t="n"/>
      <c r="J26" s="2" t="n"/>
    </row>
    <row r="27">
      <c r="A27" s="13" t="inlineStr">
        <is>
          <t>Year</t>
        </is>
      </c>
      <c r="B27" s="13" t="inlineStr">
        <is>
          <t>2025</t>
        </is>
      </c>
      <c r="C27" s="13" t="inlineStr">
        <is>
          <t>2026</t>
        </is>
      </c>
      <c r="D27" s="13" t="inlineStr">
        <is>
          <t>2027</t>
        </is>
      </c>
      <c r="E27" s="13" t="inlineStr">
        <is>
          <t>2028</t>
        </is>
      </c>
      <c r="F27" s="13" t="inlineStr">
        <is>
          <t>2029</t>
        </is>
      </c>
      <c r="G27" s="13" t="inlineStr">
        <is>
          <t>2030</t>
        </is>
      </c>
      <c r="H27" s="2" t="n"/>
      <c r="I27" s="2" t="n"/>
      <c r="J27" s="2" t="n"/>
    </row>
    <row r="28">
      <c r="A28" s="2" t="inlineStr">
        <is>
          <t>U.S. lodging demand growth (hotel-contestable pool)</t>
        </is>
      </c>
      <c r="B28" s="2" t="inlineStr">
        <is>
          <t>—</t>
        </is>
      </c>
      <c r="C28" s="7" t="n">
        <v>0.017</v>
      </c>
      <c r="D28" s="7" t="n">
        <v>0.011</v>
      </c>
      <c r="E28" s="7" t="n">
        <v>0.015</v>
      </c>
      <c r="F28" s="7" t="n">
        <v>0.015</v>
      </c>
      <c r="G28" s="7" t="n">
        <v>0.015</v>
      </c>
      <c r="H28" s="6" t="inlineStr">
        <is>
          <t>CoStar/Tourism Economics Aug-2026: demand +1.7% 2026, +1.1% 2027 — https://www.hospitalitynet.org/news/4133888/us-hotel-forecast-assumptions-august-2026.html; 1.5% after = assumption</t>
        </is>
      </c>
      <c r="I28" s="2" t="n"/>
      <c r="J28" s="2" t="n"/>
    </row>
    <row r="29">
      <c r="A29" s="2" t="inlineStr">
        <is>
          <t>Hotel ADR growth</t>
        </is>
      </c>
      <c r="B29" s="2" t="inlineStr">
        <is>
          <t>—</t>
        </is>
      </c>
      <c r="C29" s="7" t="n">
        <v>0.031</v>
      </c>
      <c r="D29" s="7" t="n">
        <v>0.016</v>
      </c>
      <c r="E29" s="7" t="n">
        <v>0.025</v>
      </c>
      <c r="F29" s="7" t="n">
        <v>0.025</v>
      </c>
      <c r="G29" s="7" t="n">
        <v>0.025</v>
      </c>
      <c r="H29" s="6" t="inlineStr">
        <is>
          <t>CoStar/TE: ADR +3.1% 2026, +1.6% 2027 (+2.1% ex World Cup); 2.5% after = assumption</t>
        </is>
      </c>
      <c r="I29" s="2" t="n"/>
      <c r="J29" s="2" t="n"/>
    </row>
    <row r="30">
      <c r="A30" s="14" t="inlineStr">
        <is>
          <t>Airbnb ADR growth (link to the team's ADR line)</t>
        </is>
      </c>
      <c r="B30" s="2" t="inlineStr">
        <is>
          <t>—</t>
        </is>
      </c>
      <c r="C30" s="7" t="n">
        <v>0.035</v>
      </c>
      <c r="D30" s="7" t="n">
        <v>0.025</v>
      </c>
      <c r="E30" s="7" t="n">
        <v>0.025</v>
      </c>
      <c r="F30" s="7" t="n">
        <v>0.025</v>
      </c>
      <c r="G30" s="7" t="n">
        <v>0.025</v>
      </c>
      <c r="H30" s="6" t="inlineStr">
        <is>
          <t>WIRED to model/assumptions.md WS13 base, ex-FX: 2H26 +3.0% (FY26 blends ~+3.5%), FY27/28 +2.5%, held after. Ex-FX is the right basis for the US share equation. Bear +2.0% / bull +4.0% 2H26</t>
        </is>
      </c>
      <c r="I30" s="2" t="n"/>
      <c r="J30" s="2" t="n"/>
    </row>
    <row r="31">
      <c r="A31" s="14" t="inlineStr">
        <is>
          <t>Stay length, nights per booking (NA)</t>
        </is>
      </c>
      <c r="B31" s="8" t="n">
        <v>4.1</v>
      </c>
      <c r="C31" s="8" t="n">
        <v>4.1</v>
      </c>
      <c r="D31" s="8" t="n">
        <v>4.1</v>
      </c>
      <c r="E31" s="8" t="n">
        <v>4.1</v>
      </c>
      <c r="F31" s="8" t="n">
        <v>4.1</v>
      </c>
      <c r="G31" s="8" t="n">
        <v>4.1</v>
      </c>
      <c r="H31" s="6" t="inlineStr">
        <is>
          <t>EXPLICIT LEVER added 8 Sep 2026. FY20-25 10-Ks: NA 4.4/4.3/4.2/4.1/4.1/4.1 - FLAT since 2023, so the U.S. base carries no drag. Global fell 4.1-&gt;3.7 (-2.0%/yr, ~58mm nights forgone in 2025) but that is EMEA (4.4-&gt;3.8) and LatAm (4.4-&gt;3.6); APAC rose 2.8-&gt;3.3. Bear = the EMEA pattern reaches NA (-2%/yr -&gt; 2030 nights 154.8mm, CAGR +1.3%); bull = +1%/yr (179.8mm, +4.4%). Caveat: the 2020-22 plateau was COVID long-stay inflation, so part of the global fall is self-limiting normalisation</t>
        </is>
      </c>
      <c r="I31" s="2" t="n"/>
      <c r="J31" s="2" t="n"/>
    </row>
    <row r="32">
      <c r="A32" s="2" t="inlineStr">
        <is>
          <t>Own-category nights growth (category adoption)</t>
        </is>
      </c>
      <c r="B32" s="2" t="inlineStr">
        <is>
          <t>—</t>
        </is>
      </c>
      <c r="C32" s="7" t="n">
        <v>0.04</v>
      </c>
      <c r="D32" s="7" t="n">
        <v>0.04</v>
      </c>
      <c r="E32" s="7" t="n">
        <v>0.035</v>
      </c>
      <c r="F32" s="7" t="n">
        <v>0.035</v>
      </c>
      <c r="G32" s="7" t="n">
        <v>0.03</v>
      </c>
      <c r="H32" s="6" t="inlineStr">
        <is>
          <t>GROUNDED: inverting the model on disclosed NA nights (146/154/158mm FY23-25) implies own-category growth 7.9% (2024) -&gt; 4.5% (2025); 4% entry = observed 2025 exit rate, fade extends the observed deceleration. category_adoption_evidence.csv</t>
        </is>
      </c>
      <c r="I32" s="2" t="n"/>
      <c r="J32" s="2" t="n"/>
    </row>
  </sheetData>
  <mergeCells count="1">
    <mergeCell ref="A24:J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2025 calibration (U.S.) — party-nights, millions</t>
        </is>
      </c>
      <c r="B1" s="2" t="n"/>
      <c r="C1" s="2" t="n"/>
      <c r="D1" s="2" t="n"/>
      <c r="E1" s="2" t="n"/>
      <c r="F1" s="2" t="n"/>
      <c r="G1" s="2" t="n"/>
      <c r="H1" s="2" t="n"/>
    </row>
    <row r="2">
      <c r="A2" s="2" t="n"/>
      <c r="B2" s="2" t="n"/>
      <c r="C2" s="2" t="n"/>
      <c r="D2" s="2" t="n"/>
      <c r="E2" s="2" t="n"/>
      <c r="F2" s="2" t="n"/>
      <c r="G2" s="2" t="n"/>
      <c r="H2" s="2" t="n"/>
    </row>
    <row r="3" ht="32" customHeight="1">
      <c r="A3" s="11" t="inlineStr">
        <is>
          <t>Segment</t>
        </is>
      </c>
      <c r="B3" s="11" t="inlineStr">
        <is>
          <t>Airbnb nights</t>
        </is>
      </c>
      <c r="C3" s="11" t="inlineStr">
        <is>
          <t>Own-category Airbnb</t>
        </is>
      </c>
      <c r="D3" s="11" t="inlineStr">
        <is>
          <t>Contestable Airbnb</t>
        </is>
      </c>
      <c r="E3" s="11" t="inlineStr">
        <is>
          <t>Hotel party-nights</t>
        </is>
      </c>
      <c r="F3" s="11" t="inlineStr">
        <is>
          <t>Contestable pool</t>
        </is>
      </c>
      <c r="G3" s="11" t="inlineStr">
        <is>
          <t>P(Airbnb | pool)</t>
        </is>
      </c>
      <c r="H3" s="11" t="inlineStr">
        <is>
          <t>Airbnb share of all lodging</t>
        </is>
      </c>
    </row>
    <row r="4">
      <c r="A4" s="2" t="inlineStr">
        <is>
          <t>solo</t>
        </is>
      </c>
      <c r="B4" s="15">
        <f>(Inputs!$B$5*Inputs!$B$6)*Inputs!$B$20*Inputs!$C$20/(Inputs!$B$20*Inputs!$C$20+Inputs!$B$21*Inputs!$C$21+Inputs!$B$22*Inputs!$C$22+Inputs!$B$23*Inputs!$C$23)</f>
        <v/>
      </c>
      <c r="C4" s="15">
        <f>B4*(1-Inputs!$B$8)</f>
        <v/>
      </c>
      <c r="D4" s="15">
        <f>B4-C4</f>
        <v/>
      </c>
      <c r="E4" s="15">
        <f>((Inputs!$B$10*(1+Inputs!$B$11))*(1-Inputs!$B$12))/(Inputs!$D$20*Inputs!$E$20*Inputs!$F$20+Inputs!$D$21*Inputs!$E$21*Inputs!$F$21+Inputs!$D$22*Inputs!$E$22*Inputs!$F$22+Inputs!$D$23*Inputs!$E$23*Inputs!$F$23)*Inputs!$D$20*Inputs!$E$20+((Inputs!$B$10*(1+Inputs!$B$11))*Inputs!$B$12)*Inputs!$B$13</f>
        <v/>
      </c>
      <c r="F4" s="15">
        <f>D4+E4</f>
        <v/>
      </c>
      <c r="G4" s="16">
        <f>D4/F4</f>
        <v/>
      </c>
      <c r="H4" s="16">
        <f>B4/(B4+E4)</f>
        <v/>
      </c>
    </row>
    <row r="5">
      <c r="A5" s="2" t="inlineStr">
        <is>
          <t>pair</t>
        </is>
      </c>
      <c r="B5" s="15">
        <f>(Inputs!$B$5*Inputs!$B$6)*Inputs!$B$21*Inputs!$C$21/(Inputs!$B$20*Inputs!$C$20+Inputs!$B$21*Inputs!$C$21+Inputs!$B$22*Inputs!$C$22+Inputs!$B$23*Inputs!$C$23)</f>
        <v/>
      </c>
      <c r="C5" s="15">
        <f>B5*(1-Inputs!$B$8)</f>
        <v/>
      </c>
      <c r="D5" s="15">
        <f>B5-C5</f>
        <v/>
      </c>
      <c r="E5" s="15">
        <f>((Inputs!$B$10*(1+Inputs!$B$11))*(1-Inputs!$B$12))/(Inputs!$D$20*Inputs!$E$20*Inputs!$F$20+Inputs!$D$21*Inputs!$E$21*Inputs!$F$21+Inputs!$D$22*Inputs!$E$22*Inputs!$F$22+Inputs!$D$23*Inputs!$E$23*Inputs!$F$23)*Inputs!$D$21*Inputs!$E$21+((Inputs!$B$10*(1+Inputs!$B$11))*Inputs!$B$12)*(1-Inputs!$B$13)</f>
        <v/>
      </c>
      <c r="F5" s="15">
        <f>D5+E5</f>
        <v/>
      </c>
      <c r="G5" s="16">
        <f>D5/F5</f>
        <v/>
      </c>
      <c r="H5" s="16">
        <f>B5/(B5+E5)</f>
        <v/>
      </c>
    </row>
    <row r="6">
      <c r="A6" s="2" t="inlineStr">
        <is>
          <t>3-4</t>
        </is>
      </c>
      <c r="B6" s="15">
        <f>(Inputs!$B$5*Inputs!$B$6)*Inputs!$B$22*Inputs!$C$22/(Inputs!$B$20*Inputs!$C$20+Inputs!$B$21*Inputs!$C$21+Inputs!$B$22*Inputs!$C$22+Inputs!$B$23*Inputs!$C$23)</f>
        <v/>
      </c>
      <c r="C6" s="15">
        <f>B6*(1-Inputs!$B$8)</f>
        <v/>
      </c>
      <c r="D6" s="15">
        <f>B6-C6</f>
        <v/>
      </c>
      <c r="E6" s="15">
        <f>((Inputs!$B$10*(1+Inputs!$B$11))*(1-Inputs!$B$12))/(Inputs!$D$20*Inputs!$E$20*Inputs!$F$20+Inputs!$D$21*Inputs!$E$21*Inputs!$F$21+Inputs!$D$22*Inputs!$E$22*Inputs!$F$22+Inputs!$D$23*Inputs!$E$23*Inputs!$F$23)*Inputs!$D$22*Inputs!$E$22</f>
        <v/>
      </c>
      <c r="F6" s="15">
        <f>D6+E6</f>
        <v/>
      </c>
      <c r="G6" s="16">
        <f>D6/F6</f>
        <v/>
      </c>
      <c r="H6" s="16">
        <f>B6/(B6+E6)</f>
        <v/>
      </c>
    </row>
    <row r="7">
      <c r="A7" s="2" t="inlineStr">
        <is>
          <t>5+</t>
        </is>
      </c>
      <c r="B7" s="15">
        <f>(Inputs!$B$5*Inputs!$B$6)*Inputs!$B$23*Inputs!$C$23/(Inputs!$B$20*Inputs!$C$20+Inputs!$B$21*Inputs!$C$21+Inputs!$B$22*Inputs!$C$22+Inputs!$B$23*Inputs!$C$23)</f>
        <v/>
      </c>
      <c r="C7" s="15">
        <f>B7*(1-Inputs!$B$8)</f>
        <v/>
      </c>
      <c r="D7" s="15">
        <f>B7-C7</f>
        <v/>
      </c>
      <c r="E7" s="15">
        <f>((Inputs!$B$10*(1+Inputs!$B$11))*(1-Inputs!$B$12))/(Inputs!$D$20*Inputs!$E$20*Inputs!$F$20+Inputs!$D$21*Inputs!$E$21*Inputs!$F$21+Inputs!$D$22*Inputs!$E$22*Inputs!$F$22+Inputs!$D$23*Inputs!$E$23*Inputs!$F$23)*Inputs!$D$23*Inputs!$E$23</f>
        <v/>
      </c>
      <c r="F7" s="15">
        <f>D7+E7</f>
        <v/>
      </c>
      <c r="G7" s="16">
        <f>D7/F7</f>
        <v/>
      </c>
      <c r="H7" s="16">
        <f>B7/(B7+E7)</f>
        <v/>
      </c>
    </row>
    <row r="8">
      <c r="A8" s="13" t="inlineStr">
        <is>
          <t>TOTAL</t>
        </is>
      </c>
      <c r="B8" s="17">
        <f>SUM(B4:B7)</f>
        <v/>
      </c>
      <c r="C8" s="17">
        <f>SUM(C4:C7)</f>
        <v/>
      </c>
      <c r="D8" s="17">
        <f>SUM(D4:D7)</f>
        <v/>
      </c>
      <c r="E8" s="17">
        <f>SUM(E4:E7)</f>
        <v/>
      </c>
      <c r="F8" s="17">
        <f>SUM(F4:F7)</f>
        <v/>
      </c>
      <c r="G8" s="18">
        <f>D8/F8</f>
        <v/>
      </c>
      <c r="H8" s="18">
        <f>B8/(B8+E8)</f>
        <v/>
      </c>
    </row>
    <row r="9">
      <c r="A9" s="2" t="n"/>
      <c r="B9" s="2" t="n"/>
      <c r="C9" s="2" t="n"/>
      <c r="D9" s="2" t="n"/>
      <c r="E9" s="2" t="n"/>
      <c r="F9" s="2" t="n"/>
      <c r="G9" s="2" t="n"/>
      <c r="H9" s="2" t="n"/>
    </row>
    <row r="10">
      <c r="A10" s="2" t="inlineStr">
        <is>
          <t>Check: Airbnb U.S. nights = NA nights × U.S. share</t>
        </is>
      </c>
      <c r="B10" s="15">
        <f>(Inputs!$B$5*Inputs!$B$6)</f>
        <v/>
      </c>
      <c r="C10" s="2" t="n"/>
      <c r="D10" s="2" t="n"/>
      <c r="E10" s="2" t="n"/>
      <c r="F10" s="2" t="n"/>
      <c r="G10" s="2" t="n"/>
      <c r="H10" s="2" t="n"/>
    </row>
    <row r="11">
      <c r="A11" s="2" t="inlineStr">
        <is>
          <t>Check: hotel room nights 2025 (mm)</t>
        </is>
      </c>
      <c r="B11" s="15">
        <f>(Inputs!$B$10*(1+Inputs!$B$11))</f>
        <v/>
      </c>
      <c r="C11" s="2" t="n"/>
      <c r="D11" s="2" t="n"/>
      <c r="E11" s="2" t="n"/>
      <c r="F11" s="2" t="n"/>
      <c r="G11" s="2" t="n"/>
      <c r="H11" s="2" t="n"/>
    </row>
    <row r="12" ht="40" customHeight="1">
      <c r="A12" s="19" t="inlineStr">
        <is>
          <t>Hotel party-nights &lt; room nights because parties of 3+ take 1.5–2.5 rooms. Business room nights are split solo/pair by the corporate single-occupancy share; leisure room nights are converted to parties with the leisure party mix, relative nights and rooms per party.</t>
        </is>
      </c>
      <c r="B12" s="2" t="n"/>
      <c r="C12" s="2" t="n"/>
      <c r="D12" s="2" t="n"/>
      <c r="E12" s="2" t="n"/>
      <c r="F12" s="2" t="n"/>
      <c r="G12" s="2" t="n"/>
      <c r="H12" s="2" t="n"/>
    </row>
  </sheetData>
  <mergeCells count="1">
    <mergeCell ref="A12:H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Projection — U.S. Airbnb nights from choice probabilities (millions)</t>
        </is>
      </c>
      <c r="B1" s="2" t="n"/>
      <c r="C1" s="2" t="n"/>
      <c r="D1" s="2" t="n"/>
      <c r="E1" s="2" t="n"/>
      <c r="F1" s="2" t="n"/>
      <c r="G1" s="2" t="n"/>
      <c r="H1" s="2" t="n"/>
    </row>
    <row r="2">
      <c r="A2" s="3" t="inlineStr">
        <is>
          <t>Nights = Σ segments [ own-category nights + contestable pool × P(Airbnb) ].  logit P(t) = logit P(t−1) − β·[ln(1+Airbnb ADR g) − ln(1+hotel ADR g)] + product shift.</t>
        </is>
      </c>
      <c r="B2" s="2" t="n"/>
      <c r="C2" s="2" t="n"/>
      <c r="D2" s="2" t="n"/>
      <c r="E2" s="2" t="n"/>
      <c r="F2" s="2" t="n"/>
      <c r="G2" s="2" t="n"/>
      <c r="H2" s="2" t="n"/>
    </row>
    <row r="3">
      <c r="A3" s="13" t="inlineStr">
        <is>
          <t>YEAR</t>
        </is>
      </c>
      <c r="B3" s="13" t="inlineStr">
        <is>
          <t>2025</t>
        </is>
      </c>
      <c r="C3" s="13" t="inlineStr">
        <is>
          <t>2026</t>
        </is>
      </c>
      <c r="D3" s="13" t="inlineStr">
        <is>
          <t>2027</t>
        </is>
      </c>
      <c r="E3" s="13" t="inlineStr">
        <is>
          <t>2028</t>
        </is>
      </c>
      <c r="F3" s="13" t="inlineStr">
        <is>
          <t>2029</t>
        </is>
      </c>
      <c r="G3" s="13" t="inlineStr">
        <is>
          <t>2030</t>
        </is>
      </c>
      <c r="H3" s="2" t="n"/>
    </row>
    <row r="4">
      <c r="A4" s="13" t="inlineStr">
        <is>
          <t>Relative price change: ln(1+Airbnb ADR g) − ln(1+hotel ADR g)</t>
        </is>
      </c>
      <c r="B4" s="2" t="n"/>
      <c r="C4" s="20">
        <f>LN(1+Inputs!C30)-LN(1+Inputs!C29)</f>
        <v/>
      </c>
      <c r="D4" s="20">
        <f>LN(1+Inputs!D30)-LN(1+Inputs!D29)</f>
        <v/>
      </c>
      <c r="E4" s="20">
        <f>LN(1+Inputs!E30)-LN(1+Inputs!E29)</f>
        <v/>
      </c>
      <c r="F4" s="20">
        <f>LN(1+Inputs!F30)-LN(1+Inputs!F29)</f>
        <v/>
      </c>
      <c r="G4" s="20">
        <f>LN(1+Inputs!G30)-LN(1+Inputs!G29)</f>
        <v/>
      </c>
      <c r="H4" s="2" t="n"/>
    </row>
    <row r="5">
      <c r="A5" s="2" t="n"/>
      <c r="B5" s="2" t="n"/>
      <c r="C5" s="2" t="n"/>
      <c r="D5" s="2" t="n"/>
      <c r="E5" s="2" t="n"/>
      <c r="F5" s="2" t="n"/>
      <c r="G5" s="2" t="n"/>
      <c r="H5" s="2" t="n"/>
    </row>
    <row r="6">
      <c r="A6" s="4" t="inlineStr">
        <is>
          <t>Segment: solo</t>
        </is>
      </c>
      <c r="B6" s="2" t="n"/>
      <c r="C6" s="2" t="n"/>
      <c r="D6" s="2" t="n"/>
      <c r="E6" s="2" t="n"/>
      <c r="F6" s="2" t="n"/>
      <c r="G6" s="2" t="n"/>
      <c r="H6" s="2" t="n"/>
    </row>
    <row r="7">
      <c r="A7" s="2" t="inlineStr">
        <is>
          <t>Contestable pool M (hotel + contestable Airbnb)</t>
        </is>
      </c>
      <c r="B7" s="21">
        <f>Calibration_2025!F4</f>
        <v/>
      </c>
      <c r="C7" s="15">
        <f>B7*(1+Inputs!C28)*(1+Inputs!$H$20)</f>
        <v/>
      </c>
      <c r="D7" s="15">
        <f>C7*(1+Inputs!D28)*(1+Inputs!$H$20)</f>
        <v/>
      </c>
      <c r="E7" s="15">
        <f>D7*(1+Inputs!E28)*(1+Inputs!$H$20)</f>
        <v/>
      </c>
      <c r="F7" s="15">
        <f>E7*(1+Inputs!F28)*(1+Inputs!$H$20)</f>
        <v/>
      </c>
      <c r="G7" s="15">
        <f>F7*(1+Inputs!G28)*(1+Inputs!$H$20)</f>
        <v/>
      </c>
      <c r="H7" s="2" t="n"/>
    </row>
    <row r="8">
      <c r="A8" s="2" t="inlineStr">
        <is>
          <t>Own-category Airbnb nights N</t>
        </is>
      </c>
      <c r="B8" s="21">
        <f>Calibration_2025!C4</f>
        <v/>
      </c>
      <c r="C8" s="15">
        <f>B8*(1+Inputs!$H$20)*(1+Inputs!C32)</f>
        <v/>
      </c>
      <c r="D8" s="15">
        <f>C8*(1+Inputs!$H$20)*(1+Inputs!D32)</f>
        <v/>
      </c>
      <c r="E8" s="15">
        <f>D8*(1+Inputs!$H$20)*(1+Inputs!E32)</f>
        <v/>
      </c>
      <c r="F8" s="15">
        <f>E8*(1+Inputs!$H$20)*(1+Inputs!F32)</f>
        <v/>
      </c>
      <c r="G8" s="15">
        <f>F8*(1+Inputs!$H$20)*(1+Inputs!G32)</f>
        <v/>
      </c>
      <c r="H8" s="2" t="n"/>
    </row>
    <row r="9">
      <c r="A9" s="2" t="inlineStr">
        <is>
          <t>P(Airbnb | contestable pool)</t>
        </is>
      </c>
      <c r="B9" s="22">
        <f>Calibration_2025!G4</f>
        <v/>
      </c>
      <c r="C9" s="16">
        <f>1/(1+EXP(-(LN(B9/(1-B9))-Inputs!$B$15*C$4+Inputs!$I$20)))</f>
        <v/>
      </c>
      <c r="D9" s="16">
        <f>1/(1+EXP(-(LN(C9/(1-C9))-Inputs!$B$15*D$4+Inputs!$I$20)))</f>
        <v/>
      </c>
      <c r="E9" s="16">
        <f>1/(1+EXP(-(LN(D9/(1-D9))-Inputs!$B$15*E$4+Inputs!$I$20)))</f>
        <v/>
      </c>
      <c r="F9" s="16">
        <f>1/(1+EXP(-(LN(E9/(1-E9))-Inputs!$B$15*F$4+Inputs!$I$20)))</f>
        <v/>
      </c>
      <c r="G9" s="16">
        <f>1/(1+EXP(-(LN(F9/(1-F9))-Inputs!$B$15*G$4+Inputs!$I$20)))</f>
        <v/>
      </c>
      <c r="H9" s="2" t="n"/>
    </row>
    <row r="10">
      <c r="A10" s="13" t="inlineStr">
        <is>
          <t>Airbnb nights — solo</t>
        </is>
      </c>
      <c r="B10" s="17">
        <f>B8+B7*B9</f>
        <v/>
      </c>
      <c r="C10" s="17">
        <f>C8+C7*C9</f>
        <v/>
      </c>
      <c r="D10" s="17">
        <f>D8+D7*D9</f>
        <v/>
      </c>
      <c r="E10" s="17">
        <f>E8+E7*E9</f>
        <v/>
      </c>
      <c r="F10" s="17">
        <f>F8+F7*F9</f>
        <v/>
      </c>
      <c r="G10" s="17">
        <f>G8+G7*G9</f>
        <v/>
      </c>
      <c r="H10" s="2" t="n"/>
    </row>
    <row r="11">
      <c r="A11" s="2" t="n"/>
      <c r="B11" s="2" t="n"/>
      <c r="C11" s="2" t="n"/>
      <c r="D11" s="2" t="n"/>
      <c r="E11" s="2" t="n"/>
      <c r="F11" s="2" t="n"/>
      <c r="G11" s="2" t="n"/>
      <c r="H11" s="2" t="n"/>
    </row>
    <row r="12">
      <c r="A12" s="4" t="inlineStr">
        <is>
          <t>Segment: pair</t>
        </is>
      </c>
      <c r="B12" s="2" t="n"/>
      <c r="C12" s="2" t="n"/>
      <c r="D12" s="2" t="n"/>
      <c r="E12" s="2" t="n"/>
      <c r="F12" s="2" t="n"/>
      <c r="G12" s="2" t="n"/>
      <c r="H12" s="2" t="n"/>
    </row>
    <row r="13">
      <c r="A13" s="2" t="inlineStr">
        <is>
          <t>Contestable pool M (hotel + contestable Airbnb)</t>
        </is>
      </c>
      <c r="B13" s="21">
        <f>Calibration_2025!F5</f>
        <v/>
      </c>
      <c r="C13" s="15">
        <f>B13*(1+Inputs!C28)*(1+Inputs!$H$21)</f>
        <v/>
      </c>
      <c r="D13" s="15">
        <f>C13*(1+Inputs!D28)*(1+Inputs!$H$21)</f>
        <v/>
      </c>
      <c r="E13" s="15">
        <f>D13*(1+Inputs!E28)*(1+Inputs!$H$21)</f>
        <v/>
      </c>
      <c r="F13" s="15">
        <f>E13*(1+Inputs!F28)*(1+Inputs!$H$21)</f>
        <v/>
      </c>
      <c r="G13" s="15">
        <f>F13*(1+Inputs!G28)*(1+Inputs!$H$21)</f>
        <v/>
      </c>
      <c r="H13" s="2" t="n"/>
    </row>
    <row r="14">
      <c r="A14" s="2" t="inlineStr">
        <is>
          <t>Own-category Airbnb nights N</t>
        </is>
      </c>
      <c r="B14" s="21">
        <f>Calibration_2025!C5</f>
        <v/>
      </c>
      <c r="C14" s="15">
        <f>B14*(1+Inputs!$H$21)*(1+Inputs!C32)</f>
        <v/>
      </c>
      <c r="D14" s="15">
        <f>C14*(1+Inputs!$H$21)*(1+Inputs!D32)</f>
        <v/>
      </c>
      <c r="E14" s="15">
        <f>D14*(1+Inputs!$H$21)*(1+Inputs!E32)</f>
        <v/>
      </c>
      <c r="F14" s="15">
        <f>E14*(1+Inputs!$H$21)*(1+Inputs!F32)</f>
        <v/>
      </c>
      <c r="G14" s="15">
        <f>F14*(1+Inputs!$H$21)*(1+Inputs!G32)</f>
        <v/>
      </c>
      <c r="H14" s="2" t="n"/>
    </row>
    <row r="15">
      <c r="A15" s="2" t="inlineStr">
        <is>
          <t>P(Airbnb | contestable pool)</t>
        </is>
      </c>
      <c r="B15" s="22">
        <f>Calibration_2025!G5</f>
        <v/>
      </c>
      <c r="C15" s="16">
        <f>1/(1+EXP(-(LN(B15/(1-B15))-Inputs!$B$15*C$4+Inputs!$I$21)))</f>
        <v/>
      </c>
      <c r="D15" s="16">
        <f>1/(1+EXP(-(LN(C15/(1-C15))-Inputs!$B$15*D$4+Inputs!$I$21)))</f>
        <v/>
      </c>
      <c r="E15" s="16">
        <f>1/(1+EXP(-(LN(D15/(1-D15))-Inputs!$B$15*E$4+Inputs!$I$21)))</f>
        <v/>
      </c>
      <c r="F15" s="16">
        <f>1/(1+EXP(-(LN(E15/(1-E15))-Inputs!$B$15*F$4+Inputs!$I$21)))</f>
        <v/>
      </c>
      <c r="G15" s="16">
        <f>1/(1+EXP(-(LN(F15/(1-F15))-Inputs!$B$15*G$4+Inputs!$I$21)))</f>
        <v/>
      </c>
      <c r="H15" s="2" t="n"/>
    </row>
    <row r="16">
      <c r="A16" s="13" t="inlineStr">
        <is>
          <t>Airbnb nights — pair</t>
        </is>
      </c>
      <c r="B16" s="17">
        <f>B14+B13*B15</f>
        <v/>
      </c>
      <c r="C16" s="17">
        <f>C14+C13*C15</f>
        <v/>
      </c>
      <c r="D16" s="17">
        <f>D14+D13*D15</f>
        <v/>
      </c>
      <c r="E16" s="17">
        <f>E14+E13*E15</f>
        <v/>
      </c>
      <c r="F16" s="17">
        <f>F14+F13*F15</f>
        <v/>
      </c>
      <c r="G16" s="17">
        <f>G14+G13*G15</f>
        <v/>
      </c>
      <c r="H16" s="2" t="n"/>
    </row>
    <row r="17">
      <c r="A17" s="2" t="n"/>
      <c r="B17" s="2" t="n"/>
      <c r="C17" s="2" t="n"/>
      <c r="D17" s="2" t="n"/>
      <c r="E17" s="2" t="n"/>
      <c r="F17" s="2" t="n"/>
      <c r="G17" s="2" t="n"/>
      <c r="H17" s="2" t="n"/>
    </row>
    <row r="18">
      <c r="A18" s="4" t="inlineStr">
        <is>
          <t>Segment: 3-4</t>
        </is>
      </c>
      <c r="B18" s="2" t="n"/>
      <c r="C18" s="2" t="n"/>
      <c r="D18" s="2" t="n"/>
      <c r="E18" s="2" t="n"/>
      <c r="F18" s="2" t="n"/>
      <c r="G18" s="2" t="n"/>
      <c r="H18" s="2" t="n"/>
    </row>
    <row r="19">
      <c r="A19" s="2" t="inlineStr">
        <is>
          <t>Contestable pool M (hotel + contestable Airbnb)</t>
        </is>
      </c>
      <c r="B19" s="21">
        <f>Calibration_2025!F6</f>
        <v/>
      </c>
      <c r="C19" s="15">
        <f>B19*(1+Inputs!C28)*(1+Inputs!$H$22)</f>
        <v/>
      </c>
      <c r="D19" s="15">
        <f>C19*(1+Inputs!D28)*(1+Inputs!$H$22)</f>
        <v/>
      </c>
      <c r="E19" s="15">
        <f>D19*(1+Inputs!E28)*(1+Inputs!$H$22)</f>
        <v/>
      </c>
      <c r="F19" s="15">
        <f>E19*(1+Inputs!F28)*(1+Inputs!$H$22)</f>
        <v/>
      </c>
      <c r="G19" s="15">
        <f>F19*(1+Inputs!G28)*(1+Inputs!$H$22)</f>
        <v/>
      </c>
      <c r="H19" s="2" t="n"/>
    </row>
    <row r="20">
      <c r="A20" s="2" t="inlineStr">
        <is>
          <t>Own-category Airbnb nights N</t>
        </is>
      </c>
      <c r="B20" s="21">
        <f>Calibration_2025!C6</f>
        <v/>
      </c>
      <c r="C20" s="15">
        <f>B20*(1+Inputs!$H$22)*(1+Inputs!C32)</f>
        <v/>
      </c>
      <c r="D20" s="15">
        <f>C20*(1+Inputs!$H$22)*(1+Inputs!D32)</f>
        <v/>
      </c>
      <c r="E20" s="15">
        <f>D20*(1+Inputs!$H$22)*(1+Inputs!E32)</f>
        <v/>
      </c>
      <c r="F20" s="15">
        <f>E20*(1+Inputs!$H$22)*(1+Inputs!F32)</f>
        <v/>
      </c>
      <c r="G20" s="15">
        <f>F20*(1+Inputs!$H$22)*(1+Inputs!G32)</f>
        <v/>
      </c>
      <c r="H20" s="2" t="n"/>
    </row>
    <row r="21">
      <c r="A21" s="2" t="inlineStr">
        <is>
          <t>P(Airbnb | contestable pool)</t>
        </is>
      </c>
      <c r="B21" s="22">
        <f>Calibration_2025!G6</f>
        <v/>
      </c>
      <c r="C21" s="16">
        <f>1/(1+EXP(-(LN(B21/(1-B21))-Inputs!$B$15*C$4+Inputs!$I$22)))</f>
        <v/>
      </c>
      <c r="D21" s="16">
        <f>1/(1+EXP(-(LN(C21/(1-C21))-Inputs!$B$15*D$4+Inputs!$I$22)))</f>
        <v/>
      </c>
      <c r="E21" s="16">
        <f>1/(1+EXP(-(LN(D21/(1-D21))-Inputs!$B$15*E$4+Inputs!$I$22)))</f>
        <v/>
      </c>
      <c r="F21" s="16">
        <f>1/(1+EXP(-(LN(E21/(1-E21))-Inputs!$B$15*F$4+Inputs!$I$22)))</f>
        <v/>
      </c>
      <c r="G21" s="16">
        <f>1/(1+EXP(-(LN(F21/(1-F21))-Inputs!$B$15*G$4+Inputs!$I$22)))</f>
        <v/>
      </c>
      <c r="H21" s="2" t="n"/>
    </row>
    <row r="22">
      <c r="A22" s="13" t="inlineStr">
        <is>
          <t>Airbnb nights — 3-4</t>
        </is>
      </c>
      <c r="B22" s="17">
        <f>B20+B19*B21</f>
        <v/>
      </c>
      <c r="C22" s="17">
        <f>C20+C19*C21</f>
        <v/>
      </c>
      <c r="D22" s="17">
        <f>D20+D19*D21</f>
        <v/>
      </c>
      <c r="E22" s="17">
        <f>E20+E19*E21</f>
        <v/>
      </c>
      <c r="F22" s="17">
        <f>F20+F19*F21</f>
        <v/>
      </c>
      <c r="G22" s="17">
        <f>G20+G19*G21</f>
        <v/>
      </c>
      <c r="H22" s="2" t="n"/>
    </row>
    <row r="23">
      <c r="A23" s="2" t="n"/>
      <c r="B23" s="2" t="n"/>
      <c r="C23" s="2" t="n"/>
      <c r="D23" s="2" t="n"/>
      <c r="E23" s="2" t="n"/>
      <c r="F23" s="2" t="n"/>
      <c r="G23" s="2" t="n"/>
      <c r="H23" s="2" t="n"/>
    </row>
    <row r="24">
      <c r="A24" s="4" t="inlineStr">
        <is>
          <t>Segment: 5+</t>
        </is>
      </c>
      <c r="B24" s="2" t="n"/>
      <c r="C24" s="2" t="n"/>
      <c r="D24" s="2" t="n"/>
      <c r="E24" s="2" t="n"/>
      <c r="F24" s="2" t="n"/>
      <c r="G24" s="2" t="n"/>
      <c r="H24" s="2" t="n"/>
    </row>
    <row r="25">
      <c r="A25" s="2" t="inlineStr">
        <is>
          <t>Contestable pool M (hotel + contestable Airbnb)</t>
        </is>
      </c>
      <c r="B25" s="21">
        <f>Calibration_2025!F7</f>
        <v/>
      </c>
      <c r="C25" s="15">
        <f>B25*(1+Inputs!C28)*(1+Inputs!$H$23)</f>
        <v/>
      </c>
      <c r="D25" s="15">
        <f>C25*(1+Inputs!D28)*(1+Inputs!$H$23)</f>
        <v/>
      </c>
      <c r="E25" s="15">
        <f>D25*(1+Inputs!E28)*(1+Inputs!$H$23)</f>
        <v/>
      </c>
      <c r="F25" s="15">
        <f>E25*(1+Inputs!F28)*(1+Inputs!$H$23)</f>
        <v/>
      </c>
      <c r="G25" s="15">
        <f>F25*(1+Inputs!G28)*(1+Inputs!$H$23)</f>
        <v/>
      </c>
      <c r="H25" s="2" t="n"/>
    </row>
    <row r="26">
      <c r="A26" s="2" t="inlineStr">
        <is>
          <t>Own-category Airbnb nights N</t>
        </is>
      </c>
      <c r="B26" s="21">
        <f>Calibration_2025!C7</f>
        <v/>
      </c>
      <c r="C26" s="15">
        <f>B26*(1+Inputs!$H$23)*(1+Inputs!C32)</f>
        <v/>
      </c>
      <c r="D26" s="15">
        <f>C26*(1+Inputs!$H$23)*(1+Inputs!D32)</f>
        <v/>
      </c>
      <c r="E26" s="15">
        <f>D26*(1+Inputs!$H$23)*(1+Inputs!E32)</f>
        <v/>
      </c>
      <c r="F26" s="15">
        <f>E26*(1+Inputs!$H$23)*(1+Inputs!F32)</f>
        <v/>
      </c>
      <c r="G26" s="15">
        <f>F26*(1+Inputs!$H$23)*(1+Inputs!G32)</f>
        <v/>
      </c>
      <c r="H26" s="2" t="n"/>
    </row>
    <row r="27">
      <c r="A27" s="2" t="inlineStr">
        <is>
          <t>P(Airbnb | contestable pool)</t>
        </is>
      </c>
      <c r="B27" s="22">
        <f>Calibration_2025!G7</f>
        <v/>
      </c>
      <c r="C27" s="16">
        <f>1/(1+EXP(-(LN(B27/(1-B27))-Inputs!$B$15*C$4+Inputs!$I$23)))</f>
        <v/>
      </c>
      <c r="D27" s="16">
        <f>1/(1+EXP(-(LN(C27/(1-C27))-Inputs!$B$15*D$4+Inputs!$I$23)))</f>
        <v/>
      </c>
      <c r="E27" s="16">
        <f>1/(1+EXP(-(LN(D27/(1-D27))-Inputs!$B$15*E$4+Inputs!$I$23)))</f>
        <v/>
      </c>
      <c r="F27" s="16">
        <f>1/(1+EXP(-(LN(E27/(1-E27))-Inputs!$B$15*F$4+Inputs!$I$23)))</f>
        <v/>
      </c>
      <c r="G27" s="16">
        <f>1/(1+EXP(-(LN(F27/(1-F27))-Inputs!$B$15*G$4+Inputs!$I$23)))</f>
        <v/>
      </c>
      <c r="H27" s="2" t="n"/>
    </row>
    <row r="28">
      <c r="A28" s="13" t="inlineStr">
        <is>
          <t>Airbnb nights — 5+</t>
        </is>
      </c>
      <c r="B28" s="17">
        <f>B26+B25*B27</f>
        <v/>
      </c>
      <c r="C28" s="17">
        <f>C26+C25*C27</f>
        <v/>
      </c>
      <c r="D28" s="17">
        <f>D26+D25*D27</f>
        <v/>
      </c>
      <c r="E28" s="17">
        <f>E26+E25*E27</f>
        <v/>
      </c>
      <c r="F28" s="17">
        <f>F26+F25*F27</f>
        <v/>
      </c>
      <c r="G28" s="17">
        <f>G26+G25*G27</f>
        <v/>
      </c>
      <c r="H28" s="2" t="n"/>
    </row>
    <row r="29">
      <c r="A29" s="2" t="n"/>
      <c r="B29" s="2" t="n"/>
      <c r="C29" s="2" t="n"/>
      <c r="D29" s="2" t="n"/>
      <c r="E29" s="2" t="n"/>
      <c r="F29" s="2" t="n"/>
      <c r="G29" s="2" t="n"/>
      <c r="H29" s="2" t="n"/>
    </row>
    <row r="30">
      <c r="A30" s="1" t="inlineStr">
        <is>
          <t>U.S. AIRBNB NIGHTS (mm)</t>
        </is>
      </c>
      <c r="B30" s="17">
        <f>B10+B16+B22+B28</f>
        <v/>
      </c>
      <c r="C30" s="17">
        <f>C10+C16+C22+C28</f>
        <v/>
      </c>
      <c r="D30" s="17">
        <f>D10+D16+D22+D28</f>
        <v/>
      </c>
      <c r="E30" s="17">
        <f>E10+E16+E22+E28</f>
        <v/>
      </c>
      <c r="F30" s="17">
        <f>F10+F16+F22+F28</f>
        <v/>
      </c>
      <c r="G30" s="17">
        <f>G10+G16+G22+G28</f>
        <v/>
      </c>
      <c r="H30" s="2" t="n"/>
    </row>
    <row r="31">
      <c r="A31" s="2" t="inlineStr">
        <is>
          <t>growth</t>
        </is>
      </c>
      <c r="B31" s="2" t="n"/>
      <c r="C31" s="16">
        <f>C30/B30-1</f>
        <v/>
      </c>
      <c r="D31" s="16">
        <f>D30/C30-1</f>
        <v/>
      </c>
      <c r="E31" s="16">
        <f>E30/D30-1</f>
        <v/>
      </c>
      <c r="F31" s="16">
        <f>F30/E30-1</f>
        <v/>
      </c>
      <c r="G31" s="16">
        <f>G30/F30-1</f>
        <v/>
      </c>
      <c r="H31" s="2" t="n"/>
    </row>
    <row r="32">
      <c r="A32" s="2" t="inlineStr">
        <is>
          <t>Airbnb share of hotel-contestable pool</t>
        </is>
      </c>
      <c r="B32" s="16">
        <f>(B7*B9+B13*B15+B19*B21+B25*B27)/(B7+B13+B19+B25)</f>
        <v/>
      </c>
      <c r="C32" s="16">
        <f>(C7*C9+C13*C15+C19*C21+C25*C27)/(C7+C13+C19+C25)</f>
        <v/>
      </c>
      <c r="D32" s="16">
        <f>(D7*D9+D13*D15+D19*D21+D25*D27)/(D7+D13+D19+D25)</f>
        <v/>
      </c>
      <c r="E32" s="16">
        <f>(E7*E9+E13*E15+E19*E21+E25*E27)/(E7+E13+E19+E25)</f>
        <v/>
      </c>
      <c r="F32" s="16">
        <f>(F7*F9+F13*F15+F19*F21+F25*F27)/(F7+F13+F19+F25)</f>
        <v/>
      </c>
      <c r="G32" s="16">
        <f>(G7*G9+G13*G15+G19*G21+G25*G27)/(G7+G13+G19+G25)</f>
        <v/>
      </c>
      <c r="H32" s="2" t="n"/>
    </row>
    <row r="33">
      <c r="A33" s="2" t="inlineStr">
        <is>
          <t>Airbnb share of all U.S. lodging party-nights</t>
        </is>
      </c>
      <c r="B33" s="16">
        <f>B30/(B8+B7+B14+B13+B20+B19+B26+B25)</f>
        <v/>
      </c>
      <c r="C33" s="16">
        <f>C30/(C8+C7+C14+C13+C20+C19+C26+C25)</f>
        <v/>
      </c>
      <c r="D33" s="16">
        <f>D30/(D8+D7+D14+D13+D20+D19+D26+D25)</f>
        <v/>
      </c>
      <c r="E33" s="16">
        <f>E30/(E8+E7+E14+E13+E20+E19+E26+E25)</f>
        <v/>
      </c>
      <c r="F33" s="16">
        <f>F30/(F8+F7+F14+F13+F20+F19+F26+F25)</f>
        <v/>
      </c>
      <c r="G33" s="16">
        <f>G30/(G8+G7+G14+G13+G20+G19+G26+G25)</f>
        <v/>
      </c>
      <c r="H33" s="2" t="n"/>
    </row>
    <row r="34">
      <c r="A34" s="2" t="n"/>
      <c r="B34" s="2" t="n"/>
      <c r="C34" s="2" t="n"/>
      <c r="D34" s="2" t="n"/>
      <c r="E34" s="2" t="n"/>
      <c r="F34" s="2" t="n"/>
      <c r="G34" s="2" t="n"/>
      <c r="H34" s="2" t="n"/>
    </row>
    <row r="35">
      <c r="A35" s="4" t="inlineStr">
        <is>
          <t>PLUG INTO THE REVENUE MODEL (U.S. slice)</t>
        </is>
      </c>
      <c r="B35" s="2" t="n"/>
      <c r="C35" s="2" t="n"/>
      <c r="D35" s="2" t="n"/>
      <c r="E35" s="2" t="n"/>
      <c r="F35" s="2" t="n"/>
      <c r="G35" s="2" t="n"/>
      <c r="H35" s="2" t="n"/>
    </row>
    <row r="36">
      <c r="A36" s="2" t="inlineStr">
        <is>
          <t>Airbnb ADR ($, GBV per night) — team input</t>
        </is>
      </c>
      <c r="B36" s="23" t="n">
        <v>255</v>
      </c>
      <c r="C36" s="24">
        <f>B36*(1+Inputs!C30)</f>
        <v/>
      </c>
      <c r="D36" s="24">
        <f>C36*(1+Inputs!D30)</f>
        <v/>
      </c>
      <c r="E36" s="24">
        <f>D36*(1+Inputs!E30)</f>
        <v/>
      </c>
      <c r="F36" s="24">
        <f>E36*(1+Inputs!F30)</f>
        <v/>
      </c>
      <c r="G36" s="24">
        <f>F36*(1+Inputs!G30)</f>
        <v/>
      </c>
      <c r="H36" s="6" t="inlineStr">
        <is>
          <t>2025 NA GBV $40.3B ÷ 158M nights = $255 (FY2025 10-K); grows with the Airbnb ADR path on Inputs</t>
        </is>
      </c>
    </row>
    <row r="37">
      <c r="A37" s="2" t="inlineStr">
        <is>
          <t>Take rate — team input (carries the host-only fee migration)</t>
        </is>
      </c>
      <c r="B37" s="9" t="n">
        <v>0.134</v>
      </c>
      <c r="C37" s="9" t="n">
        <v>0.134</v>
      </c>
      <c r="D37" s="9" t="n">
        <v>0.136</v>
      </c>
      <c r="E37" s="9" t="n">
        <v>0.136</v>
      </c>
      <c r="F37" s="9" t="n">
        <v>0.136</v>
      </c>
      <c r="G37" s="9" t="n">
        <v>0.136</v>
      </c>
      <c r="H37" s="6" t="inlineStr">
        <is>
          <t>FY2025 revenue ÷ GBV = 13.4% (Q4'25 letter). Steps to 13.6% by FY27: the single 15.5% host fee is ~+58bp on guest spend (~half of listings migrated by 2Q26, all by year end); FY26 is held at 13.4% because incentives for Services/Experiences/hotels are contra-revenue and management guided FY26 flat. Without the migration this line would drift to 12.9-13.1%.</t>
        </is>
      </c>
    </row>
    <row r="38">
      <c r="A38" s="2" t="inlineStr">
        <is>
          <t>FX factor (1.00 for USD) — team input</t>
        </is>
      </c>
      <c r="B38" s="8" t="n">
        <v>1</v>
      </c>
      <c r="C38" s="8" t="n">
        <v>1</v>
      </c>
      <c r="D38" s="8" t="n">
        <v>1</v>
      </c>
      <c r="E38" s="8" t="n">
        <v>1</v>
      </c>
      <c r="F38" s="8" t="n">
        <v>1</v>
      </c>
      <c r="G38" s="8" t="n">
        <v>1</v>
      </c>
      <c r="H38" s="2" t="n"/>
    </row>
    <row r="39">
      <c r="A39" s="13" t="inlineStr">
        <is>
          <t>U.S. GBV ($mm) = nights × ADR × FX</t>
        </is>
      </c>
      <c r="B39" s="24">
        <f>B30*B36*B38</f>
        <v/>
      </c>
      <c r="C39" s="24">
        <f>C30*C36*C38</f>
        <v/>
      </c>
      <c r="D39" s="24">
        <f>D30*D36*D38</f>
        <v/>
      </c>
      <c r="E39" s="24">
        <f>E30*E36*E38</f>
        <v/>
      </c>
      <c r="F39" s="24">
        <f>F30*F36*F38</f>
        <v/>
      </c>
      <c r="G39" s="24">
        <f>G30*G36*G38</f>
        <v/>
      </c>
      <c r="H39" s="2" t="n"/>
    </row>
    <row r="40">
      <c r="A40" s="13" t="inlineStr">
        <is>
          <t>U.S. revenue ($mm) = GBV × take rate</t>
        </is>
      </c>
      <c r="B40" s="25">
        <f>B39*B37</f>
        <v/>
      </c>
      <c r="C40" s="25">
        <f>C39*C37</f>
        <v/>
      </c>
      <c r="D40" s="25">
        <f>D39*D37</f>
        <v/>
      </c>
      <c r="E40" s="25">
        <f>E39*E37</f>
        <v/>
      </c>
      <c r="F40" s="25">
        <f>F39*F37</f>
        <v/>
      </c>
      <c r="G40" s="25">
        <f>G39*G37</f>
        <v/>
      </c>
      <c r="H40" s="2" t="n"/>
    </row>
    <row r="41">
      <c r="A41" s="2" t="n"/>
      <c r="B41" s="2" t="n"/>
      <c r="C41" s="2" t="n"/>
      <c r="D41" s="2" t="n"/>
      <c r="E41" s="2" t="n"/>
      <c r="F41" s="2" t="n"/>
      <c r="G41" s="2" t="n"/>
      <c r="H41" s="2" t="n"/>
    </row>
    <row r="42" ht="48" customHeight="1">
      <c r="A42" s="19" t="inlineStr">
        <is>
          <t>How to wire it: replace the U.S./North-America nights growth plug in the team model with row 30 (or its growth in row 31). Keep ADR and FX where they are — this sheet only explains NIGHTS. The take-rate row is NOT a constant: it steps 13.4% → 13.6% by FY27 for the host-only fee migration, so reconcile it with the team model rather than overwriting it blind. For other regions, either repeat the calibration with that region's hotel data or apply the rest-of-world growth input.</t>
        </is>
      </c>
      <c r="B42" s="2" t="n"/>
      <c r="C42" s="2" t="n"/>
      <c r="D42" s="2" t="n"/>
      <c r="E42" s="2" t="n"/>
      <c r="F42" s="2" t="n"/>
      <c r="G42" s="2" t="n"/>
      <c r="H42" s="2" t="n"/>
    </row>
  </sheetData>
  <mergeCells count="1">
    <mergeCell ref="A42:G4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2" customWidth="1" min="1" max="1"/>
    <col width="22" customWidth="1" min="2" max="2"/>
    <col width="22" customWidth="1" min="3" max="3"/>
    <col width="22" customWidth="1" min="4" max="4"/>
    <col width="22" customWidth="1" min="5" max="5"/>
  </cols>
  <sheetData>
    <row r="1">
      <c r="A1" s="1" t="inlineStr">
        <is>
          <t>Sensitivity — 2030 U.S. Airbnb nights (mm) and 2025–30 CAGR</t>
        </is>
      </c>
      <c r="B1" s="2" t="n"/>
      <c r="C1" s="2" t="n"/>
      <c r="D1" s="2" t="n"/>
      <c r="E1" s="2" t="n"/>
    </row>
    <row r="2">
      <c r="A2" s="3" t="inlineStr">
        <is>
          <t>Values computed by analysis/src/choice_nights_driver.py (same model); rows = switch rate (share sensitivity to the % price gap; called beta in the F&amp;F paper), columns = Airbnb ADR growth minus hotel ADR growth per year. Static output, not formulas.</t>
        </is>
      </c>
      <c r="B2" s="2" t="n"/>
      <c r="C2" s="2" t="n"/>
      <c r="D2" s="2" t="n"/>
      <c r="E2" s="2" t="n"/>
    </row>
    <row r="3">
      <c r="A3" s="2" t="n"/>
      <c r="B3" s="2" t="n"/>
      <c r="C3" s="2" t="n"/>
      <c r="D3" s="2" t="n"/>
      <c r="E3" s="2" t="n"/>
    </row>
    <row r="4">
      <c r="A4" s="13" t="inlineStr">
        <is>
          <t>switch rate \ ADR premium</t>
        </is>
      </c>
      <c r="B4" s="13" t="inlineStr">
        <is>
          <t>-2%/yr</t>
        </is>
      </c>
      <c r="C4" s="13" t="inlineStr">
        <is>
          <t>+0%/yr</t>
        </is>
      </c>
      <c r="D4" s="13" t="inlineStr">
        <is>
          <t>+2%/yr</t>
        </is>
      </c>
      <c r="E4" s="13" t="inlineStr">
        <is>
          <t>+4%/yr</t>
        </is>
      </c>
    </row>
    <row r="5">
      <c r="A5" s="26" t="n">
        <v>2.5</v>
      </c>
      <c r="B5" s="15" t="n">
        <v>177.2</v>
      </c>
      <c r="C5" s="15" t="n">
        <v>162.6</v>
      </c>
      <c r="D5" s="15" t="n">
        <v>150.9</v>
      </c>
      <c r="E5" s="15" t="n">
        <v>141.7</v>
      </c>
    </row>
    <row r="6">
      <c r="A6" s="26" t="n">
        <v>5</v>
      </c>
      <c r="B6" s="15" t="n">
        <v>195.3</v>
      </c>
      <c r="C6" s="15" t="n">
        <v>162.6</v>
      </c>
      <c r="D6" s="15" t="n">
        <v>141.6</v>
      </c>
      <c r="E6" s="15" t="n">
        <v>128.3</v>
      </c>
    </row>
    <row r="7">
      <c r="A7" s="26" t="n">
        <v>7</v>
      </c>
      <c r="B7" s="15" t="n">
        <v>212.5</v>
      </c>
      <c r="C7" s="15" t="n">
        <v>162.6</v>
      </c>
      <c r="D7" s="15" t="n">
        <v>135.4</v>
      </c>
      <c r="E7" s="15" t="n">
        <v>121.1</v>
      </c>
    </row>
    <row r="8">
      <c r="A8" s="26" t="n">
        <v>10.3</v>
      </c>
      <c r="B8" s="15" t="n">
        <v>247.3</v>
      </c>
      <c r="C8" s="15" t="n">
        <v>162.6</v>
      </c>
      <c r="D8" s="15" t="n">
        <v>127.4</v>
      </c>
      <c r="E8" s="15" t="n">
        <v>113.8</v>
      </c>
    </row>
    <row r="9">
      <c r="A9" s="2" t="n"/>
      <c r="B9" s="2" t="n"/>
      <c r="C9" s="2" t="n"/>
      <c r="D9" s="2" t="n"/>
      <c r="E9" s="2" t="n"/>
    </row>
    <row r="10">
      <c r="A10" s="13" t="inlineStr">
        <is>
          <t>CAGR 2025–30</t>
        </is>
      </c>
      <c r="B10" s="2" t="n"/>
      <c r="C10" s="2" t="n"/>
      <c r="D10" s="2" t="n"/>
      <c r="E10" s="2" t="n"/>
    </row>
    <row r="11">
      <c r="A11" s="26" t="n">
        <v>2.5</v>
      </c>
      <c r="B11" s="16" t="n">
        <v>0.0506437962169632</v>
      </c>
      <c r="C11" s="16" t="n">
        <v>0.0326546119415493</v>
      </c>
      <c r="D11" s="16" t="n">
        <v>0.0174400360114008</v>
      </c>
      <c r="E11" s="16" t="n">
        <v>0.0047105999956662</v>
      </c>
    </row>
    <row r="12">
      <c r="A12" s="26" t="n">
        <v>5</v>
      </c>
      <c r="B12" s="16" t="n">
        <v>0.071205171340674</v>
      </c>
      <c r="C12" s="16" t="n">
        <v>0.0326546119415493</v>
      </c>
      <c r="D12" s="16" t="n">
        <v>0.004484722715448</v>
      </c>
      <c r="E12" s="16" t="n">
        <v>-0.0151450817813916</v>
      </c>
    </row>
    <row r="13">
      <c r="A13" s="26" t="n">
        <v>7</v>
      </c>
      <c r="B13" s="16" t="n">
        <v>0.08949519047016639</v>
      </c>
      <c r="C13" s="16" t="n">
        <v>0.0326546119415493</v>
      </c>
      <c r="D13" s="16" t="n">
        <v>-0.0043826078750797</v>
      </c>
      <c r="E13" s="16" t="n">
        <v>-0.0263852879405821</v>
      </c>
    </row>
    <row r="14">
      <c r="A14" s="26" t="n">
        <v>10.3</v>
      </c>
      <c r="B14" s="16" t="n">
        <v>0.1230692151814347</v>
      </c>
      <c r="C14" s="16" t="n">
        <v>0.0326546119415493</v>
      </c>
      <c r="D14" s="16" t="n">
        <v>-0.016431544352648</v>
      </c>
      <c r="E14" s="16" t="n">
        <v>-0.0384332957400108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1"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1" t="inlineStr">
        <is>
          <t>Europe 2025 calibration — measured Eurostat data (vs U.S. revenue proxy)</t>
        </is>
      </c>
      <c r="B1" s="2" t="n"/>
      <c r="C1" s="2" t="n"/>
      <c r="D1" s="2" t="n"/>
      <c r="E1" s="2" t="n"/>
      <c r="F1" s="2" t="n"/>
      <c r="G1" s="2" t="n"/>
      <c r="H1" s="2" t="n"/>
    </row>
    <row r="2" ht="60" customHeight="1">
      <c r="A2" s="19" t="inlineStr">
        <is>
          <t>Computed by analysis/src/choice_nights_driver_countries.py. Platform guest-nights (Airbnb+Booking+Expedia, Eurostat tour_ce_omr) x Airbnb listing share (FR 69% / ES 50% / IT 53% / DE 51%, myDataValue/AirDNA) vs hotel guest-nights (Eurostat I551; ES &amp; DE are 2024 vintage). Guest-nights are converted to party-nights by people per party, not rooms per party. Party mixes transplanted (Airbnb global fit; U.S. hotel travel-party est.); CONTESTABLE 38% is the U.S. F&amp;F figure. Static output, not formulas.</t>
        </is>
      </c>
      <c r="B2" s="2" t="n"/>
      <c r="C2" s="2" t="n"/>
      <c r="D2" s="2" t="n"/>
      <c r="E2" s="2" t="n"/>
      <c r="F2" s="2" t="n"/>
      <c r="G2" s="2" t="n"/>
      <c r="H2" s="2" t="n"/>
    </row>
    <row r="3">
      <c r="A3" s="2" t="n"/>
      <c r="B3" s="2" t="n"/>
      <c r="C3" s="2" t="n"/>
      <c r="D3" s="2" t="n"/>
      <c r="E3" s="2" t="n"/>
      <c r="F3" s="2" t="n"/>
      <c r="G3" s="2" t="n"/>
      <c r="H3" s="2" t="n"/>
    </row>
    <row r="4">
      <c r="A4" s="13" t="inlineStr">
        <is>
          <t>Country</t>
        </is>
      </c>
      <c r="B4" s="13" t="inlineStr">
        <is>
          <t>Segment</t>
        </is>
      </c>
      <c r="C4" s="13" t="inlineStr">
        <is>
          <t>Airbnb party-nights (mm)</t>
        </is>
      </c>
      <c r="D4" s="13" t="inlineStr">
        <is>
          <t>of which contestable (mm)</t>
        </is>
      </c>
      <c r="E4" s="13" t="inlineStr">
        <is>
          <t>Hotel party-nights (mm)</t>
        </is>
      </c>
      <c r="F4" s="13" t="inlineStr">
        <is>
          <t>P(Airbnb | contestable pool)</t>
        </is>
      </c>
      <c r="G4" s="13" t="inlineStr">
        <is>
          <t>Airbnb share of all lodging</t>
        </is>
      </c>
      <c r="H4" s="2" t="n"/>
    </row>
    <row r="5">
      <c r="A5" s="2" t="inlineStr">
        <is>
          <t>France</t>
        </is>
      </c>
      <c r="B5" s="27" t="inlineStr">
        <is>
          <t>solo</t>
        </is>
      </c>
      <c r="C5" s="15" t="n">
        <v>13</v>
      </c>
      <c r="D5" s="15" t="n">
        <v>4.9</v>
      </c>
      <c r="E5" s="15" t="n">
        <v>53.2</v>
      </c>
      <c r="F5" s="16" t="n">
        <v>0.0847452290800503</v>
      </c>
      <c r="G5" s="16" t="n">
        <v>0.1959236810424196</v>
      </c>
      <c r="H5" s="2" t="n"/>
    </row>
    <row r="6">
      <c r="A6" s="2" t="inlineStr">
        <is>
          <t>France</t>
        </is>
      </c>
      <c r="B6" s="27" t="inlineStr">
        <is>
          <t>pair</t>
        </is>
      </c>
      <c r="C6" s="15" t="n">
        <v>18.4</v>
      </c>
      <c r="D6" s="15" t="n">
        <v>7</v>
      </c>
      <c r="E6" s="15" t="n">
        <v>45.5</v>
      </c>
      <c r="F6" s="16" t="n">
        <v>0.1328841655509811</v>
      </c>
      <c r="G6" s="16" t="n">
        <v>0.2873865953749472</v>
      </c>
      <c r="H6" s="2" t="n"/>
    </row>
    <row r="7">
      <c r="A7" s="2" t="inlineStr">
        <is>
          <t>France</t>
        </is>
      </c>
      <c r="B7" s="27" t="inlineStr">
        <is>
          <t>3-4</t>
        </is>
      </c>
      <c r="C7" s="15" t="n">
        <v>15.7</v>
      </c>
      <c r="D7" s="15" t="n">
        <v>6</v>
      </c>
      <c r="E7" s="15" t="n">
        <v>15.2</v>
      </c>
      <c r="F7" s="16" t="n">
        <v>0.2821077588374344</v>
      </c>
      <c r="G7" s="16" t="n">
        <v>0.5083876310579254</v>
      </c>
      <c r="H7" s="2" t="n"/>
    </row>
    <row r="8">
      <c r="A8" s="2" t="inlineStr">
        <is>
          <t>France</t>
        </is>
      </c>
      <c r="B8" s="27" t="inlineStr">
        <is>
          <t>5+</t>
        </is>
      </c>
      <c r="C8" s="15" t="n">
        <v>6.9</v>
      </c>
      <c r="D8" s="15" t="n">
        <v>2.6</v>
      </c>
      <c r="E8" s="15" t="n">
        <v>4.4</v>
      </c>
      <c r="F8" s="16" t="n">
        <v>0.3748028186728716</v>
      </c>
      <c r="G8" s="16" t="n">
        <v>0.6120451308946913</v>
      </c>
      <c r="H8" s="2" t="n"/>
    </row>
    <row r="9">
      <c r="A9" s="2" t="inlineStr">
        <is>
          <t>France</t>
        </is>
      </c>
      <c r="B9" s="13" t="inlineStr">
        <is>
          <t>TOTAL</t>
        </is>
      </c>
      <c r="C9" s="15" t="n">
        <v>53.9</v>
      </c>
      <c r="D9" s="15" t="n">
        <v>20.5</v>
      </c>
      <c r="E9" s="15" t="n">
        <v>118.2</v>
      </c>
      <c r="F9" s="16" t="n">
        <v>0.1476063771746372</v>
      </c>
      <c r="G9" s="16" t="n">
        <v>0.3130464111976457</v>
      </c>
      <c r="H9" s="2" t="n"/>
    </row>
    <row r="10">
      <c r="A10" s="2" t="inlineStr">
        <is>
          <t>Spain</t>
        </is>
      </c>
      <c r="B10" s="27" t="inlineStr">
        <is>
          <t>solo</t>
        </is>
      </c>
      <c r="C10" s="15" t="n">
        <v>8.300000000000001</v>
      </c>
      <c r="D10" s="15" t="n">
        <v>3.2</v>
      </c>
      <c r="E10" s="15" t="n">
        <v>87.7</v>
      </c>
      <c r="F10" s="16" t="n">
        <v>0.034846861087477</v>
      </c>
      <c r="G10" s="16" t="n">
        <v>0.0867689804979133</v>
      </c>
      <c r="H10" s="2" t="n"/>
    </row>
    <row r="11">
      <c r="A11" s="2" t="inlineStr">
        <is>
          <t>Spain</t>
        </is>
      </c>
      <c r="B11" s="27" t="inlineStr">
        <is>
          <t>pair</t>
        </is>
      </c>
      <c r="C11" s="15" t="n">
        <v>11.8</v>
      </c>
      <c r="D11" s="15" t="n">
        <v>4.5</v>
      </c>
      <c r="E11" s="15" t="n">
        <v>75.09999999999999</v>
      </c>
      <c r="F11" s="16" t="n">
        <v>0.0563876399011814</v>
      </c>
      <c r="G11" s="16" t="n">
        <v>0.1358868183507481</v>
      </c>
      <c r="H11" s="2" t="n"/>
    </row>
    <row r="12">
      <c r="A12" s="2" t="inlineStr">
        <is>
          <t>Spain</t>
        </is>
      </c>
      <c r="B12" s="27" t="inlineStr">
        <is>
          <t>3-4</t>
        </is>
      </c>
      <c r="C12" s="15" t="n">
        <v>10.1</v>
      </c>
      <c r="D12" s="15" t="n">
        <v>3.8</v>
      </c>
      <c r="E12" s="15" t="n">
        <v>25</v>
      </c>
      <c r="F12" s="16" t="n">
        <v>0.1328719175399963</v>
      </c>
      <c r="G12" s="16" t="n">
        <v>0.2873648261561755</v>
      </c>
      <c r="H12" s="2" t="n"/>
    </row>
    <row r="13">
      <c r="A13" s="2" t="inlineStr">
        <is>
          <t>Spain</t>
        </is>
      </c>
      <c r="B13" s="27" t="inlineStr">
        <is>
          <t>5+</t>
        </is>
      </c>
      <c r="C13" s="15" t="n">
        <v>4.4</v>
      </c>
      <c r="D13" s="15" t="n">
        <v>1.7</v>
      </c>
      <c r="E13" s="15" t="n">
        <v>7.2</v>
      </c>
      <c r="F13" s="16" t="n">
        <v>0.1894730608125536</v>
      </c>
      <c r="G13" s="16" t="n">
        <v>0.3808708159555811</v>
      </c>
      <c r="H13" s="2" t="n"/>
    </row>
    <row r="14">
      <c r="A14" s="2" t="inlineStr">
        <is>
          <t>Spain</t>
        </is>
      </c>
      <c r="B14" s="13" t="inlineStr">
        <is>
          <t>TOTAL</t>
        </is>
      </c>
      <c r="C14" s="15" t="n">
        <v>34.6</v>
      </c>
      <c r="D14" s="15" t="n">
        <v>13.2</v>
      </c>
      <c r="E14" s="15" t="n">
        <v>194.9</v>
      </c>
      <c r="F14" s="16" t="n">
        <v>0.0632530398235731</v>
      </c>
      <c r="G14" s="16" t="n">
        <v>0.1508838077222349</v>
      </c>
      <c r="H14" s="2" t="n"/>
    </row>
    <row r="15">
      <c r="A15" s="2" t="inlineStr">
        <is>
          <t>Italy</t>
        </is>
      </c>
      <c r="B15" s="27" t="inlineStr">
        <is>
          <t>solo</t>
        </is>
      </c>
      <c r="C15" s="15" t="n">
        <v>6.5</v>
      </c>
      <c r="D15" s="15" t="n">
        <v>2.5</v>
      </c>
      <c r="E15" s="15" t="n">
        <v>69.59999999999999</v>
      </c>
      <c r="F15" s="16" t="n">
        <v>0.0342471601240756</v>
      </c>
      <c r="G15" s="16" t="n">
        <v>0.0853547432555522</v>
      </c>
      <c r="H15" s="2" t="n"/>
    </row>
    <row r="16">
      <c r="A16" s="2" t="inlineStr">
        <is>
          <t>Italy</t>
        </is>
      </c>
      <c r="B16" s="27" t="inlineStr">
        <is>
          <t>pair</t>
        </is>
      </c>
      <c r="C16" s="15" t="n">
        <v>9.199999999999999</v>
      </c>
      <c r="D16" s="15" t="n">
        <v>3.5</v>
      </c>
      <c r="E16" s="15" t="n">
        <v>59.6</v>
      </c>
      <c r="F16" s="16" t="n">
        <v>0.0554385240316728</v>
      </c>
      <c r="G16" s="16" t="n">
        <v>0.1337892990618808</v>
      </c>
      <c r="H16" s="2" t="n"/>
    </row>
    <row r="17">
      <c r="A17" s="2" t="inlineStr">
        <is>
          <t>Italy</t>
        </is>
      </c>
      <c r="B17" s="27" t="inlineStr">
        <is>
          <t>3-4</t>
        </is>
      </c>
      <c r="C17" s="15" t="n">
        <v>7.9</v>
      </c>
      <c r="D17" s="15" t="n">
        <v>3</v>
      </c>
      <c r="E17" s="15" t="n">
        <v>19.9</v>
      </c>
      <c r="F17" s="16" t="n">
        <v>0.1308138905392385</v>
      </c>
      <c r="G17" s="16" t="n">
        <v>0.28369677313297</v>
      </c>
      <c r="H17" s="2" t="n"/>
    </row>
    <row r="18">
      <c r="A18" s="2" t="inlineStr">
        <is>
          <t>Italy</t>
        </is>
      </c>
      <c r="B18" s="27" t="inlineStr">
        <is>
          <t>5+</t>
        </is>
      </c>
      <c r="C18" s="15" t="n">
        <v>3.4</v>
      </c>
      <c r="D18" s="15" t="n">
        <v>1.3</v>
      </c>
      <c r="E18" s="15" t="n">
        <v>5.7</v>
      </c>
      <c r="F18" s="16" t="n">
        <v>0.1867271347331968</v>
      </c>
      <c r="G18" s="16" t="n">
        <v>0.3766400237148523</v>
      </c>
      <c r="H18" s="2" t="n"/>
    </row>
    <row r="19">
      <c r="A19" s="2" t="inlineStr">
        <is>
          <t>Italy</t>
        </is>
      </c>
      <c r="B19" s="13" t="inlineStr">
        <is>
          <t>TOTAL</t>
        </is>
      </c>
      <c r="C19" s="15" t="n">
        <v>27</v>
      </c>
      <c r="D19" s="15" t="n">
        <v>10.3</v>
      </c>
      <c r="E19" s="15" t="n">
        <v>154.7</v>
      </c>
      <c r="F19" s="16" t="n">
        <v>0.0621959824033064</v>
      </c>
      <c r="G19" s="16" t="n">
        <v>0.1485946056973085</v>
      </c>
      <c r="H19" s="2" t="n"/>
    </row>
    <row r="20">
      <c r="A20" s="2" t="inlineStr">
        <is>
          <t>Germany</t>
        </is>
      </c>
      <c r="B20" s="27" t="inlineStr">
        <is>
          <t>solo</t>
        </is>
      </c>
      <c r="C20" s="15" t="n">
        <v>3.1</v>
      </c>
      <c r="D20" s="15" t="n">
        <v>1.2</v>
      </c>
      <c r="E20" s="15" t="n">
        <v>72.40000000000001</v>
      </c>
      <c r="F20" s="16" t="n">
        <v>0.0157889316565082</v>
      </c>
      <c r="G20" s="16" t="n">
        <v>0.0405063408196245</v>
      </c>
      <c r="H20" s="2" t="n"/>
    </row>
    <row r="21">
      <c r="A21" s="2" t="inlineStr">
        <is>
          <t>Germany</t>
        </is>
      </c>
      <c r="B21" s="27" t="inlineStr">
        <is>
          <t>pair</t>
        </is>
      </c>
      <c r="C21" s="15" t="n">
        <v>4.3</v>
      </c>
      <c r="D21" s="15" t="n">
        <v>1.6</v>
      </c>
      <c r="E21" s="15" t="n">
        <v>62</v>
      </c>
      <c r="F21" s="16" t="n">
        <v>0.0258646533514389</v>
      </c>
      <c r="G21" s="16" t="n">
        <v>0.06530882999298381</v>
      </c>
      <c r="H21" s="2" t="n"/>
    </row>
    <row r="22">
      <c r="A22" s="2" t="inlineStr">
        <is>
          <t>Germany</t>
        </is>
      </c>
      <c r="B22" s="27" t="inlineStr">
        <is>
          <t>3-4</t>
        </is>
      </c>
      <c r="C22" s="15" t="n">
        <v>3.7</v>
      </c>
      <c r="D22" s="15" t="n">
        <v>1.4</v>
      </c>
      <c r="E22" s="15" t="n">
        <v>20.7</v>
      </c>
      <c r="F22" s="16" t="n">
        <v>0.06374431828788429</v>
      </c>
      <c r="G22" s="16" t="n">
        <v>0.1519453037119543</v>
      </c>
      <c r="H22" s="2" t="n"/>
    </row>
    <row r="23">
      <c r="A23" s="2" t="inlineStr">
        <is>
          <t>Germany</t>
        </is>
      </c>
      <c r="B23" s="27" t="inlineStr">
        <is>
          <t>5+</t>
        </is>
      </c>
      <c r="C23" s="15" t="n">
        <v>1.6</v>
      </c>
      <c r="D23" s="15" t="n">
        <v>0.6</v>
      </c>
      <c r="E23" s="15" t="n">
        <v>5.9</v>
      </c>
      <c r="F23" s="16" t="n">
        <v>0.094093663482825</v>
      </c>
      <c r="G23" s="16" t="n">
        <v>0.2146600298509928</v>
      </c>
      <c r="H23" s="2" t="n"/>
    </row>
    <row r="24">
      <c r="A24" s="2" t="inlineStr">
        <is>
          <t>Germany</t>
        </is>
      </c>
      <c r="B24" s="13" t="inlineStr">
        <is>
          <t>TOTAL</t>
        </is>
      </c>
      <c r="C24" s="15" t="n">
        <v>12.7</v>
      </c>
      <c r="D24" s="15" t="n">
        <v>4.8</v>
      </c>
      <c r="E24" s="15" t="n">
        <v>161</v>
      </c>
      <c r="F24" s="16" t="n">
        <v>0.0291284872679557</v>
      </c>
      <c r="G24" s="16" t="n">
        <v>0.0731761844790728</v>
      </c>
      <c r="H24" s="2" t="n"/>
    </row>
    <row r="25">
      <c r="A25" s="2" t="n"/>
      <c r="B25" s="2" t="n"/>
      <c r="C25" s="2" t="n"/>
      <c r="D25" s="2" t="n"/>
      <c r="E25" s="2" t="n"/>
      <c r="F25" s="2" t="n"/>
      <c r="G25" s="2" t="n"/>
      <c r="H25" s="2" t="n"/>
    </row>
    <row r="26" ht="34" customHeight="1">
      <c r="A26" s="19" t="inlineStr">
        <is>
          <t>U.S. comparison: 10.9% of lodging party-nights (Calibration_2025). France is the outlier (31%); Spain/Italy ~15% sit at U.S. levels; Germany 7%. Rest-of-world plug candidates: weight these by Airbnb regional nights.</t>
        </is>
      </c>
      <c r="B26" s="2" t="n"/>
      <c r="C26" s="2" t="n"/>
      <c r="D26" s="2" t="n"/>
      <c r="E26" s="2" t="n"/>
      <c r="F26" s="2" t="n"/>
      <c r="G26" s="2" t="n"/>
      <c r="H26" s="2" t="n"/>
    </row>
  </sheetData>
  <mergeCells count="2">
    <mergeCell ref="A26:G26"/>
    <mergeCell ref="A2:H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Global nights build — replaces the 10% rest-of-world plug</t>
        </is>
      </c>
      <c r="B1" s="2" t="n"/>
      <c r="C1" s="2" t="n"/>
      <c r="D1" s="2" t="n"/>
      <c r="E1" s="2" t="n"/>
      <c r="F1" s="2" t="n"/>
      <c r="G1" s="2" t="n"/>
      <c r="H1" s="2" t="n"/>
    </row>
    <row r="2" ht="56" customHeight="1">
      <c r="A2" s="19" t="inlineStr">
        <is>
          <t>Computed by analysis/src/choice_nights_driver_global.py. US = full segment choice model (beta 5.0, team ADR line ex-FX from model/assumptions.md WS13 base). EMEA = measured 4-country Eurostat calibration scaled to EMEA's 215mm nights, same M/P/N machinery in aggregate (category growth 7%→5% vs ~10% implied). NA-ex-US tracks the US. LatAm/APAC = explicit fades from disclosed +18%/+15%. Static output, not formulas.</t>
        </is>
      </c>
      <c r="B2" s="2" t="n"/>
      <c r="C2" s="2" t="n"/>
      <c r="D2" s="2" t="n"/>
      <c r="E2" s="2" t="n"/>
      <c r="F2" s="2" t="n"/>
      <c r="G2" s="2" t="n"/>
      <c r="H2" s="2" t="n"/>
    </row>
    <row r="3">
      <c r="A3" s="2" t="n"/>
      <c r="B3" s="2" t="n"/>
      <c r="C3" s="2" t="n"/>
      <c r="D3" s="2" t="n"/>
      <c r="E3" s="2" t="n"/>
      <c r="F3" s="2" t="n"/>
      <c r="G3" s="2" t="n"/>
      <c r="H3" s="2" t="n"/>
    </row>
    <row r="4">
      <c r="A4" s="13" t="inlineStr">
        <is>
          <t>Year</t>
        </is>
      </c>
      <c r="B4" s="13" t="inlineStr">
        <is>
          <t>US</t>
        </is>
      </c>
      <c r="C4" s="13" t="inlineStr">
        <is>
          <t>NA ex-US</t>
        </is>
      </c>
      <c r="D4" s="13" t="inlineStr">
        <is>
          <t>EMEA</t>
        </is>
      </c>
      <c r="E4" s="13" t="inlineStr">
        <is>
          <t>LatAm</t>
        </is>
      </c>
      <c r="F4" s="13" t="inlineStr">
        <is>
          <t>APAC</t>
        </is>
      </c>
      <c r="G4" s="13" t="inlineStr">
        <is>
          <t>Global nights (mm)</t>
        </is>
      </c>
      <c r="H4" s="13" t="inlineStr">
        <is>
          <t>Growth</t>
        </is>
      </c>
    </row>
    <row r="5">
      <c r="A5" s="13" t="n">
        <v>2025</v>
      </c>
      <c r="B5" s="15" t="n">
        <v>138.4</v>
      </c>
      <c r="C5" s="15" t="n">
        <v>19.6</v>
      </c>
      <c r="D5" s="15" t="n">
        <v>215</v>
      </c>
      <c r="E5" s="15" t="n">
        <v>90</v>
      </c>
      <c r="F5" s="15" t="n">
        <v>70</v>
      </c>
      <c r="G5" s="15" t="n">
        <v>533</v>
      </c>
      <c r="H5" s="2" t="n"/>
    </row>
    <row r="6">
      <c r="A6" s="13" t="n">
        <v>2026</v>
      </c>
      <c r="B6" s="15" t="n">
        <v>142.4</v>
      </c>
      <c r="C6" s="15" t="n">
        <v>20.1</v>
      </c>
      <c r="D6" s="15" t="n">
        <v>221.8</v>
      </c>
      <c r="E6" s="15" t="n">
        <v>104.4</v>
      </c>
      <c r="F6" s="15" t="n">
        <v>79.09999999999999</v>
      </c>
      <c r="G6" s="15" t="n">
        <v>567.9</v>
      </c>
      <c r="H6" s="16" t="n">
        <v>0.0655</v>
      </c>
    </row>
    <row r="7">
      <c r="A7" s="13" t="n">
        <v>2027</v>
      </c>
      <c r="B7" s="15" t="n">
        <v>145.1</v>
      </c>
      <c r="C7" s="15" t="n">
        <v>20.5</v>
      </c>
      <c r="D7" s="15" t="n">
        <v>232.8</v>
      </c>
      <c r="E7" s="15" t="n">
        <v>119</v>
      </c>
      <c r="F7" s="15" t="n">
        <v>88.59999999999999</v>
      </c>
      <c r="G7" s="15" t="n">
        <v>606</v>
      </c>
      <c r="H7" s="16" t="n">
        <v>0.06710000000000001</v>
      </c>
    </row>
    <row r="8">
      <c r="A8" s="13" t="n">
        <v>2028</v>
      </c>
      <c r="B8" s="15" t="n">
        <v>149.8</v>
      </c>
      <c r="C8" s="15" t="n">
        <v>21.2</v>
      </c>
      <c r="D8" s="15" t="n">
        <v>243.6</v>
      </c>
      <c r="E8" s="15" t="n">
        <v>133.3</v>
      </c>
      <c r="F8" s="15" t="n">
        <v>98.3</v>
      </c>
      <c r="G8" s="15" t="n">
        <v>646.2</v>
      </c>
      <c r="H8" s="16" t="n">
        <v>0.0663</v>
      </c>
    </row>
    <row r="9">
      <c r="A9" s="13" t="n">
        <v>2029</v>
      </c>
      <c r="B9" s="15" t="n">
        <v>154.7</v>
      </c>
      <c r="C9" s="15" t="n">
        <v>21.9</v>
      </c>
      <c r="D9" s="15" t="n">
        <v>253.6</v>
      </c>
      <c r="E9" s="15" t="n">
        <v>148</v>
      </c>
      <c r="F9" s="15" t="n">
        <v>108.2</v>
      </c>
      <c r="G9" s="15" t="n">
        <v>686.2</v>
      </c>
      <c r="H9" s="16" t="n">
        <v>0.0619</v>
      </c>
    </row>
    <row r="10">
      <c r="A10" s="13" t="n">
        <v>2030</v>
      </c>
      <c r="B10" s="15" t="n">
        <v>159.3</v>
      </c>
      <c r="C10" s="15" t="n">
        <v>22.5</v>
      </c>
      <c r="D10" s="15" t="n">
        <v>263.8</v>
      </c>
      <c r="E10" s="15" t="n">
        <v>162.8</v>
      </c>
      <c r="F10" s="15" t="n">
        <v>117.9</v>
      </c>
      <c r="G10" s="15" t="n">
        <v>726.2</v>
      </c>
      <c r="H10" s="16" t="n">
        <v>0.0583</v>
      </c>
    </row>
    <row r="11">
      <c r="A11" s="2" t="n"/>
      <c r="B11" s="2" t="n"/>
      <c r="C11" s="2" t="n"/>
      <c r="D11" s="2" t="n"/>
      <c r="E11" s="2" t="n"/>
      <c r="F11" s="2" t="n"/>
      <c r="G11" s="2" t="n"/>
      <c r="H11" s="2" t="n"/>
    </row>
    <row r="12">
      <c r="A12" s="2" t="n"/>
      <c r="B12" s="2" t="n"/>
      <c r="C12" s="2" t="n"/>
      <c r="D12" s="2" t="n"/>
      <c r="E12" s="2" t="n"/>
      <c r="F12" s="2" t="n"/>
      <c r="G12" s="2" t="n"/>
      <c r="H12" s="2" t="n"/>
    </row>
    <row r="13">
      <c r="A13" s="13" t="inlineStr">
        <is>
          <t>BY AIRBNB REPORTING SEGMENT (mm nights)</t>
        </is>
      </c>
      <c r="B13" s="2" t="n"/>
      <c r="C13" s="2" t="n"/>
      <c r="D13" s="2" t="n"/>
      <c r="E13" s="2" t="n"/>
      <c r="F13" s="2" t="n"/>
      <c r="G13" s="2" t="n"/>
      <c r="H13" s="2" t="n"/>
    </row>
    <row r="14">
      <c r="A14" s="13" t="inlineStr">
        <is>
          <t>Year</t>
        </is>
      </c>
      <c r="B14" s="13" t="inlineStr">
        <is>
          <t>North America</t>
        </is>
      </c>
      <c r="C14" s="13" t="inlineStr">
        <is>
          <t>EMEA</t>
        </is>
      </c>
      <c r="D14" s="13" t="inlineStr">
        <is>
          <t>LatAm</t>
        </is>
      </c>
      <c r="E14" s="13" t="inlineStr">
        <is>
          <t>APAC</t>
        </is>
      </c>
      <c r="F14" s="13" t="inlineStr">
        <is>
          <t>Total</t>
        </is>
      </c>
      <c r="G14" s="2" t="n"/>
      <c r="H14" s="2" t="n"/>
    </row>
    <row r="15">
      <c r="A15" s="13" t="n">
        <v>2025</v>
      </c>
      <c r="B15" s="15" t="n">
        <v>158</v>
      </c>
      <c r="C15" s="15" t="n">
        <v>215</v>
      </c>
      <c r="D15" s="15" t="n">
        <v>90</v>
      </c>
      <c r="E15" s="15" t="n">
        <v>70</v>
      </c>
      <c r="F15" s="15" t="n">
        <v>533</v>
      </c>
      <c r="G15" s="2" t="n"/>
      <c r="H15" s="2" t="n"/>
    </row>
    <row r="16">
      <c r="A16" s="13" t="n">
        <v>2026</v>
      </c>
      <c r="B16" s="15" t="n">
        <v>162.5</v>
      </c>
      <c r="C16" s="15" t="n">
        <v>221.8</v>
      </c>
      <c r="D16" s="15" t="n">
        <v>104.4</v>
      </c>
      <c r="E16" s="15" t="n">
        <v>79.09999999999999</v>
      </c>
      <c r="F16" s="15" t="n">
        <v>567.8</v>
      </c>
      <c r="G16" s="2" t="n"/>
      <c r="H16" s="2" t="n"/>
    </row>
    <row r="17">
      <c r="A17" s="13" t="n">
        <v>2027</v>
      </c>
      <c r="B17" s="15" t="n">
        <v>165.6</v>
      </c>
      <c r="C17" s="15" t="n">
        <v>232.8</v>
      </c>
      <c r="D17" s="15" t="n">
        <v>119</v>
      </c>
      <c r="E17" s="15" t="n">
        <v>88.59999999999999</v>
      </c>
      <c r="F17" s="15" t="n">
        <v>606</v>
      </c>
      <c r="G17" s="2" t="n"/>
      <c r="H17" s="2" t="n"/>
    </row>
    <row r="18">
      <c r="A18" s="13" t="n">
        <v>2028</v>
      </c>
      <c r="B18" s="15" t="n">
        <v>171</v>
      </c>
      <c r="C18" s="15" t="n">
        <v>243.6</v>
      </c>
      <c r="D18" s="15" t="n">
        <v>133.3</v>
      </c>
      <c r="E18" s="15" t="n">
        <v>98.3</v>
      </c>
      <c r="F18" s="15" t="n">
        <v>646.2</v>
      </c>
      <c r="G18" s="2" t="n"/>
      <c r="H18" s="2" t="n"/>
    </row>
    <row r="19">
      <c r="A19" s="13" t="n">
        <v>2029</v>
      </c>
      <c r="B19" s="15" t="n">
        <v>176.6</v>
      </c>
      <c r="C19" s="15" t="n">
        <v>253.6</v>
      </c>
      <c r="D19" s="15" t="n">
        <v>148</v>
      </c>
      <c r="E19" s="15" t="n">
        <v>108.2</v>
      </c>
      <c r="F19" s="15" t="n">
        <v>686.4</v>
      </c>
      <c r="G19" s="2" t="n"/>
      <c r="H19" s="2" t="n"/>
    </row>
    <row r="20">
      <c r="A20" s="13" t="n">
        <v>2030</v>
      </c>
      <c r="B20" s="15" t="n">
        <v>181.8</v>
      </c>
      <c r="C20" s="15" t="n">
        <v>263.8</v>
      </c>
      <c r="D20" s="15" t="n">
        <v>162.8</v>
      </c>
      <c r="E20" s="15" t="n">
        <v>117.9</v>
      </c>
      <c r="F20" s="15" t="n">
        <v>726.3</v>
      </c>
      <c r="G20" s="2" t="n"/>
      <c r="H20" s="2" t="n"/>
    </row>
    <row r="21">
      <c r="A21" s="13" t="inlineStr">
        <is>
          <t>CAGR 2025-30</t>
        </is>
      </c>
      <c r="B21" s="16" t="n">
        <v>0.0285</v>
      </c>
      <c r="C21" s="16" t="n">
        <v>0.0418</v>
      </c>
      <c r="D21" s="16" t="n">
        <v>0.1259</v>
      </c>
      <c r="E21" s="16" t="n">
        <v>0.1099</v>
      </c>
      <c r="F21" s="16" t="n">
        <v>0.0638</v>
      </c>
      <c r="G21" s="2" t="n"/>
      <c r="H21" s="2" t="n"/>
    </row>
    <row r="22">
      <c r="A22" s="2" t="n"/>
      <c r="B22" s="2" t="n"/>
      <c r="C22" s="2" t="n"/>
      <c r="D22" s="2" t="n"/>
      <c r="E22" s="2" t="n"/>
      <c r="F22" s="2" t="n"/>
      <c r="G22" s="2" t="n"/>
      <c r="H22" s="2" t="n"/>
    </row>
    <row r="23" ht="58" customHeight="1">
      <c r="A23" s="19" t="inlineStr">
        <is>
          <t>Confidence differs sharply by region. North America is the full segment choice model; EMEA is calibrated on measured Eurostat platform and hotel nights for FR/ES/IT/DE and scaled. LatAm and APAC are growth fades off disclosed 2025 rates with NO hotel-side data and no choice model - yet they are 30% of 2025 nights and 62% of the 2025-30 growth. That is the least evidenced part of the forecast and the first place to spend more research.</t>
        </is>
      </c>
      <c r="B23" s="2" t="n"/>
      <c r="C23" s="2" t="n"/>
      <c r="D23" s="2" t="n"/>
      <c r="E23" s="2" t="n"/>
      <c r="F23" s="2" t="n"/>
      <c r="G23" s="2" t="n"/>
      <c r="H23" s="2" t="n"/>
    </row>
    <row r="24">
      <c r="A24" s="2" t="n"/>
      <c r="B24" s="2" t="n"/>
      <c r="C24" s="2" t="n"/>
      <c r="D24" s="2" t="n"/>
      <c r="E24" s="2" t="n"/>
      <c r="F24" s="2" t="n"/>
      <c r="G24" s="2" t="n"/>
      <c r="H24" s="2" t="n"/>
    </row>
    <row r="25" ht="46" customHeight="1">
      <c r="A25" s="19" t="inlineStr">
        <is>
          <t>Reconciliation: team model WS13 base has total nights FY26 +9.9%, FY27 +8.9%, FY28 +7.4%; this build runs +7.1% / +7.2% / +7.1%. The gap is almost entirely North America (team 2H26 NA +7-8% vs this model's US +3.3% for 2026) — the choice model says NA growth at that pace needs share gains or category adoption above the 2025 exit rate.</t>
        </is>
      </c>
      <c r="B25" s="2" t="n"/>
      <c r="C25" s="2" t="n"/>
      <c r="D25" s="2" t="n"/>
      <c r="E25" s="2" t="n"/>
      <c r="F25" s="2" t="n"/>
      <c r="G25" s="2" t="n"/>
      <c r="H25" s="2" t="n"/>
    </row>
  </sheetData>
  <mergeCells count="3">
    <mergeCell ref="A23:H23"/>
    <mergeCell ref="A25:H25"/>
    <mergeCell ref="A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2026-09-08T18:35:57Z</dcterms:created>
  <dcterms:modified xsi:type="dcterms:W3CDTF">2026-09-08T18:35:57Z</dcterms:modified>
</cp:coreProperties>
</file>