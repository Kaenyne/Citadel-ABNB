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0.0%"/>
    <numFmt numFmtId="167" formatCode="0.000000"/>
    <numFmt numFmtId="168" formatCode="0.0000"/>
    <numFmt numFmtId="169" formatCode="0.00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'ADR_Engine'!$O$146:$AD$146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'ADR_Engine'!$O$147:$AD$147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'ADR_Engine'!$O$148:$AD$148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'ADR_Engine'!$O$149:$AD$149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150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150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Theo), then extended with the v2 geo-mix layer and hardened by the four mitigations of 22 Sep (block G; DEC-0037–0041 pending Theo). Base ADR path unchanged by the mitigations: 3Q26 $177.68, 4Q26 $173.03. GBV = nights × ADR on Income_Statement row 8. Income statement: history 1Q23-2Q26 plugged from the reconciled financial panel; forecast cost lines, SBC, D&amp;A and below-the-line plugged from the 40_line_build base (DEC-0022); take rate Street-implied for 3Q26-4Q26 (DEC-0018) and seasonal naive thereafter, so the margin is an output of our own nights x ADR. Open: DEC-0023 hosting step.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base + sub-regional country mix (v2 H3, Inside Airbnb panel)</t>
        </is>
      </c>
      <c r="C122" s="11" t="n">
        <v>3.178728196637815</v>
      </c>
      <c r="D122" s="11" t="n">
        <v>177.4461790665574</v>
      </c>
      <c r="E122" s="11" t="n">
        <v>26.04909908697064</v>
      </c>
      <c r="F122" s="11" t="n">
        <v>2.637266387956136</v>
      </c>
      <c r="G122" s="11" t="n">
        <v>172.7881319107742</v>
      </c>
      <c r="H122" s="11" t="n">
        <v>22.77347578584005</v>
      </c>
      <c r="I122" s="11" t="n">
        <v>2.261923490219557</v>
      </c>
      <c r="J122" s="11" t="n">
        <v>190.3563344723796</v>
      </c>
      <c r="K122" s="11" t="n">
        <v>32.1740276525216</v>
      </c>
      <c r="L122" s="11" t="n">
        <v>2.791849213593684</v>
      </c>
      <c r="M122" s="11" t="n">
        <v>188.0750547725378</v>
      </c>
      <c r="N122" s="11" t="n">
        <v>29.54659110476569</v>
      </c>
    </row>
    <row r="123">
      <c r="A123" s="8" t="inlineStr">
        <is>
          <t>base + sub-regional + measured origin-destination tilt (upgrade 2: EMEA 10.5 / LatAm 16.4 / APAC 14.9)</t>
        </is>
      </c>
      <c r="C123" s="11" t="n">
        <v>3.441974423799111</v>
      </c>
      <c r="D123" s="11" t="n">
        <v>177.897093529062</v>
      </c>
      <c r="E123" s="11" t="n">
        <v>26.11529333006631</v>
      </c>
      <c r="F123" s="11" t="n">
        <v>2.878353163829614</v>
      </c>
      <c r="G123" s="11" t="n">
        <v>173.1919763690399</v>
      </c>
      <c r="H123" s="11" t="n">
        <v>22.82670248543946</v>
      </c>
      <c r="I123" s="11" t="n">
        <v>2.547238721983384</v>
      </c>
      <c r="J123" s="11" t="n">
        <v>190.8893603883608</v>
      </c>
      <c r="K123" s="11" t="n">
        <v>32.26411969284074</v>
      </c>
      <c r="L123" s="11" t="n">
        <v>2.977560195437551</v>
      </c>
      <c r="M123" s="11" t="n">
        <v>188.4162615594795</v>
      </c>
      <c r="N123" s="11" t="n">
        <v>29.60019469099423</v>
      </c>
    </row>
    <row r="124">
      <c r="A124" s="8" t="inlineStr">
        <is>
          <t>base + sub-regional + composition tilt B (EMEA 5 / LatAm 30 / APAC 25) — retired by upgrade 2</t>
        </is>
      </c>
      <c r="C124" s="11" t="n">
        <v>2.797413430922292</v>
      </c>
      <c r="D124" s="11" t="n">
        <v>176.7930250043633</v>
      </c>
      <c r="E124" s="11" t="n">
        <v>25.95321607064054</v>
      </c>
      <c r="F124" s="11" t="n">
        <v>2.27299560542554</v>
      </c>
      <c r="G124" s="11" t="n">
        <v>172.1779419229572</v>
      </c>
      <c r="H124" s="11" t="n">
        <v>22.69305274544576</v>
      </c>
      <c r="I124" s="11" t="n">
        <v>1.84202480617595</v>
      </c>
      <c r="J124" s="11" t="n">
        <v>189.5718797508493</v>
      </c>
      <c r="K124" s="11" t="n">
        <v>32.04143911548855</v>
      </c>
      <c r="L124" s="11" t="n">
        <v>2.510918340989404</v>
      </c>
      <c r="M124" s="11" t="n">
        <v>187.5589004803019</v>
      </c>
      <c r="N124" s="11" t="n">
        <v>29.46550326545543</v>
      </c>
    </row>
    <row r="125">
      <c r="A125" s="8" t="inlineStr">
        <is>
          <t>lap-only (K4 residual steps): every 2025-26 residual step laps at its anniversary</t>
        </is>
      </c>
      <c r="C125" s="11" t="n">
        <v>2.910732193880174</v>
      </c>
      <c r="D125" s="11" t="n">
        <v>176.9871287134339</v>
      </c>
      <c r="E125" s="11" t="n">
        <v>25.9817104951321</v>
      </c>
      <c r="F125" s="11" t="n">
        <v>1.990747787585442</v>
      </c>
      <c r="G125" s="11" t="n">
        <v>171.7051486032933</v>
      </c>
      <c r="H125" s="11" t="n">
        <v>22.63073858591405</v>
      </c>
      <c r="I125" s="11" t="n">
        <v>0.9435507506529328</v>
      </c>
      <c r="J125" s="11" t="n">
        <v>187.8933505203212</v>
      </c>
      <c r="K125" s="11" t="n">
        <v>31.75773410494469</v>
      </c>
      <c r="L125" s="11" t="n">
        <v>1.013196673597509</v>
      </c>
      <c r="M125" s="11" t="n">
        <v>184.8071364608028</v>
      </c>
      <c r="N125" s="11" t="n">
        <v>29.03320113799212</v>
      </c>
    </row>
    <row r="126">
      <c r="A126" s="8" t="inlineStr">
        <is>
          <t>card v3: last_q residual carry, no lap (card geo)</t>
        </is>
      </c>
      <c r="C126" s="11" t="n">
        <v>3.69126637648649</v>
      </c>
      <c r="D126" s="11" t="n">
        <v>178.3241057148202</v>
      </c>
      <c r="E126" s="11" t="n">
        <v>26.17797871893561</v>
      </c>
      <c r="F126" s="11" t="n">
        <v>3.69126637648649</v>
      </c>
      <c r="G126" s="11" t="n">
        <v>174.5536872915614</v>
      </c>
      <c r="H126" s="11" t="n">
        <v>23.0061759850278</v>
      </c>
      <c r="I126" s="11" t="n">
        <v>3.60883637648649</v>
      </c>
      <c r="J126" s="11" t="n">
        <v>192.8726371265034</v>
      </c>
      <c r="K126" s="11" t="n">
        <v>32.59933312712161</v>
      </c>
      <c r="L126" s="11" t="n">
        <v>3.60883637648649</v>
      </c>
      <c r="M126" s="11" t="n">
        <v>189.5761052869207</v>
      </c>
      <c r="N126" s="11" t="n">
        <v>29.78240614057524</v>
      </c>
    </row>
    <row r="127">
      <c r="A127" s="8" t="inlineStr">
        <is>
          <t>full lap: ex-NA RNPL sized at the 1H26 residual steps</t>
        </is>
      </c>
      <c r="C127" s="11" t="n">
        <v>3.315947459255554</v>
      </c>
      <c r="D127" s="11" t="n">
        <v>177.6812219414954</v>
      </c>
      <c r="E127" s="11" t="n">
        <v>26.08360338101152</v>
      </c>
      <c r="F127" s="11" t="n">
        <v>2.784074164071932</v>
      </c>
      <c r="G127" s="11" t="n">
        <v>173.0340496165458</v>
      </c>
      <c r="H127" s="11" t="n">
        <v>22.80588773946074</v>
      </c>
      <c r="I127" s="11" t="n">
        <v>1.956877127139422</v>
      </c>
      <c r="J127" s="11" t="n">
        <v>189.7864468568733</v>
      </c>
      <c r="K127" s="11" t="n">
        <v>32.07770524774872</v>
      </c>
      <c r="L127" s="11" t="n">
        <v>1.806523050083998</v>
      </c>
      <c r="M127" s="11" t="n">
        <v>186.2647150123214</v>
      </c>
      <c r="N127" s="11" t="n">
        <v>29.2621867284357</v>
      </c>
    </row>
    <row r="128">
      <c r="A128" s="8" t="inlineStr">
        <is>
          <t>core mean reversion to the 2023-25 mean</t>
        </is>
      </c>
      <c r="C128" s="11" t="n">
        <v>1.864621082769064</v>
      </c>
      <c r="D128" s="11" t="n">
        <v>175.1952449912116</v>
      </c>
      <c r="E128" s="11" t="n">
        <v>25.71866196470987</v>
      </c>
      <c r="F128" s="11" t="n">
        <v>1.332747787585442</v>
      </c>
      <c r="G128" s="11" t="n">
        <v>170.6029328032933</v>
      </c>
      <c r="H128" s="11" t="n">
        <v>22.48546654347406</v>
      </c>
      <c r="I128" s="11" t="n">
        <v>0.9655507506529332</v>
      </c>
      <c r="J128" s="11" t="n">
        <v>187.9344509203212</v>
      </c>
      <c r="K128" s="11" t="n">
        <v>31.7646808945527</v>
      </c>
      <c r="L128" s="11" t="n">
        <v>1.505196673597509</v>
      </c>
      <c r="M128" s="11" t="n">
        <v>185.7110880608028</v>
      </c>
      <c r="N128" s="11" t="n">
        <v>29.17521193435212</v>
      </c>
    </row>
    <row r="129">
      <c r="A129" s="8" t="inlineStr">
        <is>
          <t>AR(1) on core (K4 rho 0.747)</t>
        </is>
      </c>
      <c r="C129" s="11" t="n">
        <v>3.092067886004471</v>
      </c>
      <c r="D129" s="11" t="n">
        <v>177.2977386204736</v>
      </c>
      <c r="E129" s="11" t="n">
        <v>26.02730802948552</v>
      </c>
      <c r="F129" s="11" t="n">
        <v>2.392956549602292</v>
      </c>
      <c r="G129" s="11" t="n">
        <v>172.3788885005477</v>
      </c>
      <c r="H129" s="11" t="n">
        <v>22.71953750437219</v>
      </c>
      <c r="I129" s="11" t="n">
        <v>1.90083269587952</v>
      </c>
      <c r="J129" s="11" t="n">
        <v>189.6817446503935</v>
      </c>
      <c r="K129" s="11" t="n">
        <v>32.06000848080952</v>
      </c>
      <c r="L129" s="11" t="n">
        <v>2.347158286681769</v>
      </c>
      <c r="M129" s="11" t="n">
        <v>187.2580241325226</v>
      </c>
      <c r="N129" s="11" t="n">
        <v>29.41823559121929</v>
      </c>
    </row>
    <row r="130">
      <c r="A130" s="8" t="inlineStr">
        <is>
          <t>base + fee-migration K line (DEC-0008 sensitivity)</t>
        </is>
      </c>
      <c r="C130" s="11" t="n">
        <v>3.487447459255554</v>
      </c>
      <c r="D130" s="11" t="n">
        <v>177.9749842914954</v>
      </c>
      <c r="E130" s="11" t="n">
        <v>26.12672769399152</v>
      </c>
      <c r="F130" s="11" t="n">
        <v>3.158574164071932</v>
      </c>
      <c r="G130" s="11" t="n">
        <v>173.6613745665458</v>
      </c>
      <c r="H130" s="11" t="n">
        <v>22.88856916787073</v>
      </c>
      <c r="I130" s="11" t="n">
        <v>2.761977127139422</v>
      </c>
      <c r="J130" s="11" t="n">
        <v>191.2905346768732</v>
      </c>
      <c r="K130" s="11" t="n">
        <v>32.33192617108512</v>
      </c>
      <c r="L130" s="11" t="n">
        <v>3.267323050083998</v>
      </c>
      <c r="M130" s="11" t="n">
        <v>188.9486428523214</v>
      </c>
      <c r="N130" s="11" t="n">
        <v>29.6838317920997</v>
      </c>
    </row>
    <row r="132">
      <c r="A132" s="5" t="inlineStr">
        <is>
          <t>G. Evidence behind line 2 — the v2 geo-mix layer and the four mitigations of 22 Sep. Labelled attribution and falsifiers; none of this is in the base path above.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</row>
    <row r="133">
      <c r="A133" s="8" t="inlineStr">
        <is>
          <t>G1. Sub-regional (within-region country) mix, pp of ADR — DEC-0038: attribution + forward row, NOT the base</t>
        </is>
      </c>
      <c r="C133" s="4" t="inlineStr">
        <is>
          <t>mean 1Q23–2Q26</t>
        </is>
      </c>
      <c r="D133" s="12" t="n">
        <v>-0.4533850498510343</v>
      </c>
      <c r="E133" s="4" t="inlineStr">
        <is>
          <t>last 4 q to 2Q26</t>
        </is>
      </c>
      <c r="F133" s="12" t="n">
        <v>-0.151696241914275</v>
      </c>
      <c r="G133" s="4" t="inlineStr">
        <is>
          <t>fwd 3Q26</t>
        </is>
      </c>
      <c r="H133" s="12" t="n">
        <v>-0.1372192626177384</v>
      </c>
      <c r="I133" s="4" t="inlineStr">
        <is>
          <t>fwd 4Q26</t>
        </is>
      </c>
      <c r="J133" s="12" t="n">
        <v>-0.1468077761157966</v>
      </c>
      <c r="K133" s="4" t="inlineStr">
        <is>
          <t>4Q26 ADR effect ($)</t>
        </is>
      </c>
      <c r="L133" s="12" t="n">
        <v>-0.24</v>
      </c>
    </row>
    <row r="134">
      <c r="A134" s="8" t="inlineStr">
        <is>
          <t xml:space="preserve">      H2 forecast-content test, RMSE ratio vs the residual carry — pass line 0.75 on BOTH windows → FAILS, so the term stays out of the base</t>
        </is>
      </c>
      <c r="C134" s="4" t="inlineStr">
        <is>
          <t>W1 (n 10)</t>
        </is>
      </c>
      <c r="D134" s="12" t="n">
        <v>0.908921731098177</v>
      </c>
      <c r="E134" s="4" t="inlineStr">
        <is>
          <t>W2 (n 6)</t>
        </is>
      </c>
      <c r="F134" s="12" t="n">
        <v>0.7190490218012525</v>
      </c>
      <c r="G134" s="4" t="inlineStr">
        <is>
          <t>pass line</t>
        </is>
      </c>
      <c r="H134" s="12" t="n">
        <v>0.75</v>
      </c>
    </row>
    <row r="135">
      <c r="A135" s="8" t="inlineStr">
        <is>
          <t>G2. Reconciliation to the company's own accounting (mitigation C): disclosed constant-currency rate minus regional accommodation inflation, regressed on our within-region mix. The identity implies a slope of 1.0.</t>
        </is>
      </c>
      <c r="C135" s="4" t="inlineStr">
        <is>
          <t>slope</t>
        </is>
      </c>
      <c r="D135" s="12" t="n">
        <v>1.127000224086993</v>
      </c>
      <c r="E135" s="4" t="inlineStr">
        <is>
          <t>cluster-by-region p</t>
        </is>
      </c>
      <c r="F135" s="12" t="n">
        <v>0.0422384883788224</v>
      </c>
      <c r="G135" s="4" t="inlineStr">
        <is>
          <t>90% lo</t>
        </is>
      </c>
      <c r="H135" s="12" t="n">
        <v>0.3485695458913359</v>
      </c>
      <c r="I135" s="4" t="inlineStr">
        <is>
          <t>90% hi</t>
        </is>
      </c>
      <c r="J135" s="12" t="n">
        <v>1.90543090228265</v>
      </c>
      <c r="K135" s="4" t="inlineStr">
        <is>
          <t>n prints</t>
        </is>
      </c>
      <c r="L135" s="12" t="n">
        <v>23</v>
      </c>
    </row>
    <row r="136">
      <c r="A136" s="8" t="inlineStr">
        <is>
          <t xml:space="preserve">      the slope is carried by ONE region — leave-one-region-out (LatAm's own comparator is Brazil alone, 24–33% coverage)</t>
        </is>
      </c>
      <c r="C136" s="4" t="inlineStr">
        <is>
          <t>drop LatAm</t>
        </is>
      </c>
      <c r="D136" s="12" t="n">
        <v>-0.3022250248696609</v>
      </c>
      <c r="E136" s="4" t="inlineStr">
        <is>
          <t>drop EMEA</t>
        </is>
      </c>
      <c r="F136" s="12" t="n">
        <v>1.235024164906723</v>
      </c>
      <c r="G136" s="4" t="inlineStr">
        <is>
          <t>drop NAM</t>
        </is>
      </c>
      <c r="H136" s="12" t="n">
        <v>1.127000224086993</v>
      </c>
      <c r="I136" s="4" t="inlineStr">
        <is>
          <t>drop APAC</t>
        </is>
      </c>
      <c r="J136" s="12" t="n">
        <v>1.247277823606619</v>
      </c>
    </row>
    <row r="137">
      <c r="A137" s="8" t="inlineStr">
        <is>
          <t xml:space="preserve">      and the earlier EMEA-only reading is window-dependent: admitting two further disclosed quarters flips its sign</t>
        </is>
      </c>
      <c r="C137" s="4" t="inlineStr">
        <is>
          <t>EMEA only, n 7</t>
        </is>
      </c>
      <c r="D137" s="12" t="n">
        <v>1.085196796156045</v>
      </c>
      <c r="E137" s="4" t="inlineStr">
        <is>
          <t>EMEA only, n 9</t>
        </is>
      </c>
      <c r="F137" s="12" t="n">
        <v>-0.3813639149721989</v>
      </c>
    </row>
    <row r="138">
      <c r="A138" s="8" t="inlineStr">
        <is>
          <t>G3. Implied like-for-like price by year, pp — DEC-0040 route: H size</t>
        </is>
      </c>
      <c r="C138" s="4" t="inlineStr">
        <is>
          <t>2023</t>
        </is>
      </c>
      <c r="D138" s="12" t="n">
        <v>2.952684569536031</v>
      </c>
      <c r="E138" s="4" t="inlineStr">
        <is>
          <t>2024</t>
        </is>
      </c>
      <c r="F138" s="12" t="n">
        <v>2.754115232397859</v>
      </c>
      <c r="G138" s="4" t="inlineStr">
        <is>
          <t>2025</t>
        </is>
      </c>
      <c r="H138" s="12" t="n">
        <v>2.934235120207423</v>
      </c>
      <c r="I138" s="4" t="inlineStr">
        <is>
          <t>2025 size term</t>
        </is>
      </c>
      <c r="J138" s="12" t="n">
        <v>0.7394814142426782</v>
      </c>
    </row>
    <row r="139">
      <c r="A139" s="8" t="inlineStr">
        <is>
          <t xml:space="preserve">      same, route: H size + H LOS</t>
        </is>
      </c>
      <c r="C139" s="4" t="inlineStr">
        <is>
          <t>2023</t>
        </is>
      </c>
      <c r="D139" s="12" t="n">
        <v>3.258281481684737</v>
      </c>
      <c r="E139" s="4" t="inlineStr">
        <is>
          <t>2024</t>
        </is>
      </c>
      <c r="F139" s="12" t="n">
        <v>2.685030249211593</v>
      </c>
      <c r="G139" s="4" t="inlineStr">
        <is>
          <t>2025</t>
        </is>
      </c>
      <c r="H139" s="12" t="n">
        <v>2.67892135148754</v>
      </c>
      <c r="I139" s="4" t="inlineStr">
        <is>
          <t>2025 size term</t>
        </is>
      </c>
      <c r="J139" s="12" t="n">
        <v>0.7394814142426782</v>
      </c>
    </row>
    <row r="140">
      <c r="A140" s="8" t="inlineStr">
        <is>
          <t xml:space="preserve">      same, route: as filed (withdrawn)</t>
        </is>
      </c>
      <c r="C140" s="4" t="inlineStr">
        <is>
          <t>2023</t>
        </is>
      </c>
      <c r="D140" s="12" t="n">
        <v>3.339449526200775</v>
      </c>
      <c r="E140" s="4" t="inlineStr">
        <is>
          <t>2024</t>
        </is>
      </c>
      <c r="F140" s="12" t="n">
        <v>3.153691779081526</v>
      </c>
      <c r="G140" s="4" t="inlineStr">
        <is>
          <t>2025</t>
        </is>
      </c>
      <c r="H140" s="12" t="n">
        <v>3.925055242507793</v>
      </c>
      <c r="I140" s="4" t="inlineStr">
        <is>
          <t>2025 size term</t>
        </is>
      </c>
      <c r="J140" s="12" t="n">
        <v>-0.2513387080576912</v>
      </c>
    </row>
    <row r="141">
      <c r="A141" s="8" t="inlineStr">
        <is>
          <t xml:space="preserve">      DEC-0040: the filed route's NEGATIVE 2025 size term is a Paris-weighting artefact; the H route is adopted and sits inside the filed bedroom-nights bracket. 2025 like-for-like price is FLAT, so the 2026 core step is LARGER, not smaller — stated against our own interest.</t>
        </is>
      </c>
      <c r="C141" s="4" t="inlineStr">
        <is>
          <t>bracket lo</t>
        </is>
      </c>
      <c r="D141" s="12" t="n">
        <v>0.42</v>
      </c>
      <c r="E141" s="4" t="inlineStr">
        <is>
          <t>bracket hi</t>
        </is>
      </c>
      <c r="F141" s="12" t="n">
        <v>1.29</v>
      </c>
    </row>
    <row r="142">
      <c r="A142" s="8" t="inlineStr">
        <is>
          <t>G4. Price-to-utilisation elasticity, market-level panel (mitigation B) — registered pass line b&gt;0 and p≤0.05 → FAILS. Buys at most 0.6pp of the core and in the wrong direction for a give-back; the fix is a Sept-2026 capture wave.</t>
        </is>
      </c>
      <c r="C142" s="4" t="inlineStr">
        <is>
          <t>elasticity b</t>
        </is>
      </c>
      <c r="D142" s="12" t="n">
        <v>0.08289400619632679</v>
      </c>
      <c r="E142" s="4" t="inlineStr">
        <is>
          <t>p</t>
        </is>
      </c>
      <c r="F142" s="12" t="n">
        <v>0.7940309342115639</v>
      </c>
      <c r="G142" s="4" t="inlineStr">
        <is>
          <t>CI lo</t>
        </is>
      </c>
      <c r="H142" s="12" t="n">
        <v>-0.5394032328684883</v>
      </c>
      <c r="I142" s="4" t="inlineStr">
        <is>
          <t>CI hi</t>
        </is>
      </c>
      <c r="J142" s="12" t="n">
        <v>0.7051912452611422</v>
      </c>
      <c r="K142" s="4" t="inlineStr">
        <is>
          <t>n pairs</t>
        </is>
      </c>
      <c r="L142" s="12" t="n">
        <v>94</v>
      </c>
      <c r="M142" s="4" t="inlineStr">
        <is>
          <t>ex-US b</t>
        </is>
      </c>
      <c r="N142" s="12" t="n">
        <v>0.041103455300918</v>
      </c>
    </row>
    <row r="143">
      <c r="A143" s="8" t="inlineStr">
        <is>
          <t>G5. Guest-origin rotation, priced (mitigation D) — day-matched LTM windows 2024→2026 on 53m reviews; within a market a non-English-reviewed listing is cheaper, so the rotation itself costs price.</t>
        </is>
      </c>
      <c r="C143" s="4" t="inlineStr">
        <is>
          <t>non-English +%</t>
        </is>
      </c>
      <c r="D143" s="12" t="n">
        <v>81.04407474280026</v>
      </c>
      <c r="E143" s="4" t="inlineStr">
        <is>
          <t>English +%</t>
        </is>
      </c>
      <c r="F143" s="12" t="n">
        <v>39.95589163021235</v>
      </c>
      <c r="G143" s="4" t="inlineStr">
        <is>
          <t>English share 2024 %</t>
        </is>
      </c>
      <c r="H143" s="12" t="n">
        <v>62.94056049407353</v>
      </c>
      <c r="I143" s="4" t="inlineStr">
        <is>
          <t>English share 2026 %</t>
        </is>
      </c>
      <c r="J143" s="12" t="n">
        <v>56.76462986468275</v>
      </c>
      <c r="K143" s="4" t="inlineStr">
        <is>
          <t>non-En price vs En</t>
        </is>
      </c>
      <c r="L143" s="12" t="n">
        <v>0.8656500630082349</v>
      </c>
      <c r="M143" s="4" t="inlineStr">
        <is>
          <t>mix effect %/yr</t>
        </is>
      </c>
      <c r="N143" s="12" t="n">
        <v>-0.3449220567665853</v>
      </c>
    </row>
    <row r="146">
      <c r="A146" s="8" t="inlineStr">
        <is>
          <t>chart helper: ADR $ (printed, then engine)</t>
        </is>
      </c>
      <c r="O146" s="20">
        <f>O7</f>
        <v/>
      </c>
      <c r="P146" s="20">
        <f>P7</f>
        <v/>
      </c>
      <c r="Q146" s="20">
        <f>Q7</f>
        <v/>
      </c>
      <c r="R146" s="20">
        <f>R7</f>
        <v/>
      </c>
      <c r="S146" s="20">
        <f>S7</f>
        <v/>
      </c>
      <c r="T146" s="20">
        <f>T7</f>
        <v/>
      </c>
      <c r="U146" s="20">
        <f>U7</f>
        <v/>
      </c>
      <c r="V146" s="20">
        <f>V7</f>
        <v/>
      </c>
      <c r="W146" s="20">
        <f>W7</f>
        <v/>
      </c>
      <c r="X146" s="20">
        <f>X7</f>
        <v/>
      </c>
      <c r="Y146" s="20">
        <f>Y7</f>
        <v/>
      </c>
      <c r="Z146" s="20">
        <f>Z7</f>
        <v/>
      </c>
      <c r="AA146" s="20">
        <f>AA7</f>
        <v/>
      </c>
      <c r="AB146" s="20">
        <f>AB7</f>
        <v/>
      </c>
      <c r="AC146" s="20">
        <f>AC7</f>
        <v/>
      </c>
      <c r="AD146" s="20">
        <f>AD7</f>
        <v/>
      </c>
    </row>
    <row r="147">
      <c r="A147" s="8" t="inlineStr">
        <is>
          <t>chart helper: Street ADR $</t>
        </is>
      </c>
      <c r="Y147" s="20">
        <f>Y100</f>
        <v/>
      </c>
      <c r="Z147" s="20">
        <f>Z100</f>
        <v/>
      </c>
    </row>
    <row r="148">
      <c r="A148" s="8" t="inlineStr">
        <is>
          <t>chart helper: FX identity (pp)</t>
        </is>
      </c>
      <c r="O148" s="20">
        <f>O51</f>
        <v/>
      </c>
      <c r="P148" s="20">
        <f>P51</f>
        <v/>
      </c>
      <c r="Q148" s="20">
        <f>Q51</f>
        <v/>
      </c>
      <c r="R148" s="20">
        <f>R51</f>
        <v/>
      </c>
      <c r="S148" s="20">
        <f>S51</f>
        <v/>
      </c>
      <c r="T148" s="20">
        <f>T51</f>
        <v/>
      </c>
      <c r="U148" s="20">
        <f>U51</f>
        <v/>
      </c>
      <c r="V148" s="20">
        <f>V51</f>
        <v/>
      </c>
      <c r="W148" s="20">
        <f>W51</f>
        <v/>
      </c>
      <c r="X148" s="20">
        <f>X51</f>
        <v/>
      </c>
      <c r="Y148" s="20">
        <f>Y51</f>
        <v/>
      </c>
      <c r="Z148" s="20">
        <f>Z51</f>
        <v/>
      </c>
      <c r="AA148" s="20">
        <f>AA51</f>
        <v/>
      </c>
      <c r="AB148" s="20">
        <f>AB51</f>
        <v/>
      </c>
      <c r="AC148" s="20">
        <f>AC51</f>
        <v/>
      </c>
      <c r="AD148" s="20">
        <f>AD51</f>
        <v/>
      </c>
    </row>
    <row r="149">
      <c r="A149" s="8" t="inlineStr">
        <is>
          <t>chart helper: disclosed FX (pp)</t>
        </is>
      </c>
      <c r="O149" s="20">
        <f>O10</f>
        <v/>
      </c>
      <c r="P149" s="20">
        <f>P10</f>
        <v/>
      </c>
      <c r="Q149" s="20">
        <f>Q10</f>
        <v/>
      </c>
      <c r="R149" s="20">
        <f>R10</f>
        <v/>
      </c>
      <c r="S149" s="20">
        <f>S10</f>
        <v/>
      </c>
      <c r="T149" s="20">
        <f>T10</f>
        <v/>
      </c>
      <c r="U149" s="20">
        <f>U10</f>
        <v/>
      </c>
      <c r="V149" s="20">
        <f>V10</f>
        <v/>
      </c>
      <c r="W149" s="20">
        <f>W10</f>
        <v/>
      </c>
      <c r="X149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6" t="inlineStr">
        <is>
          <t>history 1Q23-2Q26 plugged from 02_panel_quarterly.csv (reported); forecast cost lines and below-the-line plugged from 40_line_build base (DEC-0022); blue = plug, black = formula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B12" s="4" t="inlineStr">
        <is>
          <t>A: reported. E: = GBV x take rate (DEC-0018), so revenue is an output of lines 1-2</t>
        </is>
      </c>
      <c r="C12" s="31" t="n">
        <v>1818</v>
      </c>
      <c r="D12" s="31" t="n">
        <v>2484</v>
      </c>
      <c r="E12" s="31" t="n">
        <v>3397</v>
      </c>
      <c r="F12" s="31" t="n">
        <v>2218</v>
      </c>
      <c r="G12" s="31" t="n">
        <v>2142</v>
      </c>
      <c r="H12" s="31" t="n">
        <v>2748</v>
      </c>
      <c r="I12" s="31" t="n">
        <v>3732</v>
      </c>
      <c r="J12" s="31" t="n">
        <v>2480</v>
      </c>
      <c r="K12" s="31" t="n">
        <v>2272</v>
      </c>
      <c r="L12" s="31" t="n">
        <v>3096</v>
      </c>
      <c r="M12" s="31" t="n">
        <v>4095</v>
      </c>
      <c r="N12" s="31" t="n">
        <v>2778</v>
      </c>
      <c r="O12" s="31" t="n">
        <v>2678</v>
      </c>
      <c r="P12" s="31" t="n">
        <v>3608</v>
      </c>
      <c r="Q12" s="32">
        <f>Q8*1000*Q14</f>
        <v/>
      </c>
      <c r="R12" s="32">
        <f>R8*1000*R14</f>
        <v/>
      </c>
      <c r="S12" s="32">
        <f>S8*1000*S14</f>
        <v/>
      </c>
      <c r="T12" s="32">
        <f>T8*1000*T14</f>
        <v/>
      </c>
      <c r="U12" s="32">
        <f>U8*1000*U14</f>
        <v/>
      </c>
      <c r="V12" s="32">
        <f>V8*1000*V14</f>
        <v/>
      </c>
      <c r="X12" s="32">
        <f>SUM(C12:F12)</f>
        <v/>
      </c>
      <c r="Y12" s="32">
        <f>SUM(G12:J12)</f>
        <v/>
      </c>
      <c r="Z12" s="32">
        <f>SUM(K12:N12)</f>
        <v/>
      </c>
      <c r="AA12" s="32">
        <f>SUM(O12:R12)</f>
        <v/>
      </c>
      <c r="AB12" s="32">
        <f>SUM(S12:V12)</f>
        <v/>
      </c>
    </row>
    <row r="13">
      <c r="A13" s="8" t="inlineStr">
        <is>
          <t xml:space="preserve">    y/y</t>
        </is>
      </c>
      <c r="G13" s="33">
        <f>G12/C12-1</f>
        <v/>
      </c>
      <c r="H13" s="33">
        <f>H12/D12-1</f>
        <v/>
      </c>
      <c r="I13" s="33">
        <f>I12/E12-1</f>
        <v/>
      </c>
      <c r="J13" s="33">
        <f>J12/F12-1</f>
        <v/>
      </c>
      <c r="K13" s="33">
        <f>K12/G12-1</f>
        <v/>
      </c>
      <c r="L13" s="33">
        <f>L12/H12-1</f>
        <v/>
      </c>
      <c r="M13" s="33">
        <f>M12/I12-1</f>
        <v/>
      </c>
      <c r="N13" s="33">
        <f>N12/J12-1</f>
        <v/>
      </c>
      <c r="O13" s="33">
        <f>O12/K12-1</f>
        <v/>
      </c>
      <c r="P13" s="33">
        <f>P12/L12-1</f>
        <v/>
      </c>
      <c r="Q13" s="33">
        <f>Q12/M12-1</f>
        <v/>
      </c>
      <c r="R13" s="33">
        <f>R12/N12-1</f>
        <v/>
      </c>
      <c r="S13" s="33">
        <f>S12/O12-1</f>
        <v/>
      </c>
      <c r="T13" s="33">
        <f>T12/P12-1</f>
        <v/>
      </c>
      <c r="U13" s="33">
        <f>U12/Q12-1</f>
        <v/>
      </c>
      <c r="V13" s="33">
        <f>V12/R12-1</f>
        <v/>
      </c>
      <c r="Y13" s="33">
        <f>Y12/X12-1</f>
        <v/>
      </c>
      <c r="Z13" s="33">
        <f>Z12/Y12-1</f>
        <v/>
      </c>
      <c r="AA13" s="33">
        <f>AA12/Z12-1</f>
        <v/>
      </c>
      <c r="AB13" s="33">
        <f>AB12/AA12-1</f>
        <v/>
      </c>
    </row>
    <row r="14">
      <c r="A14" s="8" t="inlineStr">
        <is>
          <t xml:space="preserve">    Take rate (revenue / GBV)</t>
        </is>
      </c>
      <c r="B14" s="4" t="inlineStr">
        <is>
          <t>A: = revenue / GBV. E: 3Q26-4Q26 Street-implied; 1Q27+ seasonal naive tau[q-4], no drift</t>
        </is>
      </c>
      <c r="C14" s="34">
        <f>C12/(C8*1000)</f>
        <v/>
      </c>
      <c r="D14" s="34">
        <f>D12/(D8*1000)</f>
        <v/>
      </c>
      <c r="E14" s="34">
        <f>E12/(E8*1000)</f>
        <v/>
      </c>
      <c r="F14" s="34">
        <f>F12/(F8*1000)</f>
        <v/>
      </c>
      <c r="G14" s="34">
        <f>G12/(G8*1000)</f>
        <v/>
      </c>
      <c r="H14" s="34">
        <f>H12/(H8*1000)</f>
        <v/>
      </c>
      <c r="I14" s="34">
        <f>I12/(I8*1000)</f>
        <v/>
      </c>
      <c r="J14" s="34">
        <f>J12/(J8*1000)</f>
        <v/>
      </c>
      <c r="K14" s="34">
        <f>K12/(K8*1000)</f>
        <v/>
      </c>
      <c r="L14" s="34">
        <f>L12/(L8*1000)</f>
        <v/>
      </c>
      <c r="M14" s="34">
        <f>M12/(M8*1000)</f>
        <v/>
      </c>
      <c r="N14" s="34">
        <f>N12/(N8*1000)</f>
        <v/>
      </c>
      <c r="O14" s="34">
        <f>O12/(O8*1000)</f>
        <v/>
      </c>
      <c r="P14" s="34">
        <f>P12/(P8*1000)</f>
        <v/>
      </c>
      <c r="Q14" s="35" t="n">
        <v>0.1798321124223617</v>
      </c>
      <c r="R14" s="35" t="n">
        <v>0.137720607259622</v>
      </c>
      <c r="S14" s="35" t="n">
        <v>0.09171</v>
      </c>
      <c r="T14" s="35" t="n">
        <v>0.13265</v>
      </c>
      <c r="U14" s="35" t="n">
        <v>0.1798321124223617</v>
      </c>
      <c r="V14" s="35" t="n">
        <v>0.137720607259622</v>
      </c>
      <c r="X14" s="34">
        <f>X12/(SUM(C8:F8)*1000)</f>
        <v/>
      </c>
      <c r="Y14" s="34">
        <f>Y12/(SUM(G8:J8)*1000)</f>
        <v/>
      </c>
      <c r="Z14" s="34">
        <f>Z12/(SUM(K8:N8)*1000)</f>
        <v/>
      </c>
      <c r="AA14" s="34">
        <f>AA12/(SUM(O8:R8)*1000)</f>
        <v/>
      </c>
      <c r="AB14" s="34">
        <f>AB12/(SUM(S8:V8)*1000)</f>
        <v/>
      </c>
    </row>
    <row r="16">
      <c r="A16" s="8" t="inlineStr">
        <is>
          <t xml:space="preserve">    Cost of revenue (cash)</t>
        </is>
      </c>
      <c r="B16" s="4" t="inlineStr">
        <is>
          <t>cash = GAAP less SBC. A: 02_panel_quarterly. E: 40_line_build base, carried in dollars (DEC-0022)</t>
        </is>
      </c>
      <c r="C16" s="31" t="n">
        <v>428</v>
      </c>
      <c r="D16" s="31" t="n">
        <v>432</v>
      </c>
      <c r="E16" s="31" t="n">
        <v>459</v>
      </c>
      <c r="F16" s="31" t="n">
        <v>384</v>
      </c>
      <c r="G16" s="31" t="n">
        <v>480</v>
      </c>
      <c r="H16" s="31" t="n">
        <v>506</v>
      </c>
      <c r="I16" s="31" t="n">
        <v>465</v>
      </c>
      <c r="J16" s="31" t="n">
        <v>427</v>
      </c>
      <c r="K16" s="31" t="n">
        <v>506</v>
      </c>
      <c r="L16" s="31" t="n">
        <v>544</v>
      </c>
      <c r="M16" s="31" t="n">
        <v>549</v>
      </c>
      <c r="N16" s="31" t="n">
        <v>487</v>
      </c>
      <c r="O16" s="31" t="n">
        <v>581</v>
      </c>
      <c r="P16" s="31" t="n">
        <v>633</v>
      </c>
      <c r="Q16" s="31" t="n">
        <v>640.7841188023608</v>
      </c>
      <c r="R16" s="31" t="n">
        <v>578.0394574666427</v>
      </c>
      <c r="S16" s="31" t="n">
        <v>706.0035882028698</v>
      </c>
      <c r="T16" s="31" t="n">
        <v>727.2995429788907</v>
      </c>
      <c r="U16" s="31" t="n">
        <v>699.4536785339944</v>
      </c>
      <c r="V16" s="31" t="n">
        <v>626.8522820155006</v>
      </c>
      <c r="X16" s="32">
        <f>SUM(C16:F16)</f>
        <v/>
      </c>
      <c r="Y16" s="32">
        <f>SUM(G16:J16)</f>
        <v/>
      </c>
      <c r="Z16" s="32">
        <f>SUM(K16:N16)</f>
        <v/>
      </c>
      <c r="AA16" s="32">
        <f>SUM(O16:R16)</f>
        <v/>
      </c>
      <c r="AB16" s="32">
        <f>SUM(S16:V16)</f>
        <v/>
      </c>
    </row>
    <row r="17">
      <c r="A17" s="8" t="inlineStr">
        <is>
          <t xml:space="preserve">    Operations &amp; support (cash)</t>
        </is>
      </c>
      <c r="C17" s="31" t="n">
        <v>267</v>
      </c>
      <c r="D17" s="31" t="n">
        <v>298</v>
      </c>
      <c r="E17" s="31" t="n">
        <v>299</v>
      </c>
      <c r="F17" s="31" t="n">
        <v>254</v>
      </c>
      <c r="G17" s="31" t="n">
        <v>266</v>
      </c>
      <c r="H17" s="31" t="n">
        <v>314</v>
      </c>
      <c r="I17" s="31" t="n">
        <v>347</v>
      </c>
      <c r="J17" s="31" t="n">
        <v>265</v>
      </c>
      <c r="K17" s="31" t="n">
        <v>282</v>
      </c>
      <c r="L17" s="31" t="n">
        <v>309</v>
      </c>
      <c r="M17" s="31" t="n">
        <v>343</v>
      </c>
      <c r="N17" s="31" t="n">
        <v>303</v>
      </c>
      <c r="O17" s="31" t="n">
        <v>301</v>
      </c>
      <c r="P17" s="31" t="n">
        <v>323</v>
      </c>
      <c r="Q17" s="31" t="n">
        <v>361.4430867108318</v>
      </c>
      <c r="R17" s="31" t="n">
        <v>318.2870944871431</v>
      </c>
      <c r="S17" s="31" t="n">
        <v>319.0860911068342</v>
      </c>
      <c r="T17" s="31" t="n">
        <v>340.9682435981541</v>
      </c>
      <c r="U17" s="31" t="n">
        <v>381.7590955367162</v>
      </c>
      <c r="V17" s="31" t="n">
        <v>336.0624813662569</v>
      </c>
      <c r="X17" s="32">
        <f>SUM(C17:F17)</f>
        <v/>
      </c>
      <c r="Y17" s="32">
        <f>SUM(G17:J17)</f>
        <v/>
      </c>
      <c r="Z17" s="32">
        <f>SUM(K17:N17)</f>
        <v/>
      </c>
      <c r="AA17" s="32">
        <f>SUM(O17:R17)</f>
        <v/>
      </c>
      <c r="AB17" s="32">
        <f>SUM(S17:V17)</f>
        <v/>
      </c>
    </row>
    <row r="18">
      <c r="A18" s="8" t="inlineStr">
        <is>
          <t xml:space="preserve">    Product development (cash)</t>
        </is>
      </c>
      <c r="C18" s="31" t="n">
        <v>271</v>
      </c>
      <c r="D18" s="31" t="n">
        <v>260</v>
      </c>
      <c r="E18" s="31" t="n">
        <v>244</v>
      </c>
      <c r="F18" s="31" t="n">
        <v>253</v>
      </c>
      <c r="G18" s="31" t="n">
        <v>290</v>
      </c>
      <c r="H18" s="31" t="n">
        <v>280</v>
      </c>
      <c r="I18" s="31" t="n">
        <v>294</v>
      </c>
      <c r="J18" s="31" t="n">
        <v>306</v>
      </c>
      <c r="K18" s="31" t="n">
        <v>338</v>
      </c>
      <c r="L18" s="31" t="n">
        <v>331</v>
      </c>
      <c r="M18" s="31" t="n">
        <v>333</v>
      </c>
      <c r="N18" s="31" t="n">
        <v>335</v>
      </c>
      <c r="O18" s="31" t="n">
        <v>375</v>
      </c>
      <c r="P18" s="31" t="n">
        <v>374</v>
      </c>
      <c r="Q18" s="31" t="n">
        <v>359.0948816686723</v>
      </c>
      <c r="R18" s="31" t="n">
        <v>369.0251183313277</v>
      </c>
      <c r="S18" s="31" t="n">
        <v>414.1237900800001</v>
      </c>
      <c r="T18" s="31" t="n">
        <v>400.79641536</v>
      </c>
      <c r="U18" s="31" t="n">
        <v>399.65871264</v>
      </c>
      <c r="V18" s="31" t="n">
        <v>410.71068192</v>
      </c>
      <c r="X18" s="32">
        <f>SUM(C18:F18)</f>
        <v/>
      </c>
      <c r="Y18" s="32">
        <f>SUM(G18:J18)</f>
        <v/>
      </c>
      <c r="Z18" s="32">
        <f>SUM(K18:N18)</f>
        <v/>
      </c>
      <c r="AA18" s="32">
        <f>SUM(O18:R18)</f>
        <v/>
      </c>
      <c r="AB18" s="32">
        <f>SUM(S18:V18)</f>
        <v/>
      </c>
    </row>
    <row r="19">
      <c r="A19" s="8" t="inlineStr">
        <is>
          <t xml:space="preserve">    Sales &amp; marketing (cash)</t>
        </is>
      </c>
      <c r="C19" s="31" t="n">
        <v>422</v>
      </c>
      <c r="D19" s="31" t="n">
        <v>450</v>
      </c>
      <c r="E19" s="31" t="n">
        <v>370</v>
      </c>
      <c r="F19" s="31" t="n">
        <v>391</v>
      </c>
      <c r="G19" s="31" t="n">
        <v>479</v>
      </c>
      <c r="H19" s="31" t="n">
        <v>527</v>
      </c>
      <c r="I19" s="31" t="n">
        <v>471</v>
      </c>
      <c r="J19" s="31" t="n">
        <v>501</v>
      </c>
      <c r="K19" s="31" t="n">
        <v>519</v>
      </c>
      <c r="L19" s="31" t="n">
        <v>639</v>
      </c>
      <c r="M19" s="31" t="n">
        <v>585</v>
      </c>
      <c r="N19" s="31" t="n">
        <v>633</v>
      </c>
      <c r="O19" s="31" t="n">
        <v>696</v>
      </c>
      <c r="P19" s="31" t="n">
        <v>808</v>
      </c>
      <c r="Q19" s="31" t="n">
        <v>778.3158128157291</v>
      </c>
      <c r="R19" s="31" t="n">
        <v>758.1075295918367</v>
      </c>
      <c r="S19" s="31" t="n">
        <v>829.2717874113573</v>
      </c>
      <c r="T19" s="31" t="n">
        <v>935.1362709106796</v>
      </c>
      <c r="U19" s="31" t="n">
        <v>819.9308035731818</v>
      </c>
      <c r="V19" s="31" t="n">
        <v>875.2847818734812</v>
      </c>
      <c r="X19" s="32">
        <f>SUM(C19:F19)</f>
        <v/>
      </c>
      <c r="Y19" s="32">
        <f>SUM(G19:J19)</f>
        <v/>
      </c>
      <c r="Z19" s="32">
        <f>SUM(K19:N19)</f>
        <v/>
      </c>
      <c r="AA19" s="32">
        <f>SUM(O19:R19)</f>
        <v/>
      </c>
      <c r="AB19" s="32">
        <f>SUM(S19:V19)</f>
        <v/>
      </c>
    </row>
    <row r="20">
      <c r="A20" s="8" t="inlineStr">
        <is>
          <t xml:space="preserve">    General &amp; administrative (cash, ex lodging-tax reserves)</t>
        </is>
      </c>
      <c r="B20" s="4" t="inlineStr">
        <is>
          <t>ex lodging/withholding-tax reserves (4Q23 carried $931m); reserves sit in the add-back row</t>
        </is>
      </c>
      <c r="C20" s="31" t="n">
        <v>191</v>
      </c>
      <c r="D20" s="31" t="n">
        <v>219</v>
      </c>
      <c r="E20" s="31" t="n">
        <v>202</v>
      </c>
      <c r="F20" s="31" t="n">
        <v>211</v>
      </c>
      <c r="G20" s="31" t="n">
        <v>223</v>
      </c>
      <c r="H20" s="31" t="n">
        <v>242</v>
      </c>
      <c r="I20" s="31" t="n">
        <v>210</v>
      </c>
      <c r="J20" s="31" t="n">
        <v>226</v>
      </c>
      <c r="K20" s="31" t="n">
        <v>235</v>
      </c>
      <c r="L20" s="31" t="n">
        <v>244</v>
      </c>
      <c r="M20" s="31" t="n">
        <v>257</v>
      </c>
      <c r="N20" s="31" t="n">
        <v>259</v>
      </c>
      <c r="O20" s="31" t="n">
        <v>226</v>
      </c>
      <c r="P20" s="31" t="n">
        <v>227</v>
      </c>
      <c r="Q20" s="31" t="n">
        <v>265.3890706023136</v>
      </c>
      <c r="R20" s="31" t="n">
        <v>276.4109293976865</v>
      </c>
      <c r="S20" s="31" t="n">
        <v>249.227244</v>
      </c>
      <c r="T20" s="31" t="n">
        <v>271.5804000000001</v>
      </c>
      <c r="U20" s="31" t="n">
        <v>256.539024</v>
      </c>
      <c r="V20" s="31" t="n">
        <v>267.1933320000001</v>
      </c>
      <c r="X20" s="32">
        <f>SUM(C20:F20)</f>
        <v/>
      </c>
      <c r="Y20" s="32">
        <f>SUM(G20:J20)</f>
        <v/>
      </c>
      <c r="Z20" s="32">
        <f>SUM(K20:N20)</f>
        <v/>
      </c>
      <c r="AA20" s="32">
        <f>SUM(O20:R20)</f>
        <v/>
      </c>
      <c r="AB20" s="32">
        <f>SUM(S20:V20)</f>
        <v/>
      </c>
    </row>
    <row r="21">
      <c r="A21" s="2" t="inlineStr">
        <is>
          <t>Total cash costs</t>
        </is>
      </c>
      <c r="C21" s="32">
        <f>SUM(C16:C20)</f>
        <v/>
      </c>
      <c r="D21" s="32">
        <f>SUM(D16:D20)</f>
        <v/>
      </c>
      <c r="E21" s="32">
        <f>SUM(E16:E20)</f>
        <v/>
      </c>
      <c r="F21" s="32">
        <f>SUM(F16:F20)</f>
        <v/>
      </c>
      <c r="G21" s="32">
        <f>SUM(G16:G20)</f>
        <v/>
      </c>
      <c r="H21" s="32">
        <f>SUM(H16:H20)</f>
        <v/>
      </c>
      <c r="I21" s="32">
        <f>SUM(I16:I20)</f>
        <v/>
      </c>
      <c r="J21" s="32">
        <f>SUM(J16:J20)</f>
        <v/>
      </c>
      <c r="K21" s="32">
        <f>SUM(K16:K20)</f>
        <v/>
      </c>
      <c r="L21" s="32">
        <f>SUM(L16:L20)</f>
        <v/>
      </c>
      <c r="M21" s="32">
        <f>SUM(M16:M20)</f>
        <v/>
      </c>
      <c r="N21" s="32">
        <f>SUM(N16:N20)</f>
        <v/>
      </c>
      <c r="O21" s="32">
        <f>SUM(O16:O20)</f>
        <v/>
      </c>
      <c r="P21" s="32">
        <f>SUM(P16:P20)</f>
        <v/>
      </c>
      <c r="Q21" s="32">
        <f>SUM(Q16:Q20)</f>
        <v/>
      </c>
      <c r="R21" s="32">
        <f>SUM(R16:R20)</f>
        <v/>
      </c>
      <c r="S21" s="32">
        <f>SUM(S16:S20)</f>
        <v/>
      </c>
      <c r="T21" s="32">
        <f>SUM(T16:T20)</f>
        <v/>
      </c>
      <c r="U21" s="32">
        <f>SUM(U16:U20)</f>
        <v/>
      </c>
      <c r="V21" s="32">
        <f>SUM(V16:V20)</f>
        <v/>
      </c>
      <c r="X21" s="32">
        <f>SUM(C21:F21)</f>
        <v/>
      </c>
      <c r="Y21" s="32">
        <f>SUM(G21:J21)</f>
        <v/>
      </c>
      <c r="Z21" s="32">
        <f>SUM(K21:N21)</f>
        <v/>
      </c>
      <c r="AA21" s="32">
        <f>SUM(O21:R21)</f>
        <v/>
      </c>
      <c r="AB21" s="32">
        <f>SUM(S21:V21)</f>
        <v/>
      </c>
    </row>
    <row r="22">
      <c r="A22" s="8" t="inlineStr">
        <is>
          <t xml:space="preserve">    % of revenue</t>
        </is>
      </c>
      <c r="C22" s="10">
        <f>C21/C12</f>
        <v/>
      </c>
      <c r="D22" s="10">
        <f>D21/D12</f>
        <v/>
      </c>
      <c r="E22" s="10">
        <f>E21/E12</f>
        <v/>
      </c>
      <c r="F22" s="10">
        <f>F21/F12</f>
        <v/>
      </c>
      <c r="G22" s="10">
        <f>G21/G12</f>
        <v/>
      </c>
      <c r="H22" s="10">
        <f>H21/H12</f>
        <v/>
      </c>
      <c r="I22" s="10">
        <f>I21/I12</f>
        <v/>
      </c>
      <c r="J22" s="10">
        <f>J21/J12</f>
        <v/>
      </c>
      <c r="K22" s="10">
        <f>K21/K12</f>
        <v/>
      </c>
      <c r="L22" s="10">
        <f>L21/L12</f>
        <v/>
      </c>
      <c r="M22" s="10">
        <f>M21/M12</f>
        <v/>
      </c>
      <c r="N22" s="10">
        <f>N21/N12</f>
        <v/>
      </c>
      <c r="O22" s="10">
        <f>O21/O12</f>
        <v/>
      </c>
      <c r="P22" s="10">
        <f>P21/P12</f>
        <v/>
      </c>
      <c r="Q22" s="10">
        <f>Q21/Q12</f>
        <v/>
      </c>
      <c r="R22" s="10">
        <f>R21/R12</f>
        <v/>
      </c>
      <c r="S22" s="10">
        <f>S21/S12</f>
        <v/>
      </c>
      <c r="T22" s="10">
        <f>T21/T12</f>
        <v/>
      </c>
      <c r="U22" s="10">
        <f>U21/U12</f>
        <v/>
      </c>
      <c r="V22" s="10">
        <f>V21/V12</f>
        <v/>
      </c>
      <c r="X22" s="10">
        <f>X21/X12</f>
        <v/>
      </c>
      <c r="Y22" s="10">
        <f>Y21/Y12</f>
        <v/>
      </c>
      <c r="Z22" s="10">
        <f>Z21/Z12</f>
        <v/>
      </c>
      <c r="AA22" s="10">
        <f>AA21/AA12</f>
        <v/>
      </c>
      <c r="AB22" s="10">
        <f>AB21/AB12</f>
        <v/>
      </c>
    </row>
    <row r="23">
      <c r="A23" s="8" t="inlineStr">
        <is>
          <t xml:space="preserve">    Depreciation &amp; amortisation</t>
        </is>
      </c>
      <c r="C23" s="31" t="n">
        <v>11</v>
      </c>
      <c r="D23" s="31" t="n">
        <v>9</v>
      </c>
      <c r="E23" s="31" t="n">
        <v>8</v>
      </c>
      <c r="F23" s="31" t="n">
        <v>16</v>
      </c>
      <c r="G23" s="31" t="n">
        <v>14</v>
      </c>
      <c r="H23" s="31" t="n">
        <v>14</v>
      </c>
      <c r="I23" s="31" t="n">
        <v>15</v>
      </c>
      <c r="J23" s="31" t="n">
        <v>22</v>
      </c>
      <c r="K23" s="31" t="n">
        <v>25</v>
      </c>
      <c r="L23" s="31" t="n">
        <v>21</v>
      </c>
      <c r="M23" s="31" t="n">
        <v>22</v>
      </c>
      <c r="N23" s="31" t="n">
        <v>23</v>
      </c>
      <c r="O23" s="31" t="n">
        <v>22</v>
      </c>
      <c r="P23" s="31" t="n">
        <v>17</v>
      </c>
      <c r="Q23" s="31" t="n">
        <v>20.63397059990752</v>
      </c>
      <c r="R23" s="31" t="n">
        <v>20.63397059990752</v>
      </c>
      <c r="S23" s="31" t="n">
        <v>20.63397059990752</v>
      </c>
      <c r="T23" s="31" t="n">
        <v>20.63397059990752</v>
      </c>
      <c r="U23" s="31" t="n">
        <v>20.63397059990752</v>
      </c>
      <c r="V23" s="31" t="n">
        <v>20.63397059990752</v>
      </c>
      <c r="X23" s="32">
        <f>SUM(C23:F23)</f>
        <v/>
      </c>
      <c r="Y23" s="32">
        <f>SUM(G23:J23)</f>
        <v/>
      </c>
      <c r="Z23" s="32">
        <f>SUM(K23:N23)</f>
        <v/>
      </c>
      <c r="AA23" s="32">
        <f>SUM(O23:R23)</f>
        <v/>
      </c>
      <c r="AB23" s="32">
        <f>SUM(S23:V23)</f>
        <v/>
      </c>
    </row>
    <row r="24">
      <c r="A24" s="2" t="inlineStr">
        <is>
          <t>Adjusted EBITDA</t>
        </is>
      </c>
      <c r="B24" s="4" t="inlineStr">
        <is>
          <t>A: as reported. E: = revenue - cash costs + D&amp;A + add-backs; margin is therefore an OUTPUT</t>
        </is>
      </c>
      <c r="C24" s="31" t="n">
        <v>262</v>
      </c>
      <c r="D24" s="31" t="n">
        <v>819</v>
      </c>
      <c r="E24" s="31" t="n">
        <v>1834</v>
      </c>
      <c r="F24" s="31" t="n">
        <v>738</v>
      </c>
      <c r="G24" s="31" t="n">
        <v>424</v>
      </c>
      <c r="H24" s="31" t="n">
        <v>894</v>
      </c>
      <c r="I24" s="31" t="n">
        <v>1958</v>
      </c>
      <c r="J24" s="31" t="n">
        <v>765</v>
      </c>
      <c r="K24" s="31" t="n">
        <v>417</v>
      </c>
      <c r="L24" s="31" t="n">
        <v>1043</v>
      </c>
      <c r="M24" s="31" t="n">
        <v>2051</v>
      </c>
      <c r="N24" s="31" t="n">
        <v>786</v>
      </c>
      <c r="O24" s="31" t="n">
        <v>519</v>
      </c>
      <c r="P24" s="31" t="n">
        <v>1261</v>
      </c>
      <c r="Q24" s="32">
        <f>Q12-Q21+Q23+Q26</f>
        <v/>
      </c>
      <c r="R24" s="32">
        <f>R12-R21+R23+R26</f>
        <v/>
      </c>
      <c r="S24" s="32">
        <f>S12-S21+S23+S26</f>
        <v/>
      </c>
      <c r="T24" s="32">
        <f>T12-T21+T23+T26</f>
        <v/>
      </c>
      <c r="U24" s="32">
        <f>U12-U21+U23+U26</f>
        <v/>
      </c>
      <c r="V24" s="32">
        <f>V12-V21+V23+V26</f>
        <v/>
      </c>
      <c r="X24" s="32">
        <f>SUM(C24:F24)</f>
        <v/>
      </c>
      <c r="Y24" s="32">
        <f>SUM(G24:J24)</f>
        <v/>
      </c>
      <c r="Z24" s="32">
        <f>SUM(K24:N24)</f>
        <v/>
      </c>
      <c r="AA24" s="32">
        <f>SUM(O24:R24)</f>
        <v/>
      </c>
      <c r="AB24" s="32">
        <f>SUM(S24:V24)</f>
        <v/>
      </c>
    </row>
    <row r="25">
      <c r="A25" s="8" t="inlineStr">
        <is>
          <t xml:space="preserve">    Adjusted EBITDA margin</t>
        </is>
      </c>
      <c r="C25" s="10">
        <f>C24/C12</f>
        <v/>
      </c>
      <c r="D25" s="10">
        <f>D24/D12</f>
        <v/>
      </c>
      <c r="E25" s="10">
        <f>E24/E12</f>
        <v/>
      </c>
      <c r="F25" s="10">
        <f>F24/F12</f>
        <v/>
      </c>
      <c r="G25" s="10">
        <f>G24/G12</f>
        <v/>
      </c>
      <c r="H25" s="10">
        <f>H24/H12</f>
        <v/>
      </c>
      <c r="I25" s="10">
        <f>I24/I12</f>
        <v/>
      </c>
      <c r="J25" s="10">
        <f>J24/J12</f>
        <v/>
      </c>
      <c r="K25" s="10">
        <f>K24/K12</f>
        <v/>
      </c>
      <c r="L25" s="10">
        <f>L24/L12</f>
        <v/>
      </c>
      <c r="M25" s="10">
        <f>M24/M12</f>
        <v/>
      </c>
      <c r="N25" s="10">
        <f>N24/N12</f>
        <v/>
      </c>
      <c r="O25" s="10">
        <f>O24/O12</f>
        <v/>
      </c>
      <c r="P25" s="10">
        <f>P24/P12</f>
        <v/>
      </c>
      <c r="Q25" s="10">
        <f>Q24/Q12</f>
        <v/>
      </c>
      <c r="R25" s="10">
        <f>R24/R12</f>
        <v/>
      </c>
      <c r="S25" s="10">
        <f>S24/S12</f>
        <v/>
      </c>
      <c r="T25" s="10">
        <f>T24/T12</f>
        <v/>
      </c>
      <c r="U25" s="10">
        <f>U24/U12</f>
        <v/>
      </c>
      <c r="V25" s="10">
        <f>V24/V12</f>
        <v/>
      </c>
      <c r="X25" s="10">
        <f>X24/X12</f>
        <v/>
      </c>
      <c r="Y25" s="10">
        <f>Y24/Y12</f>
        <v/>
      </c>
      <c r="Z25" s="10">
        <f>Z24/Z12</f>
        <v/>
      </c>
      <c r="AA25" s="10">
        <f>AA24/AA12</f>
        <v/>
      </c>
      <c r="AB25" s="10">
        <f>AB24/AB12</f>
        <v/>
      </c>
    </row>
    <row r="26">
      <c r="B26" s="4" t="inlineStr">
        <is>
          <t>memo, feeds Adj. EBITDA: lodging-tax reserves and other add-backs (acquisition, IPO, restructuring)</t>
        </is>
      </c>
      <c r="C26" s="31" t="n">
        <v>12</v>
      </c>
      <c r="D26" s="31" t="n">
        <v>-15</v>
      </c>
      <c r="E26" s="31" t="n">
        <v>3</v>
      </c>
      <c r="F26" s="31" t="n">
        <v>-3</v>
      </c>
      <c r="G26" s="31" t="n">
        <v>6</v>
      </c>
      <c r="H26" s="31" t="n">
        <v>1</v>
      </c>
      <c r="I26" s="31" t="n">
        <v>-2</v>
      </c>
      <c r="J26" s="31" t="n">
        <v>-12</v>
      </c>
      <c r="K26" s="31" t="n">
        <v>0</v>
      </c>
      <c r="L26" s="31" t="n">
        <v>-7</v>
      </c>
      <c r="M26" s="31" t="n">
        <v>1</v>
      </c>
      <c r="N26" s="31" t="n">
        <v>2</v>
      </c>
      <c r="O26" s="31" t="n">
        <v>-2</v>
      </c>
      <c r="P26" s="31" t="n">
        <v>1</v>
      </c>
      <c r="Q26" s="31" t="n">
        <v>0</v>
      </c>
      <c r="R26" s="31" t="n">
        <v>0</v>
      </c>
      <c r="S26" s="31" t="n">
        <v>0</v>
      </c>
      <c r="T26" s="31" t="n">
        <v>0</v>
      </c>
      <c r="U26" s="31" t="n">
        <v>0</v>
      </c>
      <c r="V26" s="31" t="n">
        <v>0</v>
      </c>
      <c r="X26" s="32">
        <f>SUM(C26:F26)</f>
        <v/>
      </c>
      <c r="Y26" s="32">
        <f>SUM(G26:J26)</f>
        <v/>
      </c>
      <c r="Z26" s="32">
        <f>SUM(K26:N26)</f>
        <v/>
      </c>
      <c r="AA26" s="32">
        <f>SUM(O26:R26)</f>
        <v/>
      </c>
      <c r="AB26" s="32">
        <f>SUM(S26:V26)</f>
        <v/>
      </c>
    </row>
    <row r="27">
      <c r="A27" s="8" t="inlineStr">
        <is>
          <t xml:space="preserve">    Stock-based compensation</t>
        </is>
      </c>
      <c r="B27" s="4" t="inlineStr">
        <is>
          <t>A: income-statement footnote total. E: 40_line_build (SBC[q-4] x 1.1318, M7 parameter sheet)</t>
        </is>
      </c>
      <c r="C27" s="31" t="n">
        <v>240</v>
      </c>
      <c r="D27" s="31" t="n">
        <v>304</v>
      </c>
      <c r="E27" s="31" t="n">
        <v>286</v>
      </c>
      <c r="F27" s="31" t="n">
        <v>290</v>
      </c>
      <c r="G27" s="31" t="n">
        <v>295</v>
      </c>
      <c r="H27" s="31" t="n">
        <v>382</v>
      </c>
      <c r="I27" s="31" t="n">
        <v>362</v>
      </c>
      <c r="J27" s="31" t="n">
        <v>368</v>
      </c>
      <c r="K27" s="31" t="n">
        <v>358</v>
      </c>
      <c r="L27" s="31" t="n">
        <v>424</v>
      </c>
      <c r="M27" s="31" t="n">
        <v>399</v>
      </c>
      <c r="N27" s="31" t="n">
        <v>411</v>
      </c>
      <c r="O27" s="31" t="n">
        <v>410</v>
      </c>
      <c r="P27" s="31" t="n">
        <v>487</v>
      </c>
      <c r="Q27" s="31" t="n">
        <v>451.5791856610708</v>
      </c>
      <c r="R27" s="31" t="n">
        <v>465.1605145531331</v>
      </c>
      <c r="S27" s="31" t="n">
        <v>464.0287371454613</v>
      </c>
      <c r="T27" s="31" t="n">
        <v>551.1755975361942</v>
      </c>
      <c r="U27" s="31" t="n">
        <v>511.0871201060549</v>
      </c>
      <c r="V27" s="31" t="n">
        <v>526.4581613122519</v>
      </c>
      <c r="X27" s="32">
        <f>SUM(C27:F27)</f>
        <v/>
      </c>
      <c r="Y27" s="32">
        <f>SUM(G27:J27)</f>
        <v/>
      </c>
      <c r="Z27" s="32">
        <f>SUM(K27:N27)</f>
        <v/>
      </c>
      <c r="AA27" s="32">
        <f>SUM(O27:R27)</f>
        <v/>
      </c>
      <c r="AB27" s="32">
        <f>SUM(S27:V27)</f>
        <v/>
      </c>
    </row>
    <row r="28">
      <c r="A28" s="2" t="inlineStr">
        <is>
          <t>Operating income (GAAP)</t>
        </is>
      </c>
      <c r="B28" s="4" t="inlineStr">
        <is>
          <t>A: reported GAAP. E: = Adj. EBITDA - D&amp;A - SBC (holds exactly in the line build)</t>
        </is>
      </c>
      <c r="C28" s="31" t="n">
        <v>-5</v>
      </c>
      <c r="D28" s="31" t="n">
        <v>523</v>
      </c>
      <c r="E28" s="31" t="n">
        <v>1496</v>
      </c>
      <c r="F28" s="31" t="n">
        <v>-496</v>
      </c>
      <c r="G28" s="31" t="n">
        <v>101</v>
      </c>
      <c r="H28" s="31" t="n">
        <v>497</v>
      </c>
      <c r="I28" s="31" t="n">
        <v>1525</v>
      </c>
      <c r="J28" s="31" t="n">
        <v>430</v>
      </c>
      <c r="K28" s="31" t="n">
        <v>38</v>
      </c>
      <c r="L28" s="31" t="n">
        <v>612</v>
      </c>
      <c r="M28" s="31" t="n">
        <v>1625</v>
      </c>
      <c r="N28" s="31" t="n">
        <v>269</v>
      </c>
      <c r="O28" s="31" t="n">
        <v>86</v>
      </c>
      <c r="P28" s="31" t="n">
        <v>758</v>
      </c>
      <c r="Q28" s="32">
        <f>Q24-Q23-Q27</f>
        <v/>
      </c>
      <c r="R28" s="32">
        <f>R24-R23-R27</f>
        <v/>
      </c>
      <c r="S28" s="32">
        <f>S24-S23-S27</f>
        <v/>
      </c>
      <c r="T28" s="32">
        <f>T24-T23-T27</f>
        <v/>
      </c>
      <c r="U28" s="32">
        <f>U24-U23-U27</f>
        <v/>
      </c>
      <c r="V28" s="32">
        <f>V24-V23-V27</f>
        <v/>
      </c>
      <c r="X28" s="32">
        <f>SUM(C28:F28)</f>
        <v/>
      </c>
      <c r="Y28" s="32">
        <f>SUM(G28:J28)</f>
        <v/>
      </c>
      <c r="Z28" s="32">
        <f>SUM(K28:N28)</f>
        <v/>
      </c>
      <c r="AA28" s="32">
        <f>SUM(O28:R28)</f>
        <v/>
      </c>
      <c r="AB28" s="32">
        <f>SUM(S28:V28)</f>
        <v/>
      </c>
    </row>
    <row r="29">
      <c r="A29" s="8" t="inlineStr">
        <is>
          <t xml:space="preserve">    Interest income</t>
        </is>
      </c>
      <c r="C29" s="31" t="n">
        <v>146</v>
      </c>
      <c r="D29" s="31" t="n">
        <v>191</v>
      </c>
      <c r="E29" s="31" t="n">
        <v>192</v>
      </c>
      <c r="F29" s="31" t="n">
        <v>192</v>
      </c>
      <c r="G29" s="31" t="n">
        <v>202</v>
      </c>
      <c r="H29" s="31" t="n">
        <v>226</v>
      </c>
      <c r="I29" s="31" t="n">
        <v>207</v>
      </c>
      <c r="J29" s="31" t="n">
        <v>183</v>
      </c>
      <c r="K29" s="31" t="n">
        <v>173</v>
      </c>
      <c r="L29" s="31" t="n">
        <v>190</v>
      </c>
      <c r="M29" s="31" t="n">
        <v>180</v>
      </c>
      <c r="N29" s="31" t="n">
        <v>162</v>
      </c>
      <c r="O29" s="31" t="n">
        <v>155</v>
      </c>
      <c r="P29" s="31" t="n">
        <v>183</v>
      </c>
      <c r="Q29" s="31" t="n">
        <v>183.5489337595264</v>
      </c>
      <c r="R29" s="31" t="n">
        <v>165.4954652969192</v>
      </c>
      <c r="S29" s="31" t="n">
        <v>180.2622584477442</v>
      </c>
      <c r="T29" s="31" t="n">
        <v>202.8476930093186</v>
      </c>
      <c r="U29" s="31" t="n">
        <v>191.1450853247752</v>
      </c>
      <c r="V29" s="31" t="n">
        <v>171.1550764191038</v>
      </c>
      <c r="X29" s="32">
        <f>SUM(C29:F29)</f>
        <v/>
      </c>
      <c r="Y29" s="32">
        <f>SUM(G29:J29)</f>
        <v/>
      </c>
      <c r="Z29" s="32">
        <f>SUM(K29:N29)</f>
        <v/>
      </c>
      <c r="AA29" s="32">
        <f>SUM(O29:R29)</f>
        <v/>
      </c>
      <c r="AB29" s="32">
        <f>SUM(S29:V29)</f>
        <v/>
      </c>
    </row>
    <row r="30">
      <c r="A30" s="8" t="inlineStr">
        <is>
          <t xml:space="preserve">    Interest expense</t>
        </is>
      </c>
      <c r="C30" s="31" t="n">
        <v>4</v>
      </c>
      <c r="D30" s="31" t="n">
        <v>2</v>
      </c>
      <c r="E30" s="31" t="n">
        <v>6</v>
      </c>
      <c r="F30" s="31" t="n">
        <v>71</v>
      </c>
      <c r="G30" s="31" t="n">
        <v>0</v>
      </c>
      <c r="H30" s="31" t="n">
        <v>9</v>
      </c>
      <c r="I30" s="31" t="n">
        <v>2</v>
      </c>
      <c r="J30" s="31" t="n">
        <v>10</v>
      </c>
      <c r="K30" s="31" t="n">
        <v>5</v>
      </c>
      <c r="L30" s="31" t="n">
        <v>6</v>
      </c>
      <c r="M30" s="31" t="n">
        <v>6</v>
      </c>
      <c r="N30" s="31" t="n">
        <v>26</v>
      </c>
      <c r="O30" s="31" t="n">
        <v>21</v>
      </c>
      <c r="P30" s="31" t="n">
        <v>37</v>
      </c>
      <c r="Q30" s="31" t="n">
        <v>37</v>
      </c>
      <c r="R30" s="31" t="n">
        <v>37</v>
      </c>
      <c r="S30" s="31" t="n">
        <v>37</v>
      </c>
      <c r="T30" s="31" t="n">
        <v>37</v>
      </c>
      <c r="U30" s="31" t="n">
        <v>37</v>
      </c>
      <c r="V30" s="31" t="n">
        <v>37</v>
      </c>
      <c r="X30" s="32">
        <f>SUM(C30:F30)</f>
        <v/>
      </c>
      <c r="Y30" s="32">
        <f>SUM(G30:J30)</f>
        <v/>
      </c>
      <c r="Z30" s="32">
        <f>SUM(K30:N30)</f>
        <v/>
      </c>
      <c r="AA30" s="32">
        <f>SUM(O30:R30)</f>
        <v/>
      </c>
      <c r="AB30" s="32">
        <f>SUM(S30:V30)</f>
        <v/>
      </c>
    </row>
    <row r="31">
      <c r="A31" s="8" t="inlineStr">
        <is>
          <t xml:space="preserve">    Other income / (expense), net</t>
        </is>
      </c>
      <c r="C31" s="31" t="n">
        <v>-7</v>
      </c>
      <c r="D31" s="31" t="n">
        <v>-36</v>
      </c>
      <c r="E31" s="31" t="n">
        <v>-3</v>
      </c>
      <c r="F31" s="31" t="n">
        <v>-8</v>
      </c>
      <c r="G31" s="31" t="n">
        <v>-10</v>
      </c>
      <c r="H31" s="31" t="n">
        <v>-33</v>
      </c>
      <c r="I31" s="31" t="n">
        <v>5</v>
      </c>
      <c r="J31" s="31" t="n">
        <v>19</v>
      </c>
      <c r="K31" s="31" t="n">
        <v>-33</v>
      </c>
      <c r="L31" s="31" t="n">
        <v>-17</v>
      </c>
      <c r="M31" s="31" t="n">
        <v>-7</v>
      </c>
      <c r="N31" s="31" t="n">
        <v>-12</v>
      </c>
      <c r="O31" s="31" t="n">
        <v>61</v>
      </c>
      <c r="P31" s="31" t="n">
        <v>-7</v>
      </c>
      <c r="Q31" s="31" t="n">
        <v>3.7</v>
      </c>
      <c r="R31" s="31" t="n">
        <v>3.7</v>
      </c>
      <c r="S31" s="31" t="n">
        <v>3.7</v>
      </c>
      <c r="T31" s="31" t="n">
        <v>3.7</v>
      </c>
      <c r="U31" s="31" t="n">
        <v>3.7</v>
      </c>
      <c r="V31" s="31" t="n">
        <v>3.7</v>
      </c>
      <c r="X31" s="32">
        <f>SUM(C31:F31)</f>
        <v/>
      </c>
      <c r="Y31" s="32">
        <f>SUM(G31:J31)</f>
        <v/>
      </c>
      <c r="Z31" s="32">
        <f>SUM(K31:N31)</f>
        <v/>
      </c>
      <c r="AA31" s="32">
        <f>SUM(O31:R31)</f>
        <v/>
      </c>
      <c r="AB31" s="32">
        <f>SUM(S31:V31)</f>
        <v/>
      </c>
    </row>
    <row r="32">
      <c r="A32" s="2" t="inlineStr">
        <is>
          <t>Pre-tax income</t>
        </is>
      </c>
      <c r="C32" s="31" t="n">
        <v>130</v>
      </c>
      <c r="D32" s="31" t="n">
        <v>676</v>
      </c>
      <c r="E32" s="31" t="n">
        <v>1679</v>
      </c>
      <c r="F32" s="31" t="n">
        <v>-383</v>
      </c>
      <c r="G32" s="31" t="n">
        <v>293</v>
      </c>
      <c r="H32" s="31" t="n">
        <v>681</v>
      </c>
      <c r="I32" s="31" t="n">
        <v>1735</v>
      </c>
      <c r="J32" s="31" t="n">
        <v>622</v>
      </c>
      <c r="K32" s="31" t="n">
        <v>173</v>
      </c>
      <c r="L32" s="31" t="n">
        <v>779</v>
      </c>
      <c r="M32" s="31" t="n">
        <v>1792</v>
      </c>
      <c r="N32" s="31" t="n">
        <v>393</v>
      </c>
      <c r="O32" s="31" t="n">
        <v>281</v>
      </c>
      <c r="P32" s="31" t="n">
        <v>897</v>
      </c>
      <c r="Q32" s="32">
        <f>Q28+Q29-Q30+Q31</f>
        <v/>
      </c>
      <c r="R32" s="32">
        <f>R28+R29-R30+R31</f>
        <v/>
      </c>
      <c r="S32" s="32">
        <f>S28+S29-S30+S31</f>
        <v/>
      </c>
      <c r="T32" s="32">
        <f>T28+T29-T30+T31</f>
        <v/>
      </c>
      <c r="U32" s="32">
        <f>U28+U29-U30+U31</f>
        <v/>
      </c>
      <c r="V32" s="32">
        <f>V28+V29-V30+V31</f>
        <v/>
      </c>
      <c r="X32" s="32">
        <f>SUM(C32:F32)</f>
        <v/>
      </c>
      <c r="Y32" s="32">
        <f>SUM(G32:J32)</f>
        <v/>
      </c>
      <c r="Z32" s="32">
        <f>SUM(K32:N32)</f>
        <v/>
      </c>
      <c r="AA32" s="32">
        <f>SUM(O32:R32)</f>
        <v/>
      </c>
      <c r="AB32" s="32">
        <f>SUM(S32:V32)</f>
        <v/>
      </c>
    </row>
    <row r="33">
      <c r="A33" s="8" t="inlineStr">
        <is>
          <t xml:space="preserve">    Income tax</t>
        </is>
      </c>
      <c r="B33" s="4" t="inlineStr">
        <is>
          <t>E: effective rate 18.0% FY26 / 17.5% FY27 (M7 parameter sheet), applied to our own pre-tax</t>
        </is>
      </c>
      <c r="C33" s="31" t="n">
        <v>13.4</v>
      </c>
      <c r="D33" s="31" t="n">
        <v>26</v>
      </c>
      <c r="E33" s="31" t="n">
        <v>-2695</v>
      </c>
      <c r="F33" s="31" t="n">
        <v>-34</v>
      </c>
      <c r="G33" s="31" t="n">
        <v>29</v>
      </c>
      <c r="H33" s="31" t="n">
        <v>126</v>
      </c>
      <c r="I33" s="31" t="n">
        <v>367</v>
      </c>
      <c r="J33" s="31" t="n">
        <v>161</v>
      </c>
      <c r="K33" s="31" t="n">
        <v>19</v>
      </c>
      <c r="L33" s="31" t="n">
        <v>137</v>
      </c>
      <c r="M33" s="31" t="n">
        <v>418</v>
      </c>
      <c r="N33" s="31" t="n">
        <v>52</v>
      </c>
      <c r="O33" s="31" t="n">
        <v>121</v>
      </c>
      <c r="P33" s="31" t="n">
        <v>81</v>
      </c>
      <c r="Q33" s="32">
        <f>Q32*0.18</f>
        <v/>
      </c>
      <c r="R33" s="32">
        <f>R32*0.18</f>
        <v/>
      </c>
      <c r="S33" s="32">
        <f>S32*0.175</f>
        <v/>
      </c>
      <c r="T33" s="32">
        <f>T32*0.175</f>
        <v/>
      </c>
      <c r="U33" s="32">
        <f>U32*0.175</f>
        <v/>
      </c>
      <c r="V33" s="32">
        <f>V32*0.175</f>
        <v/>
      </c>
      <c r="X33" s="32">
        <f>SUM(C33:F33)</f>
        <v/>
      </c>
      <c r="Y33" s="32">
        <f>SUM(G33:J33)</f>
        <v/>
      </c>
      <c r="Z33" s="32">
        <f>SUM(K33:N33)</f>
        <v/>
      </c>
      <c r="AA33" s="32">
        <f>SUM(O33:R33)</f>
        <v/>
      </c>
      <c r="AB33" s="32">
        <f>SUM(S33:V33)</f>
        <v/>
      </c>
    </row>
    <row r="34">
      <c r="A34" s="2" t="inlineStr">
        <is>
          <t>Net income</t>
        </is>
      </c>
      <c r="C34" s="31" t="n">
        <v>117</v>
      </c>
      <c r="D34" s="31" t="n">
        <v>650</v>
      </c>
      <c r="E34" s="31" t="n">
        <v>4374</v>
      </c>
      <c r="F34" s="31" t="n">
        <v>-349</v>
      </c>
      <c r="G34" s="31" t="n">
        <v>264</v>
      </c>
      <c r="H34" s="31" t="n">
        <v>555</v>
      </c>
      <c r="I34" s="31" t="n">
        <v>1368</v>
      </c>
      <c r="J34" s="31" t="n">
        <v>461</v>
      </c>
      <c r="K34" s="31" t="n">
        <v>154</v>
      </c>
      <c r="L34" s="31" t="n">
        <v>642</v>
      </c>
      <c r="M34" s="31" t="n">
        <v>1374</v>
      </c>
      <c r="N34" s="31" t="n">
        <v>341</v>
      </c>
      <c r="O34" s="31" t="n">
        <v>160</v>
      </c>
      <c r="P34" s="31" t="n">
        <v>816</v>
      </c>
      <c r="Q34" s="32">
        <f>Q32-Q33</f>
        <v/>
      </c>
      <c r="R34" s="32">
        <f>R32-R33</f>
        <v/>
      </c>
      <c r="S34" s="32">
        <f>S32-S33</f>
        <v/>
      </c>
      <c r="T34" s="32">
        <f>T32-T33</f>
        <v/>
      </c>
      <c r="U34" s="32">
        <f>U32-U33</f>
        <v/>
      </c>
      <c r="V34" s="32">
        <f>V32-V33</f>
        <v/>
      </c>
      <c r="X34" s="32">
        <f>SUM(C34:F34)</f>
        <v/>
      </c>
      <c r="Y34" s="32">
        <f>SUM(G34:J34)</f>
        <v/>
      </c>
      <c r="Z34" s="32">
        <f>SUM(K34:N34)</f>
        <v/>
      </c>
      <c r="AA34" s="32">
        <f>SUM(O34:R34)</f>
        <v/>
      </c>
      <c r="AB34" s="32">
        <f>SUM(S34:V34)</f>
        <v/>
      </c>
    </row>
    <row r="35">
      <c r="A35" s="8" t="inlineStr">
        <is>
          <t xml:space="preserve">    Diluted shares (m)</t>
        </is>
      </c>
      <c r="C35" s="9" t="n">
        <v>670</v>
      </c>
      <c r="D35" s="9" t="n">
        <v>665</v>
      </c>
      <c r="E35" s="9" t="n">
        <v>660</v>
      </c>
      <c r="F35" s="9" t="n">
        <v>640</v>
      </c>
      <c r="G35" s="9" t="n">
        <v>654</v>
      </c>
      <c r="H35" s="9" t="n">
        <v>649</v>
      </c>
      <c r="I35" s="9" t="n">
        <v>642</v>
      </c>
      <c r="J35" s="9" t="n">
        <v>636</v>
      </c>
      <c r="K35" s="9" t="n">
        <v>632</v>
      </c>
      <c r="L35" s="9" t="n">
        <v>626</v>
      </c>
      <c r="M35" s="9" t="n">
        <v>621</v>
      </c>
      <c r="N35" s="9" t="n">
        <v>614</v>
      </c>
      <c r="O35" s="9" t="n">
        <v>608</v>
      </c>
      <c r="P35" s="9" t="n">
        <v>597</v>
      </c>
      <c r="Q35" s="9" t="n">
        <v>591.6758133819055</v>
      </c>
      <c r="R35" s="9" t="n">
        <v>586.3516267638111</v>
      </c>
      <c r="S35" s="9" t="n">
        <v>581.0274401457166</v>
      </c>
      <c r="T35" s="9" t="n">
        <v>575.7032535276221</v>
      </c>
      <c r="U35" s="9" t="n">
        <v>570.3790669095276</v>
      </c>
      <c r="V35" s="9" t="n">
        <v>565.0548802914332</v>
      </c>
      <c r="X35" s="9" t="n">
        <v>662</v>
      </c>
      <c r="Y35" s="9" t="n">
        <v>645</v>
      </c>
      <c r="Z35" s="9" t="n">
        <v>623</v>
      </c>
      <c r="AA35" s="22">
        <f>AVERAGE(O35:R35)</f>
        <v/>
      </c>
      <c r="AB35" s="22">
        <f>AVERAGE(S35:V35)</f>
        <v/>
      </c>
    </row>
    <row r="36">
      <c r="A36" s="2" t="inlineStr">
        <is>
          <t>Diluted EPS ($)</t>
        </is>
      </c>
      <c r="B36" s="4" t="inlineStr">
        <is>
          <t>E: = net income / diluted shares; shares -5.324m per quarter (M7)</t>
        </is>
      </c>
      <c r="C36" s="11" t="n">
        <v>0.18</v>
      </c>
      <c r="D36" s="11" t="n">
        <v>0.98</v>
      </c>
      <c r="E36" s="11" t="n">
        <v>6.63</v>
      </c>
      <c r="F36" s="11" t="n">
        <v>-0.55</v>
      </c>
      <c r="G36" s="11" t="n">
        <v>0.41</v>
      </c>
      <c r="H36" s="11" t="n">
        <v>0.86</v>
      </c>
      <c r="I36" s="11" t="n">
        <v>2.13</v>
      </c>
      <c r="J36" s="11" t="n">
        <v>0.73</v>
      </c>
      <c r="K36" s="11" t="n">
        <v>0.24</v>
      </c>
      <c r="L36" s="11" t="n">
        <v>1.03</v>
      </c>
      <c r="M36" s="11" t="n">
        <v>2.21</v>
      </c>
      <c r="N36" s="11" t="n">
        <v>0.5600000000000001</v>
      </c>
      <c r="O36" s="11" t="n">
        <v>0.26</v>
      </c>
      <c r="P36" s="11" t="n">
        <v>1.37</v>
      </c>
      <c r="Q36" s="15">
        <f>Q34/Q35</f>
        <v/>
      </c>
      <c r="R36" s="15">
        <f>R34/R35</f>
        <v/>
      </c>
      <c r="S36" s="15">
        <f>S34/S35</f>
        <v/>
      </c>
      <c r="T36" s="15">
        <f>T34/T35</f>
        <v/>
      </c>
      <c r="U36" s="15">
        <f>U34/U35</f>
        <v/>
      </c>
      <c r="V36" s="15">
        <f>V34/V35</f>
        <v/>
      </c>
      <c r="X36" s="11" t="n">
        <v>7.24</v>
      </c>
      <c r="Y36" s="11" t="n">
        <v>4.11</v>
      </c>
      <c r="Z36" s="11" t="n">
        <v>4.03</v>
      </c>
      <c r="AA36" s="15">
        <f>AA34/AA35</f>
        <v/>
      </c>
      <c r="AB36" s="15">
        <f>AB34/AB35</f>
        <v/>
      </c>
    </row>
    <row r="38">
      <c r="A38" s="5" t="inlineStr">
        <is>
          <t>Cross-checks against the Street, and the open choices this line does not settle (memo rows - none of these feed the statement above)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</row>
    <row r="39">
      <c r="A39" s="8" t="inlineStr">
        <is>
          <t>Street revenue ($m)</t>
        </is>
      </c>
      <c r="B39" s="4" t="inlineStr">
        <is>
          <t>LSEG 06_consensus_quarterly_2027.csv, 13 Sep 2026 pull</t>
        </is>
      </c>
      <c r="Q39" s="31" t="n">
        <v>4744.32</v>
      </c>
      <c r="R39" s="31" t="n">
        <v>3161.82</v>
      </c>
      <c r="S39" s="31" t="n">
        <v>3010.32</v>
      </c>
      <c r="T39" s="31" t="n">
        <v>4036.94</v>
      </c>
      <c r="U39" s="31" t="n">
        <v>5269.97</v>
      </c>
      <c r="V39" s="31" t="n">
        <v>3528.92</v>
      </c>
    </row>
    <row r="40">
      <c r="A40" s="8" t="inlineStr">
        <is>
          <t xml:space="preserve">    ours vs Street</t>
        </is>
      </c>
      <c r="B40" s="4" t="inlineStr">
        <is>
          <t>negative = our nights/ADR lines sit below consensus</t>
        </is>
      </c>
      <c r="Q40" s="33">
        <f>Q12/Q39-1</f>
        <v/>
      </c>
      <c r="R40" s="33">
        <f>R12/R39-1</f>
        <v/>
      </c>
      <c r="S40" s="33">
        <f>S12/S39-1</f>
        <v/>
      </c>
      <c r="T40" s="33">
        <f>T12/T39-1</f>
        <v/>
      </c>
      <c r="U40" s="33">
        <f>U12/U39-1</f>
        <v/>
      </c>
      <c r="V40" s="33">
        <f>V12/V39-1</f>
        <v/>
      </c>
    </row>
    <row r="41">
      <c r="A41" s="8" t="inlineStr">
        <is>
          <t>Street adj. EBITDA ($m)</t>
        </is>
      </c>
      <c r="B41" s="4" t="inlineStr">
        <is>
          <t>LSEG; n 36-37 for 3Q26/4Q26, n 17-19 for 2027</t>
        </is>
      </c>
      <c r="Q41" s="31" t="n">
        <v>2361.52</v>
      </c>
      <c r="R41" s="31" t="n">
        <v>913.6799999999999</v>
      </c>
      <c r="S41" s="31" t="n">
        <v>610.73</v>
      </c>
      <c r="T41" s="31" t="n">
        <v>1451.71</v>
      </c>
      <c r="U41" s="31" t="n">
        <v>2695.55</v>
      </c>
      <c r="V41" s="31" t="n">
        <v>1068.4</v>
      </c>
    </row>
    <row r="42">
      <c r="A42" s="8" t="inlineStr">
        <is>
          <t xml:space="preserve">    ours vs Street</t>
        </is>
      </c>
      <c r="B42" s="4" t="inlineStr">
        <is>
          <t>wider than the revenue gap because cost dollars are carried flat</t>
        </is>
      </c>
      <c r="Q42" s="33">
        <f>Q24/Q41-1</f>
        <v/>
      </c>
      <c r="R42" s="33">
        <f>R24/R41-1</f>
        <v/>
      </c>
      <c r="S42" s="33">
        <f>S24/S41-1</f>
        <v/>
      </c>
      <c r="T42" s="33">
        <f>T24/T41-1</f>
        <v/>
      </c>
      <c r="U42" s="33">
        <f>U24/U41-1</f>
        <v/>
      </c>
      <c r="V42" s="33">
        <f>V24/V41-1</f>
        <v/>
      </c>
    </row>
    <row r="43">
      <c r="A43" s="8" t="inlineStr">
        <is>
          <t>memo: adj. EBITDA if costs flexed to hold the line build's own margin</t>
        </is>
      </c>
      <c r="B43" s="4" t="inlineStr">
        <is>
          <t>DEC-0022 carries dollars flat; C4 asks whether management's margin sentence is a budget (costs flex) or a floor</t>
        </is>
      </c>
      <c r="Q43" s="32">
        <f>Q12*0.5036687385012039</f>
        <v/>
      </c>
      <c r="R43" s="32">
        <f>R12*0.2828323322844086</f>
        <v/>
      </c>
      <c r="S43" s="32">
        <f>S12*0.18212486768865177</f>
        <v/>
      </c>
      <c r="T43" s="32">
        <f>T12*0.34098793219639467</f>
        <v/>
      </c>
      <c r="U43" s="32">
        <f>U12*0.5196296453789346</f>
        <v/>
      </c>
      <c r="V43" s="32">
        <f>V12*0.2799655381693949</f>
        <v/>
      </c>
    </row>
    <row r="44">
      <c r="A44" s="8" t="inlineStr">
        <is>
          <t xml:space="preserve">    difference vs the statement above</t>
        </is>
      </c>
      <c r="B44" s="4" t="inlineStr">
        <is>
          <t>the cost of the flat-dollar assumption, in EBITDA $m</t>
        </is>
      </c>
      <c r="Q44" s="32">
        <f>Q43-Q24</f>
        <v/>
      </c>
      <c r="R44" s="32">
        <f>R43-R24</f>
        <v/>
      </c>
      <c r="S44" s="32">
        <f>S43-S24</f>
        <v/>
      </c>
      <c r="T44" s="32">
        <f>T43-T24</f>
        <v/>
      </c>
      <c r="U44" s="32">
        <f>U43-U24</f>
        <v/>
      </c>
      <c r="V44" s="32">
        <f>V43-V24</f>
        <v/>
      </c>
    </row>
    <row r="45">
      <c r="A45" s="8" t="inlineStr">
        <is>
          <t>memo: DEC-0023 hosting step, B08 alternative ($85.0m/q vs the $100.21m/$111.71m plugged)</t>
        </is>
      </c>
      <c r="B45" s="4" t="inlineStr">
        <is>
          <t>NOT CHOSEN - both sides on record; positive = EBITDA if the lower B08 hosting number is right</t>
        </is>
      </c>
      <c r="Q45" s="31" t="n">
        <v>15.20793246038539</v>
      </c>
      <c r="R45" s="31" t="n">
        <v>15.20793246038539</v>
      </c>
      <c r="S45" s="31" t="n">
        <v>26.70793246038539</v>
      </c>
      <c r="T45" s="31" t="n">
        <v>26.70793246038539</v>
      </c>
      <c r="U45" s="31" t="n">
        <v>26.70793246038539</v>
      </c>
      <c r="V45" s="31" t="n">
        <v>26.70793246038539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  <row r="22">
      <c r="A22" s="8" t="inlineStr">
        <is>
          <t>Sub-regional mix inputs (v2)</t>
        </is>
      </c>
      <c r="B22" s="8" t="inlineStr">
        <is>
          <t>Inside Airbnb capture store → refresh_prices.py: 123 markets, 30 priced countries</t>
        </is>
      </c>
      <c r="C22" s="8" t="inlineStr">
        <is>
          <t>adr_v2_geomix_prereg</t>
        </is>
      </c>
    </row>
    <row r="23">
      <c r="A23" s="8" t="inlineStr">
        <is>
          <t>Origin→destination flows</t>
        </is>
      </c>
      <c r="B23" s="8" t="inlineStr">
        <is>
          <t>NTTO, JNTO, ABS, StatCan arrivals by origin (od_layer.py)</t>
        </is>
      </c>
      <c r="C23" s="8" t="inlineStr">
        <is>
          <t>adr_v2_upgrade2</t>
        </is>
      </c>
    </row>
    <row r="24">
      <c r="A24" s="8" t="inlineStr">
        <is>
          <t>Mitigation outputs (block G)</t>
        </is>
      </c>
      <c r="B24" s="8" t="inlineStr">
        <is>
          <t>adr_engine/: reconcile_pooled_regressions.csv, sizemix_rebased_plug.csv, market_panel_scores.csv, origin_lang_*.csv</t>
        </is>
      </c>
      <c r="C24" s="8" t="inlineStr">
        <is>
          <t>adr_v2_mitigation_A–D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2026-09-22T16:50:13Z</dcterms:created>
  <dcterms:modified xsi:type="dcterms:W3CDTF">2026-09-22T16:50:13Z</dcterms:modified>
</cp:coreProperties>
</file>