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Income_Statement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146.8m; engine stays read in Nights_Engine block D). All other income-statement lines: to build together, one at a time, each with its rationale file (DEC-0021 / DEC-0026).</t>
        </is>
      </c>
    </row>
    <row r="8" ht="48" customHeight="1">
      <c r="A8" s="2" t="inlineStr">
        <is>
          <t>Verification</t>
        </is>
      </c>
      <c r="B8" s="3" t="inlineStr">
        <is>
          <t>Formulas were recalculated in Excel and checked against the engine's Python outputs (block 'Engine reference values'): W1/W2 ratios, band, a, b, 3Q26 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Other lines: labels only until built together (yellow = to build). Quarters A = printed, E = engine forecast.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5">
        <f>Nights_Engine!K7</f>
        <v/>
      </c>
      <c r="D5" s="25">
        <f>Nights_Engine!L7</f>
        <v/>
      </c>
      <c r="E5" s="25">
        <f>Nights_Engine!M7</f>
        <v/>
      </c>
      <c r="F5" s="25">
        <f>Nights_Engine!N7</f>
        <v/>
      </c>
      <c r="G5" s="25">
        <f>Nights_Engine!O7</f>
        <v/>
      </c>
      <c r="H5" s="25">
        <f>Nights_Engine!P7</f>
        <v/>
      </c>
      <c r="I5" s="25">
        <f>Nights_Engine!Q7</f>
        <v/>
      </c>
      <c r="J5" s="25">
        <f>Nights_Engine!R7</f>
        <v/>
      </c>
      <c r="K5" s="25">
        <f>Nights_Engine!S7</f>
        <v/>
      </c>
      <c r="L5" s="25">
        <f>Nights_Engine!T7</f>
        <v/>
      </c>
      <c r="M5" s="25">
        <f>Nights_Engine!U7</f>
        <v/>
      </c>
      <c r="N5" s="25">
        <f>Nights_Engine!V7</f>
        <v/>
      </c>
      <c r="O5" s="25">
        <f>Nights_Engine!W7</f>
        <v/>
      </c>
      <c r="P5" s="25">
        <f>Nights_Engine!X7</f>
        <v/>
      </c>
      <c r="Q5" s="26">
        <f>Nights_Engine!Y85</f>
        <v/>
      </c>
      <c r="R5" s="26">
        <f>Nights_Engine!Z85</f>
        <v/>
      </c>
      <c r="S5" s="26">
        <f>Nights_Engine!AA85</f>
        <v/>
      </c>
      <c r="T5" s="26">
        <f>Nights_Engine!AB85</f>
        <v/>
      </c>
      <c r="U5" s="26">
        <f>Nights_Engine!AC85</f>
        <v/>
      </c>
      <c r="V5" s="26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7">
        <f>O5+P5+Q5+R5</f>
        <v/>
      </c>
      <c r="AB5" s="27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28">
        <f>Nights_Engine!K8</f>
        <v/>
      </c>
      <c r="D6" s="28">
        <f>Nights_Engine!L8</f>
        <v/>
      </c>
      <c r="E6" s="28">
        <f>Nights_Engine!M8</f>
        <v/>
      </c>
      <c r="F6" s="28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2" t="inlineStr">
        <is>
          <t>Gross booking value ($bn)</t>
        </is>
      </c>
      <c r="Q8" s="29" t="n"/>
      <c r="R8" s="29" t="n"/>
      <c r="S8" s="29" t="n"/>
      <c r="T8" s="29" t="n"/>
      <c r="U8" s="29" t="n"/>
      <c r="V8" s="29" t="n"/>
    </row>
    <row r="9">
      <c r="A9" s="8" t="inlineStr">
        <is>
          <t xml:space="preserve">    y/y</t>
        </is>
      </c>
      <c r="Q9" s="29" t="n"/>
      <c r="R9" s="29" t="n"/>
      <c r="S9" s="29" t="n"/>
      <c r="T9" s="29" t="n"/>
      <c r="U9" s="29" t="n"/>
      <c r="V9" s="29" t="n"/>
    </row>
    <row r="10">
      <c r="A10" s="2" t="inlineStr">
        <is>
          <t>ADR ($ = GBV / nights)</t>
        </is>
      </c>
      <c r="Q10" s="29" t="n"/>
      <c r="R10" s="29" t="n"/>
      <c r="S10" s="29" t="n"/>
      <c r="T10" s="29" t="n"/>
      <c r="U10" s="29" t="n"/>
      <c r="V10" s="29" t="n"/>
    </row>
    <row r="11">
      <c r="A11" s="8" t="inlineStr">
        <is>
          <t xml:space="preserve">    y/y</t>
        </is>
      </c>
      <c r="Q11" s="29" t="n"/>
      <c r="R11" s="29" t="n"/>
      <c r="S11" s="29" t="n"/>
      <c r="T11" s="29" t="n"/>
      <c r="U11" s="29" t="n"/>
      <c r="V11" s="29" t="n"/>
    </row>
    <row r="12">
      <c r="A12" s="2" t="inlineStr">
        <is>
          <t>Revenue</t>
        </is>
      </c>
      <c r="Q12" s="29" t="n"/>
      <c r="R12" s="29" t="n"/>
      <c r="S12" s="29" t="n"/>
      <c r="T12" s="29" t="n"/>
      <c r="U12" s="29" t="n"/>
      <c r="V12" s="29" t="n"/>
    </row>
    <row r="13">
      <c r="A13" s="8" t="inlineStr">
        <is>
          <t xml:space="preserve">    y/y</t>
        </is>
      </c>
      <c r="Q13" s="29" t="n"/>
      <c r="R13" s="29" t="n"/>
      <c r="S13" s="29" t="n"/>
      <c r="T13" s="29" t="n"/>
      <c r="U13" s="29" t="n"/>
      <c r="V13" s="29" t="n"/>
    </row>
    <row r="14">
      <c r="A14" s="8" t="inlineStr">
        <is>
          <t xml:space="preserve">    Take rate (revenue / GBV)</t>
        </is>
      </c>
      <c r="Q14" s="29" t="n"/>
      <c r="R14" s="29" t="n"/>
      <c r="S14" s="29" t="n"/>
      <c r="T14" s="29" t="n"/>
      <c r="U14" s="29" t="n"/>
      <c r="V14" s="29" t="n"/>
    </row>
    <row r="16">
      <c r="A16" s="8" t="inlineStr">
        <is>
          <t xml:space="preserve">    Cost of revenue (cash)</t>
        </is>
      </c>
      <c r="Q16" s="29" t="n"/>
      <c r="R16" s="29" t="n"/>
      <c r="S16" s="29" t="n"/>
      <c r="T16" s="29" t="n"/>
      <c r="U16" s="29" t="n"/>
      <c r="V16" s="29" t="n"/>
    </row>
    <row r="17">
      <c r="A17" s="8" t="inlineStr">
        <is>
          <t xml:space="preserve">    Operations &amp; support (cash)</t>
        </is>
      </c>
      <c r="Q17" s="29" t="n"/>
      <c r="R17" s="29" t="n"/>
      <c r="S17" s="29" t="n"/>
      <c r="T17" s="29" t="n"/>
      <c r="U17" s="29" t="n"/>
      <c r="V17" s="29" t="n"/>
    </row>
    <row r="18">
      <c r="A18" s="8" t="inlineStr">
        <is>
          <t xml:space="preserve">    Product development (cash)</t>
        </is>
      </c>
      <c r="Q18" s="29" t="n"/>
      <c r="R18" s="29" t="n"/>
      <c r="S18" s="29" t="n"/>
      <c r="T18" s="29" t="n"/>
      <c r="U18" s="29" t="n"/>
      <c r="V18" s="29" t="n"/>
    </row>
    <row r="19">
      <c r="A19" s="8" t="inlineStr">
        <is>
          <t xml:space="preserve">    Sales &amp; marketing (cash)</t>
        </is>
      </c>
      <c r="Q19" s="29" t="n"/>
      <c r="R19" s="29" t="n"/>
      <c r="S19" s="29" t="n"/>
      <c r="T19" s="29" t="n"/>
      <c r="U19" s="29" t="n"/>
      <c r="V19" s="29" t="n"/>
    </row>
    <row r="20">
      <c r="A20" s="8" t="inlineStr">
        <is>
          <t xml:space="preserve">    General &amp; administrative (cash, ex lodging-tax reserves)</t>
        </is>
      </c>
      <c r="Q20" s="29" t="n"/>
      <c r="R20" s="29" t="n"/>
      <c r="S20" s="29" t="n"/>
      <c r="T20" s="29" t="n"/>
      <c r="U20" s="29" t="n"/>
      <c r="V20" s="29" t="n"/>
    </row>
    <row r="21">
      <c r="A21" s="2" t="inlineStr">
        <is>
          <t>Total cash costs</t>
        </is>
      </c>
      <c r="Q21" s="29" t="n"/>
      <c r="R21" s="29" t="n"/>
      <c r="S21" s="29" t="n"/>
      <c r="T21" s="29" t="n"/>
      <c r="U21" s="29" t="n"/>
      <c r="V21" s="29" t="n"/>
    </row>
    <row r="22">
      <c r="A22" s="8" t="inlineStr">
        <is>
          <t xml:space="preserve">    % of revenue</t>
        </is>
      </c>
      <c r="Q22" s="29" t="n"/>
      <c r="R22" s="29" t="n"/>
      <c r="S22" s="29" t="n"/>
      <c r="T22" s="29" t="n"/>
      <c r="U22" s="29" t="n"/>
      <c r="V22" s="29" t="n"/>
    </row>
    <row r="23">
      <c r="A23" s="8" t="inlineStr">
        <is>
          <t xml:space="preserve">    Depreciation &amp; amortisation</t>
        </is>
      </c>
      <c r="Q23" s="29" t="n"/>
      <c r="R23" s="29" t="n"/>
      <c r="S23" s="29" t="n"/>
      <c r="T23" s="29" t="n"/>
      <c r="U23" s="29" t="n"/>
      <c r="V23" s="29" t="n"/>
    </row>
    <row r="24">
      <c r="A24" s="2" t="inlineStr">
        <is>
          <t>Adjusted EBITDA</t>
        </is>
      </c>
      <c r="Q24" s="29" t="n"/>
      <c r="R24" s="29" t="n"/>
      <c r="S24" s="29" t="n"/>
      <c r="T24" s="29" t="n"/>
      <c r="U24" s="29" t="n"/>
      <c r="V24" s="29" t="n"/>
    </row>
    <row r="25">
      <c r="A25" s="8" t="inlineStr">
        <is>
          <t xml:space="preserve">    Adjusted EBITDA margin</t>
        </is>
      </c>
      <c r="Q25" s="29" t="n"/>
      <c r="R25" s="29" t="n"/>
      <c r="S25" s="29" t="n"/>
      <c r="T25" s="29" t="n"/>
      <c r="U25" s="29" t="n"/>
      <c r="V25" s="29" t="n"/>
    </row>
    <row r="27">
      <c r="A27" s="8" t="inlineStr">
        <is>
          <t xml:space="preserve">    Stock-based compensation</t>
        </is>
      </c>
      <c r="Q27" s="29" t="n"/>
      <c r="R27" s="29" t="n"/>
      <c r="S27" s="29" t="n"/>
      <c r="T27" s="29" t="n"/>
      <c r="U27" s="29" t="n"/>
      <c r="V27" s="29" t="n"/>
    </row>
    <row r="28">
      <c r="A28" s="2" t="inlineStr">
        <is>
          <t>Operating income (GAAP)</t>
        </is>
      </c>
      <c r="Q28" s="29" t="n"/>
      <c r="R28" s="29" t="n"/>
      <c r="S28" s="29" t="n"/>
      <c r="T28" s="29" t="n"/>
      <c r="U28" s="29" t="n"/>
      <c r="V28" s="29" t="n"/>
    </row>
    <row r="29">
      <c r="A29" s="8" t="inlineStr">
        <is>
          <t xml:space="preserve">    Interest income</t>
        </is>
      </c>
      <c r="Q29" s="29" t="n"/>
      <c r="R29" s="29" t="n"/>
      <c r="S29" s="29" t="n"/>
      <c r="T29" s="29" t="n"/>
      <c r="U29" s="29" t="n"/>
      <c r="V29" s="29" t="n"/>
    </row>
    <row r="30">
      <c r="A30" s="8" t="inlineStr">
        <is>
          <t xml:space="preserve">    Interest expense</t>
        </is>
      </c>
      <c r="Q30" s="29" t="n"/>
      <c r="R30" s="29" t="n"/>
      <c r="S30" s="29" t="n"/>
      <c r="T30" s="29" t="n"/>
      <c r="U30" s="29" t="n"/>
      <c r="V30" s="29" t="n"/>
    </row>
    <row r="31">
      <c r="A31" s="8" t="inlineStr">
        <is>
          <t xml:space="preserve">    Other income / (expense), net</t>
        </is>
      </c>
      <c r="Q31" s="29" t="n"/>
      <c r="R31" s="29" t="n"/>
      <c r="S31" s="29" t="n"/>
      <c r="T31" s="29" t="n"/>
      <c r="U31" s="29" t="n"/>
      <c r="V31" s="29" t="n"/>
    </row>
    <row r="32">
      <c r="A32" s="2" t="inlineStr">
        <is>
          <t>Pre-tax income</t>
        </is>
      </c>
      <c r="Q32" s="29" t="n"/>
      <c r="R32" s="29" t="n"/>
      <c r="S32" s="29" t="n"/>
      <c r="T32" s="29" t="n"/>
      <c r="U32" s="29" t="n"/>
      <c r="V32" s="29" t="n"/>
    </row>
    <row r="33">
      <c r="A33" s="8" t="inlineStr">
        <is>
          <t xml:space="preserve">    Income tax</t>
        </is>
      </c>
      <c r="Q33" s="29" t="n"/>
      <c r="R33" s="29" t="n"/>
      <c r="S33" s="29" t="n"/>
      <c r="T33" s="29" t="n"/>
      <c r="U33" s="29" t="n"/>
      <c r="V33" s="29" t="n"/>
    </row>
    <row r="34">
      <c r="A34" s="2" t="inlineStr">
        <is>
          <t>Net income</t>
        </is>
      </c>
      <c r="Q34" s="29" t="n"/>
      <c r="R34" s="29" t="n"/>
      <c r="S34" s="29" t="n"/>
      <c r="T34" s="29" t="n"/>
      <c r="U34" s="29" t="n"/>
      <c r="V34" s="29" t="n"/>
    </row>
    <row r="35">
      <c r="A35" s="8" t="inlineStr">
        <is>
          <t xml:space="preserve">    Diluted shares (m)</t>
        </is>
      </c>
      <c r="Q35" s="29" t="n"/>
      <c r="R35" s="29" t="n"/>
      <c r="S35" s="29" t="n"/>
      <c r="T35" s="29" t="n"/>
      <c r="U35" s="29" t="n"/>
      <c r="V35" s="29" t="n"/>
    </row>
    <row r="36">
      <c r="A36" s="2" t="inlineStr">
        <is>
          <t>Diluted EPS ($)</t>
        </is>
      </c>
      <c r="Q36" s="29" t="n"/>
      <c r="R36" s="29" t="n"/>
      <c r="S36" s="29" t="n"/>
      <c r="T36" s="29" t="n"/>
      <c r="U36" s="29" t="n"/>
      <c r="V36" s="2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2026-09-18T23:16:22Z</dcterms:created>
  <dcterms:modified xsi:type="dcterms:W3CDTF">2026-09-18T23:16:22Z</dcterms:modified>
</cp:coreProperties>
</file>