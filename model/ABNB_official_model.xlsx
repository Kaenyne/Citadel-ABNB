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'ADR_Engine'!$O$130:$AD$130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'ADR_Engine'!$O$131:$AD$131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'ADR_Engine'!$O$132:$AD$132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'ADR_Engine'!$O$133:$AD$133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134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134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Theo). GBV = nights × ADR on Income_Statement row 8. Next: take rate / revenue, together, one at a time.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lap-only (K4 residual steps): every 2025-26 residual step laps at its anniversary</t>
        </is>
      </c>
      <c r="C122" s="11" t="n">
        <v>2.910732193880174</v>
      </c>
      <c r="D122" s="11" t="n">
        <v>176.9871287134339</v>
      </c>
      <c r="E122" s="11" t="n">
        <v>25.9817104951321</v>
      </c>
      <c r="F122" s="11" t="n">
        <v>1.990747787585442</v>
      </c>
      <c r="G122" s="11" t="n">
        <v>171.7051486032933</v>
      </c>
      <c r="H122" s="11" t="n">
        <v>22.63073858591405</v>
      </c>
      <c r="I122" s="11" t="n">
        <v>0.9435507506529328</v>
      </c>
      <c r="J122" s="11" t="n">
        <v>187.8933505203212</v>
      </c>
      <c r="K122" s="11" t="n">
        <v>31.75773410494469</v>
      </c>
      <c r="L122" s="11" t="n">
        <v>1.013196673597509</v>
      </c>
      <c r="M122" s="11" t="n">
        <v>184.8071364608028</v>
      </c>
      <c r="N122" s="11" t="n">
        <v>29.03320113799212</v>
      </c>
    </row>
    <row r="123">
      <c r="A123" s="8" t="inlineStr">
        <is>
          <t>card v3: last_q residual carry, no lap (card geo)</t>
        </is>
      </c>
      <c r="C123" s="11" t="n">
        <v>3.69126637648649</v>
      </c>
      <c r="D123" s="11" t="n">
        <v>178.3241057148202</v>
      </c>
      <c r="E123" s="11" t="n">
        <v>26.17797871893561</v>
      </c>
      <c r="F123" s="11" t="n">
        <v>3.69126637648649</v>
      </c>
      <c r="G123" s="11" t="n">
        <v>174.5536872915614</v>
      </c>
      <c r="H123" s="11" t="n">
        <v>23.0061759850278</v>
      </c>
      <c r="I123" s="11" t="n">
        <v>3.60883637648649</v>
      </c>
      <c r="J123" s="11" t="n">
        <v>192.8726371265034</v>
      </c>
      <c r="K123" s="11" t="n">
        <v>32.59933312712161</v>
      </c>
      <c r="L123" s="11" t="n">
        <v>3.60883637648649</v>
      </c>
      <c r="M123" s="11" t="n">
        <v>189.5761052869207</v>
      </c>
      <c r="N123" s="11" t="n">
        <v>29.78240614057524</v>
      </c>
    </row>
    <row r="124">
      <c r="A124" s="8" t="inlineStr">
        <is>
          <t>full lap: ex-NA RNPL sized at the 1H26 residual steps</t>
        </is>
      </c>
      <c r="C124" s="11" t="n">
        <v>3.315947459255554</v>
      </c>
      <c r="D124" s="11" t="n">
        <v>177.6812219414954</v>
      </c>
      <c r="E124" s="11" t="n">
        <v>26.08360338101152</v>
      </c>
      <c r="F124" s="11" t="n">
        <v>2.784074164071932</v>
      </c>
      <c r="G124" s="11" t="n">
        <v>173.0340496165458</v>
      </c>
      <c r="H124" s="11" t="n">
        <v>22.80588773946074</v>
      </c>
      <c r="I124" s="11" t="n">
        <v>1.956877127139422</v>
      </c>
      <c r="J124" s="11" t="n">
        <v>189.7864468568733</v>
      </c>
      <c r="K124" s="11" t="n">
        <v>32.07770524774872</v>
      </c>
      <c r="L124" s="11" t="n">
        <v>1.806523050083998</v>
      </c>
      <c r="M124" s="11" t="n">
        <v>186.2647150123214</v>
      </c>
      <c r="N124" s="11" t="n">
        <v>29.2621867284357</v>
      </c>
    </row>
    <row r="125">
      <c r="A125" s="8" t="inlineStr">
        <is>
          <t>core mean reversion to the 2023-25 mean</t>
        </is>
      </c>
      <c r="C125" s="11" t="n">
        <v>1.864621082769064</v>
      </c>
      <c r="D125" s="11" t="n">
        <v>175.1952449912116</v>
      </c>
      <c r="E125" s="11" t="n">
        <v>25.71866196470987</v>
      </c>
      <c r="F125" s="11" t="n">
        <v>1.332747787585442</v>
      </c>
      <c r="G125" s="11" t="n">
        <v>170.6029328032933</v>
      </c>
      <c r="H125" s="11" t="n">
        <v>22.48546654347406</v>
      </c>
      <c r="I125" s="11" t="n">
        <v>0.9655507506529332</v>
      </c>
      <c r="J125" s="11" t="n">
        <v>187.9344509203212</v>
      </c>
      <c r="K125" s="11" t="n">
        <v>31.7646808945527</v>
      </c>
      <c r="L125" s="11" t="n">
        <v>1.505196673597509</v>
      </c>
      <c r="M125" s="11" t="n">
        <v>185.7110880608028</v>
      </c>
      <c r="N125" s="11" t="n">
        <v>29.17521193435212</v>
      </c>
    </row>
    <row r="126">
      <c r="A126" s="8" t="inlineStr">
        <is>
          <t>AR(1) on core (K4 rho 0.747)</t>
        </is>
      </c>
      <c r="C126" s="11" t="n">
        <v>3.092067886004471</v>
      </c>
      <c r="D126" s="11" t="n">
        <v>177.2977386204736</v>
      </c>
      <c r="E126" s="11" t="n">
        <v>26.02730802948552</v>
      </c>
      <c r="F126" s="11" t="n">
        <v>2.392956549602292</v>
      </c>
      <c r="G126" s="11" t="n">
        <v>172.3788885005477</v>
      </c>
      <c r="H126" s="11" t="n">
        <v>22.71953750437219</v>
      </c>
      <c r="I126" s="11" t="n">
        <v>1.90083269587952</v>
      </c>
      <c r="J126" s="11" t="n">
        <v>189.6817446503935</v>
      </c>
      <c r="K126" s="11" t="n">
        <v>32.06000848080952</v>
      </c>
      <c r="L126" s="11" t="n">
        <v>2.347158286681769</v>
      </c>
      <c r="M126" s="11" t="n">
        <v>187.2580241325226</v>
      </c>
      <c r="N126" s="11" t="n">
        <v>29.41823559121929</v>
      </c>
    </row>
    <row r="127">
      <c r="A127" s="8" t="inlineStr">
        <is>
          <t>base + fee-migration K line (DEC-0008 sensitivity)</t>
        </is>
      </c>
      <c r="C127" s="11" t="n">
        <v>3.487447459255554</v>
      </c>
      <c r="D127" s="11" t="n">
        <v>177.9749842914954</v>
      </c>
      <c r="E127" s="11" t="n">
        <v>26.12672769399152</v>
      </c>
      <c r="F127" s="11" t="n">
        <v>3.158574164071932</v>
      </c>
      <c r="G127" s="11" t="n">
        <v>173.6613745665458</v>
      </c>
      <c r="H127" s="11" t="n">
        <v>22.88856916787073</v>
      </c>
      <c r="I127" s="11" t="n">
        <v>2.761977127139422</v>
      </c>
      <c r="J127" s="11" t="n">
        <v>191.2905346768732</v>
      </c>
      <c r="K127" s="11" t="n">
        <v>32.33192617108512</v>
      </c>
      <c r="L127" s="11" t="n">
        <v>3.267323050083998</v>
      </c>
      <c r="M127" s="11" t="n">
        <v>188.9486428523214</v>
      </c>
      <c r="N127" s="11" t="n">
        <v>29.6838317920997</v>
      </c>
    </row>
    <row r="130">
      <c r="A130" s="8" t="inlineStr">
        <is>
          <t>chart helper: ADR $ (printed, then engine)</t>
        </is>
      </c>
      <c r="O130" s="20">
        <f>O7</f>
        <v/>
      </c>
      <c r="P130" s="20">
        <f>P7</f>
        <v/>
      </c>
      <c r="Q130" s="20">
        <f>Q7</f>
        <v/>
      </c>
      <c r="R130" s="20">
        <f>R7</f>
        <v/>
      </c>
      <c r="S130" s="20">
        <f>S7</f>
        <v/>
      </c>
      <c r="T130" s="20">
        <f>T7</f>
        <v/>
      </c>
      <c r="U130" s="20">
        <f>U7</f>
        <v/>
      </c>
      <c r="V130" s="20">
        <f>V7</f>
        <v/>
      </c>
      <c r="W130" s="20">
        <f>W7</f>
        <v/>
      </c>
      <c r="X130" s="20">
        <f>X7</f>
        <v/>
      </c>
      <c r="Y130" s="20">
        <f>Y7</f>
        <v/>
      </c>
      <c r="Z130" s="20">
        <f>Z7</f>
        <v/>
      </c>
      <c r="AA130" s="20">
        <f>AA7</f>
        <v/>
      </c>
      <c r="AB130" s="20">
        <f>AB7</f>
        <v/>
      </c>
      <c r="AC130" s="20">
        <f>AC7</f>
        <v/>
      </c>
      <c r="AD130" s="20">
        <f>AD7</f>
        <v/>
      </c>
    </row>
    <row r="131">
      <c r="A131" s="8" t="inlineStr">
        <is>
          <t>chart helper: Street ADR $</t>
        </is>
      </c>
      <c r="Y131" s="20">
        <f>Y100</f>
        <v/>
      </c>
      <c r="Z131" s="20">
        <f>Z100</f>
        <v/>
      </c>
    </row>
    <row r="132">
      <c r="A132" s="8" t="inlineStr">
        <is>
          <t>chart helper: FX identity (pp)</t>
        </is>
      </c>
      <c r="O132" s="20">
        <f>O51</f>
        <v/>
      </c>
      <c r="P132" s="20">
        <f>P51</f>
        <v/>
      </c>
      <c r="Q132" s="20">
        <f>Q51</f>
        <v/>
      </c>
      <c r="R132" s="20">
        <f>R51</f>
        <v/>
      </c>
      <c r="S132" s="20">
        <f>S51</f>
        <v/>
      </c>
      <c r="T132" s="20">
        <f>T51</f>
        <v/>
      </c>
      <c r="U132" s="20">
        <f>U51</f>
        <v/>
      </c>
      <c r="V132" s="20">
        <f>V51</f>
        <v/>
      </c>
      <c r="W132" s="20">
        <f>W51</f>
        <v/>
      </c>
      <c r="X132" s="20">
        <f>X51</f>
        <v/>
      </c>
      <c r="Y132" s="20">
        <f>Y51</f>
        <v/>
      </c>
      <c r="Z132" s="20">
        <f>Z51</f>
        <v/>
      </c>
      <c r="AA132" s="20">
        <f>AA51</f>
        <v/>
      </c>
      <c r="AB132" s="20">
        <f>AB51</f>
        <v/>
      </c>
      <c r="AC132" s="20">
        <f>AC51</f>
        <v/>
      </c>
      <c r="AD132" s="20">
        <f>AD51</f>
        <v/>
      </c>
    </row>
    <row r="133">
      <c r="A133" s="8" t="inlineStr">
        <is>
          <t>chart helper: disclosed FX (pp)</t>
        </is>
      </c>
      <c r="O133" s="20">
        <f>O10</f>
        <v/>
      </c>
      <c r="P133" s="20">
        <f>P10</f>
        <v/>
      </c>
      <c r="Q133" s="20">
        <f>Q10</f>
        <v/>
      </c>
      <c r="R133" s="20">
        <f>R10</f>
        <v/>
      </c>
      <c r="S133" s="20">
        <f>S10</f>
        <v/>
      </c>
      <c r="T133" s="20">
        <f>T10</f>
        <v/>
      </c>
      <c r="U133" s="20">
        <f>U10</f>
        <v/>
      </c>
      <c r="V133" s="20">
        <f>V10</f>
        <v/>
      </c>
      <c r="W133" s="20">
        <f>W10</f>
        <v/>
      </c>
      <c r="X133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Q12" s="31" t="n"/>
      <c r="R12" s="31" t="n"/>
      <c r="S12" s="31" t="n"/>
      <c r="T12" s="31" t="n"/>
      <c r="U12" s="31" t="n"/>
      <c r="V12" s="31" t="n"/>
    </row>
    <row r="13">
      <c r="A13" s="8" t="inlineStr">
        <is>
          <t xml:space="preserve">    y/y</t>
        </is>
      </c>
      <c r="Q13" s="31" t="n"/>
      <c r="R13" s="31" t="n"/>
      <c r="S13" s="31" t="n"/>
      <c r="T13" s="31" t="n"/>
      <c r="U13" s="31" t="n"/>
      <c r="V13" s="31" t="n"/>
    </row>
    <row r="14">
      <c r="A14" s="8" t="inlineStr">
        <is>
          <t xml:space="preserve">    Take rate (revenue / GBV)</t>
        </is>
      </c>
      <c r="Q14" s="31" t="n"/>
      <c r="R14" s="31" t="n"/>
      <c r="S14" s="31" t="n"/>
      <c r="T14" s="31" t="n"/>
      <c r="U14" s="31" t="n"/>
      <c r="V14" s="31" t="n"/>
    </row>
    <row r="16">
      <c r="A16" s="8" t="inlineStr">
        <is>
          <t xml:space="preserve">    Cost of revenue (cash)</t>
        </is>
      </c>
      <c r="Q16" s="31" t="n"/>
      <c r="R16" s="31" t="n"/>
      <c r="S16" s="31" t="n"/>
      <c r="T16" s="31" t="n"/>
      <c r="U16" s="31" t="n"/>
      <c r="V16" s="31" t="n"/>
    </row>
    <row r="17">
      <c r="A17" s="8" t="inlineStr">
        <is>
          <t xml:space="preserve">    Operations &amp; support (cash)</t>
        </is>
      </c>
      <c r="Q17" s="31" t="n"/>
      <c r="R17" s="31" t="n"/>
      <c r="S17" s="31" t="n"/>
      <c r="T17" s="31" t="n"/>
      <c r="U17" s="31" t="n"/>
      <c r="V17" s="31" t="n"/>
    </row>
    <row r="18">
      <c r="A18" s="8" t="inlineStr">
        <is>
          <t xml:space="preserve">    Product development (cash)</t>
        </is>
      </c>
      <c r="Q18" s="31" t="n"/>
      <c r="R18" s="31" t="n"/>
      <c r="S18" s="31" t="n"/>
      <c r="T18" s="31" t="n"/>
      <c r="U18" s="31" t="n"/>
      <c r="V18" s="31" t="n"/>
    </row>
    <row r="19">
      <c r="A19" s="8" t="inlineStr">
        <is>
          <t xml:space="preserve">    Sales &amp; marketing (cash)</t>
        </is>
      </c>
      <c r="Q19" s="31" t="n"/>
      <c r="R19" s="31" t="n"/>
      <c r="S19" s="31" t="n"/>
      <c r="T19" s="31" t="n"/>
      <c r="U19" s="31" t="n"/>
      <c r="V19" s="31" t="n"/>
    </row>
    <row r="20">
      <c r="A20" s="8" t="inlineStr">
        <is>
          <t xml:space="preserve">    General &amp; administrative (cash, ex lodging-tax reserves)</t>
        </is>
      </c>
      <c r="Q20" s="31" t="n"/>
      <c r="R20" s="31" t="n"/>
      <c r="S20" s="31" t="n"/>
      <c r="T20" s="31" t="n"/>
      <c r="U20" s="31" t="n"/>
      <c r="V20" s="31" t="n"/>
    </row>
    <row r="21">
      <c r="A21" s="2" t="inlineStr">
        <is>
          <t>Total cash costs</t>
        </is>
      </c>
      <c r="Q21" s="31" t="n"/>
      <c r="R21" s="31" t="n"/>
      <c r="S21" s="31" t="n"/>
      <c r="T21" s="31" t="n"/>
      <c r="U21" s="31" t="n"/>
      <c r="V21" s="31" t="n"/>
    </row>
    <row r="22">
      <c r="A22" s="8" t="inlineStr">
        <is>
          <t xml:space="preserve">    % of revenue</t>
        </is>
      </c>
      <c r="Q22" s="31" t="n"/>
      <c r="R22" s="31" t="n"/>
      <c r="S22" s="31" t="n"/>
      <c r="T22" s="31" t="n"/>
      <c r="U22" s="31" t="n"/>
      <c r="V22" s="31" t="n"/>
    </row>
    <row r="23">
      <c r="A23" s="8" t="inlineStr">
        <is>
          <t xml:space="preserve">    Depreciation &amp; amortisation</t>
        </is>
      </c>
      <c r="Q23" s="31" t="n"/>
      <c r="R23" s="31" t="n"/>
      <c r="S23" s="31" t="n"/>
      <c r="T23" s="31" t="n"/>
      <c r="U23" s="31" t="n"/>
      <c r="V23" s="31" t="n"/>
    </row>
    <row r="24">
      <c r="A24" s="2" t="inlineStr">
        <is>
          <t>Adjusted EBITDA</t>
        </is>
      </c>
      <c r="Q24" s="31" t="n"/>
      <c r="R24" s="31" t="n"/>
      <c r="S24" s="31" t="n"/>
      <c r="T24" s="31" t="n"/>
      <c r="U24" s="31" t="n"/>
      <c r="V24" s="31" t="n"/>
    </row>
    <row r="25">
      <c r="A25" s="8" t="inlineStr">
        <is>
          <t xml:space="preserve">    Adjusted EBITDA margin</t>
        </is>
      </c>
      <c r="Q25" s="31" t="n"/>
      <c r="R25" s="31" t="n"/>
      <c r="S25" s="31" t="n"/>
      <c r="T25" s="31" t="n"/>
      <c r="U25" s="31" t="n"/>
      <c r="V25" s="31" t="n"/>
    </row>
    <row r="27">
      <c r="A27" s="8" t="inlineStr">
        <is>
          <t xml:space="preserve">    Stock-based compensation</t>
        </is>
      </c>
      <c r="Q27" s="31" t="n"/>
      <c r="R27" s="31" t="n"/>
      <c r="S27" s="31" t="n"/>
      <c r="T27" s="31" t="n"/>
      <c r="U27" s="31" t="n"/>
      <c r="V27" s="31" t="n"/>
    </row>
    <row r="28">
      <c r="A28" s="2" t="inlineStr">
        <is>
          <t>Operating income (GAAP)</t>
        </is>
      </c>
      <c r="Q28" s="31" t="n"/>
      <c r="R28" s="31" t="n"/>
      <c r="S28" s="31" t="n"/>
      <c r="T28" s="31" t="n"/>
      <c r="U28" s="31" t="n"/>
      <c r="V28" s="31" t="n"/>
    </row>
    <row r="29">
      <c r="A29" s="8" t="inlineStr">
        <is>
          <t xml:space="preserve">    Interest income</t>
        </is>
      </c>
      <c r="Q29" s="31" t="n"/>
      <c r="R29" s="31" t="n"/>
      <c r="S29" s="31" t="n"/>
      <c r="T29" s="31" t="n"/>
      <c r="U29" s="31" t="n"/>
      <c r="V29" s="31" t="n"/>
    </row>
    <row r="30">
      <c r="A30" s="8" t="inlineStr">
        <is>
          <t xml:space="preserve">    Interest expense</t>
        </is>
      </c>
      <c r="Q30" s="31" t="n"/>
      <c r="R30" s="31" t="n"/>
      <c r="S30" s="31" t="n"/>
      <c r="T30" s="31" t="n"/>
      <c r="U30" s="31" t="n"/>
      <c r="V30" s="31" t="n"/>
    </row>
    <row r="31">
      <c r="A31" s="8" t="inlineStr">
        <is>
          <t xml:space="preserve">    Other income / (expense), net</t>
        </is>
      </c>
      <c r="Q31" s="31" t="n"/>
      <c r="R31" s="31" t="n"/>
      <c r="S31" s="31" t="n"/>
      <c r="T31" s="31" t="n"/>
      <c r="U31" s="31" t="n"/>
      <c r="V31" s="31" t="n"/>
    </row>
    <row r="32">
      <c r="A32" s="2" t="inlineStr">
        <is>
          <t>Pre-tax income</t>
        </is>
      </c>
      <c r="Q32" s="31" t="n"/>
      <c r="R32" s="31" t="n"/>
      <c r="S32" s="31" t="n"/>
      <c r="T32" s="31" t="n"/>
      <c r="U32" s="31" t="n"/>
      <c r="V32" s="31" t="n"/>
    </row>
    <row r="33">
      <c r="A33" s="8" t="inlineStr">
        <is>
          <t xml:space="preserve">    Income tax</t>
        </is>
      </c>
      <c r="Q33" s="31" t="n"/>
      <c r="R33" s="31" t="n"/>
      <c r="S33" s="31" t="n"/>
      <c r="T33" s="31" t="n"/>
      <c r="U33" s="31" t="n"/>
      <c r="V33" s="31" t="n"/>
    </row>
    <row r="34">
      <c r="A34" s="2" t="inlineStr">
        <is>
          <t>Net income</t>
        </is>
      </c>
      <c r="Q34" s="31" t="n"/>
      <c r="R34" s="31" t="n"/>
      <c r="S34" s="31" t="n"/>
      <c r="T34" s="31" t="n"/>
      <c r="U34" s="31" t="n"/>
      <c r="V34" s="31" t="n"/>
    </row>
    <row r="35">
      <c r="A35" s="8" t="inlineStr">
        <is>
          <t xml:space="preserve">    Diluted shares (m)</t>
        </is>
      </c>
      <c r="Q35" s="31" t="n"/>
      <c r="R35" s="31" t="n"/>
      <c r="S35" s="31" t="n"/>
      <c r="T35" s="31" t="n"/>
      <c r="U35" s="31" t="n"/>
      <c r="V35" s="31" t="n"/>
    </row>
    <row r="36">
      <c r="A36" s="2" t="inlineStr">
        <is>
          <t>Diluted EPS ($)</t>
        </is>
      </c>
      <c r="Q36" s="31" t="n"/>
      <c r="R36" s="31" t="n"/>
      <c r="S36" s="31" t="n"/>
      <c r="T36" s="31" t="n"/>
      <c r="U36" s="31" t="n"/>
      <c r="V36" s="3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2026-09-22T12:08:43Z</dcterms:created>
  <dcterms:modified xsi:type="dcterms:W3CDTF">2026-09-22T12:08:43Z</dcterms:modified>
</cp:coreProperties>
</file>