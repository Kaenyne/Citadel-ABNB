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Nights_Engine" sheetId="2" state="visible" r:id="rId2"/>
    <sheet name="ADR_Engine" sheetId="3" state="visible" r:id="rId3"/>
    <sheet name="Income_Statement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%"/>
    <numFmt numFmtId="167" formatCode="0.000000"/>
    <numFmt numFmtId="168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385C"/>
      </patternFill>
    </fill>
    <fill>
      <patternFill patternType="solid">
        <fgColor rgb="00222222"/>
      </patternFill>
    </fill>
    <fill>
      <patternFill patternType="solid">
        <fgColor rgb="00FFE1E7"/>
      </patternFill>
    </fill>
    <fill>
      <patternFill patternType="solid">
        <fgColor rgb="00FFF5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pivotButton="0" quotePrefix="0" xfId="0"/>
    <xf numFmtId="10" fontId="5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2" fontId="5" fillId="4" borderId="0" pivotButton="0" quotePrefix="0" xfId="0"/>
    <xf numFmtId="165" fontId="5" fillId="4" borderId="0" pivotButton="0" quotePrefix="0" xfId="0"/>
    <xf numFmtId="2" fontId="5" fillId="0" borderId="0" pivotButton="0" quotePrefix="0" xfId="0"/>
    <xf numFmtId="165" fontId="5" fillId="0" borderId="0" pivotButton="0" quotePrefix="0" xfId="0"/>
    <xf numFmtId="165" fontId="6" fillId="4" borderId="0" pivotButton="0" quotePrefix="0" xfId="0"/>
    <xf numFmtId="165" fontId="7" fillId="0" borderId="0" pivotButton="0" quotePrefix="0" xfId="0"/>
    <xf numFmtId="2" fontId="6" fillId="4" borderId="0" pivotButton="0" quotePrefix="0" xfId="0"/>
    <xf numFmtId="2" fontId="7" fillId="0" borderId="0" pivotButton="0" quotePrefix="0" xfId="0"/>
    <xf numFmtId="164" fontId="6" fillId="4" borderId="0" pivotButton="0" quotePrefix="0" xfId="0"/>
    <xf numFmtId="164" fontId="5" fillId="0" borderId="0" pivotButton="0" quotePrefix="0" xfId="0"/>
    <xf numFmtId="0" fontId="4" fillId="0" borderId="0" pivotButton="0" quotePrefix="0" xfId="0"/>
    <xf numFmtId="166" fontId="6" fillId="4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4" fontId="7" fillId="0" borderId="0" pivotButton="0" quotePrefix="0" xfId="0"/>
    <xf numFmtId="164" fontId="7" fillId="5" borderId="0" pivotButton="0" quotePrefix="0" xfId="0"/>
    <xf numFmtId="164" fontId="5" fillId="5" borderId="0" pivotButton="0" quotePrefix="0" xfId="0"/>
    <xf numFmtId="1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Printed nights y/y vs stays-implied (frozen mapping) — history</a:t>
            </a:r>
          </a:p>
        </rich>
      </tx>
    </title>
    <plotArea>
      <lineChart>
        <grouping val="standard"/>
        <ser>
          <idx val="0"/>
          <order val="0"/>
          <tx>
            <v>printed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'Nights_Engine'!$K$112:$X$112</f>
            </numRef>
          </val>
          <smooth val="0"/>
        </ser>
        <ser>
          <idx val="1"/>
          <order val="1"/>
          <tx>
            <v>stays-implied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'Nights_Engine'!$K$115:$X$115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Our view vs the Street — base print path, stays path, Street</a:t>
            </a:r>
          </a:p>
        </rich>
      </tx>
    </title>
    <plotArea>
      <lineChart>
        <grouping val="standard"/>
        <ser>
          <idx val="0"/>
          <order val="0"/>
          <tx>
            <v>our view (print)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'Nights_Engine'!$K$113:$AD$113</f>
            </numRef>
          </val>
          <smooth val="0"/>
        </ser>
        <ser>
          <idx val="1"/>
          <order val="1"/>
          <tx>
            <v>stays path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'Nights_Engine'!$K$115:$AD$115</f>
            </numRef>
          </val>
          <smooth val="0"/>
        </ser>
        <ser>
          <idx val="2"/>
          <order val="2"/>
          <tx>
            <v>Street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'Nights_Engine'!$K$114:$AD$114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"/>
          <min val="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 option term: printed − stays-implied (pp), 3Q25–2Q26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'Nights_Engine'!$O$4:$X$4</f>
            </numRef>
          </cat>
          <val>
            <numRef>
              <f>'Nights_Engine'!$O$26:$X$26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RNPL written: unearned fees y/y vs GBV y/y</a:t>
            </a:r>
          </a:p>
        </rich>
      </tx>
    </title>
    <plotArea>
      <lineChart>
        <grouping val="standard"/>
        <ser>
          <idx val="0"/>
          <order val="0"/>
          <tx>
            <v>unearned fees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'Nights_Engine'!$K$94:$X$94</f>
            </numRef>
          </val>
          <smooth val="0"/>
        </ser>
        <ser>
          <idx val="1"/>
          <order val="1"/>
          <tx>
            <v>GBV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'Nights_Engine'!$K$95:$X$95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ADR $: printed, then the engine path, vs the Street</a:t>
            </a:r>
          </a:p>
        </rich>
      </tx>
    </title>
    <plotArea>
      <lineChart>
        <grouping val="standard"/>
        <ser>
          <idx val="0"/>
          <order val="0"/>
          <tx>
            <v>ADR $ (printed, then engine)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'ADR_Engine'!$O$133:$AD$133</f>
            </numRef>
          </val>
          <smooth val="0"/>
        </ser>
        <ser>
          <idx val="1"/>
          <order val="1"/>
          <tx>
            <v>Street ADR $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'ADR_Engine'!$O$134:$AD$134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FX effect on ADR (pp): translation identity vs disclosed</a:t>
            </a:r>
          </a:p>
        </rich>
      </tx>
    </title>
    <plotArea>
      <lineChart>
        <grouping val="standard"/>
        <ser>
          <idx val="0"/>
          <order val="0"/>
          <tx>
            <v>FX identity (pp)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'ADR_Engine'!$O$135:$AD$135</f>
            </numRef>
          </val>
          <smooth val="0"/>
        </ser>
        <ser>
          <idx val="1"/>
          <order val="1"/>
          <tx>
            <v>disclosed FX (pp)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'ADR_Engine'!$O$136:$AD$136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5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31</col>
      <colOff>0</colOff>
      <row>25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31</col>
      <colOff>0</colOff>
      <row>45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63</row>
      <rowOff>0</rowOff>
    </from>
    <ext cx="79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137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137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Airbnb (ABNB) — official model, built line by line. Line 1: nights. Line 2: ADR.</t>
        </is>
      </c>
      <c r="B1" s="1" t="n"/>
    </row>
    <row r="3" ht="48" customHeight="1">
      <c r="A3" s="2" t="inlineStr">
        <is>
          <t>What this is</t>
        </is>
      </c>
      <c r="B3" s="3" t="inlineStr">
        <is>
          <t>The nights engine (reviews_index_v2, v2.1) laid out cell by cell, and the income-statement scaffold with nights as its first line. Everything derivable is an Excel formula; every input carries its source.</t>
        </is>
      </c>
    </row>
    <row r="4" ht="48" customHeight="1">
      <c r="A4" s="2" t="inlineStr">
        <is>
          <t>How to trace</t>
        </is>
      </c>
      <c r="B4" s="3" t="inlineStr">
        <is>
          <t>Nights_Engine, blocks A–H: printed nights → regional stays growth × stay-mix weights = index → INTERCEPT/SLOPE on 1Q23–2Q25 = the frozen mapping → walk-forward W1/W2 reproduced row by row → 3Q26 read → the option term (scenarios, y/y lap, kernel landing) → forward path as sums of sourced components → Street, guidance, tail probability → unearned fees vs GBV → Stage A statistics.</t>
        </is>
      </c>
    </row>
    <row r="5" ht="48" customHeight="1">
      <c r="A5" s="2" t="inlineStr">
        <is>
          <t>Colours</t>
        </is>
      </c>
      <c r="B5" s="3" t="inlineStr">
        <is>
          <t>Header fill FF385C = section; fill 222222 = block title; blue text = input with source; black = formula; green = link to another sheet or block; pink fill = a headline number; yellow fill = to be built.</t>
        </is>
      </c>
    </row>
    <row r="6" ht="48" customHeight="1">
      <c r="A6" s="2" t="inlineStr">
        <is>
          <t>Engine</t>
        </is>
      </c>
      <c r="B6" s="3" t="inlineStr">
        <is>
          <t>analysis/src/forecast_methods/reviews_index_v2 — python3 run.py --stage all (≈15 s), then python3 workbook.py rebuilds this file. Spec, pre-registration and results: docs/revenue-forecast-strategy/05_backtests/REVIEWS_INDEX_v2.md; rationale: REVIEWS_INDEX_v2_RATIONALE.md.</t>
        </is>
      </c>
    </row>
    <row r="7" ht="48" customHeight="1">
      <c r="A7" s="2" t="inlineStr">
        <is>
          <t>Status</t>
        </is>
      </c>
      <c r="B7" s="3" t="inlineStr">
        <is>
          <t>Nights: built (DEC-0029 base 146.8m). ADR: built (ADR_Engine; pre-registered FX identity promoted, ex-FX mechanism with the bundle lapping on filed dates; proposed DEC-0034/0035 pending Theo). GBV = nights × ADR on Income_Statement row 8. Next: take rate / revenue, together, one at a time.</t>
        </is>
      </c>
    </row>
    <row r="8" ht="48" customHeight="1">
      <c r="A8" s="2" t="inlineStr">
        <is>
          <t>Verification</t>
        </is>
      </c>
      <c r="B8" s="3" t="inlineStr">
        <is>
          <t>Nights: formulas recalculated in Excel and checked against the engine (block 'Engine reference values'). ADR: formulas written by adr_engine/workbook.py; open in Excel to recalculate, then tie out block E (walk-forward ratios, FX pp, ADR $).</t>
        </is>
      </c>
    </row>
    <row r="9"/>
    <row r="10"/>
    <row r="11"/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</cols>
  <sheetData>
    <row r="1">
      <c r="A1" s="1" t="inlineStr">
        <is>
          <t>Airbnb — nights engine (reviews_index_v2, v2.1 stay-quarter mix). Blue = input with source; black = formula; green = link.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4" t="inlineStr">
        <is>
          <t>Every number below can be traced: inputs carry their file path; every derived cell is an Excel formula on the cells above it. Engine: analysis/src/forecast_methods/reviews_index_v2 (run.py --stage all); note: docs/revenue-forecast-strategy/05_backtests/REVIEWS_INDEX_v2.md</t>
        </is>
      </c>
    </row>
    <row r="4">
      <c r="A4" s="5" t="inlineStr">
        <is>
          <t>Quarter</t>
        </is>
      </c>
      <c r="B4" s="6" t="inlineStr">
        <is>
          <t>A = printed, E = engine</t>
        </is>
      </c>
      <c r="C4" s="7" t="inlineStr">
        <is>
          <t>1Q21A</t>
        </is>
      </c>
      <c r="D4" s="7" t="inlineStr">
        <is>
          <t>2Q21A</t>
        </is>
      </c>
      <c r="E4" s="7" t="inlineStr">
        <is>
          <t>3Q21A</t>
        </is>
      </c>
      <c r="F4" s="7" t="inlineStr">
        <is>
          <t>4Q21A</t>
        </is>
      </c>
      <c r="G4" s="7" t="inlineStr">
        <is>
          <t>1Q22A</t>
        </is>
      </c>
      <c r="H4" s="7" t="inlineStr">
        <is>
          <t>2Q22A</t>
        </is>
      </c>
      <c r="I4" s="7" t="inlineStr">
        <is>
          <t>3Q22A</t>
        </is>
      </c>
      <c r="J4" s="7" t="inlineStr">
        <is>
          <t>4Q22A</t>
        </is>
      </c>
      <c r="K4" s="7" t="inlineStr">
        <is>
          <t>1Q23A</t>
        </is>
      </c>
      <c r="L4" s="7" t="inlineStr">
        <is>
          <t>2Q23A</t>
        </is>
      </c>
      <c r="M4" s="7" t="inlineStr">
        <is>
          <t>3Q23A</t>
        </is>
      </c>
      <c r="N4" s="7" t="inlineStr">
        <is>
          <t>4Q23A</t>
        </is>
      </c>
      <c r="O4" s="7" t="inlineStr">
        <is>
          <t>1Q24A</t>
        </is>
      </c>
      <c r="P4" s="7" t="inlineStr">
        <is>
          <t>2Q24A</t>
        </is>
      </c>
      <c r="Q4" s="7" t="inlineStr">
        <is>
          <t>3Q24A</t>
        </is>
      </c>
      <c r="R4" s="7" t="inlineStr">
        <is>
          <t>4Q24A</t>
        </is>
      </c>
      <c r="S4" s="7" t="inlineStr">
        <is>
          <t>1Q25A</t>
        </is>
      </c>
      <c r="T4" s="7" t="inlineStr">
        <is>
          <t>2Q25A</t>
        </is>
      </c>
      <c r="U4" s="7" t="inlineStr">
        <is>
          <t>3Q25A</t>
        </is>
      </c>
      <c r="V4" s="7" t="inlineStr">
        <is>
          <t>4Q25A</t>
        </is>
      </c>
      <c r="W4" s="7" t="inlineStr">
        <is>
          <t>1Q26A</t>
        </is>
      </c>
      <c r="X4" s="7" t="inlineStr">
        <is>
          <t>2Q26A</t>
        </is>
      </c>
      <c r="Y4" s="7" t="inlineStr">
        <is>
          <t>3Q26E</t>
        </is>
      </c>
      <c r="Z4" s="7" t="inlineStr">
        <is>
          <t>4Q26E</t>
        </is>
      </c>
      <c r="AA4" s="7" t="inlineStr">
        <is>
          <t>1Q27E</t>
        </is>
      </c>
      <c r="AB4" s="7" t="inlineStr">
        <is>
          <t>2Q27E</t>
        </is>
      </c>
      <c r="AC4" s="7" t="inlineStr">
        <is>
          <t>3Q27E</t>
        </is>
      </c>
      <c r="AD4" s="7" t="inlineStr">
        <is>
          <t>4Q27E</t>
        </is>
      </c>
    </row>
    <row r="5"/>
    <row r="6">
      <c r="A6" s="5" t="inlineStr">
        <is>
          <t>A. Printed nights (the KPI, booking-dated)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8" t="inlineStr">
        <is>
          <t>Nights &amp; seats booked (m)</t>
        </is>
      </c>
      <c r="B7" s="4" t="inlineStr">
        <is>
          <t>data/processed/abnb_driver_history_quarterly.csv (10-Q/10-K)</t>
        </is>
      </c>
      <c r="C7" s="9" t="n">
        <v>64.40000000000001</v>
      </c>
      <c r="D7" s="9" t="n">
        <v>83.09999999999999</v>
      </c>
      <c r="E7" s="9" t="n">
        <v>79.7</v>
      </c>
      <c r="F7" s="9" t="n">
        <v>73.40000000000001</v>
      </c>
      <c r="G7" s="9" t="n">
        <v>102.1</v>
      </c>
      <c r="H7" s="9" t="n">
        <v>103.7</v>
      </c>
      <c r="I7" s="9" t="n">
        <v>99.7</v>
      </c>
      <c r="J7" s="9" t="n">
        <v>88.2</v>
      </c>
      <c r="K7" s="9" t="n">
        <v>121.1</v>
      </c>
      <c r="L7" s="9" t="n">
        <v>115.1</v>
      </c>
      <c r="M7" s="9" t="n">
        <v>113.2</v>
      </c>
      <c r="N7" s="9" t="n">
        <v>98.8</v>
      </c>
      <c r="O7" s="9" t="n">
        <v>132.6</v>
      </c>
      <c r="P7" s="9" t="n">
        <v>125.1</v>
      </c>
      <c r="Q7" s="9" t="n">
        <v>122.8</v>
      </c>
      <c r="R7" s="9" t="n">
        <v>111</v>
      </c>
      <c r="S7" s="9" t="n">
        <v>143.1</v>
      </c>
      <c r="T7" s="9" t="n">
        <v>134.4</v>
      </c>
      <c r="U7" s="9" t="n">
        <v>133.6</v>
      </c>
      <c r="V7" s="9" t="n">
        <v>121.9</v>
      </c>
      <c r="W7" s="9" t="n">
        <v>156.2</v>
      </c>
      <c r="X7" s="9" t="n">
        <v>148.3</v>
      </c>
    </row>
    <row r="8">
      <c r="A8" s="8" t="inlineStr">
        <is>
          <t xml:space="preserve">    y/y</t>
        </is>
      </c>
      <c r="B8" s="4" t="inlineStr">
        <is>
          <t>→ nights / nights four quarters earlier − 1</t>
        </is>
      </c>
      <c r="G8" s="10">
        <f>G7/C7-1</f>
        <v/>
      </c>
      <c r="H8" s="10">
        <f>H7/D7-1</f>
        <v/>
      </c>
      <c r="I8" s="10">
        <f>I7/E7-1</f>
        <v/>
      </c>
      <c r="J8" s="10">
        <f>J7/F7-1</f>
        <v/>
      </c>
      <c r="K8" s="10">
        <f>K7/G7-1</f>
        <v/>
      </c>
      <c r="L8" s="10">
        <f>L7/H7-1</f>
        <v/>
      </c>
      <c r="M8" s="10">
        <f>M7/I7-1</f>
        <v/>
      </c>
      <c r="N8" s="10">
        <f>N7/J7-1</f>
        <v/>
      </c>
      <c r="O8" s="10">
        <f>O7/K7-1</f>
        <v/>
      </c>
      <c r="P8" s="10">
        <f>P7/L7-1</f>
        <v/>
      </c>
      <c r="Q8" s="10">
        <f>Q7/M7-1</f>
        <v/>
      </c>
      <c r="R8" s="10">
        <f>R7/N7-1</f>
        <v/>
      </c>
      <c r="S8" s="10">
        <f>S7/O7-1</f>
        <v/>
      </c>
      <c r="T8" s="10">
        <f>T7/P7-1</f>
        <v/>
      </c>
      <c r="U8" s="10">
        <f>U7/Q7-1</f>
        <v/>
      </c>
      <c r="V8" s="10">
        <f>V7/R7-1</f>
        <v/>
      </c>
      <c r="W8" s="10">
        <f>W7/S7-1</f>
        <v/>
      </c>
      <c r="X8" s="10">
        <f>X7/T7-1</f>
        <v/>
      </c>
    </row>
    <row r="10">
      <c r="A10" s="5" t="inlineStr">
        <is>
          <t>B. Stays index — regional stays growth (same-age two-vintage review counts) × stay-quarter mix weights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8" t="inlineStr">
        <is>
          <t>Stays y/y, NAM (%)</t>
        </is>
      </c>
      <c r="B11" s="4" t="inlineStr">
        <is>
          <t>index_regional_vmatch_pct.csv (Inside Airbnb reviews, vmatch)</t>
        </is>
      </c>
      <c r="C11" s="11" t="n">
        <v>-30.00918602827505</v>
      </c>
      <c r="D11" s="11" t="n">
        <v>256.2257937336209</v>
      </c>
      <c r="E11" s="11" t="n">
        <v>84.26742112514458</v>
      </c>
      <c r="F11" s="11" t="n">
        <v>86.20847663311395</v>
      </c>
      <c r="G11" s="11" t="n">
        <v>67.32454692113927</v>
      </c>
      <c r="H11" s="11" t="n">
        <v>46.57101782633697</v>
      </c>
      <c r="I11" s="11" t="n">
        <v>22.73297772199561</v>
      </c>
      <c r="J11" s="11" t="n">
        <v>11.32256764714998</v>
      </c>
      <c r="K11" s="11" t="n">
        <v>9.722468435462584</v>
      </c>
      <c r="L11" s="11" t="n">
        <v>3.956050743410877</v>
      </c>
      <c r="M11" s="11" t="n">
        <v>4.376043484264569</v>
      </c>
      <c r="N11" s="11" t="n">
        <v>1.613859968500075</v>
      </c>
      <c r="O11" s="11" t="n">
        <v>1.402374081111546</v>
      </c>
      <c r="P11" s="11" t="n">
        <v>0.1114114058495152</v>
      </c>
      <c r="Q11" s="11" t="n">
        <v>2.569900969032224</v>
      </c>
      <c r="R11" s="11" t="n">
        <v>2.734742795372114</v>
      </c>
      <c r="S11" s="11" t="n">
        <v>-2.637292289387627</v>
      </c>
      <c r="T11" s="11" t="n">
        <v>-0.9109563412072808</v>
      </c>
      <c r="U11" s="11" t="n">
        <v>-0.3824355194063877</v>
      </c>
      <c r="V11" s="11" t="n">
        <v>0.0598087643331579</v>
      </c>
      <c r="W11" s="11" t="n">
        <v>5.409674721405855</v>
      </c>
      <c r="X11" s="11" t="n">
        <v>6.895965559903039</v>
      </c>
    </row>
    <row r="12">
      <c r="A12" s="8" t="inlineStr">
        <is>
          <t>Stays y/y, EMEA (%)</t>
        </is>
      </c>
      <c r="B12" s="4" t="inlineStr">
        <is>
          <t>index_regional_vmatch_pct.csv (Inside Airbnb reviews, vmatch)</t>
        </is>
      </c>
      <c r="C12" s="11" t="n">
        <v>-74.97846537072517</v>
      </c>
      <c r="D12" s="11" t="n">
        <v>408.4253548060518</v>
      </c>
      <c r="E12" s="11" t="n">
        <v>76.40215198386011</v>
      </c>
      <c r="F12" s="11" t="n">
        <v>266.0616177203485</v>
      </c>
      <c r="G12" s="11" t="n">
        <v>324.383968252688</v>
      </c>
      <c r="H12" s="11" t="n">
        <v>256.4863964317644</v>
      </c>
      <c r="I12" s="11" t="n">
        <v>55.2370567255049</v>
      </c>
      <c r="J12" s="11" t="n">
        <v>34.48633960047003</v>
      </c>
      <c r="K12" s="11" t="n">
        <v>36.69319171549211</v>
      </c>
      <c r="L12" s="11" t="n">
        <v>23.2010823318098</v>
      </c>
      <c r="M12" s="11" t="n">
        <v>11.82101797278614</v>
      </c>
      <c r="N12" s="11" t="n">
        <v>14.61266737385858</v>
      </c>
      <c r="O12" s="11" t="n">
        <v>9.235319774769144</v>
      </c>
      <c r="P12" s="11" t="n">
        <v>8.828124307834063</v>
      </c>
      <c r="Q12" s="11" t="n">
        <v>5.526000267344489</v>
      </c>
      <c r="R12" s="11" t="n">
        <v>6.76010963648972</v>
      </c>
      <c r="S12" s="11" t="n">
        <v>4.252915647932376</v>
      </c>
      <c r="T12" s="11" t="n">
        <v>2.985534385665001</v>
      </c>
      <c r="U12" s="11" t="n">
        <v>2.180663703284424</v>
      </c>
      <c r="V12" s="11" t="n">
        <v>5.519095608761537</v>
      </c>
      <c r="W12" s="11" t="n">
        <v>4.730741332807509</v>
      </c>
      <c r="X12" s="11" t="n">
        <v>1.482340923424097</v>
      </c>
    </row>
    <row r="13">
      <c r="A13" s="8" t="inlineStr">
        <is>
          <t>Stays y/y, LatAm (%)</t>
        </is>
      </c>
      <c r="B13" s="4" t="inlineStr">
        <is>
          <t>index_regional_vmatch_pct.csv (Inside Airbnb reviews, vmatch)</t>
        </is>
      </c>
      <c r="C13" s="11" t="n">
        <v>-50.5596824331227</v>
      </c>
      <c r="D13" s="11" t="n">
        <v>384.8771785371209</v>
      </c>
      <c r="E13" s="11" t="n">
        <v>131.7339944582179</v>
      </c>
      <c r="F13" s="11" t="n">
        <v>101.5150637311703</v>
      </c>
      <c r="G13" s="11" t="n">
        <v>128.2025450689289</v>
      </c>
      <c r="H13" s="11" t="n">
        <v>134.6987829871214</v>
      </c>
      <c r="I13" s="11" t="n">
        <v>102.4405646359584</v>
      </c>
      <c r="J13" s="11" t="n">
        <v>67.42090713627522</v>
      </c>
      <c r="K13" s="11" t="n">
        <v>50.2345823816285</v>
      </c>
      <c r="L13" s="11" t="n">
        <v>35.12309361969499</v>
      </c>
      <c r="M13" s="11" t="n">
        <v>33.38088330109608</v>
      </c>
      <c r="N13" s="11" t="n">
        <v>38.08397120527635</v>
      </c>
      <c r="O13" s="11" t="n">
        <v>24.18632463300145</v>
      </c>
      <c r="P13" s="11" t="n">
        <v>16.54204341077632</v>
      </c>
      <c r="Q13" s="11" t="n">
        <v>24.11126258389262</v>
      </c>
      <c r="R13" s="11" t="n">
        <v>13.35590970013487</v>
      </c>
      <c r="S13" s="11" t="n">
        <v>27.15945010598912</v>
      </c>
      <c r="T13" s="11" t="n">
        <v>34.00557184349595</v>
      </c>
      <c r="U13" s="11" t="n">
        <v>18.44378013291841</v>
      </c>
      <c r="V13" s="11" t="n">
        <v>24.82474787736146</v>
      </c>
      <c r="W13" s="11" t="n">
        <v>18.22158041627904</v>
      </c>
      <c r="X13" s="11" t="n">
        <v>20.39582536033171</v>
      </c>
    </row>
    <row r="14">
      <c r="A14" s="8" t="inlineStr">
        <is>
          <t>Stays y/y, APAC (%)</t>
        </is>
      </c>
      <c r="B14" s="4" t="inlineStr">
        <is>
          <t>index_regional_vmatch_pct.csv (Inside Airbnb reviews, vmatch)</t>
        </is>
      </c>
      <c r="C14" s="11" t="n">
        <v>-24.21563176617894</v>
      </c>
      <c r="D14" s="11" t="n">
        <v>231.8325846301941</v>
      </c>
      <c r="E14" s="11" t="n">
        <v>-3.980710697128609</v>
      </c>
      <c r="F14" s="11" t="n">
        <v>-2.62572116476627</v>
      </c>
      <c r="G14" s="11" t="n">
        <v>12.21555341819491</v>
      </c>
      <c r="H14" s="11" t="n">
        <v>16.68958349122484</v>
      </c>
      <c r="I14" s="11" t="n">
        <v>95.7676997924676</v>
      </c>
      <c r="J14" s="11" t="n">
        <v>74.88434597500209</v>
      </c>
      <c r="K14" s="11" t="n">
        <v>53.34596848894637</v>
      </c>
      <c r="L14" s="11" t="n">
        <v>18.13279615074068</v>
      </c>
      <c r="M14" s="11" t="n">
        <v>14.79939614735852</v>
      </c>
      <c r="N14" s="11" t="n">
        <v>16.51676057827394</v>
      </c>
      <c r="O14" s="11" t="n">
        <v>21.7708666275189</v>
      </c>
      <c r="P14" s="11" t="n">
        <v>4.876129587508449</v>
      </c>
      <c r="Q14" s="11" t="n">
        <v>2.08007170424358</v>
      </c>
      <c r="R14" s="11" t="n">
        <v>8.657367103914314</v>
      </c>
      <c r="S14" s="11" t="n">
        <v>-0.8225382604918119</v>
      </c>
      <c r="T14" s="11" t="n">
        <v>4.715099281276647</v>
      </c>
      <c r="U14" s="11" t="n">
        <v>4.948504339354409</v>
      </c>
      <c r="V14" s="11" t="n">
        <v>6.244245131807791</v>
      </c>
      <c r="W14" s="11" t="n">
        <v>8.863726066864587</v>
      </c>
      <c r="X14" s="11" t="n">
        <v>2.302990881309763</v>
      </c>
    </row>
    <row r="15">
      <c r="A15" s="8" t="inlineStr">
        <is>
          <t>Stay-mix weight, NAM</t>
        </is>
      </c>
      <c r="B15" s="4" t="inlineStr">
        <is>
          <t>mix_weights_stay_quarter.csv (regional revenue ÷ ADR index; drift rule fwd)</t>
        </is>
      </c>
      <c r="G15" s="12" t="n">
        <v>0.3976644896770864</v>
      </c>
      <c r="H15" s="12" t="n">
        <v>0.3941976578064052</v>
      </c>
      <c r="I15" s="12" t="n">
        <v>0.3452540434507648</v>
      </c>
      <c r="J15" s="12" t="n">
        <v>0.3655498690373306</v>
      </c>
      <c r="K15" s="12" t="n">
        <v>0.3602634545787797</v>
      </c>
      <c r="L15" s="12" t="n">
        <v>0.3545083341334318</v>
      </c>
      <c r="M15" s="12" t="n">
        <v>0.3216888626036453</v>
      </c>
      <c r="N15" s="12" t="n">
        <v>0.3313222885401461</v>
      </c>
      <c r="O15" s="12" t="n">
        <v>0.3279435645184726</v>
      </c>
      <c r="P15" s="12" t="n">
        <v>0.3509795845064686</v>
      </c>
      <c r="Q15" s="12" t="n">
        <v>0.3094565130737363</v>
      </c>
      <c r="R15" s="12" t="n">
        <v>0.3113184150409745</v>
      </c>
      <c r="S15" s="12" t="n">
        <v>0.3181110635519259</v>
      </c>
      <c r="T15" s="12" t="n">
        <v>0.3218702432355106</v>
      </c>
      <c r="U15" s="12" t="n">
        <v>0.2867093835703883</v>
      </c>
      <c r="V15" s="12" t="n">
        <v>0.2805252643412614</v>
      </c>
      <c r="W15" s="12" t="n">
        <v>0.2847520658412438</v>
      </c>
      <c r="X15" s="12" t="n">
        <v>0.3184828367142358</v>
      </c>
      <c r="Y15" s="12" t="n">
        <v>0.2649213206268898</v>
      </c>
      <c r="Z15" s="12" t="n">
        <v>0.2532785428841455</v>
      </c>
      <c r="AA15" s="12" t="n">
        <v>0.2520545312787783</v>
      </c>
      <c r="AB15" s="12" t="n">
        <v>0.2803753622213456</v>
      </c>
      <c r="AC15" s="12" t="n">
        <v>0.2212753612048174</v>
      </c>
      <c r="AD15" s="12" t="n">
        <v>0.2041460056943954</v>
      </c>
    </row>
    <row r="16">
      <c r="A16" s="8" t="inlineStr">
        <is>
          <t>Stay-mix weight, EMEA</t>
        </is>
      </c>
      <c r="B16" s="4" t="inlineStr">
        <is>
          <t>mix_weights_stay_quarter.csv (regional revenue ÷ ADR index; drift rule fwd)</t>
        </is>
      </c>
      <c r="G16" s="12" t="n">
        <v>0.2641620558386204</v>
      </c>
      <c r="H16" s="12" t="n">
        <v>0.3847152399210277</v>
      </c>
      <c r="I16" s="12" t="n">
        <v>0.4814101139518967</v>
      </c>
      <c r="J16" s="12" t="n">
        <v>0.3086462469546491</v>
      </c>
      <c r="K16" s="12" t="n">
        <v>0.2611322823291782</v>
      </c>
      <c r="L16" s="12" t="n">
        <v>0.4096910038017836</v>
      </c>
      <c r="M16" s="12" t="n">
        <v>0.4884502723430739</v>
      </c>
      <c r="N16" s="12" t="n">
        <v>0.317616940391561</v>
      </c>
      <c r="O16" s="12" t="n">
        <v>0.268183923149056</v>
      </c>
      <c r="P16" s="12" t="n">
        <v>0.4116726398051218</v>
      </c>
      <c r="Q16" s="12" t="n">
        <v>0.4973985185479668</v>
      </c>
      <c r="R16" s="12" t="n">
        <v>0.3257075789345514</v>
      </c>
      <c r="S16" s="12" t="n">
        <v>0.2637722500591851</v>
      </c>
      <c r="T16" s="12" t="n">
        <v>0.421916563028342</v>
      </c>
      <c r="U16" s="12" t="n">
        <v>0.5104549087034342</v>
      </c>
      <c r="V16" s="12" t="n">
        <v>0.3332628632887765</v>
      </c>
      <c r="W16" s="12" t="n">
        <v>0.2736288173504258</v>
      </c>
      <c r="X16" s="12" t="n">
        <v>0.4168014203335033</v>
      </c>
      <c r="Y16" s="12" t="n">
        <v>0.5148668021451503</v>
      </c>
      <c r="Z16" s="12" t="n">
        <v>0.33860146475353</v>
      </c>
      <c r="AA16" s="12" t="n">
        <v>0.2799647750805224</v>
      </c>
      <c r="AB16" s="12" t="n">
        <v>0.4243955741372955</v>
      </c>
      <c r="AC16" s="12" t="n">
        <v>0.5237047297126907</v>
      </c>
      <c r="AD16" s="12" t="n">
        <v>0.3482282756496995</v>
      </c>
    </row>
    <row r="17">
      <c r="A17" s="8" t="inlineStr">
        <is>
          <t>Stay-mix weight, LatAm</t>
        </is>
      </c>
      <c r="B17" s="4" t="inlineStr">
        <is>
          <t>mix_weights_stay_quarter.csv (regional revenue ÷ ADR index; drift rule fwd)</t>
        </is>
      </c>
      <c r="G17" s="12" t="n">
        <v>0.179822664252863</v>
      </c>
      <c r="H17" s="12" t="n">
        <v>0.1027097561738697</v>
      </c>
      <c r="I17" s="12" t="n">
        <v>0.07557697087249569</v>
      </c>
      <c r="J17" s="12" t="n">
        <v>0.1496617553274328</v>
      </c>
      <c r="K17" s="12" t="n">
        <v>0.1911286403703319</v>
      </c>
      <c r="L17" s="12" t="n">
        <v>0.1012318631791898</v>
      </c>
      <c r="M17" s="12" t="n">
        <v>0.0809023291726671</v>
      </c>
      <c r="N17" s="12" t="n">
        <v>0.1645119524170913</v>
      </c>
      <c r="O17" s="12" t="n">
        <v>0.2071337547322268</v>
      </c>
      <c r="P17" s="12" t="n">
        <v>0.1036633576743223</v>
      </c>
      <c r="Q17" s="12" t="n">
        <v>0.0818049519761042</v>
      </c>
      <c r="R17" s="12" t="n">
        <v>0.1626728140011318</v>
      </c>
      <c r="S17" s="12" t="n">
        <v>0.2161781094619949</v>
      </c>
      <c r="T17" s="12" t="n">
        <v>0.1127556465313684</v>
      </c>
      <c r="U17" s="12" t="n">
        <v>0.0869045174012994</v>
      </c>
      <c r="V17" s="12" t="n">
        <v>0.1794212635419508</v>
      </c>
      <c r="W17" s="12" t="n">
        <v>0.2356571358498518</v>
      </c>
      <c r="X17" s="12" t="n">
        <v>0.1214143827838369</v>
      </c>
      <c r="Y17" s="12" t="n">
        <v>0.1001846651334061</v>
      </c>
      <c r="Z17" s="12" t="n">
        <v>0.1961173809228737</v>
      </c>
      <c r="AA17" s="12" t="n">
        <v>0.2557640527131075</v>
      </c>
      <c r="AB17" s="12" t="n">
        <v>0.1447169865650279</v>
      </c>
      <c r="AC17" s="12" t="n">
        <v>0.126787525173684</v>
      </c>
      <c r="AD17" s="12" t="n">
        <v>0.2262245851761908</v>
      </c>
    </row>
    <row r="18">
      <c r="A18" s="8" t="inlineStr">
        <is>
          <t>Stay-mix weight, APAC</t>
        </is>
      </c>
      <c r="B18" s="4" t="inlineStr">
        <is>
          <t>mix_weights_stay_quarter.csv (regional revenue ÷ ADR index; drift rule fwd)</t>
        </is>
      </c>
      <c r="G18" s="12" t="n">
        <v>0.15835079023143</v>
      </c>
      <c r="H18" s="12" t="n">
        <v>0.1183773460986972</v>
      </c>
      <c r="I18" s="12" t="n">
        <v>0.0977588717248426</v>
      </c>
      <c r="J18" s="12" t="n">
        <v>0.1761421286805873</v>
      </c>
      <c r="K18" s="12" t="n">
        <v>0.1874756227217103</v>
      </c>
      <c r="L18" s="12" t="n">
        <v>0.1345687988855946</v>
      </c>
      <c r="M18" s="12" t="n">
        <v>0.1089585358806136</v>
      </c>
      <c r="N18" s="12" t="n">
        <v>0.1865488186512015</v>
      </c>
      <c r="O18" s="12" t="n">
        <v>0.1967387576002446</v>
      </c>
      <c r="P18" s="12" t="n">
        <v>0.1336844180140872</v>
      </c>
      <c r="Q18" s="12" t="n">
        <v>0.1113400164021928</v>
      </c>
      <c r="R18" s="12" t="n">
        <v>0.2003011920233422</v>
      </c>
      <c r="S18" s="12" t="n">
        <v>0.2019385769268939</v>
      </c>
      <c r="T18" s="12" t="n">
        <v>0.1434575472047787</v>
      </c>
      <c r="U18" s="12" t="n">
        <v>0.115931190324878</v>
      </c>
      <c r="V18" s="12" t="n">
        <v>0.2067906088280112</v>
      </c>
      <c r="W18" s="12" t="n">
        <v>0.2059619809584785</v>
      </c>
      <c r="X18" s="12" t="n">
        <v>0.1433013601684239</v>
      </c>
      <c r="Y18" s="12" t="n">
        <v>0.1200272120945537</v>
      </c>
      <c r="Z18" s="12" t="n">
        <v>0.2120026114394506</v>
      </c>
      <c r="AA18" s="12" t="n">
        <v>0.2122166409275916</v>
      </c>
      <c r="AB18" s="12" t="n">
        <v>0.1505120770763308</v>
      </c>
      <c r="AC18" s="12" t="n">
        <v>0.1282323839088077</v>
      </c>
      <c r="AD18" s="12" t="n">
        <v>0.2214011334797141</v>
      </c>
    </row>
    <row r="19">
      <c r="A19" s="8" t="inlineStr">
        <is>
          <t>Global stays index, y/y (%)</t>
        </is>
      </c>
      <c r="B19" s="4" t="inlineStr">
        <is>
          <t>→ SUMPRODUCT(regional growth, weights)</t>
        </is>
      </c>
      <c r="G19" s="13">
        <f>SUMPRODUCT(G11:G14,G15:G18)</f>
        <v/>
      </c>
      <c r="H19" s="13">
        <f>SUMPRODUCT(H11:H14,H15:H18)</f>
        <v/>
      </c>
      <c r="I19" s="13">
        <f>SUMPRODUCT(I11:I14,I15:I18)</f>
        <v/>
      </c>
      <c r="J19" s="13">
        <f>SUMPRODUCT(J11:J14,J15:J18)</f>
        <v/>
      </c>
      <c r="K19" s="13">
        <f>SUMPRODUCT(K11:K14,K15:K18)</f>
        <v/>
      </c>
      <c r="L19" s="13">
        <f>SUMPRODUCT(L11:L14,L15:L18)</f>
        <v/>
      </c>
      <c r="M19" s="13">
        <f>SUMPRODUCT(M11:M14,M15:M18)</f>
        <v/>
      </c>
      <c r="N19" s="13">
        <f>SUMPRODUCT(N11:N14,N15:N18)</f>
        <v/>
      </c>
      <c r="O19" s="13">
        <f>SUMPRODUCT(O11:O14,O15:O18)</f>
        <v/>
      </c>
      <c r="P19" s="13">
        <f>SUMPRODUCT(P11:P14,P15:P18)</f>
        <v/>
      </c>
      <c r="Q19" s="13">
        <f>SUMPRODUCT(Q11:Q14,Q15:Q18)</f>
        <v/>
      </c>
      <c r="R19" s="13">
        <f>SUMPRODUCT(R11:R14,R15:R18)</f>
        <v/>
      </c>
      <c r="S19" s="13">
        <f>SUMPRODUCT(S11:S14,S15:S18)</f>
        <v/>
      </c>
      <c r="T19" s="13">
        <f>SUMPRODUCT(T11:T14,T15:T18)</f>
        <v/>
      </c>
      <c r="U19" s="13">
        <f>SUMPRODUCT(U11:U14,U15:U18)</f>
        <v/>
      </c>
      <c r="V19" s="13">
        <f>SUMPRODUCT(V11:V14,V15:V18)</f>
        <v/>
      </c>
      <c r="W19" s="13">
        <f>SUMPRODUCT(W11:W14,W15:W18)</f>
        <v/>
      </c>
      <c r="X19" s="13">
        <f>SUMPRODUCT(X11:X14,X15:X18)</f>
        <v/>
      </c>
    </row>
    <row r="21">
      <c r="A21" s="5" t="inlineStr">
        <is>
          <t>C. Mapping to the KPI — nights y/y = a + b × index, fitted 1Q23–2Q25 and frozen; scored walk-forward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>
      <c r="A22" s="8" t="inlineStr">
        <is>
          <t>Intercept a (frozen, 1Q23–2Q25)</t>
        </is>
      </c>
      <c r="B22" s="4" t="inlineStr">
        <is>
          <t>→ INTERCEPT(nights y/y, index) — pre-RNPL quarters only</t>
        </is>
      </c>
      <c r="C22" s="14">
        <f>INTERCEPT(K8:T8,K19:T19)*100</f>
        <v/>
      </c>
      <c r="D22" s="4" t="inlineStr">
        <is>
          <t>pp</t>
        </is>
      </c>
    </row>
    <row r="23">
      <c r="A23" s="8" t="inlineStr">
        <is>
          <t>Slope b (frozen, 1Q23–2Q25)</t>
        </is>
      </c>
      <c r="B23" s="4" t="inlineStr">
        <is>
          <t>→ SLOPE(nights y/y, index)</t>
        </is>
      </c>
      <c r="C23" s="14">
        <f>SLOPE(K8:T8,K19:T19)*100</f>
        <v/>
      </c>
      <c r="D23" s="4" t="inlineStr">
        <is>
          <t>pp of nights per index point</t>
        </is>
      </c>
    </row>
    <row r="25">
      <c r="A25" s="8" t="inlineStr">
        <is>
          <t>Stays-implied nights y/y (%)</t>
        </is>
      </c>
      <c r="B25" s="4" t="inlineStr">
        <is>
          <t>→ a + b × index (frozen mapping)</t>
        </is>
      </c>
      <c r="K25" s="15">
        <f>$C$22+$C$23*K19</f>
        <v/>
      </c>
      <c r="L25" s="15">
        <f>$C$22+$C$23*L19</f>
        <v/>
      </c>
      <c r="M25" s="15">
        <f>$C$22+$C$23*M19</f>
        <v/>
      </c>
      <c r="N25" s="15">
        <f>$C$22+$C$23*N19</f>
        <v/>
      </c>
      <c r="O25" s="15">
        <f>$C$22+$C$23*O19</f>
        <v/>
      </c>
      <c r="P25" s="15">
        <f>$C$22+$C$23*P19</f>
        <v/>
      </c>
      <c r="Q25" s="15">
        <f>$C$22+$C$23*Q19</f>
        <v/>
      </c>
      <c r="R25" s="15">
        <f>$C$22+$C$23*R19</f>
        <v/>
      </c>
      <c r="S25" s="15">
        <f>$C$22+$C$23*S19</f>
        <v/>
      </c>
      <c r="T25" s="15">
        <f>$C$22+$C$23*T19</f>
        <v/>
      </c>
      <c r="U25" s="15">
        <f>$C$22+$C$23*U19</f>
        <v/>
      </c>
      <c r="V25" s="15">
        <f>$C$22+$C$23*V19</f>
        <v/>
      </c>
      <c r="W25" s="15">
        <f>$C$22+$C$23*W19</f>
        <v/>
      </c>
      <c r="X25" s="15">
        <f>$C$22+$C$23*X19</f>
        <v/>
      </c>
    </row>
    <row r="26">
      <c r="A26" s="8" t="inlineStr">
        <is>
          <t>Gap: printed − stays-implied (pp)</t>
        </is>
      </c>
      <c r="B26" s="4" t="inlineStr">
        <is>
          <t>the option term I, observed (3Q25 onward)</t>
        </is>
      </c>
      <c r="K26" s="15">
        <f>K8*100-K25</f>
        <v/>
      </c>
      <c r="L26" s="15">
        <f>L8*100-L25</f>
        <v/>
      </c>
      <c r="M26" s="15">
        <f>M8*100-M25</f>
        <v/>
      </c>
      <c r="N26" s="15">
        <f>N8*100-N25</f>
        <v/>
      </c>
      <c r="O26" s="15">
        <f>O8*100-O25</f>
        <v/>
      </c>
      <c r="P26" s="15">
        <f>P8*100-P25</f>
        <v/>
      </c>
      <c r="Q26" s="15">
        <f>Q8*100-Q25</f>
        <v/>
      </c>
      <c r="R26" s="15">
        <f>R8*100-R25</f>
        <v/>
      </c>
      <c r="S26" s="15">
        <f>S8*100-S25</f>
        <v/>
      </c>
      <c r="T26" s="15">
        <f>T8*100-T25</f>
        <v/>
      </c>
      <c r="U26" s="13">
        <f>U8*100-U25</f>
        <v/>
      </c>
      <c r="V26" s="13">
        <f>V8*100-V25</f>
        <v/>
      </c>
      <c r="W26" s="13">
        <f>W8*100-W25</f>
        <v/>
      </c>
      <c r="X26" s="13">
        <f>X8*100-X25</f>
        <v/>
      </c>
    </row>
    <row r="28">
      <c r="A28" s="5" t="inlineStr">
        <is>
          <t>C1. Walk-forward W1 — window 1Q22+, scored 1Q23–2Q26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>
      <c r="A29" s="8" t="inlineStr">
        <is>
          <t xml:space="preserve">  prediction (refit on quarters before t)</t>
        </is>
      </c>
      <c r="B29" s="4" t="inlineStr">
        <is>
          <t>→ INTERCEPT(prior y, prior x) + SLOPE(prior y, prior x) × index_t</t>
        </is>
      </c>
      <c r="K29" s="15">
        <f>(INTERCEPT(G8:J8,G19:J19)+SLOPE(G8:J8,G19:J19)*K19)*100</f>
        <v/>
      </c>
      <c r="L29" s="15">
        <f>(INTERCEPT(G8:K8,G19:K19)+SLOPE(G8:K8,G19:K19)*L19)*100</f>
        <v/>
      </c>
      <c r="M29" s="15">
        <f>(INTERCEPT(G8:L8,G19:L19)+SLOPE(G8:L8,G19:L19)*M19)*100</f>
        <v/>
      </c>
      <c r="N29" s="15">
        <f>(INTERCEPT(G8:M8,G19:M19)+SLOPE(G8:M8,G19:M19)*N19)*100</f>
        <v/>
      </c>
      <c r="O29" s="15">
        <f>(INTERCEPT(G8:N8,G19:N19)+SLOPE(G8:N8,G19:N19)*O19)*100</f>
        <v/>
      </c>
      <c r="P29" s="15">
        <f>(INTERCEPT(G8:O8,G19:O19)+SLOPE(G8:O8,G19:O19)*P19)*100</f>
        <v/>
      </c>
      <c r="Q29" s="15">
        <f>(INTERCEPT(G8:P8,G19:P19)+SLOPE(G8:P8,G19:P19)*Q19)*100</f>
        <v/>
      </c>
      <c r="R29" s="15">
        <f>(INTERCEPT(G8:Q8,G19:Q19)+SLOPE(G8:Q8,G19:Q19)*R19)*100</f>
        <v/>
      </c>
      <c r="S29" s="15">
        <f>(INTERCEPT(G8:R8,G19:R19)+SLOPE(G8:R8,G19:R19)*S19)*100</f>
        <v/>
      </c>
      <c r="T29" s="15">
        <f>(INTERCEPT(G8:S8,G19:S19)+SLOPE(G8:S8,G19:S19)*T19)*100</f>
        <v/>
      </c>
      <c r="U29" s="15">
        <f>(INTERCEPT(G8:T8,G19:T19)+SLOPE(G8:T8,G19:T19)*U19)*100</f>
        <v/>
      </c>
      <c r="V29" s="15">
        <f>(INTERCEPT(G8:U8,G19:U19)+SLOPE(G8:U8,G19:U19)*V19)*100</f>
        <v/>
      </c>
      <c r="W29" s="15">
        <f>(INTERCEPT(G8:V8,G19:V19)+SLOPE(G8:V8,G19:V19)*W19)*100</f>
        <v/>
      </c>
      <c r="X29" s="15">
        <f>(INTERCEPT(G8:W8,G19:W19)+SLOPE(G8:W8,G19:W19)*X19)*100</f>
        <v/>
      </c>
    </row>
    <row r="30">
      <c r="A30" s="8" t="inlineStr">
        <is>
          <t xml:space="preserve">  error: prediction − printed (pp)</t>
        </is>
      </c>
      <c r="K30" s="15">
        <f>K29-K8*100</f>
        <v/>
      </c>
      <c r="L30" s="15">
        <f>L29-L8*100</f>
        <v/>
      </c>
      <c r="M30" s="15">
        <f>M29-M8*100</f>
        <v/>
      </c>
      <c r="N30" s="15">
        <f>N29-N8*100</f>
        <v/>
      </c>
      <c r="O30" s="15">
        <f>O29-O8*100</f>
        <v/>
      </c>
      <c r="P30" s="15">
        <f>P29-P8*100</f>
        <v/>
      </c>
      <c r="Q30" s="15">
        <f>Q29-Q8*100</f>
        <v/>
      </c>
      <c r="R30" s="15">
        <f>R29-R8*100</f>
        <v/>
      </c>
      <c r="S30" s="15">
        <f>S29-S8*100</f>
        <v/>
      </c>
      <c r="T30" s="15">
        <f>T29-T8*100</f>
        <v/>
      </c>
      <c r="U30" s="15">
        <f>U29-U8*100</f>
        <v/>
      </c>
      <c r="V30" s="15">
        <f>V29-V8*100</f>
        <v/>
      </c>
      <c r="W30" s="15">
        <f>W29-W8*100</f>
        <v/>
      </c>
      <c r="X30" s="15">
        <f>X29-X8*100</f>
        <v/>
      </c>
    </row>
    <row r="31">
      <c r="A31" s="8" t="inlineStr">
        <is>
          <t xml:space="preserve">  naive error: last quarter's y/y − printed (pp)</t>
        </is>
      </c>
      <c r="K31" s="15">
        <f>(J8-K8)*100</f>
        <v/>
      </c>
      <c r="L31" s="15">
        <f>(K8-L8)*100</f>
        <v/>
      </c>
      <c r="M31" s="15">
        <f>(L8-M8)*100</f>
        <v/>
      </c>
      <c r="N31" s="15">
        <f>(M8-N8)*100</f>
        <v/>
      </c>
      <c r="O31" s="15">
        <f>(N8-O8)*100</f>
        <v/>
      </c>
      <c r="P31" s="15">
        <f>(O8-P8)*100</f>
        <v/>
      </c>
      <c r="Q31" s="15">
        <f>(P8-Q8)*100</f>
        <v/>
      </c>
      <c r="R31" s="15">
        <f>(Q8-R8)*100</f>
        <v/>
      </c>
      <c r="S31" s="15">
        <f>(R8-S8)*100</f>
        <v/>
      </c>
      <c r="T31" s="15">
        <f>(S8-T8)*100</f>
        <v/>
      </c>
      <c r="U31" s="15">
        <f>(T8-U8)*100</f>
        <v/>
      </c>
      <c r="V31" s="15">
        <f>(U8-V8)*100</f>
        <v/>
      </c>
      <c r="W31" s="15">
        <f>(V8-W8)*100</f>
        <v/>
      </c>
      <c r="X31" s="15">
        <f>(W8-X8)*100</f>
        <v/>
      </c>
    </row>
    <row r="32">
      <c r="A32" s="8" t="inlineStr">
        <is>
          <t xml:space="preserve">  RMSE engine / RMSE naive</t>
        </is>
      </c>
      <c r="B32" s="4" t="inlineStr">
        <is>
          <t>scored 1Q23–2Q26, n 14</t>
        </is>
      </c>
      <c r="C32" s="16">
        <f>SQRT(SUMSQ(K30:X30)/COUNT(K30:X30))</f>
        <v/>
      </c>
      <c r="D32" s="16">
        <f>SQRT(SUMSQ(K31:X31)/COUNT(K31:X31))</f>
        <v/>
      </c>
      <c r="E32" s="17">
        <f>C32/D32</f>
        <v/>
      </c>
      <c r="F32" s="4" t="inlineStr">
        <is>
          <t>ratio (pass line ≤ 0.75)</t>
        </is>
      </c>
    </row>
    <row r="33">
      <c r="A33" s="8" t="inlineStr">
        <is>
          <t xml:space="preserve">  mean error (pp)</t>
        </is>
      </c>
      <c r="C33" s="15">
        <f>AVERAGE(K30:X30)</f>
        <v/>
      </c>
    </row>
    <row r="34">
      <c r="A34" s="5" t="inlineStr">
        <is>
          <t>C2. Walk-forward W2 — window 1Q23+, scored 1Q24–2Q26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>
      <c r="A35" s="8" t="inlineStr">
        <is>
          <t xml:space="preserve">  prediction (refit on quarters before t)</t>
        </is>
      </c>
      <c r="B35" s="4" t="inlineStr">
        <is>
          <t>→ INTERCEPT(prior y, prior x) + SLOPE(prior y, prior x) × index_t</t>
        </is>
      </c>
      <c r="O35" s="15">
        <f>(INTERCEPT(K8:N8,K19:N19)+SLOPE(K8:N8,K19:N19)*O19)*100</f>
        <v/>
      </c>
      <c r="P35" s="15">
        <f>(INTERCEPT(K8:O8,K19:O19)+SLOPE(K8:O8,K19:O19)*P19)*100</f>
        <v/>
      </c>
      <c r="Q35" s="15">
        <f>(INTERCEPT(K8:P8,K19:P19)+SLOPE(K8:P8,K19:P19)*Q19)*100</f>
        <v/>
      </c>
      <c r="R35" s="15">
        <f>(INTERCEPT(K8:Q8,K19:Q19)+SLOPE(K8:Q8,K19:Q19)*R19)*100</f>
        <v/>
      </c>
      <c r="S35" s="15">
        <f>(INTERCEPT(K8:R8,K19:R19)+SLOPE(K8:R8,K19:R19)*S19)*100</f>
        <v/>
      </c>
      <c r="T35" s="15">
        <f>(INTERCEPT(K8:S8,K19:S19)+SLOPE(K8:S8,K19:S19)*T19)*100</f>
        <v/>
      </c>
      <c r="U35" s="15">
        <f>(INTERCEPT(K8:T8,K19:T19)+SLOPE(K8:T8,K19:T19)*U19)*100</f>
        <v/>
      </c>
      <c r="V35" s="15">
        <f>(INTERCEPT(K8:U8,K19:U19)+SLOPE(K8:U8,K19:U19)*V19)*100</f>
        <v/>
      </c>
      <c r="W35" s="15">
        <f>(INTERCEPT(K8:V8,K19:V19)+SLOPE(K8:V8,K19:V19)*W19)*100</f>
        <v/>
      </c>
      <c r="X35" s="15">
        <f>(INTERCEPT(K8:W8,K19:W19)+SLOPE(K8:W8,K19:W19)*X19)*100</f>
        <v/>
      </c>
    </row>
    <row r="36">
      <c r="A36" s="8" t="inlineStr">
        <is>
          <t xml:space="preserve">  error: prediction − printed (pp)</t>
        </is>
      </c>
      <c r="O36" s="15">
        <f>O35-O8*100</f>
        <v/>
      </c>
      <c r="P36" s="15">
        <f>P35-P8*100</f>
        <v/>
      </c>
      <c r="Q36" s="15">
        <f>Q35-Q8*100</f>
        <v/>
      </c>
      <c r="R36" s="15">
        <f>R35-R8*100</f>
        <v/>
      </c>
      <c r="S36" s="15">
        <f>S35-S8*100</f>
        <v/>
      </c>
      <c r="T36" s="15">
        <f>T35-T8*100</f>
        <v/>
      </c>
      <c r="U36" s="15">
        <f>U35-U8*100</f>
        <v/>
      </c>
      <c r="V36" s="15">
        <f>V35-V8*100</f>
        <v/>
      </c>
      <c r="W36" s="15">
        <f>W35-W8*100</f>
        <v/>
      </c>
      <c r="X36" s="15">
        <f>X35-X8*100</f>
        <v/>
      </c>
    </row>
    <row r="37">
      <c r="A37" s="8" t="inlineStr">
        <is>
          <t xml:space="preserve">  naive error: last quarter's y/y − printed (pp)</t>
        </is>
      </c>
      <c r="O37" s="15">
        <f>(N8-O8)*100</f>
        <v/>
      </c>
      <c r="P37" s="15">
        <f>(O8-P8)*100</f>
        <v/>
      </c>
      <c r="Q37" s="15">
        <f>(P8-Q8)*100</f>
        <v/>
      </c>
      <c r="R37" s="15">
        <f>(Q8-R8)*100</f>
        <v/>
      </c>
      <c r="S37" s="15">
        <f>(R8-S8)*100</f>
        <v/>
      </c>
      <c r="T37" s="15">
        <f>(S8-T8)*100</f>
        <v/>
      </c>
      <c r="U37" s="15">
        <f>(T8-U8)*100</f>
        <v/>
      </c>
      <c r="V37" s="15">
        <f>(U8-V8)*100</f>
        <v/>
      </c>
      <c r="W37" s="15">
        <f>(V8-W8)*100</f>
        <v/>
      </c>
      <c r="X37" s="15">
        <f>(W8-X8)*100</f>
        <v/>
      </c>
    </row>
    <row r="38">
      <c r="A38" s="8" t="inlineStr">
        <is>
          <t xml:space="preserve">  RMSE engine / RMSE naive</t>
        </is>
      </c>
      <c r="B38" s="4" t="inlineStr">
        <is>
          <t>scored 1Q24–2Q26, n 10</t>
        </is>
      </c>
      <c r="C38" s="16">
        <f>SQRT(SUMSQ(O36:X36)/COUNT(O36:X36))</f>
        <v/>
      </c>
      <c r="D38" s="16">
        <f>SQRT(SUMSQ(O37:X37)/COUNT(O37:X37))</f>
        <v/>
      </c>
      <c r="E38" s="17">
        <f>C38/D38</f>
        <v/>
      </c>
      <c r="F38" s="4" t="inlineStr">
        <is>
          <t>ratio (pass line ≤ 0.75)</t>
        </is>
      </c>
    </row>
    <row r="39">
      <c r="A39" s="8" t="inlineStr">
        <is>
          <t xml:space="preserve">  mean error (pp)</t>
        </is>
      </c>
      <c r="C39" s="15">
        <f>AVERAGE(O36:X36)</f>
        <v/>
      </c>
    </row>
    <row r="40">
      <c r="A40" s="5" t="inlineStr">
        <is>
          <t>C3. Band — W2 walk-forward on the pre-RNPL quarters only, scored 1Q24–2Q25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>
      <c r="A41" s="8" t="inlineStr">
        <is>
          <t xml:space="preserve">  prediction (refit on quarters before t)</t>
        </is>
      </c>
      <c r="B41" s="4" t="inlineStr">
        <is>
          <t>→ INTERCEPT(prior y, prior x) + SLOPE(prior y, prior x) × index_t</t>
        </is>
      </c>
      <c r="O41" s="15">
        <f>(INTERCEPT(K8:N8,K19:N19)+SLOPE(K8:N8,K19:N19)*O19)*100</f>
        <v/>
      </c>
      <c r="P41" s="15">
        <f>(INTERCEPT(K8:O8,K19:O19)+SLOPE(K8:O8,K19:O19)*P19)*100</f>
        <v/>
      </c>
      <c r="Q41" s="15">
        <f>(INTERCEPT(K8:P8,K19:P19)+SLOPE(K8:P8,K19:P19)*Q19)*100</f>
        <v/>
      </c>
      <c r="R41" s="15">
        <f>(INTERCEPT(K8:Q8,K19:Q19)+SLOPE(K8:Q8,K19:Q19)*R19)*100</f>
        <v/>
      </c>
      <c r="S41" s="15">
        <f>(INTERCEPT(K8:R8,K19:R19)+SLOPE(K8:R8,K19:R19)*S19)*100</f>
        <v/>
      </c>
      <c r="T41" s="15">
        <f>(INTERCEPT(K8:S8,K19:S19)+SLOPE(K8:S8,K19:S19)*T19)*100</f>
        <v/>
      </c>
    </row>
    <row r="42">
      <c r="A42" s="8" t="inlineStr">
        <is>
          <t xml:space="preserve">  error: prediction − printed (pp)</t>
        </is>
      </c>
      <c r="O42" s="15">
        <f>O41-O8*100</f>
        <v/>
      </c>
      <c r="P42" s="15">
        <f>P41-P8*100</f>
        <v/>
      </c>
      <c r="Q42" s="15">
        <f>Q41-Q8*100</f>
        <v/>
      </c>
      <c r="R42" s="15">
        <f>R41-R8*100</f>
        <v/>
      </c>
      <c r="S42" s="15">
        <f>S41-S8*100</f>
        <v/>
      </c>
      <c r="T42" s="15">
        <f>T41-T8*100</f>
        <v/>
      </c>
    </row>
    <row r="43">
      <c r="A43" s="8" t="inlineStr">
        <is>
          <t xml:space="preserve">  naive error: last quarter's y/y − printed (pp)</t>
        </is>
      </c>
      <c r="O43" s="15">
        <f>(N8-O8)*100</f>
        <v/>
      </c>
      <c r="P43" s="15">
        <f>(O8-P8)*100</f>
        <v/>
      </c>
      <c r="Q43" s="15">
        <f>(P8-Q8)*100</f>
        <v/>
      </c>
      <c r="R43" s="15">
        <f>(Q8-R8)*100</f>
        <v/>
      </c>
      <c r="S43" s="15">
        <f>(R8-S8)*100</f>
        <v/>
      </c>
      <c r="T43" s="15">
        <f>(S8-T8)*100</f>
        <v/>
      </c>
    </row>
    <row r="44">
      <c r="A44" s="8" t="inlineStr">
        <is>
          <t xml:space="preserve">  RMSE engine / RMSE naive</t>
        </is>
      </c>
      <c r="B44" s="4" t="inlineStr">
        <is>
          <t>scored 1Q24–2Q25, n 6</t>
        </is>
      </c>
      <c r="C44" s="16">
        <f>SQRT(SUMSQ(O42:T42)/COUNT(O42:T42))</f>
        <v/>
      </c>
      <c r="D44" s="16">
        <f>SQRT(SUMSQ(O43:T43)/COUNT(O43:T43))</f>
        <v/>
      </c>
      <c r="E44" s="17">
        <f>C44/D44</f>
        <v/>
      </c>
      <c r="F44" s="4" t="inlineStr">
        <is>
          <t>ratio (pass line ≤ 0.75)</t>
        </is>
      </c>
      <c r="G44" s="4" t="inlineStr">
        <is>
          <t>← the RMSE in the first cell of this row is the band (±pp) on every read</t>
        </is>
      </c>
    </row>
    <row r="45">
      <c r="A45" s="8" t="inlineStr">
        <is>
          <t xml:space="preserve">  mean error (pp)</t>
        </is>
      </c>
      <c r="C45" s="15">
        <f>AVERAGE(O42:T42)</f>
        <v/>
      </c>
    </row>
    <row r="47">
      <c r="A47" s="5" t="inlineStr">
        <is>
          <t>D. The 3Q26 read — quarter-to-date, day-matched, same-age two vintages, through the frozen mapping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>
      <c r="A48" s="8" t="inlineStr">
        <is>
          <t xml:space="preserve">  3Q26 QTD stays y/y, NAM (%)</t>
        </is>
      </c>
      <c r="B48" s="4" t="inlineStr">
        <is>
          <t>q3nowcast/E/vintage_matched_nowcast.csv (E6, 3q26_to_date, vmatch_cw)</t>
        </is>
      </c>
      <c r="C48" s="11" t="n">
        <v>6.85016939240326</v>
      </c>
      <c r="D48" s="18">
        <f>Y15</f>
        <v/>
      </c>
      <c r="E48" s="4" t="inlineStr">
        <is>
          <t>← 3Q26 stay-mix weight (block B)</t>
        </is>
      </c>
    </row>
    <row r="49">
      <c r="A49" s="8" t="inlineStr">
        <is>
          <t xml:space="preserve">  3Q26 QTD stays y/y, EMEA (%)</t>
        </is>
      </c>
      <c r="B49" s="4" t="inlineStr">
        <is>
          <t>q3nowcast/E/vintage_matched_nowcast.csv (E6, 3q26_to_date, vmatch_cw)</t>
        </is>
      </c>
      <c r="C49" s="11" t="n">
        <v>0.86249526311585</v>
      </c>
      <c r="D49" s="18">
        <f>Y16</f>
        <v/>
      </c>
      <c r="E49" s="4" t="inlineStr">
        <is>
          <t>← 3Q26 stay-mix weight (block B)</t>
        </is>
      </c>
    </row>
    <row r="50">
      <c r="A50" s="8" t="inlineStr">
        <is>
          <t xml:space="preserve">  3Q26 QTD stays y/y, LatAm (%)</t>
        </is>
      </c>
      <c r="B50" s="4" t="inlineStr">
        <is>
          <t>q3nowcast/E/vintage_matched_nowcast.csv (E6, 3q26_to_date, vmatch_cw)</t>
        </is>
      </c>
      <c r="C50" s="11" t="n">
        <v>27.53417342427895</v>
      </c>
      <c r="D50" s="18">
        <f>Y17</f>
        <v/>
      </c>
      <c r="E50" s="4" t="inlineStr">
        <is>
          <t>← 3Q26 stay-mix weight (block B)</t>
        </is>
      </c>
    </row>
    <row r="51">
      <c r="A51" s="8" t="inlineStr">
        <is>
          <t xml:space="preserve">  3Q26 QTD stays y/y, APAC (%)</t>
        </is>
      </c>
      <c r="B51" s="4" t="inlineStr">
        <is>
          <t>q3nowcast/E/vintage_matched_nowcast.csv (E6, 3q26_to_date, vmatch_cw)</t>
        </is>
      </c>
      <c r="C51" s="11" t="n">
        <v>7.34946999312322</v>
      </c>
      <c r="D51" s="18">
        <f>Y18</f>
        <v/>
      </c>
      <c r="E51" s="4" t="inlineStr">
        <is>
          <t>← 3Q26 stay-mix weight (block B)</t>
        </is>
      </c>
    </row>
    <row r="52">
      <c r="A52" s="8" t="inlineStr">
        <is>
          <t xml:space="preserve">  Composite QTD index (%)</t>
        </is>
      </c>
      <c r="B52" s="4" t="inlineStr">
        <is>
          <t>→ SUMPRODUCT(regional, weights)/SUM(weights)</t>
        </is>
      </c>
      <c r="C52" s="15">
        <f>SUMPRODUCT(C48:C51,D48:D51)/SUM(D48:D51)</f>
        <v/>
      </c>
    </row>
    <row r="53">
      <c r="A53" s="8" t="inlineStr">
        <is>
          <t xml:space="preserve">  Partial-to-full-quarter gap (pp)</t>
        </is>
      </c>
      <c r="B53" s="4" t="inlineStr">
        <is>
          <t>q3nowcast/E/q3_2026_nowcast.csv gap_mean_pp (measured 2023–25)</t>
        </is>
      </c>
      <c r="C53" s="12" t="n">
        <v>0.0872435389247453</v>
      </c>
    </row>
    <row r="54">
      <c r="A54" s="8" t="inlineStr">
        <is>
          <t xml:space="preserve">  Full-quarter index (%)</t>
        </is>
      </c>
      <c r="B54" s="4" t="inlineStr">
        <is>
          <t>→ composite + gap</t>
        </is>
      </c>
      <c r="C54" s="15">
        <f>C52+C53</f>
        <v/>
      </c>
    </row>
    <row r="55">
      <c r="A55" s="8" t="inlineStr">
        <is>
          <t xml:space="preserve">  3Q26 STAYS READ, nights y/y (%)</t>
        </is>
      </c>
      <c r="B55" s="4" t="inlineStr">
        <is>
          <t>→ a + b × full index</t>
        </is>
      </c>
      <c r="C55" s="19">
        <f>$C$22+$C$23*C54</f>
        <v/>
      </c>
      <c r="D55" s="20">
        <f>$C$44</f>
        <v/>
      </c>
      <c r="E55" s="4" t="inlineStr">
        <is>
          <t>± band (block C3)</t>
        </is>
      </c>
    </row>
    <row r="56">
      <c r="A56" s="8" t="inlineStr">
        <is>
          <t xml:space="preserve">  3Q26 stays level (m)  [lo, hi]</t>
        </is>
      </c>
      <c r="B56" s="4" t="inlineStr">
        <is>
          <t>→ 3Q25 printed × (1 + read)</t>
        </is>
      </c>
      <c r="C56" s="21">
        <f>U7*(1+C55/100)</f>
        <v/>
      </c>
      <c r="D56" s="22">
        <f>U7*(1+(C55-$C$44)/100)</f>
        <v/>
      </c>
      <c r="E56" s="22">
        <f>U7*(1+(C55+$C$44)/100)</f>
        <v/>
      </c>
    </row>
    <row r="58">
      <c r="A58" s="5" t="inlineStr">
        <is>
          <t>E. The option term — print = stays + I; I observed 3Q25–2Q26, scenarios for 3Q26, y/y lap and kernel landing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>
      <c r="A59" s="8" t="inlineStr">
        <is>
          <t xml:space="preserve">  I scenario: 0 (exercise keeps pace with writing)</t>
        </is>
      </c>
      <c r="C59" s="11" t="n">
        <v>0</v>
      </c>
      <c r="D59" s="15">
        <f>$C$55+C59</f>
        <v/>
      </c>
      <c r="E59" s="22">
        <f>U7*(1+D59/100)</f>
        <v/>
      </c>
      <c r="F59" s="4" t="inlineStr">
        <is>
          <t>← print y/y and level under each scenario</t>
        </is>
      </c>
    </row>
    <row r="60">
      <c r="A60" s="8" t="inlineStr">
        <is>
          <t xml:space="preserve">  I scenario: mean observed gap</t>
        </is>
      </c>
      <c r="B60" s="4" t="inlineStr">
        <is>
          <t>→ AVERAGE(gaps 3Q25–2Q26)</t>
        </is>
      </c>
      <c r="C60" s="15">
        <f>AVERAGE(U26:X26)</f>
        <v/>
      </c>
      <c r="D60" s="15">
        <f>$C$55+C60</f>
        <v/>
      </c>
      <c r="E60" s="22">
        <f>U7*(1+D60/100)</f>
        <v/>
      </c>
    </row>
    <row r="61">
      <c r="A61" s="8" t="inlineStr">
        <is>
          <t xml:space="preserve">  I scenario: largest observed gap (a writing wave)</t>
        </is>
      </c>
      <c r="B61" s="4" t="inlineStr">
        <is>
          <t>→ MAX(gaps)</t>
        </is>
      </c>
      <c r="C61" s="15">
        <f>MAX(U26:X26)</f>
        <v/>
      </c>
      <c r="D61" s="15">
        <f>$C$55+C61</f>
        <v/>
      </c>
      <c r="E61" s="22">
        <f>U7*(1+D61/100)</f>
        <v/>
      </c>
    </row>
    <row r="63">
      <c r="A63" s="8" t="inlineStr">
        <is>
          <t xml:space="preserve">  y/y option term = I_t − I_{t−4} (pp)</t>
        </is>
      </c>
      <c r="B63" s="4" t="inlineStr">
        <is>
          <t>what the KPI laps; 3Q26 uses the base print minus the stays read</t>
        </is>
      </c>
      <c r="Y63" s="13">
        <f>(Y64-$C$55)-U26</f>
        <v/>
      </c>
      <c r="Z63" s="13">
        <f>0-V26</f>
        <v/>
      </c>
      <c r="AA63" s="13">
        <f>0-W26</f>
        <v/>
      </c>
      <c r="AB63" s="13">
        <f>0-X26</f>
        <v/>
      </c>
    </row>
    <row r="64">
      <c r="A64" s="8" t="inlineStr">
        <is>
          <t xml:space="preserve">  Base print y/y (%) — mechanism (DEC-0029/0019/0025)</t>
        </is>
      </c>
      <c r="B64" s="4" t="inlineStr">
        <is>
          <t>final_nights.md; components in block F</t>
        </is>
      </c>
      <c r="Y64" s="18">
        <f>Y84</f>
        <v/>
      </c>
      <c r="Z64" s="18">
        <f>Z84</f>
        <v/>
      </c>
      <c r="AA64" s="18">
        <f>AA84</f>
        <v/>
      </c>
      <c r="AB64" s="18">
        <f>AB84</f>
        <v/>
      </c>
    </row>
    <row r="66">
      <c r="A66" s="8" t="inlineStr">
        <is>
          <t xml:space="preserve">  K2 kernel: share of a stay quarter's stays booked 0..3 quarters earlier</t>
        </is>
      </c>
      <c r="B66" s="4" t="inlineStr">
        <is>
          <t>kernel_leadtime_v2/K2_M_matrix.csv</t>
        </is>
      </c>
    </row>
    <row r="67">
      <c r="A67" s="8" t="inlineStr">
        <is>
          <t xml:space="preserve">    stays in Q1: lag 0 / 1 / 2 / 3</t>
        </is>
      </c>
      <c r="C67" s="12" t="n">
        <v>0.5583640467656267</v>
      </c>
      <c r="D67" s="12" t="n">
        <v>0.3144994169549485</v>
      </c>
      <c r="E67" s="12" t="n">
        <v>0.0999870843688536</v>
      </c>
      <c r="F67" s="12" t="n">
        <v>0.027149451910571</v>
      </c>
    </row>
    <row r="68">
      <c r="A68" s="8" t="inlineStr">
        <is>
          <t xml:space="preserve">    stays in Q2: lag 0 / 1 / 2 / 3</t>
        </is>
      </c>
      <c r="C68" s="12" t="n">
        <v>0.4980794165248419</v>
      </c>
      <c r="D68" s="12" t="n">
        <v>0.3606152027985457</v>
      </c>
      <c r="E68" s="12" t="n">
        <v>0.0821239641226746</v>
      </c>
      <c r="F68" s="12" t="n">
        <v>0.0591814165539375</v>
      </c>
    </row>
    <row r="69">
      <c r="A69" s="8" t="inlineStr">
        <is>
          <t xml:space="preserve">    stays in Q3: lag 0 / 1 / 2 / 3</t>
        </is>
      </c>
      <c r="C69" s="12" t="n">
        <v>0.4633821662176525</v>
      </c>
      <c r="D69" s="12" t="n">
        <v>0.3893781525413777</v>
      </c>
      <c r="E69" s="12" t="n">
        <v>0.0954500016289517</v>
      </c>
      <c r="F69" s="12" t="n">
        <v>0.0517896796120176</v>
      </c>
    </row>
    <row r="70">
      <c r="A70" s="8" t="inlineStr">
        <is>
          <t xml:space="preserve">    stays in Q4: lag 0 / 1 / 2 / 3</t>
        </is>
      </c>
      <c r="C70" s="12" t="n">
        <v>0.5017395150331228</v>
      </c>
      <c r="D70" s="12" t="n">
        <v>0.3528418363472928</v>
      </c>
      <c r="E70" s="12" t="n">
        <v>0.1174376865950466</v>
      </c>
      <c r="F70" s="12" t="n">
        <v>0.0279809620245379</v>
      </c>
    </row>
    <row r="71">
      <c r="A71" s="8" t="inlineStr">
        <is>
          <t xml:space="preserve">  Landing of each writing wave's cancellations, pp (cohort gap × normalised kernel share by stay quarter)</t>
        </is>
      </c>
    </row>
    <row r="72">
      <c r="A72" s="8" t="inlineStr">
        <is>
          <t xml:space="preserve">    written 3Q25 (gap 3Q25)</t>
        </is>
      </c>
      <c r="U72" s="15">
        <f>MAX(U26,0)*C69/(C69+D70+E67+F68)</f>
        <v/>
      </c>
      <c r="V72" s="15">
        <f>MAX(U26,0)*D70/(C69+D70+E67+F68)</f>
        <v/>
      </c>
      <c r="W72" s="15">
        <f>MAX(U26,0)*E67/(C69+D70+E67+F68)</f>
        <v/>
      </c>
      <c r="X72" s="15">
        <f>MAX(U26,0)*F68/(C69+D70+E67+F68)</f>
        <v/>
      </c>
    </row>
    <row r="73">
      <c r="A73" s="8" t="inlineStr">
        <is>
          <t xml:space="preserve">    written 4Q25 (gap 4Q25)</t>
        </is>
      </c>
      <c r="V73" s="15">
        <f>MAX(V26,0)*C70/(C70+D67+E68+F69)</f>
        <v/>
      </c>
      <c r="W73" s="15">
        <f>MAX(V26,0)*D67/(C70+D67+E68+F69)</f>
        <v/>
      </c>
      <c r="X73" s="15">
        <f>MAX(V26,0)*E68/(C70+D67+E68+F69)</f>
        <v/>
      </c>
      <c r="Y73" s="15">
        <f>MAX(V26,0)*F69/(C70+D67+E68+F69)</f>
        <v/>
      </c>
    </row>
    <row r="74">
      <c r="A74" s="8" t="inlineStr">
        <is>
          <t xml:space="preserve">    written 1Q26 (gap 1Q26)</t>
        </is>
      </c>
      <c r="W74" s="15">
        <f>MAX(W26,0)*C67/(C67+D68+E69+F70)</f>
        <v/>
      </c>
      <c r="X74" s="15">
        <f>MAX(W26,0)*D68/(C67+D68+E69+F70)</f>
        <v/>
      </c>
      <c r="Y74" s="15">
        <f>MAX(W26,0)*E69/(C67+D68+E69+F70)</f>
        <v/>
      </c>
      <c r="Z74" s="15">
        <f>MAX(W26,0)*F70/(C67+D68+E69+F70)</f>
        <v/>
      </c>
    </row>
    <row r="75">
      <c r="A75" s="8" t="inlineStr">
        <is>
          <t xml:space="preserve">    written 2Q26 (gap 2Q26)</t>
        </is>
      </c>
      <c r="X75" s="15">
        <f>MAX(X26,0)*C68/(C68+D69+E70+F67)</f>
        <v/>
      </c>
      <c r="Y75" s="15">
        <f>MAX(X26,0)*D69/(C68+D69+E70+F67)</f>
        <v/>
      </c>
      <c r="Z75" s="15">
        <f>MAX(X26,0)*E70/(C68+D69+E70+F67)</f>
        <v/>
      </c>
      <c r="AA75" s="15">
        <f>MAX(X26,0)*F67/(C68+D69+E70+F67)</f>
        <v/>
      </c>
    </row>
    <row r="76">
      <c r="A76" s="8" t="inlineStr">
        <is>
          <t xml:space="preserve">    written 3Q26 (base I)</t>
        </is>
      </c>
      <c r="Y76" s="15">
        <f>MAX(Y64-$C$55,0)*C69/(C69+D70+E67+F68)</f>
        <v/>
      </c>
      <c r="Z76" s="15">
        <f>MAX(Y64-$C$55,0)*D70/(C69+D70+E67+F68)</f>
        <v/>
      </c>
      <c r="AA76" s="15">
        <f>MAX(Y64-$C$55,0)*E67/(C69+D70+E67+F68)</f>
        <v/>
      </c>
      <c r="AB76" s="15">
        <f>MAX(Y64-$C$55,0)*F68/(C69+D70+E67+F68)</f>
        <v/>
      </c>
    </row>
    <row r="77">
      <c r="A77" s="8" t="inlineStr">
        <is>
          <t xml:space="preserve">    cancellations landing, pp</t>
        </is>
      </c>
      <c r="B77" s="4" t="inlineStr">
        <is>
          <t>column sums</t>
        </is>
      </c>
      <c r="U77" s="13">
        <f>SUM(U72:U76)</f>
        <v/>
      </c>
      <c r="V77" s="13">
        <f>SUM(V72:V76)</f>
        <v/>
      </c>
      <c r="W77" s="13">
        <f>SUM(W72:W76)</f>
        <v/>
      </c>
      <c r="X77" s="13">
        <f>SUM(X72:X76)</f>
        <v/>
      </c>
      <c r="Y77" s="13">
        <f>SUM(Y72:Y76)</f>
        <v/>
      </c>
      <c r="Z77" s="13">
        <f>SUM(Z72:Z76)</f>
        <v/>
      </c>
      <c r="AA77" s="13">
        <f>SUM(AA72:AA76)</f>
        <v/>
      </c>
      <c r="AB77" s="13">
        <f>SUM(AB72:AB76)</f>
        <v/>
      </c>
    </row>
    <row r="79">
      <c r="A79" s="5" t="inlineStr">
        <is>
          <t>F. Forward path — base y/y as the sum of sourced components; levels; Street; guidance; the stays path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</row>
    <row r="80">
      <c r="A80" s="8" t="inlineStr">
        <is>
          <t xml:space="preserve">  underlying growth (pp)</t>
        </is>
      </c>
      <c r="B80" s="4" t="inlineStr">
        <is>
          <t>3Q26: mechanism 0.288×NA 5.60 + 0.712×ex-NA 11.62; 4Q26: ref 8.90; 2027: NA 0.291×2.31 + ex-NA 0.709×g</t>
        </is>
      </c>
      <c r="Y80" s="12" t="n">
        <v>9.885999999999999</v>
      </c>
      <c r="Z80" s="12" t="n">
        <v>8.9</v>
      </c>
      <c r="AA80" s="12" t="n">
        <v>8.31</v>
      </c>
      <c r="AB80" s="12" t="n">
        <v>8.082000000000001</v>
      </c>
      <c r="AC80" s="12" t="n">
        <v>7.855</v>
      </c>
      <c r="AD80" s="12" t="n">
        <v>7.627</v>
      </c>
    </row>
    <row r="81">
      <c r="A81" s="8" t="inlineStr">
        <is>
          <t xml:space="preserve">  fee / cancellation lap (pp)</t>
        </is>
      </c>
      <c r="B81" s="4" t="inlineStr">
        <is>
          <t>components per final_nights.md §4–6</t>
        </is>
      </c>
      <c r="Y81" s="12" t="n">
        <v>0</v>
      </c>
      <c r="Z81" s="12" t="n">
        <v>-0.78</v>
      </c>
      <c r="AA81" s="12" t="n">
        <v>-0.742</v>
      </c>
      <c r="AB81" s="12" t="n">
        <v>-0.742</v>
      </c>
      <c r="AC81" s="12" t="n">
        <v>-0.742</v>
      </c>
      <c r="AD81" s="12" t="n">
        <v>-0.742</v>
      </c>
    </row>
    <row r="82">
      <c r="A82" s="8" t="inlineStr">
        <is>
          <t xml:space="preserve">  ex-NA RNPL lap (pp)</t>
        </is>
      </c>
      <c r="B82" s="4" t="inlineStr">
        <is>
          <t>components per final_nights.md §4–6</t>
        </is>
      </c>
      <c r="Y82" s="12" t="n">
        <v>0</v>
      </c>
      <c r="Z82" s="12" t="n">
        <v>0</v>
      </c>
      <c r="AA82" s="12" t="n">
        <v>-0.363</v>
      </c>
      <c r="AB82" s="12" t="n">
        <v>-0.907</v>
      </c>
      <c r="AC82" s="12" t="n">
        <v>-0.907</v>
      </c>
      <c r="AD82" s="12" t="n">
        <v>-0.907</v>
      </c>
    </row>
    <row r="83">
      <c r="A83" s="8" t="inlineStr">
        <is>
          <t xml:space="preserve">  events (pp)</t>
        </is>
      </c>
      <c r="B83" s="4" t="inlineStr">
        <is>
          <t>components per final_nights.md §4–6</t>
        </is>
      </c>
      <c r="Y83" s="12" t="n">
        <v>0</v>
      </c>
      <c r="Z83" s="12" t="n">
        <v>0</v>
      </c>
      <c r="AA83" s="12" t="n">
        <v>1</v>
      </c>
      <c r="AB83" s="12" t="n">
        <v>-0.5</v>
      </c>
      <c r="AC83" s="12" t="n">
        <v>0</v>
      </c>
      <c r="AD83" s="12" t="n">
        <v>0</v>
      </c>
    </row>
    <row r="84">
      <c r="A84" s="8" t="inlineStr">
        <is>
          <t xml:space="preserve">  BASE PRINT y/y (%)</t>
        </is>
      </c>
      <c r="B84" s="4" t="inlineStr">
        <is>
          <t>→ sum of components</t>
        </is>
      </c>
      <c r="Y84" s="17">
        <f>SUM(Y80:Y83)</f>
        <v/>
      </c>
      <c r="Z84" s="17">
        <f>SUM(Z80:Z83)</f>
        <v/>
      </c>
      <c r="AA84" s="17">
        <f>SUM(AA80:AA83)</f>
        <v/>
      </c>
      <c r="AB84" s="17">
        <f>SUM(AB80:AB83)</f>
        <v/>
      </c>
      <c r="AC84" s="17">
        <f>SUM(AC80:AC83)</f>
        <v/>
      </c>
      <c r="AD84" s="17">
        <f>SUM(AD80:AD83)</f>
        <v/>
      </c>
    </row>
    <row r="85">
      <c r="A85" s="8" t="inlineStr">
        <is>
          <t xml:space="preserve">  Base print level (m)</t>
        </is>
      </c>
      <c r="B85" s="4" t="inlineStr">
        <is>
          <t>→ prior-year level × (1 + y/y)</t>
        </is>
      </c>
      <c r="Y85" s="22">
        <f>U7*(1+Y84/100)</f>
        <v/>
      </c>
      <c r="Z85" s="22">
        <f>V7*(1+Z84/100)</f>
        <v/>
      </c>
      <c r="AA85" s="22">
        <f>W7*(1+AA84/100)</f>
        <v/>
      </c>
      <c r="AB85" s="22">
        <f>X7*(1+AB84/100)</f>
        <v/>
      </c>
      <c r="AC85" s="22">
        <f>Y85*(1+AC84/100)</f>
        <v/>
      </c>
      <c r="AD85" s="22">
        <f>Z85*(1+AD84/100)</f>
        <v/>
      </c>
    </row>
    <row r="86">
      <c r="A86" s="8" t="inlineStr">
        <is>
          <t xml:space="preserve">  Stays path y/y (%)</t>
        </is>
      </c>
      <c r="B86" s="4" t="inlineStr">
        <is>
          <t>3Q26 = stays read; 4Q26 on = base (I = 0 at the ceiling)</t>
        </is>
      </c>
      <c r="Y86" s="20">
        <f>$C$55</f>
        <v/>
      </c>
      <c r="Z86" s="18">
        <f>Z84</f>
        <v/>
      </c>
      <c r="AA86" s="18">
        <f>AA84</f>
        <v/>
      </c>
      <c r="AB86" s="18">
        <f>AB84</f>
        <v/>
      </c>
      <c r="AC86" s="18">
        <f>AC84</f>
        <v/>
      </c>
      <c r="AD86" s="18">
        <f>AD84</f>
        <v/>
      </c>
    </row>
    <row r="87">
      <c r="A87" s="8" t="inlineStr">
        <is>
          <t xml:space="preserve">  FY26 / FY27 nights (m) and FY27 y/y</t>
        </is>
      </c>
      <c r="B87" s="4" t="inlineStr">
        <is>
          <t>FY26 = 1Q26A + 2Q26A + 3Q26E + 4Q26E; FY27 = sum of 2027</t>
        </is>
      </c>
      <c r="C87" s="22">
        <f>W7+X7+Y85+Z85</f>
        <v/>
      </c>
      <c r="D87" s="22">
        <f>AA85+AB85+AC85+AD85</f>
        <v/>
      </c>
      <c r="E87" s="10">
        <f>D87/C87-1</f>
        <v/>
      </c>
      <c r="F87" s="4" t="inlineStr">
        <is>
          <t>FY26 · FY27 · FY27 y/y</t>
        </is>
      </c>
    </row>
    <row r="88">
      <c r="A88" s="8" t="inlineStr">
        <is>
          <t xml:space="preserve">  Street consensus nights (m)</t>
        </is>
      </c>
      <c r="B88" s="4" t="inlineStr">
        <is>
          <t>Bloomberg MODL 12 Sep 2026 (DEC-0005); 4Q26 per final_nights §4.6</t>
        </is>
      </c>
      <c r="Y88" s="9" t="n">
        <v>149</v>
      </c>
      <c r="Z88" s="9" t="n">
        <v>134</v>
      </c>
    </row>
    <row r="89">
      <c r="A89" s="8" t="inlineStr">
        <is>
          <t xml:space="preserve">  Street y/y (%)</t>
        </is>
      </c>
      <c r="B89" s="4" t="inlineStr">
        <is>
          <t>→ Street level / prior-year printed − 1</t>
        </is>
      </c>
      <c r="Y89" s="15">
        <f>(Y88/U7-1)*100</f>
        <v/>
      </c>
      <c r="Z89" s="15">
        <f>(Z88/V7-1)*100</f>
        <v/>
      </c>
    </row>
    <row r="90">
      <c r="A90" s="8" t="inlineStr">
        <is>
          <t xml:space="preserve">  Airbnb guidance, nights y/y (low–high, %)</t>
        </is>
      </c>
      <c r="B90" s="4" t="inlineStr">
        <is>
          <t>overnight/02_guidance_ledger.csv (shareholder letters)</t>
        </is>
      </c>
      <c r="V90" s="23" t="inlineStr">
        <is>
          <t>4–6</t>
        </is>
      </c>
      <c r="W90" s="23" t="inlineStr">
        <is>
          <t>7–9</t>
        </is>
      </c>
      <c r="Y90" s="23" t="inlineStr">
        <is>
          <t>10–12</t>
        </is>
      </c>
    </row>
    <row r="91">
      <c r="A91" s="8" t="inlineStr">
        <is>
          <t xml:space="preserve">  P(3Q26 print ≥ Street | stays read, band)</t>
        </is>
      </c>
      <c r="B91" s="4" t="inlineStr">
        <is>
          <t>→ 1 − NORMDIST(Street y/y, read, band, TRUE)</t>
        </is>
      </c>
      <c r="Y91" s="24">
        <f>1-NORMDIST(Y89,$C$55,$C$44,TRUE)</f>
        <v/>
      </c>
    </row>
    <row r="93">
      <c r="A93" s="5" t="inlineStr">
        <is>
          <t>G. RNPL written: unearned fees y/y vs GBV y/y (the option collects no cash until its deadline)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8" t="inlineStr">
        <is>
          <t xml:space="preserve">  Unearned fees y/y (%)</t>
        </is>
      </c>
      <c r="B94" s="4" t="inlineStr">
        <is>
          <t>overnight/02_kpi_panel_quarterly.csv (10-Q balance sheet)</t>
        </is>
      </c>
      <c r="K94" s="11" t="n">
        <v>24.28</v>
      </c>
      <c r="L94" s="11" t="n">
        <v>18.48</v>
      </c>
      <c r="M94" s="11" t="n">
        <v>20.22</v>
      </c>
      <c r="N94" s="11" t="n">
        <v>20.73</v>
      </c>
      <c r="O94" s="11" t="n">
        <v>12.06</v>
      </c>
      <c r="P94" s="11" t="n">
        <v>11.67</v>
      </c>
      <c r="Q94" s="11" t="n">
        <v>12.95</v>
      </c>
      <c r="R94" s="11" t="n">
        <v>13.24</v>
      </c>
      <c r="S94" s="11" t="n">
        <v>11.87</v>
      </c>
      <c r="T94" s="11" t="n">
        <v>9</v>
      </c>
      <c r="U94" s="11" t="n">
        <v>9.84</v>
      </c>
      <c r="V94" s="11" t="n">
        <v>7.86</v>
      </c>
      <c r="W94" s="11" t="n">
        <v>0.37</v>
      </c>
      <c r="X94" s="11" t="n">
        <v>-0.91</v>
      </c>
    </row>
    <row r="95">
      <c r="A95" s="8" t="inlineStr">
        <is>
          <t xml:space="preserve">  GBV y/y, reported (%)</t>
        </is>
      </c>
      <c r="B95" s="4" t="inlineStr">
        <is>
          <t>same file</t>
        </is>
      </c>
      <c r="K95" s="11" t="n">
        <v>18.6</v>
      </c>
      <c r="L95" s="11" t="n">
        <v>12.35</v>
      </c>
      <c r="M95" s="11" t="n">
        <v>17.31</v>
      </c>
      <c r="N95" s="11" t="n">
        <v>14.81</v>
      </c>
      <c r="O95" s="11" t="n">
        <v>12.25</v>
      </c>
      <c r="P95" s="11" t="n">
        <v>10.99</v>
      </c>
      <c r="Q95" s="11" t="n">
        <v>9.84</v>
      </c>
      <c r="R95" s="11" t="n">
        <v>13.55</v>
      </c>
      <c r="S95" s="11" t="n">
        <v>6.99</v>
      </c>
      <c r="T95" s="11" t="n">
        <v>10.85</v>
      </c>
      <c r="U95" s="11" t="n">
        <v>13.93</v>
      </c>
      <c r="V95" s="11" t="n">
        <v>15.91</v>
      </c>
      <c r="W95" s="11" t="n">
        <v>19.18</v>
      </c>
      <c r="X95" s="11" t="n">
        <v>15.74</v>
      </c>
    </row>
    <row r="96">
      <c r="A96" s="8" t="inlineStr">
        <is>
          <t xml:space="preserve">  Spread: unearned fees − GBV (pp)</t>
        </is>
      </c>
      <c r="B96" s="4" t="inlineStr">
        <is>
          <t>→ UF − GBV</t>
        </is>
      </c>
      <c r="K96" s="15">
        <f>K94-K95</f>
        <v/>
      </c>
      <c r="L96" s="15">
        <f>L94-L95</f>
        <v/>
      </c>
      <c r="M96" s="15">
        <f>M94-M95</f>
        <v/>
      </c>
      <c r="N96" s="15">
        <f>N94-N95</f>
        <v/>
      </c>
      <c r="O96" s="15">
        <f>O94-O95</f>
        <v/>
      </c>
      <c r="P96" s="15">
        <f>P94-P95</f>
        <v/>
      </c>
      <c r="Q96" s="15">
        <f>Q94-Q95</f>
        <v/>
      </c>
      <c r="R96" s="15">
        <f>R94-R95</f>
        <v/>
      </c>
      <c r="S96" s="15">
        <f>S94-S95</f>
        <v/>
      </c>
      <c r="T96" s="15">
        <f>T94-T95</f>
        <v/>
      </c>
      <c r="U96" s="15">
        <f>U94-U95</f>
        <v/>
      </c>
      <c r="V96" s="15">
        <f>V94-V95</f>
        <v/>
      </c>
      <c r="W96" s="15">
        <f>W94-W95</f>
        <v/>
      </c>
      <c r="X96" s="15">
        <f>X94-X95</f>
        <v/>
      </c>
    </row>
    <row r="97">
      <c r="A97" s="8" t="inlineStr">
        <is>
          <t xml:space="preserve">  z vs pre-RNPL spread (1Q23–2Q25)</t>
        </is>
      </c>
      <c r="B97" s="4" t="inlineStr">
        <is>
          <t xml:space="preserve">pre mean / sd in B: </t>
        </is>
      </c>
      <c r="U97" s="19">
        <f>(U96-AVERAGE(K96:T96))/STDEV(K96:T96)</f>
        <v/>
      </c>
      <c r="V97" s="19">
        <f>(V96-AVERAGE(K96:T96))/STDEV(K96:T96)</f>
        <v/>
      </c>
      <c r="W97" s="19">
        <f>(W96-AVERAGE(K96:T96))/STDEV(K96:T96)</f>
        <v/>
      </c>
      <c r="X97" s="19">
        <f>(X96-AVERAGE(K96:T96))/STDEV(K96:T96)</f>
        <v/>
      </c>
    </row>
    <row r="99">
      <c r="A99" s="5" t="inlineStr">
        <is>
          <t>H. The instrument is validated where nights are observed — Eurostat panel (computed in the engine; values, sourced)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</row>
    <row r="100">
      <c r="A100" s="8" t="inlineStr">
        <is>
          <t xml:space="preserve">  β, country fixed effects (se, wild-cluster p, n, clusters)</t>
        </is>
      </c>
      <c r="B100" s="4" t="inlineStr">
        <is>
          <t>stage_a_tests.csv</t>
        </is>
      </c>
      <c r="C100" s="12" t="n">
        <v>0.493642974520435</v>
      </c>
      <c r="D100" s="12" t="n">
        <v>0.0696292699541549</v>
      </c>
      <c r="E100" s="12" t="n">
        <v>0.001</v>
      </c>
      <c r="F100" s="23" t="n">
        <v>702</v>
      </c>
      <c r="G100" s="4" t="inlineStr">
        <is>
          <t>within-R2 0.358</t>
        </is>
      </c>
    </row>
    <row r="101">
      <c r="A101" s="8" t="inlineStr">
        <is>
          <t xml:space="preserve">  β in first differences (p)</t>
        </is>
      </c>
      <c r="B101" s="4" t="inlineStr">
        <is>
          <t>stage_a_tests.csv</t>
        </is>
      </c>
      <c r="C101" s="12" t="n">
        <v>0.7034092737799591</v>
      </c>
      <c r="D101" s="12" t="n">
        <v>0.1029584743819579</v>
      </c>
      <c r="E101" s="12" t="n">
        <v>0.001</v>
      </c>
      <c r="F101" s="23" t="n">
        <v>684</v>
      </c>
      <c r="G101" s="4" t="inlineStr">
        <is>
          <t>nan</t>
        </is>
      </c>
    </row>
    <row r="102">
      <c r="A102" s="8" t="inlineStr">
        <is>
          <t xml:space="preserve">  median walk-forward ratio vs naive (countries ≤ 0.75)</t>
        </is>
      </c>
      <c r="B102" s="4" t="inlineStr">
        <is>
          <t>stage_a_tests.csv</t>
        </is>
      </c>
      <c r="C102" s="12" t="n">
        <v>0.5903132677945258</v>
      </c>
      <c r="D102" s="12" t="n"/>
      <c r="E102" s="12" t="n"/>
      <c r="F102" s="23" t="n">
        <v>486</v>
      </c>
      <c r="G102" s="4" t="inlineStr">
        <is>
          <t>countries&lt;=0.75: 17/18</t>
        </is>
      </c>
    </row>
    <row r="104">
      <c r="A104" s="5" t="inlineStr">
        <is>
          <t>Engine reference values (Python run) — the checker compares the formulas above to these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</row>
    <row r="105">
      <c r="A105" s="8" t="inlineStr">
        <is>
          <t xml:space="preserve">  W1 ratio</t>
        </is>
      </c>
      <c r="B105" s="4" t="inlineStr">
        <is>
          <t>reviews_index_v2 outputs</t>
        </is>
      </c>
      <c r="C105" s="12" t="n">
        <v>0.723196122048269</v>
      </c>
    </row>
    <row r="106">
      <c r="A106" s="8" t="inlineStr">
        <is>
          <t xml:space="preserve">  W2 ratio</t>
        </is>
      </c>
      <c r="B106" s="4" t="inlineStr">
        <is>
          <t>reviews_index_v2 outputs</t>
        </is>
      </c>
      <c r="C106" s="12" t="n">
        <v>0.7229190300811208</v>
      </c>
    </row>
    <row r="107">
      <c r="A107" s="8" t="inlineStr">
        <is>
          <t xml:space="preserve">  band</t>
        </is>
      </c>
      <c r="B107" s="4" t="inlineStr">
        <is>
          <t>reviews_index_v2 outputs</t>
        </is>
      </c>
      <c r="C107" s="12" t="n">
        <v>1.851845530017763</v>
      </c>
    </row>
    <row r="108">
      <c r="A108" s="8" t="inlineStr">
        <is>
          <t xml:space="preserve">  3Q26 read</t>
        </is>
      </c>
      <c r="B108" s="4" t="inlineStr">
        <is>
          <t>reviews_index_v2 outputs</t>
        </is>
      </c>
      <c r="C108" s="12" t="n">
        <v>8.918185788296213</v>
      </c>
    </row>
    <row r="109">
      <c r="A109" s="8" t="inlineStr">
        <is>
          <t xml:space="preserve">  a</t>
        </is>
      </c>
      <c r="B109" s="4" t="inlineStr">
        <is>
          <t>reviews_index_v2 outputs</t>
        </is>
      </c>
      <c r="C109" s="12" t="n">
        <v>6.824784937298335</v>
      </c>
    </row>
    <row r="110">
      <c r="A110" s="8" t="inlineStr">
        <is>
          <t xml:space="preserve">  b</t>
        </is>
      </c>
      <c r="B110" s="4" t="inlineStr">
        <is>
          <t>reviews_index_v2 outputs</t>
        </is>
      </c>
      <c r="C110" s="12" t="n">
        <v>0.3496747894049051</v>
      </c>
    </row>
    <row r="112">
      <c r="A112" s="8" t="inlineStr">
        <is>
          <t xml:space="preserve">  chart helper: printed nights y/y (%)</t>
        </is>
      </c>
      <c r="B112" s="4" t="inlineStr">
        <is>
          <t>→ y/y × 100</t>
        </is>
      </c>
      <c r="K112" s="15">
        <f>K8*100</f>
        <v/>
      </c>
      <c r="L112" s="15">
        <f>L8*100</f>
        <v/>
      </c>
      <c r="M112" s="15">
        <f>M8*100</f>
        <v/>
      </c>
      <c r="N112" s="15">
        <f>N8*100</f>
        <v/>
      </c>
      <c r="O112" s="15">
        <f>O8*100</f>
        <v/>
      </c>
      <c r="P112" s="15">
        <f>P8*100</f>
        <v/>
      </c>
      <c r="Q112" s="15">
        <f>Q8*100</f>
        <v/>
      </c>
      <c r="R112" s="15">
        <f>R8*100</f>
        <v/>
      </c>
      <c r="S112" s="15">
        <f>S8*100</f>
        <v/>
      </c>
      <c r="T112" s="15">
        <f>T8*100</f>
        <v/>
      </c>
      <c r="U112" s="15">
        <f>U8*100</f>
        <v/>
      </c>
      <c r="V112" s="15">
        <f>V8*100</f>
        <v/>
      </c>
      <c r="W112" s="15">
        <f>W8*100</f>
        <v/>
      </c>
      <c r="X112" s="15">
        <f>X8*100</f>
        <v/>
      </c>
    </row>
    <row r="113">
      <c r="A113" s="8" t="inlineStr">
        <is>
          <t xml:space="preserve">  chart helper: our view (printed, then base print path)</t>
        </is>
      </c>
      <c r="K113" s="15">
        <f>K112</f>
        <v/>
      </c>
      <c r="L113" s="15">
        <f>L112</f>
        <v/>
      </c>
      <c r="M113" s="15">
        <f>M112</f>
        <v/>
      </c>
      <c r="N113" s="15">
        <f>N112</f>
        <v/>
      </c>
      <c r="O113" s="15">
        <f>O112</f>
        <v/>
      </c>
      <c r="P113" s="15">
        <f>P112</f>
        <v/>
      </c>
      <c r="Q113" s="15">
        <f>Q112</f>
        <v/>
      </c>
      <c r="R113" s="15">
        <f>R112</f>
        <v/>
      </c>
      <c r="S113" s="15">
        <f>S112</f>
        <v/>
      </c>
      <c r="T113" s="15">
        <f>T112</f>
        <v/>
      </c>
      <c r="U113" s="15">
        <f>U112</f>
        <v/>
      </c>
      <c r="V113" s="15">
        <f>V112</f>
        <v/>
      </c>
      <c r="W113" s="15">
        <f>W112</f>
        <v/>
      </c>
      <c r="X113" s="15">
        <f>X112</f>
        <v/>
      </c>
      <c r="Y113" s="15">
        <f>Y84</f>
        <v/>
      </c>
      <c r="Z113" s="15">
        <f>Z84</f>
        <v/>
      </c>
      <c r="AA113" s="15">
        <f>AA84</f>
        <v/>
      </c>
      <c r="AB113" s="15">
        <f>AB84</f>
        <v/>
      </c>
      <c r="AC113" s="15">
        <f>AC84</f>
        <v/>
      </c>
      <c r="AD113" s="15">
        <f>AD84</f>
        <v/>
      </c>
    </row>
    <row r="114">
      <c r="A114" s="8" t="inlineStr">
        <is>
          <t xml:space="preserve">  chart helper: Street y/y</t>
        </is>
      </c>
      <c r="Y114" s="15">
        <f>Y89</f>
        <v/>
      </c>
      <c r="Z114" s="15">
        <f>Z89</f>
        <v/>
      </c>
    </row>
    <row r="115">
      <c r="A115" s="8" t="inlineStr">
        <is>
          <t xml:space="preserve">  chart helper: stays-implied / stays path</t>
        </is>
      </c>
      <c r="K115" s="15">
        <f>K25</f>
        <v/>
      </c>
      <c r="L115" s="15">
        <f>L25</f>
        <v/>
      </c>
      <c r="M115" s="15">
        <f>M25</f>
        <v/>
      </c>
      <c r="N115" s="15">
        <f>N25</f>
        <v/>
      </c>
      <c r="O115" s="15">
        <f>O25</f>
        <v/>
      </c>
      <c r="P115" s="15">
        <f>P25</f>
        <v/>
      </c>
      <c r="Q115" s="15">
        <f>Q25</f>
        <v/>
      </c>
      <c r="R115" s="15">
        <f>R25</f>
        <v/>
      </c>
      <c r="S115" s="15">
        <f>S25</f>
        <v/>
      </c>
      <c r="T115" s="15">
        <f>T25</f>
        <v/>
      </c>
      <c r="U115" s="15">
        <f>U25</f>
        <v/>
      </c>
      <c r="V115" s="15">
        <f>V25</f>
        <v/>
      </c>
      <c r="W115" s="15">
        <f>W25</f>
        <v/>
      </c>
      <c r="X115" s="15">
        <f>X25</f>
        <v/>
      </c>
      <c r="Y115" s="15">
        <f>Y86</f>
        <v/>
      </c>
      <c r="Z115" s="15">
        <f>Z86</f>
        <v/>
      </c>
      <c r="AA115" s="15">
        <f>AA86</f>
        <v/>
      </c>
      <c r="AB115" s="15">
        <f>AB86</f>
        <v/>
      </c>
      <c r="AC115" s="15">
        <f>AC86</f>
        <v/>
      </c>
      <c r="AD115" s="15">
        <f>AD86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</cols>
  <sheetData>
    <row r="1">
      <c r="A1" s="1" t="inlineStr">
        <is>
          <t>Airbnb — ADR engine (line 2). reported ADR y/y = ex-FX mechanism + FX translation identity (ex ante, spot held). Blue = input with source; black = formula; green = link.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4" t="inlineStr">
        <is>
          <t>Engine: analysis/src/pitch_model_v2/adr_engine (python3 -m pitch_model_v2.adr_engine.run); pre-registration docs/pitch-model-v2/lines/adr_fx_prereg.md; design adr_v1_design.md; rationale final_adr.md. FX through FRED 2026-09-18; forward quarters hold the last print (spot held).</t>
        </is>
      </c>
    </row>
    <row r="4">
      <c r="A4" s="5" t="inlineStr">
        <is>
          <t>Quarter</t>
        </is>
      </c>
      <c r="B4" s="6" t="inlineStr">
        <is>
          <t>A = printed, E = engine</t>
        </is>
      </c>
      <c r="C4" s="7" t="inlineStr">
        <is>
          <t>1Q21A</t>
        </is>
      </c>
      <c r="D4" s="7" t="inlineStr">
        <is>
          <t>2Q21A</t>
        </is>
      </c>
      <c r="E4" s="7" t="inlineStr">
        <is>
          <t>3Q21A</t>
        </is>
      </c>
      <c r="F4" s="7" t="inlineStr">
        <is>
          <t>4Q21A</t>
        </is>
      </c>
      <c r="G4" s="7" t="inlineStr">
        <is>
          <t>1Q22A</t>
        </is>
      </c>
      <c r="H4" s="7" t="inlineStr">
        <is>
          <t>2Q22A</t>
        </is>
      </c>
      <c r="I4" s="7" t="inlineStr">
        <is>
          <t>3Q22A</t>
        </is>
      </c>
      <c r="J4" s="7" t="inlineStr">
        <is>
          <t>4Q22A</t>
        </is>
      </c>
      <c r="K4" s="7" t="inlineStr">
        <is>
          <t>1Q23A</t>
        </is>
      </c>
      <c r="L4" s="7" t="inlineStr">
        <is>
          <t>2Q23A</t>
        </is>
      </c>
      <c r="M4" s="7" t="inlineStr">
        <is>
          <t>3Q23A</t>
        </is>
      </c>
      <c r="N4" s="7" t="inlineStr">
        <is>
          <t>4Q23A</t>
        </is>
      </c>
      <c r="O4" s="7" t="inlineStr">
        <is>
          <t>1Q24A</t>
        </is>
      </c>
      <c r="P4" s="7" t="inlineStr">
        <is>
          <t>2Q24A</t>
        </is>
      </c>
      <c r="Q4" s="7" t="inlineStr">
        <is>
          <t>3Q24A</t>
        </is>
      </c>
      <c r="R4" s="7" t="inlineStr">
        <is>
          <t>4Q24A</t>
        </is>
      </c>
      <c r="S4" s="7" t="inlineStr">
        <is>
          <t>1Q25A</t>
        </is>
      </c>
      <c r="T4" s="7" t="inlineStr">
        <is>
          <t>2Q25A</t>
        </is>
      </c>
      <c r="U4" s="7" t="inlineStr">
        <is>
          <t>3Q25A</t>
        </is>
      </c>
      <c r="V4" s="7" t="inlineStr">
        <is>
          <t>4Q25A</t>
        </is>
      </c>
      <c r="W4" s="7" t="inlineStr">
        <is>
          <t>1Q26A</t>
        </is>
      </c>
      <c r="X4" s="7" t="inlineStr">
        <is>
          <t>2Q26A</t>
        </is>
      </c>
      <c r="Y4" s="7" t="inlineStr">
        <is>
          <t>3Q26E</t>
        </is>
      </c>
      <c r="Z4" s="7" t="inlineStr">
        <is>
          <t>4Q26E</t>
        </is>
      </c>
      <c r="AA4" s="7" t="inlineStr">
        <is>
          <t>1Q27E</t>
        </is>
      </c>
      <c r="AB4" s="7" t="inlineStr">
        <is>
          <t>2Q27E</t>
        </is>
      </c>
      <c r="AC4" s="7" t="inlineStr">
        <is>
          <t>3Q27E</t>
        </is>
      </c>
      <c r="AD4" s="7" t="inlineStr">
        <is>
          <t>4Q27E</t>
        </is>
      </c>
    </row>
    <row r="6">
      <c r="A6" s="5" t="inlineStr">
        <is>
          <t>A. Printed ADR and the disclosed identity: reported y/y − ex-FX y/y = FX effect (closes to ≤0.04pp)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8" t="inlineStr">
        <is>
          <t>ADR ($, GBV ÷ nights, printed; forward = engine path)</t>
        </is>
      </c>
      <c r="B7" s="4" t="inlineStr">
        <is>
          <t>data/processed/overnight/02_kpi_panel_quarterly.csv adr_usd (letters / 10-Q)</t>
        </is>
      </c>
      <c r="C7" s="11" t="n">
        <v>159.82</v>
      </c>
      <c r="D7" s="11" t="n">
        <v>161.45</v>
      </c>
      <c r="E7" s="11" t="n">
        <v>149.15</v>
      </c>
      <c r="F7" s="11" t="n">
        <v>153.61</v>
      </c>
      <c r="G7" s="11" t="n">
        <v>168.07</v>
      </c>
      <c r="H7" s="11" t="n">
        <v>163.74</v>
      </c>
      <c r="I7" s="11" t="n">
        <v>156.44</v>
      </c>
      <c r="J7" s="11" t="n">
        <v>152.81</v>
      </c>
      <c r="K7" s="11" t="n">
        <v>168.43</v>
      </c>
      <c r="L7" s="11" t="n">
        <v>166.01</v>
      </c>
      <c r="M7" s="11" t="n">
        <v>161.38</v>
      </c>
      <c r="N7" s="11" t="n">
        <v>156.73</v>
      </c>
      <c r="O7" s="11" t="n">
        <v>172.88</v>
      </c>
      <c r="P7" s="11" t="n">
        <v>169.53</v>
      </c>
      <c r="Q7" s="11" t="n">
        <v>163.64</v>
      </c>
      <c r="R7" s="11" t="n">
        <v>158.13</v>
      </c>
      <c r="S7" s="11" t="n">
        <v>171.34</v>
      </c>
      <c r="T7" s="11" t="n">
        <v>174.48</v>
      </c>
      <c r="U7" s="11" t="n">
        <v>171.29</v>
      </c>
      <c r="V7" s="11" t="n">
        <v>167.51</v>
      </c>
      <c r="W7" s="11" t="n">
        <v>186.82</v>
      </c>
      <c r="X7" s="11" t="n">
        <v>183.73</v>
      </c>
      <c r="Y7" s="20">
        <f>Y96</f>
        <v/>
      </c>
      <c r="Z7" s="20">
        <f>Z96</f>
        <v/>
      </c>
      <c r="AA7" s="20">
        <f>AA96</f>
        <v/>
      </c>
      <c r="AB7" s="20">
        <f>AB96</f>
        <v/>
      </c>
      <c r="AC7" s="20">
        <f>AC96</f>
        <v/>
      </c>
      <c r="AD7" s="20">
        <f>AD96</f>
        <v/>
      </c>
    </row>
    <row r="8">
      <c r="A8" s="8" t="inlineStr">
        <is>
          <t xml:space="preserve">    reported y/y</t>
        </is>
      </c>
      <c r="B8" s="4" t="inlineStr">
        <is>
          <t>→ ADR / ADR four quarters earlier − 1</t>
        </is>
      </c>
      <c r="G8" s="10">
        <f>G7/C7-1</f>
        <v/>
      </c>
      <c r="H8" s="10">
        <f>H7/D7-1</f>
        <v/>
      </c>
      <c r="I8" s="10">
        <f>I7/E7-1</f>
        <v/>
      </c>
      <c r="J8" s="10">
        <f>J7/F7-1</f>
        <v/>
      </c>
      <c r="K8" s="10">
        <f>K7/G7-1</f>
        <v/>
      </c>
      <c r="L8" s="10">
        <f>L7/H7-1</f>
        <v/>
      </c>
      <c r="M8" s="10">
        <f>M7/I7-1</f>
        <v/>
      </c>
      <c r="N8" s="10">
        <f>N7/J7-1</f>
        <v/>
      </c>
      <c r="O8" s="10">
        <f>O7/K7-1</f>
        <v/>
      </c>
      <c r="P8" s="10">
        <f>P7/L7-1</f>
        <v/>
      </c>
      <c r="Q8" s="10">
        <f>Q7/M7-1</f>
        <v/>
      </c>
      <c r="R8" s="10">
        <f>R7/N7-1</f>
        <v/>
      </c>
      <c r="S8" s="10">
        <f>S7/O7-1</f>
        <v/>
      </c>
      <c r="T8" s="10">
        <f>T7/P7-1</f>
        <v/>
      </c>
      <c r="U8" s="10">
        <f>U7/Q7-1</f>
        <v/>
      </c>
      <c r="V8" s="10">
        <f>V7/R7-1</f>
        <v/>
      </c>
      <c r="W8" s="10">
        <f>W7/S7-1</f>
        <v/>
      </c>
      <c r="X8" s="10">
        <f>X7/T7-1</f>
        <v/>
      </c>
      <c r="Y8" s="10">
        <f>Y7/U7-1</f>
        <v/>
      </c>
      <c r="Z8" s="10">
        <f>Z7/V7-1</f>
        <v/>
      </c>
      <c r="AA8" s="10">
        <f>AA7/W7-1</f>
        <v/>
      </c>
      <c r="AB8" s="10">
        <f>AB7/X7-1</f>
        <v/>
      </c>
      <c r="AC8" s="10">
        <f>AC7/Y7-1</f>
        <v/>
      </c>
      <c r="AD8" s="10">
        <f>AD7/Z7-1</f>
        <v/>
      </c>
    </row>
    <row r="9">
      <c r="A9" s="8" t="inlineStr">
        <is>
          <t xml:space="preserve">    ex-FX y/y, as stated in the letter (whole points; 3Q23/4Q23 'less than 1%' → 0.5)</t>
        </is>
      </c>
      <c r="B9" s="4" t="inlineStr">
        <is>
          <t>02_kpi_panel_quarterly.csv adr_yoy_exfx_pct; 2Q22 onward</t>
        </is>
      </c>
      <c r="H9" s="11" t="n">
        <v>7</v>
      </c>
      <c r="I9" s="11" t="n">
        <v>12</v>
      </c>
      <c r="J9" s="11" t="n">
        <v>5</v>
      </c>
      <c r="K9" s="11" t="n">
        <v>3</v>
      </c>
      <c r="L9" s="11" t="n">
        <v>2</v>
      </c>
      <c r="M9" s="11" t="n">
        <v>0.5</v>
      </c>
      <c r="N9" s="11" t="n">
        <v>0.5</v>
      </c>
      <c r="O9" s="11" t="n">
        <v>2</v>
      </c>
      <c r="P9" s="11" t="n">
        <v>3</v>
      </c>
      <c r="Q9" s="11" t="n">
        <v>2</v>
      </c>
      <c r="R9" s="11" t="n">
        <v>2</v>
      </c>
      <c r="S9" s="11" t="n">
        <v>1</v>
      </c>
      <c r="T9" s="11" t="n">
        <v>1</v>
      </c>
      <c r="U9" s="11" t="n">
        <v>2</v>
      </c>
      <c r="V9" s="11" t="n">
        <v>3</v>
      </c>
      <c r="W9" s="11" t="n">
        <v>4</v>
      </c>
      <c r="X9" s="11" t="n">
        <v>4</v>
      </c>
    </row>
    <row r="10">
      <c r="A10" s="8" t="inlineStr">
        <is>
          <t xml:space="preserve">    FX effect on ADR (pp) — the disclosed target</t>
        </is>
      </c>
      <c r="B10" s="4" t="inlineStr">
        <is>
          <t>→ reported y/y × 100 − ex-FX y/y</t>
        </is>
      </c>
      <c r="H10" s="15">
        <f>H8*100-H9</f>
        <v/>
      </c>
      <c r="I10" s="15">
        <f>I8*100-I9</f>
        <v/>
      </c>
      <c r="J10" s="15">
        <f>J8*100-J9</f>
        <v/>
      </c>
      <c r="K10" s="15">
        <f>K8*100-K9</f>
        <v/>
      </c>
      <c r="L10" s="15">
        <f>L8*100-L9</f>
        <v/>
      </c>
      <c r="M10" s="15">
        <f>M8*100-M9</f>
        <v/>
      </c>
      <c r="N10" s="15">
        <f>N8*100-N9</f>
        <v/>
      </c>
      <c r="O10" s="15">
        <f>O8*100-O9</f>
        <v/>
      </c>
      <c r="P10" s="15">
        <f>P8*100-P9</f>
        <v/>
      </c>
      <c r="Q10" s="15">
        <f>Q8*100-Q9</f>
        <v/>
      </c>
      <c r="R10" s="15">
        <f>R8*100-R9</f>
        <v/>
      </c>
      <c r="S10" s="15">
        <f>S8*100-S9</f>
        <v/>
      </c>
      <c r="T10" s="15">
        <f>T8*100-T9</f>
        <v/>
      </c>
      <c r="U10" s="15">
        <f>U8*100-U9</f>
        <v/>
      </c>
      <c r="V10" s="15">
        <f>V8*100-V9</f>
        <v/>
      </c>
      <c r="W10" s="15">
        <f>W8*100-W9</f>
        <v/>
      </c>
      <c r="X10" s="15">
        <f>X8*100-X9</f>
        <v/>
      </c>
    </row>
    <row r="12">
      <c r="A12" s="5" t="inlineStr">
        <is>
          <t>B. FX translation identity (ex ante): FX pp = Σ_region GBV share × Σ_currency κ × (avg rate / avg rate a year earlier − 1) — zero fitted parameters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8" t="inlineStr">
        <is>
          <t>Quarterly average USD per EUR (business days; forward = spot held from 2026-09-18)</t>
        </is>
      </c>
      <c r="B13" s="4" t="inlineStr">
        <is>
          <t>FRED DEXUSEU → adr_engine/fx_daily_2026-09-21.csv (fetch_fx.py)</t>
        </is>
      </c>
      <c r="C13" s="25" t="n">
        <v>1.2051578125</v>
      </c>
      <c r="D13" s="25" t="n">
        <v>1.205263076923077</v>
      </c>
      <c r="E13" s="25" t="n">
        <v>1.178662121212121</v>
      </c>
      <c r="F13" s="25" t="n">
        <v>1.143265151515152</v>
      </c>
      <c r="G13" s="25" t="n">
        <v>1.122084375</v>
      </c>
      <c r="H13" s="25" t="n">
        <v>1.064409230769231</v>
      </c>
      <c r="I13" s="25" t="n">
        <v>1.007031818181819</v>
      </c>
      <c r="J13" s="25" t="n">
        <v>1.021918461538462</v>
      </c>
      <c r="K13" s="25" t="n">
        <v>1.072967692307692</v>
      </c>
      <c r="L13" s="25" t="n">
        <v>1.088615384615385</v>
      </c>
      <c r="M13" s="25" t="n">
        <v>1.088321538461538</v>
      </c>
      <c r="N13" s="25" t="n">
        <v>1.076330769230769</v>
      </c>
      <c r="O13" s="25" t="n">
        <v>1.085847692307692</v>
      </c>
      <c r="P13" s="25" t="n">
        <v>1.07668</v>
      </c>
      <c r="Q13" s="25" t="n">
        <v>1.098504545454545</v>
      </c>
      <c r="R13" s="25" t="n">
        <v>1.066693939393939</v>
      </c>
      <c r="S13" s="25" t="n">
        <v>1.0523953125</v>
      </c>
      <c r="T13" s="25" t="n">
        <v>1.134446153846154</v>
      </c>
      <c r="U13" s="25" t="n">
        <v>1.168668181818182</v>
      </c>
      <c r="V13" s="25" t="n">
        <v>1.164089393939394</v>
      </c>
      <c r="W13" s="25" t="n">
        <v>1.17030625</v>
      </c>
      <c r="X13" s="25" t="n">
        <v>1.162887692307692</v>
      </c>
      <c r="Y13" s="25" t="n">
        <v>1.151559090909091</v>
      </c>
      <c r="Z13" s="25" t="n">
        <v>1.1464</v>
      </c>
      <c r="AA13" s="25" t="n">
        <v>1.1464</v>
      </c>
      <c r="AB13" s="25" t="n">
        <v>1.1464</v>
      </c>
      <c r="AC13" s="25" t="n">
        <v>1.1464</v>
      </c>
      <c r="AD13" s="25" t="n">
        <v>1.1464</v>
      </c>
    </row>
    <row r="14">
      <c r="A14" s="8" t="inlineStr">
        <is>
          <t>Quarterly average USD per GBP (business days; forward = spot held from 2026-09-18)</t>
        </is>
      </c>
      <c r="B14" s="4" t="inlineStr">
        <is>
          <t>FRED DEXUSUK → adr_engine/fx_daily_2026-09-21.csv (fetch_fx.py)</t>
        </is>
      </c>
      <c r="C14" s="25" t="n">
        <v>1.3790890625</v>
      </c>
      <c r="D14" s="25" t="n">
        <v>1.398447692307692</v>
      </c>
      <c r="E14" s="25" t="n">
        <v>1.378066666666666</v>
      </c>
      <c r="F14" s="25" t="n">
        <v>1.348445454545454</v>
      </c>
      <c r="G14" s="25" t="n">
        <v>1.3413921875</v>
      </c>
      <c r="H14" s="25" t="n">
        <v>1.255924615384615</v>
      </c>
      <c r="I14" s="25" t="n">
        <v>1.17679696969697</v>
      </c>
      <c r="J14" s="25" t="n">
        <v>1.175173846153846</v>
      </c>
      <c r="K14" s="25" t="n">
        <v>1.215069230769231</v>
      </c>
      <c r="L14" s="25" t="n">
        <v>1.252130769230769</v>
      </c>
      <c r="M14" s="25" t="n">
        <v>1.2662</v>
      </c>
      <c r="N14" s="25" t="n">
        <v>1.241984615384616</v>
      </c>
      <c r="O14" s="25" t="n">
        <v>1.268255384615384</v>
      </c>
      <c r="P14" s="25" t="n">
        <v>1.262155384615385</v>
      </c>
      <c r="Q14" s="25" t="n">
        <v>1.300309090909091</v>
      </c>
      <c r="R14" s="25" t="n">
        <v>1.281445454545455</v>
      </c>
      <c r="S14" s="25" t="n">
        <v>1.2597046875</v>
      </c>
      <c r="T14" s="25" t="n">
        <v>1.335726153846154</v>
      </c>
      <c r="U14" s="25" t="n">
        <v>1.348674242424242</v>
      </c>
      <c r="V14" s="25" t="n">
        <v>1.33045909090909</v>
      </c>
      <c r="W14" s="25" t="n">
        <v>1.34788125</v>
      </c>
      <c r="X14" s="25" t="n">
        <v>1.34264</v>
      </c>
      <c r="Y14" s="25" t="n">
        <v>1.345693939393939</v>
      </c>
      <c r="Z14" s="25" t="n">
        <v>1.3372</v>
      </c>
      <c r="AA14" s="25" t="n">
        <v>1.3372</v>
      </c>
      <c r="AB14" s="25" t="n">
        <v>1.3372</v>
      </c>
      <c r="AC14" s="25" t="n">
        <v>1.3372</v>
      </c>
      <c r="AD14" s="25" t="n">
        <v>1.3372</v>
      </c>
    </row>
    <row r="15">
      <c r="A15" s="8" t="inlineStr">
        <is>
          <t>Quarterly average USD per BRL (business days; forward = spot held from 2026-09-18)</t>
        </is>
      </c>
      <c r="B15" s="4" t="inlineStr">
        <is>
          <t>FRED DEXBZUS → adr_engine/fx_daily_2026-09-21.csv (fetch_fx.py)</t>
        </is>
      </c>
      <c r="C15" s="25" t="n">
        <v>0.1828723008270418</v>
      </c>
      <c r="D15" s="25" t="n">
        <v>0.1892937986848461</v>
      </c>
      <c r="E15" s="25" t="n">
        <v>0.1914042175840341</v>
      </c>
      <c r="F15" s="25" t="n">
        <v>0.179017888235438</v>
      </c>
      <c r="G15" s="25" t="n">
        <v>0.191803311632118</v>
      </c>
      <c r="H15" s="25" t="n">
        <v>0.2034853228954897</v>
      </c>
      <c r="I15" s="25" t="n">
        <v>0.1907429645142075</v>
      </c>
      <c r="J15" s="25" t="n">
        <v>0.1903125873972193</v>
      </c>
      <c r="K15" s="25" t="n">
        <v>0.1925591939673749</v>
      </c>
      <c r="L15" s="25" t="n">
        <v>0.2020691317800913</v>
      </c>
      <c r="M15" s="25" t="n">
        <v>0.2049451450606586</v>
      </c>
      <c r="N15" s="25" t="n">
        <v>0.201970528062551</v>
      </c>
      <c r="O15" s="25" t="n">
        <v>0.2020322155687002</v>
      </c>
      <c r="P15" s="25" t="n">
        <v>0.1920076732120785</v>
      </c>
      <c r="Q15" s="25" t="n">
        <v>0.1803480448147409</v>
      </c>
      <c r="R15" s="25" t="n">
        <v>0.1714218169833799</v>
      </c>
      <c r="S15" s="25" t="n">
        <v>0.1709567952814824</v>
      </c>
      <c r="T15" s="25" t="n">
        <v>0.1764898545864937</v>
      </c>
      <c r="U15" s="25" t="n">
        <v>0.1836054570282772</v>
      </c>
      <c r="V15" s="25" t="n">
        <v>0.1852856369145278</v>
      </c>
      <c r="W15" s="25" t="n">
        <v>0.1902132769878812</v>
      </c>
      <c r="X15" s="25" t="n">
        <v>0.198124158679975</v>
      </c>
      <c r="Y15" s="25" t="n">
        <v>0.1947710746997425</v>
      </c>
      <c r="Z15" s="25" t="n">
        <v>0.1938134739127064</v>
      </c>
      <c r="AA15" s="25" t="n">
        <v>0.1938134739127064</v>
      </c>
      <c r="AB15" s="25" t="n">
        <v>0.1938134739127064</v>
      </c>
      <c r="AC15" s="25" t="n">
        <v>0.1938134739127064</v>
      </c>
      <c r="AD15" s="25" t="n">
        <v>0.1938134739127064</v>
      </c>
    </row>
    <row r="16">
      <c r="A16" s="8" t="inlineStr">
        <is>
          <t>Quarterly average USD per MXN (business days; forward = spot held from 2026-09-18)</t>
        </is>
      </c>
      <c r="B16" s="4" t="inlineStr">
        <is>
          <t>FRED DEXMXUS → adr_engine/fx_daily_2026-09-21.csv (fetch_fx.py)</t>
        </is>
      </c>
      <c r="C16" s="25" t="n">
        <v>0.04918832670718521</v>
      </c>
      <c r="D16" s="25" t="n">
        <v>0.0499773784755694</v>
      </c>
      <c r="E16" s="25" t="n">
        <v>0.0499411766982432</v>
      </c>
      <c r="F16" s="25" t="n">
        <v>0.04821163312584239</v>
      </c>
      <c r="G16" s="25" t="n">
        <v>0.04879082613628123</v>
      </c>
      <c r="H16" s="25" t="n">
        <v>0.04988255105181749</v>
      </c>
      <c r="I16" s="25" t="n">
        <v>0.04943885391995816</v>
      </c>
      <c r="J16" s="25" t="n">
        <v>0.05084030729701012</v>
      </c>
      <c r="K16" s="25" t="n">
        <v>0.05360100537952309</v>
      </c>
      <c r="L16" s="25" t="n">
        <v>0.05658791078503513</v>
      </c>
      <c r="M16" s="25" t="n">
        <v>0.05864068251264604</v>
      </c>
      <c r="N16" s="25" t="n">
        <v>0.05704565331136915</v>
      </c>
      <c r="O16" s="25" t="n">
        <v>0.05889471705027263</v>
      </c>
      <c r="P16" s="25" t="n">
        <v>0.05812609026921273</v>
      </c>
      <c r="Q16" s="25" t="n">
        <v>0.05291877628782751</v>
      </c>
      <c r="R16" s="25" t="n">
        <v>0.04978366379307615</v>
      </c>
      <c r="S16" s="25" t="n">
        <v>0.04897989819692692</v>
      </c>
      <c r="T16" s="25" t="n">
        <v>0.05128912381740783</v>
      </c>
      <c r="U16" s="25" t="n">
        <v>0.05369154947405428</v>
      </c>
      <c r="V16" s="25" t="n">
        <v>0.05465944166609391</v>
      </c>
      <c r="W16" s="25" t="n">
        <v>0.05695579703830193</v>
      </c>
      <c r="X16" s="25" t="n">
        <v>0.05753358459784357</v>
      </c>
      <c r="Y16" s="25" t="n">
        <v>0.05811213303178497</v>
      </c>
      <c r="Z16" s="25" t="n">
        <v>0.05798647755343456</v>
      </c>
      <c r="AA16" s="25" t="n">
        <v>0.05798647755343456</v>
      </c>
      <c r="AB16" s="25" t="n">
        <v>0.05798647755343456</v>
      </c>
      <c r="AC16" s="25" t="n">
        <v>0.05798647755343456</v>
      </c>
      <c r="AD16" s="25" t="n">
        <v>0.05798647755343456</v>
      </c>
    </row>
    <row r="17">
      <c r="A17" s="8" t="inlineStr">
        <is>
          <t>Quarterly average USD per JPY (business days; forward = spot held from 2026-09-18)</t>
        </is>
      </c>
      <c r="B17" s="4" t="inlineStr">
        <is>
          <t>FRED DEXJPUS → adr_engine/fx_daily_2026-09-21.csv (fetch_fx.py)</t>
        </is>
      </c>
      <c r="C17" s="25" t="n">
        <v>0.009434905091065392</v>
      </c>
      <c r="D17" s="25" t="n">
        <v>0.009138125350288963</v>
      </c>
      <c r="E17" s="25" t="n">
        <v>0.009084201253293359</v>
      </c>
      <c r="F17" s="25" t="n">
        <v>0.008796893481521673</v>
      </c>
      <c r="G17" s="25" t="n">
        <v>0.008602321487547578</v>
      </c>
      <c r="H17" s="25" t="n">
        <v>0.007712151988556444</v>
      </c>
      <c r="I17" s="25" t="n">
        <v>0.007234613902285213</v>
      </c>
      <c r="J17" s="25" t="n">
        <v>0.007089682009248813</v>
      </c>
      <c r="K17" s="25" t="n">
        <v>0.00755632884427469</v>
      </c>
      <c r="L17" s="25" t="n">
        <v>0.007279496228318787</v>
      </c>
      <c r="M17" s="25" t="n">
        <v>0.006920795766246872</v>
      </c>
      <c r="N17" s="25" t="n">
        <v>0.006768800148017067</v>
      </c>
      <c r="O17" s="25" t="n">
        <v>0.006739872084298605</v>
      </c>
      <c r="P17" s="25" t="n">
        <v>0.006418765857552636</v>
      </c>
      <c r="Q17" s="25" t="n">
        <v>0.006713874936983914</v>
      </c>
      <c r="R17" s="25" t="n">
        <v>0.006564705003169738</v>
      </c>
      <c r="S17" s="25" t="n">
        <v>0.006559285210100668</v>
      </c>
      <c r="T17" s="25" t="n">
        <v>0.006923223900108332</v>
      </c>
      <c r="U17" s="25" t="n">
        <v>0.006781857666450467</v>
      </c>
      <c r="V17" s="25" t="n">
        <v>0.006490955794272727</v>
      </c>
      <c r="W17" s="25" t="n">
        <v>0.006376553573657654</v>
      </c>
      <c r="X17" s="25" t="n">
        <v>0.006274375676076636</v>
      </c>
      <c r="Y17" s="25" t="n">
        <v>0.006286411311271813</v>
      </c>
      <c r="Z17" s="25" t="n">
        <v>0.006374705169885805</v>
      </c>
      <c r="AA17" s="25" t="n">
        <v>0.006374705169885805</v>
      </c>
      <c r="AB17" s="25" t="n">
        <v>0.006374705169885805</v>
      </c>
      <c r="AC17" s="25" t="n">
        <v>0.006374705169885805</v>
      </c>
      <c r="AD17" s="25" t="n">
        <v>0.006374705169885805</v>
      </c>
    </row>
    <row r="18">
      <c r="A18" s="8" t="inlineStr">
        <is>
          <t>Quarterly average USD per AUD (business days; forward = spot held from 2026-09-18)</t>
        </is>
      </c>
      <c r="B18" s="4" t="inlineStr">
        <is>
          <t>FRED DEXUSAL → adr_engine/fx_daily_2026-09-21.csv (fetch_fx.py)</t>
        </is>
      </c>
      <c r="C18" s="25" t="n">
        <v>0.7728421874999999</v>
      </c>
      <c r="D18" s="25" t="n">
        <v>0.7700661538461536</v>
      </c>
      <c r="E18" s="25" t="n">
        <v>0.7347666666666668</v>
      </c>
      <c r="F18" s="25" t="n">
        <v>0.7287893939393935</v>
      </c>
      <c r="G18" s="25" t="n">
        <v>0.7247046875000001</v>
      </c>
      <c r="H18" s="25" t="n">
        <v>0.7140476923076925</v>
      </c>
      <c r="I18" s="25" t="n">
        <v>0.6832560606060607</v>
      </c>
      <c r="J18" s="25" t="n">
        <v>0.6575876923076923</v>
      </c>
      <c r="K18" s="25" t="n">
        <v>0.6834553846153846</v>
      </c>
      <c r="L18" s="25" t="n">
        <v>0.6681000000000001</v>
      </c>
      <c r="M18" s="25" t="n">
        <v>0.6548123076923076</v>
      </c>
      <c r="N18" s="25" t="n">
        <v>0.6514723076923078</v>
      </c>
      <c r="O18" s="25" t="n">
        <v>0.6578046153846154</v>
      </c>
      <c r="P18" s="25" t="n">
        <v>0.6590723076923076</v>
      </c>
      <c r="Q18" s="25" t="n">
        <v>0.6699348484848485</v>
      </c>
      <c r="R18" s="25" t="n">
        <v>0.6522651515151514</v>
      </c>
      <c r="S18" s="25" t="n">
        <v>0.6275421875</v>
      </c>
      <c r="T18" s="25" t="n">
        <v>0.6410723076923076</v>
      </c>
      <c r="U18" s="25" t="n">
        <v>0.6543196969696971</v>
      </c>
      <c r="V18" s="25" t="n">
        <v>0.6567257575757575</v>
      </c>
      <c r="W18" s="25" t="n">
        <v>0.6949359375000002</v>
      </c>
      <c r="X18" s="25" t="n">
        <v>0.7099738461538465</v>
      </c>
      <c r="Y18" s="25" t="n">
        <v>0.7071303030303033</v>
      </c>
      <c r="Z18" s="25" t="n">
        <v>0.7111000000000001</v>
      </c>
      <c r="AA18" s="25" t="n">
        <v>0.7111</v>
      </c>
      <c r="AB18" s="25" t="n">
        <v>0.7111</v>
      </c>
      <c r="AC18" s="25" t="n">
        <v>0.7111000000000001</v>
      </c>
      <c r="AD18" s="25" t="n">
        <v>0.7111000000000001</v>
      </c>
    </row>
    <row r="19">
      <c r="A19" s="8" t="inlineStr">
        <is>
          <t>Quarterly average USD per KRW (business days; forward = spot held from 2026-09-18)</t>
        </is>
      </c>
      <c r="B19" s="4" t="inlineStr">
        <is>
          <t>FRED DEXKOUS → adr_engine/fx_daily_2026-09-21.csv (fetch_fx.py)</t>
        </is>
      </c>
      <c r="C19" s="25" t="n">
        <v>0.0008980574082007703</v>
      </c>
      <c r="D19" s="25" t="n">
        <v>0.0008919450061835182</v>
      </c>
      <c r="E19" s="25" t="n">
        <v>0.0008625012419089757</v>
      </c>
      <c r="F19" s="25" t="n">
        <v>0.0008448975458408619</v>
      </c>
      <c r="G19" s="25" t="n">
        <v>0.0008294930814214625</v>
      </c>
      <c r="H19" s="25" t="n">
        <v>0.0007935042363192045</v>
      </c>
      <c r="I19" s="25" t="n">
        <v>0.0007465734439631378</v>
      </c>
      <c r="J19" s="25" t="n">
        <v>0.0007371386506815184</v>
      </c>
      <c r="K19" s="25" t="n">
        <v>0.0007842569249517721</v>
      </c>
      <c r="L19" s="25" t="n">
        <v>0.0007605086499953661</v>
      </c>
      <c r="M19" s="25" t="n">
        <v>0.0007617837450221322</v>
      </c>
      <c r="N19" s="25" t="n">
        <v>0.0007569954473562218</v>
      </c>
      <c r="O19" s="25" t="n">
        <v>0.0007525865917639829</v>
      </c>
      <c r="P19" s="25" t="n">
        <v>0.0007298318452153125</v>
      </c>
      <c r="Q19" s="25" t="n">
        <v>0.000737899662253835</v>
      </c>
      <c r="R19" s="25" t="n">
        <v>0.0007154503756419076</v>
      </c>
      <c r="S19" s="25" t="n">
        <v>0.0006886114113059277</v>
      </c>
      <c r="T19" s="25" t="n">
        <v>0.0007153119891327108</v>
      </c>
      <c r="U19" s="25" t="n">
        <v>0.0007212043142890151</v>
      </c>
      <c r="V19" s="25" t="n">
        <v>0.0006903961148526531</v>
      </c>
      <c r="W19" s="25" t="n">
        <v>0.000682762487362517</v>
      </c>
      <c r="X19" s="25" t="n">
        <v>0.0006662624103036613</v>
      </c>
      <c r="Y19" s="25" t="n">
        <v>0.0007047699372736059</v>
      </c>
      <c r="Z19" s="25" t="n">
        <v>0.0007204766673631</v>
      </c>
      <c r="AA19" s="25" t="n">
        <v>0.0007204766673631</v>
      </c>
      <c r="AB19" s="25" t="n">
        <v>0.0007204766673631</v>
      </c>
      <c r="AC19" s="25" t="n">
        <v>0.0007204766673631</v>
      </c>
      <c r="AD19" s="25" t="n">
        <v>0.0007204766673631</v>
      </c>
    </row>
    <row r="20">
      <c r="A20" s="8" t="inlineStr">
        <is>
          <t>Quarterly average USD per CAD (business days; forward = spot held from 2026-09-18)</t>
        </is>
      </c>
      <c r="B20" s="4" t="inlineStr">
        <is>
          <t>FRED DEXCAUS → adr_engine/fx_daily_2026-09-21.csv (fetch_fx.py)</t>
        </is>
      </c>
      <c r="C20" s="25" t="n">
        <v>0.7899369597419825</v>
      </c>
      <c r="D20" s="25" t="n">
        <v>0.8144081005015442</v>
      </c>
      <c r="E20" s="25" t="n">
        <v>0.7940114841853838</v>
      </c>
      <c r="F20" s="25" t="n">
        <v>0.7934498816011684</v>
      </c>
      <c r="G20" s="25" t="n">
        <v>0.7897413249233408</v>
      </c>
      <c r="H20" s="25" t="n">
        <v>0.7833372703335949</v>
      </c>
      <c r="I20" s="25" t="n">
        <v>0.7659868168487041</v>
      </c>
      <c r="J20" s="25" t="n">
        <v>0.7367998779480021</v>
      </c>
      <c r="K20" s="25" t="n">
        <v>0.739380892237658</v>
      </c>
      <c r="L20" s="25" t="n">
        <v>0.7447272926565711</v>
      </c>
      <c r="M20" s="25" t="n">
        <v>0.7457969007176178</v>
      </c>
      <c r="N20" s="25" t="n">
        <v>0.7347331249324642</v>
      </c>
      <c r="O20" s="25" t="n">
        <v>0.7418575119102154</v>
      </c>
      <c r="P20" s="25" t="n">
        <v>0.7309494172204517</v>
      </c>
      <c r="Q20" s="25" t="n">
        <v>0.7332502871348516</v>
      </c>
      <c r="R20" s="25" t="n">
        <v>0.7149381444652281</v>
      </c>
      <c r="S20" s="25" t="n">
        <v>0.696965857642778</v>
      </c>
      <c r="T20" s="25" t="n">
        <v>0.7226533581528588</v>
      </c>
      <c r="U20" s="25" t="n">
        <v>0.7263006684597706</v>
      </c>
      <c r="V20" s="25" t="n">
        <v>0.7174737354887584</v>
      </c>
      <c r="W20" s="25" t="n">
        <v>0.7291271271354296</v>
      </c>
      <c r="X20" s="25" t="n">
        <v>0.7226625121141692</v>
      </c>
      <c r="Y20" s="25" t="n">
        <v>0.715337319564357</v>
      </c>
      <c r="Z20" s="25" t="n">
        <v>0.7138777841233571</v>
      </c>
      <c r="AA20" s="25" t="n">
        <v>0.7138777841233572</v>
      </c>
      <c r="AB20" s="25" t="n">
        <v>0.7138777841233572</v>
      </c>
      <c r="AC20" s="25" t="n">
        <v>0.7138777841233571</v>
      </c>
      <c r="AD20" s="25" t="n">
        <v>0.7138777841233571</v>
      </c>
    </row>
    <row r="21">
      <c r="A21" s="8" t="inlineStr">
        <is>
          <t>Quarterly average USD per INR (business days; forward = spot held from 2026-09-18)</t>
        </is>
      </c>
      <c r="B21" s="4" t="inlineStr">
        <is>
          <t>FRED DEXINUS → adr_engine/fx_daily_2026-09-21.csv (fetch_fx.py)</t>
        </is>
      </c>
      <c r="C21" s="25" t="n">
        <v>0.01371640452690674</v>
      </c>
      <c r="D21" s="25" t="n">
        <v>0.01355829368439952</v>
      </c>
      <c r="E21" s="25" t="n">
        <v>0.01349835916932289</v>
      </c>
      <c r="F21" s="25" t="n">
        <v>0.01334879644596242</v>
      </c>
      <c r="G21" s="25" t="n">
        <v>0.0132972184186094</v>
      </c>
      <c r="H21" s="25" t="n">
        <v>0.01295445844676586</v>
      </c>
      <c r="I21" s="25" t="n">
        <v>0.01253786180770151</v>
      </c>
      <c r="J21" s="25" t="n">
        <v>0.01217521170123298</v>
      </c>
      <c r="K21" s="25" t="n">
        <v>0.01216573172989259</v>
      </c>
      <c r="L21" s="25" t="n">
        <v>0.01216991360465129</v>
      </c>
      <c r="M21" s="25" t="n">
        <v>0.01209591888833167</v>
      </c>
      <c r="N21" s="25" t="n">
        <v>0.01201291290368868</v>
      </c>
      <c r="O21" s="25" t="n">
        <v>0.01204400393306578</v>
      </c>
      <c r="P21" s="25" t="n">
        <v>0.01198932693191114</v>
      </c>
      <c r="Q21" s="25" t="n">
        <v>0.01194017385618696</v>
      </c>
      <c r="R21" s="25" t="n">
        <v>0.01184368962439188</v>
      </c>
      <c r="S21" s="25" t="n">
        <v>0.01154940548819701</v>
      </c>
      <c r="T21" s="25" t="n">
        <v>0.01168677454510077</v>
      </c>
      <c r="U21" s="25" t="n">
        <v>0.0114539660026601</v>
      </c>
      <c r="V21" s="25" t="n">
        <v>0.01122423972080312</v>
      </c>
      <c r="W21" s="25" t="n">
        <v>0.01093172766317048</v>
      </c>
      <c r="X21" s="25" t="n">
        <v>0.01056799659097119</v>
      </c>
      <c r="Y21" s="25" t="n">
        <v>0.010461346931782</v>
      </c>
      <c r="Z21" s="25" t="n">
        <v>0.01043079169708981</v>
      </c>
      <c r="AA21" s="25" t="n">
        <v>0.01043079169708981</v>
      </c>
      <c r="AB21" s="25" t="n">
        <v>0.01043079169708981</v>
      </c>
      <c r="AC21" s="25" t="n">
        <v>0.01043079169708981</v>
      </c>
      <c r="AD21" s="25" t="n">
        <v>0.01043079169708981</v>
      </c>
    </row>
    <row r="22">
      <c r="A22" s="8" t="inlineStr">
        <is>
          <t xml:space="preserve">    share of the quarter's business days printed at 18 Sep 2026</t>
        </is>
      </c>
      <c r="B22" s="4" t="inlineStr">
        <is>
          <t>engine fx_forecast_asof.csv obs_frac_at_asof</t>
        </is>
      </c>
      <c r="C22" s="12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2" t="n">
        <v>1</v>
      </c>
      <c r="I22" s="12" t="n">
        <v>1</v>
      </c>
      <c r="J22" s="12" t="n">
        <v>1</v>
      </c>
      <c r="K22" s="12" t="n">
        <v>1</v>
      </c>
      <c r="L22" s="12" t="n">
        <v>1</v>
      </c>
      <c r="M22" s="12" t="n">
        <v>1</v>
      </c>
      <c r="N22" s="12" t="n">
        <v>1</v>
      </c>
      <c r="O22" s="12" t="n">
        <v>1</v>
      </c>
      <c r="P22" s="12" t="n">
        <v>1</v>
      </c>
      <c r="Q22" s="12" t="n">
        <v>1</v>
      </c>
      <c r="R22" s="12" t="n">
        <v>1</v>
      </c>
      <c r="S22" s="12" t="n">
        <v>1</v>
      </c>
      <c r="T22" s="12" t="n">
        <v>1</v>
      </c>
      <c r="U22" s="12" t="n">
        <v>1</v>
      </c>
      <c r="V22" s="12" t="n">
        <v>1</v>
      </c>
      <c r="W22" s="12" t="n">
        <v>1</v>
      </c>
      <c r="X22" s="12" t="n">
        <v>1</v>
      </c>
      <c r="Y22" s="12" t="n">
        <v>0.8787878787878788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</row>
    <row r="24">
      <c r="A24" s="8" t="inlineStr">
        <is>
          <t xml:space="preserve">    EUR y/y of the quarterly average (%)</t>
        </is>
      </c>
      <c r="B24" s="4" t="inlineStr">
        <is>
          <t>→ (avg / avg four quarters earlier − 1) × 100</t>
        </is>
      </c>
      <c r="G24" s="16">
        <f>(G13/C13-1)*100</f>
        <v/>
      </c>
      <c r="H24" s="16">
        <f>(H13/D13-1)*100</f>
        <v/>
      </c>
      <c r="I24" s="16">
        <f>(I13/E13-1)*100</f>
        <v/>
      </c>
      <c r="J24" s="16">
        <f>(J13/F13-1)*100</f>
        <v/>
      </c>
      <c r="K24" s="16">
        <f>(K13/G13-1)*100</f>
        <v/>
      </c>
      <c r="L24" s="16">
        <f>(L13/H13-1)*100</f>
        <v/>
      </c>
      <c r="M24" s="16">
        <f>(M13/I13-1)*100</f>
        <v/>
      </c>
      <c r="N24" s="16">
        <f>(N13/J13-1)*100</f>
        <v/>
      </c>
      <c r="O24" s="16">
        <f>(O13/K13-1)*100</f>
        <v/>
      </c>
      <c r="P24" s="16">
        <f>(P13/L13-1)*100</f>
        <v/>
      </c>
      <c r="Q24" s="16">
        <f>(Q13/M13-1)*100</f>
        <v/>
      </c>
      <c r="R24" s="16">
        <f>(R13/N13-1)*100</f>
        <v/>
      </c>
      <c r="S24" s="16">
        <f>(S13/O13-1)*100</f>
        <v/>
      </c>
      <c r="T24" s="16">
        <f>(T13/P13-1)*100</f>
        <v/>
      </c>
      <c r="U24" s="16">
        <f>(U13/Q13-1)*100</f>
        <v/>
      </c>
      <c r="V24" s="16">
        <f>(V13/R13-1)*100</f>
        <v/>
      </c>
      <c r="W24" s="16">
        <f>(W13/S13-1)*100</f>
        <v/>
      </c>
      <c r="X24" s="16">
        <f>(X13/T13-1)*100</f>
        <v/>
      </c>
      <c r="Y24" s="16">
        <f>(Y13/U13-1)*100</f>
        <v/>
      </c>
      <c r="Z24" s="16">
        <f>(Z13/V13-1)*100</f>
        <v/>
      </c>
      <c r="AA24" s="16">
        <f>(AA13/W13-1)*100</f>
        <v/>
      </c>
      <c r="AB24" s="16">
        <f>(AB13/X13-1)*100</f>
        <v/>
      </c>
      <c r="AC24" s="16">
        <f>(AC13/Y13-1)*100</f>
        <v/>
      </c>
      <c r="AD24" s="16">
        <f>(AD13/Z13-1)*100</f>
        <v/>
      </c>
    </row>
    <row r="25">
      <c r="A25" s="8" t="inlineStr">
        <is>
          <t xml:space="preserve">    GBP y/y of the quarterly average (%)</t>
        </is>
      </c>
      <c r="B25" s="4" t="inlineStr">
        <is>
          <t>→ (avg / avg four quarters earlier − 1) × 100</t>
        </is>
      </c>
      <c r="G25" s="16">
        <f>(G14/C14-1)*100</f>
        <v/>
      </c>
      <c r="H25" s="16">
        <f>(H14/D14-1)*100</f>
        <v/>
      </c>
      <c r="I25" s="16">
        <f>(I14/E14-1)*100</f>
        <v/>
      </c>
      <c r="J25" s="16">
        <f>(J14/F14-1)*100</f>
        <v/>
      </c>
      <c r="K25" s="16">
        <f>(K14/G14-1)*100</f>
        <v/>
      </c>
      <c r="L25" s="16">
        <f>(L14/H14-1)*100</f>
        <v/>
      </c>
      <c r="M25" s="16">
        <f>(M14/I14-1)*100</f>
        <v/>
      </c>
      <c r="N25" s="16">
        <f>(N14/J14-1)*100</f>
        <v/>
      </c>
      <c r="O25" s="16">
        <f>(O14/K14-1)*100</f>
        <v/>
      </c>
      <c r="P25" s="16">
        <f>(P14/L14-1)*100</f>
        <v/>
      </c>
      <c r="Q25" s="16">
        <f>(Q14/M14-1)*100</f>
        <v/>
      </c>
      <c r="R25" s="16">
        <f>(R14/N14-1)*100</f>
        <v/>
      </c>
      <c r="S25" s="16">
        <f>(S14/O14-1)*100</f>
        <v/>
      </c>
      <c r="T25" s="16">
        <f>(T14/P14-1)*100</f>
        <v/>
      </c>
      <c r="U25" s="16">
        <f>(U14/Q14-1)*100</f>
        <v/>
      </c>
      <c r="V25" s="16">
        <f>(V14/R14-1)*100</f>
        <v/>
      </c>
      <c r="W25" s="16">
        <f>(W14/S14-1)*100</f>
        <v/>
      </c>
      <c r="X25" s="16">
        <f>(X14/T14-1)*100</f>
        <v/>
      </c>
      <c r="Y25" s="16">
        <f>(Y14/U14-1)*100</f>
        <v/>
      </c>
      <c r="Z25" s="16">
        <f>(Z14/V14-1)*100</f>
        <v/>
      </c>
      <c r="AA25" s="16">
        <f>(AA14/W14-1)*100</f>
        <v/>
      </c>
      <c r="AB25" s="16">
        <f>(AB14/X14-1)*100</f>
        <v/>
      </c>
      <c r="AC25" s="16">
        <f>(AC14/Y14-1)*100</f>
        <v/>
      </c>
      <c r="AD25" s="16">
        <f>(AD14/Z14-1)*100</f>
        <v/>
      </c>
    </row>
    <row r="26">
      <c r="A26" s="8" t="inlineStr">
        <is>
          <t xml:space="preserve">    BRL y/y of the quarterly average (%)</t>
        </is>
      </c>
      <c r="B26" s="4" t="inlineStr">
        <is>
          <t>→ (avg / avg four quarters earlier − 1) × 100</t>
        </is>
      </c>
      <c r="G26" s="16">
        <f>(G15/C15-1)*100</f>
        <v/>
      </c>
      <c r="H26" s="16">
        <f>(H15/D15-1)*100</f>
        <v/>
      </c>
      <c r="I26" s="16">
        <f>(I15/E15-1)*100</f>
        <v/>
      </c>
      <c r="J26" s="16">
        <f>(J15/F15-1)*100</f>
        <v/>
      </c>
      <c r="K26" s="16">
        <f>(K15/G15-1)*100</f>
        <v/>
      </c>
      <c r="L26" s="16">
        <f>(L15/H15-1)*100</f>
        <v/>
      </c>
      <c r="M26" s="16">
        <f>(M15/I15-1)*100</f>
        <v/>
      </c>
      <c r="N26" s="16">
        <f>(N15/J15-1)*100</f>
        <v/>
      </c>
      <c r="O26" s="16">
        <f>(O15/K15-1)*100</f>
        <v/>
      </c>
      <c r="P26" s="16">
        <f>(P15/L15-1)*100</f>
        <v/>
      </c>
      <c r="Q26" s="16">
        <f>(Q15/M15-1)*100</f>
        <v/>
      </c>
      <c r="R26" s="16">
        <f>(R15/N15-1)*100</f>
        <v/>
      </c>
      <c r="S26" s="16">
        <f>(S15/O15-1)*100</f>
        <v/>
      </c>
      <c r="T26" s="16">
        <f>(T15/P15-1)*100</f>
        <v/>
      </c>
      <c r="U26" s="16">
        <f>(U15/Q15-1)*100</f>
        <v/>
      </c>
      <c r="V26" s="16">
        <f>(V15/R15-1)*100</f>
        <v/>
      </c>
      <c r="W26" s="16">
        <f>(W15/S15-1)*100</f>
        <v/>
      </c>
      <c r="X26" s="16">
        <f>(X15/T15-1)*100</f>
        <v/>
      </c>
      <c r="Y26" s="16">
        <f>(Y15/U15-1)*100</f>
        <v/>
      </c>
      <c r="Z26" s="16">
        <f>(Z15/V15-1)*100</f>
        <v/>
      </c>
      <c r="AA26" s="16">
        <f>(AA15/W15-1)*100</f>
        <v/>
      </c>
      <c r="AB26" s="16">
        <f>(AB15/X15-1)*100</f>
        <v/>
      </c>
      <c r="AC26" s="16">
        <f>(AC15/Y15-1)*100</f>
        <v/>
      </c>
      <c r="AD26" s="16">
        <f>(AD15/Z15-1)*100</f>
        <v/>
      </c>
    </row>
    <row r="27">
      <c r="A27" s="8" t="inlineStr">
        <is>
          <t xml:space="preserve">    MXN y/y of the quarterly average (%)</t>
        </is>
      </c>
      <c r="B27" s="4" t="inlineStr">
        <is>
          <t>→ (avg / avg four quarters earlier − 1) × 100</t>
        </is>
      </c>
      <c r="G27" s="16">
        <f>(G16/C16-1)*100</f>
        <v/>
      </c>
      <c r="H27" s="16">
        <f>(H16/D16-1)*100</f>
        <v/>
      </c>
      <c r="I27" s="16">
        <f>(I16/E16-1)*100</f>
        <v/>
      </c>
      <c r="J27" s="16">
        <f>(J16/F16-1)*100</f>
        <v/>
      </c>
      <c r="K27" s="16">
        <f>(K16/G16-1)*100</f>
        <v/>
      </c>
      <c r="L27" s="16">
        <f>(L16/H16-1)*100</f>
        <v/>
      </c>
      <c r="M27" s="16">
        <f>(M16/I16-1)*100</f>
        <v/>
      </c>
      <c r="N27" s="16">
        <f>(N16/J16-1)*100</f>
        <v/>
      </c>
      <c r="O27" s="16">
        <f>(O16/K16-1)*100</f>
        <v/>
      </c>
      <c r="P27" s="16">
        <f>(P16/L16-1)*100</f>
        <v/>
      </c>
      <c r="Q27" s="16">
        <f>(Q16/M16-1)*100</f>
        <v/>
      </c>
      <c r="R27" s="16">
        <f>(R16/N16-1)*100</f>
        <v/>
      </c>
      <c r="S27" s="16">
        <f>(S16/O16-1)*100</f>
        <v/>
      </c>
      <c r="T27" s="16">
        <f>(T16/P16-1)*100</f>
        <v/>
      </c>
      <c r="U27" s="16">
        <f>(U16/Q16-1)*100</f>
        <v/>
      </c>
      <c r="V27" s="16">
        <f>(V16/R16-1)*100</f>
        <v/>
      </c>
      <c r="W27" s="16">
        <f>(W16/S16-1)*100</f>
        <v/>
      </c>
      <c r="X27" s="16">
        <f>(X16/T16-1)*100</f>
        <v/>
      </c>
      <c r="Y27" s="16">
        <f>(Y16/U16-1)*100</f>
        <v/>
      </c>
      <c r="Z27" s="16">
        <f>(Z16/V16-1)*100</f>
        <v/>
      </c>
      <c r="AA27" s="16">
        <f>(AA16/W16-1)*100</f>
        <v/>
      </c>
      <c r="AB27" s="16">
        <f>(AB16/X16-1)*100</f>
        <v/>
      </c>
      <c r="AC27" s="16">
        <f>(AC16/Y16-1)*100</f>
        <v/>
      </c>
      <c r="AD27" s="16">
        <f>(AD16/Z16-1)*100</f>
        <v/>
      </c>
    </row>
    <row r="28">
      <c r="A28" s="8" t="inlineStr">
        <is>
          <t xml:space="preserve">    JPY y/y of the quarterly average (%)</t>
        </is>
      </c>
      <c r="B28" s="4" t="inlineStr">
        <is>
          <t>→ (avg / avg four quarters earlier − 1) × 100</t>
        </is>
      </c>
      <c r="G28" s="16">
        <f>(G17/C17-1)*100</f>
        <v/>
      </c>
      <c r="H28" s="16">
        <f>(H17/D17-1)*100</f>
        <v/>
      </c>
      <c r="I28" s="16">
        <f>(I17/E17-1)*100</f>
        <v/>
      </c>
      <c r="J28" s="16">
        <f>(J17/F17-1)*100</f>
        <v/>
      </c>
      <c r="K28" s="16">
        <f>(K17/G17-1)*100</f>
        <v/>
      </c>
      <c r="L28" s="16">
        <f>(L17/H17-1)*100</f>
        <v/>
      </c>
      <c r="M28" s="16">
        <f>(M17/I17-1)*100</f>
        <v/>
      </c>
      <c r="N28" s="16">
        <f>(N17/J17-1)*100</f>
        <v/>
      </c>
      <c r="O28" s="16">
        <f>(O17/K17-1)*100</f>
        <v/>
      </c>
      <c r="P28" s="16">
        <f>(P17/L17-1)*100</f>
        <v/>
      </c>
      <c r="Q28" s="16">
        <f>(Q17/M17-1)*100</f>
        <v/>
      </c>
      <c r="R28" s="16">
        <f>(R17/N17-1)*100</f>
        <v/>
      </c>
      <c r="S28" s="16">
        <f>(S17/O17-1)*100</f>
        <v/>
      </c>
      <c r="T28" s="16">
        <f>(T17/P17-1)*100</f>
        <v/>
      </c>
      <c r="U28" s="16">
        <f>(U17/Q17-1)*100</f>
        <v/>
      </c>
      <c r="V28" s="16">
        <f>(V17/R17-1)*100</f>
        <v/>
      </c>
      <c r="W28" s="16">
        <f>(W17/S17-1)*100</f>
        <v/>
      </c>
      <c r="X28" s="16">
        <f>(X17/T17-1)*100</f>
        <v/>
      </c>
      <c r="Y28" s="16">
        <f>(Y17/U17-1)*100</f>
        <v/>
      </c>
      <c r="Z28" s="16">
        <f>(Z17/V17-1)*100</f>
        <v/>
      </c>
      <c r="AA28" s="16">
        <f>(AA17/W17-1)*100</f>
        <v/>
      </c>
      <c r="AB28" s="16">
        <f>(AB17/X17-1)*100</f>
        <v/>
      </c>
      <c r="AC28" s="16">
        <f>(AC17/Y17-1)*100</f>
        <v/>
      </c>
      <c r="AD28" s="16">
        <f>(AD17/Z17-1)*100</f>
        <v/>
      </c>
    </row>
    <row r="29">
      <c r="A29" s="8" t="inlineStr">
        <is>
          <t xml:space="preserve">    AUD y/y of the quarterly average (%)</t>
        </is>
      </c>
      <c r="B29" s="4" t="inlineStr">
        <is>
          <t>→ (avg / avg four quarters earlier − 1) × 100</t>
        </is>
      </c>
      <c r="G29" s="16">
        <f>(G18/C18-1)*100</f>
        <v/>
      </c>
      <c r="H29" s="16">
        <f>(H18/D18-1)*100</f>
        <v/>
      </c>
      <c r="I29" s="16">
        <f>(I18/E18-1)*100</f>
        <v/>
      </c>
      <c r="J29" s="16">
        <f>(J18/F18-1)*100</f>
        <v/>
      </c>
      <c r="K29" s="16">
        <f>(K18/G18-1)*100</f>
        <v/>
      </c>
      <c r="L29" s="16">
        <f>(L18/H18-1)*100</f>
        <v/>
      </c>
      <c r="M29" s="16">
        <f>(M18/I18-1)*100</f>
        <v/>
      </c>
      <c r="N29" s="16">
        <f>(N18/J18-1)*100</f>
        <v/>
      </c>
      <c r="O29" s="16">
        <f>(O18/K18-1)*100</f>
        <v/>
      </c>
      <c r="P29" s="16">
        <f>(P18/L18-1)*100</f>
        <v/>
      </c>
      <c r="Q29" s="16">
        <f>(Q18/M18-1)*100</f>
        <v/>
      </c>
      <c r="R29" s="16">
        <f>(R18/N18-1)*100</f>
        <v/>
      </c>
      <c r="S29" s="16">
        <f>(S18/O18-1)*100</f>
        <v/>
      </c>
      <c r="T29" s="16">
        <f>(T18/P18-1)*100</f>
        <v/>
      </c>
      <c r="U29" s="16">
        <f>(U18/Q18-1)*100</f>
        <v/>
      </c>
      <c r="V29" s="16">
        <f>(V18/R18-1)*100</f>
        <v/>
      </c>
      <c r="W29" s="16">
        <f>(W18/S18-1)*100</f>
        <v/>
      </c>
      <c r="X29" s="16">
        <f>(X18/T18-1)*100</f>
        <v/>
      </c>
      <c r="Y29" s="16">
        <f>(Y18/U18-1)*100</f>
        <v/>
      </c>
      <c r="Z29" s="16">
        <f>(Z18/V18-1)*100</f>
        <v/>
      </c>
      <c r="AA29" s="16">
        <f>(AA18/W18-1)*100</f>
        <v/>
      </c>
      <c r="AB29" s="16">
        <f>(AB18/X18-1)*100</f>
        <v/>
      </c>
      <c r="AC29" s="16">
        <f>(AC18/Y18-1)*100</f>
        <v/>
      </c>
      <c r="AD29" s="16">
        <f>(AD18/Z18-1)*100</f>
        <v/>
      </c>
    </row>
    <row r="30">
      <c r="A30" s="8" t="inlineStr">
        <is>
          <t xml:space="preserve">    KRW y/y of the quarterly average (%)</t>
        </is>
      </c>
      <c r="B30" s="4" t="inlineStr">
        <is>
          <t>→ (avg / avg four quarters earlier − 1) × 100</t>
        </is>
      </c>
      <c r="G30" s="16">
        <f>(G19/C19-1)*100</f>
        <v/>
      </c>
      <c r="H30" s="16">
        <f>(H19/D19-1)*100</f>
        <v/>
      </c>
      <c r="I30" s="16">
        <f>(I19/E19-1)*100</f>
        <v/>
      </c>
      <c r="J30" s="16">
        <f>(J19/F19-1)*100</f>
        <v/>
      </c>
      <c r="K30" s="16">
        <f>(K19/G19-1)*100</f>
        <v/>
      </c>
      <c r="L30" s="16">
        <f>(L19/H19-1)*100</f>
        <v/>
      </c>
      <c r="M30" s="16">
        <f>(M19/I19-1)*100</f>
        <v/>
      </c>
      <c r="N30" s="16">
        <f>(N19/J19-1)*100</f>
        <v/>
      </c>
      <c r="O30" s="16">
        <f>(O19/K19-1)*100</f>
        <v/>
      </c>
      <c r="P30" s="16">
        <f>(P19/L19-1)*100</f>
        <v/>
      </c>
      <c r="Q30" s="16">
        <f>(Q19/M19-1)*100</f>
        <v/>
      </c>
      <c r="R30" s="16">
        <f>(R19/N19-1)*100</f>
        <v/>
      </c>
      <c r="S30" s="16">
        <f>(S19/O19-1)*100</f>
        <v/>
      </c>
      <c r="T30" s="16">
        <f>(T19/P19-1)*100</f>
        <v/>
      </c>
      <c r="U30" s="16">
        <f>(U19/Q19-1)*100</f>
        <v/>
      </c>
      <c r="V30" s="16">
        <f>(V19/R19-1)*100</f>
        <v/>
      </c>
      <c r="W30" s="16">
        <f>(W19/S19-1)*100</f>
        <v/>
      </c>
      <c r="X30" s="16">
        <f>(X19/T19-1)*100</f>
        <v/>
      </c>
      <c r="Y30" s="16">
        <f>(Y19/U19-1)*100</f>
        <v/>
      </c>
      <c r="Z30" s="16">
        <f>(Z19/V19-1)*100</f>
        <v/>
      </c>
      <c r="AA30" s="16">
        <f>(AA19/W19-1)*100</f>
        <v/>
      </c>
      <c r="AB30" s="16">
        <f>(AB19/X19-1)*100</f>
        <v/>
      </c>
      <c r="AC30" s="16">
        <f>(AC19/Y19-1)*100</f>
        <v/>
      </c>
      <c r="AD30" s="16">
        <f>(AD19/Z19-1)*100</f>
        <v/>
      </c>
    </row>
    <row r="31">
      <c r="A31" s="8" t="inlineStr">
        <is>
          <t xml:space="preserve">    CAD y/y of the quarterly average (%)</t>
        </is>
      </c>
      <c r="B31" s="4" t="inlineStr">
        <is>
          <t>→ (avg / avg four quarters earlier − 1) × 100</t>
        </is>
      </c>
      <c r="G31" s="16">
        <f>(G20/C20-1)*100</f>
        <v/>
      </c>
      <c r="H31" s="16">
        <f>(H20/D20-1)*100</f>
        <v/>
      </c>
      <c r="I31" s="16">
        <f>(I20/E20-1)*100</f>
        <v/>
      </c>
      <c r="J31" s="16">
        <f>(J20/F20-1)*100</f>
        <v/>
      </c>
      <c r="K31" s="16">
        <f>(K20/G20-1)*100</f>
        <v/>
      </c>
      <c r="L31" s="16">
        <f>(L20/H20-1)*100</f>
        <v/>
      </c>
      <c r="M31" s="16">
        <f>(M20/I20-1)*100</f>
        <v/>
      </c>
      <c r="N31" s="16">
        <f>(N20/J20-1)*100</f>
        <v/>
      </c>
      <c r="O31" s="16">
        <f>(O20/K20-1)*100</f>
        <v/>
      </c>
      <c r="P31" s="16">
        <f>(P20/L20-1)*100</f>
        <v/>
      </c>
      <c r="Q31" s="16">
        <f>(Q20/M20-1)*100</f>
        <v/>
      </c>
      <c r="R31" s="16">
        <f>(R20/N20-1)*100</f>
        <v/>
      </c>
      <c r="S31" s="16">
        <f>(S20/O20-1)*100</f>
        <v/>
      </c>
      <c r="T31" s="16">
        <f>(T20/P20-1)*100</f>
        <v/>
      </c>
      <c r="U31" s="16">
        <f>(U20/Q20-1)*100</f>
        <v/>
      </c>
      <c r="V31" s="16">
        <f>(V20/R20-1)*100</f>
        <v/>
      </c>
      <c r="W31" s="16">
        <f>(W20/S20-1)*100</f>
        <v/>
      </c>
      <c r="X31" s="16">
        <f>(X20/T20-1)*100</f>
        <v/>
      </c>
      <c r="Y31" s="16">
        <f>(Y20/U20-1)*100</f>
        <v/>
      </c>
      <c r="Z31" s="16">
        <f>(Z20/V20-1)*100</f>
        <v/>
      </c>
      <c r="AA31" s="16">
        <f>(AA20/W20-1)*100</f>
        <v/>
      </c>
      <c r="AB31" s="16">
        <f>(AB20/X20-1)*100</f>
        <v/>
      </c>
      <c r="AC31" s="16">
        <f>(AC20/Y20-1)*100</f>
        <v/>
      </c>
      <c r="AD31" s="16">
        <f>(AD20/Z20-1)*100</f>
        <v/>
      </c>
    </row>
    <row r="32">
      <c r="A32" s="8" t="inlineStr">
        <is>
          <t xml:space="preserve">    INR y/y of the quarterly average (%)</t>
        </is>
      </c>
      <c r="B32" s="4" t="inlineStr">
        <is>
          <t>→ (avg / avg four quarters earlier − 1) × 100</t>
        </is>
      </c>
      <c r="G32" s="16">
        <f>(G21/C21-1)*100</f>
        <v/>
      </c>
      <c r="H32" s="16">
        <f>(H21/D21-1)*100</f>
        <v/>
      </c>
      <c r="I32" s="16">
        <f>(I21/E21-1)*100</f>
        <v/>
      </c>
      <c r="J32" s="16">
        <f>(J21/F21-1)*100</f>
        <v/>
      </c>
      <c r="K32" s="16">
        <f>(K21/G21-1)*100</f>
        <v/>
      </c>
      <c r="L32" s="16">
        <f>(L21/H21-1)*100</f>
        <v/>
      </c>
      <c r="M32" s="16">
        <f>(M21/I21-1)*100</f>
        <v/>
      </c>
      <c r="N32" s="16">
        <f>(N21/J21-1)*100</f>
        <v/>
      </c>
      <c r="O32" s="16">
        <f>(O21/K21-1)*100</f>
        <v/>
      </c>
      <c r="P32" s="16">
        <f>(P21/L21-1)*100</f>
        <v/>
      </c>
      <c r="Q32" s="16">
        <f>(Q21/M21-1)*100</f>
        <v/>
      </c>
      <c r="R32" s="16">
        <f>(R21/N21-1)*100</f>
        <v/>
      </c>
      <c r="S32" s="16">
        <f>(S21/O21-1)*100</f>
        <v/>
      </c>
      <c r="T32" s="16">
        <f>(T21/P21-1)*100</f>
        <v/>
      </c>
      <c r="U32" s="16">
        <f>(U21/Q21-1)*100</f>
        <v/>
      </c>
      <c r="V32" s="16">
        <f>(V21/R21-1)*100</f>
        <v/>
      </c>
      <c r="W32" s="16">
        <f>(W21/S21-1)*100</f>
        <v/>
      </c>
      <c r="X32" s="16">
        <f>(X21/T21-1)*100</f>
        <v/>
      </c>
      <c r="Y32" s="16">
        <f>(Y21/U21-1)*100</f>
        <v/>
      </c>
      <c r="Z32" s="16">
        <f>(Z21/V21-1)*100</f>
        <v/>
      </c>
      <c r="AA32" s="16">
        <f>(AA21/W21-1)*100</f>
        <v/>
      </c>
      <c r="AB32" s="16">
        <f>(AB21/X21-1)*100</f>
        <v/>
      </c>
      <c r="AC32" s="16">
        <f>(AC21/Y21-1)*100</f>
        <v/>
      </c>
      <c r="AD32" s="16">
        <f>(AD21/Z21-1)*100</f>
        <v/>
      </c>
    </row>
    <row r="34">
      <c r="A34" s="8" t="inlineStr">
        <is>
          <t>Destination-currency basket weights κ (frozen judgement, 01b_basket_weights_used.csv; USD legs carry 0)</t>
        </is>
      </c>
      <c r="B34" s="4" t="inlineStr">
        <is>
          <t>rows = region; columns C..K = EUR GBP BRL MXN JPY AUD KRW CAD INR; L = USD</t>
        </is>
      </c>
      <c r="C34" s="2" t="inlineStr">
        <is>
          <t>EUR</t>
        </is>
      </c>
      <c r="D34" s="2" t="inlineStr">
        <is>
          <t>GBP</t>
        </is>
      </c>
      <c r="E34" s="2" t="inlineStr">
        <is>
          <t>BRL</t>
        </is>
      </c>
      <c r="F34" s="2" t="inlineStr">
        <is>
          <t>MXN</t>
        </is>
      </c>
      <c r="G34" s="2" t="inlineStr">
        <is>
          <t>JPY</t>
        </is>
      </c>
      <c r="H34" s="2" t="inlineStr">
        <is>
          <t>AUD</t>
        </is>
      </c>
      <c r="I34" s="2" t="inlineStr">
        <is>
          <t>KRW</t>
        </is>
      </c>
      <c r="J34" s="2" t="inlineStr">
        <is>
          <t>CAD</t>
        </is>
      </c>
      <c r="K34" s="2" t="inlineStr">
        <is>
          <t>INR</t>
        </is>
      </c>
      <c r="L34" s="2" t="inlineStr">
        <is>
          <t>USD</t>
        </is>
      </c>
    </row>
    <row r="35">
      <c r="A35" s="8" t="inlineStr">
        <is>
          <t xml:space="preserve">    κ na</t>
        </is>
      </c>
      <c r="C35" s="12" t="n">
        <v>0</v>
      </c>
      <c r="D35" s="12" t="n">
        <v>0</v>
      </c>
      <c r="E35" s="12" t="n">
        <v>0</v>
      </c>
      <c r="F35" s="12" t="n">
        <v>0.02</v>
      </c>
      <c r="G35" s="12" t="n">
        <v>0</v>
      </c>
      <c r="H35" s="12" t="n">
        <v>0</v>
      </c>
      <c r="I35" s="12" t="n">
        <v>0</v>
      </c>
      <c r="J35" s="12" t="n">
        <v>0.08</v>
      </c>
      <c r="K35" s="12" t="n">
        <v>0</v>
      </c>
      <c r="L35" s="12" t="n">
        <v>0.9</v>
      </c>
    </row>
    <row r="36">
      <c r="A36" s="8" t="inlineStr">
        <is>
          <t xml:space="preserve">    κ emea</t>
        </is>
      </c>
      <c r="C36" s="12" t="n">
        <v>0.7</v>
      </c>
      <c r="D36" s="12" t="n">
        <v>0.25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0.05</v>
      </c>
    </row>
    <row r="37">
      <c r="A37" s="8" t="inlineStr">
        <is>
          <t xml:space="preserve">    κ latam</t>
        </is>
      </c>
      <c r="C37" s="12" t="n">
        <v>0</v>
      </c>
      <c r="D37" s="12" t="n">
        <v>0</v>
      </c>
      <c r="E37" s="12" t="n">
        <v>0.55</v>
      </c>
      <c r="F37" s="12" t="n">
        <v>0.38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0.07000000000000001</v>
      </c>
    </row>
    <row r="38">
      <c r="A38" s="8" t="inlineStr">
        <is>
          <t xml:space="preserve">    κ apac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0.2</v>
      </c>
      <c r="H38" s="12" t="n">
        <v>0.55</v>
      </c>
      <c r="I38" s="12" t="n">
        <v>0.1</v>
      </c>
      <c r="J38" s="12" t="n">
        <v>0</v>
      </c>
      <c r="K38" s="12" t="n">
        <v>0.07000000000000001</v>
      </c>
      <c r="L38" s="12" t="n">
        <v>0.08</v>
      </c>
    </row>
    <row r="40">
      <c r="A40" s="8" t="inlineStr">
        <is>
          <t xml:space="preserve">    basket y/y, na (%)</t>
        </is>
      </c>
      <c r="B40" s="4" t="inlineStr">
        <is>
          <t>→ Σ_currency κ × currency y/y</t>
        </is>
      </c>
      <c r="G40" s="16">
        <f>$F$35*G27+$J$35*G31</f>
        <v/>
      </c>
      <c r="H40" s="16">
        <f>$F$35*H27+$J$35*H31</f>
        <v/>
      </c>
      <c r="I40" s="16">
        <f>$F$35*I27+$J$35*I31</f>
        <v/>
      </c>
      <c r="J40" s="16">
        <f>$F$35*J27+$J$35*J31</f>
        <v/>
      </c>
      <c r="K40" s="16">
        <f>$F$35*K27+$J$35*K31</f>
        <v/>
      </c>
      <c r="L40" s="16">
        <f>$F$35*L27+$J$35*L31</f>
        <v/>
      </c>
      <c r="M40" s="16">
        <f>$F$35*M27+$J$35*M31</f>
        <v/>
      </c>
      <c r="N40" s="16">
        <f>$F$35*N27+$J$35*N31</f>
        <v/>
      </c>
      <c r="O40" s="16">
        <f>$F$35*O27+$J$35*O31</f>
        <v/>
      </c>
      <c r="P40" s="16">
        <f>$F$35*P27+$J$35*P31</f>
        <v/>
      </c>
      <c r="Q40" s="16">
        <f>$F$35*Q27+$J$35*Q31</f>
        <v/>
      </c>
      <c r="R40" s="16">
        <f>$F$35*R27+$J$35*R31</f>
        <v/>
      </c>
      <c r="S40" s="16">
        <f>$F$35*S27+$J$35*S31</f>
        <v/>
      </c>
      <c r="T40" s="16">
        <f>$F$35*T27+$J$35*T31</f>
        <v/>
      </c>
      <c r="U40" s="16">
        <f>$F$35*U27+$J$35*U31</f>
        <v/>
      </c>
      <c r="V40" s="16">
        <f>$F$35*V27+$J$35*V31</f>
        <v/>
      </c>
      <c r="W40" s="16">
        <f>$F$35*W27+$J$35*W31</f>
        <v/>
      </c>
      <c r="X40" s="16">
        <f>$F$35*X27+$J$35*X31</f>
        <v/>
      </c>
      <c r="Y40" s="16">
        <f>$F$35*Y27+$J$35*Y31</f>
        <v/>
      </c>
      <c r="Z40" s="16">
        <f>$F$35*Z27+$J$35*Z31</f>
        <v/>
      </c>
      <c r="AA40" s="16">
        <f>$F$35*AA27+$J$35*AA31</f>
        <v/>
      </c>
      <c r="AB40" s="16">
        <f>$F$35*AB27+$J$35*AB31</f>
        <v/>
      </c>
      <c r="AC40" s="16">
        <f>$F$35*AC27+$J$35*AC31</f>
        <v/>
      </c>
      <c r="AD40" s="16">
        <f>$F$35*AD27+$J$35*AD31</f>
        <v/>
      </c>
    </row>
    <row r="41">
      <c r="A41" s="8" t="inlineStr">
        <is>
          <t xml:space="preserve">    basket y/y, emea (%)</t>
        </is>
      </c>
      <c r="B41" s="4" t="inlineStr">
        <is>
          <t>→ Σ_currency κ × currency y/y</t>
        </is>
      </c>
      <c r="G41" s="16">
        <f>$C$36*G24+$D$36*G25</f>
        <v/>
      </c>
      <c r="H41" s="16">
        <f>$C$36*H24+$D$36*H25</f>
        <v/>
      </c>
      <c r="I41" s="16">
        <f>$C$36*I24+$D$36*I25</f>
        <v/>
      </c>
      <c r="J41" s="16">
        <f>$C$36*J24+$D$36*J25</f>
        <v/>
      </c>
      <c r="K41" s="16">
        <f>$C$36*K24+$D$36*K25</f>
        <v/>
      </c>
      <c r="L41" s="16">
        <f>$C$36*L24+$D$36*L25</f>
        <v/>
      </c>
      <c r="M41" s="16">
        <f>$C$36*M24+$D$36*M25</f>
        <v/>
      </c>
      <c r="N41" s="16">
        <f>$C$36*N24+$D$36*N25</f>
        <v/>
      </c>
      <c r="O41" s="16">
        <f>$C$36*O24+$D$36*O25</f>
        <v/>
      </c>
      <c r="P41" s="16">
        <f>$C$36*P24+$D$36*P25</f>
        <v/>
      </c>
      <c r="Q41" s="16">
        <f>$C$36*Q24+$D$36*Q25</f>
        <v/>
      </c>
      <c r="R41" s="16">
        <f>$C$36*R24+$D$36*R25</f>
        <v/>
      </c>
      <c r="S41" s="16">
        <f>$C$36*S24+$D$36*S25</f>
        <v/>
      </c>
      <c r="T41" s="16">
        <f>$C$36*T24+$D$36*T25</f>
        <v/>
      </c>
      <c r="U41" s="16">
        <f>$C$36*U24+$D$36*U25</f>
        <v/>
      </c>
      <c r="V41" s="16">
        <f>$C$36*V24+$D$36*V25</f>
        <v/>
      </c>
      <c r="W41" s="16">
        <f>$C$36*W24+$D$36*W25</f>
        <v/>
      </c>
      <c r="X41" s="16">
        <f>$C$36*X24+$D$36*X25</f>
        <v/>
      </c>
      <c r="Y41" s="16">
        <f>$C$36*Y24+$D$36*Y25</f>
        <v/>
      </c>
      <c r="Z41" s="16">
        <f>$C$36*Z24+$D$36*Z25</f>
        <v/>
      </c>
      <c r="AA41" s="16">
        <f>$C$36*AA24+$D$36*AA25</f>
        <v/>
      </c>
      <c r="AB41" s="16">
        <f>$C$36*AB24+$D$36*AB25</f>
        <v/>
      </c>
      <c r="AC41" s="16">
        <f>$C$36*AC24+$D$36*AC25</f>
        <v/>
      </c>
      <c r="AD41" s="16">
        <f>$C$36*AD24+$D$36*AD25</f>
        <v/>
      </c>
    </row>
    <row r="42">
      <c r="A42" s="8" t="inlineStr">
        <is>
          <t xml:space="preserve">    basket y/y, latam (%)</t>
        </is>
      </c>
      <c r="B42" s="4" t="inlineStr">
        <is>
          <t>→ Σ_currency κ × currency y/y</t>
        </is>
      </c>
      <c r="G42" s="16">
        <f>$E$37*G26+$F$37*G27</f>
        <v/>
      </c>
      <c r="H42" s="16">
        <f>$E$37*H26+$F$37*H27</f>
        <v/>
      </c>
      <c r="I42" s="16">
        <f>$E$37*I26+$F$37*I27</f>
        <v/>
      </c>
      <c r="J42" s="16">
        <f>$E$37*J26+$F$37*J27</f>
        <v/>
      </c>
      <c r="K42" s="16">
        <f>$E$37*K26+$F$37*K27</f>
        <v/>
      </c>
      <c r="L42" s="16">
        <f>$E$37*L26+$F$37*L27</f>
        <v/>
      </c>
      <c r="M42" s="16">
        <f>$E$37*M26+$F$37*M27</f>
        <v/>
      </c>
      <c r="N42" s="16">
        <f>$E$37*N26+$F$37*N27</f>
        <v/>
      </c>
      <c r="O42" s="16">
        <f>$E$37*O26+$F$37*O27</f>
        <v/>
      </c>
      <c r="P42" s="16">
        <f>$E$37*P26+$F$37*P27</f>
        <v/>
      </c>
      <c r="Q42" s="16">
        <f>$E$37*Q26+$F$37*Q27</f>
        <v/>
      </c>
      <c r="R42" s="16">
        <f>$E$37*R26+$F$37*R27</f>
        <v/>
      </c>
      <c r="S42" s="16">
        <f>$E$37*S26+$F$37*S27</f>
        <v/>
      </c>
      <c r="T42" s="16">
        <f>$E$37*T26+$F$37*T27</f>
        <v/>
      </c>
      <c r="U42" s="16">
        <f>$E$37*U26+$F$37*U27</f>
        <v/>
      </c>
      <c r="V42" s="16">
        <f>$E$37*V26+$F$37*V27</f>
        <v/>
      </c>
      <c r="W42" s="16">
        <f>$E$37*W26+$F$37*W27</f>
        <v/>
      </c>
      <c r="X42" s="16">
        <f>$E$37*X26+$F$37*X27</f>
        <v/>
      </c>
      <c r="Y42" s="16">
        <f>$E$37*Y26+$F$37*Y27</f>
        <v/>
      </c>
      <c r="Z42" s="16">
        <f>$E$37*Z26+$F$37*Z27</f>
        <v/>
      </c>
      <c r="AA42" s="16">
        <f>$E$37*AA26+$F$37*AA27</f>
        <v/>
      </c>
      <c r="AB42" s="16">
        <f>$E$37*AB26+$F$37*AB27</f>
        <v/>
      </c>
      <c r="AC42" s="16">
        <f>$E$37*AC26+$F$37*AC27</f>
        <v/>
      </c>
      <c r="AD42" s="16">
        <f>$E$37*AD26+$F$37*AD27</f>
        <v/>
      </c>
    </row>
    <row r="43">
      <c r="A43" s="8" t="inlineStr">
        <is>
          <t xml:space="preserve">    basket y/y, apac (%)</t>
        </is>
      </c>
      <c r="B43" s="4" t="inlineStr">
        <is>
          <t>→ Σ_currency κ × currency y/y</t>
        </is>
      </c>
      <c r="G43" s="16">
        <f>$G$38*G28+$H$38*G29+$I$38*G30+$K$38*G32</f>
        <v/>
      </c>
      <c r="H43" s="16">
        <f>$G$38*H28+$H$38*H29+$I$38*H30+$K$38*H32</f>
        <v/>
      </c>
      <c r="I43" s="16">
        <f>$G$38*I28+$H$38*I29+$I$38*I30+$K$38*I32</f>
        <v/>
      </c>
      <c r="J43" s="16">
        <f>$G$38*J28+$H$38*J29+$I$38*J30+$K$38*J32</f>
        <v/>
      </c>
      <c r="K43" s="16">
        <f>$G$38*K28+$H$38*K29+$I$38*K30+$K$38*K32</f>
        <v/>
      </c>
      <c r="L43" s="16">
        <f>$G$38*L28+$H$38*L29+$I$38*L30+$K$38*L32</f>
        <v/>
      </c>
      <c r="M43" s="16">
        <f>$G$38*M28+$H$38*M29+$I$38*M30+$K$38*M32</f>
        <v/>
      </c>
      <c r="N43" s="16">
        <f>$G$38*N28+$H$38*N29+$I$38*N30+$K$38*N32</f>
        <v/>
      </c>
      <c r="O43" s="16">
        <f>$G$38*O28+$H$38*O29+$I$38*O30+$K$38*O32</f>
        <v/>
      </c>
      <c r="P43" s="16">
        <f>$G$38*P28+$H$38*P29+$I$38*P30+$K$38*P32</f>
        <v/>
      </c>
      <c r="Q43" s="16">
        <f>$G$38*Q28+$H$38*Q29+$I$38*Q30+$K$38*Q32</f>
        <v/>
      </c>
      <c r="R43" s="16">
        <f>$G$38*R28+$H$38*R29+$I$38*R30+$K$38*R32</f>
        <v/>
      </c>
      <c r="S43" s="16">
        <f>$G$38*S28+$H$38*S29+$I$38*S30+$K$38*S32</f>
        <v/>
      </c>
      <c r="T43" s="16">
        <f>$G$38*T28+$H$38*T29+$I$38*T30+$K$38*T32</f>
        <v/>
      </c>
      <c r="U43" s="16">
        <f>$G$38*U28+$H$38*U29+$I$38*U30+$K$38*U32</f>
        <v/>
      </c>
      <c r="V43" s="16">
        <f>$G$38*V28+$H$38*V29+$I$38*V30+$K$38*V32</f>
        <v/>
      </c>
      <c r="W43" s="16">
        <f>$G$38*W28+$H$38*W29+$I$38*W30+$K$38*W32</f>
        <v/>
      </c>
      <c r="X43" s="16">
        <f>$G$38*X28+$H$38*X29+$I$38*X30+$K$38*X32</f>
        <v/>
      </c>
      <c r="Y43" s="16">
        <f>$G$38*Y28+$H$38*Y29+$I$38*Y30+$K$38*Y32</f>
        <v/>
      </c>
      <c r="Z43" s="16">
        <f>$G$38*Z28+$H$38*Z29+$I$38*Z30+$K$38*Z32</f>
        <v/>
      </c>
      <c r="AA43" s="16">
        <f>$G$38*AA28+$H$38*AA29+$I$38*AA30+$K$38*AA32</f>
        <v/>
      </c>
      <c r="AB43" s="16">
        <f>$G$38*AB28+$H$38*AB29+$I$38*AB30+$K$38*AB32</f>
        <v/>
      </c>
      <c r="AC43" s="16">
        <f>$G$38*AC28+$H$38*AC29+$I$38*AC30+$K$38*AC32</f>
        <v/>
      </c>
      <c r="AD43" s="16">
        <f>$G$38*AD28+$H$38*AD29+$I$38*AD30+$K$38*AD32</f>
        <v/>
      </c>
    </row>
    <row r="44">
      <c r="A44" s="8" t="inlineStr">
        <is>
          <t>Regional GBV shares (10-K Geographic Mix, latest fiscal year filed before the quarter's print; FY2025 forward)</t>
        </is>
      </c>
      <c r="B44" s="4" t="inlineStr">
        <is>
          <t>data/processed/adr/01_regional_annual.csv gbv_share_pct</t>
        </is>
      </c>
    </row>
    <row r="45">
      <c r="A45" s="8" t="inlineStr">
        <is>
          <t xml:space="preserve">    GBV share, na</t>
        </is>
      </c>
      <c r="C45" s="26" t="n">
        <v>0.5511133243224016</v>
      </c>
      <c r="D45" s="26" t="n">
        <v>0.5511133243224016</v>
      </c>
      <c r="E45" s="26" t="n">
        <v>0.5511133243224016</v>
      </c>
      <c r="F45" s="26" t="n">
        <v>0.5511133243224016</v>
      </c>
      <c r="G45" s="26" t="n">
        <v>0.5398276340209485</v>
      </c>
      <c r="H45" s="26" t="n">
        <v>0.5398276340209485</v>
      </c>
      <c r="I45" s="26" t="n">
        <v>0.5398276340209485</v>
      </c>
      <c r="J45" s="26" t="n">
        <v>0.5398276340209485</v>
      </c>
      <c r="K45" s="26" t="n">
        <v>0.5101246598747073</v>
      </c>
      <c r="L45" s="26" t="n">
        <v>0.5101246598747073</v>
      </c>
      <c r="M45" s="26" t="n">
        <v>0.5101246598747073</v>
      </c>
      <c r="N45" s="26" t="n">
        <v>0.5101246598747073</v>
      </c>
      <c r="O45" s="26" t="n">
        <v>0.4769972150931033</v>
      </c>
      <c r="P45" s="26" t="n">
        <v>0.4769972150931033</v>
      </c>
      <c r="Q45" s="26" t="n">
        <v>0.4769972150931033</v>
      </c>
      <c r="R45" s="26" t="n">
        <v>0.4769972150931033</v>
      </c>
      <c r="S45" s="26" t="n">
        <v>0.4623887312921843</v>
      </c>
      <c r="T45" s="26" t="n">
        <v>0.4623887312921843</v>
      </c>
      <c r="U45" s="26" t="n">
        <v>0.4623887312921843</v>
      </c>
      <c r="V45" s="26" t="n">
        <v>0.4623887312921843</v>
      </c>
      <c r="W45" s="26" t="n">
        <v>0.4414777645086718</v>
      </c>
      <c r="X45" s="26" t="n">
        <v>0.4414777645086718</v>
      </c>
      <c r="Y45" s="26" t="n">
        <v>0.4414777645086718</v>
      </c>
      <c r="Z45" s="26" t="n">
        <v>0.4414777645086718</v>
      </c>
      <c r="AA45" s="26" t="n">
        <v>0.4414777645086718</v>
      </c>
      <c r="AB45" s="26" t="n">
        <v>0.4414777645086718</v>
      </c>
      <c r="AC45" s="26" t="n">
        <v>0.4414777645086718</v>
      </c>
      <c r="AD45" s="26" t="n">
        <v>0.4414777645086718</v>
      </c>
    </row>
    <row r="46">
      <c r="A46" s="8" t="inlineStr">
        <is>
          <t xml:space="preserve">    GBV share, emea</t>
        </is>
      </c>
      <c r="C46" s="26" t="n">
        <v>0.2787014215232938</v>
      </c>
      <c r="D46" s="26" t="n">
        <v>0.2787014215232938</v>
      </c>
      <c r="E46" s="26" t="n">
        <v>0.2787014215232938</v>
      </c>
      <c r="F46" s="26" t="n">
        <v>0.2787014215232938</v>
      </c>
      <c r="G46" s="26" t="n">
        <v>0.3116005717089404</v>
      </c>
      <c r="H46" s="26" t="n">
        <v>0.3116005717089404</v>
      </c>
      <c r="I46" s="26" t="n">
        <v>0.3116005717089404</v>
      </c>
      <c r="J46" s="26" t="n">
        <v>0.3116005717089404</v>
      </c>
      <c r="K46" s="26" t="n">
        <v>0.3399038157311903</v>
      </c>
      <c r="L46" s="26" t="n">
        <v>0.3399038157311903</v>
      </c>
      <c r="M46" s="26" t="n">
        <v>0.3399038157311903</v>
      </c>
      <c r="N46" s="26" t="n">
        <v>0.3399038157311903</v>
      </c>
      <c r="O46" s="26" t="n">
        <v>0.3582291268497789</v>
      </c>
      <c r="P46" s="26" t="n">
        <v>0.3582291268497789</v>
      </c>
      <c r="Q46" s="26" t="n">
        <v>0.3582291268497789</v>
      </c>
      <c r="R46" s="26" t="n">
        <v>0.3582291268497789</v>
      </c>
      <c r="S46" s="26" t="n">
        <v>0.3637630832436662</v>
      </c>
      <c r="T46" s="26" t="n">
        <v>0.3637630832436662</v>
      </c>
      <c r="U46" s="26" t="n">
        <v>0.3637630832436662</v>
      </c>
      <c r="V46" s="26" t="n">
        <v>0.3637630832436662</v>
      </c>
      <c r="W46" s="26" t="n">
        <v>0.3742837421800533</v>
      </c>
      <c r="X46" s="26" t="n">
        <v>0.3742837421800533</v>
      </c>
      <c r="Y46" s="26" t="n">
        <v>0.3742837421800533</v>
      </c>
      <c r="Z46" s="26" t="n">
        <v>0.3742837421800533</v>
      </c>
      <c r="AA46" s="26" t="n">
        <v>0.3742837421800533</v>
      </c>
      <c r="AB46" s="26" t="n">
        <v>0.3742837421800533</v>
      </c>
      <c r="AC46" s="26" t="n">
        <v>0.3742837421800533</v>
      </c>
      <c r="AD46" s="26" t="n">
        <v>0.3742837421800533</v>
      </c>
    </row>
    <row r="47">
      <c r="A47" s="8" t="inlineStr">
        <is>
          <t xml:space="preserve">    GBV share, latam</t>
        </is>
      </c>
      <c r="C47" s="26" t="n">
        <v>0.07117241148433479</v>
      </c>
      <c r="D47" s="26" t="n">
        <v>0.07117241148433479</v>
      </c>
      <c r="E47" s="26" t="n">
        <v>0.07117241148433479</v>
      </c>
      <c r="F47" s="26" t="n">
        <v>0.07117241148433479</v>
      </c>
      <c r="G47" s="26" t="n">
        <v>0.0790579601936984</v>
      </c>
      <c r="H47" s="26" t="n">
        <v>0.0790579601936984</v>
      </c>
      <c r="I47" s="26" t="n">
        <v>0.0790579601936984</v>
      </c>
      <c r="J47" s="26" t="n">
        <v>0.0790579601936984</v>
      </c>
      <c r="K47" s="26" t="n">
        <v>0.07653610074036575</v>
      </c>
      <c r="L47" s="26" t="n">
        <v>0.07653610074036575</v>
      </c>
      <c r="M47" s="26" t="n">
        <v>0.07653610074036575</v>
      </c>
      <c r="N47" s="26" t="n">
        <v>0.07653610074036575</v>
      </c>
      <c r="O47" s="26" t="n">
        <v>0.08264620761207885</v>
      </c>
      <c r="P47" s="26" t="n">
        <v>0.08264620761207885</v>
      </c>
      <c r="Q47" s="26" t="n">
        <v>0.08264620761207885</v>
      </c>
      <c r="R47" s="26" t="n">
        <v>0.08264620761207885</v>
      </c>
      <c r="S47" s="26" t="n">
        <v>0.08671622811307834</v>
      </c>
      <c r="T47" s="26" t="n">
        <v>0.08671622811307834</v>
      </c>
      <c r="U47" s="26" t="n">
        <v>0.08671622811307834</v>
      </c>
      <c r="V47" s="26" t="n">
        <v>0.08671622811307834</v>
      </c>
      <c r="W47" s="26" t="n">
        <v>0.09358736975885533</v>
      </c>
      <c r="X47" s="26" t="n">
        <v>0.09358736975885533</v>
      </c>
      <c r="Y47" s="26" t="n">
        <v>0.09358736975885533</v>
      </c>
      <c r="Z47" s="26" t="n">
        <v>0.09358736975885533</v>
      </c>
      <c r="AA47" s="26" t="n">
        <v>0.09358736975885533</v>
      </c>
      <c r="AB47" s="26" t="n">
        <v>0.09358736975885533</v>
      </c>
      <c r="AC47" s="26" t="n">
        <v>0.09358736975885533</v>
      </c>
      <c r="AD47" s="26" t="n">
        <v>0.09358736975885533</v>
      </c>
    </row>
    <row r="48">
      <c r="A48" s="8" t="inlineStr">
        <is>
          <t xml:space="preserve">    GBV share, apac</t>
        </is>
      </c>
      <c r="C48" s="26" t="n">
        <v>0.09901284266996974</v>
      </c>
      <c r="D48" s="26" t="n">
        <v>0.09901284266996974</v>
      </c>
      <c r="E48" s="26" t="n">
        <v>0.09901284266996974</v>
      </c>
      <c r="F48" s="26" t="n">
        <v>0.09901284266996974</v>
      </c>
      <c r="G48" s="26" t="n">
        <v>0.06951383407641275</v>
      </c>
      <c r="H48" s="26" t="n">
        <v>0.06951383407641275</v>
      </c>
      <c r="I48" s="26" t="n">
        <v>0.06951383407641275</v>
      </c>
      <c r="J48" s="26" t="n">
        <v>0.06951383407641275</v>
      </c>
      <c r="K48" s="26" t="n">
        <v>0.07343542365373663</v>
      </c>
      <c r="L48" s="26" t="n">
        <v>0.07343542365373663</v>
      </c>
      <c r="M48" s="26" t="n">
        <v>0.07343542365373663</v>
      </c>
      <c r="N48" s="26" t="n">
        <v>0.07343542365373663</v>
      </c>
      <c r="O48" s="26" t="n">
        <v>0.08212745044503905</v>
      </c>
      <c r="P48" s="26" t="n">
        <v>0.08212745044503905</v>
      </c>
      <c r="Q48" s="26" t="n">
        <v>0.08212745044503905</v>
      </c>
      <c r="R48" s="26" t="n">
        <v>0.08212745044503905</v>
      </c>
      <c r="S48" s="26" t="n">
        <v>0.08713195735107111</v>
      </c>
      <c r="T48" s="26" t="n">
        <v>0.08713195735107111</v>
      </c>
      <c r="U48" s="26" t="n">
        <v>0.08713195735107111</v>
      </c>
      <c r="V48" s="26" t="n">
        <v>0.08713195735107111</v>
      </c>
      <c r="W48" s="26" t="n">
        <v>0.09065112355241968</v>
      </c>
      <c r="X48" s="26" t="n">
        <v>0.09065112355241968</v>
      </c>
      <c r="Y48" s="26" t="n">
        <v>0.09065112355241968</v>
      </c>
      <c r="Z48" s="26" t="n">
        <v>0.09065112355241968</v>
      </c>
      <c r="AA48" s="26" t="n">
        <v>0.09065112355241968</v>
      </c>
      <c r="AB48" s="26" t="n">
        <v>0.09065112355241968</v>
      </c>
      <c r="AC48" s="26" t="n">
        <v>0.09065112355241968</v>
      </c>
      <c r="AD48" s="26" t="n">
        <v>0.09065112355241968</v>
      </c>
    </row>
    <row r="49">
      <c r="A49" s="8" t="inlineStr">
        <is>
          <t xml:space="preserve">    fiscal year of the shares used</t>
        </is>
      </c>
      <c r="C49" s="23" t="n">
        <v>2020</v>
      </c>
      <c r="D49" s="23" t="n">
        <v>2020</v>
      </c>
      <c r="E49" s="23" t="n">
        <v>2020</v>
      </c>
      <c r="F49" s="23" t="n">
        <v>2020</v>
      </c>
      <c r="G49" s="23" t="n">
        <v>2021</v>
      </c>
      <c r="H49" s="23" t="n">
        <v>2021</v>
      </c>
      <c r="I49" s="23" t="n">
        <v>2021</v>
      </c>
      <c r="J49" s="23" t="n">
        <v>2021</v>
      </c>
      <c r="K49" s="23" t="n">
        <v>2022</v>
      </c>
      <c r="L49" s="23" t="n">
        <v>2022</v>
      </c>
      <c r="M49" s="23" t="n">
        <v>2022</v>
      </c>
      <c r="N49" s="23" t="n">
        <v>2022</v>
      </c>
      <c r="O49" s="23" t="n">
        <v>2023</v>
      </c>
      <c r="P49" s="23" t="n">
        <v>2023</v>
      </c>
      <c r="Q49" s="23" t="n">
        <v>2023</v>
      </c>
      <c r="R49" s="23" t="n">
        <v>2023</v>
      </c>
      <c r="S49" s="23" t="n">
        <v>2024</v>
      </c>
      <c r="T49" s="23" t="n">
        <v>2024</v>
      </c>
      <c r="U49" s="23" t="n">
        <v>2024</v>
      </c>
      <c r="V49" s="23" t="n">
        <v>2024</v>
      </c>
      <c r="W49" s="23" t="n">
        <v>2025</v>
      </c>
      <c r="X49" s="23" t="n">
        <v>2025</v>
      </c>
      <c r="Y49" s="23" t="n">
        <v>2025</v>
      </c>
      <c r="Z49" s="23" t="n">
        <v>2025</v>
      </c>
      <c r="AA49" s="23" t="n">
        <v>2025</v>
      </c>
      <c r="AB49" s="23" t="n">
        <v>2025</v>
      </c>
      <c r="AC49" s="23" t="n">
        <v>2025</v>
      </c>
      <c r="AD49" s="23" t="n">
        <v>2025</v>
      </c>
    </row>
    <row r="51">
      <c r="A51" s="8" t="inlineStr">
        <is>
          <t>FX effect on ADR — translation identity (pp)</t>
        </is>
      </c>
      <c r="B51" s="4" t="inlineStr">
        <is>
          <t>→ SUMPRODUCT(GBV shares, regional basket y/y); the promoted leg (pre-registration §5, V0)</t>
        </is>
      </c>
      <c r="G51" s="16">
        <f>SUMPRODUCT(G45:G48,G40:G43)</f>
        <v/>
      </c>
      <c r="H51" s="16">
        <f>SUMPRODUCT(H45:H48,H40:H43)</f>
        <v/>
      </c>
      <c r="I51" s="16">
        <f>SUMPRODUCT(I45:I48,I40:I43)</f>
        <v/>
      </c>
      <c r="J51" s="16">
        <f>SUMPRODUCT(J45:J48,J40:J43)</f>
        <v/>
      </c>
      <c r="K51" s="16">
        <f>SUMPRODUCT(K45:K48,K40:K43)</f>
        <v/>
      </c>
      <c r="L51" s="16">
        <f>SUMPRODUCT(L45:L48,L40:L43)</f>
        <v/>
      </c>
      <c r="M51" s="16">
        <f>SUMPRODUCT(M45:M48,M40:M43)</f>
        <v/>
      </c>
      <c r="N51" s="16">
        <f>SUMPRODUCT(N45:N48,N40:N43)</f>
        <v/>
      </c>
      <c r="O51" s="16">
        <f>SUMPRODUCT(O45:O48,O40:O43)</f>
        <v/>
      </c>
      <c r="P51" s="16">
        <f>SUMPRODUCT(P45:P48,P40:P43)</f>
        <v/>
      </c>
      <c r="Q51" s="16">
        <f>SUMPRODUCT(Q45:Q48,Q40:Q43)</f>
        <v/>
      </c>
      <c r="R51" s="16">
        <f>SUMPRODUCT(R45:R48,R40:R43)</f>
        <v/>
      </c>
      <c r="S51" s="16">
        <f>SUMPRODUCT(S45:S48,S40:S43)</f>
        <v/>
      </c>
      <c r="T51" s="16">
        <f>SUMPRODUCT(T45:T48,T40:T43)</f>
        <v/>
      </c>
      <c r="U51" s="16">
        <f>SUMPRODUCT(U45:U48,U40:U43)</f>
        <v/>
      </c>
      <c r="V51" s="16">
        <f>SUMPRODUCT(V45:V48,V40:V43)</f>
        <v/>
      </c>
      <c r="W51" s="16">
        <f>SUMPRODUCT(W45:W48,W40:W43)</f>
        <v/>
      </c>
      <c r="X51" s="16">
        <f>SUMPRODUCT(X45:X48,X40:X43)</f>
        <v/>
      </c>
      <c r="Y51" s="14">
        <f>SUMPRODUCT(Y45:Y48,Y40:Y43)</f>
        <v/>
      </c>
      <c r="Z51" s="14">
        <f>SUMPRODUCT(Z45:Z48,Z40:Z43)</f>
        <v/>
      </c>
      <c r="AA51" s="14">
        <f>SUMPRODUCT(AA45:AA48,AA40:AA43)</f>
        <v/>
      </c>
      <c r="AB51" s="14">
        <f>SUMPRODUCT(AB45:AB48,AB40:AB43)</f>
        <v/>
      </c>
      <c r="AC51" s="14">
        <f>SUMPRODUCT(AC45:AC48,AC40:AC43)</f>
        <v/>
      </c>
      <c r="AD51" s="14">
        <f>SUMPRODUCT(AD45:AD48,AD40:AD43)</f>
        <v/>
      </c>
    </row>
    <row r="52">
      <c r="A52" s="8" t="inlineStr">
        <is>
          <t xml:space="preserve">    error: identity − disclosed (pp), completed quarters</t>
        </is>
      </c>
      <c r="B52" s="4" t="inlineStr">
        <is>
          <t>→ identity − row 10</t>
        </is>
      </c>
      <c r="I52" s="16">
        <f>I51-I10</f>
        <v/>
      </c>
      <c r="J52" s="16">
        <f>J51-J10</f>
        <v/>
      </c>
      <c r="K52" s="16">
        <f>K51-K10</f>
        <v/>
      </c>
      <c r="L52" s="16">
        <f>L51-L10</f>
        <v/>
      </c>
      <c r="M52" s="16">
        <f>M51-M10</f>
        <v/>
      </c>
      <c r="N52" s="16">
        <f>N51-N10</f>
        <v/>
      </c>
      <c r="O52" s="16">
        <f>O51-O10</f>
        <v/>
      </c>
      <c r="P52" s="16">
        <f>P51-P10</f>
        <v/>
      </c>
      <c r="Q52" s="16">
        <f>Q51-Q10</f>
        <v/>
      </c>
      <c r="R52" s="16">
        <f>R51-R10</f>
        <v/>
      </c>
      <c r="S52" s="16">
        <f>S51-S10</f>
        <v/>
      </c>
      <c r="T52" s="16">
        <f>T51-T10</f>
        <v/>
      </c>
      <c r="U52" s="16">
        <f>U51-U10</f>
        <v/>
      </c>
      <c r="V52" s="16">
        <f>V51-V10</f>
        <v/>
      </c>
      <c r="W52" s="16">
        <f>W51-W10</f>
        <v/>
      </c>
      <c r="X52" s="16">
        <f>X51-X10</f>
        <v/>
      </c>
    </row>
    <row r="53">
      <c r="A53" s="8" t="inlineStr">
        <is>
          <t xml:space="preserve">    naive error: last quarter's disclosed − disclosed (pp)</t>
        </is>
      </c>
      <c r="I53" s="16">
        <f>H10-I10</f>
        <v/>
      </c>
      <c r="J53" s="16">
        <f>I10-J10</f>
        <v/>
      </c>
      <c r="K53" s="16">
        <f>J10-K10</f>
        <v/>
      </c>
      <c r="L53" s="16">
        <f>K10-L10</f>
        <v/>
      </c>
      <c r="M53" s="16">
        <f>L10-M10</f>
        <v/>
      </c>
      <c r="N53" s="16">
        <f>M10-N10</f>
        <v/>
      </c>
      <c r="O53" s="16">
        <f>N10-O10</f>
        <v/>
      </c>
      <c r="P53" s="16">
        <f>O10-P10</f>
        <v/>
      </c>
      <c r="Q53" s="16">
        <f>P10-Q10</f>
        <v/>
      </c>
      <c r="R53" s="16">
        <f>Q10-R10</f>
        <v/>
      </c>
      <c r="S53" s="16">
        <f>R10-S10</f>
        <v/>
      </c>
      <c r="T53" s="16">
        <f>S10-T10</f>
        <v/>
      </c>
      <c r="U53" s="16">
        <f>T10-U10</f>
        <v/>
      </c>
      <c r="V53" s="16">
        <f>U10-V10</f>
        <v/>
      </c>
      <c r="W53" s="16">
        <f>V10-W10</f>
        <v/>
      </c>
      <c r="X53" s="16">
        <f>W10-X10</f>
        <v/>
      </c>
    </row>
    <row r="54">
      <c r="A54" s="8" t="inlineStr">
        <is>
          <t xml:space="preserve">    RMSE identity / RMSE naive, 1Q23–2Q26 (n 14; full-quarter rates = origin O3)</t>
        </is>
      </c>
      <c r="B54" s="4" t="inlineStr">
        <is>
          <t>→ SQRT(SUMSQ)/n; point-in-time O1/O2 ratios are in block E</t>
        </is>
      </c>
      <c r="C54" s="16">
        <f>SQRT(SUMSQ(K52:X52)/14)</f>
        <v/>
      </c>
      <c r="D54" s="16">
        <f>SQRT(SUMSQ(K53:X53)/14)</f>
        <v/>
      </c>
      <c r="E54" s="14">
        <f>C54/D54</f>
        <v/>
      </c>
      <c r="F54" s="4" t="inlineStr">
        <is>
          <t>ratio (pass line ≤ 0.75)</t>
        </is>
      </c>
    </row>
    <row r="56">
      <c r="A56" s="8" t="inlineStr">
        <is>
          <t xml:space="preserve">    P10 of the ex-ante band (pp)</t>
        </is>
      </c>
      <c r="B56" s="4" t="inlineStr">
        <is>
          <t>engine: moving-block bootstrap of daily FX returns on the unobserved days, 4,000 paths</t>
        </is>
      </c>
      <c r="Y56" s="11" t="n">
        <v>0.3554832912187216</v>
      </c>
      <c r="Z56" s="11" t="n">
        <v>-1.056443106322889</v>
      </c>
      <c r="AA56" s="11" t="n">
        <v>-3.200007379665376</v>
      </c>
      <c r="AB56" s="11" t="n">
        <v>-3.901622399508339</v>
      </c>
      <c r="AC56" s="11" t="n">
        <v>-4.338399164474799</v>
      </c>
      <c r="AD56" s="11" t="n">
        <v>-4.335432026064073</v>
      </c>
    </row>
    <row r="57">
      <c r="A57" s="8" t="inlineStr">
        <is>
          <t xml:space="preserve">    P50</t>
        </is>
      </c>
      <c r="Y57" s="11" t="n">
        <v>0.4162724067598822</v>
      </c>
      <c r="Z57" s="11" t="n">
        <v>0.5819984442006085</v>
      </c>
      <c r="AA57" s="11" t="n">
        <v>-0.2358180743680651</v>
      </c>
      <c r="AB57" s="11" t="n">
        <v>-0.2273049348370149</v>
      </c>
      <c r="AC57" s="11" t="n">
        <v>0.0305520770005595</v>
      </c>
      <c r="AD57" s="11" t="n">
        <v>0.2339589346106644</v>
      </c>
    </row>
    <row r="58">
      <c r="A58" s="8" t="inlineStr">
        <is>
          <t xml:space="preserve">    P90</t>
        </is>
      </c>
      <c r="Y58" s="11" t="n">
        <v>0.4805092671220062</v>
      </c>
      <c r="Z58" s="11" t="n">
        <v>2.259472345394851</v>
      </c>
      <c r="AA58" s="11" t="n">
        <v>2.777955631158125</v>
      </c>
      <c r="AB58" s="11" t="n">
        <v>3.680185402603735</v>
      </c>
      <c r="AC58" s="11" t="n">
        <v>4.855838910725363</v>
      </c>
      <c r="AD58" s="11" t="n">
        <v>5.115411667119529</v>
      </c>
    </row>
    <row r="60">
      <c r="A60" s="5" t="inlineStr">
        <is>
          <t>C. Ex-FX ADR mechanism: ex-FX y/y = core + bundle (laps on filed dates) + geo mix (from the nights line) + unit size + LOS + seats + interaction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>
      <c r="A61" s="8" t="inlineStr">
        <is>
          <t>Disclosed ex-FX ADR y/y (pp)</t>
        </is>
      </c>
      <c r="B61" s="4" t="inlineStr">
        <is>
          <t>→ link to row 9</t>
        </is>
      </c>
      <c r="K61" s="20">
        <f>K9</f>
        <v/>
      </c>
      <c r="L61" s="20">
        <f>L9</f>
        <v/>
      </c>
      <c r="M61" s="20">
        <f>M9</f>
        <v/>
      </c>
      <c r="N61" s="20">
        <f>N9</f>
        <v/>
      </c>
      <c r="O61" s="20">
        <f>O9</f>
        <v/>
      </c>
      <c r="P61" s="20">
        <f>P9</f>
        <v/>
      </c>
      <c r="Q61" s="20">
        <f>Q9</f>
        <v/>
      </c>
      <c r="R61" s="20">
        <f>R9</f>
        <v/>
      </c>
      <c r="S61" s="20">
        <f>S9</f>
        <v/>
      </c>
      <c r="T61" s="20">
        <f>T9</f>
        <v/>
      </c>
      <c r="U61" s="20">
        <f>U9</f>
        <v/>
      </c>
      <c r="V61" s="20">
        <f>V9</f>
        <v/>
      </c>
      <c r="W61" s="20">
        <f>W9</f>
        <v/>
      </c>
      <c r="X61" s="20">
        <f>X9</f>
        <v/>
      </c>
    </row>
    <row r="62">
      <c r="A62" s="8" t="inlineStr">
        <is>
          <t xml:space="preserve">    geographic mix (pp)</t>
        </is>
      </c>
      <c r="B62" s="4" t="inlineStr">
        <is>
          <t>history: H decomposition adr_history_components.csv; forward: block C1 arithmetic on the nights line's regional path</t>
        </is>
      </c>
      <c r="K62" s="12" t="n">
        <v>-1.351797894609108</v>
      </c>
      <c r="L62" s="12" t="n">
        <v>-0.9030804532740522</v>
      </c>
      <c r="M62" s="12" t="n">
        <v>-1.167207984169072</v>
      </c>
      <c r="N62" s="12" t="n">
        <v>-0.939076865441546</v>
      </c>
      <c r="O62" s="12" t="n">
        <v>-1.325072509344749</v>
      </c>
      <c r="P62" s="12" t="n">
        <v>-1.131644617522953</v>
      </c>
      <c r="Q62" s="12" t="n">
        <v>-1.119615766385351</v>
      </c>
      <c r="R62" s="12" t="n">
        <v>-1.791887454358232</v>
      </c>
      <c r="S62" s="12" t="n">
        <v>-1.89435030033076</v>
      </c>
      <c r="T62" s="12" t="n">
        <v>-1.701590426211275</v>
      </c>
      <c r="U62" s="12" t="n">
        <v>-1.593234059968984</v>
      </c>
      <c r="V62" s="12" t="n">
        <v>-1.457397157766538</v>
      </c>
      <c r="W62" s="12" t="n">
        <v>-1.043067743533466</v>
      </c>
      <c r="X62" s="12" t="n">
        <v>-1.267224393230371</v>
      </c>
      <c r="Y62" s="18">
        <f>Y91</f>
        <v/>
      </c>
      <c r="Z62" s="18">
        <f>Z91</f>
        <v/>
      </c>
      <c r="AA62" s="18">
        <f>AA91</f>
        <v/>
      </c>
      <c r="AB62" s="18">
        <f>AB91</f>
        <v/>
      </c>
      <c r="AC62" s="18">
        <f>AC91</f>
        <v/>
      </c>
      <c r="AD62" s="18">
        <f>AD91</f>
        <v/>
      </c>
    </row>
    <row r="63">
      <c r="A63" s="8" t="inlineStr">
        <is>
          <t xml:space="preserve">    unit size / party size (pp)</t>
        </is>
      </c>
      <c r="B63" s="4" t="inlineStr">
        <is>
          <t>history: H; forward: card v3 measured 3Q26 term +0.797 carried (I_mix_terms_3q26.csv)</t>
        </is>
      </c>
      <c r="K63" s="12" t="n">
        <v>0.4620912842772667</v>
      </c>
      <c r="L63" s="12" t="n">
        <v>0.3621440282039081</v>
      </c>
      <c r="M63" s="12" t="n">
        <v>0.4098973686879872</v>
      </c>
      <c r="N63" s="12" t="n">
        <v>0.2906539573280417</v>
      </c>
      <c r="O63" s="12" t="n">
        <v>0.9633505413705318</v>
      </c>
      <c r="P63" s="12" t="n">
        <v>0.7721595803184097</v>
      </c>
      <c r="Q63" s="12" t="n">
        <v>0.8903157468661863</v>
      </c>
      <c r="R63" s="12" t="n">
        <v>0.7066747659259102</v>
      </c>
      <c r="S63" s="12" t="n">
        <v>0.6690991824547088</v>
      </c>
      <c r="T63" s="12" t="n">
        <v>0.7324103132323075</v>
      </c>
      <c r="U63" s="12" t="n">
        <v>0.7481509563315145</v>
      </c>
      <c r="V63" s="12" t="n">
        <v>0.8224227396698655</v>
      </c>
      <c r="W63" s="12" t="n">
        <v>0.9450489445563696</v>
      </c>
      <c r="X63" s="12" t="n">
        <v>0.7004681684496338</v>
      </c>
      <c r="Y63" s="12" t="n">
        <v>0.796672</v>
      </c>
      <c r="Z63" s="12" t="n">
        <v>0.796672</v>
      </c>
      <c r="AA63" s="12" t="n">
        <v>0.796672</v>
      </c>
      <c r="AB63" s="12" t="n">
        <v>0.796672</v>
      </c>
      <c r="AC63" s="12" t="n">
        <v>0.796672</v>
      </c>
      <c r="AD63" s="12" t="n">
        <v>0.796672</v>
      </c>
    </row>
    <row r="64">
      <c r="A64" s="8" t="inlineStr">
        <is>
          <t xml:space="preserve">    length-of-stay mix (pp)</t>
        </is>
      </c>
      <c r="B64" s="4" t="inlineStr">
        <is>
          <t>history: H; forward: card +0.056 carried</t>
        </is>
      </c>
      <c r="K64" s="12" t="n">
        <v>0.4626252943505493</v>
      </c>
      <c r="L64" s="12" t="n">
        <v>0.1183751453729842</v>
      </c>
      <c r="M64" s="12" t="n">
        <v>0.3015954388247532</v>
      </c>
      <c r="N64" s="12" t="n">
        <v>0.3639387380400816</v>
      </c>
      <c r="O64" s="12" t="n">
        <v>0.2125302124850181</v>
      </c>
      <c r="P64" s="12" t="n">
        <v>0.2316928734386047</v>
      </c>
      <c r="Q64" s="12" t="n">
        <v>0.2526948668717388</v>
      </c>
      <c r="R64" s="12" t="n">
        <v>0.4315510396297295</v>
      </c>
      <c r="S64" s="12" t="n">
        <v>0.2787347156817832</v>
      </c>
      <c r="T64" s="12" t="n">
        <v>0.3484146139979049</v>
      </c>
      <c r="U64" s="12" t="n">
        <v>0.3076491557727268</v>
      </c>
      <c r="V64" s="12" t="n">
        <v>0.2210184783094426</v>
      </c>
      <c r="W64" s="12" t="n">
        <v>0.3</v>
      </c>
      <c r="X64" s="12" t="n">
        <v>0.3</v>
      </c>
      <c r="Y64" s="12" t="n">
        <v>0.056264</v>
      </c>
      <c r="Z64" s="12" t="n">
        <v>0.056264</v>
      </c>
      <c r="AA64" s="12" t="n">
        <v>0.056264</v>
      </c>
      <c r="AB64" s="12" t="n">
        <v>0.056264</v>
      </c>
      <c r="AC64" s="12" t="n">
        <v>0.056264</v>
      </c>
      <c r="AD64" s="12" t="n">
        <v>0.056264</v>
      </c>
    </row>
    <row r="65">
      <c r="A65" s="8" t="inlineStr">
        <is>
          <t xml:space="preserve">    seats / new business dilution (pp)</t>
        </is>
      </c>
      <c r="B65" s="4" t="inlineStr">
        <is>
          <t>history: H 15_seats_dilution; forward: −0.483 (2026), −0.565 (2027), assumed</t>
        </is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-0.1765366347734276</v>
      </c>
      <c r="T65" s="12" t="n">
        <v>-0.1765366347734276</v>
      </c>
      <c r="U65" s="12" t="n">
        <v>-0.1765366347734276</v>
      </c>
      <c r="V65" s="12" t="n">
        <v>-0.1765366347734276</v>
      </c>
      <c r="W65" s="12" t="n">
        <v>-0.4825701517057523</v>
      </c>
      <c r="X65" s="12" t="n">
        <v>-0.4825701517057523</v>
      </c>
      <c r="Y65" s="12" t="n">
        <v>-0.48257</v>
      </c>
      <c r="Z65" s="12" t="n">
        <v>-0.48257</v>
      </c>
      <c r="AA65" s="12" t="n">
        <v>-0.5649999999999999</v>
      </c>
      <c r="AB65" s="12" t="n">
        <v>-0.5649999999999999</v>
      </c>
      <c r="AC65" s="12" t="n">
        <v>-0.5649999999999999</v>
      </c>
      <c r="AD65" s="12" t="n">
        <v>-0.5649999999999999</v>
      </c>
    </row>
    <row r="66">
      <c r="A66" s="8" t="inlineStr">
        <is>
          <t xml:space="preserve">    interaction (pp)</t>
        </is>
      </c>
      <c r="B66" s="4" t="inlineStr">
        <is>
          <t>H, descriptive −0.10</t>
        </is>
      </c>
      <c r="K66" s="12" t="n">
        <v>-0.0494786368971566</v>
      </c>
      <c r="L66" s="12" t="n">
        <v>-0.0494786368971566</v>
      </c>
      <c r="M66" s="12" t="n">
        <v>-0.0494786368971566</v>
      </c>
      <c r="N66" s="12" t="n">
        <v>-0.0494786368971566</v>
      </c>
      <c r="O66" s="12" t="n">
        <v>-0.1065834527970392</v>
      </c>
      <c r="P66" s="12" t="n">
        <v>-0.1065834527970392</v>
      </c>
      <c r="Q66" s="12" t="n">
        <v>-0.1065834527970392</v>
      </c>
      <c r="R66" s="12" t="n">
        <v>-0.1065834527970392</v>
      </c>
      <c r="S66" s="12" t="n">
        <v>-0.1083206075608631</v>
      </c>
      <c r="T66" s="12" t="n">
        <v>-0.1083206075608631</v>
      </c>
      <c r="U66" s="12" t="n">
        <v>-0.1083206075608631</v>
      </c>
      <c r="V66" s="12" t="n">
        <v>-0.1083206075608631</v>
      </c>
      <c r="W66" s="12" t="n">
        <v>-0.1</v>
      </c>
      <c r="X66" s="12" t="n">
        <v>-0.1</v>
      </c>
      <c r="Y66" s="12" t="n">
        <v>-0.1</v>
      </c>
      <c r="Z66" s="12" t="n">
        <v>-0.1</v>
      </c>
      <c r="AA66" s="12" t="n">
        <v>-0.1</v>
      </c>
      <c r="AB66" s="12" t="n">
        <v>-0.1</v>
      </c>
      <c r="AC66" s="12" t="n">
        <v>-0.1</v>
      </c>
      <c r="AD66" s="12" t="n">
        <v>-0.1</v>
      </c>
    </row>
    <row r="67">
      <c r="A67" s="8" t="inlineStr">
        <is>
          <t xml:space="preserve">    like-for-like residual (pp) = ex-FX − the five terms above</t>
        </is>
      </c>
      <c r="B67" s="4" t="inlineStr">
        <is>
          <t>history: formula; forward: core + bundle</t>
        </is>
      </c>
      <c r="K67" s="16">
        <f>K61-SUM(K62:K66)</f>
        <v/>
      </c>
      <c r="L67" s="16">
        <f>L61-SUM(L62:L66)</f>
        <v/>
      </c>
      <c r="M67" s="16">
        <f>M61-SUM(M62:M66)</f>
        <v/>
      </c>
      <c r="N67" s="16">
        <f>N61-SUM(N62:N66)</f>
        <v/>
      </c>
      <c r="O67" s="16">
        <f>O61-SUM(O62:O66)</f>
        <v/>
      </c>
      <c r="P67" s="16">
        <f>P61-SUM(P62:P66)</f>
        <v/>
      </c>
      <c r="Q67" s="16">
        <f>Q61-SUM(Q62:Q66)</f>
        <v/>
      </c>
      <c r="R67" s="16">
        <f>R61-SUM(R62:R66)</f>
        <v/>
      </c>
      <c r="S67" s="16">
        <f>S61-SUM(S62:S66)</f>
        <v/>
      </c>
      <c r="T67" s="16">
        <f>T61-SUM(T62:T66)</f>
        <v/>
      </c>
      <c r="U67" s="16">
        <f>U61-SUM(U62:U66)</f>
        <v/>
      </c>
      <c r="V67" s="16">
        <f>V61-SUM(V62:V66)</f>
        <v/>
      </c>
      <c r="W67" s="16">
        <f>W61-SUM(W62:W66)</f>
        <v/>
      </c>
      <c r="X67" s="16">
        <f>X61-SUM(X62:X66)</f>
        <v/>
      </c>
      <c r="Y67" s="16">
        <f>Y68+Y73</f>
        <v/>
      </c>
      <c r="Z67" s="16">
        <f>Z68+Z73</f>
        <v/>
      </c>
      <c r="AA67" s="16">
        <f>AA68+AA73</f>
        <v/>
      </c>
      <c r="AB67" s="16">
        <f>AB68+AB73</f>
        <v/>
      </c>
      <c r="AC67" s="16">
        <f>AC68+AC73</f>
        <v/>
      </c>
      <c r="AD67" s="16">
        <f>AD68+AD73</f>
        <v/>
      </c>
    </row>
    <row r="68">
      <c r="A68" s="8" t="inlineStr">
        <is>
          <t xml:space="preserve">    core (pp) = residual − bundle live in the quarter</t>
        </is>
      </c>
      <c r="B68" s="4" t="inlineStr">
        <is>
          <t>history: formula; forward: carried at the last observed value (2Q26) — the same carry rule the card applies to the residual</t>
        </is>
      </c>
      <c r="K68" s="16">
        <f>K67-K73</f>
        <v/>
      </c>
      <c r="L68" s="16">
        <f>L67-L73</f>
        <v/>
      </c>
      <c r="M68" s="16">
        <f>M67-M73</f>
        <v/>
      </c>
      <c r="N68" s="16">
        <f>N67-N73</f>
        <v/>
      </c>
      <c r="O68" s="16">
        <f>O67-O73</f>
        <v/>
      </c>
      <c r="P68" s="16">
        <f>P67-P73</f>
        <v/>
      </c>
      <c r="Q68" s="16">
        <f>Q67-Q73</f>
        <v/>
      </c>
      <c r="R68" s="16">
        <f>R67-R73</f>
        <v/>
      </c>
      <c r="S68" s="16">
        <f>S67-S73</f>
        <v/>
      </c>
      <c r="T68" s="16">
        <f>T67-T73</f>
        <v/>
      </c>
      <c r="U68" s="16">
        <f>U67-U73</f>
        <v/>
      </c>
      <c r="V68" s="16">
        <f>V67-V73</f>
        <v/>
      </c>
      <c r="W68" s="16">
        <f>W67-W73</f>
        <v/>
      </c>
      <c r="X68" s="16">
        <f>X67-X73</f>
        <v/>
      </c>
      <c r="Y68" s="16">
        <f>X68</f>
        <v/>
      </c>
      <c r="Z68" s="16">
        <f>X68</f>
        <v/>
      </c>
      <c r="AA68" s="16">
        <f>X68</f>
        <v/>
      </c>
      <c r="AB68" s="16">
        <f>X68</f>
        <v/>
      </c>
      <c r="AC68" s="16">
        <f>X68</f>
        <v/>
      </c>
      <c r="AD68" s="16">
        <f>X68</f>
        <v/>
      </c>
    </row>
    <row r="70">
      <c r="A70" s="8" t="inlineStr">
        <is>
          <t xml:space="preserve">    bundle leg: RNPL North America (larger-home mix), live 3Q25–2Q26, laps 3Q26</t>
        </is>
      </c>
      <c r="B70" s="4" t="inlineStr">
        <is>
          <t>ledger D014/D032 (~1pp bundle ADR, transcript-only) split by K4 residual steps 0.92:0.88</t>
        </is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0.5111111111111111</v>
      </c>
      <c r="V70" s="12" t="n">
        <v>0.5111111111111111</v>
      </c>
      <c r="W70" s="12" t="n">
        <v>0.5111111111111111</v>
      </c>
      <c r="X70" s="12" t="n">
        <v>0.5111111111111111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</row>
    <row r="71">
      <c r="A71" s="8" t="inlineStr">
        <is>
          <t xml:space="preserve">    bundle leg: cancellation redesign + single fee, live 4Q25–3Q26 (global), laps 4Q26</t>
        </is>
      </c>
      <c r="B71" s="4" t="inlineStr">
        <is>
          <t>same sizing; dates ledger D012/D013/D024/D060</t>
        </is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0.4888888888888889</v>
      </c>
      <c r="W71" s="12" t="n">
        <v>0.4888888888888889</v>
      </c>
      <c r="X71" s="12" t="n">
        <v>0.4888888888888889</v>
      </c>
      <c r="Y71" s="12" t="n">
        <v>0.4888888888888889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</row>
    <row r="72">
      <c r="A72" s="8" t="inlineStr">
        <is>
          <t xml:space="preserve">    bundle leg: RNPL ex-NA (live 17 Feb 2026), base 0.0 (unsized by management); high 1.15</t>
        </is>
      </c>
      <c r="B72" s="4" t="inlineStr">
        <is>
          <t>alternative in block F</t>
        </is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</row>
    <row r="73">
      <c r="A73" s="8" t="inlineStr">
        <is>
          <t xml:space="preserve">    bundle live (pp)</t>
        </is>
      </c>
      <c r="B73" s="4" t="inlineStr">
        <is>
          <t>→ sum of the three legs</t>
        </is>
      </c>
      <c r="K73" s="16">
        <f>SUM(K70:K72)</f>
        <v/>
      </c>
      <c r="L73" s="16">
        <f>SUM(L70:L72)</f>
        <v/>
      </c>
      <c r="M73" s="16">
        <f>SUM(M70:M72)</f>
        <v/>
      </c>
      <c r="N73" s="16">
        <f>SUM(N70:N72)</f>
        <v/>
      </c>
      <c r="O73" s="16">
        <f>SUM(O70:O72)</f>
        <v/>
      </c>
      <c r="P73" s="16">
        <f>SUM(P70:P72)</f>
        <v/>
      </c>
      <c r="Q73" s="16">
        <f>SUM(Q70:Q72)</f>
        <v/>
      </c>
      <c r="R73" s="16">
        <f>SUM(R70:R72)</f>
        <v/>
      </c>
      <c r="S73" s="16">
        <f>SUM(S70:S72)</f>
        <v/>
      </c>
      <c r="T73" s="16">
        <f>SUM(T70:T72)</f>
        <v/>
      </c>
      <c r="U73" s="16">
        <f>SUM(U70:U72)</f>
        <v/>
      </c>
      <c r="V73" s="16">
        <f>SUM(V70:V72)</f>
        <v/>
      </c>
      <c r="W73" s="16">
        <f>SUM(W70:W72)</f>
        <v/>
      </c>
      <c r="X73" s="16">
        <f>SUM(X70:X72)</f>
        <v/>
      </c>
      <c r="Y73" s="16">
        <f>SUM(Y70:Y72)</f>
        <v/>
      </c>
      <c r="Z73" s="16">
        <f>SUM(Z70:Z72)</f>
        <v/>
      </c>
      <c r="AA73" s="16">
        <f>SUM(AA70:AA72)</f>
        <v/>
      </c>
      <c r="AB73" s="16">
        <f>SUM(AB70:AB72)</f>
        <v/>
      </c>
      <c r="AC73" s="16">
        <f>SUM(AC70:AC72)</f>
        <v/>
      </c>
      <c r="AD73" s="16">
        <f>SUM(AD70:AD72)</f>
        <v/>
      </c>
    </row>
    <row r="75">
      <c r="A75" s="8" t="inlineStr">
        <is>
          <t>EX-FX ADR y/y — mechanism (pp)</t>
        </is>
      </c>
      <c r="B75" s="4" t="inlineStr">
        <is>
          <t>→ core + bundle + geo + unit + LOS + seats + interaction; history = disclosed</t>
        </is>
      </c>
      <c r="K75" s="18">
        <f>K61</f>
        <v/>
      </c>
      <c r="L75" s="18">
        <f>L61</f>
        <v/>
      </c>
      <c r="M75" s="18">
        <f>M61</f>
        <v/>
      </c>
      <c r="N75" s="18">
        <f>N61</f>
        <v/>
      </c>
      <c r="O75" s="18">
        <f>O61</f>
        <v/>
      </c>
      <c r="P75" s="18">
        <f>P61</f>
        <v/>
      </c>
      <c r="Q75" s="18">
        <f>Q61</f>
        <v/>
      </c>
      <c r="R75" s="18">
        <f>R61</f>
        <v/>
      </c>
      <c r="S75" s="18">
        <f>S61</f>
        <v/>
      </c>
      <c r="T75" s="18">
        <f>T61</f>
        <v/>
      </c>
      <c r="U75" s="18">
        <f>U61</f>
        <v/>
      </c>
      <c r="V75" s="18">
        <f>V61</f>
        <v/>
      </c>
      <c r="W75" s="18">
        <f>W61</f>
        <v/>
      </c>
      <c r="X75" s="18">
        <f>X61</f>
        <v/>
      </c>
      <c r="Y75" s="14">
        <f>Y68+Y73+SUM(Y62:Y66)</f>
        <v/>
      </c>
      <c r="Z75" s="14">
        <f>Z68+Z73+SUM(Z62:Z66)</f>
        <v/>
      </c>
      <c r="AA75" s="14">
        <f>AA68+AA73+SUM(AA62:AA66)</f>
        <v/>
      </c>
      <c r="AB75" s="14">
        <f>AB68+AB73+SUM(AB62:AB66)</f>
        <v/>
      </c>
      <c r="AC75" s="14">
        <f>AC68+AC73+SUM(AC62:AC66)</f>
        <v/>
      </c>
      <c r="AD75" s="14">
        <f>AD68+AD73+SUM(AD62:AD66)</f>
        <v/>
      </c>
    </row>
    <row r="77">
      <c r="A77" s="8" t="inlineStr">
        <is>
          <t>C1. Geo-mix arithmetic for the forward quarters: regional nights growth from the nights line (nights_v2_design.md §2.1), base-quarter shares and regional ADR levels held</t>
        </is>
      </c>
      <c r="B77" s="4" t="inlineStr">
        <is>
          <t>regional_growth_forward.csv; 04_regional_quarterly_wide.csv (disclosed-chained)</t>
        </is>
      </c>
    </row>
    <row r="78">
      <c r="A78" s="8" t="inlineStr">
        <is>
          <t xml:space="preserve">    nights growth, na (%)</t>
        </is>
      </c>
      <c r="B78" s="4" t="inlineStr">
        <is>
          <t>NA = nights line; ex-NA = 2Q26 bucket pattern (EMEA 8 / LatAm 20 / APAC 18) scaled to the line's ex-NA rate</t>
        </is>
      </c>
      <c r="Y78" s="12" t="n">
        <v>5.6</v>
      </c>
      <c r="Z78" s="12" t="n">
        <v>3.31</v>
      </c>
      <c r="AA78" s="12" t="n">
        <v>2.31</v>
      </c>
      <c r="AB78" s="12" t="n">
        <v>2.31</v>
      </c>
      <c r="AC78" s="12" t="n">
        <v>2.31</v>
      </c>
      <c r="AD78" s="12" t="n">
        <v>2.31</v>
      </c>
    </row>
    <row r="79">
      <c r="A79" s="8" t="inlineStr">
        <is>
          <t xml:space="preserve">    nights growth, emea (%)</t>
        </is>
      </c>
      <c r="B79" s="4" t="inlineStr">
        <is>
          <t>NA = nights line; ex-NA = 2Q26 bucket pattern (EMEA 8 / LatAm 20 / APAC 18) scaled to the line's ex-NA rate</t>
        </is>
      </c>
      <c r="Y79" s="12" t="n">
        <v>7.078691068961446</v>
      </c>
      <c r="Z79" s="12" t="n">
        <v>6.316615068619684</v>
      </c>
      <c r="AA79" s="12" t="n">
        <v>6.53339354949878</v>
      </c>
      <c r="AB79" s="12" t="n">
        <v>4.672499916460061</v>
      </c>
      <c r="AC79" s="12" t="n">
        <v>4.672643449515583</v>
      </c>
      <c r="AD79" s="12" t="n">
        <v>4.635721906664157</v>
      </c>
    </row>
    <row r="80">
      <c r="A80" s="8" t="inlineStr">
        <is>
          <t xml:space="preserve">    nights growth, latam (%)</t>
        </is>
      </c>
      <c r="B80" s="4" t="inlineStr">
        <is>
          <t>NA = nights line; ex-NA = 2Q26 bucket pattern (EMEA 8 / LatAm 20 / APAC 18) scaled to the line's ex-NA rate</t>
        </is>
      </c>
      <c r="Y80" s="12" t="n">
        <v>17.69672767240361</v>
      </c>
      <c r="Z80" s="12" t="n">
        <v>15.79153767154921</v>
      </c>
      <c r="AA80" s="12" t="n">
        <v>16.33348387374695</v>
      </c>
      <c r="AB80" s="12" t="n">
        <v>11.68124979115015</v>
      </c>
      <c r="AC80" s="12" t="n">
        <v>11.68160862378896</v>
      </c>
      <c r="AD80" s="12" t="n">
        <v>11.58930476666039</v>
      </c>
    </row>
    <row r="81">
      <c r="A81" s="8" t="inlineStr">
        <is>
          <t xml:space="preserve">    nights growth, apac (%)</t>
        </is>
      </c>
      <c r="B81" s="4" t="inlineStr">
        <is>
          <t>NA = nights line; ex-NA = 2Q26 bucket pattern (EMEA 8 / LatAm 20 / APAC 18) scaled to the line's ex-NA rate</t>
        </is>
      </c>
      <c r="Y81" s="12" t="n">
        <v>15.92705490516325</v>
      </c>
      <c r="Z81" s="12" t="n">
        <v>14.21238390439429</v>
      </c>
      <c r="AA81" s="12" t="n">
        <v>14.70013548637226</v>
      </c>
      <c r="AB81" s="12" t="n">
        <v>10.51312481203514</v>
      </c>
      <c r="AC81" s="12" t="n">
        <v>10.51344776141006</v>
      </c>
      <c r="AD81" s="12" t="n">
        <v>10.43037428999435</v>
      </c>
    </row>
    <row r="82">
      <c r="A82" s="8" t="inlineStr">
        <is>
          <t xml:space="preserve">    base-quarter nights share, na</t>
        </is>
      </c>
      <c r="Y82" s="26" t="n">
        <v>0.313935</v>
      </c>
      <c r="Z82" s="26" t="n">
        <v>0.300561</v>
      </c>
      <c r="AA82" s="26" t="n">
        <v>0.277286</v>
      </c>
      <c r="AB82" s="26" t="n">
        <v>0.282553</v>
      </c>
      <c r="AC82" s="26" t="n">
        <v>0.3016875153566846</v>
      </c>
      <c r="AD82" s="26" t="n">
        <v>0.2870915142801668</v>
      </c>
    </row>
    <row r="83">
      <c r="A83" s="8" t="inlineStr">
        <is>
          <t xml:space="preserve">    base-quarter nights share, emea</t>
        </is>
      </c>
      <c r="Y83" s="26" t="n">
        <v>0.367798</v>
      </c>
      <c r="Z83" s="26" t="n">
        <v>0.402575</v>
      </c>
      <c r="AA83" s="26" t="n">
        <v>0.396427</v>
      </c>
      <c r="AB83" s="26" t="n">
        <v>0.4155</v>
      </c>
      <c r="AC83" s="26" t="n">
        <v>0.3583984312774203</v>
      </c>
      <c r="AD83" s="26" t="n">
        <v>0.395724838071041</v>
      </c>
    </row>
    <row r="84">
      <c r="A84" s="8" t="inlineStr">
        <is>
          <t xml:space="preserve">    base-quarter nights share, latam</t>
        </is>
      </c>
      <c r="Y84" s="26" t="n">
        <v>0.169649</v>
      </c>
      <c r="Z84" s="26" t="n">
        <v>0.174009</v>
      </c>
      <c r="AA84" s="26" t="n">
        <v>0.179409</v>
      </c>
      <c r="AB84" s="26" t="n">
        <v>0.178621</v>
      </c>
      <c r="AC84" s="26" t="n">
        <v>0.1817060448724198</v>
      </c>
      <c r="AD84" s="26" t="n">
        <v>0.1862918690301008</v>
      </c>
    </row>
    <row r="85">
      <c r="A85" s="8" t="inlineStr">
        <is>
          <t xml:space="preserve">    base-quarter nights share, apac</t>
        </is>
      </c>
      <c r="Y85" s="26" t="n">
        <v>0.148618</v>
      </c>
      <c r="Z85" s="26" t="n">
        <v>0.122855</v>
      </c>
      <c r="AA85" s="26" t="n">
        <v>0.146878</v>
      </c>
      <c r="AB85" s="26" t="n">
        <v>0.123325</v>
      </c>
      <c r="AC85" s="26" t="n">
        <v>0.1567869451881983</v>
      </c>
      <c r="AD85" s="26" t="n">
        <v>0.1297332805511836</v>
      </c>
    </row>
    <row r="86">
      <c r="A86" s="8" t="inlineStr">
        <is>
          <t xml:space="preserve">    base-quarter regional ADR ($, anchored)</t>
        </is>
      </c>
      <c r="Y86" s="11" t="n">
        <v>249.337</v>
      </c>
      <c r="Z86" s="11" t="n">
        <v>247.2078</v>
      </c>
      <c r="AA86" s="11" t="n">
        <v>279.2009</v>
      </c>
      <c r="AB86" s="11" t="n">
        <v>280.7511</v>
      </c>
      <c r="AC86" s="11" t="n">
        <v>280.7511</v>
      </c>
      <c r="AD86" s="11" t="n">
        <v>280.7511</v>
      </c>
    </row>
    <row r="87">
      <c r="A87" s="8" t="inlineStr">
        <is>
          <t xml:space="preserve">    base-quarter regional ADR ($, anchored)</t>
        </is>
      </c>
      <c r="Y87" s="11" t="n">
        <v>162.0721</v>
      </c>
      <c r="Z87" s="11" t="n">
        <v>158.3398</v>
      </c>
      <c r="AA87" s="11" t="n">
        <v>180.3991</v>
      </c>
      <c r="AB87" s="11" t="n">
        <v>169.8482</v>
      </c>
      <c r="AC87" s="11" t="n">
        <v>169.8482</v>
      </c>
      <c r="AD87" s="11" t="n">
        <v>169.8482</v>
      </c>
    </row>
    <row r="88">
      <c r="A88" s="8" t="inlineStr">
        <is>
          <t xml:space="preserve">    base-quarter regional ADR ($, anchored)</t>
        </is>
      </c>
      <c r="Y88" s="11" t="n">
        <v>97.08110000000001</v>
      </c>
      <c r="Z88" s="11" t="n">
        <v>95.50830000000001</v>
      </c>
      <c r="AA88" s="11" t="n">
        <v>102.1656</v>
      </c>
      <c r="AB88" s="11" t="n">
        <v>102.8022</v>
      </c>
      <c r="AC88" s="11" t="n">
        <v>102.8022</v>
      </c>
      <c r="AD88" s="11" t="n">
        <v>102.8022</v>
      </c>
    </row>
    <row r="89">
      <c r="A89" s="8" t="inlineStr">
        <is>
          <t xml:space="preserve">    base-quarter regional ADR ($, anchored)</t>
        </is>
      </c>
      <c r="Y89" s="11" t="n">
        <v>116.0255</v>
      </c>
      <c r="Z89" s="11" t="n">
        <v>115.3398</v>
      </c>
      <c r="AA89" s="11" t="n">
        <v>127.7091</v>
      </c>
      <c r="AB89" s="11" t="n">
        <v>122.0612</v>
      </c>
      <c r="AC89" s="11" t="n">
        <v>122.0612</v>
      </c>
      <c r="AD89" s="11" t="n">
        <v>122.0612</v>
      </c>
    </row>
    <row r="90">
      <c r="A90" s="8" t="inlineStr">
        <is>
          <t xml:space="preserve">    total nights growth (%)</t>
        </is>
      </c>
      <c r="B90" s="4" t="inlineStr">
        <is>
          <t>→ SUMPRODUCT(shares, growth)</t>
        </is>
      </c>
      <c r="Y90" s="16">
        <f>SUMPRODUCT(Y82:Y85,Y78:Y81)</f>
        <v/>
      </c>
      <c r="Z90" s="16">
        <f>SUMPRODUCT(Z82:Z85,Z78:Z81)</f>
        <v/>
      </c>
      <c r="AA90" s="16">
        <f>SUMPRODUCT(AA82:AA85,AA78:AA81)</f>
        <v/>
      </c>
      <c r="AB90" s="16">
        <f>SUMPRODUCT(AB82:AB85,AB78:AB81)</f>
        <v/>
      </c>
      <c r="AC90" s="16">
        <f>SUMPRODUCT(AC82:AC85,AC78:AC81)</f>
        <v/>
      </c>
      <c r="AD90" s="16">
        <f>SUMPRODUCT(AD82:AD85,AD78:AD81)</f>
        <v/>
      </c>
    </row>
    <row r="91">
      <c r="A91" s="8" t="inlineStr">
        <is>
          <t xml:space="preserve">    geo mix (pp)</t>
        </is>
      </c>
      <c r="B91" s="4" t="inlineStr">
        <is>
          <t>→ (Σ share×(1+g)×ADR) / ((1+g_tot) × Σ share×ADR) − 1, ×100</t>
        </is>
      </c>
      <c r="Y91" s="16">
        <f>(SUMPRODUCT(Y82:Y85,1+Y78:Y81/100,Y86:Y89)/((1+Y90/100)*SUMPRODUCT(Y82:Y85,Y86:Y89))-1)*100</f>
        <v/>
      </c>
      <c r="Z91" s="16">
        <f>(SUMPRODUCT(Z82:Z85,1+Z78:Z81/100,Z86:Z89)/((1+Z90/100)*SUMPRODUCT(Z82:Z85,Z86:Z89))-1)*100</f>
        <v/>
      </c>
      <c r="AA91" s="16">
        <f>(SUMPRODUCT(AA82:AA85,1+AA78:AA81/100,AA86:AA89)/((1+AA90/100)*SUMPRODUCT(AA82:AA85,AA86:AA89))-1)*100</f>
        <v/>
      </c>
      <c r="AB91" s="16">
        <f>(SUMPRODUCT(AB82:AB85,1+AB78:AB81/100,AB86:AB89)/((1+AB90/100)*SUMPRODUCT(AB82:AB85,AB86:AB89))-1)*100</f>
        <v/>
      </c>
      <c r="AC91" s="16">
        <f>(SUMPRODUCT(AC82:AC85,1+AC78:AC81/100,AC86:AC89)/((1+AC90/100)*SUMPRODUCT(AC82:AC85,AC86:AC89))-1)*100</f>
        <v/>
      </c>
      <c r="AD91" s="16">
        <f>(SUMPRODUCT(AD82:AD85,1+AD78:AD81/100,AD86:AD89)/((1+AD90/100)*SUMPRODUCT(AD82:AD85,AD86:AD89))-1)*100</f>
        <v/>
      </c>
    </row>
    <row r="93">
      <c r="A93" s="5" t="inlineStr">
        <is>
          <t>D. Reported ADR path — ADR = year-ago ADR × (1 + (ex-FX mechanism + FX identity) / 100); band; the Street; GBV on the nights line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8" t="inlineStr">
        <is>
          <t xml:space="preserve">    FX effect on ADR (pp)</t>
        </is>
      </c>
      <c r="B94" s="4" t="inlineStr">
        <is>
          <t>→ block B identity</t>
        </is>
      </c>
      <c r="Y94" s="18">
        <f>Y51</f>
        <v/>
      </c>
      <c r="Z94" s="18">
        <f>Z51</f>
        <v/>
      </c>
      <c r="AA94" s="18">
        <f>AA51</f>
        <v/>
      </c>
      <c r="AB94" s="18">
        <f>AB51</f>
        <v/>
      </c>
      <c r="AC94" s="18">
        <f>AC51</f>
        <v/>
      </c>
      <c r="AD94" s="18">
        <f>AD51</f>
        <v/>
      </c>
    </row>
    <row r="95">
      <c r="A95" s="8" t="inlineStr">
        <is>
          <t xml:space="preserve">    reported ADR y/y (%)</t>
        </is>
      </c>
      <c r="B95" s="4" t="inlineStr">
        <is>
          <t>→ ex-FX mechanism + FX</t>
        </is>
      </c>
      <c r="Y95" s="16">
        <f>Y75+Y94</f>
        <v/>
      </c>
      <c r="Z95" s="16">
        <f>Z75+Z94</f>
        <v/>
      </c>
      <c r="AA95" s="16">
        <f>AA75+AA94</f>
        <v/>
      </c>
      <c r="AB95" s="16">
        <f>AB75+AB94</f>
        <v/>
      </c>
      <c r="AC95" s="16">
        <f>AC75+AC94</f>
        <v/>
      </c>
      <c r="AD95" s="16">
        <f>AD75+AD94</f>
        <v/>
      </c>
    </row>
    <row r="96">
      <c r="A96" s="8" t="inlineStr">
        <is>
          <t>ADR ($) — the line</t>
        </is>
      </c>
      <c r="B96" s="4" t="inlineStr">
        <is>
          <t>→ year-ago ADR × (1 + y/y/100)</t>
        </is>
      </c>
      <c r="Y96" s="13">
        <f>U7*(1+Y95/100)</f>
        <v/>
      </c>
      <c r="Z96" s="13">
        <f>V7*(1+Z95/100)</f>
        <v/>
      </c>
      <c r="AA96" s="13">
        <f>W7*(1+AA95/100)</f>
        <v/>
      </c>
      <c r="AB96" s="13">
        <f>X7*(1+AB95/100)</f>
        <v/>
      </c>
      <c r="AC96" s="13">
        <f>Y7*(1+AC95/100)</f>
        <v/>
      </c>
      <c r="AD96" s="13">
        <f>Z7*(1+AD95/100)</f>
        <v/>
      </c>
    </row>
    <row r="97">
      <c r="A97" s="8" t="inlineStr">
        <is>
          <t xml:space="preserve">    band half-width (pp)</t>
        </is>
      </c>
      <c r="B97" s="4" t="inlineStr">
        <is>
          <t>engine exfx_envelope.csv: RSS of parameter half-ranges ⊕ FX bootstrap sd</t>
        </is>
      </c>
      <c r="Y97" s="12" t="n">
        <v>0.9775225447066912</v>
      </c>
      <c r="Z97" s="12" t="n">
        <v>1.931880714226598</v>
      </c>
      <c r="AA97" s="12" t="n">
        <v>2.742174489720473</v>
      </c>
      <c r="AB97" s="12" t="n">
        <v>3.24814593997769</v>
      </c>
      <c r="AC97" s="12" t="n">
        <v>3.756663072305037</v>
      </c>
      <c r="AD97" s="12" t="n">
        <v>3.900045484266994</v>
      </c>
    </row>
    <row r="98">
      <c r="A98" s="8" t="inlineStr">
        <is>
          <t xml:space="preserve">    ADR low ($)</t>
        </is>
      </c>
      <c r="Y98" s="15">
        <f>U7*(1+(Y95-Y97)/100)</f>
        <v/>
      </c>
      <c r="Z98" s="15">
        <f>V7*(1+(Z95-Z97)/100)</f>
        <v/>
      </c>
      <c r="AA98" s="15">
        <f>W7*(1+(AA95-AA97)/100)</f>
        <v/>
      </c>
      <c r="AB98" s="15">
        <f>X7*(1+(AB95-AB97)/100)</f>
        <v/>
      </c>
      <c r="AC98" s="15">
        <f>Y7*(1+(AC95-AC97)/100)</f>
        <v/>
      </c>
      <c r="AD98" s="15">
        <f>Z7*(1+(AD95-AD97)/100)</f>
        <v/>
      </c>
    </row>
    <row r="99">
      <c r="A99" s="8" t="inlineStr">
        <is>
          <t xml:space="preserve">    ADR high ($)</t>
        </is>
      </c>
      <c r="Y99" s="15">
        <f>U7*(1+(Y95+Y97)/100)</f>
        <v/>
      </c>
      <c r="Z99" s="15">
        <f>V7*(1+(Z95+Z97)/100)</f>
        <v/>
      </c>
      <c r="AA99" s="15">
        <f>W7*(1+(AA95+AA97)/100)</f>
        <v/>
      </c>
      <c r="AB99" s="15">
        <f>X7*(1+(AB95+AB97)/100)</f>
        <v/>
      </c>
      <c r="AC99" s="15">
        <f>Y7*(1+(AC95+AC97)/100)</f>
        <v/>
      </c>
      <c r="AD99" s="15">
        <f>Z7*(1+(AD95+AD97)/100)</f>
        <v/>
      </c>
    </row>
    <row r="100">
      <c r="A100" s="8" t="inlineStr">
        <is>
          <t xml:space="preserve">    Street ADR ($)</t>
        </is>
      </c>
      <c r="B100" s="4" t="inlineStr">
        <is>
          <t>Bloomberg MODL screenshot 12 Sep 2026 (Krish): 3Q26 177.06 n 26 (173.71–179.12), 4Q26 171.33 n 25; no FY row exists</t>
        </is>
      </c>
      <c r="Y100" s="11" t="n">
        <v>177.06</v>
      </c>
      <c r="Z100" s="11" t="n">
        <v>171.33</v>
      </c>
    </row>
    <row r="101">
      <c r="A101" s="8" t="inlineStr">
        <is>
          <t xml:space="preserve">    Street implied y/y (%)</t>
        </is>
      </c>
      <c r="Y101" s="16">
        <f>(Y100/U7-1)*100</f>
        <v/>
      </c>
      <c r="Z101" s="16">
        <f>(Z100/V7-1)*100</f>
        <v/>
      </c>
    </row>
    <row r="102">
      <c r="A102" s="8" t="inlineStr">
        <is>
          <t xml:space="preserve">    z: (ours − Street) / band</t>
        </is>
      </c>
      <c r="Y102" s="16">
        <f>(Y95-Y101)/Y97</f>
        <v/>
      </c>
      <c r="Z102" s="16">
        <f>(Z95-Z101)/Z97</f>
        <v/>
      </c>
    </row>
    <row r="103">
      <c r="A103" s="8" t="inlineStr">
        <is>
          <t xml:space="preserve">    P(print ≥ Street)</t>
        </is>
      </c>
      <c r="B103" s="4" t="inlineStr">
        <is>
          <t>→ 1 − NORM.S.DIST((Street y/y − ours)/band, TRUE)</t>
        </is>
      </c>
      <c r="Y103" s="10">
        <f>1-NORM.S.DIST((Y101-Y95)/Y97,TRUE)</f>
        <v/>
      </c>
      <c r="Z103" s="10">
        <f>1-NORM.S.DIST((Z101-Z95)/Z97,TRUE)</f>
        <v/>
      </c>
    </row>
    <row r="104">
      <c r="A104" s="8" t="inlineStr">
        <is>
          <t xml:space="preserve">    nights (m) — line 1</t>
        </is>
      </c>
      <c r="B104" s="4" t="inlineStr">
        <is>
          <t>→ Income_Statement row 5 (nights line)</t>
        </is>
      </c>
      <c r="K104" s="20">
        <f>Income_Statement!C5</f>
        <v/>
      </c>
      <c r="L104" s="20">
        <f>Income_Statement!D5</f>
        <v/>
      </c>
      <c r="M104" s="20">
        <f>Income_Statement!E5</f>
        <v/>
      </c>
      <c r="N104" s="20">
        <f>Income_Statement!F5</f>
        <v/>
      </c>
      <c r="O104" s="20">
        <f>Income_Statement!G5</f>
        <v/>
      </c>
      <c r="P104" s="20">
        <f>Income_Statement!H5</f>
        <v/>
      </c>
      <c r="Q104" s="20">
        <f>Income_Statement!I5</f>
        <v/>
      </c>
      <c r="R104" s="20">
        <f>Income_Statement!J5</f>
        <v/>
      </c>
      <c r="S104" s="20">
        <f>Income_Statement!K5</f>
        <v/>
      </c>
      <c r="T104" s="20">
        <f>Income_Statement!L5</f>
        <v/>
      </c>
      <c r="U104" s="20">
        <f>Income_Statement!M5</f>
        <v/>
      </c>
      <c r="V104" s="20">
        <f>Income_Statement!N5</f>
        <v/>
      </c>
      <c r="W104" s="20">
        <f>Income_Statement!O5</f>
        <v/>
      </c>
      <c r="X104" s="20">
        <f>Income_Statement!P5</f>
        <v/>
      </c>
      <c r="Y104" s="20">
        <f>Income_Statement!Q5</f>
        <v/>
      </c>
      <c r="Z104" s="20">
        <f>Income_Statement!R5</f>
        <v/>
      </c>
      <c r="AA104" s="20">
        <f>Income_Statement!S5</f>
        <v/>
      </c>
      <c r="AB104" s="20">
        <f>Income_Statement!T5</f>
        <v/>
      </c>
      <c r="AC104" s="20">
        <f>Income_Statement!U5</f>
        <v/>
      </c>
      <c r="AD104" s="20">
        <f>Income_Statement!V5</f>
        <v/>
      </c>
    </row>
    <row r="105">
      <c r="A105" s="8" t="inlineStr">
        <is>
          <t xml:space="preserve">    GBV ($bn) = nights × ADR</t>
        </is>
      </c>
      <c r="B105" s="4" t="inlineStr">
        <is>
          <t>cross-check only; the take-rate line is built next</t>
        </is>
      </c>
      <c r="K105" s="16">
        <f>K104*K7/1000</f>
        <v/>
      </c>
      <c r="L105" s="16">
        <f>L104*L7/1000</f>
        <v/>
      </c>
      <c r="M105" s="16">
        <f>M104*M7/1000</f>
        <v/>
      </c>
      <c r="N105" s="16">
        <f>N104*N7/1000</f>
        <v/>
      </c>
      <c r="O105" s="16">
        <f>O104*O7/1000</f>
        <v/>
      </c>
      <c r="P105" s="16">
        <f>P104*P7/1000</f>
        <v/>
      </c>
      <c r="Q105" s="16">
        <f>Q104*Q7/1000</f>
        <v/>
      </c>
      <c r="R105" s="16">
        <f>R104*R7/1000</f>
        <v/>
      </c>
      <c r="S105" s="16">
        <f>S104*S7/1000</f>
        <v/>
      </c>
      <c r="T105" s="16">
        <f>T104*T7/1000</f>
        <v/>
      </c>
      <c r="U105" s="16">
        <f>U104*U7/1000</f>
        <v/>
      </c>
      <c r="V105" s="16">
        <f>V104*V7/1000</f>
        <v/>
      </c>
      <c r="W105" s="16">
        <f>W104*W7/1000</f>
        <v/>
      </c>
      <c r="X105" s="16">
        <f>X104*X7/1000</f>
        <v/>
      </c>
      <c r="Y105" s="16">
        <f>Y104*Y96/1000</f>
        <v/>
      </c>
      <c r="Z105" s="16">
        <f>Z104*Z96/1000</f>
        <v/>
      </c>
      <c r="AA105" s="16">
        <f>AA104*AA96/1000</f>
        <v/>
      </c>
      <c r="AB105" s="16">
        <f>AB104*AB96/1000</f>
        <v/>
      </c>
      <c r="AC105" s="16">
        <f>AC104*AC96/1000</f>
        <v/>
      </c>
      <c r="AD105" s="16">
        <f>AD104*AD96/1000</f>
        <v/>
      </c>
    </row>
    <row r="107">
      <c r="A107" s="5" t="inlineStr">
        <is>
          <t>E. Engine reference values (Python) — for tie-out after an Excel recalculation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</row>
    <row r="108">
      <c r="A108" s="8" t="inlineStr">
        <is>
          <t>walk-forward RMSE ratio vs naive, V0 identity, W1 O1 / O2 / O3</t>
        </is>
      </c>
      <c r="C108" s="12" t="n">
        <v>0.4373436932602267</v>
      </c>
      <c r="D108" s="12" t="n">
        <v>0.3437214310004852</v>
      </c>
      <c r="E108" s="12" t="n">
        <v>0.3027325798499696</v>
      </c>
    </row>
    <row r="109">
      <c r="A109" s="8" t="inlineStr">
        <is>
          <t>… W2 O1 / O2 / O3 (pass line ≤ 0.75 at O2 and O3 on both windows)</t>
        </is>
      </c>
      <c r="C109" s="12" t="n">
        <v>0.6248026109788748</v>
      </c>
      <c r="D109" s="12" t="n">
        <v>0.3830864350268836</v>
      </c>
      <c r="E109" s="12" t="n">
        <v>0.3172637032904287</v>
      </c>
    </row>
    <row r="110">
      <c r="A110" s="8" t="inlineStr">
        <is>
          <t>V1 fitted pass-through, W1 O1 / O2 / O3</t>
        </is>
      </c>
      <c r="C110" s="12" t="n">
        <v>0.4971529699016717</v>
      </c>
      <c r="D110" s="12" t="n">
        <v>0.3749859241803115</v>
      </c>
      <c r="E110" s="12" t="n">
        <v>0.3372746081063169</v>
      </c>
    </row>
    <row r="111">
      <c r="A111" s="8" t="inlineStr">
        <is>
          <t>euro-only OLS (comparator), W1 O1 / O2 / O3</t>
        </is>
      </c>
      <c r="C111" s="12" t="n">
        <v>0.3991041209797802</v>
      </c>
      <c r="D111" s="12" t="n">
        <v>0.2700012303742727</v>
      </c>
      <c r="E111" s="12" t="n">
        <v>0.2813206067080157</v>
      </c>
    </row>
    <row r="112">
      <c r="A112" s="8" t="inlineStr">
        <is>
          <t>posterior pass-through β (NA / EMEA / LatAm / APAC), prior N(1, 0.25²)</t>
        </is>
      </c>
      <c r="C112" s="12" t="n">
        <v>0.9937220374665529</v>
      </c>
      <c r="D112" s="12" t="n">
        <v>1.199117663499177</v>
      </c>
      <c r="E112" s="12" t="n">
        <v>0.4595224116993439</v>
      </c>
      <c r="F112" s="12" t="n">
        <v>1.266392840244777</v>
      </c>
    </row>
    <row r="113">
      <c r="A113" s="8" t="inlineStr">
        <is>
          <t>FX effect 3Q26 / 4Q26 / 1Q27 / 2Q27 (pp, spot held)</t>
        </is>
      </c>
      <c r="C113" s="12" t="n">
        <v>0.4152814166247513</v>
      </c>
      <c r="D113" s="12" t="n">
        <v>0.5136690253172425</v>
      </c>
      <c r="E113" s="12" t="n">
        <v>-0.369013484663626</v>
      </c>
      <c r="F113" s="12" t="n">
        <v>-0.4269361495661503</v>
      </c>
    </row>
    <row r="114">
      <c r="A114" s="8" t="inlineStr">
        <is>
          <t>ADR $ 3Q26 / 4Q26 / 1Q27 / 2Q27 (engine)</t>
        </is>
      </c>
      <c r="C114" s="12" t="n">
        <v>177.6812219414954</v>
      </c>
      <c r="D114" s="12" t="n">
        <v>173.0340496165458</v>
      </c>
      <c r="E114" s="12" t="n">
        <v>190.6458188568733</v>
      </c>
      <c r="F114" s="12" t="n">
        <v>188.3776100123214</v>
      </c>
    </row>
    <row r="115">
      <c r="A115" s="8" t="inlineStr">
        <is>
          <t>ex-FX mechanism 3Q26 / 4Q26 / 1Q27 / 2Q27 (pp)</t>
        </is>
      </c>
      <c r="C115" s="12" t="n">
        <v>3.315947459255554</v>
      </c>
      <c r="D115" s="12" t="n">
        <v>2.784074164071932</v>
      </c>
      <c r="E115" s="12" t="n">
        <v>2.416877127139422</v>
      </c>
      <c r="F115" s="12" t="n">
        <v>2.956523050083999</v>
      </c>
    </row>
    <row r="116">
      <c r="A116" s="8" t="inlineStr">
        <is>
          <t>card v3 ADR $ 3Q26 / 4Q26 (DEC-0008, without K, midpoint FX −0.43 / +0.15)</t>
        </is>
      </c>
      <c r="C116" s="12" t="n">
        <v>176.88</v>
      </c>
      <c r="D116" s="12" t="n">
        <v>173.94</v>
      </c>
    </row>
    <row r="117">
      <c r="A117" s="8" t="inlineStr">
        <is>
          <t>geo-mix method check: mean |bucket arithmetic − H| on 2Q24–2Q26 (pp)</t>
        </is>
      </c>
      <c r="C117" s="12" t="n">
        <v>0.1344148709440589</v>
      </c>
    </row>
    <row r="119">
      <c r="A119" s="5" t="inlineStr">
        <is>
          <t>F. Alternatives carried beside the base (never blended): ex-FX rule → reported ADR $ at the same FX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</row>
    <row r="120">
      <c r="A120" s="2" t="inlineStr">
        <is>
          <t>rule</t>
        </is>
      </c>
      <c r="B120" s="4" t="inlineStr">
        <is>
          <t>quarter → ex-FX (pp) | ADR ($) | GBV ($bn)</t>
        </is>
      </c>
      <c r="C120" s="2" t="inlineStr">
        <is>
          <t>3Q26</t>
        </is>
      </c>
      <c r="F120" s="2" t="inlineStr">
        <is>
          <t>4Q26</t>
        </is>
      </c>
      <c r="I120" s="2" t="inlineStr">
        <is>
          <t>1Q27</t>
        </is>
      </c>
      <c r="L120" s="2" t="inlineStr">
        <is>
          <t>2Q27</t>
        </is>
      </c>
    </row>
    <row r="121">
      <c r="A121" s="8" t="inlineStr">
        <is>
          <t>base: core carry + bundle laps (nights-linked geo)</t>
        </is>
      </c>
      <c r="C121" s="11" t="n">
        <v>3.315947459255554</v>
      </c>
      <c r="D121" s="11" t="n">
        <v>177.6812219414954</v>
      </c>
      <c r="E121" s="11" t="n">
        <v>26.08360338101152</v>
      </c>
      <c r="F121" s="11" t="n">
        <v>2.784074164071932</v>
      </c>
      <c r="G121" s="11" t="n">
        <v>173.0340496165458</v>
      </c>
      <c r="H121" s="11" t="n">
        <v>22.80588773946074</v>
      </c>
      <c r="I121" s="11" t="n">
        <v>2.416877127139422</v>
      </c>
      <c r="J121" s="11" t="n">
        <v>190.6458188568733</v>
      </c>
      <c r="K121" s="11" t="n">
        <v>32.22295630318872</v>
      </c>
      <c r="L121" s="11" t="n">
        <v>2.956523050083999</v>
      </c>
      <c r="M121" s="11" t="n">
        <v>188.3776100123214</v>
      </c>
      <c r="N121" s="11" t="n">
        <v>29.5941225329357</v>
      </c>
    </row>
    <row r="122">
      <c r="A122" s="8" t="inlineStr">
        <is>
          <t>base + sub-regional country mix (v2 H3, Inside Airbnb panel)</t>
        </is>
      </c>
      <c r="C122" s="11" t="n">
        <v>3.178728196637815</v>
      </c>
      <c r="D122" s="11" t="n">
        <v>177.4461790665574</v>
      </c>
      <c r="E122" s="11" t="n">
        <v>26.04909908697064</v>
      </c>
      <c r="F122" s="11" t="n">
        <v>2.637266387956136</v>
      </c>
      <c r="G122" s="11" t="n">
        <v>172.7881319107742</v>
      </c>
      <c r="H122" s="11" t="n">
        <v>22.77347578584005</v>
      </c>
      <c r="I122" s="11" t="n">
        <v>2.261923490219557</v>
      </c>
      <c r="J122" s="11" t="n">
        <v>190.3563344723796</v>
      </c>
      <c r="K122" s="11" t="n">
        <v>32.1740276525216</v>
      </c>
      <c r="L122" s="11" t="n">
        <v>2.791849213593684</v>
      </c>
      <c r="M122" s="11" t="n">
        <v>188.0750547725378</v>
      </c>
      <c r="N122" s="11" t="n">
        <v>29.54659110476569</v>
      </c>
    </row>
    <row r="123">
      <c r="A123" s="8" t="inlineStr">
        <is>
          <t>base + sub-regional + measured origin-destination tilt (upgrade 2: EMEA 10.5 / LatAm 16.4 / APAC 14.9)</t>
        </is>
      </c>
      <c r="C123" s="11" t="n">
        <v>3.441974423799111</v>
      </c>
      <c r="D123" s="11" t="n">
        <v>177.897093529062</v>
      </c>
      <c r="E123" s="11" t="n">
        <v>26.11529333006631</v>
      </c>
      <c r="F123" s="11" t="n">
        <v>2.878353163829614</v>
      </c>
      <c r="G123" s="11" t="n">
        <v>173.1919763690399</v>
      </c>
      <c r="H123" s="11" t="n">
        <v>22.82670248543946</v>
      </c>
      <c r="I123" s="11" t="n">
        <v>2.547238721983384</v>
      </c>
      <c r="J123" s="11" t="n">
        <v>190.8893603883608</v>
      </c>
      <c r="K123" s="11" t="n">
        <v>32.26411969284074</v>
      </c>
      <c r="L123" s="11" t="n">
        <v>2.977560195437551</v>
      </c>
      <c r="M123" s="11" t="n">
        <v>188.4162615594795</v>
      </c>
      <c r="N123" s="11" t="n">
        <v>29.60019469099423</v>
      </c>
    </row>
    <row r="124">
      <c r="A124" s="8" t="inlineStr">
        <is>
          <t>base + sub-regional + composition tilt B (EMEA 5 / LatAm 30 / APAC 25) — retired by upgrade 2</t>
        </is>
      </c>
      <c r="C124" s="11" t="n">
        <v>2.797413430922292</v>
      </c>
      <c r="D124" s="11" t="n">
        <v>176.7930250043633</v>
      </c>
      <c r="E124" s="11" t="n">
        <v>25.95321607064054</v>
      </c>
      <c r="F124" s="11" t="n">
        <v>2.27299560542554</v>
      </c>
      <c r="G124" s="11" t="n">
        <v>172.1779419229572</v>
      </c>
      <c r="H124" s="11" t="n">
        <v>22.69305274544576</v>
      </c>
      <c r="I124" s="11" t="n">
        <v>1.84202480617595</v>
      </c>
      <c r="J124" s="11" t="n">
        <v>189.5718797508493</v>
      </c>
      <c r="K124" s="11" t="n">
        <v>32.04143911548855</v>
      </c>
      <c r="L124" s="11" t="n">
        <v>2.510918340989404</v>
      </c>
      <c r="M124" s="11" t="n">
        <v>187.5589004803019</v>
      </c>
      <c r="N124" s="11" t="n">
        <v>29.46550326545543</v>
      </c>
    </row>
    <row r="125">
      <c r="A125" s="8" t="inlineStr">
        <is>
          <t>lap-only (K4 residual steps): every 2025-26 residual step laps at its anniversary</t>
        </is>
      </c>
      <c r="C125" s="11" t="n">
        <v>2.910732193880174</v>
      </c>
      <c r="D125" s="11" t="n">
        <v>176.9871287134339</v>
      </c>
      <c r="E125" s="11" t="n">
        <v>25.9817104951321</v>
      </c>
      <c r="F125" s="11" t="n">
        <v>1.990747787585442</v>
      </c>
      <c r="G125" s="11" t="n">
        <v>171.7051486032933</v>
      </c>
      <c r="H125" s="11" t="n">
        <v>22.63073858591405</v>
      </c>
      <c r="I125" s="11" t="n">
        <v>0.9435507506529328</v>
      </c>
      <c r="J125" s="11" t="n">
        <v>187.8933505203212</v>
      </c>
      <c r="K125" s="11" t="n">
        <v>31.75773410494469</v>
      </c>
      <c r="L125" s="11" t="n">
        <v>1.013196673597509</v>
      </c>
      <c r="M125" s="11" t="n">
        <v>184.8071364608028</v>
      </c>
      <c r="N125" s="11" t="n">
        <v>29.03320113799212</v>
      </c>
    </row>
    <row r="126">
      <c r="A126" s="8" t="inlineStr">
        <is>
          <t>card v3: last_q residual carry, no lap (card geo)</t>
        </is>
      </c>
      <c r="C126" s="11" t="n">
        <v>3.69126637648649</v>
      </c>
      <c r="D126" s="11" t="n">
        <v>178.3241057148202</v>
      </c>
      <c r="E126" s="11" t="n">
        <v>26.17797871893561</v>
      </c>
      <c r="F126" s="11" t="n">
        <v>3.69126637648649</v>
      </c>
      <c r="G126" s="11" t="n">
        <v>174.5536872915614</v>
      </c>
      <c r="H126" s="11" t="n">
        <v>23.0061759850278</v>
      </c>
      <c r="I126" s="11" t="n">
        <v>3.60883637648649</v>
      </c>
      <c r="J126" s="11" t="n">
        <v>192.8726371265034</v>
      </c>
      <c r="K126" s="11" t="n">
        <v>32.59933312712161</v>
      </c>
      <c r="L126" s="11" t="n">
        <v>3.60883637648649</v>
      </c>
      <c r="M126" s="11" t="n">
        <v>189.5761052869207</v>
      </c>
      <c r="N126" s="11" t="n">
        <v>29.78240614057524</v>
      </c>
    </row>
    <row r="127">
      <c r="A127" s="8" t="inlineStr">
        <is>
          <t>full lap: ex-NA RNPL sized at the 1H26 residual steps</t>
        </is>
      </c>
      <c r="C127" s="11" t="n">
        <v>3.315947459255554</v>
      </c>
      <c r="D127" s="11" t="n">
        <v>177.6812219414954</v>
      </c>
      <c r="E127" s="11" t="n">
        <v>26.08360338101152</v>
      </c>
      <c r="F127" s="11" t="n">
        <v>2.784074164071932</v>
      </c>
      <c r="G127" s="11" t="n">
        <v>173.0340496165458</v>
      </c>
      <c r="H127" s="11" t="n">
        <v>22.80588773946074</v>
      </c>
      <c r="I127" s="11" t="n">
        <v>1.956877127139422</v>
      </c>
      <c r="J127" s="11" t="n">
        <v>189.7864468568733</v>
      </c>
      <c r="K127" s="11" t="n">
        <v>32.07770524774872</v>
      </c>
      <c r="L127" s="11" t="n">
        <v>1.806523050083998</v>
      </c>
      <c r="M127" s="11" t="n">
        <v>186.2647150123214</v>
      </c>
      <c r="N127" s="11" t="n">
        <v>29.2621867284357</v>
      </c>
    </row>
    <row r="128">
      <c r="A128" s="8" t="inlineStr">
        <is>
          <t>core mean reversion to the 2023-25 mean</t>
        </is>
      </c>
      <c r="C128" s="11" t="n">
        <v>1.864621082769064</v>
      </c>
      <c r="D128" s="11" t="n">
        <v>175.1952449912116</v>
      </c>
      <c r="E128" s="11" t="n">
        <v>25.71866196470987</v>
      </c>
      <c r="F128" s="11" t="n">
        <v>1.332747787585442</v>
      </c>
      <c r="G128" s="11" t="n">
        <v>170.6029328032933</v>
      </c>
      <c r="H128" s="11" t="n">
        <v>22.48546654347406</v>
      </c>
      <c r="I128" s="11" t="n">
        <v>0.9655507506529332</v>
      </c>
      <c r="J128" s="11" t="n">
        <v>187.9344509203212</v>
      </c>
      <c r="K128" s="11" t="n">
        <v>31.7646808945527</v>
      </c>
      <c r="L128" s="11" t="n">
        <v>1.505196673597509</v>
      </c>
      <c r="M128" s="11" t="n">
        <v>185.7110880608028</v>
      </c>
      <c r="N128" s="11" t="n">
        <v>29.17521193435212</v>
      </c>
    </row>
    <row r="129">
      <c r="A129" s="8" t="inlineStr">
        <is>
          <t>AR(1) on core (K4 rho 0.747)</t>
        </is>
      </c>
      <c r="C129" s="11" t="n">
        <v>3.092067886004471</v>
      </c>
      <c r="D129" s="11" t="n">
        <v>177.2977386204736</v>
      </c>
      <c r="E129" s="11" t="n">
        <v>26.02730802948552</v>
      </c>
      <c r="F129" s="11" t="n">
        <v>2.392956549602292</v>
      </c>
      <c r="G129" s="11" t="n">
        <v>172.3788885005477</v>
      </c>
      <c r="H129" s="11" t="n">
        <v>22.71953750437219</v>
      </c>
      <c r="I129" s="11" t="n">
        <v>1.90083269587952</v>
      </c>
      <c r="J129" s="11" t="n">
        <v>189.6817446503935</v>
      </c>
      <c r="K129" s="11" t="n">
        <v>32.06000848080952</v>
      </c>
      <c r="L129" s="11" t="n">
        <v>2.347158286681769</v>
      </c>
      <c r="M129" s="11" t="n">
        <v>187.2580241325226</v>
      </c>
      <c r="N129" s="11" t="n">
        <v>29.41823559121929</v>
      </c>
    </row>
    <row r="130">
      <c r="A130" s="8" t="inlineStr">
        <is>
          <t>base + fee-migration K line (DEC-0008 sensitivity)</t>
        </is>
      </c>
      <c r="C130" s="11" t="n">
        <v>3.487447459255554</v>
      </c>
      <c r="D130" s="11" t="n">
        <v>177.9749842914954</v>
      </c>
      <c r="E130" s="11" t="n">
        <v>26.12672769399152</v>
      </c>
      <c r="F130" s="11" t="n">
        <v>3.158574164071932</v>
      </c>
      <c r="G130" s="11" t="n">
        <v>173.6613745665458</v>
      </c>
      <c r="H130" s="11" t="n">
        <v>22.88856916787073</v>
      </c>
      <c r="I130" s="11" t="n">
        <v>2.761977127139422</v>
      </c>
      <c r="J130" s="11" t="n">
        <v>191.2905346768732</v>
      </c>
      <c r="K130" s="11" t="n">
        <v>32.33192617108512</v>
      </c>
      <c r="L130" s="11" t="n">
        <v>3.267323050083998</v>
      </c>
      <c r="M130" s="11" t="n">
        <v>188.9486428523214</v>
      </c>
      <c r="N130" s="11" t="n">
        <v>29.6838317920997</v>
      </c>
    </row>
    <row r="133">
      <c r="A133" s="8" t="inlineStr">
        <is>
          <t>chart helper: ADR $ (printed, then engine)</t>
        </is>
      </c>
      <c r="O133" s="20">
        <f>O7</f>
        <v/>
      </c>
      <c r="P133" s="20">
        <f>P7</f>
        <v/>
      </c>
      <c r="Q133" s="20">
        <f>Q7</f>
        <v/>
      </c>
      <c r="R133" s="20">
        <f>R7</f>
        <v/>
      </c>
      <c r="S133" s="20">
        <f>S7</f>
        <v/>
      </c>
      <c r="T133" s="20">
        <f>T7</f>
        <v/>
      </c>
      <c r="U133" s="20">
        <f>U7</f>
        <v/>
      </c>
      <c r="V133" s="20">
        <f>V7</f>
        <v/>
      </c>
      <c r="W133" s="20">
        <f>W7</f>
        <v/>
      </c>
      <c r="X133" s="20">
        <f>X7</f>
        <v/>
      </c>
      <c r="Y133" s="20">
        <f>Y7</f>
        <v/>
      </c>
      <c r="Z133" s="20">
        <f>Z7</f>
        <v/>
      </c>
      <c r="AA133" s="20">
        <f>AA7</f>
        <v/>
      </c>
      <c r="AB133" s="20">
        <f>AB7</f>
        <v/>
      </c>
      <c r="AC133" s="20">
        <f>AC7</f>
        <v/>
      </c>
      <c r="AD133" s="20">
        <f>AD7</f>
        <v/>
      </c>
    </row>
    <row r="134">
      <c r="A134" s="8" t="inlineStr">
        <is>
          <t>chart helper: Street ADR $</t>
        </is>
      </c>
      <c r="Y134" s="20">
        <f>Y100</f>
        <v/>
      </c>
      <c r="Z134" s="20">
        <f>Z100</f>
        <v/>
      </c>
    </row>
    <row r="135">
      <c r="A135" s="8" t="inlineStr">
        <is>
          <t>chart helper: FX identity (pp)</t>
        </is>
      </c>
      <c r="O135" s="20">
        <f>O51</f>
        <v/>
      </c>
      <c r="P135" s="20">
        <f>P51</f>
        <v/>
      </c>
      <c r="Q135" s="20">
        <f>Q51</f>
        <v/>
      </c>
      <c r="R135" s="20">
        <f>R51</f>
        <v/>
      </c>
      <c r="S135" s="20">
        <f>S51</f>
        <v/>
      </c>
      <c r="T135" s="20">
        <f>T51</f>
        <v/>
      </c>
      <c r="U135" s="20">
        <f>U51</f>
        <v/>
      </c>
      <c r="V135" s="20">
        <f>V51</f>
        <v/>
      </c>
      <c r="W135" s="20">
        <f>W51</f>
        <v/>
      </c>
      <c r="X135" s="20">
        <f>X51</f>
        <v/>
      </c>
      <c r="Y135" s="20">
        <f>Y51</f>
        <v/>
      </c>
      <c r="Z135" s="20">
        <f>Z51</f>
        <v/>
      </c>
      <c r="AA135" s="20">
        <f>AA51</f>
        <v/>
      </c>
      <c r="AB135" s="20">
        <f>AB51</f>
        <v/>
      </c>
      <c r="AC135" s="20">
        <f>AC51</f>
        <v/>
      </c>
      <c r="AD135" s="20">
        <f>AD51</f>
        <v/>
      </c>
    </row>
    <row r="136">
      <c r="A136" s="8" t="inlineStr">
        <is>
          <t>chart helper: disclosed FX (pp)</t>
        </is>
      </c>
      <c r="O136" s="20">
        <f>O10</f>
        <v/>
      </c>
      <c r="P136" s="20">
        <f>P10</f>
        <v/>
      </c>
      <c r="Q136" s="20">
        <f>Q10</f>
        <v/>
      </c>
      <c r="R136" s="20">
        <f>R10</f>
        <v/>
      </c>
      <c r="S136" s="20">
        <f>S10</f>
        <v/>
      </c>
      <c r="T136" s="20">
        <f>T10</f>
        <v/>
      </c>
      <c r="U136" s="20">
        <f>U10</f>
        <v/>
      </c>
      <c r="V136" s="20">
        <f>V10</f>
        <v/>
      </c>
      <c r="W136" s="20">
        <f>W10</f>
        <v/>
      </c>
      <c r="X136" s="20">
        <f>X10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3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Airbnb — income statement, official (built line by line; nights first). USD millions unless stated.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4" t="inlineStr">
        <is>
          <t>Row 5 nights: green = link to Nights_Engine. Rows 8–11 GBV and ADR: link to ADR_Engine (line 2). Other lines: labels only until built together (yellow = to build). Quarters A = printed, E = engine.</t>
        </is>
      </c>
    </row>
    <row r="4">
      <c r="A4" s="5" t="inlineStr">
        <is>
          <t>Quarter</t>
        </is>
      </c>
      <c r="B4" s="5" t="n"/>
      <c r="C4" s="7" t="inlineStr">
        <is>
          <t>1Q23A</t>
        </is>
      </c>
      <c r="D4" s="7" t="inlineStr">
        <is>
          <t>2Q23A</t>
        </is>
      </c>
      <c r="E4" s="7" t="inlineStr">
        <is>
          <t>3Q23A</t>
        </is>
      </c>
      <c r="F4" s="7" t="inlineStr">
        <is>
          <t>4Q23A</t>
        </is>
      </c>
      <c r="G4" s="7" t="inlineStr">
        <is>
          <t>1Q24A</t>
        </is>
      </c>
      <c r="H4" s="7" t="inlineStr">
        <is>
          <t>2Q24A</t>
        </is>
      </c>
      <c r="I4" s="7" t="inlineStr">
        <is>
          <t>3Q24A</t>
        </is>
      </c>
      <c r="J4" s="7" t="inlineStr">
        <is>
          <t>4Q24A</t>
        </is>
      </c>
      <c r="K4" s="7" t="inlineStr">
        <is>
          <t>1Q25A</t>
        </is>
      </c>
      <c r="L4" s="7" t="inlineStr">
        <is>
          <t>2Q25A</t>
        </is>
      </c>
      <c r="M4" s="7" t="inlineStr">
        <is>
          <t>3Q25A</t>
        </is>
      </c>
      <c r="N4" s="7" t="inlineStr">
        <is>
          <t>4Q25A</t>
        </is>
      </c>
      <c r="O4" s="7" t="inlineStr">
        <is>
          <t>1Q26A</t>
        </is>
      </c>
      <c r="P4" s="7" t="inlineStr">
        <is>
          <t>2Q26A</t>
        </is>
      </c>
      <c r="Q4" s="7" t="inlineStr">
        <is>
          <t>3Q26E</t>
        </is>
      </c>
      <c r="R4" s="7" t="inlineStr">
        <is>
          <t>4Q26E</t>
        </is>
      </c>
      <c r="S4" s="7" t="inlineStr">
        <is>
          <t>1Q27E</t>
        </is>
      </c>
      <c r="T4" s="7" t="inlineStr">
        <is>
          <t>2Q27E</t>
        </is>
      </c>
      <c r="U4" s="7" t="inlineStr">
        <is>
          <t>3Q27E</t>
        </is>
      </c>
      <c r="V4" s="7" t="inlineStr">
        <is>
          <t>4Q27E</t>
        </is>
      </c>
      <c r="W4" s="5" t="n"/>
      <c r="X4" s="7" t="inlineStr">
        <is>
          <t>FY23</t>
        </is>
      </c>
      <c r="Y4" s="7" t="inlineStr">
        <is>
          <t>FY24</t>
        </is>
      </c>
      <c r="Z4" s="7" t="inlineStr">
        <is>
          <t>FY25</t>
        </is>
      </c>
      <c r="AA4" s="7" t="inlineStr">
        <is>
          <t>FY26</t>
        </is>
      </c>
      <c r="AB4" s="7" t="inlineStr">
        <is>
          <t>FY27</t>
        </is>
      </c>
      <c r="AC4" s="5" t="n"/>
    </row>
    <row r="5">
      <c r="A5" s="8" t="inlineStr">
        <is>
          <t>Nights &amp; seats booked (m)</t>
        </is>
      </c>
      <c r="B5" s="4" t="inlineStr">
        <is>
          <t>Nights_Engine: printed (A), base print path (E)</t>
        </is>
      </c>
      <c r="C5" s="27">
        <f>Nights_Engine!K7</f>
        <v/>
      </c>
      <c r="D5" s="27">
        <f>Nights_Engine!L7</f>
        <v/>
      </c>
      <c r="E5" s="27">
        <f>Nights_Engine!M7</f>
        <v/>
      </c>
      <c r="F5" s="27">
        <f>Nights_Engine!N7</f>
        <v/>
      </c>
      <c r="G5" s="27">
        <f>Nights_Engine!O7</f>
        <v/>
      </c>
      <c r="H5" s="27">
        <f>Nights_Engine!P7</f>
        <v/>
      </c>
      <c r="I5" s="27">
        <f>Nights_Engine!Q7</f>
        <v/>
      </c>
      <c r="J5" s="27">
        <f>Nights_Engine!R7</f>
        <v/>
      </c>
      <c r="K5" s="27">
        <f>Nights_Engine!S7</f>
        <v/>
      </c>
      <c r="L5" s="27">
        <f>Nights_Engine!T7</f>
        <v/>
      </c>
      <c r="M5" s="27">
        <f>Nights_Engine!U7</f>
        <v/>
      </c>
      <c r="N5" s="27">
        <f>Nights_Engine!V7</f>
        <v/>
      </c>
      <c r="O5" s="27">
        <f>Nights_Engine!W7</f>
        <v/>
      </c>
      <c r="P5" s="27">
        <f>Nights_Engine!X7</f>
        <v/>
      </c>
      <c r="Q5" s="28">
        <f>Nights_Engine!Y85</f>
        <v/>
      </c>
      <c r="R5" s="28">
        <f>Nights_Engine!Z85</f>
        <v/>
      </c>
      <c r="S5" s="28">
        <f>Nights_Engine!AA85</f>
        <v/>
      </c>
      <c r="T5" s="28">
        <f>Nights_Engine!AB85</f>
        <v/>
      </c>
      <c r="U5" s="28">
        <f>Nights_Engine!AC85</f>
        <v/>
      </c>
      <c r="V5" s="28">
        <f>Nights_Engine!AD85</f>
        <v/>
      </c>
      <c r="X5" s="22">
        <f>C5+D5+E5+F5</f>
        <v/>
      </c>
      <c r="Y5" s="22">
        <f>G5+H5+I5+J5</f>
        <v/>
      </c>
      <c r="Z5" s="22">
        <f>K5+L5+M5+N5</f>
        <v/>
      </c>
      <c r="AA5" s="29">
        <f>O5+P5+Q5+R5</f>
        <v/>
      </c>
      <c r="AB5" s="29">
        <f>S5+T5+U5+V5</f>
        <v/>
      </c>
    </row>
    <row r="6">
      <c r="A6" s="8" t="inlineStr">
        <is>
          <t xml:space="preserve">    y/y</t>
        </is>
      </c>
      <c r="B6" s="4" t="inlineStr">
        <is>
          <t>→ nights / four quarters earlier − 1</t>
        </is>
      </c>
      <c r="C6" s="30">
        <f>Nights_Engine!K8</f>
        <v/>
      </c>
      <c r="D6" s="30">
        <f>Nights_Engine!L8</f>
        <v/>
      </c>
      <c r="E6" s="30">
        <f>Nights_Engine!M8</f>
        <v/>
      </c>
      <c r="F6" s="30">
        <f>Nights_Engine!N8</f>
        <v/>
      </c>
      <c r="G6" s="10">
        <f>G5/C5-1</f>
        <v/>
      </c>
      <c r="H6" s="10">
        <f>H5/D5-1</f>
        <v/>
      </c>
      <c r="I6" s="10">
        <f>I5/E5-1</f>
        <v/>
      </c>
      <c r="J6" s="10">
        <f>J5/F5-1</f>
        <v/>
      </c>
      <c r="K6" s="10">
        <f>K5/G5-1</f>
        <v/>
      </c>
      <c r="L6" s="10">
        <f>L5/H5-1</f>
        <v/>
      </c>
      <c r="M6" s="10">
        <f>M5/I5-1</f>
        <v/>
      </c>
      <c r="N6" s="10">
        <f>N5/J5-1</f>
        <v/>
      </c>
      <c r="O6" s="10">
        <f>O5/K5-1</f>
        <v/>
      </c>
      <c r="P6" s="10">
        <f>P5/L5-1</f>
        <v/>
      </c>
      <c r="Q6" s="10">
        <f>Q5/M5-1</f>
        <v/>
      </c>
      <c r="R6" s="10">
        <f>R5/N5-1</f>
        <v/>
      </c>
      <c r="S6" s="10">
        <f>S5/O5-1</f>
        <v/>
      </c>
      <c r="T6" s="10">
        <f>T5/P5-1</f>
        <v/>
      </c>
      <c r="U6" s="10">
        <f>U5/Q5-1</f>
        <v/>
      </c>
      <c r="V6" s="10">
        <f>V5/R5-1</f>
        <v/>
      </c>
      <c r="Y6" s="10">
        <f>Y5/X5-1</f>
        <v/>
      </c>
      <c r="Z6" s="10">
        <f>Z5/Y5-1</f>
        <v/>
      </c>
      <c r="AA6" s="10">
        <f>AA5/Z5-1</f>
        <v/>
      </c>
      <c r="AB6" s="10">
        <f>AB5/AA5-1</f>
        <v/>
      </c>
    </row>
    <row r="7">
      <c r="A7" s="5" t="inlineStr">
        <is>
          <t>Lines to build together (in order) — empty until each has its rationale file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8" t="inlineStr">
        <is>
          <t>Gross booking value ($bn)</t>
        </is>
      </c>
      <c r="B8" s="4" t="inlineStr">
        <is>
          <t>→ nights × ADR ÷ 1000 (line 1 × line 2)</t>
        </is>
      </c>
      <c r="C8" s="16">
        <f>C5*C10/1000</f>
        <v/>
      </c>
      <c r="D8" s="16">
        <f>D5*D10/1000</f>
        <v/>
      </c>
      <c r="E8" s="16">
        <f>E5*E10/1000</f>
        <v/>
      </c>
      <c r="F8" s="16">
        <f>F5*F10/1000</f>
        <v/>
      </c>
      <c r="G8" s="16">
        <f>G5*G10/1000</f>
        <v/>
      </c>
      <c r="H8" s="16">
        <f>H5*H10/1000</f>
        <v/>
      </c>
      <c r="I8" s="16">
        <f>I5*I10/1000</f>
        <v/>
      </c>
      <c r="J8" s="16">
        <f>J5*J10/1000</f>
        <v/>
      </c>
      <c r="K8" s="16">
        <f>K5*K10/1000</f>
        <v/>
      </c>
      <c r="L8" s="16">
        <f>L5*L10/1000</f>
        <v/>
      </c>
      <c r="M8" s="16">
        <f>M5*M10/1000</f>
        <v/>
      </c>
      <c r="N8" s="16">
        <f>N5*N10/1000</f>
        <v/>
      </c>
      <c r="O8" s="16">
        <f>O5*O10/1000</f>
        <v/>
      </c>
      <c r="P8" s="16">
        <f>P5*P10/1000</f>
        <v/>
      </c>
      <c r="Q8" s="16">
        <f>Q5*Q10/1000</f>
        <v/>
      </c>
      <c r="R8" s="16">
        <f>R5*R10/1000</f>
        <v/>
      </c>
      <c r="S8" s="16">
        <f>S5*S10/1000</f>
        <v/>
      </c>
      <c r="T8" s="16">
        <f>T5*T10/1000</f>
        <v/>
      </c>
      <c r="U8" s="16">
        <f>U5*U10/1000</f>
        <v/>
      </c>
      <c r="V8" s="16">
        <f>V5*V10/1000</f>
        <v/>
      </c>
    </row>
    <row r="9">
      <c r="A9" s="8" t="inlineStr">
        <is>
          <t xml:space="preserve">    y/y</t>
        </is>
      </c>
      <c r="G9" s="10">
        <f>G8/C8-1</f>
        <v/>
      </c>
      <c r="H9" s="10">
        <f>H8/D8-1</f>
        <v/>
      </c>
      <c r="I9" s="10">
        <f>I8/E8-1</f>
        <v/>
      </c>
      <c r="J9" s="10">
        <f>J8/F8-1</f>
        <v/>
      </c>
      <c r="K9" s="10">
        <f>K8/G8-1</f>
        <v/>
      </c>
      <c r="L9" s="10">
        <f>L8/H8-1</f>
        <v/>
      </c>
      <c r="M9" s="10">
        <f>M8/I8-1</f>
        <v/>
      </c>
      <c r="N9" s="10">
        <f>N8/J8-1</f>
        <v/>
      </c>
      <c r="O9" s="10">
        <f>O8/K8-1</f>
        <v/>
      </c>
      <c r="P9" s="10">
        <f>P8/L8-1</f>
        <v/>
      </c>
      <c r="Q9" s="10">
        <f>Q8/M8-1</f>
        <v/>
      </c>
      <c r="R9" s="10">
        <f>R8/N8-1</f>
        <v/>
      </c>
      <c r="S9" s="10">
        <f>S8/O8-1</f>
        <v/>
      </c>
      <c r="T9" s="10">
        <f>T8/P8-1</f>
        <v/>
      </c>
      <c r="U9" s="10">
        <f>U8/Q8-1</f>
        <v/>
      </c>
      <c r="V9" s="10">
        <f>V8/R8-1</f>
        <v/>
      </c>
    </row>
    <row r="10">
      <c r="A10" s="8" t="inlineStr">
        <is>
          <t>ADR ($ = GBV / nights)</t>
        </is>
      </c>
      <c r="B10" s="4" t="inlineStr">
        <is>
          <t>ADR_Engine: printed (A), engine path (E) — line 2</t>
        </is>
      </c>
      <c r="C10" s="20">
        <f>ADR_Engine!K7</f>
        <v/>
      </c>
      <c r="D10" s="20">
        <f>ADR_Engine!L7</f>
        <v/>
      </c>
      <c r="E10" s="20">
        <f>ADR_Engine!M7</f>
        <v/>
      </c>
      <c r="F10" s="20">
        <f>ADR_Engine!N7</f>
        <v/>
      </c>
      <c r="G10" s="20">
        <f>ADR_Engine!O7</f>
        <v/>
      </c>
      <c r="H10" s="20">
        <f>ADR_Engine!P7</f>
        <v/>
      </c>
      <c r="I10" s="20">
        <f>ADR_Engine!Q7</f>
        <v/>
      </c>
      <c r="J10" s="20">
        <f>ADR_Engine!R7</f>
        <v/>
      </c>
      <c r="K10" s="20">
        <f>ADR_Engine!S7</f>
        <v/>
      </c>
      <c r="L10" s="20">
        <f>ADR_Engine!T7</f>
        <v/>
      </c>
      <c r="M10" s="20">
        <f>ADR_Engine!U7</f>
        <v/>
      </c>
      <c r="N10" s="20">
        <f>ADR_Engine!V7</f>
        <v/>
      </c>
      <c r="O10" s="20">
        <f>ADR_Engine!W7</f>
        <v/>
      </c>
      <c r="P10" s="20">
        <f>ADR_Engine!X7</f>
        <v/>
      </c>
      <c r="Q10" s="20">
        <f>ADR_Engine!Y7</f>
        <v/>
      </c>
      <c r="R10" s="20">
        <f>ADR_Engine!Z7</f>
        <v/>
      </c>
      <c r="S10" s="20">
        <f>ADR_Engine!AA7</f>
        <v/>
      </c>
      <c r="T10" s="20">
        <f>ADR_Engine!AB7</f>
        <v/>
      </c>
      <c r="U10" s="20">
        <f>ADR_Engine!AC7</f>
        <v/>
      </c>
      <c r="V10" s="20">
        <f>ADR_Engine!AD7</f>
        <v/>
      </c>
    </row>
    <row r="11">
      <c r="A11" s="8" t="inlineStr">
        <is>
          <t xml:space="preserve">    y/y</t>
        </is>
      </c>
      <c r="C11" s="30">
        <f>ADR_Engine!K8</f>
        <v/>
      </c>
      <c r="D11" s="30">
        <f>ADR_Engine!L8</f>
        <v/>
      </c>
      <c r="E11" s="30">
        <f>ADR_Engine!M8</f>
        <v/>
      </c>
      <c r="F11" s="30">
        <f>ADR_Engine!N8</f>
        <v/>
      </c>
      <c r="G11" s="10">
        <f>G10/C10-1</f>
        <v/>
      </c>
      <c r="H11" s="10">
        <f>H10/D10-1</f>
        <v/>
      </c>
      <c r="I11" s="10">
        <f>I10/E10-1</f>
        <v/>
      </c>
      <c r="J11" s="10">
        <f>J10/F10-1</f>
        <v/>
      </c>
      <c r="K11" s="10">
        <f>K10/G10-1</f>
        <v/>
      </c>
      <c r="L11" s="10">
        <f>L10/H10-1</f>
        <v/>
      </c>
      <c r="M11" s="10">
        <f>M10/I10-1</f>
        <v/>
      </c>
      <c r="N11" s="10">
        <f>N10/J10-1</f>
        <v/>
      </c>
      <c r="O11" s="10">
        <f>O10/K10-1</f>
        <v/>
      </c>
      <c r="P11" s="10">
        <f>P10/L10-1</f>
        <v/>
      </c>
      <c r="Q11" s="10">
        <f>Q10/M10-1</f>
        <v/>
      </c>
      <c r="R11" s="10">
        <f>R10/N10-1</f>
        <v/>
      </c>
      <c r="S11" s="10">
        <f>S10/O10-1</f>
        <v/>
      </c>
      <c r="T11" s="10">
        <f>T10/P10-1</f>
        <v/>
      </c>
      <c r="U11" s="10">
        <f>U10/Q10-1</f>
        <v/>
      </c>
      <c r="V11" s="10">
        <f>V10/R10-1</f>
        <v/>
      </c>
    </row>
    <row r="12">
      <c r="A12" s="2" t="inlineStr">
        <is>
          <t>Revenue</t>
        </is>
      </c>
      <c r="Q12" s="31" t="n"/>
      <c r="R12" s="31" t="n"/>
      <c r="S12" s="31" t="n"/>
      <c r="T12" s="31" t="n"/>
      <c r="U12" s="31" t="n"/>
      <c r="V12" s="31" t="n"/>
    </row>
    <row r="13">
      <c r="A13" s="8" t="inlineStr">
        <is>
          <t xml:space="preserve">    y/y</t>
        </is>
      </c>
      <c r="Q13" s="31" t="n"/>
      <c r="R13" s="31" t="n"/>
      <c r="S13" s="31" t="n"/>
      <c r="T13" s="31" t="n"/>
      <c r="U13" s="31" t="n"/>
      <c r="V13" s="31" t="n"/>
    </row>
    <row r="14">
      <c r="A14" s="8" t="inlineStr">
        <is>
          <t xml:space="preserve">    Take rate (revenue / GBV)</t>
        </is>
      </c>
      <c r="Q14" s="31" t="n"/>
      <c r="R14" s="31" t="n"/>
      <c r="S14" s="31" t="n"/>
      <c r="T14" s="31" t="n"/>
      <c r="U14" s="31" t="n"/>
      <c r="V14" s="31" t="n"/>
    </row>
    <row r="16">
      <c r="A16" s="8" t="inlineStr">
        <is>
          <t xml:space="preserve">    Cost of revenue (cash)</t>
        </is>
      </c>
      <c r="Q16" s="31" t="n"/>
      <c r="R16" s="31" t="n"/>
      <c r="S16" s="31" t="n"/>
      <c r="T16" s="31" t="n"/>
      <c r="U16" s="31" t="n"/>
      <c r="V16" s="31" t="n"/>
    </row>
    <row r="17">
      <c r="A17" s="8" t="inlineStr">
        <is>
          <t xml:space="preserve">    Operations &amp; support (cash)</t>
        </is>
      </c>
      <c r="Q17" s="31" t="n"/>
      <c r="R17" s="31" t="n"/>
      <c r="S17" s="31" t="n"/>
      <c r="T17" s="31" t="n"/>
      <c r="U17" s="31" t="n"/>
      <c r="V17" s="31" t="n"/>
    </row>
    <row r="18">
      <c r="A18" s="8" t="inlineStr">
        <is>
          <t xml:space="preserve">    Product development (cash)</t>
        </is>
      </c>
      <c r="Q18" s="31" t="n"/>
      <c r="R18" s="31" t="n"/>
      <c r="S18" s="31" t="n"/>
      <c r="T18" s="31" t="n"/>
      <c r="U18" s="31" t="n"/>
      <c r="V18" s="31" t="n"/>
    </row>
    <row r="19">
      <c r="A19" s="8" t="inlineStr">
        <is>
          <t xml:space="preserve">    Sales &amp; marketing (cash)</t>
        </is>
      </c>
      <c r="Q19" s="31" t="n"/>
      <c r="R19" s="31" t="n"/>
      <c r="S19" s="31" t="n"/>
      <c r="T19" s="31" t="n"/>
      <c r="U19" s="31" t="n"/>
      <c r="V19" s="31" t="n"/>
    </row>
    <row r="20">
      <c r="A20" s="8" t="inlineStr">
        <is>
          <t xml:space="preserve">    General &amp; administrative (cash, ex lodging-tax reserves)</t>
        </is>
      </c>
      <c r="Q20" s="31" t="n"/>
      <c r="R20" s="31" t="n"/>
      <c r="S20" s="31" t="n"/>
      <c r="T20" s="31" t="n"/>
      <c r="U20" s="31" t="n"/>
      <c r="V20" s="31" t="n"/>
    </row>
    <row r="21">
      <c r="A21" s="2" t="inlineStr">
        <is>
          <t>Total cash costs</t>
        </is>
      </c>
      <c r="Q21" s="31" t="n"/>
      <c r="R21" s="31" t="n"/>
      <c r="S21" s="31" t="n"/>
      <c r="T21" s="31" t="n"/>
      <c r="U21" s="31" t="n"/>
      <c r="V21" s="31" t="n"/>
    </row>
    <row r="22">
      <c r="A22" s="8" t="inlineStr">
        <is>
          <t xml:space="preserve">    % of revenue</t>
        </is>
      </c>
      <c r="Q22" s="31" t="n"/>
      <c r="R22" s="31" t="n"/>
      <c r="S22" s="31" t="n"/>
      <c r="T22" s="31" t="n"/>
      <c r="U22" s="31" t="n"/>
      <c r="V22" s="31" t="n"/>
    </row>
    <row r="23">
      <c r="A23" s="8" t="inlineStr">
        <is>
          <t xml:space="preserve">    Depreciation &amp; amortisation</t>
        </is>
      </c>
      <c r="Q23" s="31" t="n"/>
      <c r="R23" s="31" t="n"/>
      <c r="S23" s="31" t="n"/>
      <c r="T23" s="31" t="n"/>
      <c r="U23" s="31" t="n"/>
      <c r="V23" s="31" t="n"/>
    </row>
    <row r="24">
      <c r="A24" s="2" t="inlineStr">
        <is>
          <t>Adjusted EBITDA</t>
        </is>
      </c>
      <c r="Q24" s="31" t="n"/>
      <c r="R24" s="31" t="n"/>
      <c r="S24" s="31" t="n"/>
      <c r="T24" s="31" t="n"/>
      <c r="U24" s="31" t="n"/>
      <c r="V24" s="31" t="n"/>
    </row>
    <row r="25">
      <c r="A25" s="8" t="inlineStr">
        <is>
          <t xml:space="preserve">    Adjusted EBITDA margin</t>
        </is>
      </c>
      <c r="Q25" s="31" t="n"/>
      <c r="R25" s="31" t="n"/>
      <c r="S25" s="31" t="n"/>
      <c r="T25" s="31" t="n"/>
      <c r="U25" s="31" t="n"/>
      <c r="V25" s="31" t="n"/>
    </row>
    <row r="27">
      <c r="A27" s="8" t="inlineStr">
        <is>
          <t xml:space="preserve">    Stock-based compensation</t>
        </is>
      </c>
      <c r="Q27" s="31" t="n"/>
      <c r="R27" s="31" t="n"/>
      <c r="S27" s="31" t="n"/>
      <c r="T27" s="31" t="n"/>
      <c r="U27" s="31" t="n"/>
      <c r="V27" s="31" t="n"/>
    </row>
    <row r="28">
      <c r="A28" s="2" t="inlineStr">
        <is>
          <t>Operating income (GAAP)</t>
        </is>
      </c>
      <c r="Q28" s="31" t="n"/>
      <c r="R28" s="31" t="n"/>
      <c r="S28" s="31" t="n"/>
      <c r="T28" s="31" t="n"/>
      <c r="U28" s="31" t="n"/>
      <c r="V28" s="31" t="n"/>
    </row>
    <row r="29">
      <c r="A29" s="8" t="inlineStr">
        <is>
          <t xml:space="preserve">    Interest income</t>
        </is>
      </c>
      <c r="Q29" s="31" t="n"/>
      <c r="R29" s="31" t="n"/>
      <c r="S29" s="31" t="n"/>
      <c r="T29" s="31" t="n"/>
      <c r="U29" s="31" t="n"/>
      <c r="V29" s="31" t="n"/>
    </row>
    <row r="30">
      <c r="A30" s="8" t="inlineStr">
        <is>
          <t xml:space="preserve">    Interest expense</t>
        </is>
      </c>
      <c r="Q30" s="31" t="n"/>
      <c r="R30" s="31" t="n"/>
      <c r="S30" s="31" t="n"/>
      <c r="T30" s="31" t="n"/>
      <c r="U30" s="31" t="n"/>
      <c r="V30" s="31" t="n"/>
    </row>
    <row r="31">
      <c r="A31" s="8" t="inlineStr">
        <is>
          <t xml:space="preserve">    Other income / (expense), net</t>
        </is>
      </c>
      <c r="Q31" s="31" t="n"/>
      <c r="R31" s="31" t="n"/>
      <c r="S31" s="31" t="n"/>
      <c r="T31" s="31" t="n"/>
      <c r="U31" s="31" t="n"/>
      <c r="V31" s="31" t="n"/>
    </row>
    <row r="32">
      <c r="A32" s="2" t="inlineStr">
        <is>
          <t>Pre-tax income</t>
        </is>
      </c>
      <c r="Q32" s="31" t="n"/>
      <c r="R32" s="31" t="n"/>
      <c r="S32" s="31" t="n"/>
      <c r="T32" s="31" t="n"/>
      <c r="U32" s="31" t="n"/>
      <c r="V32" s="31" t="n"/>
    </row>
    <row r="33">
      <c r="A33" s="8" t="inlineStr">
        <is>
          <t xml:space="preserve">    Income tax</t>
        </is>
      </c>
      <c r="Q33" s="31" t="n"/>
      <c r="R33" s="31" t="n"/>
      <c r="S33" s="31" t="n"/>
      <c r="T33" s="31" t="n"/>
      <c r="U33" s="31" t="n"/>
      <c r="V33" s="31" t="n"/>
    </row>
    <row r="34">
      <c r="A34" s="2" t="inlineStr">
        <is>
          <t>Net income</t>
        </is>
      </c>
      <c r="Q34" s="31" t="n"/>
      <c r="R34" s="31" t="n"/>
      <c r="S34" s="31" t="n"/>
      <c r="T34" s="31" t="n"/>
      <c r="U34" s="31" t="n"/>
      <c r="V34" s="31" t="n"/>
    </row>
    <row r="35">
      <c r="A35" s="8" t="inlineStr">
        <is>
          <t xml:space="preserve">    Diluted shares (m)</t>
        </is>
      </c>
      <c r="Q35" s="31" t="n"/>
      <c r="R35" s="31" t="n"/>
      <c r="S35" s="31" t="n"/>
      <c r="T35" s="31" t="n"/>
      <c r="U35" s="31" t="n"/>
      <c r="V35" s="31" t="n"/>
    </row>
    <row r="36">
      <c r="A36" s="2" t="inlineStr">
        <is>
          <t>Diluted EPS ($)</t>
        </is>
      </c>
      <c r="Q36" s="31" t="n"/>
      <c r="R36" s="31" t="n"/>
      <c r="S36" s="31" t="n"/>
      <c r="T36" s="31" t="n"/>
      <c r="U36" s="31" t="n"/>
      <c r="V36" s="3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  <col width="22" customWidth="1" min="3" max="3"/>
  </cols>
  <sheetData>
    <row r="1">
      <c r="A1" s="1" t="inlineStr">
        <is>
          <t>Sources and decisions</t>
        </is>
      </c>
      <c r="B1" s="1" t="n"/>
      <c r="C1" s="1" t="n"/>
    </row>
    <row r="2">
      <c r="A2" s="8" t="inlineStr">
        <is>
          <t>Printed nights</t>
        </is>
      </c>
      <c r="B2" s="8" t="inlineStr">
        <is>
          <t>data/processed/abnb_driver_history_quarterly.csv</t>
        </is>
      </c>
      <c r="C2" s="8" t="inlineStr">
        <is>
          <t>DEC-0003</t>
        </is>
      </c>
    </row>
    <row r="3">
      <c r="A3" s="8" t="inlineStr">
        <is>
          <t>Review counts, two vintages</t>
        </is>
      </c>
      <c r="B3" s="8" t="inlineStr">
        <is>
          <t>data/processed/q3nowcast/E/market_vintage_monthly.csv; q3nowcast_v2/E</t>
        </is>
      </c>
      <c r="C3" s="8" t="inlineStr">
        <is>
          <t>E note; WPK-A</t>
        </is>
      </c>
    </row>
    <row r="4">
      <c r="A4" s="8" t="inlineStr">
        <is>
          <t>Regional stays growth (vmatch)</t>
        </is>
      </c>
      <c r="B4" s="8" t="inlineStr">
        <is>
          <t>data/processed/forecast_methods/reviews_index_v2/index_regional_vmatch_pct.csv</t>
        </is>
      </c>
      <c r="C4" s="8" t="inlineStr">
        <is>
          <t>REVIEWS_INDEX_v2 §2</t>
        </is>
      </c>
    </row>
    <row r="5">
      <c r="A5" s="8" t="inlineStr">
        <is>
          <t>Stay-mix weights</t>
        </is>
      </c>
      <c r="B5" s="8" t="inlineStr">
        <is>
          <t>reviews_index_v2/mix_weights_stay_quarter.csv ← overnight/10_regional_panel_quarterly.csv</t>
        </is>
      </c>
      <c r="C5" s="8" t="inlineStr">
        <is>
          <t>§5 (v2.1)</t>
        </is>
      </c>
    </row>
    <row r="6">
      <c r="A6" s="8" t="inlineStr">
        <is>
          <t>3Q26 quarter-to-date by region</t>
        </is>
      </c>
      <c r="B6" s="8" t="inlineStr">
        <is>
          <t>data/processed/q3nowcast/E/vintage_matched_nowcast.csv; q3_2026_nowcast.csv</t>
        </is>
      </c>
      <c r="C6" s="8" t="inlineStr">
        <is>
          <t>E6</t>
        </is>
      </c>
    </row>
    <row r="7">
      <c r="A7" s="8" t="inlineStr">
        <is>
          <t>Lead-time kernel</t>
        </is>
      </c>
      <c r="B7" s="8" t="inlineStr">
        <is>
          <t>data/processed/forecast_methods/kernel_leadtime_v2/K2_M_matrix.csv</t>
        </is>
      </c>
      <c r="C7" s="8" t="inlineStr">
        <is>
          <t>kernel lane</t>
        </is>
      </c>
    </row>
    <row r="8">
      <c r="A8" s="8" t="inlineStr">
        <is>
          <t>Base path components</t>
        </is>
      </c>
      <c r="B8" s="8" t="inlineStr">
        <is>
          <t>docs/pitch-model-v2/lines/final_nights.md §4–6</t>
        </is>
      </c>
      <c r="C8" s="8" t="inlineStr">
        <is>
          <t>DEC-0019 / 0025 / 0029</t>
        </is>
      </c>
    </row>
    <row r="9">
      <c r="A9" s="8" t="inlineStr">
        <is>
          <t>Street nights</t>
        </is>
      </c>
      <c r="B9" s="8" t="inlineStr">
        <is>
          <t>Bloomberg MODL 12 Sep 2026</t>
        </is>
      </c>
      <c r="C9" s="8" t="inlineStr">
        <is>
          <t>DEC-0005</t>
        </is>
      </c>
    </row>
    <row r="10">
      <c r="A10" s="8" t="inlineStr">
        <is>
          <t>Guidance</t>
        </is>
      </c>
      <c r="B10" s="8" t="inlineStr">
        <is>
          <t>data/processed/overnight/02_guidance_ledger.csv</t>
        </is>
      </c>
      <c r="C10" s="8" t="inlineStr">
        <is>
          <t>letters</t>
        </is>
      </c>
    </row>
    <row r="11">
      <c r="A11" s="8" t="inlineStr">
        <is>
          <t>Unearned fees, GBV</t>
        </is>
      </c>
      <c r="B11" s="8" t="inlineStr">
        <is>
          <t>data/processed/overnight/02_kpi_panel_quarterly.csv</t>
        </is>
      </c>
      <c r="C11" s="8" t="inlineStr">
        <is>
          <t>RNPL audit</t>
        </is>
      </c>
    </row>
    <row r="12">
      <c r="A12" s="8" t="inlineStr">
        <is>
          <t>Eurostat panel statistics</t>
        </is>
      </c>
      <c r="B12" s="8" t="inlineStr">
        <is>
          <t>reviews_index_v2/stage_a_tests.csv</t>
        </is>
      </c>
      <c r="C12" s="8" t="inlineStr">
        <is>
          <t>§2.2</t>
        </is>
      </c>
    </row>
    <row r="13">
      <c r="A13" s="8" t="inlineStr">
        <is>
          <t>ADR, ex-FX ADR, FX effect (letters)</t>
        </is>
      </c>
      <c r="B13" s="8" t="inlineStr">
        <is>
          <t>data/processed/overnight/02_kpi_panel_quarterly.csv (adr_usd, adr_yoy_exfx_pct, fx_pts_adr)</t>
        </is>
      </c>
      <c r="C13" s="8" t="inlineStr">
        <is>
          <t>X1 §2a</t>
        </is>
      </c>
    </row>
    <row r="14">
      <c r="A14" s="8" t="inlineStr">
        <is>
          <t>Daily FX (FRED H.10, 9 bilaterals + broad dollar)</t>
        </is>
      </c>
      <c r="B14" s="8" t="inlineStr">
        <is>
          <t>data/processed/pitch_model_v2/adr_engine/fx_daily_2026-09-21.csv (fetch_fx.py)</t>
        </is>
      </c>
      <c r="C14" s="8" t="inlineStr">
        <is>
          <t>adr_fx_prereg §1</t>
        </is>
      </c>
    </row>
    <row r="15">
      <c r="A15" s="8" t="inlineStr">
        <is>
          <t>Destination-currency baskets κ</t>
        </is>
      </c>
      <c r="B15" s="8" t="inlineStr">
        <is>
          <t>data/processed/forecast_methods/fx_lag_v2/01b_basket_weights_used.csv (judgement, frozen)</t>
        </is>
      </c>
      <c r="C15" s="8" t="inlineStr">
        <is>
          <t>adr_fx_prereg §2</t>
        </is>
      </c>
    </row>
    <row r="16">
      <c r="A16" s="8" t="inlineStr">
        <is>
          <t>Regional GBV shares (10-K Geographic Mix)</t>
        </is>
      </c>
      <c r="B16" s="8" t="inlineStr">
        <is>
          <t>data/processed/adr/01_regional_annual.csv gbv_share_pct</t>
        </is>
      </c>
      <c r="C16" s="8" t="inlineStr">
        <is>
          <t>adr_fx_prereg §2</t>
        </is>
      </c>
    </row>
    <row r="17">
      <c r="A17" s="8" t="inlineStr">
        <is>
          <t>Ex-FX decomposition history</t>
        </is>
      </c>
      <c r="B17" s="8" t="inlineStr">
        <is>
          <t>data/processed/q3nowcast/H/adr_history_components.csv; adrq3/I/I_mix_terms_3q26.csv; adrv3/K/K4_*</t>
        </is>
      </c>
      <c r="C17" s="8" t="inlineStr">
        <is>
          <t>D4, adr_v1_design §3</t>
        </is>
      </c>
    </row>
    <row r="18">
      <c r="A18" s="8" t="inlineStr">
        <is>
          <t>Bundle ADR contribution (~1pp, transcript-only)</t>
        </is>
      </c>
      <c r="B18" s="8" t="inlineStr">
        <is>
          <t>ledger D014 (4Q25 call), D032 (1Q26 call); filed substitute D031 'roughly 20% of GBV from RNPL'</t>
        </is>
      </c>
      <c r="C18" s="8" t="inlineStr">
        <is>
          <t>adr_v1_design §3</t>
        </is>
      </c>
    </row>
    <row r="19">
      <c r="A19" s="8" t="inlineStr">
        <is>
          <t>Regional ADR levels and shares</t>
        </is>
      </c>
      <c r="B19" s="8" t="inlineStr">
        <is>
          <t>data/processed/adr/04_regional_quarterly_wide.csv (disclosed-chained)</t>
        </is>
      </c>
      <c r="C19" s="8" t="inlineStr">
        <is>
          <t>adr_v1_design §3.3</t>
        </is>
      </c>
    </row>
    <row r="20">
      <c r="A20" s="8" t="inlineStr">
        <is>
          <t>Street ADR</t>
        </is>
      </c>
      <c r="B20" s="8" t="inlineStr">
        <is>
          <t>Bloomberg MODL screenshot 12 Sep 2026 (3Q26 n 26, 4Q26 n 25)</t>
        </is>
      </c>
      <c r="C20" s="8" t="inlineStr">
        <is>
          <t>DEC-0005 / V1</t>
        </is>
      </c>
    </row>
    <row r="21">
      <c r="A21" s="8" t="inlineStr">
        <is>
          <t>ADR engine outputs</t>
        </is>
      </c>
      <c r="B21" s="8" t="inlineStr">
        <is>
          <t>data/processed/pitch_model_v2/adr_engine/ (fx_scores.csv, fx_forecast_asof.csv, adr_path.csv, …)</t>
        </is>
      </c>
      <c r="C21" s="8" t="inlineStr">
        <is>
          <t>adr_fx_prereg §9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2026-09-22T13:42:54Z</dcterms:created>
  <dcterms:modified xsi:type="dcterms:W3CDTF">2026-09-22T13:42:54Z</dcterms:modified>
</cp:coreProperties>
</file>