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Cover" sheetId="1" state="visible" r:id="rId1"/>
    <s:sheet name="Nights_Engine" sheetId="2" state="visible" r:id="rId2"/>
    <s:sheet name="ADR_Engine" sheetId="3" state="visible" r:id="rId3"/>
    <s:sheet name="Income_Statement" sheetId="4" state="visible" r:id="rId4"/>
    <s:sheet name="Sources" sheetId="5" state="visible" r:id="rId5"/>
  </s:sheets>
  <s:definedNames/>
  <s:calcPr calcId="124519" fullCalcOnLoad="1"/>
</s:workbook>
</file>

<file path=xl/styles.xml><?xml version="1.0" encoding="utf-8"?>
<styleSheet xmlns="http://schemas.openxmlformats.org/spreadsheetml/2006/main">
  <numFmts count="6">
    <numFmt numFmtId="164" formatCode="0.0"/>
    <numFmt numFmtId="165" formatCode="0.000"/>
    <numFmt numFmtId="166" formatCode="0.0%"/>
    <numFmt numFmtId="167" formatCode="0.000000"/>
    <numFmt numFmtId="168" formatCode="0.0000"/>
    <numFmt numFmtId="169" formatCode="0.00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FF385C"/>
      </patternFill>
    </fill>
    <fill>
      <patternFill patternType="solid">
        <fgColor rgb="00222222"/>
      </patternFill>
    </fill>
    <fill>
      <patternFill patternType="solid">
        <fgColor rgb="00FFE1E7"/>
      </patternFill>
    </fill>
    <fill>
      <patternFill patternType="solid">
        <fgColor rgb="00FFF5F7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164" fontId="4" fillId="0" borderId="0" pivotButton="0" quotePrefix="0" xfId="0"/>
    <xf numFmtId="10" fontId="5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2" fontId="5" fillId="4" borderId="0" pivotButton="0" quotePrefix="0" xfId="0"/>
    <xf numFmtId="165" fontId="5" fillId="4" borderId="0" pivotButton="0" quotePrefix="0" xfId="0"/>
    <xf numFmtId="2" fontId="5" fillId="0" borderId="0" pivotButton="0" quotePrefix="0" xfId="0"/>
    <xf numFmtId="165" fontId="5" fillId="0" borderId="0" pivotButton="0" quotePrefix="0" xfId="0"/>
    <xf numFmtId="165" fontId="6" fillId="4" borderId="0" pivotButton="0" quotePrefix="0" xfId="0"/>
    <xf numFmtId="165" fontId="7" fillId="0" borderId="0" pivotButton="0" quotePrefix="0" xfId="0"/>
    <xf numFmtId="2" fontId="6" fillId="4" borderId="0" pivotButton="0" quotePrefix="0" xfId="0"/>
    <xf numFmtId="2" fontId="7" fillId="0" borderId="0" pivotButton="0" quotePrefix="0" xfId="0"/>
    <xf numFmtId="164" fontId="6" fillId="4" borderId="0" pivotButton="0" quotePrefix="0" xfId="0"/>
    <xf numFmtId="164" fontId="5" fillId="0" borderId="0" pivotButton="0" quotePrefix="0" xfId="0"/>
    <xf numFmtId="0" fontId="4" fillId="0" borderId="0" pivotButton="0" quotePrefix="0" xfId="0"/>
    <xf numFmtId="166" fontId="6" fillId="4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4" fontId="7" fillId="0" borderId="0" pivotButton="0" quotePrefix="0" xfId="0"/>
    <xf numFmtId="164" fontId="7" fillId="5" borderId="0" pivotButton="0" quotePrefix="0" xfId="0"/>
    <xf numFmtId="164" fontId="5" fillId="5" borderId="0" pivotButton="0" quotePrefix="0" xfId="0"/>
    <xf numFmtId="10" fontId="7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166" fontId="5" fillId="0" borderId="0" pivotButton="0" quotePrefix="0" xfId="0"/>
    <xf numFmtId="169" fontId="5" fillId="0" borderId="0" pivotButton="0" quotePrefix="0" xfId="0"/>
    <xf numFmtId="16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Printed nights y/y vs stays-implied (frozen mapping) — history</a:t>
            </a:r>
          </a:p>
        </rich>
      </tx>
    </title>
    <plotArea>
      <lineChart>
        <grouping val="standard"/>
        <ser>
          <idx val="0"/>
          <order val="0"/>
          <tx>
            <v>printed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'Nights_Engine'!$K$4:$X$4</f>
            </numRef>
          </cat>
          <val>
            <numRef>
              <f>'Nights_Engine'!$K$112:$X$112</f>
            </numRef>
          </val>
          <smooth val="0"/>
        </ser>
        <ser>
          <idx val="1"/>
          <order val="1"/>
          <tx>
            <v>stays-implied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'Nights_Engine'!$K$4:$X$4</f>
            </numRef>
          </cat>
          <val>
            <numRef>
              <f>'Nights_Engine'!$K$115:$X$115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Our view vs the Street — base print path, stays path, Street</a:t>
            </a:r>
          </a:p>
        </rich>
      </tx>
    </title>
    <plotArea>
      <lineChart>
        <grouping val="standard"/>
        <ser>
          <idx val="0"/>
          <order val="0"/>
          <tx>
            <v>our view (print)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'Nights_Engine'!$K$4:$AD$4</f>
            </numRef>
          </cat>
          <val>
            <numRef>
              <f>'Nights_Engine'!$K$113:$AD$113</f>
            </numRef>
          </val>
          <smooth val="0"/>
        </ser>
        <ser>
          <idx val="1"/>
          <order val="1"/>
          <tx>
            <v>stays path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'Nights_Engine'!$K$4:$AD$4</f>
            </numRef>
          </cat>
          <val>
            <numRef>
              <f>'Nights_Engine'!$K$115:$AD$115</f>
            </numRef>
          </val>
          <smooth val="0"/>
        </ser>
        <ser>
          <idx val="2"/>
          <order val="2"/>
          <tx>
            <v>Street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'Nights_Engine'!$K$4:$AD$4</f>
            </numRef>
          </cat>
          <val>
            <numRef>
              <f>'Nights_Engine'!$K$114:$AD$114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4"/>
          <min val="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The option term: printed − stays-implied (pp), 3Q25–2Q26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'Nights_Engine'!$O$4:$X$4</f>
            </numRef>
          </cat>
          <val>
            <numRef>
              <f>'Nights_Engine'!$O$26:$X$26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RNPL written: unearned fees y/y vs GBV y/y</a:t>
            </a:r>
          </a:p>
        </rich>
      </tx>
    </title>
    <plotArea>
      <lineChart>
        <grouping val="standard"/>
        <ser>
          <idx val="0"/>
          <order val="0"/>
          <tx>
            <v>unearned fees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'Nights_Engine'!$K$4:$X$4</f>
            </numRef>
          </cat>
          <val>
            <numRef>
              <f>'Nights_Engine'!$K$94:$X$94</f>
            </numRef>
          </val>
          <smooth val="0"/>
        </ser>
        <ser>
          <idx val="1"/>
          <order val="1"/>
          <tx>
            <v>GBV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'Nights_Engine'!$K$4:$X$4</f>
            </numRef>
          </cat>
          <val>
            <numRef>
              <f>'Nights_Engine'!$K$95:$X$95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ADR $: printed, then the engine path, vs the Street</a:t>
            </a:r>
          </a:p>
        </rich>
      </tx>
    </title>
    <plotArea>
      <lineChart>
        <grouping val="standard"/>
        <ser>
          <idx val="0"/>
          <order val="0"/>
          <tx>
            <v>ADR $ (printed, then engine)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'ADR_Engine'!$O$4:$AD$4</f>
            </numRef>
          </cat>
          <val>
            <numRef>
              <f>'ADR_Engine'!$O$146:$AD$146</f>
            </numRef>
          </val>
          <smooth val="0"/>
        </ser>
        <ser>
          <idx val="1"/>
          <order val="1"/>
          <tx>
            <v>Street ADR $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'ADR_Engine'!$O$4:$AD$4</f>
            </numRef>
          </cat>
          <val>
            <numRef>
              <f>'ADR_Engine'!$O$147:$AD$147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FX effect on ADR (pp): translation identity vs disclosed</a:t>
            </a:r>
          </a:p>
        </rich>
      </tx>
    </title>
    <plotArea>
      <lineChart>
        <grouping val="standard"/>
        <ser>
          <idx val="0"/>
          <order val="0"/>
          <tx>
            <v>FX identity (pp)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'ADR_Engine'!$O$4:$AD$4</f>
            </numRef>
          </cat>
          <val>
            <numRef>
              <f>'ADR_Engine'!$O$148:$AD$148</f>
            </numRef>
          </val>
          <smooth val="0"/>
        </ser>
        <ser>
          <idx val="1"/>
          <order val="1"/>
          <tx>
            <v>disclosed FX (pp)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'ADR_Engine'!$O$4:$AD$4</f>
            </numRef>
          </cat>
          <val>
            <numRef>
              <f>'ADR_Engine'!$O$149:$AD$149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5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31</col>
      <colOff>0</colOff>
      <row>25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31</col>
      <colOff>0</colOff>
      <row>45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31</col>
      <colOff>0</colOff>
      <row>63</row>
      <rowOff>0</rowOff>
    </from>
    <ext cx="79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150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150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12"/>
  <s:sheetViews>
    <s:sheetView workbookViewId="0">
      <s:selection activeCell="A1" sqref="A1"/>
    </s:sheetView>
  </s:sheetViews>
  <s:sheetFormatPr baseColWidth="8" defaultRowHeight="15"/>
  <s:cols>
    <s:col width="30" customWidth="1" min="1" max="1"/>
    <s:col width="110" customWidth="1" min="2" max="2"/>
  </s:cols>
  <s:sheetData>
    <s:row r="1">
      <s:c r="A1" s="1" t="inlineStr">
        <s:is>
          <s:t>Airbnb (ABNB) — official model, built line by line. Line 1: nights. Line 2: ADR.</s:t>
        </s:is>
      </s:c>
      <s:c r="B1" s="1" t="n"/>
    </s:row>
    <s:row r="3" ht="48" customHeight="1">
      <s:c r="A3" s="2" t="inlineStr">
        <s:is>
          <s:t>What this is</s:t>
        </s:is>
      </s:c>
      <s:c r="B3" s="3" t="inlineStr">
        <s:is>
          <s:t>The nights engine (reviews_index_v2, v2.1) laid out cell by cell, and the income-statement scaffold with nights as its first line. Everything derivable is an Excel formula; every input carries its source.</s:t>
        </s:is>
      </s:c>
    </s:row>
    <s:row r="4" ht="48" customHeight="1">
      <s:c r="A4" s="2" t="inlineStr">
        <s:is>
          <s:t>How to trace</s:t>
        </s:is>
      </s:c>
      <s:c r="B4" s="3" t="inlineStr">
        <s:is>
          <s:t>Nights_Engine, blocks A–H: printed nights → regional stays growth × stay-mix weights = index → INTERCEPT/SLOPE on 1Q23–2Q25 = the frozen mapping → walk-forward W1/W2 reproduced row by row → 3Q26 read → the option term (scenarios, y/y lap, kernel landing) → forward path as sums of sourced components → Street, guidance, tail probability → unearned fees vs GBV → Stage A statistics.</s:t>
        </s:is>
      </s:c>
    </s:row>
    <s:row r="5" ht="48" customHeight="1">
      <s:c r="A5" s="2" t="inlineStr">
        <s:is>
          <s:t>Colours</s:t>
        </s:is>
      </s:c>
      <s:c r="B5" s="3" t="inlineStr">
        <s:is>
          <s:t>Header fill FF385C = section; fill 222222 = block title; blue text = input with source; black = formula; green = link to another sheet or block; pink fill = a headline number; yellow fill = to be built.</s:t>
        </s:is>
      </s:c>
    </s:row>
    <s:row r="6" ht="48" customHeight="1">
      <s:c r="A6" s="2" t="inlineStr">
        <s:is>
          <s:t>Engine</s:t>
        </s:is>
      </s:c>
      <s:c r="B6" s="3" t="inlineStr">
        <s:is>
          <s:t>analysis/src/forecast_methods/reviews_index_v2 — python3 run.py --stage all (≈15 s), then python3 workbook.py rebuilds this file. Spec, pre-registration and results: docs/revenue-forecast-strategy/05_backtests/REVIEWS_INDEX_v2.md; rationale: REVIEWS_INDEX_v2_RATIONALE.md.</s:t>
        </s:is>
      </s:c>
    </s:row>
    <s:row r="7" ht="48" customHeight="1">
      <s:c r="A7" s="2" t="inlineStr">
        <s:is>
          <s:t>Status</s:t>
        </s:is>
      </s:c>
      <s:c r="B7" s="3" t="inlineStr">
        <s:is>
          <s:t>Nights: built (DEC-0029 base 146.8m). ADR: built (ADR_Engine; pre-registered FX identity promoted, ex-FX mechanism with the bundle lapping on filed dates; proposed DEC-0034/0035 pending Theo), then extended with the v2 geo-mix layer and hardened by the four mitigations of 22 Sep (block G; DEC-0037–0041 pending Theo). Base ADR path unchanged by the mitigations: 3Q26 $177.68, 4Q26 $173.03. GBV = nights × ADR on Income_Statement row 8. Income statement: history 1Q23-2Q26 plugged from the reconciled financial panel; forecast cost lines, SBC, D&amp;A and below-the-line plugged from the 40_line_build base (DEC-0022); take rate Street-implied for 3Q26-4Q26 (DEC-0018) and seasonal naive thereafter, so the margin is an output of our own nights x ADR. Open: DEC-0023 hosting step.</s:t>
        </s:is>
      </s:c>
    </s:row>
    <s:row r="8" ht="48" customHeight="1">
      <s:c r="A8" s="2" t="inlineStr">
        <s:is>
          <s:t>Verification</s:t>
        </s:is>
      </s:c>
      <s:c r="B8" s="3" t="inlineStr">
        <s:is>
          <s:t>Nights: formulas recalculated in Excel and checked against the engine (block 'Engine reference values'). ADR: formulas written by adr_engine/workbook.py; open in Excel to recalculate, then tie out block E (walk-forward ratios, FX pp, ADR $).</s:t>
        </s:is>
      </s:c>
    </s:row>
    <s:row r="9"/>
    <s:row r="10"/>
    <s:row r="11"/>
    <s:row r="12"/>
  </s:sheetData>
  <s:pageMargins left="0.75" right="0.75" top="1" bottom="1" header="0.5" footer="0.5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AD115"/>
  <s:sheetViews>
    <s:sheetView workbookViewId="0">
      <s:pane xSplit="2" ySplit="4" topLeftCell="C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6" customWidth="1" min="1" max="1"/>
    <s:col width="34" customWidth="1" min="2" max="2"/>
    <s:col width="9.5" customWidth="1" min="3" max="3"/>
    <s:col width="9.5" customWidth="1" min="4" max="4"/>
    <s:col width="9.5" customWidth="1" min="5" max="5"/>
    <s:col width="9.5" customWidth="1" min="6" max="6"/>
    <s:col width="9.5" customWidth="1" min="7" max="7"/>
    <s:col width="9.5" customWidth="1" min="8" max="8"/>
    <s:col width="9.5" customWidth="1" min="9" max="9"/>
    <s:col width="9.5" customWidth="1" min="10" max="10"/>
    <s:col width="9.5" customWidth="1" min="11" max="11"/>
    <s:col width="9.5" customWidth="1" min="12" max="12"/>
    <s:col width="9.5" customWidth="1" min="13" max="13"/>
    <s:col width="9.5" customWidth="1" min="14" max="14"/>
    <s:col width="9.5" customWidth="1" min="15" max="15"/>
    <s:col width="9.5" customWidth="1" min="16" max="16"/>
    <s:col width="9.5" customWidth="1" min="17" max="17"/>
    <s:col width="9.5" customWidth="1" min="18" max="18"/>
    <s:col width="9.5" customWidth="1" min="19" max="19"/>
    <s:col width="9.5" customWidth="1" min="20" max="20"/>
    <s:col width="9.5" customWidth="1" min="21" max="21"/>
    <s:col width="9.5" customWidth="1" min="22" max="22"/>
    <s:col width="9.5" customWidth="1" min="23" max="23"/>
    <s:col width="9.5" customWidth="1" min="24" max="24"/>
    <s:col width="9.5" customWidth="1" min="25" max="25"/>
    <s:col width="9.5" customWidth="1" min="26" max="26"/>
    <s:col width="9.5" customWidth="1" min="27" max="27"/>
    <s:col width="9.5" customWidth="1" min="28" max="28"/>
    <s:col width="9.5" customWidth="1" min="29" max="29"/>
    <s:col width="9.5" customWidth="1" min="30" max="30"/>
  </s:cols>
  <s:sheetData>
    <s:row r="1">
      <s:c r="A1" s="1" t="inlineStr">
        <s:is>
          <s:t>Airbnb — nights engine (reviews_index_v2, v2.1 stay-quarter mix). Blue = input with source; black = formula; green = link.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" t="n"/>
      <s:c r="O1" s="1" t="n"/>
      <s:c r="P1" s="1" t="n"/>
      <s:c r="Q1" s="1" t="n"/>
      <s:c r="R1" s="1" t="n"/>
      <s:c r="S1" s="1" t="n"/>
      <s:c r="T1" s="1" t="n"/>
      <s:c r="U1" s="1" t="n"/>
      <s:c r="V1" s="1" t="n"/>
      <s:c r="W1" s="1" t="n"/>
      <s:c r="X1" s="1" t="n"/>
      <s:c r="Y1" s="1" t="n"/>
      <s:c r="Z1" s="1" t="n"/>
      <s:c r="AA1" s="1" t="n"/>
      <s:c r="AB1" s="1" t="n"/>
      <s:c r="AC1" s="1" t="n"/>
      <s:c r="AD1" s="1" t="n"/>
    </s:row>
    <s:row r="2">
      <s:c r="A2" s="4" t="inlineStr">
        <s:is>
          <s:t>Every number below can be traced: inputs carry their file path; every derived cell is an Excel formula on the cells above it. Engine: analysis/src/forecast_methods/reviews_index_v2 (run.py --stage all); note: docs/revenue-forecast-strategy/05_backtests/REVIEWS_INDEX_v2.md</s:t>
        </s:is>
      </s:c>
    </s:row>
    <s:row r="4">
      <s:c r="A4" s="5" t="inlineStr">
        <s:is>
          <s:t>Quarter</s:t>
        </s:is>
      </s:c>
      <s:c r="B4" s="6" t="inlineStr">
        <s:is>
          <s:t>A = printed, E = engine</s:t>
        </s:is>
      </s:c>
      <s:c r="C4" s="7" t="inlineStr">
        <s:is>
          <s:t>1Q21A</s:t>
        </s:is>
      </s:c>
      <s:c r="D4" s="7" t="inlineStr">
        <s:is>
          <s:t>2Q21A</s:t>
        </s:is>
      </s:c>
      <s:c r="E4" s="7" t="inlineStr">
        <s:is>
          <s:t>3Q21A</s:t>
        </s:is>
      </s:c>
      <s:c r="F4" s="7" t="inlineStr">
        <s:is>
          <s:t>4Q21A</s:t>
        </s:is>
      </s:c>
      <s:c r="G4" s="7" t="inlineStr">
        <s:is>
          <s:t>1Q22A</s:t>
        </s:is>
      </s:c>
      <s:c r="H4" s="7" t="inlineStr">
        <s:is>
          <s:t>2Q22A</s:t>
        </s:is>
      </s:c>
      <s:c r="I4" s="7" t="inlineStr">
        <s:is>
          <s:t>3Q22A</s:t>
        </s:is>
      </s:c>
      <s:c r="J4" s="7" t="inlineStr">
        <s:is>
          <s:t>4Q22A</s:t>
        </s:is>
      </s:c>
      <s:c r="K4" s="7" t="inlineStr">
        <s:is>
          <s:t>1Q23A</s:t>
        </s:is>
      </s:c>
      <s:c r="L4" s="7" t="inlineStr">
        <s:is>
          <s:t>2Q23A</s:t>
        </s:is>
      </s:c>
      <s:c r="M4" s="7" t="inlineStr">
        <s:is>
          <s:t>3Q23A</s:t>
        </s:is>
      </s:c>
      <s:c r="N4" s="7" t="inlineStr">
        <s:is>
          <s:t>4Q23A</s:t>
        </s:is>
      </s:c>
      <s:c r="O4" s="7" t="inlineStr">
        <s:is>
          <s:t>1Q24A</s:t>
        </s:is>
      </s:c>
      <s:c r="P4" s="7" t="inlineStr">
        <s:is>
          <s:t>2Q24A</s:t>
        </s:is>
      </s:c>
      <s:c r="Q4" s="7" t="inlineStr">
        <s:is>
          <s:t>3Q24A</s:t>
        </s:is>
      </s:c>
      <s:c r="R4" s="7" t="inlineStr">
        <s:is>
          <s:t>4Q24A</s:t>
        </s:is>
      </s:c>
      <s:c r="S4" s="7" t="inlineStr">
        <s:is>
          <s:t>1Q25A</s:t>
        </s:is>
      </s:c>
      <s:c r="T4" s="7" t="inlineStr">
        <s:is>
          <s:t>2Q25A</s:t>
        </s:is>
      </s:c>
      <s:c r="U4" s="7" t="inlineStr">
        <s:is>
          <s:t>3Q25A</s:t>
        </s:is>
      </s:c>
      <s:c r="V4" s="7" t="inlineStr">
        <s:is>
          <s:t>4Q25A</s:t>
        </s:is>
      </s:c>
      <s:c r="W4" s="7" t="inlineStr">
        <s:is>
          <s:t>1Q26A</s:t>
        </s:is>
      </s:c>
      <s:c r="X4" s="7" t="inlineStr">
        <s:is>
          <s:t>2Q26A</s:t>
        </s:is>
      </s:c>
      <s:c r="Y4" s="7" t="inlineStr">
        <s:is>
          <s:t>3Q26E</s:t>
        </s:is>
      </s:c>
      <s:c r="Z4" s="7" t="inlineStr">
        <s:is>
          <s:t>4Q26E</s:t>
        </s:is>
      </s:c>
      <s:c r="AA4" s="7" t="inlineStr">
        <s:is>
          <s:t>1Q27E</s:t>
        </s:is>
      </s:c>
      <s:c r="AB4" s="7" t="inlineStr">
        <s:is>
          <s:t>2Q27E</s:t>
        </s:is>
      </s:c>
      <s:c r="AC4" s="7" t="inlineStr">
        <s:is>
          <s:t>3Q27E</s:t>
        </s:is>
      </s:c>
      <s:c r="AD4" s="7" t="inlineStr">
        <s:is>
          <s:t>4Q27E</s:t>
        </s:is>
      </s:c>
    </s:row>
    <s:row r="5"/>
    <s:row r="6">
      <s:c r="A6" s="5" t="inlineStr">
        <s:is>
          <s:t>A. Printed nights (the KPI, booking-dated)</s:t>
        </s:is>
      </s:c>
      <s:c r="B6" s="5" t="n"/>
      <s:c r="C6" s="5" t="n"/>
      <s:c r="D6" s="5" t="n"/>
      <s:c r="E6" s="5" t="n"/>
      <s:c r="F6" s="5" t="n"/>
      <s:c r="G6" s="5" t="n"/>
      <s:c r="H6" s="5" t="n"/>
      <s:c r="I6" s="5" t="n"/>
      <s:c r="J6" s="5" t="n"/>
      <s:c r="K6" s="5" t="n"/>
      <s:c r="L6" s="5" t="n"/>
      <s:c r="M6" s="5" t="n"/>
      <s:c r="N6" s="5" t="n"/>
      <s:c r="O6" s="5" t="n"/>
      <s:c r="P6" s="5" t="n"/>
      <s:c r="Q6" s="5" t="n"/>
      <s:c r="R6" s="5" t="n"/>
      <s:c r="S6" s="5" t="n"/>
      <s:c r="T6" s="5" t="n"/>
      <s:c r="U6" s="5" t="n"/>
      <s:c r="V6" s="5" t="n"/>
      <s:c r="W6" s="5" t="n"/>
      <s:c r="X6" s="5" t="n"/>
      <s:c r="Y6" s="5" t="n"/>
      <s:c r="Z6" s="5" t="n"/>
      <s:c r="AA6" s="5" t="n"/>
      <s:c r="AB6" s="5" t="n"/>
      <s:c r="AC6" s="5" t="n"/>
      <s:c r="AD6" s="5" t="n"/>
    </s:row>
    <s:row r="7">
      <s:c r="A7" s="8" t="inlineStr">
        <s:is>
          <s:t>Nights &amp; seats booked (m)</s:t>
        </s:is>
      </s:c>
      <s:c r="B7" s="4" t="inlineStr">
        <s:is>
          <s:t>data/processed/abnb_driver_history_quarterly.csv (10-Q/10-K)</s:t>
        </s:is>
      </s:c>
      <s:c r="C7" s="9" t="n">
        <s:v>64.40000000000001</s:v>
      </s:c>
      <s:c r="D7" s="9" t="n">
        <s:v>83.09999999999999</s:v>
      </s:c>
      <s:c r="E7" s="9" t="n">
        <s:v>79.7</s:v>
      </s:c>
      <s:c r="F7" s="9" t="n">
        <s:v>73.40000000000001</s:v>
      </s:c>
      <s:c r="G7" s="9" t="n">
        <s:v>102.1</s:v>
      </s:c>
      <s:c r="H7" s="9" t="n">
        <s:v>103.7</s:v>
      </s:c>
      <s:c r="I7" s="9" t="n">
        <s:v>99.7</s:v>
      </s:c>
      <s:c r="J7" s="9" t="n">
        <s:v>88.2</s:v>
      </s:c>
      <s:c r="K7" s="9" t="n">
        <s:v>121.1</s:v>
      </s:c>
      <s:c r="L7" s="9" t="n">
        <s:v>115.1</s:v>
      </s:c>
      <s:c r="M7" s="9" t="n">
        <s:v>113.2</s:v>
      </s:c>
      <s:c r="N7" s="9" t="n">
        <s:v>98.8</s:v>
      </s:c>
      <s:c r="O7" s="9" t="n">
        <s:v>132.6</s:v>
      </s:c>
      <s:c r="P7" s="9" t="n">
        <s:v>125.1</s:v>
      </s:c>
      <s:c r="Q7" s="9" t="n">
        <s:v>122.8</s:v>
      </s:c>
      <s:c r="R7" s="9" t="n">
        <s:v>111</s:v>
      </s:c>
      <s:c r="S7" s="9" t="n">
        <s:v>143.1</s:v>
      </s:c>
      <s:c r="T7" s="9" t="n">
        <s:v>134.4</s:v>
      </s:c>
      <s:c r="U7" s="9" t="n">
        <s:v>133.6</s:v>
      </s:c>
      <s:c r="V7" s="9" t="n">
        <s:v>121.9</s:v>
      </s:c>
      <s:c r="W7" s="9" t="n">
        <s:v>156.2</s:v>
      </s:c>
      <s:c r="X7" s="9" t="n">
        <s:v>148.3</s:v>
      </s:c>
    </s:row>
    <s:row r="8">
      <s:c r="A8" s="8" t="inlineStr">
        <s:is>
          <s:t xml:space="preserve">    y/y</s:t>
        </s:is>
      </s:c>
      <s:c r="B8" s="4" t="inlineStr">
        <s:is>
          <s:t>→ nights / nights four quarters earlier − 1</s:t>
        </s:is>
      </s:c>
      <s:c r="G8" s="10">
        <s:f>G7/C7-1</s:f>
        <s:v>0.5854037267080743</s:v>
      </s:c>
      <s:c r="H8" s="10">
        <s:f>H7/D7-1</s:f>
        <s:v>0.24789410348977148</s:v>
      </s:c>
      <s:c r="I8" s="10">
        <s:f>I7/E7-1</s:f>
        <s:v>0.25094102885821834</s:v>
      </s:c>
      <s:c r="J8" s="10">
        <s:f>J7/F7-1</s:f>
        <s:v>0.20163487738419605</s:v>
      </s:c>
      <s:c r="K8" s="10">
        <s:f>K7/G7-1</s:f>
        <s:v>0.18609206660137123</s:v>
      </s:c>
      <s:c r="L8" s="10">
        <s:f>L7/H7-1</s:f>
        <s:v>0.10993249758919954</s:v>
      </s:c>
      <s:c r="M8" s="10">
        <s:f>M7/I7-1</s:f>
        <s:v>0.1354062186559679</s:v>
      </s:c>
      <s:c r="N8" s="10">
        <s:f>N7/J7-1</s:f>
        <s:v>0.1201814058956916</s:v>
      </s:c>
      <s:c r="O8" s="10">
        <s:f>O7/K7-1</s:f>
        <s:v>0.09496284062758042</s:v>
      </s:c>
      <s:c r="P8" s="10">
        <s:f>P7/L7-1</s:f>
        <s:v>0.08688097306689846</s:v>
      </s:c>
      <s:c r="Q8" s="10">
        <s:f>Q7/M7-1</s:f>
        <s:v>0.08480565371024729</s:v>
      </s:c>
      <s:c r="R8" s="10">
        <s:f>R7/N7-1</s:f>
        <s:v>0.12348178137651833</s:v>
      </s:c>
      <s:c r="S8" s="10">
        <s:f>S7/O7-1</s:f>
        <s:v>0.07918552036199089</s:v>
      </s:c>
      <s:c r="T8" s="10">
        <s:f>T7/P7-1</s:f>
        <s:v>0.07434052757793785</s:v>
      </s:c>
      <s:c r="U8" s="10">
        <s:f>U7/Q7-1</s:f>
        <s:v>0.08794788273615639</s:v>
      </s:c>
      <s:c r="V8" s="10">
        <s:f>V7/R7-1</s:f>
        <s:v>0.0981981981981983</s:v>
      </s:c>
      <s:c r="W8" s="10">
        <s:f>W7/S7-1</s:f>
        <s:v>0.09154437456324249</s:v>
      </s:c>
      <s:c r="X8" s="10">
        <s:f>X7/T7-1</s:f>
        <s:v>0.10342261904761907</s:v>
      </s:c>
    </s:row>
    <s:row r="10">
      <s:c r="A10" s="5" t="inlineStr">
        <s:is>
          <s:t>B. Stays index — regional stays growth (same-age two-vintage review counts) × stay-quarter mix weights</s:t>
        </s:is>
      </s:c>
      <s:c r="B10" s="5" t="n"/>
      <s:c r="C10" s="5" t="n"/>
      <s:c r="D10" s="5" t="n"/>
      <s:c r="E10" s="5" t="n"/>
      <s:c r="F10" s="5" t="n"/>
      <s:c r="G10" s="5" t="n"/>
      <s:c r="H10" s="5" t="n"/>
      <s:c r="I10" s="5" t="n"/>
      <s:c r="J10" s="5" t="n"/>
      <s:c r="K10" s="5" t="n"/>
      <s:c r="L10" s="5" t="n"/>
      <s:c r="M10" s="5" t="n"/>
      <s:c r="N10" s="5" t="n"/>
      <s:c r="O10" s="5" t="n"/>
      <s:c r="P10" s="5" t="n"/>
      <s:c r="Q10" s="5" t="n"/>
      <s:c r="R10" s="5" t="n"/>
      <s:c r="S10" s="5" t="n"/>
      <s:c r="T10" s="5" t="n"/>
      <s:c r="U10" s="5" t="n"/>
      <s:c r="V10" s="5" t="n"/>
      <s:c r="W10" s="5" t="n"/>
      <s:c r="X10" s="5" t="n"/>
      <s:c r="Y10" s="5" t="n"/>
      <s:c r="Z10" s="5" t="n"/>
      <s:c r="AA10" s="5" t="n"/>
      <s:c r="AB10" s="5" t="n"/>
      <s:c r="AC10" s="5" t="n"/>
      <s:c r="AD10" s="5" t="n"/>
    </s:row>
    <s:row r="11">
      <s:c r="A11" s="8" t="inlineStr">
        <s:is>
          <s:t>Stays y/y, NAM (%)</s:t>
        </s:is>
      </s:c>
      <s:c r="B11" s="4" t="inlineStr">
        <s:is>
          <s:t>index_regional_vmatch_pct.csv (Inside Airbnb reviews, vmatch)</s:t>
        </s:is>
      </s:c>
      <s:c r="C11" s="11" t="n">
        <s:v>-30.00918602827505</s:v>
      </s:c>
      <s:c r="D11" s="11" t="n">
        <s:v>256.2257937336209</s:v>
      </s:c>
      <s:c r="E11" s="11" t="n">
        <s:v>84.26742112514458</s:v>
      </s:c>
      <s:c r="F11" s="11" t="n">
        <s:v>86.20847663311395</s:v>
      </s:c>
      <s:c r="G11" s="11" t="n">
        <s:v>67.32454692113927</s:v>
      </s:c>
      <s:c r="H11" s="11" t="n">
        <s:v>46.57101782633697</s:v>
      </s:c>
      <s:c r="I11" s="11" t="n">
        <s:v>22.73297772199561</s:v>
      </s:c>
      <s:c r="J11" s="11" t="n">
        <s:v>11.32256764714998</s:v>
      </s:c>
      <s:c r="K11" s="11" t="n">
        <s:v>9.722468435462584</s:v>
      </s:c>
      <s:c r="L11" s="11" t="n">
        <s:v>3.956050743410877</s:v>
      </s:c>
      <s:c r="M11" s="11" t="n">
        <s:v>4.376043484264569</s:v>
      </s:c>
      <s:c r="N11" s="11" t="n">
        <s:v>1.613859968500075</s:v>
      </s:c>
      <s:c r="O11" s="11" t="n">
        <s:v>1.402374081111546</s:v>
      </s:c>
      <s:c r="P11" s="11" t="n">
        <s:v>0.1114114058495152</s:v>
      </s:c>
      <s:c r="Q11" s="11" t="n">
        <s:v>2.569900969032224</s:v>
      </s:c>
      <s:c r="R11" s="11" t="n">
        <s:v>2.734742795372114</s:v>
      </s:c>
      <s:c r="S11" s="11" t="n">
        <s:v>-2.637292289387627</s:v>
      </s:c>
      <s:c r="T11" s="11" t="n">
        <s:v>-0.9109563412072808</s:v>
      </s:c>
      <s:c r="U11" s="11" t="n">
        <s:v>-0.3824355194063877</s:v>
      </s:c>
      <s:c r="V11" s="11" t="n">
        <s:v>0.0598087643331579</s:v>
      </s:c>
      <s:c r="W11" s="11" t="n">
        <s:v>5.409674721405855</s:v>
      </s:c>
      <s:c r="X11" s="11" t="n">
        <s:v>6.895965559903039</s:v>
      </s:c>
    </s:row>
    <s:row r="12">
      <s:c r="A12" s="8" t="inlineStr">
        <s:is>
          <s:t>Stays y/y, EMEA (%)</s:t>
        </s:is>
      </s:c>
      <s:c r="B12" s="4" t="inlineStr">
        <s:is>
          <s:t>index_regional_vmatch_pct.csv (Inside Airbnb reviews, vmatch)</s:t>
        </s:is>
      </s:c>
      <s:c r="C12" s="11" t="n">
        <s:v>-74.97846537072517</s:v>
      </s:c>
      <s:c r="D12" s="11" t="n">
        <s:v>408.4253548060518</s:v>
      </s:c>
      <s:c r="E12" s="11" t="n">
        <s:v>76.40215198386011</s:v>
      </s:c>
      <s:c r="F12" s="11" t="n">
        <s:v>266.0616177203485</s:v>
      </s:c>
      <s:c r="G12" s="11" t="n">
        <s:v>324.383968252688</s:v>
      </s:c>
      <s:c r="H12" s="11" t="n">
        <s:v>256.4863964317644</s:v>
      </s:c>
      <s:c r="I12" s="11" t="n">
        <s:v>55.2370567255049</s:v>
      </s:c>
      <s:c r="J12" s="11" t="n">
        <s:v>34.48633960047003</s:v>
      </s:c>
      <s:c r="K12" s="11" t="n">
        <s:v>36.69319171549211</s:v>
      </s:c>
      <s:c r="L12" s="11" t="n">
        <s:v>23.2010823318098</s:v>
      </s:c>
      <s:c r="M12" s="11" t="n">
        <s:v>11.82101797278614</s:v>
      </s:c>
      <s:c r="N12" s="11" t="n">
        <s:v>14.61266737385858</s:v>
      </s:c>
      <s:c r="O12" s="11" t="n">
        <s:v>9.235319774769144</s:v>
      </s:c>
      <s:c r="P12" s="11" t="n">
        <s:v>8.828124307834063</s:v>
      </s:c>
      <s:c r="Q12" s="11" t="n">
        <s:v>5.526000267344489</s:v>
      </s:c>
      <s:c r="R12" s="11" t="n">
        <s:v>6.76010963648972</s:v>
      </s:c>
      <s:c r="S12" s="11" t="n">
        <s:v>4.252915647932376</s:v>
      </s:c>
      <s:c r="T12" s="11" t="n">
        <s:v>2.985534385665001</s:v>
      </s:c>
      <s:c r="U12" s="11" t="n">
        <s:v>2.180663703284424</s:v>
      </s:c>
      <s:c r="V12" s="11" t="n">
        <s:v>5.519095608761537</s:v>
      </s:c>
      <s:c r="W12" s="11" t="n">
        <s:v>4.730741332807509</s:v>
      </s:c>
      <s:c r="X12" s="11" t="n">
        <s:v>1.482340923424097</s:v>
      </s:c>
    </s:row>
    <s:row r="13">
      <s:c r="A13" s="8" t="inlineStr">
        <s:is>
          <s:t>Stays y/y, LatAm (%)</s:t>
        </s:is>
      </s:c>
      <s:c r="B13" s="4" t="inlineStr">
        <s:is>
          <s:t>index_regional_vmatch_pct.csv (Inside Airbnb reviews, vmatch)</s:t>
        </s:is>
      </s:c>
      <s:c r="C13" s="11" t="n">
        <s:v>-50.5596824331227</s:v>
      </s:c>
      <s:c r="D13" s="11" t="n">
        <s:v>384.8771785371209</s:v>
      </s:c>
      <s:c r="E13" s="11" t="n">
        <s:v>131.7339944582179</s:v>
      </s:c>
      <s:c r="F13" s="11" t="n">
        <s:v>101.5150637311703</s:v>
      </s:c>
      <s:c r="G13" s="11" t="n">
        <s:v>128.2025450689289</s:v>
      </s:c>
      <s:c r="H13" s="11" t="n">
        <s:v>134.6987829871214</s:v>
      </s:c>
      <s:c r="I13" s="11" t="n">
        <s:v>102.4405646359584</s:v>
      </s:c>
      <s:c r="J13" s="11" t="n">
        <s:v>67.42090713627522</s:v>
      </s:c>
      <s:c r="K13" s="11" t="n">
        <s:v>50.2345823816285</s:v>
      </s:c>
      <s:c r="L13" s="11" t="n">
        <s:v>35.12309361969499</s:v>
      </s:c>
      <s:c r="M13" s="11" t="n">
        <s:v>33.38088330109608</s:v>
      </s:c>
      <s:c r="N13" s="11" t="n">
        <s:v>38.08397120527635</s:v>
      </s:c>
      <s:c r="O13" s="11" t="n">
        <s:v>24.18632463300145</s:v>
      </s:c>
      <s:c r="P13" s="11" t="n">
        <s:v>16.54204341077632</s:v>
      </s:c>
      <s:c r="Q13" s="11" t="n">
        <s:v>24.11126258389262</s:v>
      </s:c>
      <s:c r="R13" s="11" t="n">
        <s:v>13.35590970013487</s:v>
      </s:c>
      <s:c r="S13" s="11" t="n">
        <s:v>27.15945010598912</s:v>
      </s:c>
      <s:c r="T13" s="11" t="n">
        <s:v>34.00557184349595</s:v>
      </s:c>
      <s:c r="U13" s="11" t="n">
        <s:v>18.44378013291841</s:v>
      </s:c>
      <s:c r="V13" s="11" t="n">
        <s:v>24.82474787736146</s:v>
      </s:c>
      <s:c r="W13" s="11" t="n">
        <s:v>18.22158041627904</s:v>
      </s:c>
      <s:c r="X13" s="11" t="n">
        <s:v>20.39582536033171</s:v>
      </s:c>
    </s:row>
    <s:row r="14">
      <s:c r="A14" s="8" t="inlineStr">
        <s:is>
          <s:t>Stays y/y, APAC (%)</s:t>
        </s:is>
      </s:c>
      <s:c r="B14" s="4" t="inlineStr">
        <s:is>
          <s:t>index_regional_vmatch_pct.csv (Inside Airbnb reviews, vmatch)</s:t>
        </s:is>
      </s:c>
      <s:c r="C14" s="11" t="n">
        <s:v>-24.21563176617894</s:v>
      </s:c>
      <s:c r="D14" s="11" t="n">
        <s:v>231.8325846301941</s:v>
      </s:c>
      <s:c r="E14" s="11" t="n">
        <s:v>-3.980710697128609</s:v>
      </s:c>
      <s:c r="F14" s="11" t="n">
        <s:v>-2.62572116476627</s:v>
      </s:c>
      <s:c r="G14" s="11" t="n">
        <s:v>12.21555341819491</s:v>
      </s:c>
      <s:c r="H14" s="11" t="n">
        <s:v>16.68958349122484</s:v>
      </s:c>
      <s:c r="I14" s="11" t="n">
        <s:v>95.7676997924676</s:v>
      </s:c>
      <s:c r="J14" s="11" t="n">
        <s:v>74.88434597500209</s:v>
      </s:c>
      <s:c r="K14" s="11" t="n">
        <s:v>53.34596848894637</s:v>
      </s:c>
      <s:c r="L14" s="11" t="n">
        <s:v>18.13279615074068</s:v>
      </s:c>
      <s:c r="M14" s="11" t="n">
        <s:v>14.79939614735852</s:v>
      </s:c>
      <s:c r="N14" s="11" t="n">
        <s:v>16.51676057827394</s:v>
      </s:c>
      <s:c r="O14" s="11" t="n">
        <s:v>21.7708666275189</s:v>
      </s:c>
      <s:c r="P14" s="11" t="n">
        <s:v>4.876129587508449</s:v>
      </s:c>
      <s:c r="Q14" s="11" t="n">
        <s:v>2.08007170424358</s:v>
      </s:c>
      <s:c r="R14" s="11" t="n">
        <s:v>8.657367103914314</s:v>
      </s:c>
      <s:c r="S14" s="11" t="n">
        <s:v>-0.8225382604918119</s:v>
      </s:c>
      <s:c r="T14" s="11" t="n">
        <s:v>4.715099281276647</s:v>
      </s:c>
      <s:c r="U14" s="11" t="n">
        <s:v>4.948504339354409</s:v>
      </s:c>
      <s:c r="V14" s="11" t="n">
        <s:v>6.244245131807791</s:v>
      </s:c>
      <s:c r="W14" s="11" t="n">
        <s:v>8.863726066864587</s:v>
      </s:c>
      <s:c r="X14" s="11" t="n">
        <s:v>2.302990881309763</s:v>
      </s:c>
    </s:row>
    <s:row r="15">
      <s:c r="A15" s="8" t="inlineStr">
        <s:is>
          <s:t>Stay-mix weight, NAM</s:t>
        </s:is>
      </s:c>
      <s:c r="B15" s="4" t="inlineStr">
        <s:is>
          <s:t>mix_weights_stay_quarter.csv (regional revenue ÷ ADR index; drift rule fwd)</s:t>
        </s:is>
      </s:c>
      <s:c r="G15" s="12" t="n">
        <s:v>0.3976644896770864</s:v>
      </s:c>
      <s:c r="H15" s="12" t="n">
        <s:v>0.3941976578064052</s:v>
      </s:c>
      <s:c r="I15" s="12" t="n">
        <s:v>0.3452540434507648</s:v>
      </s:c>
      <s:c r="J15" s="12" t="n">
        <s:v>0.3655498690373306</s:v>
      </s:c>
      <s:c r="K15" s="12" t="n">
        <s:v>0.3602634545787797</s:v>
      </s:c>
      <s:c r="L15" s="12" t="n">
        <s:v>0.3545083341334318</s:v>
      </s:c>
      <s:c r="M15" s="12" t="n">
        <s:v>0.3216888626036453</s:v>
      </s:c>
      <s:c r="N15" s="12" t="n">
        <s:v>0.3313222885401461</s:v>
      </s:c>
      <s:c r="O15" s="12" t="n">
        <s:v>0.3279435645184726</s:v>
      </s:c>
      <s:c r="P15" s="12" t="n">
        <s:v>0.3509795845064686</s:v>
      </s:c>
      <s:c r="Q15" s="12" t="n">
        <s:v>0.3094565130737363</s:v>
      </s:c>
      <s:c r="R15" s="12" t="n">
        <s:v>0.3113184150409745</s:v>
      </s:c>
      <s:c r="S15" s="12" t="n">
        <s:v>0.3181110635519259</s:v>
      </s:c>
      <s:c r="T15" s="12" t="n">
        <s:v>0.3218702432355106</s:v>
      </s:c>
      <s:c r="U15" s="12" t="n">
        <s:v>0.2867093835703883</s:v>
      </s:c>
      <s:c r="V15" s="12" t="n">
        <s:v>0.2805252643412614</s:v>
      </s:c>
      <s:c r="W15" s="12" t="n">
        <s:v>0.2847520658412438</s:v>
      </s:c>
      <s:c r="X15" s="12" t="n">
        <s:v>0.3184828367142358</s:v>
      </s:c>
      <s:c r="Y15" s="12" t="n">
        <s:v>0.2649213206268898</s:v>
      </s:c>
      <s:c r="Z15" s="12" t="n">
        <s:v>0.2532785428841455</s:v>
      </s:c>
      <s:c r="AA15" s="12" t="n">
        <s:v>0.2520545312787783</s:v>
      </s:c>
      <s:c r="AB15" s="12" t="n">
        <s:v>0.2803753622213456</s:v>
      </s:c>
      <s:c r="AC15" s="12" t="n">
        <s:v>0.2212753612048174</s:v>
      </s:c>
      <s:c r="AD15" s="12" t="n">
        <s:v>0.2041460056943954</s:v>
      </s:c>
    </s:row>
    <s:row r="16">
      <s:c r="A16" s="8" t="inlineStr">
        <s:is>
          <s:t>Stay-mix weight, EMEA</s:t>
        </s:is>
      </s:c>
      <s:c r="B16" s="4" t="inlineStr">
        <s:is>
          <s:t>mix_weights_stay_quarter.csv (regional revenue ÷ ADR index; drift rule fwd)</s:t>
        </s:is>
      </s:c>
      <s:c r="G16" s="12" t="n">
        <s:v>0.2641620558386204</s:v>
      </s:c>
      <s:c r="H16" s="12" t="n">
        <s:v>0.3847152399210277</s:v>
      </s:c>
      <s:c r="I16" s="12" t="n">
        <s:v>0.4814101139518967</s:v>
      </s:c>
      <s:c r="J16" s="12" t="n">
        <s:v>0.3086462469546491</s:v>
      </s:c>
      <s:c r="K16" s="12" t="n">
        <s:v>0.2611322823291782</s:v>
      </s:c>
      <s:c r="L16" s="12" t="n">
        <s:v>0.4096910038017836</s:v>
      </s:c>
      <s:c r="M16" s="12" t="n">
        <s:v>0.4884502723430739</s:v>
      </s:c>
      <s:c r="N16" s="12" t="n">
        <s:v>0.317616940391561</s:v>
      </s:c>
      <s:c r="O16" s="12" t="n">
        <s:v>0.268183923149056</s:v>
      </s:c>
      <s:c r="P16" s="12" t="n">
        <s:v>0.4116726398051218</s:v>
      </s:c>
      <s:c r="Q16" s="12" t="n">
        <s:v>0.4973985185479668</s:v>
      </s:c>
      <s:c r="R16" s="12" t="n">
        <s:v>0.3257075789345514</s:v>
      </s:c>
      <s:c r="S16" s="12" t="n">
        <s:v>0.2637722500591851</s:v>
      </s:c>
      <s:c r="T16" s="12" t="n">
        <s:v>0.421916563028342</s:v>
      </s:c>
      <s:c r="U16" s="12" t="n">
        <s:v>0.5104549087034342</s:v>
      </s:c>
      <s:c r="V16" s="12" t="n">
        <s:v>0.3332628632887765</s:v>
      </s:c>
      <s:c r="W16" s="12" t="n">
        <s:v>0.2736288173504258</s:v>
      </s:c>
      <s:c r="X16" s="12" t="n">
        <s:v>0.4168014203335033</s:v>
      </s:c>
      <s:c r="Y16" s="12" t="n">
        <s:v>0.5148668021451503</s:v>
      </s:c>
      <s:c r="Z16" s="12" t="n">
        <s:v>0.33860146475353</s:v>
      </s:c>
      <s:c r="AA16" s="12" t="n">
        <s:v>0.2799647750805224</s:v>
      </s:c>
      <s:c r="AB16" s="12" t="n">
        <s:v>0.4243955741372955</s:v>
      </s:c>
      <s:c r="AC16" s="12" t="n">
        <s:v>0.5237047297126907</s:v>
      </s:c>
      <s:c r="AD16" s="12" t="n">
        <s:v>0.3482282756496995</s:v>
      </s:c>
    </s:row>
    <s:row r="17">
      <s:c r="A17" s="8" t="inlineStr">
        <s:is>
          <s:t>Stay-mix weight, LatAm</s:t>
        </s:is>
      </s:c>
      <s:c r="B17" s="4" t="inlineStr">
        <s:is>
          <s:t>mix_weights_stay_quarter.csv (regional revenue ÷ ADR index; drift rule fwd)</s:t>
        </s:is>
      </s:c>
      <s:c r="G17" s="12" t="n">
        <s:v>0.179822664252863</s:v>
      </s:c>
      <s:c r="H17" s="12" t="n">
        <s:v>0.1027097561738697</s:v>
      </s:c>
      <s:c r="I17" s="12" t="n">
        <s:v>0.07557697087249569</s:v>
      </s:c>
      <s:c r="J17" s="12" t="n">
        <s:v>0.1496617553274328</s:v>
      </s:c>
      <s:c r="K17" s="12" t="n">
        <s:v>0.1911286403703319</s:v>
      </s:c>
      <s:c r="L17" s="12" t="n">
        <s:v>0.1012318631791898</s:v>
      </s:c>
      <s:c r="M17" s="12" t="n">
        <s:v>0.0809023291726671</s:v>
      </s:c>
      <s:c r="N17" s="12" t="n">
        <s:v>0.1645119524170913</s:v>
      </s:c>
      <s:c r="O17" s="12" t="n">
        <s:v>0.2071337547322268</s:v>
      </s:c>
      <s:c r="P17" s="12" t="n">
        <s:v>0.1036633576743223</s:v>
      </s:c>
      <s:c r="Q17" s="12" t="n">
        <s:v>0.0818049519761042</s:v>
      </s:c>
      <s:c r="R17" s="12" t="n">
        <s:v>0.1626728140011318</s:v>
      </s:c>
      <s:c r="S17" s="12" t="n">
        <s:v>0.2161781094619949</s:v>
      </s:c>
      <s:c r="T17" s="12" t="n">
        <s:v>0.1127556465313684</s:v>
      </s:c>
      <s:c r="U17" s="12" t="n">
        <s:v>0.0869045174012994</s:v>
      </s:c>
      <s:c r="V17" s="12" t="n">
        <s:v>0.1794212635419508</s:v>
      </s:c>
      <s:c r="W17" s="12" t="n">
        <s:v>0.2356571358498518</s:v>
      </s:c>
      <s:c r="X17" s="12" t="n">
        <s:v>0.1214143827838369</s:v>
      </s:c>
      <s:c r="Y17" s="12" t="n">
        <s:v>0.1001846651334061</s:v>
      </s:c>
      <s:c r="Z17" s="12" t="n">
        <s:v>0.1961173809228737</s:v>
      </s:c>
      <s:c r="AA17" s="12" t="n">
        <s:v>0.2557640527131075</s:v>
      </s:c>
      <s:c r="AB17" s="12" t="n">
        <s:v>0.1447169865650279</s:v>
      </s:c>
      <s:c r="AC17" s="12" t="n">
        <s:v>0.126787525173684</s:v>
      </s:c>
      <s:c r="AD17" s="12" t="n">
        <s:v>0.2262245851761908</s:v>
      </s:c>
    </s:row>
    <s:row r="18">
      <s:c r="A18" s="8" t="inlineStr">
        <s:is>
          <s:t>Stay-mix weight, APAC</s:t>
        </s:is>
      </s:c>
      <s:c r="B18" s="4" t="inlineStr">
        <s:is>
          <s:t>mix_weights_stay_quarter.csv (regional revenue ÷ ADR index; drift rule fwd)</s:t>
        </s:is>
      </s:c>
      <s:c r="G18" s="12" t="n">
        <s:v>0.15835079023143</s:v>
      </s:c>
      <s:c r="H18" s="12" t="n">
        <s:v>0.1183773460986972</s:v>
      </s:c>
      <s:c r="I18" s="12" t="n">
        <s:v>0.0977588717248426</s:v>
      </s:c>
      <s:c r="J18" s="12" t="n">
        <s:v>0.1761421286805873</s:v>
      </s:c>
      <s:c r="K18" s="12" t="n">
        <s:v>0.1874756227217103</s:v>
      </s:c>
      <s:c r="L18" s="12" t="n">
        <s:v>0.1345687988855946</s:v>
      </s:c>
      <s:c r="M18" s="12" t="n">
        <s:v>0.1089585358806136</s:v>
      </s:c>
      <s:c r="N18" s="12" t="n">
        <s:v>0.1865488186512015</s:v>
      </s:c>
      <s:c r="O18" s="12" t="n">
        <s:v>0.1967387576002446</s:v>
      </s:c>
      <s:c r="P18" s="12" t="n">
        <s:v>0.1336844180140872</s:v>
      </s:c>
      <s:c r="Q18" s="12" t="n">
        <s:v>0.1113400164021928</s:v>
      </s:c>
      <s:c r="R18" s="12" t="n">
        <s:v>0.2003011920233422</s:v>
      </s:c>
      <s:c r="S18" s="12" t="n">
        <s:v>0.2019385769268939</s:v>
      </s:c>
      <s:c r="T18" s="12" t="n">
        <s:v>0.1434575472047787</s:v>
      </s:c>
      <s:c r="U18" s="12" t="n">
        <s:v>0.115931190324878</s:v>
      </s:c>
      <s:c r="V18" s="12" t="n">
        <s:v>0.2067906088280112</s:v>
      </s:c>
      <s:c r="W18" s="12" t="n">
        <s:v>0.2059619809584785</s:v>
      </s:c>
      <s:c r="X18" s="12" t="n">
        <s:v>0.1433013601684239</s:v>
      </s:c>
      <s:c r="Y18" s="12" t="n">
        <s:v>0.1200272120945537</s:v>
      </s:c>
      <s:c r="Z18" s="12" t="n">
        <s:v>0.2120026114394506</s:v>
      </s:c>
      <s:c r="AA18" s="12" t="n">
        <s:v>0.2122166409275916</s:v>
      </s:c>
      <s:c r="AB18" s="12" t="n">
        <s:v>0.1505120770763308</s:v>
      </s:c>
      <s:c r="AC18" s="12" t="n">
        <s:v>0.1282323839088077</s:v>
      </s:c>
      <s:c r="AD18" s="12" t="n">
        <s:v>0.2214011334797141</s:v>
      </s:c>
    </s:row>
    <s:row r="19">
      <s:c r="A19" s="8" t="inlineStr">
        <s:is>
          <s:t>Global stays index, y/y (%)</s:t>
        </s:is>
      </s:c>
      <s:c r="B19" s="4" t="inlineStr">
        <s:is>
          <s:t>→ SUMPRODUCT(regional growth, weights)</s:t>
        </s:is>
      </s:c>
      <s:c r="G19" s="13">
        <s:f>SUMPRODUCT(G11:G14,G15:G18)</s:f>
        <s:v>137.45058328403354</s:v>
      </s:c>
      <s:c r="H19" s="13">
        <s:f>SUMPRODUCT(H11:H14,H15:H18)</s:f>
        <s:v>132.84295944723658</s:v>
      </s:c>
      <s:c r="I19" s="13">
        <s:f>SUMPRODUCT(I11:I14,I15:I18)</s:f>
        <s:v>51.54462009983684</s:v>
      </s:c>
      <s:c r="J19" s="13">
        <s:f>SUMPRODUCT(J11:J14,J15:J18)</s:f>
        <s:v>38.063661822143786</s:v>
      </s:c>
      <s:c r="K19" s="13">
        <s:f>SUMPRODUCT(K11:K14,K15:K18)</s:f>
        <s:v>32.68676305653147</s:v>
      </s:c>
      <s:c r="L19" s="13">
        <s:f>SUMPRODUCT(L11:L14,L15:L18)</s:f>
        <s:v>16.903412474782268</s:v>
      </s:c>
      <s:c r="M19" s="13">
        <s:f>SUMPRODUCT(M11:M14,M15:M18)</s:f>
        <s:v>11.494815644369965</s:v>
      </s:c>
      <s:c r="N19" s="13">
        <s:f>SUMPRODUCT(N11:N14,N15:N18)</s:f>
        <s:v>14.522389112989337</s:v>
      </s:c>
      <s:c r="O19" s="13">
        <s:f>SUMPRODUCT(O11:O14,O15:O18)</s:f>
        <s:v>12.229641330266531</s:v>
      </s:c>
      <s:c r="P19" s="13">
        <s:f>SUMPRODUCT(P11:P14,P15:P18)</s:f>
        <s:v>6.040066676090962</s:v>
      </s:c>
      <s:c r="Q19" s="13">
        <s:f>SUMPRODUCT(Q11:Q14,Q15:Q18)</s:f>
        <s:v>5.747912834721133</s:v>
      </s:c>
      <s:c r="R19" s="13">
        <s:f>SUMPRODUCT(R11:R14,R15:R18)</s:f>
        <s:v>6.959919100796825</s:v>
      </s:c>
      <s:c r="S19" s="13">
        <s:f>SUMPRODUCT(S11:S14,S15:S18)</s:f>
        <s:v>5.988025646841116</s:v>
      </s:c>
      <s:c r="T19" s="13">
        <s:f>SUMPRODUCT(T11:T14,T15:T18)</s:f>
        <s:v>5.477173484282624</s:v>
      </s:c>
      <s:c r="U19" s="13">
        <s:f>SUMPRODUCT(U11:U14,U15:U18)</s:f>
        <s:v>3.1800164494446372</s:v>
      </s:c>
      <s:c r="V19" s="13">
        <s:f>SUMPRODUCT(V11:V14,V15:V18)</s:f>
        <s:v>7.601426358509305</s:v>
      </s:c>
      <s:c r="W19" s="13">
        <s:f>SUMPRODUCT(W11:W14,W15:W18)</s:f>
        <s:v>8.95451923949918</s:v>
      </s:c>
      <s:c r="X19" s="13">
        <s:f>SUMPRODUCT(X11:X14,X15:X18)</s:f>
        <s:v>5.620456748942005</s:v>
      </s:c>
    </s:row>
    <s:row r="21">
      <s:c r="A21" s="5" t="inlineStr">
        <s:is>
          <s:t>C. Mapping to the KPI — nights y/y = a + b × index, fitted 1Q23–2Q25 and frozen; scored walk-forward</s:t>
        </s:is>
      </s:c>
      <s:c r="B21" s="5" t="n"/>
      <s:c r="C21" s="5" t="n"/>
      <s:c r="D21" s="5" t="n"/>
      <s:c r="E21" s="5" t="n"/>
      <s:c r="F21" s="5" t="n"/>
      <s:c r="G21" s="5" t="n"/>
      <s:c r="H21" s="5" t="n"/>
      <s:c r="I21" s="5" t="n"/>
      <s:c r="J21" s="5" t="n"/>
      <s:c r="K21" s="5" t="n"/>
      <s:c r="L21" s="5" t="n"/>
      <s:c r="M21" s="5" t="n"/>
      <s:c r="N21" s="5" t="n"/>
      <s:c r="O21" s="5" t="n"/>
      <s:c r="P21" s="5" t="n"/>
      <s:c r="Q21" s="5" t="n"/>
      <s:c r="R21" s="5" t="n"/>
      <s:c r="S21" s="5" t="n"/>
      <s:c r="T21" s="5" t="n"/>
      <s:c r="U21" s="5" t="n"/>
      <s:c r="V21" s="5" t="n"/>
      <s:c r="W21" s="5" t="n"/>
      <s:c r="X21" s="5" t="n"/>
      <s:c r="Y21" s="5" t="n"/>
      <s:c r="Z21" s="5" t="n"/>
      <s:c r="AA21" s="5" t="n"/>
      <s:c r="AB21" s="5" t="n"/>
      <s:c r="AC21" s="5" t="n"/>
      <s:c r="AD21" s="5" t="n"/>
    </s:row>
    <s:row r="22">
      <s:c r="A22" s="8" t="inlineStr">
        <s:is>
          <s:t>Intercept a (frozen, 1Q23–2Q25)</s:t>
        </s:is>
      </s:c>
      <s:c r="B22" s="4" t="inlineStr">
        <s:is>
          <s:t>→ INTERCEPT(nights y/y, index) — pre-RNPL quarters only</s:t>
        </s:is>
      </s:c>
      <s:c r="C22" s="14">
        <s:f>INTERCEPT(K8:T8,K19:T19)*100</s:f>
        <s:v>6.82460022308977</s:v>
      </s:c>
      <s:c r="D22" s="4" t="inlineStr">
        <s:is>
          <s:t>pp</s:t>
        </s:is>
      </s:c>
    </s:row>
    <s:row r="23">
      <s:c r="A23" s="8" t="inlineStr">
        <s:is>
          <s:t>Slope b (frozen, 1Q23–2Q25)</s:t>
        </s:is>
      </s:c>
      <s:c r="B23" s="4" t="inlineStr">
        <s:is>
          <s:t>→ SLOPE(nights y/y, index)</s:t>
        </s:is>
      </s:c>
      <s:c r="C23" s="14">
        <s:f>SLOPE(K8:T8,K19:T19)*100</s:f>
        <s:v>0.349690000642604</s:v>
      </s:c>
      <s:c r="D23" s="4" t="inlineStr">
        <s:is>
          <s:t>pp of nights per index point</s:t>
        </s:is>
      </s:c>
    </s:row>
    <s:row r="25">
      <s:c r="A25" s="8" t="inlineStr">
        <s:is>
          <s:t>Stays-implied nights y/y (%)</s:t>
        </s:is>
      </s:c>
      <s:c r="B25" s="4" t="inlineStr">
        <s:is>
          <s:t>→ a + b × index (frozen mapping)</s:t>
        </s:is>
      </s:c>
      <s:c r="K25" s="15">
        <s:f>$C$22+$C$23*K19</s:f>
        <s:v>18.254834417332905</s:v>
      </s:c>
      <s:c r="L25" s="15">
        <s:f>$C$22+$C$23*L19</s:f>
        <s:v>12.735554542258583</s:v>
      </s:c>
      <s:c r="M25" s="15">
        <s:f>$C$22+$C$23*M19</s:f>
        <s:v>10.844222313156116</s:v>
      </s:c>
      <s:c r="N25" s="15">
        <s:f>$C$22+$C$23*N19</s:f>
        <s:v>11.902934481343157</s:v>
      </s:c>
      <s:c r="O25" s="15">
        <s:f>$C$22+$C$23*O19</s:f>
        <s:v>11.101183507729491</s:v>
      </s:c>
      <s:c r="P25" s="15">
        <s:f>$C$22+$C$23*P19</s:f>
        <s:v>8.936751142933389</s:v>
      </s:c>
      <s:c r="Q25" s="15">
        <s:f>$C$22+$C$23*Q19</s:f>
        <s:v>8.834587865957035</s:v>
      </s:c>
      <s:c r="R25" s="15">
        <s:f>$C$22+$C$23*R19</s:f>
        <s:v>9.258414337919884</s:v>
      </s:c>
      <s:c r="S25" s="15">
        <s:f>$C$22+$C$23*S19</s:f>
        <s:v>8.91855291538157</s:v>
      </s:c>
      <s:c r="T25" s="15">
        <s:f>$C$22+$C$23*T19</s:f>
        <s:v>8.739913022328215</s:v>
      </s:c>
      <s:c r="U25" s="15">
        <s:f>$C$22+$C$23*U19</s:f>
        <s:v>7.936620177339557</s:v>
      </s:c>
      <s:c r="V25" s="15">
        <s:f>$C$22+$C$23*V19</s:f>
        <s:v>9.482743011281595</s:v>
      </s:c>
      <s:c r="W25" s="15">
        <s:f>$C$22+$C$23*W19</s:f>
        <s:v>9.955906061704448</s:v>
      </s:c>
      <s:c r="X25" s="15">
        <s:f>$C$22+$C$23*X19</s:f>
        <s:v>8.790017747239029</s:v>
      </s:c>
    </s:row>
    <s:row r="26">
      <s:c r="A26" s="8" t="inlineStr">
        <s:is>
          <s:t>Gap: printed − stays-implied (pp)</s:t>
        </s:is>
      </s:c>
      <s:c r="B26" s="4" t="inlineStr">
        <s:is>
          <s:t>the option term I, observed (3Q25 onward)</s:t>
        </s:is>
      </s:c>
      <s:c r="K26" s="15">
        <s:f>K8*100-K25</s:f>
        <s:v>0.3543722428042173</s:v>
      </s:c>
      <s:c r="L26" s="15">
        <s:f>L8*100-L25</s:f>
        <s:v>-1.7423047833386285</s:v>
      </s:c>
      <s:c r="M26" s="15">
        <s:f>M8*100-M25</s:f>
        <s:v>2.696399552440674</s:v>
      </s:c>
      <s:c r="N26" s="15">
        <s:f>N8*100-N25</s:f>
        <s:v>0.11520610822600297</s:v>
      </s:c>
      <s:c r="O26" s="15">
        <s:f>O8*100-O25</s:f>
        <s:v>-1.6048994449714478</s:v>
      </s:c>
      <s:c r="P26" s="15">
        <s:f>P8*100-P25</s:f>
        <s:v>-0.24865383624354287</s:v>
      </s:c>
      <s:c r="Q26" s="15">
        <s:f>Q8*100-Q25</s:f>
        <s:v>-0.3540224949323072</s:v>
      </s:c>
      <s:c r="R26" s="15">
        <s:f>R8*100-R25</s:f>
        <s:v>3.089763799731948</s:v>
      </s:c>
      <s:c r="S26" s="15">
        <s:f>S8*100-S25</s:f>
        <s:v>-1.0000008791824806</s:v>
      </s:c>
      <s:c r="T26" s="15">
        <s:f>T8*100-T25</s:f>
        <s:v>-1.30586026453443</s:v>
      </s:c>
      <s:c r="U26" s="13">
        <s:f>U8*100-U25</s:f>
        <s:v>0.8581680962760823</s:v>
      </s:c>
      <s:c r="V26" s="13">
        <s:f>V8*100-V25</s:f>
        <s:v>0.3370768085382352</s:v>
      </s:c>
      <s:c r="W26" s="13">
        <s:f>W8*100-W25</s:f>
        <s:v>-0.8014686053801992</s:v>
      </s:c>
      <s:c r="X26" s="13">
        <s:f>X8*100-X25</s:f>
        <s:v>1.5522441575228783</s:v>
      </s:c>
    </s:row>
    <s:row r="28">
      <s:c r="A28" s="5" t="inlineStr">
        <s:is>
          <s:t>C1. Walk-forward W1 — window 1Q22+, scored 1Q23–2Q26</s:t>
        </s:is>
      </s:c>
      <s:c r="B28" s="5" t="n"/>
      <s:c r="C28" s="5" t="n"/>
      <s:c r="D28" s="5" t="n"/>
      <s:c r="E28" s="5" t="n"/>
      <s:c r="F28" s="5" t="n"/>
      <s:c r="G28" s="5" t="n"/>
      <s:c r="H28" s="5" t="n"/>
      <s:c r="I28" s="5" t="n"/>
      <s:c r="J28" s="5" t="n"/>
      <s:c r="K28" s="5" t="n"/>
      <s:c r="L28" s="5" t="n"/>
      <s:c r="M28" s="5" t="n"/>
      <s:c r="N28" s="5" t="n"/>
      <s:c r="O28" s="5" t="n"/>
      <s:c r="P28" s="5" t="n"/>
      <s:c r="Q28" s="5" t="n"/>
      <s:c r="R28" s="5" t="n"/>
      <s:c r="S28" s="5" t="n"/>
      <s:c r="T28" s="5" t="n"/>
      <s:c r="U28" s="5" t="n"/>
      <s:c r="V28" s="5" t="n"/>
      <s:c r="W28" s="5" t="n"/>
      <s:c r="X28" s="5" t="n"/>
      <s:c r="Y28" s="5" t="n"/>
      <s:c r="Z28" s="5" t="n"/>
      <s:c r="AA28" s="5" t="n"/>
      <s:c r="AB28" s="5" t="n"/>
      <s:c r="AC28" s="5" t="n"/>
      <s:c r="AD28" s="5" t="n"/>
    </s:row>
    <s:row r="29">
      <s:c r="A29" s="8" t="inlineStr">
        <s:is>
          <s:t xml:space="preserve">  prediction (refit on quarters before t)</s:t>
        </s:is>
      </s:c>
      <s:c r="B29" s="4" t="inlineStr">
        <s:is>
          <s:t>→ INTERCEPT(prior y, prior x) + SLOPE(prior y, prior x) × index_t</s:t>
        </s:is>
      </s:c>
      <s:c r="K29" s="15">
        <s:f>(INTERCEPT(G8:J8,G19:J19)+SLOPE(G8:J8,G19:J19)*K19)*100</s:f>
        <s:v>19.45430322887671</s:v>
      </s:c>
      <s:c r="L29" s="15">
        <s:f>(INTERCEPT(G8:K8,G19:K19)+SLOPE(G8:K8,G19:K19)*L19)*100</s:f>
        <s:v>15.569257799409444</s:v>
      </s:c>
      <s:c r="M29" s="15">
        <s:f>(INTERCEPT(G8:L8,G19:L19)+SLOPE(G8:L8,G19:L19)*M19)*100</s:f>
        <s:v>12.640134888404253</s:v>
      </s:c>
      <s:c r="N29" s="15">
        <s:f>(INTERCEPT(G8:M8,G19:M19)+SLOPE(G8:M8,G19:M19)*N19)*100</s:f>
        <s:v>13.619790882423954</s:v>
      </s:c>
      <s:c r="O29" s="15">
        <s:f>(INTERCEPT(G8:N8,G19:N19)+SLOPE(G8:N8,G19:N19)*O19)*100</s:f>
        <s:v>12.726286686718769</s:v>
      </s:c>
      <s:c r="P29" s="15">
        <s:f>(INTERCEPT(G8:O8,G19:O19)+SLOPE(G8:O8,G19:O19)*P19)*100</s:f>
        <s:v>10.603465836276373</s:v>
      </s:c>
      <s:c r="Q29" s="15">
        <s:f>(INTERCEPT(G8:P8,G19:P19)+SLOPE(G8:P8,G19:P19)*Q19)*100</s:f>
        <s:v>10.203170632016157</s:v>
      </s:c>
      <s:c r="R29" s="15">
        <s:f>(INTERCEPT(G8:Q8,G19:Q19)+SLOPE(G8:Q8,G19:Q19)*R19)*100</s:f>
        <s:v>10.25962489912101</s:v>
      </s:c>
      <s:c r="S29" s="15">
        <s:f>(INTERCEPT(G8:R8,G19:R19)+SLOPE(G8:R8,G19:R19)*S19)*100</s:f>
        <s:v>10.2756452471729</s:v>
      </s:c>
      <s:c r="T29" s="15">
        <s:f>(INTERCEPT(G8:S8,G19:S19)+SLOPE(G8:S8,G19:S19)*T19)*100</s:f>
        <s:v>9.878887409679091</s:v>
      </s:c>
      <s:c r="U29" s="15">
        <s:f>(INTERCEPT(G8:T8,G19:T19)+SLOPE(G8:T8,G19:T19)*U19)*100</s:f>
        <s:v>9.036575225181172</s:v>
      </s:c>
      <s:c r="V29" s="15">
        <s:f>(INTERCEPT(G8:U8,G19:U19)+SLOPE(G8:U8,G19:U19)*V19)*100</s:f>
        <s:v>10.152629929866992</s:v>
      </s:c>
      <s:c r="W29" s="15">
        <s:f>(INTERCEPT(G8:V8,G19:V19)+SLOPE(G8:V8,G19:V19)*W19)*100</s:f>
        <s:v>10.474650147021542</s:v>
      </s:c>
      <s:c r="X29" s="15">
        <s:f>(INTERCEPT(G8:W8,G19:W19)+SLOPE(G8:W8,G19:W19)*X19)*100</s:f>
        <s:v>9.514287042052228</s:v>
      </s:c>
    </s:row>
    <s:row r="30">
      <s:c r="A30" s="8" t="inlineStr">
        <s:is>
          <s:t xml:space="preserve">  error: prediction − printed (pp)</s:t>
        </s:is>
      </s:c>
      <s:c r="K30" s="15">
        <s:f>K29-K8*100</s:f>
        <s:v>0.8450965687395886</s:v>
      </s:c>
      <s:c r="L30" s="15">
        <s:f>L29-L8*100</s:f>
        <s:v>4.576008040489489</s:v>
      </s:c>
      <s:c r="M30" s="15">
        <s:f>M29-M8*100</s:f>
        <s:v>-0.9004869771925375</s:v>
      </s:c>
      <s:c r="N30" s="15">
        <s:f>N29-N8*100</s:f>
        <s:v>1.601650292854794</s:v>
      </s:c>
      <s:c r="O30" s="15">
        <s:f>O29-O8*100</s:f>
        <s:v>3.2300026239607256</s:v>
      </s:c>
      <s:c r="P30" s="15">
        <s:f>P29-P8*100</s:f>
        <s:v>1.9153685295865266</s:v>
      </s:c>
      <s:c r="Q30" s="15">
        <s:f>Q29-Q8*100</s:f>
        <s:v>1.722605260991429</s:v>
      </s:c>
      <s:c r="R30" s="15">
        <s:f>R29-R8*100</s:f>
        <s:v>-2.0885532385308228</s:v>
      </s:c>
      <s:c r="S30" s="15">
        <s:f>S29-S8*100</s:f>
        <s:v>2.3570932109738107</s:v>
      </s:c>
      <s:c r="T30" s="15">
        <s:f>T29-T8*100</s:f>
        <s:v>2.444834651885306</s:v>
      </s:c>
      <s:c r="U30" s="15">
        <s:f>U29-U8*100</s:f>
        <s:v>0.24178695156553331</s:v>
      </s:c>
      <s:c r="V30" s="15">
        <s:f>V29-V8*100</s:f>
        <s:v>0.332810110047161</s:v>
      </s:c>
      <s:c r="W30" s="15">
        <s:f>W29-W8*100</s:f>
        <s:v>1.3202126906972929</s:v>
      </s:c>
      <s:c r="X30" s="15">
        <s:f>X29-X8*100</s:f>
        <s:v>-0.827974862709679</s:v>
      </s:c>
    </s:row>
    <s:row r="31">
      <s:c r="A31" s="8" t="inlineStr">
        <s:is>
          <s:t xml:space="preserve">  naive error: last quarter's y/y − printed (pp)</s:t>
        </s:is>
      </s:c>
      <s:c r="K31" s="15">
        <s:f>(J8-K8)*100</s:f>
        <s:v>1.5542810782824823</s:v>
      </s:c>
      <s:c r="L31" s="15">
        <s:f>(K8-L8)*100</s:f>
        <s:v>7.615956901217169</s:v>
      </s:c>
      <s:c r="M31" s="15">
        <s:f>(L8-M8)*100</s:f>
        <s:v>-2.5473721066768373</s:v>
      </s:c>
      <s:c r="N31" s="15">
        <s:f>(M8-N8)*100</s:f>
        <s:v>1.5224812760276318</s:v>
      </s:c>
      <s:c r="O31" s="15">
        <s:f>(N8-O8)*100</s:f>
        <s:v>2.521856526811117</s:v>
      </s:c>
      <s:c r="P31" s="15">
        <s:f>(O8-P8)*100</s:f>
        <s:v>0.8081867560681966</s:v>
      </s:c>
      <s:c r="Q31" s="15">
        <s:f>(P8-Q8)*100</s:f>
        <s:v>0.2075319356651173</s:v>
      </s:c>
      <s:c r="R31" s="15">
        <s:f>(Q8-R8)*100</s:f>
        <s:v>-3.8676127666271043</s:v>
      </s:c>
      <s:c r="S31" s="15">
        <s:f>(R8-S8)*100</s:f>
        <s:v>4.429626101452744</s:v>
      </s:c>
      <s:c r="T31" s="15">
        <s:f>(S8-T8)*100</s:f>
        <s:v>0.4844992784053037</s:v>
      </s:c>
      <s:c r="U31" s="15">
        <s:f>(T8-U8)*100</s:f>
        <s:v>-1.3607355158218537</s:v>
      </s:c>
      <s:c r="V31" s="15">
        <s:f>(U8-V8)*100</s:f>
        <s:v>-1.0250315462041915</s:v>
      </s:c>
      <s:c r="W31" s="15">
        <s:f>(V8-W8)*100</s:f>
        <s:v>0.6653823634955813</s:v>
      </s:c>
      <s:c r="X31" s="15">
        <s:f>(W8-X8)*100</s:f>
        <s:v>-1.1878244484376577</s:v>
      </s:c>
    </s:row>
    <s:row r="32">
      <s:c r="A32" s="8" t="inlineStr">
        <s:is>
          <s:t xml:space="preserve">  RMSE engine / RMSE naive</s:t>
        </s:is>
      </s:c>
      <s:c r="B32" s="4" t="inlineStr">
        <s:is>
          <s:t>scored 1Q23–2Q26, n 14</s:t>
        </s:is>
      </s:c>
      <s:c r="C32" s="16">
        <s:f>SQRT(SUMSQ(K30:X30)/COUNT(K30:X30))</s:f>
        <s:v>2.0803847107419453</s:v>
      </s:c>
      <s:c r="D32" s="16">
        <s:f>SQRT(SUMSQ(K31:X31)/COUNT(K31:X31))</s:f>
        <s:v>2.876659094490053</s:v>
      </s:c>
      <s:c r="E32" s="17">
        <s:f>C32/D32</s:f>
        <s:v>0.7231947347277645</s:v>
      </s:c>
      <s:c r="F32" s="4" t="inlineStr">
        <s:is>
          <s:t>ratio (pass line ≤ 0.75)</s:t>
        </s:is>
      </s:c>
    </s:row>
    <s:row r="33">
      <s:c r="A33" s="8" t="inlineStr">
        <s:is>
          <s:t xml:space="preserve">  mean error (pp)</s:t>
        </s:is>
      </s:c>
      <s:c r="C33" s="15">
        <s:f>AVERAGE(K30:X30)</s:f>
        <s:v>1.1978895609541869</s:v>
      </s:c>
    </s:row>
    <s:row r="34">
      <s:c r="A34" s="5" t="inlineStr">
        <s:is>
          <s:t>C2. Walk-forward W2 — window 1Q23+, scored 1Q24–2Q26</s:t>
        </s:is>
      </s:c>
      <s:c r="B34" s="5" t="n"/>
      <s:c r="C34" s="5" t="n"/>
      <s:c r="D34" s="5" t="n"/>
      <s:c r="E34" s="5" t="n"/>
      <s:c r="F34" s="5" t="n"/>
      <s:c r="G34" s="5" t="n"/>
      <s:c r="H34" s="5" t="n"/>
      <s:c r="I34" s="5" t="n"/>
      <s:c r="J34" s="5" t="n"/>
      <s:c r="K34" s="5" t="n"/>
      <s:c r="L34" s="5" t="n"/>
      <s:c r="M34" s="5" t="n"/>
      <s:c r="N34" s="5" t="n"/>
      <s:c r="O34" s="5" t="n"/>
      <s:c r="P34" s="5" t="n"/>
      <s:c r="Q34" s="5" t="n"/>
      <s:c r="R34" s="5" t="n"/>
      <s:c r="S34" s="5" t="n"/>
      <s:c r="T34" s="5" t="n"/>
      <s:c r="U34" s="5" t="n"/>
      <s:c r="V34" s="5" t="n"/>
      <s:c r="W34" s="5" t="n"/>
      <s:c r="X34" s="5" t="n"/>
      <s:c r="Y34" s="5" t="n"/>
      <s:c r="Z34" s="5" t="n"/>
      <s:c r="AA34" s="5" t="n"/>
      <s:c r="AB34" s="5" t="n"/>
      <s:c r="AC34" s="5" t="n"/>
      <s:c r="AD34" s="5" t="n"/>
    </s:row>
    <s:row r="35">
      <s:c r="A35" s="8" t="inlineStr">
        <s:is>
          <s:t xml:space="preserve">  prediction (refit on quarters before t)</s:t>
        </s:is>
      </s:c>
      <s:c r="B35" s="4" t="inlineStr">
        <s:is>
          <s:t>→ INTERCEPT(prior y, prior x) + SLOPE(prior y, prior x) × index_t</s:t>
        </s:is>
      </s:c>
      <s:c r="O35" s="15">
        <s:f>(INTERCEPT(K8:N8,K19:N19)+SLOPE(K8:N8,K19:N19)*O19)*100</s:f>
        <s:v>11.758526194909228</s:v>
      </s:c>
      <s:c r="P35" s="15">
        <s:f>(INTERCEPT(K8:O8,K19:O19)+SLOPE(K8:O8,K19:O19)*P19)*100</s:f>
        <s:v>8.962895808109188</s:v>
      </s:c>
      <s:c r="Q35" s="15">
        <s:f>(INTERCEPT(K8:P8,K19:P19)+SLOPE(K8:P8,K19:P19)*Q19)*100</s:f>
        <s:v>8.753462986733817</s:v>
      </s:c>
      <s:c r="R35" s="15">
        <s:f>(INTERCEPT(K8:Q8,K19:Q19)+SLOPE(K8:Q8,K19:Q19)*R19)*100</s:f>
        <s:v>9.105680604776053</s:v>
      </s:c>
      <s:c r="S35" s="15">
        <s:f>(INTERCEPT(K8:R8,K19:R19)+SLOPE(K8:R8,K19:R19)*S19)*100</s:f>
        <s:v>9.443549924119383</s:v>
      </s:c>
      <s:c r="T35" s="15">
        <s:f>(INTERCEPT(K8:S8,K19:S19)+SLOPE(K8:S8,K19:S19)*T19)*100</s:f>
        <s:v>8.993962513076806</s:v>
      </s:c>
      <s:c r="U35" s="15">
        <s:f>(INTERCEPT(K8:T8,K19:T19)+SLOPE(K8:T8,K19:T19)*U19)*100</s:f>
        <s:v>7.936620177339557</s:v>
      </s:c>
      <s:c r="V35" s="15">
        <s:f>(INTERCEPT(K8:U8,K19:U19)+SLOPE(K8:U8,K19:U19)*V19)*100</s:f>
        <s:v>9.59341360922134</s:v>
      </s:c>
      <s:c r="W35" s="15">
        <s:f>(INTERCEPT(K8:V8,K19:V19)+SLOPE(K8:V8,K19:V19)*W19)*100</s:f>
        <s:v>10.074289530372111</s:v>
      </s:c>
      <s:c r="X35" s="15">
        <s:f>(INTERCEPT(K8:W8,K19:W19)+SLOPE(K8:W8,K19:W19)*X19)*100</s:f>
        <s:v>8.862306109771568</s:v>
      </s:c>
    </s:row>
    <s:row r="36">
      <s:c r="A36" s="8" t="inlineStr">
        <s:is>
          <s:t xml:space="preserve">  error: prediction − printed (pp)</s:t>
        </s:is>
      </s:c>
      <s:c r="O36" s="15">
        <s:f>O35-O8*100</s:f>
        <s:v>2.2622421321511847</s:v>
      </s:c>
      <s:c r="P36" s="15">
        <s:f>P35-P8*100</s:f>
        <s:v>0.27479850141934214</s:v>
      </s:c>
      <s:c r="Q36" s="15">
        <s:f>Q35-Q8*100</s:f>
        <s:v>0.27289761570908944</s:v>
      </s:c>
      <s:c r="R36" s="15">
        <s:f>R35-R8*100</s:f>
        <s:v>-3.2424975328757792</s:v>
      </s:c>
      <s:c r="S36" s="15">
        <s:f>S35-S8*100</s:f>
        <s:v>1.5249978879202937</s:v>
      </s:c>
      <s:c r="T36" s="15">
        <s:f>T35-T8*100</s:f>
        <s:v>1.5599097552830203</s:v>
      </s:c>
      <s:c r="U36" s="15">
        <s:f>U35-U8*100</s:f>
        <s:v>-0.8581680962760823</s:v>
      </s:c>
      <s:c r="V36" s="15">
        <s:f>V35-V8*100</s:f>
        <s:v>-0.22640621059849053</s:v>
      </s:c>
      <s:c r="W36" s="15">
        <s:f>W35-W8*100</s:f>
        <s:v>0.9198520740478617</s:v>
      </s:c>
      <s:c r="X36" s="15">
        <s:f>X35-X8*100</s:f>
        <s:v>-1.4799557949903388</s:v>
      </s:c>
    </s:row>
    <s:row r="37">
      <s:c r="A37" s="8" t="inlineStr">
        <s:is>
          <s:t xml:space="preserve">  naive error: last quarter's y/y − printed (pp)</s:t>
        </s:is>
      </s:c>
      <s:c r="O37" s="15">
        <s:f>(N8-O8)*100</s:f>
        <s:v>2.521856526811117</s:v>
      </s:c>
      <s:c r="P37" s="15">
        <s:f>(O8-P8)*100</s:f>
        <s:v>0.8081867560681966</s:v>
      </s:c>
      <s:c r="Q37" s="15">
        <s:f>(P8-Q8)*100</s:f>
        <s:v>0.2075319356651173</s:v>
      </s:c>
      <s:c r="R37" s="15">
        <s:f>(Q8-R8)*100</s:f>
        <s:v>-3.8676127666271043</s:v>
      </s:c>
      <s:c r="S37" s="15">
        <s:f>(R8-S8)*100</s:f>
        <s:v>4.429626101452744</s:v>
      </s:c>
      <s:c r="T37" s="15">
        <s:f>(S8-T8)*100</s:f>
        <s:v>0.4844992784053037</s:v>
      </s:c>
      <s:c r="U37" s="15">
        <s:f>(T8-U8)*100</s:f>
        <s:v>-1.3607355158218537</s:v>
      </s:c>
      <s:c r="V37" s="15">
        <s:f>(U8-V8)*100</s:f>
        <s:v>-1.0250315462041915</s:v>
      </s:c>
      <s:c r="W37" s="15">
        <s:f>(V8-W8)*100</s:f>
        <s:v>0.6653823634955813</s:v>
      </s:c>
      <s:c r="X37" s="15">
        <s:f>(W8-X8)*100</s:f>
        <s:v>-1.1878244484376577</s:v>
      </s:c>
    </s:row>
    <s:row r="38">
      <s:c r="A38" s="8" t="inlineStr">
        <s:is>
          <s:t xml:space="preserve">  RMSE engine / RMSE naive</s:t>
        </s:is>
      </s:c>
      <s:c r="B38" s="4" t="inlineStr">
        <s:is>
          <s:t>scored 1Q24–2Q26, n 10</s:t>
        </s:is>
      </s:c>
      <s:c r="C38" s="16">
        <s:f>SQRT(SUMSQ(O36:X36)/COUNT(O36:X36))</s:f>
        <s:v>1.560915221590695</s:v>
      </s:c>
      <s:c r="D38" s="16">
        <s:f>SQRT(SUMSQ(O37:X37)/COUNT(O37:X37))</s:f>
        <s:v>2.1593217121480146</s:v>
      </s:c>
      <s:c r="E38" s="17">
        <s:f>C38/D38</s:f>
        <s:v>0.7228729340372136</s:v>
      </s:c>
      <s:c r="F38" s="4" t="inlineStr">
        <s:is>
          <s:t>ratio (pass line ≤ 0.75)</s:t>
        </s:is>
      </s:c>
    </s:row>
    <s:row r="39">
      <s:c r="A39" s="8" t="inlineStr">
        <s:is>
          <s:t xml:space="preserve">  mean error (pp)</s:t>
        </s:is>
      </s:c>
      <s:c r="C39" s="15">
        <s:f>AVERAGE(O36:X36)</s:f>
        <s:v>0.10076703317901012</s:v>
      </s:c>
    </s:row>
    <s:row r="40">
      <s:c r="A40" s="5" t="inlineStr">
        <s:is>
          <s:t>C3. Band — W2 walk-forward on the pre-RNPL quarters only, scored 1Q24–2Q25</s:t>
        </s:is>
      </s:c>
      <s:c r="B40" s="5" t="n"/>
      <s:c r="C40" s="5" t="n"/>
      <s:c r="D40" s="5" t="n"/>
      <s:c r="E40" s="5" t="n"/>
      <s:c r="F40" s="5" t="n"/>
      <s:c r="G40" s="5" t="n"/>
      <s:c r="H40" s="5" t="n"/>
      <s:c r="I40" s="5" t="n"/>
      <s:c r="J40" s="5" t="n"/>
      <s:c r="K40" s="5" t="n"/>
      <s:c r="L40" s="5" t="n"/>
      <s:c r="M40" s="5" t="n"/>
      <s:c r="N40" s="5" t="n"/>
      <s:c r="O40" s="5" t="n"/>
      <s:c r="P40" s="5" t="n"/>
      <s:c r="Q40" s="5" t="n"/>
      <s:c r="R40" s="5" t="n"/>
      <s:c r="S40" s="5" t="n"/>
      <s:c r="T40" s="5" t="n"/>
      <s:c r="U40" s="5" t="n"/>
      <s:c r="V40" s="5" t="n"/>
      <s:c r="W40" s="5" t="n"/>
      <s:c r="X40" s="5" t="n"/>
      <s:c r="Y40" s="5" t="n"/>
      <s:c r="Z40" s="5" t="n"/>
      <s:c r="AA40" s="5" t="n"/>
      <s:c r="AB40" s="5" t="n"/>
      <s:c r="AC40" s="5" t="n"/>
      <s:c r="AD40" s="5" t="n"/>
    </s:row>
    <s:row r="41">
      <s:c r="A41" s="8" t="inlineStr">
        <s:is>
          <s:t xml:space="preserve">  prediction (refit on quarters before t)</s:t>
        </s:is>
      </s:c>
      <s:c r="B41" s="4" t="inlineStr">
        <s:is>
          <s:t>→ INTERCEPT(prior y, prior x) + SLOPE(prior y, prior x) × index_t</s:t>
        </s:is>
      </s:c>
      <s:c r="O41" s="15">
        <s:f>(INTERCEPT(K8:N8,K19:N19)+SLOPE(K8:N8,K19:N19)*O19)*100</s:f>
        <s:v>11.758526194909228</s:v>
      </s:c>
      <s:c r="P41" s="15">
        <s:f>(INTERCEPT(K8:O8,K19:O19)+SLOPE(K8:O8,K19:O19)*P19)*100</s:f>
        <s:v>8.962895808109188</s:v>
      </s:c>
      <s:c r="Q41" s="15">
        <s:f>(INTERCEPT(K8:P8,K19:P19)+SLOPE(K8:P8,K19:P19)*Q19)*100</s:f>
        <s:v>8.753462986733817</s:v>
      </s:c>
      <s:c r="R41" s="15">
        <s:f>(INTERCEPT(K8:Q8,K19:Q19)+SLOPE(K8:Q8,K19:Q19)*R19)*100</s:f>
        <s:v>9.105680604776053</s:v>
      </s:c>
      <s:c r="S41" s="15">
        <s:f>(INTERCEPT(K8:R8,K19:R19)+SLOPE(K8:R8,K19:R19)*S19)*100</s:f>
        <s:v>9.443549924119383</s:v>
      </s:c>
      <s:c r="T41" s="15">
        <s:f>(INTERCEPT(K8:S8,K19:S19)+SLOPE(K8:S8,K19:S19)*T19)*100</s:f>
        <s:v>8.993962513076806</s:v>
      </s:c>
    </s:row>
    <s:row r="42">
      <s:c r="A42" s="8" t="inlineStr">
        <s:is>
          <s:t xml:space="preserve">  error: prediction − printed (pp)</s:t>
        </s:is>
      </s:c>
      <s:c r="O42" s="15">
        <s:f>O41-O8*100</s:f>
        <s:v>2.2622421321511847</s:v>
      </s:c>
      <s:c r="P42" s="15">
        <s:f>P41-P8*100</s:f>
        <s:v>0.27479850141934214</s:v>
      </s:c>
      <s:c r="Q42" s="15">
        <s:f>Q41-Q8*100</s:f>
        <s:v>0.27289761570908944</s:v>
      </s:c>
      <s:c r="R42" s="15">
        <s:f>R41-R8*100</s:f>
        <s:v>-3.2424975328757792</s:v>
      </s:c>
      <s:c r="S42" s="15">
        <s:f>S41-S8*100</s:f>
        <s:v>1.5249978879202937</s:v>
      </s:c>
      <s:c r="T42" s="15">
        <s:f>T41-T8*100</s:f>
        <s:v>1.5599097552830203</s:v>
      </s:c>
    </s:row>
    <s:row r="43">
      <s:c r="A43" s="8" t="inlineStr">
        <s:is>
          <s:t xml:space="preserve">  naive error: last quarter's y/y − printed (pp)</s:t>
        </s:is>
      </s:c>
      <s:c r="O43" s="15">
        <s:f>(N8-O8)*100</s:f>
        <s:v>2.521856526811117</s:v>
      </s:c>
      <s:c r="P43" s="15">
        <s:f>(O8-P8)*100</s:f>
        <s:v>0.8081867560681966</s:v>
      </s:c>
      <s:c r="Q43" s="15">
        <s:f>(P8-Q8)*100</s:f>
        <s:v>0.2075319356651173</s:v>
      </s:c>
      <s:c r="R43" s="15">
        <s:f>(Q8-R8)*100</s:f>
        <s:v>-3.8676127666271043</s:v>
      </s:c>
      <s:c r="S43" s="15">
        <s:f>(R8-S8)*100</s:f>
        <s:v>4.429626101452744</s:v>
      </s:c>
      <s:c r="T43" s="15">
        <s:f>(S8-T8)*100</s:f>
        <s:v>0.4844992784053037</s:v>
      </s:c>
    </s:row>
    <s:row r="44">
      <s:c r="A44" s="8" t="inlineStr">
        <s:is>
          <s:t xml:space="preserve">  RMSE engine / RMSE naive</s:t>
        </s:is>
      </s:c>
      <s:c r="B44" s="4" t="inlineStr">
        <s:is>
          <s:t>scored 1Q24–2Q25, n 6</s:t>
        </s:is>
      </s:c>
      <s:c r="C44" s="16">
        <s:f>SQRT(SUMSQ(O42:T42)/COUNT(O42:T42))</s:f>
        <s:v>1.8502456613026628</s:v>
      </s:c>
      <s:c r="D44" s="16">
        <s:f>SQRT(SUMSQ(O43:T43)/COUNT(O43:T43))</s:f>
        <s:v>2.641677217881613</s:v>
      </s:c>
      <s:c r="E44" s="17">
        <s:f>C44/D44</s:f>
        <s:v>0.7004056547023535</s:v>
      </s:c>
      <s:c r="F44" s="4" t="inlineStr">
        <s:is>
          <s:t>ratio (pass line ≤ 0.75)</s:t>
        </s:is>
      </s:c>
      <s:c r="G44" s="4" t="inlineStr">
        <s:is>
          <s:t>← the RMSE in the first cell of this row is the band (±pp) on every read</s:t>
        </s:is>
      </s:c>
    </s:row>
    <s:row r="45">
      <s:c r="A45" s="8" t="inlineStr">
        <s:is>
          <s:t xml:space="preserve">  mean error (pp)</s:t>
        </s:is>
      </s:c>
      <s:c r="C45" s="15">
        <s:f>AVERAGE(O42:T42)</s:f>
        <s:v>0.4420580599345252</s:v>
      </s:c>
    </s:row>
    <s:row r="47">
      <s:c r="A47" s="5" t="inlineStr">
        <s:is>
          <s:t>D. The 3Q26 read — quarter-to-date, day-matched, same-age two vintages, through the frozen mapping</s:t>
        </s:is>
      </s:c>
      <s:c r="B47" s="5" t="n"/>
      <s:c r="C47" s="5" t="n"/>
      <s:c r="D47" s="5" t="n"/>
      <s:c r="E47" s="5" t="n"/>
      <s:c r="F47" s="5" t="n"/>
      <s:c r="G47" s="5" t="n"/>
      <s:c r="H47" s="5" t="n"/>
      <s:c r="I47" s="5" t="n"/>
      <s:c r="J47" s="5" t="n"/>
      <s:c r="K47" s="5" t="n"/>
      <s:c r="L47" s="5" t="n"/>
      <s:c r="M47" s="5" t="n"/>
      <s:c r="N47" s="5" t="n"/>
      <s:c r="O47" s="5" t="n"/>
      <s:c r="P47" s="5" t="n"/>
      <s:c r="Q47" s="5" t="n"/>
      <s:c r="R47" s="5" t="n"/>
      <s:c r="S47" s="5" t="n"/>
      <s:c r="T47" s="5" t="n"/>
      <s:c r="U47" s="5" t="n"/>
      <s:c r="V47" s="5" t="n"/>
      <s:c r="W47" s="5" t="n"/>
      <s:c r="X47" s="5" t="n"/>
      <s:c r="Y47" s="5" t="n"/>
      <s:c r="Z47" s="5" t="n"/>
      <s:c r="AA47" s="5" t="n"/>
      <s:c r="AB47" s="5" t="n"/>
      <s:c r="AC47" s="5" t="n"/>
      <s:c r="AD47" s="5" t="n"/>
    </s:row>
    <s:row r="48">
      <s:c r="A48" s="8" t="inlineStr">
        <s:is>
          <s:t xml:space="preserve">  3Q26 QTD stays y/y, NAM (%)</s:t>
        </s:is>
      </s:c>
      <s:c r="B48" s="4" t="inlineStr">
        <s:is>
          <s:t>q3nowcast/E/vintage_matched_nowcast.csv (E6, 3q26_to_date, vmatch_cw)</s:t>
        </s:is>
      </s:c>
      <s:c r="C48" s="11" t="n">
        <s:v>6.85016939240326</s:v>
      </s:c>
      <s:c r="D48" s="18">
        <s:f>Y15</s:f>
        <s:v>0.26492132062689</s:v>
      </s:c>
      <s:c r="E48" s="4" t="inlineStr">
        <s:is>
          <s:t>← 3Q26 stay-mix weight (block B)</s:t>
        </s:is>
      </s:c>
    </s:row>
    <s:row r="49">
      <s:c r="A49" s="8" t="inlineStr">
        <s:is>
          <s:t xml:space="preserve">  3Q26 QTD stays y/y, EMEA (%)</s:t>
        </s:is>
      </s:c>
      <s:c r="B49" s="4" t="inlineStr">
        <s:is>
          <s:t>q3nowcast/E/vintage_matched_nowcast.csv (E6, 3q26_to_date, vmatch_cw)</s:t>
        </s:is>
      </s:c>
      <s:c r="C49" s="11" t="n">
        <s:v>0.86249526311585</s:v>
      </s:c>
      <s:c r="D49" s="18">
        <s:f>Y16</s:f>
        <s:v>0.51486680214515</s:v>
      </s:c>
      <s:c r="E49" s="4" t="inlineStr">
        <s:is>
          <s:t>← 3Q26 stay-mix weight (block B)</s:t>
        </s:is>
      </s:c>
    </s:row>
    <s:row r="50">
      <s:c r="A50" s="8" t="inlineStr">
        <s:is>
          <s:t xml:space="preserve">  3Q26 QTD stays y/y, LatAm (%)</s:t>
        </s:is>
      </s:c>
      <s:c r="B50" s="4" t="inlineStr">
        <s:is>
          <s:t>q3nowcast/E/vintage_matched_nowcast.csv (E6, 3q26_to_date, vmatch_cw)</s:t>
        </s:is>
      </s:c>
      <s:c r="C50" s="11" t="n">
        <s:v>27.53417342427895</s:v>
      </s:c>
      <s:c r="D50" s="18">
        <s:f>Y17</s:f>
        <s:v>0.100184665133406</s:v>
      </s:c>
      <s:c r="E50" s="4" t="inlineStr">
        <s:is>
          <s:t>← 3Q26 stay-mix weight (block B)</s:t>
        </s:is>
      </s:c>
    </s:row>
    <s:row r="51">
      <s:c r="A51" s="8" t="inlineStr">
        <s:is>
          <s:t xml:space="preserve">  3Q26 QTD stays y/y, APAC (%)</s:t>
        </s:is>
      </s:c>
      <s:c r="B51" s="4" t="inlineStr">
        <s:is>
          <s:t>q3nowcast/E/vintage_matched_nowcast.csv (E6, 3q26_to_date, vmatch_cw)</s:t>
        </s:is>
      </s:c>
      <s:c r="C51" s="11" t="n">
        <s:v>7.34946999312322</s:v>
      </s:c>
      <s:c r="D51" s="18">
        <s:f>Y18</s:f>
        <s:v>0.120027212094554</s:v>
      </s:c>
      <s:c r="E51" s="4" t="inlineStr">
        <s:is>
          <s:t>← 3Q26 stay-mix weight (block B)</s:t>
        </s:is>
      </s:c>
    </s:row>
    <s:row r="52">
      <s:c r="A52" s="8" t="inlineStr">
        <s:is>
          <s:t xml:space="preserve">  Composite QTD index (%)</s:t>
        </s:is>
      </s:c>
      <s:c r="B52" s="4" t="inlineStr">
        <s:is>
          <s:t>→ SUMPRODUCT(regional, weights)/SUM(weights)</s:t>
        </s:is>
      </s:c>
      <s:c r="C52" s="15">
        <s:f>SUMPRODUCT(C48:C51,D48:D51)/SUM(D48:D51)</s:f>
        <s:v>5.899464437822844</s:v>
      </s:c>
    </s:row>
    <s:row r="53">
      <s:c r="A53" s="8" t="inlineStr">
        <s:is>
          <s:t xml:space="preserve">  Partial-to-full-quarter gap (pp)</s:t>
        </s:is>
      </s:c>
      <s:c r="B53" s="4" t="inlineStr">
        <s:is>
          <s:t>q3nowcast/E/q3_2026_nowcast.csv gap_mean_pp (measured 2023–25)</s:t>
        </s:is>
      </s:c>
      <s:c r="C53" s="12" t="n">
        <s:v>0.0872435389247453</s:v>
      </s:c>
    </s:row>
    <s:row r="54">
      <s:c r="A54" s="8" t="inlineStr">
        <s:is>
          <s:t xml:space="preserve">  Full-quarter index (%)</s:t>
        </s:is>
      </s:c>
      <s:c r="B54" s="4" t="inlineStr">
        <s:is>
          <s:t>→ composite + gap</s:t>
        </s:is>
      </s:c>
      <s:c r="C54" s="15">
        <s:f>C52+C53</s:f>
        <s:v>5.986707976747589</s:v>
      </s:c>
    </s:row>
    <s:row r="55">
      <s:c r="A55" s="8" t="inlineStr">
        <s:is>
          <s:t xml:space="preserve">  3Q26 STAYS READ, nights y/y (%)</s:t>
        </s:is>
      </s:c>
      <s:c r="B55" s="4" t="inlineStr">
        <s:is>
          <s:t>→ a + b × full index</s:t>
        </s:is>
      </s:c>
      <s:c r="C55" s="19">
        <s:f>$C$22+$C$23*C54</s:f>
        <s:v>8.918092139325717</s:v>
      </s:c>
      <s:c r="D55" s="20">
        <s:f>$C$44</s:f>
        <s:v>1.8502456613026628</s:v>
      </s:c>
      <s:c r="E55" s="4" t="inlineStr">
        <s:is>
          <s:t>± band (block C3)</s:t>
        </s:is>
      </s:c>
    </s:row>
    <s:row r="56">
      <s:c r="A56" s="8" t="inlineStr">
        <s:is>
          <s:t xml:space="preserve">  3Q26 stays level (m)  [lo, hi]</s:t>
        </s:is>
      </s:c>
      <s:c r="B56" s="4" t="inlineStr">
        <s:is>
          <s:t>→ 3Q25 printed × (1 + read)</s:t>
        </s:is>
      </s:c>
      <s:c r="C56" s="21">
        <s:f>U7*(1+C55/100)</s:f>
        <s:v>145.51457109813913</s:v>
      </s:c>
      <s:c r="D56" s="22">
        <s:f>U7*(1+(C55-$C$44)/100)</s:f>
        <s:v>143.0426428946388</s:v>
      </s:c>
      <s:c r="E56" s="22">
        <s:f>U7*(1+(C55+$C$44)/100)</s:f>
        <s:v>147.9864993016395</s:v>
      </s:c>
    </s:row>
    <s:row r="58">
      <s:c r="A58" s="5" t="inlineStr">
        <s:is>
          <s:t>E. The option term — print = stays + I; I observed 3Q25–2Q26, scenarios for 3Q26, y/y lap and kernel landing</s:t>
        </s:is>
      </s:c>
      <s:c r="B58" s="5" t="n"/>
      <s:c r="C58" s="5" t="n"/>
      <s:c r="D58" s="5" t="n"/>
      <s:c r="E58" s="5" t="n"/>
      <s:c r="F58" s="5" t="n"/>
      <s:c r="G58" s="5" t="n"/>
      <s:c r="H58" s="5" t="n"/>
      <s:c r="I58" s="5" t="n"/>
      <s:c r="J58" s="5" t="n"/>
      <s:c r="K58" s="5" t="n"/>
      <s:c r="L58" s="5" t="n"/>
      <s:c r="M58" s="5" t="n"/>
      <s:c r="N58" s="5" t="n"/>
      <s:c r="O58" s="5" t="n"/>
      <s:c r="P58" s="5" t="n"/>
      <s:c r="Q58" s="5" t="n"/>
      <s:c r="R58" s="5" t="n"/>
      <s:c r="S58" s="5" t="n"/>
      <s:c r="T58" s="5" t="n"/>
      <s:c r="U58" s="5" t="n"/>
      <s:c r="V58" s="5" t="n"/>
      <s:c r="W58" s="5" t="n"/>
      <s:c r="X58" s="5" t="n"/>
      <s:c r="Y58" s="5" t="n"/>
      <s:c r="Z58" s="5" t="n"/>
      <s:c r="AA58" s="5" t="n"/>
      <s:c r="AB58" s="5" t="n"/>
      <s:c r="AC58" s="5" t="n"/>
      <s:c r="AD58" s="5" t="n"/>
    </s:row>
    <s:row r="59">
      <s:c r="A59" s="8" t="inlineStr">
        <s:is>
          <s:t xml:space="preserve">  I scenario: 0 (exercise keeps pace with writing)</s:t>
        </s:is>
      </s:c>
      <s:c r="C59" s="11" t="n">
        <s:v>0</s:v>
      </s:c>
      <s:c r="D59" s="15">
        <s:f>$C$55+C59</s:f>
        <s:v>8.918092139325717</s:v>
      </s:c>
      <s:c r="E59" s="22">
        <s:f>U7*(1+D59/100)</s:f>
        <s:v>145.51457109813913</s:v>
      </s:c>
      <s:c r="F59" s="4" t="inlineStr">
        <s:is>
          <s:t>← print y/y and level under each scenario</s:t>
        </s:is>
      </s:c>
    </s:row>
    <s:row r="60">
      <s:c r="A60" s="8" t="inlineStr">
        <s:is>
          <s:t xml:space="preserve">  I scenario: mean observed gap</s:t>
        </s:is>
      </s:c>
      <s:c r="B60" s="4" t="inlineStr">
        <s:is>
          <s:t>→ AVERAGE(gaps 3Q25–2Q26)</s:t>
        </s:is>
      </s:c>
      <s:c r="C60" s="15">
        <s:f>AVERAGE(U26:X26)</s:f>
        <s:v>0.48650511423924914</s:v>
      </s:c>
      <s:c r="D60" s="15">
        <s:f>$C$55+C60</s:f>
        <s:v>9.404597253564965</s:v>
      </s:c>
      <s:c r="E60" s="22">
        <s:f>U7*(1+D60/100)</s:f>
        <s:v>146.1645419307628</s:v>
      </s:c>
    </s:row>
    <s:row r="61">
      <s:c r="A61" s="8" t="inlineStr">
        <s:is>
          <s:t xml:space="preserve">  I scenario: largest observed gap (a writing wave)</s:t>
        </s:is>
      </s:c>
      <s:c r="B61" s="4" t="inlineStr">
        <s:is>
          <s:t>→ MAX(gaps)</s:t>
        </s:is>
      </s:c>
      <s:c r="C61" s="15">
        <s:f>MAX(U26:X26)</s:f>
        <s:v>1.5522441575228783</s:v>
      </s:c>
      <s:c r="D61" s="15">
        <s:f>$C$55+C61</s:f>
        <s:v>10.470336296848595</s:v>
      </s:c>
      <s:c r="E61" s="22">
        <s:f>U7*(1+D61/100)</s:f>
        <s:v>147.5883692925897</s:v>
      </s:c>
    </s:row>
    <s:row r="63">
      <s:c r="A63" s="8" t="inlineStr">
        <s:is>
          <s:t xml:space="preserve">  y/y option term = I_t − I_{t−4} (pp)</s:t>
        </s:is>
      </s:c>
      <s:c r="B63" s="4" t="inlineStr">
        <s:is>
          <s:t>what the KPI laps; 3Q26 uses the base print minus the stays read</s:t>
        </s:is>
      </s:c>
      <s:c r="Y63" s="13">
        <s:f>(Y64-$C$55)-U26</s:f>
        <s:v>0.1097397643982001</s:v>
      </s:c>
      <s:c r="Z63" s="13">
        <s:f>0-V26</s:f>
        <s:v>-0.3370768085382352</s:v>
      </s:c>
      <s:c r="AA63" s="13">
        <s:f>0-W26</s:f>
        <s:v>0.8014686053801992</s:v>
      </s:c>
      <s:c r="AB63" s="13">
        <s:f>0-X26</s:f>
        <s:v>-1.5522441575228783</s:v>
      </s:c>
    </s:row>
    <s:row r="64">
      <s:c r="A64" s="8" t="inlineStr">
        <s:is>
          <s:t xml:space="preserve">  Base print y/y (%) — mechanism (DEC-0029/0019/0025)</s:t>
        </s:is>
      </s:c>
      <s:c r="B64" s="4" t="inlineStr">
        <s:is>
          <s:t>final_nights.md; components in block F</s:t>
        </s:is>
      </s:c>
      <s:c r="Y64" s="18">
        <s:f>Y84</s:f>
        <s:v>9.886</s:v>
      </s:c>
      <s:c r="Z64" s="18">
        <s:f>Z84</s:f>
        <s:v>8.120000000000001</s:v>
      </s:c>
      <s:c r="AA64" s="18">
        <s:f>AA84</s:f>
        <s:v>8.205</s:v>
      </s:c>
      <s:c r="AB64" s="18">
        <s:f>AB84</s:f>
        <s:v>5.933000000000001</s:v>
      </s:c>
    </s:row>
    <s:row r="66">
      <s:c r="A66" s="8" t="inlineStr">
        <s:is>
          <s:t xml:space="preserve">  K2 kernel: share of a stay quarter's stays booked 0..3 quarters earlier</s:t>
        </s:is>
      </s:c>
      <s:c r="B66" s="4" t="inlineStr">
        <s:is>
          <s:t>kernel_leadtime_v2/K2_M_matrix.csv</s:t>
        </s:is>
      </s:c>
    </s:row>
    <s:row r="67">
      <s:c r="A67" s="8" t="inlineStr">
        <s:is>
          <s:t xml:space="preserve">    stays in Q1: lag 0 / 1 / 2 / 3</s:t>
        </s:is>
      </s:c>
      <s:c r="C67" s="12" t="n">
        <s:v>0.5583640467656267</s:v>
      </s:c>
      <s:c r="D67" s="12" t="n">
        <s:v>0.3144994169549485</s:v>
      </s:c>
      <s:c r="E67" s="12" t="n">
        <s:v>0.0999870843688536</s:v>
      </s:c>
      <s:c r="F67" s="12" t="n">
        <s:v>0.027149451910571</s:v>
      </s:c>
    </s:row>
    <s:row r="68">
      <s:c r="A68" s="8" t="inlineStr">
        <s:is>
          <s:t xml:space="preserve">    stays in Q2: lag 0 / 1 / 2 / 3</s:t>
        </s:is>
      </s:c>
      <s:c r="C68" s="12" t="n">
        <s:v>0.4980794165248419</s:v>
      </s:c>
      <s:c r="D68" s="12" t="n">
        <s:v>0.3606152027985457</s:v>
      </s:c>
      <s:c r="E68" s="12" t="n">
        <s:v>0.0821239641226746</s:v>
      </s:c>
      <s:c r="F68" s="12" t="n">
        <s:v>0.0591814165539375</s:v>
      </s:c>
    </s:row>
    <s:row r="69">
      <s:c r="A69" s="8" t="inlineStr">
        <s:is>
          <s:t xml:space="preserve">    stays in Q3: lag 0 / 1 / 2 / 3</s:t>
        </s:is>
      </s:c>
      <s:c r="C69" s="12" t="n">
        <s:v>0.4633821662176525</s:v>
      </s:c>
      <s:c r="D69" s="12" t="n">
        <s:v>0.3893781525413777</s:v>
      </s:c>
      <s:c r="E69" s="12" t="n">
        <s:v>0.0954500016289517</s:v>
      </s:c>
      <s:c r="F69" s="12" t="n">
        <s:v>0.0517896796120176</s:v>
      </s:c>
    </s:row>
    <s:row r="70">
      <s:c r="A70" s="8" t="inlineStr">
        <s:is>
          <s:t xml:space="preserve">    stays in Q4: lag 0 / 1 / 2 / 3</s:t>
        </s:is>
      </s:c>
      <s:c r="C70" s="12" t="n">
        <s:v>0.5017395150331228</s:v>
      </s:c>
      <s:c r="D70" s="12" t="n">
        <s:v>0.3528418363472928</s:v>
      </s:c>
      <s:c r="E70" s="12" t="n">
        <s:v>0.1174376865950466</s:v>
      </s:c>
      <s:c r="F70" s="12" t="n">
        <s:v>0.0279809620245379</s:v>
      </s:c>
    </s:row>
    <s:row r="71">
      <s:c r="A71" s="8" t="inlineStr">
        <s:is>
          <s:t xml:space="preserve">  Landing of each writing wave's cancellations, pp (cohort gap × normalised kernel share by stay quarter)</s:t>
        </s:is>
      </s:c>
    </s:row>
    <s:row r="72">
      <s:c r="A72" s="8" t="inlineStr">
        <s:is>
          <s:t xml:space="preserve">    written 3Q25 (gap 3Q25)</s:t>
        </s:is>
      </s:c>
      <s:c r="U72" s="15">
        <s:f>MAX(U26,0)*C69/(C69+D70+E67+F68)</s:f>
        <s:v>0.4076920726880377</s:v>
      </s:c>
      <s:c r="V72" s="15">
        <s:f>MAX(U26,0)*D70/(C69+D70+E67+F68)</s:f>
        <s:v>0.31043667641692135</s:v>
      </s:c>
      <s:c r="W72" s="15">
        <s:f>MAX(U26,0)*E67/(C69+D70+E67+F68)</s:f>
        <s:v>0.08797045859815165</s:v>
      </s:c>
      <s:c r="X72" s="15">
        <s:f>MAX(U26,0)*F68/(C69+D70+E67+F68)</s:f>
        <s:v>0.05206888857297161</s:v>
      </s:c>
    </s:row>
    <s:row r="73">
      <s:c r="A73" s="8" t="inlineStr">
        <s:is>
          <s:t xml:space="preserve">    written 4Q25 (gap 4Q25)</s:t>
        </s:is>
      </s:c>
      <s:c r="V73" s="15">
        <s:f>MAX(V26,0)*C70/(C70+D67+E68+F69)</s:f>
        <s:v>0.17799746984450032</s:v>
      </s:c>
      <s:c r="W73" s="15">
        <s:f>MAX(V26,0)*D67/(C70+D67+E68+F69)</s:f>
        <s:v>0.1115720384946274</s:v>
      </s:c>
      <s:c r="X73" s="15">
        <s:f>MAX(V26,0)*E68/(C70+D67+E68+F69)</s:f>
        <s:v>0.029134356353159974</s:v>
      </s:c>
      <s:c r="Y73" s="15">
        <s:f>MAX(V26,0)*F69/(C70+D67+E68+F69)</s:f>
        <s:v>0.018372943845947513</s:v>
      </s:c>
    </s:row>
    <s:row r="74">
      <s:c r="A74" s="8" t="inlineStr">
        <s:is>
          <s:t xml:space="preserve">    written 1Q26 (gap 1Q26)</s:t>
        </s:is>
      </s:c>
      <s:c r="W74" s="15">
        <s:f>MAX(W26,0)*C67/(C67+D68+E69+F70)</s:f>
        <s:v>0.0</s:v>
      </s:c>
      <s:c r="X74" s="15">
        <s:f>MAX(W26,0)*D68/(C67+D68+E69+F70)</s:f>
        <s:v>0.0</s:v>
      </s:c>
      <s:c r="Y74" s="15">
        <s:f>MAX(W26,0)*E69/(C67+D68+E69+F70)</s:f>
        <s:v>0.0</s:v>
      </s:c>
      <s:c r="Z74" s="15">
        <s:f>MAX(W26,0)*F70/(C67+D68+E69+F70)</s:f>
        <s:v>0.0</s:v>
      </s:c>
    </s:row>
    <s:row r="75">
      <s:c r="A75" s="8" t="inlineStr">
        <s:is>
          <s:t xml:space="preserve">    written 2Q26 (gap 2Q26)</s:t>
        </s:is>
      </s:c>
      <s:c r="X75" s="15">
        <s:f>MAX(X26,0)*C68/(C68+D69+E70+F67)</s:f>
        <s:v>0.7491350506530976</s:v>
      </s:c>
      <s:c r="Y75" s="15">
        <s:f>MAX(X26,0)*D69/(C68+D69+E70+F67)</s:f>
        <s:v>0.5856431973489236</s:v>
      </s:c>
      <s:c r="Z75" s="15">
        <s:f>MAX(X26,0)*E70/(C68+D69+E70+F67)</s:f>
        <s:v>0.1766318470050152</s:v>
      </s:c>
      <s:c r="AA75" s="15">
        <s:f>MAX(X26,0)*F67/(C68+D69+E70+F67)</s:f>
        <s:v>0.040834062515841874</s:v>
      </s:c>
    </s:row>
    <s:row r="76">
      <s:c r="A76" s="8" t="inlineStr">
        <s:is>
          <s:t xml:space="preserve">    written 3Q26 (base I)</s:t>
        </s:is>
      </s:c>
      <s:c r="Y76" s="15">
        <s:f>MAX(Y64-$C$55,0)*C69/(C69+D70+E67+F68)</s:f>
        <s:v>0.45982641815944725</s:v>
      </s:c>
      <s:c r="Z76" s="15">
        <s:f>MAX(Y64-$C$55,0)*D70/(C69+D70+E67+F68)</s:f>
        <s:v>0.35013431593344957</s:v>
      </s:c>
      <s:c r="AA76" s="15">
        <s:f>MAX(Y64-$C$55,0)*E67/(C69+D70+E67+F68)</s:f>
        <s:v>0.09921983671236324</s:v>
      </s:c>
      <s:c r="AB76" s="15">
        <s:f>MAX(Y64-$C$55,0)*F68/(C69+D70+E67+F68)</s:f>
        <s:v>0.058727289869022314</s:v>
      </s:c>
    </s:row>
    <s:row r="77">
      <s:c r="A77" s="8" t="inlineStr">
        <s:is>
          <s:t xml:space="preserve">    cancellations landing, pp</s:t>
        </s:is>
      </s:c>
      <s:c r="B77" s="4" t="inlineStr">
        <s:is>
          <s:t>column sums</s:t>
        </s:is>
      </s:c>
      <s:c r="U77" s="13">
        <s:f>SUM(U72:U76)</s:f>
        <s:v>0.4076920726880377</s:v>
      </s:c>
      <s:c r="V77" s="13">
        <s:f>SUM(V72:V76)</s:f>
        <s:v>0.4884341462614217</s:v>
      </s:c>
      <s:c r="W77" s="13">
        <s:f>SUM(W72:W76)</s:f>
        <s:v>0.19954249709277905</s:v>
      </s:c>
      <s:c r="X77" s="13">
        <s:f>SUM(X72:X76)</s:f>
        <s:v>0.8303382955792292</s:v>
      </s:c>
      <s:c r="Y77" s="13">
        <s:f>SUM(Y72:Y76)</s:f>
        <s:v>1.0638425593543184</s:v>
      </s:c>
      <s:c r="Z77" s="13">
        <s:f>SUM(Z72:Z76)</s:f>
        <s:v>0.5267661629384648</s:v>
      </s:c>
      <s:c r="AA77" s="13">
        <s:f>SUM(AA72:AA76)</s:f>
        <s:v>0.1400538992282051</s:v>
      </s:c>
      <s:c r="AB77" s="13">
        <s:f>SUM(AB72:AB76)</s:f>
        <s:v>0.058727289869022314</s:v>
      </s:c>
    </s:row>
    <s:row r="79">
      <s:c r="A79" s="5" t="inlineStr">
        <s:is>
          <s:t>F. Forward path — base y/y as the sum of sourced components; levels; Street; guidance; the stays path</s:t>
        </s:is>
      </s:c>
      <s:c r="B79" s="5" t="n"/>
      <s:c r="C79" s="5" t="n"/>
      <s:c r="D79" s="5" t="n"/>
      <s:c r="E79" s="5" t="n"/>
      <s:c r="F79" s="5" t="n"/>
      <s:c r="G79" s="5" t="n"/>
      <s:c r="H79" s="5" t="n"/>
      <s:c r="I79" s="5" t="n"/>
      <s:c r="J79" s="5" t="n"/>
      <s:c r="K79" s="5" t="n"/>
      <s:c r="L79" s="5" t="n"/>
      <s:c r="M79" s="5" t="n"/>
      <s:c r="N79" s="5" t="n"/>
      <s:c r="O79" s="5" t="n"/>
      <s:c r="P79" s="5" t="n"/>
      <s:c r="Q79" s="5" t="n"/>
      <s:c r="R79" s="5" t="n"/>
      <s:c r="S79" s="5" t="n"/>
      <s:c r="T79" s="5" t="n"/>
      <s:c r="U79" s="5" t="n"/>
      <s:c r="V79" s="5" t="n"/>
      <s:c r="W79" s="5" t="n"/>
      <s:c r="X79" s="5" t="n"/>
      <s:c r="Y79" s="5" t="n"/>
      <s:c r="Z79" s="5" t="n"/>
      <s:c r="AA79" s="5" t="n"/>
      <s:c r="AB79" s="5" t="n"/>
      <s:c r="AC79" s="5" t="n"/>
      <s:c r="AD79" s="5" t="n"/>
    </s:row>
    <s:row r="80">
      <s:c r="A80" s="8" t="inlineStr">
        <s:is>
          <s:t xml:space="preserve">  underlying growth (pp)</s:t>
        </s:is>
      </s:c>
      <s:c r="B80" s="4" t="inlineStr">
        <s:is>
          <s:t>3Q26: mechanism 0.288×NA 5.60 + 0.712×ex-NA 11.62; 4Q26: ref 8.90; 2027: NA 0.291×2.31 + ex-NA 0.709×g</s:t>
        </s:is>
      </s:c>
      <s:c r="Y80" s="12" t="n">
        <s:v>9.885999999999999</s:v>
      </s:c>
      <s:c r="Z80" s="12" t="n">
        <s:v>8.9</s:v>
      </s:c>
      <s:c r="AA80" s="12" t="n">
        <s:v>8.31</s:v>
      </s:c>
      <s:c r="AB80" s="12" t="n">
        <s:v>8.082000000000001</s:v>
      </s:c>
      <s:c r="AC80" s="12" t="n">
        <s:v>7.855</s:v>
      </s:c>
      <s:c r="AD80" s="12" t="n">
        <s:v>7.627</s:v>
      </s:c>
    </s:row>
    <s:row r="81">
      <s:c r="A81" s="8" t="inlineStr">
        <s:is>
          <s:t xml:space="preserve">  fee / cancellation lap (pp)</s:t>
        </s:is>
      </s:c>
      <s:c r="B81" s="4" t="inlineStr">
        <s:is>
          <s:t>components per final_nights.md §4–6</s:t>
        </s:is>
      </s:c>
      <s:c r="Y81" s="12" t="n">
        <s:v>0</s:v>
      </s:c>
      <s:c r="Z81" s="12" t="n">
        <s:v>-0.78</s:v>
      </s:c>
      <s:c r="AA81" s="12" t="n">
        <s:v>-0.742</s:v>
      </s:c>
      <s:c r="AB81" s="12" t="n">
        <s:v>-0.742</s:v>
      </s:c>
      <s:c r="AC81" s="12" t="n">
        <s:v>-0.742</s:v>
      </s:c>
      <s:c r="AD81" s="12" t="n">
        <s:v>-0.742</s:v>
      </s:c>
    </s:row>
    <s:row r="82">
      <s:c r="A82" s="8" t="inlineStr">
        <s:is>
          <s:t xml:space="preserve">  ex-NA RNPL lap (pp)</s:t>
        </s:is>
      </s:c>
      <s:c r="B82" s="4" t="inlineStr">
        <s:is>
          <s:t>components per final_nights.md §4–6</s:t>
        </s:is>
      </s:c>
      <s:c r="Y82" s="12" t="n">
        <s:v>0</s:v>
      </s:c>
      <s:c r="Z82" s="12" t="n">
        <s:v>0</s:v>
      </s:c>
      <s:c r="AA82" s="12" t="n">
        <s:v>-0.363</s:v>
      </s:c>
      <s:c r="AB82" s="12" t="n">
        <s:v>-0.907</s:v>
      </s:c>
      <s:c r="AC82" s="12" t="n">
        <s:v>-0.907</s:v>
      </s:c>
      <s:c r="AD82" s="12" t="n">
        <s:v>-0.907</s:v>
      </s:c>
    </s:row>
    <s:row r="83">
      <s:c r="A83" s="8" t="inlineStr">
        <s:is>
          <s:t xml:space="preserve">  events (pp)</s:t>
        </s:is>
      </s:c>
      <s:c r="B83" s="4" t="inlineStr">
        <s:is>
          <s:t>components per final_nights.md §4–6</s:t>
        </s:is>
      </s:c>
      <s:c r="Y83" s="12" t="n">
        <s:v>0</s:v>
      </s:c>
      <s:c r="Z83" s="12" t="n">
        <s:v>0</s:v>
      </s:c>
      <s:c r="AA83" s="12" t="n">
        <s:v>1</s:v>
      </s:c>
      <s:c r="AB83" s="12" t="n">
        <s:v>-0.5</s:v>
      </s:c>
      <s:c r="AC83" s="12" t="n">
        <s:v>0</s:v>
      </s:c>
      <s:c r="AD83" s="12" t="n">
        <s:v>0</s:v>
      </s:c>
    </s:row>
    <s:row r="84">
      <s:c r="A84" s="8" t="inlineStr">
        <s:is>
          <s:t xml:space="preserve">  BASE PRINT y/y (%)</s:t>
        </s:is>
      </s:c>
      <s:c r="B84" s="4" t="inlineStr">
        <s:is>
          <s:t>→ sum of components</s:t>
        </s:is>
      </s:c>
      <s:c r="Y84" s="17">
        <s:f>SUM(Y80:Y83)</s:f>
        <s:v>9.886</s:v>
      </s:c>
      <s:c r="Z84" s="17">
        <s:f>SUM(Z80:Z83)</s:f>
        <s:v>8.120000000000001</s:v>
      </s:c>
      <s:c r="AA84" s="17">
        <s:f>SUM(AA80:AA83)</s:f>
        <s:v>8.205</s:v>
      </s:c>
      <s:c r="AB84" s="17">
        <s:f>SUM(AB80:AB83)</s:f>
        <s:v>5.933000000000001</s:v>
      </s:c>
      <s:c r="AC84" s="17">
        <s:f>SUM(AC80:AC83)</s:f>
        <s:v>6.206</s:v>
      </s:c>
      <s:c r="AD84" s="17">
        <s:f>SUM(AD80:AD83)</s:f>
        <s:v>5.978</s:v>
      </s:c>
    </s:row>
    <s:row r="85">
      <s:c r="A85" s="8" t="inlineStr">
        <s:is>
          <s:t xml:space="preserve">  Base print level (m)</s:t>
        </s:is>
      </s:c>
      <s:c r="B85" s="4" t="inlineStr">
        <s:is>
          <s:t>→ prior-year level × (1 + y/y)</s:t>
        </s:is>
      </s:c>
      <s:c r="Y85" s="22">
        <s:f>U7*(1+Y84/100)</s:f>
        <s:v>146.807696</s:v>
      </s:c>
      <s:c r="Z85" s="22">
        <s:f>V7*(1+Z84/100)</s:f>
        <s:v>131.79828</s:v>
      </s:c>
      <s:c r="AA85" s="22">
        <s:f>W7*(1+AA84/100)</s:f>
        <s:v>169.01620999999997</s:v>
      </s:c>
      <s:c r="AB85" s="22">
        <s:f>X7*(1+AB84/100)</s:f>
        <s:v>157.09863900000002</s:v>
      </s:c>
      <s:c r="AC85" s="22">
        <s:f>Y85*(1+AC84/100)</s:f>
        <s:v>155.91858161375998</s:v>
      </s:c>
      <s:c r="AD85" s="22">
        <s:f>Z85*(1+AD84/100)</s:f>
        <s:v>139.6771811784</s:v>
      </s:c>
    </s:row>
    <s:row r="86">
      <s:c r="A86" s="8" t="inlineStr">
        <s:is>
          <s:t xml:space="preserve">  Stays path y/y (%)</s:t>
        </s:is>
      </s:c>
      <s:c r="B86" s="4" t="inlineStr">
        <s:is>
          <s:t>3Q26 = stays read; 4Q26 on = base (I = 0 at the ceiling)</s:t>
        </s:is>
      </s:c>
      <s:c r="Y86" s="20">
        <s:f>$C$55</s:f>
        <s:v>8.918092139325717</s:v>
      </s:c>
      <s:c r="Z86" s="18">
        <s:f>Z84</s:f>
        <s:v>8.120000000000001</s:v>
      </s:c>
      <s:c r="AA86" s="18">
        <s:f>AA84</s:f>
        <s:v>8.205</s:v>
      </s:c>
      <s:c r="AB86" s="18">
        <s:f>AB84</s:f>
        <s:v>5.933000000000001</s:v>
      </s:c>
      <s:c r="AC86" s="18">
        <s:f>AC84</s:f>
        <s:v>6.206</s:v>
      </s:c>
      <s:c r="AD86" s="18">
        <s:f>AD84</s:f>
        <s:v>5.978</s:v>
      </s:c>
    </s:row>
    <s:row r="87">
      <s:c r="A87" s="8" t="inlineStr">
        <s:is>
          <s:t xml:space="preserve">  FY26 / FY27 nights (m) and FY27 y/y</s:t>
        </s:is>
      </s:c>
      <s:c r="B87" s="4" t="inlineStr">
        <s:is>
          <s:t>FY26 = 1Q26A + 2Q26A + 3Q26E + 4Q26E; FY27 = sum of 2027</s:t>
        </s:is>
      </s:c>
      <s:c r="C87" s="22">
        <s:f>W7+X7+Y85+Z85</s:f>
        <s:v>583.1059759999999</s:v>
      </s:c>
      <s:c r="D87" s="22">
        <s:f>AA85+AB85+AC85+AD85</s:f>
        <s:v>621.71061179216</s:v>
      </s:c>
      <s:c r="E87" s="10">
        <s:f>D87/C87-1</s:f>
        <s:v>0.06620517947180149</s:v>
      </s:c>
      <s:c r="F87" s="4" t="inlineStr">
        <s:is>
          <s:t>FY26 · FY27 · FY27 y/y</s:t>
        </s:is>
      </s:c>
    </s:row>
    <s:row r="88">
      <s:c r="A88" s="8" t="inlineStr">
        <s:is>
          <s:t xml:space="preserve">  Street consensus nights (m)</s:t>
        </s:is>
      </s:c>
      <s:c r="B88" s="4" t="inlineStr">
        <s:is>
          <s:t>Bloomberg MODL 12 Sep 2026 (DEC-0005); 4Q26 per final_nights §4.6</s:t>
        </s:is>
      </s:c>
      <s:c r="Y88" s="9" t="n">
        <s:v>149</s:v>
      </s:c>
      <s:c r="Z88" s="9" t="n">
        <s:v>134</s:v>
      </s:c>
    </s:row>
    <s:row r="89">
      <s:c r="A89" s="8" t="inlineStr">
        <s:is>
          <s:t xml:space="preserve">  Street y/y (%)</s:t>
        </s:is>
      </s:c>
      <s:c r="B89" s="4" t="inlineStr">
        <s:is>
          <s:t>→ Street level / prior-year printed − 1</s:t>
        </s:is>
      </s:c>
      <s:c r="Y89" s="15">
        <s:f>(Y88/U7-1)*100</s:f>
        <s:v>11.526946107784442</s:v>
      </s:c>
      <s:c r="Z89" s="15">
        <s:f>(Z88/V7-1)*100</s:f>
        <s:v>9.926168990976203</s:v>
      </s:c>
    </s:row>
    <s:row r="90">
      <s:c r="A90" s="8" t="inlineStr">
        <s:is>
          <s:t xml:space="preserve">  Airbnb guidance, nights y/y (low–high, %)</s:t>
        </s:is>
      </s:c>
      <s:c r="B90" s="4" t="inlineStr">
        <s:is>
          <s:t>overnight/02_guidance_ledger.csv (shareholder letters)</s:t>
        </s:is>
      </s:c>
      <s:c r="V90" s="23" t="inlineStr">
        <s:is>
          <s:t>4–6</s:t>
        </s:is>
      </s:c>
      <s:c r="W90" s="23" t="inlineStr">
        <s:is>
          <s:t>7–9</s:t>
        </s:is>
      </s:c>
      <s:c r="Y90" s="23" t="inlineStr">
        <s:is>
          <s:t>10–12</s:t>
        </s:is>
      </s:c>
    </s:row>
    <s:row r="91">
      <s:c r="A91" s="8" t="inlineStr">
        <s:is>
          <s:t xml:space="preserve">  P(3Q26 print ≥ Street | stays read, band)</s:t>
        </s:is>
      </s:c>
      <s:c r="B91" s="4" t="inlineStr">
        <s:is>
          <s:t>→ 1 − NORMDIST(Street y/y, read, band, TRUE)</s:t>
        </s:is>
      </s:c>
      <s:c r="Y91" s="24">
        <s:f>1-NORMDIST(Y89,$C$55,$C$44,TRUE)</s:f>
        <s:v>0.07926923613609782</s:v>
      </s:c>
    </s:row>
    <s:row r="93">
      <s:c r="A93" s="5" t="inlineStr">
        <s:is>
          <s:t>G. RNPL written: unearned fees y/y vs GBV y/y (the option collects no cash until its deadline)</s:t>
        </s:is>
      </s:c>
      <s:c r="B93" s="5" t="n"/>
      <s:c r="C93" s="5" t="n"/>
      <s:c r="D93" s="5" t="n"/>
      <s:c r="E93" s="5" t="n"/>
      <s:c r="F93" s="5" t="n"/>
      <s:c r="G93" s="5" t="n"/>
      <s:c r="H93" s="5" t="n"/>
      <s:c r="I93" s="5" t="n"/>
      <s:c r="J93" s="5" t="n"/>
      <s:c r="K93" s="5" t="n"/>
      <s:c r="L93" s="5" t="n"/>
      <s:c r="M93" s="5" t="n"/>
      <s:c r="N93" s="5" t="n"/>
      <s:c r="O93" s="5" t="n"/>
      <s:c r="P93" s="5" t="n"/>
      <s:c r="Q93" s="5" t="n"/>
      <s:c r="R93" s="5" t="n"/>
      <s:c r="S93" s="5" t="n"/>
      <s:c r="T93" s="5" t="n"/>
      <s:c r="U93" s="5" t="n"/>
      <s:c r="V93" s="5" t="n"/>
      <s:c r="W93" s="5" t="n"/>
      <s:c r="X93" s="5" t="n"/>
      <s:c r="Y93" s="5" t="n"/>
      <s:c r="Z93" s="5" t="n"/>
      <s:c r="AA93" s="5" t="n"/>
      <s:c r="AB93" s="5" t="n"/>
      <s:c r="AC93" s="5" t="n"/>
      <s:c r="AD93" s="5" t="n"/>
    </s:row>
    <s:row r="94">
      <s:c r="A94" s="8" t="inlineStr">
        <s:is>
          <s:t xml:space="preserve">  Unearned fees y/y (%)</s:t>
        </s:is>
      </s:c>
      <s:c r="B94" s="4" t="inlineStr">
        <s:is>
          <s:t>overnight/02_kpi_panel_quarterly.csv (10-Q balance sheet)</s:t>
        </s:is>
      </s:c>
      <s:c r="K94" s="11" t="n">
        <s:v>24.28</s:v>
      </s:c>
      <s:c r="L94" s="11" t="n">
        <s:v>18.48</s:v>
      </s:c>
      <s:c r="M94" s="11" t="n">
        <s:v>20.22</s:v>
      </s:c>
      <s:c r="N94" s="11" t="n">
        <s:v>20.73</s:v>
      </s:c>
      <s:c r="O94" s="11" t="n">
        <s:v>12.06</s:v>
      </s:c>
      <s:c r="P94" s="11" t="n">
        <s:v>11.67</s:v>
      </s:c>
      <s:c r="Q94" s="11" t="n">
        <s:v>12.95</s:v>
      </s:c>
      <s:c r="R94" s="11" t="n">
        <s:v>13.24</s:v>
      </s:c>
      <s:c r="S94" s="11" t="n">
        <s:v>11.87</s:v>
      </s:c>
      <s:c r="T94" s="11" t="n">
        <s:v>9</s:v>
      </s:c>
      <s:c r="U94" s="11" t="n">
        <s:v>9.84</s:v>
      </s:c>
      <s:c r="V94" s="11" t="n">
        <s:v>7.86</s:v>
      </s:c>
      <s:c r="W94" s="11" t="n">
        <s:v>0.37</s:v>
      </s:c>
      <s:c r="X94" s="11" t="n">
        <s:v>-0.91</s:v>
      </s:c>
    </s:row>
    <s:row r="95">
      <s:c r="A95" s="8" t="inlineStr">
        <s:is>
          <s:t xml:space="preserve">  GBV y/y, reported (%)</s:t>
        </s:is>
      </s:c>
      <s:c r="B95" s="4" t="inlineStr">
        <s:is>
          <s:t>same file</s:t>
        </s:is>
      </s:c>
      <s:c r="K95" s="11" t="n">
        <s:v>18.6</s:v>
      </s:c>
      <s:c r="L95" s="11" t="n">
        <s:v>12.35</s:v>
      </s:c>
      <s:c r="M95" s="11" t="n">
        <s:v>17.31</s:v>
      </s:c>
      <s:c r="N95" s="11" t="n">
        <s:v>14.81</s:v>
      </s:c>
      <s:c r="O95" s="11" t="n">
        <s:v>12.25</s:v>
      </s:c>
      <s:c r="P95" s="11" t="n">
        <s:v>10.99</s:v>
      </s:c>
      <s:c r="Q95" s="11" t="n">
        <s:v>9.84</s:v>
      </s:c>
      <s:c r="R95" s="11" t="n">
        <s:v>13.55</s:v>
      </s:c>
      <s:c r="S95" s="11" t="n">
        <s:v>6.99</s:v>
      </s:c>
      <s:c r="T95" s="11" t="n">
        <s:v>10.85</s:v>
      </s:c>
      <s:c r="U95" s="11" t="n">
        <s:v>13.93</s:v>
      </s:c>
      <s:c r="V95" s="11" t="n">
        <s:v>15.91</s:v>
      </s:c>
      <s:c r="W95" s="11" t="n">
        <s:v>19.18</s:v>
      </s:c>
      <s:c r="X95" s="11" t="n">
        <s:v>15.74</s:v>
      </s:c>
    </s:row>
    <s:row r="96">
      <s:c r="A96" s="8" t="inlineStr">
        <s:is>
          <s:t xml:space="preserve">  Spread: unearned fees − GBV (pp)</s:t>
        </s:is>
      </s:c>
      <s:c r="B96" s="4" t="inlineStr">
        <s:is>
          <s:t>→ UF − GBV</s:t>
        </s:is>
      </s:c>
      <s:c r="K96" s="15">
        <s:f>K94-K95</s:f>
        <s:v>5.68</s:v>
      </s:c>
      <s:c r="L96" s="15">
        <s:f>L94-L95</s:f>
        <s:v>6.130000000000001</s:v>
      </s:c>
      <s:c r="M96" s="15">
        <s:f>M94-M95</s:f>
        <s:v>2.91</s:v>
      </s:c>
      <s:c r="N96" s="15">
        <s:f>N94-N95</s:f>
        <s:v>5.92</s:v>
      </s:c>
      <s:c r="O96" s="15">
        <s:f>O94-O95</s:f>
        <s:v>-0.1899999999999995</s:v>
      </s:c>
      <s:c r="P96" s="15">
        <s:f>P94-P95</s:f>
        <s:v>0.6799999999999997</s:v>
      </s:c>
      <s:c r="Q96" s="15">
        <s:f>Q94-Q95</s:f>
        <s:v>3.1099999999999994</s:v>
      </s:c>
      <s:c r="R96" s="15">
        <s:f>R94-R95</s:f>
        <s:v>-0.3100000000000005</s:v>
      </s:c>
      <s:c r="S96" s="15">
        <s:f>S94-S95</s:f>
        <s:v>4.879999999999999</s:v>
      </s:c>
      <s:c r="T96" s="15">
        <s:f>T94-T95</s:f>
        <s:v>-1.8499999999999996</s:v>
      </s:c>
      <s:c r="U96" s="15">
        <s:f>U94-U95</s:f>
        <s:v>-4.09</s:v>
      </s:c>
      <s:c r="V96" s="15">
        <s:f>V94-V95</s:f>
        <s:v>-8.05</s:v>
      </s:c>
      <s:c r="W96" s="15">
        <s:f>W94-W95</s:f>
        <s:v>-18.81</s:v>
      </s:c>
      <s:c r="X96" s="15">
        <s:f>X94-X95</s:f>
        <s:v>-16.65</s:v>
      </s:c>
    </s:row>
    <s:row r="97">
      <s:c r="A97" s="8" t="inlineStr">
        <s:is>
          <s:t xml:space="preserve">  z vs pre-RNPL spread (1Q23–2Q25)</s:t>
        </s:is>
      </s:c>
      <s:c r="B97" s="4" t="inlineStr">
        <s:is>
          <s:t xml:space="preserve">pre mean / sd in B: </s:t>
        </s:is>
      </s:c>
      <s:c r="U97" s="19">
        <s:f>(U96-AVERAGE(K96:T96))/STDEV(K96:T96)</s:f>
        <s:v>-2.302534010785471</s:v>
      </s:c>
      <s:c r="V97" s="19">
        <s:f>(V96-AVERAGE(K96:T96))/STDEV(K96:T96)</s:f>
        <s:v>-3.6461878101828282</s:v>
      </s:c>
      <s:c r="W97" s="19">
        <s:f>(W96-AVERAGE(K96:T96))/STDEV(K96:T96)</s:f>
        <s:v>-7.297125911575646</s:v>
      </s:c>
      <s:c r="X97" s="19">
        <s:f>(X96-AVERAGE(K96:T96))/STDEV(K96:T96)</s:f>
        <s:v>-6.564223839177088</s:v>
      </s:c>
    </s:row>
    <s:row r="99">
      <s:c r="A99" s="5" t="inlineStr">
        <s:is>
          <s:t>H. The instrument is validated where nights are observed — Eurostat panel (computed in the engine; values, sourced)</s:t>
        </s:is>
      </s:c>
      <s:c r="B99" s="5" t="n"/>
      <s:c r="C99" s="5" t="n"/>
      <s:c r="D99" s="5" t="n"/>
      <s:c r="E99" s="5" t="n"/>
      <s:c r="F99" s="5" t="n"/>
      <s:c r="G99" s="5" t="n"/>
      <s:c r="H99" s="5" t="n"/>
      <s:c r="I99" s="5" t="n"/>
      <s:c r="J99" s="5" t="n"/>
      <s:c r="K99" s="5" t="n"/>
      <s:c r="L99" s="5" t="n"/>
      <s:c r="M99" s="5" t="n"/>
      <s:c r="N99" s="5" t="n"/>
      <s:c r="O99" s="5" t="n"/>
      <s:c r="P99" s="5" t="n"/>
      <s:c r="Q99" s="5" t="n"/>
      <s:c r="R99" s="5" t="n"/>
      <s:c r="S99" s="5" t="n"/>
      <s:c r="T99" s="5" t="n"/>
      <s:c r="U99" s="5" t="n"/>
      <s:c r="V99" s="5" t="n"/>
      <s:c r="W99" s="5" t="n"/>
      <s:c r="X99" s="5" t="n"/>
      <s:c r="Y99" s="5" t="n"/>
      <s:c r="Z99" s="5" t="n"/>
      <s:c r="AA99" s="5" t="n"/>
      <s:c r="AB99" s="5" t="n"/>
      <s:c r="AC99" s="5" t="n"/>
      <s:c r="AD99" s="5" t="n"/>
    </s:row>
    <s:row r="100">
      <s:c r="A100" s="8" t="inlineStr">
        <s:is>
          <s:t xml:space="preserve">  β, country fixed effects (se, wild-cluster p, n, clusters)</s:t>
        </s:is>
      </s:c>
      <s:c r="B100" s="4" t="inlineStr">
        <s:is>
          <s:t>stage_a_tests.csv</s:t>
        </s:is>
      </s:c>
      <s:c r="C100" s="12" t="n">
        <s:v>0.493642974520435</s:v>
      </s:c>
      <s:c r="D100" s="12" t="n">
        <s:v>0.0696292699541549</s:v>
      </s:c>
      <s:c r="E100" s="12" t="n">
        <s:v>0.001</s:v>
      </s:c>
      <s:c r="F100" s="23" t="n">
        <s:v>702</s:v>
      </s:c>
      <s:c r="G100" s="4" t="inlineStr">
        <s:is>
          <s:t>within-R2 0.358</s:t>
        </s:is>
      </s:c>
    </s:row>
    <s:row r="101">
      <s:c r="A101" s="8" t="inlineStr">
        <s:is>
          <s:t xml:space="preserve">  β in first differences (p)</s:t>
        </s:is>
      </s:c>
      <s:c r="B101" s="4" t="inlineStr">
        <s:is>
          <s:t>stage_a_tests.csv</s:t>
        </s:is>
      </s:c>
      <s:c r="C101" s="12" t="n">
        <s:v>0.7034092737799591</s:v>
      </s:c>
      <s:c r="D101" s="12" t="n">
        <s:v>0.1029584743819579</s:v>
      </s:c>
      <s:c r="E101" s="12" t="n">
        <s:v>0.001</s:v>
      </s:c>
      <s:c r="F101" s="23" t="n">
        <s:v>684</s:v>
      </s:c>
      <s:c r="G101" s="4" t="inlineStr">
        <s:is>
          <s:t>nan</s:t>
        </s:is>
      </s:c>
    </s:row>
    <s:row r="102">
      <s:c r="A102" s="8" t="inlineStr">
        <s:is>
          <s:t xml:space="preserve">  median walk-forward ratio vs naive (countries ≤ 0.75)</s:t>
        </s:is>
      </s:c>
      <s:c r="B102" s="4" t="inlineStr">
        <s:is>
          <s:t>stage_a_tests.csv</s:t>
        </s:is>
      </s:c>
      <s:c r="C102" s="12" t="n">
        <s:v>0.5903132677945258</s:v>
      </s:c>
      <s:c r="D102" s="12" t="n"/>
      <s:c r="E102" s="12" t="n"/>
      <s:c r="F102" s="23" t="n">
        <s:v>486</s:v>
      </s:c>
      <s:c r="G102" s="4" t="inlineStr">
        <s:is>
          <s:t>countries&lt;=0.75: 17/18</s:t>
        </s:is>
      </s:c>
    </s:row>
    <s:row r="104">
      <s:c r="A104" s="5" t="inlineStr">
        <s:is>
          <s:t>Engine reference values (Python run) — the checker compares the formulas above to these</s:t>
        </s:is>
      </s:c>
      <s:c r="B104" s="5" t="n"/>
      <s:c r="C104" s="5" t="n"/>
      <s:c r="D104" s="5" t="n"/>
      <s:c r="E104" s="5" t="n"/>
      <s:c r="F104" s="5" t="n"/>
      <s:c r="G104" s="5" t="n"/>
      <s:c r="H104" s="5" t="n"/>
      <s:c r="I104" s="5" t="n"/>
      <s:c r="J104" s="5" t="n"/>
      <s:c r="K104" s="5" t="n"/>
      <s:c r="L104" s="5" t="n"/>
      <s:c r="M104" s="5" t="n"/>
      <s:c r="N104" s="5" t="n"/>
      <s:c r="O104" s="5" t="n"/>
      <s:c r="P104" s="5" t="n"/>
      <s:c r="Q104" s="5" t="n"/>
      <s:c r="R104" s="5" t="n"/>
      <s:c r="S104" s="5" t="n"/>
      <s:c r="T104" s="5" t="n"/>
      <s:c r="U104" s="5" t="n"/>
      <s:c r="V104" s="5" t="n"/>
      <s:c r="W104" s="5" t="n"/>
      <s:c r="X104" s="5" t="n"/>
      <s:c r="Y104" s="5" t="n"/>
      <s:c r="Z104" s="5" t="n"/>
      <s:c r="AA104" s="5" t="n"/>
      <s:c r="AB104" s="5" t="n"/>
      <s:c r="AC104" s="5" t="n"/>
      <s:c r="AD104" s="5" t="n"/>
    </s:row>
    <s:row r="105">
      <s:c r="A105" s="8" t="inlineStr">
        <s:is>
          <s:t xml:space="preserve">  W1 ratio</s:t>
        </s:is>
      </s:c>
      <s:c r="B105" s="4" t="inlineStr">
        <s:is>
          <s:t>reviews_index_v2 outputs</s:t>
        </s:is>
      </s:c>
      <s:c r="C105" s="12" t="n">
        <s:v>0.723196122048269</s:v>
      </s:c>
    </s:row>
    <s:row r="106">
      <s:c r="A106" s="8" t="inlineStr">
        <s:is>
          <s:t xml:space="preserve">  W2 ratio</s:t>
        </s:is>
      </s:c>
      <s:c r="B106" s="4" t="inlineStr">
        <s:is>
          <s:t>reviews_index_v2 outputs</s:t>
        </s:is>
      </s:c>
      <s:c r="C106" s="12" t="n">
        <s:v>0.7229190300811208</s:v>
      </s:c>
    </s:row>
    <s:row r="107">
      <s:c r="A107" s="8" t="inlineStr">
        <s:is>
          <s:t xml:space="preserve">  band</s:t>
        </s:is>
      </s:c>
      <s:c r="B107" s="4" t="inlineStr">
        <s:is>
          <s:t>reviews_index_v2 outputs</s:t>
        </s:is>
      </s:c>
      <s:c r="C107" s="12" t="n">
        <s:v>1.851845530017763</s:v>
      </s:c>
    </s:row>
    <s:row r="108">
      <s:c r="A108" s="8" t="inlineStr">
        <s:is>
          <s:t xml:space="preserve">  3Q26 read</s:t>
        </s:is>
      </s:c>
      <s:c r="B108" s="4" t="inlineStr">
        <s:is>
          <s:t>reviews_index_v2 outputs</s:t>
        </s:is>
      </s:c>
      <s:c r="C108" s="12" t="n">
        <s:v>8.918185788296213</s:v>
      </s:c>
    </s:row>
    <s:row r="109">
      <s:c r="A109" s="8" t="inlineStr">
        <s:is>
          <s:t xml:space="preserve">  a</s:t>
        </s:is>
      </s:c>
      <s:c r="B109" s="4" t="inlineStr">
        <s:is>
          <s:t>reviews_index_v2 outputs</s:t>
        </s:is>
      </s:c>
      <s:c r="C109" s="12" t="n">
        <s:v>6.824784937298335</s:v>
      </s:c>
    </s:row>
    <s:row r="110">
      <s:c r="A110" s="8" t="inlineStr">
        <s:is>
          <s:t xml:space="preserve">  b</s:t>
        </s:is>
      </s:c>
      <s:c r="B110" s="4" t="inlineStr">
        <s:is>
          <s:t>reviews_index_v2 outputs</s:t>
        </s:is>
      </s:c>
      <s:c r="C110" s="12" t="n">
        <s:v>0.3496747894049051</s:v>
      </s:c>
    </s:row>
    <s:row r="112">
      <s:c r="A112" s="8" t="inlineStr">
        <s:is>
          <s:t xml:space="preserve">  chart helper: printed nights y/y (%)</s:t>
        </s:is>
      </s:c>
      <s:c r="B112" s="4" t="inlineStr">
        <s:is>
          <s:t>→ y/y × 100</s:t>
        </s:is>
      </s:c>
      <s:c r="K112" s="15">
        <s:f>K8*100</s:f>
        <s:v>18.609206660137122</s:v>
      </s:c>
      <s:c r="L112" s="15">
        <s:f>L8*100</s:f>
        <s:v>10.993249758919955</s:v>
      </s:c>
      <s:c r="M112" s="15">
        <s:f>M8*100</s:f>
        <s:v>13.54062186559679</s:v>
      </s:c>
      <s:c r="N112" s="15">
        <s:f>N8*100</s:f>
        <s:v>12.01814058956916</s:v>
      </s:c>
      <s:c r="O112" s="15">
        <s:f>O8*100</s:f>
        <s:v>9.496284062758043</s:v>
      </s:c>
      <s:c r="P112" s="15">
        <s:f>P8*100</s:f>
        <s:v>8.688097306689846</s:v>
      </s:c>
      <s:c r="Q112" s="15">
        <s:f>Q8*100</s:f>
        <s:v>8.480565371024728</s:v>
      </s:c>
      <s:c r="R112" s="15">
        <s:f>R8*100</s:f>
        <s:v>12.348178137651832</s:v>
      </s:c>
      <s:c r="S112" s="15">
        <s:f>S8*100</s:f>
        <s:v>7.918552036199089</s:v>
      </s:c>
      <s:c r="T112" s="15">
        <s:f>T8*100</s:f>
        <s:v>7.434052757793785</s:v>
      </s:c>
      <s:c r="U112" s="15">
        <s:f>U8*100</s:f>
        <s:v>8.794788273615639</s:v>
      </s:c>
      <s:c r="V112" s="15">
        <s:f>V8*100</s:f>
        <s:v>9.81981981981983</s:v>
      </s:c>
      <s:c r="W112" s="15">
        <s:f>W8*100</s:f>
        <s:v>9.15443745632425</s:v>
      </s:c>
      <s:c r="X112" s="15">
        <s:f>X8*100</s:f>
        <s:v>10.342261904761907</s:v>
      </s:c>
    </s:row>
    <s:row r="113">
      <s:c r="A113" s="8" t="inlineStr">
        <s:is>
          <s:t xml:space="preserve">  chart helper: our view (printed, then base print path)</s:t>
        </s:is>
      </s:c>
      <s:c r="K113" s="15">
        <s:f>K112</s:f>
        <s:v>18.609206660137122</s:v>
      </s:c>
      <s:c r="L113" s="15">
        <s:f>L112</s:f>
        <s:v>10.993249758919955</s:v>
      </s:c>
      <s:c r="M113" s="15">
        <s:f>M112</s:f>
        <s:v>13.54062186559679</s:v>
      </s:c>
      <s:c r="N113" s="15">
        <s:f>N112</s:f>
        <s:v>12.01814058956916</s:v>
      </s:c>
      <s:c r="O113" s="15">
        <s:f>O112</s:f>
        <s:v>9.496284062758043</s:v>
      </s:c>
      <s:c r="P113" s="15">
        <s:f>P112</s:f>
        <s:v>8.688097306689846</s:v>
      </s:c>
      <s:c r="Q113" s="15">
        <s:f>Q112</s:f>
        <s:v>8.480565371024728</s:v>
      </s:c>
      <s:c r="R113" s="15">
        <s:f>R112</s:f>
        <s:v>12.348178137651832</s:v>
      </s:c>
      <s:c r="S113" s="15">
        <s:f>S112</s:f>
        <s:v>7.918552036199089</s:v>
      </s:c>
      <s:c r="T113" s="15">
        <s:f>T112</s:f>
        <s:v>7.434052757793785</s:v>
      </s:c>
      <s:c r="U113" s="15">
        <s:f>U112</s:f>
        <s:v>8.794788273615639</s:v>
      </s:c>
      <s:c r="V113" s="15">
        <s:f>V112</s:f>
        <s:v>9.81981981981983</s:v>
      </s:c>
      <s:c r="W113" s="15">
        <s:f>W112</s:f>
        <s:v>9.15443745632425</s:v>
      </s:c>
      <s:c r="X113" s="15">
        <s:f>X112</s:f>
        <s:v>10.342261904761907</s:v>
      </s:c>
      <s:c r="Y113" s="15">
        <s:f>Y84</s:f>
        <s:v>9.886</s:v>
      </s:c>
      <s:c r="Z113" s="15">
        <s:f>Z84</s:f>
        <s:v>8.120000000000001</s:v>
      </s:c>
      <s:c r="AA113" s="15">
        <s:f>AA84</s:f>
        <s:v>8.205</s:v>
      </s:c>
      <s:c r="AB113" s="15">
        <s:f>AB84</s:f>
        <s:v>5.933000000000001</s:v>
      </s:c>
      <s:c r="AC113" s="15">
        <s:f>AC84</s:f>
        <s:v>6.206</s:v>
      </s:c>
      <s:c r="AD113" s="15">
        <s:f>AD84</s:f>
        <s:v>5.978</s:v>
      </s:c>
    </s:row>
    <s:row r="114">
      <s:c r="A114" s="8" t="inlineStr">
        <s:is>
          <s:t xml:space="preserve">  chart helper: Street y/y</s:t>
        </s:is>
      </s:c>
      <s:c r="Y114" s="15">
        <s:f>Y89</s:f>
        <s:v>11.526946107784442</s:v>
      </s:c>
      <s:c r="Z114" s="15">
        <s:f>Z89</s:f>
        <s:v>9.926168990976203</s:v>
      </s:c>
    </s:row>
    <s:row r="115">
      <s:c r="A115" s="8" t="inlineStr">
        <s:is>
          <s:t xml:space="preserve">  chart helper: stays-implied / stays path</s:t>
        </s:is>
      </s:c>
      <s:c r="K115" s="15">
        <s:f>K25</s:f>
        <s:v>18.254834417332905</s:v>
      </s:c>
      <s:c r="L115" s="15">
        <s:f>L25</s:f>
        <s:v>12.735554542258583</s:v>
      </s:c>
      <s:c r="M115" s="15">
        <s:f>M25</s:f>
        <s:v>10.844222313156116</s:v>
      </s:c>
      <s:c r="N115" s="15">
        <s:f>N25</s:f>
        <s:v>11.902934481343157</s:v>
      </s:c>
      <s:c r="O115" s="15">
        <s:f>O25</s:f>
        <s:v>11.101183507729491</s:v>
      </s:c>
      <s:c r="P115" s="15">
        <s:f>P25</s:f>
        <s:v>8.936751142933389</s:v>
      </s:c>
      <s:c r="Q115" s="15">
        <s:f>Q25</s:f>
        <s:v>8.834587865957035</s:v>
      </s:c>
      <s:c r="R115" s="15">
        <s:f>R25</s:f>
        <s:v>9.258414337919884</s:v>
      </s:c>
      <s:c r="S115" s="15">
        <s:f>S25</s:f>
        <s:v>8.91855291538157</s:v>
      </s:c>
      <s:c r="T115" s="15">
        <s:f>T25</s:f>
        <s:v>8.739913022328215</s:v>
      </s:c>
      <s:c r="U115" s="15">
        <s:f>U25</s:f>
        <s:v>7.936620177339557</s:v>
      </s:c>
      <s:c r="V115" s="15">
        <s:f>V25</s:f>
        <s:v>9.482743011281595</s:v>
      </s:c>
      <s:c r="W115" s="15">
        <s:f>W25</s:f>
        <s:v>9.955906061704448</s:v>
      </s:c>
      <s:c r="X115" s="15">
        <s:f>X25</s:f>
        <s:v>8.790017747239029</s:v>
      </s:c>
      <s:c r="Y115" s="15">
        <s:f>Y86</s:f>
        <s:v>8.918092139325717</s:v>
      </s:c>
      <s:c r="Z115" s="15">
        <s:f>Z86</s:f>
        <s:v>8.120000000000001</s:v>
      </s:c>
      <s:c r="AA115" s="15">
        <s:f>AA86</s:f>
        <s:v>8.205</s:v>
      </s:c>
      <s:c r="AB115" s="15">
        <s:f>AB86</s:f>
        <s:v>5.933000000000001</s:v>
      </s:c>
      <s:c r="AC115" s="15">
        <s:f>AC86</s:f>
        <s:v>6.206</s:v>
      </s:c>
      <s:c r="AD115" s="15">
        <s:f>AD86</s:f>
        <s:v>5.978</s:v>
      </s:c>
    </s:row>
  </s:sheetData>
  <s:pageMargins left="0.75" right="0.75" top="1" bottom="1" header="0.5" footer="0.5"/>
  <s:drawing r:id="rId1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AD149"/>
  <s:sheetViews>
    <s:sheetView workbookViewId="0">
      <s:pane xSplit="2" ySplit="4" topLeftCell="C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50" customWidth="1" min="1" max="1"/>
    <s:col width="40" customWidth="1" min="2" max="2"/>
    <s:col width="9.5" customWidth="1" min="3" max="3"/>
    <s:col width="9.5" customWidth="1" min="4" max="4"/>
    <s:col width="9.5" customWidth="1" min="5" max="5"/>
    <s:col width="9.5" customWidth="1" min="6" max="6"/>
    <s:col width="9.5" customWidth="1" min="7" max="7"/>
    <s:col width="9.5" customWidth="1" min="8" max="8"/>
    <s:col width="9.5" customWidth="1" min="9" max="9"/>
    <s:col width="9.5" customWidth="1" min="10" max="10"/>
    <s:col width="9.5" customWidth="1" min="11" max="11"/>
    <s:col width="9.5" customWidth="1" min="12" max="12"/>
    <s:col width="9.5" customWidth="1" min="13" max="13"/>
    <s:col width="9.5" customWidth="1" min="14" max="14"/>
    <s:col width="9.5" customWidth="1" min="15" max="15"/>
    <s:col width="9.5" customWidth="1" min="16" max="16"/>
    <s:col width="9.5" customWidth="1" min="17" max="17"/>
    <s:col width="9.5" customWidth="1" min="18" max="18"/>
    <s:col width="9.5" customWidth="1" min="19" max="19"/>
    <s:col width="9.5" customWidth="1" min="20" max="20"/>
    <s:col width="9.5" customWidth="1" min="21" max="21"/>
    <s:col width="9.5" customWidth="1" min="22" max="22"/>
    <s:col width="9.5" customWidth="1" min="23" max="23"/>
    <s:col width="9.5" customWidth="1" min="24" max="24"/>
    <s:col width="9.5" customWidth="1" min="25" max="25"/>
    <s:col width="9.5" customWidth="1" min="26" max="26"/>
    <s:col width="9.5" customWidth="1" min="27" max="27"/>
    <s:col width="9.5" customWidth="1" min="28" max="28"/>
    <s:col width="9.5" customWidth="1" min="29" max="29"/>
    <s:col width="9.5" customWidth="1" min="30" max="30"/>
  </s:cols>
  <s:sheetData>
    <s:row r="1">
      <s:c r="A1" s="1" t="inlineStr">
        <s:is>
          <s:t>Airbnb — ADR engine (line 2). reported ADR y/y = ex-FX mechanism + FX translation identity (ex ante, spot held). Blue = input with source; black = formula; green = link.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" t="n"/>
      <s:c r="O1" s="1" t="n"/>
      <s:c r="P1" s="1" t="n"/>
      <s:c r="Q1" s="1" t="n"/>
      <s:c r="R1" s="1" t="n"/>
      <s:c r="S1" s="1" t="n"/>
      <s:c r="T1" s="1" t="n"/>
      <s:c r="U1" s="1" t="n"/>
      <s:c r="V1" s="1" t="n"/>
      <s:c r="W1" s="1" t="n"/>
      <s:c r="X1" s="1" t="n"/>
      <s:c r="Y1" s="1" t="n"/>
      <s:c r="Z1" s="1" t="n"/>
      <s:c r="AA1" s="1" t="n"/>
      <s:c r="AB1" s="1" t="n"/>
      <s:c r="AC1" s="1" t="n"/>
      <s:c r="AD1" s="1" t="n"/>
    </s:row>
    <s:row r="2">
      <s:c r="A2" s="4" t="inlineStr">
        <s:is>
          <s:t>Engine: analysis/src/pitch_model_v2/adr_engine (python3 -m pitch_model_v2.adr_engine.run); pre-registration docs/pitch-model-v2/lines/adr_fx_prereg.md; design adr_v1_design.md; rationale final_adr.md. FX through FRED 2026-09-18; forward quarters hold the last print (spot held).</s:t>
        </s:is>
      </s:c>
    </s:row>
    <s:row r="4">
      <s:c r="A4" s="5" t="inlineStr">
        <s:is>
          <s:t>Quarter</s:t>
        </s:is>
      </s:c>
      <s:c r="B4" s="6" t="inlineStr">
        <s:is>
          <s:t>A = printed, E = engine</s:t>
        </s:is>
      </s:c>
      <s:c r="C4" s="7" t="inlineStr">
        <s:is>
          <s:t>1Q21A</s:t>
        </s:is>
      </s:c>
      <s:c r="D4" s="7" t="inlineStr">
        <s:is>
          <s:t>2Q21A</s:t>
        </s:is>
      </s:c>
      <s:c r="E4" s="7" t="inlineStr">
        <s:is>
          <s:t>3Q21A</s:t>
        </s:is>
      </s:c>
      <s:c r="F4" s="7" t="inlineStr">
        <s:is>
          <s:t>4Q21A</s:t>
        </s:is>
      </s:c>
      <s:c r="G4" s="7" t="inlineStr">
        <s:is>
          <s:t>1Q22A</s:t>
        </s:is>
      </s:c>
      <s:c r="H4" s="7" t="inlineStr">
        <s:is>
          <s:t>2Q22A</s:t>
        </s:is>
      </s:c>
      <s:c r="I4" s="7" t="inlineStr">
        <s:is>
          <s:t>3Q22A</s:t>
        </s:is>
      </s:c>
      <s:c r="J4" s="7" t="inlineStr">
        <s:is>
          <s:t>4Q22A</s:t>
        </s:is>
      </s:c>
      <s:c r="K4" s="7" t="inlineStr">
        <s:is>
          <s:t>1Q23A</s:t>
        </s:is>
      </s:c>
      <s:c r="L4" s="7" t="inlineStr">
        <s:is>
          <s:t>2Q23A</s:t>
        </s:is>
      </s:c>
      <s:c r="M4" s="7" t="inlineStr">
        <s:is>
          <s:t>3Q23A</s:t>
        </s:is>
      </s:c>
      <s:c r="N4" s="7" t="inlineStr">
        <s:is>
          <s:t>4Q23A</s:t>
        </s:is>
      </s:c>
      <s:c r="O4" s="7" t="inlineStr">
        <s:is>
          <s:t>1Q24A</s:t>
        </s:is>
      </s:c>
      <s:c r="P4" s="7" t="inlineStr">
        <s:is>
          <s:t>2Q24A</s:t>
        </s:is>
      </s:c>
      <s:c r="Q4" s="7" t="inlineStr">
        <s:is>
          <s:t>3Q24A</s:t>
        </s:is>
      </s:c>
      <s:c r="R4" s="7" t="inlineStr">
        <s:is>
          <s:t>4Q24A</s:t>
        </s:is>
      </s:c>
      <s:c r="S4" s="7" t="inlineStr">
        <s:is>
          <s:t>1Q25A</s:t>
        </s:is>
      </s:c>
      <s:c r="T4" s="7" t="inlineStr">
        <s:is>
          <s:t>2Q25A</s:t>
        </s:is>
      </s:c>
      <s:c r="U4" s="7" t="inlineStr">
        <s:is>
          <s:t>3Q25A</s:t>
        </s:is>
      </s:c>
      <s:c r="V4" s="7" t="inlineStr">
        <s:is>
          <s:t>4Q25A</s:t>
        </s:is>
      </s:c>
      <s:c r="W4" s="7" t="inlineStr">
        <s:is>
          <s:t>1Q26A</s:t>
        </s:is>
      </s:c>
      <s:c r="X4" s="7" t="inlineStr">
        <s:is>
          <s:t>2Q26A</s:t>
        </s:is>
      </s:c>
      <s:c r="Y4" s="7" t="inlineStr">
        <s:is>
          <s:t>3Q26E</s:t>
        </s:is>
      </s:c>
      <s:c r="Z4" s="7" t="inlineStr">
        <s:is>
          <s:t>4Q26E</s:t>
        </s:is>
      </s:c>
      <s:c r="AA4" s="7" t="inlineStr">
        <s:is>
          <s:t>1Q27E</s:t>
        </s:is>
      </s:c>
      <s:c r="AB4" s="7" t="inlineStr">
        <s:is>
          <s:t>2Q27E</s:t>
        </s:is>
      </s:c>
      <s:c r="AC4" s="7" t="inlineStr">
        <s:is>
          <s:t>3Q27E</s:t>
        </s:is>
      </s:c>
      <s:c r="AD4" s="7" t="inlineStr">
        <s:is>
          <s:t>4Q27E</s:t>
        </s:is>
      </s:c>
    </s:row>
    <s:row r="6">
      <s:c r="A6" s="5" t="inlineStr">
        <s:is>
          <s:t>A. Printed ADR and the disclosed identity: reported y/y − ex-FX y/y = FX effect (closes to ≤0.04pp)</s:t>
        </s:is>
      </s:c>
      <s:c r="B6" s="5" t="n"/>
      <s:c r="C6" s="5" t="n"/>
      <s:c r="D6" s="5" t="n"/>
      <s:c r="E6" s="5" t="n"/>
      <s:c r="F6" s="5" t="n"/>
      <s:c r="G6" s="5" t="n"/>
      <s:c r="H6" s="5" t="n"/>
      <s:c r="I6" s="5" t="n"/>
      <s:c r="J6" s="5" t="n"/>
      <s:c r="K6" s="5" t="n"/>
      <s:c r="L6" s="5" t="n"/>
      <s:c r="M6" s="5" t="n"/>
      <s:c r="N6" s="5" t="n"/>
      <s:c r="O6" s="5" t="n"/>
      <s:c r="P6" s="5" t="n"/>
      <s:c r="Q6" s="5" t="n"/>
      <s:c r="R6" s="5" t="n"/>
      <s:c r="S6" s="5" t="n"/>
      <s:c r="T6" s="5" t="n"/>
      <s:c r="U6" s="5" t="n"/>
      <s:c r="V6" s="5" t="n"/>
      <s:c r="W6" s="5" t="n"/>
      <s:c r="X6" s="5" t="n"/>
      <s:c r="Y6" s="5" t="n"/>
      <s:c r="Z6" s="5" t="n"/>
      <s:c r="AA6" s="5" t="n"/>
      <s:c r="AB6" s="5" t="n"/>
      <s:c r="AC6" s="5" t="n"/>
      <s:c r="AD6" s="5" t="n"/>
    </s:row>
    <s:row r="7">
      <s:c r="A7" s="8" t="inlineStr">
        <s:is>
          <s:t>ADR ($, GBV ÷ nights, printed; forward = engine path)</s:t>
        </s:is>
      </s:c>
      <s:c r="B7" s="4" t="inlineStr">
        <s:is>
          <s:t>data/processed/overnight/02_kpi_panel_quarterly.csv adr_usd (letters / 10-Q)</s:t>
        </s:is>
      </s:c>
      <s:c r="C7" s="11" t="n">
        <s:v>159.82</s:v>
      </s:c>
      <s:c r="D7" s="11" t="n">
        <s:v>161.45</s:v>
      </s:c>
      <s:c r="E7" s="11" t="n">
        <s:v>149.15</s:v>
      </s:c>
      <s:c r="F7" s="11" t="n">
        <s:v>153.61</s:v>
      </s:c>
      <s:c r="G7" s="11" t="n">
        <s:v>168.07</s:v>
      </s:c>
      <s:c r="H7" s="11" t="n">
        <s:v>163.74</s:v>
      </s:c>
      <s:c r="I7" s="11" t="n">
        <s:v>156.44</s:v>
      </s:c>
      <s:c r="J7" s="11" t="n">
        <s:v>152.81</s:v>
      </s:c>
      <s:c r="K7" s="11" t="n">
        <s:v>168.43</s:v>
      </s:c>
      <s:c r="L7" s="11" t="n">
        <s:v>166.01</s:v>
      </s:c>
      <s:c r="M7" s="11" t="n">
        <s:v>161.38</s:v>
      </s:c>
      <s:c r="N7" s="11" t="n">
        <s:v>156.73</s:v>
      </s:c>
      <s:c r="O7" s="11" t="n">
        <s:v>172.88</s:v>
      </s:c>
      <s:c r="P7" s="11" t="n">
        <s:v>169.53</s:v>
      </s:c>
      <s:c r="Q7" s="11" t="n">
        <s:v>163.64</s:v>
      </s:c>
      <s:c r="R7" s="11" t="n">
        <s:v>158.13</s:v>
      </s:c>
      <s:c r="S7" s="11" t="n">
        <s:v>171.34</s:v>
      </s:c>
      <s:c r="T7" s="11" t="n">
        <s:v>174.48</s:v>
      </s:c>
      <s:c r="U7" s="11" t="n">
        <s:v>171.29</s:v>
      </s:c>
      <s:c r="V7" s="11" t="n">
        <s:v>167.51</s:v>
      </s:c>
      <s:c r="W7" s="11" t="n">
        <s:v>186.82</s:v>
      </s:c>
      <s:c r="X7" s="11" t="n">
        <s:v>183.73</s:v>
      </s:c>
      <s:c r="Y7" s="20">
        <s:f>Y96</s:f>
        <s:v>177.6812219414966</s:v>
      </s:c>
      <s:c r="Z7" s="20">
        <s:f>Z96</s:f>
        <s:v>173.0340496165448</s:v>
      </s:c>
      <s:c r="AA7" s="20">
        <s:f>AA96</s:f>
        <s:v>190.64581885687178</s:v>
      </s:c>
      <s:c r="AB7" s="20">
        <s:f>AB96</s:f>
        <s:v>188.37762026280902</s:v>
      </s:c>
      <s:c r="AC7" s="20">
        <s:f>AC96</s:f>
        <s:v>182.52209319023393</s:v>
      </s:c>
      <s:c r="AD7" s="20">
        <s:f>AD96</s:f>
        <s:v>178.11164547840278</s:v>
      </s:c>
    </s:row>
    <s:row r="8">
      <s:c r="A8" s="8" t="inlineStr">
        <s:is>
          <s:t xml:space="preserve">    reported y/y</s:t>
        </s:is>
      </s:c>
      <s:c r="B8" s="4" t="inlineStr">
        <s:is>
          <s:t>→ ADR / ADR four quarters earlier − 1</s:t>
        </s:is>
      </s:c>
      <s:c r="G8" s="10">
        <s:f>G7/C7-1</s:f>
        <s:v>0.05162057314478785</s:v>
      </s:c>
      <s:c r="H8" s="10">
        <s:f>H7/D7-1</s:f>
        <s:v>0.014183957881697351</s:v>
      </s:c>
      <s:c r="I8" s="10">
        <s:f>I7/E7-1</s:f>
        <s:v>0.04887696949379805</s:v>
      </s:c>
      <s:c r="J8" s="10">
        <s:f>J7/F7-1</s:f>
        <s:v>-0.005207994271206329</s:v>
      </s:c>
      <s:c r="K8" s="10">
        <s:f>K7/G7-1</s:f>
        <s:v>0.0021419646575833173</s:v>
      </s:c>
      <s:c r="L8" s="10">
        <s:f>L7/H7-1</s:f>
        <s:v>0.013863442042262086</s:v>
      </s:c>
      <s:c r="M8" s="10">
        <s:f>M7/I7-1</s:f>
        <s:v>0.03157760163641021</s:v>
      </s:c>
      <s:c r="N8" s="10">
        <s:f>N7/J7-1</s:f>
        <s:v>0.025652771415483278</s:v>
      </s:c>
      <s:c r="O8" s="10">
        <s:f>O7/K7-1</s:f>
        <s:v>0.02642047141245607</s:v>
      </s:c>
      <s:c r="P8" s="10">
        <s:f>P7/L7-1</s:f>
        <s:v>0.02120354195530405</s:v>
      </s:c>
      <s:c r="Q8" s="10">
        <s:f>Q7/M7-1</s:f>
        <s:v>0.014004213657206499</s:v>
      </s:c>
      <s:c r="R8" s="10">
        <s:f>R7/N7-1</s:f>
        <s:v>0.008932559178204569</s:v>
      </s:c>
      <s:c r="S8" s="10">
        <s:f>S7/O7-1</s:f>
        <s:v>-0.008907913003239232</s:v>
      </s:c>
      <s:c r="T8" s="10">
        <s:f>T7/P7-1</s:f>
        <s:v>0.029198371969562764</s:v>
      </s:c>
      <s:c r="U8" s="10">
        <s:f>U7/Q7-1</s:f>
        <s:v>0.04674896113419713</s:v>
      </s:c>
      <s:c r="V8" s="10">
        <s:f>V7/R7-1</s:f>
        <s:v>0.05931828242585202</s:v>
      </s:c>
      <s:c r="W8" s="10">
        <s:f>W7/S7-1</s:f>
        <s:v>0.09034667911754402</s:v>
      </s:c>
      <s:c r="X8" s="10">
        <s:f>X7/T7-1</s:f>
        <s:v>0.053014672168729904</s:v>
      </s:c>
      <s:c r="Y8" s="10">
        <s:f>Y7/U7-1</s:f>
        <s:v>0.03731228875881021</s:v>
      </s:c>
      <s:c r="Z8" s="10">
        <s:f>Z7/V7-1</s:f>
        <s:v>0.0329774318938858</s:v>
      </s:c>
      <s:c r="AA8" s="10">
        <s:f>AA7/W7-1</s:f>
        <s:v>0.020478636424750007</s:v>
      </s:c>
      <s:c r="AB8" s="10">
        <s:f>AB7/X7-1</s:f>
        <s:v>0.02529592479621745</s:v>
      </s:c>
      <s:c r="AC8" s="10">
        <s:f>AC7/Y7-1</s:f>
        <s:v>0.02724469809382124</s:v>
      </s:c>
      <s:c r="AD8" s="10">
        <s:f>AD7/Z7-1</s:f>
        <s:v>0.029344489556305753</s:v>
      </s:c>
    </s:row>
    <s:row r="9">
      <s:c r="A9" s="8" t="inlineStr">
        <s:is>
          <s:t xml:space="preserve">    ex-FX y/y, as stated in the letter (whole points; 3Q23/4Q23 'less than 1%' → 0.5)</s:t>
        </s:is>
      </s:c>
      <s:c r="B9" s="4" t="inlineStr">
        <s:is>
          <s:t>02_kpi_panel_quarterly.csv adr_yoy_exfx_pct; 2Q22 onward</s:t>
        </s:is>
      </s:c>
      <s:c r="H9" s="11" t="n">
        <s:v>7</s:v>
      </s:c>
      <s:c r="I9" s="11" t="n">
        <s:v>12</s:v>
      </s:c>
      <s:c r="J9" s="11" t="n">
        <s:v>5</s:v>
      </s:c>
      <s:c r="K9" s="11" t="n">
        <s:v>3</s:v>
      </s:c>
      <s:c r="L9" s="11" t="n">
        <s:v>2</s:v>
      </s:c>
      <s:c r="M9" s="11" t="n">
        <s:v>0.5</s:v>
      </s:c>
      <s:c r="N9" s="11" t="n">
        <s:v>0.5</s:v>
      </s:c>
      <s:c r="O9" s="11" t="n">
        <s:v>2</s:v>
      </s:c>
      <s:c r="P9" s="11" t="n">
        <s:v>3</s:v>
      </s:c>
      <s:c r="Q9" s="11" t="n">
        <s:v>2</s:v>
      </s:c>
      <s:c r="R9" s="11" t="n">
        <s:v>2</s:v>
      </s:c>
      <s:c r="S9" s="11" t="n">
        <s:v>1</s:v>
      </s:c>
      <s:c r="T9" s="11" t="n">
        <s:v>1</s:v>
      </s:c>
      <s:c r="U9" s="11" t="n">
        <s:v>2</s:v>
      </s:c>
      <s:c r="V9" s="11" t="n">
        <s:v>3</s:v>
      </s:c>
      <s:c r="W9" s="11" t="n">
        <s:v>4</s:v>
      </s:c>
      <s:c r="X9" s="11" t="n">
        <s:v>4</s:v>
      </s:c>
    </s:row>
    <s:row r="10">
      <s:c r="A10" s="8" t="inlineStr">
        <s:is>
          <s:t xml:space="preserve">    FX effect on ADR (pp) — the disclosed target</s:t>
        </s:is>
      </s:c>
      <s:c r="B10" s="4" t="inlineStr">
        <s:is>
          <s:t>→ reported y/y × 100 − ex-FX y/y</s:t>
        </s:is>
      </s:c>
      <s:c r="H10" s="15">
        <s:f>H8*100-H9</s:f>
        <s:v>-5.581604211830265</s:v>
      </s:c>
      <s:c r="I10" s="15">
        <s:f>I8*100-I9</s:f>
        <s:v>-7.112303050620195</s:v>
      </s:c>
      <s:c r="J10" s="15">
        <s:f>J8*100-J9</s:f>
        <s:v>-5.520799427120632</s:v>
      </s:c>
      <s:c r="K10" s="15">
        <s:f>K8*100-K9</s:f>
        <s:v>-2.7858035342416683</s:v>
      </s:c>
      <s:c r="L10" s="15">
        <s:f>L8*100-L9</s:f>
        <s:v>-0.6136557957737914</s:v>
      </s:c>
      <s:c r="M10" s="15">
        <s:f>M8*100-M9</s:f>
        <s:v>2.6577601636410213</s:v>
      </s:c>
      <s:c r="N10" s="15">
        <s:f>N8*100-N9</s:f>
        <s:v>2.0652771415483278</s:v>
      </s:c>
      <s:c r="O10" s="15">
        <s:f>O8*100-O9</s:f>
        <s:v>0.642047141245607</s:v>
      </s:c>
      <s:c r="P10" s="15">
        <s:f>P8*100-P9</s:f>
        <s:v>-0.879645804469595</s:v>
      </s:c>
      <s:c r="Q10" s="15">
        <s:f>Q8*100-Q9</s:f>
        <s:v>-0.5995786342793501</s:v>
      </s:c>
      <s:c r="R10" s="15">
        <s:f>R8*100-R9</s:f>
        <s:v>-1.1067440821795431</s:v>
      </s:c>
      <s:c r="S10" s="15">
        <s:f>S8*100-S9</s:f>
        <s:v>-1.8907913003239232</s:v>
      </s:c>
      <s:c r="T10" s="15">
        <s:f>T8*100-T9</s:f>
        <s:v>1.9198371969562764</s:v>
      </s:c>
      <s:c r="U10" s="15">
        <s:f>U8*100-U9</s:f>
        <s:v>2.674896113419713</s:v>
      </s:c>
      <s:c r="V10" s="15">
        <s:f>V8*100-V9</s:f>
        <s:v>2.931828242585202</s:v>
      </s:c>
      <s:c r="W10" s="15">
        <s:f>W8*100-W9</s:f>
        <s:v>5.034667911754401</s:v>
      </s:c>
      <s:c r="X10" s="15">
        <s:f>X8*100-X9</s:f>
        <s:v>1.3014672168729904</s:v>
      </s:c>
    </s:row>
    <s:row r="12">
      <s:c r="A12" s="5" t="inlineStr">
        <s:is>
          <s:t>B. FX translation identity (ex ante): FX pp = Σ_region GBV share × Σ_currency κ × (avg rate / avg rate a year earlier − 1) — zero fitted parameters</s:t>
        </s:is>
      </s:c>
      <s:c r="B12" s="5" t="n"/>
      <s:c r="C12" s="5" t="n"/>
      <s:c r="D12" s="5" t="n"/>
      <s:c r="E12" s="5" t="n"/>
      <s:c r="F12" s="5" t="n"/>
      <s:c r="G12" s="5" t="n"/>
      <s:c r="H12" s="5" t="n"/>
      <s:c r="I12" s="5" t="n"/>
      <s:c r="J12" s="5" t="n"/>
      <s:c r="K12" s="5" t="n"/>
      <s:c r="L12" s="5" t="n"/>
      <s:c r="M12" s="5" t="n"/>
      <s:c r="N12" s="5" t="n"/>
      <s:c r="O12" s="5" t="n"/>
      <s:c r="P12" s="5" t="n"/>
      <s:c r="Q12" s="5" t="n"/>
      <s:c r="R12" s="5" t="n"/>
      <s:c r="S12" s="5" t="n"/>
      <s:c r="T12" s="5" t="n"/>
      <s:c r="U12" s="5" t="n"/>
      <s:c r="V12" s="5" t="n"/>
      <s:c r="W12" s="5" t="n"/>
      <s:c r="X12" s="5" t="n"/>
      <s:c r="Y12" s="5" t="n"/>
      <s:c r="Z12" s="5" t="n"/>
      <s:c r="AA12" s="5" t="n"/>
      <s:c r="AB12" s="5" t="n"/>
      <s:c r="AC12" s="5" t="n"/>
      <s:c r="AD12" s="5" t="n"/>
    </s:row>
    <s:row r="13">
      <s:c r="A13" s="8" t="inlineStr">
        <s:is>
          <s:t>Quarterly average USD per EUR (business days; forward = spot held from 2026-09-18)</s:t>
        </s:is>
      </s:c>
      <s:c r="B13" s="4" t="inlineStr">
        <s:is>
          <s:t>FRED DEXUSEU → adr_engine/fx_daily_2026-09-21.csv (fetch_fx.py)</s:t>
        </s:is>
      </s:c>
      <s:c r="C13" s="25" t="n">
        <s:v>1.2051578125</s:v>
      </s:c>
      <s:c r="D13" s="25" t="n">
        <s:v>1.205263076923077</s:v>
      </s:c>
      <s:c r="E13" s="25" t="n">
        <s:v>1.178662121212121</s:v>
      </s:c>
      <s:c r="F13" s="25" t="n">
        <s:v>1.143265151515152</s:v>
      </s:c>
      <s:c r="G13" s="25" t="n">
        <s:v>1.122084375</s:v>
      </s:c>
      <s:c r="H13" s="25" t="n">
        <s:v>1.064409230769231</s:v>
      </s:c>
      <s:c r="I13" s="25" t="n">
        <s:v>1.007031818181819</s:v>
      </s:c>
      <s:c r="J13" s="25" t="n">
        <s:v>1.021918461538462</s:v>
      </s:c>
      <s:c r="K13" s="25" t="n">
        <s:v>1.072967692307692</s:v>
      </s:c>
      <s:c r="L13" s="25" t="n">
        <s:v>1.088615384615385</s:v>
      </s:c>
      <s:c r="M13" s="25" t="n">
        <s:v>1.088321538461538</s:v>
      </s:c>
      <s:c r="N13" s="25" t="n">
        <s:v>1.076330769230769</s:v>
      </s:c>
      <s:c r="O13" s="25" t="n">
        <s:v>1.085847692307692</s:v>
      </s:c>
      <s:c r="P13" s="25" t="n">
        <s:v>1.07668</s:v>
      </s:c>
      <s:c r="Q13" s="25" t="n">
        <s:v>1.098504545454545</s:v>
      </s:c>
      <s:c r="R13" s="25" t="n">
        <s:v>1.066693939393939</s:v>
      </s:c>
      <s:c r="S13" s="25" t="n">
        <s:v>1.0523953125</s:v>
      </s:c>
      <s:c r="T13" s="25" t="n">
        <s:v>1.134446153846154</s:v>
      </s:c>
      <s:c r="U13" s="25" t="n">
        <s:v>1.168668181818182</s:v>
      </s:c>
      <s:c r="V13" s="25" t="n">
        <s:v>1.164089393939394</s:v>
      </s:c>
      <s:c r="W13" s="25" t="n">
        <s:v>1.17030625</s:v>
      </s:c>
      <s:c r="X13" s="25" t="n">
        <s:v>1.162887692307692</s:v>
      </s:c>
      <s:c r="Y13" s="25" t="n">
        <s:v>1.151559090909091</s:v>
      </s:c>
      <s:c r="Z13" s="25" t="n">
        <s:v>1.1464</s:v>
      </s:c>
      <s:c r="AA13" s="25" t="n">
        <s:v>1.1464</s:v>
      </s:c>
      <s:c r="AB13" s="25" t="n">
        <s:v>1.1464</s:v>
      </s:c>
      <s:c r="AC13" s="25" t="n">
        <s:v>1.1464</s:v>
      </s:c>
      <s:c r="AD13" s="25" t="n">
        <s:v>1.1464</s:v>
      </s:c>
    </s:row>
    <s:row r="14">
      <s:c r="A14" s="8" t="inlineStr">
        <s:is>
          <s:t>Quarterly average USD per GBP (business days; forward = spot held from 2026-09-18)</s:t>
        </s:is>
      </s:c>
      <s:c r="B14" s="4" t="inlineStr">
        <s:is>
          <s:t>FRED DEXUSUK → adr_engine/fx_daily_2026-09-21.csv (fetch_fx.py)</s:t>
        </s:is>
      </s:c>
      <s:c r="C14" s="25" t="n">
        <s:v>1.3790890625</s:v>
      </s:c>
      <s:c r="D14" s="25" t="n">
        <s:v>1.398447692307692</s:v>
      </s:c>
      <s:c r="E14" s="25" t="n">
        <s:v>1.378066666666666</s:v>
      </s:c>
      <s:c r="F14" s="25" t="n">
        <s:v>1.348445454545454</s:v>
      </s:c>
      <s:c r="G14" s="25" t="n">
        <s:v>1.3413921875</s:v>
      </s:c>
      <s:c r="H14" s="25" t="n">
        <s:v>1.255924615384615</s:v>
      </s:c>
      <s:c r="I14" s="25" t="n">
        <s:v>1.17679696969697</s:v>
      </s:c>
      <s:c r="J14" s="25" t="n">
        <s:v>1.175173846153846</s:v>
      </s:c>
      <s:c r="K14" s="25" t="n">
        <s:v>1.215069230769231</s:v>
      </s:c>
      <s:c r="L14" s="25" t="n">
        <s:v>1.252130769230769</s:v>
      </s:c>
      <s:c r="M14" s="25" t="n">
        <s:v>1.2662</s:v>
      </s:c>
      <s:c r="N14" s="25" t="n">
        <s:v>1.241984615384616</s:v>
      </s:c>
      <s:c r="O14" s="25" t="n">
        <s:v>1.268255384615384</s:v>
      </s:c>
      <s:c r="P14" s="25" t="n">
        <s:v>1.262155384615385</s:v>
      </s:c>
      <s:c r="Q14" s="25" t="n">
        <s:v>1.300309090909091</s:v>
      </s:c>
      <s:c r="R14" s="25" t="n">
        <s:v>1.281445454545455</s:v>
      </s:c>
      <s:c r="S14" s="25" t="n">
        <s:v>1.2597046875</s:v>
      </s:c>
      <s:c r="T14" s="25" t="n">
        <s:v>1.335726153846154</s:v>
      </s:c>
      <s:c r="U14" s="25" t="n">
        <s:v>1.348674242424242</s:v>
      </s:c>
      <s:c r="V14" s="25" t="n">
        <s:v>1.33045909090909</s:v>
      </s:c>
      <s:c r="W14" s="25" t="n">
        <s:v>1.34788125</s:v>
      </s:c>
      <s:c r="X14" s="25" t="n">
        <s:v>1.34264</s:v>
      </s:c>
      <s:c r="Y14" s="25" t="n">
        <s:v>1.345693939393939</s:v>
      </s:c>
      <s:c r="Z14" s="25" t="n">
        <s:v>1.3372</s:v>
      </s:c>
      <s:c r="AA14" s="25" t="n">
        <s:v>1.3372</s:v>
      </s:c>
      <s:c r="AB14" s="25" t="n">
        <s:v>1.3372</s:v>
      </s:c>
      <s:c r="AC14" s="25" t="n">
        <s:v>1.3372</s:v>
      </s:c>
      <s:c r="AD14" s="25" t="n">
        <s:v>1.3372</s:v>
      </s:c>
    </s:row>
    <s:row r="15">
      <s:c r="A15" s="8" t="inlineStr">
        <s:is>
          <s:t>Quarterly average USD per BRL (business days; forward = spot held from 2026-09-18)</s:t>
        </s:is>
      </s:c>
      <s:c r="B15" s="4" t="inlineStr">
        <s:is>
          <s:t>FRED DEXBZUS → adr_engine/fx_daily_2026-09-21.csv (fetch_fx.py)</s:t>
        </s:is>
      </s:c>
      <s:c r="C15" s="25" t="n">
        <s:v>0.1828723008270418</s:v>
      </s:c>
      <s:c r="D15" s="25" t="n">
        <s:v>0.1892937986848461</s:v>
      </s:c>
      <s:c r="E15" s="25" t="n">
        <s:v>0.1914042175840341</s:v>
      </s:c>
      <s:c r="F15" s="25" t="n">
        <s:v>0.179017888235438</s:v>
      </s:c>
      <s:c r="G15" s="25" t="n">
        <s:v>0.191803311632118</s:v>
      </s:c>
      <s:c r="H15" s="25" t="n">
        <s:v>0.2034853228954897</s:v>
      </s:c>
      <s:c r="I15" s="25" t="n">
        <s:v>0.1907429645142075</s:v>
      </s:c>
      <s:c r="J15" s="25" t="n">
        <s:v>0.1903125873972193</s:v>
      </s:c>
      <s:c r="K15" s="25" t="n">
        <s:v>0.1925591939673749</s:v>
      </s:c>
      <s:c r="L15" s="25" t="n">
        <s:v>0.2020691317800913</s:v>
      </s:c>
      <s:c r="M15" s="25" t="n">
        <s:v>0.2049451450606586</s:v>
      </s:c>
      <s:c r="N15" s="25" t="n">
        <s:v>0.201970528062551</s:v>
      </s:c>
      <s:c r="O15" s="25" t="n">
        <s:v>0.2020322155687002</s:v>
      </s:c>
      <s:c r="P15" s="25" t="n">
        <s:v>0.1920076732120785</s:v>
      </s:c>
      <s:c r="Q15" s="25" t="n">
        <s:v>0.1803480448147409</s:v>
      </s:c>
      <s:c r="R15" s="25" t="n">
        <s:v>0.1714218169833799</s:v>
      </s:c>
      <s:c r="S15" s="25" t="n">
        <s:v>0.1709567952814824</s:v>
      </s:c>
      <s:c r="T15" s="25" t="n">
        <s:v>0.1764898545864937</s:v>
      </s:c>
      <s:c r="U15" s="25" t="n">
        <s:v>0.1836054570282772</s:v>
      </s:c>
      <s:c r="V15" s="25" t="n">
        <s:v>0.1852856369145278</s:v>
      </s:c>
      <s:c r="W15" s="25" t="n">
        <s:v>0.1902132769878812</s:v>
      </s:c>
      <s:c r="X15" s="25" t="n">
        <s:v>0.198124158679975</s:v>
      </s:c>
      <s:c r="Y15" s="25" t="n">
        <s:v>0.1947710746997425</s:v>
      </s:c>
      <s:c r="Z15" s="25" t="n">
        <s:v>0.1938134739127064</s:v>
      </s:c>
      <s:c r="AA15" s="25" t="n">
        <s:v>0.1938134739127064</s:v>
      </s:c>
      <s:c r="AB15" s="25" t="n">
        <s:v>0.1938134739127064</s:v>
      </s:c>
      <s:c r="AC15" s="25" t="n">
        <s:v>0.1938134739127064</s:v>
      </s:c>
      <s:c r="AD15" s="25" t="n">
        <s:v>0.1938134739127064</s:v>
      </s:c>
    </s:row>
    <s:row r="16">
      <s:c r="A16" s="8" t="inlineStr">
        <s:is>
          <s:t>Quarterly average USD per MXN (business days; forward = spot held from 2026-09-18)</s:t>
        </s:is>
      </s:c>
      <s:c r="B16" s="4" t="inlineStr">
        <s:is>
          <s:t>FRED DEXMXUS → adr_engine/fx_daily_2026-09-21.csv (fetch_fx.py)</s:t>
        </s:is>
      </s:c>
      <s:c r="C16" s="25" t="n">
        <s:v>0.04918832670718521</s:v>
      </s:c>
      <s:c r="D16" s="25" t="n">
        <s:v>0.0499773784755694</s:v>
      </s:c>
      <s:c r="E16" s="25" t="n">
        <s:v>0.0499411766982432</s:v>
      </s:c>
      <s:c r="F16" s="25" t="n">
        <s:v>0.04821163312584239</s:v>
      </s:c>
      <s:c r="G16" s="25" t="n">
        <s:v>0.04879082613628123</s:v>
      </s:c>
      <s:c r="H16" s="25" t="n">
        <s:v>0.04988255105181749</s:v>
      </s:c>
      <s:c r="I16" s="25" t="n">
        <s:v>0.04943885391995816</s:v>
      </s:c>
      <s:c r="J16" s="25" t="n">
        <s:v>0.05084030729701012</s:v>
      </s:c>
      <s:c r="K16" s="25" t="n">
        <s:v>0.05360100537952309</s:v>
      </s:c>
      <s:c r="L16" s="25" t="n">
        <s:v>0.05658791078503513</s:v>
      </s:c>
      <s:c r="M16" s="25" t="n">
        <s:v>0.05864068251264604</s:v>
      </s:c>
      <s:c r="N16" s="25" t="n">
        <s:v>0.05704565331136915</s:v>
      </s:c>
      <s:c r="O16" s="25" t="n">
        <s:v>0.05889471705027263</s:v>
      </s:c>
      <s:c r="P16" s="25" t="n">
        <s:v>0.05812609026921273</s:v>
      </s:c>
      <s:c r="Q16" s="25" t="n">
        <s:v>0.05291877628782751</s:v>
      </s:c>
      <s:c r="R16" s="25" t="n">
        <s:v>0.04978366379307615</s:v>
      </s:c>
      <s:c r="S16" s="25" t="n">
        <s:v>0.04897989819692692</s:v>
      </s:c>
      <s:c r="T16" s="25" t="n">
        <s:v>0.05128912381740783</s:v>
      </s:c>
      <s:c r="U16" s="25" t="n">
        <s:v>0.05369154947405428</s:v>
      </s:c>
      <s:c r="V16" s="25" t="n">
        <s:v>0.05465944166609391</s:v>
      </s:c>
      <s:c r="W16" s="25" t="n">
        <s:v>0.05695579703830193</s:v>
      </s:c>
      <s:c r="X16" s="25" t="n">
        <s:v>0.05753358459784357</s:v>
      </s:c>
      <s:c r="Y16" s="25" t="n">
        <s:v>0.05811213303178497</s:v>
      </s:c>
      <s:c r="Z16" s="25" t="n">
        <s:v>0.05798647755343456</s:v>
      </s:c>
      <s:c r="AA16" s="25" t="n">
        <s:v>0.05798647755343456</s:v>
      </s:c>
      <s:c r="AB16" s="25" t="n">
        <s:v>0.05798647755343456</s:v>
      </s:c>
      <s:c r="AC16" s="25" t="n">
        <s:v>0.05798647755343456</s:v>
      </s:c>
      <s:c r="AD16" s="25" t="n">
        <s:v>0.05798647755343456</s:v>
      </s:c>
    </s:row>
    <s:row r="17">
      <s:c r="A17" s="8" t="inlineStr">
        <s:is>
          <s:t>Quarterly average USD per JPY (business days; forward = spot held from 2026-09-18)</s:t>
        </s:is>
      </s:c>
      <s:c r="B17" s="4" t="inlineStr">
        <s:is>
          <s:t>FRED DEXJPUS → adr_engine/fx_daily_2026-09-21.csv (fetch_fx.py)</s:t>
        </s:is>
      </s:c>
      <s:c r="C17" s="25" t="n">
        <s:v>0.009434905091065392</s:v>
      </s:c>
      <s:c r="D17" s="25" t="n">
        <s:v>0.009138125350288963</s:v>
      </s:c>
      <s:c r="E17" s="25" t="n">
        <s:v>0.009084201253293359</s:v>
      </s:c>
      <s:c r="F17" s="25" t="n">
        <s:v>0.008796893481521673</s:v>
      </s:c>
      <s:c r="G17" s="25" t="n">
        <s:v>0.008602321487547578</s:v>
      </s:c>
      <s:c r="H17" s="25" t="n">
        <s:v>0.007712151988556444</s:v>
      </s:c>
      <s:c r="I17" s="25" t="n">
        <s:v>0.007234613902285213</s:v>
      </s:c>
      <s:c r="J17" s="25" t="n">
        <s:v>0.007089682009248813</s:v>
      </s:c>
      <s:c r="K17" s="25" t="n">
        <s:v>0.00755632884427469</s:v>
      </s:c>
      <s:c r="L17" s="25" t="n">
        <s:v>0.007279496228318787</s:v>
      </s:c>
      <s:c r="M17" s="25" t="n">
        <s:v>0.006920795766246872</s:v>
      </s:c>
      <s:c r="N17" s="25" t="n">
        <s:v>0.006768800148017067</s:v>
      </s:c>
      <s:c r="O17" s="25" t="n">
        <s:v>0.006739872084298605</s:v>
      </s:c>
      <s:c r="P17" s="25" t="n">
        <s:v>0.006418765857552636</s:v>
      </s:c>
      <s:c r="Q17" s="25" t="n">
        <s:v>0.006713874936983914</s:v>
      </s:c>
      <s:c r="R17" s="25" t="n">
        <s:v>0.006564705003169738</s:v>
      </s:c>
      <s:c r="S17" s="25" t="n">
        <s:v>0.006559285210100668</s:v>
      </s:c>
      <s:c r="T17" s="25" t="n">
        <s:v>0.006923223900108332</s:v>
      </s:c>
      <s:c r="U17" s="25" t="n">
        <s:v>0.006781857666450467</s:v>
      </s:c>
      <s:c r="V17" s="25" t="n">
        <s:v>0.006490955794272727</s:v>
      </s:c>
      <s:c r="W17" s="25" t="n">
        <s:v>0.006376553573657654</s:v>
      </s:c>
      <s:c r="X17" s="25" t="n">
        <s:v>0.006274375676076636</s:v>
      </s:c>
      <s:c r="Y17" s="25" t="n">
        <s:v>0.006286411311271813</s:v>
      </s:c>
      <s:c r="Z17" s="25" t="n">
        <s:v>0.006374705169885805</s:v>
      </s:c>
      <s:c r="AA17" s="25" t="n">
        <s:v>0.006374705169885805</s:v>
      </s:c>
      <s:c r="AB17" s="25" t="n">
        <s:v>0.006374705169885805</s:v>
      </s:c>
      <s:c r="AC17" s="25" t="n">
        <s:v>0.006374705169885805</s:v>
      </s:c>
      <s:c r="AD17" s="25" t="n">
        <s:v>0.006374705169885805</s:v>
      </s:c>
    </s:row>
    <s:row r="18">
      <s:c r="A18" s="8" t="inlineStr">
        <s:is>
          <s:t>Quarterly average USD per AUD (business days; forward = spot held from 2026-09-18)</s:t>
        </s:is>
      </s:c>
      <s:c r="B18" s="4" t="inlineStr">
        <s:is>
          <s:t>FRED DEXUSAL → adr_engine/fx_daily_2026-09-21.csv (fetch_fx.py)</s:t>
        </s:is>
      </s:c>
      <s:c r="C18" s="25" t="n">
        <s:v>0.7728421874999999</s:v>
      </s:c>
      <s:c r="D18" s="25" t="n">
        <s:v>0.7700661538461536</s:v>
      </s:c>
      <s:c r="E18" s="25" t="n">
        <s:v>0.7347666666666668</s:v>
      </s:c>
      <s:c r="F18" s="25" t="n">
        <s:v>0.7287893939393935</s:v>
      </s:c>
      <s:c r="G18" s="25" t="n">
        <s:v>0.7247046875000001</s:v>
      </s:c>
      <s:c r="H18" s="25" t="n">
        <s:v>0.7140476923076925</s:v>
      </s:c>
      <s:c r="I18" s="25" t="n">
        <s:v>0.6832560606060607</s:v>
      </s:c>
      <s:c r="J18" s="25" t="n">
        <s:v>0.6575876923076923</s:v>
      </s:c>
      <s:c r="K18" s="25" t="n">
        <s:v>0.6834553846153846</s:v>
      </s:c>
      <s:c r="L18" s="25" t="n">
        <s:v>0.6681000000000001</s:v>
      </s:c>
      <s:c r="M18" s="25" t="n">
        <s:v>0.6548123076923076</s:v>
      </s:c>
      <s:c r="N18" s="25" t="n">
        <s:v>0.6514723076923078</s:v>
      </s:c>
      <s:c r="O18" s="25" t="n">
        <s:v>0.6578046153846154</s:v>
      </s:c>
      <s:c r="P18" s="25" t="n">
        <s:v>0.6590723076923076</s:v>
      </s:c>
      <s:c r="Q18" s="25" t="n">
        <s:v>0.6699348484848485</s:v>
      </s:c>
      <s:c r="R18" s="25" t="n">
        <s:v>0.6522651515151514</s:v>
      </s:c>
      <s:c r="S18" s="25" t="n">
        <s:v>0.6275421875</s:v>
      </s:c>
      <s:c r="T18" s="25" t="n">
        <s:v>0.6410723076923076</s:v>
      </s:c>
      <s:c r="U18" s="25" t="n">
        <s:v>0.6543196969696971</s:v>
      </s:c>
      <s:c r="V18" s="25" t="n">
        <s:v>0.6567257575757575</s:v>
      </s:c>
      <s:c r="W18" s="25" t="n">
        <s:v>0.6949359375000002</s:v>
      </s:c>
      <s:c r="X18" s="25" t="n">
        <s:v>0.7099738461538465</s:v>
      </s:c>
      <s:c r="Y18" s="25" t="n">
        <s:v>0.7071303030303033</s:v>
      </s:c>
      <s:c r="Z18" s="25" t="n">
        <s:v>0.7111000000000001</s:v>
      </s:c>
      <s:c r="AA18" s="25" t="n">
        <s:v>0.7111</s:v>
      </s:c>
      <s:c r="AB18" s="25" t="n">
        <s:v>0.7111</s:v>
      </s:c>
      <s:c r="AC18" s="25" t="n">
        <s:v>0.7111000000000001</s:v>
      </s:c>
      <s:c r="AD18" s="25" t="n">
        <s:v>0.7111000000000001</s:v>
      </s:c>
    </s:row>
    <s:row r="19">
      <s:c r="A19" s="8" t="inlineStr">
        <s:is>
          <s:t>Quarterly average USD per KRW (business days; forward = spot held from 2026-09-18)</s:t>
        </s:is>
      </s:c>
      <s:c r="B19" s="4" t="inlineStr">
        <s:is>
          <s:t>FRED DEXKOUS → adr_engine/fx_daily_2026-09-21.csv (fetch_fx.py)</s:t>
        </s:is>
      </s:c>
      <s:c r="C19" s="25" t="n">
        <s:v>0.0008980574082007703</s:v>
      </s:c>
      <s:c r="D19" s="25" t="n">
        <s:v>0.0008919450061835182</s:v>
      </s:c>
      <s:c r="E19" s="25" t="n">
        <s:v>0.0008625012419089757</s:v>
      </s:c>
      <s:c r="F19" s="25" t="n">
        <s:v>0.0008448975458408619</s:v>
      </s:c>
      <s:c r="G19" s="25" t="n">
        <s:v>0.0008294930814214625</s:v>
      </s:c>
      <s:c r="H19" s="25" t="n">
        <s:v>0.0007935042363192045</s:v>
      </s:c>
      <s:c r="I19" s="25" t="n">
        <s:v>0.0007465734439631378</s:v>
      </s:c>
      <s:c r="J19" s="25" t="n">
        <s:v>0.0007371386506815184</s:v>
      </s:c>
      <s:c r="K19" s="25" t="n">
        <s:v>0.0007842569249517721</s:v>
      </s:c>
      <s:c r="L19" s="25" t="n">
        <s:v>0.0007605086499953661</s:v>
      </s:c>
      <s:c r="M19" s="25" t="n">
        <s:v>0.0007617837450221322</s:v>
      </s:c>
      <s:c r="N19" s="25" t="n">
        <s:v>0.0007569954473562218</s:v>
      </s:c>
      <s:c r="O19" s="25" t="n">
        <s:v>0.0007525865917639829</s:v>
      </s:c>
      <s:c r="P19" s="25" t="n">
        <s:v>0.0007298318452153125</s:v>
      </s:c>
      <s:c r="Q19" s="25" t="n">
        <s:v>0.000737899662253835</s:v>
      </s:c>
      <s:c r="R19" s="25" t="n">
        <s:v>0.0007154503756419076</s:v>
      </s:c>
      <s:c r="S19" s="25" t="n">
        <s:v>0.0006886114113059277</s:v>
      </s:c>
      <s:c r="T19" s="25" t="n">
        <s:v>0.0007153119891327108</s:v>
      </s:c>
      <s:c r="U19" s="25" t="n">
        <s:v>0.0007212043142890151</s:v>
      </s:c>
      <s:c r="V19" s="25" t="n">
        <s:v>0.0006903961148526531</s:v>
      </s:c>
      <s:c r="W19" s="25" t="n">
        <s:v>0.000682762487362517</s:v>
      </s:c>
      <s:c r="X19" s="25" t="n">
        <s:v>0.0006662624103036613</s:v>
      </s:c>
      <s:c r="Y19" s="25" t="n">
        <s:v>0.0007047699372736059</s:v>
      </s:c>
      <s:c r="Z19" s="25" t="n">
        <s:v>0.0007204766673631</s:v>
      </s:c>
      <s:c r="AA19" s="25" t="n">
        <s:v>0.0007204766673631</s:v>
      </s:c>
      <s:c r="AB19" s="25" t="n">
        <s:v>0.0007204766673631</s:v>
      </s:c>
      <s:c r="AC19" s="25" t="n">
        <s:v>0.0007204766673631</s:v>
      </s:c>
      <s:c r="AD19" s="25" t="n">
        <s:v>0.0007204766673631</s:v>
      </s:c>
    </s:row>
    <s:row r="20">
      <s:c r="A20" s="8" t="inlineStr">
        <s:is>
          <s:t>Quarterly average USD per CAD (business days; forward = spot held from 2026-09-18)</s:t>
        </s:is>
      </s:c>
      <s:c r="B20" s="4" t="inlineStr">
        <s:is>
          <s:t>FRED DEXCAUS → adr_engine/fx_daily_2026-09-21.csv (fetch_fx.py)</s:t>
        </s:is>
      </s:c>
      <s:c r="C20" s="25" t="n">
        <s:v>0.7899369597419825</s:v>
      </s:c>
      <s:c r="D20" s="25" t="n">
        <s:v>0.8144081005015442</s:v>
      </s:c>
      <s:c r="E20" s="25" t="n">
        <s:v>0.7940114841853838</s:v>
      </s:c>
      <s:c r="F20" s="25" t="n">
        <s:v>0.7934498816011684</s:v>
      </s:c>
      <s:c r="G20" s="25" t="n">
        <s:v>0.7897413249233408</s:v>
      </s:c>
      <s:c r="H20" s="25" t="n">
        <s:v>0.7833372703335949</s:v>
      </s:c>
      <s:c r="I20" s="25" t="n">
        <s:v>0.7659868168487041</s:v>
      </s:c>
      <s:c r="J20" s="25" t="n">
        <s:v>0.7367998779480021</s:v>
      </s:c>
      <s:c r="K20" s="25" t="n">
        <s:v>0.739380892237658</s:v>
      </s:c>
      <s:c r="L20" s="25" t="n">
        <s:v>0.7447272926565711</s:v>
      </s:c>
      <s:c r="M20" s="25" t="n">
        <s:v>0.7457969007176178</s:v>
      </s:c>
      <s:c r="N20" s="25" t="n">
        <s:v>0.7347331249324642</s:v>
      </s:c>
      <s:c r="O20" s="25" t="n">
        <s:v>0.7418575119102154</s:v>
      </s:c>
      <s:c r="P20" s="25" t="n">
        <s:v>0.7309494172204517</s:v>
      </s:c>
      <s:c r="Q20" s="25" t="n">
        <s:v>0.7332502871348516</s:v>
      </s:c>
      <s:c r="R20" s="25" t="n">
        <s:v>0.7149381444652281</s:v>
      </s:c>
      <s:c r="S20" s="25" t="n">
        <s:v>0.696965857642778</s:v>
      </s:c>
      <s:c r="T20" s="25" t="n">
        <s:v>0.7226533581528588</s:v>
      </s:c>
      <s:c r="U20" s="25" t="n">
        <s:v>0.7263006684597706</s:v>
      </s:c>
      <s:c r="V20" s="25" t="n">
        <s:v>0.7174737354887584</s:v>
      </s:c>
      <s:c r="W20" s="25" t="n">
        <s:v>0.7291271271354296</s:v>
      </s:c>
      <s:c r="X20" s="25" t="n">
        <s:v>0.7226625121141692</s:v>
      </s:c>
      <s:c r="Y20" s="25" t="n">
        <s:v>0.715337319564357</s:v>
      </s:c>
      <s:c r="Z20" s="25" t="n">
        <s:v>0.7138777841233571</s:v>
      </s:c>
      <s:c r="AA20" s="25" t="n">
        <s:v>0.7138777841233572</s:v>
      </s:c>
      <s:c r="AB20" s="25" t="n">
        <s:v>0.7138777841233572</s:v>
      </s:c>
      <s:c r="AC20" s="25" t="n">
        <s:v>0.7138777841233571</s:v>
      </s:c>
      <s:c r="AD20" s="25" t="n">
        <s:v>0.7138777841233571</s:v>
      </s:c>
    </s:row>
    <s:row r="21">
      <s:c r="A21" s="8" t="inlineStr">
        <s:is>
          <s:t>Quarterly average USD per INR (business days; forward = spot held from 2026-09-18)</s:t>
        </s:is>
      </s:c>
      <s:c r="B21" s="4" t="inlineStr">
        <s:is>
          <s:t>FRED DEXINUS → adr_engine/fx_daily_2026-09-21.csv (fetch_fx.py)</s:t>
        </s:is>
      </s:c>
      <s:c r="C21" s="25" t="n">
        <s:v>0.01371640452690674</s:v>
      </s:c>
      <s:c r="D21" s="25" t="n">
        <s:v>0.01355829368439952</s:v>
      </s:c>
      <s:c r="E21" s="25" t="n">
        <s:v>0.01349835916932289</s:v>
      </s:c>
      <s:c r="F21" s="25" t="n">
        <s:v>0.01334879644596242</s:v>
      </s:c>
      <s:c r="G21" s="25" t="n">
        <s:v>0.0132972184186094</s:v>
      </s:c>
      <s:c r="H21" s="25" t="n">
        <s:v>0.01295445844676586</s:v>
      </s:c>
      <s:c r="I21" s="25" t="n">
        <s:v>0.01253786180770151</s:v>
      </s:c>
      <s:c r="J21" s="25" t="n">
        <s:v>0.01217521170123298</s:v>
      </s:c>
      <s:c r="K21" s="25" t="n">
        <s:v>0.01216573172989259</s:v>
      </s:c>
      <s:c r="L21" s="25" t="n">
        <s:v>0.01216991360465129</s:v>
      </s:c>
      <s:c r="M21" s="25" t="n">
        <s:v>0.01209591888833167</s:v>
      </s:c>
      <s:c r="N21" s="25" t="n">
        <s:v>0.01201291290368868</s:v>
      </s:c>
      <s:c r="O21" s="25" t="n">
        <s:v>0.01204400393306578</s:v>
      </s:c>
      <s:c r="P21" s="25" t="n">
        <s:v>0.01198932693191114</s:v>
      </s:c>
      <s:c r="Q21" s="25" t="n">
        <s:v>0.01194017385618696</s:v>
      </s:c>
      <s:c r="R21" s="25" t="n">
        <s:v>0.01184368962439188</s:v>
      </s:c>
      <s:c r="S21" s="25" t="n">
        <s:v>0.01154940548819701</s:v>
      </s:c>
      <s:c r="T21" s="25" t="n">
        <s:v>0.01168677454510077</s:v>
      </s:c>
      <s:c r="U21" s="25" t="n">
        <s:v>0.0114539660026601</s:v>
      </s:c>
      <s:c r="V21" s="25" t="n">
        <s:v>0.01122423972080312</s:v>
      </s:c>
      <s:c r="W21" s="25" t="n">
        <s:v>0.01093172766317048</s:v>
      </s:c>
      <s:c r="X21" s="25" t="n">
        <s:v>0.01056799659097119</s:v>
      </s:c>
      <s:c r="Y21" s="25" t="n">
        <s:v>0.010461346931782</s:v>
      </s:c>
      <s:c r="Z21" s="25" t="n">
        <s:v>0.01043079169708981</s:v>
      </s:c>
      <s:c r="AA21" s="25" t="n">
        <s:v>0.01043079169708981</s:v>
      </s:c>
      <s:c r="AB21" s="25" t="n">
        <s:v>0.01043079169708981</s:v>
      </s:c>
      <s:c r="AC21" s="25" t="n">
        <s:v>0.01043079169708981</s:v>
      </s:c>
      <s:c r="AD21" s="25" t="n">
        <s:v>0.01043079169708981</s:v>
      </s:c>
    </s:row>
    <s:row r="22">
      <s:c r="A22" s="8" t="inlineStr">
        <s:is>
          <s:t xml:space="preserve">    share of the quarter's business days printed at 18 Sep 2026</s:t>
        </s:is>
      </s:c>
      <s:c r="B22" s="4" t="inlineStr">
        <s:is>
          <s:t>engine fx_forecast_asof.csv obs_frac_at_asof</s:t>
        </s:is>
      </s:c>
      <s:c r="C22" s="12" t="n">
        <s:v>1</s:v>
      </s:c>
      <s:c r="D22" s="12" t="n">
        <s:v>1</s:v>
      </s:c>
      <s:c r="E22" s="12" t="n">
        <s:v>1</s:v>
      </s:c>
      <s:c r="F22" s="12" t="n">
        <s:v>1</s:v>
      </s:c>
      <s:c r="G22" s="12" t="n">
        <s:v>1</s:v>
      </s:c>
      <s:c r="H22" s="12" t="n">
        <s:v>1</s:v>
      </s:c>
      <s:c r="I22" s="12" t="n">
        <s:v>1</s:v>
      </s:c>
      <s:c r="J22" s="12" t="n">
        <s:v>1</s:v>
      </s:c>
      <s:c r="K22" s="12" t="n">
        <s:v>1</s:v>
      </s:c>
      <s:c r="L22" s="12" t="n">
        <s:v>1</s:v>
      </s:c>
      <s:c r="M22" s="12" t="n">
        <s:v>1</s:v>
      </s:c>
      <s:c r="N22" s="12" t="n">
        <s:v>1</s:v>
      </s:c>
      <s:c r="O22" s="12" t="n">
        <s:v>1</s:v>
      </s:c>
      <s:c r="P22" s="12" t="n">
        <s:v>1</s:v>
      </s:c>
      <s:c r="Q22" s="12" t="n">
        <s:v>1</s:v>
      </s:c>
      <s:c r="R22" s="12" t="n">
        <s:v>1</s:v>
      </s:c>
      <s:c r="S22" s="12" t="n">
        <s:v>1</s:v>
      </s:c>
      <s:c r="T22" s="12" t="n">
        <s:v>1</s:v>
      </s:c>
      <s:c r="U22" s="12" t="n">
        <s:v>1</s:v>
      </s:c>
      <s:c r="V22" s="12" t="n">
        <s:v>1</s:v>
      </s:c>
      <s:c r="W22" s="12" t="n">
        <s:v>1</s:v>
      </s:c>
      <s:c r="X22" s="12" t="n">
        <s:v>1</s:v>
      </s:c>
      <s:c r="Y22" s="12" t="n">
        <s:v>0.8787878787878788</s:v>
      </s:c>
      <s:c r="Z22" s="12" t="n">
        <s:v>0</s:v>
      </s:c>
      <s:c r="AA22" s="12" t="n">
        <s:v>0</s:v>
      </s:c>
      <s:c r="AB22" s="12" t="n">
        <s:v>0</s:v>
      </s:c>
      <s:c r="AC22" s="12" t="n">
        <s:v>0</s:v>
      </s:c>
      <s:c r="AD22" s="12" t="n">
        <s:v>0</s:v>
      </s:c>
    </s:row>
    <s:row r="24">
      <s:c r="A24" s="8" t="inlineStr">
        <s:is>
          <s:t xml:space="preserve">    EUR y/y of the quarterly average (%)</s:t>
        </s:is>
      </s:c>
      <s:c r="B24" s="4" t="inlineStr">
        <s:is>
          <s:t>→ (avg / avg four quarters earlier − 1) × 100</s:t>
        </s:is>
      </s:c>
      <s:c r="G24" s="16">
        <s:f>(G13/C13-1)*100</s:f>
        <s:v>-6.8931584426832</s:v>
      </s:c>
      <s:c r="H24" s="16">
        <s:f>(H13/D13-1)*100</s:f>
        <s:v>-11.686564439809487</s:v>
      </s:c>
      <s:c r="I24" s="16">
        <s:f>(I13/E13-1)*100</s:f>
        <s:v>-14.561450643191943</s:v>
      </s:c>
      <s:c r="J24" s="16">
        <s:f>(J13/F13-1)*100</s:f>
        <s:v>-10.614046078101047</s:v>
      </s:c>
      <s:c r="K24" s="16">
        <s:f>(K13/G13-1)*100</s:f>
        <s:v>-4.377271779789993</s:v>
      </s:c>
      <s:c r="L24" s="16">
        <s:f>(L13/H13-1)*100</s:f>
        <s:v>2.2741397900749805</s:v>
      </s:c>
      <s:c r="M24" s="16">
        <s:f>(M13/I13-1)*100</s:f>
        <s:v>8.072209716917023</s:v>
      </s:c>
      <s:c r="N24" s="16">
        <s:f>(N13/J13-1)*100</s:f>
        <s:v>5.3245253648115165</s:v>
      </s:c>
      <s:c r="O24" s="16">
        <s:f>(O13/K13-1)*100</s:f>
        <s:v>1.2004089305147847</s:v>
      </s:c>
      <s:c r="P24" s="16">
        <s:f>(P13/L13-1)*100</s:f>
        <s:v>-1.0963821368004778</s:v>
      </s:c>
      <s:c r="Q24" s="16">
        <s:f>(Q13/M13-1)*100</s:f>
        <s:v>0.9356616250930649</s:v>
      </s:c>
      <s:c r="R24" s="16">
        <s:f>(R13/N13-1)*100</s:f>
        <s:v>-0.8953409223558029</s:v>
      </s:c>
      <s:c r="S24" s="16">
        <s:f>(S13/O13-1)*100</s:f>
        <s:v>-3.0807616984107167</s:v>
      </s:c>
      <s:c r="T24" s="16">
        <s:f>(T13/P13-1)*100</s:f>
        <s:v>5.365211004769654</s:v>
      </s:c>
      <s:c r="U24" s="16">
        <s:f>(U13/Q13-1)*100</s:f>
        <s:v>6.387195815799229</s:v>
      </s:c>
      <s:c r="V24" s="16">
        <s:f>(V13/R13-1)*100</s:f>
        <s:v>9.130590411040673</s:v>
      </s:c>
      <s:c r="W24" s="16">
        <s:f>(W13/S13-1)*100</s:f>
        <s:v>11.20405384739871</s:v>
      </s:c>
      <s:c r="X24" s="16">
        <s:f>(X13/T13-1)*100</s:f>
        <s:v>2.5070858026281506</s:v>
      </s:c>
      <s:c r="Y24" s="16">
        <s:f>(Y13/U13-1)*100</s:f>
        <s:v>-1.463981921923585</s:v>
      </s:c>
      <s:c r="Z24" s="16">
        <s:f>(Z13/V13-1)*100</s:f>
        <s:v>-1.5195906801909076</s:v>
      </s:c>
      <s:c r="AA24" s="16">
        <s:f>(AA13/W13-1)*100</s:f>
        <s:v>-2.0427345406384023</s:v>
      </s:c>
      <s:c r="AB24" s="16">
        <s:f>(AB13/X13-1)*100</s:f>
        <s:v>-1.4178232701881122</s:v>
      </s:c>
      <s:c r="AC24" s="16">
        <s:f>(AC13/Y13-1)*100</s:f>
        <s:v>-0.44800922070078464</s:v>
      </s:c>
      <s:c r="AD24" s="16">
        <s:f>(AD13/Z13-1)*100</s:f>
        <s:v>0.0</s:v>
      </s:c>
    </s:row>
    <s:row r="25">
      <s:c r="A25" s="8" t="inlineStr">
        <s:is>
          <s:t xml:space="preserve">    GBP y/y of the quarterly average (%)</s:t>
        </s:is>
      </s:c>
      <s:c r="B25" s="4" t="inlineStr">
        <s:is>
          <s:t>→ (avg / avg four quarters earlier − 1) × 100</s:t>
        </s:is>
      </s:c>
      <s:c r="G25" s="16">
        <s:f>(G14/C14-1)*100</s:f>
        <s:v>-2.733461965948991</s:v>
      </s:c>
      <s:c r="H25" s="16">
        <s:f>(H14/D14-1)*100</s:f>
        <s:v>-10.191520048053281</s:v>
      </s:c>
      <s:c r="I25" s="16">
        <s:f>(I14/E14-1)*100</s:f>
        <s:v>-14.605222072204748</s:v>
      </s:c>
      <s:c r="J25" s="16">
        <s:f>(J14/F14-1)*100</s:f>
        <s:v>-12.849730614429344</s:v>
      </s:c>
      <s:c r="K25" s="16">
        <s:f>(K14/G14-1)*100</s:f>
        <s:v>-9.417302255666304</s:v>
      </s:c>
      <s:c r="L25" s="16">
        <s:f>(L14/H14-1)*100</s:f>
        <s:v>-0.30207594527352777</s:v>
      </s:c>
      <s:c r="M25" s="16">
        <s:f>(M14/I14-1)*100</s:f>
        <s:v>7.597149942190251</s:v>
      </s:c>
      <s:c r="N25" s="16">
        <s:f>(N14/J14-1)*100</s:f>
        <s:v>5.685181766887593</s:v>
      </s:c>
      <s:c r="O25" s="16">
        <s:f>(O14/K14-1)*100</s:f>
        <s:v>4.377211808127335</s:v>
      </s:c>
      <s:c r="P25" s="16">
        <s:f>(P14/L14-1)*100</s:f>
        <s:v>0.8006045080079405</s:v>
      </s:c>
      <s:c r="Q25" s="16">
        <s:f>(Q14/M14-1)*100</s:f>
        <s:v>2.6938154248215884</s:v>
      </s:c>
      <s:c r="R25" s="16">
        <s:f>(R14/N14-1)*100</s:f>
        <s:v>3.1772405770597256</s:v>
      </s:c>
      <s:c r="S25" s="16">
        <s:f>(S14/O14-1)*100</s:f>
        <s:v>-0.6742094075931737</s:v>
      </s:c>
      <s:c r="T25" s="16">
        <s:f>(T14/P14-1)*100</s:f>
        <s:v>5.828978755511005</s:v>
      </s:c>
      <s:c r="U25" s="16">
        <s:f>(U14/Q14-1)*100</s:f>
        <s:v>3.719511910920903</s:v>
      </s:c>
      <s:c r="V25" s="16">
        <s:f>(V14/R14-1)*100</s:f>
        <s:v>3.8248710617980075</s:v>
      </s:c>
      <s:c r="W25" s="16">
        <s:f>(W14/S14-1)*100</s:f>
        <s:v>6.999780454496407</s:v>
      </s:c>
      <s:c r="X25" s="16">
        <s:f>(X14/T14-1)*100</s:f>
        <s:v>0.5176095514741519</s:v>
      </s:c>
      <s:c r="Y25" s="16">
        <s:f>(Y14/U14-1)*100</s:f>
        <s:v>-0.2209801994101812</s:v>
      </s:c>
      <s:c r="Z25" s="16">
        <s:f>(Z14/V14-1)*100</s:f>
        <s:v>0.5066603803882241</s:v>
      </s:c>
      <s:c r="AA25" s="16">
        <s:f>(AA14/W14-1)*100</s:f>
        <s:v>-0.7924474058823794</s:v>
      </s:c>
      <s:c r="AB25" s="16">
        <s:f>(AB14/X14-1)*100</s:f>
        <s:v>-0.40517190013704685</s:v>
      </s:c>
      <s:c r="AC25" s="16">
        <s:f>(AC14/Y14-1)*100</s:f>
        <s:v>-0.6311939992658777</s:v>
      </s:c>
      <s:c r="AD25" s="16">
        <s:f>(AD14/Z14-1)*100</s:f>
        <s:v>0.0</s:v>
      </s:c>
    </s:row>
    <s:row r="26">
      <s:c r="A26" s="8" t="inlineStr">
        <s:is>
          <s:t xml:space="preserve">    BRL y/y of the quarterly average (%)</s:t>
        </s:is>
      </s:c>
      <s:c r="B26" s="4" t="inlineStr">
        <s:is>
          <s:t>→ (avg / avg four quarters earlier − 1) × 100</s:t>
        </s:is>
      </s:c>
      <s:c r="G26" s="16">
        <s:f>(G15/C15-1)*100</s:f>
        <s:v>4.883741695535848</s:v>
      </s:c>
      <s:c r="H26" s="16">
        <s:f>(H15/D15-1)*100</s:f>
        <s:v>7.497088816032149</s:v>
      </s:c>
      <s:c r="I26" s="16">
        <s:f>(I15/E15-1)*100</s:f>
        <s:v>-0.3454746599492742</s:v>
      </s:c>
      <s:c r="J26" s="16">
        <s:f>(J15/F15-1)*100</s:f>
        <s:v>6.309257288817216</s:v>
      </s:c>
      <s:c r="K26" s="16">
        <s:f>(K15/G15-1)*100</s:f>
        <s:v>0.39409243189023613</s:v>
      </s:c>
      <s:c r="L26" s="16">
        <s:f>(L15/H15-1)*100</s:f>
        <s:v>-0.695967205519954</s:v>
      </s:c>
      <s:c r="M26" s="16">
        <s:f>(M15/I15-1)*100</s:f>
        <s:v>7.445716586518802</s:v>
      </s:c>
      <s:c r="N26" s="16">
        <s:f>(N15/J15-1)*100</s:f>
        <s:v>6.1256802951239475</s:v>
      </s:c>
      <s:c r="O26" s="16">
        <s:f>(O15/K15-1)*100</s:f>
        <s:v>4.9195374191948416</s:v>
      </s:c>
      <s:c r="P26" s="16">
        <s:f>(P15/L15-1)*100</s:f>
        <s:v>-4.979216013538245</s:v>
      </s:c>
      <s:c r="Q26" s="16">
        <s:f>(Q15/M15-1)*100</s:f>
        <s:v>-12.001796987500157</s:v>
      </s:c>
      <s:c r="R26" s="16">
        <s:f>(R15/N15-1)*100</s:f>
        <s:v>-15.12533109271763</s:v>
      </s:c>
      <s:c r="S26" s="16">
        <s:f>(S15/O15-1)*100</s:f>
        <s:v>-15.381418354366838</s:v>
      </s:c>
      <s:c r="T26" s="16">
        <s:f>(T15/P15-1)*100</s:f>
        <s:v>-8.081874211581663</s:v>
      </s:c>
      <s:c r="U26" s="16">
        <s:f>(U15/Q15-1)*100</s:f>
        <s:v>1.8061810522437938</s:v>
      </s:c>
      <s:c r="V26" s="16">
        <s:f>(V15/R15-1)*100</s:f>
        <s:v>8.087546950043212</s:v>
      </s:c>
      <s:c r="W26" s="16">
        <s:f>(W15/S15-1)*100</s:f>
        <s:v>11.263946352464682</s:v>
      </s:c>
      <s:c r="X26" s="16">
        <s:f>(X15/T15-1)*100</s:f>
        <s:v>12.258100696025265</s:v>
      </s:c>
      <s:c r="Y26" s="16">
        <s:f>(Y15/U15-1)*100</s:f>
        <s:v>6.081310355468572</s:v>
      </s:c>
      <s:c r="Z26" s="16">
        <s:f>(Z15/V15-1)*100</s:f>
        <s:v>4.602535382767892</s:v>
      </s:c>
      <s:c r="AA26" s="16">
        <s:f>(AA15/W15-1)*100</s:f>
        <s:v>1.8927158933571109</s:v>
      </s:c>
      <s:c r="AB26" s="16">
        <s:f>(AB15/X15-1)*100</s:f>
        <s:v>-2.175749184748299</s:v>
      </s:c>
      <s:c r="AC26" s="16">
        <s:f>(AC15/Y15-1)*100</s:f>
        <s:v>-0.4916545172393927</s:v>
      </s:c>
      <s:c r="AD26" s="16">
        <s:f>(AD15/Z15-1)*100</s:f>
        <s:v>0.0</s:v>
      </s:c>
    </s:row>
    <s:row r="27">
      <s:c r="A27" s="8" t="inlineStr">
        <s:is>
          <s:t xml:space="preserve">    MXN y/y of the quarterly average (%)</s:t>
        </s:is>
      </s:c>
      <s:c r="B27" s="4" t="inlineStr">
        <s:is>
          <s:t>→ (avg / avg four quarters earlier − 1) × 100</s:t>
        </s:is>
      </s:c>
      <s:c r="G27" s="16">
        <s:f>(G16/C16-1)*100</s:f>
        <s:v>-0.8081197257843176</s:v>
      </s:c>
      <s:c r="H27" s="16">
        <s:f>(H16/D16-1)*100</s:f>
        <s:v>-0.18974069197797983</s:v>
      </s:c>
      <s:c r="I27" s="16">
        <s:f>(I16/E16-1)*100</s:f>
        <s:v>-1.0058288800845916</s:v>
      </s:c>
      <s:c r="J27" s="16">
        <s:f>(J16/F16-1)*100</s:f>
        <s:v>5.452364918455754</s:v>
      </s:c>
      <s:c r="K27" s="16">
        <s:f>(K16/G16-1)*100</s:f>
        <s:v>9.858778020700765</s:v>
      </s:c>
      <s:c r="L27" s="16">
        <s:f>(L16/H16-1)*100</s:f>
        <s:v>13.442295134931271</s:v>
      </s:c>
      <s:c r="M27" s="16">
        <s:f>(M16/I16-1)*100</s:f>
        <s:v>18.612544310970193</s:v>
      </s:c>
      <s:c r="N27" s="16">
        <s:f>(N16/J16-1)*100</s:f>
        <s:v>12.205563546473574</s:v>
      </s:c>
      <s:c r="O27" s="16">
        <s:f>(O16/K16-1)*100</s:f>
        <s:v>9.876142496335238</s:v>
      </s:c>
      <s:c r="P27" s="16">
        <s:f>(P16/L16-1)*100</s:f>
        <s:v>2.7182121814343096</s:v>
      </s:c>
      <s:c r="Q27" s="16">
        <s:f>(Q16/M16-1)*100</s:f>
        <s:v>-9.757570989362307</s:v>
      </s:c>
      <s:c r="R27" s="16">
        <s:f>(R16/N16-1)*100</s:f>
        <s:v>-12.730136472721776</s:v>
      </s:c>
      <s:c r="S27" s="16">
        <s:f>(S16/O16-1)*100</s:f>
        <s:v>-16.834818723863854</s:v>
      </s:c>
      <s:c r="T27" s="16">
        <s:f>(T16/P16-1)*100</s:f>
        <s:v>-11.762302298570827</s:v>
      </s:c>
      <s:c r="U27" s="16">
        <s:f>(U16/Q16-1)*100</s:f>
        <s:v>1.4603005595270169</s:v>
      </s:c>
      <s:c r="V27" s="16">
        <s:f>(V16/R16-1)*100</s:f>
        <s:v>9.793931385371701</s:v>
      </s:c>
      <s:c r="W27" s="16">
        <s:f>(W16/S16-1)*100</s:f>
        <s:v>16.284024946943255</s:v>
      </s:c>
      <s:c r="X27" s="16">
        <s:f>(X16/T16-1)*100</s:f>
        <s:v>12.175019410872778</s:v>
      </s:c>
      <s:c r="Y27" s="16">
        <s:f>(Y16/U16-1)*100</s:f>
        <s:v>8.233294812747417</s:v>
      </s:c>
      <s:c r="Z27" s="16">
        <s:f>(Z16/V16-1)*100</s:f>
        <s:v>6.086845723132961</s:v>
      </s:c>
      <s:c r="AA27" s="16">
        <s:f>(AA16/W16-1)*100</s:f>
        <s:v>1.8096147692216125</s:v>
      </s:c>
      <s:c r="AB27" s="16">
        <s:f>(AB16/X16-1)*100</s:f>
        <s:v>0.7871801466164285</s:v>
      </s:c>
      <s:c r="AC27" s="16">
        <s:f>(AC16/Y16-1)*100</s:f>
        <s:v>-0.21622933421024948</s:v>
      </s:c>
      <s:c r="AD27" s="16">
        <s:f>(AD16/Z16-1)*100</s:f>
        <s:v>0.0</s:v>
      </s:c>
    </s:row>
    <s:row r="28">
      <s:c r="A28" s="8" t="inlineStr">
        <s:is>
          <s:t xml:space="preserve">    JPY y/y of the quarterly average (%)</s:t>
        </s:is>
      </s:c>
      <s:c r="B28" s="4" t="inlineStr">
        <s:is>
          <s:t>→ (avg / avg four quarters earlier − 1) × 100</s:t>
        </s:is>
      </s:c>
      <s:c r="G28" s="16">
        <s:f>(G17/C17-1)*100</s:f>
        <s:v>-8.824504279385593</s:v>
      </s:c>
      <s:c r="H28" s="16">
        <s:f>(H17/D17-1)*100</s:f>
        <s:v>-15.604659676592226</s:v>
      </s:c>
      <s:c r="I28" s="16">
        <s:f>(I17/E17-1)*100</s:f>
        <s:v>-20.360484091405706</s:v>
      </s:c>
      <s:c r="J28" s="16">
        <s:f>(J17/F17-1)*100</s:f>
        <s:v>-19.40698129241898</s:v>
      </s:c>
      <s:c r="K28" s="16">
        <s:f>(K17/G17-1)*100</s:f>
        <s:v>-12.159422834720734</s:v>
      </s:c>
      <s:c r="L28" s="16">
        <s:f>(L17/H17-1)*100</s:f>
        <s:v>-5.610052302898261</s:v>
      </s:c>
      <s:c r="M28" s="16">
        <s:f>(M17/I17-1)*100</s:f>
        <s:v>-4.337731636775843</s:v>
      </s:c>
      <s:c r="N28" s="16">
        <s:f>(N17/J17-1)*100</s:f>
        <s:v>-4.526040248538465</s:v>
      </s:c>
      <s:c r="O28" s="16">
        <s:f>(O17/K17-1)*100</s:f>
        <s:v>-10.80493949908734</s:v>
      </s:c>
      <s:c r="P28" s="16">
        <s:f>(P17/L17-1)*100</s:f>
        <s:v>-11.824037595040583</s:v>
      </s:c>
      <s:c r="Q28" s="16">
        <s:f>(Q17/M17-1)*100</s:f>
        <s:v>-2.98984157677592</s:v>
      </s:c>
      <s:c r="R28" s="16">
        <s:f>(R17/N17-1)*100</s:f>
        <s:v>-3.015233725090727</s:v>
      </s:c>
      <s:c r="S28" s="16">
        <s:f>(S17/O17-1)*100</s:f>
        <s:v>-2.679381328596575</s:v>
      </s:c>
      <s:c r="T28" s="16">
        <s:f>(T17/P17-1)*100</s:f>
        <s:v>7.859112697831194</s:v>
      </s:c>
      <s:c r="U28" s="16">
        <s:f>(U17/Q17-1)*100</s:f>
        <s:v>1.0125706853952643</s:v>
      </s:c>
      <s:c r="V28" s="16">
        <s:f>(V17/R17-1)*100</s:f>
        <s:v>-1.1234199992442573</s:v>
      </s:c>
      <s:c r="W28" s="16">
        <s:f>(W17/S17-1)*100</s:f>
        <s:v>-2.7858467895495953</s:v>
      </s:c>
      <s:c r="X28" s="16">
        <s:f>(X17/T17-1)*100</s:f>
        <s:v>-9.372053156057515</s:v>
      </s:c>
      <s:c r="Y28" s="16">
        <s:f>(Y17/U17-1)*100</s:f>
        <s:v>-7.305466725274757</s:v>
      </s:c>
      <s:c r="Z28" s="16">
        <s:f>(Z17/V17-1)*100</s:f>
        <s:v>-1.7909631196313058</s:v>
      </s:c>
      <s:c r="AA28" s="16">
        <s:f>(AA17/W17-1)*100</s:f>
        <s:v>-0.028987504780575435</s:v>
      </s:c>
      <s:c r="AB28" s="16">
        <s:f>(AB17/X17-1)*100</s:f>
        <s:v>1.5990354895633052</s:v>
      </s:c>
      <s:c r="AC28" s="16">
        <s:f>(AC17/Y17-1)*100</s:f>
        <s:v>1.4045192756586333</s:v>
      </s:c>
      <s:c r="AD28" s="16">
        <s:f>(AD17/Z17-1)*100</s:f>
        <s:v>0.0</s:v>
      </s:c>
    </s:row>
    <s:row r="29">
      <s:c r="A29" s="8" t="inlineStr">
        <s:is>
          <s:t xml:space="preserve">    AUD y/y of the quarterly average (%)</s:t>
        </s:is>
      </s:c>
      <s:c r="B29" s="4" t="inlineStr">
        <s:is>
          <s:t>→ (avg / avg four quarters earlier − 1) × 100</s:t>
        </s:is>
      </s:c>
      <s:c r="G29" s="16">
        <s:f>(G18/C18-1)*100</s:f>
        <s:v>-6.228632543432411</s:v>
      </s:c>
      <s:c r="H29" s="16">
        <s:f>(H18/D18-1)*100</s:f>
        <s:v>-7.274499893116126</s:v>
      </s:c>
      <s:c r="I29" s="16">
        <s:f>(I18/E18-1)*100</s:f>
        <s:v>-7.010471268966012</s:v>
      </s:c>
      <s:c r="J29" s="16">
        <s:f>(J18/F18-1)*100</s:f>
        <s:v>-9.769859746013577</s:v>
      </s:c>
      <s:c r="K29" s="16">
        <s:f>(K18/G18-1)*100</s:f>
        <s:v>-5.691877477281393</s:v>
      </s:c>
      <s:c r="L29" s="16">
        <s:f>(L18/H18-1)*100</s:f>
        <s:v>-6.434821203496388</s:v>
      </s:c>
      <s:c r="M29" s="16">
        <s:f>(M18/I18-1)*100</s:f>
        <s:v>-4.162971183676422</s:v>
      </s:c>
      <s:c r="N29" s="16">
        <s:f>(N18/J18-1)*100</s:f>
        <s:v>-0.9299724868516157</s:v>
      </s:c>
      <s:c r="O29" s="16">
        <s:f>(O18/K18-1)*100</s:f>
        <s:v>-3.753100759489225</s:v>
      </s:c>
      <s:c r="P29" s="16">
        <s:f>(P18/L18-1)*100</s:f>
        <s:v>-1.3512486615315122</s:v>
      </s:c>
      <s:c r="Q29" s="16">
        <s:f>(Q18/M18-1)*100</s:f>
        <s:v>2.309446633010892</s:v>
      </s:c>
      <s:c r="R29" s="16">
        <s:f>(R18/N18-1)*100</s:f>
        <s:v>0.12170031073943655</s:v>
      </s:c>
      <s:c r="S29" s="16">
        <s:f>(S18/O18-1)*100</s:f>
        <s:v>-4.600519238819977</s:v>
      </s:c>
      <s:c r="T29" s="16">
        <s:f>(T18/P18-1)*100</s:f>
        <s:v>-2.7311115624058857</s:v>
      </s:c>
      <s:c r="U29" s="16">
        <s:f>(U18/Q18-1)*100</s:f>
        <s:v>-2.330846283107646</s:v>
      </s:c>
      <s:c r="V29" s="16">
        <s:f>(V18/R18-1)*100</s:f>
        <s:v>0.6838639240873912</s:v>
      </s:c>
      <s:c r="W29" s="16">
        <s:f>(W18/S18-1)*100</s:f>
        <s:v>10.73931782474784</s:v>
      </s:c>
      <s:c r="X29" s="16">
        <s:f>(X18/T18-1)*100</s:f>
        <s:v>10.747857555969986</s:v>
      </s:c>
      <s:c r="Y29" s="16">
        <s:f>(Y18/U18-1)*100</s:f>
        <s:v>8.071070809144798</s:v>
      </s:c>
      <s:c r="Z29" s="16">
        <s:f>(Z18/V18-1)*100</s:f>
        <s:v>8.27959643686893</s:v>
      </s:c>
      <s:c r="AA29" s="16">
        <s:f>(AA18/W18-1)*100</s:f>
        <s:v>2.3259787885124172</s:v>
      </s:c>
      <s:c r="AB29" s="16">
        <s:f>(AB18/X18-1)*100</s:f>
        <s:v>0.15861906072367482</s:v>
      </s:c>
      <s:c r="AC29" s="16">
        <s:f>(AC18/Y18-1)*100</s:f>
        <s:v>0.5613812550085084</s:v>
      </s:c>
      <s:c r="AD29" s="16">
        <s:f>(AD18/Z18-1)*100</s:f>
        <s:v>0.0</s:v>
      </s:c>
    </s:row>
    <s:row r="30">
      <s:c r="A30" s="8" t="inlineStr">
        <s:is>
          <s:t xml:space="preserve">    KRW y/y of the quarterly average (%)</s:t>
        </s:is>
      </s:c>
      <s:c r="B30" s="4" t="inlineStr">
        <s:is>
          <s:t>→ (avg / avg four quarters earlier − 1) × 100</s:t>
        </s:is>
      </s:c>
      <s:c r="G30" s="16">
        <s:f>(G19/C19-1)*100</s:f>
        <s:v>-7.634737618539211</s:v>
      </s:c>
      <s:c r="H30" s="16">
        <s:f>(H19/D19-1)*100</s:f>
        <s:v>-11.036641181069928</s:v>
      </s:c>
      <s:c r="I30" s="16">
        <s:f>(I19/E19-1)*100</s:f>
        <s:v>-13.440884756225223</s:v>
      </s:c>
      <s:c r="J30" s="16">
        <s:f>(J19/F19-1)*100</s:f>
        <s:v>-12.754078371921196</s:v>
      </s:c>
      <s:c r="K30" s="16">
        <s:f>(K19/G19-1)*100</s:f>
        <s:v>-5.453470014663198</s:v>
      </s:c>
      <s:c r="L30" s="16">
        <s:f>(L19/H19-1)*100</s:f>
        <s:v>-4.1582117415105095</s:v>
      </s:c>
      <s:c r="M30" s="16">
        <s:f>(M19/I19-1)*100</s:f>
        <s:v>2.037348258499505</s:v>
      </s:c>
      <s:c r="N30" s="16">
        <s:f>(N19/J19-1)*100</s:f>
        <s:v>2.693766858599611</s:v>
      </s:c>
      <s:c r="O30" s="16">
        <s:f>(O19/K19-1)*100</s:f>
        <s:v>-4.038259935025545</s:v>
      </s:c>
      <s:c r="P30" s="16">
        <s:f>(P19/L19-1)*100</s:f>
        <s:v>-4.033722007001717</s:v>
      </s:c>
      <s:c r="Q30" s="16">
        <s:f>(Q19/M19-1)*100</s:f>
        <s:v>-3.1352838550408046</s:v>
      </s:c>
      <s:c r="R30" s="16">
        <s:f>(R19/N19-1)*100</s:f>
        <s:v>-5.488153443869015</s:v>
      </s:c>
      <s:c r="S30" s="16">
        <s:f>(S19/O19-1)*100</s:f>
        <s:v>-8.500706916402468</s:v>
      </s:c>
      <s:c r="T30" s="16">
        <s:f>(T19/P19-1)*100</s:f>
        <s:v>-1.9894796557860084</s:v>
      </s:c>
      <s:c r="U30" s="16">
        <s:f>(U19/Q19-1)*100</s:f>
        <s:v>-2.262549885712384</s:v>
      </s:c>
      <s:c r="V30" s="16">
        <s:f>(V19/R19-1)*100</s:f>
        <s:v>-3.5018865936743637</s:v>
      </s:c>
      <s:c r="W30" s="16">
        <s:f>(W19/S19-1)*100</s:f>
        <s:v>-0.8493794681541988</s:v>
      </s:c>
      <s:c r="X30" s="16">
        <s:f>(X19/T19-1)*100</s:f>
        <s:v>-6.857088875086648</s:v>
      </s:c>
      <s:c r="Y30" s="16">
        <s:f>(Y19/U19-1)*100</s:f>
        <s:v>-2.278740807478652</s:v>
      </s:c>
      <s:c r="Z30" s="16">
        <s:f>(Z19/V19-1)*100</s:f>
        <s:v>4.356999099915959</s:v>
      </s:c>
      <s:c r="AA30" s="16">
        <s:f>(AA19/W19-1)*100</s:f>
        <s:v>5.523762757626249</s:v>
      </s:c>
      <s:c r="AB30" s="16">
        <s:f>(AB19/X19-1)*100</s:f>
        <s:v>8.137072754001418</s:v>
      </s:c>
      <s:c r="AC30" s="16">
        <s:f>(AC19/Y19-1)*100</s:f>
        <s:v>2.2286322469645237</s:v>
      </s:c>
      <s:c r="AD30" s="16">
        <s:f>(AD19/Z19-1)*100</s:f>
        <s:v>0.0</s:v>
      </s:c>
    </s:row>
    <s:row r="31">
      <s:c r="A31" s="8" t="inlineStr">
        <s:is>
          <s:t xml:space="preserve">    CAD y/y of the quarterly average (%)</s:t>
        </s:is>
      </s:c>
      <s:c r="B31" s="4" t="inlineStr">
        <s:is>
          <s:t>→ (avg / avg four quarters earlier − 1) × 100</s:t>
        </s:is>
      </s:c>
      <s:c r="G31" s="16">
        <s:f>(G20/C20-1)*100</s:f>
        <s:v>-0.024765877356314192</s:v>
      </s:c>
      <s:c r="H31" s="16">
        <s:f>(H20/D20-1)*100</s:f>
        <s:v>-3.8151425739521017</s:v>
      </s:c>
      <s:c r="I31" s="16">
        <s:f>(I20/E20-1)*100</s:f>
        <s:v>-3.529504030465247</s:v>
      </s:c>
      <s:c r="J31" s="16">
        <s:f>(J20/F20-1)*100</s:f>
        <s:v>-7.139707871510092</s:v>
      </s:c>
      <s:c r="K31" s="16">
        <s:f>(K20/G20-1)*100</s:f>
        <s:v>-6.376826322286155</s:v>
      </s:c>
      <s:c r="L31" s="16">
        <s:f>(L20/H20-1)*100</s:f>
        <s:v>-4.928908547984879</s:v>
      </s:c>
      <s:c r="M31" s="16">
        <s:f>(M20/I20-1)*100</s:f>
        <s:v>-2.6358046492429232</s:v>
      </s:c>
      <s:c r="N31" s="16">
        <s:f>(N20/J20-1)*100</s:f>
        <s:v>-0.28050398451393566</s:v>
      </s:c>
      <s:c r="O31" s="16">
        <s:f>(O20/K20-1)*100</s:f>
        <s:v>0.33495857122596284</s:v>
      </s:c>
      <s:c r="P31" s="16">
        <s:f>(P20/L20-1)*100</s:f>
        <s:v>-1.8500564665719366</s:v>
      </s:c>
      <s:c r="Q31" s="16">
        <s:f>(Q20/M20-1)*100</s:f>
        <s:v>-1.6823096972772955</s:v>
      </s:c>
      <s:c r="R31" s="16">
        <s:f>(R20/N20-1)*100</s:f>
        <s:v>-2.694172862977373</s:v>
      </s:c>
      <s:c r="S31" s="16">
        <s:f>(S20/O20-1)*100</s:f>
        <s:v>-6.051250212705284</s:v>
      </s:c>
      <s:c r="T31" s="16">
        <s:f>(T20/P20-1)*100</s:f>
        <s:v>-1.1349703375016063</s:v>
      </s:c>
      <s:c r="U31" s="16">
        <s:f>(U20/Q20-1)*100</s:f>
        <s:v>-0.9477826053415295</s:v>
      </s:c>
      <s:c r="V31" s="16">
        <s:f>(V20/R20-1)*100</s:f>
        <s:v>0.35465879715044224</s:v>
      </s:c>
      <s:c r="W31" s="16">
        <s:f>(W20/S20-1)*100</s:f>
        <s:v>4.614468433421592</s:v>
      </s:c>
      <s:c r="X31" s="16">
        <s:f>(X20/T20-1)*100</s:f>
        <s:v>0.0012667153908241247</s:v>
      </s:c>
      <s:c r="Y31" s="16">
        <s:f>(Y20/U20-1)*100</s:f>
        <s:v>-1.5094780125514018</s:v>
      </s:c>
      <s:c r="Z31" s="16">
        <s:f>(Z20/V20-1)*100</s:f>
        <s:v>-0.501196237232493</s:v>
      </s:c>
      <s:c r="AA31" s="16">
        <s:f>(AA20/W20-1)*100</s:f>
        <s:v>-2.091451880549844</s:v>
      </s:c>
      <s:c r="AB31" s="16">
        <s:f>(AB20/X20-1)*100</s:f>
        <s:v>-1.2156058801378822</s:v>
      </s:c>
      <s:c r="AC31" s="16">
        <s:f>(AC20/Y20-1)*100</s:f>
        <s:v>-0.2040345723733239</s:v>
      </s:c>
      <s:c r="AD31" s="16">
        <s:f>(AD20/Z20-1)*100</s:f>
        <s:v>0.0</s:v>
      </s:c>
    </s:row>
    <s:row r="32">
      <s:c r="A32" s="8" t="inlineStr">
        <s:is>
          <s:t xml:space="preserve">    INR y/y of the quarterly average (%)</s:t>
        </s:is>
      </s:c>
      <s:c r="B32" s="4" t="inlineStr">
        <s:is>
          <s:t>→ (avg / avg four quarters earlier − 1) × 100</s:t>
        </s:is>
      </s:c>
      <s:c r="G32" s="16">
        <s:f>(G21/C21-1)*100</s:f>
        <s:v>-3.0560932165255017</s:v>
      </s:c>
      <s:c r="H32" s="16">
        <s:f>(H21/D21-1)*100</s:f>
        <s:v>-4.453622643745836</s:v>
      </s:c>
      <s:c r="I32" s="16">
        <s:f>(I21/E21-1)*100</s:f>
        <s:v>-7.1156601300391475</s:v>
      </s:c>
      <s:c r="J32" s="16">
        <s:f>(J21/F21-1)*100</s:f>
        <s:v>-8.791689569017347</s:v>
      </s:c>
      <s:c r="K32" s="16">
        <s:f>(K21/G21-1)*100</s:f>
        <s:v>-8.509198338297008</s:v>
      </s:c>
      <s:c r="L32" s="16">
        <s:f>(L21/H21-1)*100</s:f>
        <s:v>-6.056176298985738</s:v>
      </s:c>
      <s:c r="M32" s="16">
        <s:f>(M21/I21-1)*100</s:f>
        <s:v>-3.524866728858933</s:v>
      </s:c>
      <s:c r="N32" s="16">
        <s:f>(N21/J21-1)*100</s:f>
        <s:v>-1.3330264928992142</s:v>
      </s:c>
      <s:c r="O32" s="16">
        <s:f>(O21/K21-1)*100</s:f>
        <s:v>-1.0005793283103248</s:v>
      </s:c>
      <s:c r="P32" s="16">
        <s:f>(P21/L21-1)*100</s:f>
        <s:v>-1.4838780175973065</s:v>
      </s:c>
      <s:c r="Q32" s="16">
        <s:f>(Q21/M21-1)*100</s:f>
        <s:v>-1.287583304607276</s:v>
      </s:c>
      <s:c r="R32" s="16">
        <s:f>(R21/N21-1)*100</s:f>
        <s:v>-1.408678150367959</s:v>
      </s:c>
      <s:c r="S32" s="16">
        <s:f>(S21/O21-1)*100</s:f>
        <s:v>-4.1065948468441915</s:v>
      </s:c>
      <s:c r="T32" s="16">
        <s:f>(T21/P21-1)*100</s:f>
        <s:v>-2.5235143601324395</s:v>
      </s:c>
      <s:c r="U32" s="16">
        <s:f>(U21/Q21-1)*100</s:f>
        <s:v>-4.07203328346063</s:v>
      </s:c>
      <s:c r="V32" s="16">
        <s:f>(V21/R21-1)*100</s:f>
        <s:v>-5.230210544467894</s:v>
      </s:c>
      <s:c r="W32" s="16">
        <s:f>(W21/S21-1)*100</s:f>
        <s:v>-5.348135240885266</s:v>
      </s:c>
      <s:c r="X32" s="16">
        <s:f>(X21/T21-1)*100</s:f>
        <s:v>-9.573025900452425</s:v>
      </s:c>
      <s:c r="Y32" s="16">
        <s:f>(Y21/U21-1)*100</s:f>
        <s:v>-8.666160443007076</s:v>
      </s:c>
      <s:c r="Z32" s="16">
        <s:f>(Z21/V21-1)*100</s:f>
        <s:v>-7.069058069406897</s:v>
      </s:c>
      <s:c r="AA32" s="16">
        <s:f>(AA21/W21-1)*100</s:f>
        <s:v>-4.582404369326721</s:v>
      </s:c>
      <s:c r="AB32" s="16">
        <s:f>(AB21/X21-1)*100</s:f>
        <s:v>-1.2983056220724265</s:v>
      </s:c>
      <s:c r="AC32" s="16">
        <s:f>(AC21/Y21-1)*100</s:f>
        <s:v>-0.2920774436719231</s:v>
      </s:c>
      <s:c r="AD32" s="16">
        <s:f>(AD21/Z21-1)*100</s:f>
        <s:v>0.0</s:v>
      </s:c>
    </s:row>
    <s:row r="34">
      <s:c r="A34" s="8" t="inlineStr">
        <s:is>
          <s:t>Destination-currency basket weights κ (frozen judgement, 01b_basket_weights_used.csv; USD legs carry 0)</s:t>
        </s:is>
      </s:c>
      <s:c r="B34" s="4" t="inlineStr">
        <s:is>
          <s:t>rows = region; columns C..K = EUR GBP BRL MXN JPY AUD KRW CAD INR; L = USD</s:t>
        </s:is>
      </s:c>
      <s:c r="C34" s="2" t="inlineStr">
        <s:is>
          <s:t>EUR</s:t>
        </s:is>
      </s:c>
      <s:c r="D34" s="2" t="inlineStr">
        <s:is>
          <s:t>GBP</s:t>
        </s:is>
      </s:c>
      <s:c r="E34" s="2" t="inlineStr">
        <s:is>
          <s:t>BRL</s:t>
        </s:is>
      </s:c>
      <s:c r="F34" s="2" t="inlineStr">
        <s:is>
          <s:t>MXN</s:t>
        </s:is>
      </s:c>
      <s:c r="G34" s="2" t="inlineStr">
        <s:is>
          <s:t>JPY</s:t>
        </s:is>
      </s:c>
      <s:c r="H34" s="2" t="inlineStr">
        <s:is>
          <s:t>AUD</s:t>
        </s:is>
      </s:c>
      <s:c r="I34" s="2" t="inlineStr">
        <s:is>
          <s:t>KRW</s:t>
        </s:is>
      </s:c>
      <s:c r="J34" s="2" t="inlineStr">
        <s:is>
          <s:t>CAD</s:t>
        </s:is>
      </s:c>
      <s:c r="K34" s="2" t="inlineStr">
        <s:is>
          <s:t>INR</s:t>
        </s:is>
      </s:c>
      <s:c r="L34" s="2" t="inlineStr">
        <s:is>
          <s:t>USD</s:t>
        </s:is>
      </s:c>
    </s:row>
    <s:row r="35">
      <s:c r="A35" s="8" t="inlineStr">
        <s:is>
          <s:t xml:space="preserve">    κ na</s:t>
        </s:is>
      </s:c>
      <s:c r="C35" s="12" t="n">
        <s:v>0</s:v>
      </s:c>
      <s:c r="D35" s="12" t="n">
        <s:v>0</s:v>
      </s:c>
      <s:c r="E35" s="12" t="n">
        <s:v>0</s:v>
      </s:c>
      <s:c r="F35" s="12" t="n">
        <s:v>0.02</s:v>
      </s:c>
      <s:c r="G35" s="12" t="n">
        <s:v>0</s:v>
      </s:c>
      <s:c r="H35" s="12" t="n">
        <s:v>0</s:v>
      </s:c>
      <s:c r="I35" s="12" t="n">
        <s:v>0</s:v>
      </s:c>
      <s:c r="J35" s="12" t="n">
        <s:v>0.08</s:v>
      </s:c>
      <s:c r="K35" s="12" t="n">
        <s:v>0</s:v>
      </s:c>
      <s:c r="L35" s="12" t="n">
        <s:v>0.9</s:v>
      </s:c>
    </s:row>
    <s:row r="36">
      <s:c r="A36" s="8" t="inlineStr">
        <s:is>
          <s:t xml:space="preserve">    κ emea</s:t>
        </s:is>
      </s:c>
      <s:c r="C36" s="12" t="n">
        <s:v>0.7</s:v>
      </s:c>
      <s:c r="D36" s="12" t="n">
        <s:v>0.25</s:v>
      </s:c>
      <s:c r="E36" s="12" t="n">
        <s:v>0</s:v>
      </s:c>
      <s:c r="F36" s="12" t="n">
        <s:v>0</s:v>
      </s:c>
      <s:c r="G36" s="12" t="n">
        <s:v>0</s:v>
      </s:c>
      <s:c r="H36" s="12" t="n">
        <s:v>0</s:v>
      </s:c>
      <s:c r="I36" s="12" t="n">
        <s:v>0</s:v>
      </s:c>
      <s:c r="J36" s="12" t="n">
        <s:v>0</s:v>
      </s:c>
      <s:c r="K36" s="12" t="n">
        <s:v>0</s:v>
      </s:c>
      <s:c r="L36" s="12" t="n">
        <s:v>0.05</s:v>
      </s:c>
    </s:row>
    <s:row r="37">
      <s:c r="A37" s="8" t="inlineStr">
        <s:is>
          <s:t xml:space="preserve">    κ latam</s:t>
        </s:is>
      </s:c>
      <s:c r="C37" s="12" t="n">
        <s:v>0</s:v>
      </s:c>
      <s:c r="D37" s="12" t="n">
        <s:v>0</s:v>
      </s:c>
      <s:c r="E37" s="12" t="n">
        <s:v>0.55</s:v>
      </s:c>
      <s:c r="F37" s="12" t="n">
        <s:v>0.38</s:v>
      </s:c>
      <s:c r="G37" s="12" t="n">
        <s:v>0</s:v>
      </s:c>
      <s:c r="H37" s="12" t="n">
        <s:v>0</s:v>
      </s:c>
      <s:c r="I37" s="12" t="n">
        <s:v>0</s:v>
      </s:c>
      <s:c r="J37" s="12" t="n">
        <s:v>0</s:v>
      </s:c>
      <s:c r="K37" s="12" t="n">
        <s:v>0</s:v>
      </s:c>
      <s:c r="L37" s="12" t="n">
        <s:v>0.07000000000000001</s:v>
      </s:c>
    </s:row>
    <s:row r="38">
      <s:c r="A38" s="8" t="inlineStr">
        <s:is>
          <s:t xml:space="preserve">    κ apac</s:t>
        </s:is>
      </s:c>
      <s:c r="C38" s="12" t="n">
        <s:v>0</s:v>
      </s:c>
      <s:c r="D38" s="12" t="n">
        <s:v>0</s:v>
      </s:c>
      <s:c r="E38" s="12" t="n">
        <s:v>0</s:v>
      </s:c>
      <s:c r="F38" s="12" t="n">
        <s:v>0</s:v>
      </s:c>
      <s:c r="G38" s="12" t="n">
        <s:v>0.2</s:v>
      </s:c>
      <s:c r="H38" s="12" t="n">
        <s:v>0.55</s:v>
      </s:c>
      <s:c r="I38" s="12" t="n">
        <s:v>0.1</s:v>
      </s:c>
      <s:c r="J38" s="12" t="n">
        <s:v>0</s:v>
      </s:c>
      <s:c r="K38" s="12" t="n">
        <s:v>0.07000000000000001</s:v>
      </s:c>
      <s:c r="L38" s="12" t="n">
        <s:v>0.08</s:v>
      </s:c>
    </s:row>
    <s:row r="40">
      <s:c r="A40" s="8" t="inlineStr">
        <s:is>
          <s:t xml:space="preserve">    basket y/y, na (%)</s:t>
        </s:is>
      </s:c>
      <s:c r="B40" s="4" t="inlineStr">
        <s:is>
          <s:t>→ Σ_currency κ × currency y/y</s:t>
        </s:is>
      </s:c>
      <s:c r="G40" s="16">
        <s:f>$F$35*G27+$J$35*G31</s:f>
        <s:v>-0.018143664704191487</s:v>
      </s:c>
      <s:c r="H40" s="16">
        <s:f>$F$35*H27+$J$35*H31</s:f>
        <s:v>-0.30900621975572773</s:v>
      </s:c>
      <s:c r="I40" s="16">
        <s:f>$F$35*I27+$J$35*I31</s:f>
        <s:v>-0.3024769000389116</s:v>
      </s:c>
      <s:c r="J40" s="16">
        <s:f>$F$35*J27+$J$35*J31</s:f>
        <s:v>-0.4621293313516923</s:v>
      </s:c>
      <s:c r="K40" s="16">
        <s:f>$F$35*K27+$J$35*K31</s:f>
        <s:v>-0.31297054536887714</s:v>
      </s:c>
      <s:c r="L40" s="16">
        <s:f>$F$35*L27+$J$35*L31</s:f>
        <s:v>-0.1254667811401649</s:v>
      </s:c>
      <s:c r="M40" s="16">
        <s:f>$F$35*M27+$J$35*M31</s:f>
        <s:v>0.16138651427997003</s:v>
      </s:c>
      <s:c r="N40" s="16">
        <s:f>$F$35*N27+$J$35*N31</s:f>
        <s:v>0.22167095216835664</s:v>
      </s:c>
      <s:c r="O40" s="16">
        <s:f>$F$35*O27+$J$35*O31</s:f>
        <s:v>0.2243195356247818</s:v>
      </s:c>
      <s:c r="P40" s="16">
        <s:f>$F$35*P27+$J$35*P31</s:f>
        <s:v>-0.09364027369706873</s:v>
      </s:c>
      <s:c r="Q40" s="16">
        <s:f>$F$35*Q27+$J$35*Q31</s:f>
        <s:v>-0.3297361955694298</s:v>
      </s:c>
      <s:c r="R40" s="16">
        <s:f>$F$35*R27+$J$35*R31</s:f>
        <s:v>-0.47013655849262537</s:v>
      </s:c>
      <s:c r="S40" s="16">
        <s:f>$F$35*S27+$J$35*S31</s:f>
        <s:v>-0.8207963914936998</s:v>
      </s:c>
      <s:c r="T40" s="16">
        <s:f>$F$35*T27+$J$35*T31</s:f>
        <s:v>-0.326043672971545</s:v>
      </s:c>
      <s:c r="U40" s="16">
        <s:f>$F$35*U27+$J$35*U31</s:f>
        <s:v>-0.04661659723678202</s:v>
      </s:c>
      <s:c r="V40" s="16">
        <s:f>$F$35*V27+$J$35*V31</s:f>
        <s:v>0.2242513314794694</s:v>
      </s:c>
      <s:c r="W40" s="16">
        <s:f>$F$35*W27+$J$35*W31</s:f>
        <s:v>0.6948379736125925</s:v>
      </s:c>
      <s:c r="X40" s="16">
        <s:f>$F$35*X27+$J$35*X31</s:f>
        <s:v>0.2436017254487215</s:v>
      </s:c>
      <s:c r="Y40" s="16">
        <s:f>$F$35*Y27+$J$35*Y31</s:f>
        <s:v>0.0439076552508362</s:v>
      </s:c>
      <s:c r="Z40" s="16">
        <s:f>$F$35*Z27+$J$35*Z31</s:f>
        <s:v>0.08164121548405978</s:v>
      </s:c>
      <s:c r="AA40" s="16">
        <s:f>$F$35*AA27+$J$35*AA31</s:f>
        <s:v>-0.13112385505955526</s:v>
      </s:c>
      <s:c r="AB40" s="16">
        <s:f>$F$35*AB27+$J$35*AB31</s:f>
        <s:v>-0.081504867478702</s:v>
      </s:c>
      <s:c r="AC40" s="16">
        <s:f>$F$35*AC27+$J$35*AC31</s:f>
        <s:v>-0.0206473524740709</s:v>
      </s:c>
      <s:c r="AD40" s="16">
        <s:f>$F$35*AD27+$J$35*AD31</s:f>
        <s:v>0.0</s:v>
      </s:c>
    </s:row>
    <s:row r="41">
      <s:c r="A41" s="8" t="inlineStr">
        <s:is>
          <s:t xml:space="preserve">    basket y/y, emea (%)</s:t>
        </s:is>
      </s:c>
      <s:c r="B41" s="4" t="inlineStr">
        <s:is>
          <s:t>→ Σ_currency κ × currency y/y</s:t>
        </s:is>
      </s:c>
      <s:c r="G41" s="16">
        <s:f>$C$36*G24+$D$36*G25</s:f>
        <s:v>-5.508576401365487</s:v>
      </s:c>
      <s:c r="H41" s="16">
        <s:f>$C$36*H24+$D$36*H25</s:f>
        <s:v>-10.72847511987996</s:v>
      </s:c>
      <s:c r="I41" s="16">
        <s:f>$C$36*I24+$D$36*I25</s:f>
        <s:v>-13.844320968285546</s:v>
      </s:c>
      <s:c r="J41" s="16">
        <s:f>$C$36*J24+$D$36*J25</s:f>
        <s:v>-10.642264908278069</s:v>
      </s:c>
      <s:c r="K41" s="16">
        <s:f>$C$36*K24+$D$36*K25</s:f>
        <s:v>-5.418415809769571</s:v>
      </s:c>
      <s:c r="L41" s="16">
        <s:f>$C$36*L24+$D$36*L25</s:f>
        <s:v>1.5163788667341045</s:v>
      </s:c>
      <s:c r="M41" s="16">
        <s:f>$C$36*M24+$D$36*M25</s:f>
        <s:v>7.549834287389478</s:v>
      </s:c>
      <s:c r="N41" s="16">
        <s:f>$C$36*N24+$D$36*N25</s:f>
        <s:v>5.148463197089959</s:v>
      </s:c>
      <s:c r="O41" s="16">
        <s:f>$C$36*O24+$D$36*O25</s:f>
        <s:v>1.934589203392183</s:v>
      </s:c>
      <s:c r="P41" s="16">
        <s:f>$C$36*P24+$D$36*P25</s:f>
        <s:v>-0.5673163687583493</s:v>
      </s:c>
      <s:c r="Q41" s="16">
        <s:f>$C$36*Q24+$D$36*Q25</s:f>
        <s:v>1.3284169937705426</s:v>
      </s:c>
      <s:c r="R41" s="16">
        <s:f>$C$36*R24+$D$36*R25</s:f>
        <s:v>0.1675714986158694</s:v>
      </s:c>
      <s:c r="S41" s="16">
        <s:f>$C$36*S24+$D$36*S25</s:f>
        <s:v>-2.3250855407857953</s:v>
      </s:c>
      <s:c r="T41" s="16">
        <s:f>$C$36*T24+$D$36*T25</s:f>
        <s:v>5.212892392216509</s:v>
      </s:c>
      <s:c r="U41" s="16">
        <s:f>$C$36*U24+$D$36*U25</s:f>
        <s:v>5.400915048789686</s:v>
      </s:c>
      <s:c r="V41" s="16">
        <s:f>$C$36*V24+$D$36*V25</s:f>
        <s:v>7.347631053177973</s:v>
      </s:c>
      <s:c r="W41" s="16">
        <s:f>$C$36*W24+$D$36*W25</s:f>
        <s:v>9.592782806803198</s:v>
      </s:c>
      <s:c r="X41" s="16">
        <s:f>$C$36*X24+$D$36*X25</s:f>
        <s:v>1.8843624497082432</s:v>
      </s:c>
      <s:c r="Y41" s="16">
        <s:f>$C$36*Y24+$D$36*Y25</s:f>
        <s:v>-1.080032395199055</s:v>
      </s:c>
      <s:c r="Z41" s="16">
        <s:f>$C$36*Z24+$D$36*Z25</s:f>
        <s:v>-0.9370483810365793</s:v>
      </s:c>
      <s:c r="AA41" s="16">
        <s:f>$C$36*AA24+$D$36*AA25</s:f>
        <s:v>-1.6280260299174765</s:v>
      </s:c>
      <s:c r="AB41" s="16">
        <s:f>$C$36*AB24+$D$36*AB25</s:f>
        <s:v>-1.0937692641659402</s:v>
      </s:c>
      <s:c r="AC41" s="16">
        <s:f>$C$36*AC24+$D$36*AC25</s:f>
        <s:v>-0.4714049543070187</s:v>
      </s:c>
      <s:c r="AD41" s="16">
        <s:f>$C$36*AD24+$D$36*AD25</s:f>
        <s:v>0.0</s:v>
      </s:c>
    </s:row>
    <s:row r="42">
      <s:c r="A42" s="8" t="inlineStr">
        <s:is>
          <s:t xml:space="preserve">    basket y/y, latam (%)</s:t>
        </s:is>
      </s:c>
      <s:c r="B42" s="4" t="inlineStr">
        <s:is>
          <s:t>→ Σ_currency κ × currency y/y</s:t>
        </s:is>
      </s:c>
      <s:c r="G42" s="16">
        <s:f>$E$37*G26+$F$37*G27</s:f>
        <s:v>2.378972436746676</s:v>
      </s:c>
      <s:c r="H42" s="16">
        <s:f>$E$37*H26+$F$37*H27</s:f>
        <s:v>4.05129738586605</s:v>
      </s:c>
      <s:c r="I42" s="16">
        <s:f>$E$37*I26+$F$37*I27</s:f>
        <s:v>-0.5722260374042456</s:v>
      </s:c>
      <s:c r="J42" s="16">
        <s:f>$E$37*J26+$F$37*J27</s:f>
        <s:v>5.541990177862656</s:v>
      </s:c>
      <s:c r="K42" s="16">
        <s:f>$E$37*K26+$F$37*K27</s:f>
        <s:v>3.9630864854059205</s:v>
      </s:c>
      <s:c r="L42" s="16">
        <s:f>$E$37*L26+$F$37*L27</s:f>
        <s:v>4.725290188237908</s:v>
      </s:c>
      <s:c r="M42" s="16">
        <s:f>$E$37*M26+$F$37*M27</s:f>
        <s:v>11.167910960754014</s:v>
      </s:c>
      <s:c r="N42" s="16">
        <s:f>$E$37*N26+$F$37*N27</s:f>
        <s:v>8.00723830997813</s:v>
      </s:c>
      <s:c r="O42" s="16">
        <s:f>$E$37*O26+$F$37*O27</s:f>
        <s:v>6.458679729164553</s:v>
      </s:c>
      <s:c r="P42" s="16">
        <s:f>$E$37*P26+$F$37*P27</s:f>
        <s:v>-1.7056481785009976</s:v>
      </s:c>
      <s:c r="Q42" s="16">
        <s:f>$E$37*Q26+$F$37*Q27</s:f>
        <s:v>-10.308865319082763</s:v>
      </s:c>
      <s:c r="R42" s="16">
        <s:f>$E$37*R26+$F$37*R27</s:f>
        <s:v>-13.156383960628972</s:v>
      </s:c>
      <s:c r="S42" s="16">
        <s:f>$E$37*S26+$F$37*S27</s:f>
        <s:v>-14.857011209970025</s:v>
      </s:c>
      <s:c r="T42" s="16">
        <s:f>$E$37*T26+$F$37*T27</s:f>
        <s:v>-8.914705689826828</s:v>
      </s:c>
      <s:c r="U42" s="16">
        <s:f>$E$37*U26+$F$37*U27</s:f>
        <s:v>1.548313791354353</s:v>
      </s:c>
      <s:c r="V42" s="16">
        <s:f>$E$37*V26+$F$37*V27</s:f>
        <s:v>8.169844748965012</s:v>
      </s:c>
      <s:c r="W42" s="16">
        <s:f>$E$37*W26+$F$37*W27</s:f>
        <s:v>12.383099973694012</s:v>
      </s:c>
      <s:c r="X42" s="16">
        <s:f>$E$37*X26+$F$37*X27</s:f>
        <s:v>11.368462758945551</s:v>
      </s:c>
      <s:c r="Y42" s="16">
        <s:f>$E$37*Y26+$F$37*Y27</s:f>
        <s:v>6.473372724351734</s:v>
      </s:c>
      <s:c r="Z42" s="16">
        <s:f>$E$37*Z26+$F$37*Z27</s:f>
        <s:v>4.8443958353128656</s:v>
      </s:c>
      <s:c r="AA42" s="16">
        <s:f>$E$37*AA26+$F$37*AA27</s:f>
        <s:v>1.7286473536506237</s:v>
      </s:c>
      <s:c r="AB42" s="16">
        <s:f>$E$37*AB26+$F$37*AB27</s:f>
        <s:v>-0.8975335958973216</s:v>
      </s:c>
      <s:c r="AC42" s="16">
        <s:f>$E$37*AC26+$F$37*AC27</s:f>
        <s:v>-0.3525771314815608</s:v>
      </s:c>
      <s:c r="AD42" s="16">
        <s:f>$E$37*AD26+$F$37*AD27</s:f>
        <s:v>0.0</s:v>
      </s:c>
    </s:row>
    <s:row r="43">
      <s:c r="A43" s="8" t="inlineStr">
        <s:is>
          <s:t xml:space="preserve">    basket y/y, apac (%)</s:t>
        </s:is>
      </s:c>
      <s:c r="B43" s="4" t="inlineStr">
        <s:is>
          <s:t>→ Σ_currency κ × currency y/y</s:t>
        </s:is>
      </s:c>
      <s:c r="G43" s="16">
        <s:f>$G$38*G28+$H$38*G29+$I$38*G30+$K$38*G32</s:f>
        <s:v>-6.168049041775652</s:v>
      </s:c>
      <s:c r="H43" s="16">
        <s:f>$G$38*H28+$H$38*H29+$I$38*H30+$K$38*H32</s:f>
        <s:v>-8.537324579701517</s:v>
      </s:c>
      <s:c r="I43" s="16">
        <s:f>$G$38*I28+$H$38*I29+$I$38*I30+$K$38*I32</s:f>
        <s:v>-9.770040700937711</s:v>
      </s:c>
      <s:c r="J43" s="16">
        <s:f>$G$38*J28+$H$38*J29+$I$38*J30+$K$38*J32</s:f>
        <s:v>-11.145645225814599</s:v>
      </s:c>
      <s:c r="K43" s="16">
        <s:f>$G$38*K28+$H$38*K29+$I$38*K30+$K$38*K32</s:f>
        <s:v>-6.703408064596024</s:v>
      </s:c>
      <s:c r="L43" s="16">
        <s:f>$G$38*L28+$H$38*L29+$I$38*L30+$K$38*L32</s:f>
        <s:v>-5.500915637582719</s:v>
      </s:c>
      <s:c r="M43" s="16">
        <s:f>$G$38*M28+$H$38*M29+$I$38*M30+$K$38*M32</s:f>
        <s:v>-3.200186323547376</s:v>
      </s:c>
      <s:c r="N43" s="16">
        <s:f>$G$38*N28+$H$38*N29+$I$38*N30+$K$38*N32</s:f>
        <s:v>-1.2406280861190655</s:v>
      </s:c>
      <s:c r="O43" s="16">
        <s:f>$G$38*O28+$H$38*O29+$I$38*O30+$K$38*O32</s:f>
        <s:v>-4.699059864020819</s:v>
      </s:c>
      <s:c r="P43" s="16">
        <s:f>$G$38*P28+$H$38*P29+$I$38*P30+$K$38*P32</s:f>
        <s:v>-3.615237944782432</s:v>
      </s:c>
      <s:c r="Q43" s="16">
        <s:f>$G$38*Q28+$H$38*Q29+$I$38*Q30+$K$38*Q32</s:f>
        <s:v>0.2685681159742168</s:v>
      </s:c>
      <s:c r="R43" s="16">
        <s:f>$G$38*R28+$H$38*R29+$I$38*R30+$K$38*R32</s:f>
        <s:v>-1.183534389024114</s:v>
      </s:c>
      <s:c r="S43" s="16">
        <s:f>$G$38*S28+$H$38*S29+$I$38*S30+$K$38*S32</s:f>
        <s:v>-4.203694177989643</s:v>
      </s:c>
      <s:c r="T43" s="16">
        <s:f>$G$38*T28+$H$38*T29+$I$38*T30+$K$38*T32</s:f>
        <s:v>-0.3058827905448701</s:v>
      </s:c>
      <s:c r="U43" s="16">
        <s:f>$G$38*U28+$H$38*U29+$I$38*U30+$K$38*U32</s:f>
        <s:v>-1.590748637043635</s:v>
      </s:c>
      <s:c r="V43" s="16">
        <s:f>$G$38*V28+$H$38*V29+$I$38*V30+$K$38*V32</s:f>
        <s:v>-0.5648622390809752</s:v>
      </s:c>
      <s:c r="W43" s="16">
        <s:f>$G$38*W28+$H$38*W29+$I$38*W30+$K$38*W32</s:f>
        <s:v>4.890148032024005</s:v>
      </s:c>
      <s:c r="X43" s="16">
        <s:f>$G$38*X28+$H$38*X29+$I$38*X30+$K$38*X32</s:f>
        <s:v>2.681090324031656</s:v>
      </s:c>
      <s:c r="Y43" s="16">
        <s:f>$G$38*Y28+$H$38*Y29+$I$38*Y30+$K$38*Y32</s:f>
        <s:v>2.143490288216327</s:v>
      </s:c>
      <s:c r="Z43" s="16">
        <s:f>$G$38*Z28+$H$38*Z29+$I$38*Z30+$K$38*Z32</s:f>
        <s:v>4.136451261484765</s:v>
      </s:c>
      <s:c r="AA43" s="16">
        <s:f>$G$38*AA28+$H$38*AA29+$I$38*AA30+$K$38*AA32</s:f>
        <s:v>1.5050988026354688</s:v>
      </s:c>
      <s:c r="AB43" s="16">
        <s:f>$G$38*AB28+$H$38*AB29+$I$38*AB30+$K$38*AB32</s:f>
        <s:v>1.129873463165754</s:v>
      </s:c>
      <s:c r="AC43" s="16">
        <s:f>$G$38*AC28+$H$38*AC29+$I$38*AC30+$K$38*AC32</s:f>
        <s:v>0.792081349025824</s:v>
      </s:c>
      <s:c r="AD43" s="16">
        <s:f>$G$38*AD28+$H$38*AD29+$I$38*AD30+$K$38*AD32</s:f>
        <s:v>0.0</s:v>
      </s:c>
    </s:row>
    <s:row r="44">
      <s:c r="A44" s="8" t="inlineStr">
        <s:is>
          <s:t>Regional GBV shares (10-K Geographic Mix, latest fiscal year filed before the quarter's print; FY2025 forward)</s:t>
        </s:is>
      </s:c>
      <s:c r="B44" s="4" t="inlineStr">
        <s:is>
          <s:t>data/processed/adr/01_regional_annual.csv gbv_share_pct</s:t>
        </s:is>
      </s:c>
    </s:row>
    <s:row r="45">
      <s:c r="A45" s="8" t="inlineStr">
        <s:is>
          <s:t xml:space="preserve">    GBV share, na</s:t>
        </s:is>
      </s:c>
      <s:c r="C45" s="26" t="n">
        <s:v>0.5511133243224016</s:v>
      </s:c>
      <s:c r="D45" s="26" t="n">
        <s:v>0.5511133243224016</s:v>
      </s:c>
      <s:c r="E45" s="26" t="n">
        <s:v>0.5511133243224016</s:v>
      </s:c>
      <s:c r="F45" s="26" t="n">
        <s:v>0.5511133243224016</s:v>
      </s:c>
      <s:c r="G45" s="26" t="n">
        <s:v>0.5398276340209485</s:v>
      </s:c>
      <s:c r="H45" s="26" t="n">
        <s:v>0.5398276340209485</s:v>
      </s:c>
      <s:c r="I45" s="26" t="n">
        <s:v>0.5398276340209485</s:v>
      </s:c>
      <s:c r="J45" s="26" t="n">
        <s:v>0.5398276340209485</s:v>
      </s:c>
      <s:c r="K45" s="26" t="n">
        <s:v>0.5101246598747073</s:v>
      </s:c>
      <s:c r="L45" s="26" t="n">
        <s:v>0.5101246598747073</s:v>
      </s:c>
      <s:c r="M45" s="26" t="n">
        <s:v>0.5101246598747073</s:v>
      </s:c>
      <s:c r="N45" s="26" t="n">
        <s:v>0.5101246598747073</s:v>
      </s:c>
      <s:c r="O45" s="26" t="n">
        <s:v>0.4769972150931033</s:v>
      </s:c>
      <s:c r="P45" s="26" t="n">
        <s:v>0.4769972150931033</s:v>
      </s:c>
      <s:c r="Q45" s="26" t="n">
        <s:v>0.4769972150931033</s:v>
      </s:c>
      <s:c r="R45" s="26" t="n">
        <s:v>0.4769972150931033</s:v>
      </s:c>
      <s:c r="S45" s="26" t="n">
        <s:v>0.4623887312921843</s:v>
      </s:c>
      <s:c r="T45" s="26" t="n">
        <s:v>0.4623887312921843</s:v>
      </s:c>
      <s:c r="U45" s="26" t="n">
        <s:v>0.4623887312921843</s:v>
      </s:c>
      <s:c r="V45" s="26" t="n">
        <s:v>0.4623887312921843</s:v>
      </s:c>
      <s:c r="W45" s="26" t="n">
        <s:v>0.4414777645086718</s:v>
      </s:c>
      <s:c r="X45" s="26" t="n">
        <s:v>0.4414777645086718</s:v>
      </s:c>
      <s:c r="Y45" s="26" t="n">
        <s:v>0.4414777645086718</s:v>
      </s:c>
      <s:c r="Z45" s="26" t="n">
        <s:v>0.4414777645086718</s:v>
      </s:c>
      <s:c r="AA45" s="26" t="n">
        <s:v>0.4414777645086718</s:v>
      </s:c>
      <s:c r="AB45" s="26" t="n">
        <s:v>0.4414777645086718</s:v>
      </s:c>
      <s:c r="AC45" s="26" t="n">
        <s:v>0.4414777645086718</s:v>
      </s:c>
      <s:c r="AD45" s="26" t="n">
        <s:v>0.4414777645086718</s:v>
      </s:c>
    </s:row>
    <s:row r="46">
      <s:c r="A46" s="8" t="inlineStr">
        <s:is>
          <s:t xml:space="preserve">    GBV share, emea</s:t>
        </s:is>
      </s:c>
      <s:c r="C46" s="26" t="n">
        <s:v>0.2787014215232938</s:v>
      </s:c>
      <s:c r="D46" s="26" t="n">
        <s:v>0.2787014215232938</s:v>
      </s:c>
      <s:c r="E46" s="26" t="n">
        <s:v>0.2787014215232938</s:v>
      </s:c>
      <s:c r="F46" s="26" t="n">
        <s:v>0.2787014215232938</s:v>
      </s:c>
      <s:c r="G46" s="26" t="n">
        <s:v>0.3116005717089404</s:v>
      </s:c>
      <s:c r="H46" s="26" t="n">
        <s:v>0.3116005717089404</s:v>
      </s:c>
      <s:c r="I46" s="26" t="n">
        <s:v>0.3116005717089404</s:v>
      </s:c>
      <s:c r="J46" s="26" t="n">
        <s:v>0.3116005717089404</s:v>
      </s:c>
      <s:c r="K46" s="26" t="n">
        <s:v>0.3399038157311903</s:v>
      </s:c>
      <s:c r="L46" s="26" t="n">
        <s:v>0.3399038157311903</s:v>
      </s:c>
      <s:c r="M46" s="26" t="n">
        <s:v>0.3399038157311903</s:v>
      </s:c>
      <s:c r="N46" s="26" t="n">
        <s:v>0.3399038157311903</s:v>
      </s:c>
      <s:c r="O46" s="26" t="n">
        <s:v>0.3582291268497789</s:v>
      </s:c>
      <s:c r="P46" s="26" t="n">
        <s:v>0.3582291268497789</s:v>
      </s:c>
      <s:c r="Q46" s="26" t="n">
        <s:v>0.3582291268497789</s:v>
      </s:c>
      <s:c r="R46" s="26" t="n">
        <s:v>0.3582291268497789</s:v>
      </s:c>
      <s:c r="S46" s="26" t="n">
        <s:v>0.3637630832436662</s:v>
      </s:c>
      <s:c r="T46" s="26" t="n">
        <s:v>0.3637630832436662</s:v>
      </s:c>
      <s:c r="U46" s="26" t="n">
        <s:v>0.3637630832436662</s:v>
      </s:c>
      <s:c r="V46" s="26" t="n">
        <s:v>0.3637630832436662</s:v>
      </s:c>
      <s:c r="W46" s="26" t="n">
        <s:v>0.3742837421800533</s:v>
      </s:c>
      <s:c r="X46" s="26" t="n">
        <s:v>0.3742837421800533</s:v>
      </s:c>
      <s:c r="Y46" s="26" t="n">
        <s:v>0.3742837421800533</s:v>
      </s:c>
      <s:c r="Z46" s="26" t="n">
        <s:v>0.3742837421800533</s:v>
      </s:c>
      <s:c r="AA46" s="26" t="n">
        <s:v>0.3742837421800533</s:v>
      </s:c>
      <s:c r="AB46" s="26" t="n">
        <s:v>0.3742837421800533</s:v>
      </s:c>
      <s:c r="AC46" s="26" t="n">
        <s:v>0.3742837421800533</s:v>
      </s:c>
      <s:c r="AD46" s="26" t="n">
        <s:v>0.3742837421800533</s:v>
      </s:c>
    </s:row>
    <s:row r="47">
      <s:c r="A47" s="8" t="inlineStr">
        <s:is>
          <s:t xml:space="preserve">    GBV share, latam</s:t>
        </s:is>
      </s:c>
      <s:c r="C47" s="26" t="n">
        <s:v>0.07117241148433479</s:v>
      </s:c>
      <s:c r="D47" s="26" t="n">
        <s:v>0.07117241148433479</s:v>
      </s:c>
      <s:c r="E47" s="26" t="n">
        <s:v>0.07117241148433479</s:v>
      </s:c>
      <s:c r="F47" s="26" t="n">
        <s:v>0.07117241148433479</s:v>
      </s:c>
      <s:c r="G47" s="26" t="n">
        <s:v>0.0790579601936984</s:v>
      </s:c>
      <s:c r="H47" s="26" t="n">
        <s:v>0.0790579601936984</s:v>
      </s:c>
      <s:c r="I47" s="26" t="n">
        <s:v>0.0790579601936984</s:v>
      </s:c>
      <s:c r="J47" s="26" t="n">
        <s:v>0.0790579601936984</s:v>
      </s:c>
      <s:c r="K47" s="26" t="n">
        <s:v>0.07653610074036575</s:v>
      </s:c>
      <s:c r="L47" s="26" t="n">
        <s:v>0.07653610074036575</s:v>
      </s:c>
      <s:c r="M47" s="26" t="n">
        <s:v>0.07653610074036575</s:v>
      </s:c>
      <s:c r="N47" s="26" t="n">
        <s:v>0.07653610074036575</s:v>
      </s:c>
      <s:c r="O47" s="26" t="n">
        <s:v>0.08264620761207885</s:v>
      </s:c>
      <s:c r="P47" s="26" t="n">
        <s:v>0.08264620761207885</s:v>
      </s:c>
      <s:c r="Q47" s="26" t="n">
        <s:v>0.08264620761207885</s:v>
      </s:c>
      <s:c r="R47" s="26" t="n">
        <s:v>0.08264620761207885</s:v>
      </s:c>
      <s:c r="S47" s="26" t="n">
        <s:v>0.08671622811307834</s:v>
      </s:c>
      <s:c r="T47" s="26" t="n">
        <s:v>0.08671622811307834</s:v>
      </s:c>
      <s:c r="U47" s="26" t="n">
        <s:v>0.08671622811307834</s:v>
      </s:c>
      <s:c r="V47" s="26" t="n">
        <s:v>0.08671622811307834</s:v>
      </s:c>
      <s:c r="W47" s="26" t="n">
        <s:v>0.09358736975885533</s:v>
      </s:c>
      <s:c r="X47" s="26" t="n">
        <s:v>0.09358736975885533</s:v>
      </s:c>
      <s:c r="Y47" s="26" t="n">
        <s:v>0.09358736975885533</s:v>
      </s:c>
      <s:c r="Z47" s="26" t="n">
        <s:v>0.09358736975885533</s:v>
      </s:c>
      <s:c r="AA47" s="26" t="n">
        <s:v>0.09358736975885533</s:v>
      </s:c>
      <s:c r="AB47" s="26" t="n">
        <s:v>0.09358736975885533</s:v>
      </s:c>
      <s:c r="AC47" s="26" t="n">
        <s:v>0.09358736975885533</s:v>
      </s:c>
      <s:c r="AD47" s="26" t="n">
        <s:v>0.09358736975885533</s:v>
      </s:c>
    </s:row>
    <s:row r="48">
      <s:c r="A48" s="8" t="inlineStr">
        <s:is>
          <s:t xml:space="preserve">    GBV share, apac</s:t>
        </s:is>
      </s:c>
      <s:c r="C48" s="26" t="n">
        <s:v>0.09901284266996974</s:v>
      </s:c>
      <s:c r="D48" s="26" t="n">
        <s:v>0.09901284266996974</s:v>
      </s:c>
      <s:c r="E48" s="26" t="n">
        <s:v>0.09901284266996974</s:v>
      </s:c>
      <s:c r="F48" s="26" t="n">
        <s:v>0.09901284266996974</s:v>
      </s:c>
      <s:c r="G48" s="26" t="n">
        <s:v>0.06951383407641275</s:v>
      </s:c>
      <s:c r="H48" s="26" t="n">
        <s:v>0.06951383407641275</s:v>
      </s:c>
      <s:c r="I48" s="26" t="n">
        <s:v>0.06951383407641275</s:v>
      </s:c>
      <s:c r="J48" s="26" t="n">
        <s:v>0.06951383407641275</s:v>
      </s:c>
      <s:c r="K48" s="26" t="n">
        <s:v>0.07343542365373663</s:v>
      </s:c>
      <s:c r="L48" s="26" t="n">
        <s:v>0.07343542365373663</s:v>
      </s:c>
      <s:c r="M48" s="26" t="n">
        <s:v>0.07343542365373663</s:v>
      </s:c>
      <s:c r="N48" s="26" t="n">
        <s:v>0.07343542365373663</s:v>
      </s:c>
      <s:c r="O48" s="26" t="n">
        <s:v>0.08212745044503905</s:v>
      </s:c>
      <s:c r="P48" s="26" t="n">
        <s:v>0.08212745044503905</s:v>
      </s:c>
      <s:c r="Q48" s="26" t="n">
        <s:v>0.08212745044503905</s:v>
      </s:c>
      <s:c r="R48" s="26" t="n">
        <s:v>0.08212745044503905</s:v>
      </s:c>
      <s:c r="S48" s="26" t="n">
        <s:v>0.08713195735107111</s:v>
      </s:c>
      <s:c r="T48" s="26" t="n">
        <s:v>0.08713195735107111</s:v>
      </s:c>
      <s:c r="U48" s="26" t="n">
        <s:v>0.08713195735107111</s:v>
      </s:c>
      <s:c r="V48" s="26" t="n">
        <s:v>0.08713195735107111</s:v>
      </s:c>
      <s:c r="W48" s="26" t="n">
        <s:v>0.09065112355241968</s:v>
      </s:c>
      <s:c r="X48" s="26" t="n">
        <s:v>0.09065112355241968</s:v>
      </s:c>
      <s:c r="Y48" s="26" t="n">
        <s:v>0.09065112355241968</s:v>
      </s:c>
      <s:c r="Z48" s="26" t="n">
        <s:v>0.09065112355241968</s:v>
      </s:c>
      <s:c r="AA48" s="26" t="n">
        <s:v>0.09065112355241968</s:v>
      </s:c>
      <s:c r="AB48" s="26" t="n">
        <s:v>0.09065112355241968</s:v>
      </s:c>
      <s:c r="AC48" s="26" t="n">
        <s:v>0.09065112355241968</s:v>
      </s:c>
      <s:c r="AD48" s="26" t="n">
        <s:v>0.09065112355241968</s:v>
      </s:c>
    </s:row>
    <s:row r="49">
      <s:c r="A49" s="8" t="inlineStr">
        <s:is>
          <s:t xml:space="preserve">    fiscal year of the shares used</s:t>
        </s:is>
      </s:c>
      <s:c r="C49" s="23" t="n">
        <s:v>2020</s:v>
      </s:c>
      <s:c r="D49" s="23" t="n">
        <s:v>2020</s:v>
      </s:c>
      <s:c r="E49" s="23" t="n">
        <s:v>2020</s:v>
      </s:c>
      <s:c r="F49" s="23" t="n">
        <s:v>2020</s:v>
      </s:c>
      <s:c r="G49" s="23" t="n">
        <s:v>2021</s:v>
      </s:c>
      <s:c r="H49" s="23" t="n">
        <s:v>2021</s:v>
      </s:c>
      <s:c r="I49" s="23" t="n">
        <s:v>2021</s:v>
      </s:c>
      <s:c r="J49" s="23" t="n">
        <s:v>2021</s:v>
      </s:c>
      <s:c r="K49" s="23" t="n">
        <s:v>2022</s:v>
      </s:c>
      <s:c r="L49" s="23" t="n">
        <s:v>2022</s:v>
      </s:c>
      <s:c r="M49" s="23" t="n">
        <s:v>2022</s:v>
      </s:c>
      <s:c r="N49" s="23" t="n">
        <s:v>2022</s:v>
      </s:c>
      <s:c r="O49" s="23" t="n">
        <s:v>2023</s:v>
      </s:c>
      <s:c r="P49" s="23" t="n">
        <s:v>2023</s:v>
      </s:c>
      <s:c r="Q49" s="23" t="n">
        <s:v>2023</s:v>
      </s:c>
      <s:c r="R49" s="23" t="n">
        <s:v>2023</s:v>
      </s:c>
      <s:c r="S49" s="23" t="n">
        <s:v>2024</s:v>
      </s:c>
      <s:c r="T49" s="23" t="n">
        <s:v>2024</s:v>
      </s:c>
      <s:c r="U49" s="23" t="n">
        <s:v>2024</s:v>
      </s:c>
      <s:c r="V49" s="23" t="n">
        <s:v>2024</s:v>
      </s:c>
      <s:c r="W49" s="23" t="n">
        <s:v>2025</s:v>
      </s:c>
      <s:c r="X49" s="23" t="n">
        <s:v>2025</s:v>
      </s:c>
      <s:c r="Y49" s="23" t="n">
        <s:v>2025</s:v>
      </s:c>
      <s:c r="Z49" s="23" t="n">
        <s:v>2025</s:v>
      </s:c>
      <s:c r="AA49" s="23" t="n">
        <s:v>2025</s:v>
      </s:c>
      <s:c r="AB49" s="23" t="n">
        <s:v>2025</s:v>
      </s:c>
      <s:c r="AC49" s="23" t="n">
        <s:v>2025</s:v>
      </s:c>
      <s:c r="AD49" s="23" t="n">
        <s:v>2025</s:v>
      </s:c>
    </s:row>
    <s:row r="51">
      <s:c r="A51" s="8" t="inlineStr">
        <s:is>
          <s:t>FX effect on ADR — translation identity (pp)</s:t>
        </s:is>
      </s:c>
      <s:c r="B51" s="4" t="inlineStr">
        <s:is>
          <s:t>→ SUMPRODUCT(GBV shares, regional basket y/y); the promoted leg (pre-registration §5, V0)</s:t>
        </s:is>
      </s:c>
      <s:c r="G51" s="16">
        <s:f>SUMPRODUCT(G45:G48,G40:G43)</s:f>
        <s:v>-1.9669580370165418</s:v>
      </s:c>
      <s:c r="H51" s="16">
        <s:f>SUMPRODUCT(H45:H48,H40:H43)</s:f>
        <s:v>-3.782983934253448</s:v>
      </s:c>
      <s:c r="I51" s="16">
        <s:f>SUMPRODUCT(I45:I48,I40:I43)</s:f>
        <s:v>-5.201575729425526</s:v>
      </s:c>
      <s:c r="J51" s="16">
        <s:f>SUMPRODUCT(J45:J48,J40:J43)</s:f>
        <s:v>-3.9022441072792122</s:v>
      </s:c>
      <s:c r="K51" s="16">
        <s:f>SUMPRODUCT(K45:K48,K40:K43)</s:f>
        <s:v>-2.1903426266236585</s:v>
      </s:c>
      <s:c r="L51" s="16">
        <s:f>SUMPRODUCT(L45:L48,L40:L43)</s:f>
        <s:v>0.40911247938744466</s:v>
      </s:c>
      <s:c r="M51" s="16">
        <s:f>SUMPRODUCT(M45:M48,M40:M43)</s:f>
        <s:v>3.2682860430383975</s:v>
      </s:c>
      <s:c r="N51" s="16">
        <s:f>SUMPRODUCT(N45:N48,N40:N43)</s:f>
        <s:v>2.38479885376519</s:v>
      </s:c>
      <s:c r="O51" s="16">
        <s:f>SUMPRODUCT(O45:O48,O40:O43)</s:f>
        <s:v>0.9478895746040084</s:v>
      </s:c>
      <s:c r="P51" s="16">
        <s:f>SUMPRODUCT(P45:P48,P40:P43)</s:f>
        <s:v>-0.6857710258326501</s:v>
      </s:c>
      <s:c r="Q51" s="16">
        <s:f>SUMPRODUCT(Q45:Q48,Q40:Q43)</s:f>
        <s:v>-0.511337396001268</s:v>
      </s:c>
      <s:c r="R51" s="16">
        <s:f>SUMPRODUCT(R45:R48,R40:R43)</s:f>
        <s:v>-1.348750739599312</s:v>
      </s:c>
      <s:c r="S51" s="16">
        <s:f>SUMPRODUCT(S45:S48,S40:S43)</s:f>
        <s:v>-2.8799273622293384</s:v>
      </s:c>
      <s:c r="T51" s="16">
        <s:f>SUMPRODUCT(T45:T48,T40:T43)</s:f>
        <s:v>0.9457970704988111</s:v>
      </s:c>
      <s:c r="U51" s="16">
        <s:f>SUMPRODUCT(U45:U48,U40:U43)</s:f>
        <s:v>1.9387574107539254</s:v>
      </s:c>
      <s:c r="V51" s="16">
        <s:f>SUMPRODUCT(V45:V48,V40:V43)</s:f>
        <s:v>3.435728783469148</s:v>
      </s:c>
      <s:c r="W51" s="16">
        <s:f>SUMPRODUCT(W45:W48,W40:W43)</s:f>
        <s:v>5.499377331576597</s:v>
      </s:c>
      <s:c r="X51" s="16">
        <s:f>SUMPRODUCT(X45:X48,X40:X43)</s:f>
        <s:v>2.1198193525121316</s:v>
      </s:c>
      <s:c r="Y51" s="14">
        <s:f>SUMPRODUCT(Y45:Y48,Y40:Y43)</s:f>
        <s:v>0.41528141662547124</s:v>
      </s:c>
      <s:c r="Z51" s="14">
        <s:f>SUMPRODUCT(Z45:Z48,Z40:Z43)</s:f>
        <s:v>0.5136690253166437</s:v>
      </s:c>
      <s:c r="AA51" s="14">
        <s:f>SUMPRODUCT(AA45:AA48,AA40:AA43)</s:f>
        <s:v>-0.36901348466442524</s:v>
      </s:c>
      <s:c r="AB51" s="14">
        <s:f>SUMPRODUCT(AB45:AB48,AB40:AB43)</s:f>
        <s:v>-0.42693614956682185</s:v>
      </s:c>
      <s:c r="AC51" s="14">
        <s:f>SUMPRODUCT(AC45:AC48,AC40:AC43)</s:f>
        <s:v>-0.14674825953189707</s:v>
      </s:c>
      <s:c r="AD51" s="14">
        <s:f>SUMPRODUCT(AD45:AD48,AD40:AD43)</s:f>
        <s:v>0.0</s:v>
      </s:c>
    </s:row>
    <s:row r="52">
      <s:c r="A52" s="8" t="inlineStr">
        <s:is>
          <s:t xml:space="preserve">    error: identity − disclosed (pp), completed quarters</s:t>
        </s:is>
      </s:c>
      <s:c r="B52" s="4" t="inlineStr">
        <s:is>
          <s:t>→ identity − row 10</s:t>
        </s:is>
      </s:c>
      <s:c r="I52" s="16">
        <s:f>I51-I10</s:f>
        <s:v>1.9107273211946687</s:v>
      </s:c>
      <s:c r="J52" s="16">
        <s:f>J51-J10</s:f>
        <s:v>1.6185553198414202</s:v>
      </s:c>
      <s:c r="K52" s="16">
        <s:f>K51-K10</s:f>
        <s:v>0.5954609076180097</s:v>
      </s:c>
      <s:c r="L52" s="16">
        <s:f>L51-L10</s:f>
        <s:v>1.0227682751612361</s:v>
      </s:c>
      <s:c r="M52" s="16">
        <s:f>M51-M10</s:f>
        <s:v>0.6105258793973762</s:v>
      </s:c>
      <s:c r="N52" s="16">
        <s:f>N51-N10</s:f>
        <s:v>0.3195217122168623</s:v>
      </s:c>
      <s:c r="O52" s="16">
        <s:f>O51-O10</s:f>
        <s:v>0.30584243335840133</s:v>
      </s:c>
      <s:c r="P52" s="16">
        <s:f>P51-P10</s:f>
        <s:v>0.1938747786369448</s:v>
      </s:c>
      <s:c r="Q52" s="16">
        <s:f>Q51-Q10</s:f>
        <s:v>0.08824123827808206</s:v>
      </s:c>
      <s:c r="R52" s="16">
        <s:f>R51-R10</s:f>
        <s:v>-0.2420066574197688</s:v>
      </s:c>
      <s:c r="S52" s="16">
        <s:f>S51-S10</s:f>
        <s:v>-0.9891360619054153</s:v>
      </s:c>
      <s:c r="T52" s="16">
        <s:f>T51-T10</s:f>
        <s:v>-0.9740401264574653</s:v>
      </s:c>
      <s:c r="U52" s="16">
        <s:f>U51-U10</s:f>
        <s:v>-0.7361387026657877</s:v>
      </s:c>
      <s:c r="V52" s="16">
        <s:f>V51-V10</s:f>
        <s:v>0.5039005408839459</s:v>
      </s:c>
      <s:c r="W52" s="16">
        <s:f>W51-W10</s:f>
        <s:v>0.4647094198221966</s:v>
      </s:c>
      <s:c r="X52" s="16">
        <s:f>X51-X10</s:f>
        <s:v>0.8183521356391412</s:v>
      </s:c>
    </s:row>
    <s:row r="53">
      <s:c r="A53" s="8" t="inlineStr">
        <s:is>
          <s:t xml:space="preserve">    naive error: last quarter's disclosed − disclosed (pp)</s:t>
        </s:is>
      </s:c>
      <s:c r="I53" s="16">
        <s:f>H10-I10</s:f>
        <s:v>1.53069883878993</s:v>
      </s:c>
      <s:c r="J53" s="16">
        <s:f>I10-J10</s:f>
        <s:v>-1.5915036234995625</s:v>
      </s:c>
      <s:c r="K53" s="16">
        <s:f>J10-K10</s:f>
        <s:v>-2.734995892878964</s:v>
      </s:c>
      <s:c r="L53" s="16">
        <s:f>K10-L10</s:f>
        <s:v>-2.172147738467877</s:v>
      </s:c>
      <s:c r="M53" s="16">
        <s:f>L10-M10</s:f>
        <s:v>-3.2714159594148127</s:v>
      </s:c>
      <s:c r="N53" s="16">
        <s:f>M10-N10</s:f>
        <s:v>0.5924830220926935</s:v>
      </s:c>
      <s:c r="O53" s="16">
        <s:f>N10-O10</s:f>
        <s:v>1.4232300003027207</s:v>
      </s:c>
      <s:c r="P53" s="16">
        <s:f>O10-P10</s:f>
        <s:v>1.521692945715202</s:v>
      </s:c>
      <s:c r="Q53" s="16">
        <s:f>P10-Q10</s:f>
        <s:v>-0.28006717019024485</s:v>
      </s:c>
      <s:c r="R53" s="16">
        <s:f>Q10-R10</s:f>
        <s:v>0.507165447900193</s:v>
      </s:c>
      <s:c r="S53" s="16">
        <s:f>R10-S10</s:f>
        <s:v>0.78404721814438</s:v>
      </s:c>
      <s:c r="T53" s="16">
        <s:f>S10-T10</s:f>
        <s:v>-3.8106284972801996</s:v>
      </s:c>
      <s:c r="U53" s="16">
        <s:f>T10-U10</s:f>
        <s:v>-0.7550589164634367</s:v>
      </s:c>
      <s:c r="V53" s="16">
        <s:f>U10-V10</s:f>
        <s:v>-0.2569321291654889</s:v>
      </s:c>
      <s:c r="W53" s="16">
        <s:f>V10-W10</s:f>
        <s:v>-2.1028396691691986</s:v>
      </s:c>
      <s:c r="X53" s="16">
        <s:f>W10-X10</s:f>
        <s:v>3.7332006948814103</s:v>
      </s:c>
    </s:row>
    <s:row r="54">
      <s:c r="A54" s="8" t="inlineStr">
        <s:is>
          <s:t xml:space="preserve">    RMSE identity / RMSE naive, 1Q23–2Q26 (n 14; full-quarter rates = origin O3)</s:t>
        </s:is>
      </s:c>
      <s:c r="B54" s="4" t="inlineStr">
        <s:is>
          <s:t>→ SQRT(SUMSQ)/n; point-in-time O1/O2 ratios are in block E</s:t>
        </s:is>
      </s:c>
      <s:c r="C54" s="16">
        <s:f>SQRT(SUMSQ(K52:X52)/14)</s:f>
        <s:v>0.6370445542685601</s:v>
      </s:c>
      <s:c r="D54" s="16">
        <s:f>SQRT(SUMSQ(K53:X53)/14)</s:f>
        <s:v>2.1054162140660018</s:v>
      </s:c>
      <s:c r="E54" s="14">
        <s:f>C54/D54</s:f>
        <s:v>0.30257416562699163</s:v>
      </s:c>
      <s:c r="F54" s="4" t="inlineStr">
        <s:is>
          <s:t>ratio (pass line ≤ 0.75)</s:t>
        </s:is>
      </s:c>
    </s:row>
    <s:row r="56">
      <s:c r="A56" s="8" t="inlineStr">
        <s:is>
          <s:t xml:space="preserve">    P10 of the ex-ante band (pp)</s:t>
        </s:is>
      </s:c>
      <s:c r="B56" s="4" t="inlineStr">
        <s:is>
          <s:t>engine: moving-block bootstrap of daily FX returns on the unobserved days, 4,000 paths</s:t>
        </s:is>
      </s:c>
      <s:c r="Y56" s="11" t="n">
        <s:v>0.3554832912187216</s:v>
      </s:c>
      <s:c r="Z56" s="11" t="n">
        <s:v>-1.056443106322889</s:v>
      </s:c>
      <s:c r="AA56" s="11" t="n">
        <s:v>-3.200007379665376</s:v>
      </s:c>
      <s:c r="AB56" s="11" t="n">
        <s:v>-3.901622399508339</s:v>
      </s:c>
      <s:c r="AC56" s="11" t="n">
        <s:v>-4.338399164474799</s:v>
      </s:c>
      <s:c r="AD56" s="11" t="n">
        <s:v>-4.335432026064073</s:v>
      </s:c>
    </s:row>
    <s:row r="57">
      <s:c r="A57" s="8" t="inlineStr">
        <s:is>
          <s:t xml:space="preserve">    P50</s:t>
        </s:is>
      </s:c>
      <s:c r="Y57" s="11" t="n">
        <s:v>0.4162724067598822</s:v>
      </s:c>
      <s:c r="Z57" s="11" t="n">
        <s:v>0.5819984442006085</s:v>
      </s:c>
      <s:c r="AA57" s="11" t="n">
        <s:v>-0.2358180743680651</s:v>
      </s:c>
      <s:c r="AB57" s="11" t="n">
        <s:v>-0.2273049348370149</s:v>
      </s:c>
      <s:c r="AC57" s="11" t="n">
        <s:v>0.0305520770005595</s:v>
      </s:c>
      <s:c r="AD57" s="11" t="n">
        <s:v>0.2339589346106644</s:v>
      </s:c>
    </s:row>
    <s:row r="58">
      <s:c r="A58" s="8" t="inlineStr">
        <s:is>
          <s:t xml:space="preserve">    P90</s:t>
        </s:is>
      </s:c>
      <s:c r="Y58" s="11" t="n">
        <s:v>0.4805092671220062</s:v>
      </s:c>
      <s:c r="Z58" s="11" t="n">
        <s:v>2.259472345394851</s:v>
      </s:c>
      <s:c r="AA58" s="11" t="n">
        <s:v>2.777955631158125</s:v>
      </s:c>
      <s:c r="AB58" s="11" t="n">
        <s:v>3.680185402603735</s:v>
      </s:c>
      <s:c r="AC58" s="11" t="n">
        <s:v>4.855838910725363</s:v>
      </s:c>
      <s:c r="AD58" s="11" t="n">
        <s:v>5.115411667119529</s:v>
      </s:c>
    </s:row>
    <s:row r="60">
      <s:c r="A60" s="5" t="inlineStr">
        <s:is>
          <s:t>C. Ex-FX ADR mechanism: ex-FX y/y = core + bundle (laps on filed dates) + geo mix (from the nights line) + unit size + LOS + seats + interaction</s:t>
        </s:is>
      </s:c>
      <s:c r="B60" s="5" t="n"/>
      <s:c r="C60" s="5" t="n"/>
      <s:c r="D60" s="5" t="n"/>
      <s:c r="E60" s="5" t="n"/>
      <s:c r="F60" s="5" t="n"/>
      <s:c r="G60" s="5" t="n"/>
      <s:c r="H60" s="5" t="n"/>
      <s:c r="I60" s="5" t="n"/>
      <s:c r="J60" s="5" t="n"/>
      <s:c r="K60" s="5" t="n"/>
      <s:c r="L60" s="5" t="n"/>
      <s:c r="M60" s="5" t="n"/>
      <s:c r="N60" s="5" t="n"/>
      <s:c r="O60" s="5" t="n"/>
      <s:c r="P60" s="5" t="n"/>
      <s:c r="Q60" s="5" t="n"/>
      <s:c r="R60" s="5" t="n"/>
      <s:c r="S60" s="5" t="n"/>
      <s:c r="T60" s="5" t="n"/>
      <s:c r="U60" s="5" t="n"/>
      <s:c r="V60" s="5" t="n"/>
      <s:c r="W60" s="5" t="n"/>
      <s:c r="X60" s="5" t="n"/>
      <s:c r="Y60" s="5" t="n"/>
      <s:c r="Z60" s="5" t="n"/>
      <s:c r="AA60" s="5" t="n"/>
      <s:c r="AB60" s="5" t="n"/>
      <s:c r="AC60" s="5" t="n"/>
      <s:c r="AD60" s="5" t="n"/>
    </s:row>
    <s:row r="61">
      <s:c r="A61" s="8" t="inlineStr">
        <s:is>
          <s:t>Disclosed ex-FX ADR y/y (pp)</s:t>
        </s:is>
      </s:c>
      <s:c r="B61" s="4" t="inlineStr">
        <s:is>
          <s:t>→ link to row 9</s:t>
        </s:is>
      </s:c>
      <s:c r="K61" s="20">
        <s:f>K9</s:f>
        <s:v>3.0</s:v>
      </s:c>
      <s:c r="L61" s="20">
        <s:f>L9</s:f>
        <s:v>2.0</s:v>
      </s:c>
      <s:c r="M61" s="20">
        <s:f>M9</s:f>
        <s:v>0.5</s:v>
      </s:c>
      <s:c r="N61" s="20">
        <s:f>N9</s:f>
        <s:v>0.5</s:v>
      </s:c>
      <s:c r="O61" s="20">
        <s:f>O9</s:f>
        <s:v>2.0</s:v>
      </s:c>
      <s:c r="P61" s="20">
        <s:f>P9</s:f>
        <s:v>3.0</s:v>
      </s:c>
      <s:c r="Q61" s="20">
        <s:f>Q9</s:f>
        <s:v>2.0</s:v>
      </s:c>
      <s:c r="R61" s="20">
        <s:f>R9</s:f>
        <s:v>2.0</s:v>
      </s:c>
      <s:c r="S61" s="20">
        <s:f>S9</s:f>
        <s:v>1.0</s:v>
      </s:c>
      <s:c r="T61" s="20">
        <s:f>T9</s:f>
        <s:v>1.0</s:v>
      </s:c>
      <s:c r="U61" s="20">
        <s:f>U9</s:f>
        <s:v>2.0</s:v>
      </s:c>
      <s:c r="V61" s="20">
        <s:f>V9</s:f>
        <s:v>3.0</s:v>
      </s:c>
      <s:c r="W61" s="20">
        <s:f>W9</s:f>
        <s:v>4.0</s:v>
      </s:c>
      <s:c r="X61" s="20">
        <s:f>X9</s:f>
        <s:v>4.0</s:v>
      </s:c>
    </s:row>
    <s:row r="62">
      <s:c r="A62" s="8" t="inlineStr">
        <s:is>
          <s:t xml:space="preserve">    geographic mix (pp)</s:t>
        </s:is>
      </s:c>
      <s:c r="B62" s="4" t="inlineStr">
        <s:is>
          <s:t>history: H decomposition adr_history_components.csv; forward: block C1 arithmetic on the nights line's regional path</s:t>
        </s:is>
      </s:c>
      <s:c r="K62" s="12" t="n">
        <s:v>-1.351797894609108</s:v>
      </s:c>
      <s:c r="L62" s="12" t="n">
        <s:v>-0.9030804532740522</s:v>
      </s:c>
      <s:c r="M62" s="12" t="n">
        <s:v>-1.167207984169072</s:v>
      </s:c>
      <s:c r="N62" s="12" t="n">
        <s:v>-0.939076865441546</s:v>
      </s:c>
      <s:c r="O62" s="12" t="n">
        <s:v>-1.325072509344749</s:v>
      </s:c>
      <s:c r="P62" s="12" t="n">
        <s:v>-1.131644617522953</s:v>
      </s:c>
      <s:c r="Q62" s="12" t="n">
        <s:v>-1.119615766385351</s:v>
      </s:c>
      <s:c r="R62" s="12" t="n">
        <s:v>-1.791887454358232</s:v>
      </s:c>
      <s:c r="S62" s="12" t="n">
        <s:v>-1.89435030033076</s:v>
      </s:c>
      <s:c r="T62" s="12" t="n">
        <s:v>-1.701590426211275</s:v>
      </s:c>
      <s:c r="U62" s="12" t="n">
        <s:v>-1.593234059968984</s:v>
      </s:c>
      <s:c r="V62" s="12" t="n">
        <s:v>-1.457397157766538</s:v>
      </s:c>
      <s:c r="W62" s="12" t="n">
        <s:v>-1.043067743533466</s:v>
      </s:c>
      <s:c r="X62" s="12" t="n">
        <s:v>-1.267224393230371</s:v>
      </s:c>
      <s:c r="Y62" s="18">
        <s:f>Y91</s:f>
        <s:v>-1.2926338061198361</s:v>
      </s:c>
      <s:c r="Z62" s="18">
        <s:f>Z91</s:f>
        <s:v>-1.3356182124145466</s:v>
      </s:c>
      <s:c r="AA62" s="18">
        <s:f>AA91</s:f>
        <s:v>-1.6203852493470672</s:v>
      </s:c>
      <s:c r="AB62" s="18">
        <s:f>AB91</s:f>
        <s:v>-1.0807337472979128</s:v>
      </s:c>
      <s:c r="AC62" s="18">
        <s:f>AC91</s:f>
        <s:v>-1.166044307572467</s:v>
      </s:c>
      <s:c r="AD62" s="18">
        <s:f>AD91</s:f>
        <s:v>-1.1028134208559082</s:v>
      </s:c>
    </s:row>
    <s:row r="63">
      <s:c r="A63" s="8" t="inlineStr">
        <s:is>
          <s:t xml:space="preserve">    unit size / party size (pp)</s:t>
        </s:is>
      </s:c>
      <s:c r="B63" s="4" t="inlineStr">
        <s:is>
          <s:t>history: H; forward: card v3 measured 3Q26 term +0.797 carried (I_mix_terms_3q26.csv)</s:t>
        </s:is>
      </s:c>
      <s:c r="K63" s="12" t="n">
        <s:v>0.4620912842772667</s:v>
      </s:c>
      <s:c r="L63" s="12" t="n">
        <s:v>0.3621440282039081</s:v>
      </s:c>
      <s:c r="M63" s="12" t="n">
        <s:v>0.4098973686879872</s:v>
      </s:c>
      <s:c r="N63" s="12" t="n">
        <s:v>0.2906539573280417</s:v>
      </s:c>
      <s:c r="O63" s="12" t="n">
        <s:v>0.9633505413705318</s:v>
      </s:c>
      <s:c r="P63" s="12" t="n">
        <s:v>0.7721595803184097</s:v>
      </s:c>
      <s:c r="Q63" s="12" t="n">
        <s:v>0.8903157468661863</s:v>
      </s:c>
      <s:c r="R63" s="12" t="n">
        <s:v>0.7066747659259102</s:v>
      </s:c>
      <s:c r="S63" s="12" t="n">
        <s:v>0.6690991824547088</s:v>
      </s:c>
      <s:c r="T63" s="12" t="n">
        <s:v>0.7324103132323075</s:v>
      </s:c>
      <s:c r="U63" s="12" t="n">
        <s:v>0.7481509563315145</s:v>
      </s:c>
      <s:c r="V63" s="12" t="n">
        <s:v>0.8224227396698655</s:v>
      </s:c>
      <s:c r="W63" s="12" t="n">
        <s:v>0.9450489445563696</s:v>
      </s:c>
      <s:c r="X63" s="12" t="n">
        <s:v>0.7004681684496338</s:v>
      </s:c>
      <s:c r="Y63" s="12" t="n">
        <s:v>0.796672</s:v>
      </s:c>
      <s:c r="Z63" s="12" t="n">
        <s:v>0.796672</s:v>
      </s:c>
      <s:c r="AA63" s="12" t="n">
        <s:v>0.796672</s:v>
      </s:c>
      <s:c r="AB63" s="12" t="n">
        <s:v>0.796672</s:v>
      </s:c>
      <s:c r="AC63" s="12" t="n">
        <s:v>0.796672</s:v>
      </s:c>
      <s:c r="AD63" s="12" t="n">
        <s:v>0.796672</s:v>
      </s:c>
    </s:row>
    <s:row r="64">
      <s:c r="A64" s="8" t="inlineStr">
        <s:is>
          <s:t xml:space="preserve">    length-of-stay mix (pp)</s:t>
        </s:is>
      </s:c>
      <s:c r="B64" s="4" t="inlineStr">
        <s:is>
          <s:t>history: H; forward: card +0.056 carried</s:t>
        </s:is>
      </s:c>
      <s:c r="K64" s="12" t="n">
        <s:v>0.4626252943505493</s:v>
      </s:c>
      <s:c r="L64" s="12" t="n">
        <s:v>0.1183751453729842</s:v>
      </s:c>
      <s:c r="M64" s="12" t="n">
        <s:v>0.3015954388247532</s:v>
      </s:c>
      <s:c r="N64" s="12" t="n">
        <s:v>0.3639387380400816</s:v>
      </s:c>
      <s:c r="O64" s="12" t="n">
        <s:v>0.2125302124850181</s:v>
      </s:c>
      <s:c r="P64" s="12" t="n">
        <s:v>0.2316928734386047</s:v>
      </s:c>
      <s:c r="Q64" s="12" t="n">
        <s:v>0.2526948668717388</s:v>
      </s:c>
      <s:c r="R64" s="12" t="n">
        <s:v>0.4315510396297295</s:v>
      </s:c>
      <s:c r="S64" s="12" t="n">
        <s:v>0.2787347156817832</s:v>
      </s:c>
      <s:c r="T64" s="12" t="n">
        <s:v>0.3484146139979049</s:v>
      </s:c>
      <s:c r="U64" s="12" t="n">
        <s:v>0.3076491557727268</s:v>
      </s:c>
      <s:c r="V64" s="12" t="n">
        <s:v>0.2210184783094426</s:v>
      </s:c>
      <s:c r="W64" s="12" t="n">
        <s:v>0.3</s:v>
      </s:c>
      <s:c r="X64" s="12" t="n">
        <s:v>0.3</s:v>
      </s:c>
      <s:c r="Y64" s="12" t="n">
        <s:v>0.056264</s:v>
      </s:c>
      <s:c r="Z64" s="12" t="n">
        <s:v>0.056264</s:v>
      </s:c>
      <s:c r="AA64" s="12" t="n">
        <s:v>0.056264</s:v>
      </s:c>
      <s:c r="AB64" s="12" t="n">
        <s:v>0.056264</s:v>
      </s:c>
      <s:c r="AC64" s="12" t="n">
        <s:v>0.056264</s:v>
      </s:c>
      <s:c r="AD64" s="12" t="n">
        <s:v>0.056264</s:v>
      </s:c>
    </s:row>
    <s:row r="65">
      <s:c r="A65" s="8" t="inlineStr">
        <s:is>
          <s:t xml:space="preserve">    seats / new business dilution (pp)</s:t>
        </s:is>
      </s:c>
      <s:c r="B65" s="4" t="inlineStr">
        <s:is>
          <s:t>history: H 15_seats_dilution; forward: −0.483 (2026), −0.565 (2027), assumed</s:t>
        </s:is>
      </s:c>
      <s:c r="K65" s="12" t="n">
        <s:v>0</s:v>
      </s:c>
      <s:c r="L65" s="12" t="n">
        <s:v>0</s:v>
      </s:c>
      <s:c r="M65" s="12" t="n">
        <s:v>0</s:v>
      </s:c>
      <s:c r="N65" s="12" t="n">
        <s:v>0</s:v>
      </s:c>
      <s:c r="O65" s="12" t="n">
        <s:v>0</s:v>
      </s:c>
      <s:c r="P65" s="12" t="n">
        <s:v>0</s:v>
      </s:c>
      <s:c r="Q65" s="12" t="n">
        <s:v>0</s:v>
      </s:c>
      <s:c r="R65" s="12" t="n">
        <s:v>0</s:v>
      </s:c>
      <s:c r="S65" s="12" t="n">
        <s:v>-0.1765366347734276</s:v>
      </s:c>
      <s:c r="T65" s="12" t="n">
        <s:v>-0.1765366347734276</s:v>
      </s:c>
      <s:c r="U65" s="12" t="n">
        <s:v>-0.1765366347734276</s:v>
      </s:c>
      <s:c r="V65" s="12" t="n">
        <s:v>-0.1765366347734276</s:v>
      </s:c>
      <s:c r="W65" s="12" t="n">
        <s:v>-0.4825701517057523</s:v>
      </s:c>
      <s:c r="X65" s="12" t="n">
        <s:v>-0.4825701517057523</s:v>
      </s:c>
      <s:c r="Y65" s="12" t="n">
        <s:v>-0.48257</s:v>
      </s:c>
      <s:c r="Z65" s="12" t="n">
        <s:v>-0.48257</s:v>
      </s:c>
      <s:c r="AA65" s="12" t="n">
        <s:v>-0.5649999999999999</s:v>
      </s:c>
      <s:c r="AB65" s="12" t="n">
        <s:v>-0.5649999999999999</s:v>
      </s:c>
      <s:c r="AC65" s="12" t="n">
        <s:v>-0.5649999999999999</s:v>
      </s:c>
      <s:c r="AD65" s="12" t="n">
        <s:v>-0.5649999999999999</s:v>
      </s:c>
    </s:row>
    <s:row r="66">
      <s:c r="A66" s="8" t="inlineStr">
        <s:is>
          <s:t xml:space="preserve">    interaction (pp)</s:t>
        </s:is>
      </s:c>
      <s:c r="B66" s="4" t="inlineStr">
        <s:is>
          <s:t>H, descriptive −0.10</s:t>
        </s:is>
      </s:c>
      <s:c r="K66" s="12" t="n">
        <s:v>-0.0494786368971566</s:v>
      </s:c>
      <s:c r="L66" s="12" t="n">
        <s:v>-0.0494786368971566</s:v>
      </s:c>
      <s:c r="M66" s="12" t="n">
        <s:v>-0.0494786368971566</s:v>
      </s:c>
      <s:c r="N66" s="12" t="n">
        <s:v>-0.0494786368971566</s:v>
      </s:c>
      <s:c r="O66" s="12" t="n">
        <s:v>-0.1065834527970392</s:v>
      </s:c>
      <s:c r="P66" s="12" t="n">
        <s:v>-0.1065834527970392</s:v>
      </s:c>
      <s:c r="Q66" s="12" t="n">
        <s:v>-0.1065834527970392</s:v>
      </s:c>
      <s:c r="R66" s="12" t="n">
        <s:v>-0.1065834527970392</s:v>
      </s:c>
      <s:c r="S66" s="12" t="n">
        <s:v>-0.1083206075608631</s:v>
      </s:c>
      <s:c r="T66" s="12" t="n">
        <s:v>-0.1083206075608631</s:v>
      </s:c>
      <s:c r="U66" s="12" t="n">
        <s:v>-0.1083206075608631</s:v>
      </s:c>
      <s:c r="V66" s="12" t="n">
        <s:v>-0.1083206075608631</s:v>
      </s:c>
      <s:c r="W66" s="12" t="n">
        <s:v>-0.1</s:v>
      </s:c>
      <s:c r="X66" s="12" t="n">
        <s:v>-0.1</s:v>
      </s:c>
      <s:c r="Y66" s="12" t="n">
        <s:v>-0.1</s:v>
      </s:c>
      <s:c r="Z66" s="12" t="n">
        <s:v>-0.1</s:v>
      </s:c>
      <s:c r="AA66" s="12" t="n">
        <s:v>-0.1</s:v>
      </s:c>
      <s:c r="AB66" s="12" t="n">
        <s:v>-0.1</s:v>
      </s:c>
      <s:c r="AC66" s="12" t="n">
        <s:v>-0.1</s:v>
      </s:c>
      <s:c r="AD66" s="12" t="n">
        <s:v>-0.1</s:v>
      </s:c>
    </s:row>
    <s:row r="67">
      <s:c r="A67" s="8" t="inlineStr">
        <s:is>
          <s:t xml:space="preserve">    like-for-like residual (pp) = ex-FX − the five terms above</s:t>
        </s:is>
      </s:c>
      <s:c r="B67" s="4" t="inlineStr">
        <s:is>
          <s:t>history: formula; forward: core + bundle</s:t>
        </s:is>
      </s:c>
      <s:c r="K67" s="16">
        <s:f>K61-SUM(K62:K66)</s:f>
        <s:v>3.476559952878449</s:v>
      </s:c>
      <s:c r="L67" s="16">
        <s:f>L61-SUM(L62:L66)</s:f>
        <s:v>2.472039916594317</s:v>
      </s:c>
      <s:c r="M67" s="16">
        <s:f>M61-SUM(M62:M66)</s:f>
        <s:v>1.0051938135534888</s:v>
      </s:c>
      <s:c r="N67" s="16">
        <s:f>N61-SUM(N62:N66)</s:f>
        <s:v>0.833962806970579</s:v>
      </s:c>
      <s:c r="O67" s="16">
        <s:f>O61-SUM(O62:O66)</s:f>
        <s:v>2.255775208286238</s:v>
      </s:c>
      <s:c r="P67" s="16">
        <s:f>P61-SUM(P62:P66)</s:f>
        <s:v>3.234375616562977</s:v>
      </s:c>
      <s:c r="Q67" s="16">
        <s:f>Q61-SUM(Q62:Q66)</s:f>
        <s:v>2.083188605444465</s:v>
      </s:c>
      <s:c r="R67" s="16">
        <s:f>R61-SUM(R62:R66)</s:f>
        <s:v>2.7602451015996308</s:v>
      </s:c>
      <s:c r="S67" s="16">
        <s:f>S61-SUM(S62:S66)</s:f>
        <s:v>2.231373644528559</s:v>
      </s:c>
      <s:c r="T67" s="16">
        <s:f>T61-SUM(T62:T66)</s:f>
        <s:v>1.905622741315353</s:v>
      </s:c>
      <s:c r="U67" s="16">
        <s:f>U61-SUM(U62:U66)</s:f>
        <s:v>2.8222911901990333</s:v>
      </s:c>
      <s:c r="V67" s="16">
        <s:f>V61-SUM(V62:V66)</s:f>
        <s:v>3.698813182121521</s:v>
      </s:c>
      <s:c r="W67" s="16">
        <s:f>W61-SUM(W62:W66)</s:f>
        <s:v>4.380588950682848</s:v>
      </s:c>
      <s:c r="X67" s="16">
        <s:f>X61-SUM(X62:X66)</s:f>
        <s:v>4.849326376486489</s:v>
      </s:c>
      <s:c r="Y67" s="16">
        <s:f>Y68+Y73</s:f>
        <s:v>4.338215265375378</s:v>
      </s:c>
      <s:c r="Z67" s="16">
        <s:f>Z68+Z73</s:f>
        <s:v>3.8493263764864887</s:v>
      </s:c>
      <s:c r="AA67" s="16">
        <s:f>AA68+AA73</s:f>
        <s:v>3.8493263764864887</s:v>
      </s:c>
      <s:c r="AB67" s="16">
        <s:f>AB68+AB73</s:f>
        <s:v>3.8493263764864887</s:v>
      </s:c>
      <s:c r="AC67" s="16">
        <s:f>AC68+AC73</s:f>
        <s:v>3.8493263764864887</s:v>
      </s:c>
      <s:c r="AD67" s="16">
        <s:f>AD68+AD73</s:f>
        <s:v>3.8493263764864887</s:v>
      </s:c>
    </s:row>
    <s:row r="68">
      <s:c r="A68" s="8" t="inlineStr">
        <s:is>
          <s:t xml:space="preserve">    core (pp) = residual − bundle live in the quarter</s:t>
        </s:is>
      </s:c>
      <s:c r="B68" s="4" t="inlineStr">
        <s:is>
          <s:t>history: formula; forward: carried at the last observed value (2Q26) — the same carry rule the card applies to the residual</s:t>
        </s:is>
      </s:c>
      <s:c r="K68" s="16">
        <s:f>K67-K73</s:f>
        <s:v>3.476559952878449</s:v>
      </s:c>
      <s:c r="L68" s="16">
        <s:f>L67-L73</s:f>
        <s:v>2.472039916594317</s:v>
      </s:c>
      <s:c r="M68" s="16">
        <s:f>M67-M73</s:f>
        <s:v>1.0051938135534888</s:v>
      </s:c>
      <s:c r="N68" s="16">
        <s:f>N67-N73</s:f>
        <s:v>0.833962806970579</s:v>
      </s:c>
      <s:c r="O68" s="16">
        <s:f>O67-O73</s:f>
        <s:v>2.255775208286238</s:v>
      </s:c>
      <s:c r="P68" s="16">
        <s:f>P67-P73</s:f>
        <s:v>3.234375616562977</s:v>
      </s:c>
      <s:c r="Q68" s="16">
        <s:f>Q67-Q73</s:f>
        <s:v>2.083188605444465</s:v>
      </s:c>
      <s:c r="R68" s="16">
        <s:f>R67-R73</s:f>
        <s:v>2.7602451015996308</s:v>
      </s:c>
      <s:c r="S68" s="16">
        <s:f>S67-S73</s:f>
        <s:v>2.231373644528559</s:v>
      </s:c>
      <s:c r="T68" s="16">
        <s:f>T67-T73</s:f>
        <s:v>1.905622741315353</s:v>
      </s:c>
      <s:c r="U68" s="16">
        <s:f>U67-U73</s:f>
        <s:v>2.3111800790879222</s:v>
      </s:c>
      <s:c r="V68" s="16">
        <s:f>V67-V73</s:f>
        <s:v>2.698813182121521</s:v>
      </s:c>
      <s:c r="W68" s="16">
        <s:f>W67-W73</s:f>
        <s:v>3.3805889506828484</s:v>
      </s:c>
      <s:c r="X68" s="16">
        <s:f>X67-X73</s:f>
        <s:v>3.8493263764864887</s:v>
      </s:c>
      <s:c r="Y68" s="16">
        <s:f>X68</s:f>
        <s:v>3.8493263764864887</s:v>
      </s:c>
      <s:c r="Z68" s="16">
        <s:f>X68</s:f>
        <s:v>3.8493263764864887</s:v>
      </s:c>
      <s:c r="AA68" s="16">
        <s:f>X68</s:f>
        <s:v>3.8493263764864887</s:v>
      </s:c>
      <s:c r="AB68" s="16">
        <s:f>X68</s:f>
        <s:v>3.8493263764864887</s:v>
      </s:c>
      <s:c r="AC68" s="16">
        <s:f>X68</s:f>
        <s:v>3.8493263764864887</s:v>
      </s:c>
      <s:c r="AD68" s="16">
        <s:f>X68</s:f>
        <s:v>3.8493263764864887</s:v>
      </s:c>
    </s:row>
    <s:row r="70">
      <s:c r="A70" s="8" t="inlineStr">
        <s:is>
          <s:t xml:space="preserve">    bundle leg: RNPL North America (larger-home mix), live 3Q25–2Q26, laps 3Q26</s:t>
        </s:is>
      </s:c>
      <s:c r="B70" s="4" t="inlineStr">
        <s:is>
          <s:t>ledger D014/D032 (~1pp bundle ADR, transcript-only) split by K4 residual steps 0.92:0.88</s:t>
        </s:is>
      </s:c>
      <s:c r="K70" s="12" t="n">
        <s:v>0</s:v>
      </s:c>
      <s:c r="L70" s="12" t="n">
        <s:v>0</s:v>
      </s:c>
      <s:c r="M70" s="12" t="n">
        <s:v>0</s:v>
      </s:c>
      <s:c r="N70" s="12" t="n">
        <s:v>0</s:v>
      </s:c>
      <s:c r="O70" s="12" t="n">
        <s:v>0</s:v>
      </s:c>
      <s:c r="P70" s="12" t="n">
        <s:v>0</s:v>
      </s:c>
      <s:c r="Q70" s="12" t="n">
        <s:v>0</s:v>
      </s:c>
      <s:c r="R70" s="12" t="n">
        <s:v>0</s:v>
      </s:c>
      <s:c r="S70" s="12" t="n">
        <s:v>0</s:v>
      </s:c>
      <s:c r="T70" s="12" t="n">
        <s:v>0</s:v>
      </s:c>
      <s:c r="U70" s="12" t="n">
        <s:v>0.5111111111111111</s:v>
      </s:c>
      <s:c r="V70" s="12" t="n">
        <s:v>0.5111111111111111</s:v>
      </s:c>
      <s:c r="W70" s="12" t="n">
        <s:v>0.5111111111111111</s:v>
      </s:c>
      <s:c r="X70" s="12" t="n">
        <s:v>0.5111111111111111</s:v>
      </s:c>
      <s:c r="Y70" s="12" t="n">
        <s:v>0</s:v>
      </s:c>
      <s:c r="Z70" s="12" t="n">
        <s:v>0</s:v>
      </s:c>
      <s:c r="AA70" s="12" t="n">
        <s:v>0</s:v>
      </s:c>
      <s:c r="AB70" s="12" t="n">
        <s:v>0</s:v>
      </s:c>
      <s:c r="AC70" s="12" t="n">
        <s:v>0</s:v>
      </s:c>
      <s:c r="AD70" s="12" t="n">
        <s:v>0</s:v>
      </s:c>
    </s:row>
    <s:row r="71">
      <s:c r="A71" s="8" t="inlineStr">
        <s:is>
          <s:t xml:space="preserve">    bundle leg: cancellation redesign + single fee, live 4Q25–3Q26 (global), laps 4Q26</s:t>
        </s:is>
      </s:c>
      <s:c r="B71" s="4" t="inlineStr">
        <s:is>
          <s:t>same sizing; dates ledger D012/D013/D024/D060</s:t>
        </s:is>
      </s:c>
      <s:c r="K71" s="12" t="n">
        <s:v>0</s:v>
      </s:c>
      <s:c r="L71" s="12" t="n">
        <s:v>0</s:v>
      </s:c>
      <s:c r="M71" s="12" t="n">
        <s:v>0</s:v>
      </s:c>
      <s:c r="N71" s="12" t="n">
        <s:v>0</s:v>
      </s:c>
      <s:c r="O71" s="12" t="n">
        <s:v>0</s:v>
      </s:c>
      <s:c r="P71" s="12" t="n">
        <s:v>0</s:v>
      </s:c>
      <s:c r="Q71" s="12" t="n">
        <s:v>0</s:v>
      </s:c>
      <s:c r="R71" s="12" t="n">
        <s:v>0</s:v>
      </s:c>
      <s:c r="S71" s="12" t="n">
        <s:v>0</s:v>
      </s:c>
      <s:c r="T71" s="12" t="n">
        <s:v>0</s:v>
      </s:c>
      <s:c r="U71" s="12" t="n">
        <s:v>0</s:v>
      </s:c>
      <s:c r="V71" s="12" t="n">
        <s:v>0.4888888888888889</s:v>
      </s:c>
      <s:c r="W71" s="12" t="n">
        <s:v>0.4888888888888889</s:v>
      </s:c>
      <s:c r="X71" s="12" t="n">
        <s:v>0.4888888888888889</s:v>
      </s:c>
      <s:c r="Y71" s="12" t="n">
        <s:v>0.4888888888888889</s:v>
      </s:c>
      <s:c r="Z71" s="12" t="n">
        <s:v>0</s:v>
      </s:c>
      <s:c r="AA71" s="12" t="n">
        <s:v>0</s:v>
      </s:c>
      <s:c r="AB71" s="12" t="n">
        <s:v>0</s:v>
      </s:c>
      <s:c r="AC71" s="12" t="n">
        <s:v>0</s:v>
      </s:c>
      <s:c r="AD71" s="12" t="n">
        <s:v>0</s:v>
      </s:c>
    </s:row>
    <s:row r="72">
      <s:c r="A72" s="8" t="inlineStr">
        <s:is>
          <s:t xml:space="preserve">    bundle leg: RNPL ex-NA (live 17 Feb 2026), base 0.0 (unsized by management); high 1.15</s:t>
        </s:is>
      </s:c>
      <s:c r="B72" s="4" t="inlineStr">
        <s:is>
          <s:t>alternative in block F</s:t>
        </s:is>
      </s:c>
      <s:c r="K72" s="12" t="n">
        <s:v>0</s:v>
      </s:c>
      <s:c r="L72" s="12" t="n">
        <s:v>0</s:v>
      </s:c>
      <s:c r="M72" s="12" t="n">
        <s:v>0</s:v>
      </s:c>
      <s:c r="N72" s="12" t="n">
        <s:v>0</s:v>
      </s:c>
      <s:c r="O72" s="12" t="n">
        <s:v>0</s:v>
      </s:c>
      <s:c r="P72" s="12" t="n">
        <s:v>0</s:v>
      </s:c>
      <s:c r="Q72" s="12" t="n">
        <s:v>0</s:v>
      </s:c>
      <s:c r="R72" s="12" t="n">
        <s:v>0</s:v>
      </s:c>
      <s:c r="S72" s="12" t="n">
        <s:v>0</s:v>
      </s:c>
      <s:c r="T72" s="12" t="n">
        <s:v>0</s:v>
      </s:c>
      <s:c r="U72" s="12" t="n">
        <s:v>0</s:v>
      </s:c>
      <s:c r="V72" s="12" t="n">
        <s:v>0</s:v>
      </s:c>
      <s:c r="W72" s="12" t="n">
        <s:v>0</s:v>
      </s:c>
      <s:c r="X72" s="12" t="n">
        <s:v>0</s:v>
      </s:c>
      <s:c r="Y72" s="12" t="n">
        <s:v>0</s:v>
      </s:c>
      <s:c r="Z72" s="12" t="n">
        <s:v>0</s:v>
      </s:c>
      <s:c r="AA72" s="12" t="n">
        <s:v>0</s:v>
      </s:c>
      <s:c r="AB72" s="12" t="n">
        <s:v>0</s:v>
      </s:c>
      <s:c r="AC72" s="12" t="n">
        <s:v>0</s:v>
      </s:c>
      <s:c r="AD72" s="12" t="n">
        <s:v>0</s:v>
      </s:c>
    </s:row>
    <s:row r="73">
      <s:c r="A73" s="8" t="inlineStr">
        <s:is>
          <s:t xml:space="preserve">    bundle live (pp)</s:t>
        </s:is>
      </s:c>
      <s:c r="B73" s="4" t="inlineStr">
        <s:is>
          <s:t>→ sum of the three legs</s:t>
        </s:is>
      </s:c>
      <s:c r="K73" s="16">
        <s:f>SUM(K70:K72)</s:f>
        <s:v>0.0</s:v>
      </s:c>
      <s:c r="L73" s="16">
        <s:f>SUM(L70:L72)</s:f>
        <s:v>0.0</s:v>
      </s:c>
      <s:c r="M73" s="16">
        <s:f>SUM(M70:M72)</s:f>
        <s:v>0.0</s:v>
      </s:c>
      <s:c r="N73" s="16">
        <s:f>SUM(N70:N72)</s:f>
        <s:v>0.0</s:v>
      </s:c>
      <s:c r="O73" s="16">
        <s:f>SUM(O70:O72)</s:f>
        <s:v>0.0</s:v>
      </s:c>
      <s:c r="P73" s="16">
        <s:f>SUM(P70:P72)</s:f>
        <s:v>0.0</s:v>
      </s:c>
      <s:c r="Q73" s="16">
        <s:f>SUM(Q70:Q72)</s:f>
        <s:v>0.0</s:v>
      </s:c>
      <s:c r="R73" s="16">
        <s:f>SUM(R70:R72)</s:f>
        <s:v>0.0</s:v>
      </s:c>
      <s:c r="S73" s="16">
        <s:f>SUM(S70:S72)</s:f>
        <s:v>0.0</s:v>
      </s:c>
      <s:c r="T73" s="16">
        <s:f>SUM(T70:T72)</s:f>
        <s:v>0.0</s:v>
      </s:c>
      <s:c r="U73" s="16">
        <s:f>SUM(U70:U72)</s:f>
        <s:v>0.511111111111111</s:v>
      </s:c>
      <s:c r="V73" s="16">
        <s:f>SUM(V70:V72)</s:f>
        <s:v>1.0</s:v>
      </s:c>
      <s:c r="W73" s="16">
        <s:f>SUM(W70:W72)</s:f>
        <s:v>1.0</s:v>
      </s:c>
      <s:c r="X73" s="16">
        <s:f>SUM(X70:X72)</s:f>
        <s:v>1.0</s:v>
      </s:c>
      <s:c r="Y73" s="16">
        <s:f>SUM(Y70:Y72)</s:f>
        <s:v>0.488888888888889</s:v>
      </s:c>
      <s:c r="Z73" s="16">
        <s:f>SUM(Z70:Z72)</s:f>
        <s:v>0.0</s:v>
      </s:c>
      <s:c r="AA73" s="16">
        <s:f>SUM(AA70:AA72)</s:f>
        <s:v>0.0</s:v>
      </s:c>
      <s:c r="AB73" s="16">
        <s:f>SUM(AB70:AB72)</s:f>
        <s:v>0.0</s:v>
      </s:c>
      <s:c r="AC73" s="16">
        <s:f>SUM(AC70:AC72)</s:f>
        <s:v>0.0</s:v>
      </s:c>
      <s:c r="AD73" s="16">
        <s:f>SUM(AD70:AD72)</s:f>
        <s:v>0.0</s:v>
      </s:c>
    </s:row>
    <s:row r="75">
      <s:c r="A75" s="8" t="inlineStr">
        <s:is>
          <s:t>EX-FX ADR y/y — mechanism (pp)</s:t>
        </s:is>
      </s:c>
      <s:c r="B75" s="4" t="inlineStr">
        <s:is>
          <s:t>→ core + bundle + geo + unit + LOS + seats + interaction; history = disclosed</s:t>
        </s:is>
      </s:c>
      <s:c r="K75" s="18">
        <s:f>K61</s:f>
        <s:v>3.0</s:v>
      </s:c>
      <s:c r="L75" s="18">
        <s:f>L61</s:f>
        <s:v>2.0</s:v>
      </s:c>
      <s:c r="M75" s="18">
        <s:f>M61</s:f>
        <s:v>0.5</s:v>
      </s:c>
      <s:c r="N75" s="18">
        <s:f>N61</s:f>
        <s:v>0.5</s:v>
      </s:c>
      <s:c r="O75" s="18">
        <s:f>O61</s:f>
        <s:v>2.0</s:v>
      </s:c>
      <s:c r="P75" s="18">
        <s:f>P61</s:f>
        <s:v>3.0</s:v>
      </s:c>
      <s:c r="Q75" s="18">
        <s:f>Q61</s:f>
        <s:v>2.0</s:v>
      </s:c>
      <s:c r="R75" s="18">
        <s:f>R61</s:f>
        <s:v>2.0</s:v>
      </s:c>
      <s:c r="S75" s="18">
        <s:f>S61</s:f>
        <s:v>1.0</s:v>
      </s:c>
      <s:c r="T75" s="18">
        <s:f>T61</s:f>
        <s:v>1.0</s:v>
      </s:c>
      <s:c r="U75" s="18">
        <s:f>U61</s:f>
        <s:v>2.0</s:v>
      </s:c>
      <s:c r="V75" s="18">
        <s:f>V61</s:f>
        <s:v>3.0</s:v>
      </s:c>
      <s:c r="W75" s="18">
        <s:f>W61</s:f>
        <s:v>4.0</s:v>
      </s:c>
      <s:c r="X75" s="18">
        <s:f>X61</s:f>
        <s:v>4.0</s:v>
      </s:c>
      <s:c r="Y75" s="14">
        <s:f>Y68+Y73+SUM(Y62:Y66)</s:f>
        <s:v>3.3159474592555416</s:v>
      </s:c>
      <s:c r="Z75" s="14">
        <s:f>Z68+Z73+SUM(Z62:Z66)</s:f>
        <s:v>2.784074164071942</s:v>
      </s:c>
      <s:c r="AA75" s="14">
        <s:f>AA68+AA73+SUM(AA62:AA66)</s:f>
        <s:v>2.4168771271394216</s:v>
      </s:c>
      <s:c r="AB75" s="14">
        <s:f>AB68+AB73+SUM(AB62:AB66)</s:f>
        <s:v>2.956528629188576</s:v>
      </s:c>
      <s:c r="AC75" s="14">
        <s:f>AC68+AC73+SUM(AC62:AC66)</s:f>
        <s:v>2.871218068914022</s:v>
      </s:c>
      <s:c r="AD75" s="14">
        <s:f>AD68+AD73+SUM(AD62:AD66)</s:f>
        <s:v>2.9344489556305806</s:v>
      </s:c>
    </s:row>
    <s:row r="77">
      <s:c r="A77" s="8" t="inlineStr">
        <s:is>
          <s:t>C1. Geo-mix arithmetic for the forward quarters: regional nights growth from the nights line (nights_v2_design.md §2.1), base-quarter shares and regional ADR levels held</s:t>
        </s:is>
      </s:c>
      <s:c r="B77" s="4" t="inlineStr">
        <s:is>
          <s:t>regional_growth_forward.csv; 04_regional_quarterly_wide.csv (disclosed-chained)</s:t>
        </s:is>
      </s:c>
    </s:row>
    <s:row r="78">
      <s:c r="A78" s="8" t="inlineStr">
        <s:is>
          <s:t xml:space="preserve">    nights growth, na (%)</s:t>
        </s:is>
      </s:c>
      <s:c r="B78" s="4" t="inlineStr">
        <s:is>
          <s:t>NA = nights line; ex-NA = 2Q26 bucket pattern (EMEA 8 / LatAm 20 / APAC 18) scaled to the line's ex-NA rate</s:t>
        </s:is>
      </s:c>
      <s:c r="Y78" s="12" t="n">
        <s:v>5.6</s:v>
      </s:c>
      <s:c r="Z78" s="12" t="n">
        <s:v>3.31</s:v>
      </s:c>
      <s:c r="AA78" s="12" t="n">
        <s:v>2.31</s:v>
      </s:c>
      <s:c r="AB78" s="12" t="n">
        <s:v>2.31</s:v>
      </s:c>
      <s:c r="AC78" s="12" t="n">
        <s:v>2.31</s:v>
      </s:c>
      <s:c r="AD78" s="12" t="n">
        <s:v>2.31</s:v>
      </s:c>
    </s:row>
    <s:row r="79">
      <s:c r="A79" s="8" t="inlineStr">
        <s:is>
          <s:t xml:space="preserve">    nights growth, emea (%)</s:t>
        </s:is>
      </s:c>
      <s:c r="B79" s="4" t="inlineStr">
        <s:is>
          <s:t>NA = nights line; ex-NA = 2Q26 bucket pattern (EMEA 8 / LatAm 20 / APAC 18) scaled to the line's ex-NA rate</s:t>
        </s:is>
      </s:c>
      <s:c r="Y79" s="12" t="n">
        <s:v>7.078691068961446</s:v>
      </s:c>
      <s:c r="Z79" s="12" t="n">
        <s:v>6.316615068619684</s:v>
      </s:c>
      <s:c r="AA79" s="12" t="n">
        <s:v>6.53339354949878</s:v>
      </s:c>
      <s:c r="AB79" s="12" t="n">
        <s:v>4.672499916460061</s:v>
      </s:c>
      <s:c r="AC79" s="12" t="n">
        <s:v>4.672643449515583</s:v>
      </s:c>
      <s:c r="AD79" s="12" t="n">
        <s:v>4.635721906664157</s:v>
      </s:c>
    </s:row>
    <s:row r="80">
      <s:c r="A80" s="8" t="inlineStr">
        <s:is>
          <s:t xml:space="preserve">    nights growth, latam (%)</s:t>
        </s:is>
      </s:c>
      <s:c r="B80" s="4" t="inlineStr">
        <s:is>
          <s:t>NA = nights line; ex-NA = 2Q26 bucket pattern (EMEA 8 / LatAm 20 / APAC 18) scaled to the line's ex-NA rate</s:t>
        </s:is>
      </s:c>
      <s:c r="Y80" s="12" t="n">
        <s:v>17.69672767240361</s:v>
      </s:c>
      <s:c r="Z80" s="12" t="n">
        <s:v>15.79153767154921</s:v>
      </s:c>
      <s:c r="AA80" s="12" t="n">
        <s:v>16.33348387374695</s:v>
      </s:c>
      <s:c r="AB80" s="12" t="n">
        <s:v>11.68124979115015</s:v>
      </s:c>
      <s:c r="AC80" s="12" t="n">
        <s:v>11.68160862378896</s:v>
      </s:c>
      <s:c r="AD80" s="12" t="n">
        <s:v>11.58930476666039</s:v>
      </s:c>
    </s:row>
    <s:row r="81">
      <s:c r="A81" s="8" t="inlineStr">
        <s:is>
          <s:t xml:space="preserve">    nights growth, apac (%)</s:t>
        </s:is>
      </s:c>
      <s:c r="B81" s="4" t="inlineStr">
        <s:is>
          <s:t>NA = nights line; ex-NA = 2Q26 bucket pattern (EMEA 8 / LatAm 20 / APAC 18) scaled to the line's ex-NA rate</s:t>
        </s:is>
      </s:c>
      <s:c r="Y81" s="12" t="n">
        <s:v>15.92705490516325</s:v>
      </s:c>
      <s:c r="Z81" s="12" t="n">
        <s:v>14.21238390439429</s:v>
      </s:c>
      <s:c r="AA81" s="12" t="n">
        <s:v>14.70013548637226</s:v>
      </s:c>
      <s:c r="AB81" s="12" t="n">
        <s:v>10.51312481203514</s:v>
      </s:c>
      <s:c r="AC81" s="12" t="n">
        <s:v>10.51344776141006</s:v>
      </s:c>
      <s:c r="AD81" s="12" t="n">
        <s:v>10.43037428999435</s:v>
      </s:c>
    </s:row>
    <s:row r="82">
      <s:c r="A82" s="8" t="inlineStr">
        <s:is>
          <s:t xml:space="preserve">    base-quarter nights share, na</s:t>
        </s:is>
      </s:c>
      <s:c r="Y82" s="26" t="n">
        <s:v>0.313935</s:v>
      </s:c>
      <s:c r="Z82" s="26" t="n">
        <s:v>0.300561</s:v>
      </s:c>
      <s:c r="AA82" s="26" t="n">
        <s:v>0.277286</s:v>
      </s:c>
      <s:c r="AB82" s="26" t="n">
        <s:v>0.282553</s:v>
      </s:c>
      <s:c r="AC82" s="26" t="n">
        <s:v>0.3016875153566846</s:v>
      </s:c>
      <s:c r="AD82" s="26" t="n">
        <s:v>0.2870915142801668</s:v>
      </s:c>
    </s:row>
    <s:row r="83">
      <s:c r="A83" s="8" t="inlineStr">
        <s:is>
          <s:t xml:space="preserve">    base-quarter nights share, emea</s:t>
        </s:is>
      </s:c>
      <s:c r="Y83" s="26" t="n">
        <s:v>0.367798</s:v>
      </s:c>
      <s:c r="Z83" s="26" t="n">
        <s:v>0.402575</s:v>
      </s:c>
      <s:c r="AA83" s="26" t="n">
        <s:v>0.396427</s:v>
      </s:c>
      <s:c r="AB83" s="26" t="n">
        <s:v>0.4155</s:v>
      </s:c>
      <s:c r="AC83" s="26" t="n">
        <s:v>0.3583984312774203</s:v>
      </s:c>
      <s:c r="AD83" s="26" t="n">
        <s:v>0.395724838071041</s:v>
      </s:c>
    </s:row>
    <s:row r="84">
      <s:c r="A84" s="8" t="inlineStr">
        <s:is>
          <s:t xml:space="preserve">    base-quarter nights share, latam</s:t>
        </s:is>
      </s:c>
      <s:c r="Y84" s="26" t="n">
        <s:v>0.169649</s:v>
      </s:c>
      <s:c r="Z84" s="26" t="n">
        <s:v>0.174009</s:v>
      </s:c>
      <s:c r="AA84" s="26" t="n">
        <s:v>0.179409</s:v>
      </s:c>
      <s:c r="AB84" s="26" t="n">
        <s:v>0.178621</s:v>
      </s:c>
      <s:c r="AC84" s="26" t="n">
        <s:v>0.1817060448724198</s:v>
      </s:c>
      <s:c r="AD84" s="26" t="n">
        <s:v>0.1862918690301008</s:v>
      </s:c>
    </s:row>
    <s:row r="85">
      <s:c r="A85" s="8" t="inlineStr">
        <s:is>
          <s:t xml:space="preserve">    base-quarter nights share, apac</s:t>
        </s:is>
      </s:c>
      <s:c r="Y85" s="26" t="n">
        <s:v>0.148618</s:v>
      </s:c>
      <s:c r="Z85" s="26" t="n">
        <s:v>0.122855</s:v>
      </s:c>
      <s:c r="AA85" s="26" t="n">
        <s:v>0.146878</s:v>
      </s:c>
      <s:c r="AB85" s="26" t="n">
        <s:v>0.123325</s:v>
      </s:c>
      <s:c r="AC85" s="26" t="n">
        <s:v>0.1567869451881983</s:v>
      </s:c>
      <s:c r="AD85" s="26" t="n">
        <s:v>0.1297332805511836</s:v>
      </s:c>
    </s:row>
    <s:row r="86">
      <s:c r="A86" s="8" t="inlineStr">
        <s:is>
          <s:t xml:space="preserve">    base-quarter regional ADR ($, anchored)</s:t>
        </s:is>
      </s:c>
      <s:c r="Y86" s="11" t="n">
        <s:v>249.337</s:v>
      </s:c>
      <s:c r="Z86" s="11" t="n">
        <s:v>247.2078</s:v>
      </s:c>
      <s:c r="AA86" s="11" t="n">
        <s:v>279.2009</s:v>
      </s:c>
      <s:c r="AB86" s="11" t="n">
        <s:v>280.7511</s:v>
      </s:c>
      <s:c r="AC86" s="11" t="n">
        <s:v>280.7511</s:v>
      </s:c>
      <s:c r="AD86" s="11" t="n">
        <s:v>280.7511</s:v>
      </s:c>
    </s:row>
    <s:row r="87">
      <s:c r="A87" s="8" t="inlineStr">
        <s:is>
          <s:t xml:space="preserve">    base-quarter regional ADR ($, anchored)</s:t>
        </s:is>
      </s:c>
      <s:c r="Y87" s="11" t="n">
        <s:v>162.0721</s:v>
      </s:c>
      <s:c r="Z87" s="11" t="n">
        <s:v>158.3398</s:v>
      </s:c>
      <s:c r="AA87" s="11" t="n">
        <s:v>180.3991</s:v>
      </s:c>
      <s:c r="AB87" s="11" t="n">
        <s:v>169.8482</s:v>
      </s:c>
      <s:c r="AC87" s="11" t="n">
        <s:v>169.8482</s:v>
      </s:c>
      <s:c r="AD87" s="11" t="n">
        <s:v>169.8482</s:v>
      </s:c>
    </s:row>
    <s:row r="88">
      <s:c r="A88" s="8" t="inlineStr">
        <s:is>
          <s:t xml:space="preserve">    base-quarter regional ADR ($, anchored)</s:t>
        </s:is>
      </s:c>
      <s:c r="Y88" s="11" t="n">
        <s:v>97.08110000000001</s:v>
      </s:c>
      <s:c r="Z88" s="11" t="n">
        <s:v>95.50830000000001</s:v>
      </s:c>
      <s:c r="AA88" s="11" t="n">
        <s:v>102.1656</s:v>
      </s:c>
      <s:c r="AB88" s="11" t="n">
        <s:v>102.8022</s:v>
      </s:c>
      <s:c r="AC88" s="11" t="n">
        <s:v>102.8022</s:v>
      </s:c>
      <s:c r="AD88" s="11" t="n">
        <s:v>102.8022</s:v>
      </s:c>
    </s:row>
    <s:row r="89">
      <s:c r="A89" s="8" t="inlineStr">
        <s:is>
          <s:t xml:space="preserve">    base-quarter regional ADR ($, anchored)</s:t>
        </s:is>
      </s:c>
      <s:c r="Y89" s="11" t="n">
        <s:v>116.0255</s:v>
      </s:c>
      <s:c r="Z89" s="11" t="n">
        <s:v>115.3398</s:v>
      </s:c>
      <s:c r="AA89" s="11" t="n">
        <s:v>127.7091</s:v>
      </s:c>
      <s:c r="AB89" s="11" t="n">
        <s:v>122.0612</s:v>
      </s:c>
      <s:c r="AC89" s="11" t="n">
        <s:v>122.0612</s:v>
      </s:c>
      <s:c r="AD89" s="11" t="n">
        <s:v>122.0612</s:v>
      </s:c>
    </s:row>
    <s:row r="90">
      <s:c r="A90" s="8" t="inlineStr">
        <s:is>
          <s:t xml:space="preserve">    total nights growth (%)</s:t>
        </s:is>
      </s:c>
      <s:c r="B90" s="4" t="inlineStr">
        <s:is>
          <s:t>→ SUMPRODUCT(shares, growth)</s:t>
        </s:is>
      </s:c>
      <s:c r="Y90" s="16">
        <s:f>SUMPRODUCT(Y82:Y85,Y78:Y81)</s:f>
        <s:v>9.730843616573035</s:v>
      </s:c>
      <s:c r="Z90" s="16">
        <s:f>SUMPRODUCT(Z82:Z85,Z78:Z81)</s:f>
        <s:v>8.031700324512537</s:v>
      </s:c>
      <s:c r="AA90" s="16">
        <s:f>SUMPRODUCT(AA82:AA85,AA78:AA81)</s:f>
        <s:v>8.320044772919605</s:v>
      </s:c>
      <s:c r="AB90" s="16">
        <s:f>SUMPRODUCT(AB82:AB85,AB78:AB81)</s:f>
        <s:v>5.9771687816784205</s:v>
      </s:c>
      <s:c r="AC90" s="16">
        <s:f>SUMPRODUCT(AC82:AC85,AC78:AC81)</s:f>
        <s:v>6.142556501382467</s:v>
      </s:c>
      <s:c r="AD90" s="16">
        <s:f>SUMPRODUCT(AD82:AD85,AD78:AD81)</s:f>
        <s:v>6.009811618602553</s:v>
      </s:c>
    </s:row>
    <s:row r="91">
      <s:c r="A91" s="8" t="inlineStr">
        <s:is>
          <s:t xml:space="preserve">    geo mix (pp)</s:t>
        </s:is>
      </s:c>
      <s:c r="B91" s="4" t="inlineStr">
        <s:is>
          <s:t>→ (Σ share×(1+g)×ADR) / ((1+g_tot) × Σ share×ADR) − 1, ×100</s:t>
        </s:is>
      </s:c>
      <s:c r="Y91" s="16">
        <s:f>(SUMPRODUCT(Y82:Y85,1+Y78:Y81/100,Y86:Y89)/((1+Y90/100)*SUMPRODUCT(Y82:Y85,Y86:Y89))-1)*100</s:f>
        <s:v>-1.2926338061198361</s:v>
      </s:c>
      <s:c r="Z91" s="16">
        <s:f>(SUMPRODUCT(Z82:Z85,1+Z78:Z81/100,Z86:Z89)/((1+Z90/100)*SUMPRODUCT(Z82:Z85,Z86:Z89))-1)*100</s:f>
        <s:v>-1.3356182124145466</s:v>
      </s:c>
      <s:c r="AA91" s="16">
        <s:f>(SUMPRODUCT(AA82:AA85,1+AA78:AA81/100,AA86:AA89)/((1+AA90/100)*SUMPRODUCT(AA82:AA85,AA86:AA89))-1)*100</s:f>
        <s:v>-1.6203852493470672</s:v>
      </s:c>
      <s:c r="AB91" s="16">
        <s:f>(SUMPRODUCT(AB82:AB85,1+AB78:AB81/100,AB86:AB89)/((1+AB90/100)*SUMPRODUCT(AB82:AB85,AB86:AB89))-1)*100</s:f>
        <s:v>-1.0807337472979128</s:v>
      </s:c>
      <s:c r="AC91" s="16">
        <s:f>(SUMPRODUCT(AC82:AC85,1+AC78:AC81/100,AC86:AC89)/((1+AC90/100)*SUMPRODUCT(AC82:AC85,AC86:AC89))-1)*100</s:f>
        <s:v>-1.166044307572467</s:v>
      </s:c>
      <s:c r="AD91" s="16">
        <s:f>(SUMPRODUCT(AD82:AD85,1+AD78:AD81/100,AD86:AD89)/((1+AD90/100)*SUMPRODUCT(AD82:AD85,AD86:AD89))-1)*100</s:f>
        <s:v>-1.1028134208559082</s:v>
      </s:c>
    </s:row>
    <s:row r="93">
      <s:c r="A93" s="5" t="inlineStr">
        <s:is>
          <s:t>D. Reported ADR path — ADR = year-ago ADR × (1 + (ex-FX mechanism + FX identity) / 100); band; the Street; GBV on the nights line</s:t>
        </s:is>
      </s:c>
      <s:c r="B93" s="5" t="n"/>
      <s:c r="C93" s="5" t="n"/>
      <s:c r="D93" s="5" t="n"/>
      <s:c r="E93" s="5" t="n"/>
      <s:c r="F93" s="5" t="n"/>
      <s:c r="G93" s="5" t="n"/>
      <s:c r="H93" s="5" t="n"/>
      <s:c r="I93" s="5" t="n"/>
      <s:c r="J93" s="5" t="n"/>
      <s:c r="K93" s="5" t="n"/>
      <s:c r="L93" s="5" t="n"/>
      <s:c r="M93" s="5" t="n"/>
      <s:c r="N93" s="5" t="n"/>
      <s:c r="O93" s="5" t="n"/>
      <s:c r="P93" s="5" t="n"/>
      <s:c r="Q93" s="5" t="n"/>
      <s:c r="R93" s="5" t="n"/>
      <s:c r="S93" s="5" t="n"/>
      <s:c r="T93" s="5" t="n"/>
      <s:c r="U93" s="5" t="n"/>
      <s:c r="V93" s="5" t="n"/>
      <s:c r="W93" s="5" t="n"/>
      <s:c r="X93" s="5" t="n"/>
      <s:c r="Y93" s="5" t="n"/>
      <s:c r="Z93" s="5" t="n"/>
      <s:c r="AA93" s="5" t="n"/>
      <s:c r="AB93" s="5" t="n"/>
      <s:c r="AC93" s="5" t="n"/>
      <s:c r="AD93" s="5" t="n"/>
    </s:row>
    <s:row r="94">
      <s:c r="A94" s="8" t="inlineStr">
        <s:is>
          <s:t xml:space="preserve">    FX effect on ADR (pp)</s:t>
        </s:is>
      </s:c>
      <s:c r="B94" s="4" t="inlineStr">
        <s:is>
          <s:t>→ block B identity</s:t>
        </s:is>
      </s:c>
      <s:c r="Y94" s="18">
        <s:f>Y51</s:f>
        <s:v>0.41528141662547124</s:v>
      </s:c>
      <s:c r="Z94" s="18">
        <s:f>Z51</s:f>
        <s:v>0.5136690253166437</s:v>
      </s:c>
      <s:c r="AA94" s="18">
        <s:f>AA51</s:f>
        <s:v>-0.36901348466442524</s:v>
      </s:c>
      <s:c r="AB94" s="18">
        <s:f>AB51</s:f>
        <s:v>-0.42693614956682185</s:v>
      </s:c>
      <s:c r="AC94" s="18">
        <s:f>AC51</s:f>
        <s:v>-0.14674825953189707</s:v>
      </s:c>
      <s:c r="AD94" s="18">
        <s:f>AD51</s:f>
        <s:v>0.0</s:v>
      </s:c>
    </s:row>
    <s:row r="95">
      <s:c r="A95" s="8" t="inlineStr">
        <s:is>
          <s:t xml:space="preserve">    reported ADR y/y (%)</s:t>
        </s:is>
      </s:c>
      <s:c r="B95" s="4" t="inlineStr">
        <s:is>
          <s:t>→ ex-FX mechanism + FX</s:t>
        </s:is>
      </s:c>
      <s:c r="Y95" s="16">
        <s:f>Y75+Y94</s:f>
        <s:v>3.731228875881013</s:v>
      </s:c>
      <s:c r="Z95" s="16">
        <s:f>Z75+Z94</s:f>
        <s:v>3.297743189388586</s:v>
      </s:c>
      <s:c r="AA95" s="16">
        <s:f>AA75+AA94</s:f>
        <s:v>2.0478636424749963</s:v>
      </s:c>
      <s:c r="AB95" s="16">
        <s:f>AB75+AB94</s:f>
        <s:v>2.529592479621754</s:v>
      </s:c>
      <s:c r="AC95" s="16">
        <s:f>AC75+AC94</s:f>
        <s:v>2.724469809382125</s:v>
      </s:c>
      <s:c r="AD95" s="16">
        <s:f>AD75+AD94</s:f>
        <s:v>2.9344489556305806</s:v>
      </s:c>
    </s:row>
    <s:row r="96">
      <s:c r="A96" s="8" t="inlineStr">
        <s:is>
          <s:t>ADR ($) — the line</s:t>
        </s:is>
      </s:c>
      <s:c r="B96" s="4" t="inlineStr">
        <s:is>
          <s:t>→ year-ago ADR × (1 + y/y/100)</s:t>
        </s:is>
      </s:c>
      <s:c r="Y96" s="13">
        <s:f>U7*(1+Y95/100)</s:f>
        <s:v>177.6812219414966</s:v>
      </s:c>
      <s:c r="Z96" s="13">
        <s:f>V7*(1+Z95/100)</s:f>
        <s:v>173.0340496165448</s:v>
      </s:c>
      <s:c r="AA96" s="13">
        <s:f>W7*(1+AA95/100)</s:f>
        <s:v>190.64581885687178</s:v>
      </s:c>
      <s:c r="AB96" s="13">
        <s:f>X7*(1+AB95/100)</s:f>
        <s:v>188.37762026280902</s:v>
      </s:c>
      <s:c r="AC96" s="13">
        <s:f>Y7*(1+AC95/100)</s:f>
        <s:v>182.52209319023393</s:v>
      </s:c>
      <s:c r="AD96" s="13">
        <s:f>Z7*(1+AD95/100)</s:f>
        <s:v>178.11164547840278</s:v>
      </s:c>
    </s:row>
    <s:row r="97">
      <s:c r="A97" s="8" t="inlineStr">
        <s:is>
          <s:t xml:space="preserve">    band half-width (pp)</s:t>
        </s:is>
      </s:c>
      <s:c r="B97" s="4" t="inlineStr">
        <s:is>
          <s:t>engine exfx_envelope.csv: RSS of parameter half-ranges ⊕ FX bootstrap sd</s:t>
        </s:is>
      </s:c>
      <s:c r="Y97" s="12" t="n">
        <s:v>0.9775225447066912</s:v>
      </s:c>
      <s:c r="Z97" s="12" t="n">
        <s:v>1.931880714226598</s:v>
      </s:c>
      <s:c r="AA97" s="12" t="n">
        <s:v>2.742174489720473</s:v>
      </s:c>
      <s:c r="AB97" s="12" t="n">
        <s:v>3.24814593997769</s:v>
      </s:c>
      <s:c r="AC97" s="12" t="n">
        <s:v>3.756663072305037</s:v>
      </s:c>
      <s:c r="AD97" s="12" t="n">
        <s:v>3.900045484266994</s:v>
      </s:c>
    </s:row>
    <s:row r="98">
      <s:c r="A98" s="8" t="inlineStr">
        <s:is>
          <s:t xml:space="preserve">    ADR low ($)</s:t>
        </s:is>
      </s:c>
      <s:c r="Y98" s="15">
        <s:f>U7*(1+(Y95-Y97)/100)</s:f>
        <s:v>176.00682357466852</s:v>
      </s:c>
      <s:c r="Z98" s="15">
        <s:f>V7*(1+(Z95-Z97)/100)</s:f>
        <s:v>169.79795623214386</s:v>
      </s:c>
      <s:c r="AA98" s="15">
        <s:f>W7*(1+(AA95-AA97)/100)</s:f>
        <s:v>185.522888475176</s:v>
      </s:c>
      <s:c r="AB98" s="15">
        <s:f>X7*(1+(AB95-AB97)/100)</s:f>
        <s:v>182.40980172728803</s:v>
      </s:c>
      <s:c r="AC98" s="15">
        <s:f>Y7*(1+(AC95-AC97)/100)</s:f>
        <s:v>175.84720833913738</s:v>
      </s:c>
      <s:c r="AD98" s="15">
        <s:f>Z7*(1+(AD95-AD97)/100)</s:f>
        <s:v>171.36323884008843</s:v>
      </s:c>
    </s:row>
    <s:row r="99">
      <s:c r="A99" s="8" t="inlineStr">
        <s:is>
          <s:t xml:space="preserve">    ADR high ($)</s:t>
        </s:is>
      </s:c>
      <s:c r="Y99" s="15">
        <s:f>U7*(1+(Y95+Y97)/100)</s:f>
        <s:v>179.3556203083247</s:v>
      </s:c>
      <s:c r="Z99" s="15">
        <s:f>V7*(1+(Z95+Z97)/100)</s:f>
        <s:v>176.27014300094578</s:v>
      </s:c>
      <s:c r="AA99" s="15">
        <s:f>W7*(1+(AA95+AA97)/100)</s:f>
        <s:v>195.76874923856758</s:v>
      </s:c>
      <s:c r="AB99" s="15">
        <s:f>X7*(1+(AB95+AB97)/100)</s:f>
        <s:v>194.34543879833006</s:v>
      </s:c>
      <s:c r="AC99" s="15">
        <s:f>Y7*(1+(AC95+AC97)/100)</s:f>
        <s:v>189.19697804133048</s:v>
      </s:c>
      <s:c r="AD99" s="15">
        <s:f>Z7*(1+(AD95+AD97)/100)</s:f>
        <s:v>184.86005211671713</s:v>
      </s:c>
    </s:row>
    <s:row r="100">
      <s:c r="A100" s="8" t="inlineStr">
        <s:is>
          <s:t xml:space="preserve">    Street ADR ($)</s:t>
        </s:is>
      </s:c>
      <s:c r="B100" s="4" t="inlineStr">
        <s:is>
          <s:t>Bloomberg MODL screenshot 12 Sep 2026 (Krish): 3Q26 177.06 n 26 (173.71–179.12), 4Q26 171.33 n 25; no FY row exists</s:t>
        </s:is>
      </s:c>
      <s:c r="Y100" s="11" t="n">
        <s:v>177.06</s:v>
      </s:c>
      <s:c r="Z100" s="11" t="n">
        <s:v>171.33</s:v>
      </s:c>
    </s:row>
    <s:row r="101">
      <s:c r="A101" s="8" t="inlineStr">
        <s:is>
          <s:t xml:space="preserve">    Street implied y/y (%)</s:t>
        </s:is>
      </s:c>
      <s:c r="Y101" s="16">
        <s:f>(Y100/U7-1)*100</s:f>
        <s:v>3.368556249635124</s:v>
      </s:c>
      <s:c r="Z101" s="16">
        <s:f>(Z100/V7-1)*100</s:f>
        <s:v>2.280460868007883</s:v>
      </s:c>
    </s:row>
    <s:row r="102">
      <s:c r="A102" s="8" t="inlineStr">
        <s:is>
          <s:t xml:space="preserve">    z: (ours − Street) / band</s:t>
        </s:is>
      </s:c>
      <s:c r="Y102" s="16">
        <s:f>(Y95-Y101)/Y97</s:f>
        <s:v>0.3710120326224394</s:v>
      </s:c>
      <s:c r="Z102" s="16">
        <s:f>(Z95-Z101)/Z97</s:f>
        <s:v>0.5265761565345705</s:v>
      </s:c>
    </s:row>
    <s:row r="103">
      <s:c r="A103" s="8" t="inlineStr">
        <s:is>
          <s:t xml:space="preserve">    P(print ≥ Street)</s:t>
        </s:is>
      </s:c>
      <s:c r="B103" s="4" t="inlineStr">
        <s:is>
          <s:t>→ 1 − NORM.S.DIST((Street y/y − ours)/band, TRUE)</s:t>
        </s:is>
      </s:c>
      <s:c r="Y103" s="10">
        <s:f>1-NORM.S.DIST((Y101-Y95)/Y97,TRUE)</s:f>
        <s:v>0.644685715207601</s:v>
      </s:c>
      <s:c r="Z103" s="10">
        <s:f>1-NORM.S.DIST((Z101-Z95)/Z97,TRUE)</s:f>
        <s:v>0.7007560233341921</s:v>
      </s:c>
    </s:row>
    <s:row r="104">
      <s:c r="A104" s="8" t="inlineStr">
        <s:is>
          <s:t xml:space="preserve">    nights (m) — line 1</s:t>
        </s:is>
      </s:c>
      <s:c r="B104" s="4" t="inlineStr">
        <s:is>
          <s:t>→ Income_Statement row 5 (nights line)</s:t>
        </s:is>
      </s:c>
      <s:c r="K104" s="20">
        <s:f>Income_Statement!C5</s:f>
        <s:v>121.1</s:v>
      </s:c>
      <s:c r="L104" s="20">
        <s:f>Income_Statement!D5</s:f>
        <s:v>115.1</s:v>
      </s:c>
      <s:c r="M104" s="20">
        <s:f>Income_Statement!E5</s:f>
        <s:v>113.2</s:v>
      </s:c>
      <s:c r="N104" s="20">
        <s:f>Income_Statement!F5</s:f>
        <s:v>98.8</s:v>
      </s:c>
      <s:c r="O104" s="20">
        <s:f>Income_Statement!G5</s:f>
        <s:v>132.6</s:v>
      </s:c>
      <s:c r="P104" s="20">
        <s:f>Income_Statement!H5</s:f>
        <s:v>125.1</s:v>
      </s:c>
      <s:c r="Q104" s="20">
        <s:f>Income_Statement!I5</s:f>
        <s:v>122.8</s:v>
      </s:c>
      <s:c r="R104" s="20">
        <s:f>Income_Statement!J5</s:f>
        <s:v>111.0</s:v>
      </s:c>
      <s:c r="S104" s="20">
        <s:f>Income_Statement!K5</s:f>
        <s:v>143.1</s:v>
      </s:c>
      <s:c r="T104" s="20">
        <s:f>Income_Statement!L5</s:f>
        <s:v>134.4</s:v>
      </s:c>
      <s:c r="U104" s="20">
        <s:f>Income_Statement!M5</s:f>
        <s:v>133.6</s:v>
      </s:c>
      <s:c r="V104" s="20">
        <s:f>Income_Statement!N5</s:f>
        <s:v>121.9</s:v>
      </s:c>
      <s:c r="W104" s="20">
        <s:f>Income_Statement!O5</s:f>
        <s:v>156.2</s:v>
      </s:c>
      <s:c r="X104" s="20">
        <s:f>Income_Statement!P5</s:f>
        <s:v>148.3</s:v>
      </s:c>
      <s:c r="Y104" s="20">
        <s:f>Income_Statement!Q5</s:f>
        <s:v>146.807696</s:v>
      </s:c>
      <s:c r="Z104" s="20">
        <s:f>Income_Statement!R5</s:f>
        <s:v>131.79828</s:v>
      </s:c>
      <s:c r="AA104" s="20">
        <s:f>Income_Statement!S5</s:f>
        <s:v>169.01620999999997</s:v>
      </s:c>
      <s:c r="AB104" s="20">
        <s:f>Income_Statement!T5</s:f>
        <s:v>157.09863900000002</s:v>
      </s:c>
      <s:c r="AC104" s="20">
        <s:f>Income_Statement!U5</s:f>
        <s:v>155.91858161375998</s:v>
      </s:c>
      <s:c r="AD104" s="20">
        <s:f>Income_Statement!V5</s:f>
        <s:v>139.6771811784</s:v>
      </s:c>
    </s:row>
    <s:row r="105">
      <s:c r="A105" s="8" t="inlineStr">
        <s:is>
          <s:t xml:space="preserve">    GBV ($bn) = nights × ADR</s:t>
        </s:is>
      </s:c>
      <s:c r="B105" s="4" t="inlineStr">
        <s:is>
          <s:t>cross-check only; the take-rate line is built next</s:t>
        </s:is>
      </s:c>
      <s:c r="K105" s="16">
        <s:f>K104*K7/1000</s:f>
        <s:v>20.396873</s:v>
      </s:c>
      <s:c r="L105" s="16">
        <s:f>L104*L7/1000</s:f>
        <s:v>19.107750999999997</s:v>
      </s:c>
      <s:c r="M105" s="16">
        <s:f>M104*M7/1000</s:f>
        <s:v>18.268216</s:v>
      </s:c>
      <s:c r="N105" s="16">
        <s:f>N104*N7/1000</s:f>
        <s:v>15.484924</s:v>
      </s:c>
      <s:c r="O105" s="16">
        <s:f>O104*O7/1000</s:f>
        <s:v>22.923887999999998</s:v>
      </s:c>
      <s:c r="P105" s="16">
        <s:f>P104*P7/1000</s:f>
        <s:v>21.208202999999997</s:v>
      </s:c>
      <s:c r="Q105" s="16">
        <s:f>Q104*Q7/1000</s:f>
        <s:v>20.094991999999998</s:v>
      </s:c>
      <s:c r="R105" s="16">
        <s:f>R104*R7/1000</s:f>
        <s:v>17.55243</s:v>
      </s:c>
      <s:c r="S105" s="16">
        <s:f>S104*S7/1000</s:f>
        <s:v>24.518754</s:v>
      </s:c>
      <s:c r="T105" s="16">
        <s:f>T104*T7/1000</s:f>
        <s:v>23.450112</s:v>
      </s:c>
      <s:c r="U105" s="16">
        <s:f>U104*U7/1000</s:f>
        <s:v>22.884344</s:v>
      </s:c>
      <s:c r="V105" s="16">
        <s:f>V104*V7/1000</s:f>
        <s:v>20.419469</s:v>
      </s:c>
      <s:c r="W105" s="16">
        <s:f>W104*W7/1000</s:f>
        <s:v>29.181283999999994</s:v>
      </s:c>
      <s:c r="X105" s="16">
        <s:f>X104*X7/1000</s:f>
        <s:v>27.247159</s:v>
      </s:c>
      <s:c r="Y105" s="16">
        <s:f>Y104*Y96/1000</s:f>
        <s:v>26.084970815695762</s:v>
      </s:c>
      <s:c r="Z105" s="16">
        <s:f>Z104*Z96/1000</s:f>
        <s:v>22.805590120895264</s:v>
      </s:c>
      <s:c r="AA105" s="16">
        <s:f>AA104*AA96/1000</s:f>
        <s:v>32.222233755534994</s:v>
      </s:c>
      <s:c r="AB105" s="16">
        <s:f>AB104*AB96/1000</s:f>
        <s:v>29.59386776134612</s:v>
      </s:c>
      <s:c r="AC105" s="16">
        <s:f>AC104*AC96/1000</s:f>
        <s:v>28.458585883395795</s:v>
      </s:c>
      <s:c r="AD105" s="16">
        <s:f>AD104*AD96/1000</s:f>
        <s:v>24.878132575469813</s:v>
      </s:c>
    </s:row>
    <s:row r="107">
      <s:c r="A107" s="5" t="inlineStr">
        <s:is>
          <s:t>E. Engine reference values (Python) — for tie-out after an Excel recalculation</s:t>
        </s:is>
      </s:c>
      <s:c r="B107" s="5" t="n"/>
      <s:c r="C107" s="5" t="n"/>
      <s:c r="D107" s="5" t="n"/>
      <s:c r="E107" s="5" t="n"/>
      <s:c r="F107" s="5" t="n"/>
      <s:c r="G107" s="5" t="n"/>
      <s:c r="H107" s="5" t="n"/>
      <s:c r="I107" s="5" t="n"/>
      <s:c r="J107" s="5" t="n"/>
      <s:c r="K107" s="5" t="n"/>
      <s:c r="L107" s="5" t="n"/>
      <s:c r="M107" s="5" t="n"/>
      <s:c r="N107" s="5" t="n"/>
      <s:c r="O107" s="5" t="n"/>
      <s:c r="P107" s="5" t="n"/>
      <s:c r="Q107" s="5" t="n"/>
      <s:c r="R107" s="5" t="n"/>
      <s:c r="S107" s="5" t="n"/>
      <s:c r="T107" s="5" t="n"/>
      <s:c r="U107" s="5" t="n"/>
      <s:c r="V107" s="5" t="n"/>
      <s:c r="W107" s="5" t="n"/>
      <s:c r="X107" s="5" t="n"/>
      <s:c r="Y107" s="5" t="n"/>
      <s:c r="Z107" s="5" t="n"/>
      <s:c r="AA107" s="5" t="n"/>
      <s:c r="AB107" s="5" t="n"/>
      <s:c r="AC107" s="5" t="n"/>
      <s:c r="AD107" s="5" t="n"/>
    </s:row>
    <s:row r="108">
      <s:c r="A108" s="8" t="inlineStr">
        <s:is>
          <s:t>walk-forward RMSE ratio vs naive, V0 identity, W1 O1 / O2 / O3</s:t>
        </s:is>
      </s:c>
      <s:c r="C108" s="12" t="n">
        <s:v>0.4373436932602267</s:v>
      </s:c>
      <s:c r="D108" s="12" t="n">
        <s:v>0.3437214310004852</s:v>
      </s:c>
      <s:c r="E108" s="12" t="n">
        <s:v>0.3027325798499696</s:v>
      </s:c>
    </s:row>
    <s:row r="109">
      <s:c r="A109" s="8" t="inlineStr">
        <s:is>
          <s:t>… W2 O1 / O2 / O3 (pass line ≤ 0.75 at O2 and O3 on both windows)</s:t>
        </s:is>
      </s:c>
      <s:c r="C109" s="12" t="n">
        <s:v>0.6248026109788748</s:v>
      </s:c>
      <s:c r="D109" s="12" t="n">
        <s:v>0.3830864350268836</s:v>
      </s:c>
      <s:c r="E109" s="12" t="n">
        <s:v>0.3172637032904287</s:v>
      </s:c>
    </s:row>
    <s:row r="110">
      <s:c r="A110" s="8" t="inlineStr">
        <s:is>
          <s:t>V1 fitted pass-through, W1 O1 / O2 / O3</s:t>
        </s:is>
      </s:c>
      <s:c r="C110" s="12" t="n">
        <s:v>0.4971529699016717</s:v>
      </s:c>
      <s:c r="D110" s="12" t="n">
        <s:v>0.3749859241803115</s:v>
      </s:c>
      <s:c r="E110" s="12" t="n">
        <s:v>0.3372746081063169</s:v>
      </s:c>
    </s:row>
    <s:row r="111">
      <s:c r="A111" s="8" t="inlineStr">
        <s:is>
          <s:t>euro-only OLS (comparator), W1 O1 / O2 / O3</s:t>
        </s:is>
      </s:c>
      <s:c r="C111" s="12" t="n">
        <s:v>0.3991041209797802</s:v>
      </s:c>
      <s:c r="D111" s="12" t="n">
        <s:v>0.2700012303742727</s:v>
      </s:c>
      <s:c r="E111" s="12" t="n">
        <s:v>0.2813206067080157</s:v>
      </s:c>
    </s:row>
    <s:row r="112">
      <s:c r="A112" s="8" t="inlineStr">
        <s:is>
          <s:t>posterior pass-through β (NA / EMEA / LatAm / APAC), prior N(1, 0.25²)</s:t>
        </s:is>
      </s:c>
      <s:c r="C112" s="12" t="n">
        <s:v>0.9937220374665529</s:v>
      </s:c>
      <s:c r="D112" s="12" t="n">
        <s:v>1.199117663499177</s:v>
      </s:c>
      <s:c r="E112" s="12" t="n">
        <s:v>0.4595224116993439</s:v>
      </s:c>
      <s:c r="F112" s="12" t="n">
        <s:v>1.266392840244777</s:v>
      </s:c>
    </s:row>
    <s:row r="113">
      <s:c r="A113" s="8" t="inlineStr">
        <s:is>
          <s:t>FX effect 3Q26 / 4Q26 / 1Q27 / 2Q27 (pp, spot held)</s:t>
        </s:is>
      </s:c>
      <s:c r="C113" s="12" t="n">
        <s:v>0.4152814166247513</s:v>
      </s:c>
      <s:c r="D113" s="12" t="n">
        <s:v>0.5136690253172425</s:v>
      </s:c>
      <s:c r="E113" s="12" t="n">
        <s:v>-0.369013484663626</s:v>
      </s:c>
      <s:c r="F113" s="12" t="n">
        <s:v>-0.4269361495661503</s:v>
      </s:c>
    </s:row>
    <s:row r="114">
      <s:c r="A114" s="8" t="inlineStr">
        <s:is>
          <s:t>ADR $ 3Q26 / 4Q26 / 1Q27 / 2Q27 (engine)</s:t>
        </s:is>
      </s:c>
      <s:c r="C114" s="12" t="n">
        <s:v>177.6812219414954</s:v>
      </s:c>
      <s:c r="D114" s="12" t="n">
        <s:v>173.0340496165458</s:v>
      </s:c>
      <s:c r="E114" s="12" t="n">
        <s:v>190.6458188568733</s:v>
      </s:c>
      <s:c r="F114" s="12" t="n">
        <s:v>188.3776100123214</s:v>
      </s:c>
    </s:row>
    <s:row r="115">
      <s:c r="A115" s="8" t="inlineStr">
        <s:is>
          <s:t>ex-FX mechanism 3Q26 / 4Q26 / 1Q27 / 2Q27 (pp)</s:t>
        </s:is>
      </s:c>
      <s:c r="C115" s="12" t="n">
        <s:v>3.315947459255554</s:v>
      </s:c>
      <s:c r="D115" s="12" t="n">
        <s:v>2.784074164071932</s:v>
      </s:c>
      <s:c r="E115" s="12" t="n">
        <s:v>2.416877127139422</s:v>
      </s:c>
      <s:c r="F115" s="12" t="n">
        <s:v>2.956523050083999</s:v>
      </s:c>
    </s:row>
    <s:row r="116">
      <s:c r="A116" s="8" t="inlineStr">
        <s:is>
          <s:t>card v3 ADR $ 3Q26 / 4Q26 (DEC-0008, without K, midpoint FX −0.43 / +0.15)</s:t>
        </s:is>
      </s:c>
      <s:c r="C116" s="12" t="n">
        <s:v>176.88</s:v>
      </s:c>
      <s:c r="D116" s="12" t="n">
        <s:v>173.94</s:v>
      </s:c>
    </s:row>
    <s:row r="117">
      <s:c r="A117" s="8" t="inlineStr">
        <s:is>
          <s:t>geo-mix method check: mean |bucket arithmetic − H| on 2Q24–2Q26 (pp)</s:t>
        </s:is>
      </s:c>
      <s:c r="C117" s="12" t="n">
        <s:v>0.1344148709440589</s:v>
      </s:c>
    </s:row>
    <s:row r="119">
      <s:c r="A119" s="5" t="inlineStr">
        <s:is>
          <s:t>F. Alternatives carried beside the base (never blended): ex-FX rule → reported ADR $ at the same FX</s:t>
        </s:is>
      </s:c>
      <s:c r="B119" s="5" t="n"/>
      <s:c r="C119" s="5" t="n"/>
      <s:c r="D119" s="5" t="n"/>
      <s:c r="E119" s="5" t="n"/>
      <s:c r="F119" s="5" t="n"/>
      <s:c r="G119" s="5" t="n"/>
      <s:c r="H119" s="5" t="n"/>
      <s:c r="I119" s="5" t="n"/>
      <s:c r="J119" s="5" t="n"/>
      <s:c r="K119" s="5" t="n"/>
      <s:c r="L119" s="5" t="n"/>
      <s:c r="M119" s="5" t="n"/>
      <s:c r="N119" s="5" t="n"/>
      <s:c r="O119" s="5" t="n"/>
      <s:c r="P119" s="5" t="n"/>
      <s:c r="Q119" s="5" t="n"/>
      <s:c r="R119" s="5" t="n"/>
      <s:c r="S119" s="5" t="n"/>
      <s:c r="T119" s="5" t="n"/>
      <s:c r="U119" s="5" t="n"/>
      <s:c r="V119" s="5" t="n"/>
      <s:c r="W119" s="5" t="n"/>
      <s:c r="X119" s="5" t="n"/>
      <s:c r="Y119" s="5" t="n"/>
      <s:c r="Z119" s="5" t="n"/>
      <s:c r="AA119" s="5" t="n"/>
      <s:c r="AB119" s="5" t="n"/>
      <s:c r="AC119" s="5" t="n"/>
      <s:c r="AD119" s="5" t="n"/>
    </s:row>
    <s:row r="120">
      <s:c r="A120" s="2" t="inlineStr">
        <s:is>
          <s:t>rule</s:t>
        </s:is>
      </s:c>
      <s:c r="B120" s="4" t="inlineStr">
        <s:is>
          <s:t>quarter → ex-FX (pp) | ADR ($) | GBV ($bn)</s:t>
        </s:is>
      </s:c>
      <s:c r="C120" s="2" t="inlineStr">
        <s:is>
          <s:t>3Q26</s:t>
        </s:is>
      </s:c>
      <s:c r="F120" s="2" t="inlineStr">
        <s:is>
          <s:t>4Q26</s:t>
        </s:is>
      </s:c>
      <s:c r="I120" s="2" t="inlineStr">
        <s:is>
          <s:t>1Q27</s:t>
        </s:is>
      </s:c>
      <s:c r="L120" s="2" t="inlineStr">
        <s:is>
          <s:t>2Q27</s:t>
        </s:is>
      </s:c>
    </s:row>
    <s:row r="121">
      <s:c r="A121" s="8" t="inlineStr">
        <s:is>
          <s:t>base: core carry + bundle laps (nights-linked geo)</s:t>
        </s:is>
      </s:c>
      <s:c r="C121" s="11" t="n">
        <s:v>3.315947459255554</s:v>
      </s:c>
      <s:c r="D121" s="11" t="n">
        <s:v>177.6812219414954</s:v>
      </s:c>
      <s:c r="E121" s="11" t="n">
        <s:v>26.08360338101152</s:v>
      </s:c>
      <s:c r="F121" s="11" t="n">
        <s:v>2.784074164071932</s:v>
      </s:c>
      <s:c r="G121" s="11" t="n">
        <s:v>173.0340496165458</s:v>
      </s:c>
      <s:c r="H121" s="11" t="n">
        <s:v>22.80588773946074</s:v>
      </s:c>
      <s:c r="I121" s="11" t="n">
        <s:v>2.416877127139422</s:v>
      </s:c>
      <s:c r="J121" s="11" t="n">
        <s:v>190.6458188568733</s:v>
      </s:c>
      <s:c r="K121" s="11" t="n">
        <s:v>32.22295630318872</s:v>
      </s:c>
      <s:c r="L121" s="11" t="n">
        <s:v>2.956523050083999</s:v>
      </s:c>
      <s:c r="M121" s="11" t="n">
        <s:v>188.3776100123214</s:v>
      </s:c>
      <s:c r="N121" s="11" t="n">
        <s:v>29.5941225329357</s:v>
      </s:c>
    </s:row>
    <s:row r="122">
      <s:c r="A122" s="8" t="inlineStr">
        <s:is>
          <s:t>base + sub-regional country mix (v2 H3, Inside Airbnb panel)</s:t>
        </s:is>
      </s:c>
      <s:c r="C122" s="11" t="n">
        <s:v>3.178728196637815</s:v>
      </s:c>
      <s:c r="D122" s="11" t="n">
        <s:v>177.4461790665574</s:v>
      </s:c>
      <s:c r="E122" s="11" t="n">
        <s:v>26.04909908697064</s:v>
      </s:c>
      <s:c r="F122" s="11" t="n">
        <s:v>2.637266387956136</s:v>
      </s:c>
      <s:c r="G122" s="11" t="n">
        <s:v>172.7881319107742</s:v>
      </s:c>
      <s:c r="H122" s="11" t="n">
        <s:v>22.77347578584005</s:v>
      </s:c>
      <s:c r="I122" s="11" t="n">
        <s:v>2.261923490219557</s:v>
      </s:c>
      <s:c r="J122" s="11" t="n">
        <s:v>190.3563344723796</s:v>
      </s:c>
      <s:c r="K122" s="11" t="n">
        <s:v>32.1740276525216</s:v>
      </s:c>
      <s:c r="L122" s="11" t="n">
        <s:v>2.791849213593684</s:v>
      </s:c>
      <s:c r="M122" s="11" t="n">
        <s:v>188.0750547725378</s:v>
      </s:c>
      <s:c r="N122" s="11" t="n">
        <s:v>29.54659110476569</s:v>
      </s:c>
    </s:row>
    <s:row r="123">
      <s:c r="A123" s="8" t="inlineStr">
        <s:is>
          <s:t>base + sub-regional + measured origin-destination tilt (upgrade 2: EMEA 10.5 / LatAm 16.4 / APAC 14.9)</s:t>
        </s:is>
      </s:c>
      <s:c r="C123" s="11" t="n">
        <s:v>3.441974423799111</s:v>
      </s:c>
      <s:c r="D123" s="11" t="n">
        <s:v>177.897093529062</s:v>
      </s:c>
      <s:c r="E123" s="11" t="n">
        <s:v>26.11529333006631</s:v>
      </s:c>
      <s:c r="F123" s="11" t="n">
        <s:v>2.878353163829614</s:v>
      </s:c>
      <s:c r="G123" s="11" t="n">
        <s:v>173.1919763690399</s:v>
      </s:c>
      <s:c r="H123" s="11" t="n">
        <s:v>22.82670248543946</s:v>
      </s:c>
      <s:c r="I123" s="11" t="n">
        <s:v>2.547238721983384</s:v>
      </s:c>
      <s:c r="J123" s="11" t="n">
        <s:v>190.8893603883608</s:v>
      </s:c>
      <s:c r="K123" s="11" t="n">
        <s:v>32.26411969284074</s:v>
      </s:c>
      <s:c r="L123" s="11" t="n">
        <s:v>2.977560195437551</s:v>
      </s:c>
      <s:c r="M123" s="11" t="n">
        <s:v>188.4162615594795</s:v>
      </s:c>
      <s:c r="N123" s="11" t="n">
        <s:v>29.60019469099423</s:v>
      </s:c>
    </s:row>
    <s:row r="124">
      <s:c r="A124" s="8" t="inlineStr">
        <s:is>
          <s:t>base + sub-regional + composition tilt B (EMEA 5 / LatAm 30 / APAC 25) — retired by upgrade 2</s:t>
        </s:is>
      </s:c>
      <s:c r="C124" s="11" t="n">
        <s:v>2.797413430922292</s:v>
      </s:c>
      <s:c r="D124" s="11" t="n">
        <s:v>176.7930250043633</s:v>
      </s:c>
      <s:c r="E124" s="11" t="n">
        <s:v>25.95321607064054</s:v>
      </s:c>
      <s:c r="F124" s="11" t="n">
        <s:v>2.27299560542554</s:v>
      </s:c>
      <s:c r="G124" s="11" t="n">
        <s:v>172.1779419229572</s:v>
      </s:c>
      <s:c r="H124" s="11" t="n">
        <s:v>22.69305274544576</s:v>
      </s:c>
      <s:c r="I124" s="11" t="n">
        <s:v>1.84202480617595</s:v>
      </s:c>
      <s:c r="J124" s="11" t="n">
        <s:v>189.5718797508493</s:v>
      </s:c>
      <s:c r="K124" s="11" t="n">
        <s:v>32.04143911548855</s:v>
      </s:c>
      <s:c r="L124" s="11" t="n">
        <s:v>2.510918340989404</s:v>
      </s:c>
      <s:c r="M124" s="11" t="n">
        <s:v>187.5589004803019</s:v>
      </s:c>
      <s:c r="N124" s="11" t="n">
        <s:v>29.46550326545543</s:v>
      </s:c>
    </s:row>
    <s:row r="125">
      <s:c r="A125" s="8" t="inlineStr">
        <s:is>
          <s:t>lap-only (K4 residual steps): every 2025-26 residual step laps at its anniversary</s:t>
        </s:is>
      </s:c>
      <s:c r="C125" s="11" t="n">
        <s:v>2.910732193880174</s:v>
      </s:c>
      <s:c r="D125" s="11" t="n">
        <s:v>176.9871287134339</s:v>
      </s:c>
      <s:c r="E125" s="11" t="n">
        <s:v>25.9817104951321</s:v>
      </s:c>
      <s:c r="F125" s="11" t="n">
        <s:v>1.990747787585442</s:v>
      </s:c>
      <s:c r="G125" s="11" t="n">
        <s:v>171.7051486032933</s:v>
      </s:c>
      <s:c r="H125" s="11" t="n">
        <s:v>22.63073858591405</s:v>
      </s:c>
      <s:c r="I125" s="11" t="n">
        <s:v>0.9435507506529328</s:v>
      </s:c>
      <s:c r="J125" s="11" t="n">
        <s:v>187.8933505203212</s:v>
      </s:c>
      <s:c r="K125" s="11" t="n">
        <s:v>31.75773410494469</s:v>
      </s:c>
      <s:c r="L125" s="11" t="n">
        <s:v>1.013196673597509</s:v>
      </s:c>
      <s:c r="M125" s="11" t="n">
        <s:v>184.8071364608028</s:v>
      </s:c>
      <s:c r="N125" s="11" t="n">
        <s:v>29.03320113799212</s:v>
      </s:c>
    </s:row>
    <s:row r="126">
      <s:c r="A126" s="8" t="inlineStr">
        <s:is>
          <s:t>card v3: last_q residual carry, no lap (card geo)</s:t>
        </s:is>
      </s:c>
      <s:c r="C126" s="11" t="n">
        <s:v>3.69126637648649</s:v>
      </s:c>
      <s:c r="D126" s="11" t="n">
        <s:v>178.3241057148202</s:v>
      </s:c>
      <s:c r="E126" s="11" t="n">
        <s:v>26.17797871893561</s:v>
      </s:c>
      <s:c r="F126" s="11" t="n">
        <s:v>3.69126637648649</s:v>
      </s:c>
      <s:c r="G126" s="11" t="n">
        <s:v>174.5536872915614</s:v>
      </s:c>
      <s:c r="H126" s="11" t="n">
        <s:v>23.0061759850278</s:v>
      </s:c>
      <s:c r="I126" s="11" t="n">
        <s:v>3.60883637648649</s:v>
      </s:c>
      <s:c r="J126" s="11" t="n">
        <s:v>192.8726371265034</s:v>
      </s:c>
      <s:c r="K126" s="11" t="n">
        <s:v>32.59933312712161</s:v>
      </s:c>
      <s:c r="L126" s="11" t="n">
        <s:v>3.60883637648649</s:v>
      </s:c>
      <s:c r="M126" s="11" t="n">
        <s:v>189.5761052869207</s:v>
      </s:c>
      <s:c r="N126" s="11" t="n">
        <s:v>29.78240614057524</s:v>
      </s:c>
    </s:row>
    <s:row r="127">
      <s:c r="A127" s="8" t="inlineStr">
        <s:is>
          <s:t>full lap: ex-NA RNPL sized at the 1H26 residual steps</s:t>
        </s:is>
      </s:c>
      <s:c r="C127" s="11" t="n">
        <s:v>3.315947459255554</s:v>
      </s:c>
      <s:c r="D127" s="11" t="n">
        <s:v>177.6812219414954</s:v>
      </s:c>
      <s:c r="E127" s="11" t="n">
        <s:v>26.08360338101152</s:v>
      </s:c>
      <s:c r="F127" s="11" t="n">
        <s:v>2.784074164071932</s:v>
      </s:c>
      <s:c r="G127" s="11" t="n">
        <s:v>173.0340496165458</s:v>
      </s:c>
      <s:c r="H127" s="11" t="n">
        <s:v>22.80588773946074</s:v>
      </s:c>
      <s:c r="I127" s="11" t="n">
        <s:v>1.956877127139422</s:v>
      </s:c>
      <s:c r="J127" s="11" t="n">
        <s:v>189.7864468568733</s:v>
      </s:c>
      <s:c r="K127" s="11" t="n">
        <s:v>32.07770524774872</s:v>
      </s:c>
      <s:c r="L127" s="11" t="n">
        <s:v>1.806523050083998</s:v>
      </s:c>
      <s:c r="M127" s="11" t="n">
        <s:v>186.2647150123214</s:v>
      </s:c>
      <s:c r="N127" s="11" t="n">
        <s:v>29.2621867284357</s:v>
      </s:c>
    </s:row>
    <s:row r="128">
      <s:c r="A128" s="8" t="inlineStr">
        <s:is>
          <s:t>core mean reversion to the 2023-25 mean</s:t>
        </s:is>
      </s:c>
      <s:c r="C128" s="11" t="n">
        <s:v>1.864621082769064</s:v>
      </s:c>
      <s:c r="D128" s="11" t="n">
        <s:v>175.1952449912116</s:v>
      </s:c>
      <s:c r="E128" s="11" t="n">
        <s:v>25.71866196470987</s:v>
      </s:c>
      <s:c r="F128" s="11" t="n">
        <s:v>1.332747787585442</s:v>
      </s:c>
      <s:c r="G128" s="11" t="n">
        <s:v>170.6029328032933</s:v>
      </s:c>
      <s:c r="H128" s="11" t="n">
        <s:v>22.48546654347406</s:v>
      </s:c>
      <s:c r="I128" s="11" t="n">
        <s:v>0.9655507506529332</s:v>
      </s:c>
      <s:c r="J128" s="11" t="n">
        <s:v>187.9344509203212</s:v>
      </s:c>
      <s:c r="K128" s="11" t="n">
        <s:v>31.7646808945527</s:v>
      </s:c>
      <s:c r="L128" s="11" t="n">
        <s:v>1.505196673597509</s:v>
      </s:c>
      <s:c r="M128" s="11" t="n">
        <s:v>185.7110880608028</s:v>
      </s:c>
      <s:c r="N128" s="11" t="n">
        <s:v>29.17521193435212</s:v>
      </s:c>
    </s:row>
    <s:row r="129">
      <s:c r="A129" s="8" t="inlineStr">
        <s:is>
          <s:t>AR(1) on core (K4 rho 0.747)</s:t>
        </s:is>
      </s:c>
      <s:c r="C129" s="11" t="n">
        <s:v>3.092067886004471</s:v>
      </s:c>
      <s:c r="D129" s="11" t="n">
        <s:v>177.2977386204736</s:v>
      </s:c>
      <s:c r="E129" s="11" t="n">
        <s:v>26.02730802948552</s:v>
      </s:c>
      <s:c r="F129" s="11" t="n">
        <s:v>2.392956549602292</s:v>
      </s:c>
      <s:c r="G129" s="11" t="n">
        <s:v>172.3788885005477</s:v>
      </s:c>
      <s:c r="H129" s="11" t="n">
        <s:v>22.71953750437219</s:v>
      </s:c>
      <s:c r="I129" s="11" t="n">
        <s:v>1.90083269587952</s:v>
      </s:c>
      <s:c r="J129" s="11" t="n">
        <s:v>189.6817446503935</s:v>
      </s:c>
      <s:c r="K129" s="11" t="n">
        <s:v>32.06000848080952</s:v>
      </s:c>
      <s:c r="L129" s="11" t="n">
        <s:v>2.347158286681769</s:v>
      </s:c>
      <s:c r="M129" s="11" t="n">
        <s:v>187.2580241325226</s:v>
      </s:c>
      <s:c r="N129" s="11" t="n">
        <s:v>29.41823559121929</s:v>
      </s:c>
    </s:row>
    <s:row r="130">
      <s:c r="A130" s="8" t="inlineStr">
        <s:is>
          <s:t>base + fee-migration K line (DEC-0008 sensitivity)</s:t>
        </s:is>
      </s:c>
      <s:c r="C130" s="11" t="n">
        <s:v>3.487447459255554</s:v>
      </s:c>
      <s:c r="D130" s="11" t="n">
        <s:v>177.9749842914954</s:v>
      </s:c>
      <s:c r="E130" s="11" t="n">
        <s:v>26.12672769399152</s:v>
      </s:c>
      <s:c r="F130" s="11" t="n">
        <s:v>3.158574164071932</s:v>
      </s:c>
      <s:c r="G130" s="11" t="n">
        <s:v>173.6613745665458</s:v>
      </s:c>
      <s:c r="H130" s="11" t="n">
        <s:v>22.88856916787073</s:v>
      </s:c>
      <s:c r="I130" s="11" t="n">
        <s:v>2.761977127139422</s:v>
      </s:c>
      <s:c r="J130" s="11" t="n">
        <s:v>191.2905346768732</s:v>
      </s:c>
      <s:c r="K130" s="11" t="n">
        <s:v>32.33192617108512</s:v>
      </s:c>
      <s:c r="L130" s="11" t="n">
        <s:v>3.267323050083998</s:v>
      </s:c>
      <s:c r="M130" s="11" t="n">
        <s:v>188.9486428523214</s:v>
      </s:c>
      <s:c r="N130" s="11" t="n">
        <s:v>29.6838317920997</s:v>
      </s:c>
    </s:row>
    <s:row r="132">
      <s:c r="A132" s="5" t="inlineStr">
        <s:is>
          <s:t>G. Evidence behind line 2 — the v2 geo-mix layer and the four mitigations of 22 Sep. Labelled attribution and falsifiers; none of this is in the base path above.</s:t>
        </s:is>
      </s:c>
      <s:c r="B132" s="5" t="n"/>
      <s:c r="C132" s="5" t="n"/>
      <s:c r="D132" s="5" t="n"/>
      <s:c r="E132" s="5" t="n"/>
      <s:c r="F132" s="5" t="n"/>
      <s:c r="G132" s="5" t="n"/>
      <s:c r="H132" s="5" t="n"/>
      <s:c r="I132" s="5" t="n"/>
      <s:c r="J132" s="5" t="n"/>
      <s:c r="K132" s="5" t="n"/>
      <s:c r="L132" s="5" t="n"/>
      <s:c r="M132" s="5" t="n"/>
      <s:c r="N132" s="5" t="n"/>
      <s:c r="O132" s="5" t="n"/>
      <s:c r="P132" s="5" t="n"/>
      <s:c r="Q132" s="5" t="n"/>
      <s:c r="R132" s="5" t="n"/>
      <s:c r="S132" s="5" t="n"/>
      <s:c r="T132" s="5" t="n"/>
      <s:c r="U132" s="5" t="n"/>
      <s:c r="V132" s="5" t="n"/>
      <s:c r="W132" s="5" t="n"/>
      <s:c r="X132" s="5" t="n"/>
      <s:c r="Y132" s="5" t="n"/>
      <s:c r="Z132" s="5" t="n"/>
      <s:c r="AA132" s="5" t="n"/>
      <s:c r="AB132" s="5" t="n"/>
      <s:c r="AC132" s="5" t="n"/>
      <s:c r="AD132" s="5" t="n"/>
    </s:row>
    <s:row r="133">
      <s:c r="A133" s="8" t="inlineStr">
        <s:is>
          <s:t>G1. Sub-regional (within-region country) mix, pp of ADR — DEC-0038: attribution + forward row, NOT the base</s:t>
        </s:is>
      </s:c>
      <s:c r="C133" s="4" t="inlineStr">
        <s:is>
          <s:t>mean 1Q23–2Q26</s:t>
        </s:is>
      </s:c>
      <s:c r="D133" s="12" t="n">
        <s:v>-0.4533850498510343</s:v>
      </s:c>
      <s:c r="E133" s="4" t="inlineStr">
        <s:is>
          <s:t>last 4 q to 2Q26</s:t>
        </s:is>
      </s:c>
      <s:c r="F133" s="12" t="n">
        <s:v>-0.151696241914275</s:v>
      </s:c>
      <s:c r="G133" s="4" t="inlineStr">
        <s:is>
          <s:t>fwd 3Q26</s:t>
        </s:is>
      </s:c>
      <s:c r="H133" s="12" t="n">
        <s:v>-0.1372192626177384</s:v>
      </s:c>
      <s:c r="I133" s="4" t="inlineStr">
        <s:is>
          <s:t>fwd 4Q26</s:t>
        </s:is>
      </s:c>
      <s:c r="J133" s="12" t="n">
        <s:v>-0.1468077761157966</s:v>
      </s:c>
      <s:c r="K133" s="4" t="inlineStr">
        <s:is>
          <s:t>4Q26 ADR effect ($)</s:t>
        </s:is>
      </s:c>
      <s:c r="L133" s="12" t="n">
        <s:v>-0.24</s:v>
      </s:c>
    </s:row>
    <s:row r="134">
      <s:c r="A134" s="8" t="inlineStr">
        <s:is>
          <s:t xml:space="preserve">      H2 forecast-content test, RMSE ratio vs the residual carry — pass line 0.75 on BOTH windows → FAILS, so the term stays out of the base</s:t>
        </s:is>
      </s:c>
      <s:c r="C134" s="4" t="inlineStr">
        <s:is>
          <s:t>W1 (n 10)</s:t>
        </s:is>
      </s:c>
      <s:c r="D134" s="12" t="n">
        <s:v>0.908921731098177</s:v>
      </s:c>
      <s:c r="E134" s="4" t="inlineStr">
        <s:is>
          <s:t>W2 (n 6)</s:t>
        </s:is>
      </s:c>
      <s:c r="F134" s="12" t="n">
        <s:v>0.7190490218012525</s:v>
      </s:c>
      <s:c r="G134" s="4" t="inlineStr">
        <s:is>
          <s:t>pass line</s:t>
        </s:is>
      </s:c>
      <s:c r="H134" s="12" t="n">
        <s:v>0.75</s:v>
      </s:c>
    </s:row>
    <s:row r="135">
      <s:c r="A135" s="8" t="inlineStr">
        <s:is>
          <s:t>G2. Reconciliation to the company's own accounting (mitigation C): disclosed constant-currency rate minus regional accommodation inflation, regressed on our within-region mix. The identity implies a slope of 1.0.</s:t>
        </s:is>
      </s:c>
      <s:c r="C135" s="4" t="inlineStr">
        <s:is>
          <s:t>slope</s:t>
        </s:is>
      </s:c>
      <s:c r="D135" s="12" t="n">
        <s:v>1.127000224086993</s:v>
      </s:c>
      <s:c r="E135" s="4" t="inlineStr">
        <s:is>
          <s:t>cluster-by-region p</s:t>
        </s:is>
      </s:c>
      <s:c r="F135" s="12" t="n">
        <s:v>0.0422384883788224</s:v>
      </s:c>
      <s:c r="G135" s="4" t="inlineStr">
        <s:is>
          <s:t>90% lo</s:t>
        </s:is>
      </s:c>
      <s:c r="H135" s="12" t="n">
        <s:v>0.3485695458913359</s:v>
      </s:c>
      <s:c r="I135" s="4" t="inlineStr">
        <s:is>
          <s:t>90% hi</s:t>
        </s:is>
      </s:c>
      <s:c r="J135" s="12" t="n">
        <s:v>1.90543090228265</s:v>
      </s:c>
      <s:c r="K135" s="4" t="inlineStr">
        <s:is>
          <s:t>n prints</s:t>
        </s:is>
      </s:c>
      <s:c r="L135" s="12" t="n">
        <s:v>23</s:v>
      </s:c>
    </s:row>
    <s:row r="136">
      <s:c r="A136" s="8" t="inlineStr">
        <s:is>
          <s:t xml:space="preserve">      the slope is carried by ONE region — leave-one-region-out (LatAm's own comparator is Brazil alone, 24–33% coverage)</s:t>
        </s:is>
      </s:c>
      <s:c r="C136" s="4" t="inlineStr">
        <s:is>
          <s:t>drop LatAm</s:t>
        </s:is>
      </s:c>
      <s:c r="D136" s="12" t="n">
        <s:v>-0.3022250248696609</s:v>
      </s:c>
      <s:c r="E136" s="4" t="inlineStr">
        <s:is>
          <s:t>drop EMEA</s:t>
        </s:is>
      </s:c>
      <s:c r="F136" s="12" t="n">
        <s:v>1.235024164906723</s:v>
      </s:c>
      <s:c r="G136" s="4" t="inlineStr">
        <s:is>
          <s:t>drop NAM</s:t>
        </s:is>
      </s:c>
      <s:c r="H136" s="12" t="n">
        <s:v>1.127000224086993</s:v>
      </s:c>
      <s:c r="I136" s="4" t="inlineStr">
        <s:is>
          <s:t>drop APAC</s:t>
        </s:is>
      </s:c>
      <s:c r="J136" s="12" t="n">
        <s:v>1.247277823606619</s:v>
      </s:c>
    </s:row>
    <s:row r="137">
      <s:c r="A137" s="8" t="inlineStr">
        <s:is>
          <s:t xml:space="preserve">      and the earlier EMEA-only reading is window-dependent: admitting two further disclosed quarters flips its sign</s:t>
        </s:is>
      </s:c>
      <s:c r="C137" s="4" t="inlineStr">
        <s:is>
          <s:t>EMEA only, n 7</s:t>
        </s:is>
      </s:c>
      <s:c r="D137" s="12" t="n">
        <s:v>1.085196796156045</s:v>
      </s:c>
      <s:c r="E137" s="4" t="inlineStr">
        <s:is>
          <s:t>EMEA only, n 9</s:t>
        </s:is>
      </s:c>
      <s:c r="F137" s="12" t="n">
        <s:v>-0.3813639149721989</s:v>
      </s:c>
    </s:row>
    <s:row r="138">
      <s:c r="A138" s="8" t="inlineStr">
        <s:is>
          <s:t>G3. Implied like-for-like price by year, pp — DEC-0040 route: H size</s:t>
        </s:is>
      </s:c>
      <s:c r="C138" s="4" t="inlineStr">
        <s:is>
          <s:t>2023</s:t>
        </s:is>
      </s:c>
      <s:c r="D138" s="12" t="n">
        <s:v>2.952684569536031</s:v>
      </s:c>
      <s:c r="E138" s="4" t="inlineStr">
        <s:is>
          <s:t>2024</s:t>
        </s:is>
      </s:c>
      <s:c r="F138" s="12" t="n">
        <s:v>2.754115232397859</s:v>
      </s:c>
      <s:c r="G138" s="4" t="inlineStr">
        <s:is>
          <s:t>2025</s:t>
        </s:is>
      </s:c>
      <s:c r="H138" s="12" t="n">
        <s:v>2.934235120207423</s:v>
      </s:c>
      <s:c r="I138" s="4" t="inlineStr">
        <s:is>
          <s:t>2025 size term</s:t>
        </s:is>
      </s:c>
      <s:c r="J138" s="12" t="n">
        <s:v>0.7394814142426782</s:v>
      </s:c>
    </s:row>
    <s:row r="139">
      <s:c r="A139" s="8" t="inlineStr">
        <s:is>
          <s:t xml:space="preserve">      same, route: H size + H LOS</s:t>
        </s:is>
      </s:c>
      <s:c r="C139" s="4" t="inlineStr">
        <s:is>
          <s:t>2023</s:t>
        </s:is>
      </s:c>
      <s:c r="D139" s="12" t="n">
        <s:v>3.258281481684737</s:v>
      </s:c>
      <s:c r="E139" s="4" t="inlineStr">
        <s:is>
          <s:t>2024</s:t>
        </s:is>
      </s:c>
      <s:c r="F139" s="12" t="n">
        <s:v>2.685030249211593</s:v>
      </s:c>
      <s:c r="G139" s="4" t="inlineStr">
        <s:is>
          <s:t>2025</s:t>
        </s:is>
      </s:c>
      <s:c r="H139" s="12" t="n">
        <s:v>2.67892135148754</s:v>
      </s:c>
      <s:c r="I139" s="4" t="inlineStr">
        <s:is>
          <s:t>2025 size term</s:t>
        </s:is>
      </s:c>
      <s:c r="J139" s="12" t="n">
        <s:v>0.7394814142426782</s:v>
      </s:c>
    </s:row>
    <s:row r="140">
      <s:c r="A140" s="8" t="inlineStr">
        <s:is>
          <s:t xml:space="preserve">      same, route: as filed (withdrawn)</s:t>
        </s:is>
      </s:c>
      <s:c r="C140" s="4" t="inlineStr">
        <s:is>
          <s:t>2023</s:t>
        </s:is>
      </s:c>
      <s:c r="D140" s="12" t="n">
        <s:v>3.339449526200775</s:v>
      </s:c>
      <s:c r="E140" s="4" t="inlineStr">
        <s:is>
          <s:t>2024</s:t>
        </s:is>
      </s:c>
      <s:c r="F140" s="12" t="n">
        <s:v>3.153691779081526</s:v>
      </s:c>
      <s:c r="G140" s="4" t="inlineStr">
        <s:is>
          <s:t>2025</s:t>
        </s:is>
      </s:c>
      <s:c r="H140" s="12" t="n">
        <s:v>3.925055242507793</s:v>
      </s:c>
      <s:c r="I140" s="4" t="inlineStr">
        <s:is>
          <s:t>2025 size term</s:t>
        </s:is>
      </s:c>
      <s:c r="J140" s="12" t="n">
        <s:v>-0.2513387080576912</s:v>
      </s:c>
    </s:row>
    <s:row r="141">
      <s:c r="A141" s="8" t="inlineStr">
        <s:is>
          <s:t xml:space="preserve">      DEC-0040: the filed route's NEGATIVE 2025 size term is a Paris-weighting artefact; the H route is adopted and sits inside the filed bedroom-nights bracket. 2025 like-for-like price is FLAT, so the 2026 core step is LARGER, not smaller — stated against our own interest.</s:t>
        </s:is>
      </s:c>
      <s:c r="C141" s="4" t="inlineStr">
        <s:is>
          <s:t>bracket lo</s:t>
        </s:is>
      </s:c>
      <s:c r="D141" s="12" t="n">
        <s:v>0.42</s:v>
      </s:c>
      <s:c r="E141" s="4" t="inlineStr">
        <s:is>
          <s:t>bracket hi</s:t>
        </s:is>
      </s:c>
      <s:c r="F141" s="12" t="n">
        <s:v>1.29</s:v>
      </s:c>
    </s:row>
    <s:row r="142">
      <s:c r="A142" s="8" t="inlineStr">
        <s:is>
          <s:t>G4. Price-to-utilisation elasticity, market-level panel (mitigation B) — registered pass line b&gt;0 and p≤0.05 → FAILS. Buys at most 0.6pp of the core and in the wrong direction for a give-back; the fix is a Sept-2026 capture wave.</s:t>
        </s:is>
      </s:c>
      <s:c r="C142" s="4" t="inlineStr">
        <s:is>
          <s:t>elasticity b</s:t>
        </s:is>
      </s:c>
      <s:c r="D142" s="12" t="n">
        <s:v>0.08289400619632679</s:v>
      </s:c>
      <s:c r="E142" s="4" t="inlineStr">
        <s:is>
          <s:t>p</s:t>
        </s:is>
      </s:c>
      <s:c r="F142" s="12" t="n">
        <s:v>0.7940309342115639</s:v>
      </s:c>
      <s:c r="G142" s="4" t="inlineStr">
        <s:is>
          <s:t>CI lo</s:t>
        </s:is>
      </s:c>
      <s:c r="H142" s="12" t="n">
        <s:v>-0.5394032328684883</s:v>
      </s:c>
      <s:c r="I142" s="4" t="inlineStr">
        <s:is>
          <s:t>CI hi</s:t>
        </s:is>
      </s:c>
      <s:c r="J142" s="12" t="n">
        <s:v>0.7051912452611422</s:v>
      </s:c>
      <s:c r="K142" s="4" t="inlineStr">
        <s:is>
          <s:t>n pairs</s:t>
        </s:is>
      </s:c>
      <s:c r="L142" s="12" t="n">
        <s:v>94</s:v>
      </s:c>
      <s:c r="M142" s="4" t="inlineStr">
        <s:is>
          <s:t>ex-US b</s:t>
        </s:is>
      </s:c>
      <s:c r="N142" s="12" t="n">
        <s:v>0.041103455300918</s:v>
      </s:c>
    </s:row>
    <s:row r="143">
      <s:c r="A143" s="8" t="inlineStr">
        <s:is>
          <s:t>G5. Guest-origin rotation, priced (mitigation D) — day-matched LTM windows 2024→2026 on 53m reviews; within a market a non-English-reviewed listing is cheaper, so the rotation itself costs price.</s:t>
        </s:is>
      </s:c>
      <s:c r="C143" s="4" t="inlineStr">
        <s:is>
          <s:t>non-English +%</s:t>
        </s:is>
      </s:c>
      <s:c r="D143" s="12" t="n">
        <s:v>81.04407474280026</s:v>
      </s:c>
      <s:c r="E143" s="4" t="inlineStr">
        <s:is>
          <s:t>English +%</s:t>
        </s:is>
      </s:c>
      <s:c r="F143" s="12" t="n">
        <s:v>39.95589163021235</s:v>
      </s:c>
      <s:c r="G143" s="4" t="inlineStr">
        <s:is>
          <s:t>English share 2024 %</s:t>
        </s:is>
      </s:c>
      <s:c r="H143" s="12" t="n">
        <s:v>62.94056049407353</s:v>
      </s:c>
      <s:c r="I143" s="4" t="inlineStr">
        <s:is>
          <s:t>English share 2026 %</s:t>
        </s:is>
      </s:c>
      <s:c r="J143" s="12" t="n">
        <s:v>56.76462986468275</s:v>
      </s:c>
      <s:c r="K143" s="4" t="inlineStr">
        <s:is>
          <s:t>non-En price vs En</s:t>
        </s:is>
      </s:c>
      <s:c r="L143" s="12" t="n">
        <s:v>0.8656500630082349</s:v>
      </s:c>
      <s:c r="M143" s="4" t="inlineStr">
        <s:is>
          <s:t>mix effect %/yr</s:t>
        </s:is>
      </s:c>
      <s:c r="N143" s="12" t="n">
        <s:v>-0.3449220567665853</s:v>
      </s:c>
    </s:row>
    <s:row r="146">
      <s:c r="A146" s="8" t="inlineStr">
        <s:is>
          <s:t>chart helper: ADR $ (printed, then engine)</s:t>
        </s:is>
      </s:c>
      <s:c r="O146" s="20">
        <s:f>O7</s:f>
        <s:v>172.88</s:v>
      </s:c>
      <s:c r="P146" s="20">
        <s:f>P7</s:f>
        <s:v>169.53</s:v>
      </s:c>
      <s:c r="Q146" s="20">
        <s:f>Q7</s:f>
        <s:v>163.64</s:v>
      </s:c>
      <s:c r="R146" s="20">
        <s:f>R7</s:f>
        <s:v>158.13</s:v>
      </s:c>
      <s:c r="S146" s="20">
        <s:f>S7</s:f>
        <s:v>171.34</s:v>
      </s:c>
      <s:c r="T146" s="20">
        <s:f>T7</s:f>
        <s:v>174.48</s:v>
      </s:c>
      <s:c r="U146" s="20">
        <s:f>U7</s:f>
        <s:v>171.29</s:v>
      </s:c>
      <s:c r="V146" s="20">
        <s:f>V7</s:f>
        <s:v>167.51</s:v>
      </s:c>
      <s:c r="W146" s="20">
        <s:f>W7</s:f>
        <s:v>186.82</s:v>
      </s:c>
      <s:c r="X146" s="20">
        <s:f>X7</s:f>
        <s:v>183.73</s:v>
      </s:c>
      <s:c r="Y146" s="20">
        <s:f>Y7</s:f>
        <s:v>177.6812219414966</s:v>
      </s:c>
      <s:c r="Z146" s="20">
        <s:f>Z7</s:f>
        <s:v>173.0340496165448</s:v>
      </s:c>
      <s:c r="AA146" s="20">
        <s:f>AA7</s:f>
        <s:v>190.64581885687178</s:v>
      </s:c>
      <s:c r="AB146" s="20">
        <s:f>AB7</s:f>
        <s:v>188.37762026280902</s:v>
      </s:c>
      <s:c r="AC146" s="20">
        <s:f>AC7</s:f>
        <s:v>182.52209319023393</s:v>
      </s:c>
      <s:c r="AD146" s="20">
        <s:f>AD7</s:f>
        <s:v>178.11164547840278</s:v>
      </s:c>
    </s:row>
    <s:row r="147">
      <s:c r="A147" s="8" t="inlineStr">
        <s:is>
          <s:t>chart helper: Street ADR $</s:t>
        </s:is>
      </s:c>
      <s:c r="Y147" s="20">
        <s:f>Y100</s:f>
        <s:v>177.06</s:v>
      </s:c>
      <s:c r="Z147" s="20">
        <s:f>Z100</s:f>
        <s:v>171.33</s:v>
      </s:c>
    </s:row>
    <s:row r="148">
      <s:c r="A148" s="8" t="inlineStr">
        <s:is>
          <s:t>chart helper: FX identity (pp)</s:t>
        </s:is>
      </s:c>
      <s:c r="O148" s="20">
        <s:f>O51</s:f>
        <s:v>0.9478895746040084</s:v>
      </s:c>
      <s:c r="P148" s="20">
        <s:f>P51</s:f>
        <s:v>-0.6857710258326501</s:v>
      </s:c>
      <s:c r="Q148" s="20">
        <s:f>Q51</s:f>
        <s:v>-0.511337396001268</s:v>
      </s:c>
      <s:c r="R148" s="20">
        <s:f>R51</s:f>
        <s:v>-1.348750739599312</s:v>
      </s:c>
      <s:c r="S148" s="20">
        <s:f>S51</s:f>
        <s:v>-2.8799273622293384</s:v>
      </s:c>
      <s:c r="T148" s="20">
        <s:f>T51</s:f>
        <s:v>0.9457970704988111</s:v>
      </s:c>
      <s:c r="U148" s="20">
        <s:f>U51</s:f>
        <s:v>1.9387574107539254</s:v>
      </s:c>
      <s:c r="V148" s="20">
        <s:f>V51</s:f>
        <s:v>3.435728783469148</s:v>
      </s:c>
      <s:c r="W148" s="20">
        <s:f>W51</s:f>
        <s:v>5.499377331576597</s:v>
      </s:c>
      <s:c r="X148" s="20">
        <s:f>X51</s:f>
        <s:v>2.1198193525121316</s:v>
      </s:c>
      <s:c r="Y148" s="20">
        <s:f>Y51</s:f>
        <s:v>0.41528141662547124</s:v>
      </s:c>
      <s:c r="Z148" s="20">
        <s:f>Z51</s:f>
        <s:v>0.5136690253166437</s:v>
      </s:c>
      <s:c r="AA148" s="20">
        <s:f>AA51</s:f>
        <s:v>-0.36901348466442524</s:v>
      </s:c>
      <s:c r="AB148" s="20">
        <s:f>AB51</s:f>
        <s:v>-0.42693614956682185</s:v>
      </s:c>
      <s:c r="AC148" s="20">
        <s:f>AC51</s:f>
        <s:v>-0.14674825953189707</s:v>
      </s:c>
      <s:c r="AD148" s="20">
        <s:f>AD51</s:f>
        <s:v>0.0</s:v>
      </s:c>
    </s:row>
    <s:row r="149">
      <s:c r="A149" s="8" t="inlineStr">
        <s:is>
          <s:t>chart helper: disclosed FX (pp)</s:t>
        </s:is>
      </s:c>
      <s:c r="O149" s="20">
        <s:f>O10</s:f>
        <s:v>0.642047141245607</s:v>
      </s:c>
      <s:c r="P149" s="20">
        <s:f>P10</s:f>
        <s:v>-0.879645804469595</s:v>
      </s:c>
      <s:c r="Q149" s="20">
        <s:f>Q10</s:f>
        <s:v>-0.5995786342793501</s:v>
      </s:c>
      <s:c r="R149" s="20">
        <s:f>R10</s:f>
        <s:v>-1.1067440821795431</s:v>
      </s:c>
      <s:c r="S149" s="20">
        <s:f>S10</s:f>
        <s:v>-1.8907913003239232</s:v>
      </s:c>
      <s:c r="T149" s="20">
        <s:f>T10</s:f>
        <s:v>1.9198371969562764</s:v>
      </s:c>
      <s:c r="U149" s="20">
        <s:f>U10</s:f>
        <s:v>2.674896113419713</s:v>
      </s:c>
      <s:c r="V149" s="20">
        <s:f>V10</s:f>
        <s:v>2.931828242585202</s:v>
      </s:c>
      <s:c r="W149" s="20">
        <s:f>W10</s:f>
        <s:v>5.034667911754401</s:v>
      </s:c>
      <s:c r="X149" s="20">
        <s:f>X10</s:f>
        <s:v>1.3014672168729904</s:v>
      </s:c>
    </s:row>
  </s:sheetData>
  <s:pageMargins left="0.75" right="0.75" top="1" bottom="1" header="0.5" footer="0.5"/>
  <s:drawing r:id="rId1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AC45"/>
  <s:sheetViews>
    <s:sheetView workbookViewId="0">
      <s:pane xSplit="2" ySplit="4" topLeftCell="C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52" customWidth="1" min="1" max="1"/>
    <s:col width="30" customWidth="1" min="2" max="2"/>
    <s:col width="9.5" customWidth="1" min="3" max="3"/>
    <s:col width="9.5" customWidth="1" min="4" max="4"/>
    <s:col width="9.5" customWidth="1" min="5" max="5"/>
    <s:col width="9.5" customWidth="1" min="6" max="6"/>
    <s:col width="9.5" customWidth="1" min="7" max="7"/>
    <s:col width="9.5" customWidth="1" min="8" max="8"/>
    <s:col width="9.5" customWidth="1" min="9" max="9"/>
    <s:col width="9.5" customWidth="1" min="10" max="10"/>
    <s:col width="9.5" customWidth="1" min="11" max="11"/>
    <s:col width="9.5" customWidth="1" min="12" max="12"/>
    <s:col width="9.5" customWidth="1" min="13" max="13"/>
    <s:col width="9.5" customWidth="1" min="14" max="14"/>
    <s:col width="9.5" customWidth="1" min="15" max="15"/>
    <s:col width="9.5" customWidth="1" min="16" max="16"/>
    <s:col width="9.5" customWidth="1" min="17" max="17"/>
    <s:col width="9.5" customWidth="1" min="18" max="18"/>
    <s:col width="9.5" customWidth="1" min="19" max="19"/>
    <s:col width="9.5" customWidth="1" min="20" max="20"/>
    <s:col width="9.5" customWidth="1" min="21" max="21"/>
    <s:col width="9.5" customWidth="1" min="22" max="22"/>
    <s:col width="10" customWidth="1" min="24" max="24"/>
    <s:col width="10" customWidth="1" min="25" max="25"/>
    <s:col width="10" customWidth="1" min="26" max="26"/>
    <s:col width="10" customWidth="1" min="27" max="27"/>
    <s:col width="10" customWidth="1" min="28" max="28"/>
  </s:cols>
  <s:sheetData>
    <s:row r="1">
      <s:c r="A1" s="1" t="inlineStr">
        <s:is>
          <s:t>Airbnb — income statement, official (built line by line; nights first). USD millions unless stated.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" t="n"/>
      <s:c r="O1" s="1" t="n"/>
      <s:c r="P1" s="1" t="n"/>
      <s:c r="Q1" s="1" t="n"/>
      <s:c r="R1" s="1" t="n"/>
      <s:c r="S1" s="1" t="n"/>
      <s:c r="T1" s="1" t="n"/>
      <s:c r="U1" s="1" t="n"/>
      <s:c r="V1" s="1" t="n"/>
      <s:c r="W1" s="1" t="n"/>
      <s:c r="X1" s="1" t="n"/>
      <s:c r="Y1" s="1" t="n"/>
      <s:c r="Z1" s="1" t="n"/>
      <s:c r="AA1" s="1" t="n"/>
      <s:c r="AB1" s="1" t="n"/>
      <s:c r="AC1" s="1" t="n"/>
    </s:row>
    <s:row r="2">
      <s:c r="A2" s="4" t="inlineStr">
        <s:is>
          <s:t>Row 5 nights: green = link to Nights_Engine. Rows 8–11 GBV and ADR: link to ADR_Engine (line 2). Other lines: labels only until built together (yellow = to build). Quarters A = printed, E = engine.</s:t>
        </s:is>
      </s:c>
    </s:row>
    <s:row r="4">
      <s:c r="A4" s="5" t="inlineStr">
        <s:is>
          <s:t>Quarter</s:t>
        </s:is>
      </s:c>
      <s:c r="B4" s="5" t="n"/>
      <s:c r="C4" s="7" t="inlineStr">
        <s:is>
          <s:t>1Q23A</s:t>
        </s:is>
      </s:c>
      <s:c r="D4" s="7" t="inlineStr">
        <s:is>
          <s:t>2Q23A</s:t>
        </s:is>
      </s:c>
      <s:c r="E4" s="7" t="inlineStr">
        <s:is>
          <s:t>3Q23A</s:t>
        </s:is>
      </s:c>
      <s:c r="F4" s="7" t="inlineStr">
        <s:is>
          <s:t>4Q23A</s:t>
        </s:is>
      </s:c>
      <s:c r="G4" s="7" t="inlineStr">
        <s:is>
          <s:t>1Q24A</s:t>
        </s:is>
      </s:c>
      <s:c r="H4" s="7" t="inlineStr">
        <s:is>
          <s:t>2Q24A</s:t>
        </s:is>
      </s:c>
      <s:c r="I4" s="7" t="inlineStr">
        <s:is>
          <s:t>3Q24A</s:t>
        </s:is>
      </s:c>
      <s:c r="J4" s="7" t="inlineStr">
        <s:is>
          <s:t>4Q24A</s:t>
        </s:is>
      </s:c>
      <s:c r="K4" s="7" t="inlineStr">
        <s:is>
          <s:t>1Q25A</s:t>
        </s:is>
      </s:c>
      <s:c r="L4" s="7" t="inlineStr">
        <s:is>
          <s:t>2Q25A</s:t>
        </s:is>
      </s:c>
      <s:c r="M4" s="7" t="inlineStr">
        <s:is>
          <s:t>3Q25A</s:t>
        </s:is>
      </s:c>
      <s:c r="N4" s="7" t="inlineStr">
        <s:is>
          <s:t>4Q25A</s:t>
        </s:is>
      </s:c>
      <s:c r="O4" s="7" t="inlineStr">
        <s:is>
          <s:t>1Q26A</s:t>
        </s:is>
      </s:c>
      <s:c r="P4" s="7" t="inlineStr">
        <s:is>
          <s:t>2Q26A</s:t>
        </s:is>
      </s:c>
      <s:c r="Q4" s="7" t="inlineStr">
        <s:is>
          <s:t>3Q26E</s:t>
        </s:is>
      </s:c>
      <s:c r="R4" s="7" t="inlineStr">
        <s:is>
          <s:t>4Q26E</s:t>
        </s:is>
      </s:c>
      <s:c r="S4" s="7" t="inlineStr">
        <s:is>
          <s:t>1Q27E</s:t>
        </s:is>
      </s:c>
      <s:c r="T4" s="7" t="inlineStr">
        <s:is>
          <s:t>2Q27E</s:t>
        </s:is>
      </s:c>
      <s:c r="U4" s="7" t="inlineStr">
        <s:is>
          <s:t>3Q27E</s:t>
        </s:is>
      </s:c>
      <s:c r="V4" s="7" t="inlineStr">
        <s:is>
          <s:t>4Q27E</s:t>
        </s:is>
      </s:c>
      <s:c r="W4" s="5" t="n"/>
      <s:c r="X4" s="7" t="inlineStr">
        <s:is>
          <s:t>FY23</s:t>
        </s:is>
      </s:c>
      <s:c r="Y4" s="7" t="inlineStr">
        <s:is>
          <s:t>FY24</s:t>
        </s:is>
      </s:c>
      <s:c r="Z4" s="7" t="inlineStr">
        <s:is>
          <s:t>FY25</s:t>
        </s:is>
      </s:c>
      <s:c r="AA4" s="7" t="inlineStr">
        <s:is>
          <s:t>FY26</s:t>
        </s:is>
      </s:c>
      <s:c r="AB4" s="7" t="inlineStr">
        <s:is>
          <s:t>FY27</s:t>
        </s:is>
      </s:c>
      <s:c r="AC4" s="5" t="n"/>
    </s:row>
    <s:row r="5">
      <s:c r="A5" s="8" t="inlineStr">
        <s:is>
          <s:t>Nights &amp; seats booked (m)</s:t>
        </s:is>
      </s:c>
      <s:c r="B5" s="4" t="inlineStr">
        <s:is>
          <s:t>Nights_Engine: printed (A), base print path (E)</s:t>
        </s:is>
      </s:c>
      <s:c r="C5" s="27">
        <s:f>Nights_Engine!K7</s:f>
        <s:v>121.1</s:v>
      </s:c>
      <s:c r="D5" s="27">
        <s:f>Nights_Engine!L7</s:f>
        <s:v>115.1</s:v>
      </s:c>
      <s:c r="E5" s="27">
        <s:f>Nights_Engine!M7</s:f>
        <s:v>113.2</s:v>
      </s:c>
      <s:c r="F5" s="27">
        <s:f>Nights_Engine!N7</s:f>
        <s:v>98.8</s:v>
      </s:c>
      <s:c r="G5" s="27">
        <s:f>Nights_Engine!O7</s:f>
        <s:v>132.6</s:v>
      </s:c>
      <s:c r="H5" s="27">
        <s:f>Nights_Engine!P7</s:f>
        <s:v>125.1</s:v>
      </s:c>
      <s:c r="I5" s="27">
        <s:f>Nights_Engine!Q7</s:f>
        <s:v>122.8</s:v>
      </s:c>
      <s:c r="J5" s="27">
        <s:f>Nights_Engine!R7</s:f>
        <s:v>111.0</s:v>
      </s:c>
      <s:c r="K5" s="27">
        <s:f>Nights_Engine!S7</s:f>
        <s:v>143.1</s:v>
      </s:c>
      <s:c r="L5" s="27">
        <s:f>Nights_Engine!T7</s:f>
        <s:v>134.4</s:v>
      </s:c>
      <s:c r="M5" s="27">
        <s:f>Nights_Engine!U7</s:f>
        <s:v>133.6</s:v>
      </s:c>
      <s:c r="N5" s="27">
        <s:f>Nights_Engine!V7</s:f>
        <s:v>121.9</s:v>
      </s:c>
      <s:c r="O5" s="27">
        <s:f>Nights_Engine!W7</s:f>
        <s:v>156.2</s:v>
      </s:c>
      <s:c r="P5" s="27">
        <s:f>Nights_Engine!X7</s:f>
        <s:v>148.3</s:v>
      </s:c>
      <s:c r="Q5" s="28">
        <s:f>Nights_Engine!Y85</s:f>
        <s:v>146.807696</s:v>
      </s:c>
      <s:c r="R5" s="28">
        <s:f>Nights_Engine!Z85</s:f>
        <s:v>131.79828</s:v>
      </s:c>
      <s:c r="S5" s="28">
        <s:f>Nights_Engine!AA85</s:f>
        <s:v>169.01620999999997</s:v>
      </s:c>
      <s:c r="T5" s="28">
        <s:f>Nights_Engine!AB85</s:f>
        <s:v>157.09863900000002</s:v>
      </s:c>
      <s:c r="U5" s="28">
        <s:f>Nights_Engine!AC85</s:f>
        <s:v>155.91858161375998</s:v>
      </s:c>
      <s:c r="V5" s="28">
        <s:f>Nights_Engine!AD85</s:f>
        <s:v>139.6771811784</s:v>
      </s:c>
      <s:c r="X5" s="22">
        <s:f>C5+D5+E5+F5</s:f>
        <s:v>448.2</s:v>
      </s:c>
      <s:c r="Y5" s="22">
        <s:f>G5+H5+I5+J5</s:f>
        <s:v>491.5</s:v>
      </s:c>
      <s:c r="Z5" s="22">
        <s:f>K5+L5+M5+N5</s:f>
        <s:v>533.0</s:v>
      </s:c>
      <s:c r="AA5" s="29">
        <s:f>O5+P5+Q5+R5</s:f>
        <s:v>583.1059759999999</s:v>
      </s:c>
      <s:c r="AB5" s="29">
        <s:f>S5+T5+U5+V5</s:f>
        <s:v>621.71061179216</s:v>
      </s:c>
    </s:row>
    <s:row r="6">
      <s:c r="A6" s="8" t="inlineStr">
        <s:is>
          <s:t xml:space="preserve">    y/y</s:t>
        </s:is>
      </s:c>
      <s:c r="B6" s="4" t="inlineStr">
        <s:is>
          <s:t>→ nights / four quarters earlier − 1</s:t>
        </s:is>
      </s:c>
      <s:c r="C6" s="30">
        <s:f>Nights_Engine!K8</s:f>
        <s:v>0.18609206660137123</s:v>
      </s:c>
      <s:c r="D6" s="30">
        <s:f>Nights_Engine!L8</s:f>
        <s:v>0.10993249758919954</s:v>
      </s:c>
      <s:c r="E6" s="30">
        <s:f>Nights_Engine!M8</s:f>
        <s:v>0.1354062186559679</s:v>
      </s:c>
      <s:c r="F6" s="30">
        <s:f>Nights_Engine!N8</s:f>
        <s:v>0.1201814058956916</s:v>
      </s:c>
      <s:c r="G6" s="10">
        <s:f>G5/C5-1</s:f>
        <s:v>0.09496284062758042</s:v>
      </s:c>
      <s:c r="H6" s="10">
        <s:f>H5/D5-1</s:f>
        <s:v>0.08688097306689846</s:v>
      </s:c>
      <s:c r="I6" s="10">
        <s:f>I5/E5-1</s:f>
        <s:v>0.08480565371024729</s:v>
      </s:c>
      <s:c r="J6" s="10">
        <s:f>J5/F5-1</s:f>
        <s:v>0.12348178137651833</s:v>
      </s:c>
      <s:c r="K6" s="10">
        <s:f>K5/G5-1</s:f>
        <s:v>0.07918552036199089</s:v>
      </s:c>
      <s:c r="L6" s="10">
        <s:f>L5/H5-1</s:f>
        <s:v>0.07434052757793785</s:v>
      </s:c>
      <s:c r="M6" s="10">
        <s:f>M5/I5-1</s:f>
        <s:v>0.08794788273615639</s:v>
      </s:c>
      <s:c r="N6" s="10">
        <s:f>N5/J5-1</s:f>
        <s:v>0.0981981981981983</s:v>
      </s:c>
      <s:c r="O6" s="10">
        <s:f>O5/K5-1</s:f>
        <s:v>0.09154437456324249</s:v>
      </s:c>
      <s:c r="P6" s="10">
        <s:f>P5/L5-1</s:f>
        <s:v>0.10342261904761907</s:v>
      </s:c>
      <s:c r="Q6" s="10">
        <s:f>Q5/M5-1</s:f>
        <s:v>0.09885999999999995</s:v>
      </s:c>
      <s:c r="R6" s="10">
        <s:f>R5/N5-1</s:f>
        <s:v>0.08119999999999994</s:v>
      </s:c>
      <s:c r="S6" s="10">
        <s:f>S5/O5-1</s:f>
        <s:v>0.08204999999999996</s:v>
      </s:c>
      <s:c r="T6" s="10">
        <s:f>T5/P5-1</s:f>
        <s:v>0.059330000000000105</s:v>
      </s:c>
      <s:c r="U6" s="10">
        <s:f>U5/Q5-1</s:f>
        <s:v>0.062060000000000004</s:v>
      </s:c>
      <s:c r="V6" s="10">
        <s:f>V5/R5-1</s:f>
        <s:v>0.059779999999999944</s:v>
      </s:c>
      <s:c r="Y6" s="10">
        <s:f>Y5/X5-1</s:f>
        <s:v>0.09660865684962072</s:v>
      </s:c>
      <s:c r="Z6" s="10">
        <s:f>Z5/Y5-1</s:f>
        <s:v>0.0844354018311293</s:v>
      </s:c>
      <s:c r="AA6" s="10">
        <s:f>AA5/Z5-1</s:f>
        <s:v>0.09400745966228885</s:v>
      </s:c>
      <s:c r="AB6" s="10">
        <s:f>AB5/AA5-1</s:f>
        <s:v>0.06620517947180149</s:v>
      </s:c>
    </s:row>
    <s:row r="7">
      <s:c r="A7" s="5" t="inlineStr">
        <s:is>
          <s:t>Lines to build together (in order) — empty until each has its rationale file</s:t>
        </s:is>
      </s:c>
      <s:c r="B7" s="6" t="inlineStr">
        <s:is>
          <s:t>history 1Q23-2Q26 plugged from 02_panel_quarterly.csv (reported); forecast cost lines and below-the-line plugged from 40_line_build base (DEC-0022); blue = plug, black = formula</s:t>
        </s:is>
      </s:c>
      <s:c r="C7" s="5" t="n"/>
      <s:c r="D7" s="5" t="n"/>
      <s:c r="E7" s="5" t="n"/>
      <s:c r="F7" s="5" t="n"/>
      <s:c r="G7" s="5" t="n"/>
      <s:c r="H7" s="5" t="n"/>
      <s:c r="I7" s="5" t="n"/>
      <s:c r="J7" s="5" t="n"/>
      <s:c r="K7" s="5" t="n"/>
      <s:c r="L7" s="5" t="n"/>
      <s:c r="M7" s="5" t="n"/>
      <s:c r="N7" s="5" t="n"/>
      <s:c r="O7" s="5" t="n"/>
      <s:c r="P7" s="5" t="n"/>
      <s:c r="Q7" s="5" t="n"/>
      <s:c r="R7" s="5" t="n"/>
      <s:c r="S7" s="5" t="n"/>
      <s:c r="T7" s="5" t="n"/>
      <s:c r="U7" s="5" t="n"/>
      <s:c r="V7" s="5" t="n"/>
      <s:c r="W7" s="5" t="n"/>
      <s:c r="X7" s="5" t="n"/>
      <s:c r="Y7" s="5" t="n"/>
      <s:c r="Z7" s="5" t="n"/>
      <s:c r="AA7" s="5" t="n"/>
      <s:c r="AB7" s="5" t="n"/>
      <s:c r="AC7" s="5" t="n"/>
    </s:row>
    <s:row r="8">
      <s:c r="A8" s="8" t="inlineStr">
        <s:is>
          <s:t>Gross booking value ($bn)</s:t>
        </s:is>
      </s:c>
      <s:c r="B8" s="4" t="inlineStr">
        <s:is>
          <s:t>→ nights × ADR ÷ 1000 (line 1 × line 2)</s:t>
        </s:is>
      </s:c>
      <s:c r="C8" s="16">
        <s:f>C5*C10/1000</s:f>
        <s:v>20.396873</s:v>
      </s:c>
      <s:c r="D8" s="16">
        <s:f>D5*D10/1000</s:f>
        <s:v>19.107750999999997</s:v>
      </s:c>
      <s:c r="E8" s="16">
        <s:f>E5*E10/1000</s:f>
        <s:v>18.268216</s:v>
      </s:c>
      <s:c r="F8" s="16">
        <s:f>F5*F10/1000</s:f>
        <s:v>15.484924</s:v>
      </s:c>
      <s:c r="G8" s="16">
        <s:f>G5*G10/1000</s:f>
        <s:v>22.923887999999998</s:v>
      </s:c>
      <s:c r="H8" s="16">
        <s:f>H5*H10/1000</s:f>
        <s:v>21.208202999999997</s:v>
      </s:c>
      <s:c r="I8" s="16">
        <s:f>I5*I10/1000</s:f>
        <s:v>20.094991999999998</s:v>
      </s:c>
      <s:c r="J8" s="16">
        <s:f>J5*J10/1000</s:f>
        <s:v>17.55243</s:v>
      </s:c>
      <s:c r="K8" s="16">
        <s:f>K5*K10/1000</s:f>
        <s:v>24.518754</s:v>
      </s:c>
      <s:c r="L8" s="16">
        <s:f>L5*L10/1000</s:f>
        <s:v>23.450112</s:v>
      </s:c>
      <s:c r="M8" s="16">
        <s:f>M5*M10/1000</s:f>
        <s:v>22.884344</s:v>
      </s:c>
      <s:c r="N8" s="16">
        <s:f>N5*N10/1000</s:f>
        <s:v>20.419469</s:v>
      </s:c>
      <s:c r="O8" s="16">
        <s:f>O5*O10/1000</s:f>
        <s:v>29.181283999999994</s:v>
      </s:c>
      <s:c r="P8" s="16">
        <s:f>P5*P10/1000</s:f>
        <s:v>27.247159</s:v>
      </s:c>
      <s:c r="Q8" s="16">
        <s:f>Q5*Q10/1000</s:f>
        <s:v>26.084970815695762</s:v>
      </s:c>
      <s:c r="R8" s="16">
        <s:f>R5*R10/1000</s:f>
        <s:v>22.805590120895264</s:v>
      </s:c>
      <s:c r="S8" s="16">
        <s:f>S5*S10/1000</s:f>
        <s:v>32.222233755534994</s:v>
      </s:c>
      <s:c r="T8" s="16">
        <s:f>T5*T10/1000</s:f>
        <s:v>29.59386776134612</s:v>
      </s:c>
      <s:c r="U8" s="16">
        <s:f>U5*U10/1000</s:f>
        <s:v>28.458585883395795</s:v>
      </s:c>
      <s:c r="V8" s="16">
        <s:f>V5*V10/1000</s:f>
        <s:v>24.878132575469813</s:v>
      </s:c>
    </s:row>
    <s:row r="9">
      <s:c r="A9" s="8" t="inlineStr">
        <s:is>
          <s:t xml:space="preserve">    y/y</s:t>
        </s:is>
      </s:c>
      <s:c r="G9" s="10">
        <s:f>G8/C8-1</s:f>
        <s:v>0.12389227505608336</s:v>
      </s:c>
      <s:c r="H9" s="10">
        <s:f>H8/D8-1</s:f>
        <s:v>0.10992669937974386</s:v>
      </s:c>
      <s:c r="I9" s="10">
        <s:f>I8/E8-1</s:f>
        <s:v>0.0999975038613512</s:v>
      </s:c>
      <s:c r="J9" s="10">
        <s:f>J8/F8-1</s:f>
        <s:v>0.13351734887429867</s:v>
      </s:c>
      <s:c r="K9" s="10">
        <s:f>K8/G8-1</s:f>
        <s:v>0.06957222963225096</s:v>
      </s:c>
      <s:c r="L9" s="10">
        <s:f>L8/H8-1</s:f>
        <s:v>0.10570952192413485</s:v>
      </s:c>
      <s:c r="M9" s="10">
        <s:f>M8/I8-1</s:f>
        <s:v>0.13880831602222088</s:v>
      </s:c>
      <s:c r="N9" s="10">
        <s:f>N8/J8-1</s:f>
        <s:v>0.1633414290784807</s:v>
      </s:c>
      <s:c r="O9" s="10">
        <s:f>O8/K8-1</s:f>
        <s:v>0.1901617839144678</s:v>
      </s:c>
      <s:c r="P9" s="10">
        <s:f>P8/L8-1</s:f>
        <s:v>0.16192020745998992</s:v>
      </s:c>
      <s:c r="Q9" s="10">
        <s:f>Q8/M8-1</s:f>
        <s:v>0.1398609816255063</s:v>
      </s:c>
      <s:c r="R9" s="10">
        <s:f>R8/N8-1</s:f>
        <s:v>0.11685519936366928</s:v>
      </s:c>
      <s:c r="S9" s="10">
        <s:f>S8/O8-1</s:f>
        <s:v>0.10420890854340059</s:v>
      </s:c>
      <s:c r="T9" s="10">
        <s:f>T8/P8-1</s:f>
        <s:v>0.08612673201437704</s:v>
      </s:c>
      <s:c r="U9" s="10">
        <s:f>U8/Q8-1</s:f>
        <s:v>0.09099550405752388</s:v>
      </s:c>
      <s:c r="V9" s="10">
        <s:f>V8/R8-1</s:f>
        <s:v>0.09087870314198154</s:v>
      </s:c>
    </s:row>
    <s:row r="10">
      <s:c r="A10" s="8" t="inlineStr">
        <s:is>
          <s:t>ADR ($ = GBV / nights)</s:t>
        </s:is>
      </s:c>
      <s:c r="B10" s="4" t="inlineStr">
        <s:is>
          <s:t>ADR_Engine: printed (A), engine path (E) — line 2</s:t>
        </s:is>
      </s:c>
      <s:c r="C10" s="20">
        <s:f>ADR_Engine!K7</s:f>
        <s:v>168.43</s:v>
      </s:c>
      <s:c r="D10" s="20">
        <s:f>ADR_Engine!L7</s:f>
        <s:v>166.01</s:v>
      </s:c>
      <s:c r="E10" s="20">
        <s:f>ADR_Engine!M7</s:f>
        <s:v>161.38</s:v>
      </s:c>
      <s:c r="F10" s="20">
        <s:f>ADR_Engine!N7</s:f>
        <s:v>156.73</s:v>
      </s:c>
      <s:c r="G10" s="20">
        <s:f>ADR_Engine!O7</s:f>
        <s:v>172.88</s:v>
      </s:c>
      <s:c r="H10" s="20">
        <s:f>ADR_Engine!P7</s:f>
        <s:v>169.53</s:v>
      </s:c>
      <s:c r="I10" s="20">
        <s:f>ADR_Engine!Q7</s:f>
        <s:v>163.64</s:v>
      </s:c>
      <s:c r="J10" s="20">
        <s:f>ADR_Engine!R7</s:f>
        <s:v>158.13</s:v>
      </s:c>
      <s:c r="K10" s="20">
        <s:f>ADR_Engine!S7</s:f>
        <s:v>171.34</s:v>
      </s:c>
      <s:c r="L10" s="20">
        <s:f>ADR_Engine!T7</s:f>
        <s:v>174.48</s:v>
      </s:c>
      <s:c r="M10" s="20">
        <s:f>ADR_Engine!U7</s:f>
        <s:v>171.29</s:v>
      </s:c>
      <s:c r="N10" s="20">
        <s:f>ADR_Engine!V7</s:f>
        <s:v>167.51</s:v>
      </s:c>
      <s:c r="O10" s="20">
        <s:f>ADR_Engine!W7</s:f>
        <s:v>186.82</s:v>
      </s:c>
      <s:c r="P10" s="20">
        <s:f>ADR_Engine!X7</s:f>
        <s:v>183.73</s:v>
      </s:c>
      <s:c r="Q10" s="20">
        <s:f>ADR_Engine!Y7</s:f>
        <s:v>177.6812219414966</s:v>
      </s:c>
      <s:c r="R10" s="20">
        <s:f>ADR_Engine!Z7</s:f>
        <s:v>173.0340496165448</s:v>
      </s:c>
      <s:c r="S10" s="20">
        <s:f>ADR_Engine!AA7</s:f>
        <s:v>190.64581885687178</s:v>
      </s:c>
      <s:c r="T10" s="20">
        <s:f>ADR_Engine!AB7</s:f>
        <s:v>188.37762026280902</s:v>
      </s:c>
      <s:c r="U10" s="20">
        <s:f>ADR_Engine!AC7</s:f>
        <s:v>182.52209319023393</s:v>
      </s:c>
      <s:c r="V10" s="20">
        <s:f>ADR_Engine!AD7</s:f>
        <s:v>178.11164547840278</s:v>
      </s:c>
    </s:row>
    <s:row r="11">
      <s:c r="A11" s="8" t="inlineStr">
        <s:is>
          <s:t xml:space="preserve">    y/y</s:t>
        </s:is>
      </s:c>
      <s:c r="C11" s="30">
        <s:f>ADR_Engine!K8</s:f>
        <s:v>0.0021419646575833173</s:v>
      </s:c>
      <s:c r="D11" s="30">
        <s:f>ADR_Engine!L8</s:f>
        <s:v>0.013863442042262086</s:v>
      </s:c>
      <s:c r="E11" s="30">
        <s:f>ADR_Engine!M8</s:f>
        <s:v>0.03157760163641021</s:v>
      </s:c>
      <s:c r="F11" s="30">
        <s:f>ADR_Engine!N8</s:f>
        <s:v>0.025652771415483278</s:v>
      </s:c>
      <s:c r="G11" s="10">
        <s:f>G10/C10-1</s:f>
        <s:v>0.02642047141245607</s:v>
      </s:c>
      <s:c r="H11" s="10">
        <s:f>H10/D10-1</s:f>
        <s:v>0.02120354195530405</s:v>
      </s:c>
      <s:c r="I11" s="10">
        <s:f>I10/E10-1</s:f>
        <s:v>0.014004213657206499</s:v>
      </s:c>
      <s:c r="J11" s="10">
        <s:f>J10/F10-1</s:f>
        <s:v>0.008932559178204569</s:v>
      </s:c>
      <s:c r="K11" s="10">
        <s:f>K10/G10-1</s:f>
        <s:v>-0.008907913003239232</s:v>
      </s:c>
      <s:c r="L11" s="10">
        <s:f>L10/H10-1</s:f>
        <s:v>0.029198371969562764</s:v>
      </s:c>
      <s:c r="M11" s="10">
        <s:f>M10/I10-1</s:f>
        <s:v>0.04674896113419713</s:v>
      </s:c>
      <s:c r="N11" s="10">
        <s:f>N10/J10-1</s:f>
        <s:v>0.05931828242585202</s:v>
      </s:c>
      <s:c r="O11" s="10">
        <s:f>O10/K10-1</s:f>
        <s:v>0.09034667911754402</s:v>
      </s:c>
      <s:c r="P11" s="10">
        <s:f>P10/L10-1</s:f>
        <s:v>0.053014672168729904</s:v>
      </s:c>
      <s:c r="Q11" s="10">
        <s:f>Q10/M10-1</s:f>
        <s:v>0.03731228875881021</s:v>
      </s:c>
      <s:c r="R11" s="10">
        <s:f>R10/N10-1</s:f>
        <s:v>0.0329774318938858</s:v>
      </s:c>
      <s:c r="S11" s="10">
        <s:f>S10/O10-1</s:f>
        <s:v>0.020478636424750007</s:v>
      </s:c>
      <s:c r="T11" s="10">
        <s:f>T10/P10-1</s:f>
        <s:v>0.02529592479621745</s:v>
      </s:c>
      <s:c r="U11" s="10">
        <s:f>U10/Q10-1</s:f>
        <s:v>0.02724469809382124</s:v>
      </s:c>
      <s:c r="V11" s="10">
        <s:f>V10/R10-1</s:f>
        <s:v>0.029344489556305753</s:v>
      </s:c>
    </s:row>
    <s:row r="12">
      <s:c r="A12" s="2" t="inlineStr">
        <s:is>
          <s:t>Revenue</s:t>
        </s:is>
      </s:c>
      <s:c r="B12" s="4" t="inlineStr">
        <s:is>
          <s:t>A: reported. E: = GBV x take rate (DEC-0018), so revenue is an output of lines 1-2</s:t>
        </s:is>
      </s:c>
      <s:c r="C12" s="31" t="n">
        <s:v>1818</s:v>
      </s:c>
      <s:c r="D12" s="31" t="n">
        <s:v>2484</s:v>
      </s:c>
      <s:c r="E12" s="31" t="n">
        <s:v>3397</s:v>
      </s:c>
      <s:c r="F12" s="31" t="n">
        <s:v>2218</s:v>
      </s:c>
      <s:c r="G12" s="31" t="n">
        <s:v>2142</s:v>
      </s:c>
      <s:c r="H12" s="31" t="n">
        <s:v>2748</s:v>
      </s:c>
      <s:c r="I12" s="31" t="n">
        <s:v>3732</s:v>
      </s:c>
      <s:c r="J12" s="31" t="n">
        <s:v>2480</s:v>
      </s:c>
      <s:c r="K12" s="31" t="n">
        <s:v>2272</s:v>
      </s:c>
      <s:c r="L12" s="31" t="n">
        <s:v>3096</s:v>
      </s:c>
      <s:c r="M12" s="31" t="n">
        <s:v>4095</s:v>
      </s:c>
      <s:c r="N12" s="31" t="n">
        <s:v>2778</s:v>
      </s:c>
      <s:c r="O12" s="31" t="n">
        <s:v>2678</s:v>
      </s:c>
      <s:c r="P12" s="31" t="n">
        <s:v>3608</s:v>
      </s:c>
      <s:c r="Q12" s="32">
        <s:f>Q8*1000*Q14</s:f>
        <s:v>4690.915404262231</s:v>
      </s:c>
      <s:c r="R12" s="32">
        <s:f>R8*1000*R14</s:f>
        <s:v>3140.7997203637324</s:v>
      </s:c>
      <s:c r="S12" s="32">
        <s:f>S8*1000*S14</s:f>
        <s:v>2955.1010577201146</s:v>
      </s:c>
      <s:c r="T12" s="32">
        <s:f>T8*1000*T14</s:f>
        <s:v>3925.6265585425626</s:v>
      </s:c>
      <s:c r="U12" s="32">
        <s:f>U8*1000*U14</s:f>
        <s:v>5117.767615964276</s:v>
      </s:c>
      <s:c r="V12" s="32">
        <s:f>V8*1000*V14</s:f>
        <s:v>3426.2315257790865</s:v>
      </s:c>
      <s:c r="X12" s="32">
        <s:f>SUM(C12:F12)</s:f>
        <s:v>9917.0</s:v>
      </s:c>
      <s:c r="Y12" s="32">
        <s:f>SUM(G12:J12)</s:f>
        <s:v>11102.0</s:v>
      </s:c>
      <s:c r="Z12" s="32">
        <s:f>SUM(K12:N12)</s:f>
        <s:v>12241.0</s:v>
      </s:c>
      <s:c r="AA12" s="32">
        <s:f>SUM(O12:R12)</s:f>
        <s:v>14117.715124625964</s:v>
      </s:c>
      <s:c r="AB12" s="32">
        <s:f>SUM(S12:V12)</s:f>
        <s:v>15424.72675800604</s:v>
      </s:c>
    </s:row>
    <s:row r="13">
      <s:c r="A13" s="8" t="inlineStr">
        <s:is>
          <s:t xml:space="preserve">    y/y</s:t>
        </s:is>
      </s:c>
      <s:c r="G13" s="33">
        <s:f>G12/C12-1</s:f>
        <s:v>0.17821782178217815</s:v>
      </s:c>
      <s:c r="H13" s="33">
        <s:f>H12/D12-1</s:f>
        <s:v>0.106280193236715</s:v>
      </s:c>
      <s:c r="I13" s="33">
        <s:f>I12/E12-1</s:f>
        <s:v>0.09861642625846345</s:v>
      </s:c>
      <s:c r="J13" s="33">
        <s:f>J12/F12-1</s:f>
        <s:v>0.11812443642921555</s:v>
      </s:c>
      <s:c r="K13" s="33">
        <s:f>K12/G12-1</s:f>
        <s:v>0.06069094304388423</s:v>
      </s:c>
      <s:c r="L13" s="33">
        <s:f>L12/H12-1</s:f>
        <s:v>0.1266375545851528</s:v>
      </s:c>
      <s:c r="M13" s="33">
        <s:f>M12/I12-1</s:f>
        <s:v>0.09726688102893899</s:v>
      </s:c>
      <s:c r="N13" s="33">
        <s:f>N12/J12-1</s:f>
        <s:v>0.1201612903225806</s:v>
      </s:c>
      <s:c r="O13" s="33">
        <s:f>O12/K12-1</s:f>
        <s:v>0.1786971830985915</s:v>
      </s:c>
      <s:c r="P13" s="33">
        <s:f>P12/L12-1</s:f>
        <s:v>0.1653746770025839</s:v>
      </s:c>
      <s:c r="Q13" s="33">
        <s:f>Q12/M12-1</s:f>
        <s:v>0.14552268724352402</s:v>
      </s:c>
      <s:c r="R13" s="33">
        <s:f>R12/N12-1</s:f>
        <s:v>0.13059745153482094</s:v>
      </s:c>
      <s:c r="S13" s="33">
        <s:f>S12/O12-1</s:f>
        <s:v>0.10347313581781714</s:v>
      </s:c>
      <s:c r="T13" s="33">
        <s:f>T12/P12-1</s:f>
        <s:v>0.08803396855392531</s:v>
      </s:c>
      <s:c r="U13" s="33">
        <s:f>U12/Q12-1</s:f>
        <s:v>0.09099550405752388</s:v>
      </s:c>
      <s:c r="V13" s="33">
        <s:f>V12/R12-1</s:f>
        <s:v>0.09087870314198154</s:v>
      </s:c>
      <s:c r="Y13" s="33">
        <s:f>Y12/X12-1</s:f>
        <s:v>0.11949178178884745</s:v>
      </s:c>
      <s:c r="Z13" s="33">
        <s:f>Z12/Y12-1</s:f>
        <s:v>0.10259412718429117</s:v>
      </s:c>
      <s:c r="AA13" s="33">
        <s:f>AA12/Z12-1</s:f>
        <s:v>0.1533138734274948</s:v>
      </s:c>
      <s:c r="AB13" s="33">
        <s:f>AB12/AA12-1</s:f>
        <s:v>0.09257954434143634</s:v>
      </s:c>
    </s:row>
    <s:row r="14">
      <s:c r="A14" s="8" t="inlineStr">
        <s:is>
          <s:t xml:space="preserve">    Take rate (revenue / GBV)</s:t>
        </s:is>
      </s:c>
      <s:c r="B14" s="4" t="inlineStr">
        <s:is>
          <s:t>A: = revenue / GBV. E: 3Q26-4Q26 Street-implied; 1Q27+ seasonal naive tau[q-4], no drift</s:t>
        </s:is>
      </s:c>
      <s:c r="C14" s="34">
        <s:f>C12/(C8*1000)</s:f>
        <s:v>0.08913130949043023</s:v>
      </s:c>
      <s:c r="D14" s="34">
        <s:f>D12/(D8*1000)</s:f>
        <s:v>0.12999960068560662</s:v>
      </s:c>
      <s:c r="E14" s="34">
        <s:f>E12/(E8*1000)</s:f>
        <s:v>0.1859513813499906</s:v>
      </s:c>
      <s:c r="F14" s="34">
        <s:f>F12/(F8*1000)</s:f>
        <s:v>0.14323609208543744</s:v>
      </s:c>
      <s:c r="G14" s="34">
        <s:f>G12/(G8*1000)</s:f>
        <s:v>0.09343964688712492</s:v>
      </s:c>
      <s:c r="H14" s="34">
        <s:f>H12/(H8*1000)</s:f>
        <s:v>0.12957250550647786</s:v>
      </s:c>
      <s:c r="I14" s="34">
        <s:f>I12/(I8*1000)</s:f>
        <s:v>0.18571791419474068</s:v>
      </s:c>
      <s:c r="J14" s="34">
        <s:f>J12/(J8*1000)</s:f>
        <s:v>0.1412909779443644</s:v>
      </s:c>
      <s:c r="K14" s="34">
        <s:f>K12/(K8*1000)</s:f>
        <s:v>0.0926637626039235</s:v>
      </s:c>
      <s:c r="L14" s="34">
        <s:f>L12/(L8*1000)</s:f>
        <s:v>0.13202495578699155</s:v>
      </s:c>
      <s:c r="M14" s="34">
        <s:f>M12/(M8*1000)</s:f>
        <s:v>0.17894329852758725</s:v>
      </s:c>
      <s:c r="N14" s="34">
        <s:f>N12/(N8*1000)</s:f>
        <s:v>0.13604663275034232</s:v>
      </s:c>
      <s:c r="O14" s="34">
        <s:f>O12/(O8*1000)</s:f>
        <s:v>0.09177115030305041</s:v>
      </s:c>
      <s:c r="P14" s="34">
        <s:f>P12/(P8*1000)</s:f>
        <s:v>0.13241747515768526</s:v>
      </s:c>
      <s:c r="Q14" s="35" t="n">
        <s:v>0.1798321124223617</s:v>
      </s:c>
      <s:c r="R14" s="35" t="n">
        <s:v>0.137720607259622</s:v>
      </s:c>
      <s:c r="S14" s="35" t="n">
        <s:v>0.09171</s:v>
      </s:c>
      <s:c r="T14" s="35" t="n">
        <s:v>0.13265</s:v>
      </s:c>
      <s:c r="U14" s="35" t="n">
        <s:v>0.1798321124223617</s:v>
      </s:c>
      <s:c r="V14" s="35" t="n">
        <s:v>0.137720607259622</s:v>
      </s:c>
      <s:c r="X14" s="34">
        <s:f>X12/(SUM(C8:F8)*1000)</s:f>
        <s:v>0.13537131709343467</s:v>
      </s:c>
      <s:c r="Y14" s="34">
        <s:f>Y12/(SUM(G8:J8)*1000)</s:f>
        <s:v>0.13575527161674344</s:v>
      </s:c>
      <s:c r="Z14" s="34">
        <s:f>Z12/(SUM(K8:N8)*1000)</s:f>
        <s:v>0.13411461276380415</s:v>
      </s:c>
      <s:c r="AA14" s="34">
        <s:f>AA12/(SUM(O8:R8)*1000)</s:f>
        <s:v>0.1340471766436925</s:v>
      </s:c>
      <s:c r="AB14" s="34">
        <s:f>AB12/(SUM(S8:V8)*1000)</s:f>
        <s:v>0.13395005663999168</s:v>
      </s:c>
    </s:row>
    <s:row r="16">
      <s:c r="A16" s="8" t="inlineStr">
        <s:is>
          <s:t xml:space="preserve">    Cost of revenue (cash)</s:t>
        </s:is>
      </s:c>
      <s:c r="B16" s="4" t="inlineStr">
        <s:is>
          <s:t>cash = GAAP less SBC. A: 02_panel_quarterly. E: 40_line_build base, carried in dollars (DEC-0022)</s:t>
        </s:is>
      </s:c>
      <s:c r="C16" s="31" t="n">
        <s:v>428</s:v>
      </s:c>
      <s:c r="D16" s="31" t="n">
        <s:v>432</s:v>
      </s:c>
      <s:c r="E16" s="31" t="n">
        <s:v>459</s:v>
      </s:c>
      <s:c r="F16" s="31" t="n">
        <s:v>384</s:v>
      </s:c>
      <s:c r="G16" s="31" t="n">
        <s:v>480</s:v>
      </s:c>
      <s:c r="H16" s="31" t="n">
        <s:v>506</s:v>
      </s:c>
      <s:c r="I16" s="31" t="n">
        <s:v>465</s:v>
      </s:c>
      <s:c r="J16" s="31" t="n">
        <s:v>427</s:v>
      </s:c>
      <s:c r="K16" s="31" t="n">
        <s:v>506</s:v>
      </s:c>
      <s:c r="L16" s="31" t="n">
        <s:v>544</s:v>
      </s:c>
      <s:c r="M16" s="31" t="n">
        <s:v>549</s:v>
      </s:c>
      <s:c r="N16" s="31" t="n">
        <s:v>487</s:v>
      </s:c>
      <s:c r="O16" s="31" t="n">
        <s:v>581</s:v>
      </s:c>
      <s:c r="P16" s="31" t="n">
        <s:v>633</s:v>
      </s:c>
      <s:c r="Q16" s="31" t="n">
        <s:v>640.7841188023608</s:v>
      </s:c>
      <s:c r="R16" s="31" t="n">
        <s:v>578.0394574666427</s:v>
      </s:c>
      <s:c r="S16" s="31" t="n">
        <s:v>706.0035882028698</s:v>
      </s:c>
      <s:c r="T16" s="31" t="n">
        <s:v>727.2995429788907</s:v>
      </s:c>
      <s:c r="U16" s="31" t="n">
        <s:v>699.4536785339944</s:v>
      </s:c>
      <s:c r="V16" s="31" t="n">
        <s:v>626.8522820155006</s:v>
      </s:c>
      <s:c r="X16" s="32">
        <s:f>SUM(C16:F16)</s:f>
        <s:v>1703.0</s:v>
      </s:c>
      <s:c r="Y16" s="32">
        <s:f>SUM(G16:J16)</s:f>
        <s:v>1878.0</s:v>
      </s:c>
      <s:c r="Z16" s="32">
        <s:f>SUM(K16:N16)</s:f>
        <s:v>2086.0</s:v>
      </s:c>
      <s:c r="AA16" s="32">
        <s:f>SUM(O16:R16)</s:f>
        <s:v>2432.8235762690038</s:v>
      </s:c>
      <s:c r="AB16" s="32">
        <s:f>SUM(S16:V16)</s:f>
        <s:v>2759.609091731255</s:v>
      </s:c>
    </s:row>
    <s:row r="17">
      <s:c r="A17" s="8" t="inlineStr">
        <s:is>
          <s:t xml:space="preserve">    Operations &amp; support (cash)</s:t>
        </s:is>
      </s:c>
      <s:c r="C17" s="31" t="n">
        <s:v>267</s:v>
      </s:c>
      <s:c r="D17" s="31" t="n">
        <s:v>298</s:v>
      </s:c>
      <s:c r="E17" s="31" t="n">
        <s:v>299</s:v>
      </s:c>
      <s:c r="F17" s="31" t="n">
        <s:v>254</s:v>
      </s:c>
      <s:c r="G17" s="31" t="n">
        <s:v>266</s:v>
      </s:c>
      <s:c r="H17" s="31" t="n">
        <s:v>314</s:v>
      </s:c>
      <s:c r="I17" s="31" t="n">
        <s:v>347</s:v>
      </s:c>
      <s:c r="J17" s="31" t="n">
        <s:v>265</s:v>
      </s:c>
      <s:c r="K17" s="31" t="n">
        <s:v>282</s:v>
      </s:c>
      <s:c r="L17" s="31" t="n">
        <s:v>309</s:v>
      </s:c>
      <s:c r="M17" s="31" t="n">
        <s:v>343</s:v>
      </s:c>
      <s:c r="N17" s="31" t="n">
        <s:v>303</s:v>
      </s:c>
      <s:c r="O17" s="31" t="n">
        <s:v>301</s:v>
      </s:c>
      <s:c r="P17" s="31" t="n">
        <s:v>323</s:v>
      </s:c>
      <s:c r="Q17" s="31" t="n">
        <s:v>361.4430867108318</s:v>
      </s:c>
      <s:c r="R17" s="31" t="n">
        <s:v>318.2870944871431</s:v>
      </s:c>
      <s:c r="S17" s="31" t="n">
        <s:v>319.0860911068342</s:v>
      </s:c>
      <s:c r="T17" s="31" t="n">
        <s:v>340.9682435981541</s:v>
      </s:c>
      <s:c r="U17" s="31" t="n">
        <s:v>381.7590955367162</s:v>
      </s:c>
      <s:c r="V17" s="31" t="n">
        <s:v>336.0624813662569</s:v>
      </s:c>
      <s:c r="X17" s="32">
        <s:f>SUM(C17:F17)</s:f>
        <s:v>1118.0</s:v>
      </s:c>
      <s:c r="Y17" s="32">
        <s:f>SUM(G17:J17)</s:f>
        <s:v>1192.0</s:v>
      </s:c>
      <s:c r="Z17" s="32">
        <s:f>SUM(K17:N17)</s:f>
        <s:v>1237.0</s:v>
      </s:c>
      <s:c r="AA17" s="32">
        <s:f>SUM(O17:R17)</s:f>
        <s:v>1303.7301811979748</s:v>
      </s:c>
      <s:c r="AB17" s="32">
        <s:f>SUM(S17:V17)</s:f>
        <s:v>1377.8759116079614</s:v>
      </s:c>
    </s:row>
    <s:row r="18">
      <s:c r="A18" s="8" t="inlineStr">
        <s:is>
          <s:t xml:space="preserve">    Product development (cash)</s:t>
        </s:is>
      </s:c>
      <s:c r="C18" s="31" t="n">
        <s:v>271</s:v>
      </s:c>
      <s:c r="D18" s="31" t="n">
        <s:v>260</s:v>
      </s:c>
      <s:c r="E18" s="31" t="n">
        <s:v>244</s:v>
      </s:c>
      <s:c r="F18" s="31" t="n">
        <s:v>253</s:v>
      </s:c>
      <s:c r="G18" s="31" t="n">
        <s:v>290</s:v>
      </s:c>
      <s:c r="H18" s="31" t="n">
        <s:v>280</s:v>
      </s:c>
      <s:c r="I18" s="31" t="n">
        <s:v>294</s:v>
      </s:c>
      <s:c r="J18" s="31" t="n">
        <s:v>306</s:v>
      </s:c>
      <s:c r="K18" s="31" t="n">
        <s:v>338</s:v>
      </s:c>
      <s:c r="L18" s="31" t="n">
        <s:v>331</s:v>
      </s:c>
      <s:c r="M18" s="31" t="n">
        <s:v>333</s:v>
      </s:c>
      <s:c r="N18" s="31" t="n">
        <s:v>335</s:v>
      </s:c>
      <s:c r="O18" s="31" t="n">
        <s:v>375</s:v>
      </s:c>
      <s:c r="P18" s="31" t="n">
        <s:v>374</s:v>
      </s:c>
      <s:c r="Q18" s="31" t="n">
        <s:v>359.0948816686723</s:v>
      </s:c>
      <s:c r="R18" s="31" t="n">
        <s:v>369.0251183313277</s:v>
      </s:c>
      <s:c r="S18" s="31" t="n">
        <s:v>414.1237900800001</s:v>
      </s:c>
      <s:c r="T18" s="31" t="n">
        <s:v>400.79641536</s:v>
      </s:c>
      <s:c r="U18" s="31" t="n">
        <s:v>399.65871264</s:v>
      </s:c>
      <s:c r="V18" s="31" t="n">
        <s:v>410.71068192</s:v>
      </s:c>
      <s:c r="X18" s="32">
        <s:f>SUM(C18:F18)</s:f>
        <s:v>1028.0</s:v>
      </s:c>
      <s:c r="Y18" s="32">
        <s:f>SUM(G18:J18)</s:f>
        <s:v>1170.0</s:v>
      </s:c>
      <s:c r="Z18" s="32">
        <s:f>SUM(K18:N18)</s:f>
        <s:v>1337.0</s:v>
      </s:c>
      <s:c r="AA18" s="32">
        <s:f>SUM(O18:R18)</s:f>
        <s:v>1477.12</s:v>
      </s:c>
      <s:c r="AB18" s="32">
        <s:f>SUM(S18:V18)</s:f>
        <s:v>1625.2896000000003</s:v>
      </s:c>
    </s:row>
    <s:row r="19">
      <s:c r="A19" s="8" t="inlineStr">
        <s:is>
          <s:t xml:space="preserve">    Sales &amp; marketing (cash)</s:t>
        </s:is>
      </s:c>
      <s:c r="C19" s="31" t="n">
        <s:v>422</s:v>
      </s:c>
      <s:c r="D19" s="31" t="n">
        <s:v>450</s:v>
      </s:c>
      <s:c r="E19" s="31" t="n">
        <s:v>370</s:v>
      </s:c>
      <s:c r="F19" s="31" t="n">
        <s:v>391</s:v>
      </s:c>
      <s:c r="G19" s="31" t="n">
        <s:v>479</s:v>
      </s:c>
      <s:c r="H19" s="31" t="n">
        <s:v>527</s:v>
      </s:c>
      <s:c r="I19" s="31" t="n">
        <s:v>471</s:v>
      </s:c>
      <s:c r="J19" s="31" t="n">
        <s:v>501</s:v>
      </s:c>
      <s:c r="K19" s="31" t="n">
        <s:v>519</s:v>
      </s:c>
      <s:c r="L19" s="31" t="n">
        <s:v>639</s:v>
      </s:c>
      <s:c r="M19" s="31" t="n">
        <s:v>585</s:v>
      </s:c>
      <s:c r="N19" s="31" t="n">
        <s:v>633</s:v>
      </s:c>
      <s:c r="O19" s="31" t="n">
        <s:v>696</s:v>
      </s:c>
      <s:c r="P19" s="31" t="n">
        <s:v>808</s:v>
      </s:c>
      <s:c r="Q19" s="31" t="n">
        <s:v>778.3158128157291</s:v>
      </s:c>
      <s:c r="R19" s="31" t="n">
        <s:v>758.1075295918367</s:v>
      </s:c>
      <s:c r="S19" s="31" t="n">
        <s:v>829.2717874113573</s:v>
      </s:c>
      <s:c r="T19" s="31" t="n">
        <s:v>935.1362709106796</s:v>
      </s:c>
      <s:c r="U19" s="31" t="n">
        <s:v>819.9308035731818</s:v>
      </s:c>
      <s:c r="V19" s="31" t="n">
        <s:v>875.2847818734812</s:v>
      </s:c>
      <s:c r="X19" s="32">
        <s:f>SUM(C19:F19)</s:f>
        <s:v>1633.0</s:v>
      </s:c>
      <s:c r="Y19" s="32">
        <s:f>SUM(G19:J19)</s:f>
        <s:v>1978.0</s:v>
      </s:c>
      <s:c r="Z19" s="32">
        <s:f>SUM(K19:N19)</s:f>
        <s:v>2376.0</s:v>
      </s:c>
      <s:c r="AA19" s="32">
        <s:f>SUM(O19:R19)</s:f>
        <s:v>3040.423342407566</s:v>
      </s:c>
      <s:c r="AB19" s="32">
        <s:f>SUM(S19:V19)</s:f>
        <s:v>3459.6236437687003</s:v>
      </s:c>
    </s:row>
    <s:row r="20">
      <s:c r="A20" s="8" t="inlineStr">
        <s:is>
          <s:t xml:space="preserve">    General &amp; administrative (cash, ex lodging-tax reserves)</s:t>
        </s:is>
      </s:c>
      <s:c r="B20" s="4" t="inlineStr">
        <s:is>
          <s:t>ex lodging/withholding-tax reserves (4Q23 carried $931m); reserves sit in the add-back row</s:t>
        </s:is>
      </s:c>
      <s:c r="C20" s="31" t="n">
        <s:v>191</s:v>
      </s:c>
      <s:c r="D20" s="31" t="n">
        <s:v>219</s:v>
      </s:c>
      <s:c r="E20" s="31" t="n">
        <s:v>202</s:v>
      </s:c>
      <s:c r="F20" s="31" t="n">
        <s:v>211</s:v>
      </s:c>
      <s:c r="G20" s="31" t="n">
        <s:v>223</s:v>
      </s:c>
      <s:c r="H20" s="31" t="n">
        <s:v>242</s:v>
      </s:c>
      <s:c r="I20" s="31" t="n">
        <s:v>210</s:v>
      </s:c>
      <s:c r="J20" s="31" t="n">
        <s:v>226</s:v>
      </s:c>
      <s:c r="K20" s="31" t="n">
        <s:v>235</s:v>
      </s:c>
      <s:c r="L20" s="31" t="n">
        <s:v>244</s:v>
      </s:c>
      <s:c r="M20" s="31" t="n">
        <s:v>257</s:v>
      </s:c>
      <s:c r="N20" s="31" t="n">
        <s:v>259</s:v>
      </s:c>
      <s:c r="O20" s="31" t="n">
        <s:v>226</s:v>
      </s:c>
      <s:c r="P20" s="31" t="n">
        <s:v>227</s:v>
      </s:c>
      <s:c r="Q20" s="31" t="n">
        <s:v>265.3890706023136</s:v>
      </s:c>
      <s:c r="R20" s="31" t="n">
        <s:v>276.4109293976865</s:v>
      </s:c>
      <s:c r="S20" s="31" t="n">
        <s:v>249.227244</s:v>
      </s:c>
      <s:c r="T20" s="31" t="n">
        <s:v>271.5804000000001</s:v>
      </s:c>
      <s:c r="U20" s="31" t="n">
        <s:v>256.539024</s:v>
      </s:c>
      <s:c r="V20" s="31" t="n">
        <s:v>267.1933320000001</s:v>
      </s:c>
      <s:c r="X20" s="32">
        <s:f>SUM(C20:F20)</s:f>
        <s:v>823.0</s:v>
      </s:c>
      <s:c r="Y20" s="32">
        <s:f>SUM(G20:J20)</s:f>
        <s:v>901.0</s:v>
      </s:c>
      <s:c r="Z20" s="32">
        <s:f>SUM(K20:N20)</s:f>
        <s:v>995.0</s:v>
      </s:c>
      <s:c r="AA20" s="32">
        <s:f>SUM(O20:R20)</s:f>
        <s:v>994.8000000000002</s:v>
      </s:c>
      <s:c r="AB20" s="32">
        <s:f>SUM(S20:V20)</s:f>
        <s:v>1044.5400000000002</s:v>
      </s:c>
    </s:row>
    <s:row r="21">
      <s:c r="A21" s="2" t="inlineStr">
        <s:is>
          <s:t>Total cash costs</s:t>
        </s:is>
      </s:c>
      <s:c r="C21" s="32">
        <s:f>SUM(C16:C20)</s:f>
        <s:v>1579.0</s:v>
      </s:c>
      <s:c r="D21" s="32">
        <s:f>SUM(D16:D20)</s:f>
        <s:v>1659.0</s:v>
      </s:c>
      <s:c r="E21" s="32">
        <s:f>SUM(E16:E20)</s:f>
        <s:v>1574.0</s:v>
      </s:c>
      <s:c r="F21" s="32">
        <s:f>SUM(F16:F20)</s:f>
        <s:v>1493.0</s:v>
      </s:c>
      <s:c r="G21" s="32">
        <s:f>SUM(G16:G20)</s:f>
        <s:v>1738.0</s:v>
      </s:c>
      <s:c r="H21" s="32">
        <s:f>SUM(H16:H20)</s:f>
        <s:v>1869.0</s:v>
      </s:c>
      <s:c r="I21" s="32">
        <s:f>SUM(I16:I20)</s:f>
        <s:v>1787.0</s:v>
      </s:c>
      <s:c r="J21" s="32">
        <s:f>SUM(J16:J20)</s:f>
        <s:v>1725.0</s:v>
      </s:c>
      <s:c r="K21" s="32">
        <s:f>SUM(K16:K20)</s:f>
        <s:v>1880.0</s:v>
      </s:c>
      <s:c r="L21" s="32">
        <s:f>SUM(L16:L20)</s:f>
        <s:v>2067.0</s:v>
      </s:c>
      <s:c r="M21" s="32">
        <s:f>SUM(M16:M20)</s:f>
        <s:v>2067.0</s:v>
      </s:c>
      <s:c r="N21" s="32">
        <s:f>SUM(N16:N20)</s:f>
        <s:v>2017.0</s:v>
      </s:c>
      <s:c r="O21" s="32">
        <s:f>SUM(O16:O20)</s:f>
        <s:v>2179.0</s:v>
      </s:c>
      <s:c r="P21" s="32">
        <s:f>SUM(P16:P20)</s:f>
        <s:v>2365.0</s:v>
      </s:c>
      <s:c r="Q21" s="32">
        <s:f>SUM(Q16:Q20)</s:f>
        <s:v>2405.0269705999076</s:v>
      </s:c>
      <s:c r="R21" s="32">
        <s:f>SUM(R16:R20)</s:f>
        <s:v>2299.870129274637</s:v>
      </s:c>
      <s:c r="S21" s="32">
        <s:f>SUM(S16:S20)</s:f>
        <s:v>2517.7125008010617</s:v>
      </s:c>
      <s:c r="T21" s="32">
        <s:f>SUM(T16:T20)</s:f>
        <s:v>2675.780872847725</s:v>
      </s:c>
      <s:c r="U21" s="32">
        <s:f>SUM(U16:U20)</s:f>
        <s:v>2557.3413142838926</s:v>
      </s:c>
      <s:c r="V21" s="32">
        <s:f>SUM(V16:V20)</s:f>
        <s:v>2516.103559175239</s:v>
      </s:c>
      <s:c r="X21" s="32">
        <s:f>SUM(C21:F21)</s:f>
        <s:v>6305.0</s:v>
      </s:c>
      <s:c r="Y21" s="32">
        <s:f>SUM(G21:J21)</s:f>
        <s:v>7119.0</s:v>
      </s:c>
      <s:c r="Z21" s="32">
        <s:f>SUM(K21:N21)</s:f>
        <s:v>8031.0</s:v>
      </s:c>
      <s:c r="AA21" s="32">
        <s:f>SUM(O21:R21)</s:f>
        <s:v>9248.897099874544</s:v>
      </s:c>
      <s:c r="AB21" s="32">
        <s:f>SUM(S21:V21)</s:f>
        <s:v>10266.938247107919</s:v>
      </s:c>
    </s:row>
    <s:row r="22">
      <s:c r="A22" s="8" t="inlineStr">
        <s:is>
          <s:t xml:space="preserve">    % of revenue</s:t>
        </s:is>
      </s:c>
      <s:c r="C22" s="10">
        <s:f>C21/C12</s:f>
        <s:v>0.8685368536853685</s:v>
      </s:c>
      <s:c r="D22" s="10">
        <s:f>D21/D12</s:f>
        <s:v>0.6678743961352657</s:v>
      </s:c>
      <s:c r="E22" s="10">
        <s:f>E21/E12</s:f>
        <s:v>0.4633500147188696</s:v>
      </s:c>
      <s:c r="F22" s="10">
        <s:f>F21/F12</s:f>
        <s:v>0.6731289449954915</s:v>
      </s:c>
      <s:c r="G22" s="10">
        <s:f>G21/G12</s:f>
        <s:v>0.811391223155929</s:v>
      </s:c>
      <s:c r="H22" s="10">
        <s:f>H21/H12</s:f>
        <s:v>0.6801310043668122</s:v>
      </s:c>
      <s:c r="I22" s="10">
        <s:f>I21/I12</s:f>
        <s:v>0.47883172561629156</s:v>
      </s:c>
      <s:c r="J22" s="10">
        <s:f>J21/J12</s:f>
        <s:v>0.6955645161290323</s:v>
      </s:c>
      <s:c r="K22" s="10">
        <s:f>K21/K12</s:f>
        <s:v>0.8274647887323944</s:v>
      </s:c>
      <s:c r="L22" s="10">
        <s:f>L21/L12</s:f>
        <s:v>0.6676356589147286</s:v>
      </s:c>
      <s:c r="M22" s="10">
        <s:f>M21/M12</s:f>
        <s:v>0.5047619047619047</s:v>
      </s:c>
      <s:c r="N22" s="10">
        <s:f>N21/N12</s:f>
        <s:v>0.7260619150467963</s:v>
      </s:c>
      <s:c r="O22" s="10">
        <s:f>O21/O12</s:f>
        <s:v>0.8136669156086632</s:v>
      </s:c>
      <s:c r="P22" s="10">
        <s:f>P21/P12</s:f>
        <s:v>0.6554878048780488</s:v>
      </s:c>
      <s:c r="Q22" s="10">
        <s:f>Q21/Q12</s:f>
        <s:v>0.5126988579701665</s:v>
      </s:c>
      <s:c r="R22" s="10">
        <s:f>R21/R12</s:f>
        <s:v>0.732256219447285</s:v>
      </s:c>
      <s:c r="S22" s="10">
        <s:f>S21/S12</s:f>
        <s:v>0.8519886297030729</s:v>
      </s:c>
      <s:c r="T22" s="10">
        <s:f>T21/T12</s:f>
        <s:v>0.6816188022329719</s:v>
      </s:c>
      <s:c r="U22" s="10">
        <s:f>U21/U12</s:f>
        <s:v>0.4996986002855163</s:v>
      </s:c>
      <s:c r="V22" s="10">
        <s:f>V21/V12</s:f>
        <s:v>0.7343647211941129</s:v>
      </s:c>
      <s:c r="X22" s="10">
        <s:f>X21/X12</s:f>
        <s:v>0.6357769486739941</s:v>
      </s:c>
      <s:c r="Y22" s="10">
        <s:f>Y21/Y12</s:f>
        <s:v>0.6412358133669609</s:v>
      </s:c>
      <s:c r="Z22" s="10">
        <s:f>Z21/Z12</s:f>
        <s:v>0.6560738501756392</s:v>
      </s:c>
      <s:c r="AA22" s="10">
        <s:f>AA21/AA12</s:f>
        <s:v>0.6551270526589257</s:v>
      </s:c>
      <s:c r="AB22" s="10">
        <s:f>AB21/AB12</s:f>
        <s:v>0.6656155670167041</s:v>
      </s:c>
    </s:row>
    <s:row r="23">
      <s:c r="A23" s="8" t="inlineStr">
        <s:is>
          <s:t xml:space="preserve">    Depreciation &amp; amortisation</s:t>
        </s:is>
      </s:c>
      <s:c r="C23" s="31" t="n">
        <s:v>11</s:v>
      </s:c>
      <s:c r="D23" s="31" t="n">
        <s:v>9</s:v>
      </s:c>
      <s:c r="E23" s="31" t="n">
        <s:v>8</s:v>
      </s:c>
      <s:c r="F23" s="31" t="n">
        <s:v>16</s:v>
      </s:c>
      <s:c r="G23" s="31" t="n">
        <s:v>14</s:v>
      </s:c>
      <s:c r="H23" s="31" t="n">
        <s:v>14</s:v>
      </s:c>
      <s:c r="I23" s="31" t="n">
        <s:v>15</s:v>
      </s:c>
      <s:c r="J23" s="31" t="n">
        <s:v>22</s:v>
      </s:c>
      <s:c r="K23" s="31" t="n">
        <s:v>25</s:v>
      </s:c>
      <s:c r="L23" s="31" t="n">
        <s:v>21</s:v>
      </s:c>
      <s:c r="M23" s="31" t="n">
        <s:v>22</s:v>
      </s:c>
      <s:c r="N23" s="31" t="n">
        <s:v>23</s:v>
      </s:c>
      <s:c r="O23" s="31" t="n">
        <s:v>22</s:v>
      </s:c>
      <s:c r="P23" s="31" t="n">
        <s:v>17</s:v>
      </s:c>
      <s:c r="Q23" s="31" t="n">
        <s:v>20.63397059990752</s:v>
      </s:c>
      <s:c r="R23" s="31" t="n">
        <s:v>20.63397059990752</s:v>
      </s:c>
      <s:c r="S23" s="31" t="n">
        <s:v>20.63397059990752</s:v>
      </s:c>
      <s:c r="T23" s="31" t="n">
        <s:v>20.63397059990752</s:v>
      </s:c>
      <s:c r="U23" s="31" t="n">
        <s:v>20.63397059990752</s:v>
      </s:c>
      <s:c r="V23" s="31" t="n">
        <s:v>20.63397059990752</s:v>
      </s:c>
      <s:c r="X23" s="32">
        <s:f>SUM(C23:F23)</s:f>
        <s:v>44.0</s:v>
      </s:c>
      <s:c r="Y23" s="32">
        <s:f>SUM(G23:J23)</s:f>
        <s:v>65.0</s:v>
      </s:c>
      <s:c r="Z23" s="32">
        <s:f>SUM(K23:N23)</s:f>
        <s:v>91.0</s:v>
      </s:c>
      <s:c r="AA23" s="32">
        <s:f>SUM(O23:R23)</s:f>
        <s:v>80.26794119981504</s:v>
      </s:c>
      <s:c r="AB23" s="32">
        <s:f>SUM(S23:V23)</s:f>
        <s:v>82.53588239963008</s:v>
      </s:c>
    </s:row>
    <s:row r="24">
      <s:c r="A24" s="2" t="inlineStr">
        <s:is>
          <s:t>Adjusted EBITDA</s:t>
        </s:is>
      </s:c>
      <s:c r="B24" s="4" t="inlineStr">
        <s:is>
          <s:t>A: as reported. E: = revenue - cash costs + D&amp;A + add-backs; margin is therefore an OUTPUT</s:t>
        </s:is>
      </s:c>
      <s:c r="C24" s="31" t="n">
        <s:v>262</s:v>
      </s:c>
      <s:c r="D24" s="31" t="n">
        <s:v>819</s:v>
      </s:c>
      <s:c r="E24" s="31" t="n">
        <s:v>1834</s:v>
      </s:c>
      <s:c r="F24" s="31" t="n">
        <s:v>738</s:v>
      </s:c>
      <s:c r="G24" s="31" t="n">
        <s:v>424</s:v>
      </s:c>
      <s:c r="H24" s="31" t="n">
        <s:v>894</s:v>
      </s:c>
      <s:c r="I24" s="31" t="n">
        <s:v>1958</s:v>
      </s:c>
      <s:c r="J24" s="31" t="n">
        <s:v>765</s:v>
      </s:c>
      <s:c r="K24" s="31" t="n">
        <s:v>417</s:v>
      </s:c>
      <s:c r="L24" s="31" t="n">
        <s:v>1043</s:v>
      </s:c>
      <s:c r="M24" s="31" t="n">
        <s:v>2051</s:v>
      </s:c>
      <s:c r="N24" s="31" t="n">
        <s:v>786</s:v>
      </s:c>
      <s:c r="O24" s="31" t="n">
        <s:v>519</s:v>
      </s:c>
      <s:c r="P24" s="31" t="n">
        <s:v>1261</s:v>
      </s:c>
      <s:c r="Q24" s="32">
        <s:f>Q12-Q21+Q23+Q26</s:f>
        <s:v>2306.5224042622312</s:v>
      </s:c>
      <s:c r="R24" s="32">
        <s:f>R12-R21+R23+R26</s:f>
        <s:v>861.5635616890031</s:v>
      </s:c>
      <s:c r="S24" s="32">
        <s:f>S12-S21+S23+S26</s:f>
        <s:v>458.02252751896043</s:v>
      </s:c>
      <s:c r="T24" s="32">
        <s:f>T12-T21+T23+T26</s:f>
        <s:v>1270.4796562947454</s:v>
      </s:c>
      <s:c r="U24" s="32">
        <s:f>U12-U21+U23+U26</s:f>
        <s:v>2581.060272280291</s:v>
      </s:c>
      <s:c r="V24" s="32">
        <s:f>V12-V21+V23+V26</s:f>
        <s:v>930.7619372037552</s:v>
      </s:c>
      <s:c r="X24" s="32">
        <s:f>SUM(C24:F24)</s:f>
        <s:v>3653.0</s:v>
      </s:c>
      <s:c r="Y24" s="32">
        <s:f>SUM(G24:J24)</s:f>
        <s:v>4041.0</s:v>
      </s:c>
      <s:c r="Z24" s="32">
        <s:f>SUM(K24:N24)</s:f>
        <s:v>4297.0</s:v>
      </s:c>
      <s:c r="AA24" s="32">
        <s:f>SUM(O24:R24)</s:f>
        <s:v>4948.085965951234</s:v>
      </s:c>
      <s:c r="AB24" s="32">
        <s:f>SUM(S24:V24)</s:f>
        <s:v>5240.324393297752</s:v>
      </s:c>
    </s:row>
    <s:row r="25">
      <s:c r="A25" s="8" t="inlineStr">
        <s:is>
          <s:t xml:space="preserve">    Adjusted EBITDA margin</s:t>
        </s:is>
      </s:c>
      <s:c r="C25" s="10">
        <s:f>C24/C12</s:f>
        <s:v>0.14411441144114412</s:v>
      </s:c>
      <s:c r="D25" s="10">
        <s:f>D24/D12</s:f>
        <s:v>0.32971014492753625</s:v>
      </s:c>
      <s:c r="E25" s="10">
        <s:f>E24/E12</s:f>
        <s:v>0.5398881365911098</s:v>
      </s:c>
      <s:c r="F25" s="10">
        <s:f>F24/F12</s:f>
        <s:v>0.3327321911632101</s:v>
      </s:c>
      <s:c r="G25" s="10">
        <s:f>G24/G12</s:f>
        <s:v>0.19794584500466852</s:v>
      </s:c>
      <s:c r="H25" s="10">
        <s:f>H24/H12</s:f>
        <s:v>0.32532751091703055</s:v>
      </s:c>
      <s:c r="I25" s="10">
        <s:f>I24/I12</s:f>
        <s:v>0.5246516613076099</s:v>
      </s:c>
      <s:c r="J25" s="10">
        <s:f>J24/J12</s:f>
        <s:v>0.3084677419354839</s:v>
      </s:c>
      <s:c r="K25" s="10">
        <s:f>K24/K12</s:f>
        <s:v>0.1835387323943662</s:v>
      </s:c>
      <s:c r="L25" s="10">
        <s:f>L24/L12</s:f>
        <s:v>0.33688630490956073</s:v>
      </s:c>
      <s:c r="M25" s="10">
        <s:f>M24/M12</s:f>
        <s:v>0.5008547008547009</s:v>
      </s:c>
      <s:c r="N25" s="10">
        <s:f>N24/N12</s:f>
        <s:v>0.28293736501079914</s:v>
      </s:c>
      <s:c r="O25" s="10">
        <s:f>O24/O12</s:f>
        <s:v>0.19380134428678117</s:v>
      </s:c>
      <s:c r="P25" s="10">
        <s:f>P24/P12</s:f>
        <s:v>0.3495011086474501</s:v>
      </s:c>
      <s:c r="Q25" s="10">
        <s:f>Q24/Q12</s:f>
        <s:v>0.49169985077251505</s:v>
      </s:c>
      <s:c r="R25" s="10">
        <s:f>R24/R12</s:f>
        <s:v>0.2743134355568608</s:v>
      </s:c>
      <s:c r="S25" s="10">
        <s:f>S24/S12</s:f>
        <s:v>0.15499386267091952</s:v>
      </s:c>
      <s:c r="T25" s="10">
        <s:f>T24/T12</s:f>
        <s:v>0.32363742127484146</s:v>
      </s:c>
      <s:c r="U25" s="10">
        <s:f>U24/U12</s:f>
        <s:v>0.5043332300257198</s:v>
      </s:c>
      <s:c r="V25" s="10">
        <s:f>V24/V12</s:f>
        <s:v>0.27165763031501805</s:v>
      </s:c>
      <s:c r="X25" s="10">
        <s:f>X24/X12</s:f>
        <s:v>0.3683573661389533</s:v>
      </s:c>
      <s:c r="Y25" s="10">
        <s:f>Y24/Y12</s:f>
        <s:v>0.3639884705458476</s:v>
      </s:c>
      <s:c r="Z25" s="10">
        <s:f>Z24/Z12</s:f>
        <s:v>0.3510334123029164</s:v>
      </s:c>
      <s:c r="AA25" s="10">
        <s:f>AA24/AA12</s:f>
        <s:v>0.35048773277200757</s:v>
      </s:c>
      <s:c r="AB25" s="10">
        <s:f>AB24/AB12</s:f>
        <s:v>0.3397353143113422</s:v>
      </s:c>
    </s:row>
    <s:row r="26">
      <s:c r="B26" s="4" t="inlineStr">
        <s:is>
          <s:t>memo, feeds Adj. EBITDA: lodging-tax reserves and other add-backs (acquisition, IPO, restructuring)</s:t>
        </s:is>
      </s:c>
      <s:c r="C26" s="31" t="n">
        <s:v>12</s:v>
      </s:c>
      <s:c r="D26" s="31" t="n">
        <s:v>-15</s:v>
      </s:c>
      <s:c r="E26" s="31" t="n">
        <s:v>3</s:v>
      </s:c>
      <s:c r="F26" s="31" t="n">
        <s:v>-3</s:v>
      </s:c>
      <s:c r="G26" s="31" t="n">
        <s:v>6</s:v>
      </s:c>
      <s:c r="H26" s="31" t="n">
        <s:v>1</s:v>
      </s:c>
      <s:c r="I26" s="31" t="n">
        <s:v>-2</s:v>
      </s:c>
      <s:c r="J26" s="31" t="n">
        <s:v>-12</s:v>
      </s:c>
      <s:c r="K26" s="31" t="n">
        <s:v>0</s:v>
      </s:c>
      <s:c r="L26" s="31" t="n">
        <s:v>-7</s:v>
      </s:c>
      <s:c r="M26" s="31" t="n">
        <s:v>1</s:v>
      </s:c>
      <s:c r="N26" s="31" t="n">
        <s:v>2</s:v>
      </s:c>
      <s:c r="O26" s="31" t="n">
        <s:v>-2</s:v>
      </s:c>
      <s:c r="P26" s="31" t="n">
        <s:v>1</s:v>
      </s:c>
      <s:c r="Q26" s="31" t="n">
        <s:v>0</s:v>
      </s:c>
      <s:c r="R26" s="31" t="n">
        <s:v>0</s:v>
      </s:c>
      <s:c r="S26" s="31" t="n">
        <s:v>0</s:v>
      </s:c>
      <s:c r="T26" s="31" t="n">
        <s:v>0</s:v>
      </s:c>
      <s:c r="U26" s="31" t="n">
        <s:v>0</s:v>
      </s:c>
      <s:c r="V26" s="31" t="n">
        <s:v>0</s:v>
      </s:c>
      <s:c r="X26" s="32">
        <s:f>SUM(C26:F26)</s:f>
        <s:v>-3.0</s:v>
      </s:c>
      <s:c r="Y26" s="32">
        <s:f>SUM(G26:J26)</s:f>
        <s:v>-7.0</s:v>
      </s:c>
      <s:c r="Z26" s="32">
        <s:f>SUM(K26:N26)</s:f>
        <s:v>-4.0</s:v>
      </s:c>
      <s:c r="AA26" s="32">
        <s:f>SUM(O26:R26)</s:f>
        <s:v>-1.0</s:v>
      </s:c>
      <s:c r="AB26" s="32">
        <s:f>SUM(S26:V26)</s:f>
        <s:v>0.0</s:v>
      </s:c>
    </s:row>
    <s:row r="27">
      <s:c r="A27" s="8" t="inlineStr">
        <s:is>
          <s:t xml:space="preserve">    Stock-based compensation</s:t>
        </s:is>
      </s:c>
      <s:c r="B27" s="4" t="inlineStr">
        <s:is>
          <s:t>A: income-statement footnote total. E: 40_line_build (SBC[q-4] x 1.1318, M7 parameter sheet)</s:t>
        </s:is>
      </s:c>
      <s:c r="C27" s="31" t="n">
        <s:v>240</s:v>
      </s:c>
      <s:c r="D27" s="31" t="n">
        <s:v>304</s:v>
      </s:c>
      <s:c r="E27" s="31" t="n">
        <s:v>286</s:v>
      </s:c>
      <s:c r="F27" s="31" t="n">
        <s:v>290</s:v>
      </s:c>
      <s:c r="G27" s="31" t="n">
        <s:v>295</s:v>
      </s:c>
      <s:c r="H27" s="31" t="n">
        <s:v>382</s:v>
      </s:c>
      <s:c r="I27" s="31" t="n">
        <s:v>362</s:v>
      </s:c>
      <s:c r="J27" s="31" t="n">
        <s:v>368</s:v>
      </s:c>
      <s:c r="K27" s="31" t="n">
        <s:v>358</s:v>
      </s:c>
      <s:c r="L27" s="31" t="n">
        <s:v>424</s:v>
      </s:c>
      <s:c r="M27" s="31" t="n">
        <s:v>399</s:v>
      </s:c>
      <s:c r="N27" s="31" t="n">
        <s:v>411</s:v>
      </s:c>
      <s:c r="O27" s="31" t="n">
        <s:v>410</s:v>
      </s:c>
      <s:c r="P27" s="31" t="n">
        <s:v>487</s:v>
      </s:c>
      <s:c r="Q27" s="31" t="n">
        <s:v>451.5791856610708</s:v>
      </s:c>
      <s:c r="R27" s="31" t="n">
        <s:v>465.1605145531331</s:v>
      </s:c>
      <s:c r="S27" s="31" t="n">
        <s:v>464.0287371454613</s:v>
      </s:c>
      <s:c r="T27" s="31" t="n">
        <s:v>551.1755975361942</s:v>
      </s:c>
      <s:c r="U27" s="31" t="n">
        <s:v>511.0871201060549</s:v>
      </s:c>
      <s:c r="V27" s="31" t="n">
        <s:v>526.4581613122519</s:v>
      </s:c>
      <s:c r="X27" s="32">
        <s:f>SUM(C27:F27)</s:f>
        <s:v>1120.0</s:v>
      </s:c>
      <s:c r="Y27" s="32">
        <s:f>SUM(G27:J27)</s:f>
        <s:v>1407.0</s:v>
      </s:c>
      <s:c r="Z27" s="32">
        <s:f>SUM(K27:N27)</s:f>
        <s:v>1592.0</s:v>
      </s:c>
      <s:c r="AA27" s="32">
        <s:f>SUM(O27:R27)</s:f>
        <s:v>1813.7397002142038</s:v>
      </s:c>
      <s:c r="AB27" s="32">
        <s:f>SUM(S27:V27)</s:f>
        <s:v>2052.7496160999626</s:v>
      </s:c>
    </s:row>
    <s:row r="28">
      <s:c r="A28" s="2" t="inlineStr">
        <s:is>
          <s:t>Operating income (GAAP)</s:t>
        </s:is>
      </s:c>
      <s:c r="B28" s="4" t="inlineStr">
        <s:is>
          <s:t>A: reported GAAP. E: = Adj. EBITDA - D&amp;A - SBC (holds exactly in the line build)</s:t>
        </s:is>
      </s:c>
      <s:c r="C28" s="31" t="n">
        <s:v>-5</s:v>
      </s:c>
      <s:c r="D28" s="31" t="n">
        <s:v>523</s:v>
      </s:c>
      <s:c r="E28" s="31" t="n">
        <s:v>1496</s:v>
      </s:c>
      <s:c r="F28" s="31" t="n">
        <s:v>-496</s:v>
      </s:c>
      <s:c r="G28" s="31" t="n">
        <s:v>101</s:v>
      </s:c>
      <s:c r="H28" s="31" t="n">
        <s:v>497</s:v>
      </s:c>
      <s:c r="I28" s="31" t="n">
        <s:v>1525</s:v>
      </s:c>
      <s:c r="J28" s="31" t="n">
        <s:v>430</s:v>
      </s:c>
      <s:c r="K28" s="31" t="n">
        <s:v>38</s:v>
      </s:c>
      <s:c r="L28" s="31" t="n">
        <s:v>612</s:v>
      </s:c>
      <s:c r="M28" s="31" t="n">
        <s:v>1625</s:v>
      </s:c>
      <s:c r="N28" s="31" t="n">
        <s:v>269</s:v>
      </s:c>
      <s:c r="O28" s="31" t="n">
        <s:v>86</s:v>
      </s:c>
      <s:c r="P28" s="31" t="n">
        <s:v>758</s:v>
      </s:c>
      <s:c r="Q28" s="32">
        <s:f>Q24-Q23-Q27</s:f>
        <s:v>1834.3092480012529</s:v>
      </s:c>
      <s:c r="R28" s="32">
        <s:f>R24-R23-R27</s:f>
        <s:v>375.7690765359624</s:v>
      </s:c>
      <s:c r="S28" s="32">
        <s:f>S24-S23-S27</s:f>
        <s:v>-26.640180226408404</s:v>
      </s:c>
      <s:c r="T28" s="32">
        <s:f>T24-T23-T27</s:f>
        <s:v>698.6700881586436</s:v>
      </s:c>
      <s:c r="U28" s="32">
        <s:f>U24-U23-U27</s:f>
        <s:v>2049.3391815743284</s:v>
      </s:c>
      <s:c r="V28" s="32">
        <s:f>V24-V23-V27</s:f>
        <s:v>383.6698052915957</s:v>
      </s:c>
      <s:c r="X28" s="32">
        <s:f>SUM(C28:F28)</s:f>
        <s:v>1518.0</s:v>
      </s:c>
      <s:c r="Y28" s="32">
        <s:f>SUM(G28:J28)</s:f>
        <s:v>2553.0</s:v>
      </s:c>
      <s:c r="Z28" s="32">
        <s:f>SUM(K28:N28)</s:f>
        <s:v>2544.0</s:v>
      </s:c>
      <s:c r="AA28" s="32">
        <s:f>SUM(O28:R28)</s:f>
        <s:v>3054.0783245372154</s:v>
      </s:c>
      <s:c r="AB28" s="32">
        <s:f>SUM(S28:V28)</s:f>
        <s:v>3105.0388947981596</s:v>
      </s:c>
    </s:row>
    <s:row r="29">
      <s:c r="A29" s="8" t="inlineStr">
        <s:is>
          <s:t xml:space="preserve">    Interest income</s:t>
        </s:is>
      </s:c>
      <s:c r="C29" s="31" t="n">
        <s:v>146</s:v>
      </s:c>
      <s:c r="D29" s="31" t="n">
        <s:v>191</s:v>
      </s:c>
      <s:c r="E29" s="31" t="n">
        <s:v>192</s:v>
      </s:c>
      <s:c r="F29" s="31" t="n">
        <s:v>192</s:v>
      </s:c>
      <s:c r="G29" s="31" t="n">
        <s:v>202</s:v>
      </s:c>
      <s:c r="H29" s="31" t="n">
        <s:v>226</s:v>
      </s:c>
      <s:c r="I29" s="31" t="n">
        <s:v>207</s:v>
      </s:c>
      <s:c r="J29" s="31" t="n">
        <s:v>183</s:v>
      </s:c>
      <s:c r="K29" s="31" t="n">
        <s:v>173</s:v>
      </s:c>
      <s:c r="L29" s="31" t="n">
        <s:v>190</s:v>
      </s:c>
      <s:c r="M29" s="31" t="n">
        <s:v>180</s:v>
      </s:c>
      <s:c r="N29" s="31" t="n">
        <s:v>162</s:v>
      </s:c>
      <s:c r="O29" s="31" t="n">
        <s:v>155</s:v>
      </s:c>
      <s:c r="P29" s="31" t="n">
        <s:v>183</s:v>
      </s:c>
      <s:c r="Q29" s="31" t="n">
        <s:v>183.5489337595264</s:v>
      </s:c>
      <s:c r="R29" s="31" t="n">
        <s:v>165.4954652969192</s:v>
      </s:c>
      <s:c r="S29" s="31" t="n">
        <s:v>180.2622584477442</s:v>
      </s:c>
      <s:c r="T29" s="31" t="n">
        <s:v>202.8476930093186</s:v>
      </s:c>
      <s:c r="U29" s="31" t="n">
        <s:v>191.1450853247752</s:v>
      </s:c>
      <s:c r="V29" s="31" t="n">
        <s:v>171.1550764191038</s:v>
      </s:c>
      <s:c r="X29" s="32">
        <s:f>SUM(C29:F29)</s:f>
        <s:v>721.0</s:v>
      </s:c>
      <s:c r="Y29" s="32">
        <s:f>SUM(G29:J29)</s:f>
        <s:v>818.0</s:v>
      </s:c>
      <s:c r="Z29" s="32">
        <s:f>SUM(K29:N29)</s:f>
        <s:v>705.0</s:v>
      </s:c>
      <s:c r="AA29" s="32">
        <s:f>SUM(O29:R29)</s:f>
        <s:v>687.0443990564455</s:v>
      </s:c>
      <s:c r="AB29" s="32">
        <s:f>SUM(S29:V29)</s:f>
        <s:v>745.4101132009419</s:v>
      </s:c>
    </s:row>
    <s:row r="30">
      <s:c r="A30" s="8" t="inlineStr">
        <s:is>
          <s:t xml:space="preserve">    Interest expense</s:t>
        </s:is>
      </s:c>
      <s:c r="C30" s="31" t="n">
        <s:v>4</s:v>
      </s:c>
      <s:c r="D30" s="31" t="n">
        <s:v>2</s:v>
      </s:c>
      <s:c r="E30" s="31" t="n">
        <s:v>6</s:v>
      </s:c>
      <s:c r="F30" s="31" t="n">
        <s:v>71</s:v>
      </s:c>
      <s:c r="G30" s="31" t="n">
        <s:v>0</s:v>
      </s:c>
      <s:c r="H30" s="31" t="n">
        <s:v>9</s:v>
      </s:c>
      <s:c r="I30" s="31" t="n">
        <s:v>2</s:v>
      </s:c>
      <s:c r="J30" s="31" t="n">
        <s:v>10</s:v>
      </s:c>
      <s:c r="K30" s="31" t="n">
        <s:v>5</s:v>
      </s:c>
      <s:c r="L30" s="31" t="n">
        <s:v>6</s:v>
      </s:c>
      <s:c r="M30" s="31" t="n">
        <s:v>6</s:v>
      </s:c>
      <s:c r="N30" s="31" t="n">
        <s:v>26</s:v>
      </s:c>
      <s:c r="O30" s="31" t="n">
        <s:v>21</s:v>
      </s:c>
      <s:c r="P30" s="31" t="n">
        <s:v>37</s:v>
      </s:c>
      <s:c r="Q30" s="31" t="n">
        <s:v>37</s:v>
      </s:c>
      <s:c r="R30" s="31" t="n">
        <s:v>37</s:v>
      </s:c>
      <s:c r="S30" s="31" t="n">
        <s:v>37</s:v>
      </s:c>
      <s:c r="T30" s="31" t="n">
        <s:v>37</s:v>
      </s:c>
      <s:c r="U30" s="31" t="n">
        <s:v>37</s:v>
      </s:c>
      <s:c r="V30" s="31" t="n">
        <s:v>37</s:v>
      </s:c>
      <s:c r="X30" s="32">
        <s:f>SUM(C30:F30)</s:f>
        <s:v>83.0</s:v>
      </s:c>
      <s:c r="Y30" s="32">
        <s:f>SUM(G30:J30)</s:f>
        <s:v>21.0</s:v>
      </s:c>
      <s:c r="Z30" s="32">
        <s:f>SUM(K30:N30)</s:f>
        <s:v>43.0</s:v>
      </s:c>
      <s:c r="AA30" s="32">
        <s:f>SUM(O30:R30)</s:f>
        <s:v>132.0</s:v>
      </s:c>
      <s:c r="AB30" s="32">
        <s:f>SUM(S30:V30)</s:f>
        <s:v>148.0</s:v>
      </s:c>
    </s:row>
    <s:row r="31">
      <s:c r="A31" s="8" t="inlineStr">
        <s:is>
          <s:t xml:space="preserve">    Other income / (expense), net</s:t>
        </s:is>
      </s:c>
      <s:c r="C31" s="31" t="n">
        <s:v>-7</s:v>
      </s:c>
      <s:c r="D31" s="31" t="n">
        <s:v>-36</s:v>
      </s:c>
      <s:c r="E31" s="31" t="n">
        <s:v>-3</s:v>
      </s:c>
      <s:c r="F31" s="31" t="n">
        <s:v>-8</s:v>
      </s:c>
      <s:c r="G31" s="31" t="n">
        <s:v>-10</s:v>
      </s:c>
      <s:c r="H31" s="31" t="n">
        <s:v>-33</s:v>
      </s:c>
      <s:c r="I31" s="31" t="n">
        <s:v>5</s:v>
      </s:c>
      <s:c r="J31" s="31" t="n">
        <s:v>19</s:v>
      </s:c>
      <s:c r="K31" s="31" t="n">
        <s:v>-33</s:v>
      </s:c>
      <s:c r="L31" s="31" t="n">
        <s:v>-17</s:v>
      </s:c>
      <s:c r="M31" s="31" t="n">
        <s:v>-7</s:v>
      </s:c>
      <s:c r="N31" s="31" t="n">
        <s:v>-12</s:v>
      </s:c>
      <s:c r="O31" s="31" t="n">
        <s:v>61</s:v>
      </s:c>
      <s:c r="P31" s="31" t="n">
        <s:v>-7</s:v>
      </s:c>
      <s:c r="Q31" s="31" t="n">
        <s:v>3.7</s:v>
      </s:c>
      <s:c r="R31" s="31" t="n">
        <s:v>3.7</s:v>
      </s:c>
      <s:c r="S31" s="31" t="n">
        <s:v>3.7</s:v>
      </s:c>
      <s:c r="T31" s="31" t="n">
        <s:v>3.7</s:v>
      </s:c>
      <s:c r="U31" s="31" t="n">
        <s:v>3.7</s:v>
      </s:c>
      <s:c r="V31" s="31" t="n">
        <s:v>3.7</s:v>
      </s:c>
      <s:c r="X31" s="32">
        <s:f>SUM(C31:F31)</s:f>
        <s:v>-54.0</s:v>
      </s:c>
      <s:c r="Y31" s="32">
        <s:f>SUM(G31:J31)</s:f>
        <s:v>-19.0</s:v>
      </s:c>
      <s:c r="Z31" s="32">
        <s:f>SUM(K31:N31)</s:f>
        <s:v>-69.0</s:v>
      </s:c>
      <s:c r="AA31" s="32">
        <s:f>SUM(O31:R31)</s:f>
        <s:v>61.400000000000006</s:v>
      </s:c>
      <s:c r="AB31" s="32">
        <s:f>SUM(S31:V31)</s:f>
        <s:v>14.8</s:v>
      </s:c>
    </s:row>
    <s:row r="32">
      <s:c r="A32" s="2" t="inlineStr">
        <s:is>
          <s:t>Pre-tax income</s:t>
        </s:is>
      </s:c>
      <s:c r="C32" s="31" t="n">
        <s:v>130</s:v>
      </s:c>
      <s:c r="D32" s="31" t="n">
        <s:v>676</s:v>
      </s:c>
      <s:c r="E32" s="31" t="n">
        <s:v>1679</s:v>
      </s:c>
      <s:c r="F32" s="31" t="n">
        <s:v>-383</s:v>
      </s:c>
      <s:c r="G32" s="31" t="n">
        <s:v>293</s:v>
      </s:c>
      <s:c r="H32" s="31" t="n">
        <s:v>681</s:v>
      </s:c>
      <s:c r="I32" s="31" t="n">
        <s:v>1735</s:v>
      </s:c>
      <s:c r="J32" s="31" t="n">
        <s:v>622</s:v>
      </s:c>
      <s:c r="K32" s="31" t="n">
        <s:v>173</s:v>
      </s:c>
      <s:c r="L32" s="31" t="n">
        <s:v>779</s:v>
      </s:c>
      <s:c r="M32" s="31" t="n">
        <s:v>1792</s:v>
      </s:c>
      <s:c r="N32" s="31" t="n">
        <s:v>393</s:v>
      </s:c>
      <s:c r="O32" s="31" t="n">
        <s:v>281</s:v>
      </s:c>
      <s:c r="P32" s="31" t="n">
        <s:v>897</s:v>
      </s:c>
      <s:c r="Q32" s="32">
        <s:f>Q28+Q29-Q30+Q31</s:f>
        <s:v>1984.5581817607792</s:v>
      </s:c>
      <s:c r="R32" s="32">
        <s:f>R28+R29-R30+R31</s:f>
        <s:v>507.9645418328816</s:v>
      </s:c>
      <s:c r="S32" s="32">
        <s:f>S28+S29-S30+S31</s:f>
        <s:v>120.32207822133579</s:v>
      </s:c>
      <s:c r="T32" s="32">
        <s:f>T28+T29-T30+T31</s:f>
        <s:v>868.2177811679622</s:v>
      </s:c>
      <s:c r="U32" s="32">
        <s:f>U28+U29-U30+U31</s:f>
        <s:v>2207.1842668991035</s:v>
      </s:c>
      <s:c r="V32" s="32">
        <s:f>V28+V29-V30+V31</s:f>
        <s:v>521.5248817106996</s:v>
      </s:c>
      <s:c r="X32" s="32">
        <s:f>SUM(C32:F32)</s:f>
        <s:v>2102.0</s:v>
      </s:c>
      <s:c r="Y32" s="32">
        <s:f>SUM(G32:J32)</s:f>
        <s:v>3331.0</s:v>
      </s:c>
      <s:c r="Z32" s="32">
        <s:f>SUM(K32:N32)</s:f>
        <s:v>3137.0</s:v>
      </s:c>
      <s:c r="AA32" s="32">
        <s:f>SUM(O32:R32)</s:f>
        <s:v>3670.5227235936604</s:v>
      </s:c>
      <s:c r="AB32" s="32">
        <s:f>SUM(S32:V32)</s:f>
        <s:v>3717.249007999101</s:v>
      </s:c>
    </s:row>
    <s:row r="33">
      <s:c r="A33" s="8" t="inlineStr">
        <s:is>
          <s:t xml:space="preserve">    Income tax</s:t>
        </s:is>
      </s:c>
      <s:c r="B33" s="4" t="inlineStr">
        <s:is>
          <s:t>E: effective rate 18.0% FY26 / 17.5% FY27 (M7 parameter sheet), applied to our own pre-tax</s:t>
        </s:is>
      </s:c>
      <s:c r="C33" s="31" t="n">
        <s:v>13.4</s:v>
      </s:c>
      <s:c r="D33" s="31" t="n">
        <s:v>26</s:v>
      </s:c>
      <s:c r="E33" s="31" t="n">
        <s:v>-2695</s:v>
      </s:c>
      <s:c r="F33" s="31" t="n">
        <s:v>-34</s:v>
      </s:c>
      <s:c r="G33" s="31" t="n">
        <s:v>29</s:v>
      </s:c>
      <s:c r="H33" s="31" t="n">
        <s:v>126</s:v>
      </s:c>
      <s:c r="I33" s="31" t="n">
        <s:v>367</s:v>
      </s:c>
      <s:c r="J33" s="31" t="n">
        <s:v>161</s:v>
      </s:c>
      <s:c r="K33" s="31" t="n">
        <s:v>19</s:v>
      </s:c>
      <s:c r="L33" s="31" t="n">
        <s:v>137</s:v>
      </s:c>
      <s:c r="M33" s="31" t="n">
        <s:v>418</s:v>
      </s:c>
      <s:c r="N33" s="31" t="n">
        <s:v>52</s:v>
      </s:c>
      <s:c r="O33" s="31" t="n">
        <s:v>121</s:v>
      </s:c>
      <s:c r="P33" s="31" t="n">
        <s:v>81</s:v>
      </s:c>
      <s:c r="Q33" s="32">
        <s:f>Q32*0.18</s:f>
        <s:v>357.22047271694026</s:v>
      </s:c>
      <s:c r="R33" s="32">
        <s:f>R32*0.18</s:f>
        <s:v>91.43361752991868</s:v>
      </s:c>
      <s:c r="S33" s="32">
        <s:f>S32*0.175</s:f>
        <s:v>21.05636368873376</s:v>
      </s:c>
      <s:c r="T33" s="32">
        <s:f>T32*0.175</s:f>
        <s:v>151.93811170439338</s:v>
      </s:c>
      <s:c r="U33" s="32">
        <s:f>U32*0.175</s:f>
        <s:v>386.2572467073431</s:v>
      </s:c>
      <s:c r="V33" s="32">
        <s:f>V32*0.175</s:f>
        <s:v>91.26685429937241</s:v>
      </s:c>
      <s:c r="X33" s="32">
        <s:f>SUM(C33:F33)</s:f>
        <s:v>-2689.6</s:v>
      </s:c>
      <s:c r="Y33" s="32">
        <s:f>SUM(G33:J33)</s:f>
        <s:v>683.0</s:v>
      </s:c>
      <s:c r="Z33" s="32">
        <s:f>SUM(K33:N33)</s:f>
        <s:v>626.0</s:v>
      </s:c>
      <s:c r="AA33" s="32">
        <s:f>SUM(O33:R33)</s:f>
        <s:v>650.654090246859</s:v>
      </s:c>
      <s:c r="AB33" s="32">
        <s:f>SUM(S33:V33)</s:f>
        <s:v>650.5185763998427</s:v>
      </s:c>
    </s:row>
    <s:row r="34">
      <s:c r="A34" s="2" t="inlineStr">
        <s:is>
          <s:t>Net income</s:t>
        </s:is>
      </s:c>
      <s:c r="C34" s="31" t="n">
        <s:v>117</s:v>
      </s:c>
      <s:c r="D34" s="31" t="n">
        <s:v>650</s:v>
      </s:c>
      <s:c r="E34" s="31" t="n">
        <s:v>4374</s:v>
      </s:c>
      <s:c r="F34" s="31" t="n">
        <s:v>-349</s:v>
      </s:c>
      <s:c r="G34" s="31" t="n">
        <s:v>264</s:v>
      </s:c>
      <s:c r="H34" s="31" t="n">
        <s:v>555</s:v>
      </s:c>
      <s:c r="I34" s="31" t="n">
        <s:v>1368</s:v>
      </s:c>
      <s:c r="J34" s="31" t="n">
        <s:v>461</s:v>
      </s:c>
      <s:c r="K34" s="31" t="n">
        <s:v>154</s:v>
      </s:c>
      <s:c r="L34" s="31" t="n">
        <s:v>642</s:v>
      </s:c>
      <s:c r="M34" s="31" t="n">
        <s:v>1374</s:v>
      </s:c>
      <s:c r="N34" s="31" t="n">
        <s:v>341</s:v>
      </s:c>
      <s:c r="O34" s="31" t="n">
        <s:v>160</s:v>
      </s:c>
      <s:c r="P34" s="31" t="n">
        <s:v>816</s:v>
      </s:c>
      <s:c r="Q34" s="32">
        <s:f>Q32-Q33</s:f>
        <s:v>1627.337709043839</s:v>
      </s:c>
      <s:c r="R34" s="32">
        <s:f>R32-R33</s:f>
        <s:v>416.53092430296294</s:v>
      </s:c>
      <s:c r="S34" s="32">
        <s:f>S32-S33</s:f>
        <s:v>99.26571453260203</s:v>
      </s:c>
      <s:c r="T34" s="32">
        <s:f>T32-T33</s:f>
        <s:v>716.2796694635689</s:v>
      </s:c>
      <s:c r="U34" s="32">
        <s:f>U32-U33</s:f>
        <s:v>1820.9270201917604</s:v>
      </s:c>
      <s:c r="V34" s="32">
        <s:f>V32-V33</s:f>
        <s:v>430.25802741132713</s:v>
      </s:c>
      <s:c r="X34" s="32">
        <s:f>SUM(C34:F34)</s:f>
        <s:v>4792.0</s:v>
      </s:c>
      <s:c r="Y34" s="32">
        <s:f>SUM(G34:J34)</s:f>
        <s:v>2648.0</s:v>
      </s:c>
      <s:c r="Z34" s="32">
        <s:f>SUM(K34:N34)</s:f>
        <s:v>2511.0</s:v>
      </s:c>
      <s:c r="AA34" s="32">
        <s:f>SUM(O34:R34)</s:f>
        <s:v>3019.8686333468017</s:v>
      </s:c>
      <s:c r="AB34" s="32">
        <s:f>SUM(S34:V34)</s:f>
        <s:v>3066.7304315992583</s:v>
      </s:c>
    </s:row>
    <s:row r="35">
      <s:c r="A35" s="8" t="inlineStr">
        <s:is>
          <s:t xml:space="preserve">    Diluted shares (m)</s:t>
        </s:is>
      </s:c>
      <s:c r="C35" s="9" t="n">
        <s:v>670</s:v>
      </s:c>
      <s:c r="D35" s="9" t="n">
        <s:v>665</s:v>
      </s:c>
      <s:c r="E35" s="9" t="n">
        <s:v>660</s:v>
      </s:c>
      <s:c r="F35" s="9" t="n">
        <s:v>640</s:v>
      </s:c>
      <s:c r="G35" s="9" t="n">
        <s:v>654</s:v>
      </s:c>
      <s:c r="H35" s="9" t="n">
        <s:v>649</s:v>
      </s:c>
      <s:c r="I35" s="9" t="n">
        <s:v>642</s:v>
      </s:c>
      <s:c r="J35" s="9" t="n">
        <s:v>636</s:v>
      </s:c>
      <s:c r="K35" s="9" t="n">
        <s:v>632</s:v>
      </s:c>
      <s:c r="L35" s="9" t="n">
        <s:v>626</s:v>
      </s:c>
      <s:c r="M35" s="9" t="n">
        <s:v>621</s:v>
      </s:c>
      <s:c r="N35" s="9" t="n">
        <s:v>614</s:v>
      </s:c>
      <s:c r="O35" s="9" t="n">
        <s:v>608</s:v>
      </s:c>
      <s:c r="P35" s="9" t="n">
        <s:v>597</s:v>
      </s:c>
      <s:c r="Q35" s="9" t="n">
        <s:v>591.6758133819055</s:v>
      </s:c>
      <s:c r="R35" s="9" t="n">
        <s:v>586.3516267638111</s:v>
      </s:c>
      <s:c r="S35" s="9" t="n">
        <s:v>581.0274401457166</s:v>
      </s:c>
      <s:c r="T35" s="9" t="n">
        <s:v>575.7032535276221</s:v>
      </s:c>
      <s:c r="U35" s="9" t="n">
        <s:v>570.3790669095276</s:v>
      </s:c>
      <s:c r="V35" s="9" t="n">
        <s:v>565.0548802914332</s:v>
      </s:c>
      <s:c r="X35" s="9" t="n">
        <s:v>662</s:v>
      </s:c>
      <s:c r="Y35" s="9" t="n">
        <s:v>645</s:v>
      </s:c>
      <s:c r="Z35" s="9" t="n">
        <s:v>623</s:v>
      </s:c>
      <s:c r="AA35" s="22">
        <s:f>AVERAGE(O35:R35)</s:f>
        <s:v>595.7568600364291</s:v>
      </s:c>
      <s:c r="AB35" s="22">
        <s:f>AVERAGE(S35:V35)</s:f>
        <s:v>573.0411602185749</s:v>
      </s:c>
    </s:row>
    <s:row r="36">
      <s:c r="A36" s="2" t="inlineStr">
        <s:is>
          <s:t>Diluted EPS ($)</s:t>
        </s:is>
      </s:c>
      <s:c r="B36" s="4" t="inlineStr">
        <s:is>
          <s:t>E: = net income / diluted shares; shares -5.324m per quarter (M7)</s:t>
        </s:is>
      </s:c>
      <s:c r="C36" s="11" t="n">
        <s:v>0.18</s:v>
      </s:c>
      <s:c r="D36" s="11" t="n">
        <s:v>0.98</s:v>
      </s:c>
      <s:c r="E36" s="11" t="n">
        <s:v>6.63</s:v>
      </s:c>
      <s:c r="F36" s="11" t="n">
        <s:v>-0.55</s:v>
      </s:c>
      <s:c r="G36" s="11" t="n">
        <s:v>0.41</s:v>
      </s:c>
      <s:c r="H36" s="11" t="n">
        <s:v>0.86</s:v>
      </s:c>
      <s:c r="I36" s="11" t="n">
        <s:v>2.13</s:v>
      </s:c>
      <s:c r="J36" s="11" t="n">
        <s:v>0.73</s:v>
      </s:c>
      <s:c r="K36" s="11" t="n">
        <s:v>0.24</s:v>
      </s:c>
      <s:c r="L36" s="11" t="n">
        <s:v>1.03</s:v>
      </s:c>
      <s:c r="M36" s="11" t="n">
        <s:v>2.21</s:v>
      </s:c>
      <s:c r="N36" s="11" t="n">
        <s:v>0.5600000000000001</s:v>
      </s:c>
      <s:c r="O36" s="11" t="n">
        <s:v>0.26</s:v>
      </s:c>
      <s:c r="P36" s="11" t="n">
        <s:v>1.37</s:v>
      </s:c>
      <s:c r="Q36" s="15">
        <s:f>Q34/Q35</s:f>
        <s:v>2.7503874118874125</s:v>
      </s:c>
      <s:c r="R36" s="15">
        <s:f>R34/R35</s:f>
        <s:v>0.7103773662262666</s:v>
      </s:c>
      <s:c r="S36" s="15">
        <s:f>S34/S35</s:f>
        <s:v>0.17084514030474543</s:v>
      </s:c>
      <s:c r="T36" s="15">
        <s:f>T34/T35</s:f>
        <s:v>1.244182076572548</s:v>
      </s:c>
      <s:c r="U36" s="15">
        <s:f>U34/U35</s:f>
        <s:v>3.192485709649285</s:v>
      </s:c>
      <s:c r="V36" s="15">
        <s:f>V34/V35</s:f>
        <s:v>0.7614446709838466</s:v>
      </s:c>
      <s:c r="X36" s="11" t="n">
        <s:v>7.24</s:v>
      </s:c>
      <s:c r="Y36" s="11" t="n">
        <s:v>4.11</s:v>
      </s:c>
      <s:c r="Z36" s="11" t="n">
        <s:v>4.03</s:v>
      </s:c>
      <s:c r="AA36" s="15">
        <s:f>AA34/AA35</s:f>
        <s:v>5.068961577986939</s:v>
      </s:c>
      <s:c r="AB36" s="15">
        <s:f>AB34/AB35</s:f>
        <s:v>5.351675663977639</s:v>
      </s:c>
    </s:row>
    <s:row r="38">
      <s:c r="A38" s="5" t="inlineStr">
        <s:is>
          <s:t>Cross-checks against the Street, and the open choices this line does not settle (memo rows - none of these feed the statement above)</s:t>
        </s:is>
      </s:c>
      <s:c r="B38" s="5" t="n"/>
      <s:c r="C38" s="5" t="n"/>
      <s:c r="D38" s="5" t="n"/>
      <s:c r="E38" s="5" t="n"/>
      <s:c r="F38" s="5" t="n"/>
      <s:c r="G38" s="5" t="n"/>
      <s:c r="H38" s="5" t="n"/>
      <s:c r="I38" s="5" t="n"/>
      <s:c r="J38" s="5" t="n"/>
      <s:c r="K38" s="5" t="n"/>
      <s:c r="L38" s="5" t="n"/>
      <s:c r="M38" s="5" t="n"/>
      <s:c r="N38" s="5" t="n"/>
      <s:c r="O38" s="5" t="n"/>
      <s:c r="P38" s="5" t="n"/>
      <s:c r="Q38" s="5" t="n"/>
      <s:c r="R38" s="5" t="n"/>
      <s:c r="S38" s="5" t="n"/>
      <s:c r="T38" s="5" t="n"/>
      <s:c r="U38" s="5" t="n"/>
      <s:c r="V38" s="5" t="n"/>
      <s:c r="W38" s="5" t="n"/>
      <s:c r="X38" s="5" t="n"/>
      <s:c r="Y38" s="5" t="n"/>
      <s:c r="Z38" s="5" t="n"/>
      <s:c r="AA38" s="5" t="n"/>
      <s:c r="AB38" s="5" t="n"/>
    </s:row>
    <s:row r="39">
      <s:c r="A39" s="8" t="inlineStr">
        <s:is>
          <s:t>Street revenue ($m)</s:t>
        </s:is>
      </s:c>
      <s:c r="B39" s="4" t="inlineStr">
        <s:is>
          <s:t>LSEG 06_consensus_quarterly_2027.csv, 13 Sep 2026 pull</s:t>
        </s:is>
      </s:c>
      <s:c r="Q39" s="31" t="n">
        <s:v>4744.32</s:v>
      </s:c>
      <s:c r="R39" s="31" t="n">
        <s:v>3161.82</s:v>
      </s:c>
      <s:c r="S39" s="31" t="n">
        <s:v>3010.32</s:v>
      </s:c>
      <s:c r="T39" s="31" t="n">
        <s:v>4036.94</s:v>
      </s:c>
      <s:c r="U39" s="31" t="n">
        <s:v>5269.97</s:v>
      </s:c>
      <s:c r="V39" s="31" t="n">
        <s:v>3528.92</s:v>
      </s:c>
    </s:row>
    <s:row r="40">
      <s:c r="A40" s="8" t="inlineStr">
        <s:is>
          <s:t xml:space="preserve">    ours vs Street</s:t>
        </s:is>
      </s:c>
      <s:c r="B40" s="4" t="inlineStr">
        <s:is>
          <s:t>negative = our nights/ADR lines sit below consensus</s:t>
        </s:is>
      </s:c>
      <s:c r="Q40" s="33">
        <s:f>Q12/Q39-1</s:f>
        <s:v>-0.011256533230846189</s:v>
      </s:c>
      <s:c r="R40" s="33">
        <s:f>R12/R39-1</s:f>
        <s:v>-0.006648158224145551</s:v>
      </s:c>
      <s:c r="S40" s="33">
        <s:f>S12/S39-1</s:f>
        <s:v>-0.018343213439064865</s:v>
      </s:c>
      <s:c r="T40" s="33">
        <s:f>T12/T39-1</s:f>
        <s:v>-0.027573717087060357</s:v>
      </s:c>
      <s:c r="U40" s="33">
        <s:f>U12/U39-1</s:f>
        <s:v>-0.028881072195045543</s:v>
      </s:c>
      <s:c r="V40" s="33">
        <s:f>V12/V39-1</s:f>
        <s:v>-0.02909912217361499</s:v>
      </s:c>
    </s:row>
    <s:row r="41">
      <s:c r="A41" s="8" t="inlineStr">
        <s:is>
          <s:t>Street adj. EBITDA ($m)</s:t>
        </s:is>
      </s:c>
      <s:c r="B41" s="4" t="inlineStr">
        <s:is>
          <s:t>LSEG; n 36-37 for 3Q26/4Q26, n 17-19 for 2027</s:t>
        </s:is>
      </s:c>
      <s:c r="Q41" s="31" t="n">
        <s:v>2361.52</s:v>
      </s:c>
      <s:c r="R41" s="31" t="n">
        <s:v>913.6799999999999</s:v>
      </s:c>
      <s:c r="S41" s="31" t="n">
        <s:v>610.73</s:v>
      </s:c>
      <s:c r="T41" s="31" t="n">
        <s:v>1451.71</s:v>
      </s:c>
      <s:c r="U41" s="31" t="n">
        <s:v>2695.55</s:v>
      </s:c>
      <s:c r="V41" s="31" t="n">
        <s:v>1068.4</s:v>
      </s:c>
    </s:row>
    <s:row r="42">
      <s:c r="A42" s="8" t="inlineStr">
        <s:is>
          <s:t xml:space="preserve">    ours vs Street</s:t>
        </s:is>
      </s:c>
      <s:c r="B42" s="4" t="inlineStr">
        <s:is>
          <s:t>wider than the revenue gap because cost dollars are carried flat</s:t>
        </s:is>
      </s:c>
      <s:c r="Q42" s="33">
        <s:f>Q24/Q41-1</s:f>
        <s:v>-0.023289066252993318</s:v>
      </s:c>
      <s:c r="R42" s="33">
        <s:f>R24/R41-1</s:f>
        <s:v>-0.05704014349772002</s:v>
      </s:c>
      <s:c r="S42" s="33">
        <s:f>S24/S41-1</s:f>
        <s:v>-0.2500408895600995</s:v>
      </s:c>
      <s:c r="T42" s="33">
        <s:f>T24/T41-1</s:f>
        <s:v>-0.12483921975136536</s:v>
      </s:c>
      <s:c r="U42" s="33">
        <s:f>U24/U41-1</s:f>
        <s:v>-0.04247360565365477</s:v>
      </s:c>
      <s:c r="V42" s="33">
        <s:f>V24/V41-1</s:f>
        <s:v>-0.12882634106724533</s:v>
      </s:c>
    </s:row>
    <s:row r="43">
      <s:c r="A43" s="8" t="inlineStr">
        <s:is>
          <s:t>memo: adj. EBITDA if costs flexed to hold the line build's own margin</s:t>
        </s:is>
      </s:c>
      <s:c r="B43" s="4" t="inlineStr">
        <s:is>
          <s:t>DEC-0022 carries dollars flat; C4 asks whether management's margin sentence is a budget (costs flex) or a floor</s:t>
        </s:is>
      </s:c>
      <s:c r="Q43" s="32">
        <s:f>Q12*0.5036687385012039</s:f>
        <s:v>2362.6674440806228</s:v>
      </s:c>
      <s:c r="R43" s="32">
        <s:f>R12*0.2828323322844086</s:f>
        <s:v>888.3197101486928</s:v>
      </s:c>
      <s:c r="S43" s="32">
        <s:f>S12*0.18212486768865177</s:f>
        <s:v>538.1973891438707</s:v>
      </s:c>
      <s:c r="T43" s="32">
        <s:f>T12*0.34098793219639467</s:f>
        <s:v>1338.5912827726775</s:v>
      </s:c>
      <s:c r="U43" s="32">
        <s:f>U12*0.5196296453789346</s:f>
        <s:v>2659.3437714153124</s:v>
      </s:c>
      <s:c r="V43" s="32">
        <s:f>V12*0.2799655381693949</s:f>
        <s:v>959.226753007689</s:v>
      </s:c>
    </s:row>
    <s:row r="44">
      <s:c r="A44" s="8" t="inlineStr">
        <s:is>
          <s:t xml:space="preserve">    difference vs the statement above</s:t>
        </s:is>
      </s:c>
      <s:c r="B44" s="4" t="inlineStr">
        <s:is>
          <s:t>the cost of the flat-dollar assumption, in EBITDA $m</s:t>
        </s:is>
      </s:c>
      <s:c r="Q44" s="32">
        <s:f>Q43-Q24</s:f>
        <s:v>56.145039818391524</s:v>
      </s:c>
      <s:c r="R44" s="32">
        <s:f>R43-R24</s:f>
        <s:v>26.75614845968971</s:v>
      </s:c>
      <s:c r="S44" s="32">
        <s:f>S43-S24</s:f>
        <s:v>80.1748616249103</s:v>
      </s:c>
      <s:c r="T44" s="32">
        <s:f>T43-T24</s:f>
        <s:v>68.11162647793208</s:v>
      </s:c>
      <s:c r="U44" s="32">
        <s:f>U43-U24</s:f>
        <s:v>78.28349913502143</s:v>
      </s:c>
      <s:c r="V44" s="32">
        <s:f>V43-V24</s:f>
        <s:v>28.46481580393379</s:v>
      </s:c>
    </s:row>
    <s:row r="45">
      <s:c r="A45" s="8" t="inlineStr">
        <s:is>
          <s:t>memo: DEC-0023 hosting step, B08 alternative ($85.0m/q vs the $100.21m/$111.71m plugged)</s:t>
        </s:is>
      </s:c>
      <s:c r="B45" s="4" t="inlineStr">
        <s:is>
          <s:t>NOT CHOSEN - both sides on record; positive = EBITDA if the lower B08 hosting number is right</s:t>
        </s:is>
      </s:c>
      <s:c r="Q45" s="31" t="n">
        <s:v>15.20793246038539</s:v>
      </s:c>
      <s:c r="R45" s="31" t="n">
        <s:v>15.20793246038539</s:v>
      </s:c>
      <s:c r="S45" s="31" t="n">
        <s:v>26.70793246038539</s:v>
      </s:c>
      <s:c r="T45" s="31" t="n">
        <s:v>26.70793246038539</s:v>
      </s:c>
      <s:c r="U45" s="31" t="n">
        <s:v>26.70793246038539</s:v>
      </s:c>
      <s:c r="V45" s="31" t="n">
        <s:v>26.70793246038539</s:v>
      </s:c>
    </s:row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C24"/>
  <s:sheetViews>
    <s:sheetView workbookViewId="0">
      <s:selection activeCell="A1" sqref="A1"/>
    </s:sheetView>
  </s:sheetViews>
  <s:sheetFormatPr baseColWidth="8" defaultRowHeight="15"/>
  <s:cols>
    <s:col width="46" customWidth="1" min="1" max="1"/>
    <s:col width="90" customWidth="1" min="2" max="2"/>
    <s:col width="22" customWidth="1" min="3" max="3"/>
  </s:cols>
  <s:sheetData>
    <s:row r="1">
      <s:c r="A1" s="1" t="inlineStr">
        <s:is>
          <s:t>Sources and decisions</s:t>
        </s:is>
      </s:c>
      <s:c r="B1" s="1" t="n"/>
      <s:c r="C1" s="1" t="n"/>
    </s:row>
    <s:row r="2">
      <s:c r="A2" s="8" t="inlineStr">
        <s:is>
          <s:t>Printed nights</s:t>
        </s:is>
      </s:c>
      <s:c r="B2" s="8" t="inlineStr">
        <s:is>
          <s:t>data/processed/abnb_driver_history_quarterly.csv</s:t>
        </s:is>
      </s:c>
      <s:c r="C2" s="8" t="inlineStr">
        <s:is>
          <s:t>DEC-0003</s:t>
        </s:is>
      </s:c>
    </s:row>
    <s:row r="3">
      <s:c r="A3" s="8" t="inlineStr">
        <s:is>
          <s:t>Review counts, two vintages</s:t>
        </s:is>
      </s:c>
      <s:c r="B3" s="8" t="inlineStr">
        <s:is>
          <s:t>data/processed/q3nowcast/E/market_vintage_monthly.csv; q3nowcast_v2/E</s:t>
        </s:is>
      </s:c>
      <s:c r="C3" s="8" t="inlineStr">
        <s:is>
          <s:t>E note; WPK-A</s:t>
        </s:is>
      </s:c>
    </s:row>
    <s:row r="4">
      <s:c r="A4" s="8" t="inlineStr">
        <s:is>
          <s:t>Regional stays growth (vmatch)</s:t>
        </s:is>
      </s:c>
      <s:c r="B4" s="8" t="inlineStr">
        <s:is>
          <s:t>data/processed/forecast_methods/reviews_index_v2/index_regional_vmatch_pct.csv</s:t>
        </s:is>
      </s:c>
      <s:c r="C4" s="8" t="inlineStr">
        <s:is>
          <s:t>REVIEWS_INDEX_v2 §2</s:t>
        </s:is>
      </s:c>
    </s:row>
    <s:row r="5">
      <s:c r="A5" s="8" t="inlineStr">
        <s:is>
          <s:t>Stay-mix weights</s:t>
        </s:is>
      </s:c>
      <s:c r="B5" s="8" t="inlineStr">
        <s:is>
          <s:t>reviews_index_v2/mix_weights_stay_quarter.csv ← overnight/10_regional_panel_quarterly.csv</s:t>
        </s:is>
      </s:c>
      <s:c r="C5" s="8" t="inlineStr">
        <s:is>
          <s:t>§5 (v2.1)</s:t>
        </s:is>
      </s:c>
    </s:row>
    <s:row r="6">
      <s:c r="A6" s="8" t="inlineStr">
        <s:is>
          <s:t>3Q26 quarter-to-date by region</s:t>
        </s:is>
      </s:c>
      <s:c r="B6" s="8" t="inlineStr">
        <s:is>
          <s:t>data/processed/q3nowcast/E/vintage_matched_nowcast.csv; q3_2026_nowcast.csv</s:t>
        </s:is>
      </s:c>
      <s:c r="C6" s="8" t="inlineStr">
        <s:is>
          <s:t>E6</s:t>
        </s:is>
      </s:c>
    </s:row>
    <s:row r="7">
      <s:c r="A7" s="8" t="inlineStr">
        <s:is>
          <s:t>Lead-time kernel</s:t>
        </s:is>
      </s:c>
      <s:c r="B7" s="8" t="inlineStr">
        <s:is>
          <s:t>data/processed/forecast_methods/kernel_leadtime_v2/K2_M_matrix.csv</s:t>
        </s:is>
      </s:c>
      <s:c r="C7" s="8" t="inlineStr">
        <s:is>
          <s:t>kernel lane</s:t>
        </s:is>
      </s:c>
    </s:row>
    <s:row r="8">
      <s:c r="A8" s="8" t="inlineStr">
        <s:is>
          <s:t>Base path components</s:t>
        </s:is>
      </s:c>
      <s:c r="B8" s="8" t="inlineStr">
        <s:is>
          <s:t>docs/pitch-model-v2/lines/final_nights.md §4–6</s:t>
        </s:is>
      </s:c>
      <s:c r="C8" s="8" t="inlineStr">
        <s:is>
          <s:t>DEC-0019 / 0025 / 0029</s:t>
        </s:is>
      </s:c>
    </s:row>
    <s:row r="9">
      <s:c r="A9" s="8" t="inlineStr">
        <s:is>
          <s:t>Street nights</s:t>
        </s:is>
      </s:c>
      <s:c r="B9" s="8" t="inlineStr">
        <s:is>
          <s:t>Bloomberg MODL 12 Sep 2026</s:t>
        </s:is>
      </s:c>
      <s:c r="C9" s="8" t="inlineStr">
        <s:is>
          <s:t>DEC-0005</s:t>
        </s:is>
      </s:c>
    </s:row>
    <s:row r="10">
      <s:c r="A10" s="8" t="inlineStr">
        <s:is>
          <s:t>Guidance</s:t>
        </s:is>
      </s:c>
      <s:c r="B10" s="8" t="inlineStr">
        <s:is>
          <s:t>data/processed/overnight/02_guidance_ledger.csv</s:t>
        </s:is>
      </s:c>
      <s:c r="C10" s="8" t="inlineStr">
        <s:is>
          <s:t>letters</s:t>
        </s:is>
      </s:c>
    </s:row>
    <s:row r="11">
      <s:c r="A11" s="8" t="inlineStr">
        <s:is>
          <s:t>Unearned fees, GBV</s:t>
        </s:is>
      </s:c>
      <s:c r="B11" s="8" t="inlineStr">
        <s:is>
          <s:t>data/processed/overnight/02_kpi_panel_quarterly.csv</s:t>
        </s:is>
      </s:c>
      <s:c r="C11" s="8" t="inlineStr">
        <s:is>
          <s:t>RNPL audit</s:t>
        </s:is>
      </s:c>
    </s:row>
    <s:row r="12">
      <s:c r="A12" s="8" t="inlineStr">
        <s:is>
          <s:t>Eurostat panel statistics</s:t>
        </s:is>
      </s:c>
      <s:c r="B12" s="8" t="inlineStr">
        <s:is>
          <s:t>reviews_index_v2/stage_a_tests.csv</s:t>
        </s:is>
      </s:c>
      <s:c r="C12" s="8" t="inlineStr">
        <s:is>
          <s:t>§2.2</s:t>
        </s:is>
      </s:c>
    </s:row>
    <s:row r="13">
      <s:c r="A13" s="8" t="inlineStr">
        <s:is>
          <s:t>ADR, ex-FX ADR, FX effect (letters)</s:t>
        </s:is>
      </s:c>
      <s:c r="B13" s="8" t="inlineStr">
        <s:is>
          <s:t>data/processed/overnight/02_kpi_panel_quarterly.csv (adr_usd, adr_yoy_exfx_pct, fx_pts_adr)</s:t>
        </s:is>
      </s:c>
      <s:c r="C13" s="8" t="inlineStr">
        <s:is>
          <s:t>X1 §2a</s:t>
        </s:is>
      </s:c>
    </s:row>
    <s:row r="14">
      <s:c r="A14" s="8" t="inlineStr">
        <s:is>
          <s:t>Daily FX (FRED H.10, 9 bilaterals + broad dollar)</s:t>
        </s:is>
      </s:c>
      <s:c r="B14" s="8" t="inlineStr">
        <s:is>
          <s:t>data/processed/pitch_model_v2/adr_engine/fx_daily_2026-09-21.csv (fetch_fx.py)</s:t>
        </s:is>
      </s:c>
      <s:c r="C14" s="8" t="inlineStr">
        <s:is>
          <s:t>adr_fx_prereg §1</s:t>
        </s:is>
      </s:c>
    </s:row>
    <s:row r="15">
      <s:c r="A15" s="8" t="inlineStr">
        <s:is>
          <s:t>Destination-currency baskets κ</s:t>
        </s:is>
      </s:c>
      <s:c r="B15" s="8" t="inlineStr">
        <s:is>
          <s:t>data/processed/forecast_methods/fx_lag_v2/01b_basket_weights_used.csv (judgement, frozen)</s:t>
        </s:is>
      </s:c>
      <s:c r="C15" s="8" t="inlineStr">
        <s:is>
          <s:t>adr_fx_prereg §2</s:t>
        </s:is>
      </s:c>
    </s:row>
    <s:row r="16">
      <s:c r="A16" s="8" t="inlineStr">
        <s:is>
          <s:t>Regional GBV shares (10-K Geographic Mix)</s:t>
        </s:is>
      </s:c>
      <s:c r="B16" s="8" t="inlineStr">
        <s:is>
          <s:t>data/processed/adr/01_regional_annual.csv gbv_share_pct</s:t>
        </s:is>
      </s:c>
      <s:c r="C16" s="8" t="inlineStr">
        <s:is>
          <s:t>adr_fx_prereg §2</s:t>
        </s:is>
      </s:c>
    </s:row>
    <s:row r="17">
      <s:c r="A17" s="8" t="inlineStr">
        <s:is>
          <s:t>Ex-FX decomposition history</s:t>
        </s:is>
      </s:c>
      <s:c r="B17" s="8" t="inlineStr">
        <s:is>
          <s:t>data/processed/q3nowcast/H/adr_history_components.csv; adrq3/I/I_mix_terms_3q26.csv; adrv3/K/K4_*</s:t>
        </s:is>
      </s:c>
      <s:c r="C17" s="8" t="inlineStr">
        <s:is>
          <s:t>D4, adr_v1_design §3</s:t>
        </s:is>
      </s:c>
    </s:row>
    <s:row r="18">
      <s:c r="A18" s="8" t="inlineStr">
        <s:is>
          <s:t>Bundle ADR contribution (~1pp, transcript-only)</s:t>
        </s:is>
      </s:c>
      <s:c r="B18" s="8" t="inlineStr">
        <s:is>
          <s:t>ledger D014 (4Q25 call), D032 (1Q26 call); filed substitute D031 'roughly 20% of GBV from RNPL'</s:t>
        </s:is>
      </s:c>
      <s:c r="C18" s="8" t="inlineStr">
        <s:is>
          <s:t>adr_v1_design §3</s:t>
        </s:is>
      </s:c>
    </s:row>
    <s:row r="19">
      <s:c r="A19" s="8" t="inlineStr">
        <s:is>
          <s:t>Regional ADR levels and shares</s:t>
        </s:is>
      </s:c>
      <s:c r="B19" s="8" t="inlineStr">
        <s:is>
          <s:t>data/processed/adr/04_regional_quarterly_wide.csv (disclosed-chained)</s:t>
        </s:is>
      </s:c>
      <s:c r="C19" s="8" t="inlineStr">
        <s:is>
          <s:t>adr_v1_design §3.3</s:t>
        </s:is>
      </s:c>
    </s:row>
    <s:row r="20">
      <s:c r="A20" s="8" t="inlineStr">
        <s:is>
          <s:t>Street ADR</s:t>
        </s:is>
      </s:c>
      <s:c r="B20" s="8" t="inlineStr">
        <s:is>
          <s:t>Bloomberg MODL screenshot 12 Sep 2026 (3Q26 n 26, 4Q26 n 25)</s:t>
        </s:is>
      </s:c>
      <s:c r="C20" s="8" t="inlineStr">
        <s:is>
          <s:t>DEC-0005 / V1</s:t>
        </s:is>
      </s:c>
    </s:row>
    <s:row r="21">
      <s:c r="A21" s="8" t="inlineStr">
        <s:is>
          <s:t>ADR engine outputs</s:t>
        </s:is>
      </s:c>
      <s:c r="B21" s="8" t="inlineStr">
        <s:is>
          <s:t>data/processed/pitch_model_v2/adr_engine/ (fx_scores.csv, fx_forecast_asof.csv, adr_path.csv, …)</s:t>
        </s:is>
      </s:c>
      <s:c r="C21" s="8" t="inlineStr">
        <s:is>
          <s:t>adr_fx_prereg §9</s:t>
        </s:is>
      </s:c>
    </s:row>
    <s:row r="22">
      <s:c r="A22" s="8" t="inlineStr">
        <s:is>
          <s:t>Sub-regional mix inputs (v2)</s:t>
        </s:is>
      </s:c>
      <s:c r="B22" s="8" t="inlineStr">
        <s:is>
          <s:t>Inside Airbnb capture store → refresh_prices.py: 123 markets, 30 priced countries</s:t>
        </s:is>
      </s:c>
      <s:c r="C22" s="8" t="inlineStr">
        <s:is>
          <s:t>adr_v2_geomix_prereg</s:t>
        </s:is>
      </s:c>
    </s:row>
    <s:row r="23">
      <s:c r="A23" s="8" t="inlineStr">
        <s:is>
          <s:t>Origin→destination flows</s:t>
        </s:is>
      </s:c>
      <s:c r="B23" s="8" t="inlineStr">
        <s:is>
          <s:t>NTTO, JNTO, ABS, StatCan arrivals by origin (od_layer.py)</s:t>
        </s:is>
      </s:c>
      <s:c r="C23" s="8" t="inlineStr">
        <s:is>
          <s:t>adr_v2_upgrade2</s:t>
        </s:is>
      </s:c>
    </s:row>
    <s:row r="24">
      <s:c r="A24" s="8" t="inlineStr">
        <s:is>
          <s:t>Mitigation outputs (block G)</s:t>
        </s:is>
      </s:c>
      <s:c r="B24" s="8" t="inlineStr">
        <s:is>
          <s:t>adr_engine/: reconcile_pooled_regressions.csv, sizemix_rebased_plug.csv, market_panel_scores.csv, origin_lang_*.csv</s:t>
        </s:is>
      </s:c>
      <s:c r="C24" s="8" t="inlineStr">
        <s:is>
          <s:t>adr_v2_mitigation_A–D</s:t>
        </s:is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2026-09-22T16:50:13Z</dcterms:created>
  <dcterms:modified xsi:type="dcterms:W3CDTF">2026-09-22T16:50:13Z</dcterms:modified>
</cp:coreProperties>
</file>