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\citadel-abnb-reversedcf\model\"/>
    </mc:Choice>
  </mc:AlternateContent>
  <xr:revisionPtr revIDLastSave="0" documentId="13_ncr:1_{954255F7-D536-4B18-8A01-42BDE8E73F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1" r:id="rId1"/>
    <sheet name="Inputs" sheetId="2" r:id="rId2"/>
    <sheet name="Market_Implied" sheetId="3" r:id="rId3"/>
    <sheet name="Cases" sheetId="4" r:id="rId4"/>
    <sheet name="Print_5Nov" sheetId="5" r:id="rId5"/>
    <sheet name="SellSide" sheetId="6" r:id="rId6"/>
    <sheet name="Options" sheetId="7" r:id="rId7"/>
    <sheet name="Comparison" sheetId="8" r:id="rId8"/>
    <sheet name="Rec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8" l="1"/>
  <c r="E20" i="8"/>
  <c r="D20" i="8"/>
  <c r="C20" i="8"/>
  <c r="H19" i="8"/>
  <c r="E19" i="8"/>
  <c r="D19" i="8"/>
  <c r="C19" i="8"/>
  <c r="H18" i="8"/>
  <c r="E18" i="8"/>
  <c r="D18" i="8"/>
  <c r="C18" i="8"/>
  <c r="H17" i="8"/>
  <c r="E17" i="8"/>
  <c r="D17" i="8"/>
  <c r="C17" i="8"/>
  <c r="B17" i="8"/>
  <c r="H16" i="8"/>
  <c r="E16" i="8"/>
  <c r="D16" i="8"/>
  <c r="C16" i="8"/>
  <c r="H15" i="8"/>
  <c r="E15" i="8"/>
  <c r="D15" i="8"/>
  <c r="C15" i="8"/>
  <c r="H14" i="8"/>
  <c r="G14" i="8"/>
  <c r="F14" i="8"/>
  <c r="E14" i="8"/>
  <c r="D14" i="8"/>
  <c r="C14" i="8"/>
  <c r="H13" i="8"/>
  <c r="B13" i="8"/>
  <c r="H12" i="8"/>
  <c r="B12" i="8"/>
  <c r="H11" i="8"/>
  <c r="B11" i="8"/>
  <c r="H10" i="8"/>
  <c r="B10" i="8"/>
  <c r="H9" i="8"/>
  <c r="B9" i="8"/>
  <c r="H8" i="8"/>
  <c r="B8" i="8"/>
  <c r="H7" i="8"/>
  <c r="B7" i="8"/>
  <c r="H6" i="8"/>
  <c r="G6" i="8"/>
  <c r="B6" i="8"/>
  <c r="H5" i="8"/>
  <c r="B5" i="8"/>
  <c r="H4" i="8"/>
  <c r="B4" i="8"/>
  <c r="C16" i="6"/>
  <c r="E16" i="6" s="1"/>
  <c r="E15" i="6"/>
  <c r="C15" i="6"/>
  <c r="D15" i="6" s="1"/>
  <c r="C14" i="6"/>
  <c r="E14" i="6" s="1"/>
  <c r="H9" i="6"/>
  <c r="E9" i="6"/>
  <c r="F9" i="6" s="1"/>
  <c r="G9" i="6" s="1"/>
  <c r="D9" i="6"/>
  <c r="C9" i="6"/>
  <c r="H8" i="6"/>
  <c r="E8" i="6"/>
  <c r="F8" i="6" s="1"/>
  <c r="G8" i="6" s="1"/>
  <c r="D8" i="6"/>
  <c r="C8" i="6"/>
  <c r="H7" i="6"/>
  <c r="E7" i="6"/>
  <c r="F7" i="6" s="1"/>
  <c r="G7" i="6" s="1"/>
  <c r="D7" i="6"/>
  <c r="C7" i="6"/>
  <c r="H6" i="6"/>
  <c r="E6" i="6"/>
  <c r="F6" i="6" s="1"/>
  <c r="G6" i="6" s="1"/>
  <c r="D6" i="6"/>
  <c r="C6" i="6"/>
  <c r="H5" i="6"/>
  <c r="E5" i="6"/>
  <c r="F5" i="6" s="1"/>
  <c r="G5" i="6" s="1"/>
  <c r="D5" i="6"/>
  <c r="C5" i="6"/>
  <c r="H4" i="6"/>
  <c r="E4" i="6"/>
  <c r="F4" i="6" s="1"/>
  <c r="G4" i="6" s="1"/>
  <c r="D4" i="6"/>
  <c r="C4" i="6"/>
  <c r="I13" i="5"/>
  <c r="E13" i="5"/>
  <c r="H13" i="5" s="1"/>
  <c r="C13" i="5"/>
  <c r="J13" i="5" s="1"/>
  <c r="K13" i="5" s="1"/>
  <c r="I12" i="5"/>
  <c r="E12" i="5"/>
  <c r="C12" i="5"/>
  <c r="F12" i="5" s="1"/>
  <c r="I11" i="5"/>
  <c r="E11" i="5"/>
  <c r="C11" i="5"/>
  <c r="J11" i="5" s="1"/>
  <c r="K11" i="5" s="1"/>
  <c r="I10" i="5"/>
  <c r="E10" i="5"/>
  <c r="C10" i="5"/>
  <c r="J10" i="5" s="1"/>
  <c r="K10" i="5" s="1"/>
  <c r="I9" i="5"/>
  <c r="E9" i="5"/>
  <c r="C9" i="5"/>
  <c r="F9" i="5" s="1"/>
  <c r="I8" i="5"/>
  <c r="E8" i="5"/>
  <c r="C8" i="5"/>
  <c r="J8" i="5" s="1"/>
  <c r="K8" i="5" s="1"/>
  <c r="I7" i="5"/>
  <c r="E7" i="5"/>
  <c r="C7" i="5"/>
  <c r="J7" i="5" s="1"/>
  <c r="K7" i="5" s="1"/>
  <c r="I6" i="5"/>
  <c r="E6" i="5"/>
  <c r="C6" i="5"/>
  <c r="F6" i="5" s="1"/>
  <c r="I5" i="5"/>
  <c r="E5" i="5"/>
  <c r="C5" i="5"/>
  <c r="J5" i="5" s="1"/>
  <c r="K5" i="5" s="1"/>
  <c r="H11" i="4"/>
  <c r="F20" i="8" s="1"/>
  <c r="G11" i="4"/>
  <c r="F11" i="4"/>
  <c r="D11" i="4"/>
  <c r="G20" i="8" s="1"/>
  <c r="H10" i="4"/>
  <c r="F19" i="8" s="1"/>
  <c r="G10" i="4"/>
  <c r="F10" i="4"/>
  <c r="D10" i="4"/>
  <c r="B19" i="8" s="1"/>
  <c r="H9" i="4"/>
  <c r="F18" i="8" s="1"/>
  <c r="G9" i="4"/>
  <c r="F9" i="4"/>
  <c r="D9" i="4"/>
  <c r="E9" i="4" s="1"/>
  <c r="H8" i="4"/>
  <c r="F17" i="8" s="1"/>
  <c r="G8" i="4"/>
  <c r="F8" i="4"/>
  <c r="E8" i="4"/>
  <c r="D8" i="4"/>
  <c r="G17" i="8" s="1"/>
  <c r="H7" i="4"/>
  <c r="F16" i="8" s="1"/>
  <c r="G7" i="4"/>
  <c r="F7" i="4"/>
  <c r="D7" i="4"/>
  <c r="B16" i="8" s="1"/>
  <c r="H6" i="4"/>
  <c r="F15" i="8" s="1"/>
  <c r="G6" i="4"/>
  <c r="F6" i="4"/>
  <c r="D6" i="4"/>
  <c r="G15" i="8" s="1"/>
  <c r="H5" i="4"/>
  <c r="G5" i="4"/>
  <c r="F5" i="4"/>
  <c r="D5" i="4"/>
  <c r="B14" i="8" s="1"/>
  <c r="C14" i="3"/>
  <c r="D14" i="3" s="1"/>
  <c r="C13" i="3"/>
  <c r="D13" i="3" s="1"/>
  <c r="C12" i="3"/>
  <c r="D12" i="3" s="1"/>
  <c r="E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E6" i="3" s="1"/>
  <c r="C5" i="3"/>
  <c r="D5" i="3" s="1"/>
  <c r="E11" i="4" l="1"/>
  <c r="H10" i="5"/>
  <c r="H7" i="5"/>
  <c r="H9" i="5"/>
  <c r="G12" i="5"/>
  <c r="G9" i="5"/>
  <c r="I15" i="8" s="1"/>
  <c r="H12" i="5"/>
  <c r="G6" i="5"/>
  <c r="H6" i="5"/>
  <c r="B18" i="8"/>
  <c r="Q7" i="3"/>
  <c r="R7" i="3" s="1"/>
  <c r="E7" i="3"/>
  <c r="E10" i="3"/>
  <c r="Q10" i="3"/>
  <c r="R10" i="3" s="1"/>
  <c r="E11" i="3"/>
  <c r="Q11" i="3"/>
  <c r="R11" i="3" s="1"/>
  <c r="H6" i="3"/>
  <c r="J6" i="3"/>
  <c r="P6" i="3" s="1"/>
  <c r="I6" i="3"/>
  <c r="H12" i="3"/>
  <c r="I12" i="3"/>
  <c r="J12" i="3"/>
  <c r="P12" i="3" s="1"/>
  <c r="Q8" i="3"/>
  <c r="R8" i="3" s="1"/>
  <c r="E8" i="3"/>
  <c r="E9" i="3"/>
  <c r="Q9" i="3"/>
  <c r="Q13" i="3"/>
  <c r="R13" i="3" s="1"/>
  <c r="E13" i="3"/>
  <c r="Q14" i="3"/>
  <c r="R14" i="3" s="1"/>
  <c r="E14" i="3"/>
  <c r="Q5" i="3"/>
  <c r="R5" i="3" s="1"/>
  <c r="E5" i="3"/>
  <c r="D14" i="6"/>
  <c r="F5" i="5"/>
  <c r="J6" i="5"/>
  <c r="K6" i="5" s="1"/>
  <c r="F8" i="5"/>
  <c r="J9" i="5"/>
  <c r="K9" i="5" s="1"/>
  <c r="F11" i="5"/>
  <c r="J12" i="5"/>
  <c r="K12" i="5" s="1"/>
  <c r="B15" i="8"/>
  <c r="G19" i="8"/>
  <c r="E10" i="4"/>
  <c r="G5" i="5"/>
  <c r="I18" i="8" s="1"/>
  <c r="G8" i="5"/>
  <c r="I17" i="8" s="1"/>
  <c r="G11" i="5"/>
  <c r="G16" i="8"/>
  <c r="E5" i="4"/>
  <c r="H5" i="5"/>
  <c r="H8" i="5"/>
  <c r="H11" i="5"/>
  <c r="B20" i="8"/>
  <c r="F13" i="5"/>
  <c r="F7" i="5"/>
  <c r="F10" i="5"/>
  <c r="G18" i="8"/>
  <c r="Q6" i="3"/>
  <c r="R6" i="3" s="1"/>
  <c r="Q12" i="3"/>
  <c r="R12" i="3" s="1"/>
  <c r="E6" i="4"/>
  <c r="G7" i="5"/>
  <c r="G10" i="5"/>
  <c r="G13" i="5"/>
  <c r="D16" i="6"/>
  <c r="E7" i="4"/>
  <c r="J14" i="3" l="1"/>
  <c r="P14" i="3" s="1"/>
  <c r="I14" i="3"/>
  <c r="H14" i="3"/>
  <c r="C6" i="8"/>
  <c r="D6" i="8" s="1"/>
  <c r="E6" i="8" s="1"/>
  <c r="R9" i="3"/>
  <c r="F6" i="8" s="1"/>
  <c r="J8" i="3"/>
  <c r="P8" i="3" s="1"/>
  <c r="I8" i="3"/>
  <c r="H8" i="3"/>
  <c r="O6" i="3"/>
  <c r="K6" i="3"/>
  <c r="L6" i="3" s="1"/>
  <c r="J9" i="3"/>
  <c r="I9" i="3"/>
  <c r="H9" i="3"/>
  <c r="J11" i="3"/>
  <c r="P11" i="3" s="1"/>
  <c r="I11" i="3"/>
  <c r="H11" i="3"/>
  <c r="J5" i="3"/>
  <c r="P5" i="3" s="1"/>
  <c r="I5" i="3"/>
  <c r="H5" i="3"/>
  <c r="J10" i="3"/>
  <c r="P10" i="3" s="1"/>
  <c r="I10" i="3"/>
  <c r="H10" i="3"/>
  <c r="H7" i="3"/>
  <c r="J7" i="3"/>
  <c r="P7" i="3" s="1"/>
  <c r="I7" i="3"/>
  <c r="O12" i="3"/>
  <c r="F12" i="8" s="1"/>
  <c r="C12" i="8"/>
  <c r="K12" i="3"/>
  <c r="H13" i="3"/>
  <c r="I13" i="3"/>
  <c r="J13" i="3"/>
  <c r="P13" i="3" s="1"/>
  <c r="C4" i="8" l="1"/>
  <c r="K9" i="3"/>
  <c r="O9" i="3"/>
  <c r="F4" i="8" s="1"/>
  <c r="C5" i="8"/>
  <c r="D5" i="8" s="1"/>
  <c r="E5" i="8" s="1"/>
  <c r="G5" i="8" s="1"/>
  <c r="P9" i="3"/>
  <c r="F5" i="8" s="1"/>
  <c r="M6" i="3"/>
  <c r="N6" i="3"/>
  <c r="K10" i="3"/>
  <c r="C11" i="8"/>
  <c r="O10" i="3"/>
  <c r="F11" i="8" s="1"/>
  <c r="O8" i="3"/>
  <c r="F10" i="8" s="1"/>
  <c r="K8" i="3"/>
  <c r="C10" i="8"/>
  <c r="K5" i="3"/>
  <c r="C7" i="8"/>
  <c r="O5" i="3"/>
  <c r="F7" i="8" s="1"/>
  <c r="D12" i="8"/>
  <c r="L12" i="3"/>
  <c r="K11" i="3"/>
  <c r="L11" i="3" s="1"/>
  <c r="O11" i="3"/>
  <c r="C9" i="8"/>
  <c r="O13" i="3"/>
  <c r="F9" i="8" s="1"/>
  <c r="K13" i="3"/>
  <c r="O14" i="3"/>
  <c r="F13" i="8" s="1"/>
  <c r="K14" i="3"/>
  <c r="C13" i="8"/>
  <c r="O7" i="3"/>
  <c r="F8" i="8" s="1"/>
  <c r="K7" i="3"/>
  <c r="C8" i="8"/>
  <c r="L8" i="3" l="1"/>
  <c r="D10" i="8"/>
  <c r="D9" i="8"/>
  <c r="L13" i="3"/>
  <c r="L10" i="3"/>
  <c r="D11" i="8"/>
  <c r="M11" i="3"/>
  <c r="N11" i="3"/>
  <c r="E12" i="8"/>
  <c r="M12" i="3"/>
  <c r="N12" i="3"/>
  <c r="G12" i="8" s="1"/>
  <c r="L7" i="3"/>
  <c r="D8" i="8"/>
  <c r="D7" i="8"/>
  <c r="L5" i="3"/>
  <c r="L9" i="3"/>
  <c r="D4" i="8"/>
  <c r="L14" i="3"/>
  <c r="D13" i="8"/>
  <c r="M7" i="3" l="1"/>
  <c r="E8" i="8"/>
  <c r="N7" i="3"/>
  <c r="G8" i="8" s="1"/>
  <c r="M13" i="3"/>
  <c r="E9" i="8"/>
  <c r="N13" i="3"/>
  <c r="G9" i="8" s="1"/>
  <c r="E11" i="8"/>
  <c r="M10" i="3"/>
  <c r="N10" i="3"/>
  <c r="G11" i="8" s="1"/>
  <c r="E7" i="8"/>
  <c r="M5" i="3"/>
  <c r="N5" i="3"/>
  <c r="G7" i="8" s="1"/>
  <c r="M14" i="3"/>
  <c r="E13" i="8"/>
  <c r="N14" i="3"/>
  <c r="G13" i="8" s="1"/>
  <c r="M9" i="3"/>
  <c r="E4" i="8"/>
  <c r="N9" i="3"/>
  <c r="G4" i="8" s="1"/>
  <c r="M8" i="3"/>
  <c r="E10" i="8"/>
  <c r="N8" i="3"/>
  <c r="G10" i="8" s="1"/>
</calcChain>
</file>

<file path=xl/sharedStrings.xml><?xml version="1.0" encoding="utf-8"?>
<sst xmlns="http://schemas.openxmlformats.org/spreadsheetml/2006/main" count="863" uniqueCount="553">
  <si>
    <t>ABNB: the market-implied model</t>
  </si>
  <si>
    <t>Built 13 Sep 2026 by analysis/src/reverse_dcf/market_implied_model.py from the workstream outputs under data/processed/reverse_dcf/A-D. Rebuild: py -3.13 analysis/src/reverse_dcf/market_implied_model.py</t>
  </si>
  <si>
    <t>Question: what do the share price, the options market and the sell-side tape imply for FY27 revenue growth, EBITDA and nights, and for the 5 Nov print, against management's cases and the team's forecasts?</t>
  </si>
  <si>
    <t>Inputs        - anchors, the multiple-vs-growth regression (workstream A), decomposition assumptions, EPS map, reaction coefficients (C), options numbers (B). Yellow = editable.</t>
  </si>
  <si>
    <t>Market_Implied- one row per price point: the joint solve (closed-form quadratic), both FY27 mappings, implied nights, the fixed-multiple fallback, options probabilities, reverse-DCF growth.</t>
  </si>
  <si>
    <t>Cases         - management literal / delivered / ambition, Street, team base / bear / bull: the price each is worth on the joint solve and at 16.5x, and the options-implied probability of reaching it.</t>
  </si>
  <si>
    <t>Print_5Nov    - the reaction function (C) applied to print scenarios; the breakeven guide; the options-implied event sd (B).</t>
  </si>
  <si>
    <t>SellSide      - the target tape percentiles (D) and what each requires at 16.5x.</t>
  </si>
  <si>
    <t>Options       - B's headline numbers, 12-month percentiles, skew by expiry, print base rates.</t>
  </si>
  <si>
    <t>Comparison    - the one table: what is priced by whom.</t>
  </si>
  <si>
    <t>Recon         - Excel recalculated values vs the Python mirror (must be ~0).</t>
  </si>
  <si>
    <t>Labels: ANCHOR = brief; MEASURED = computed by a workstream; JUDGEMENT = analyst choice. Blue cells are values carried from workstream CSVs; black cells are live formulas.</t>
  </si>
  <si>
    <t>Inputs</t>
  </si>
  <si>
    <t>Item</t>
  </si>
  <si>
    <t>Value</t>
  </si>
  <si>
    <t>Source / label</t>
  </si>
  <si>
    <t>Share price ($)</t>
  </si>
  <si>
    <t>close 11 Sep 2026; ANCHOR</t>
  </si>
  <si>
    <t>Diluted shares (M)</t>
  </si>
  <si>
    <t>2Q26 diluted WA; ANCHOR</t>
  </si>
  <si>
    <t>Net cash ex float ($M)</t>
  </si>
  <si>
    <t>30 Jun 2026; ANCHOR</t>
  </si>
  <si>
    <t>LTM revenue, 3Q25-2Q26 ($M)</t>
  </si>
  <si>
    <t>letters; the base the NTM multiple was fitted on</t>
  </si>
  <si>
    <t>LTM adj. EBITDA margin (%)</t>
  </si>
  <si>
    <t>4,617 / 13,159</t>
  </si>
  <si>
    <t>FY26E revenue base ($M)</t>
  </si>
  <si>
    <t>management Delivered case (BRIEF)</t>
  </si>
  <si>
    <t>FY27E adj. EBITDA margin (%)</t>
  </si>
  <si>
    <t>management Delivered case; 35.5 / 37.0 sensitivities</t>
  </si>
  <si>
    <t>Multiple regression intercept a (EV/NTM EBITDA, x)</t>
  </si>
  <si>
    <t>workstream A primary: EV/NTM EBITDA on NTM growth proxy, 2023-26 monthly, n 45, R2 0.23, NW t 3.1; MEASURED</t>
  </si>
  <si>
    <t>Multiple regression slope b (turns per pt of NTM growth)</t>
  </si>
  <si>
    <t>same; +0.40 vs WS12's +0.48 on the LTM multiple; weakly identified (see audit_A)</t>
  </si>
  <si>
    <t>Slope band: intercept at b - 1 s.e.</t>
  </si>
  <si>
    <t>line rotated about the sample means</t>
  </si>
  <si>
    <t>Slope band: b - 1 s.e.</t>
  </si>
  <si>
    <t>Slope band: intercept at b + 1 s.e.</t>
  </si>
  <si>
    <t>Slope band: b + 1 s.e.</t>
  </si>
  <si>
    <t>NTM-to-FY27 growth spread (pp)</t>
  </si>
  <si>
    <t>Delivered case: NTM growth 14.0% less FY27 12.6%; used by the proportional mapping</t>
  </si>
  <si>
    <t>FY27 ADR ex-FX growth (%)</t>
  </si>
  <si>
    <t>management: mix and price appreciation; team H note</t>
  </si>
  <si>
    <t>FY27 revenue FX after hedging (pp)</t>
  </si>
  <si>
    <t>WS29 consensus EUR path</t>
  </si>
  <si>
    <t>FY27 take-rate change (%)</t>
  </si>
  <si>
    <t>management: flat</t>
  </si>
  <si>
    <t>Fixed-multiple fallback: EV / FY27E EBITDA (x)</t>
  </si>
  <si>
    <t>WS12 mid</t>
  </si>
  <si>
    <t>FY27E SBC ($M)</t>
  </si>
  <si>
    <t>Delivered case; EPS map</t>
  </si>
  <si>
    <t>D&amp;A (% revenue)</t>
  </si>
  <si>
    <t>EPS map</t>
  </si>
  <si>
    <t>FY27E net interest income ($M)</t>
  </si>
  <si>
    <t>4 x 160 - 4 x 31</t>
  </si>
  <si>
    <t>Effective tax rate (%)</t>
  </si>
  <si>
    <t>high teens</t>
  </si>
  <si>
    <t>FY27E average diluted shares (M)</t>
  </si>
  <si>
    <t>Delivered case</t>
  </si>
  <si>
    <t>Street 4Q26 revenue comparator ($M)</t>
  </si>
  <si>
    <t>Bloomberg FA 4 Sep; Zacks $3,200m alternative</t>
  </si>
  <si>
    <t>3Q26 nights growth above which the print is 'accelerating' (%)</t>
  </si>
  <si>
    <t>workstream C threshold (2Q26 printed 10.34%)</t>
  </si>
  <si>
    <t>3Q26 nights growth below which the print is 'decelerating' (%)</t>
  </si>
  <si>
    <t>workstream C threshold</t>
  </si>
  <si>
    <t>Reaction S2 (ex-reopening, n 16): intercept (%)</t>
  </si>
  <si>
    <t>C: E[r] = c + b_sign x sign(accel) + b_gvs x guide-vs-Street %; post-hoc spec, LOO R2 0.22</t>
  </si>
  <si>
    <t>Reaction S2: b_sign (% per unit sign)</t>
  </si>
  <si>
    <t>Reaction S2: b_gvs (% per 1% guide vs Street)</t>
  </si>
  <si>
    <t>Reaction S1 (post-2022 sign rule, n 14): intercept (%)</t>
  </si>
  <si>
    <t>C: pre-stated sign rule; LOO R2 0.28, perm p 0.013</t>
  </si>
  <si>
    <t>Reaction S1: b_sign (% per unit sign)</t>
  </si>
  <si>
    <t>Options-implied 5 Nov event sd (%)</t>
  </si>
  <si>
    <t>B central reading (8.3 to 11.0 across specs); JUDGEMENT</t>
  </si>
  <si>
    <t>Options-implied expected absolute 5 Nov move (%)</t>
  </si>
  <si>
    <t>0.80 x sd</t>
  </si>
  <si>
    <t>Market-implied operating case by price point (joint solve: EV = (a + b g) x base x (1 + g/100) x margin, closed-form root)</t>
  </si>
  <si>
    <t>Black = live formula. Blue = value carried from a workstream CSV (band from A's delta-method fit, options probabilities from B, reverse-DCF growth from A). The solve identifies NTM growth (guide-proxy units, about 1pp above realised); FY27 is quoted as the range between the proportional and the chained mappings. Rows away from the price are JUDGEMENT (mapping-dependent).</t>
  </si>
  <si>
    <t>Price ($)</t>
  </si>
  <si>
    <t>Label</t>
  </si>
  <si>
    <t>Market cap ($M)</t>
  </si>
  <si>
    <t>EV ($M)</t>
  </si>
  <si>
    <t>Implied NTM revenue growth (%)</t>
  </si>
  <si>
    <t>NTM growth, fitted-line band low (%)</t>
  </si>
  <si>
    <t>NTM growth, fitted-line band high (%)</t>
  </si>
  <si>
    <t>Implied EV/NTM EBITDA (x)</t>
  </si>
  <si>
    <t>FY27 growth, proportional (%)</t>
  </si>
  <si>
    <t>FY27 growth, chained through Street 2H26 (%)</t>
  </si>
  <si>
    <t>FY27 revenue, proportional ($M)</t>
  </si>
  <si>
    <t>FY27 adj. EBITDA ($M)</t>
  </si>
  <si>
    <t>FY27 GAAP EPS ($)</t>
  </si>
  <si>
    <t>Implied EV/FY27 EBITDA (x)</t>
  </si>
  <si>
    <t>FY27 nights growth, proportional (%)</t>
  </si>
  <si>
    <t>FY27 nights growth, chained (%)</t>
  </si>
  <si>
    <t>Fixed 16.5x: FY27 growth (%)</t>
  </si>
  <si>
    <t>Fixed 16.5x: nights (%)</t>
  </si>
  <si>
    <t>P(price above this in 12M, options RN)</t>
  </si>
  <si>
    <t>P(above at 20 Nov, options RN)</t>
  </si>
  <si>
    <t>Reverse DCF FY28 growth, reported FCF (%)</t>
  </si>
  <si>
    <t>Reverse DCF, SBC-adj FCF (%)</t>
  </si>
  <si>
    <t>options-implied 12M p25 (lognormal)</t>
  </si>
  <si>
    <t>bear tape</t>
  </si>
  <si>
    <t>options-implied 12M p50 (lognormal)</t>
  </si>
  <si>
    <t>p25 sell-side target</t>
  </si>
  <si>
    <t>price, close 11 Sep 2026</t>
  </si>
  <si>
    <t>mean sell-side target</t>
  </si>
  <si>
    <t>median yfinance target</t>
  </si>
  <si>
    <t>p75 sell-side target</t>
  </si>
  <si>
    <t>options-implied 12M p75 (lognormal)</t>
  </si>
  <si>
    <t>top sell-side target</t>
  </si>
  <si>
    <t>What each case is worth on the market's own pricing rule, and the options-implied probability of getting there</t>
  </si>
  <si>
    <t>Joint-solve price = ((a + b g_ntm) x LTM revenue x (1 + g_ntm/100) x LTM margin + net cash) / shares with g_ntm = FY27 growth + spread. Fixed = 16.5x on the case's revenue at 36.2% (and on its own EBITDA).</t>
  </si>
  <si>
    <t>Case</t>
  </si>
  <si>
    <t>FY27 revenue growth on FY26 Delivered base (%)</t>
  </si>
  <si>
    <t>FY27 EBITDA, case's own ($M)</t>
  </si>
  <si>
    <t>Price on the joint solve ($)</t>
  </si>
  <si>
    <t>Upside vs price (%)</t>
  </si>
  <si>
    <t>Price at 16.5x, case revenue at 36.2% ($)</t>
  </si>
  <si>
    <t>Price at 16.5x, case's own EBITDA ($)</t>
  </si>
  <si>
    <t>Implied FY27 nights growth (%)</t>
  </si>
  <si>
    <t>P(above joint-solve price in 12M, options RN)</t>
  </si>
  <si>
    <t>Management literal</t>
  </si>
  <si>
    <t>Management delivered</t>
  </si>
  <si>
    <t>Management ambition</t>
  </si>
  <si>
    <t>Street FY27 $15,745m</t>
  </si>
  <si>
    <t>Team base (WS29/30) $15,804m</t>
  </si>
  <si>
    <t>Team bear (WS29) $14,318m</t>
  </si>
  <si>
    <t>Team bull (WS29) $16,910m</t>
  </si>
  <si>
    <t>5 Nov 2026 print: expected day-1 excess reaction by scenario (workstream C's function) and the options-implied dispersion (B)</t>
  </si>
  <si>
    <t>Headline = S1, the pre-stated printed-nights-acceleration sign rule (post-2022, n 14; QQQ-excess close-to-close; a base rate, not multiplicity-robust). S2 (two-variable, post-hoc, n 16) is illustrative and flips sign with the Zacks $3,200m comparator. Expectations are conditional on the print's acceleration sign; unconditional under the nowcast band is about -2 to -2.5%. Decelerating prints gap about -5% and recover about +1.7% intraday, so the move is close-to-close and captured only by holding through the print.</t>
  </si>
  <si>
    <t>Scenario</t>
  </si>
  <si>
    <t>3Q26 nights growth (%)</t>
  </si>
  <si>
    <t>Acceleration sign</t>
  </si>
  <si>
    <t>4Q26 revenue guide midpoint ($M)</t>
  </si>
  <si>
    <t>Guide vs Street (%)</t>
  </si>
  <si>
    <t>E[day-1 excess return], S2 ex-reopening, illustrative (%)</t>
  </si>
  <si>
    <t>HEADLINE E[...], S1 post-2022 sign rule (%)</t>
  </si>
  <si>
    <t>E[...], S2 post-2022, illustrative (%)</t>
  </si>
  <si>
    <t>Options-implied event sd (%)</t>
  </si>
  <si>
    <t>Breakeven guide vs Street for zero E[r], S2 (%)</t>
  </si>
  <si>
    <t>Breakeven 4Q26 guide ($M)</t>
  </si>
  <si>
    <t>Team base (WS29/30)</t>
  </si>
  <si>
    <t>Team base, ex-NA lap adopted</t>
  </si>
  <si>
    <t>Q3 nowcast central (reviews index), 4Q26 at team revenue</t>
  </si>
  <si>
    <t>Street (Bloomberg FA 4 Sep)</t>
  </si>
  <si>
    <t>Flat print: 3Q26 = 2Q26 rate, guide at Street</t>
  </si>
  <si>
    <t>Accelerating print, guide 2% below Street</t>
  </si>
  <si>
    <t>Decelerating print, guide 3% above Street</t>
  </si>
  <si>
    <t>2Q26 replay: accelerating print, guide +2.6% vs Street</t>
  </si>
  <si>
    <t>Sell-side tape (workstream D, 12 Sep 2026 pull, Goldman corrected to Neutral $165) and what each level requires at the fixed multiple</t>
  </si>
  <si>
    <t>Stat</t>
  </si>
  <si>
    <t>Target ($)</t>
  </si>
  <si>
    <t>Implied EV / FY27 Delivered EBITDA (x)</t>
  </si>
  <si>
    <t>At 16.5x: required FY27 revenue ($M)</t>
  </si>
  <si>
    <t>At 16.5x: FY27 growth (%)</t>
  </si>
  <si>
    <t>At 16.5x: FY27 nights growth (%)</t>
  </si>
  <si>
    <t>Joint solve: FY27 growth, proportional (%)</t>
  </si>
  <si>
    <t>min</t>
  </si>
  <si>
    <t>p25</t>
  </si>
  <si>
    <t>median</t>
  </si>
  <si>
    <t>mean</t>
  </si>
  <si>
    <t>p75</t>
  </si>
  <si>
    <t>max</t>
  </si>
  <si>
    <t>Estimate dispersion (Zacks FY27, 13 estimates), on the Delivered FY26 base</t>
  </si>
  <si>
    <t>Estimate</t>
  </si>
  <si>
    <t>FY27 revenue ($M)</t>
  </si>
  <si>
    <t>FY27 growth (%)</t>
  </si>
  <si>
    <t>Implied nights growth (%)</t>
  </si>
  <si>
    <t>Joint-solve price ($)</t>
  </si>
  <si>
    <t>low</t>
  </si>
  <si>
    <t>consensus</t>
  </si>
  <si>
    <t>high</t>
  </si>
  <si>
    <t>Options market (workstream B; live chain 11 Sep close, Bloomberg 4 Sep for history). Values carried from B's CSVs.</t>
  </si>
  <si>
    <t>Note</t>
  </si>
  <si>
    <t>pull_time_utc</t>
  </si>
  <si>
    <t>2026-09-12T04:49:30.183206+00:00</t>
  </si>
  <si>
    <t>MEASURED</t>
  </si>
  <si>
    <t>yfinance, Friday 11 Sep 2026 close quotes</t>
  </si>
  <si>
    <t>spot</t>
  </si>
  <si>
    <t>ANCHOR</t>
  </si>
  <si>
    <t>close 11 Sep 2026</t>
  </si>
  <si>
    <t>risk_free_used_pct</t>
  </si>
  <si>
    <t>JUDGEMENT</t>
  </si>
  <si>
    <t>^IRX 3.91% on 11 Sep; brief 4.0-4.2%</t>
  </si>
  <si>
    <t>first_post_print_expiry</t>
  </si>
  <si>
    <t>2026-11-20</t>
  </si>
  <si>
    <t>no 6 Nov weekly listed; 15 days after the 5 Nov print</t>
  </si>
  <si>
    <t>straddle_20nov_170_mid_pct_spot</t>
  </si>
  <si>
    <t>mid of a 12.0-15.0 market (170 put quoted 8.85/12.30); TOTAL 70-day move, not the print</t>
  </si>
  <si>
    <t>straddle_20nov_model_atm_pct_spot</t>
  </si>
  <si>
    <t>smile-model ATM straddle at the forward</t>
  </si>
  <si>
    <t>straddle_20nov_0p85_rule_pct</t>
  </si>
  <si>
    <t>rule-of-thumb applied to a 70-day straddle: upper bound only, NOT the print move</t>
  </si>
  <si>
    <t>straddle_16oct_170_mid_pct_spot</t>
  </si>
  <si>
    <t>pre-print 35-day straddle</t>
  </si>
  <si>
    <t>atm_iv_16oct_pct</t>
  </si>
  <si>
    <t>own Black-76 IV from mids, smile at forward</t>
  </si>
  <si>
    <t>atm_iv_20nov_pct</t>
  </si>
  <si>
    <t>own</t>
  </si>
  <si>
    <t>atm_iv_12m_pct</t>
  </si>
  <si>
    <t>variance-interpolated Jun27/Dec27</t>
  </si>
  <si>
    <t>event_sd_pair_16oct_20nov_pct</t>
  </si>
  <si>
    <t>E = T_post (sig_post^2 - sig_pre^2); flat background; +/-1 vol pt on either leg gives 8.4..11.2</t>
  </si>
  <si>
    <t>event_sd_ls_one_print_pct</t>
  </si>
  <si>
    <t>5 maturities, LOO 7.97..10.13</t>
  </si>
  <si>
    <t>event_sd_ls_all_sloped_bg_pct</t>
  </si>
  <si>
    <t>11 maturities, 5 prints, background allowed to slope</t>
  </si>
  <si>
    <t>event_sd_two_post_pct</t>
  </si>
  <si>
    <t>20 Nov vs 18 Dec, both contain the print</t>
  </si>
  <si>
    <t>event_sd_central_pct</t>
  </si>
  <si>
    <t>9.5 (range 8.5-10.5; identified specs 8.3-11.0)</t>
  </si>
  <si>
    <t>about 0.7 pt of sd per vol pt of either leg; smile fit RMSE 0.5-0.7 pt</t>
  </si>
  <si>
    <t>event_exp_abs_move_central_pct</t>
  </si>
  <si>
    <t>7.6 (range 6.8-8.4)</t>
  </si>
  <si>
    <t>event_sd_4sep_bbg_chain_pair_pct</t>
  </si>
  <si>
    <t>same method on the 4 Sep Bloomberg chain; within noise of the 11 Sep reading</t>
  </si>
  <si>
    <t>hist_mean_implied_sd_iv_crush_pct</t>
  </si>
  <si>
    <t>Bloomberg 30D ATM IV, print close vs reaction close, 23 prints; upper-bound style measure</t>
  </si>
  <si>
    <t>hist_mean_implied_sd_kink45_pct</t>
  </si>
  <si>
    <t>Bloomberg 30D vs 60D IV 45 days before each print</t>
  </si>
  <si>
    <t>hist_realised_raw_rms_pct</t>
  </si>
  <si>
    <t>raw close-to-close, 20_executable_returns entry_postclose_px / pre_close</t>
  </si>
  <si>
    <t>hist_realised_raw_mean_abs_pct</t>
  </si>
  <si>
    <t>same</t>
  </si>
  <si>
    <t>hist_realised_raw_median_abs_pct</t>
  </si>
  <si>
    <t>hist_realised_raw_share_abs_ge_7pct</t>
  </si>
  <si>
    <t>hist_realised_raw_share_abs_ge_10pct</t>
  </si>
  <si>
    <t>hist_realised_raw_up_down</t>
  </si>
  <si>
    <t>13 up / 10 down</t>
  </si>
  <si>
    <t>hist_realised_raw_rms_over_implied_crush</t>
  </si>
  <si>
    <t>8.92 / 10.47</t>
  </si>
  <si>
    <t>hist_realised_excess_rms_pct</t>
  </si>
  <si>
    <t>QQQ-excess close-to-close (legacy_1d_pct); the series earlier notes used</t>
  </si>
  <si>
    <t>hist_realised_excess_mean_abs_pct</t>
  </si>
  <si>
    <t>hist_realised_excess_median_abs_pct</t>
  </si>
  <si>
    <t>hist_realised_excess_up_down</t>
  </si>
  <si>
    <t>11 up / 12 down</t>
  </si>
  <si>
    <t>hist_realised_excess_rms_over_implied_crush</t>
  </si>
  <si>
    <t>8.48 / 10.47</t>
  </si>
  <si>
    <t>nights_accel_split_raw</t>
  </si>
  <si>
    <t>6 up / 2 down accel; 3 up / 8 down decel</t>
  </si>
  <si>
    <t>threshold 0, n 8 / 11; base rate not model</t>
  </si>
  <si>
    <t>nights_accel_split_excess</t>
  </si>
  <si>
    <t>6 up / 2 down accel; 1 up / 10 down decel</t>
  </si>
  <si>
    <t>1Q25 and 1Q26 flip sign once QQQ is subtracted; C's +/-0.25pt dead band moves 1Q22 and 3Q24 to flat</t>
  </si>
  <si>
    <t>rr25_20nov_volpts</t>
  </si>
  <si>
    <t>25d call IV minus 25d put IV; negative = puts richer</t>
  </si>
  <si>
    <t>skew_90_110_20nov_volpts</t>
  </si>
  <si>
    <t>own method, 70d; cross-method vs BBG 30D history (median 4.4) is approximate, own method reads ~1 pt below BBG</t>
  </si>
  <si>
    <t>call10_over_put10_20nov_relative_to_flat</t>
  </si>
  <si>
    <t>market call/put ratio is 15.5% below the flat-smile ratio, i.e. the put is 1/0.845 = 1.18x richer relative to the call than under a flat smile</t>
  </si>
  <si>
    <t>p_above_spot_20nov_rnd</t>
  </si>
  <si>
    <t>risk-neutral</t>
  </si>
  <si>
    <t>p12m_lognormal_p10</t>
  </si>
  <si>
    <t>HEADLINE 12M distribution: lognormal, ATM IV 39.5%, forward 177.1, risk-neutral</t>
  </si>
  <si>
    <t>p12m_lognormal_p25</t>
  </si>
  <si>
    <t>p12m_lognormal_p50</t>
  </si>
  <si>
    <t>below spot mechanically: RN drift = carry less half the variance</t>
  </si>
  <si>
    <t>p12m_lognormal_p75</t>
  </si>
  <si>
    <t>p12m_lognormal_p90</t>
  </si>
  <si>
    <t>p12m_skew_rnd_p25</t>
  </si>
  <si>
    <t>sensitivity: skew-adjusted RND; mean 0.8% below forward from clipping</t>
  </si>
  <si>
    <t>p12m_skew_rnd_p50</t>
  </si>
  <si>
    <t>sensitivity</t>
  </si>
  <si>
    <t>p12m_skew_rnd_p75</t>
  </si>
  <si>
    <t>p12m_skew_rnd_p10_p90</t>
  </si>
  <si>
    <t>94.4 / 264.1</t>
  </si>
  <si>
    <t>extrapolated beyond quoted strikes; do not quote</t>
  </si>
  <si>
    <t>p12m_above_179p5</t>
  </si>
  <si>
    <t>0.41-0.43</t>
  </si>
  <si>
    <t>mean target; lognormal-skew RND range; risk-neutral</t>
  </si>
  <si>
    <t>p12m_above_220</t>
  </si>
  <si>
    <t>0.23-0.24</t>
  </si>
  <si>
    <t>top target</t>
  </si>
  <si>
    <t>p12m_below_150</t>
  </si>
  <si>
    <t>0.40-0.41</t>
  </si>
  <si>
    <t>p12m_below_125</t>
  </si>
  <si>
    <t>0.25-0.26</t>
  </si>
  <si>
    <t>MS target</t>
  </si>
  <si>
    <t>bbg_monthly_straddles_print_months_implied_vs_realised</t>
  </si>
  <si>
    <t>11.77 vs 13.3</t>
  </si>
  <si>
    <t>23 print months, 30-day straddles, realised to expiry not day 1</t>
  </si>
  <si>
    <t>bbg_monthly_straddles_nonprint_implied_vs_realised</t>
  </si>
  <si>
    <t>9.75 vs 9.45</t>
  </si>
  <si>
    <t>42 non-print months</t>
  </si>
  <si>
    <t>12-month price distribution (risk-neutral)</t>
  </si>
  <si>
    <t>method</t>
  </si>
  <si>
    <t>p05</t>
  </si>
  <si>
    <t>p10</t>
  </si>
  <si>
    <t>p50</t>
  </si>
  <si>
    <t>p90</t>
  </si>
  <si>
    <t>p95</t>
  </si>
  <si>
    <t>atm_iv_pct</t>
  </si>
  <si>
    <t>forward</t>
  </si>
  <si>
    <t>lognormal_atm_iv_12m_interp</t>
  </si>
  <si>
    <t>lognormal_atm_iv_sep27_direct</t>
  </si>
  <si>
    <t>two_sided_lognormal_10pct_wings</t>
  </si>
  <si>
    <t>skew_adjusted_rnd_smile_interp</t>
  </si>
  <si>
    <t>Skew by expiry</t>
  </si>
  <si>
    <t>expiry</t>
  </si>
  <si>
    <t>days</t>
  </si>
  <si>
    <t>F</t>
  </si>
  <si>
    <t>rr25_call_minus_put_volpts</t>
  </si>
  <si>
    <t>skew_90_110_volpts</t>
  </si>
  <si>
    <t>call10_over_put10_model</t>
  </si>
  <si>
    <t>call10_over_put10_flat_smile_benchmark</t>
  </si>
  <si>
    <t>p_above_spot_rnd</t>
  </si>
  <si>
    <t>2026-10-16</t>
  </si>
  <si>
    <t>2026-12-18</t>
  </si>
  <si>
    <t>2027-03-19</t>
  </si>
  <si>
    <t>2027-06-17</t>
  </si>
  <si>
    <t>2027-09-17</t>
  </si>
  <si>
    <t>2027-12-17</t>
  </si>
  <si>
    <t>2028-01-21</t>
  </si>
  <si>
    <t>Print-day base rates (close before the print to close after; 23 prints 4Q20-2Q26)</t>
  </si>
  <si>
    <t>sample</t>
  </si>
  <si>
    <t>series</t>
  </si>
  <si>
    <t>n</t>
  </si>
  <si>
    <t>mean_abs_pct</t>
  </si>
  <si>
    <t>median_abs_pct</t>
  </si>
  <si>
    <t>rms_pct</t>
  </si>
  <si>
    <t>mean_signed_pct</t>
  </si>
  <si>
    <t>share_abs_ge_7pct</t>
  </si>
  <si>
    <t>n_up</t>
  </si>
  <si>
    <t>n_down</t>
  </si>
  <si>
    <t>mean_up_pct</t>
  </si>
  <si>
    <t>mean_down_pct</t>
  </si>
  <si>
    <t>mean_abs_gap_pct</t>
  </si>
  <si>
    <t>mean_abs_open_to_close_pct</t>
  </si>
  <si>
    <t>all_23_prints</t>
  </si>
  <si>
    <t>raw</t>
  </si>
  <si>
    <t>excess</t>
  </si>
  <si>
    <t>last_8_prints</t>
  </si>
  <si>
    <t>last_12_prints</t>
  </si>
  <si>
    <t>prints_since_2024</t>
  </si>
  <si>
    <t>Q3_prints_only_(Nov)</t>
  </si>
  <si>
    <t>revenue_beat_above_median_(2.21pct)</t>
  </si>
  <si>
    <t>revenue_beat_below_median</t>
  </si>
  <si>
    <t>nights_accelerated_yoy_in_reported_q_(gt_0)</t>
  </si>
  <si>
    <t>nights_decelerated_yoy_in_reported_q_(le_0)</t>
  </si>
  <si>
    <t>nights_accel_gt_0.25pt_(C_dead_band)</t>
  </si>
  <si>
    <t>nights_flat_within_0.25pt_(C_dead_band)</t>
  </si>
  <si>
    <t>nights_decel_lt_-0.25pt_(C_dead_band)</t>
  </si>
  <si>
    <t>next_q_rev_guide_above_street</t>
  </si>
  <si>
    <t>next_q_rev_guide_below_street</t>
  </si>
  <si>
    <t>nights_beat</t>
  </si>
  <si>
    <t>nights_miss_or_inline</t>
  </si>
  <si>
    <t>What is priced, by whom (FY27E, on the FY26 Delivered base; nights at ADR +3%, FX -0.6pp, take rate flat)</t>
  </si>
  <si>
    <t>Who / what</t>
  </si>
  <si>
    <t>FY27 revenue growth (%)</t>
  </si>
  <si>
    <t>FY27 nights growth (%)</t>
  </si>
  <si>
    <t>Implied EV / FY27 EBITDA (x)</t>
  </si>
  <si>
    <t>Expected 5 Nov day-1 reaction, S1 sign rule, conditional (%)</t>
  </si>
  <si>
    <t>Source</t>
  </si>
  <si>
    <t>Market: current price (joint solve, proportional mapping)</t>
  </si>
  <si>
    <t>A</t>
  </si>
  <si>
    <t>Market: current price (joint solve, chained mapping)</t>
  </si>
  <si>
    <t>Market: current price (fixed 16.5x)</t>
  </si>
  <si>
    <t>A fallback</t>
  </si>
  <si>
    <t>Options: 12M p25 (joint solve)</t>
  </si>
  <si>
    <t>B + A</t>
  </si>
  <si>
    <t>Options: 12M p50 (joint solve)</t>
  </si>
  <si>
    <t>Options: 12M p75 (joint solve)</t>
  </si>
  <si>
    <t>Sell-side: p25 target $165 (joint solve)</t>
  </si>
  <si>
    <t>D + A</t>
  </si>
  <si>
    <t>Sell-side: mean target $179.5 (joint solve)</t>
  </si>
  <si>
    <t>Sell-side: p75 target $197.5 (joint solve)</t>
  </si>
  <si>
    <t>Sell-side: top target $220 (joint solve)</t>
  </si>
  <si>
    <t>management note / WS29 / A</t>
  </si>
  <si>
    <t>Excel (recalculated) vs Python mirror; max abs diff:</t>
  </si>
  <si>
    <t>sheet</t>
  </si>
  <si>
    <t>key</t>
  </si>
  <si>
    <t>excel</t>
  </si>
  <si>
    <t>python</t>
  </si>
  <si>
    <t>diff</t>
  </si>
  <si>
    <t>Market_Implied</t>
  </si>
  <si>
    <t>125.5:g_ntm</t>
  </si>
  <si>
    <t>125.5:m_ntm</t>
  </si>
  <si>
    <t>125.5:g27_prop</t>
  </si>
  <si>
    <t>125.5:g27_direct</t>
  </si>
  <si>
    <t>125.5:rev27</t>
  </si>
  <si>
    <t>125.5:ebitda27</t>
  </si>
  <si>
    <t>125.5:eps27</t>
  </si>
  <si>
    <t>125.5:ev_fy27_ebitda</t>
  </si>
  <si>
    <t>125.5:nights27_prop</t>
  </si>
  <si>
    <t>125.5:nights27_direct</t>
  </si>
  <si>
    <t>125.5:g27_fixed</t>
  </si>
  <si>
    <t>125.5:nights27_fixed</t>
  </si>
  <si>
    <t>150.0:g_ntm</t>
  </si>
  <si>
    <t>150.0:m_ntm</t>
  </si>
  <si>
    <t>150.0:g27_prop</t>
  </si>
  <si>
    <t>150.0:g27_direct</t>
  </si>
  <si>
    <t>150.0:rev27</t>
  </si>
  <si>
    <t>150.0:ebitda27</t>
  </si>
  <si>
    <t>150.0:eps27</t>
  </si>
  <si>
    <t>150.0:ev_fy27_ebitda</t>
  </si>
  <si>
    <t>150.0:nights27_prop</t>
  </si>
  <si>
    <t>150.0:nights27_direct</t>
  </si>
  <si>
    <t>150.0:g27_fixed</t>
  </si>
  <si>
    <t>150.0:nights27_fixed</t>
  </si>
  <si>
    <t>163.8:g_ntm</t>
  </si>
  <si>
    <t>163.8:m_ntm</t>
  </si>
  <si>
    <t>163.8:g27_prop</t>
  </si>
  <si>
    <t>163.8:g27_direct</t>
  </si>
  <si>
    <t>163.8:rev27</t>
  </si>
  <si>
    <t>163.8:ebitda27</t>
  </si>
  <si>
    <t>163.8:eps27</t>
  </si>
  <si>
    <t>163.8:ev_fy27_ebitda</t>
  </si>
  <si>
    <t>163.8:nights27_prop</t>
  </si>
  <si>
    <t>163.8:nights27_direct</t>
  </si>
  <si>
    <t>163.8:g27_fixed</t>
  </si>
  <si>
    <t>163.8:nights27_fixed</t>
  </si>
  <si>
    <t>165.0:g_ntm</t>
  </si>
  <si>
    <t>165.0:m_ntm</t>
  </si>
  <si>
    <t>165.0:g27_prop</t>
  </si>
  <si>
    <t>165.0:g27_direct</t>
  </si>
  <si>
    <t>165.0:rev27</t>
  </si>
  <si>
    <t>165.0:ebitda27</t>
  </si>
  <si>
    <t>165.0:eps27</t>
  </si>
  <si>
    <t>165.0:ev_fy27_ebitda</t>
  </si>
  <si>
    <t>165.0:nights27_prop</t>
  </si>
  <si>
    <t>165.0:nights27_direct</t>
  </si>
  <si>
    <t>165.0:g27_fixed</t>
  </si>
  <si>
    <t>165.0:nights27_fixed</t>
  </si>
  <si>
    <t>170.19:g_ntm</t>
  </si>
  <si>
    <t>170.19:m_ntm</t>
  </si>
  <si>
    <t>170.19:g27_prop</t>
  </si>
  <si>
    <t>170.19:g27_direct</t>
  </si>
  <si>
    <t>170.19:rev27</t>
  </si>
  <si>
    <t>170.19:ebitda27</t>
  </si>
  <si>
    <t>170.19:eps27</t>
  </si>
  <si>
    <t>170.19:ev_fy27_ebitda</t>
  </si>
  <si>
    <t>170.19:nights27_prop</t>
  </si>
  <si>
    <t>170.19:nights27_direct</t>
  </si>
  <si>
    <t>170.19:g27_fixed</t>
  </si>
  <si>
    <t>170.19:nights27_fixed</t>
  </si>
  <si>
    <t>179.5:g_ntm</t>
  </si>
  <si>
    <t>179.5:m_ntm</t>
  </si>
  <si>
    <t>179.5:g27_prop</t>
  </si>
  <si>
    <t>179.5:g27_direct</t>
  </si>
  <si>
    <t>179.5:rev27</t>
  </si>
  <si>
    <t>179.5:ebitda27</t>
  </si>
  <si>
    <t>179.5:eps27</t>
  </si>
  <si>
    <t>179.5:ev_fy27_ebitda</t>
  </si>
  <si>
    <t>179.5:nights27_prop</t>
  </si>
  <si>
    <t>179.5:nights27_direct</t>
  </si>
  <si>
    <t>179.5:g27_fixed</t>
  </si>
  <si>
    <t>179.5:nights27_fixed</t>
  </si>
  <si>
    <t>185.0:g_ntm</t>
  </si>
  <si>
    <t>185.0:m_ntm</t>
  </si>
  <si>
    <t>185.0:g27_prop</t>
  </si>
  <si>
    <t>185.0:g27_direct</t>
  </si>
  <si>
    <t>185.0:rev27</t>
  </si>
  <si>
    <t>185.0:ebitda27</t>
  </si>
  <si>
    <t>185.0:eps27</t>
  </si>
  <si>
    <t>185.0:ev_fy27_ebitda</t>
  </si>
  <si>
    <t>185.0:nights27_prop</t>
  </si>
  <si>
    <t>185.0:nights27_direct</t>
  </si>
  <si>
    <t>185.0:g27_fixed</t>
  </si>
  <si>
    <t>185.0:nights27_fixed</t>
  </si>
  <si>
    <t>197.5:g_ntm</t>
  </si>
  <si>
    <t>197.5:m_ntm</t>
  </si>
  <si>
    <t>197.5:g27_prop</t>
  </si>
  <si>
    <t>197.5:g27_direct</t>
  </si>
  <si>
    <t>197.5:rev27</t>
  </si>
  <si>
    <t>197.5:ebitda27</t>
  </si>
  <si>
    <t>197.5:eps27</t>
  </si>
  <si>
    <t>197.5:ev_fy27_ebitda</t>
  </si>
  <si>
    <t>197.5:nights27_prop</t>
  </si>
  <si>
    <t>197.5:nights27_direct</t>
  </si>
  <si>
    <t>197.5:g27_fixed</t>
  </si>
  <si>
    <t>197.5:nights27_fixed</t>
  </si>
  <si>
    <t>213.9:g_ntm</t>
  </si>
  <si>
    <t>213.9:m_ntm</t>
  </si>
  <si>
    <t>213.9:g27_prop</t>
  </si>
  <si>
    <t>213.9:g27_direct</t>
  </si>
  <si>
    <t>213.9:rev27</t>
  </si>
  <si>
    <t>213.9:ebitda27</t>
  </si>
  <si>
    <t>213.9:eps27</t>
  </si>
  <si>
    <t>213.9:ev_fy27_ebitda</t>
  </si>
  <si>
    <t>213.9:nights27_prop</t>
  </si>
  <si>
    <t>213.9:nights27_direct</t>
  </si>
  <si>
    <t>213.9:g27_fixed</t>
  </si>
  <si>
    <t>213.9:nights27_fixed</t>
  </si>
  <si>
    <t>220.0:g_ntm</t>
  </si>
  <si>
    <t>220.0:m_ntm</t>
  </si>
  <si>
    <t>220.0:g27_prop</t>
  </si>
  <si>
    <t>220.0:g27_direct</t>
  </si>
  <si>
    <t>220.0:rev27</t>
  </si>
  <si>
    <t>220.0:ebitda27</t>
  </si>
  <si>
    <t>220.0:eps27</t>
  </si>
  <si>
    <t>220.0:ev_fy27_ebitda</t>
  </si>
  <si>
    <t>220.0:nights27_prop</t>
  </si>
  <si>
    <t>220.0:nights27_direct</t>
  </si>
  <si>
    <t>220.0:g27_fixed</t>
  </si>
  <si>
    <t>220.0:nights27_fixed</t>
  </si>
  <si>
    <t>Cases</t>
  </si>
  <si>
    <t>Management literal:price_joint</t>
  </si>
  <si>
    <t>Management literal:price_fixed_16_5</t>
  </si>
  <si>
    <t>Management literal:price_fixed_own_ebitda</t>
  </si>
  <si>
    <t>Management literal:nights27</t>
  </si>
  <si>
    <t>Management delivered:price_joint</t>
  </si>
  <si>
    <t>Management delivered:price_fixed_16_5</t>
  </si>
  <si>
    <t>Management delivered:price_fixed_own_ebitda</t>
  </si>
  <si>
    <t>Management delivered:nights27</t>
  </si>
  <si>
    <t>Management ambition:price_joint</t>
  </si>
  <si>
    <t>Management ambition:price_fixed_16_5</t>
  </si>
  <si>
    <t>Management ambition:price_fixed_own_ebitda</t>
  </si>
  <si>
    <t>Management ambition:nights27</t>
  </si>
  <si>
    <t>Street FY27 $15,745m:price_joint</t>
  </si>
  <si>
    <t>Street FY27 $15,745m:price_fixed_16_5</t>
  </si>
  <si>
    <t>Street FY27 $15,745m:price_fixed_own_ebitda</t>
  </si>
  <si>
    <t>Street FY27 $15,745m:nights27</t>
  </si>
  <si>
    <t>Team base (WS29/30) $15,804m:price_joint</t>
  </si>
  <si>
    <t>Team base (WS29/30) $15,804m:price_fixed_16_5</t>
  </si>
  <si>
    <t>Team base (WS29/30) $15,804m:price_fixed_own_ebitda</t>
  </si>
  <si>
    <t>Team base (WS29/30) $15,804m:nights27</t>
  </si>
  <si>
    <t>Team bear (WS29) $14,318m:price_joint</t>
  </si>
  <si>
    <t>Team bear (WS29) $14,318m:price_fixed_16_5</t>
  </si>
  <si>
    <t>Team bear (WS29) $14,318m:price_fixed_own_ebitda</t>
  </si>
  <si>
    <t>Team bear (WS29) $14,318m:nights27</t>
  </si>
  <si>
    <t>Team bull (WS29) $16,910m:price_joint</t>
  </si>
  <si>
    <t>Team bull (WS29) $16,910m:price_fixed_16_5</t>
  </si>
  <si>
    <t>Team bull (WS29) $16,910m:price_fixed_own_ebitda</t>
  </si>
  <si>
    <t>Team bull (WS29) $16,910m:nights27</t>
  </si>
  <si>
    <t>Print_5Nov</t>
  </si>
  <si>
    <t>Team base (WS29/30):E_S2_ex_reopening</t>
  </si>
  <si>
    <t>Team base (WS29/30):E_S1_post2022</t>
  </si>
  <si>
    <t>Team base (WS29/30):E_S2_post2022</t>
  </si>
  <si>
    <t>Team base, ex-NA lap adopted:E_S2_ex_reopening</t>
  </si>
  <si>
    <t>Team base, ex-NA lap adopted:E_S1_post2022</t>
  </si>
  <si>
    <t>Team base, ex-NA lap adopted:E_S2_post2022</t>
  </si>
  <si>
    <t>Q3 nowcast central (reviews index), 4Q26 at team revenue:E_S2_ex_reopening</t>
  </si>
  <si>
    <t>Q3 nowcast central (reviews index), 4Q26 at team revenue:E_S1_post2022</t>
  </si>
  <si>
    <t>Q3 nowcast central (reviews index), 4Q26 at team revenue:E_S2_post2022</t>
  </si>
  <si>
    <t>Street (Bloomberg FA 4 Sep):E_S2_ex_reopening</t>
  </si>
  <si>
    <t>Street (Bloomberg FA 4 Sep):E_S1_post2022</t>
  </si>
  <si>
    <t>Street (Bloomberg FA 4 Sep):E_S2_post2022</t>
  </si>
  <si>
    <t>Management delivered:E_S2_ex_reopening</t>
  </si>
  <si>
    <t>Management delivered:E_S1_post2022</t>
  </si>
  <si>
    <t>Management delivered:E_S2_post2022</t>
  </si>
  <si>
    <t>Flat print: 3Q26 = 2Q26 rate, guide at Street:E_S2_ex_reopening</t>
  </si>
  <si>
    <t>Flat print: 3Q26 = 2Q26 rate, guide at Street:E_S1_post2022</t>
  </si>
  <si>
    <t>Flat print: 3Q26 = 2Q26 rate, guide at Street:E_S2_post2022</t>
  </si>
  <si>
    <t>Accelerating print, guide 2% below Street:E_S2_ex_reopening</t>
  </si>
  <si>
    <t>Accelerating print, guide 2% below Street:E_S1_post2022</t>
  </si>
  <si>
    <t>Accelerating print, guide 2% below Street:E_S2_post2022</t>
  </si>
  <si>
    <t>Decelerating print, guide 3% above Street:E_S2_ex_reopening</t>
  </si>
  <si>
    <t>Decelerating print, guide 3% above Street:E_S1_post2022</t>
  </si>
  <si>
    <t>Decelerating print, guide 3% above Street:E_S2_post2022</t>
  </si>
  <si>
    <t>2Q26 replay: accelerating print, guide +2.6% vs Street:E_S2_ex_reopening</t>
  </si>
  <si>
    <t>2Q26 replay: accelerating print, guide +2.6% vs Street:E_S1_post2022</t>
  </si>
  <si>
    <t>2Q26 replay: accelerating print, guide +2.6% vs Street:E_S2_post2022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</si>
</sst>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b/>
      <sz val="11"/>
      <name val="Calibri"/>
    </font>
    <font>
      <i/>
      <sz val="11"/>
      <color rgb="FF808080"/>
      <name val="Calibri"/>
    </font>
    <font>
      <sz val="11"/>
      <color rgb="FF0000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0" fillId="3" borderId="0" xfId="0" applyFill="1"/>
    <xf numFmtId="0" fontId="4" fillId="0" borderId="0" xfId="0" applyFont="1"/>
    <xf numFmtId="3" fontId="0" fillId="0" borderId="0" xfId="0" applyNumberFormat="1"/>
    <xf numFmtId="164" fontId="0" fillId="0" borderId="0" xfId="0" applyNumberFormat="1"/>
    <xf numFmtId="164" fontId="5" fillId="0" borderId="0" xfId="0" applyNumberFormat="1" applyFont="1"/>
    <xf numFmtId="2" fontId="0" fillId="0" borderId="0" xfId="0" applyNumberFormat="1"/>
    <xf numFmtId="2" fontId="5" fillId="0" borderId="0" xfId="0" applyNumberFormat="1" applyFont="1"/>
    <xf numFmtId="164" fontId="0" fillId="3" borderId="0" xfId="0" applyNumberFormat="1" applyFill="1"/>
    <xf numFmtId="3" fontId="0" fillId="3" borderId="0" xfId="0" applyNumberFormat="1" applyFill="1"/>
    <xf numFmtId="0" fontId="3" fillId="0" borderId="0" xfId="0" applyFont="1"/>
    <xf numFmtId="3" fontId="5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4.4" x14ac:dyDescent="0.3"/>
  <cols>
    <col min="1" max="1" width="170" customWidth="1"/>
  </cols>
  <sheetData>
    <row r="1" spans="1:1" ht="18" customHeight="1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defaultRowHeight="14.4" x14ac:dyDescent="0.3"/>
  <cols>
    <col min="1" max="1" width="70" customWidth="1"/>
    <col min="2" max="2" width="14" customWidth="1"/>
    <col min="3" max="3" width="120" customWidth="1"/>
  </cols>
  <sheetData>
    <row r="1" spans="1:3" ht="17.399999999999999" customHeight="1" x14ac:dyDescent="0.35">
      <c r="A1" s="2" t="s">
        <v>12</v>
      </c>
    </row>
    <row r="3" spans="1:3" x14ac:dyDescent="0.3">
      <c r="A3" s="3" t="s">
        <v>13</v>
      </c>
      <c r="B3" s="3" t="s">
        <v>14</v>
      </c>
      <c r="C3" s="3" t="s">
        <v>15</v>
      </c>
    </row>
    <row r="4" spans="1:3" x14ac:dyDescent="0.3">
      <c r="A4" t="s">
        <v>16</v>
      </c>
      <c r="B4" s="4">
        <v>170.19</v>
      </c>
      <c r="C4" s="5" t="s">
        <v>17</v>
      </c>
    </row>
    <row r="5" spans="1:3" x14ac:dyDescent="0.3">
      <c r="A5" t="s">
        <v>18</v>
      </c>
      <c r="B5" s="4">
        <v>597</v>
      </c>
      <c r="C5" s="5" t="s">
        <v>19</v>
      </c>
    </row>
    <row r="6" spans="1:3" x14ac:dyDescent="0.3">
      <c r="A6" t="s">
        <v>20</v>
      </c>
      <c r="B6" s="4">
        <v>9593</v>
      </c>
      <c r="C6" s="5" t="s">
        <v>21</v>
      </c>
    </row>
    <row r="7" spans="1:3" x14ac:dyDescent="0.3">
      <c r="A7" t="s">
        <v>22</v>
      </c>
      <c r="B7" s="4">
        <v>13159</v>
      </c>
      <c r="C7" s="5" t="s">
        <v>23</v>
      </c>
    </row>
    <row r="8" spans="1:3" x14ac:dyDescent="0.3">
      <c r="A8" t="s">
        <v>24</v>
      </c>
      <c r="B8" s="4">
        <v>35.086252754768601</v>
      </c>
      <c r="C8" s="5" t="s">
        <v>25</v>
      </c>
    </row>
    <row r="9" spans="1:3" x14ac:dyDescent="0.3">
      <c r="A9" t="s">
        <v>26</v>
      </c>
      <c r="B9" s="4">
        <v>14231.303</v>
      </c>
      <c r="C9" s="5" t="s">
        <v>27</v>
      </c>
    </row>
    <row r="10" spans="1:3" x14ac:dyDescent="0.3">
      <c r="A10" t="s">
        <v>28</v>
      </c>
      <c r="B10" s="4">
        <v>36.200000000000003</v>
      </c>
      <c r="C10" s="5" t="s">
        <v>29</v>
      </c>
    </row>
    <row r="11" spans="1:3" x14ac:dyDescent="0.3">
      <c r="A11" t="s">
        <v>30</v>
      </c>
      <c r="B11" s="4">
        <v>12.532999999999999</v>
      </c>
      <c r="C11" s="5" t="s">
        <v>31</v>
      </c>
    </row>
    <row r="12" spans="1:3" x14ac:dyDescent="0.3">
      <c r="A12" t="s">
        <v>32</v>
      </c>
      <c r="B12" s="4">
        <v>0.39550000000000002</v>
      </c>
      <c r="C12" s="5" t="s">
        <v>33</v>
      </c>
    </row>
    <row r="13" spans="1:3" x14ac:dyDescent="0.3">
      <c r="A13" t="s">
        <v>34</v>
      </c>
      <c r="B13" s="4">
        <v>14.428000000000001</v>
      </c>
      <c r="C13" s="5" t="s">
        <v>35</v>
      </c>
    </row>
    <row r="14" spans="1:3" x14ac:dyDescent="0.3">
      <c r="A14" t="s">
        <v>36</v>
      </c>
      <c r="B14" s="4">
        <v>0.26619999999999999</v>
      </c>
      <c r="C14" s="5"/>
    </row>
    <row r="15" spans="1:3" x14ac:dyDescent="0.3">
      <c r="A15" t="s">
        <v>37</v>
      </c>
      <c r="B15" s="4">
        <v>10.638999999999999</v>
      </c>
      <c r="C15" s="5"/>
    </row>
    <row r="16" spans="1:3" x14ac:dyDescent="0.3">
      <c r="A16" t="s">
        <v>38</v>
      </c>
      <c r="B16" s="4">
        <v>0.52480000000000004</v>
      </c>
      <c r="C16" s="5"/>
    </row>
    <row r="17" spans="1:3" x14ac:dyDescent="0.3">
      <c r="A17" t="s">
        <v>39</v>
      </c>
      <c r="B17" s="4">
        <v>1.421000017521703</v>
      </c>
      <c r="C17" s="5" t="s">
        <v>40</v>
      </c>
    </row>
    <row r="18" spans="1:3" x14ac:dyDescent="0.3">
      <c r="A18" t="s">
        <v>41</v>
      </c>
      <c r="B18" s="4">
        <v>3</v>
      </c>
      <c r="C18" s="5" t="s">
        <v>42</v>
      </c>
    </row>
    <row r="19" spans="1:3" x14ac:dyDescent="0.3">
      <c r="A19" t="s">
        <v>43</v>
      </c>
      <c r="B19" s="4">
        <v>-0.6</v>
      </c>
      <c r="C19" s="5" t="s">
        <v>44</v>
      </c>
    </row>
    <row r="20" spans="1:3" x14ac:dyDescent="0.3">
      <c r="A20" t="s">
        <v>45</v>
      </c>
      <c r="B20" s="4">
        <v>0</v>
      </c>
      <c r="C20" s="5" t="s">
        <v>46</v>
      </c>
    </row>
    <row r="21" spans="1:3" x14ac:dyDescent="0.3">
      <c r="A21" t="s">
        <v>47</v>
      </c>
      <c r="B21" s="4">
        <v>16.5</v>
      </c>
      <c r="C21" s="5" t="s">
        <v>48</v>
      </c>
    </row>
    <row r="22" spans="1:3" x14ac:dyDescent="0.3">
      <c r="A22" t="s">
        <v>49</v>
      </c>
      <c r="B22" s="4">
        <v>1935.731</v>
      </c>
      <c r="C22" s="5" t="s">
        <v>50</v>
      </c>
    </row>
    <row r="23" spans="1:3" x14ac:dyDescent="0.3">
      <c r="A23" t="s">
        <v>51</v>
      </c>
      <c r="B23" s="4">
        <v>0.65</v>
      </c>
      <c r="C23" s="5" t="s">
        <v>52</v>
      </c>
    </row>
    <row r="24" spans="1:3" x14ac:dyDescent="0.3">
      <c r="A24" t="s">
        <v>53</v>
      </c>
      <c r="B24" s="4">
        <v>516</v>
      </c>
      <c r="C24" s="5" t="s">
        <v>54</v>
      </c>
    </row>
    <row r="25" spans="1:3" x14ac:dyDescent="0.3">
      <c r="A25" t="s">
        <v>55</v>
      </c>
      <c r="B25" s="4">
        <v>18</v>
      </c>
      <c r="C25" s="5" t="s">
        <v>56</v>
      </c>
    </row>
    <row r="26" spans="1:3" x14ac:dyDescent="0.3">
      <c r="A26" t="s">
        <v>57</v>
      </c>
      <c r="B26" s="4">
        <v>577.05100000000004</v>
      </c>
      <c r="C26" s="5" t="s">
        <v>58</v>
      </c>
    </row>
    <row r="27" spans="1:3" x14ac:dyDescent="0.3">
      <c r="A27" t="s">
        <v>59</v>
      </c>
      <c r="B27" s="4">
        <v>3154</v>
      </c>
      <c r="C27" s="5" t="s">
        <v>60</v>
      </c>
    </row>
    <row r="28" spans="1:3" x14ac:dyDescent="0.3">
      <c r="A28" t="s">
        <v>61</v>
      </c>
      <c r="B28" s="4">
        <v>10.6</v>
      </c>
      <c r="C28" s="5" t="s">
        <v>62</v>
      </c>
    </row>
    <row r="29" spans="1:3" x14ac:dyDescent="0.3">
      <c r="A29" t="s">
        <v>63</v>
      </c>
      <c r="B29" s="4">
        <v>10.1</v>
      </c>
      <c r="C29" s="5" t="s">
        <v>64</v>
      </c>
    </row>
    <row r="30" spans="1:3" x14ac:dyDescent="0.3">
      <c r="A30" t="s">
        <v>65</v>
      </c>
      <c r="B30" s="4">
        <v>-1.8660000000000001</v>
      </c>
      <c r="C30" s="5" t="s">
        <v>66</v>
      </c>
    </row>
    <row r="31" spans="1:3" x14ac:dyDescent="0.3">
      <c r="A31" t="s">
        <v>67</v>
      </c>
      <c r="B31" s="4">
        <v>3.859</v>
      </c>
      <c r="C31" s="5"/>
    </row>
    <row r="32" spans="1:3" x14ac:dyDescent="0.3">
      <c r="A32" t="s">
        <v>68</v>
      </c>
      <c r="B32" s="4">
        <v>2.0596000000000001</v>
      </c>
      <c r="C32" s="5"/>
    </row>
    <row r="33" spans="1:3" x14ac:dyDescent="0.3">
      <c r="A33" t="s">
        <v>69</v>
      </c>
      <c r="B33" s="4">
        <v>-0.45200000000000001</v>
      </c>
      <c r="C33" s="5" t="s">
        <v>70</v>
      </c>
    </row>
    <row r="34" spans="1:3" x14ac:dyDescent="0.3">
      <c r="A34" t="s">
        <v>71</v>
      </c>
      <c r="B34" s="4">
        <v>5.6573000000000002</v>
      </c>
      <c r="C34" s="5"/>
    </row>
    <row r="35" spans="1:3" x14ac:dyDescent="0.3">
      <c r="A35" t="s">
        <v>72</v>
      </c>
      <c r="B35" s="4"/>
      <c r="C35" s="5" t="s">
        <v>73</v>
      </c>
    </row>
    <row r="36" spans="1:3" x14ac:dyDescent="0.3">
      <c r="A36" t="s">
        <v>74</v>
      </c>
      <c r="B36" s="4"/>
      <c r="C36" s="5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4"/>
  <sheetViews>
    <sheetView workbookViewId="0"/>
  </sheetViews>
  <sheetFormatPr defaultRowHeight="14.4" x14ac:dyDescent="0.3"/>
  <cols>
    <col min="1" max="1" width="10" customWidth="1"/>
    <col min="2" max="2" width="34" customWidth="1"/>
    <col min="3" max="22" width="14" customWidth="1"/>
  </cols>
  <sheetData>
    <row r="1" spans="1:22" ht="17.399999999999999" customHeight="1" x14ac:dyDescent="0.35">
      <c r="A1" s="2" t="s">
        <v>76</v>
      </c>
    </row>
    <row r="2" spans="1:22" x14ac:dyDescent="0.3">
      <c r="A2" s="5" t="s">
        <v>77</v>
      </c>
    </row>
    <row r="4" spans="1:22" ht="60" customHeight="1" x14ac:dyDescent="0.3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86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O4" s="3" t="s">
        <v>92</v>
      </c>
      <c r="P4" s="3" t="s">
        <v>93</v>
      </c>
      <c r="Q4" s="3" t="s">
        <v>94</v>
      </c>
      <c r="R4" s="3" t="s">
        <v>95</v>
      </c>
      <c r="S4" s="3" t="s">
        <v>96</v>
      </c>
      <c r="T4" s="3" t="s">
        <v>97</v>
      </c>
      <c r="U4" s="3" t="s">
        <v>98</v>
      </c>
      <c r="V4" s="3" t="s">
        <v>99</v>
      </c>
    </row>
    <row r="5" spans="1:22" x14ac:dyDescent="0.3">
      <c r="A5" s="4">
        <v>125.5</v>
      </c>
      <c r="B5" t="s">
        <v>100</v>
      </c>
      <c r="C5" s="6">
        <f>A5*Inputs!$B$5</f>
        <v>74923.5</v>
      </c>
      <c r="D5" s="6">
        <f>C5-Inputs!$B$6</f>
        <v>65330.5</v>
      </c>
      <c r="E5" s="7">
        <f>(-(Inputs!$B$11/100+Inputs!$B$12)+SQRT((Inputs!$B$11/100+Inputs!$B$12)^2-4*(Inputs!$B$12/100)*(Inputs!$B$11-D5/(Inputs!$B$7*Inputs!$B$8/100))))/(2*(Inputs!$B$12/100))</f>
        <v>3.0347058298089729</v>
      </c>
      <c r="F5" s="8">
        <v>-0.68030000000000002</v>
      </c>
      <c r="G5" s="8">
        <v>5.3266</v>
      </c>
      <c r="H5" s="7">
        <f>Inputs!$B$11+Inputs!$B$12*E5</f>
        <v>13.733226155689449</v>
      </c>
      <c r="I5" s="7">
        <f>E5-Inputs!$B$17</f>
        <v>1.6137058122872698</v>
      </c>
      <c r="J5" s="7">
        <f>((Inputs!$B$7*(1+E5/100)-7921)/6286-1)*100</f>
        <v>-10.319170535403066</v>
      </c>
      <c r="K5" s="6">
        <f>Inputs!$B$9*(1+I5/100)</f>
        <v>14460.954363675213</v>
      </c>
      <c r="L5" s="6">
        <f>K5*Inputs!$B$10/100</f>
        <v>5234.8654796504279</v>
      </c>
      <c r="M5" s="9">
        <f>((L5-Inputs!$B$22-Inputs!$B$23/100*K5)+Inputs!$B$24)*(1-Inputs!$B$25/100)/Inputs!$B$26</f>
        <v>5.2878053873140543</v>
      </c>
      <c r="N5" s="7">
        <f t="shared" ref="N5:N14" si="0">D5/L5</f>
        <v>12.479881336771736</v>
      </c>
      <c r="O5" s="7">
        <f>(EXP(LN(1+I5/100)-LN(1+Inputs!$B$18/100)-LN(1+Inputs!$B$19/100)-LN(1+Inputs!$B$20/100))-1)*100</f>
        <v>-0.75041920231361248</v>
      </c>
      <c r="P5" s="7">
        <f>(EXP(LN(1+J5/100)-LN(1+Inputs!$B$18/100)-LN(1+Inputs!$B$19/100)-LN(1+Inputs!$B$20/100))-1)*100</f>
        <v>-12.405667534725895</v>
      </c>
      <c r="Q5" s="7">
        <f>(D5/Inputs!$B$21/(Inputs!$B$10/100)/Inputs!$B$9-1)*100</f>
        <v>-23.143818743819534</v>
      </c>
      <c r="R5" s="7">
        <f>(EXP(LN(1+Q5/100)-LN(1+Inputs!$B$18/100)-LN(1+Inputs!$B$19/100)-LN(1+Inputs!$B$20/100))-1)*100</f>
        <v>-24.931939934577898</v>
      </c>
      <c r="S5" s="10">
        <v>0.74099999999999999</v>
      </c>
      <c r="T5" s="10">
        <v>0.95099999999999996</v>
      </c>
      <c r="U5" s="8"/>
      <c r="V5" s="8"/>
    </row>
    <row r="6" spans="1:22" x14ac:dyDescent="0.3">
      <c r="A6" s="4">
        <v>150</v>
      </c>
      <c r="B6" t="s">
        <v>101</v>
      </c>
      <c r="C6" s="6">
        <f>A6*Inputs!$B$5</f>
        <v>89550</v>
      </c>
      <c r="D6" s="6">
        <f>C6-Inputs!$B$6</f>
        <v>79957</v>
      </c>
      <c r="E6" s="7">
        <f>(-(Inputs!$B$11/100+Inputs!$B$12)+SQRT((Inputs!$B$11/100+Inputs!$B$12)^2-4*(Inputs!$B$12/100)*(Inputs!$B$11-D6/(Inputs!$B$7*Inputs!$B$8/100))))/(2*(Inputs!$B$12/100))</f>
        <v>8.6225922188410014</v>
      </c>
      <c r="F6" s="8">
        <v>7.26</v>
      </c>
      <c r="G6" s="8">
        <v>9.99</v>
      </c>
      <c r="H6" s="7">
        <f>Inputs!$B$11+Inputs!$B$12*E6</f>
        <v>15.943235222551616</v>
      </c>
      <c r="I6" s="7">
        <f>E6-Inputs!$B$17</f>
        <v>7.2015922013192988</v>
      </c>
      <c r="J6" s="7">
        <f>((Inputs!$B$7*(1+E6/100)-7921)/6286-1)*100</f>
        <v>1.3784109143698542</v>
      </c>
      <c r="K6" s="6">
        <f>Inputs!$B$9*(1+I6/100)</f>
        <v>15256.18340699412</v>
      </c>
      <c r="L6" s="6">
        <f>K6*Inputs!$B$10/100</f>
        <v>5522.7383933318724</v>
      </c>
      <c r="M6" s="9">
        <f>((L6-Inputs!$B$22-Inputs!$B$23/100*K6)+Inputs!$B$24)*(1-Inputs!$B$25/100)/Inputs!$B$26</f>
        <v>5.6895328228750266</v>
      </c>
      <c r="N6" s="7">
        <f t="shared" si="0"/>
        <v>14.47778154702017</v>
      </c>
      <c r="O6" s="7">
        <f>(EXP(LN(1+I6/100)-LN(1+Inputs!$B$18/100)-LN(1+Inputs!$B$19/100)-LN(1+Inputs!$B$20/100))-1)*100</f>
        <v>4.7074604923905694</v>
      </c>
      <c r="P6" s="7">
        <f>(EXP(LN(1+J6/100)-LN(1+Inputs!$B$18/100)-LN(1+Inputs!$B$19/100)-LN(1+Inputs!$B$20/100))-1)*100</f>
        <v>-0.98023977420850228</v>
      </c>
      <c r="Q6" s="7">
        <f>(D6/Inputs!$B$21/(Inputs!$B$10/100)/Inputs!$B$9-1)*100</f>
        <v>-5.93689494645806</v>
      </c>
      <c r="R6" s="7">
        <f>(EXP(LN(1+Q6/100)-LN(1+Inputs!$B$18/100)-LN(1+Inputs!$B$19/100)-LN(1+Inputs!$B$20/100))-1)*100</f>
        <v>-8.1253491301772396</v>
      </c>
      <c r="S6" s="10">
        <v>0.59899999999999998</v>
      </c>
      <c r="T6" s="10">
        <v>0.75</v>
      </c>
      <c r="U6" s="8">
        <v>0.65</v>
      </c>
      <c r="V6" s="8">
        <v>11.87</v>
      </c>
    </row>
    <row r="7" spans="1:22" x14ac:dyDescent="0.3">
      <c r="A7" s="4">
        <v>163.80000000000001</v>
      </c>
      <c r="B7" t="s">
        <v>102</v>
      </c>
      <c r="C7" s="6">
        <f>A7*Inputs!$B$5</f>
        <v>97788.6</v>
      </c>
      <c r="D7" s="6">
        <f>C7-Inputs!$B$6</f>
        <v>88195.6</v>
      </c>
      <c r="E7" s="7">
        <f>(-(Inputs!$B$11/100+Inputs!$B$12)+SQRT((Inputs!$B$11/100+Inputs!$B$12)^2-4*(Inputs!$B$12/100)*(Inputs!$B$11-D7/(Inputs!$B$7*Inputs!$B$8/100))))/(2*(Inputs!$B$12/100))</f>
        <v>11.59273217387323</v>
      </c>
      <c r="F7" s="8">
        <v>10.6518</v>
      </c>
      <c r="G7" s="8">
        <v>12.1759</v>
      </c>
      <c r="H7" s="7">
        <f>Inputs!$B$11+Inputs!$B$12*E7</f>
        <v>17.117925574766861</v>
      </c>
      <c r="I7" s="7">
        <f>E7-Inputs!$B$17</f>
        <v>10.171732156351528</v>
      </c>
      <c r="J7" s="7">
        <f>((Inputs!$B$7*(1+E7/100)-7921)/6286-1)*100</f>
        <v>7.5960487871456817</v>
      </c>
      <c r="K7" s="6">
        <f>Inputs!$B$9*(1+I7/100)</f>
        <v>15678.873023518818</v>
      </c>
      <c r="L7" s="6">
        <f>K7*Inputs!$B$10/100</f>
        <v>5675.7520345138128</v>
      </c>
      <c r="M7" s="9">
        <f>((L7-Inputs!$B$22-Inputs!$B$23/100*K7)+Inputs!$B$24)*(1-Inputs!$B$25/100)/Inputs!$B$26</f>
        <v>5.9030637761410532</v>
      </c>
      <c r="N7" s="7">
        <f t="shared" si="0"/>
        <v>15.539015704648358</v>
      </c>
      <c r="O7" s="7">
        <f>(EXP(LN(1+I7/100)-LN(1+Inputs!$B$18/100)-LN(1+Inputs!$B$19/100)-LN(1+Inputs!$B$20/100))-1)*100</f>
        <v>7.6084977401804199</v>
      </c>
      <c r="P7" s="7">
        <f>(EXP(LN(1+J7/100)-LN(1+Inputs!$B$18/100)-LN(1+Inputs!$B$19/100)-LN(1+Inputs!$B$20/100))-1)*100</f>
        <v>5.0927397268520691</v>
      </c>
      <c r="Q7" s="7">
        <f>(D7/Inputs!$B$21/(Inputs!$B$10/100)/Inputs!$B$9-1)*100</f>
        <v>3.7551682536884012</v>
      </c>
      <c r="R7" s="7">
        <f>(EXP(LN(1+Q7/100)-LN(1+Inputs!$B$18/100)-LN(1+Inputs!$B$19/100)-LN(1+Inputs!$B$20/100))-1)*100</f>
        <v>1.3412203841382198</v>
      </c>
      <c r="S7" s="10">
        <v>0.51700000000000002</v>
      </c>
      <c r="T7" s="10">
        <v>0.58199999999999996</v>
      </c>
      <c r="U7" s="8"/>
      <c r="V7" s="8"/>
    </row>
    <row r="8" spans="1:22" x14ac:dyDescent="0.3">
      <c r="A8" s="4">
        <v>165</v>
      </c>
      <c r="B8" t="s">
        <v>103</v>
      </c>
      <c r="C8" s="6">
        <f>A8*Inputs!$B$5</f>
        <v>98505</v>
      </c>
      <c r="D8" s="6">
        <f>C8-Inputs!$B$6</f>
        <v>88912</v>
      </c>
      <c r="E8" s="7">
        <f>(-(Inputs!$B$11/100+Inputs!$B$12)+SQRT((Inputs!$B$11/100+Inputs!$B$12)^2-4*(Inputs!$B$12/100)*(Inputs!$B$11-D8/(Inputs!$B$7*Inputs!$B$8/100))))/(2*(Inputs!$B$12/100))</f>
        <v>11.845639131948815</v>
      </c>
      <c r="F8" s="8">
        <v>10.52</v>
      </c>
      <c r="G8" s="8">
        <v>13.17</v>
      </c>
      <c r="H8" s="7">
        <f>Inputs!$B$11+Inputs!$B$12*E8</f>
        <v>17.217950276685755</v>
      </c>
      <c r="I8" s="7">
        <f>E8-Inputs!$B$17</f>
        <v>10.424639114427112</v>
      </c>
      <c r="J8" s="7">
        <f>((Inputs!$B$7*(1+E8/100)-7921)/6286-1)*100</f>
        <v>8.1254796909504101</v>
      </c>
      <c r="K8" s="6">
        <f>Inputs!$B$9*(1+I8/100)</f>
        <v>15714.864979030637</v>
      </c>
      <c r="L8" s="6">
        <f>K8*Inputs!$B$10/100</f>
        <v>5688.781122409091</v>
      </c>
      <c r="M8" s="9">
        <f>((L8-Inputs!$B$22-Inputs!$B$23/100*K8)+Inputs!$B$24)*(1-Inputs!$B$25/100)/Inputs!$B$26</f>
        <v>5.9212459038061134</v>
      </c>
      <c r="N8" s="7">
        <f t="shared" si="0"/>
        <v>15.629358572042838</v>
      </c>
      <c r="O8" s="7">
        <f>(EXP(LN(1+I8/100)-LN(1+Inputs!$B$18/100)-LN(1+Inputs!$B$19/100)-LN(1+Inputs!$B$20/100))-1)*100</f>
        <v>7.8555206134155453</v>
      </c>
      <c r="P8" s="7">
        <f>(EXP(LN(1+J8/100)-LN(1+Inputs!$B$18/100)-LN(1+Inputs!$B$19/100)-LN(1+Inputs!$B$20/100))-1)*100</f>
        <v>5.6098529926651208</v>
      </c>
      <c r="Q8" s="7">
        <f>(D8/Inputs!$B$21/(Inputs!$B$10/100)/Inputs!$B$9-1)*100</f>
        <v>4.5979563580489602</v>
      </c>
      <c r="R8" s="7">
        <f>(EXP(LN(1+Q8/100)-LN(1+Inputs!$B$18/100)-LN(1+Inputs!$B$19/100)-LN(1+Inputs!$B$20/100))-1)*100</f>
        <v>2.164400341904793</v>
      </c>
      <c r="S8" s="10">
        <v>0.51</v>
      </c>
      <c r="T8" s="10">
        <v>0.56499999999999995</v>
      </c>
      <c r="U8" s="8">
        <v>3.64</v>
      </c>
      <c r="V8" s="8">
        <v>14.95</v>
      </c>
    </row>
    <row r="9" spans="1:22" x14ac:dyDescent="0.3">
      <c r="A9" s="4">
        <v>170.19</v>
      </c>
      <c r="B9" t="s">
        <v>104</v>
      </c>
      <c r="C9" s="6">
        <f>A9*Inputs!$B$5</f>
        <v>101603.43</v>
      </c>
      <c r="D9" s="6">
        <f>C9-Inputs!$B$6</f>
        <v>92010.43</v>
      </c>
      <c r="E9" s="7">
        <f>(-(Inputs!$B$11/100+Inputs!$B$12)+SQRT((Inputs!$B$11/100+Inputs!$B$12)^2-4*(Inputs!$B$12/100)*(Inputs!$B$11-D9/(Inputs!$B$7*Inputs!$B$8/100))))/(2*(Inputs!$B$12/100))</f>
        <v>12.930112293462908</v>
      </c>
      <c r="F9" s="8">
        <v>11.53</v>
      </c>
      <c r="G9" s="8">
        <v>14.34</v>
      </c>
      <c r="H9" s="7">
        <f>Inputs!$B$11+Inputs!$B$12*E9</f>
        <v>17.646859412064579</v>
      </c>
      <c r="I9" s="7">
        <f>E9-Inputs!$B$17</f>
        <v>11.509112275941206</v>
      </c>
      <c r="J9" s="7">
        <f>((Inputs!$B$7*(1+E9/100)-7921)/6286-1)*100</f>
        <v>10.395696415793566</v>
      </c>
      <c r="K9" s="6">
        <f>Inputs!$B$9*(1+I9/100)</f>
        <v>15869.199640599389</v>
      </c>
      <c r="L9" s="6">
        <f>K9*Inputs!$B$10/100</f>
        <v>5744.6502698969798</v>
      </c>
      <c r="M9" s="9">
        <f>((L9-Inputs!$B$22-Inputs!$B$23/100*K9)+Inputs!$B$24)*(1-Inputs!$B$25/100)/Inputs!$B$26</f>
        <v>5.9992114513814698</v>
      </c>
      <c r="N9" s="7">
        <f t="shared" si="0"/>
        <v>16.016715670604267</v>
      </c>
      <c r="O9" s="7">
        <f>(EXP(LN(1+I9/100)-LN(1+Inputs!$B$18/100)-LN(1+Inputs!$B$19/100)-LN(1+Inputs!$B$20/100))-1)*100</f>
        <v>8.9147626300924099</v>
      </c>
      <c r="P9" s="7">
        <f>(EXP(LN(1+J9/100)-LN(1+Inputs!$B$18/100)-LN(1+Inputs!$B$19/100)-LN(1+Inputs!$B$20/100))-1)*100</f>
        <v>7.8272512900642299</v>
      </c>
      <c r="Q9" s="7">
        <f>(D9/Inputs!$B$21/(Inputs!$B$10/100)/Inputs!$B$9-1)*100</f>
        <v>8.2430149094083749</v>
      </c>
      <c r="R9" s="7">
        <f>(EXP(LN(1+Q9/100)-LN(1+Inputs!$B$18/100)-LN(1+Inputs!$B$19/100)-LN(1+Inputs!$B$20/100))-1)*100</f>
        <v>5.7246536592451491</v>
      </c>
      <c r="S9" s="10">
        <v>0.48</v>
      </c>
      <c r="T9" s="10">
        <v>0.49299999999999999</v>
      </c>
      <c r="U9" s="8">
        <v>4.6100000000000003</v>
      </c>
      <c r="V9" s="8">
        <v>15.95</v>
      </c>
    </row>
    <row r="10" spans="1:22" x14ac:dyDescent="0.3">
      <c r="A10" s="4">
        <v>179.5</v>
      </c>
      <c r="B10" t="s">
        <v>105</v>
      </c>
      <c r="C10" s="6">
        <f>A10*Inputs!$B$5</f>
        <v>107161.5</v>
      </c>
      <c r="D10" s="6">
        <f>C10-Inputs!$B$6</f>
        <v>97568.5</v>
      </c>
      <c r="E10" s="7">
        <f>(-(Inputs!$B$11/100+Inputs!$B$12)+SQRT((Inputs!$B$11/100+Inputs!$B$12)^2-4*(Inputs!$B$12/100)*(Inputs!$B$11-D10/(Inputs!$B$7*Inputs!$B$8/100))))/(2*(Inputs!$B$12/100))</f>
        <v>14.838959375603281</v>
      </c>
      <c r="F10" s="8">
        <v>13.21</v>
      </c>
      <c r="G10" s="8">
        <v>16.48</v>
      </c>
      <c r="H10" s="7">
        <f>Inputs!$B$11+Inputs!$B$12*E10</f>
        <v>18.401808433051098</v>
      </c>
      <c r="I10" s="7">
        <f>E10-Inputs!$B$17</f>
        <v>13.417959358081578</v>
      </c>
      <c r="J10" s="7">
        <f>((Inputs!$B$7*(1+E10/100)-7921)/6286-1)*100</f>
        <v>14.391642765441226</v>
      </c>
      <c r="K10" s="6">
        <f>Inputs!$B$9*(1+I10/100)</f>
        <v>16140.853452665442</v>
      </c>
      <c r="L10" s="6">
        <f>K10*Inputs!$B$10/100</f>
        <v>5842.9889498648909</v>
      </c>
      <c r="M10" s="9">
        <f>((L10-Inputs!$B$22-Inputs!$B$23/100*K10)+Inputs!$B$24)*(1-Inputs!$B$25/100)/Inputs!$B$26</f>
        <v>6.1364433472717392</v>
      </c>
      <c r="N10" s="7">
        <f t="shared" si="0"/>
        <v>16.698388587959954</v>
      </c>
      <c r="O10" s="7">
        <f>(EXP(LN(1+I10/100)-LN(1+Inputs!$B$18/100)-LN(1+Inputs!$B$19/100)-LN(1+Inputs!$B$20/100))-1)*100</f>
        <v>10.77919884167291</v>
      </c>
      <c r="P10" s="7">
        <f>(EXP(LN(1+J10/100)-LN(1+Inputs!$B$18/100)-LN(1+Inputs!$B$19/100)-LN(1+Inputs!$B$20/100))-1)*100</f>
        <v>11.730228717392933</v>
      </c>
      <c r="Q10" s="7">
        <f>(D10/Inputs!$B$21/(Inputs!$B$10/100)/Inputs!$B$9-1)*100</f>
        <v>14.781645952405743</v>
      </c>
      <c r="R10" s="7">
        <f>(EXP(LN(1+Q10/100)-LN(1+Inputs!$B$18/100)-LN(1+Inputs!$B$19/100)-LN(1+Inputs!$B$20/100))-1)*100</f>
        <v>12.111158164917413</v>
      </c>
      <c r="S10" s="10">
        <v>0.42799999999999999</v>
      </c>
      <c r="T10" s="10">
        <v>0.36599999999999999</v>
      </c>
      <c r="U10" s="8">
        <v>6.28</v>
      </c>
      <c r="V10" s="8">
        <v>17.66</v>
      </c>
    </row>
    <row r="11" spans="1:22" x14ac:dyDescent="0.3">
      <c r="A11" s="4">
        <v>185</v>
      </c>
      <c r="B11" t="s">
        <v>106</v>
      </c>
      <c r="C11" s="6">
        <f>A11*Inputs!$B$5</f>
        <v>110445</v>
      </c>
      <c r="D11" s="6">
        <f>C11-Inputs!$B$6</f>
        <v>100852</v>
      </c>
      <c r="E11" s="7">
        <f>(-(Inputs!$B$11/100+Inputs!$B$12)+SQRT((Inputs!$B$11/100+Inputs!$B$12)^2-4*(Inputs!$B$12/100)*(Inputs!$B$11-D11/(Inputs!$B$7*Inputs!$B$8/100))))/(2*(Inputs!$B$12/100))</f>
        <v>15.94570466009746</v>
      </c>
      <c r="F11" s="8">
        <v>14.15</v>
      </c>
      <c r="G11" s="8">
        <v>17.760000000000002</v>
      </c>
      <c r="H11" s="7">
        <f>Inputs!$B$11+Inputs!$B$12*E11</f>
        <v>18.839526193068544</v>
      </c>
      <c r="I11" s="7">
        <f>E11-Inputs!$B$17</f>
        <v>14.524704642575758</v>
      </c>
      <c r="J11" s="7">
        <f>((Inputs!$B$7*(1+E11/100)-7921)/6286-1)*100</f>
        <v>16.708483554282939</v>
      </c>
      <c r="K11" s="6">
        <f>Inputs!$B$9*(1+I11/100)</f>
        <v>16298.357727540024</v>
      </c>
      <c r="L11" s="6">
        <f>K11*Inputs!$B$10/100</f>
        <v>5900.0054973694896</v>
      </c>
      <c r="M11" s="9">
        <f>((L11-Inputs!$B$22-Inputs!$B$23/100*K11)+Inputs!$B$24)*(1-Inputs!$B$25/100)/Inputs!$B$26</f>
        <v>6.2160100946973378</v>
      </c>
      <c r="N11" s="7">
        <f t="shared" si="0"/>
        <v>17.093543394995944</v>
      </c>
      <c r="O11" s="7">
        <f>(EXP(LN(1+I11/100)-LN(1+Inputs!$B$18/100)-LN(1+Inputs!$B$19/100)-LN(1+Inputs!$B$20/100))-1)*100</f>
        <v>11.860194802382985</v>
      </c>
      <c r="P11" s="7">
        <f>(EXP(LN(1+J11/100)-LN(1+Inputs!$B$18/100)-LN(1+Inputs!$B$19/100)-LN(1+Inputs!$B$20/100))-1)*100</f>
        <v>13.993166332248762</v>
      </c>
      <c r="Q11" s="7">
        <f>(D11/Inputs!$B$21/(Inputs!$B$10/100)/Inputs!$B$9-1)*100</f>
        <v>18.644424764058343</v>
      </c>
      <c r="R11" s="7">
        <f>(EXP(LN(1+Q11/100)-LN(1+Inputs!$B$18/100)-LN(1+Inputs!$B$19/100)-LN(1+Inputs!$B$20/100))-1)*100</f>
        <v>15.884066304680843</v>
      </c>
      <c r="S11" s="10">
        <v>0.39900000000000002</v>
      </c>
      <c r="T11" s="10">
        <v>0.29699999999999999</v>
      </c>
      <c r="U11" s="8">
        <v>7.22</v>
      </c>
      <c r="V11" s="8">
        <v>18.64</v>
      </c>
    </row>
    <row r="12" spans="1:22" x14ac:dyDescent="0.3">
      <c r="A12" s="4">
        <v>197.5</v>
      </c>
      <c r="B12" t="s">
        <v>107</v>
      </c>
      <c r="C12" s="6">
        <f>A12*Inputs!$B$5</f>
        <v>117907.5</v>
      </c>
      <c r="D12" s="6">
        <f>C12-Inputs!$B$6</f>
        <v>108314.5</v>
      </c>
      <c r="E12" s="7">
        <f>(-(Inputs!$B$11/100+Inputs!$B$12)+SQRT((Inputs!$B$11/100+Inputs!$B$12)^2-4*(Inputs!$B$12/100)*(Inputs!$B$11-D12/(Inputs!$B$7*Inputs!$B$8/100))))/(2*(Inputs!$B$12/100))</f>
        <v>18.406983612860245</v>
      </c>
      <c r="F12" s="8">
        <v>16.190000000000001</v>
      </c>
      <c r="G12" s="8">
        <v>20.65</v>
      </c>
      <c r="H12" s="7">
        <f>Inputs!$B$11+Inputs!$B$12*E12</f>
        <v>19.812962018886225</v>
      </c>
      <c r="I12" s="7">
        <f>E12-Inputs!$B$17</f>
        <v>16.985983595338542</v>
      </c>
      <c r="J12" s="7">
        <f>((Inputs!$B$7*(1+E12/100)-7921)/6286-1)*100</f>
        <v>21.860880903854252</v>
      </c>
      <c r="K12" s="6">
        <f>Inputs!$B$9*(1+I12/100)</f>
        <v>16648.62979298292</v>
      </c>
      <c r="L12" s="6">
        <f>K12*Inputs!$B$10/100</f>
        <v>6026.8039850598179</v>
      </c>
      <c r="M12" s="9">
        <f>((L12-Inputs!$B$22-Inputs!$B$23/100*K12)+Inputs!$B$24)*(1-Inputs!$B$25/100)/Inputs!$B$26</f>
        <v>6.3929577298236229</v>
      </c>
      <c r="N12" s="7">
        <f t="shared" si="0"/>
        <v>17.972129219484636</v>
      </c>
      <c r="O12" s="7">
        <f>(EXP(LN(1+I12/100)-LN(1+Inputs!$B$18/100)-LN(1+Inputs!$B$19/100)-LN(1+Inputs!$B$20/100))-1)*100</f>
        <v>14.264210110506269</v>
      </c>
      <c r="P12" s="7">
        <f>(EXP(LN(1+J12/100)-LN(1+Inputs!$B$18/100)-LN(1+Inputs!$B$19/100)-LN(1+Inputs!$B$20/100))-1)*100</f>
        <v>19.025688992063294</v>
      </c>
      <c r="Q12" s="7">
        <f>(D12/Inputs!$B$21/(Inputs!$B$10/100)/Inputs!$B$9-1)*100</f>
        <v>27.423467517814171</v>
      </c>
      <c r="R12" s="7">
        <f>(EXP(LN(1+Q12/100)-LN(1+Inputs!$B$18/100)-LN(1+Inputs!$B$19/100)-LN(1+Inputs!$B$20/100))-1)*100</f>
        <v>24.458857531415855</v>
      </c>
      <c r="S12" s="10">
        <v>0.33600000000000002</v>
      </c>
      <c r="T12" s="10">
        <v>0.17</v>
      </c>
      <c r="U12" s="8">
        <v>9.26</v>
      </c>
      <c r="V12" s="8">
        <v>20.74</v>
      </c>
    </row>
    <row r="13" spans="1:22" x14ac:dyDescent="0.3">
      <c r="A13" s="4">
        <v>213.9</v>
      </c>
      <c r="B13" t="s">
        <v>108</v>
      </c>
      <c r="C13" s="6">
        <f>A13*Inputs!$B$5</f>
        <v>127698.3</v>
      </c>
      <c r="D13" s="6">
        <f>C13-Inputs!$B$6</f>
        <v>118105.3</v>
      </c>
      <c r="E13" s="7">
        <f>(-(Inputs!$B$11/100+Inputs!$B$12)+SQRT((Inputs!$B$11/100+Inputs!$B$12)^2-4*(Inputs!$B$12/100)*(Inputs!$B$11-D13/(Inputs!$B$7*Inputs!$B$8/100))))/(2*(Inputs!$B$12/100))</f>
        <v>21.531091422708595</v>
      </c>
      <c r="F13" s="8">
        <v>20.259399999999999</v>
      </c>
      <c r="G13" s="8">
        <v>23.567499999999999</v>
      </c>
      <c r="H13" s="7">
        <f>Inputs!$B$11+Inputs!$B$12*E13</f>
        <v>21.04854665768125</v>
      </c>
      <c r="I13" s="7">
        <f>E13-Inputs!$B$17</f>
        <v>20.110091405186893</v>
      </c>
      <c r="J13" s="7">
        <f>((Inputs!$B$7*(1+E13/100)-7921)/6286-1)*100</f>
        <v>28.400832330802174</v>
      </c>
      <c r="K13" s="6">
        <f>Inputs!$B$9*(1+I13/100)</f>
        <v>17093.231041449104</v>
      </c>
      <c r="L13" s="6">
        <f>K13*Inputs!$B$10/100</f>
        <v>6187.7496370045756</v>
      </c>
      <c r="M13" s="9">
        <f>((L13-Inputs!$B$22-Inputs!$B$23/100*K13)+Inputs!$B$24)*(1-Inputs!$B$25/100)/Inputs!$B$26</f>
        <v>6.6175578257256786</v>
      </c>
      <c r="N13" s="7">
        <f t="shared" si="0"/>
        <v>19.086955182170804</v>
      </c>
      <c r="O13" s="7">
        <f>(EXP(LN(1+I13/100)-LN(1+Inputs!$B$18/100)-LN(1+Inputs!$B$19/100)-LN(1+Inputs!$B$20/100))-1)*100</f>
        <v>17.315633026495767</v>
      </c>
      <c r="P13" s="7">
        <f>(EXP(LN(1+J13/100)-LN(1+Inputs!$B$18/100)-LN(1+Inputs!$B$19/100)-LN(1+Inputs!$B$20/100))-1)*100</f>
        <v>25.413483161886052</v>
      </c>
      <c r="Q13" s="7">
        <f>(D13/Inputs!$B$21/(Inputs!$B$10/100)/Inputs!$B$9-1)*100</f>
        <v>38.941571610741853</v>
      </c>
      <c r="R13" s="7">
        <f>(EXP(LN(1+Q13/100)-LN(1+Inputs!$B$18/100)-LN(1+Inputs!$B$19/100)-LN(1+Inputs!$B$20/100))-1)*100</f>
        <v>35.708983620892184</v>
      </c>
      <c r="S13" s="10">
        <v>0.26300000000000001</v>
      </c>
      <c r="T13" s="10">
        <v>6.9000000000000006E-2</v>
      </c>
      <c r="U13" s="8"/>
      <c r="V13" s="8"/>
    </row>
    <row r="14" spans="1:22" x14ac:dyDescent="0.3">
      <c r="A14" s="4">
        <v>220</v>
      </c>
      <c r="B14" t="s">
        <v>109</v>
      </c>
      <c r="C14" s="6">
        <f>A14*Inputs!$B$5</f>
        <v>131340</v>
      </c>
      <c r="D14" s="6">
        <f>C14-Inputs!$B$6</f>
        <v>121747</v>
      </c>
      <c r="E14" s="7">
        <f>(-(Inputs!$B$11/100+Inputs!$B$12)+SQRT((Inputs!$B$11/100+Inputs!$B$12)^2-4*(Inputs!$B$12/100)*(Inputs!$B$11-D14/(Inputs!$B$7*Inputs!$B$8/100))))/(2*(Inputs!$B$12/100))</f>
        <v>22.664975955488945</v>
      </c>
      <c r="F14" s="8">
        <v>19.64</v>
      </c>
      <c r="G14" s="8">
        <v>25.73</v>
      </c>
      <c r="H14" s="7">
        <f>Inputs!$B$11+Inputs!$B$12*E14</f>
        <v>21.496997990395876</v>
      </c>
      <c r="I14" s="7">
        <f>E14-Inputs!$B$17</f>
        <v>21.243975937967242</v>
      </c>
      <c r="J14" s="7">
        <f>((Inputs!$B$7*(1+E14/100)-7921)/6286-1)*100</f>
        <v>30.774485936729114</v>
      </c>
      <c r="K14" s="6">
        <f>Inputs!$B$9*(1+I14/100)</f>
        <v>17254.597584979208</v>
      </c>
      <c r="L14" s="6">
        <f>K14*Inputs!$B$10/100</f>
        <v>6246.1643257624737</v>
      </c>
      <c r="M14" s="9">
        <f>((L14-Inputs!$B$22-Inputs!$B$23/100*K14)+Inputs!$B$24)*(1-Inputs!$B$25/100)/Inputs!$B$26</f>
        <v>6.6990756830805065</v>
      </c>
      <c r="N14" s="7">
        <f t="shared" si="0"/>
        <v>19.491482076104084</v>
      </c>
      <c r="O14" s="7">
        <f>(EXP(LN(1+I14/100)-LN(1+Inputs!$B$18/100)-LN(1+Inputs!$B$19/100)-LN(1+Inputs!$B$20/100))-1)*100</f>
        <v>18.42313681894008</v>
      </c>
      <c r="P14" s="7">
        <f>(EXP(LN(1+J14/100)-LN(1+Inputs!$B$18/100)-LN(1+Inputs!$B$19/100)-LN(1+Inputs!$B$20/100))-1)*100</f>
        <v>27.73191179770771</v>
      </c>
      <c r="Q14" s="7">
        <f>(D14/Inputs!$B$21/(Inputs!$B$10/100)/Inputs!$B$9-1)*100</f>
        <v>43.225744474574725</v>
      </c>
      <c r="R14" s="7">
        <f>(EXP(LN(1+Q14/100)-LN(1+Inputs!$B$18/100)-LN(1+Inputs!$B$19/100)-LN(1+Inputs!$B$20/100))-1)*100</f>
        <v>39.893481739538906</v>
      </c>
      <c r="S14" s="10">
        <v>0.23899999999999999</v>
      </c>
      <c r="T14" s="10">
        <v>4.7E-2</v>
      </c>
      <c r="U14" s="8">
        <v>12.63</v>
      </c>
      <c r="V14" s="8">
        <v>24.22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4.4" x14ac:dyDescent="0.3"/>
  <cols>
    <col min="1" max="1" width="34" customWidth="1"/>
    <col min="2" max="9" width="18" customWidth="1"/>
  </cols>
  <sheetData>
    <row r="1" spans="1:9" ht="17.399999999999999" customHeight="1" x14ac:dyDescent="0.35">
      <c r="A1" s="2" t="s">
        <v>110</v>
      </c>
    </row>
    <row r="2" spans="1:9" x14ac:dyDescent="0.3">
      <c r="A2" s="5" t="s">
        <v>111</v>
      </c>
    </row>
    <row r="4" spans="1:9" ht="60" customHeight="1" x14ac:dyDescent="0.3">
      <c r="A4" s="3" t="s">
        <v>112</v>
      </c>
      <c r="B4" s="3" t="s">
        <v>113</v>
      </c>
      <c r="C4" s="3" t="s">
        <v>114</v>
      </c>
      <c r="D4" s="3" t="s">
        <v>115</v>
      </c>
      <c r="E4" s="3" t="s">
        <v>116</v>
      </c>
      <c r="F4" s="3" t="s">
        <v>117</v>
      </c>
      <c r="G4" s="3" t="s">
        <v>118</v>
      </c>
      <c r="H4" s="3" t="s">
        <v>119</v>
      </c>
      <c r="I4" s="3" t="s">
        <v>120</v>
      </c>
    </row>
    <row r="5" spans="1:9" x14ac:dyDescent="0.3">
      <c r="A5" t="s">
        <v>121</v>
      </c>
      <c r="B5" s="11">
        <v>9.8310999999999993</v>
      </c>
      <c r="C5" s="12">
        <v>5548.8</v>
      </c>
      <c r="D5" s="7">
        <f>((Inputs!$B$11+Inputs!$B$12*(B5+Inputs!$B$17))*Inputs!$B$7*(1+(B5+Inputs!$B$17)/100)*Inputs!$B$8/100+Inputs!$B$6)/Inputs!$B$5</f>
        <v>162.18994299344064</v>
      </c>
      <c r="E5" s="7">
        <f>(D5/Inputs!$B$4-1)*100</f>
        <v>-4.7006622049235336</v>
      </c>
      <c r="F5" s="7">
        <f>(Inputs!$B$21*Inputs!$B$9*(1+B5/100)*Inputs!$B$10/100+Inputs!$B$6)/Inputs!$B$5</f>
        <v>172.45118771592752</v>
      </c>
      <c r="G5" s="7">
        <f>(Inputs!$B$21*C5+Inputs!$B$6)/Inputs!$B$5</f>
        <v>169.42747068676715</v>
      </c>
      <c r="H5" s="7">
        <f>(EXP(LN(1+B5/100)-LN(1+Inputs!$B$18/100)-LN(1+Inputs!$B$19/100)-LN(1+Inputs!$B$20/100))-1)*100</f>
        <v>7.2757906663280636</v>
      </c>
      <c r="I5" s="10">
        <v>0.52700000000000002</v>
      </c>
    </row>
    <row r="6" spans="1:9" x14ac:dyDescent="0.3">
      <c r="A6" t="s">
        <v>122</v>
      </c>
      <c r="B6" s="11">
        <v>12.6021</v>
      </c>
      <c r="C6" s="12">
        <v>5801</v>
      </c>
      <c r="D6" s="7">
        <f>((Inputs!$B$11+Inputs!$B$12*(B6+Inputs!$B$17))*Inputs!$B$7*(1+(B6+Inputs!$B$17)/100)*Inputs!$B$8/100+Inputs!$B$6)/Inputs!$B$5</f>
        <v>175.49354278172586</v>
      </c>
      <c r="E6" s="7">
        <f>(D6/Inputs!$B$4-1)*100</f>
        <v>3.1162481824583477</v>
      </c>
      <c r="F6" s="7">
        <f>(Inputs!$B$21*Inputs!$B$9*(1+B6/100)*Inputs!$B$10/100+Inputs!$B$6)/Inputs!$B$5</f>
        <v>176.39666343253467</v>
      </c>
      <c r="G6" s="7">
        <f>(Inputs!$B$21*C6+Inputs!$B$6)/Inputs!$B$5</f>
        <v>176.39782244556113</v>
      </c>
      <c r="H6" s="7">
        <f>(EXP(LN(1+B6/100)-LN(1+Inputs!$B$18/100)-LN(1+Inputs!$B$19/100)-LN(1+Inputs!$B$20/100))-1)*100</f>
        <v>9.9823211111328192</v>
      </c>
      <c r="I6" s="10">
        <v>0.45</v>
      </c>
    </row>
    <row r="7" spans="1:9" x14ac:dyDescent="0.3">
      <c r="A7" t="s">
        <v>123</v>
      </c>
      <c r="B7" s="11">
        <v>17.983799999999999</v>
      </c>
      <c r="C7" s="12">
        <v>6212.5</v>
      </c>
      <c r="D7" s="7">
        <f>((Inputs!$B$11+Inputs!$B$12*(B7+Inputs!$B$17))*Inputs!$B$7*(1+(B7+Inputs!$B$17)/100)*Inputs!$B$8/100+Inputs!$B$6)/Inputs!$B$5</f>
        <v>202.67314181936564</v>
      </c>
      <c r="E7" s="7">
        <f>(D7/Inputs!$B$4-1)*100</f>
        <v>19.086398624693366</v>
      </c>
      <c r="F7" s="7">
        <f>(Inputs!$B$21*Inputs!$B$9*(1+B7/100)*Inputs!$B$10/100+Inputs!$B$6)/Inputs!$B$5</f>
        <v>184.05937244158011</v>
      </c>
      <c r="G7" s="7">
        <f>(Inputs!$B$21*C7+Inputs!$B$6)/Inputs!$B$5</f>
        <v>187.77093802345058</v>
      </c>
      <c r="H7" s="7">
        <f>(EXP(LN(1+B7/100)-LN(1+Inputs!$B$18/100)-LN(1+Inputs!$B$19/100)-LN(1+Inputs!$B$20/100))-1)*100</f>
        <v>15.238811509835703</v>
      </c>
      <c r="I7" s="10">
        <v>0.313</v>
      </c>
    </row>
    <row r="8" spans="1:9" x14ac:dyDescent="0.3">
      <c r="A8" t="s">
        <v>124</v>
      </c>
      <c r="B8" s="11">
        <v>10.6364</v>
      </c>
      <c r="C8" s="12">
        <v>5699.7</v>
      </c>
      <c r="D8" s="7">
        <f>((Inputs!$B$11+Inputs!$B$12*(B8+Inputs!$B$17))*Inputs!$B$7*(1+(B8+Inputs!$B$17)/100)*Inputs!$B$8/100+Inputs!$B$6)/Inputs!$B$5</f>
        <v>166.00777864621671</v>
      </c>
      <c r="E8" s="7">
        <f>(D8/Inputs!$B$4-1)*100</f>
        <v>-2.457383720420292</v>
      </c>
      <c r="F8" s="7">
        <f>(Inputs!$B$21*Inputs!$B$9*(1+B8/100)*Inputs!$B$10/100+Inputs!$B$6)/Inputs!$B$5</f>
        <v>173.59781044944742</v>
      </c>
      <c r="G8" s="7">
        <f>(Inputs!$B$21*C8+Inputs!$B$6)/Inputs!$B$5</f>
        <v>173.59807370184254</v>
      </c>
      <c r="H8" s="7">
        <f>(EXP(LN(1+B8/100)-LN(1+Inputs!$B$18/100)-LN(1+Inputs!$B$19/100)-LN(1+Inputs!$B$20/100))-1)*100</f>
        <v>8.0623547107889983</v>
      </c>
      <c r="I8" s="10">
        <v>0.504</v>
      </c>
    </row>
    <row r="9" spans="1:9" x14ac:dyDescent="0.3">
      <c r="A9" t="s">
        <v>125</v>
      </c>
      <c r="B9" s="11">
        <v>11.0488</v>
      </c>
      <c r="C9" s="12">
        <v>5757.9</v>
      </c>
      <c r="D9" s="7">
        <f>((Inputs!$B$11+Inputs!$B$12*(B9+Inputs!$B$17))*Inputs!$B$7*(1+(B9+Inputs!$B$17)/100)*Inputs!$B$8/100+Inputs!$B$6)/Inputs!$B$5</f>
        <v>167.97828010516099</v>
      </c>
      <c r="E9" s="7">
        <f>(D9/Inputs!$B$4-1)*100</f>
        <v>-1.2995592542681789</v>
      </c>
      <c r="F9" s="7">
        <f>(Inputs!$B$21*Inputs!$B$9*(1+B9/100)*Inputs!$B$10/100+Inputs!$B$6)/Inputs!$B$5</f>
        <v>174.18500430925573</v>
      </c>
      <c r="G9" s="7">
        <f>(Inputs!$B$21*C9+Inputs!$B$6)/Inputs!$B$5</f>
        <v>175.20661641541037</v>
      </c>
      <c r="H9" s="7">
        <f>(EXP(LN(1+B9/100)-LN(1+Inputs!$B$18/100)-LN(1+Inputs!$B$19/100)-LN(1+Inputs!$B$20/100))-1)*100</f>
        <v>8.4651598913871418</v>
      </c>
      <c r="I9" s="10">
        <v>0.49299999999999999</v>
      </c>
    </row>
    <row r="10" spans="1:9" x14ac:dyDescent="0.3">
      <c r="A10" t="s">
        <v>126</v>
      </c>
      <c r="B10" s="11">
        <v>0.61150000000000004</v>
      </c>
      <c r="C10" s="12">
        <v>4375</v>
      </c>
      <c r="D10" s="7">
        <f>((Inputs!$B$11+Inputs!$B$12*(B10+Inputs!$B$17))*Inputs!$B$7*(1+(B10+Inputs!$B$17)/100)*Inputs!$B$8/100+Inputs!$B$6)/Inputs!$B$5</f>
        <v>121.30785789770984</v>
      </c>
      <c r="E10" s="7">
        <f>(D10/Inputs!$B$4-1)*100</f>
        <v>-28.722100065979294</v>
      </c>
      <c r="F10" s="7">
        <f>(Inputs!$B$21*Inputs!$B$9*(1+B10/100)*Inputs!$B$10/100+Inputs!$B$6)/Inputs!$B$5</f>
        <v>159.32390228942748</v>
      </c>
      <c r="G10" s="7">
        <f>(Inputs!$B$21*C10+Inputs!$B$6)/Inputs!$B$5</f>
        <v>136.98576214405361</v>
      </c>
      <c r="H10" s="7">
        <f>(EXP(LN(1+B10/100)-LN(1+Inputs!$B$18/100)-LN(1+Inputs!$B$19/100)-LN(1+Inputs!$B$20/100))-1)*100</f>
        <v>-1.729307886151854</v>
      </c>
      <c r="I10" s="10">
        <v>0.75</v>
      </c>
    </row>
    <row r="11" spans="1:9" x14ac:dyDescent="0.3">
      <c r="A11" t="s">
        <v>127</v>
      </c>
      <c r="B11" s="11">
        <v>18.820900000000002</v>
      </c>
      <c r="C11" s="12">
        <v>6977.4</v>
      </c>
      <c r="D11" s="7">
        <f>((Inputs!$B$11+Inputs!$B$12*(B11+Inputs!$B$17))*Inputs!$B$7*(1+(B11+Inputs!$B$17)/100)*Inputs!$B$8/100+Inputs!$B$6)/Inputs!$B$5</f>
        <v>207.06003681933927</v>
      </c>
      <c r="E11" s="7">
        <f>(D11/Inputs!$B$4-1)*100</f>
        <v>21.664044197273213</v>
      </c>
      <c r="F11" s="7">
        <f>(Inputs!$B$21*Inputs!$B$9*(1+B11/100)*Inputs!$B$10/100+Inputs!$B$6)/Inputs!$B$5</f>
        <v>185.25127346011925</v>
      </c>
      <c r="G11" s="7">
        <f>(Inputs!$B$21*C11+Inputs!$B$6)/Inputs!$B$5</f>
        <v>208.91139028475712</v>
      </c>
      <c r="H11" s="7">
        <f>(EXP(LN(1+B11/100)-LN(1+Inputs!$B$18/100)-LN(1+Inputs!$B$19/100)-LN(1+Inputs!$B$20/100))-1)*100</f>
        <v>16.056435701588168</v>
      </c>
      <c r="I11" s="10">
        <v>0.29299999999999998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/>
  </sheetViews>
  <sheetFormatPr defaultRowHeight="14.4" x14ac:dyDescent="0.3"/>
  <cols>
    <col min="1" max="1" width="52" customWidth="1"/>
    <col min="2" max="11" width="16" customWidth="1"/>
  </cols>
  <sheetData>
    <row r="1" spans="1:11" ht="17.399999999999999" customHeight="1" x14ac:dyDescent="0.35">
      <c r="A1" s="2" t="s">
        <v>128</v>
      </c>
    </row>
    <row r="2" spans="1:11" x14ac:dyDescent="0.3">
      <c r="A2" s="5" t="s">
        <v>129</v>
      </c>
    </row>
    <row r="4" spans="1:11" ht="75" customHeight="1" x14ac:dyDescent="0.3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137</v>
      </c>
      <c r="I4" s="3" t="s">
        <v>138</v>
      </c>
      <c r="J4" s="3" t="s">
        <v>139</v>
      </c>
      <c r="K4" s="3" t="s">
        <v>140</v>
      </c>
    </row>
    <row r="5" spans="1:11" x14ac:dyDescent="0.3">
      <c r="A5" t="s">
        <v>141</v>
      </c>
      <c r="B5" s="11">
        <v>9.9</v>
      </c>
      <c r="C5" s="7">
        <f>IF(B5&gt;Inputs!$B$28,1,IF(B5&lt;Inputs!$B$29,-1,0))</f>
        <v>-1</v>
      </c>
      <c r="D5" s="12">
        <v>3111</v>
      </c>
      <c r="E5" s="7">
        <f>(D5/Inputs!$B$27-1)*100</f>
        <v>-1.3633481293595429</v>
      </c>
      <c r="F5" s="7">
        <f>Inputs!$B$30+Inputs!$B$31*C5+Inputs!$B$32*E5</f>
        <v>-8.5329518072289137</v>
      </c>
      <c r="G5" s="7">
        <f>Inputs!$B$33+Inputs!$B$34*C5</f>
        <v>-6.1093000000000002</v>
      </c>
      <c r="H5" s="7">
        <f t="shared" ref="H5:H13" si="0">-0.964+5.4638*C5+1.3225*E5</f>
        <v>-8.2308279010779941</v>
      </c>
      <c r="I5" s="7">
        <f>Inputs!$B$35</f>
        <v>0</v>
      </c>
      <c r="J5" s="7">
        <f>-(Inputs!$B$30+Inputs!$B$31*C5)/Inputs!$B$32</f>
        <v>2.7796659545542819</v>
      </c>
      <c r="K5" s="6">
        <f>Inputs!$B$27*(1+J5/100)</f>
        <v>3241.670664206642</v>
      </c>
    </row>
    <row r="6" spans="1:11" x14ac:dyDescent="0.3">
      <c r="A6" t="s">
        <v>142</v>
      </c>
      <c r="B6" s="11">
        <v>9.9</v>
      </c>
      <c r="C6" s="7">
        <f>IF(B6&gt;Inputs!$B$28,1,IF(B6&lt;Inputs!$B$29,-1,0))</f>
        <v>-1</v>
      </c>
      <c r="D6" s="12">
        <v>3055</v>
      </c>
      <c r="E6" s="7">
        <f>(D6/Inputs!$B$27-1)*100</f>
        <v>-3.1388712745719749</v>
      </c>
      <c r="F6" s="7">
        <f>Inputs!$B$30+Inputs!$B$31*C6+Inputs!$B$32*E6</f>
        <v>-12.189819277108439</v>
      </c>
      <c r="G6" s="7">
        <f>Inputs!$B$33+Inputs!$B$34*C6</f>
        <v>-6.1093000000000002</v>
      </c>
      <c r="H6" s="7">
        <f t="shared" si="0"/>
        <v>-10.578957260621436</v>
      </c>
      <c r="I6" s="7">
        <f>Inputs!$B$35</f>
        <v>0</v>
      </c>
      <c r="J6" s="7">
        <f>-(Inputs!$B$30+Inputs!$B$31*C6)/Inputs!$B$32</f>
        <v>2.7796659545542819</v>
      </c>
      <c r="K6" s="6">
        <f>Inputs!$B$27*(1+J6/100)</f>
        <v>3241.670664206642</v>
      </c>
    </row>
    <row r="7" spans="1:11" x14ac:dyDescent="0.3">
      <c r="A7" t="s">
        <v>143</v>
      </c>
      <c r="B7" s="11">
        <v>9.75</v>
      </c>
      <c r="C7" s="7">
        <f>IF(B7&gt;Inputs!$B$28,1,IF(B7&lt;Inputs!$B$29,-1,0))</f>
        <v>-1</v>
      </c>
      <c r="D7" s="12">
        <v>3107</v>
      </c>
      <c r="E7" s="7">
        <f>(D7/Inputs!$B$27-1)*100</f>
        <v>-1.4901712111604293</v>
      </c>
      <c r="F7" s="7">
        <f>Inputs!$B$30+Inputs!$B$31*C7+Inputs!$B$32*E7</f>
        <v>-8.7941566265060196</v>
      </c>
      <c r="G7" s="7">
        <f>Inputs!$B$33+Inputs!$B$34*C7</f>
        <v>-6.1093000000000002</v>
      </c>
      <c r="H7" s="7">
        <f t="shared" si="0"/>
        <v>-8.398551426759667</v>
      </c>
      <c r="I7" s="7">
        <f>Inputs!$B$35</f>
        <v>0</v>
      </c>
      <c r="J7" s="7">
        <f>-(Inputs!$B$30+Inputs!$B$31*C7)/Inputs!$B$32</f>
        <v>2.7796659545542819</v>
      </c>
      <c r="K7" s="6">
        <f>Inputs!$B$27*(1+J7/100)</f>
        <v>3241.670664206642</v>
      </c>
    </row>
    <row r="8" spans="1:11" x14ac:dyDescent="0.3">
      <c r="A8" t="s">
        <v>144</v>
      </c>
      <c r="B8" s="11">
        <v>11.1</v>
      </c>
      <c r="C8" s="7">
        <f>IF(B8&gt;Inputs!$B$28,1,IF(B8&lt;Inputs!$B$29,-1,0))</f>
        <v>1</v>
      </c>
      <c r="D8" s="12">
        <v>3154</v>
      </c>
      <c r="E8" s="7">
        <f>(D8/Inputs!$B$27-1)*100</f>
        <v>0</v>
      </c>
      <c r="F8" s="7">
        <f>Inputs!$B$30+Inputs!$B$31*C8+Inputs!$B$32*E8</f>
        <v>1.9929999999999999</v>
      </c>
      <c r="G8" s="7">
        <f>Inputs!$B$33+Inputs!$B$34*C8</f>
        <v>5.2053000000000003</v>
      </c>
      <c r="H8" s="7">
        <f t="shared" si="0"/>
        <v>4.4998000000000005</v>
      </c>
      <c r="I8" s="7">
        <f>Inputs!$B$35</f>
        <v>0</v>
      </c>
      <c r="J8" s="7">
        <f>-(Inputs!$B$30+Inputs!$B$31*C8)/Inputs!$B$32</f>
        <v>-0.96766362400466099</v>
      </c>
      <c r="K8" s="6">
        <f>Inputs!$B$27*(1+J8/100)</f>
        <v>3123.4798892988929</v>
      </c>
    </row>
    <row r="9" spans="1:11" x14ac:dyDescent="0.3">
      <c r="A9" t="s">
        <v>122</v>
      </c>
      <c r="B9" s="11">
        <v>11.5</v>
      </c>
      <c r="C9" s="7">
        <f>IF(B9&gt;Inputs!$B$28,1,IF(B9&lt;Inputs!$B$29,-1,0))</f>
        <v>1</v>
      </c>
      <c r="D9" s="12">
        <v>3130</v>
      </c>
      <c r="E9" s="7">
        <f>(D9/Inputs!$B$27-1)*100</f>
        <v>-0.7609384908053296</v>
      </c>
      <c r="F9" s="7">
        <f>Inputs!$B$30+Inputs!$B$31*C9+Inputs!$B$32*E9</f>
        <v>0.42577108433734301</v>
      </c>
      <c r="G9" s="7">
        <f>Inputs!$B$33+Inputs!$B$34*C9</f>
        <v>5.2053000000000003</v>
      </c>
      <c r="H9" s="7">
        <f t="shared" si="0"/>
        <v>3.4934588459099523</v>
      </c>
      <c r="I9" s="7">
        <f>Inputs!$B$35</f>
        <v>0</v>
      </c>
      <c r="J9" s="7">
        <f>-(Inputs!$B$30+Inputs!$B$31*C9)/Inputs!$B$32</f>
        <v>-0.96766362400466099</v>
      </c>
      <c r="K9" s="6">
        <f>Inputs!$B$27*(1+J9/100)</f>
        <v>3123.4798892988929</v>
      </c>
    </row>
    <row r="10" spans="1:11" x14ac:dyDescent="0.3">
      <c r="A10" t="s">
        <v>145</v>
      </c>
      <c r="B10" s="11">
        <v>10.34</v>
      </c>
      <c r="C10" s="7">
        <f>IF(B10&gt;Inputs!$B$28,1,IF(B10&lt;Inputs!$B$29,-1,0))</f>
        <v>0</v>
      </c>
      <c r="D10" s="12">
        <v>3154</v>
      </c>
      <c r="E10" s="7">
        <f>(D10/Inputs!$B$27-1)*100</f>
        <v>0</v>
      </c>
      <c r="F10" s="7">
        <f>Inputs!$B$30+Inputs!$B$31*C10+Inputs!$B$32*E10</f>
        <v>-1.8660000000000001</v>
      </c>
      <c r="G10" s="7">
        <f>Inputs!$B$33+Inputs!$B$34*C10</f>
        <v>-0.45200000000000001</v>
      </c>
      <c r="H10" s="7">
        <f t="shared" si="0"/>
        <v>-0.96399999999999997</v>
      </c>
      <c r="I10" s="7">
        <f>Inputs!$B$35</f>
        <v>0</v>
      </c>
      <c r="J10" s="7">
        <f>-(Inputs!$B$30+Inputs!$B$31*C10)/Inputs!$B$32</f>
        <v>0.90600116527481067</v>
      </c>
      <c r="K10" s="6">
        <f>Inputs!$B$27*(1+J10/100)</f>
        <v>3182.5752767527679</v>
      </c>
    </row>
    <row r="11" spans="1:11" x14ac:dyDescent="0.3">
      <c r="A11" t="s">
        <v>146</v>
      </c>
      <c r="B11" s="11">
        <v>11</v>
      </c>
      <c r="C11" s="7">
        <f>IF(B11&gt;Inputs!$B$28,1,IF(B11&lt;Inputs!$B$29,-1,0))</f>
        <v>1</v>
      </c>
      <c r="D11" s="12">
        <v>3091</v>
      </c>
      <c r="E11" s="7">
        <f>(D11/Inputs!$B$27-1)*100</f>
        <v>-1.997463538363986</v>
      </c>
      <c r="F11" s="7">
        <f>Inputs!$B$30+Inputs!$B$31*C11+Inputs!$B$32*E11</f>
        <v>-2.120975903614466</v>
      </c>
      <c r="G11" s="7">
        <f>Inputs!$B$33+Inputs!$B$34*C11</f>
        <v>5.2053000000000003</v>
      </c>
      <c r="H11" s="7">
        <f t="shared" si="0"/>
        <v>1.8581544705136288</v>
      </c>
      <c r="I11" s="7">
        <f>Inputs!$B$35</f>
        <v>0</v>
      </c>
      <c r="J11" s="7">
        <f>-(Inputs!$B$30+Inputs!$B$31*C11)/Inputs!$B$32</f>
        <v>-0.96766362400466099</v>
      </c>
      <c r="K11" s="6">
        <f>Inputs!$B$27*(1+J11/100)</f>
        <v>3123.4798892988929</v>
      </c>
    </row>
    <row r="12" spans="1:11" x14ac:dyDescent="0.3">
      <c r="A12" t="s">
        <v>147</v>
      </c>
      <c r="B12" s="11">
        <v>9.9</v>
      </c>
      <c r="C12" s="7">
        <f>IF(B12&gt;Inputs!$B$28,1,IF(B12&lt;Inputs!$B$29,-1,0))</f>
        <v>-1</v>
      </c>
      <c r="D12" s="12">
        <v>3249</v>
      </c>
      <c r="E12" s="7">
        <f>(D12/Inputs!$B$27-1)*100</f>
        <v>3.0120481927710774</v>
      </c>
      <c r="F12" s="7">
        <f>Inputs!$B$30+Inputs!$B$31*C12+Inputs!$B$32*E12</f>
        <v>0.47861445783131185</v>
      </c>
      <c r="G12" s="7">
        <f>Inputs!$B$33+Inputs!$B$34*C12</f>
        <v>-6.1093000000000002</v>
      </c>
      <c r="H12" s="7">
        <f t="shared" si="0"/>
        <v>-2.4443662650602498</v>
      </c>
      <c r="I12" s="7">
        <f>Inputs!$B$35</f>
        <v>0</v>
      </c>
      <c r="J12" s="7">
        <f>-(Inputs!$B$30+Inputs!$B$31*C12)/Inputs!$B$32</f>
        <v>2.7796659545542819</v>
      </c>
      <c r="K12" s="6">
        <f>Inputs!$B$27*(1+J12/100)</f>
        <v>3241.670664206642</v>
      </c>
    </row>
    <row r="13" spans="1:11" x14ac:dyDescent="0.3">
      <c r="A13" t="s">
        <v>148</v>
      </c>
      <c r="B13" s="11">
        <v>11</v>
      </c>
      <c r="C13" s="7">
        <f>IF(B13&gt;Inputs!$B$28,1,IF(B13&lt;Inputs!$B$29,-1,0))</f>
        <v>1</v>
      </c>
      <c r="D13" s="12">
        <v>3236</v>
      </c>
      <c r="E13" s="7">
        <f>(D13/Inputs!$B$27-1)*100</f>
        <v>2.5998731769181882</v>
      </c>
      <c r="F13" s="7">
        <f>Inputs!$B$30+Inputs!$B$31*C13+Inputs!$B$32*E13</f>
        <v>7.3476987951807011</v>
      </c>
      <c r="G13" s="7">
        <f>Inputs!$B$33+Inputs!$B$34*C13</f>
        <v>5.2053000000000003</v>
      </c>
      <c r="H13" s="7">
        <f t="shared" si="0"/>
        <v>7.9381322764743043</v>
      </c>
      <c r="I13" s="7">
        <f>Inputs!$B$35</f>
        <v>0</v>
      </c>
      <c r="J13" s="7">
        <f>-(Inputs!$B$30+Inputs!$B$31*C13)/Inputs!$B$32</f>
        <v>-0.96766362400466099</v>
      </c>
      <c r="K13" s="6">
        <f>Inputs!$B$27*(1+J13/100)</f>
        <v>3123.4798892988929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4.4" x14ac:dyDescent="0.3"/>
  <cols>
    <col min="1" max="1" width="16" customWidth="1"/>
    <col min="2" max="8" width="20" customWidth="1"/>
  </cols>
  <sheetData>
    <row r="1" spans="1:8" ht="17.399999999999999" customHeight="1" x14ac:dyDescent="0.35">
      <c r="A1" s="2" t="s">
        <v>149</v>
      </c>
    </row>
    <row r="3" spans="1:8" ht="60" customHeight="1" x14ac:dyDescent="0.3">
      <c r="A3" s="3" t="s">
        <v>150</v>
      </c>
      <c r="B3" s="3" t="s">
        <v>151</v>
      </c>
      <c r="C3" s="3" t="s">
        <v>116</v>
      </c>
      <c r="D3" s="3" t="s">
        <v>152</v>
      </c>
      <c r="E3" s="3" t="s">
        <v>153</v>
      </c>
      <c r="F3" s="3" t="s">
        <v>154</v>
      </c>
      <c r="G3" s="3" t="s">
        <v>155</v>
      </c>
      <c r="H3" s="3" t="s">
        <v>156</v>
      </c>
    </row>
    <row r="4" spans="1:8" x14ac:dyDescent="0.3">
      <c r="A4" t="s">
        <v>157</v>
      </c>
      <c r="B4" s="8">
        <v>125</v>
      </c>
      <c r="C4" s="7">
        <f>(B4/Inputs!$B$4-1)*100</f>
        <v>-26.552676420471233</v>
      </c>
      <c r="D4" s="7">
        <f>(B4*Inputs!$B$5-Inputs!$B$6)/5800.957</f>
        <v>11.210564050035192</v>
      </c>
      <c r="E4" s="6">
        <f>(B4*Inputs!$B$5-Inputs!$B$6)/Inputs!$B$21/(Inputs!$B$10/100)</f>
        <v>10887.661141804787</v>
      </c>
      <c r="F4" s="7">
        <f>(E4/Inputs!$B$9-1)*100</f>
        <v>-23.49498045396977</v>
      </c>
      <c r="G4" s="7">
        <f>(EXP(LN(1+F4/100)-LN(1+Inputs!$B$18/100)-LN(1+Inputs!$B$19/100)-LN(1+Inputs!$B$20/100))-1)*100</f>
        <v>-25.274931583647298</v>
      </c>
      <c r="H4" s="7">
        <f>(-(Inputs!$B$11/100+Inputs!$B$12)+SQRT((Inputs!$B$11/100+Inputs!$B$12)^2-4*(Inputs!$B$12/100)*(Inputs!$B$11-(B4*Inputs!$B$5-Inputs!$B$6)/(Inputs!$B$7*Inputs!$B$8/100))))/(2*(Inputs!$B$12/100))-Inputs!$B$17</f>
        <v>1.4949391845789139</v>
      </c>
    </row>
    <row r="5" spans="1:8" x14ac:dyDescent="0.3">
      <c r="A5" t="s">
        <v>158</v>
      </c>
      <c r="B5" s="8">
        <v>165</v>
      </c>
      <c r="C5" s="7">
        <f>(B5/Inputs!$B$4-1)*100</f>
        <v>-3.0495328750220319</v>
      </c>
      <c r="D5" s="7">
        <f>(B5*Inputs!$B$5-Inputs!$B$6)/5800.957</f>
        <v>15.327126196591355</v>
      </c>
      <c r="E5" s="6">
        <f>(B5*Inputs!$B$5-Inputs!$B$6)/Inputs!$B$21/(Inputs!$B$10/100)</f>
        <v>14885.652101121714</v>
      </c>
      <c r="F5" s="7">
        <f>(E5/Inputs!$B$9-1)*100</f>
        <v>4.5979563580489602</v>
      </c>
      <c r="G5" s="7">
        <f>(EXP(LN(1+F5/100)-LN(1+Inputs!$B$18/100)-LN(1+Inputs!$B$19/100)-LN(1+Inputs!$B$20/100))-1)*100</f>
        <v>2.164400341904793</v>
      </c>
      <c r="H5" s="7">
        <f>(-(Inputs!$B$11/100+Inputs!$B$12)+SQRT((Inputs!$B$11/100+Inputs!$B$12)^2-4*(Inputs!$B$12/100)*(Inputs!$B$11-(B5*Inputs!$B$5-Inputs!$B$6)/(Inputs!$B$7*Inputs!$B$8/100))))/(2*(Inputs!$B$12/100))-Inputs!$B$17</f>
        <v>10.424639114427112</v>
      </c>
    </row>
    <row r="6" spans="1:8" x14ac:dyDescent="0.3">
      <c r="A6" t="s">
        <v>159</v>
      </c>
      <c r="B6" s="8">
        <v>182.5</v>
      </c>
      <c r="C6" s="7">
        <f>(B6/Inputs!$B$4-1)*100</f>
        <v>7.2330924261119867</v>
      </c>
      <c r="D6" s="7">
        <f>(B6*Inputs!$B$5-Inputs!$B$6)/5800.957</f>
        <v>17.128122135709678</v>
      </c>
      <c r="E6" s="6">
        <f>(B6*Inputs!$B$5-Inputs!$B$6)/Inputs!$B$21/(Inputs!$B$10/100)</f>
        <v>16634.773145822866</v>
      </c>
      <c r="F6" s="7">
        <f>(E6/Inputs!$B$9-1)*100</f>
        <v>16.888616213307152</v>
      </c>
      <c r="G6" s="7">
        <f>(EXP(LN(1+F6/100)-LN(1+Inputs!$B$18/100)-LN(1+Inputs!$B$19/100)-LN(1+Inputs!$B$20/100))-1)*100</f>
        <v>14.169108059333823</v>
      </c>
      <c r="H6" s="7">
        <f>(-(Inputs!$B$11/100+Inputs!$B$12)+SQRT((Inputs!$B$11/100+Inputs!$B$12)^2-4*(Inputs!$B$12/100)*(Inputs!$B$11-(B6*Inputs!$B$5-Inputs!$B$6)/(Inputs!$B$7*Inputs!$B$8/100))))/(2*(Inputs!$B$12/100))-Inputs!$B$17</f>
        <v>14.023506593621272</v>
      </c>
    </row>
    <row r="7" spans="1:8" x14ac:dyDescent="0.3">
      <c r="A7" t="s">
        <v>160</v>
      </c>
      <c r="B7" s="8">
        <v>182.125</v>
      </c>
      <c r="C7" s="7">
        <f>(B7/Inputs!$B$4-1)*100</f>
        <v>7.0127504553734177</v>
      </c>
      <c r="D7" s="7">
        <f>(B7*Inputs!$B$5-Inputs!$B$6)/5800.957</f>
        <v>17.089529365585712</v>
      </c>
      <c r="E7" s="6">
        <f>(B7*Inputs!$B$5-Inputs!$B$6)/Inputs!$B$21/(Inputs!$B$10/100)</f>
        <v>16597.29198057927</v>
      </c>
      <c r="F7" s="7">
        <f>(E7/Inputs!$B$9-1)*100</f>
        <v>16.625244930694461</v>
      </c>
      <c r="G7" s="7">
        <f>(EXP(LN(1+F7/100)-LN(1+Inputs!$B$18/100)-LN(1+Inputs!$B$19/100)-LN(1+Inputs!$B$20/100))-1)*100</f>
        <v>13.911864322531752</v>
      </c>
      <c r="H7" s="7">
        <f>(-(Inputs!$B$11/100+Inputs!$B$12)+SQRT((Inputs!$B$11/100+Inputs!$B$12)^2-4*(Inputs!$B$12/100)*(Inputs!$B$11-(B7*Inputs!$B$5-Inputs!$B$6)/(Inputs!$B$7*Inputs!$B$8/100))))/(2*(Inputs!$B$12/100))-Inputs!$B$17</f>
        <v>13.948060109156996</v>
      </c>
    </row>
    <row r="8" spans="1:8" x14ac:dyDescent="0.3">
      <c r="A8" t="s">
        <v>161</v>
      </c>
      <c r="B8" s="8">
        <v>200</v>
      </c>
      <c r="C8" s="7">
        <f>(B8/Inputs!$B$4-1)*100</f>
        <v>17.515717727246027</v>
      </c>
      <c r="D8" s="7">
        <f>(B8*Inputs!$B$5-Inputs!$B$6)/5800.957</f>
        <v>18.929118074827997</v>
      </c>
      <c r="E8" s="6">
        <f>(B8*Inputs!$B$5-Inputs!$B$6)/Inputs!$B$21/(Inputs!$B$10/100)</f>
        <v>18383.894190524021</v>
      </c>
      <c r="F8" s="7">
        <f>(E8/Inputs!$B$9-1)*100</f>
        <v>29.17927606856534</v>
      </c>
      <c r="G8" s="7">
        <f>(EXP(LN(1+F8/100)-LN(1+Inputs!$B$18/100)-LN(1+Inputs!$B$19/100)-LN(1+Inputs!$B$20/100))-1)*100</f>
        <v>26.173815776762854</v>
      </c>
      <c r="H8" s="7">
        <f>(-(Inputs!$B$11/100+Inputs!$B$12)+SQRT((Inputs!$B$11/100+Inputs!$B$12)^2-4*(Inputs!$B$12/100)*(Inputs!$B$11-(B8*Inputs!$B$5-Inputs!$B$6)/(Inputs!$B$7*Inputs!$B$8/100))))/(2*(Inputs!$B$12/100))-Inputs!$B$17</f>
        <v>17.46966076892155</v>
      </c>
    </row>
    <row r="9" spans="1:8" x14ac:dyDescent="0.3">
      <c r="A9" t="s">
        <v>162</v>
      </c>
      <c r="B9" s="8">
        <v>220</v>
      </c>
      <c r="C9" s="7">
        <f>(B9/Inputs!$B$4-1)*100</f>
        <v>29.267289499970616</v>
      </c>
      <c r="D9" s="7">
        <f>(B9*Inputs!$B$5-Inputs!$B$6)/5800.957</f>
        <v>20.987399148106078</v>
      </c>
      <c r="E9" s="6">
        <f>(B9*Inputs!$B$5-Inputs!$B$6)/Inputs!$B$21/(Inputs!$B$10/100)</f>
        <v>20382.889670182485</v>
      </c>
      <c r="F9" s="7">
        <f>(E9/Inputs!$B$9-1)*100</f>
        <v>43.225744474574725</v>
      </c>
      <c r="G9" s="7">
        <f>(EXP(LN(1+F9/100)-LN(1+Inputs!$B$18/100)-LN(1+Inputs!$B$19/100)-LN(1+Inputs!$B$20/100))-1)*100</f>
        <v>39.893481739538906</v>
      </c>
      <c r="H9" s="7">
        <f>(-(Inputs!$B$11/100+Inputs!$B$12)+SQRT((Inputs!$B$11/100+Inputs!$B$12)^2-4*(Inputs!$B$12/100)*(Inputs!$B$11-(B9*Inputs!$B$5-Inputs!$B$6)/(Inputs!$B$7*Inputs!$B$8/100))))/(2*(Inputs!$B$12/100))-Inputs!$B$17</f>
        <v>21.243975937967242</v>
      </c>
    </row>
    <row r="12" spans="1:8" x14ac:dyDescent="0.3">
      <c r="A12" s="13" t="s">
        <v>163</v>
      </c>
    </row>
    <row r="13" spans="1:8" ht="28.8" customHeight="1" x14ac:dyDescent="0.3">
      <c r="A13" s="3" t="s">
        <v>164</v>
      </c>
      <c r="B13" s="3" t="s">
        <v>165</v>
      </c>
      <c r="C13" s="3" t="s">
        <v>166</v>
      </c>
      <c r="D13" s="3" t="s">
        <v>167</v>
      </c>
      <c r="E13" s="3" t="s">
        <v>168</v>
      </c>
    </row>
    <row r="14" spans="1:8" x14ac:dyDescent="0.3">
      <c r="A14" t="s">
        <v>169</v>
      </c>
      <c r="B14" s="14">
        <v>14990</v>
      </c>
      <c r="C14" s="7">
        <f>(B14/Inputs!$B$9-1)*100</f>
        <v>5.3311843616849375</v>
      </c>
      <c r="D14" s="7">
        <f>(EXP(LN(1+C14/100)-LN(1+Inputs!$B$18/100)-LN(1+Inputs!$B$19/100)-LN(1+Inputs!$B$20/100))-1)*100</f>
        <v>2.8805692032632058</v>
      </c>
      <c r="E14" s="7">
        <f>((Inputs!$B$11+Inputs!$B$12*(C14+Inputs!$B$17))*Inputs!$B$7*(1+(C14+Inputs!$B$17)/100)*Inputs!$B$8/100+Inputs!$B$6)/Inputs!$B$5</f>
        <v>141.58655105665073</v>
      </c>
    </row>
    <row r="15" spans="1:8" x14ac:dyDescent="0.3">
      <c r="A15" t="s">
        <v>170</v>
      </c>
      <c r="B15" s="14">
        <v>15730</v>
      </c>
      <c r="C15" s="7">
        <f>(B15/Inputs!$B$9-1)*100</f>
        <v>10.530989326838158</v>
      </c>
      <c r="D15" s="7">
        <f>(EXP(LN(1+C15/100)-LN(1+Inputs!$B$18/100)-LN(1+Inputs!$B$19/100)-LN(1+Inputs!$B$20/100))-1)*100</f>
        <v>7.9593965021567792</v>
      </c>
      <c r="E15" s="7">
        <f>((Inputs!$B$11+Inputs!$B$12*(C15+Inputs!$B$17))*Inputs!$B$7*(1+(C15+Inputs!$B$17)/100)*Inputs!$B$8/100+Inputs!$B$6)/Inputs!$B$5</f>
        <v>165.50578208568538</v>
      </c>
    </row>
    <row r="16" spans="1:8" x14ac:dyDescent="0.3">
      <c r="A16" t="s">
        <v>171</v>
      </c>
      <c r="B16" s="14">
        <v>16290</v>
      </c>
      <c r="C16" s="7">
        <f>(B16/Inputs!$B$9-1)*100</f>
        <v>14.465976868035213</v>
      </c>
      <c r="D16" s="7">
        <f>(EXP(LN(1+C16/100)-LN(1+Inputs!$B$18/100)-LN(1+Inputs!$B$19/100)-LN(1+Inputs!$B$20/100))-1)*100</f>
        <v>11.802833376995192</v>
      </c>
      <c r="E16" s="7">
        <f>((Inputs!$B$11+Inputs!$B$12*(C16+Inputs!$B$17))*Inputs!$B$7*(1+(C16+Inputs!$B$17)/100)*Inputs!$B$8/100+Inputs!$B$6)/Inputs!$B$5</f>
        <v>184.70626822962754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12"/>
  <sheetViews>
    <sheetView workbookViewId="0"/>
  </sheetViews>
  <sheetFormatPr defaultRowHeight="14.4" x14ac:dyDescent="0.3"/>
  <cols>
    <col min="1" max="1" width="44" customWidth="1"/>
    <col min="2" max="2" width="16" customWidth="1"/>
    <col min="3" max="3" width="12" customWidth="1"/>
    <col min="4" max="4" width="90" customWidth="1"/>
  </cols>
  <sheetData>
    <row r="1" spans="1:4" ht="17.399999999999999" customHeight="1" x14ac:dyDescent="0.35">
      <c r="A1" s="2" t="s">
        <v>172</v>
      </c>
    </row>
    <row r="3" spans="1:4" x14ac:dyDescent="0.3">
      <c r="A3" s="3" t="s">
        <v>13</v>
      </c>
      <c r="B3" s="3" t="s">
        <v>14</v>
      </c>
      <c r="C3" s="3" t="s">
        <v>79</v>
      </c>
      <c r="D3" s="3" t="s">
        <v>173</v>
      </c>
    </row>
    <row r="4" spans="1:4" x14ac:dyDescent="0.3">
      <c r="A4" t="s">
        <v>174</v>
      </c>
      <c r="B4" s="15" t="s">
        <v>175</v>
      </c>
      <c r="C4" t="s">
        <v>176</v>
      </c>
      <c r="D4" s="5" t="s">
        <v>177</v>
      </c>
    </row>
    <row r="5" spans="1:4" x14ac:dyDescent="0.3">
      <c r="A5" t="s">
        <v>178</v>
      </c>
      <c r="B5" s="15">
        <v>170.19000244140619</v>
      </c>
      <c r="C5" t="s">
        <v>179</v>
      </c>
      <c r="D5" s="5" t="s">
        <v>180</v>
      </c>
    </row>
    <row r="6" spans="1:4" x14ac:dyDescent="0.3">
      <c r="A6" t="s">
        <v>181</v>
      </c>
      <c r="B6" s="15">
        <v>4</v>
      </c>
      <c r="C6" t="s">
        <v>182</v>
      </c>
      <c r="D6" s="5" t="s">
        <v>183</v>
      </c>
    </row>
    <row r="7" spans="1:4" x14ac:dyDescent="0.3">
      <c r="A7" t="s">
        <v>184</v>
      </c>
      <c r="B7" s="15" t="s">
        <v>185</v>
      </c>
      <c r="C7" t="s">
        <v>176</v>
      </c>
      <c r="D7" s="5" t="s">
        <v>186</v>
      </c>
    </row>
    <row r="8" spans="1:4" x14ac:dyDescent="0.3">
      <c r="A8" t="s">
        <v>187</v>
      </c>
      <c r="B8" s="15">
        <v>13.544</v>
      </c>
      <c r="C8" t="s">
        <v>176</v>
      </c>
      <c r="D8" s="5" t="s">
        <v>188</v>
      </c>
    </row>
    <row r="9" spans="1:4" x14ac:dyDescent="0.3">
      <c r="A9" t="s">
        <v>189</v>
      </c>
      <c r="B9" s="15">
        <v>13.388</v>
      </c>
      <c r="C9" t="s">
        <v>176</v>
      </c>
      <c r="D9" s="5" t="s">
        <v>190</v>
      </c>
    </row>
    <row r="10" spans="1:4" x14ac:dyDescent="0.3">
      <c r="A10" t="s">
        <v>191</v>
      </c>
      <c r="B10" s="15">
        <v>11.51</v>
      </c>
      <c r="C10" t="s">
        <v>176</v>
      </c>
      <c r="D10" s="5" t="s">
        <v>192</v>
      </c>
    </row>
    <row r="11" spans="1:4" x14ac:dyDescent="0.3">
      <c r="A11" t="s">
        <v>193</v>
      </c>
      <c r="B11" s="15">
        <v>7.7270000000000003</v>
      </c>
      <c r="C11" t="s">
        <v>176</v>
      </c>
      <c r="D11" s="5" t="s">
        <v>194</v>
      </c>
    </row>
    <row r="12" spans="1:4" x14ac:dyDescent="0.3">
      <c r="A12" t="s">
        <v>195</v>
      </c>
      <c r="B12" s="15">
        <v>31.11</v>
      </c>
      <c r="C12" t="s">
        <v>176</v>
      </c>
      <c r="D12" s="5" t="s">
        <v>196</v>
      </c>
    </row>
    <row r="13" spans="1:4" x14ac:dyDescent="0.3">
      <c r="A13" t="s">
        <v>197</v>
      </c>
      <c r="B13" s="15">
        <v>38.42</v>
      </c>
      <c r="C13" t="s">
        <v>176</v>
      </c>
      <c r="D13" s="5" t="s">
        <v>198</v>
      </c>
    </row>
    <row r="14" spans="1:4" x14ac:dyDescent="0.3">
      <c r="A14" t="s">
        <v>199</v>
      </c>
      <c r="B14" s="15">
        <v>39.520000000000003</v>
      </c>
      <c r="C14" t="s">
        <v>176</v>
      </c>
      <c r="D14" s="5" t="s">
        <v>200</v>
      </c>
    </row>
    <row r="15" spans="1:4" x14ac:dyDescent="0.3">
      <c r="A15" t="s">
        <v>201</v>
      </c>
      <c r="B15" s="15">
        <v>9.8800000000000008</v>
      </c>
      <c r="C15" t="s">
        <v>176</v>
      </c>
      <c r="D15" s="5" t="s">
        <v>202</v>
      </c>
    </row>
    <row r="16" spans="1:4" x14ac:dyDescent="0.3">
      <c r="A16" t="s">
        <v>203</v>
      </c>
      <c r="B16" s="15">
        <v>9.16</v>
      </c>
      <c r="C16" t="s">
        <v>176</v>
      </c>
      <c r="D16" s="5" t="s">
        <v>204</v>
      </c>
    </row>
    <row r="17" spans="1:4" x14ac:dyDescent="0.3">
      <c r="A17" t="s">
        <v>205</v>
      </c>
      <c r="B17" s="15">
        <v>9.73</v>
      </c>
      <c r="C17" t="s">
        <v>176</v>
      </c>
      <c r="D17" s="5" t="s">
        <v>206</v>
      </c>
    </row>
    <row r="18" spans="1:4" x14ac:dyDescent="0.3">
      <c r="A18" t="s">
        <v>207</v>
      </c>
      <c r="B18" s="15">
        <v>8.3000000000000007</v>
      </c>
      <c r="C18" t="s">
        <v>176</v>
      </c>
      <c r="D18" s="5" t="s">
        <v>208</v>
      </c>
    </row>
    <row r="19" spans="1:4" x14ac:dyDescent="0.3">
      <c r="A19" t="s">
        <v>209</v>
      </c>
      <c r="B19" s="15" t="s">
        <v>210</v>
      </c>
      <c r="C19" t="s">
        <v>182</v>
      </c>
      <c r="D19" s="5" t="s">
        <v>211</v>
      </c>
    </row>
    <row r="20" spans="1:4" x14ac:dyDescent="0.3">
      <c r="A20" t="s">
        <v>212</v>
      </c>
      <c r="B20" s="15" t="s">
        <v>213</v>
      </c>
      <c r="C20" t="s">
        <v>182</v>
      </c>
      <c r="D20" s="5" t="s">
        <v>75</v>
      </c>
    </row>
    <row r="21" spans="1:4" x14ac:dyDescent="0.3">
      <c r="A21" t="s">
        <v>214</v>
      </c>
      <c r="B21" s="15">
        <v>9.77</v>
      </c>
      <c r="C21" t="s">
        <v>176</v>
      </c>
      <c r="D21" s="5" t="s">
        <v>215</v>
      </c>
    </row>
    <row r="22" spans="1:4" x14ac:dyDescent="0.3">
      <c r="A22" t="s">
        <v>216</v>
      </c>
      <c r="B22" s="15">
        <v>10.47</v>
      </c>
      <c r="C22" t="s">
        <v>176</v>
      </c>
      <c r="D22" s="5" t="s">
        <v>217</v>
      </c>
    </row>
    <row r="23" spans="1:4" x14ac:dyDescent="0.3">
      <c r="A23" t="s">
        <v>218</v>
      </c>
      <c r="B23" s="15">
        <v>8.51</v>
      </c>
      <c r="C23" t="s">
        <v>176</v>
      </c>
      <c r="D23" s="5" t="s">
        <v>219</v>
      </c>
    </row>
    <row r="24" spans="1:4" x14ac:dyDescent="0.3">
      <c r="A24" t="s">
        <v>220</v>
      </c>
      <c r="B24" s="15">
        <v>8.92</v>
      </c>
      <c r="C24" t="s">
        <v>176</v>
      </c>
      <c r="D24" s="5" t="s">
        <v>221</v>
      </c>
    </row>
    <row r="25" spans="1:4" x14ac:dyDescent="0.3">
      <c r="A25" t="s">
        <v>222</v>
      </c>
      <c r="B25" s="15">
        <v>7.07</v>
      </c>
      <c r="C25" t="s">
        <v>176</v>
      </c>
      <c r="D25" s="5" t="s">
        <v>223</v>
      </c>
    </row>
    <row r="26" spans="1:4" x14ac:dyDescent="0.3">
      <c r="A26" t="s">
        <v>224</v>
      </c>
      <c r="B26" s="15">
        <v>6.87</v>
      </c>
      <c r="C26" t="s">
        <v>176</v>
      </c>
      <c r="D26" s="5" t="s">
        <v>223</v>
      </c>
    </row>
    <row r="27" spans="1:4" x14ac:dyDescent="0.3">
      <c r="A27" t="s">
        <v>225</v>
      </c>
      <c r="B27" s="15">
        <v>0.48</v>
      </c>
      <c r="C27" t="s">
        <v>176</v>
      </c>
      <c r="D27" s="5" t="s">
        <v>223</v>
      </c>
    </row>
    <row r="28" spans="1:4" x14ac:dyDescent="0.3">
      <c r="A28" t="s">
        <v>226</v>
      </c>
      <c r="B28" s="15">
        <v>0.35</v>
      </c>
      <c r="C28" t="s">
        <v>176</v>
      </c>
      <c r="D28" s="5" t="s">
        <v>223</v>
      </c>
    </row>
    <row r="29" spans="1:4" x14ac:dyDescent="0.3">
      <c r="A29" t="s">
        <v>227</v>
      </c>
      <c r="B29" s="15" t="s">
        <v>228</v>
      </c>
      <c r="C29" t="s">
        <v>176</v>
      </c>
      <c r="D29" s="5" t="s">
        <v>223</v>
      </c>
    </row>
    <row r="30" spans="1:4" x14ac:dyDescent="0.3">
      <c r="A30" t="s">
        <v>229</v>
      </c>
      <c r="B30" s="15">
        <v>0.85299999999999998</v>
      </c>
      <c r="C30" t="s">
        <v>176</v>
      </c>
      <c r="D30" s="5" t="s">
        <v>230</v>
      </c>
    </row>
    <row r="31" spans="1:4" x14ac:dyDescent="0.3">
      <c r="A31" t="s">
        <v>231</v>
      </c>
      <c r="B31" s="15">
        <v>8.48</v>
      </c>
      <c r="C31" t="s">
        <v>176</v>
      </c>
      <c r="D31" s="5" t="s">
        <v>232</v>
      </c>
    </row>
    <row r="32" spans="1:4" x14ac:dyDescent="0.3">
      <c r="A32" t="s">
        <v>233</v>
      </c>
      <c r="B32" s="15">
        <v>6.81</v>
      </c>
      <c r="C32" t="s">
        <v>176</v>
      </c>
      <c r="D32" s="5" t="s">
        <v>223</v>
      </c>
    </row>
    <row r="33" spans="1:4" x14ac:dyDescent="0.3">
      <c r="A33" t="s">
        <v>234</v>
      </c>
      <c r="B33" s="15">
        <v>5.14</v>
      </c>
      <c r="C33" t="s">
        <v>176</v>
      </c>
      <c r="D33" s="5" t="s">
        <v>223</v>
      </c>
    </row>
    <row r="34" spans="1:4" x14ac:dyDescent="0.3">
      <c r="A34" t="s">
        <v>235</v>
      </c>
      <c r="B34" s="15" t="s">
        <v>236</v>
      </c>
      <c r="C34" t="s">
        <v>176</v>
      </c>
      <c r="D34" s="5" t="s">
        <v>223</v>
      </c>
    </row>
    <row r="35" spans="1:4" x14ac:dyDescent="0.3">
      <c r="A35" t="s">
        <v>237</v>
      </c>
      <c r="B35" s="15">
        <v>0.81</v>
      </c>
      <c r="C35" t="s">
        <v>176</v>
      </c>
      <c r="D35" s="5" t="s">
        <v>238</v>
      </c>
    </row>
    <row r="36" spans="1:4" x14ac:dyDescent="0.3">
      <c r="A36" t="s">
        <v>239</v>
      </c>
      <c r="B36" s="15" t="s">
        <v>240</v>
      </c>
      <c r="C36" t="s">
        <v>176</v>
      </c>
      <c r="D36" s="5" t="s">
        <v>241</v>
      </c>
    </row>
    <row r="37" spans="1:4" x14ac:dyDescent="0.3">
      <c r="A37" t="s">
        <v>242</v>
      </c>
      <c r="B37" s="15" t="s">
        <v>243</v>
      </c>
      <c r="C37" t="s">
        <v>176</v>
      </c>
      <c r="D37" s="5" t="s">
        <v>244</v>
      </c>
    </row>
    <row r="38" spans="1:4" x14ac:dyDescent="0.3">
      <c r="A38" t="s">
        <v>245</v>
      </c>
      <c r="B38" s="15">
        <v>-3.47</v>
      </c>
      <c r="C38" t="s">
        <v>176</v>
      </c>
      <c r="D38" s="5" t="s">
        <v>246</v>
      </c>
    </row>
    <row r="39" spans="1:4" x14ac:dyDescent="0.3">
      <c r="A39" t="s">
        <v>247</v>
      </c>
      <c r="B39" s="15">
        <v>3.31</v>
      </c>
      <c r="C39" t="s">
        <v>176</v>
      </c>
      <c r="D39" s="5" t="s">
        <v>248</v>
      </c>
    </row>
    <row r="40" spans="1:4" x14ac:dyDescent="0.3">
      <c r="A40" t="s">
        <v>249</v>
      </c>
      <c r="B40" s="15">
        <v>0.84499999999999997</v>
      </c>
      <c r="C40" t="s">
        <v>176</v>
      </c>
      <c r="D40" s="5" t="s">
        <v>250</v>
      </c>
    </row>
    <row r="41" spans="1:4" x14ac:dyDescent="0.3">
      <c r="A41" t="s">
        <v>251</v>
      </c>
      <c r="B41" s="15">
        <v>0.49299999999999999</v>
      </c>
      <c r="C41" t="s">
        <v>176</v>
      </c>
      <c r="D41" s="5" t="s">
        <v>252</v>
      </c>
    </row>
    <row r="42" spans="1:4" x14ac:dyDescent="0.3">
      <c r="A42" t="s">
        <v>253</v>
      </c>
      <c r="B42" s="15">
        <v>98.7</v>
      </c>
      <c r="C42" t="s">
        <v>176</v>
      </c>
      <c r="D42" s="5" t="s">
        <v>254</v>
      </c>
    </row>
    <row r="43" spans="1:4" x14ac:dyDescent="0.3">
      <c r="A43" t="s">
        <v>255</v>
      </c>
      <c r="B43" s="15">
        <v>125.5</v>
      </c>
      <c r="C43" t="s">
        <v>176</v>
      </c>
      <c r="D43" s="5"/>
    </row>
    <row r="44" spans="1:4" x14ac:dyDescent="0.3">
      <c r="A44" t="s">
        <v>256</v>
      </c>
      <c r="B44" s="15">
        <v>163.80000000000001</v>
      </c>
      <c r="C44" t="s">
        <v>176</v>
      </c>
      <c r="D44" s="5" t="s">
        <v>257</v>
      </c>
    </row>
    <row r="45" spans="1:4" x14ac:dyDescent="0.3">
      <c r="A45" t="s">
        <v>258</v>
      </c>
      <c r="B45" s="15">
        <v>213.9</v>
      </c>
      <c r="C45" t="s">
        <v>176</v>
      </c>
      <c r="D45" s="5"/>
    </row>
    <row r="46" spans="1:4" x14ac:dyDescent="0.3">
      <c r="A46" t="s">
        <v>259</v>
      </c>
      <c r="B46" s="15">
        <v>271.89999999999998</v>
      </c>
      <c r="C46" t="s">
        <v>176</v>
      </c>
      <c r="D46" s="5"/>
    </row>
    <row r="47" spans="1:4" x14ac:dyDescent="0.3">
      <c r="A47" t="s">
        <v>260</v>
      </c>
      <c r="B47" s="15">
        <v>123.8</v>
      </c>
      <c r="C47" t="s">
        <v>176</v>
      </c>
      <c r="D47" s="5" t="s">
        <v>261</v>
      </c>
    </row>
    <row r="48" spans="1:4" x14ac:dyDescent="0.3">
      <c r="A48" t="s">
        <v>262</v>
      </c>
      <c r="B48" s="15">
        <v>166.8</v>
      </c>
      <c r="C48" t="s">
        <v>176</v>
      </c>
      <c r="D48" s="5" t="s">
        <v>263</v>
      </c>
    </row>
    <row r="49" spans="1:10" x14ac:dyDescent="0.3">
      <c r="A49" t="s">
        <v>264</v>
      </c>
      <c r="B49" s="15">
        <v>217.2</v>
      </c>
      <c r="C49" t="s">
        <v>176</v>
      </c>
      <c r="D49" s="5" t="s">
        <v>263</v>
      </c>
    </row>
    <row r="50" spans="1:10" x14ac:dyDescent="0.3">
      <c r="A50" t="s">
        <v>265</v>
      </c>
      <c r="B50" s="15" t="s">
        <v>266</v>
      </c>
      <c r="C50" t="s">
        <v>182</v>
      </c>
      <c r="D50" s="5" t="s">
        <v>267</v>
      </c>
    </row>
    <row r="51" spans="1:10" x14ac:dyDescent="0.3">
      <c r="A51" t="s">
        <v>268</v>
      </c>
      <c r="B51" s="15" t="s">
        <v>269</v>
      </c>
      <c r="C51" t="s">
        <v>176</v>
      </c>
      <c r="D51" s="5" t="s">
        <v>270</v>
      </c>
    </row>
    <row r="52" spans="1:10" x14ac:dyDescent="0.3">
      <c r="A52" t="s">
        <v>271</v>
      </c>
      <c r="B52" s="15" t="s">
        <v>272</v>
      </c>
      <c r="C52" t="s">
        <v>176</v>
      </c>
      <c r="D52" s="5" t="s">
        <v>273</v>
      </c>
    </row>
    <row r="53" spans="1:10" x14ac:dyDescent="0.3">
      <c r="A53" t="s">
        <v>274</v>
      </c>
      <c r="B53" s="15" t="s">
        <v>275</v>
      </c>
      <c r="C53" t="s">
        <v>176</v>
      </c>
      <c r="D53" s="5" t="s">
        <v>101</v>
      </c>
    </row>
    <row r="54" spans="1:10" x14ac:dyDescent="0.3">
      <c r="A54" t="s">
        <v>276</v>
      </c>
      <c r="B54" s="15" t="s">
        <v>277</v>
      </c>
      <c r="C54" t="s">
        <v>176</v>
      </c>
      <c r="D54" s="5" t="s">
        <v>278</v>
      </c>
    </row>
    <row r="55" spans="1:10" x14ac:dyDescent="0.3">
      <c r="A55" t="s">
        <v>279</v>
      </c>
      <c r="B55" s="15" t="s">
        <v>280</v>
      </c>
      <c r="C55" t="s">
        <v>176</v>
      </c>
      <c r="D55" s="5" t="s">
        <v>281</v>
      </c>
    </row>
    <row r="56" spans="1:10" x14ac:dyDescent="0.3">
      <c r="A56" t="s">
        <v>282</v>
      </c>
      <c r="B56" s="15" t="s">
        <v>283</v>
      </c>
      <c r="C56" t="s">
        <v>176</v>
      </c>
      <c r="D56" s="5" t="s">
        <v>284</v>
      </c>
    </row>
    <row r="59" spans="1:10" x14ac:dyDescent="0.3">
      <c r="A59" s="13" t="s">
        <v>285</v>
      </c>
    </row>
    <row r="60" spans="1:10" ht="28.8" customHeight="1" x14ac:dyDescent="0.3">
      <c r="A60" s="3" t="s">
        <v>286</v>
      </c>
      <c r="B60" s="3" t="s">
        <v>287</v>
      </c>
      <c r="C60" s="3" t="s">
        <v>288</v>
      </c>
      <c r="D60" s="3" t="s">
        <v>158</v>
      </c>
      <c r="E60" s="3" t="s">
        <v>289</v>
      </c>
      <c r="F60" s="3" t="s">
        <v>161</v>
      </c>
      <c r="G60" s="3" t="s">
        <v>290</v>
      </c>
      <c r="H60" s="3" t="s">
        <v>291</v>
      </c>
      <c r="I60" s="3" t="s">
        <v>292</v>
      </c>
      <c r="J60" s="3" t="s">
        <v>293</v>
      </c>
    </row>
    <row r="61" spans="1:10" x14ac:dyDescent="0.3">
      <c r="A61" s="15" t="s">
        <v>294</v>
      </c>
      <c r="B61" s="15">
        <v>85.5</v>
      </c>
      <c r="C61" s="15">
        <v>98.7</v>
      </c>
      <c r="D61" s="15">
        <v>125.5</v>
      </c>
      <c r="E61" s="15">
        <v>163.80000000000001</v>
      </c>
      <c r="F61" s="15">
        <v>213.9</v>
      </c>
      <c r="G61" s="15">
        <v>271.89999999999998</v>
      </c>
      <c r="H61" s="15">
        <v>313.8</v>
      </c>
      <c r="I61" s="15">
        <v>39.520000000000003</v>
      </c>
      <c r="J61" s="15">
        <v>177.14</v>
      </c>
    </row>
    <row r="62" spans="1:10" x14ac:dyDescent="0.3">
      <c r="A62" s="15" t="s">
        <v>295</v>
      </c>
      <c r="B62" s="15">
        <v>86.1</v>
      </c>
      <c r="C62" s="15">
        <v>99.3</v>
      </c>
      <c r="D62" s="15">
        <v>126.1</v>
      </c>
      <c r="E62" s="15">
        <v>164.5</v>
      </c>
      <c r="F62" s="15">
        <v>214.5</v>
      </c>
      <c r="G62" s="15">
        <v>272.39999999999998</v>
      </c>
      <c r="H62" s="15">
        <v>314.3</v>
      </c>
      <c r="I62" s="15">
        <v>39.049999999999997</v>
      </c>
      <c r="J62" s="15">
        <v>177.71</v>
      </c>
    </row>
    <row r="63" spans="1:10" x14ac:dyDescent="0.3">
      <c r="A63" s="15" t="s">
        <v>296</v>
      </c>
      <c r="B63" s="15">
        <v>84.2</v>
      </c>
      <c r="C63" s="15">
        <v>97.5</v>
      </c>
      <c r="D63" s="15">
        <v>124.5</v>
      </c>
      <c r="E63" s="15">
        <v>164.3</v>
      </c>
      <c r="F63" s="15">
        <v>213.5</v>
      </c>
      <c r="G63" s="15">
        <v>270.2</v>
      </c>
      <c r="H63" s="15">
        <v>311.2</v>
      </c>
      <c r="I63" s="15">
        <v>39.520000000000003</v>
      </c>
      <c r="J63" s="15">
        <v>177.14</v>
      </c>
    </row>
    <row r="64" spans="1:10" x14ac:dyDescent="0.3">
      <c r="A64" s="15" t="s">
        <v>297</v>
      </c>
      <c r="B64" s="15">
        <v>80.900000000000006</v>
      </c>
      <c r="C64" s="15">
        <v>94.4</v>
      </c>
      <c r="D64" s="15">
        <v>123.8</v>
      </c>
      <c r="E64" s="15">
        <v>166.8</v>
      </c>
      <c r="F64" s="15">
        <v>217.2</v>
      </c>
      <c r="G64" s="15">
        <v>264.10000000000002</v>
      </c>
      <c r="H64" s="15">
        <v>301.60000000000002</v>
      </c>
      <c r="I64" s="15">
        <v>39.520000000000003</v>
      </c>
      <c r="J64" s="15">
        <v>177.14</v>
      </c>
    </row>
    <row r="67" spans="1:14" x14ac:dyDescent="0.3">
      <c r="A67" s="13" t="s">
        <v>298</v>
      </c>
    </row>
    <row r="68" spans="1:14" ht="72" customHeight="1" x14ac:dyDescent="0.3">
      <c r="A68" s="3" t="s">
        <v>299</v>
      </c>
      <c r="B68" s="3" t="s">
        <v>300</v>
      </c>
      <c r="C68" s="3" t="s">
        <v>301</v>
      </c>
      <c r="D68" s="3" t="s">
        <v>292</v>
      </c>
      <c r="E68" s="3" t="s">
        <v>302</v>
      </c>
      <c r="F68" s="3" t="s">
        <v>303</v>
      </c>
      <c r="G68" s="3" t="s">
        <v>304</v>
      </c>
      <c r="H68" s="3" t="s">
        <v>305</v>
      </c>
      <c r="I68" s="3" t="s">
        <v>306</v>
      </c>
    </row>
    <row r="69" spans="1:14" x14ac:dyDescent="0.3">
      <c r="A69" s="15" t="s">
        <v>307</v>
      </c>
      <c r="B69" s="15">
        <v>35</v>
      </c>
      <c r="C69" s="15">
        <v>170.75</v>
      </c>
      <c r="D69" s="15">
        <v>31.11</v>
      </c>
      <c r="E69" s="15">
        <v>-1.96</v>
      </c>
      <c r="F69" s="15">
        <v>3.51</v>
      </c>
      <c r="G69" s="15">
        <v>1.1060000000000001</v>
      </c>
      <c r="H69" s="15">
        <v>1.542</v>
      </c>
      <c r="I69" s="15">
        <v>0.503</v>
      </c>
    </row>
    <row r="70" spans="1:14" x14ac:dyDescent="0.3">
      <c r="A70" s="15" t="s">
        <v>185</v>
      </c>
      <c r="B70" s="15">
        <v>70</v>
      </c>
      <c r="C70" s="15">
        <v>171.19</v>
      </c>
      <c r="D70" s="15">
        <v>38.42</v>
      </c>
      <c r="E70" s="15">
        <v>-3.47</v>
      </c>
      <c r="F70" s="15">
        <v>3.31</v>
      </c>
      <c r="G70" s="15">
        <v>1.1519999999999999</v>
      </c>
      <c r="H70" s="15">
        <v>1.363</v>
      </c>
      <c r="I70" s="15">
        <v>0.49299999999999999</v>
      </c>
    </row>
    <row r="71" spans="1:14" x14ac:dyDescent="0.3">
      <c r="A71" s="15" t="s">
        <v>308</v>
      </c>
      <c r="B71" s="15">
        <v>98</v>
      </c>
      <c r="C71" s="15">
        <v>171.76</v>
      </c>
      <c r="D71" s="15">
        <v>37.06</v>
      </c>
      <c r="E71" s="15">
        <v>-3.61</v>
      </c>
      <c r="F71" s="15">
        <v>3.13</v>
      </c>
      <c r="G71" s="15">
        <v>1.196</v>
      </c>
      <c r="H71" s="15">
        <v>1.395</v>
      </c>
      <c r="I71" s="15">
        <v>0.495</v>
      </c>
    </row>
    <row r="72" spans="1:14" x14ac:dyDescent="0.3">
      <c r="A72" s="15" t="s">
        <v>309</v>
      </c>
      <c r="B72" s="15">
        <v>189</v>
      </c>
      <c r="C72" s="15">
        <v>173.54</v>
      </c>
      <c r="D72" s="15">
        <v>38.340000000000003</v>
      </c>
      <c r="E72" s="15">
        <v>-3.2</v>
      </c>
      <c r="F72" s="15">
        <v>2.14</v>
      </c>
      <c r="G72" s="15">
        <v>1.3169999999999999</v>
      </c>
      <c r="H72" s="15">
        <v>1.4370000000000001</v>
      </c>
      <c r="I72" s="15">
        <v>0.48399999999999999</v>
      </c>
    </row>
    <row r="73" spans="1:14" x14ac:dyDescent="0.3">
      <c r="A73" s="15" t="s">
        <v>310</v>
      </c>
      <c r="B73" s="15">
        <v>279</v>
      </c>
      <c r="C73" s="15">
        <v>175.52</v>
      </c>
      <c r="D73" s="15">
        <v>39.26</v>
      </c>
      <c r="E73" s="15">
        <v>-3.54</v>
      </c>
      <c r="F73" s="15">
        <v>1.66</v>
      </c>
      <c r="G73" s="15">
        <v>1.4019999999999999</v>
      </c>
      <c r="H73" s="15">
        <v>1.4910000000000001</v>
      </c>
      <c r="I73" s="15">
        <v>0.48499999999999999</v>
      </c>
    </row>
    <row r="74" spans="1:14" x14ac:dyDescent="0.3">
      <c r="A74" s="15" t="s">
        <v>311</v>
      </c>
      <c r="B74" s="15">
        <v>371</v>
      </c>
      <c r="C74" s="15">
        <v>177.71</v>
      </c>
      <c r="D74" s="15">
        <v>39.049999999999997</v>
      </c>
      <c r="E74" s="15">
        <v>-3.04</v>
      </c>
      <c r="F74" s="15">
        <v>1.84</v>
      </c>
      <c r="G74" s="15">
        <v>1.46</v>
      </c>
      <c r="H74" s="15">
        <v>1.5620000000000001</v>
      </c>
      <c r="I74" s="15">
        <v>0.47399999999999998</v>
      </c>
    </row>
    <row r="75" spans="1:14" x14ac:dyDescent="0.3">
      <c r="A75" s="15" t="s">
        <v>312</v>
      </c>
      <c r="B75" s="15">
        <v>462</v>
      </c>
      <c r="C75" s="15">
        <v>180.05</v>
      </c>
      <c r="D75" s="15">
        <v>39.700000000000003</v>
      </c>
      <c r="E75" s="15">
        <v>-3.81</v>
      </c>
      <c r="F75" s="15">
        <v>1.28</v>
      </c>
      <c r="G75" s="15">
        <v>1.55</v>
      </c>
      <c r="H75" s="15">
        <v>1.6220000000000001</v>
      </c>
      <c r="I75" s="15">
        <v>0.47699999999999998</v>
      </c>
    </row>
    <row r="76" spans="1:14" x14ac:dyDescent="0.3">
      <c r="A76" s="15" t="s">
        <v>313</v>
      </c>
      <c r="B76" s="15">
        <v>497</v>
      </c>
      <c r="C76" s="15">
        <v>180.66</v>
      </c>
      <c r="D76" s="15">
        <v>39.630000000000003</v>
      </c>
      <c r="E76" s="15">
        <v>-3.79</v>
      </c>
      <c r="F76" s="15">
        <v>1.43</v>
      </c>
      <c r="G76" s="15">
        <v>1.5509999999999999</v>
      </c>
      <c r="H76" s="15">
        <v>1.6319999999999999</v>
      </c>
      <c r="I76" s="15">
        <v>0.47299999999999998</v>
      </c>
    </row>
    <row r="79" spans="1:14" x14ac:dyDescent="0.3">
      <c r="A79" s="13" t="s">
        <v>314</v>
      </c>
    </row>
    <row r="80" spans="1:14" ht="57.6" customHeight="1" x14ac:dyDescent="0.3">
      <c r="A80" s="3" t="s">
        <v>315</v>
      </c>
      <c r="B80" s="3" t="s">
        <v>316</v>
      </c>
      <c r="C80" s="3" t="s">
        <v>317</v>
      </c>
      <c r="D80" s="3" t="s">
        <v>318</v>
      </c>
      <c r="E80" s="3" t="s">
        <v>319</v>
      </c>
      <c r="F80" s="3" t="s">
        <v>320</v>
      </c>
      <c r="G80" s="3" t="s">
        <v>321</v>
      </c>
      <c r="H80" s="3" t="s">
        <v>322</v>
      </c>
      <c r="I80" s="3" t="s">
        <v>323</v>
      </c>
      <c r="J80" s="3" t="s">
        <v>324</v>
      </c>
      <c r="K80" s="3" t="s">
        <v>325</v>
      </c>
      <c r="L80" s="3" t="s">
        <v>326</v>
      </c>
      <c r="M80" s="3" t="s">
        <v>327</v>
      </c>
      <c r="N80" s="3" t="s">
        <v>328</v>
      </c>
    </row>
    <row r="81" spans="1:14" x14ac:dyDescent="0.3">
      <c r="A81" s="15" t="s">
        <v>329</v>
      </c>
      <c r="B81" s="15" t="s">
        <v>330</v>
      </c>
      <c r="C81" s="15">
        <v>23</v>
      </c>
      <c r="D81" s="15">
        <v>7.07</v>
      </c>
      <c r="E81" s="15">
        <v>6.87</v>
      </c>
      <c r="F81" s="15">
        <v>8.92</v>
      </c>
      <c r="G81" s="15">
        <v>1.1599999999999999</v>
      </c>
      <c r="H81" s="15">
        <v>0.48</v>
      </c>
      <c r="I81" s="15">
        <v>13</v>
      </c>
      <c r="J81" s="15">
        <v>10</v>
      </c>
      <c r="K81" s="15">
        <v>7.28</v>
      </c>
      <c r="L81" s="15">
        <v>-6.8</v>
      </c>
      <c r="M81" s="15">
        <v>5.95</v>
      </c>
      <c r="N81" s="15">
        <v>3.22</v>
      </c>
    </row>
    <row r="82" spans="1:14" x14ac:dyDescent="0.3">
      <c r="A82" s="15" t="s">
        <v>329</v>
      </c>
      <c r="B82" s="15" t="s">
        <v>331</v>
      </c>
      <c r="C82" s="15">
        <v>23</v>
      </c>
      <c r="D82" s="15">
        <v>6.81</v>
      </c>
      <c r="E82" s="15">
        <v>5.14</v>
      </c>
      <c r="F82" s="15">
        <v>8.48</v>
      </c>
      <c r="G82" s="15">
        <v>0.51</v>
      </c>
      <c r="H82" s="15">
        <v>0.48</v>
      </c>
      <c r="I82" s="15">
        <v>11</v>
      </c>
      <c r="J82" s="15">
        <v>12</v>
      </c>
      <c r="K82" s="15">
        <v>7.66</v>
      </c>
      <c r="L82" s="15">
        <v>-6.04</v>
      </c>
      <c r="M82" s="15">
        <v>5.95</v>
      </c>
      <c r="N82" s="15">
        <v>3.22</v>
      </c>
    </row>
    <row r="83" spans="1:14" x14ac:dyDescent="0.3">
      <c r="A83" s="15" t="s">
        <v>332</v>
      </c>
      <c r="B83" s="15" t="s">
        <v>330</v>
      </c>
      <c r="C83" s="15">
        <v>8</v>
      </c>
      <c r="D83" s="15">
        <v>6.91</v>
      </c>
      <c r="E83" s="15">
        <v>6.34</v>
      </c>
      <c r="F83" s="15">
        <v>9.19</v>
      </c>
      <c r="G83" s="15">
        <v>2.73</v>
      </c>
      <c r="H83" s="15">
        <v>0.5</v>
      </c>
      <c r="I83" s="15">
        <v>6</v>
      </c>
      <c r="J83" s="15">
        <v>2</v>
      </c>
      <c r="K83" s="15">
        <v>6.43</v>
      </c>
      <c r="L83" s="15">
        <v>-8.34</v>
      </c>
      <c r="M83" s="15">
        <v>6.79</v>
      </c>
      <c r="N83" s="15">
        <v>2.72</v>
      </c>
    </row>
    <row r="84" spans="1:14" x14ac:dyDescent="0.3">
      <c r="A84" s="15" t="s">
        <v>332</v>
      </c>
      <c r="B84" s="15" t="s">
        <v>331</v>
      </c>
      <c r="C84" s="15">
        <v>8</v>
      </c>
      <c r="D84" s="15">
        <v>6.82</v>
      </c>
      <c r="E84" s="15">
        <v>6.4</v>
      </c>
      <c r="F84" s="15">
        <v>8.8800000000000008</v>
      </c>
      <c r="G84" s="15">
        <v>2.0099999999999998</v>
      </c>
      <c r="H84" s="15">
        <v>0.5</v>
      </c>
      <c r="I84" s="15">
        <v>4</v>
      </c>
      <c r="J84" s="15">
        <v>4</v>
      </c>
      <c r="K84" s="15">
        <v>8.83</v>
      </c>
      <c r="L84" s="15">
        <v>-4.8099999999999996</v>
      </c>
      <c r="M84" s="15">
        <v>6.79</v>
      </c>
      <c r="N84" s="15">
        <v>2.72</v>
      </c>
    </row>
    <row r="85" spans="1:14" x14ac:dyDescent="0.3">
      <c r="A85" s="15" t="s">
        <v>333</v>
      </c>
      <c r="B85" s="15" t="s">
        <v>330</v>
      </c>
      <c r="C85" s="15">
        <v>12</v>
      </c>
      <c r="D85" s="15">
        <v>6.71</v>
      </c>
      <c r="E85" s="15">
        <v>5.76</v>
      </c>
      <c r="F85" s="15">
        <v>8.73</v>
      </c>
      <c r="G85" s="15">
        <v>-0.28999999999999998</v>
      </c>
      <c r="H85" s="15">
        <v>0.42</v>
      </c>
      <c r="I85" s="15">
        <v>6</v>
      </c>
      <c r="J85" s="15">
        <v>6</v>
      </c>
      <c r="K85" s="15">
        <v>6.43</v>
      </c>
      <c r="L85" s="15">
        <v>-7</v>
      </c>
      <c r="M85" s="15">
        <v>6.74</v>
      </c>
      <c r="N85" s="15">
        <v>2.68</v>
      </c>
    </row>
    <row r="86" spans="1:14" x14ac:dyDescent="0.3">
      <c r="A86" s="15" t="s">
        <v>333</v>
      </c>
      <c r="B86" s="15" t="s">
        <v>331</v>
      </c>
      <c r="C86" s="15">
        <v>12</v>
      </c>
      <c r="D86" s="15">
        <v>6.83</v>
      </c>
      <c r="E86" s="15">
        <v>6.11</v>
      </c>
      <c r="F86" s="15">
        <v>8.5</v>
      </c>
      <c r="G86" s="15">
        <v>-0.94</v>
      </c>
      <c r="H86" s="15">
        <v>0.5</v>
      </c>
      <c r="I86" s="15">
        <v>4</v>
      </c>
      <c r="J86" s="15">
        <v>8</v>
      </c>
      <c r="K86" s="15">
        <v>8.83</v>
      </c>
      <c r="L86" s="15">
        <v>-5.82</v>
      </c>
      <c r="M86" s="15">
        <v>6.74</v>
      </c>
      <c r="N86" s="15">
        <v>2.68</v>
      </c>
    </row>
    <row r="87" spans="1:14" x14ac:dyDescent="0.3">
      <c r="A87" s="15" t="s">
        <v>334</v>
      </c>
      <c r="B87" s="15" t="s">
        <v>330</v>
      </c>
      <c r="C87" s="15">
        <v>11</v>
      </c>
      <c r="D87" s="15">
        <v>7.02</v>
      </c>
      <c r="E87" s="15">
        <v>6.87</v>
      </c>
      <c r="F87" s="15">
        <v>9.07</v>
      </c>
      <c r="G87" s="15">
        <v>-0.01</v>
      </c>
      <c r="H87" s="15">
        <v>0.45</v>
      </c>
      <c r="I87" s="15">
        <v>6</v>
      </c>
      <c r="J87" s="15">
        <v>5</v>
      </c>
      <c r="K87" s="15">
        <v>6.43</v>
      </c>
      <c r="L87" s="15">
        <v>-7.73</v>
      </c>
      <c r="M87" s="15">
        <v>7.13</v>
      </c>
      <c r="N87" s="15">
        <v>2.36</v>
      </c>
    </row>
    <row r="88" spans="1:14" x14ac:dyDescent="0.3">
      <c r="A88" s="15" t="s">
        <v>334</v>
      </c>
      <c r="B88" s="15" t="s">
        <v>331</v>
      </c>
      <c r="C88" s="15">
        <v>11</v>
      </c>
      <c r="D88" s="15">
        <v>6.98</v>
      </c>
      <c r="E88" s="15">
        <v>7.09</v>
      </c>
      <c r="F88" s="15">
        <v>8.74</v>
      </c>
      <c r="G88" s="15">
        <v>-0.56000000000000005</v>
      </c>
      <c r="H88" s="15">
        <v>0.55000000000000004</v>
      </c>
      <c r="I88" s="15">
        <v>4</v>
      </c>
      <c r="J88" s="15">
        <v>7</v>
      </c>
      <c r="K88" s="15">
        <v>8.83</v>
      </c>
      <c r="L88" s="15">
        <v>-5.92</v>
      </c>
      <c r="M88" s="15">
        <v>7.13</v>
      </c>
      <c r="N88" s="15">
        <v>2.36</v>
      </c>
    </row>
    <row r="89" spans="1:14" x14ac:dyDescent="0.3">
      <c r="A89" s="15" t="s">
        <v>335</v>
      </c>
      <c r="B89" s="15" t="s">
        <v>330</v>
      </c>
      <c r="C89" s="15">
        <v>5</v>
      </c>
      <c r="D89" s="15">
        <v>7.74</v>
      </c>
      <c r="E89" s="15">
        <v>8.66</v>
      </c>
      <c r="F89" s="15">
        <v>9.33</v>
      </c>
      <c r="G89" s="15">
        <v>-2.4300000000000002</v>
      </c>
      <c r="H89" s="15">
        <v>0.6</v>
      </c>
      <c r="I89" s="15">
        <v>2</v>
      </c>
      <c r="J89" s="15">
        <v>3</v>
      </c>
      <c r="K89" s="15">
        <v>6.64</v>
      </c>
      <c r="L89" s="15">
        <v>-8.4700000000000006</v>
      </c>
      <c r="M89" s="15">
        <v>5.09</v>
      </c>
      <c r="N89" s="15">
        <v>4.74</v>
      </c>
    </row>
    <row r="90" spans="1:14" x14ac:dyDescent="0.3">
      <c r="A90" s="15" t="s">
        <v>335</v>
      </c>
      <c r="B90" s="15" t="s">
        <v>331</v>
      </c>
      <c r="C90" s="15">
        <v>5</v>
      </c>
      <c r="D90" s="15">
        <v>7.48</v>
      </c>
      <c r="E90" s="15">
        <v>8.7799999999999994</v>
      </c>
      <c r="F90" s="15">
        <v>8.6</v>
      </c>
      <c r="G90" s="15">
        <v>-2.08</v>
      </c>
      <c r="H90" s="15">
        <v>0.6</v>
      </c>
      <c r="I90" s="15">
        <v>2</v>
      </c>
      <c r="J90" s="15">
        <v>3</v>
      </c>
      <c r="K90" s="15">
        <v>6.75</v>
      </c>
      <c r="L90" s="15">
        <v>-7.97</v>
      </c>
      <c r="M90" s="15">
        <v>5.09</v>
      </c>
      <c r="N90" s="15">
        <v>4.74</v>
      </c>
    </row>
    <row r="91" spans="1:14" x14ac:dyDescent="0.3">
      <c r="A91" s="15" t="s">
        <v>336</v>
      </c>
      <c r="B91" s="15" t="s">
        <v>330</v>
      </c>
      <c r="C91" s="15">
        <v>12</v>
      </c>
      <c r="D91" s="15">
        <v>7.68</v>
      </c>
      <c r="E91" s="15">
        <v>7.29</v>
      </c>
      <c r="F91" s="15">
        <v>9.36</v>
      </c>
      <c r="G91" s="15">
        <v>4.21</v>
      </c>
      <c r="H91" s="15">
        <v>0.5</v>
      </c>
      <c r="I91" s="15">
        <v>9</v>
      </c>
      <c r="J91" s="15">
        <v>3</v>
      </c>
      <c r="K91" s="15">
        <v>7.92</v>
      </c>
      <c r="L91" s="15">
        <v>-6.93</v>
      </c>
      <c r="M91" s="15">
        <v>4.6900000000000004</v>
      </c>
      <c r="N91" s="15">
        <v>3.14</v>
      </c>
    </row>
    <row r="92" spans="1:14" x14ac:dyDescent="0.3">
      <c r="A92" s="15" t="s">
        <v>336</v>
      </c>
      <c r="B92" s="15" t="s">
        <v>331</v>
      </c>
      <c r="C92" s="15">
        <v>12</v>
      </c>
      <c r="D92" s="15">
        <v>6.81</v>
      </c>
      <c r="E92" s="15">
        <v>5.71</v>
      </c>
      <c r="F92" s="15">
        <v>8.5500000000000007</v>
      </c>
      <c r="G92" s="15">
        <v>3.68</v>
      </c>
      <c r="H92" s="15">
        <v>0.5</v>
      </c>
      <c r="I92" s="15">
        <v>8</v>
      </c>
      <c r="J92" s="15">
        <v>4</v>
      </c>
      <c r="K92" s="15">
        <v>7.87</v>
      </c>
      <c r="L92" s="15">
        <v>-4.68</v>
      </c>
      <c r="M92" s="15">
        <v>4.6900000000000004</v>
      </c>
      <c r="N92" s="15">
        <v>3.14</v>
      </c>
    </row>
    <row r="93" spans="1:14" x14ac:dyDescent="0.3">
      <c r="A93" s="15" t="s">
        <v>337</v>
      </c>
      <c r="B93" s="15" t="s">
        <v>330</v>
      </c>
      <c r="C93" s="15">
        <v>11</v>
      </c>
      <c r="D93" s="15">
        <v>6.41</v>
      </c>
      <c r="E93" s="15">
        <v>4.6500000000000004</v>
      </c>
      <c r="F93" s="15">
        <v>8.42</v>
      </c>
      <c r="G93" s="15">
        <v>-2.16</v>
      </c>
      <c r="H93" s="15">
        <v>0.45</v>
      </c>
      <c r="I93" s="15">
        <v>4</v>
      </c>
      <c r="J93" s="15">
        <v>7</v>
      </c>
      <c r="K93" s="15">
        <v>5.84</v>
      </c>
      <c r="L93" s="15">
        <v>-6.74</v>
      </c>
      <c r="M93" s="15">
        <v>7.32</v>
      </c>
      <c r="N93" s="15">
        <v>3.31</v>
      </c>
    </row>
    <row r="94" spans="1:14" x14ac:dyDescent="0.3">
      <c r="A94" s="15" t="s">
        <v>337</v>
      </c>
      <c r="B94" s="15" t="s">
        <v>331</v>
      </c>
      <c r="C94" s="15">
        <v>11</v>
      </c>
      <c r="D94" s="15">
        <v>6.82</v>
      </c>
      <c r="E94" s="15">
        <v>5.14</v>
      </c>
      <c r="F94" s="15">
        <v>8.4</v>
      </c>
      <c r="G94" s="15">
        <v>-2.95</v>
      </c>
      <c r="H94" s="15">
        <v>0.45</v>
      </c>
      <c r="I94" s="15">
        <v>3</v>
      </c>
      <c r="J94" s="15">
        <v>8</v>
      </c>
      <c r="K94" s="15">
        <v>7.1</v>
      </c>
      <c r="L94" s="15">
        <v>-6.72</v>
      </c>
      <c r="M94" s="15">
        <v>7.32</v>
      </c>
      <c r="N94" s="15">
        <v>3.31</v>
      </c>
    </row>
    <row r="95" spans="1:14" x14ac:dyDescent="0.3">
      <c r="A95" s="15" t="s">
        <v>338</v>
      </c>
      <c r="B95" s="15" t="s">
        <v>330</v>
      </c>
      <c r="C95" s="15">
        <v>8</v>
      </c>
      <c r="D95" s="15">
        <v>8.1199999999999992</v>
      </c>
      <c r="E95" s="15">
        <v>6.18</v>
      </c>
      <c r="F95" s="15">
        <v>9.99</v>
      </c>
      <c r="G95" s="15">
        <v>3.93</v>
      </c>
      <c r="H95" s="15">
        <v>0.5</v>
      </c>
      <c r="I95" s="15">
        <v>6</v>
      </c>
      <c r="J95" s="15">
        <v>2</v>
      </c>
      <c r="K95" s="15">
        <v>8.0299999999999994</v>
      </c>
      <c r="L95" s="15">
        <v>-8.3699999999999992</v>
      </c>
      <c r="M95" s="15">
        <v>6.07</v>
      </c>
      <c r="N95" s="15">
        <v>4.16</v>
      </c>
    </row>
    <row r="96" spans="1:14" x14ac:dyDescent="0.3">
      <c r="A96" s="15" t="s">
        <v>338</v>
      </c>
      <c r="B96" s="15" t="s">
        <v>331</v>
      </c>
      <c r="C96" s="15">
        <v>8</v>
      </c>
      <c r="D96" s="15">
        <v>7.31</v>
      </c>
      <c r="E96" s="15">
        <v>4.79</v>
      </c>
      <c r="F96" s="15">
        <v>8.94</v>
      </c>
      <c r="G96" s="15">
        <v>3.52</v>
      </c>
      <c r="H96" s="15">
        <v>0.38</v>
      </c>
      <c r="I96" s="15">
        <v>6</v>
      </c>
      <c r="J96" s="15">
        <v>2</v>
      </c>
      <c r="K96" s="15">
        <v>7.22</v>
      </c>
      <c r="L96" s="15">
        <v>-7.57</v>
      </c>
      <c r="M96" s="15">
        <v>6.07</v>
      </c>
      <c r="N96" s="15">
        <v>4.16</v>
      </c>
    </row>
    <row r="97" spans="1:14" x14ac:dyDescent="0.3">
      <c r="A97" s="15" t="s">
        <v>339</v>
      </c>
      <c r="B97" s="15" t="s">
        <v>330</v>
      </c>
      <c r="C97" s="15">
        <v>11</v>
      </c>
      <c r="D97" s="15">
        <v>6.03</v>
      </c>
      <c r="E97" s="15">
        <v>6.87</v>
      </c>
      <c r="F97" s="15">
        <v>7.8</v>
      </c>
      <c r="G97" s="15">
        <v>-3.29</v>
      </c>
      <c r="H97" s="15">
        <v>0.45</v>
      </c>
      <c r="I97" s="15">
        <v>3</v>
      </c>
      <c r="J97" s="15">
        <v>8</v>
      </c>
      <c r="K97" s="15">
        <v>5.03</v>
      </c>
      <c r="L97" s="15">
        <v>-6.4</v>
      </c>
      <c r="M97" s="15">
        <v>6.62</v>
      </c>
      <c r="N97" s="15">
        <v>1.82</v>
      </c>
    </row>
    <row r="98" spans="1:14" x14ac:dyDescent="0.3">
      <c r="A98" s="15" t="s">
        <v>339</v>
      </c>
      <c r="B98" s="15" t="s">
        <v>331</v>
      </c>
      <c r="C98" s="15">
        <v>11</v>
      </c>
      <c r="D98" s="15">
        <v>6.36</v>
      </c>
      <c r="E98" s="15">
        <v>7.09</v>
      </c>
      <c r="F98" s="15">
        <v>7.84</v>
      </c>
      <c r="G98" s="15">
        <v>-4.07</v>
      </c>
      <c r="H98" s="15">
        <v>0.55000000000000004</v>
      </c>
      <c r="I98" s="15">
        <v>1</v>
      </c>
      <c r="J98" s="15">
        <v>10</v>
      </c>
      <c r="K98" s="15">
        <v>12.59</v>
      </c>
      <c r="L98" s="15">
        <v>-5.73</v>
      </c>
      <c r="M98" s="15">
        <v>6.62</v>
      </c>
      <c r="N98" s="15">
        <v>1.82</v>
      </c>
    </row>
    <row r="99" spans="1:14" x14ac:dyDescent="0.3">
      <c r="A99" s="15" t="s">
        <v>340</v>
      </c>
      <c r="B99" s="15" t="s">
        <v>330</v>
      </c>
      <c r="C99" s="15">
        <v>7</v>
      </c>
      <c r="D99" s="15">
        <v>8.17</v>
      </c>
      <c r="E99" s="15">
        <v>4.6500000000000004</v>
      </c>
      <c r="F99" s="15">
        <v>10.27</v>
      </c>
      <c r="G99" s="15">
        <v>3.39</v>
      </c>
      <c r="H99" s="15">
        <v>0.43</v>
      </c>
      <c r="I99" s="15">
        <v>5</v>
      </c>
      <c r="J99" s="15">
        <v>2</v>
      </c>
      <c r="K99" s="15">
        <v>8.09</v>
      </c>
      <c r="L99" s="15">
        <v>-8.3699999999999992</v>
      </c>
      <c r="M99" s="15">
        <v>6.19</v>
      </c>
      <c r="N99" s="15">
        <v>4.6399999999999997</v>
      </c>
    </row>
    <row r="100" spans="1:14" x14ac:dyDescent="0.3">
      <c r="A100" s="15" t="s">
        <v>340</v>
      </c>
      <c r="B100" s="15" t="s">
        <v>331</v>
      </c>
      <c r="C100" s="15">
        <v>7</v>
      </c>
      <c r="D100" s="15">
        <v>7.73</v>
      </c>
      <c r="E100" s="15">
        <v>5.14</v>
      </c>
      <c r="F100" s="15">
        <v>9.42</v>
      </c>
      <c r="G100" s="15">
        <v>3.41</v>
      </c>
      <c r="H100" s="15">
        <v>0.43</v>
      </c>
      <c r="I100" s="15">
        <v>5</v>
      </c>
      <c r="J100" s="15">
        <v>2</v>
      </c>
      <c r="K100" s="15">
        <v>7.8</v>
      </c>
      <c r="L100" s="15">
        <v>-7.57</v>
      </c>
      <c r="M100" s="15">
        <v>6.19</v>
      </c>
      <c r="N100" s="15">
        <v>4.6399999999999997</v>
      </c>
    </row>
    <row r="101" spans="1:14" x14ac:dyDescent="0.3">
      <c r="A101" s="15" t="s">
        <v>341</v>
      </c>
      <c r="B101" s="15" t="s">
        <v>330</v>
      </c>
      <c r="C101" s="15">
        <v>2</v>
      </c>
      <c r="D101" s="15">
        <v>8.18</v>
      </c>
      <c r="E101" s="15">
        <v>8.18</v>
      </c>
      <c r="F101" s="15">
        <v>8.1999999999999993</v>
      </c>
      <c r="G101" s="15">
        <v>-0.47</v>
      </c>
      <c r="H101" s="15">
        <v>1</v>
      </c>
      <c r="I101" s="15">
        <v>1</v>
      </c>
      <c r="J101" s="15">
        <v>1</v>
      </c>
      <c r="K101" s="15">
        <v>7.71</v>
      </c>
      <c r="L101" s="15">
        <v>-8.66</v>
      </c>
      <c r="M101" s="15">
        <v>6.91</v>
      </c>
      <c r="N101" s="15">
        <v>0.55000000000000004</v>
      </c>
    </row>
    <row r="102" spans="1:14" x14ac:dyDescent="0.3">
      <c r="A102" s="15" t="s">
        <v>341</v>
      </c>
      <c r="B102" s="15" t="s">
        <v>331</v>
      </c>
      <c r="C102" s="15">
        <v>2</v>
      </c>
      <c r="D102" s="15">
        <v>6.55</v>
      </c>
      <c r="E102" s="15">
        <v>6.55</v>
      </c>
      <c r="F102" s="15">
        <v>6.92</v>
      </c>
      <c r="G102" s="15">
        <v>-2.2200000000000002</v>
      </c>
      <c r="H102" s="15">
        <v>0.5</v>
      </c>
      <c r="I102" s="15">
        <v>1</v>
      </c>
      <c r="J102" s="15">
        <v>1</v>
      </c>
      <c r="K102" s="15">
        <v>4.33</v>
      </c>
      <c r="L102" s="15">
        <v>-8.7799999999999994</v>
      </c>
      <c r="M102" s="15">
        <v>6.91</v>
      </c>
      <c r="N102" s="15">
        <v>0.55000000000000004</v>
      </c>
    </row>
    <row r="103" spans="1:14" x14ac:dyDescent="0.3">
      <c r="A103" s="15" t="s">
        <v>342</v>
      </c>
      <c r="B103" s="15" t="s">
        <v>330</v>
      </c>
      <c r="C103" s="15">
        <v>10</v>
      </c>
      <c r="D103" s="15">
        <v>5.77</v>
      </c>
      <c r="E103" s="15">
        <v>4.3</v>
      </c>
      <c r="F103" s="15">
        <v>7.71</v>
      </c>
      <c r="G103" s="15">
        <v>-2.75</v>
      </c>
      <c r="H103" s="15">
        <v>0.4</v>
      </c>
      <c r="I103" s="15">
        <v>3</v>
      </c>
      <c r="J103" s="15">
        <v>7</v>
      </c>
      <c r="K103" s="15">
        <v>5.03</v>
      </c>
      <c r="L103" s="15">
        <v>-6.08</v>
      </c>
      <c r="M103" s="15">
        <v>6.42</v>
      </c>
      <c r="N103" s="15">
        <v>1.98</v>
      </c>
    </row>
    <row r="104" spans="1:14" x14ac:dyDescent="0.3">
      <c r="A104" s="15" t="s">
        <v>342</v>
      </c>
      <c r="B104" s="15" t="s">
        <v>331</v>
      </c>
      <c r="C104" s="15">
        <v>10</v>
      </c>
      <c r="D104" s="15">
        <v>6.12</v>
      </c>
      <c r="E104" s="15">
        <v>5.47</v>
      </c>
      <c r="F104" s="15">
        <v>7.75</v>
      </c>
      <c r="G104" s="15">
        <v>-3.6</v>
      </c>
      <c r="H104" s="15">
        <v>0.5</v>
      </c>
      <c r="I104" s="15">
        <v>1</v>
      </c>
      <c r="J104" s="15">
        <v>9</v>
      </c>
      <c r="K104" s="15">
        <v>12.59</v>
      </c>
      <c r="L104" s="15">
        <v>-5.4</v>
      </c>
      <c r="M104" s="15">
        <v>6.42</v>
      </c>
      <c r="N104" s="15">
        <v>1.98</v>
      </c>
    </row>
    <row r="105" spans="1:14" x14ac:dyDescent="0.3">
      <c r="A105" s="15" t="s">
        <v>343</v>
      </c>
      <c r="B105" s="15" t="s">
        <v>330</v>
      </c>
      <c r="C105" s="15">
        <v>11</v>
      </c>
      <c r="D105" s="15">
        <v>5.38</v>
      </c>
      <c r="E105" s="15">
        <v>3.65</v>
      </c>
      <c r="F105" s="15">
        <v>7.66</v>
      </c>
      <c r="G105" s="15">
        <v>3.31</v>
      </c>
      <c r="H105" s="15">
        <v>0.36</v>
      </c>
      <c r="I105" s="15">
        <v>7</v>
      </c>
      <c r="J105" s="15">
        <v>4</v>
      </c>
      <c r="K105" s="15">
        <v>6.83</v>
      </c>
      <c r="L105" s="15">
        <v>-2.85</v>
      </c>
      <c r="M105" s="15">
        <v>5.03</v>
      </c>
      <c r="N105" s="15">
        <v>2.87</v>
      </c>
    </row>
    <row r="106" spans="1:14" x14ac:dyDescent="0.3">
      <c r="A106" s="15" t="s">
        <v>343</v>
      </c>
      <c r="B106" s="15" t="s">
        <v>331</v>
      </c>
      <c r="C106" s="15">
        <v>11</v>
      </c>
      <c r="D106" s="15">
        <v>5.33</v>
      </c>
      <c r="E106" s="15">
        <v>3.86</v>
      </c>
      <c r="F106" s="15">
        <v>7.2</v>
      </c>
      <c r="G106" s="15">
        <v>2.29</v>
      </c>
      <c r="H106" s="15">
        <v>0.27</v>
      </c>
      <c r="I106" s="15">
        <v>6</v>
      </c>
      <c r="J106" s="15">
        <v>5</v>
      </c>
      <c r="K106" s="15">
        <v>6.98</v>
      </c>
      <c r="L106" s="15">
        <v>-3.34</v>
      </c>
      <c r="M106" s="15">
        <v>5.03</v>
      </c>
      <c r="N106" s="15">
        <v>2.87</v>
      </c>
    </row>
    <row r="107" spans="1:14" x14ac:dyDescent="0.3">
      <c r="A107" s="15" t="s">
        <v>344</v>
      </c>
      <c r="B107" s="15" t="s">
        <v>330</v>
      </c>
      <c r="C107" s="15">
        <v>8</v>
      </c>
      <c r="D107" s="15">
        <v>8.9600000000000009</v>
      </c>
      <c r="E107" s="15">
        <v>9.7899999999999991</v>
      </c>
      <c r="F107" s="15">
        <v>10.07</v>
      </c>
      <c r="G107" s="15">
        <v>-1.84</v>
      </c>
      <c r="H107" s="15">
        <v>0.62</v>
      </c>
      <c r="I107" s="15">
        <v>3</v>
      </c>
      <c r="J107" s="15">
        <v>5</v>
      </c>
      <c r="K107" s="15">
        <v>9.48</v>
      </c>
      <c r="L107" s="15">
        <v>-8.64</v>
      </c>
      <c r="M107" s="15">
        <v>7.07</v>
      </c>
      <c r="N107" s="15">
        <v>3.41</v>
      </c>
    </row>
    <row r="108" spans="1:14" x14ac:dyDescent="0.3">
      <c r="A108" s="15" t="s">
        <v>344</v>
      </c>
      <c r="B108" s="15" t="s">
        <v>331</v>
      </c>
      <c r="C108" s="15">
        <v>8</v>
      </c>
      <c r="D108" s="15">
        <v>8.8000000000000007</v>
      </c>
      <c r="E108" s="15">
        <v>9.39</v>
      </c>
      <c r="F108" s="15">
        <v>9.75</v>
      </c>
      <c r="G108" s="15">
        <v>-2.0699999999999998</v>
      </c>
      <c r="H108" s="15">
        <v>0.75</v>
      </c>
      <c r="I108" s="15">
        <v>2</v>
      </c>
      <c r="J108" s="15">
        <v>6</v>
      </c>
      <c r="K108" s="15">
        <v>13.46</v>
      </c>
      <c r="L108" s="15">
        <v>-7.25</v>
      </c>
      <c r="M108" s="15">
        <v>7.07</v>
      </c>
      <c r="N108" s="15">
        <v>3.41</v>
      </c>
    </row>
    <row r="109" spans="1:14" x14ac:dyDescent="0.3">
      <c r="A109" s="15" t="s">
        <v>345</v>
      </c>
      <c r="B109" s="15" t="s">
        <v>330</v>
      </c>
      <c r="C109" s="15">
        <v>12</v>
      </c>
      <c r="D109" s="15">
        <v>5.13</v>
      </c>
      <c r="E109" s="15">
        <v>4.33</v>
      </c>
      <c r="F109" s="15">
        <v>6.51</v>
      </c>
      <c r="G109" s="15">
        <v>0.36</v>
      </c>
      <c r="H109" s="15">
        <v>0.33</v>
      </c>
      <c r="I109" s="15">
        <v>7</v>
      </c>
      <c r="J109" s="15">
        <v>5</v>
      </c>
      <c r="K109" s="15">
        <v>4.7</v>
      </c>
      <c r="L109" s="15">
        <v>-5.72</v>
      </c>
      <c r="M109" s="15">
        <v>5.48</v>
      </c>
      <c r="N109" s="15">
        <v>2.04</v>
      </c>
    </row>
    <row r="110" spans="1:14" x14ac:dyDescent="0.3">
      <c r="A110" s="15" t="s">
        <v>345</v>
      </c>
      <c r="B110" s="15" t="s">
        <v>331</v>
      </c>
      <c r="C110" s="15">
        <v>12</v>
      </c>
      <c r="D110" s="15">
        <v>4.9800000000000004</v>
      </c>
      <c r="E110" s="15">
        <v>4.38</v>
      </c>
      <c r="F110" s="15">
        <v>6.28</v>
      </c>
      <c r="G110" s="15">
        <v>-0.66</v>
      </c>
      <c r="H110" s="15">
        <v>0.33</v>
      </c>
      <c r="I110" s="15">
        <v>6</v>
      </c>
      <c r="J110" s="15">
        <v>6</v>
      </c>
      <c r="K110" s="15">
        <v>4.32</v>
      </c>
      <c r="L110" s="15">
        <v>-5.63</v>
      </c>
      <c r="M110" s="15">
        <v>5.48</v>
      </c>
      <c r="N110" s="15">
        <v>2.04</v>
      </c>
    </row>
    <row r="111" spans="1:14" x14ac:dyDescent="0.3">
      <c r="A111" s="15" t="s">
        <v>346</v>
      </c>
      <c r="B111" s="15" t="s">
        <v>330</v>
      </c>
      <c r="C111" s="15">
        <v>6</v>
      </c>
      <c r="D111" s="15">
        <v>5.44</v>
      </c>
      <c r="E111" s="15">
        <v>2.39</v>
      </c>
      <c r="F111" s="15">
        <v>7.78</v>
      </c>
      <c r="G111" s="15">
        <v>4.8899999999999997</v>
      </c>
      <c r="H111" s="15">
        <v>0.33</v>
      </c>
      <c r="I111" s="15">
        <v>4</v>
      </c>
      <c r="J111" s="15">
        <v>2</v>
      </c>
      <c r="K111" s="15">
        <v>7.75</v>
      </c>
      <c r="L111" s="15">
        <v>-0.82</v>
      </c>
      <c r="M111" s="15">
        <v>3.74</v>
      </c>
      <c r="N111" s="15">
        <v>4.0999999999999996</v>
      </c>
    </row>
    <row r="112" spans="1:14" x14ac:dyDescent="0.3">
      <c r="A112" s="15" t="s">
        <v>346</v>
      </c>
      <c r="B112" s="15" t="s">
        <v>331</v>
      </c>
      <c r="C112" s="15">
        <v>6</v>
      </c>
      <c r="D112" s="15">
        <v>5.59</v>
      </c>
      <c r="E112" s="15">
        <v>3.77</v>
      </c>
      <c r="F112" s="15">
        <v>7.67</v>
      </c>
      <c r="G112" s="15">
        <v>4.13</v>
      </c>
      <c r="H112" s="15">
        <v>0.33</v>
      </c>
      <c r="I112" s="15">
        <v>3</v>
      </c>
      <c r="J112" s="15">
        <v>3</v>
      </c>
      <c r="K112" s="15">
        <v>9.7200000000000006</v>
      </c>
      <c r="L112" s="15">
        <v>-1.46</v>
      </c>
      <c r="M112" s="15">
        <v>3.74</v>
      </c>
      <c r="N112" s="15">
        <v>4.0999999999999996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/>
  </sheetViews>
  <sheetFormatPr defaultRowHeight="14.4" x14ac:dyDescent="0.3"/>
  <cols>
    <col min="1" max="1" width="56" customWidth="1"/>
    <col min="2" max="10" width="17" customWidth="1"/>
  </cols>
  <sheetData>
    <row r="1" spans="1:10" ht="17.399999999999999" customHeight="1" x14ac:dyDescent="0.35">
      <c r="A1" s="2" t="s">
        <v>347</v>
      </c>
    </row>
    <row r="3" spans="1:10" ht="60" customHeight="1" x14ac:dyDescent="0.3">
      <c r="A3" s="3" t="s">
        <v>348</v>
      </c>
      <c r="B3" s="3" t="s">
        <v>78</v>
      </c>
      <c r="C3" s="3" t="s">
        <v>349</v>
      </c>
      <c r="D3" s="3" t="s">
        <v>165</v>
      </c>
      <c r="E3" s="3" t="s">
        <v>89</v>
      </c>
      <c r="F3" s="3" t="s">
        <v>350</v>
      </c>
      <c r="G3" s="3" t="s">
        <v>351</v>
      </c>
      <c r="H3" s="3" t="s">
        <v>96</v>
      </c>
      <c r="I3" s="3" t="s">
        <v>352</v>
      </c>
      <c r="J3" s="3" t="s">
        <v>353</v>
      </c>
    </row>
    <row r="4" spans="1:10" x14ac:dyDescent="0.3">
      <c r="A4" t="s">
        <v>354</v>
      </c>
      <c r="B4" s="7">
        <f>Market_Implied!A9</f>
        <v>170.19</v>
      </c>
      <c r="C4" s="7">
        <f>Market_Implied!I9</f>
        <v>11.509112275941206</v>
      </c>
      <c r="D4" s="6">
        <f>Market_Implied!K9</f>
        <v>15869.199640599389</v>
      </c>
      <c r="E4" s="6">
        <f>Market_Implied!L9</f>
        <v>5744.6502698969798</v>
      </c>
      <c r="F4" s="7">
        <f>Market_Implied!O9</f>
        <v>8.9147626300924099</v>
      </c>
      <c r="G4" s="7">
        <f>Market_Implied!N9</f>
        <v>16.016715670604267</v>
      </c>
      <c r="H4" s="9">
        <f>Market_Implied!S9</f>
        <v>0.48</v>
      </c>
      <c r="I4" s="7"/>
      <c r="J4" t="s">
        <v>355</v>
      </c>
    </row>
    <row r="5" spans="1:10" x14ac:dyDescent="0.3">
      <c r="A5" t="s">
        <v>356</v>
      </c>
      <c r="B5" s="7">
        <f>Market_Implied!A9</f>
        <v>170.19</v>
      </c>
      <c r="C5" s="7">
        <f>Market_Implied!J9</f>
        <v>10.395696415793566</v>
      </c>
      <c r="D5" s="6">
        <f>Inputs!$B$9*(1+C5/100)</f>
        <v>15710.746055891723</v>
      </c>
      <c r="E5" s="6">
        <f>D5*Inputs!$B$10/100</f>
        <v>5687.2900722328041</v>
      </c>
      <c r="F5" s="7">
        <f>Market_Implied!P9</f>
        <v>7.8272512900642299</v>
      </c>
      <c r="G5" s="7">
        <f>Market_Implied!D9/E5</f>
        <v>16.178255167469789</v>
      </c>
      <c r="H5" s="9">
        <f>Market_Implied!S9</f>
        <v>0.48</v>
      </c>
      <c r="I5" s="7"/>
      <c r="J5" t="s">
        <v>355</v>
      </c>
    </row>
    <row r="6" spans="1:10" x14ac:dyDescent="0.3">
      <c r="A6" t="s">
        <v>357</v>
      </c>
      <c r="B6" s="7">
        <f>Market_Implied!A9</f>
        <v>170.19</v>
      </c>
      <c r="C6" s="7">
        <f>Market_Implied!Q9</f>
        <v>8.2430149094083749</v>
      </c>
      <c r="D6" s="6">
        <f>Inputs!$B$9*(1+C6/100)</f>
        <v>15404.39142809308</v>
      </c>
      <c r="E6" s="6">
        <f>D6*Inputs!$B$10/100</f>
        <v>5576.3896969696962</v>
      </c>
      <c r="F6" s="7">
        <f>Market_Implied!R9</f>
        <v>5.7246536592451491</v>
      </c>
      <c r="G6" s="7">
        <f>Inputs!$B$21</f>
        <v>16.5</v>
      </c>
      <c r="H6" s="9">
        <f>Market_Implied!S9</f>
        <v>0.48</v>
      </c>
      <c r="I6" s="7"/>
      <c r="J6" t="s">
        <v>358</v>
      </c>
    </row>
    <row r="7" spans="1:10" x14ac:dyDescent="0.3">
      <c r="A7" t="s">
        <v>359</v>
      </c>
      <c r="B7" s="7">
        <f>Market_Implied!A5</f>
        <v>125.5</v>
      </c>
      <c r="C7" s="7">
        <f>Market_Implied!I5</f>
        <v>1.6137058122872698</v>
      </c>
      <c r="D7" s="6">
        <f>Market_Implied!K5</f>
        <v>14460.954363675213</v>
      </c>
      <c r="E7" s="6">
        <f>Market_Implied!L5</f>
        <v>5234.8654796504279</v>
      </c>
      <c r="F7" s="7">
        <f>Market_Implied!O5</f>
        <v>-0.75041920231361248</v>
      </c>
      <c r="G7" s="7">
        <f>Market_Implied!N5</f>
        <v>12.479881336771736</v>
      </c>
      <c r="H7" s="9">
        <f>Market_Implied!S5</f>
        <v>0.74099999999999999</v>
      </c>
      <c r="I7" s="7"/>
      <c r="J7" t="s">
        <v>360</v>
      </c>
    </row>
    <row r="8" spans="1:10" x14ac:dyDescent="0.3">
      <c r="A8" t="s">
        <v>361</v>
      </c>
      <c r="B8" s="7">
        <f>Market_Implied!A7</f>
        <v>163.80000000000001</v>
      </c>
      <c r="C8" s="7">
        <f>Market_Implied!I7</f>
        <v>10.171732156351528</v>
      </c>
      <c r="D8" s="6">
        <f>Market_Implied!K7</f>
        <v>15678.873023518818</v>
      </c>
      <c r="E8" s="6">
        <f>Market_Implied!L7</f>
        <v>5675.7520345138128</v>
      </c>
      <c r="F8" s="7">
        <f>Market_Implied!O7</f>
        <v>7.6084977401804199</v>
      </c>
      <c r="G8" s="7">
        <f>Market_Implied!N7</f>
        <v>15.539015704648358</v>
      </c>
      <c r="H8" s="9">
        <f>Market_Implied!S7</f>
        <v>0.51700000000000002</v>
      </c>
      <c r="I8" s="7"/>
      <c r="J8" t="s">
        <v>360</v>
      </c>
    </row>
    <row r="9" spans="1:10" x14ac:dyDescent="0.3">
      <c r="A9" t="s">
        <v>362</v>
      </c>
      <c r="B9" s="7">
        <f>Market_Implied!A13</f>
        <v>213.9</v>
      </c>
      <c r="C9" s="7">
        <f>Market_Implied!I13</f>
        <v>20.110091405186893</v>
      </c>
      <c r="D9" s="6">
        <f>Market_Implied!K13</f>
        <v>17093.231041449104</v>
      </c>
      <c r="E9" s="6">
        <f>Market_Implied!L13</f>
        <v>6187.7496370045756</v>
      </c>
      <c r="F9" s="7">
        <f>Market_Implied!O13</f>
        <v>17.315633026495767</v>
      </c>
      <c r="G9" s="7">
        <f>Market_Implied!N13</f>
        <v>19.086955182170804</v>
      </c>
      <c r="H9" s="9">
        <f>Market_Implied!S13</f>
        <v>0.26300000000000001</v>
      </c>
      <c r="I9" s="7"/>
      <c r="J9" t="s">
        <v>360</v>
      </c>
    </row>
    <row r="10" spans="1:10" x14ac:dyDescent="0.3">
      <c r="A10" t="s">
        <v>363</v>
      </c>
      <c r="B10" s="7">
        <f>Market_Implied!A8</f>
        <v>165</v>
      </c>
      <c r="C10" s="7">
        <f>Market_Implied!I8</f>
        <v>10.424639114427112</v>
      </c>
      <c r="D10" s="6">
        <f>Market_Implied!K8</f>
        <v>15714.864979030637</v>
      </c>
      <c r="E10" s="6">
        <f>Market_Implied!L8</f>
        <v>5688.781122409091</v>
      </c>
      <c r="F10" s="7">
        <f>Market_Implied!O8</f>
        <v>7.8555206134155453</v>
      </c>
      <c r="G10" s="7">
        <f>Market_Implied!N8</f>
        <v>15.629358572042838</v>
      </c>
      <c r="H10" s="9">
        <f>Market_Implied!S8</f>
        <v>0.51</v>
      </c>
      <c r="I10" s="7"/>
      <c r="J10" t="s">
        <v>364</v>
      </c>
    </row>
    <row r="11" spans="1:10" x14ac:dyDescent="0.3">
      <c r="A11" t="s">
        <v>365</v>
      </c>
      <c r="B11" s="7">
        <f>Market_Implied!A10</f>
        <v>179.5</v>
      </c>
      <c r="C11" s="7">
        <f>Market_Implied!I10</f>
        <v>13.417959358081578</v>
      </c>
      <c r="D11" s="6">
        <f>Market_Implied!K10</f>
        <v>16140.853452665442</v>
      </c>
      <c r="E11" s="6">
        <f>Market_Implied!L10</f>
        <v>5842.9889498648909</v>
      </c>
      <c r="F11" s="7">
        <f>Market_Implied!O10</f>
        <v>10.77919884167291</v>
      </c>
      <c r="G11" s="7">
        <f>Market_Implied!N10</f>
        <v>16.698388587959954</v>
      </c>
      <c r="H11" s="9">
        <f>Market_Implied!S10</f>
        <v>0.42799999999999999</v>
      </c>
      <c r="I11" s="7"/>
      <c r="J11" t="s">
        <v>364</v>
      </c>
    </row>
    <row r="12" spans="1:10" x14ac:dyDescent="0.3">
      <c r="A12" t="s">
        <v>366</v>
      </c>
      <c r="B12" s="7">
        <f>Market_Implied!A12</f>
        <v>197.5</v>
      </c>
      <c r="C12" s="7">
        <f>Market_Implied!I12</f>
        <v>16.985983595338542</v>
      </c>
      <c r="D12" s="6">
        <f>Market_Implied!K12</f>
        <v>16648.62979298292</v>
      </c>
      <c r="E12" s="6">
        <f>Market_Implied!L12</f>
        <v>6026.8039850598179</v>
      </c>
      <c r="F12" s="7">
        <f>Market_Implied!O12</f>
        <v>14.264210110506269</v>
      </c>
      <c r="G12" s="7">
        <f>Market_Implied!N12</f>
        <v>17.972129219484636</v>
      </c>
      <c r="H12" s="9">
        <f>Market_Implied!S12</f>
        <v>0.33600000000000002</v>
      </c>
      <c r="I12" s="7"/>
      <c r="J12" t="s">
        <v>364</v>
      </c>
    </row>
    <row r="13" spans="1:10" x14ac:dyDescent="0.3">
      <c r="A13" t="s">
        <v>367</v>
      </c>
      <c r="B13" s="7">
        <f>Market_Implied!A14</f>
        <v>220</v>
      </c>
      <c r="C13" s="7">
        <f>Market_Implied!I14</f>
        <v>21.243975937967242</v>
      </c>
      <c r="D13" s="6">
        <f>Market_Implied!K14</f>
        <v>17254.597584979208</v>
      </c>
      <c r="E13" s="6">
        <f>Market_Implied!L14</f>
        <v>6246.1643257624737</v>
      </c>
      <c r="F13" s="7">
        <f>Market_Implied!O14</f>
        <v>18.42313681894008</v>
      </c>
      <c r="G13" s="7">
        <f>Market_Implied!N14</f>
        <v>19.491482076104084</v>
      </c>
      <c r="H13" s="9">
        <f>Market_Implied!S14</f>
        <v>0.23899999999999999</v>
      </c>
      <c r="I13" s="7"/>
      <c r="J13" t="s">
        <v>364</v>
      </c>
    </row>
    <row r="14" spans="1:10" x14ac:dyDescent="0.3">
      <c r="A14" t="s">
        <v>121</v>
      </c>
      <c r="B14" s="7">
        <f>Cases!D5</f>
        <v>162.18994299344064</v>
      </c>
      <c r="C14" s="7">
        <f>Cases!B5</f>
        <v>9.8310999999999993</v>
      </c>
      <c r="D14" s="6">
        <f>Inputs!$B$9*(1+Cases!B5/100)</f>
        <v>15630.396629233001</v>
      </c>
      <c r="E14" s="6">
        <f>Cases!C5</f>
        <v>5548.8</v>
      </c>
      <c r="F14" s="7">
        <f>Cases!H5</f>
        <v>7.2757906663280636</v>
      </c>
      <c r="G14" s="7">
        <f>(Cases!D5*Inputs!$B$5-Inputs!$B$6)/Cases!C5</f>
        <v>15.721308385071376</v>
      </c>
      <c r="H14" s="9">
        <f>Cases!I5</f>
        <v>0.52700000000000002</v>
      </c>
      <c r="I14" s="7"/>
      <c r="J14" t="s">
        <v>368</v>
      </c>
    </row>
    <row r="15" spans="1:10" x14ac:dyDescent="0.3">
      <c r="A15" t="s">
        <v>122</v>
      </c>
      <c r="B15" s="7">
        <f>Cases!D6</f>
        <v>175.49354278172586</v>
      </c>
      <c r="C15" s="7">
        <f>Cases!B6</f>
        <v>12.6021</v>
      </c>
      <c r="D15" s="6">
        <f>Inputs!$B$9*(1+Cases!B6/100)</f>
        <v>16024.746035362999</v>
      </c>
      <c r="E15" s="6">
        <f>Cases!C6</f>
        <v>5801</v>
      </c>
      <c r="F15" s="7">
        <f>Cases!H6</f>
        <v>9.9823211111328192</v>
      </c>
      <c r="G15" s="7">
        <f>(Cases!D6*Inputs!$B$5-Inputs!$B$6)/Cases!C6</f>
        <v>16.406937603980406</v>
      </c>
      <c r="H15" s="9">
        <f>Cases!I6</f>
        <v>0.45</v>
      </c>
      <c r="I15" s="7">
        <f>Print_5Nov!G9</f>
        <v>5.2053000000000003</v>
      </c>
      <c r="J15" t="s">
        <v>368</v>
      </c>
    </row>
    <row r="16" spans="1:10" x14ac:dyDescent="0.3">
      <c r="A16" t="s">
        <v>123</v>
      </c>
      <c r="B16" s="7">
        <f>Cases!D7</f>
        <v>202.67314181936564</v>
      </c>
      <c r="C16" s="7">
        <f>Cases!B7</f>
        <v>17.983799999999999</v>
      </c>
      <c r="D16" s="6">
        <f>Inputs!$B$9*(1+Cases!B7/100)</f>
        <v>16790.632068913998</v>
      </c>
      <c r="E16" s="6">
        <f>Cases!C7</f>
        <v>6212.5</v>
      </c>
      <c r="F16" s="7">
        <f>Cases!H7</f>
        <v>15.238811509835703</v>
      </c>
      <c r="G16" s="7">
        <f>(Cases!D7*Inputs!$B$5-Inputs!$B$6)/Cases!C7</f>
        <v>17.932050811454534</v>
      </c>
      <c r="H16" s="9">
        <f>Cases!I7</f>
        <v>0.313</v>
      </c>
      <c r="I16" s="7"/>
      <c r="J16" t="s">
        <v>368</v>
      </c>
    </row>
    <row r="17" spans="1:10" x14ac:dyDescent="0.3">
      <c r="A17" t="s">
        <v>124</v>
      </c>
      <c r="B17" s="7">
        <f>Cases!D8</f>
        <v>166.00777864621671</v>
      </c>
      <c r="C17" s="7">
        <f>Cases!B8</f>
        <v>10.6364</v>
      </c>
      <c r="D17" s="6">
        <f>Inputs!$B$9*(1+Cases!B8/100)</f>
        <v>15745.001312291999</v>
      </c>
      <c r="E17" s="6">
        <f>Cases!C8</f>
        <v>5699.7</v>
      </c>
      <c r="F17" s="7">
        <f>Cases!H8</f>
        <v>8.0623547107889983</v>
      </c>
      <c r="G17" s="7">
        <f>(Cases!D8*Inputs!$B$5-Inputs!$B$6)/Cases!C8</f>
        <v>15.704974621785599</v>
      </c>
      <c r="H17" s="9">
        <f>Cases!I8</f>
        <v>0.504</v>
      </c>
      <c r="I17" s="7">
        <f>Print_5Nov!G8</f>
        <v>5.2053000000000003</v>
      </c>
      <c r="J17" t="s">
        <v>368</v>
      </c>
    </row>
    <row r="18" spans="1:10" x14ac:dyDescent="0.3">
      <c r="A18" t="s">
        <v>125</v>
      </c>
      <c r="B18" s="7">
        <f>Cases!D9</f>
        <v>167.97828010516099</v>
      </c>
      <c r="C18" s="7">
        <f>Cases!B9</f>
        <v>11.0488</v>
      </c>
      <c r="D18" s="6">
        <f>Inputs!$B$9*(1+Cases!B9/100)</f>
        <v>15803.691205863999</v>
      </c>
      <c r="E18" s="6">
        <f>Cases!C9</f>
        <v>5757.9</v>
      </c>
      <c r="F18" s="7">
        <f>Cases!H9</f>
        <v>8.4651598913871418</v>
      </c>
      <c r="G18" s="7">
        <f>(Cases!D9*Inputs!$B$5-Inputs!$B$6)/Cases!C9</f>
        <v>15.750539818819556</v>
      </c>
      <c r="H18" s="9">
        <f>Cases!I9</f>
        <v>0.49299999999999999</v>
      </c>
      <c r="I18" s="7">
        <f>Print_5Nov!G5</f>
        <v>-6.1093000000000002</v>
      </c>
      <c r="J18" t="s">
        <v>368</v>
      </c>
    </row>
    <row r="19" spans="1:10" x14ac:dyDescent="0.3">
      <c r="A19" t="s">
        <v>126</v>
      </c>
      <c r="B19" s="7">
        <f>Cases!D10</f>
        <v>121.30785789770984</v>
      </c>
      <c r="C19" s="7">
        <f>Cases!B10</f>
        <v>0.61150000000000004</v>
      </c>
      <c r="D19" s="6">
        <f>Inputs!$B$9*(1+Cases!B10/100)</f>
        <v>14318.327417845001</v>
      </c>
      <c r="E19" s="6">
        <f>Cases!C10</f>
        <v>4375</v>
      </c>
      <c r="F19" s="7">
        <f>Cases!H10</f>
        <v>-1.729307886151854</v>
      </c>
      <c r="G19" s="7">
        <f>(Cases!D10*Inputs!$B$5-Inputs!$B$6)/Cases!C10</f>
        <v>14.360637980556062</v>
      </c>
      <c r="H19" s="9">
        <f>Cases!I10</f>
        <v>0.75</v>
      </c>
      <c r="I19" s="7"/>
      <c r="J19" t="s">
        <v>368</v>
      </c>
    </row>
    <row r="20" spans="1:10" x14ac:dyDescent="0.3">
      <c r="A20" t="s">
        <v>127</v>
      </c>
      <c r="B20" s="7">
        <f>Cases!D11</f>
        <v>207.06003681933927</v>
      </c>
      <c r="C20" s="7">
        <f>Cases!B11</f>
        <v>18.820900000000002</v>
      </c>
      <c r="D20" s="6">
        <f>Inputs!$B$9*(1+Cases!B11/100)</f>
        <v>16909.762306327</v>
      </c>
      <c r="E20" s="6">
        <f>Cases!C11</f>
        <v>6977.4</v>
      </c>
      <c r="F20" s="7">
        <f>Cases!H11</f>
        <v>16.056435701588168</v>
      </c>
      <c r="G20" s="7">
        <f>(Cases!D11*Inputs!$B$5-Inputs!$B$6)/Cases!C11</f>
        <v>16.341594574074232</v>
      </c>
      <c r="H20" s="9">
        <f>Cases!I11</f>
        <v>0.29299999999999998</v>
      </c>
      <c r="I20" s="7"/>
      <c r="J20" t="s">
        <v>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8"/>
  <sheetViews>
    <sheetView workbookViewId="0"/>
  </sheetViews>
  <sheetFormatPr defaultRowHeight="14.4" x14ac:dyDescent="0.3"/>
  <sheetData>
    <row r="1" spans="1:5" x14ac:dyDescent="0.3">
      <c r="A1" t="s">
        <v>369</v>
      </c>
      <c r="B1">
        <v>1.381909547717441E-3</v>
      </c>
    </row>
    <row r="3" spans="1:5" x14ac:dyDescent="0.3">
      <c r="A3" s="16" t="s">
        <v>370</v>
      </c>
      <c r="B3" s="16" t="s">
        <v>371</v>
      </c>
      <c r="C3" s="16" t="s">
        <v>372</v>
      </c>
      <c r="D3" s="16" t="s">
        <v>373</v>
      </c>
      <c r="E3" s="16" t="s">
        <v>374</v>
      </c>
    </row>
    <row r="4" spans="1:5" x14ac:dyDescent="0.3">
      <c r="A4" t="s">
        <v>375</v>
      </c>
      <c r="B4" t="s">
        <v>376</v>
      </c>
      <c r="C4">
        <v>3.0347058298089729</v>
      </c>
      <c r="D4">
        <v>3.0347058298089729</v>
      </c>
      <c r="E4">
        <v>0</v>
      </c>
    </row>
    <row r="5" spans="1:5" x14ac:dyDescent="0.3">
      <c r="A5" t="s">
        <v>375</v>
      </c>
      <c r="B5" t="s">
        <v>377</v>
      </c>
      <c r="C5">
        <v>13.733226155689451</v>
      </c>
      <c r="D5">
        <v>13.733226155689451</v>
      </c>
      <c r="E5">
        <v>0</v>
      </c>
    </row>
    <row r="6" spans="1:5" x14ac:dyDescent="0.3">
      <c r="A6" t="s">
        <v>375</v>
      </c>
      <c r="B6" t="s">
        <v>378</v>
      </c>
      <c r="C6">
        <v>1.6137058122872701</v>
      </c>
      <c r="D6">
        <v>1.6137058122872701</v>
      </c>
      <c r="E6">
        <v>-4.4408920985006262E-16</v>
      </c>
    </row>
    <row r="7" spans="1:5" x14ac:dyDescent="0.3">
      <c r="A7" t="s">
        <v>375</v>
      </c>
      <c r="B7" t="s">
        <v>379</v>
      </c>
      <c r="C7">
        <v>-10.319170535403069</v>
      </c>
      <c r="D7">
        <v>-10.319170535403069</v>
      </c>
      <c r="E7">
        <v>0</v>
      </c>
    </row>
    <row r="8" spans="1:5" x14ac:dyDescent="0.3">
      <c r="A8" t="s">
        <v>375</v>
      </c>
      <c r="B8" t="s">
        <v>380</v>
      </c>
      <c r="C8">
        <v>14460.95436367521</v>
      </c>
      <c r="D8">
        <v>14460.95436367521</v>
      </c>
      <c r="E8">
        <v>0</v>
      </c>
    </row>
    <row r="9" spans="1:5" x14ac:dyDescent="0.3">
      <c r="A9" t="s">
        <v>375</v>
      </c>
      <c r="B9" t="s">
        <v>381</v>
      </c>
      <c r="C9">
        <v>5234.8654796504279</v>
      </c>
      <c r="D9">
        <v>5234.8654796504279</v>
      </c>
      <c r="E9">
        <v>0</v>
      </c>
    </row>
    <row r="10" spans="1:5" x14ac:dyDescent="0.3">
      <c r="A10" t="s">
        <v>375</v>
      </c>
      <c r="B10" t="s">
        <v>382</v>
      </c>
      <c r="C10">
        <v>5.2878053873140543</v>
      </c>
      <c r="D10">
        <v>5.2878053873140543</v>
      </c>
      <c r="E10">
        <v>0</v>
      </c>
    </row>
    <row r="11" spans="1:5" x14ac:dyDescent="0.3">
      <c r="A11" t="s">
        <v>375</v>
      </c>
      <c r="B11" t="s">
        <v>383</v>
      </c>
      <c r="C11">
        <v>12.47988133677174</v>
      </c>
      <c r="D11">
        <v>12.47988133677174</v>
      </c>
      <c r="E11">
        <v>0</v>
      </c>
    </row>
    <row r="12" spans="1:5" x14ac:dyDescent="0.3">
      <c r="A12" t="s">
        <v>375</v>
      </c>
      <c r="B12" t="s">
        <v>384</v>
      </c>
      <c r="C12">
        <v>-0.75041920231361248</v>
      </c>
      <c r="D12">
        <v>-0.75041920231361248</v>
      </c>
      <c r="E12">
        <v>0</v>
      </c>
    </row>
    <row r="13" spans="1:5" x14ac:dyDescent="0.3">
      <c r="A13" t="s">
        <v>375</v>
      </c>
      <c r="B13" t="s">
        <v>385</v>
      </c>
      <c r="C13">
        <v>-12.40566753472589</v>
      </c>
      <c r="D13">
        <v>-12.40566753472589</v>
      </c>
      <c r="E13">
        <v>0</v>
      </c>
    </row>
    <row r="14" spans="1:5" x14ac:dyDescent="0.3">
      <c r="A14" t="s">
        <v>375</v>
      </c>
      <c r="B14" t="s">
        <v>386</v>
      </c>
      <c r="C14">
        <v>-23.14381874381953</v>
      </c>
      <c r="D14">
        <v>-23.14381874381953</v>
      </c>
      <c r="E14">
        <v>0</v>
      </c>
    </row>
    <row r="15" spans="1:5" x14ac:dyDescent="0.3">
      <c r="A15" t="s">
        <v>375</v>
      </c>
      <c r="B15" t="s">
        <v>387</v>
      </c>
      <c r="C15">
        <v>-24.931939934577901</v>
      </c>
      <c r="D15">
        <v>-24.931939934577901</v>
      </c>
      <c r="E15">
        <v>0</v>
      </c>
    </row>
    <row r="16" spans="1:5" x14ac:dyDescent="0.3">
      <c r="A16" t="s">
        <v>375</v>
      </c>
      <c r="B16" t="s">
        <v>388</v>
      </c>
      <c r="C16">
        <v>8.6225922188410014</v>
      </c>
      <c r="D16">
        <v>8.6225922188410014</v>
      </c>
      <c r="E16">
        <v>0</v>
      </c>
    </row>
    <row r="17" spans="1:5" x14ac:dyDescent="0.3">
      <c r="A17" t="s">
        <v>375</v>
      </c>
      <c r="B17" t="s">
        <v>389</v>
      </c>
      <c r="C17">
        <v>15.943235222551619</v>
      </c>
      <c r="D17">
        <v>15.943235222551619</v>
      </c>
      <c r="E17">
        <v>0</v>
      </c>
    </row>
    <row r="18" spans="1:5" x14ac:dyDescent="0.3">
      <c r="A18" t="s">
        <v>375</v>
      </c>
      <c r="B18" t="s">
        <v>390</v>
      </c>
      <c r="C18">
        <v>7.2015922013192988</v>
      </c>
      <c r="D18">
        <v>7.2015922013192988</v>
      </c>
      <c r="E18">
        <v>0</v>
      </c>
    </row>
    <row r="19" spans="1:5" x14ac:dyDescent="0.3">
      <c r="A19" t="s">
        <v>375</v>
      </c>
      <c r="B19" t="s">
        <v>391</v>
      </c>
      <c r="C19">
        <v>1.378410914369854</v>
      </c>
      <c r="D19">
        <v>1.378410914369854</v>
      </c>
      <c r="E19">
        <v>0</v>
      </c>
    </row>
    <row r="20" spans="1:5" x14ac:dyDescent="0.3">
      <c r="A20" t="s">
        <v>375</v>
      </c>
      <c r="B20" t="s">
        <v>392</v>
      </c>
      <c r="C20">
        <v>15256.18340699412</v>
      </c>
      <c r="D20">
        <v>15256.18340699412</v>
      </c>
      <c r="E20">
        <v>0</v>
      </c>
    </row>
    <row r="21" spans="1:5" x14ac:dyDescent="0.3">
      <c r="A21" t="s">
        <v>375</v>
      </c>
      <c r="B21" t="s">
        <v>393</v>
      </c>
      <c r="C21">
        <v>5522.7383933318724</v>
      </c>
      <c r="D21">
        <v>5522.7383933318724</v>
      </c>
      <c r="E21">
        <v>0</v>
      </c>
    </row>
    <row r="22" spans="1:5" x14ac:dyDescent="0.3">
      <c r="A22" t="s">
        <v>375</v>
      </c>
      <c r="B22" t="s">
        <v>394</v>
      </c>
      <c r="C22">
        <v>5.6895328228750266</v>
      </c>
      <c r="D22">
        <v>5.6895328228750266</v>
      </c>
      <c r="E22">
        <v>0</v>
      </c>
    </row>
    <row r="23" spans="1:5" x14ac:dyDescent="0.3">
      <c r="A23" t="s">
        <v>375</v>
      </c>
      <c r="B23" t="s">
        <v>395</v>
      </c>
      <c r="C23">
        <v>14.47778154702017</v>
      </c>
      <c r="D23">
        <v>14.47778154702017</v>
      </c>
      <c r="E23">
        <v>0</v>
      </c>
    </row>
    <row r="24" spans="1:5" x14ac:dyDescent="0.3">
      <c r="A24" t="s">
        <v>375</v>
      </c>
      <c r="B24" t="s">
        <v>396</v>
      </c>
      <c r="C24">
        <v>4.7074604923905694</v>
      </c>
      <c r="D24">
        <v>4.7074604923905694</v>
      </c>
      <c r="E24">
        <v>0</v>
      </c>
    </row>
    <row r="25" spans="1:5" x14ac:dyDescent="0.3">
      <c r="A25" t="s">
        <v>375</v>
      </c>
      <c r="B25" t="s">
        <v>397</v>
      </c>
      <c r="C25">
        <v>-0.98023977420850228</v>
      </c>
      <c r="D25">
        <v>-0.98023977420850228</v>
      </c>
      <c r="E25">
        <v>0</v>
      </c>
    </row>
    <row r="26" spans="1:5" x14ac:dyDescent="0.3">
      <c r="A26" t="s">
        <v>375</v>
      </c>
      <c r="B26" t="s">
        <v>398</v>
      </c>
      <c r="C26">
        <v>-5.93689494645806</v>
      </c>
      <c r="D26">
        <v>-5.93689494645806</v>
      </c>
      <c r="E26">
        <v>0</v>
      </c>
    </row>
    <row r="27" spans="1:5" x14ac:dyDescent="0.3">
      <c r="A27" t="s">
        <v>375</v>
      </c>
      <c r="B27" t="s">
        <v>399</v>
      </c>
      <c r="C27">
        <v>-8.1253491301772396</v>
      </c>
      <c r="D27">
        <v>-8.1253491301772396</v>
      </c>
      <c r="E27">
        <v>0</v>
      </c>
    </row>
    <row r="28" spans="1:5" x14ac:dyDescent="0.3">
      <c r="A28" t="s">
        <v>375</v>
      </c>
      <c r="B28" t="s">
        <v>400</v>
      </c>
      <c r="C28">
        <v>11.59273217387323</v>
      </c>
      <c r="D28">
        <v>11.59273217387323</v>
      </c>
      <c r="E28">
        <v>0</v>
      </c>
    </row>
    <row r="29" spans="1:5" x14ac:dyDescent="0.3">
      <c r="A29" t="s">
        <v>375</v>
      </c>
      <c r="B29" t="s">
        <v>401</v>
      </c>
      <c r="C29">
        <v>17.117925574766861</v>
      </c>
      <c r="D29">
        <v>17.117925574766861</v>
      </c>
      <c r="E29">
        <v>0</v>
      </c>
    </row>
    <row r="30" spans="1:5" x14ac:dyDescent="0.3">
      <c r="A30" t="s">
        <v>375</v>
      </c>
      <c r="B30" t="s">
        <v>402</v>
      </c>
      <c r="C30">
        <v>10.171732156351529</v>
      </c>
      <c r="D30">
        <v>10.171732156351529</v>
      </c>
      <c r="E30">
        <v>0</v>
      </c>
    </row>
    <row r="31" spans="1:5" x14ac:dyDescent="0.3">
      <c r="A31" t="s">
        <v>375</v>
      </c>
      <c r="B31" t="s">
        <v>403</v>
      </c>
      <c r="C31">
        <v>7.5960487871456817</v>
      </c>
      <c r="D31">
        <v>7.5960487871456817</v>
      </c>
      <c r="E31">
        <v>0</v>
      </c>
    </row>
    <row r="32" spans="1:5" x14ac:dyDescent="0.3">
      <c r="A32" t="s">
        <v>375</v>
      </c>
      <c r="B32" t="s">
        <v>404</v>
      </c>
      <c r="C32">
        <v>15678.87302351882</v>
      </c>
      <c r="D32">
        <v>15678.87302351882</v>
      </c>
      <c r="E32">
        <v>0</v>
      </c>
    </row>
    <row r="33" spans="1:5" x14ac:dyDescent="0.3">
      <c r="A33" t="s">
        <v>375</v>
      </c>
      <c r="B33" t="s">
        <v>405</v>
      </c>
      <c r="C33">
        <v>5675.7520345138128</v>
      </c>
      <c r="D33">
        <v>5675.7520345138128</v>
      </c>
      <c r="E33">
        <v>0</v>
      </c>
    </row>
    <row r="34" spans="1:5" x14ac:dyDescent="0.3">
      <c r="A34" t="s">
        <v>375</v>
      </c>
      <c r="B34" t="s">
        <v>406</v>
      </c>
      <c r="C34">
        <v>5.9030637761410532</v>
      </c>
      <c r="D34">
        <v>5.9030637761410532</v>
      </c>
      <c r="E34">
        <v>0</v>
      </c>
    </row>
    <row r="35" spans="1:5" x14ac:dyDescent="0.3">
      <c r="A35" t="s">
        <v>375</v>
      </c>
      <c r="B35" t="s">
        <v>407</v>
      </c>
      <c r="C35">
        <v>15.53901570464836</v>
      </c>
      <c r="D35">
        <v>15.53901570464836</v>
      </c>
      <c r="E35">
        <v>0</v>
      </c>
    </row>
    <row r="36" spans="1:5" x14ac:dyDescent="0.3">
      <c r="A36" t="s">
        <v>375</v>
      </c>
      <c r="B36" t="s">
        <v>408</v>
      </c>
      <c r="C36">
        <v>7.6084977401804199</v>
      </c>
      <c r="D36">
        <v>7.6084977401804199</v>
      </c>
      <c r="E36">
        <v>0</v>
      </c>
    </row>
    <row r="37" spans="1:5" x14ac:dyDescent="0.3">
      <c r="A37" t="s">
        <v>375</v>
      </c>
      <c r="B37" t="s">
        <v>409</v>
      </c>
      <c r="C37">
        <v>5.0927397268520691</v>
      </c>
      <c r="D37">
        <v>5.0927397268520691</v>
      </c>
      <c r="E37">
        <v>0</v>
      </c>
    </row>
    <row r="38" spans="1:5" x14ac:dyDescent="0.3">
      <c r="A38" t="s">
        <v>375</v>
      </c>
      <c r="B38" t="s">
        <v>410</v>
      </c>
      <c r="C38">
        <v>3.7551682536884008</v>
      </c>
      <c r="D38">
        <v>3.7551682536884008</v>
      </c>
      <c r="E38">
        <v>0</v>
      </c>
    </row>
    <row r="39" spans="1:5" x14ac:dyDescent="0.3">
      <c r="A39" t="s">
        <v>375</v>
      </c>
      <c r="B39" t="s">
        <v>411</v>
      </c>
      <c r="C39">
        <v>1.34122038413822</v>
      </c>
      <c r="D39">
        <v>1.34122038413822</v>
      </c>
      <c r="E39">
        <v>0</v>
      </c>
    </row>
    <row r="40" spans="1:5" x14ac:dyDescent="0.3">
      <c r="A40" t="s">
        <v>375</v>
      </c>
      <c r="B40" t="s">
        <v>412</v>
      </c>
      <c r="C40">
        <v>11.845639131948809</v>
      </c>
      <c r="D40">
        <v>11.845639131948809</v>
      </c>
      <c r="E40">
        <v>0</v>
      </c>
    </row>
    <row r="41" spans="1:5" x14ac:dyDescent="0.3">
      <c r="A41" t="s">
        <v>375</v>
      </c>
      <c r="B41" t="s">
        <v>413</v>
      </c>
      <c r="C41">
        <v>17.217950276685759</v>
      </c>
      <c r="D41">
        <v>17.217950276685759</v>
      </c>
      <c r="E41">
        <v>0</v>
      </c>
    </row>
    <row r="42" spans="1:5" x14ac:dyDescent="0.3">
      <c r="A42" t="s">
        <v>375</v>
      </c>
      <c r="B42" t="s">
        <v>414</v>
      </c>
      <c r="C42">
        <v>10.42463911442711</v>
      </c>
      <c r="D42">
        <v>10.42463911442711</v>
      </c>
      <c r="E42">
        <v>0</v>
      </c>
    </row>
    <row r="43" spans="1:5" x14ac:dyDescent="0.3">
      <c r="A43" t="s">
        <v>375</v>
      </c>
      <c r="B43" t="s">
        <v>415</v>
      </c>
      <c r="C43">
        <v>8.1254796909504101</v>
      </c>
      <c r="D43">
        <v>8.1254796909504101</v>
      </c>
      <c r="E43">
        <v>0</v>
      </c>
    </row>
    <row r="44" spans="1:5" x14ac:dyDescent="0.3">
      <c r="A44" t="s">
        <v>375</v>
      </c>
      <c r="B44" t="s">
        <v>416</v>
      </c>
      <c r="C44">
        <v>15714.864979030641</v>
      </c>
      <c r="D44">
        <v>15714.864979030641</v>
      </c>
      <c r="E44">
        <v>0</v>
      </c>
    </row>
    <row r="45" spans="1:5" x14ac:dyDescent="0.3">
      <c r="A45" t="s">
        <v>375</v>
      </c>
      <c r="B45" t="s">
        <v>417</v>
      </c>
      <c r="C45">
        <v>5688.781122409091</v>
      </c>
      <c r="D45">
        <v>5688.781122409091</v>
      </c>
      <c r="E45">
        <v>0</v>
      </c>
    </row>
    <row r="46" spans="1:5" x14ac:dyDescent="0.3">
      <c r="A46" t="s">
        <v>375</v>
      </c>
      <c r="B46" t="s">
        <v>418</v>
      </c>
      <c r="C46">
        <v>5.9212459038061134</v>
      </c>
      <c r="D46">
        <v>5.9212459038061134</v>
      </c>
      <c r="E46">
        <v>0</v>
      </c>
    </row>
    <row r="47" spans="1:5" x14ac:dyDescent="0.3">
      <c r="A47" t="s">
        <v>375</v>
      </c>
      <c r="B47" t="s">
        <v>419</v>
      </c>
      <c r="C47">
        <v>15.62935857204284</v>
      </c>
      <c r="D47">
        <v>15.62935857204284</v>
      </c>
      <c r="E47">
        <v>0</v>
      </c>
    </row>
    <row r="48" spans="1:5" x14ac:dyDescent="0.3">
      <c r="A48" t="s">
        <v>375</v>
      </c>
      <c r="B48" t="s">
        <v>420</v>
      </c>
      <c r="C48">
        <v>7.8555206134155453</v>
      </c>
      <c r="D48">
        <v>7.8555206134155453</v>
      </c>
      <c r="E48">
        <v>0</v>
      </c>
    </row>
    <row r="49" spans="1:5" x14ac:dyDescent="0.3">
      <c r="A49" t="s">
        <v>375</v>
      </c>
      <c r="B49" t="s">
        <v>421</v>
      </c>
      <c r="C49">
        <v>5.6098529926651208</v>
      </c>
      <c r="D49">
        <v>5.6098529926651208</v>
      </c>
      <c r="E49">
        <v>0</v>
      </c>
    </row>
    <row r="50" spans="1:5" x14ac:dyDescent="0.3">
      <c r="A50" t="s">
        <v>375</v>
      </c>
      <c r="B50" t="s">
        <v>422</v>
      </c>
      <c r="C50">
        <v>4.5979563580489602</v>
      </c>
      <c r="D50">
        <v>4.5979563580489602</v>
      </c>
      <c r="E50">
        <v>0</v>
      </c>
    </row>
    <row r="51" spans="1:5" x14ac:dyDescent="0.3">
      <c r="A51" t="s">
        <v>375</v>
      </c>
      <c r="B51" t="s">
        <v>423</v>
      </c>
      <c r="C51">
        <v>2.164400341904793</v>
      </c>
      <c r="D51">
        <v>2.164400341904793</v>
      </c>
      <c r="E51">
        <v>0</v>
      </c>
    </row>
    <row r="52" spans="1:5" x14ac:dyDescent="0.3">
      <c r="A52" t="s">
        <v>375</v>
      </c>
      <c r="B52" t="s">
        <v>424</v>
      </c>
      <c r="C52">
        <v>12.93011229346291</v>
      </c>
      <c r="D52">
        <v>12.93011229346291</v>
      </c>
      <c r="E52">
        <v>0</v>
      </c>
    </row>
    <row r="53" spans="1:5" x14ac:dyDescent="0.3">
      <c r="A53" t="s">
        <v>375</v>
      </c>
      <c r="B53" t="s">
        <v>425</v>
      </c>
      <c r="C53">
        <v>17.646859412064579</v>
      </c>
      <c r="D53">
        <v>17.646859412064579</v>
      </c>
      <c r="E53">
        <v>0</v>
      </c>
    </row>
    <row r="54" spans="1:5" x14ac:dyDescent="0.3">
      <c r="A54" t="s">
        <v>375</v>
      </c>
      <c r="B54" t="s">
        <v>426</v>
      </c>
      <c r="C54">
        <v>11.509112275941209</v>
      </c>
      <c r="D54">
        <v>11.509112275941209</v>
      </c>
      <c r="E54">
        <v>0</v>
      </c>
    </row>
    <row r="55" spans="1:5" x14ac:dyDescent="0.3">
      <c r="A55" t="s">
        <v>375</v>
      </c>
      <c r="B55" t="s">
        <v>427</v>
      </c>
      <c r="C55">
        <v>10.395696415793569</v>
      </c>
      <c r="D55">
        <v>10.395696415793569</v>
      </c>
      <c r="E55">
        <v>0</v>
      </c>
    </row>
    <row r="56" spans="1:5" x14ac:dyDescent="0.3">
      <c r="A56" t="s">
        <v>375</v>
      </c>
      <c r="B56" t="s">
        <v>428</v>
      </c>
      <c r="C56">
        <v>15869.19964059939</v>
      </c>
      <c r="D56">
        <v>15869.19964059939</v>
      </c>
      <c r="E56">
        <v>0</v>
      </c>
    </row>
    <row r="57" spans="1:5" x14ac:dyDescent="0.3">
      <c r="A57" t="s">
        <v>375</v>
      </c>
      <c r="B57" t="s">
        <v>429</v>
      </c>
      <c r="C57">
        <v>5744.6502698969798</v>
      </c>
      <c r="D57">
        <v>5744.6502698969798</v>
      </c>
      <c r="E57">
        <v>0</v>
      </c>
    </row>
    <row r="58" spans="1:5" x14ac:dyDescent="0.3">
      <c r="A58" t="s">
        <v>375</v>
      </c>
      <c r="B58" t="s">
        <v>430</v>
      </c>
      <c r="C58">
        <v>5.9992114513814698</v>
      </c>
      <c r="D58">
        <v>5.9992114513814698</v>
      </c>
      <c r="E58">
        <v>0</v>
      </c>
    </row>
    <row r="59" spans="1:5" x14ac:dyDescent="0.3">
      <c r="A59" t="s">
        <v>375</v>
      </c>
      <c r="B59" t="s">
        <v>431</v>
      </c>
      <c r="C59">
        <v>16.01671567060427</v>
      </c>
      <c r="D59">
        <v>16.01671567060427</v>
      </c>
      <c r="E59">
        <v>0</v>
      </c>
    </row>
    <row r="60" spans="1:5" x14ac:dyDescent="0.3">
      <c r="A60" t="s">
        <v>375</v>
      </c>
      <c r="B60" t="s">
        <v>432</v>
      </c>
      <c r="C60">
        <v>8.9147626300924099</v>
      </c>
      <c r="D60">
        <v>8.9147626300924099</v>
      </c>
      <c r="E60">
        <v>0</v>
      </c>
    </row>
    <row r="61" spans="1:5" x14ac:dyDescent="0.3">
      <c r="A61" t="s">
        <v>375</v>
      </c>
      <c r="B61" t="s">
        <v>433</v>
      </c>
      <c r="C61">
        <v>7.8272512900642299</v>
      </c>
      <c r="D61">
        <v>7.8272512900642299</v>
      </c>
      <c r="E61">
        <v>0</v>
      </c>
    </row>
    <row r="62" spans="1:5" x14ac:dyDescent="0.3">
      <c r="A62" t="s">
        <v>375</v>
      </c>
      <c r="B62" t="s">
        <v>434</v>
      </c>
      <c r="C62">
        <v>8.2430149094083749</v>
      </c>
      <c r="D62">
        <v>8.2430149094083749</v>
      </c>
      <c r="E62">
        <v>0</v>
      </c>
    </row>
    <row r="63" spans="1:5" x14ac:dyDescent="0.3">
      <c r="A63" t="s">
        <v>375</v>
      </c>
      <c r="B63" t="s">
        <v>435</v>
      </c>
      <c r="C63">
        <v>5.7246536592451491</v>
      </c>
      <c r="D63">
        <v>5.7246536592451491</v>
      </c>
      <c r="E63">
        <v>0</v>
      </c>
    </row>
    <row r="64" spans="1:5" x14ac:dyDescent="0.3">
      <c r="A64" t="s">
        <v>375</v>
      </c>
      <c r="B64" t="s">
        <v>436</v>
      </c>
      <c r="C64">
        <v>14.838959375603279</v>
      </c>
      <c r="D64">
        <v>14.838959375603279</v>
      </c>
      <c r="E64">
        <v>0</v>
      </c>
    </row>
    <row r="65" spans="1:5" x14ac:dyDescent="0.3">
      <c r="A65" t="s">
        <v>375</v>
      </c>
      <c r="B65" t="s">
        <v>437</v>
      </c>
      <c r="C65">
        <v>18.401808433051102</v>
      </c>
      <c r="D65">
        <v>18.401808433051102</v>
      </c>
      <c r="E65">
        <v>0</v>
      </c>
    </row>
    <row r="66" spans="1:5" x14ac:dyDescent="0.3">
      <c r="A66" t="s">
        <v>375</v>
      </c>
      <c r="B66" t="s">
        <v>438</v>
      </c>
      <c r="C66">
        <v>13.41795935808158</v>
      </c>
      <c r="D66">
        <v>13.41795935808158</v>
      </c>
      <c r="E66">
        <v>0</v>
      </c>
    </row>
    <row r="67" spans="1:5" x14ac:dyDescent="0.3">
      <c r="A67" t="s">
        <v>375</v>
      </c>
      <c r="B67" t="s">
        <v>439</v>
      </c>
      <c r="C67">
        <v>14.39164276544123</v>
      </c>
      <c r="D67">
        <v>14.39164276544123</v>
      </c>
      <c r="E67">
        <v>0</v>
      </c>
    </row>
    <row r="68" spans="1:5" x14ac:dyDescent="0.3">
      <c r="A68" t="s">
        <v>375</v>
      </c>
      <c r="B68" t="s">
        <v>440</v>
      </c>
      <c r="C68">
        <v>16140.85345266544</v>
      </c>
      <c r="D68">
        <v>16140.85345266544</v>
      </c>
      <c r="E68">
        <v>0</v>
      </c>
    </row>
    <row r="69" spans="1:5" x14ac:dyDescent="0.3">
      <c r="A69" t="s">
        <v>375</v>
      </c>
      <c r="B69" t="s">
        <v>441</v>
      </c>
      <c r="C69">
        <v>5842.9889498648909</v>
      </c>
      <c r="D69">
        <v>5842.9889498648909</v>
      </c>
      <c r="E69">
        <v>0</v>
      </c>
    </row>
    <row r="70" spans="1:5" x14ac:dyDescent="0.3">
      <c r="A70" t="s">
        <v>375</v>
      </c>
      <c r="B70" t="s">
        <v>442</v>
      </c>
      <c r="C70">
        <v>6.1364433472717392</v>
      </c>
      <c r="D70">
        <v>6.1364433472717392</v>
      </c>
      <c r="E70">
        <v>0</v>
      </c>
    </row>
    <row r="71" spans="1:5" x14ac:dyDescent="0.3">
      <c r="A71" t="s">
        <v>375</v>
      </c>
      <c r="B71" t="s">
        <v>443</v>
      </c>
      <c r="C71">
        <v>16.698388587959951</v>
      </c>
      <c r="D71">
        <v>16.698388587959951</v>
      </c>
      <c r="E71">
        <v>0</v>
      </c>
    </row>
    <row r="72" spans="1:5" x14ac:dyDescent="0.3">
      <c r="A72" t="s">
        <v>375</v>
      </c>
      <c r="B72" t="s">
        <v>444</v>
      </c>
      <c r="C72">
        <v>10.77919884167291</v>
      </c>
      <c r="D72">
        <v>10.77919884167291</v>
      </c>
      <c r="E72">
        <v>0</v>
      </c>
    </row>
    <row r="73" spans="1:5" x14ac:dyDescent="0.3">
      <c r="A73" t="s">
        <v>375</v>
      </c>
      <c r="B73" t="s">
        <v>445</v>
      </c>
      <c r="C73">
        <v>11.730228717392929</v>
      </c>
      <c r="D73">
        <v>11.730228717392929</v>
      </c>
      <c r="E73">
        <v>0</v>
      </c>
    </row>
    <row r="74" spans="1:5" x14ac:dyDescent="0.3">
      <c r="A74" t="s">
        <v>375</v>
      </c>
      <c r="B74" t="s">
        <v>446</v>
      </c>
      <c r="C74">
        <v>14.781645952405739</v>
      </c>
      <c r="D74">
        <v>14.781645952405739</v>
      </c>
      <c r="E74">
        <v>0</v>
      </c>
    </row>
    <row r="75" spans="1:5" x14ac:dyDescent="0.3">
      <c r="A75" t="s">
        <v>375</v>
      </c>
      <c r="B75" t="s">
        <v>447</v>
      </c>
      <c r="C75">
        <v>12.111158164917409</v>
      </c>
      <c r="D75">
        <v>12.111158164917409</v>
      </c>
      <c r="E75">
        <v>0</v>
      </c>
    </row>
    <row r="76" spans="1:5" x14ac:dyDescent="0.3">
      <c r="A76" t="s">
        <v>375</v>
      </c>
      <c r="B76" t="s">
        <v>448</v>
      </c>
      <c r="C76">
        <v>15.94570466009746</v>
      </c>
      <c r="D76">
        <v>15.94570466009746</v>
      </c>
      <c r="E76">
        <v>0</v>
      </c>
    </row>
    <row r="77" spans="1:5" x14ac:dyDescent="0.3">
      <c r="A77" t="s">
        <v>375</v>
      </c>
      <c r="B77" t="s">
        <v>449</v>
      </c>
      <c r="C77">
        <v>18.83952619306854</v>
      </c>
      <c r="D77">
        <v>18.83952619306854</v>
      </c>
      <c r="E77">
        <v>0</v>
      </c>
    </row>
    <row r="78" spans="1:5" x14ac:dyDescent="0.3">
      <c r="A78" t="s">
        <v>375</v>
      </c>
      <c r="B78" t="s">
        <v>450</v>
      </c>
      <c r="C78">
        <v>14.52470464257576</v>
      </c>
      <c r="D78">
        <v>14.52470464257576</v>
      </c>
      <c r="E78">
        <v>0</v>
      </c>
    </row>
    <row r="79" spans="1:5" x14ac:dyDescent="0.3">
      <c r="A79" t="s">
        <v>375</v>
      </c>
      <c r="B79" t="s">
        <v>451</v>
      </c>
      <c r="C79">
        <v>16.708483554282939</v>
      </c>
      <c r="D79">
        <v>16.708483554282939</v>
      </c>
      <c r="E79">
        <v>0</v>
      </c>
    </row>
    <row r="80" spans="1:5" x14ac:dyDescent="0.3">
      <c r="A80" t="s">
        <v>375</v>
      </c>
      <c r="B80" t="s">
        <v>452</v>
      </c>
      <c r="C80">
        <v>16298.35772754002</v>
      </c>
      <c r="D80">
        <v>16298.35772754002</v>
      </c>
      <c r="E80">
        <v>0</v>
      </c>
    </row>
    <row r="81" spans="1:5" x14ac:dyDescent="0.3">
      <c r="A81" t="s">
        <v>375</v>
      </c>
      <c r="B81" t="s">
        <v>453</v>
      </c>
      <c r="C81">
        <v>5900.0054973694896</v>
      </c>
      <c r="D81">
        <v>5900.0054973694896</v>
      </c>
      <c r="E81">
        <v>0</v>
      </c>
    </row>
    <row r="82" spans="1:5" x14ac:dyDescent="0.3">
      <c r="A82" t="s">
        <v>375</v>
      </c>
      <c r="B82" t="s">
        <v>454</v>
      </c>
      <c r="C82">
        <v>6.2160100946973378</v>
      </c>
      <c r="D82">
        <v>6.2160100946973378</v>
      </c>
      <c r="E82">
        <v>0</v>
      </c>
    </row>
    <row r="83" spans="1:5" x14ac:dyDescent="0.3">
      <c r="A83" t="s">
        <v>375</v>
      </c>
      <c r="B83" t="s">
        <v>455</v>
      </c>
      <c r="C83">
        <v>17.09354339499594</v>
      </c>
      <c r="D83">
        <v>17.09354339499594</v>
      </c>
      <c r="E83">
        <v>0</v>
      </c>
    </row>
    <row r="84" spans="1:5" x14ac:dyDescent="0.3">
      <c r="A84" t="s">
        <v>375</v>
      </c>
      <c r="B84" t="s">
        <v>456</v>
      </c>
      <c r="C84">
        <v>11.86019480238298</v>
      </c>
      <c r="D84">
        <v>11.86019480238298</v>
      </c>
      <c r="E84">
        <v>0</v>
      </c>
    </row>
    <row r="85" spans="1:5" x14ac:dyDescent="0.3">
      <c r="A85" t="s">
        <v>375</v>
      </c>
      <c r="B85" t="s">
        <v>457</v>
      </c>
      <c r="C85">
        <v>13.99316633224876</v>
      </c>
      <c r="D85">
        <v>13.99316633224876</v>
      </c>
      <c r="E85">
        <v>0</v>
      </c>
    </row>
    <row r="86" spans="1:5" x14ac:dyDescent="0.3">
      <c r="A86" t="s">
        <v>375</v>
      </c>
      <c r="B86" t="s">
        <v>458</v>
      </c>
      <c r="C86">
        <v>18.644424764058339</v>
      </c>
      <c r="D86">
        <v>18.644424764058339</v>
      </c>
      <c r="E86">
        <v>0</v>
      </c>
    </row>
    <row r="87" spans="1:5" x14ac:dyDescent="0.3">
      <c r="A87" t="s">
        <v>375</v>
      </c>
      <c r="B87" t="s">
        <v>459</v>
      </c>
      <c r="C87">
        <v>15.884066304680839</v>
      </c>
      <c r="D87">
        <v>15.884066304680839</v>
      </c>
      <c r="E87">
        <v>0</v>
      </c>
    </row>
    <row r="88" spans="1:5" x14ac:dyDescent="0.3">
      <c r="A88" t="s">
        <v>375</v>
      </c>
      <c r="B88" t="s">
        <v>460</v>
      </c>
      <c r="C88">
        <v>18.406983612860241</v>
      </c>
      <c r="D88">
        <v>18.406983612860241</v>
      </c>
      <c r="E88">
        <v>0</v>
      </c>
    </row>
    <row r="89" spans="1:5" x14ac:dyDescent="0.3">
      <c r="A89" t="s">
        <v>375</v>
      </c>
      <c r="B89" t="s">
        <v>461</v>
      </c>
      <c r="C89">
        <v>19.812962018886221</v>
      </c>
      <c r="D89">
        <v>19.812962018886221</v>
      </c>
      <c r="E89">
        <v>0</v>
      </c>
    </row>
    <row r="90" spans="1:5" x14ac:dyDescent="0.3">
      <c r="A90" t="s">
        <v>375</v>
      </c>
      <c r="B90" t="s">
        <v>462</v>
      </c>
      <c r="C90">
        <v>16.985983595338539</v>
      </c>
      <c r="D90">
        <v>16.985983595338539</v>
      </c>
      <c r="E90">
        <v>0</v>
      </c>
    </row>
    <row r="91" spans="1:5" x14ac:dyDescent="0.3">
      <c r="A91" t="s">
        <v>375</v>
      </c>
      <c r="B91" t="s">
        <v>463</v>
      </c>
      <c r="C91">
        <v>21.860880903854252</v>
      </c>
      <c r="D91">
        <v>21.860880903854252</v>
      </c>
      <c r="E91">
        <v>0</v>
      </c>
    </row>
    <row r="92" spans="1:5" x14ac:dyDescent="0.3">
      <c r="A92" t="s">
        <v>375</v>
      </c>
      <c r="B92" t="s">
        <v>464</v>
      </c>
      <c r="C92">
        <v>16648.62979298292</v>
      </c>
      <c r="D92">
        <v>16648.62979298292</v>
      </c>
      <c r="E92">
        <v>0</v>
      </c>
    </row>
    <row r="93" spans="1:5" x14ac:dyDescent="0.3">
      <c r="A93" t="s">
        <v>375</v>
      </c>
      <c r="B93" t="s">
        <v>465</v>
      </c>
      <c r="C93">
        <v>6026.8039850598179</v>
      </c>
      <c r="D93">
        <v>6026.8039850598179</v>
      </c>
      <c r="E93">
        <v>0</v>
      </c>
    </row>
    <row r="94" spans="1:5" x14ac:dyDescent="0.3">
      <c r="A94" t="s">
        <v>375</v>
      </c>
      <c r="B94" t="s">
        <v>466</v>
      </c>
      <c r="C94">
        <v>6.3929577298236229</v>
      </c>
      <c r="D94">
        <v>6.3929577298236229</v>
      </c>
      <c r="E94">
        <v>0</v>
      </c>
    </row>
    <row r="95" spans="1:5" x14ac:dyDescent="0.3">
      <c r="A95" t="s">
        <v>375</v>
      </c>
      <c r="B95" t="s">
        <v>467</v>
      </c>
      <c r="C95">
        <v>17.972129219484639</v>
      </c>
      <c r="D95">
        <v>17.972129219484639</v>
      </c>
      <c r="E95">
        <v>0</v>
      </c>
    </row>
    <row r="96" spans="1:5" x14ac:dyDescent="0.3">
      <c r="A96" t="s">
        <v>375</v>
      </c>
      <c r="B96" t="s">
        <v>468</v>
      </c>
      <c r="C96">
        <v>14.264210110506269</v>
      </c>
      <c r="D96">
        <v>14.264210110506269</v>
      </c>
      <c r="E96">
        <v>0</v>
      </c>
    </row>
    <row r="97" spans="1:5" x14ac:dyDescent="0.3">
      <c r="A97" t="s">
        <v>375</v>
      </c>
      <c r="B97" t="s">
        <v>469</v>
      </c>
      <c r="C97">
        <v>19.025688992063291</v>
      </c>
      <c r="D97">
        <v>19.025688992063291</v>
      </c>
      <c r="E97">
        <v>0</v>
      </c>
    </row>
    <row r="98" spans="1:5" x14ac:dyDescent="0.3">
      <c r="A98" t="s">
        <v>375</v>
      </c>
      <c r="B98" t="s">
        <v>470</v>
      </c>
      <c r="C98">
        <v>27.423467517814171</v>
      </c>
      <c r="D98">
        <v>27.423467517814171</v>
      </c>
      <c r="E98">
        <v>0</v>
      </c>
    </row>
    <row r="99" spans="1:5" x14ac:dyDescent="0.3">
      <c r="A99" t="s">
        <v>375</v>
      </c>
      <c r="B99" t="s">
        <v>471</v>
      </c>
      <c r="C99">
        <v>24.458857531415859</v>
      </c>
      <c r="D99">
        <v>24.458857531415859</v>
      </c>
      <c r="E99">
        <v>0</v>
      </c>
    </row>
    <row r="100" spans="1:5" x14ac:dyDescent="0.3">
      <c r="A100" t="s">
        <v>375</v>
      </c>
      <c r="B100" t="s">
        <v>472</v>
      </c>
      <c r="C100">
        <v>21.531091422708599</v>
      </c>
      <c r="D100">
        <v>21.531091422708599</v>
      </c>
      <c r="E100">
        <v>0</v>
      </c>
    </row>
    <row r="101" spans="1:5" x14ac:dyDescent="0.3">
      <c r="A101" t="s">
        <v>375</v>
      </c>
      <c r="B101" t="s">
        <v>473</v>
      </c>
      <c r="C101">
        <v>21.04854665768125</v>
      </c>
      <c r="D101">
        <v>21.04854665768125</v>
      </c>
      <c r="E101">
        <v>0</v>
      </c>
    </row>
    <row r="102" spans="1:5" x14ac:dyDescent="0.3">
      <c r="A102" t="s">
        <v>375</v>
      </c>
      <c r="B102" t="s">
        <v>474</v>
      </c>
      <c r="C102">
        <v>20.110091405186889</v>
      </c>
      <c r="D102">
        <v>20.110091405186889</v>
      </c>
      <c r="E102">
        <v>0</v>
      </c>
    </row>
    <row r="103" spans="1:5" x14ac:dyDescent="0.3">
      <c r="A103" t="s">
        <v>375</v>
      </c>
      <c r="B103" t="s">
        <v>475</v>
      </c>
      <c r="C103">
        <v>28.400832330802171</v>
      </c>
      <c r="D103">
        <v>28.400832330802171</v>
      </c>
      <c r="E103">
        <v>0</v>
      </c>
    </row>
    <row r="104" spans="1:5" x14ac:dyDescent="0.3">
      <c r="A104" t="s">
        <v>375</v>
      </c>
      <c r="B104" t="s">
        <v>476</v>
      </c>
      <c r="C104">
        <v>17093.2310414491</v>
      </c>
      <c r="D104">
        <v>17093.2310414491</v>
      </c>
      <c r="E104">
        <v>0</v>
      </c>
    </row>
    <row r="105" spans="1:5" x14ac:dyDescent="0.3">
      <c r="A105" t="s">
        <v>375</v>
      </c>
      <c r="B105" t="s">
        <v>477</v>
      </c>
      <c r="C105">
        <v>6187.7496370045756</v>
      </c>
      <c r="D105">
        <v>6187.7496370045756</v>
      </c>
      <c r="E105">
        <v>0</v>
      </c>
    </row>
    <row r="106" spans="1:5" x14ac:dyDescent="0.3">
      <c r="A106" t="s">
        <v>375</v>
      </c>
      <c r="B106" t="s">
        <v>478</v>
      </c>
      <c r="C106">
        <v>6.6175578257256786</v>
      </c>
      <c r="D106">
        <v>6.6175578257256786</v>
      </c>
      <c r="E106">
        <v>0</v>
      </c>
    </row>
    <row r="107" spans="1:5" x14ac:dyDescent="0.3">
      <c r="A107" t="s">
        <v>375</v>
      </c>
      <c r="B107" t="s">
        <v>479</v>
      </c>
      <c r="C107">
        <v>19.086955182170801</v>
      </c>
      <c r="D107">
        <v>19.086955182170801</v>
      </c>
      <c r="E107">
        <v>0</v>
      </c>
    </row>
    <row r="108" spans="1:5" x14ac:dyDescent="0.3">
      <c r="A108" t="s">
        <v>375</v>
      </c>
      <c r="B108" t="s">
        <v>480</v>
      </c>
      <c r="C108">
        <v>17.315633026495771</v>
      </c>
      <c r="D108">
        <v>17.315633026495771</v>
      </c>
      <c r="E108">
        <v>0</v>
      </c>
    </row>
    <row r="109" spans="1:5" x14ac:dyDescent="0.3">
      <c r="A109" t="s">
        <v>375</v>
      </c>
      <c r="B109" t="s">
        <v>481</v>
      </c>
      <c r="C109">
        <v>25.413483161886049</v>
      </c>
      <c r="D109">
        <v>25.413483161886049</v>
      </c>
      <c r="E109">
        <v>0</v>
      </c>
    </row>
    <row r="110" spans="1:5" x14ac:dyDescent="0.3">
      <c r="A110" t="s">
        <v>375</v>
      </c>
      <c r="B110" t="s">
        <v>482</v>
      </c>
      <c r="C110">
        <v>38.941571610741853</v>
      </c>
      <c r="D110">
        <v>38.941571610741853</v>
      </c>
      <c r="E110">
        <v>0</v>
      </c>
    </row>
    <row r="111" spans="1:5" x14ac:dyDescent="0.3">
      <c r="A111" t="s">
        <v>375</v>
      </c>
      <c r="B111" t="s">
        <v>483</v>
      </c>
      <c r="C111">
        <v>35.708983620892177</v>
      </c>
      <c r="D111">
        <v>35.708983620892177</v>
      </c>
      <c r="E111">
        <v>0</v>
      </c>
    </row>
    <row r="112" spans="1:5" x14ac:dyDescent="0.3">
      <c r="A112" t="s">
        <v>375</v>
      </c>
      <c r="B112" t="s">
        <v>484</v>
      </c>
      <c r="C112">
        <v>22.664975955488941</v>
      </c>
      <c r="D112">
        <v>22.664975955488941</v>
      </c>
      <c r="E112">
        <v>0</v>
      </c>
    </row>
    <row r="113" spans="1:5" x14ac:dyDescent="0.3">
      <c r="A113" t="s">
        <v>375</v>
      </c>
      <c r="B113" t="s">
        <v>485</v>
      </c>
      <c r="C113">
        <v>21.496997990395879</v>
      </c>
      <c r="D113">
        <v>21.496997990395879</v>
      </c>
      <c r="E113">
        <v>0</v>
      </c>
    </row>
    <row r="114" spans="1:5" x14ac:dyDescent="0.3">
      <c r="A114" t="s">
        <v>375</v>
      </c>
      <c r="B114" t="s">
        <v>486</v>
      </c>
      <c r="C114">
        <v>21.243975937967239</v>
      </c>
      <c r="D114">
        <v>21.243975937967239</v>
      </c>
      <c r="E114">
        <v>0</v>
      </c>
    </row>
    <row r="115" spans="1:5" x14ac:dyDescent="0.3">
      <c r="A115" t="s">
        <v>375</v>
      </c>
      <c r="B115" t="s">
        <v>487</v>
      </c>
      <c r="C115">
        <v>30.774485936729111</v>
      </c>
      <c r="D115">
        <v>30.774485936729111</v>
      </c>
      <c r="E115">
        <v>0</v>
      </c>
    </row>
    <row r="116" spans="1:5" x14ac:dyDescent="0.3">
      <c r="A116" t="s">
        <v>375</v>
      </c>
      <c r="B116" t="s">
        <v>488</v>
      </c>
      <c r="C116">
        <v>17254.597584979208</v>
      </c>
      <c r="D116">
        <v>17254.597584979208</v>
      </c>
      <c r="E116">
        <v>0</v>
      </c>
    </row>
    <row r="117" spans="1:5" x14ac:dyDescent="0.3">
      <c r="A117" t="s">
        <v>375</v>
      </c>
      <c r="B117" t="s">
        <v>489</v>
      </c>
      <c r="C117">
        <v>6246.1643257624737</v>
      </c>
      <c r="D117">
        <v>6246.1643257624737</v>
      </c>
      <c r="E117">
        <v>0</v>
      </c>
    </row>
    <row r="118" spans="1:5" x14ac:dyDescent="0.3">
      <c r="A118" t="s">
        <v>375</v>
      </c>
      <c r="B118" t="s">
        <v>490</v>
      </c>
      <c r="C118">
        <v>6.6990756830805056</v>
      </c>
      <c r="D118">
        <v>6.6990756830805056</v>
      </c>
      <c r="E118">
        <v>0</v>
      </c>
    </row>
    <row r="119" spans="1:5" x14ac:dyDescent="0.3">
      <c r="A119" t="s">
        <v>375</v>
      </c>
      <c r="B119" t="s">
        <v>491</v>
      </c>
      <c r="C119">
        <v>19.491482076104081</v>
      </c>
      <c r="D119">
        <v>19.491482076104081</v>
      </c>
      <c r="E119">
        <v>0</v>
      </c>
    </row>
    <row r="120" spans="1:5" x14ac:dyDescent="0.3">
      <c r="A120" t="s">
        <v>375</v>
      </c>
      <c r="B120" t="s">
        <v>492</v>
      </c>
      <c r="C120">
        <v>18.42313681894008</v>
      </c>
      <c r="D120">
        <v>18.42313681894008</v>
      </c>
      <c r="E120">
        <v>0</v>
      </c>
    </row>
    <row r="121" spans="1:5" x14ac:dyDescent="0.3">
      <c r="A121" t="s">
        <v>375</v>
      </c>
      <c r="B121" t="s">
        <v>493</v>
      </c>
      <c r="C121">
        <v>27.73191179770771</v>
      </c>
      <c r="D121">
        <v>27.73191179770771</v>
      </c>
      <c r="E121">
        <v>0</v>
      </c>
    </row>
    <row r="122" spans="1:5" x14ac:dyDescent="0.3">
      <c r="A122" t="s">
        <v>375</v>
      </c>
      <c r="B122" t="s">
        <v>494</v>
      </c>
      <c r="C122">
        <v>43.225744474574732</v>
      </c>
      <c r="D122">
        <v>43.225744474574732</v>
      </c>
      <c r="E122">
        <v>0</v>
      </c>
    </row>
    <row r="123" spans="1:5" x14ac:dyDescent="0.3">
      <c r="A123" t="s">
        <v>375</v>
      </c>
      <c r="B123" t="s">
        <v>495</v>
      </c>
      <c r="C123">
        <v>39.893481739538913</v>
      </c>
      <c r="D123">
        <v>39.893481739538913</v>
      </c>
      <c r="E123">
        <v>0</v>
      </c>
    </row>
    <row r="124" spans="1:5" x14ac:dyDescent="0.3">
      <c r="A124" t="s">
        <v>496</v>
      </c>
      <c r="B124" t="s">
        <v>497</v>
      </c>
      <c r="C124">
        <v>162.18994299344061</v>
      </c>
      <c r="D124">
        <v>162.1900547006986</v>
      </c>
      <c r="E124">
        <v>-1.117072579290834E-4</v>
      </c>
    </row>
    <row r="125" spans="1:5" x14ac:dyDescent="0.3">
      <c r="A125" t="s">
        <v>496</v>
      </c>
      <c r="B125" t="s">
        <v>498</v>
      </c>
      <c r="C125">
        <v>172.45118771592749</v>
      </c>
      <c r="D125">
        <v>172.45122144053599</v>
      </c>
      <c r="E125">
        <v>-3.3724608528018507E-5</v>
      </c>
    </row>
    <row r="126" spans="1:5" x14ac:dyDescent="0.3">
      <c r="A126" t="s">
        <v>496</v>
      </c>
      <c r="B126" t="s">
        <v>499</v>
      </c>
      <c r="C126">
        <v>169.42747068676721</v>
      </c>
      <c r="D126">
        <v>169.42724958123949</v>
      </c>
      <c r="E126">
        <v>2.2110552762910629E-4</v>
      </c>
    </row>
    <row r="127" spans="1:5" x14ac:dyDescent="0.3">
      <c r="A127" t="s">
        <v>496</v>
      </c>
      <c r="B127" t="s">
        <v>500</v>
      </c>
      <c r="C127">
        <v>7.2757906663280636</v>
      </c>
      <c r="D127">
        <v>7.2758138008462536</v>
      </c>
      <c r="E127">
        <v>-2.313451819002665E-5</v>
      </c>
    </row>
    <row r="128" spans="1:5" x14ac:dyDescent="0.3">
      <c r="A128" t="s">
        <v>496</v>
      </c>
      <c r="B128" t="s">
        <v>501</v>
      </c>
      <c r="C128">
        <v>175.49354278172589</v>
      </c>
      <c r="D128">
        <v>175.49340424321031</v>
      </c>
      <c r="E128">
        <v>1.385385155572294E-4</v>
      </c>
    </row>
    <row r="129" spans="1:5" x14ac:dyDescent="0.3">
      <c r="A129" t="s">
        <v>496</v>
      </c>
      <c r="B129" t="s">
        <v>502</v>
      </c>
      <c r="C129">
        <v>176.39666343253469</v>
      </c>
      <c r="D129">
        <v>176.39662305862649</v>
      </c>
      <c r="E129">
        <v>4.0373908205992848E-5</v>
      </c>
    </row>
    <row r="130" spans="1:5" x14ac:dyDescent="0.3">
      <c r="A130" t="s">
        <v>496</v>
      </c>
      <c r="B130" t="s">
        <v>503</v>
      </c>
      <c r="C130">
        <v>176.3978224455611</v>
      </c>
      <c r="D130">
        <v>176.3966340033501</v>
      </c>
      <c r="E130">
        <v>1.1884422110313151E-3</v>
      </c>
    </row>
    <row r="131" spans="1:5" x14ac:dyDescent="0.3">
      <c r="A131" t="s">
        <v>496</v>
      </c>
      <c r="B131" t="s">
        <v>504</v>
      </c>
      <c r="C131">
        <v>9.9823211111328192</v>
      </c>
      <c r="D131">
        <v>9.9822934153060991</v>
      </c>
      <c r="E131">
        <v>2.7695826720020019E-5</v>
      </c>
    </row>
    <row r="132" spans="1:5" x14ac:dyDescent="0.3">
      <c r="A132" t="s">
        <v>496</v>
      </c>
      <c r="B132" t="s">
        <v>505</v>
      </c>
      <c r="C132">
        <v>202.67314181936561</v>
      </c>
      <c r="D132">
        <v>202.6733591607925</v>
      </c>
      <c r="E132">
        <v>-2.1734142686113961E-4</v>
      </c>
    </row>
    <row r="133" spans="1:5" x14ac:dyDescent="0.3">
      <c r="A133" t="s">
        <v>496</v>
      </c>
      <c r="B133" t="s">
        <v>506</v>
      </c>
      <c r="C133">
        <v>184.05937244158011</v>
      </c>
      <c r="D133">
        <v>184.05943178224459</v>
      </c>
      <c r="E133">
        <v>-5.9340664478213512E-5</v>
      </c>
    </row>
    <row r="134" spans="1:5" x14ac:dyDescent="0.3">
      <c r="A134" t="s">
        <v>496</v>
      </c>
      <c r="B134" t="s">
        <v>507</v>
      </c>
      <c r="C134">
        <v>187.77093802345061</v>
      </c>
      <c r="D134">
        <v>187.77193299832501</v>
      </c>
      <c r="E134">
        <v>-9.9497487437361087E-4</v>
      </c>
    </row>
    <row r="135" spans="1:5" x14ac:dyDescent="0.3">
      <c r="A135" t="s">
        <v>496</v>
      </c>
      <c r="B135" t="s">
        <v>508</v>
      </c>
      <c r="C135">
        <v>15.238811509835701</v>
      </c>
      <c r="D135">
        <v>15.238852216540421</v>
      </c>
      <c r="E135">
        <v>-4.0706704719895008E-5</v>
      </c>
    </row>
    <row r="136" spans="1:5" x14ac:dyDescent="0.3">
      <c r="A136" t="s">
        <v>496</v>
      </c>
      <c r="B136" t="s">
        <v>509</v>
      </c>
      <c r="C136">
        <v>166.00777864621671</v>
      </c>
      <c r="D136">
        <v>166.00773470259259</v>
      </c>
      <c r="E136">
        <v>4.3943624120856839E-5</v>
      </c>
    </row>
    <row r="137" spans="1:5" x14ac:dyDescent="0.3">
      <c r="A137" t="s">
        <v>496</v>
      </c>
      <c r="B137" t="s">
        <v>510</v>
      </c>
      <c r="C137">
        <v>173.59781044944739</v>
      </c>
      <c r="D137">
        <v>173.59779731993299</v>
      </c>
      <c r="E137">
        <v>1.312951442855592E-5</v>
      </c>
    </row>
    <row r="138" spans="1:5" x14ac:dyDescent="0.3">
      <c r="A138" t="s">
        <v>496</v>
      </c>
      <c r="B138" t="s">
        <v>511</v>
      </c>
      <c r="C138">
        <v>173.59807370184251</v>
      </c>
      <c r="D138">
        <v>173.59779731993299</v>
      </c>
      <c r="E138">
        <v>2.7638190954348829E-4</v>
      </c>
    </row>
    <row r="139" spans="1:5" x14ac:dyDescent="0.3">
      <c r="A139" t="s">
        <v>496</v>
      </c>
      <c r="B139" t="s">
        <v>512</v>
      </c>
      <c r="C139">
        <v>8.0623547107889983</v>
      </c>
      <c r="D139">
        <v>8.0623457041613769</v>
      </c>
      <c r="E139">
        <v>9.0066276214884056E-6</v>
      </c>
    </row>
    <row r="140" spans="1:5" x14ac:dyDescent="0.3">
      <c r="A140" t="s">
        <v>496</v>
      </c>
      <c r="B140" t="s">
        <v>513</v>
      </c>
      <c r="C140">
        <v>167.97828010516099</v>
      </c>
      <c r="D140">
        <v>167.97823951163821</v>
      </c>
      <c r="E140">
        <v>4.0593522811604998E-5</v>
      </c>
    </row>
    <row r="141" spans="1:5" x14ac:dyDescent="0.3">
      <c r="A141" t="s">
        <v>496</v>
      </c>
      <c r="B141" t="s">
        <v>514</v>
      </c>
      <c r="C141">
        <v>174.1850043092557</v>
      </c>
      <c r="D141">
        <v>174.1849922445561</v>
      </c>
      <c r="E141">
        <v>1.206469960379764E-5</v>
      </c>
    </row>
    <row r="142" spans="1:5" x14ac:dyDescent="0.3">
      <c r="A142" t="s">
        <v>496</v>
      </c>
      <c r="B142" t="s">
        <v>515</v>
      </c>
      <c r="C142">
        <v>175.20661641541039</v>
      </c>
      <c r="D142">
        <v>175.207445561139</v>
      </c>
      <c r="E142">
        <v>-8.2914572865888658E-4</v>
      </c>
    </row>
    <row r="143" spans="1:5" x14ac:dyDescent="0.3">
      <c r="A143" t="s">
        <v>496</v>
      </c>
      <c r="B143" t="s">
        <v>516</v>
      </c>
      <c r="C143">
        <v>8.4651598913871418</v>
      </c>
      <c r="D143">
        <v>8.4651516152047144</v>
      </c>
      <c r="E143">
        <v>8.2761824273802631E-6</v>
      </c>
    </row>
    <row r="144" spans="1:5" x14ac:dyDescent="0.3">
      <c r="A144" t="s">
        <v>496</v>
      </c>
      <c r="B144" t="s">
        <v>517</v>
      </c>
      <c r="C144">
        <v>121.30785789770979</v>
      </c>
      <c r="D144">
        <v>121.307933237147</v>
      </c>
      <c r="E144">
        <v>-7.5339437174193336E-5</v>
      </c>
    </row>
    <row r="145" spans="1:5" x14ac:dyDescent="0.3">
      <c r="A145" t="s">
        <v>496</v>
      </c>
      <c r="B145" t="s">
        <v>518</v>
      </c>
      <c r="C145">
        <v>159.32390228942751</v>
      </c>
      <c r="D145">
        <v>159.3239281239531</v>
      </c>
      <c r="E145">
        <v>-2.583452564408617E-5</v>
      </c>
    </row>
    <row r="146" spans="1:5" x14ac:dyDescent="0.3">
      <c r="A146" t="s">
        <v>496</v>
      </c>
      <c r="B146" t="s">
        <v>519</v>
      </c>
      <c r="C146">
        <v>136.98576214405361</v>
      </c>
      <c r="D146">
        <v>136.98576214405361</v>
      </c>
      <c r="E146">
        <v>0</v>
      </c>
    </row>
    <row r="147" spans="1:5" x14ac:dyDescent="0.3">
      <c r="A147" t="s">
        <v>496</v>
      </c>
      <c r="B147" t="s">
        <v>520</v>
      </c>
      <c r="C147">
        <v>-1.729307886151854</v>
      </c>
      <c r="D147">
        <v>-1.729290164098751</v>
      </c>
      <c r="E147">
        <v>-1.772205310279773E-5</v>
      </c>
    </row>
    <row r="148" spans="1:5" x14ac:dyDescent="0.3">
      <c r="A148" t="s">
        <v>496</v>
      </c>
      <c r="B148" t="s">
        <v>521</v>
      </c>
      <c r="C148">
        <v>207.0600368193393</v>
      </c>
      <c r="D148">
        <v>207.0599514753863</v>
      </c>
      <c r="E148">
        <v>8.5343952974881176E-5</v>
      </c>
    </row>
    <row r="149" spans="1:5" x14ac:dyDescent="0.3">
      <c r="A149" t="s">
        <v>496</v>
      </c>
      <c r="B149" t="s">
        <v>522</v>
      </c>
      <c r="C149">
        <v>185.25127346011931</v>
      </c>
      <c r="D149">
        <v>185.2512503852596</v>
      </c>
      <c r="E149">
        <v>2.3074859626603939E-5</v>
      </c>
    </row>
    <row r="150" spans="1:5" x14ac:dyDescent="0.3">
      <c r="A150" t="s">
        <v>496</v>
      </c>
      <c r="B150" t="s">
        <v>523</v>
      </c>
      <c r="C150">
        <v>208.91139028475709</v>
      </c>
      <c r="D150">
        <v>208.9100083752094</v>
      </c>
      <c r="E150">
        <v>1.381909547717441E-3</v>
      </c>
    </row>
    <row r="151" spans="1:5" x14ac:dyDescent="0.3">
      <c r="A151" t="s">
        <v>496</v>
      </c>
      <c r="B151" t="s">
        <v>524</v>
      </c>
      <c r="C151">
        <v>16.056435701588171</v>
      </c>
      <c r="D151">
        <v>16.05641987261988</v>
      </c>
      <c r="E151">
        <v>1.5828968290776398E-5</v>
      </c>
    </row>
    <row r="152" spans="1:5" x14ac:dyDescent="0.3">
      <c r="A152" t="s">
        <v>525</v>
      </c>
      <c r="B152" t="s">
        <v>526</v>
      </c>
      <c r="C152">
        <v>-8.5329518072289137</v>
      </c>
      <c r="D152">
        <v>-8.5329518072289137</v>
      </c>
      <c r="E152">
        <v>0</v>
      </c>
    </row>
    <row r="153" spans="1:5" x14ac:dyDescent="0.3">
      <c r="A153" t="s">
        <v>525</v>
      </c>
      <c r="B153" t="s">
        <v>527</v>
      </c>
      <c r="C153">
        <v>-6.1093000000000002</v>
      </c>
      <c r="D153">
        <v>-6.1093000000000002</v>
      </c>
      <c r="E153">
        <v>0</v>
      </c>
    </row>
    <row r="154" spans="1:5" x14ac:dyDescent="0.3">
      <c r="A154" t="s">
        <v>525</v>
      </c>
      <c r="B154" t="s">
        <v>528</v>
      </c>
      <c r="C154">
        <v>-8.2308279010779941</v>
      </c>
      <c r="D154">
        <v>-8.2308279010779941</v>
      </c>
      <c r="E154">
        <v>0</v>
      </c>
    </row>
    <row r="155" spans="1:5" x14ac:dyDescent="0.3">
      <c r="A155" t="s">
        <v>525</v>
      </c>
      <c r="B155" t="s">
        <v>529</v>
      </c>
      <c r="C155">
        <v>-12.189819277108439</v>
      </c>
      <c r="D155">
        <v>-12.189819277108439</v>
      </c>
      <c r="E155">
        <v>0</v>
      </c>
    </row>
    <row r="156" spans="1:5" x14ac:dyDescent="0.3">
      <c r="A156" t="s">
        <v>525</v>
      </c>
      <c r="B156" t="s">
        <v>530</v>
      </c>
      <c r="C156">
        <v>-6.1093000000000002</v>
      </c>
      <c r="D156">
        <v>-6.1093000000000002</v>
      </c>
      <c r="E156">
        <v>0</v>
      </c>
    </row>
    <row r="157" spans="1:5" x14ac:dyDescent="0.3">
      <c r="A157" t="s">
        <v>525</v>
      </c>
      <c r="B157" t="s">
        <v>531</v>
      </c>
      <c r="C157">
        <v>-10.57895726062144</v>
      </c>
      <c r="D157">
        <v>-10.57895726062144</v>
      </c>
      <c r="E157">
        <v>0</v>
      </c>
    </row>
    <row r="158" spans="1:5" x14ac:dyDescent="0.3">
      <c r="A158" t="s">
        <v>525</v>
      </c>
      <c r="B158" t="s">
        <v>532</v>
      </c>
      <c r="C158">
        <v>-8.7941566265060196</v>
      </c>
      <c r="D158">
        <v>-8.7941566265060196</v>
      </c>
      <c r="E158">
        <v>0</v>
      </c>
    </row>
    <row r="159" spans="1:5" x14ac:dyDescent="0.3">
      <c r="A159" t="s">
        <v>525</v>
      </c>
      <c r="B159" t="s">
        <v>533</v>
      </c>
      <c r="C159">
        <v>-6.1093000000000002</v>
      </c>
      <c r="D159">
        <v>-6.1093000000000002</v>
      </c>
      <c r="E159">
        <v>0</v>
      </c>
    </row>
    <row r="160" spans="1:5" x14ac:dyDescent="0.3">
      <c r="A160" t="s">
        <v>525</v>
      </c>
      <c r="B160" t="s">
        <v>534</v>
      </c>
      <c r="C160">
        <v>-8.398551426759667</v>
      </c>
      <c r="D160">
        <v>-8.398551426759667</v>
      </c>
      <c r="E160">
        <v>0</v>
      </c>
    </row>
    <row r="161" spans="1:5" x14ac:dyDescent="0.3">
      <c r="A161" t="s">
        <v>525</v>
      </c>
      <c r="B161" t="s">
        <v>535</v>
      </c>
      <c r="C161">
        <v>1.9930000000000001</v>
      </c>
      <c r="D161">
        <v>1.9930000000000001</v>
      </c>
      <c r="E161">
        <v>0</v>
      </c>
    </row>
    <row r="162" spans="1:5" x14ac:dyDescent="0.3">
      <c r="A162" t="s">
        <v>525</v>
      </c>
      <c r="B162" t="s">
        <v>536</v>
      </c>
      <c r="C162">
        <v>5.2053000000000003</v>
      </c>
      <c r="D162">
        <v>5.2053000000000003</v>
      </c>
      <c r="E162">
        <v>0</v>
      </c>
    </row>
    <row r="163" spans="1:5" x14ac:dyDescent="0.3">
      <c r="A163" t="s">
        <v>525</v>
      </c>
      <c r="B163" t="s">
        <v>537</v>
      </c>
      <c r="C163">
        <v>4.4997999999999996</v>
      </c>
      <c r="D163">
        <v>4.4997999999999996</v>
      </c>
      <c r="E163">
        <v>0</v>
      </c>
    </row>
    <row r="164" spans="1:5" x14ac:dyDescent="0.3">
      <c r="A164" t="s">
        <v>525</v>
      </c>
      <c r="B164" t="s">
        <v>538</v>
      </c>
      <c r="C164">
        <v>0.42577108433734301</v>
      </c>
      <c r="D164">
        <v>0.42577108433734301</v>
      </c>
      <c r="E164">
        <v>0</v>
      </c>
    </row>
    <row r="165" spans="1:5" x14ac:dyDescent="0.3">
      <c r="A165" t="s">
        <v>525</v>
      </c>
      <c r="B165" t="s">
        <v>539</v>
      </c>
      <c r="C165">
        <v>5.2053000000000003</v>
      </c>
      <c r="D165">
        <v>5.2053000000000003</v>
      </c>
      <c r="E165">
        <v>0</v>
      </c>
    </row>
    <row r="166" spans="1:5" x14ac:dyDescent="0.3">
      <c r="A166" t="s">
        <v>525</v>
      </c>
      <c r="B166" t="s">
        <v>540</v>
      </c>
      <c r="C166">
        <v>3.4934588459099518</v>
      </c>
      <c r="D166">
        <v>3.4934588459099518</v>
      </c>
      <c r="E166">
        <v>0</v>
      </c>
    </row>
    <row r="167" spans="1:5" x14ac:dyDescent="0.3">
      <c r="A167" t="s">
        <v>525</v>
      </c>
      <c r="B167" t="s">
        <v>541</v>
      </c>
      <c r="C167">
        <v>-1.8660000000000001</v>
      </c>
      <c r="D167">
        <v>-1.8660000000000001</v>
      </c>
      <c r="E167">
        <v>0</v>
      </c>
    </row>
    <row r="168" spans="1:5" x14ac:dyDescent="0.3">
      <c r="A168" t="s">
        <v>525</v>
      </c>
      <c r="B168" t="s">
        <v>542</v>
      </c>
      <c r="C168">
        <v>-0.45200000000000001</v>
      </c>
      <c r="D168">
        <v>-0.45200000000000001</v>
      </c>
      <c r="E168">
        <v>0</v>
      </c>
    </row>
    <row r="169" spans="1:5" x14ac:dyDescent="0.3">
      <c r="A169" t="s">
        <v>525</v>
      </c>
      <c r="B169" t="s">
        <v>543</v>
      </c>
      <c r="C169">
        <v>-0.96399999999999997</v>
      </c>
      <c r="D169">
        <v>-0.96399999999999997</v>
      </c>
      <c r="E169">
        <v>0</v>
      </c>
    </row>
    <row r="170" spans="1:5" x14ac:dyDescent="0.3">
      <c r="A170" t="s">
        <v>525</v>
      </c>
      <c r="B170" t="s">
        <v>544</v>
      </c>
      <c r="C170">
        <v>-2.120975903614466</v>
      </c>
      <c r="D170">
        <v>-2.120975903614466</v>
      </c>
      <c r="E170">
        <v>0</v>
      </c>
    </row>
    <row r="171" spans="1:5" x14ac:dyDescent="0.3">
      <c r="A171" t="s">
        <v>525</v>
      </c>
      <c r="B171" t="s">
        <v>545</v>
      </c>
      <c r="C171">
        <v>5.2053000000000003</v>
      </c>
      <c r="D171">
        <v>5.2053000000000003</v>
      </c>
      <c r="E171">
        <v>0</v>
      </c>
    </row>
    <row r="172" spans="1:5" x14ac:dyDescent="0.3">
      <c r="A172" t="s">
        <v>525</v>
      </c>
      <c r="B172" t="s">
        <v>546</v>
      </c>
      <c r="C172">
        <v>1.858154470513629</v>
      </c>
      <c r="D172">
        <v>1.858154470513629</v>
      </c>
      <c r="E172">
        <v>0</v>
      </c>
    </row>
    <row r="173" spans="1:5" x14ac:dyDescent="0.3">
      <c r="A173" t="s">
        <v>525</v>
      </c>
      <c r="B173" t="s">
        <v>547</v>
      </c>
      <c r="C173">
        <v>0.47861445783131179</v>
      </c>
      <c r="D173">
        <v>0.47861445783131179</v>
      </c>
      <c r="E173">
        <v>0</v>
      </c>
    </row>
    <row r="174" spans="1:5" x14ac:dyDescent="0.3">
      <c r="A174" t="s">
        <v>525</v>
      </c>
      <c r="B174" t="s">
        <v>548</v>
      </c>
      <c r="C174">
        <v>-6.1093000000000002</v>
      </c>
      <c r="D174">
        <v>-6.1093000000000002</v>
      </c>
      <c r="E174">
        <v>0</v>
      </c>
    </row>
    <row r="175" spans="1:5" x14ac:dyDescent="0.3">
      <c r="A175" t="s">
        <v>525</v>
      </c>
      <c r="B175" t="s">
        <v>549</v>
      </c>
      <c r="C175">
        <v>-2.4443662650602498</v>
      </c>
      <c r="D175">
        <v>-2.4443662650602498</v>
      </c>
      <c r="E175">
        <v>0</v>
      </c>
    </row>
    <row r="176" spans="1:5" x14ac:dyDescent="0.3">
      <c r="A176" t="s">
        <v>525</v>
      </c>
      <c r="B176" t="s">
        <v>550</v>
      </c>
      <c r="C176">
        <v>7.3476987951807011</v>
      </c>
      <c r="D176">
        <v>7.3476987951807011</v>
      </c>
      <c r="E176">
        <v>0</v>
      </c>
    </row>
    <row r="177" spans="1:5" x14ac:dyDescent="0.3">
      <c r="A177" t="s">
        <v>525</v>
      </c>
      <c r="B177" t="s">
        <v>551</v>
      </c>
      <c r="C177">
        <v>5.2053000000000003</v>
      </c>
      <c r="D177">
        <v>5.2053000000000003</v>
      </c>
      <c r="E177">
        <v>0</v>
      </c>
    </row>
    <row r="178" spans="1:5" x14ac:dyDescent="0.3">
      <c r="A178" t="s">
        <v>525</v>
      </c>
      <c r="B178" t="s">
        <v>552</v>
      </c>
      <c r="C178">
        <v>7.9381322764743043</v>
      </c>
      <c r="D178">
        <v>7.9381322764743043</v>
      </c>
      <c r="E17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Inputs</vt:lpstr>
      <vt:lpstr>Market_Implied</vt:lpstr>
      <vt:lpstr>Cases</vt:lpstr>
      <vt:lpstr>Print_5Nov</vt:lpstr>
      <vt:lpstr>SellSide</vt:lpstr>
      <vt:lpstr>Options</vt:lpstr>
      <vt:lpstr>Comparison</vt:lpstr>
      <vt:lpstr>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krishang surapaneni</cp:lastModifiedBy>
  <dcterms:created xsi:type="dcterms:W3CDTF">2026-09-12T14:50:23Z</dcterms:created>
  <dcterms:modified xsi:type="dcterms:W3CDTF">2026-09-12T14:50:27Z</dcterms:modified>
</cp:coreProperties>
</file>