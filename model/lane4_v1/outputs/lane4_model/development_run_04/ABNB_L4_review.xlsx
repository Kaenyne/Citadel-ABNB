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6c0fb5eeb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c2723ea43b442f"/>
    <x:sheet xmlns:r="http://schemas.openxmlformats.org/officeDocument/2006/relationships" name="Assumptions" sheetId="2" r:id="R1ce73f3291064979"/>
    <x:sheet xmlns:r="http://schemas.openxmlformats.org/officeDocument/2006/relationships" name="Revenue" sheetId="3" r:id="Rf68f53df161a402b"/>
    <x:sheet xmlns:r="http://schemas.openxmlformats.org/officeDocument/2006/relationships" name="Costs" sheetId="4" r:id="Rb2220f7605e848ad"/>
    <x:sheet xmlns:r="http://schemas.openxmlformats.org/officeDocument/2006/relationships" name="Cash" sheetId="5" r:id="Rdba7f36f50ab4715"/>
    <x:sheet xmlns:r="http://schemas.openxmlformats.org/officeDocument/2006/relationships" name="Valuation" sheetId="6" r:id="Rd88d73e984e44aff"/>
    <x:sheet xmlns:r="http://schemas.openxmlformats.org/officeDocument/2006/relationships" name="Case comparison" sheetId="7" r:id="R0152067c48eb4dce"/>
    <x:sheet xmlns:r="http://schemas.openxmlformats.org/officeDocument/2006/relationships" name="Source" sheetId="8" r:id="R478d4e07f7b3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–&quot;"/>
    <x:numFmt numFmtId="201" formatCode="0.0%;(0.0%);&quot;–&quot;"/>
    <x:numFmt numFmtId="202" formatCode="mm/dd/yy"/>
    <x:numFmt numFmtId="203" formatCode="&quot;$&quot;#,##0.00;(&quot;$&quot;#,##0.00);&quot;–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1"/>
      <x:color rgb="FF162B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201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1cd0b50b14375" /><Relationship Type="http://schemas.openxmlformats.org/officeDocument/2006/relationships/theme" Target="/xl/theme/theme1.xml" Id="R273ab99f2a014cd0" /><Relationship Type="http://schemas.openxmlformats.org/officeDocument/2006/relationships/sharedStrings" Target="/xl/sharedStrings.xml" Id="R0e75d0920ab34c14" /><Relationship Type="http://schemas.openxmlformats.org/officeDocument/2006/relationships/worksheet" Target="/xl/worksheets/sheet1.xml" Id="R9bc2723ea43b442f" /><Relationship Type="http://schemas.openxmlformats.org/officeDocument/2006/relationships/worksheet" Target="/xl/worksheets/sheet2.xml" Id="R1ce73f3291064979" /><Relationship Type="http://schemas.openxmlformats.org/officeDocument/2006/relationships/worksheet" Target="/xl/worksheets/sheet3.xml" Id="Rf68f53df161a402b" /><Relationship Type="http://schemas.openxmlformats.org/officeDocument/2006/relationships/worksheet" Target="/xl/worksheets/sheet4.xml" Id="Rb2220f7605e848ad" /><Relationship Type="http://schemas.openxmlformats.org/officeDocument/2006/relationships/worksheet" Target="/xl/worksheets/sheet5.xml" Id="Rdba7f36f50ab4715" /><Relationship Type="http://schemas.openxmlformats.org/officeDocument/2006/relationships/worksheet" Target="/xl/worksheets/sheet6.xml" Id="Rd88d73e984e44aff" /><Relationship Type="http://schemas.openxmlformats.org/officeDocument/2006/relationships/worksheet" Target="/xl/worksheets/sheet7.xml" Id="R0152067c48eb4dce" /><Relationship Type="http://schemas.openxmlformats.org/officeDocument/2006/relationships/worksheet" Target="/xl/worksheets/sheet8.xml" Id="R478d4e07f7b34a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41" t="n">
        <x:f>'Costs'!F8</x:f>
        <x:v>14273.706583784438</x:v>
      </x:c>
      <x:c r="F8" s="41" t="n">
        <x:f>'Costs'!G8</x:f>
        <x:v>15952.23324074691</x:v>
      </x:c>
      <x:c r="G8" s="41" t="n">
        <x:f>'Costs'!H8</x:f>
        <x:v>18071.97624462493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41" t="n">
        <x:f>'Costs'!F25</x:f>
        <x:v>5209.818636237227</x:v>
      </x:c>
      <x:c r="F9" s="41" t="n">
        <x:f>'Costs'!G25</x:f>
        <x:v>5807.532521624455</x:v>
      </x:c>
      <x:c r="G9" s="41" t="n">
        <x:f>'Costs'!H25</x:f>
        <x:v>6840.456214595436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41" t="n">
        <x:f>'Costs'!F36</x:f>
        <x:v>3106.208474356366</x:v>
      </x:c>
      <x:c r="F10" s="41" t="n">
        <x:f>'Costs'!G36</x:f>
        <x:v>3355.023537966186</x:v>
      </x:c>
      <x:c r="G10" s="41" t="n">
        <x:f>'Costs'!H36</x:f>
        <x:v>4016.3286307150493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41" t="n">
        <x:f>'Cash'!F18</x:f>
        <x:v>5178.870372885849</x:v>
      </x:c>
      <x:c r="F11" s="41" t="n">
        <x:f>'Cash'!G18</x:f>
        <x:v>5536.825326068602</x:v>
      </x:c>
      <x:c r="G11" s="41" t="n">
        <x:f>'Cash'!H18</x:f>
        <x:v>6329.569497385691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41" t="n">
        <x:f>'Cash'!F20</x:f>
        <x:v>3392.3403728858493</x:v>
      </x:c>
      <x:c r="F12" s="41" t="n">
        <x:f>'Cash'!G20</x:f>
        <x:v>3571.6423260686024</x:v>
      </x:c>
      <x:c r="G12" s="41" t="n">
        <x:f>'Cash'!H20</x:f>
        <x:v>4207.171857385691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41" t="n">
        <x:f>'Cash'!F28</x:f>
        <x:v>9433.58487288585</x:v>
      </x:c>
      <x:c r="F13" s="41" t="n">
        <x:f>'Cash'!G28</x:f>
        <x:v>10282.59614895445</x:v>
      </x:c>
      <x:c r="G13" s="41" t="n">
        <x:f>'Cash'!H28</x:f>
        <x:v>11869.32647234014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41" t="n">
        <x:f>'Cash'!F36</x:f>
        <x:v>588.8500302297462</x:v>
      </x:c>
      <x:c r="F14" s="41" t="n">
        <x:f>'Cash'!G36</x:f>
        <x:v>574.5981782324891</x:v>
      </x:c>
      <x:c r="G14" s="41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42" t="n">
        <x:f>'Cash'!F37</x:f>
        <x:v>5.275041716724453</x:v>
      </x:c>
      <x:c r="F15" s="42" t="n">
        <x:f>'Cash'!G37</x:f>
        <x:v>5.838903889821775</x:v>
      </x:c>
      <x:c r="G15" s="42" t="n">
        <x:f>'Cash'!H37</x:f>
        <x:v>7.152417360645359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FY27 EV/EBITDA value per share</x:v>
      </x:c>
      <x:c r="D18" s="2"/>
      <x:c r="E18" s="42" t="n">
        <x:f>'Valuation'!E14</x:f>
        <x:v>184.66275525298633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FY27 six-lens arithmetic mean</x:v>
      </x:c>
      <x:c r="D19" s="2"/>
      <x:c r="E19" s="42" t="n">
        <x:f>'Valuation'!E23</x:f>
        <x:v>160.4788702188663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41" t="n">
        <x:f>'Revenue'!H20</x:f>
        <x:v>3123.4191151810014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31 Dec 2027. Net cash excludes customer funds. Shares and earnings are proxies.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 onward and FY28 use inherited growth. L3 conversion and FX/RNPL inputs are separately pending.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comparisons are saved captures in the next output tab;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(1–7)</x:v>
      </x:c>
      <x:c r="D4" s="2"/>
      <x:c r="E4" s="10" t="n">
        <x:v>1</x:v>
      </x:c>
      <x:c r="F4" s="8"/>
      <x:c r="G4" s="3" t="str">
        <x:f>CHOOSE($E$4,"Review with fee mechanics","Review without fee mechanics","K0 conditional GBV","Alternative nights A","ADR mean reversion","Incremental timing −1%","Incremental timing +1%")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4" t="str">
        <x:v>Nights through Q4:26 (K0: cost proxy)</x:v>
      </x:c>
      <x:c r="D10" s="14" t="str">
        <x:v>m</x:v>
      </x:c>
      <x:c r="E10" s="15" t="n">
        <x:f>IF(CHOOSE($E$4,ISBLANK(E11),ISBLANK(E12),ISBLANK(E13),ISBLANK(E14),ISBLANK(E15),ISBLANK(E16),ISBLANK(E17)),"",CHOOSE($E$4,E11,E12,E13,E14,E15,E16,E17))</x:f>
        <x:v>156.2</x:v>
      </x:c>
      <x:c r="F10" s="15" t="n">
        <x:f>IF(CHOOSE($E$4,ISBLANK(F11),ISBLANK(F12),ISBLANK(F13),ISBLANK(F14),ISBLANK(F15),ISBLANK(F16),ISBLANK(F17)),"",CHOOSE($E$4,F11,F12,F13,F14,F15,F16,F17))</x:f>
        <x:v>148.3</x:v>
      </x:c>
      <x:c r="G10" s="15" t="n">
        <x:f>IF(CHOOSE($E$4,ISBLANK(G11),ISBLANK(G12),ISBLANK(G13),ISBLANK(G14),ISBLANK(G15),ISBLANK(G16),ISBLANK(G17)),"",CHOOSE($E$4,G11,G12,G13,G14,G15,G16,G17))</x:f>
        <x:v>146.8</x:v>
      </x:c>
      <x:c r="H10" s="15" t="n">
        <x:f>IF(CHOOSE($E$4,ISBLANK(H11),ISBLANK(H12),ISBLANK(H13),ISBLANK(H14),ISBLANK(H15),ISBLANK(H16),ISBLANK(H17)),"",CHOOSE($E$4,H11,H12,H13,H14,H15,H16,H17))</x:f>
        <x:v>131.8</x:v>
      </x:c>
      <x:c r="I10" s="15" t="str">
        <x:f>IF(CHOOSE($E$4,ISBLANK(I11),ISBLANK(I12),ISBLANK(I13),ISBLANK(I14),ISBLANK(I15),ISBLANK(I16),ISBLANK(I17)),"",CHOOSE($E$4,I11,I12,I13,I14,I15,I16,I17))</x:f>
      </x:c>
      <x:c r="J10" s="15" t="str">
        <x:f>IF(CHOOSE($E$4,ISBLANK(J11),ISBLANK(J12),ISBLANK(J13),ISBLANK(J14),ISBLANK(J15),ISBLANK(J16),ISBLANK(J17)),"",CHOOSE($E$4,J11,J12,J13,J14,J15,J16,J17))</x:f>
      </x:c>
      <x:c r="K10" s="15" t="str">
        <x:f>IF(CHOOSE($E$4,ISBLANK(K11),ISBLANK(K12),ISBLANK(K13),ISBLANK(K14),ISBLANK(K15),ISBLANK(K16),ISBLANK(K17)),"",CHOOSE($E$4,K11,K12,K13,K14,K15,K16,K17))</x:f>
      </x:c>
      <x:c r="L10" s="15" t="str">
        <x:f>IF(CHOOSE($E$4,ISBLANK(L11),ISBLANK(L12),ISBLANK(L13),ISBLANK(L14),ISBLANK(L15),ISBLANK(L16),ISBLANK(L17)),"",CHOOSE($E$4,L11,L12,L13,L14,L15,L16,L17))</x:f>
      </x:c>
    </x:row>
    <x:row r="11" ht="19" customHeight="1">
      <x:c r="A11" s="2"/>
      <x:c r="B11" s="2"/>
      <x:c r="C11" s="2" t="str">
        <x:v>Review with fee mechanics</x:v>
      </x:c>
      <x:c r="D11" s="2"/>
      <x:c r="E11" s="9" t="n">
        <x:v>156.2</x:v>
      </x:c>
      <x:c r="F11" s="9" t="n">
        <x:v>148.3</x:v>
      </x:c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 t="n">
        <x:v>156.2</x:v>
      </x:c>
      <x:c r="F12" s="9" t="n">
        <x:v>148.3</x:v>
      </x:c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 t="n">
        <x:v>156.2</x:v>
      </x:c>
      <x:c r="F13" s="9" t="n">
        <x:v>148.3</x:v>
      </x:c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 t="n">
        <x:v>156.2</x:v>
      </x:c>
      <x:c r="F14" s="9" t="n">
        <x:v>148.3</x:v>
      </x:c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 t="n">
        <x:v>156.2</x:v>
      </x:c>
      <x:c r="F15" s="9" t="n">
        <x:v>148.3</x:v>
      </x:c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Incremental timing −1%</x:v>
      </x:c>
      <x:c r="D16" s="2"/>
      <x:c r="E16" s="9" t="n">
        <x:v>156.2</x:v>
      </x:c>
      <x:c r="F16" s="9" t="n">
        <x:v>148.3</x:v>
      </x:c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Incremental timing +1%</x:v>
      </x:c>
      <x:c r="D17" s="2"/>
      <x:c r="E17" s="9" t="n">
        <x:v>156.2</x:v>
      </x:c>
      <x:c r="F17" s="9" t="n">
        <x:v>148.3</x:v>
      </x:c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/>
      <x:c r="D18" s="2"/>
      <x:c r="E18" s="3"/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14" t="str">
        <x:v>ADR through Q4:26 (K0 unavailable)</x:v>
      </x:c>
      <x:c r="D20" s="14" t="str">
        <x:v>USD</x:v>
      </x:c>
      <x:c r="E20" s="15" t="n">
        <x:f>IF(CHOOSE($E$4,ISBLANK(E21),ISBLANK(E22),ISBLANK(E23),ISBLANK(E24),ISBLANK(E25),ISBLANK(E26),ISBLANK(E27)),"",CHOOSE($E$4,E21,E22,E23,E24,E25,E26,E27))</x:f>
        <x:v>186.93982074263766</x:v>
      </x:c>
      <x:c r="F20" s="15" t="n">
        <x:f>IF(CHOOSE($E$4,ISBLANK(F21),ISBLANK(F22),ISBLANK(F23),ISBLANK(F24),ISBLANK(F25),ISBLANK(F26),ISBLANK(F27)),"",CHOOSE($E$4,F21,F22,F23,F24,F25,F26,F27))</x:f>
        <x:v>183.41200269723532</x:v>
      </x:c>
      <x:c r="G20" s="15" t="n">
        <x:f>IF(CHOOSE($E$4,ISBLANK(G21),ISBLANK(G22),ISBLANK(G23),ISBLANK(G24),ISBLANK(G25),ISBLANK(G26),ISBLANK(G27)),"",CHOOSE($E$4,G21,G22,G23,G24,G25,G26,G27))</x:f>
        <x:v>177.17</x:v>
      </x:c>
      <x:c r="H20" s="15" t="n">
        <x:f>IF(CHOOSE($E$4,ISBLANK(H21),ISBLANK(H22),ISBLANK(H23),ISBLANK(H24),ISBLANK(H25),ISBLANK(H26),ISBLANK(H27)),"",CHOOSE($E$4,H21,H22,H23,H24,H25,H26,H27))</x:f>
        <x:v>174.57</x:v>
      </x:c>
      <x:c r="I20" s="15" t="str">
        <x:f>IF(CHOOSE($E$4,ISBLANK(I21),ISBLANK(I22),ISBLANK(I23),ISBLANK(I24),ISBLANK(I25),ISBLANK(I26),ISBLANK(I27)),"",CHOOSE($E$4,I21,I22,I23,I24,I25,I26,I27))</x:f>
      </x:c>
      <x:c r="J20" s="15" t="str">
        <x:f>IF(CHOOSE($E$4,ISBLANK(J21),ISBLANK(J22),ISBLANK(J23),ISBLANK(J24),ISBLANK(J25),ISBLANK(J26),ISBLANK(J27)),"",CHOOSE($E$4,J21,J22,J23,J24,J25,J26,J27))</x:f>
      </x:c>
      <x:c r="K20" s="15" t="str">
        <x:f>IF(CHOOSE($E$4,ISBLANK(K21),ISBLANK(K22),ISBLANK(K23),ISBLANK(K24),ISBLANK(K25),ISBLANK(K26),ISBLANK(K27)),"",CHOOSE($E$4,K21,K22,K23,K24,K25,K26,K27))</x:f>
      </x:c>
      <x:c r="L20" s="15" t="str">
        <x:f>IF(CHOOSE($E$4,ISBLANK(L21),ISBLANK(L22),ISBLANK(L23),ISBLANK(L24),ISBLANK(L25),ISBLANK(L26),ISBLANK(L27)),"",CHOOSE($E$4,L21,L22,L23,L24,L25,L26,L27))</x:f>
      </x:c>
    </x:row>
    <x:row r="21" ht="19" customHeight="1">
      <x:c r="A21" s="2"/>
      <x:c r="B21" s="2"/>
      <x:c r="C21" s="2" t="str">
        <x:v>Review with fee mechanics</x:v>
      </x:c>
      <x:c r="D21" s="2"/>
      <x:c r="E21" s="9" t="n">
        <x:v>186.93982074263766</x:v>
      </x:c>
      <x:c r="F21" s="9" t="n">
        <x:v>183.41200269723532</x:v>
      </x:c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 t="n">
        <x:v>186.93982074263766</x:v>
      </x:c>
      <x:c r="F22" s="9" t="n">
        <x:v>183.41200269723532</x:v>
      </x:c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 t="n">
        <x:v>186.93982074263766</x:v>
      </x:c>
      <x:c r="F23" s="9" t="n">
        <x:v>183.41200269723532</x:v>
      </x:c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 t="n">
        <x:v>186.93982074263766</x:v>
      </x:c>
      <x:c r="F24" s="9" t="n">
        <x:v>183.41200269723532</x:v>
      </x:c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 t="n">
        <x:v>186.93982074263766</x:v>
      </x:c>
      <x:c r="F25" s="9" t="n">
        <x:v>183.41200269723532</x:v>
      </x:c>
      <x:c r="G25" s="9" t="n">
        <x:v>172.9711230497275</x:v>
      </x:c>
      <x:c r="H25" s="9" t="n">
        <x:v>170.46378318664642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Incremental timing −1%</x:v>
      </x:c>
      <x:c r="D26" s="2"/>
      <x:c r="E26" s="9" t="n">
        <x:v>186.93982074263766</x:v>
      </x:c>
      <x:c r="F26" s="9" t="n">
        <x:v>183.41200269723532</x:v>
      </x:c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Incremental timing +1%</x:v>
      </x:c>
      <x:c r="D27" s="2"/>
      <x:c r="E27" s="9" t="n">
        <x:v>186.93982074263766</x:v>
      </x:c>
      <x:c r="F27" s="9" t="n">
        <x:v>183.41200269723532</x:v>
      </x:c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14" t="str">
        <x:v>GBV-only override (K0 case)</x:v>
      </x:c>
      <x:c r="D30" s="14" t="str">
        <x:v>USD m</x:v>
      </x:c>
      <x:c r="E30" s="15" t="str">
        <x:f>IF(CHOOSE($E$4,ISBLANK(E31),ISBLANK(E32),ISBLANK(E33),ISBLANK(E34),ISBLANK(E35),ISBLANK(E36),ISBLANK(E37)),"",CHOOSE($E$4,E31,E32,E33,E34,E35,E36,E37))</x:f>
      </x:c>
      <x:c r="F30" s="15" t="str">
        <x:f>IF(CHOOSE($E$4,ISBLANK(F31),ISBLANK(F32),ISBLANK(F33),ISBLANK(F34),ISBLANK(F35),ISBLANK(F36),ISBLANK(F37)),"",CHOOSE($E$4,F31,F32,F33,F34,F35,F36,F37))</x:f>
      </x:c>
      <x:c r="G30" s="15" t="str">
        <x:f>IF(CHOOSE($E$4,ISBLANK(G31),ISBLANK(G32),ISBLANK(G33),ISBLANK(G34),ISBLANK(G35),ISBLANK(G36),ISBLANK(G37)),"",CHOOSE($E$4,G31,G32,G33,G34,G35,G36,G37))</x:f>
      </x:c>
      <x:c r="H30" s="15" t="str">
        <x:f>IF(CHOOSE($E$4,ISBLANK(H31),ISBLANK(H32),ISBLANK(H33),ISBLANK(H34),ISBLANK(H35),ISBLANK(H36),ISBLANK(H37)),"",CHOOSE($E$4,H31,H32,H33,H34,H35,H36,H37))</x:f>
      </x:c>
      <x:c r="I30" s="15" t="str">
        <x:f>IF(CHOOSE($E$4,ISBLANK(I31),ISBLANK(I32),ISBLANK(I33),ISBLANK(I34),ISBLANK(I35),ISBLANK(I36),ISBLANK(I37)),"",CHOOSE($E$4,I31,I32,I33,I34,I35,I36,I37))</x:f>
      </x:c>
      <x:c r="J30" s="15" t="str">
        <x:f>IF(CHOOSE($E$4,ISBLANK(J31),ISBLANK(J32),ISBLANK(J33),ISBLANK(J34),ISBLANK(J35),ISBLANK(J36),ISBLANK(J37)),"",CHOOSE($E$4,J31,J32,J33,J34,J35,J36,J37))</x:f>
      </x:c>
      <x:c r="K30" s="15" t="str">
        <x:f>IF(CHOOSE($E$4,ISBLANK(K31),ISBLANK(K32),ISBLANK(K33),ISBLANK(K34),ISBLANK(K35),ISBLANK(K36),ISBLANK(K37)),"",CHOOSE($E$4,K31,K32,K33,K34,K35,K36,K37))</x:f>
      </x:c>
      <x:c r="L30" s="15" t="str">
        <x:f>IF(CHOOSE($E$4,ISBLANK(L31),ISBLANK(L32),ISBLANK(L33),ISBLANK(L34),ISBLANK(L35),ISBLANK(L36),ISBLANK(L37)),"",CHOOSE($E$4,L31,L32,L33,L34,L35,L36,L37))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</x:v>
      </x:c>
      <x:c r="H33" s="9" t="n">
        <x:v>23562.4207586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Incremental timing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Incremental timing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14" t="str">
        <x:v>Seasonal lambda (fixed 2/3 benchmark)</x:v>
      </x:c>
      <x:c r="D40" s="14" t="str">
        <x:v>%</x:v>
      </x:c>
      <x:c r="E40" s="16" t="str">
        <x:f>IF(CHOOSE($E$4,ISBLANK(E41),ISBLANK(E42),ISBLANK(E43),ISBLANK(E44),ISBLANK(E45),ISBLANK(E46),ISBLANK(E47)),"",CHOOSE($E$4,E41,E42,E43,E44,E45,E46,E47))</x:f>
      </x:c>
      <x:c r="F40" s="16" t="str">
        <x:f>IF(CHOOSE($E$4,ISBLANK(F41),ISBLANK(F42),ISBLANK(F43),ISBLANK(F44),ISBLANK(F45),ISBLANK(F46),ISBLANK(F47)),"",CHOOSE($E$4,F41,F42,F43,F44,F45,F46,F47))</x:f>
      </x:c>
      <x:c r="G40" s="16" t="n">
        <x:f>IF(CHOOSE($E$4,ISBLANK(G41),ISBLANK(G42),ISBLANK(G43),ISBLANK(G44),ISBLANK(G45),ISBLANK(G46),ISBLANK(G47)),"",CHOOSE($E$4,G41,G42,G43,G44,G45,G46,G47))</x:f>
        <x:v>0.172548908953</x:v>
      </x:c>
      <x:c r="H40" s="16" t="n">
        <x:f>IF(CHOOSE($E$4,ISBLANK(H41),ISBLANK(H42),ISBLANK(H43),ISBLANK(H44),ISBLANK(H45),ISBLANK(H46),ISBLANK(H47)),"",CHOOSE($E$4,H41,H42,H43,H44,H45,H46,H47))</x:f>
        <x:v>0.120403669385</x:v>
      </x:c>
      <x:c r="I40" s="16" t="n">
        <x:f>IF(CHOOSE($E$4,ISBLANK(I41),ISBLANK(I42),ISBLANK(I43),ISBLANK(I44),ISBLANK(I45),ISBLANK(I46),ISBLANK(I47)),"",CHOOSE($E$4,I41,I42,I43,I44,I45,I46,I47))</x:f>
        <x:v>0.127275463631</x:v>
      </x:c>
      <x:c r="J40" s="16" t="str">
        <x:f>IF(CHOOSE($E$4,ISBLANK(J41),ISBLANK(J42),ISBLANK(J43),ISBLANK(J44),ISBLANK(J45),ISBLANK(J46),ISBLANK(J47)),"",CHOOSE($E$4,J41,J42,J43,J44,J45,J46,J47))</x:f>
      </x:c>
      <x:c r="K40" s="16" t="str">
        <x:f>IF(CHOOSE($E$4,ISBLANK(K41),ISBLANK(K42),ISBLANK(K43),ISBLANK(K44),ISBLANK(K45),ISBLANK(K46),ISBLANK(K47)),"",CHOOSE($E$4,K41,K42,K43,K44,K45,K46,K47))</x:f>
      </x:c>
      <x:c r="L40" s="16" t="str">
        <x:f>IF(CHOOSE($E$4,ISBLANK(L41),ISBLANK(L42),ISBLANK(L43),ISBLANK(L44),ISBLANK(L45),ISBLANK(L46),ISBLANK(L47)),"",CHOOSE($E$4,L41,L42,L43,L44,L45,L46,L47))</x:f>
      </x:c>
    </x:row>
    <x:row r="41" ht="19" customHeight="1">
      <x:c r="A41" s="2"/>
      <x:c r="B41" s="2"/>
      <x:c r="C41" s="2" t="str">
        <x:v>Review with fee mechanics</x:v>
      </x:c>
      <x:c r="D41" s="2"/>
      <x:c r="E41" s="17"/>
      <x:c r="F41" s="17"/>
      <x:c r="G41" s="17" t="n">
        <x:v>0.172548908953</x:v>
      </x:c>
      <x:c r="H41" s="17" t="n">
        <x:v>0.120403669385</x:v>
      </x:c>
      <x:c r="I41" s="17" t="n">
        <x:v>0.127275463631</x:v>
      </x:c>
      <x:c r="J41" s="17"/>
      <x:c r="K41" s="17"/>
      <x:c r="L41" s="17"/>
    </x:row>
    <x:row r="42" ht="19" customHeight="1">
      <x:c r="A42" s="2"/>
      <x:c r="B42" s="2"/>
      <x:c r="C42" s="2" t="str">
        <x:v>Review without fee mechanics</x:v>
      </x:c>
      <x:c r="D42" s="2"/>
      <x:c r="E42" s="17"/>
      <x:c r="F42" s="17"/>
      <x:c r="G42" s="17" t="n">
        <x:v>0.172548908953</x:v>
      </x:c>
      <x:c r="H42" s="17" t="n">
        <x:v>0.120403669385</x:v>
      </x:c>
      <x:c r="I42" s="17" t="n">
        <x:v>0.127275463631</x:v>
      </x:c>
      <x:c r="J42" s="17"/>
      <x:c r="K42" s="17"/>
      <x:c r="L42" s="17"/>
    </x:row>
    <x:row r="43" ht="19" customHeight="1">
      <x:c r="A43" s="2"/>
      <x:c r="B43" s="2"/>
      <x:c r="C43" s="2" t="str">
        <x:v>K0 conditional GBV</x:v>
      </x:c>
      <x:c r="D43" s="2"/>
      <x:c r="E43" s="17"/>
      <x:c r="F43" s="17"/>
      <x:c r="G43" s="17" t="n">
        <x:v>0.172548908953</x:v>
      </x:c>
      <x:c r="H43" s="17" t="n">
        <x:v>0.120403669385</x:v>
      </x:c>
      <x:c r="I43" s="17" t="n">
        <x:v>0.127275463631</x:v>
      </x:c>
      <x:c r="J43" s="17"/>
      <x:c r="K43" s="17"/>
      <x:c r="L43" s="17"/>
    </x:row>
    <x:row r="44" ht="19" customHeight="1">
      <x:c r="A44" s="2"/>
      <x:c r="B44" s="2"/>
      <x:c r="C44" s="2" t="str">
        <x:v>Alternative nights A</x:v>
      </x:c>
      <x:c r="D44" s="2"/>
      <x:c r="E44" s="17"/>
      <x:c r="F44" s="17"/>
      <x:c r="G44" s="17" t="n">
        <x:v>0.172548908953</x:v>
      </x:c>
      <x:c r="H44" s="17" t="n">
        <x:v>0.120403669385</x:v>
      </x:c>
      <x:c r="I44" s="17" t="n">
        <x:v>0.127275463631</x:v>
      </x:c>
      <x:c r="J44" s="17"/>
      <x:c r="K44" s="17"/>
      <x:c r="L44" s="17"/>
    </x:row>
    <x:row r="45" ht="19" customHeight="1">
      <x:c r="A45" s="2"/>
      <x:c r="B45" s="2"/>
      <x:c r="C45" s="2" t="str">
        <x:v>ADR mean reversion</x:v>
      </x:c>
      <x:c r="D45" s="2"/>
      <x:c r="E45" s="17"/>
      <x:c r="F45" s="17"/>
      <x:c r="G45" s="17" t="n">
        <x:v>0.172548908953</x:v>
      </x:c>
      <x:c r="H45" s="17" t="n">
        <x:v>0.120403669385</x:v>
      </x:c>
      <x:c r="I45" s="17" t="n">
        <x:v>0.127275463631</x:v>
      </x:c>
      <x:c r="J45" s="17"/>
      <x:c r="K45" s="17"/>
      <x:c r="L45" s="17"/>
    </x:row>
    <x:row r="46" ht="19" customHeight="1">
      <x:c r="A46" s="2"/>
      <x:c r="B46" s="2"/>
      <x:c r="C46" s="2" t="str">
        <x:v>Incremental timing −1%</x:v>
      </x:c>
      <x:c r="D46" s="2"/>
      <x:c r="E46" s="17"/>
      <x:c r="F46" s="17"/>
      <x:c r="G46" s="17" t="n">
        <x:v>0.172548908953</x:v>
      </x:c>
      <x:c r="H46" s="17" t="n">
        <x:v>0.120403669385</x:v>
      </x:c>
      <x:c r="I46" s="17" t="n">
        <x:v>0.127275463631</x:v>
      </x:c>
      <x:c r="J46" s="17"/>
      <x:c r="K46" s="17"/>
      <x:c r="L46" s="17"/>
    </x:row>
    <x:row r="47" ht="19" customHeight="1">
      <x:c r="A47" s="2"/>
      <x:c r="B47" s="2"/>
      <x:c r="C47" s="2" t="str">
        <x:v>Incremental timing +1%</x:v>
      </x:c>
      <x:c r="D47" s="2"/>
      <x:c r="E47" s="17"/>
      <x:c r="F47" s="17"/>
      <x:c r="G47" s="17" t="n">
        <x:v>0.172548908953</x:v>
      </x:c>
      <x:c r="H47" s="17" t="n">
        <x:v>0.120403669385</x:v>
      </x:c>
      <x:c r="I47" s="17" t="n">
        <x:v>0.127275463631</x:v>
      </x:c>
      <x:c r="J47" s="17"/>
      <x:c r="K47" s="17"/>
      <x:c r="L47" s="17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14" t="str">
        <x:v>Guidance cushion</x:v>
      </x:c>
      <x:c r="D50" s="14" t="str">
        <x:v>%</x:v>
      </x:c>
      <x:c r="E50" s="16" t="str">
        <x:f>IF(CHOOSE($E$4,ISBLANK(E51),ISBLANK(E52),ISBLANK(E53),ISBLANK(E54),ISBLANK(E55),ISBLANK(E56),ISBLANK(E57)),"",CHOOSE($E$4,E51,E52,E53,E54,E55,E56,E57))</x:f>
      </x:c>
      <x:c r="F50" s="16" t="str">
        <x:f>IF(CHOOSE($E$4,ISBLANK(F51),ISBLANK(F52),ISBLANK(F53),ISBLANK(F54),ISBLANK(F55),ISBLANK(F56),ISBLANK(F57)),"",CHOOSE($E$4,F51,F52,F53,F54,F55,F56,F57))</x:f>
      </x:c>
      <x:c r="G50" s="16" t="n">
        <x:f>IF(CHOOSE($E$4,ISBLANK(G51),ISBLANK(G52),ISBLANK(G53),ISBLANK(G54),ISBLANK(G55),ISBLANK(G56),ISBLANK(G57)),"",CHOOSE($E$4,G51,G52,G53,G54,G55,G56,G57))</x:f>
        <x:v>0.0179049103085</x:v>
      </x:c>
      <x:c r="H50" s="16" t="n">
        <x:f>IF(CHOOSE($E$4,ISBLANK(H51),ISBLANK(H52),ISBLANK(H53),ISBLANK(H54),ISBLANK(H55),ISBLANK(H56),ISBLANK(H57)),"",CHOOSE($E$4,H51,H52,H53,H54,H55,H56,H57))</x:f>
        <x:v>0.0179049103085</x:v>
      </x:c>
      <x:c r="I50" s="16" t="n">
        <x:f>IF(CHOOSE($E$4,ISBLANK(I51),ISBLANK(I52),ISBLANK(I53),ISBLANK(I54),ISBLANK(I55),ISBLANK(I56),ISBLANK(I57)),"",CHOOSE($E$4,I51,I52,I53,I54,I55,I56,I57))</x:f>
        <x:v>0.0179049103085</x:v>
      </x:c>
      <x:c r="J50" s="16" t="str">
        <x:f>IF(CHOOSE($E$4,ISBLANK(J51),ISBLANK(J52),ISBLANK(J53),ISBLANK(J54),ISBLANK(J55),ISBLANK(J56),ISBLANK(J57)),"",CHOOSE($E$4,J51,J52,J53,J54,J55,J56,J57))</x:f>
      </x:c>
      <x:c r="K50" s="16" t="str">
        <x:f>IF(CHOOSE($E$4,ISBLANK(K51),ISBLANK(K52),ISBLANK(K53),ISBLANK(K54),ISBLANK(K55),ISBLANK(K56),ISBLANK(K57)),"",CHOOSE($E$4,K51,K52,K53,K54,K55,K56,K57))</x:f>
      </x:c>
      <x:c r="L50" s="16" t="str">
        <x:f>IF(CHOOSE($E$4,ISBLANK(L51),ISBLANK(L52),ISBLANK(L53),ISBLANK(L54),ISBLANK(L55),ISBLANK(L56),ISBLANK(L57)),"",CHOOSE($E$4,L51,L52,L53,L54,L55,L56,L57))</x:f>
      </x:c>
    </x:row>
    <x:row r="51" ht="19" customHeight="1">
      <x:c r="A51" s="2"/>
      <x:c r="B51" s="2"/>
      <x:c r="C51" s="2" t="str">
        <x:v>Review with fee mechanics</x:v>
      </x:c>
      <x:c r="D51" s="2"/>
      <x:c r="E51" s="17"/>
      <x:c r="F51" s="17"/>
      <x:c r="G51" s="17" t="n">
        <x:v>0.0179049103085</x:v>
      </x:c>
      <x:c r="H51" s="17" t="n">
        <x:v>0.0179049103085</x:v>
      </x:c>
      <x:c r="I51" s="17" t="n">
        <x:v>0.0179049103085</x:v>
      </x:c>
      <x:c r="J51" s="17"/>
      <x:c r="K51" s="17"/>
      <x:c r="L51" s="17"/>
    </x:row>
    <x:row r="52" ht="19" customHeight="1">
      <x:c r="A52" s="2"/>
      <x:c r="B52" s="2"/>
      <x:c r="C52" s="2" t="str">
        <x:v>Review without fee mechanics</x:v>
      </x:c>
      <x:c r="D52" s="2"/>
      <x:c r="E52" s="17"/>
      <x:c r="F52" s="17"/>
      <x:c r="G52" s="17" t="n">
        <x:v>0.0179049103085</x:v>
      </x:c>
      <x:c r="H52" s="17" t="n">
        <x:v>0.0179049103085</x:v>
      </x:c>
      <x:c r="I52" s="17" t="n">
        <x:v>0.0179049103085</x:v>
      </x:c>
      <x:c r="J52" s="17"/>
      <x:c r="K52" s="17"/>
      <x:c r="L52" s="17"/>
    </x:row>
    <x:row r="53" ht="19" customHeight="1">
      <x:c r="A53" s="2"/>
      <x:c r="B53" s="2"/>
      <x:c r="C53" s="2" t="str">
        <x:v>K0 conditional GBV</x:v>
      </x:c>
      <x:c r="D53" s="2"/>
      <x:c r="E53" s="17"/>
      <x:c r="F53" s="17"/>
      <x:c r="G53" s="17" t="n">
        <x:v>0.0179049103085</x:v>
      </x:c>
      <x:c r="H53" s="17" t="n">
        <x:v>0.0179049103085</x:v>
      </x:c>
      <x:c r="I53" s="17" t="n">
        <x:v>0.0179049103085</x:v>
      </x:c>
      <x:c r="J53" s="17"/>
      <x:c r="K53" s="17"/>
      <x:c r="L53" s="17"/>
    </x:row>
    <x:row r="54" ht="19" customHeight="1">
      <x:c r="A54" s="2"/>
      <x:c r="B54" s="2"/>
      <x:c r="C54" s="2" t="str">
        <x:v>Alternative nights A</x:v>
      </x:c>
      <x:c r="D54" s="2"/>
      <x:c r="E54" s="17"/>
      <x:c r="F54" s="17"/>
      <x:c r="G54" s="17" t="n">
        <x:v>0.0179049103085</x:v>
      </x:c>
      <x:c r="H54" s="17" t="n">
        <x:v>0.0179049103085</x:v>
      </x:c>
      <x:c r="I54" s="17" t="n">
        <x:v>0.0179049103085</x:v>
      </x:c>
      <x:c r="J54" s="17"/>
      <x:c r="K54" s="17"/>
      <x:c r="L54" s="17"/>
    </x:row>
    <x:row r="55" ht="19" customHeight="1">
      <x:c r="A55" s="2"/>
      <x:c r="B55" s="2"/>
      <x:c r="C55" s="2" t="str">
        <x:v>ADR mean reversion</x:v>
      </x:c>
      <x:c r="D55" s="2"/>
      <x:c r="E55" s="17"/>
      <x:c r="F55" s="17"/>
      <x:c r="G55" s="17" t="n">
        <x:v>0.0179049103085</x:v>
      </x:c>
      <x:c r="H55" s="17" t="n">
        <x:v>0.0179049103085</x:v>
      </x:c>
      <x:c r="I55" s="17" t="n">
        <x:v>0.0179049103085</x:v>
      </x:c>
      <x:c r="J55" s="17"/>
      <x:c r="K55" s="17"/>
      <x:c r="L55" s="17"/>
    </x:row>
    <x:row r="56" ht="19" customHeight="1">
      <x:c r="A56" s="2"/>
      <x:c r="B56" s="2"/>
      <x:c r="C56" s="2" t="str">
        <x:v>Incremental timing −1%</x:v>
      </x:c>
      <x:c r="D56" s="2"/>
      <x:c r="E56" s="17"/>
      <x:c r="F56" s="17"/>
      <x:c r="G56" s="17" t="n">
        <x:v>0.0179049103085</x:v>
      </x:c>
      <x:c r="H56" s="17" t="n">
        <x:v>0.0179049103085</x:v>
      </x:c>
      <x:c r="I56" s="17" t="n">
        <x:v>0.0179049103085</x:v>
      </x:c>
      <x:c r="J56" s="17"/>
      <x:c r="K56" s="17"/>
      <x:c r="L56" s="17"/>
    </x:row>
    <x:row r="57" ht="19" customHeight="1">
      <x:c r="A57" s="2"/>
      <x:c r="B57" s="2"/>
      <x:c r="C57" s="2" t="str">
        <x:v>Incremental timing +1%</x:v>
      </x:c>
      <x:c r="D57" s="2"/>
      <x:c r="E57" s="17"/>
      <x:c r="F57" s="17"/>
      <x:c r="G57" s="17" t="n">
        <x:v>0.0179049103085</x:v>
      </x:c>
      <x:c r="H57" s="17" t="n">
        <x:v>0.0179049103085</x:v>
      </x:c>
      <x:c r="I57" s="17" t="n">
        <x:v>0.0179049103085</x:v>
      </x:c>
      <x:c r="J57" s="17"/>
      <x:c r="K57" s="17"/>
      <x:c r="L57" s="17"/>
    </x:row>
    <x:row r="58" ht="19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14" t="str">
        <x:v>Net after-hedge revenue sensitivity</x:v>
      </x:c>
      <x:c r="D60" s="14" t="str">
        <x:v>%</x:v>
      </x:c>
      <x:c r="E60" s="16" t="str">
        <x:f>IF(CHOOSE($E$4,ISBLANK(E61),ISBLANK(E62),ISBLANK(E63),ISBLANK(E64),ISBLANK(E65),ISBLANK(E66),ISBLANK(E67)),"",CHOOSE($E$4,E61,E62,E63,E64,E65,E66,E67))</x:f>
      </x:c>
      <x:c r="F60" s="16" t="str">
        <x:f>IF(CHOOSE($E$4,ISBLANK(F61),ISBLANK(F62),ISBLANK(F63),ISBLANK(F64),ISBLANK(F65),ISBLANK(F66),ISBLANK(F67)),"",CHOOSE($E$4,F61,F62,F63,F64,F65,F66,F67))</x:f>
      </x:c>
      <x:c r="G60" s="16" t="str">
        <x:f>IF(CHOOSE($E$4,ISBLANK(G61),ISBLANK(G62),ISBLANK(G63),ISBLANK(G64),ISBLANK(G65),ISBLANK(G66),ISBLANK(G67)),"",CHOOSE($E$4,G61,G62,G63,G64,G65,G66,G67))</x:f>
      </x:c>
      <x:c r="H60" s="16" t="str">
        <x:f>IF(CHOOSE($E$4,ISBLANK(H61),ISBLANK(H62),ISBLANK(H63),ISBLANK(H64),ISBLANK(H65),ISBLANK(H66),ISBLANK(H67)),"",CHOOSE($E$4,H61,H62,H63,H64,H65,H66,H67))</x:f>
      </x:c>
      <x:c r="I60" s="16" t="str">
        <x:f>IF(CHOOSE($E$4,ISBLANK(I61),ISBLANK(I62),ISBLANK(I63),ISBLANK(I64),ISBLANK(I65),ISBLANK(I66),ISBLANK(I67)),"",CHOOSE($E$4,I61,I62,I63,I64,I65,I66,I67))</x:f>
      </x:c>
      <x:c r="J60" s="16" t="str">
        <x:f>IF(CHOOSE($E$4,ISBLANK(J61),ISBLANK(J62),ISBLANK(J63),ISBLANK(J64),ISBLANK(J65),ISBLANK(J66),ISBLANK(J67)),"",CHOOSE($E$4,J61,J62,J63,J64,J65,J66,J67))</x:f>
      </x:c>
      <x:c r="K60" s="16" t="str">
        <x:f>IF(CHOOSE($E$4,ISBLANK(K61),ISBLANK(K62),ISBLANK(K63),ISBLANK(K64),ISBLANK(K65),ISBLANK(K66),ISBLANK(K67)),"",CHOOSE($E$4,K61,K62,K63,K64,K65,K66,K67))</x:f>
      </x:c>
      <x:c r="L60" s="16" t="str">
        <x:f>IF(CHOOSE($E$4,ISBLANK(L61),ISBLANK(L62),ISBLANK(L63),ISBLANK(L64),ISBLANK(L65),ISBLANK(L66),ISBLANK(L67)),"",CHOOSE($E$4,L61,L62,L63,L64,L65,L66,L67))</x:f>
      </x:c>
    </x:row>
    <x:row r="61" ht="19" customHeight="1">
      <x:c r="A61" s="2"/>
      <x:c r="B61" s="2"/>
      <x:c r="C61" s="2" t="str">
        <x:v>Review with fee mechanics</x:v>
      </x:c>
      <x:c r="D61" s="2"/>
      <x:c r="E61" s="17"/>
      <x:c r="F61" s="17"/>
      <x:c r="G61" s="17"/>
      <x:c r="H61" s="17"/>
      <x:c r="I61" s="17"/>
      <x:c r="J61" s="17"/>
      <x:c r="K61" s="17"/>
      <x:c r="L61" s="17"/>
    </x:row>
    <x:row r="62" ht="19" customHeight="1">
      <x:c r="A62" s="2"/>
      <x:c r="B62" s="2"/>
      <x:c r="C62" s="2" t="str">
        <x:v>Review without fee mechanics</x:v>
      </x:c>
      <x:c r="D62" s="2"/>
      <x:c r="E62" s="17"/>
      <x:c r="F62" s="17"/>
      <x:c r="G62" s="17"/>
      <x:c r="H62" s="17"/>
      <x:c r="I62" s="17"/>
      <x:c r="J62" s="17"/>
      <x:c r="K62" s="17"/>
      <x:c r="L62" s="17"/>
    </x:row>
    <x:row r="63" ht="19" customHeight="1">
      <x:c r="A63" s="2"/>
      <x:c r="B63" s="2"/>
      <x:c r="C63" s="2" t="str">
        <x:v>K0 conditional GBV</x:v>
      </x:c>
      <x:c r="D63" s="2"/>
      <x:c r="E63" s="17"/>
      <x:c r="F63" s="17"/>
      <x:c r="G63" s="17"/>
      <x:c r="H63" s="17"/>
      <x:c r="I63" s="17"/>
      <x:c r="J63" s="17"/>
      <x:c r="K63" s="17"/>
      <x:c r="L63" s="17"/>
    </x:row>
    <x:row r="64" ht="19" customHeight="1">
      <x:c r="A64" s="2"/>
      <x:c r="B64" s="2"/>
      <x:c r="C64" s="2" t="str">
        <x:v>Alternative nights A</x:v>
      </x:c>
      <x:c r="D64" s="2"/>
      <x:c r="E64" s="17"/>
      <x:c r="F64" s="17"/>
      <x:c r="G64" s="17"/>
      <x:c r="H64" s="17"/>
      <x:c r="I64" s="17"/>
      <x:c r="J64" s="17"/>
      <x:c r="K64" s="17"/>
      <x:c r="L64" s="17"/>
    </x:row>
    <x:row r="65" ht="19" customHeight="1">
      <x:c r="A65" s="2"/>
      <x:c r="B65" s="2"/>
      <x:c r="C65" s="2" t="str">
        <x:v>ADR mean reversion</x:v>
      </x:c>
      <x:c r="D65" s="2"/>
      <x:c r="E65" s="17"/>
      <x:c r="F65" s="17"/>
      <x:c r="G65" s="17"/>
      <x:c r="H65" s="17"/>
      <x:c r="I65" s="17"/>
      <x:c r="J65" s="17"/>
      <x:c r="K65" s="17"/>
      <x:c r="L65" s="17"/>
    </x:row>
    <x:row r="66" ht="19" customHeight="1">
      <x:c r="A66" s="2"/>
      <x:c r="B66" s="2"/>
      <x:c r="C66" s="2" t="str">
        <x:v>Incremental timing −1%</x:v>
      </x:c>
      <x:c r="D66" s="2"/>
      <x:c r="E66" s="17"/>
      <x:c r="F66" s="17"/>
      <x:c r="G66" s="17" t="n">
        <x:v>-0.01</x:v>
      </x:c>
      <x:c r="H66" s="17" t="n">
        <x:v>-0.01</x:v>
      </x:c>
      <x:c r="I66" s="17" t="n">
        <x:v>-0.01</x:v>
      </x:c>
      <x:c r="J66" s="17"/>
      <x:c r="K66" s="17"/>
      <x:c r="L66" s="17"/>
    </x:row>
    <x:row r="67" ht="19" customHeight="1">
      <x:c r="A67" s="2"/>
      <x:c r="B67" s="2"/>
      <x:c r="C67" s="2" t="str">
        <x:v>Incremental timing +1%</x:v>
      </x:c>
      <x:c r="D67" s="2"/>
      <x:c r="E67" s="17"/>
      <x:c r="F67" s="17"/>
      <x:c r="G67" s="17" t="n">
        <x:v>0.01</x:v>
      </x:c>
      <x:c r="H67" s="17" t="n">
        <x:v>0.01</x:v>
      </x:c>
      <x:c r="I67" s="17" t="n">
        <x:v>0.01</x:v>
      </x:c>
      <x:c r="J67" s="17"/>
      <x:c r="K67" s="17"/>
      <x:c r="L67" s="17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14" t="str">
        <x:v>Inherited revenue growth after kernel coverage</x:v>
      </x:c>
      <x:c r="D70" s="14" t="str">
        <x:v>%</x:v>
      </x:c>
      <x:c r="E70" s="16" t="str">
        <x:f>IF(CHOOSE($E$4,ISBLANK(E71),ISBLANK(E72),ISBLANK(E73),ISBLANK(E74),ISBLANK(E75),ISBLANK(E76),ISBLANK(E77)),"",CHOOSE($E$4,E71,E72,E73,E74,E75,E76,E77))</x:f>
      </x:c>
      <x:c r="F70" s="16" t="str">
        <x:f>IF(CHOOSE($E$4,ISBLANK(F71),ISBLANK(F72),ISBLANK(F73),ISBLANK(F74),ISBLANK(F75),ISBLANK(F76),ISBLANK(F77)),"",CHOOSE($E$4,F71,F72,F73,F74,F75,F76,F77))</x:f>
      </x:c>
      <x:c r="G70" s="16" t="str">
        <x:f>IF(CHOOSE($E$4,ISBLANK(G71),ISBLANK(G72),ISBLANK(G73),ISBLANK(G74),ISBLANK(G75),ISBLANK(G76),ISBLANK(G77)),"",CHOOSE($E$4,G71,G72,G73,G74,G75,G76,G77))</x:f>
      </x:c>
      <x:c r="H70" s="16" t="str">
        <x:f>IF(CHOOSE($E$4,ISBLANK(H71),ISBLANK(H72),ISBLANK(H73),ISBLANK(H74),ISBLANK(H75),ISBLANK(H76),ISBLANK(H77)),"",CHOOSE($E$4,H71,H72,H73,H74,H75,H76,H77))</x:f>
      </x:c>
      <x:c r="I70" s="16" t="str">
        <x:f>IF(CHOOSE($E$4,ISBLANK(I71),ISBLANK(I72),ISBLANK(I73),ISBLANK(I74),ISBLANK(I75),ISBLANK(I76),ISBLANK(I77)),"",CHOOSE($E$4,I71,I72,I73,I74,I75,I76,I77))</x:f>
      </x:c>
      <x:c r="J70" s="16" t="n">
        <x:f>IF(CHOOSE($E$4,ISBLANK(J71),ISBLANK(J72),ISBLANK(J73),ISBLANK(J74),ISBLANK(J75),ISBLANK(J76),ISBLANK(J77)),"",CHOOSE($E$4,J71,J72,J73,J74,J75,J76,J77))</x:f>
        <x:v>0.12217009053638739</x:v>
      </x:c>
      <x:c r="K70" s="16" t="n">
        <x:f>IF(CHOOSE($E$4,ISBLANK(K71),ISBLANK(K72),ISBLANK(K73),ISBLANK(K74),ISBLANK(K75),ISBLANK(K76),ISBLANK(K77)),"",CHOOSE($E$4,K71,K72,K73,K74,K75,K76,K77))</x:f>
        <x:v>0.09505861133784399</x:v>
      </x:c>
      <x:c r="L70" s="16" t="n">
        <x:f>IF(CHOOSE($E$4,ISBLANK(L71),ISBLANK(L72),ISBLANK(L73),ISBLANK(L74),ISBLANK(L75),ISBLANK(L76),ISBLANK(L77)),"",CHOOSE($E$4,L71,L72,L73,L74,L75,L76,L77))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7"/>
      <x:c r="F71" s="17"/>
      <x:c r="G71" s="17"/>
      <x:c r="H71" s="17"/>
      <x:c r="I71" s="17"/>
      <x:c r="J71" s="17" t="n">
        <x:v>0.12217009053638739</x:v>
      </x:c>
      <x:c r="K71" s="17" t="n">
        <x:v>0.09505861133784399</x:v>
      </x:c>
      <x:c r="L71" s="17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7"/>
      <x:c r="F72" s="17"/>
      <x:c r="G72" s="17"/>
      <x:c r="H72" s="17"/>
      <x:c r="I72" s="17"/>
      <x:c r="J72" s="17" t="n">
        <x:v>0.12217009053638739</x:v>
      </x:c>
      <x:c r="K72" s="17" t="n">
        <x:v>0.09505861133784399</x:v>
      </x:c>
      <x:c r="L72" s="17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7"/>
      <x:c r="F73" s="17"/>
      <x:c r="G73" s="17"/>
      <x:c r="H73" s="17"/>
      <x:c r="I73" s="17"/>
      <x:c r="J73" s="17" t="n">
        <x:v>0.12217009053638739</x:v>
      </x:c>
      <x:c r="K73" s="17" t="n">
        <x:v>0.09505861133784399</x:v>
      </x:c>
      <x:c r="L73" s="17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7"/>
      <x:c r="F74" s="17"/>
      <x:c r="G74" s="17"/>
      <x:c r="H74" s="17"/>
      <x:c r="I74" s="17"/>
      <x:c r="J74" s="17" t="n">
        <x:v>0.12217009053638739</x:v>
      </x:c>
      <x:c r="K74" s="17" t="n">
        <x:v>0.09505861133784399</x:v>
      </x:c>
      <x:c r="L74" s="17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7"/>
      <x:c r="F75" s="17"/>
      <x:c r="G75" s="17"/>
      <x:c r="H75" s="17"/>
      <x:c r="I75" s="17"/>
      <x:c r="J75" s="17" t="n">
        <x:v>0.12217009053638739</x:v>
      </x:c>
      <x:c r="K75" s="17" t="n">
        <x:v>0.09505861133784399</x:v>
      </x:c>
      <x:c r="L75" s="17" t="n">
        <x:v>0.126749458630385</x:v>
      </x:c>
    </x:row>
    <x:row r="76" ht="19" customHeight="1">
      <x:c r="A76" s="2"/>
      <x:c r="B76" s="2"/>
      <x:c r="C76" s="2" t="str">
        <x:v>Incremental timing −1%</x:v>
      </x:c>
      <x:c r="D76" s="2"/>
      <x:c r="E76" s="17"/>
      <x:c r="F76" s="17"/>
      <x:c r="G76" s="17"/>
      <x:c r="H76" s="17"/>
      <x:c r="I76" s="17"/>
      <x:c r="J76" s="17" t="n">
        <x:v>0.12217009053638739</x:v>
      </x:c>
      <x:c r="K76" s="17" t="n">
        <x:v>0.09505861133784399</x:v>
      </x:c>
      <x:c r="L76" s="17" t="n">
        <x:v>0.126749458630385</x:v>
      </x:c>
    </x:row>
    <x:row r="77" ht="19" customHeight="1">
      <x:c r="A77" s="2"/>
      <x:c r="B77" s="2"/>
      <x:c r="C77" s="2" t="str">
        <x:v>Incremental timing +1%</x:v>
      </x:c>
      <x:c r="D77" s="2"/>
      <x:c r="E77" s="17"/>
      <x:c r="F77" s="17"/>
      <x:c r="G77" s="17"/>
      <x:c r="H77" s="17"/>
      <x:c r="I77" s="17"/>
      <x:c r="J77" s="17" t="n">
        <x:v>0.12217009053638739</x:v>
      </x:c>
      <x:c r="K77" s="17" t="n">
        <x:v>0.09505861133784399</x:v>
      </x:c>
      <x:c r="L77" s="17" t="n">
        <x:v>0.126749458630385</x:v>
      </x:c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±1%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A quarter’s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5" t="str">
        <x:v>Inherited financial assumptions</x:v>
      </x:c>
      <x:c r="D88" s="25"/>
      <x:c r="E88" s="26"/>
      <x:c r="F88" s="26"/>
      <x:c r="G88" s="26"/>
      <x:c r="H88" s="26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7" t="n">
        <x:v>0</x:v>
      </x:c>
      <x:c r="G91" s="17" t="n">
        <x:v>0</x:v>
      </x:c>
      <x:c r="H91" s="17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7" t="n">
        <x:v>-0.05</x:v>
      </x:c>
      <x:c r="G92" s="17" t="n">
        <x:v>-0.05</x:v>
      </x:c>
      <x:c r="H92" s="17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7" t="n">
        <x:v>0.11</x:v>
      </x:c>
      <x:c r="G93" s="17" t="n">
        <x:v>0.1</x:v>
      </x:c>
      <x:c r="H93" s="17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7" t="n">
        <x:v>0.25</x:v>
      </x:c>
      <x:c r="G94" s="17" t="n">
        <x:v>0.16</x:v>
      </x:c>
      <x:c r="H94" s="17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7" t="n">
        <x:v>0.18</x:v>
      </x:c>
      <x:c r="G95" s="17" t="n">
        <x:v>0.14</x:v>
      </x:c>
      <x:c r="H95" s="17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7" t="n">
        <x:v>0.02</x:v>
      </x:c>
      <x:c r="G96" s="17" t="n">
        <x:v>0.055</x:v>
      </x:c>
      <x:c r="H96" s="17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7" t="n">
        <x:v>0.009</x:v>
      </x:c>
      <x:c r="G97" s="17" t="n">
        <x:v>0.009</x:v>
      </x:c>
      <x:c r="H97" s="17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7" t="n">
        <x:v>0.13</x:v>
      </x:c>
      <x:c r="G98" s="17" t="n">
        <x:v>0.1</x:v>
      </x:c>
      <x:c r="H98" s="17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7" t="n">
        <x:v>0.026</x:v>
      </x:c>
      <x:c r="G101" s="17" t="n">
        <x:v>0.034</x:v>
      </x:c>
      <x:c r="H101" s="17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7" t="n">
        <x:v>0</x:v>
      </x:c>
      <x:c r="G102" s="17" t="n">
        <x:v>0</x:v>
      </x:c>
      <x:c r="H102" s="17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7" t="n">
        <x:v>0.19</x:v>
      </x:c>
      <x:c r="G103" s="17" t="n">
        <x:v>0.2</x:v>
      </x:c>
      <x:c r="H103" s="17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7" t="n">
        <x:v>0</x:v>
      </x:c>
      <x:c r="G104" s="17" t="n">
        <x:v>0.0038</x:v>
      </x:c>
      <x:c r="H104" s="17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7" t="n">
        <x:v>0.003</x:v>
      </x:c>
      <x:c r="G106" s="17" t="n">
        <x:v>0.003</x:v>
      </x:c>
      <x:c r="H106" s="17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7" t="n">
        <x:v>-0.011</x:v>
      </x:c>
      <x:c r="G107" s="17" t="n">
        <x:v>-0.011</x:v>
      </x:c>
      <x:c r="H107" s="17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7" t="n">
        <x:v>0.007</x:v>
      </x:c>
      <x:c r="G108" s="17" t="n">
        <x:v>0.007</x:v>
      </x:c>
      <x:c r="H108" s="17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7" t="n">
        <x:v>0.16269355464987667</x:v>
      </x:c>
      <x:c r="G109" s="17" t="n">
        <x:v>0.11308628221453687</x:v>
      </x:c>
      <x:c r="H109" s="17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7" t="n">
        <x:v>0.09886917177551302</x:v>
      </x:c>
      <x:c r="G110" s="17" t="n">
        <x:v>0.0886929804893033</x:v>
      </x:c>
      <x:c r="H110" s="17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7" t="n">
        <x:v>0.15678346349504446</x:v>
      </x:c>
      <x:c r="G111" s="17" t="n">
        <x:v>0.11804203320630169</x:v>
      </x:c>
      <x:c r="H111" s="17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5" t="str">
        <x:v>Capital and valuation assumptions</x:v>
      </x:c>
      <x:c r="D117" s="25"/>
      <x:c r="E117" s="26"/>
      <x:c r="F117" s="26"/>
      <x:c r="G117" s="26"/>
      <x:c r="H117" s="26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7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7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7" t="n">
        <x:v>0.09</x:v>
      </x:c>
      <x:c r="G124" s="3"/>
      <x:c r="H124" s="3"/>
      <x:c r="I124" s="3"/>
      <x:c r="J124" s="3"/>
      <x:c r="K124" s="3" t="str">
        <x:v>6: Incremental timing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Incremental timing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7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7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7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27" t="n">
        <x:v>46752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L3 conversion-study acceptance is pending. The current fixed 2/3 K0 benchmark is provisional for conversion claims.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FX/RNPL evidence and incremental adapter are separately pending; no new conversion parameters estimated here.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/>
      <x:c r="D140" s="2"/>
      <x:c r="E140" s="3"/>
      <x:c r="F140" s="3"/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/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/>
      <x:c r="D142" s="2"/>
      <x:c r="E142" s="3"/>
      <x:c r="F142" s="3"/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/>
      <x:c r="D143" s="2"/>
      <x:c r="E143" s="3"/>
      <x:c r="F143" s="3"/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/>
      <x:c r="D144" s="2"/>
      <x:c r="E144" s="3"/>
      <x:c r="F144" s="3"/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/>
      <x:c r="D145" s="2"/>
      <x:c r="E145" s="3"/>
      <x:c r="F145" s="3"/>
      <x:c r="G145" s="3"/>
      <x:c r="H145" s="3"/>
      <x:c r="I145" s="3"/>
      <x:c r="J145" s="3"/>
      <x:c r="K145" s="3"/>
      <x:c r="L145" s="3"/>
    </x:row>
    <x:row r="150">
      <x:c r="C150" s="18" t="str">
        <x:v>Inherited nights growth Q1:27 onward</x:v>
      </x:c>
      <x:c r="D150" s="18" t="str">
        <x:v>%</x:v>
      </x:c>
      <x:c r="E150" s="21" t="str">
        <x:f>IF(CHOOSE($E$4,ISBLANK(E151),ISBLANK(E152),ISBLANK(E153),ISBLANK(E154),ISBLANK(E155),ISBLANK(E156),ISBLANK(E157)),"",CHOOSE($E$4,E151,E152,E153,E154,E155,E156,E157))</x:f>
      </x:c>
      <x:c r="F150" s="21" t="str">
        <x:f>IF(CHOOSE($E$4,ISBLANK(F151),ISBLANK(F152),ISBLANK(F153),ISBLANK(F154),ISBLANK(F155),ISBLANK(F156),ISBLANK(F157)),"",CHOOSE($E$4,F151,F152,F153,F154,F155,F156,F157))</x:f>
      </x:c>
      <x:c r="G150" s="21" t="str">
        <x:f>IF(CHOOSE($E$4,ISBLANK(G151),ISBLANK(G152),ISBLANK(G153),ISBLANK(G154),ISBLANK(G155),ISBLANK(G156),ISBLANK(G157)),"",CHOOSE($E$4,G151,G152,G153,G154,G155,G156,G157))</x:f>
      </x:c>
      <x:c r="H150" s="21" t="str">
        <x:f>IF(CHOOSE($E$4,ISBLANK(H151),ISBLANK(H152),ISBLANK(H153),ISBLANK(H154),ISBLANK(H155),ISBLANK(H156),ISBLANK(H157)),"",CHOOSE($E$4,H151,H152,H153,H154,H155,H156,H157))</x:f>
      </x:c>
      <x:c r="I150" s="21" t="n">
        <x:f>IF(CHOOSE($E$4,ISBLANK(I151),ISBLANK(I152),ISBLANK(I153),ISBLANK(I154),ISBLANK(I155),ISBLANK(I156),ISBLANK(I157)),"",CHOOSE($E$4,I151,I152,I153,I154,I155,I156,I157))</x:f>
        <x:v>0.08838811599999996</x:v>
      </x:c>
      <x:c r="J150" s="21" t="n">
        <x:f>IF(CHOOSE($E$4,ISBLANK(J151),ISBLANK(J152),ISBLANK(J153),ISBLANK(J154),ISBLANK(J155),ISBLANK(J156),ISBLANK(J157)),"",CHOOSE($E$4,J151,J152,J153,J154,J155,J156,J157))</x:f>
        <x:v>0.08842840140140162</x:v>
      </x:c>
      <x:c r="K150" s="21" t="n">
        <x:f>IF(CHOOSE($E$4,ISBLANK(K151),ISBLANK(K152),ISBLANK(K153),ISBLANK(K154),ISBLANK(K155),ISBLANK(K156),ISBLANK(K157)),"",CHOOSE($E$4,K151,K152,K153,K154,K155,K156,K157))</x:f>
        <x:v>0.0885779212073432</x:v>
      </x:c>
      <x:c r="L150" s="21" t="n">
        <x:f>IF(CHOOSE($E$4,ISBLANK(L151),ISBLANK(L152),ISBLANK(L153),ISBLANK(L154),ISBLANK(L155),ISBLANK(L156),ISBLANK(L157)),"",CHOOSE($E$4,L151,L152,L153,L154,L155,L156,L157))</x:f>
        <x:v>0.08946783740302067</x:v>
      </x:c>
    </x:row>
    <x:row r="151">
      <x:c r="C151" t="str">
        <x:v>Review with fee mechanics</x:v>
      </x:c>
      <x:c r="E151" s="22"/>
      <x:c r="F151" s="22"/>
      <x:c r="G151" s="22"/>
      <x:c r="H151" s="22"/>
      <x:c r="I151" s="22" t="n">
        <x:v>0.08838811599999996</x:v>
      </x:c>
      <x:c r="J151" s="22" t="n">
        <x:v>0.08842840140140162</x:v>
      </x:c>
      <x:c r="K151" s="22" t="n">
        <x:v>0.0885779212073432</x:v>
      </x:c>
      <x:c r="L151" s="22" t="n">
        <x:v>0.08946783740302067</x:v>
      </x:c>
    </x:row>
    <x:row r="152">
      <x:c r="C152" t="str">
        <x:v>Review without fee mechanics</x:v>
      </x:c>
      <x:c r="E152" s="22"/>
      <x:c r="F152" s="22"/>
      <x:c r="G152" s="22"/>
      <x:c r="H152" s="22"/>
      <x:c r="I152" s="22" t="n">
        <x:v>0.08838811599999996</x:v>
      </x:c>
      <x:c r="J152" s="22" t="n">
        <x:v>0.08842840140140162</x:v>
      </x:c>
      <x:c r="K152" s="22" t="n">
        <x:v>0.0885779212073432</x:v>
      </x:c>
      <x:c r="L152" s="22" t="n">
        <x:v>0.08946783740302067</x:v>
      </x:c>
    </x:row>
    <x:row r="153">
      <x:c r="C153" t="str">
        <x:v>K0 conditional GBV</x:v>
      </x:c>
      <x:c r="E153" s="22"/>
      <x:c r="F153" s="22"/>
      <x:c r="G153" s="22"/>
      <x:c r="H153" s="22"/>
      <x:c r="I153" s="22" t="n">
        <x:v>0.08838811599999996</x:v>
      </x:c>
      <x:c r="J153" s="22" t="n">
        <x:v>0.08842840140140162</x:v>
      </x:c>
      <x:c r="K153" s="22" t="n">
        <x:v>0.0885779212073432</x:v>
      </x:c>
      <x:c r="L153" s="22" t="n">
        <x:v>0.08946783740302067</x:v>
      </x:c>
    </x:row>
    <x:row r="154">
      <x:c r="C154" t="str">
        <x:v>Alternative nights A</x:v>
      </x:c>
      <x:c r="E154" s="22"/>
      <x:c r="F154" s="22"/>
      <x:c r="G154" s="22"/>
      <x:c r="H154" s="22"/>
      <x:c r="I154" s="22" t="n">
        <x:v>0.08838811599999996</x:v>
      </x:c>
      <x:c r="J154" s="22" t="n">
        <x:v>0.08842840140140162</x:v>
      </x:c>
      <x:c r="K154" s="22" t="n">
        <x:v>0.0885779212073432</x:v>
      </x:c>
      <x:c r="L154" s="22" t="n">
        <x:v>0.08946783740302067</x:v>
      </x:c>
    </x:row>
    <x:row r="155">
      <x:c r="C155" t="str">
        <x:v>ADR mean reversion</x:v>
      </x:c>
      <x:c r="E155" s="22"/>
      <x:c r="F155" s="22"/>
      <x:c r="G155" s="22"/>
      <x:c r="H155" s="22"/>
      <x:c r="I155" s="22" t="n">
        <x:v>0.08838811599999996</x:v>
      </x:c>
      <x:c r="J155" s="22" t="n">
        <x:v>0.08842840140140162</x:v>
      </x:c>
      <x:c r="K155" s="22" t="n">
        <x:v>0.0885779212073432</x:v>
      </x:c>
      <x:c r="L155" s="22" t="n">
        <x:v>0.08946783740302067</x:v>
      </x:c>
    </x:row>
    <x:row r="156">
      <x:c r="C156" t="str">
        <x:v>Incremental timing −1%</x:v>
      </x:c>
      <x:c r="E156" s="22"/>
      <x:c r="F156" s="22"/>
      <x:c r="G156" s="22"/>
      <x:c r="H156" s="22"/>
      <x:c r="I156" s="22" t="n">
        <x:v>0.08838811599999996</x:v>
      </x:c>
      <x:c r="J156" s="22" t="n">
        <x:v>0.08842840140140162</x:v>
      </x:c>
      <x:c r="K156" s="22" t="n">
        <x:v>0.0885779212073432</x:v>
      </x:c>
      <x:c r="L156" s="22" t="n">
        <x:v>0.08946783740302067</x:v>
      </x:c>
    </x:row>
    <x:row r="157">
      <x:c r="C157" t="str">
        <x:v>Incremental timing +1%</x:v>
      </x:c>
      <x:c r="E157" s="22"/>
      <x:c r="F157" s="22"/>
      <x:c r="G157" s="22"/>
      <x:c r="H157" s="22"/>
      <x:c r="I157" s="22" t="n">
        <x:v>0.08838811599999996</x:v>
      </x:c>
      <x:c r="J157" s="22" t="n">
        <x:v>0.08842840140140162</x:v>
      </x:c>
      <x:c r="K157" s="22" t="n">
        <x:v>0.0885779212073432</x:v>
      </x:c>
      <x:c r="L157" s="22" t="n">
        <x:v>0.08946783740302067</x:v>
      </x:c>
    </x:row>
    <x:row r="160">
      <x:c r="C160" s="18" t="str">
        <x:v>Inherited ADR growth Q1:27 onward</x:v>
      </x:c>
      <x:c r="D160" s="18" t="str">
        <x:v>%</x:v>
      </x:c>
      <x:c r="E160" s="21" t="str">
        <x:f>IF(CHOOSE($E$4,ISBLANK(E161),ISBLANK(E162),ISBLANK(E163),ISBLANK(E164),ISBLANK(E165),ISBLANK(E166),ISBLANK(E167)),"",CHOOSE($E$4,E161,E162,E163,E164,E165,E166,E167))</x:f>
      </x:c>
      <x:c r="F160" s="21" t="str">
        <x:f>IF(CHOOSE($E$4,ISBLANK(F161),ISBLANK(F162),ISBLANK(F163),ISBLANK(F164),ISBLANK(F165),ISBLANK(F166),ISBLANK(F167)),"",CHOOSE($E$4,F161,F162,F163,F164,F165,F166,F167))</x:f>
      </x:c>
      <x:c r="G160" s="21" t="str">
        <x:f>IF(CHOOSE($E$4,ISBLANK(G161),ISBLANK(G162),ISBLANK(G163),ISBLANK(G164),ISBLANK(G165),ISBLANK(G166),ISBLANK(G167)),"",CHOOSE($E$4,G161,G162,G163,G164,G165,G166,G167))</x:f>
      </x:c>
      <x:c r="H160" s="21" t="str">
        <x:f>IF(CHOOSE($E$4,ISBLANK(H161),ISBLANK(H162),ISBLANK(H163),ISBLANK(H164),ISBLANK(H165),ISBLANK(H166),ISBLANK(H167)),"",CHOOSE($E$4,H161,H162,H163,H164,H165,H166,H167))</x:f>
      </x:c>
      <x:c r="I160" s="21" t="n">
        <x:f>IF(CHOOSE($E$4,ISBLANK(I161),ISBLANK(I162),ISBLANK(I163),ISBLANK(I164),ISBLANK(I165),ISBLANK(I166),ISBLANK(I167)),"",CHOOSE($E$4,I161,I162,I163,I164,I165,I166,I167))</x:f>
        <x:v>0.020245645054794315</x:v>
      </x:c>
      <x:c r="J160" s="21" t="n">
        <x:f>IF(CHOOSE($E$4,ISBLANK(J161),ISBLANK(J162),ISBLANK(J163),ISBLANK(J164),ISBLANK(J165),ISBLANK(J166),ISBLANK(J167)),"",CHOOSE($E$4,J161,J162,J163,J164,J165,J166,J167))</x:f>
        <x:v>0.026982486860110066</x:v>
      </x:c>
      <x:c r="K160" s="21" t="n">
        <x:f>IF(CHOOSE($E$4,ISBLANK(K161),ISBLANK(K162),ISBLANK(K163),ISBLANK(K164),ISBLANK(K165),ISBLANK(K166),ISBLANK(K167)),"",CHOOSE($E$4,K161,K162,K163,K164,K165,K166,K167))</x:f>
        <x:v>0.03176499999999982</x:v>
      </x:c>
      <x:c r="L160" s="21" t="n">
        <x:f>IF(CHOOSE($E$4,ISBLANK(L161),ISBLANK(L162),ISBLANK(L163),ISBLANK(L164),ISBLANK(L165),ISBLANK(L166),ISBLANK(L167)),"",CHOOSE($E$4,L161,L162,L163,L164,L165,L166,L167))</x:f>
        <x:v>0.03002249999999984</x:v>
      </x:c>
    </x:row>
    <x:row r="161">
      <x:c r="C161" t="str">
        <x:v>Review with fee mechanics</x:v>
      </x:c>
      <x:c r="E161" s="22"/>
      <x:c r="F161" s="22"/>
      <x:c r="G161" s="22"/>
      <x:c r="H161" s="22"/>
      <x:c r="I161" s="22" t="n">
        <x:v>0.020245645054794315</x:v>
      </x:c>
      <x:c r="J161" s="22" t="n">
        <x:v>0.026982486860110066</x:v>
      </x:c>
      <x:c r="K161" s="22" t="n">
        <x:v>0.03176499999999982</x:v>
      </x:c>
      <x:c r="L161" s="22" t="n">
        <x:v>0.03002249999999984</x:v>
      </x:c>
    </x:row>
    <x:row r="162">
      <x:c r="C162" t="str">
        <x:v>Review without fee mechanics</x:v>
      </x:c>
      <x:c r="E162" s="22"/>
      <x:c r="F162" s="22"/>
      <x:c r="G162" s="22"/>
      <x:c r="H162" s="22"/>
      <x:c r="I162" s="22" t="n">
        <x:v>0.020245645054794315</x:v>
      </x:c>
      <x:c r="J162" s="22" t="n">
        <x:v>0.026982486860110066</x:v>
      </x:c>
      <x:c r="K162" s="22" t="n">
        <x:v>0.03176499999999982</x:v>
      </x:c>
      <x:c r="L162" s="22" t="n">
        <x:v>0.03002249999999962</x:v>
      </x:c>
    </x:row>
    <x:row r="163">
      <x:c r="C163" t="str">
        <x:v>K0 conditional GBV</x:v>
      </x:c>
      <x:c r="E163" s="22"/>
      <x:c r="F163" s="22"/>
      <x:c r="G163" s="22"/>
      <x:c r="H163" s="22"/>
      <x:c r="I163" s="22" t="n">
        <x:v>0.020245645054794315</x:v>
      </x:c>
      <x:c r="J163" s="22" t="n">
        <x:v>0.026982486860110066</x:v>
      </x:c>
      <x:c r="K163" s="22" t="n">
        <x:v>0.03176499999999982</x:v>
      </x:c>
      <x:c r="L163" s="22" t="n">
        <x:v>0.03002249999999984</x:v>
      </x:c>
    </x:row>
    <x:row r="164">
      <x:c r="C164" t="str">
        <x:v>Alternative nights A</x:v>
      </x:c>
      <x:c r="E164" s="22"/>
      <x:c r="F164" s="22"/>
      <x:c r="G164" s="22"/>
      <x:c r="H164" s="22"/>
      <x:c r="I164" s="22" t="n">
        <x:v>0.020245645054794315</x:v>
      </x:c>
      <x:c r="J164" s="22" t="n">
        <x:v>0.026982486860110066</x:v>
      </x:c>
      <x:c r="K164" s="22" t="n">
        <x:v>0.03176499999999982</x:v>
      </x:c>
      <x:c r="L164" s="22" t="n">
        <x:v>0.03002249999999984</x:v>
      </x:c>
    </x:row>
    <x:row r="165">
      <x:c r="C165" t="str">
        <x:v>ADR mean reversion</x:v>
      </x:c>
      <x:c r="E165" s="22"/>
      <x:c r="F165" s="22"/>
      <x:c r="G165" s="22"/>
      <x:c r="H165" s="22"/>
      <x:c r="I165" s="22" t="n">
        <x:v>0.020245645054794315</x:v>
      </x:c>
      <x:c r="J165" s="22" t="n">
        <x:v>0.026982486860110066</x:v>
      </x:c>
      <x:c r="K165" s="22" t="n">
        <x:v>0.03176499999999982</x:v>
      </x:c>
      <x:c r="L165" s="22" t="n">
        <x:v>0.03002249999999962</x:v>
      </x:c>
    </x:row>
    <x:row r="166">
      <x:c r="C166" t="str">
        <x:v>Incremental timing −1%</x:v>
      </x:c>
      <x:c r="E166" s="22"/>
      <x:c r="F166" s="22"/>
      <x:c r="G166" s="22"/>
      <x:c r="H166" s="22"/>
      <x:c r="I166" s="22" t="n">
        <x:v>0.020245645054794315</x:v>
      </x:c>
      <x:c r="J166" s="22" t="n">
        <x:v>0.026982486860110066</x:v>
      </x:c>
      <x:c r="K166" s="22" t="n">
        <x:v>0.03176499999999982</x:v>
      </x:c>
      <x:c r="L166" s="22" t="n">
        <x:v>0.03002249999999984</x:v>
      </x:c>
    </x:row>
    <x:row r="167">
      <x:c r="C167" t="str">
        <x:v>Incremental timing +1%</x:v>
      </x:c>
      <x:c r="E167" s="22"/>
      <x:c r="F167" s="22"/>
      <x:c r="G167" s="22"/>
      <x:c r="H167" s="22"/>
      <x:c r="I167" s="22" t="n">
        <x:v>0.020245645054794315</x:v>
      </x:c>
      <x:c r="J167" s="22" t="n">
        <x:v>0.026982486860110066</x:v>
      </x:c>
      <x:c r="K167" s="22" t="n">
        <x:v>0.03176499999999982</x:v>
      </x:c>
      <x:c r="L167" s="22" t="n">
        <x:v>0.03002249999999984</x:v>
      </x:c>
    </x:row>
  </x:sheetData>
  <x:dataValidations count="1">
    <x:dataValidation type="whole" operator="between" sqref="E4">
      <x:formula1>1</x:formula1>
      <x:formula2>7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Q1:26</x:v>
      </x:c>
      <x:c r="F7" s="13" t="str">
        <x:v>Q2:26</x:v>
      </x:c>
      <x:c r="G7" s="13" t="str">
        <x:v>Q3:26</x:v>
      </x:c>
      <x:c r="H7" s="13" t="str">
        <x:v>Q4:26</x:v>
      </x:c>
      <x:c r="I7" s="13" t="str">
        <x:v>Q1:27</x:v>
      </x:c>
      <x:c r="J7" s="13" t="str">
        <x:v>Q2:27</x:v>
      </x:c>
      <x:c r="K7" s="13" t="str">
        <x:v>Q3:27</x:v>
      </x:c>
      <x:c r="L7" s="13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28"/>
      <x:c r="F12" s="28"/>
      <x:c r="G12" s="29" t="n">
        <x:f>'Assumptions'!G40</x:f>
        <x:v>0.172548908953</x:v>
      </x:c>
      <x:c r="H12" s="29" t="n">
        <x:f>'Assumptions'!H40</x:f>
        <x:v>0.120403669385</x:v>
      </x:c>
      <x:c r="I12" s="29" t="n">
        <x:f>'Assumptions'!I40</x:f>
        <x:v>0.127275463631</x:v>
      </x:c>
      <x:c r="J12" s="28"/>
      <x:c r="K12" s="28"/>
      <x:c r="L12" s="28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3" t="n">
        <x:f>G13*2/3+G14/3</x:f>
        <x:v>27866.666666666664</x:v>
      </x:c>
      <x:c r="H15" s="3" t="n">
        <x:f>H13*2/3+H14/3</x:f>
        <x:v>26405.703999999998</x:v>
      </x:c>
      <x:c r="I15" s="3" t="n">
        <x:f>I13*2/3+I14/3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4808.362929490267</x:v>
      </x:c>
      <x:c r="H16" s="3" t="n">
        <x:f>H12*H15</x:f>
        <x:v>3179.3436542941718</x:v>
      </x:c>
      <x:c r="I16" s="3" t="n">
        <x:f>I12*I15</x:f>
        <x:v>3055.6805804397372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0" t="str">
        <x:v>Revenue used by model</x:v>
      </x:c>
      <x:c r="D18" s="30" t="str">
        <x:v>USD m</x:v>
      </x:c>
      <x:c r="E18" s="31" t="n">
        <x:f>'Source'!E37</x:f>
        <x:v>2678</x:v>
      </x:c>
      <x:c r="F18" s="31" t="n">
        <x:f>'Source'!F37</x:f>
        <x:v>3608</x:v>
      </x:c>
      <x:c r="G18" s="31" t="n">
        <x:f>IF(ISNUMBER('Assumptions'!G60),G16+G17,G16)</x:f>
        <x:v>4808.362929490267</x:v>
      </x:c>
      <x:c r="H18" s="31" t="n">
        <x:f>IF(ISNUMBER('Assumptions'!H60),H16+H17,H16)</x:f>
        <x:v>3179.3436542941718</x:v>
      </x:c>
      <x:c r="I18" s="31" t="n">
        <x:f>IF(ISNUMBER('Assumptions'!I60),I16+I17,I16)</x:f>
        <x:v>3055.6805804397372</x:v>
      </x:c>
      <x:c r="J18" s="32" t="n">
        <x:f>F18*(1+J23)</x:f>
        <x:v>4048.7896866552855</x:v>
      </x:c>
      <x:c r="K18" s="32" t="n">
        <x:f>G18*(1+K23)</x:f>
        <x:v>5265.4392323759785</x:v>
      </x:c>
      <x:c r="L18" s="32" t="n">
        <x:f>H18*(1+L23)</x:f>
        <x:v>3582.323741275908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28"/>
      <x:c r="F19" s="28"/>
      <x:c r="G19" s="29" t="n">
        <x:f>'Assumptions'!G50</x:f>
        <x:v>0.0179049103085</x:v>
      </x:c>
      <x:c r="H19" s="29" t="n">
        <x:f>'Assumptions'!H50</x:f>
        <x:v>0.0179049103085</x:v>
      </x:c>
      <x:c r="I19" s="29" t="n">
        <x:f>'Assumptions'!I50</x:f>
        <x:v>0.0179049103085</x:v>
      </x:c>
      <x:c r="J19" s="28"/>
      <x:c r="K19" s="28"/>
      <x:c r="L19" s="28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4723.784000642043</x:v>
      </x:c>
      <x:c r="H20" s="3" t="n">
        <x:f>H18/(1+H19)</x:f>
        <x:v>3123.4191151810014</x:v>
      </x:c>
      <x:c r="I20" s="3" t="n">
        <x:f>I18/(1+I19)</x:f>
        <x:v>3001.931270292862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28"/>
      <x:c r="F23" s="28"/>
      <x:c r="G23" s="28"/>
      <x:c r="H23" s="28"/>
      <x:c r="I23" s="28"/>
      <x:c r="J23" s="29" t="n">
        <x:f>'Assumptions'!J70</x:f>
        <x:v>0.12217009053638739</x:v>
      </x:c>
      <x:c r="K23" s="29" t="n">
        <x:f>'Assumptions'!K70</x:f>
        <x:v>0.09505861133784399</x:v>
      </x:c>
      <x:c r="L23" s="29" t="n">
        <x:f>'Assumptions'!L70</x:f>
        <x:v>0.126749458630385</x:v>
      </x:c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adjustment is pending. ±1% perturbs net after-hedge revenue; it is not a pre-hedge FX factor.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Fixed 2/3 K0 is the benchmark. Conversion-dependent conclusions await a separately accepted L3 study.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FY:25A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3" t="str">
        <x:v>Consolidated revenue</x:v>
      </x:c>
      <x:c r="D8" s="33" t="str">
        <x:v>USD m</x:v>
      </x:c>
      <x:c r="E8" s="34" t="n">
        <x:f>'Source'!E9</x:f>
        <x:v>12241</x:v>
      </x:c>
      <x:c r="F8" s="34" t="n">
        <x:f>SUM('Revenue'!E18:H18)</x:f>
        <x:v>14273.706583784438</x:v>
      </x:c>
      <x:c r="G8" s="34" t="n">
        <x:f>SUM('Revenue'!I18:L18)</x:f>
        <x:v>15952.23324074691</x:v>
      </x:c>
      <x:c r="H8" s="34" t="n">
        <x:f>G8*(1+'Assumptions'!H109)</x:f>
        <x:v>18071.97624462493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60.61848631483826</x:v>
      </x:c>
      <x:c r="H20" s="8" t="n">
        <x:f>H8*'Assumptions'!H104</x:f>
        <x:v>139.15421708361197</x:v>
      </x:c>
      <x:c r="I20" s="3"/>
      <x:c r="J20" s="3"/>
      <x:c r="K20" s="3"/>
      <x:c r="L20" s="3"/>
    </x:row>
    <x:row r="21" ht="19" customHeight="1">
      <x:c r="A21" s="2"/>
      <x:c r="B21" s="2"/>
      <x:c r="C21" s="33" t="str">
        <x:v>Operating costs excluding SBC</x:v>
      </x:c>
      <x:c r="D21" s="33" t="str">
        <x:v>USD m</x:v>
      </x:c>
      <x:c r="E21" s="35"/>
      <x:c r="F21" s="35" t="n">
        <x:f>SUM(F13:F20)</x:f>
        <x:v>9192.35130680127</x:v>
      </x:c>
      <x:c r="G21" s="35" t="n">
        <x:f>SUM(G13:G20)</x:f>
        <x:v>10288.270818289177</x:v>
      </x:c>
      <x:c r="H21" s="35" t="n">
        <x:f>SUM(H13:H20)</x:f>
        <x:v>11394.167816231118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128.46335925405992</x:v>
      </x:c>
      <x:c r="G23" s="8" t="n">
        <x:f>G8*'Assumptions'!G97</x:f>
        <x:v>143.57009916672217</x:v>
      </x:c>
      <x:c r="H23" s="8" t="n">
        <x:f>H8*'Assumptions'!H97</x:f>
        <x:v>162.64778620162434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5209.818636237227</x:v>
      </x:c>
      <x:c r="G24" s="3" t="n">
        <x:f>G8-G21+G23</x:f>
        <x:v>5807.532521624455</x:v>
      </x:c>
      <x:c r="H24" s="3" t="n">
        <x:f>H8-H21+H23</x:f>
        <x:v>6840.456214595436</x:v>
      </x:c>
      <x:c r="I24" s="3"/>
      <x:c r="J24" s="3"/>
      <x:c r="K24" s="3"/>
      <x:c r="L24" s="3"/>
    </x:row>
    <x:row r="25" ht="19" customHeight="1">
      <x:c r="A25" s="2"/>
      <x:c r="B25" s="2"/>
      <x:c r="C25" s="33" t="str">
        <x:v>Adjusted EBITDA</x:v>
      </x:c>
      <x:c r="D25" s="33" t="str">
        <x:v>USD m</x:v>
      </x:c>
      <x:c r="E25" s="34" t="n">
        <x:f>'Source'!E19</x:f>
        <x:v>4297</x:v>
      </x:c>
      <x:c r="F25" s="34" t="n">
        <x:f>MIN(F24,F8*'Assumptions'!$F$131)</x:f>
        <x:v>5209.818636237227</x:v>
      </x:c>
      <x:c r="G25" s="34" t="n">
        <x:f>MIN(G24,G8*'Assumptions'!$F$131)</x:f>
        <x:v>5807.532521624455</x:v>
      </x:c>
      <x:c r="H25" s="34" t="n">
        <x:f>MIN(H24,H8*'Assumptions'!$F$131)</x:f>
        <x:v>6840.456214595436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28" t="n">
        <x:f>F25/F8</x:f>
        <x:v>0.3649940963586719</x:v>
      </x:c>
      <x:c r="G26" s="28" t="n">
        <x:f>G25/G8</x:f>
        <x:v>0.36405764847960165</x:v>
      </x:c>
      <x:c r="H26" s="28" t="n">
        <x:f>H25/H8</x:f>
        <x:v>0.37851179760320697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99.91594608649108</x:v>
      </x:c>
      <x:c r="G30" s="8" t="n">
        <x:f>G8*'Assumptions'!G108</x:f>
        <x:v>111.66563268522837</x:v>
      </x:c>
      <x:c r="H30" s="8" t="n">
        <x:f>H8*'Assumptions'!H108</x:f>
        <x:v>126.50383371237452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3294.8252769831674</x:v>
      </x:c>
      <x:c r="G31" s="3" t="n">
        <x:f>G25-G29-G23</x:f>
        <x:v>3698.7794224577324</x:v>
      </x:c>
      <x:c r="H31" s="3" t="n">
        <x:f>H25-H29-H23</x:f>
        <x:v>4555.410788393811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3834.8252769831674</x:v>
      </x:c>
      <x:c r="G34" s="3" t="n">
        <x:f>SUM(G31:G32)-G33</x:f>
        <x:v>4193.779422457732</x:v>
      </x:c>
      <x:c r="H34" s="3" t="n">
        <x:f>SUM(H31:H32)-H33</x:f>
        <x:v>5020.410788393811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Net income proxy</x:v>
      </x:c>
      <x:c r="D36" s="33" t="str">
        <x:v>USD m</x:v>
      </x:c>
      <x:c r="E36" s="35"/>
      <x:c r="F36" s="34" t="n">
        <x:f>F34*(1-'Assumptions'!F103)</x:f>
        <x:v>3106.208474356366</x:v>
      </x:c>
      <x:c r="G36" s="34" t="n">
        <x:f>G34*(1-'Assumptions'!G103)</x:f>
        <x:v>3355.023537966186</x:v>
      </x:c>
      <x:c r="H36" s="34" t="n">
        <x:f>H34*(1-'Assumptions'!H103)</x:f>
        <x:v>4016.3286307150493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3" t="str">
        <x:v>30-Jun-26 anchor</x:v>
      </x:c>
      <x:c r="F7" s="13" t="str">
        <x:v>FY:26E</x:v>
      </x:c>
      <x:c r="G7" s="13" t="str">
        <x:v>FY:27E</x:v>
      </x:c>
      <x:c r="H7" s="13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3106.208474356366</x:v>
      </x:c>
      <x:c r="G8" s="8" t="n">
        <x:f>'Costs'!G36</x:f>
        <x:v>3355.023537966186</x:v>
      </x:c>
      <x:c r="H8" s="8" t="n">
        <x:f>'Costs'!H36</x:f>
        <x:v>4016.3286307150493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5209.818636237227</x:v>
      </x:c>
      <x:c r="G10" s="8" t="n">
        <x:f>'Costs'!G25</x:f>
        <x:v>5807.532521624455</x:v>
      </x:c>
      <x:c r="H10" s="8" t="n">
        <x:f>'Costs'!H25</x:f>
        <x:v>6840.456214595436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371.11637117839535</x:v>
      </x:c>
      <x:c r="G13" s="8" t="n">
        <x:f>'Costs'!G8*'Assumptions'!G101</x:f>
        <x:v>542.375930185395</x:v>
      </x:c>
      <x:c r="H13" s="8" t="n">
        <x:f>'Costs'!H8*'Assumptions'!H101</x:f>
        <x:v>722.8790497849972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-157.01077242162881</x:v>
      </x:c>
      <x:c r="G15" s="8" t="n">
        <x:f>'Costs'!G8*'Assumptions'!G107</x:f>
        <x:v>-175.474565648216</x:v>
      </x:c>
      <x:c r="H15" s="8" t="n">
        <x:f>'Costs'!H8*'Assumptions'!H107</x:f>
        <x:v>-198.7917386908742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42.821119751353315</x:v>
      </x:c>
      <x:c r="G16" s="8" t="n">
        <x:f>'Costs'!G8*'Assumptions'!G106</x:f>
        <x:v>47.85669972224073</x:v>
      </x:c>
      <x:c r="H16" s="8" t="n">
        <x:f>'Costs'!H8*'Assumptions'!H106</x:f>
        <x:v>54.21592873387479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3" t="str">
        <x:v>Free cash flow (legacy convention)</x:v>
      </x:c>
      <x:c r="D18" s="33" t="str">
        <x:v>USD m</x:v>
      </x:c>
      <x:c r="E18" s="35"/>
      <x:c r="F18" s="35" t="n">
        <x:f>SUM(F10:F11)-SUM(F12:F13)+SUM(F14:F15)-F16</x:f>
        <x:v>5178.870372885849</x:v>
      </x:c>
      <x:c r="G18" s="35" t="n">
        <x:f>SUM(G10:G11)-SUM(G12:G13)+SUM(G14:G15)-G16</x:f>
        <x:v>5536.825326068602</x:v>
      </x:c>
      <x:c r="H18" s="35" t="n">
        <x:f>SUM(H10:H11)-SUM(H12:H13)+SUM(H14:H15)-H16</x:f>
        <x:v>6329.569497385691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3" t="str">
        <x:v>SBC-adjusted free cash flow</x:v>
      </x:c>
      <x:c r="D20" s="33" t="str">
        <x:v>USD m</x:v>
      </x:c>
      <x:c r="E20" s="35"/>
      <x:c r="F20" s="35" t="n">
        <x:f>F18-F19</x:f>
        <x:v>3392.3403728858493</x:v>
      </x:c>
      <x:c r="G20" s="35" t="n">
        <x:f>G18-G19</x:f>
        <x:v>3571.6423260686024</x:v>
      </x:c>
      <x:c r="H20" s="35" t="n">
        <x:f>H18-H19</x:f>
        <x:v>4207.171857385691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9433.58487288585</x:v>
      </x:c>
      <x:c r="H23" s="3" t="n">
        <x:f>G28</x:f>
        <x:v>10282.59614895445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2221.870372885849</x:v>
      </x:c>
      <x:c r="G24" s="3" t="n">
        <x:f>G18</x:f>
        <x:v>5536.825326068602</x:v>
      </x:c>
      <x:c r="H24" s="3" t="n">
        <x:f>H18</x:f>
        <x:v>6329.569497385691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3" t="str">
        <x:v>Ending net cash ex customer funds</x:v>
      </x:c>
      <x:c r="D28" s="33" t="str">
        <x:v>USD m</x:v>
      </x:c>
      <x:c r="E28" s="34" t="n">
        <x:f>'Assumptions'!$F$120</x:f>
        <x:v>9593</x:v>
      </x:c>
      <x:c r="F28" s="35" t="n">
        <x:f>SUM(F23:F24)-SUM(F25:F26)</x:f>
        <x:v>9433.58487288585</x:v>
      </x:c>
      <x:c r="G28" s="35" t="n">
        <x:f>SUM(G23:G24)-SUM(G25:G26)</x:f>
        <x:v>10282.59614895445</x:v>
      </x:c>
      <x:c r="H28" s="35" t="n">
        <x:f>SUM(H23:H24)-SUM(H25:H26)</x:f>
        <x:v>11869.32647234014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37" t="n">
        <x:f>'Assumptions'!$F$119*(1+'Assumptions'!$F$130)^0</x:f>
        <x:v>181.94</x:v>
      </x:c>
      <x:c r="G31" s="37" t="n">
        <x:f>'Assumptions'!$F$119*(1+'Assumptions'!$F$130)^1</x:f>
        <x:v>191.037</x:v>
      </x:c>
      <x:c r="H31" s="37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3" t="str">
        <x:v>Ending diluted share proxy</x:v>
      </x:c>
      <x:c r="D36" s="33" t="str">
        <x:v>m</x:v>
      </x:c>
      <x:c r="E36" s="34" t="n">
        <x:f>'Assumptions'!$F$121</x:f>
        <x:v>597</x:v>
      </x:c>
      <x:c r="F36" s="35" t="n">
        <x:f>F30-F32+F33</x:f>
        <x:v>588.8500302297462</x:v>
      </x:c>
      <x:c r="G36" s="35" t="n">
        <x:f>G30-G32+G33</x:f>
        <x:v>574.5981782324891</x:v>
      </x:c>
      <x:c r="H36" s="35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36" t="n">
        <x:f>F8/F36</x:f>
        <x:v>5.275041716724453</x:v>
      </x:c>
      <x:c r="G37" s="36" t="n">
        <x:f>G8/G36</x:f>
        <x:v>5.838903889821775</x:v>
      </x:c>
      <x:c r="H37" s="36" t="n">
        <x:f>H8/H36</x:f>
        <x:v>7.152417360645359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8"/>
      <x:c r="N1" s="38"/>
    </x:row>
    <x:row r="2" ht="19" customHeight="1">
      <x:c r="A2" s="2"/>
      <x:c r="B2" s="2"/>
      <x:c r="C2" s="6" t="str">
        <x:v>Conditional valuation at 31 December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38"/>
      <x:c r="N2" s="38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8"/>
      <x:c r="N3" s="38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8"/>
      <x:c r="N4" s="38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8"/>
      <x:c r="N5" s="38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8"/>
      <x:c r="N6" s="38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38"/>
      <x:c r="N7" s="38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5807.532521624455</x:v>
      </x:c>
      <x:c r="F8" s="3"/>
      <x:c r="G8" s="3"/>
      <x:c r="H8" s="3"/>
      <x:c r="I8" s="3"/>
      <x:c r="J8" s="3"/>
      <x:c r="K8" s="3"/>
      <x:c r="L8" s="3"/>
      <x:c r="M8" s="38"/>
      <x:c r="N8" s="38"/>
    </x:row>
    <x:row r="9" ht="19" customHeight="1">
      <x:c r="A9" s="2"/>
      <x:c r="B9" s="2"/>
      <x:c r="C9" s="2" t="str">
        <x:v>Exit EV / EBITDA</x:v>
      </x:c>
      <x:c r="D9" s="2"/>
      <x:c r="E9" s="8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38"/>
      <x:c r="N9" s="38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95824.28660680351</x:v>
      </x:c>
      <x:c r="F10" s="3"/>
      <x:c r="G10" s="3"/>
      <x:c r="H10" s="3"/>
      <x:c r="I10" s="3"/>
      <x:c r="J10" s="3"/>
      <x:c r="K10" s="3"/>
      <x:c r="L10" s="3"/>
      <x:c r="M10" s="38"/>
      <x:c r="N10" s="38"/>
    </x:row>
    <x:row r="11" ht="19" customHeight="1">
      <x:c r="A11" s="2"/>
      <x:c r="B11" s="2"/>
      <x:c r="C11" s="2" t="str">
        <x:v>FY27 ending net cash ex customer funds</x:v>
      </x:c>
      <x:c r="D11" s="2"/>
      <x:c r="E11" s="8" t="n">
        <x:f>'Cash'!G28</x:f>
        <x:v>10282.59614895445</x:v>
      </x:c>
      <x:c r="F11" s="3"/>
      <x:c r="G11" s="3"/>
      <x:c r="H11" s="3"/>
      <x:c r="I11" s="3"/>
      <x:c r="J11" s="3"/>
      <x:c r="K11" s="3"/>
      <x:c r="L11" s="3"/>
      <x:c r="M11" s="38"/>
      <x:c r="N11" s="38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106106.88275575795</x:v>
      </x:c>
      <x:c r="F12" s="3"/>
      <x:c r="G12" s="3"/>
      <x:c r="H12" s="3"/>
      <x:c r="I12" s="3"/>
      <x:c r="J12" s="3"/>
      <x:c r="K12" s="3"/>
      <x:c r="L12" s="3"/>
      <x:c r="M12" s="38"/>
      <x:c r="N12" s="38"/>
    </x:row>
    <x:row r="13" ht="19" customHeight="1">
      <x:c r="A13" s="2"/>
      <x:c r="B13" s="2"/>
      <x:c r="C13" s="2" t="str">
        <x:v>FY27 ending diluted share proxy</x:v>
      </x:c>
      <x:c r="D13" s="2"/>
      <x:c r="E13" s="8" t="n">
        <x:f>'Cash'!G36</x:f>
        <x:v>574.5981782324891</x:v>
      </x:c>
      <x:c r="F13" s="3"/>
      <x:c r="G13" s="3"/>
      <x:c r="H13" s="3"/>
      <x:c r="I13" s="3"/>
      <x:c r="J13" s="3"/>
      <x:c r="K13" s="3"/>
      <x:c r="L13" s="3"/>
      <x:c r="M13" s="38"/>
      <x:c r="N13" s="38"/>
    </x:row>
    <x:row r="14" ht="19" customHeight="1">
      <x:c r="A14" s="2"/>
      <x:c r="B14" s="2"/>
      <x:c r="C14" s="2" t="str">
        <x:v>EV/EBITDA value per share</x:v>
      </x:c>
      <x:c r="D14" s="2"/>
      <x:c r="E14" s="36" t="n">
        <x:f>E12/E13</x:f>
        <x:v>184.66275525298633</x:v>
      </x:c>
      <x:c r="F14" s="3"/>
      <x:c r="G14" s="3"/>
      <x:c r="H14" s="3"/>
      <x:c r="I14" s="3"/>
      <x:c r="J14" s="3"/>
      <x:c r="K14" s="3"/>
      <x:c r="L14" s="3"/>
      <x:c r="M14" s="38"/>
      <x:c r="N14" s="38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38"/>
      <x:c r="N15" s="38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  <x:c r="M16" s="38"/>
      <x:c r="N16" s="38"/>
    </x:row>
    <x:row r="17" ht="19" customHeight="1">
      <x:c r="A17" s="2"/>
      <x:c r="B17" s="2"/>
      <x:c r="C17" s="2" t="str">
        <x:v>EV / FY27 FCF</x:v>
      </x:c>
      <x:c r="D17" s="2"/>
      <x:c r="E17" s="37" t="n">
        <x:f>('Assumptions'!$F$126*'Cash'!G18+E11)/E13</x:f>
        <x:v>155.69001382308463</x:v>
      </x:c>
      <x:c r="F17" s="3"/>
      <x:c r="G17" s="3"/>
      <x:c r="H17" s="3"/>
      <x:c r="I17" s="3"/>
      <x:c r="J17" s="3"/>
      <x:c r="K17" s="3"/>
      <x:c r="L17" s="3"/>
      <x:c r="M17" s="38"/>
      <x:c r="N17" s="38"/>
    </x:row>
    <x:row r="18" ht="19" customHeight="1">
      <x:c r="A18" s="2"/>
      <x:c r="B18" s="2"/>
      <x:c r="C18" s="2" t="str">
        <x:v>P / FY27 SBC-adjusted FCF</x:v>
      </x:c>
      <x:c r="D18" s="2"/>
      <x:c r="E18" s="37" t="n">
        <x:f>'Assumptions'!$F$127*'Cash'!G20/E13</x:f>
        <x:v>121.20996549724137</x:v>
      </x:c>
      <x:c r="F18" s="3"/>
      <x:c r="G18" s="3"/>
      <x:c r="H18" s="3"/>
      <x:c r="I18" s="3"/>
      <x:c r="J18" s="3"/>
      <x:c r="K18" s="3"/>
      <x:c r="L18" s="3"/>
      <x:c r="M18" s="38"/>
      <x:c r="N18" s="38"/>
    </x:row>
    <x:row r="19" ht="19" customHeight="1">
      <x:c r="A19" s="2"/>
      <x:c r="B19" s="2"/>
      <x:c r="C19" s="2" t="str">
        <x:v>P / FY27 earnings proxy</x:v>
      </x:c>
      <x:c r="D19" s="2"/>
      <x:c r="E19" s="37" t="n">
        <x:f>'Assumptions'!$F$128*'Cash'!G37</x:f>
        <x:v>113.85862585152461</x:v>
      </x:c>
      <x:c r="F19" s="3"/>
      <x:c r="G19" s="3"/>
      <x:c r="H19" s="3"/>
      <x:c r="I19" s="3"/>
      <x:c r="J19" s="3"/>
      <x:c r="K19" s="3"/>
      <x:c r="L19" s="3"/>
      <x:c r="M19" s="38"/>
      <x:c r="N19" s="38"/>
    </x:row>
    <x:row r="20" ht="19" customHeight="1">
      <x:c r="A20" s="2"/>
      <x:c r="B20" s="2"/>
      <x:c r="C20" s="2" t="str">
        <x:v>FY28 EV/EBITDA discounted one year</x:v>
      </x:c>
      <x:c r="D20" s="2"/>
      <x:c r="E20" s="37" t="n">
        <x:f>('Assumptions'!$F$125*'Costs'!H25+'Cash'!H28)/'Cash'!H36/(1+'Assumptions'!$F$122)</x:f>
        <x:v>201.02779820458545</x:v>
      </x:c>
      <x:c r="F20" s="3"/>
      <x:c r="G20" s="3"/>
      <x:c r="H20" s="3"/>
      <x:c r="I20" s="3"/>
      <x:c r="J20" s="3"/>
      <x:c r="K20" s="3"/>
      <x:c r="L20" s="3"/>
      <x:c r="M20" s="38"/>
      <x:c r="N20" s="38"/>
    </x:row>
    <x:row r="21" ht="19" customHeight="1">
      <x:c r="A21" s="2"/>
      <x:c r="B21" s="2"/>
      <x:c r="C21" s="2" t="str">
        <x:v>DCF on FCF (legacy forward convention)</x:v>
      </x:c>
      <x:c r="D21" s="2"/>
      <x:c r="E21" s="36" t="n">
        <x:f>(E33+E11)/E13</x:f>
        <x:v>186.4240626837753</x:v>
      </x:c>
      <x:c r="F21" s="3"/>
      <x:c r="G21" s="3"/>
      <x:c r="H21" s="3"/>
      <x:c r="I21" s="3"/>
      <x:c r="J21" s="3"/>
      <x:c r="K21" s="3"/>
      <x:c r="L21" s="3"/>
      <x:c r="M21" s="38"/>
      <x:c r="N21" s="38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38"/>
      <x:c r="N22" s="38"/>
    </x:row>
    <x:row r="23" ht="19" customHeight="1">
      <x:c r="A23" s="2"/>
      <x:c r="B23" s="2"/>
      <x:c r="C23" s="2" t="str">
        <x:v>Six-lens arithmetic mean</x:v>
      </x:c>
      <x:c r="D23" s="2"/>
      <x:c r="E23" s="36" t="n">
        <x:f>(SUM(E17:E21)+E14)/6</x:f>
        <x:v>160.4788702188663</x:v>
      </x:c>
      <x:c r="F23" s="3"/>
      <x:c r="G23" s="3"/>
      <x:c r="H23" s="3"/>
      <x:c r="I23" s="3"/>
      <x:c r="J23" s="3"/>
      <x:c r="K23" s="3"/>
      <x:c r="L23" s="3"/>
      <x:c r="M23" s="38"/>
      <x:c r="N23" s="38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38"/>
      <x:c r="N24" s="38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38"/>
      <x:c r="N25" s="38"/>
    </x:row>
    <x:row r="26" ht="19" customHeight="1">
      <x:c r="A26" s="2"/>
      <x:c r="B26" s="2"/>
      <x:c r="C26" s="2" t="str">
        <x:v>DCF: year</x:v>
      </x:c>
      <x:c r="D26" s="2"/>
      <x:c r="E26" s="3" t="n">
        <x:v>2028</x:v>
      </x:c>
      <x:c r="F26" s="3" t="n">
        <x:v>2029</x:v>
      </x:c>
      <x:c r="G26" s="3" t="n">
        <x:v>2030</x:v>
      </x:c>
      <x:c r="H26" s="3" t="n">
        <x:v>2031</x:v>
      </x:c>
      <x:c r="I26" s="3" t="n">
        <x:v>2032</x:v>
      </x:c>
      <x:c r="J26" s="3" t="n">
        <x:v>2033</x:v>
      </x:c>
      <x:c r="K26" s="3" t="n">
        <x:v>2034</x:v>
      </x:c>
      <x:c r="L26" s="3" t="n">
        <x:v>2035</x:v>
      </x:c>
      <x:c r="M26" s="38" t="n">
        <x:v>2036</x:v>
      </x:c>
      <x:c r="N26" s="3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29" t="n">
        <x:f>'Assumptions'!$F$124+('Assumptions'!$F$123-'Assumptions'!$F$124)*0/9</x:f>
        <x:v>0.09</x:v>
      </x:c>
      <x:c r="F27" s="29" t="n">
        <x:f>'Assumptions'!$F$124+('Assumptions'!$F$123-'Assumptions'!$F$124)*1/9</x:f>
        <x:v>0.08333333333333333</x:v>
      </x:c>
      <x:c r="G27" s="29" t="n">
        <x:f>'Assumptions'!$F$124+('Assumptions'!$F$123-'Assumptions'!$F$124)*2/9</x:f>
        <x:v>0.07666666666666666</x:v>
      </x:c>
      <x:c r="H27" s="29" t="n">
        <x:f>'Assumptions'!$F$124+('Assumptions'!$F$123-'Assumptions'!$F$124)*3/9</x:f>
        <x:v>0.06999999999999999</x:v>
      </x:c>
      <x:c r="I27" s="29" t="n">
        <x:f>'Assumptions'!$F$124+('Assumptions'!$F$123-'Assumptions'!$F$124)*4/9</x:f>
        <x:v>0.06333333333333332</x:v>
      </x:c>
      <x:c r="J27" s="29" t="n">
        <x:f>'Assumptions'!$F$124+('Assumptions'!$F$123-'Assumptions'!$F$124)*5/9</x:f>
        <x:v>0.056666666666666664</x:v>
      </x:c>
      <x:c r="K27" s="29" t="n">
        <x:f>'Assumptions'!$F$124+('Assumptions'!$F$123-'Assumptions'!$F$124)*6/9</x:f>
        <x:v>0.049999999999999996</x:v>
      </x:c>
      <x:c r="L27" s="29" t="n">
        <x:f>'Assumptions'!$F$124+('Assumptions'!$F$123-'Assumptions'!$F$124)*7/9</x:f>
        <x:v>0.043333333333333335</x:v>
      </x:c>
      <x:c r="M27" s="40" t="n">
        <x:f>'Assumptions'!$F$124+('Assumptions'!$F$123-'Assumptions'!$F$124)*8/9</x:f>
        <x:v>0.03666666666666667</x:v>
      </x:c>
      <x:c r="N27" s="40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6035.139605414777</x:v>
      </x:c>
      <x:c r="F28" s="3" t="n">
        <x:f>E28*(1+F27)</x:f>
        <x:v>6538.067905866008</x:v>
      </x:c>
      <x:c r="G28" s="3" t="n">
        <x:f>F28*(1+G27)</x:f>
        <x:v>7039.319778649068</x:v>
      </x:c>
      <x:c r="H28" s="3" t="n">
        <x:f>G28*(1+H27)</x:f>
        <x:v>7532.072163154504</x:v>
      </x:c>
      <x:c r="I28" s="3" t="n">
        <x:f>H28*(1+I27)</x:f>
        <x:v>8009.1034001542885</x:v>
      </x:c>
      <x:c r="J28" s="3" t="n">
        <x:f>I28*(1+J27)</x:f>
        <x:v>8462.952592829697</x:v>
      </x:c>
      <x:c r="K28" s="3" t="n">
        <x:f>J28*(1+K27)</x:f>
        <x:v>8886.100222471183</x:v>
      </x:c>
      <x:c r="L28" s="3" t="n">
        <x:f>K28*(1+L27)</x:f>
        <x:v>9271.164565444935</x:v>
      </x:c>
      <x:c r="M28" s="1" t="n">
        <x:f>L28*(1+M27)</x:f>
        <x:v>9611.107266177916</x:v>
      </x:c>
      <x:c r="N28" s="1" t="n">
        <x:f>M28*(1+N27)</x:f>
        <x:v>9899.440484163253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39" t="n">
        <x:f>1/(1+'Assumptions'!$F$122)^9</x:f>
        <x:v>0.4071359927914137</x:v>
      </x:c>
      <x:c r="N29" s="39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5461.664801280342</x:v>
      </x:c>
      <x:c r="F30" s="3" t="n">
        <x:f>F28*F29</x:f>
        <x:v>5354.573334588569</x:v>
      </x:c>
      <x:c r="G30" s="3" t="n">
        <x:f>G28*G29</x:f>
        <x:v>5217.276582419631</x:v>
      </x:c>
      <x:c r="H30" s="3" t="n">
        <x:f>H28*H29</x:f>
        <x:v>5052.0234779991015</x:v>
      </x:c>
      <x:c r="I30" s="3" t="n">
        <x:f>I28*I29</x:f>
        <x:v>4861.524855148456</x:v>
      </x:c>
      <x:c r="J30" s="3" t="n">
        <x:f>J28*J29</x:f>
        <x:v>4648.878971589926</x:v>
      </x:c>
      <x:c r="K30" s="3" t="n">
        <x:f>K28*K29</x:f>
        <x:v>4417.486805583188</x:v>
      </x:c>
      <x:c r="L30" s="3" t="n">
        <x:f>L28*L29</x:f>
        <x:v>4170.9603926019245</x:v>
      </x:c>
      <x:c r="M30" s="1" t="n">
        <x:f>M28*M29</x:f>
        <x:v>3913.027698640116</x:v>
      </x:c>
      <x:c r="N30" s="1" t="n">
        <x:f>N28*N29</x:f>
        <x:v>3647.4375833478002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8"/>
      <x:c r="N31" s="38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135952.3159825087</x:v>
      </x:c>
      <x:c r="F32" s="3"/>
      <x:c r="G32" s="3"/>
      <x:c r="H32" s="3"/>
      <x:c r="I32" s="3"/>
      <x:c r="J32" s="3"/>
      <x:c r="K32" s="3"/>
      <x:c r="L32" s="3"/>
      <x:c r="M32" s="38"/>
      <x:c r="N32" s="38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96836.33064784219</x:v>
      </x:c>
      <x:c r="F33" s="3"/>
      <x:c r="G33" s="3"/>
      <x:c r="H33" s="3"/>
      <x:c r="I33" s="3"/>
      <x:c r="J33" s="3"/>
      <x:c r="K33" s="3"/>
      <x:c r="L33" s="3"/>
      <x:c r="M33" s="38"/>
      <x:c r="N33" s="38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8"/>
      <x:c r="N34" s="38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38"/>
      <x:c r="N35" s="38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38"/>
      <x:c r="N36" s="38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38"/>
      <x:c r="N37" s="38"/>
    </x:row>
    <x:row r="38" ht="19" customHeight="1">
      <x:c r="A38" s="2"/>
      <x:c r="B38" s="2"/>
      <x:c r="C38" s="2" t="str">
        <x:v>Legacy FY27 EBITDA lens</x:v>
      </x:c>
      <x:c r="D38" s="2"/>
      <x:c r="E38" s="37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38"/>
      <x:c r="N38" s="38"/>
    </x:row>
    <x:row r="39" ht="19" customHeight="1">
      <x:c r="A39" s="2"/>
      <x:c r="B39" s="2"/>
      <x:c r="C39" s="2" t="str">
        <x:v>Legacy FY27 FCF lens</x:v>
      </x:c>
      <x:c r="D39" s="2"/>
      <x:c r="E39" s="37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38"/>
      <x:c r="N39" s="38"/>
    </x:row>
    <x:row r="40" ht="19" customHeight="1">
      <x:c r="A40" s="2"/>
      <x:c r="B40" s="2"/>
      <x:c r="C40" s="2" t="str">
        <x:v>Legacy SBC-adjusted FCF lens</x:v>
      </x:c>
      <x:c r="D40" s="2"/>
      <x:c r="E40" s="37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38"/>
      <x:c r="N40" s="38"/>
    </x:row>
    <x:row r="41" ht="19" customHeight="1">
      <x:c r="A41" s="2"/>
      <x:c r="B41" s="2"/>
      <x:c r="C41" s="2" t="str">
        <x:v>Legacy earnings proxy lens</x:v>
      </x:c>
      <x:c r="D41" s="2"/>
      <x:c r="E41" s="37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38"/>
      <x:c r="N41" s="38"/>
    </x:row>
    <x:row r="42" ht="19" customHeight="1">
      <x:c r="A42" s="2"/>
      <x:c r="B42" s="2"/>
      <x:c r="C42" s="2" t="str">
        <x:v>Legacy FY28 EBITDA discounted lens</x:v>
      </x:c>
      <x:c r="D42" s="2"/>
      <x:c r="E42" s="37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38"/>
      <x:c r="N42" s="38"/>
    </x:row>
    <x:row r="43" ht="19" customHeight="1">
      <x:c r="A43" s="2"/>
      <x:c r="B43" s="2"/>
      <x:c r="C43" s="2" t="str">
        <x:v>Legacy DCF on FCF</x:v>
      </x:c>
      <x:c r="D43" s="2"/>
      <x:c r="E43" s="37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38"/>
      <x:c r="N43" s="38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38"/>
      <x:c r="N44" s="38"/>
    </x:row>
    <x:row r="45" ht="19" customHeight="1">
      <x:c r="A45" s="2"/>
      <x:c r="B45" s="2"/>
      <x:c r="C45" s="2" t="str">
        <x:v>Legacy six-lens mean</x:v>
      </x:c>
      <x:c r="D45" s="2"/>
      <x:c r="E45" s="36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38"/>
      <x:c r="N45" s="38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38"/>
      <x:c r="N46" s="38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38"/>
      <x:c r="N47" s="38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38"/>
      <x:c r="N48" s="38"/>
    </x:row>
    <x:row r="49" ht="19" customHeight="1">
      <x:c r="A49" s="2"/>
      <x:c r="B49" s="2"/>
      <x:c r="C49" s="2"/>
      <x:c r="D49" s="2"/>
      <x:c r="E49" s="3" t="n">
        <x:v>1</x:v>
      </x:c>
      <x:c r="F49" s="3" t="n">
        <x:v>2</x:v>
      </x:c>
      <x:c r="G49" s="3" t="n">
        <x:v>3</x:v>
      </x:c>
      <x:c r="H49" s="3" t="n">
        <x:v>4</x:v>
      </x:c>
      <x:c r="I49" s="3" t="n">
        <x:v>5</x:v>
      </x:c>
      <x:c r="J49" s="3" t="n">
        <x:v>6</x:v>
      </x:c>
      <x:c r="K49" s="3" t="n">
        <x:v>7</x:v>
      </x:c>
      <x:c r="L49" s="3" t="n">
        <x:v>8</x:v>
      </x:c>
      <x:c r="M49" s="38" t="n">
        <x:v>9</x:v>
      </x:c>
      <x:c r="N49" s="38" t="n">
        <x:v>10</x:v>
      </x:c>
    </x:row>
    <x:row r="50" ht="19" customHeight="1">
      <x:c r="A50" s="2"/>
      <x:c r="B50" s="2"/>
      <x:c r="C50" s="2"/>
      <x:c r="D50" s="2"/>
      <x:c r="E50" s="29" t="n">
        <x:f>'Source'!$E$62+('Source'!$E$63-'Source'!$E$62)*0/9</x:f>
        <x:v>0.09</x:v>
      </x:c>
      <x:c r="F50" s="29" t="n">
        <x:f>'Source'!$E$62+('Source'!$E$63-'Source'!$E$62)*1/9</x:f>
        <x:v>0.08333333333333333</x:v>
      </x:c>
      <x:c r="G50" s="29" t="n">
        <x:f>'Source'!$E$62+('Source'!$E$63-'Source'!$E$62)*2/9</x:f>
        <x:v>0.07666666666666666</x:v>
      </x:c>
      <x:c r="H50" s="29" t="n">
        <x:f>'Source'!$E$62+('Source'!$E$63-'Source'!$E$62)*3/9</x:f>
        <x:v>0.06999999999999999</x:v>
      </x:c>
      <x:c r="I50" s="29" t="n">
        <x:f>'Source'!$E$62+('Source'!$E$63-'Source'!$E$62)*4/9</x:f>
        <x:v>0.06333333333333332</x:v>
      </x:c>
      <x:c r="J50" s="29" t="n">
        <x:f>'Source'!$E$62+('Source'!$E$63-'Source'!$E$62)*5/9</x:f>
        <x:v>0.056666666666666664</x:v>
      </x:c>
      <x:c r="K50" s="29" t="n">
        <x:f>'Source'!$E$62+('Source'!$E$63-'Source'!$E$62)*6/9</x:f>
        <x:v>0.049999999999999996</x:v>
      </x:c>
      <x:c r="L50" s="29" t="n">
        <x:f>'Source'!$E$62+('Source'!$E$63-'Source'!$E$62)*7/9</x:f>
        <x:v>0.043333333333333335</x:v>
      </x:c>
      <x:c r="M50" s="40" t="n">
        <x:f>'Source'!$E$62+('Source'!$E$63-'Source'!$E$62)*8/9</x:f>
        <x:v>0.03666666666666667</x:v>
      </x:c>
      <x:c r="N50" s="40" t="n">
        <x:f>'Source'!$E$62+('Source'!$E$63-'Source'!$E$62)*9/9</x:f>
        <x:v>0.029999999999999992</x:v>
      </x:c>
    </x:row>
    <x:row r="51" ht="19" customHeight="1">
      <x:c r="A51" s="2"/>
      <x:c r="B51" s="2"/>
      <x:c r="C51" s="2"/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1" t="n">
        <x:f>L51*(1+M50)</x:f>
        <x:v>9408.926994462941</x:v>
      </x:c>
      <x:c r="N51" s="1" t="n">
        <x:f>M51*(1+N50)</x:f>
        <x:v>9691.19480429683</x:v>
      </x:c>
    </x:row>
    <x:row r="52" ht="19" customHeight="1">
      <x:c r="A52" s="2"/>
      <x:c r="B52" s="2"/>
      <x:c r="C52" s="2"/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39" t="n">
        <x:f>M51/(1+'Source'!$E$61)^9</x:f>
        <x:v>3830.712832992602</x:v>
      </x:c>
      <x:c r="N52" s="39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38"/>
      <x:c r="N53" s="38"/>
    </x:row>
    <x:row r="54" ht="19" customHeight="1">
      <x:c r="A54" s="2"/>
      <x:c r="B54" s="2"/>
      <x:c r="C54" s="2"/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38"/>
      <x:c r="N54" s="38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38"/>
      <x:c r="N55" s="38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38"/>
      <x:c r="N56" s="38"/>
    </x:row>
    <x:row r="57" ht="19" customHeight="1">
      <x:c r="A57" s="2"/>
      <x:c r="B57" s="2"/>
      <x:c r="C57" s="2" t="str">
        <x:v>New outputs use 31 Dec 2027 with FY27-end cash/shares. No interim cash is added separately.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38"/>
      <x:c r="N57" s="38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38"/>
      <x:c r="N58" s="38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38"/>
      <x:c r="N59" s="38"/>
    </x:row>
    <x:row r="60" ht="19" customHeight="1">
      <x:c r="A60" s="2"/>
      <x:c r="B60" s="2"/>
      <x:c r="C60" s="2" t="str">
        <x:v>The six lenses share assumptions. Their mean is arithmetic, not six independent observations.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38"/>
      <x:c r="N60" s="38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38"/>
      <x:c r="N61" s="38"/>
    </x:row>
    <x:row r="62" ht="19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3"/>
      <x:c r="M62" s="38"/>
      <x:c r="N62" s="38"/>
    </x:row>
    <x:row r="63" ht="19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3"/>
      <x:c r="M63" s="38"/>
      <x:c r="N63" s="38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  <x:c r="M64" s="38"/>
      <x:c r="N64" s="38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38"/>
      <x:c r="N65" s="38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38"/>
      <x:c r="N66" s="38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38"/>
      <x:c r="N67" s="38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38"/>
      <x:c r="N68" s="38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38"/>
      <x:c r="N69" s="38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38"/>
      <x:c r="N70" s="38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38"/>
      <x:c r="N71" s="38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38"/>
      <x:c r="N72" s="38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38"/>
      <x:c r="N73" s="38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38"/>
      <x:c r="N74" s="38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38"/>
      <x:c r="N75" s="38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38"/>
      <x:c r="N76" s="38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38"/>
      <x:c r="N77" s="38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38"/>
      <x:c r="N78" s="38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38"/>
      <x:c r="N79" s="38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38"/>
      <x:c r="N80" s="38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38"/>
      <x:c r="N81" s="38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38"/>
      <x:c r="N82" s="38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38"/>
      <x:c r="N83" s="38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38"/>
      <x:c r="N84" s="38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38"/>
      <x:c r="N85" s="38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38"/>
      <x:c r="N86" s="38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t="str">
        <x:v>{"tracked":[["Assumptions","E11"],["Assumptions","E12"],["Assumptions","E13"],["Assumptions","E14"],["Assumptions","E15"],["Assumptions","E16"],["Assumptions","E17"],["Assumptions","F11"],["Assumptions","F12"],["Assumptions","F13"],["Assumptions","F14"],["Assumptions","F15"],["Assumptions","F16"],["Assumptions","F17"],["Assumptions","G11"],["Assumptions","G12"],["Assumptions","G13"],["Assumptions","G14"],["Assumptions","G15"],["Assumptions","G16"],["Assumptions","G17"],["Assumptions","H11"],["Assumptions","H12"],["Assumptions","H13"],["Assumptions","H14"],["Assumptions","H15"],["Assumptions","H16"],["Assumptions","H17"],["Assumptions","I11"],["Assumptions","I12"],["Assumptions","I13"],["Assumptions","I14"],["Assumptions","I15"],["Assumptions","I16"],["Assumptions","I17"],["Assumptions","J11"],["Assumptions","J12"],["Assumptions","J13"],["Assumptions","J14"],["Assumptions","J15"],["Assumptions","J16"],["Assumptions","J17"],["Assumptions","K11"],["Assumptions","K12"],["Assumptions","K13"],["Assumptions","K14"],["Assumptions","K15"],["Assumptions","K16"],["Assumptions","K17"],["Assumptions","L11"],["Assumptions","L12"],["Assumptions","L13"],["Assumptions","L14"],["Assumptions","L15"],["Assumptions","L16"],["Assumptions","L17"],["Assumptions","E21"],["Assumptions","E22"],["Assumptions","E23"],["Assumptions","E24"],["Assumptions","E25"],["Assumptions","E26"],["Assumptions","E27"],["Assumptions","F21"],["Assumptions","F22"],["Assumptions","F23"],["Assumptions","F24"],["Assumptions","F25"],["Assumptions","F26"],["Assumptions","F27"],["Assumptions","G21"],["Assumptions","G22"],["Assumptions","G23"],["Assumptions","G24"],["Assumptions","G25"],["Assumptions","G26"],["Assumptions","G27"],["Assumptions","H21"],["Assumptions","H22"],["Assumptions","H23"],["Assumptions","H24"],["Assumptions","H25"],["Assumptions","H26"],["Assumptions","H27"],["Assumptions","I21"],["Assumptions","I22"],["Assumptions","I23"],["Assumptions","I24"],["Assumptions","I25"],["Assumptions","I26"],["Assumptions","I27"],["Assumptions","J21"],["Assumptions","J22"],["Assumptions","J23"],["Assumptions","J24"],["Assumptions","J25"],["Assumptions","J26"],["Assumptions","J27"],["Assumptions","K21"],["Assumptions","K22"],["Assumptions","K23"],["Assumptions","K24"],["Assumptions","K25"],["Assumptions","K26"],["Assumptions","K27"],["Assumptions","L21"],["Assumptions","L22"],["Assumptions","L23"],["Assumptions","L24"],["Assumptions","L25"],["Assumptions","L26"],["Assumptions","L27"],["Assumptions","E31"],["Assumptions","E32"],["Assumptions","E33"],["Assumptions","E34"],["Assumptions","E35"],["Assumptions","E36"],["Assumptions","E37"],["Assumptions","F31"],["Assumptions","F32"],["Assumptions","F33"],["Assumptions","F34"],["Assumptions","F35"],["Assumptions","F36"],["Assumptions","F37"],["Assumptions","G31"],["Assumptions","G32"],["Assumptions","G33"],["Assumptions","G34"],["Assumptions","G35"],["Assumptions","G36"],["Assumptions","G37"],["Assumptions","H31"],["Assumptions","H32"],["Assumptions","H33"],["Assumptions","H34"],["Assumptions","H35"],["Assumptions","H36"],["Assumptions","H37"],["Assumptions","I31"],["Assumptions","I32"],["Assumptions","I33"],["Assumptions","I34"],["Assumptions","I35"],["Assumptions","I36"],["Assumptions","I37"],["Assumptions","J31"],["Assumptions","J32"],["Assumptions","J33"],["Assumptions","J34"],["Assumptions","J35"],["Assumptions","J36"],["Assumptions","J37"],["Assumptions","K31"],["Assumptions","K32"],["Assumptions","K33"],["Assumptions","K34"],["Assumptions","K35"],["Assumptions","K36"],["Assumptions","K37"],["Assumptions","L31"],["Assumptions","L32"],["Assumptions","L33"],["Assumptions","L34"],["Assumptions","L35"],["Assumptions","L36"],["Assumptions","L37"],["Assumptions","E41"],["Assumptions","E42"],["Assumptions","E43"],["Assumptions","E44"],["Assumptions","E45"],["Assumptions","E46"],["Assumptions","E47"],["Assumptions","F41"],["Assumptions","F42"],["Assumptions","F43"],["Assumptions","F44"],["Assumptions","F45"],["Assumptions","F46"],["Assumptions","F47"],["Assumptions","G41"],["Assumptions","G42"],["Assumptions","G43"],["Assumptions","G44"],["Assumptions","G45"],["Assumptions","G46"],["Assumptions","G47"],["Assumptions","H41"],["Assumptions","H42"],["Assumptions","H43"],["Assumptions","H44"],["Assumptions","H45"],["Assumptions","H46"],["Assumptions","H47"],["Assumptions","I41"],["Assumptions","I42"],["Assumptions","I43"],["Assumptions","I44"],["Assumptions","I45"],["Assumptions","I46"],["Assumptions","I47"],["Assumptions","J41"],["Assumptions","J42"],["Assumptions","J43"],["Assumptions","J44"],["Assumptions","J45"],["Assumptions","J46"],["Assumptions","J47"],["Assumptions","K41"],["Assumptions","K42"],["Assumptions","K43"],["Assumptions","K44"],["Assumptions","K45"],["Assumptions","K46"],["Assumptions","K47"],["Assumptions","L41"],["Assumptions","L42"],["Assumptions","L43"],["Assumptions","L44"],["Assumptions","L45"],["Assumptions","L46"],["Assumptions","L47"],["Assumptions","E51"],["Assumptions","E52"],["Assumptions","E53"],["Assumptions","E54"],["Assumptions","E55"],["Assumptions","E56"],["Assumptions","E57"],["Assumptions","F51"],["Assumptions","F52"],["Assumptions","F53"],["Assumptions","F54"],["Assumptions","F55"],["Assumptions","F56"],["Assumptions","F57"],["Assumptions","G51"],["Assumptions","G52"],["Assumptions","G53"],["Assumptions","G54"],["Assumptions","G55"],["Assumptions","G56"],["Assumptions","G57"],["Assumptions","H51"],["Assumptions","H52"],["Assumptions","H53"],["Assumptions","H54"],["Assumptions","H55"],["Assumptions","H56"],["Assumptions","H57"],["Assumptions","I51"],["Assumptions","I52"],["Assumptions","I53"],["Assumptions","I54"],["Assumptions","I55"],["Assumptions","I56"],["Assumptions","I57"],["Assumptions","J51"],["Assumptions","J52"],["Assumptions","J53"],["Assumptions","J54"],["Assumptions","J55"],["Assumptions","J56"],["Assumptions","J57"],["Assumptions","K51"],["Assumptions","K52"],["Assumptions","K53"],["Assumptions","K54"],["Assumptions","K55"],["Assumptions","K56"],["Assumptions","K57"],["Assumptions","L51"],["Assumptions","L52"],["Assumptions","L53"],["Assumptions","L54"],["Assumptions","L55"],["Assumptions","L56"],["Assumptions","L57"],["Assumptions","E61"],["Assumptions","E62"],["Assumptions","E63"],["Assumptions","E64"],["Assumptions","E65"],["Assumptions","E66"],["Assumptions","E67"],["Assumptions","F61"],["Assumptions","F62"],["Assumptions","F63"],["Assumptions","F64"],["Assumptions","F65"],["Assumptions","F66"],["Assumptions","F67"],["Assumptions","G61"],["Assumptions","G62"],["Assumptions","G63"],["Assumptions","G64"],["Assumptions","G65"],["Assumptions","G66"],["Assumptions","G67"],["Assumptions","H61"],["Assumptions","H62"],["Assumptions","H63"],["Assumptions","H64"],["Assumptions","H65"],["Assumptions","H66"],["Assumptions","H67"],["Assumptions","I61"],["Assumptions","I62"],["Assumptions","I63"],["Assumptions","I64"],["Assumptions","I65"],["Assumptions","I66"],["Assumptions","I67"],["Assumptions","J61"],["Assumptions","J62"],["Assumptions","J63"],["Assumptions","J64"],["Assumptions","J65"],["Assumptions","J66"],["Assumptions","J67"],["Assumptions","K61"],["Assumptions","K62"],["Assumptions","K63"],["Assumptions","K64"],["Assumptions","K65"],["Assumptions","K66"],["Assumptions","K67"],["Assumptions","L61"],["Assumptions","L62"],["Assumptions","L63"],["Assumptions","L64"],["Assumptions","L65"],["Assumptions","L66"],["Assumptions","L67"],["Assumptions","E71"],["Assumptions","E72"],["Assumptions","E73"],["Assumptions","E74"],["Assumptions","E75"],["Assumptions","E76"],["Assumptions","E77"],["Assumptions","F71"],["Assumptions","F72"],["Assumptions","F73"],["Assumptions","F74"],["Assumptions","F75"],["Assumptions","F76"],["Assumptions","F77"],["Assumptions","G71"],["Assumptions","G72"],["Assumptions","G73"],["Assumptions","G74"],["Assumptions","G75"],["Assumptions","G76"],["Assumptions","G77"],["Assumptions","H71"],["Assumptions","H72"],["Assumptions","H73"],["Assumptions","H74"],["Assumptions","H75"],["Assumptions","H76"],["Assumptions","H77"],["Assumptions","I71"],["Assumptions","I72"],["Assumptions","I73"],["Assumptions","I74"],["Assumptions","I75"],["Assumptions","I76"],["Assumptions","I77"],["Assumptions","J71"],["Assumptions","J72"],["Assumptions","J73"],["Assumptions","J74"],["Assumptions","J75"],["Assumptions","J76"],["Assumptions","J77"],["Assumptions","K71"],["Assumptions","K72"],["Assumptions","K73"],["Assumptions","K74"],["Assumptions","K75"],["Assumptions","K76"],["Assumptions","K77"],["Assumptions","L71"],["Assumptions","L72"],["Assumptions","L73"],["Assumptions","L74"],["Assumptions","L75"],["Assumptions","L76"],["Assumptions","L77"],["Assumptions","E151"],["Assumptions","E152"],["Assumptions","E153"],["Assumptions","E154"],["Assumptions","E155"],["Assumptions","E156"],["Assumptions","E157"],["Assumptions","F151"],["Assumptions","F152"],["Assumptions","F153"],["Assumptions","F154"],["Assumptions","F155"],["Assumptions","F156"],["Assumptions","F157"],["Assumptions","G151"],["Assumptions","G152"],["Assumptions","G153"],["Assumptions","G154"],["Assumptions","G155"],["Assumptions","G156"],["Assumptions","G157"],["Assumptions","H151"],["Assumptions","H152"],["Assumptions","H153"],["Assumptions","H154"],["Assumptions","H155"],["Assumptions","H156"],["Assumptions","H157"],["Assumptions","I151"],["Assumptions","I152"],["Assumptions","I153"],["Assumptions","I154"],["Assumptions","I155"],["Assumptions","I156"],["Assumptions","I157"],["Assumptions","J151"],["Assumptions","J152"],["Assumptions","J153"],["Assumptions","J154"],["Assumptions","J155"],["Assumptions","J156"],["Assumptions","J157"],["Assumptions","K151"],["Assumptions","K152"],["Assumptions","K153"],["Assumptions","K154"],["Assumptions","K155"],["Assumptions","K156"],["Assumptions","K157"],["Assumptions","L151"],["Assumptions","L152"],["Assumptions","L153"],["Assumptions","L154"],["Assumptions","L155"],["Assumptions","L156"],["Assumptions","L157"],["Assumptions","E161"],["Assumptions","E162"],["Assumptions","E163"],["Assumptions","E164"],["Assumptions","E165"],["Assumptions","E166"],["Assumptions","E167"],["Assumptions","F161"],["Assumptions","F162"],["Assumptions","F163"],["Assumptions","F164"],["Assumptions","F165"],["Assumptions","F166"],["Assumptions","F167"],["Assumptions","G161"],["Assumptions","G162"],["Assumptions","G163"],["Assumptions","G164"],["Assumptions","G165"],["Assumptions","G166"],["Assumptions","G167"],["Assumptions","H161"],["Assumptions","H162"],["Assumptions","H163"],["Assumptions","H164"],["Assumptions","H165"],["Assumptions","H166"],["Assumptions","H167"],["Assumptions","I161"],["Assumptions","I162"],["Assumptions","I163"],["Assumptions","I164"],["Assumptions","I165"],["Assumptions","I166"],["Assumptions","I167"],["Assumptions","J161"],["Assumptions","J162"],["Assumptions","J163"],["Assumptions","J164"],["Assumptions","J165"],["Assumptions","J166"],["Assumptions","J167"],["Assumptions","K161"],["Assumptions","K162"],["Assumptions","K163"],["Assumptions","K164"],["Assumptions","K165"],["Assumptions","K166"],["Assumptions","K167"],["Assumptions","L161"],["Assumptions","L162"],["Assumptions","L163"],["Assumptions","L164"],["Assumptions","L165"],["Assumptions","L166"],["Assumptions","L167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],"metrics":[["Q4:26 guide (USD m)","Revenue","H20"],["FY26 revenue (USD m)","Costs","F8"],["FY27 revenue (USD m)","Costs","G8"],["FY27 EBITDA (USD m)","Costs","G25"],["FY27 net income (USD m)","Costs","G36"],["FY27 FCF (USD m)","Cash","G18"],["FY27 net cash (USD m)","Cash","G28"],["FY27 diluted shares (m)","Cash","G36"],["Enterprise value (USD m)","Valuation","E10"],["Equity value (USD m)","Valuation","E12"],["Value per share","Valuation","E14"],["Six-lens mean","Valuation","E23"]],"caseCount":7}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37" customHeight="1">
      <x:c r="A7" s="2"/>
      <x:c r="B7" s="2"/>
      <x:c r="C7" s="2"/>
      <x:c r="D7" s="2"/>
      <x:c r="E7" s="43" t="str">
        <x:v>Review with fee mechanics</x:v>
      </x:c>
      <x:c r="F7" s="43" t="str">
        <x:v>Review without fee mechanics</x:v>
      </x:c>
      <x:c r="G7" s="43" t="str">
        <x:v>K0 conditional GBV</x:v>
      </x:c>
      <x:c r="H7" s="43" t="str">
        <x:v>Alternative nights A</x:v>
      </x:c>
      <x:c r="I7" s="43" t="str">
        <x:v>ADR mean reversion</x:v>
      </x:c>
      <x:c r="J7" s="43" t="str">
        <x:v>Incremental timing −1%</x:v>
      </x:c>
      <x:c r="K7" s="43" t="str">
        <x:v>Incremental timing +1%</x:v>
      </x:c>
      <x:c r="L7" s="3"/>
    </x:row>
    <x:row r="8" ht="19" customHeight="1">
      <x:c r="A8" s="2"/>
      <x:c r="B8" s="2"/>
      <x:c r="C8" s="2" t="str">
        <x:v>Q4:26 guide (USD m)</x:v>
      </x:c>
      <x:c r="D8" s="2"/>
      <x:c r="E8" s="3" t="n">
        <x:v>3123.4191151810014</x:v>
      </x:c>
      <x:c r="F8" s="3" t="n">
        <x:v>3120.062007222522</x:v>
      </x:c>
      <x:c r="G8" s="3" t="n">
        <x:v>3158.2279624967186</x:v>
      </x:c>
      <x:c r="H8" s="3" t="n">
        <x:v>3123.4191151810014</x:v>
      </x:c>
      <x:c r="I8" s="3" t="n">
        <x:v>3074.811931641566</x:v>
      </x:c>
      <x:c r="J8" s="3" t="n">
        <x:v>3092.1849240291913</x:v>
      </x:c>
      <x:c r="K8" s="3" t="n">
        <x:v>3154.6533063328116</x:v>
      </x:c>
      <x:c r="L8" s="3"/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14273.706583784438</x:v>
      </x:c>
      <x:c r="F9" s="3" t="n">
        <x:v>14270.289367109068</x:v>
      </x:c>
      <x:c r="G9" s="3" t="n">
        <x:v>14309.138680389287</x:v>
      </x:c>
      <x:c r="H9" s="3" t="n">
        <x:v>14273.706583784438</x:v>
      </x:c>
      <x:c r="I9" s="3" t="n">
        <x:v>14224.229092983382</x:v>
      </x:c>
      <x:c r="J9" s="3" t="n">
        <x:v>14193.829517946595</x:v>
      </x:c>
      <x:c r="K9" s="3" t="n">
        <x:v>14353.583649622284</x:v>
      </x:c>
      <x:c r="L9" s="3"/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15952.23324074691</x:v>
      </x:c>
      <x:c r="F10" s="3" t="n">
        <x:v>15939.53130946392</x:v>
      </x:c>
      <x:c r="G10" s="3" t="n">
        <x:v>16057.898603628631</x:v>
      </x:c>
      <x:c r="H10" s="3" t="n">
        <x:v>15965.564327358548</x:v>
      </x:c>
      <x:c r="I10" s="3" t="n">
        <x:v>15824.412911523465</x:v>
      </x:c>
      <x:c r="J10" s="3" t="n">
        <x:v>15833.198805205993</x:v>
      </x:c>
      <x:c r="K10" s="3" t="n">
        <x:v>16071.267676287825</x:v>
      </x:c>
      <x:c r="L10" s="3"/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5807.532521624455</x:v>
      </x:c>
      <x:c r="F11" s="3" t="n">
        <x:v>5797.985932431201</x:v>
      </x:c>
      <x:c r="G11" s="3" t="n">
        <x:v>5888.213340188545</x:v>
      </x:c>
      <x:c r="H11" s="3" t="n">
        <x:v>5814.85093107206</x:v>
      </x:c>
      <x:c r="I11" s="3" t="n">
        <x:v>5708.741140921775</x:v>
      </x:c>
      <x:c r="J11" s="3" t="n">
        <x:v>5687.879107018725</x:v>
      </x:c>
      <x:c r="K11" s="3" t="n">
        <x:v>5927.185936230183</x:v>
      </x:c>
      <x:c r="L11" s="3"/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3355.023537966186</x:v>
      </x:c>
      <x:c r="F12" s="3" t="n">
        <x:v>3347.477720516821</x:v>
      </x:c>
      <x:c r="G12" s="3" t="n">
        <x:v>3418.80740220471</x:v>
      </x:c>
      <x:c r="H12" s="3" t="n">
        <x:v>3360.7822817006668</x:v>
      </x:c>
      <x:c r="I12" s="3" t="n">
        <x:v>3276.9107397744506</x:v>
      </x:c>
      <x:c r="J12" s="3" t="n">
        <x:v>3260.1578542174975</x:v>
      </x:c>
      <x:c r="K12" s="3" t="n">
        <x:v>3449.8892217148737</x:v>
      </x:c>
      <x:c r="L12" s="3"/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5536.825326068602</x:v>
      </x:c>
      <x:c r="F13" s="3" t="n">
        <x:v>5527.888429576932</x:v>
      </x:c>
      <x:c r="G13" s="3" t="n">
        <x:v>5612.434207214371</x:v>
      </x:c>
      <x:c r="H13" s="3" t="n">
        <x:v>5543.50384335885</x:v>
      </x:c>
      <x:c r="I13" s="3" t="n">
        <x:v>5444.169321168649</x:v>
      </x:c>
      <x:c r="J13" s="3" t="n">
        <x:v>5422.885564368838</x:v>
      </x:c>
      <x:c r="K13" s="3" t="n">
        <x:v>5650.765087768368</x:v>
      </x:c>
      <x:c r="L13" s="3"/>
    </x:row>
    <x:row r="14" ht="19" customHeight="1">
      <x:c r="A14" s="2"/>
      <x:c r="B14" s="2"/>
      <x:c r="C14" s="2" t="str">
        <x:v>FY27 net cash (USD m)</x:v>
      </x:c>
      <x:c r="D14" s="2"/>
      <x:c r="E14" s="3" t="n">
        <x:v>10282.59614895445</x:v>
      </x:c>
      <x:c r="F14" s="3" t="n">
        <x:v>10273.217784575543</x:v>
      </x:c>
      <x:c r="G14" s="3" t="n">
        <x:v>10369.79353878217</x:v>
      </x:c>
      <x:c r="H14" s="3" t="n">
        <x:v>10283.700681151455</x:v>
      </x:c>
      <x:c r="I14" s="3" t="n">
        <x:v>10168.44489087526</x:v>
      </x:c>
      <x:c r="J14" s="3" t="n">
        <x:v>10091.255510457817</x:v>
      </x:c>
      <x:c r="K14" s="3" t="n">
        <x:v>10473.93678745109</x:v>
      </x:c>
      <x:c r="L14" s="3"/>
    </x:row>
    <x:row r="15" ht="19" customHeight="1">
      <x:c r="A15" s="2"/>
      <x:c r="B15" s="2"/>
      <x:c r="C15" s="2" t="str">
        <x:v>FY27 diluted shares (m)</x:v>
      </x:c>
      <x:c r="D15" s="2"/>
      <x:c r="E15" s="3" t="n">
        <x:v>574.5981782324891</x:v>
      </x:c>
      <x:c r="F15" s="3" t="n">
        <x:v>574.5981782324891</x:v>
      </x:c>
      <x:c r="G15" s="3" t="n">
        <x:v>574.5981782324891</x:v>
      </x:c>
      <x:c r="H15" s="3" t="n">
        <x:v>574.5981782324891</x:v>
      </x:c>
      <x:c r="I15" s="3" t="n">
        <x:v>574.5981782324891</x:v>
      </x:c>
      <x:c r="J15" s="3" t="n">
        <x:v>574.5981782324891</x:v>
      </x:c>
      <x:c r="K15" s="3" t="n">
        <x:v>574.5981782324891</x:v>
      </x:c>
      <x:c r="L15" s="3"/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95824.28660680351</x:v>
      </x:c>
      <x:c r="F16" s="3" t="n">
        <x:v>95666.76788511482</x:v>
      </x:c>
      <x:c r="G16" s="3" t="n">
        <x:v>97155.520113111</x:v>
      </x:c>
      <x:c r="H16" s="3" t="n">
        <x:v>95945.04036268899</x:v>
      </x:c>
      <x:c r="I16" s="3" t="n">
        <x:v>94194.22882520928</x:v>
      </x:c>
      <x:c r="J16" s="3" t="n">
        <x:v>93850.00526580897</x:v>
      </x:c>
      <x:c r="K16" s="3" t="n">
        <x:v>97798.56794779802</x:v>
      </x:c>
      <x:c r="L16" s="3"/>
    </x:row>
    <x:row r="17" ht="19" customHeight="1">
      <x:c r="A17" s="2"/>
      <x:c r="B17" s="2"/>
      <x:c r="C17" s="2" t="str">
        <x:v>Equity value (USD m)</x:v>
      </x:c>
      <x:c r="D17" s="2"/>
      <x:c r="E17" s="3" t="n">
        <x:v>106106.88275575795</x:v>
      </x:c>
      <x:c r="F17" s="3" t="n">
        <x:v>105939.98566969036</x:v>
      </x:c>
      <x:c r="G17" s="3" t="n">
        <x:v>107525.31365189317</x:v>
      </x:c>
      <x:c r="H17" s="3" t="n">
        <x:v>106228.74104384045</x:v>
      </x:c>
      <x:c r="I17" s="3" t="n">
        <x:v>104362.67371608454</x:v>
      </x:c>
      <x:c r="J17" s="3" t="n">
        <x:v>103941.26077626679</x:v>
      </x:c>
      <x:c r="K17" s="3" t="n">
        <x:v>108272.50473524911</x:v>
      </x:c>
      <x:c r="L17" s="3"/>
    </x:row>
    <x:row r="18" ht="19" customHeight="1">
      <x:c r="A18" s="2"/>
      <x:c r="B18" s="2"/>
      <x:c r="C18" s="2" t="str">
        <x:v>Value per share</x:v>
      </x:c>
      <x:c r="D18" s="2"/>
      <x:c r="E18" s="36" t="n">
        <x:v>184.66275525298633</x:v>
      </x:c>
      <x:c r="F18" s="36" t="n">
        <x:v>184.3722964725896</x:v>
      </x:c>
      <x:c r="G18" s="36" t="n">
        <x:v>187.1313166753327</x:v>
      </x:c>
      <x:c r="H18" s="36" t="n">
        <x:v>184.87483091333274</x:v>
      </x:c>
      <x:c r="I18" s="36" t="n">
        <x:v>181.62722693815815</x:v>
      </x:c>
      <x:c r="J18" s="36" t="n">
        <x:v>180.89382235077494</x:v>
      </x:c>
      <x:c r="K18" s="36" t="n">
        <x:v>188.43168815519772</x:v>
      </x:c>
      <x:c r="L18" s="3"/>
    </x:row>
    <x:row r="19" ht="19" customHeight="1">
      <x:c r="A19" s="2"/>
      <x:c r="B19" s="2"/>
      <x:c r="C19" s="2" t="str">
        <x:v>Six-lens mean</x:v>
      </x:c>
      <x:c r="D19" s="2"/>
      <x:c r="E19" s="36" t="n">
        <x:v>160.4788702188663</x:v>
      </x:c>
      <x:c r="F19" s="36" t="n">
        <x:v>160.19594223652257</x:v>
      </x:c>
      <x:c r="G19" s="36" t="n">
        <x:v>162.78840376532173</x:v>
      </x:c>
      <x:c r="H19" s="36" t="n">
        <x:v>160.68734024982106</x:v>
      </x:c>
      <x:c r="I19" s="36" t="n">
        <x:v>157.5293242319095</x:v>
      </x:c>
      <x:c r="J19" s="36" t="n">
        <x:v>156.82393058848197</x:v>
      </x:c>
      <x:c r="K19" s="36" t="n">
        <x:v>163.86640215019432</x:v>
      </x:c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41" t="str">
        <x:f>IF(SUM(G35:G617)&gt;0,"STALE: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Captured results: selector → recalculate → read outputs →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±1%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Assumptions!E11</x:v>
      </x:c>
      <x:c r="D35" s="2"/>
      <x:c r="E35" s="3" t="n">
        <x:v>156.2</x:v>
      </x:c>
      <x:c r="F35" s="41" t="n">
        <x:f>IF(ISBLANK('Assumptions'!E11),"__BLANK__",'Assumptions'!E11)</x:f>
        <x:v>156.2</x:v>
      </x:c>
      <x:c r="G35" s="41" t="n">
        <x:f>IF(ISBLANK(E35),IF(F35="__BLANK__",0,1),IF(E35=F35,0,1))</x:f>
        <x:v>0</x:v>
      </x:c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Assumptions!E12</x:v>
      </x:c>
      <x:c r="D36" s="2"/>
      <x:c r="E36" s="3" t="n">
        <x:v>156.2</x:v>
      </x:c>
      <x:c r="F36" s="41" t="n">
        <x:f>IF(ISBLANK('Assumptions'!E12),"__BLANK__",'Assumptions'!E12)</x:f>
        <x:v>156.2</x:v>
      </x:c>
      <x:c r="G36" s="41" t="n">
        <x:f>IF(ISBLANK(E36),IF(F36="__BLANK__",0,1),IF(E36=F36,0,1))</x:f>
        <x:v>0</x:v>
      </x:c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Assumptions!E13</x:v>
      </x:c>
      <x:c r="D37" s="2"/>
      <x:c r="E37" s="3" t="n">
        <x:v>156.2</x:v>
      </x:c>
      <x:c r="F37" s="41" t="n">
        <x:f>IF(ISBLANK('Assumptions'!E13),"__BLANK__",'Assumptions'!E13)</x:f>
        <x:v>156.2</x:v>
      </x:c>
      <x:c r="G37" s="41" t="n">
        <x:f>IF(ISBLANK(E37),IF(F37="__BLANK__",0,1),IF(E37=F37,0,1))</x:f>
        <x:v>0</x:v>
      </x:c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Assumptions!E14</x:v>
      </x:c>
      <x:c r="D38" s="2"/>
      <x:c r="E38" s="3" t="n">
        <x:v>156.2</x:v>
      </x:c>
      <x:c r="F38" s="41" t="n">
        <x:f>IF(ISBLANK('Assumptions'!E14),"__BLANK__",'Assumptions'!E14)</x:f>
        <x:v>156.2</x:v>
      </x:c>
      <x:c r="G38" s="41" t="n">
        <x:f>IF(ISBLANK(E38),IF(F38="__BLANK__",0,1),IF(E38=F38,0,1))</x:f>
        <x:v>0</x:v>
      </x:c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Assumptions!E15</x:v>
      </x:c>
      <x:c r="D39" s="2"/>
      <x:c r="E39" s="3" t="n">
        <x:v>156.2</x:v>
      </x:c>
      <x:c r="F39" s="41" t="n">
        <x:f>IF(ISBLANK('Assumptions'!E15),"__BLANK__",'Assumptions'!E15)</x:f>
        <x:v>156.2</x:v>
      </x:c>
      <x:c r="G39" s="41" t="n">
        <x:f>IF(ISBLANK(E39),IF(F39="__BLANK__",0,1),IF(E39=F39,0,1))</x:f>
        <x:v>0</x:v>
      </x:c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Assumptions!E16</x:v>
      </x:c>
      <x:c r="D40" s="2"/>
      <x:c r="E40" s="3" t="n">
        <x:v>156.2</x:v>
      </x:c>
      <x:c r="F40" s="41" t="n">
        <x:f>IF(ISBLANK('Assumptions'!E16),"__BLANK__",'Assumptions'!E16)</x:f>
        <x:v>156.2</x:v>
      </x:c>
      <x:c r="G40" s="41" t="n">
        <x:f>IF(ISBLANK(E40),IF(F40="__BLANK__",0,1),IF(E40=F40,0,1))</x:f>
        <x:v>0</x:v>
      </x:c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Assumptions!E17</x:v>
      </x:c>
      <x:c r="D41" s="2"/>
      <x:c r="E41" s="3" t="n">
        <x:v>156.2</x:v>
      </x:c>
      <x:c r="F41" s="41" t="n">
        <x:f>IF(ISBLANK('Assumptions'!E17),"__BLANK__",'Assumptions'!E17)</x:f>
        <x:v>156.2</x:v>
      </x:c>
      <x:c r="G41" s="41" t="n">
        <x:f>IF(ISBLANK(E41),IF(F41="__BLANK__",0,1),IF(E41=F41,0,1))</x:f>
        <x:v>0</x:v>
      </x:c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Assumptions!F11</x:v>
      </x:c>
      <x:c r="D42" s="2"/>
      <x:c r="E42" s="3" t="n">
        <x:v>148.3</x:v>
      </x:c>
      <x:c r="F42" s="41" t="n">
        <x:f>IF(ISBLANK('Assumptions'!F11),"__BLANK__",'Assumptions'!F11)</x:f>
        <x:v>148.3</x:v>
      </x:c>
      <x:c r="G42" s="41" t="n">
        <x:f>IF(ISBLANK(E42),IF(F42="__BLANK__",0,1),IF(E42=F42,0,1))</x:f>
        <x:v>0</x:v>
      </x:c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Assumptions!F12</x:v>
      </x:c>
      <x:c r="D43" s="2"/>
      <x:c r="E43" s="3" t="n">
        <x:v>148.3</x:v>
      </x:c>
      <x:c r="F43" s="41" t="n">
        <x:f>IF(ISBLANK('Assumptions'!F12),"__BLANK__",'Assumptions'!F12)</x:f>
        <x:v>148.3</x:v>
      </x:c>
      <x:c r="G43" s="41" t="n">
        <x:f>IF(ISBLANK(E43),IF(F43="__BLANK__",0,1),IF(E43=F43,0,1))</x:f>
        <x:v>0</x:v>
      </x:c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Assumptions!F13</x:v>
      </x:c>
      <x:c r="D44" s="2"/>
      <x:c r="E44" s="3" t="n">
        <x:v>148.3</x:v>
      </x:c>
      <x:c r="F44" s="41" t="n">
        <x:f>IF(ISBLANK('Assumptions'!F13),"__BLANK__",'Assumptions'!F13)</x:f>
        <x:v>148.3</x:v>
      </x:c>
      <x:c r="G44" s="41" t="n">
        <x:f>IF(ISBLANK(E44),IF(F44="__BLANK__",0,1),IF(E44=F44,0,1))</x:f>
        <x:v>0</x:v>
      </x:c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Assumptions!F14</x:v>
      </x:c>
      <x:c r="D45" s="2"/>
      <x:c r="E45" s="3" t="n">
        <x:v>148.3</x:v>
      </x:c>
      <x:c r="F45" s="41" t="n">
        <x:f>IF(ISBLANK('Assumptions'!F14),"__BLANK__",'Assumptions'!F14)</x:f>
        <x:v>148.3</x:v>
      </x:c>
      <x:c r="G45" s="41" t="n">
        <x:f>IF(ISBLANK(E45),IF(F45="__BLANK__",0,1),IF(E45=F45,0,1))</x:f>
        <x:v>0</x:v>
      </x:c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Assumptions!F15</x:v>
      </x:c>
      <x:c r="D46" s="2"/>
      <x:c r="E46" s="3" t="n">
        <x:v>148.3</x:v>
      </x:c>
      <x:c r="F46" s="41" t="n">
        <x:f>IF(ISBLANK('Assumptions'!F15),"__BLANK__",'Assumptions'!F15)</x:f>
        <x:v>148.3</x:v>
      </x:c>
      <x:c r="G46" s="41" t="n">
        <x:f>IF(ISBLANK(E46),IF(F46="__BLANK__",0,1),IF(E46=F46,0,1))</x:f>
        <x:v>0</x:v>
      </x:c>
      <x:c r="H46" s="3"/>
      <x:c r="I46" s="3"/>
      <x:c r="J46" s="3"/>
      <x:c r="K46" s="3"/>
      <x:c r="L46" s="3"/>
    </x:row>
    <x:row r="47" ht="19" customHeight="1">
      <x:c r="A47" s="2"/>
      <x:c r="B47" s="2"/>
      <x:c r="C47" s="2" t="str">
        <x:v>Assumptions!F16</x:v>
      </x:c>
      <x:c r="D47" s="2"/>
      <x:c r="E47" s="3" t="n">
        <x:v>148.3</x:v>
      </x:c>
      <x:c r="F47" s="41" t="n">
        <x:f>IF(ISBLANK('Assumptions'!F16),"__BLANK__",'Assumptions'!F16)</x:f>
        <x:v>148.3</x:v>
      </x:c>
      <x:c r="G47" s="41" t="n">
        <x:f>IF(ISBLANK(E47),IF(F47="__BLANK__",0,1),IF(E47=F47,0,1))</x:f>
        <x:v>0</x:v>
      </x:c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Assumptions!F17</x:v>
      </x:c>
      <x:c r="D48" s="2"/>
      <x:c r="E48" s="3" t="n">
        <x:v>148.3</x:v>
      </x:c>
      <x:c r="F48" s="41" t="n">
        <x:f>IF(ISBLANK('Assumptions'!F17),"__BLANK__",'Assumptions'!F17)</x:f>
        <x:v>148.3</x:v>
      </x:c>
      <x:c r="G48" s="41" t="n">
        <x:f>IF(ISBLANK(E48),IF(F48="__BLANK__",0,1),IF(E48=F48,0,1))</x:f>
        <x:v>0</x:v>
      </x:c>
      <x:c r="H48" s="3"/>
      <x:c r="I48" s="3"/>
      <x:c r="J48" s="3"/>
      <x:c r="K48" s="3"/>
      <x:c r="L48" s="3"/>
    </x:row>
    <x:row r="49" ht="19" customHeight="1">
      <x:c r="A49" s="2"/>
      <x:c r="B49" s="2"/>
      <x:c r="C49" s="2" t="str">
        <x:v>Assumptions!G11</x:v>
      </x:c>
      <x:c r="D49" s="2"/>
      <x:c r="E49" s="3" t="n">
        <x:v>146.8</x:v>
      </x:c>
      <x:c r="F49" s="41" t="n">
        <x:f>IF(ISBLANK('Assumptions'!G11),"__BLANK__",'Assumptions'!G11)</x:f>
        <x:v>146.8</x:v>
      </x:c>
      <x:c r="G49" s="41" t="n">
        <x:f>IF(ISBLANK(E49),IF(F49="__BLANK__",0,1),IF(E49=F49,0,1))</x:f>
        <x:v>0</x:v>
      </x:c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Assumptions!G12</x:v>
      </x:c>
      <x:c r="D50" s="2"/>
      <x:c r="E50" s="3" t="n">
        <x:v>146.8</x:v>
      </x:c>
      <x:c r="F50" s="41" t="n">
        <x:f>IF(ISBLANK('Assumptions'!G12),"__BLANK__",'Assumptions'!G12)</x:f>
        <x:v>146.8</x:v>
      </x:c>
      <x:c r="G50" s="41" t="n">
        <x:f>IF(ISBLANK(E50),IF(F50="__BLANK__",0,1),IF(E50=F50,0,1))</x:f>
        <x:v>0</x:v>
      </x:c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Assumptions!G13</x:v>
      </x:c>
      <x:c r="D51" s="2"/>
      <x:c r="E51" s="3" t="n">
        <x:v>146.8</x:v>
      </x:c>
      <x:c r="F51" s="41" t="n">
        <x:f>IF(ISBLANK('Assumptions'!G13),"__BLANK__",'Assumptions'!G13)</x:f>
        <x:v>146.8</x:v>
      </x:c>
      <x:c r="G51" s="41" t="n">
        <x:f>IF(ISBLANK(E51),IF(F51="__BLANK__",0,1),IF(E51=F51,0,1))</x:f>
        <x:v>0</x:v>
      </x:c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Assumptions!G14</x:v>
      </x:c>
      <x:c r="D52" s="2"/>
      <x:c r="E52" s="3" t="n">
        <x:v>146.8</x:v>
      </x:c>
      <x:c r="F52" s="41" t="n">
        <x:f>IF(ISBLANK('Assumptions'!G14),"__BLANK__",'Assumptions'!G14)</x:f>
        <x:v>146.8</x:v>
      </x:c>
      <x:c r="G52" s="41" t="n">
        <x:f>IF(ISBLANK(E52),IF(F52="__BLANK__",0,1),IF(E52=F52,0,1))</x:f>
        <x:v>0</x:v>
      </x:c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Assumptions!G15</x:v>
      </x:c>
      <x:c r="D53" s="2"/>
      <x:c r="E53" s="3" t="n">
        <x:v>146.8</x:v>
      </x:c>
      <x:c r="F53" s="41" t="n">
        <x:f>IF(ISBLANK('Assumptions'!G15),"__BLANK__",'Assumptions'!G15)</x:f>
        <x:v>146.8</x:v>
      </x:c>
      <x:c r="G53" s="41" t="n">
        <x:f>IF(ISBLANK(E53),IF(F53="__BLANK__",0,1),IF(E53=F53,0,1))</x:f>
        <x:v>0</x:v>
      </x:c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Assumptions!G16</x:v>
      </x:c>
      <x:c r="D54" s="2"/>
      <x:c r="E54" s="3" t="n">
        <x:v>146.8</x:v>
      </x:c>
      <x:c r="F54" s="41" t="n">
        <x:f>IF(ISBLANK('Assumptions'!G16),"__BLANK__",'Assumptions'!G16)</x:f>
        <x:v>146.8</x:v>
      </x:c>
      <x:c r="G54" s="41" t="n">
        <x:f>IF(ISBLANK(E54),IF(F54="__BLANK__",0,1),IF(E54=F54,0,1))</x:f>
        <x:v>0</x:v>
      </x:c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Assumptions!G17</x:v>
      </x:c>
      <x:c r="D55" s="2"/>
      <x:c r="E55" s="3" t="n">
        <x:v>146.8</x:v>
      </x:c>
      <x:c r="F55" s="41" t="n">
        <x:f>IF(ISBLANK('Assumptions'!G17),"__BLANK__",'Assumptions'!G17)</x:f>
        <x:v>146.8</x:v>
      </x:c>
      <x:c r="G55" s="41" t="n">
        <x:f>IF(ISBLANK(E55),IF(F55="__BLANK__",0,1),IF(E55=F55,0,1))</x:f>
        <x:v>0</x:v>
      </x:c>
      <x:c r="H55" s="3"/>
      <x:c r="I55" s="3"/>
      <x:c r="J55" s="3"/>
      <x:c r="K55" s="3"/>
      <x:c r="L55" s="3"/>
    </x:row>
    <x:row r="56" ht="19" customHeight="1">
      <x:c r="A56" s="2"/>
      <x:c r="B56" s="2"/>
      <x:c r="C56" s="2" t="str">
        <x:v>Assumptions!H11</x:v>
      </x:c>
      <x:c r="D56" s="2"/>
      <x:c r="E56" s="3" t="n">
        <x:v>131.8</x:v>
      </x:c>
      <x:c r="F56" s="41" t="n">
        <x:f>IF(ISBLANK('Assumptions'!H11),"__BLANK__",'Assumptions'!H11)</x:f>
        <x:v>131.8</x:v>
      </x:c>
      <x:c r="G56" s="41" t="n">
        <x:f>IF(ISBLANK(E56),IF(F56="__BLANK__",0,1),IF(E56=F56,0,1))</x:f>
        <x:v>0</x:v>
      </x:c>
      <x:c r="H56" s="3"/>
      <x:c r="I56" s="3"/>
      <x:c r="J56" s="3"/>
      <x:c r="K56" s="3"/>
      <x:c r="L56" s="3"/>
    </x:row>
    <x:row r="57" ht="19" customHeight="1">
      <x:c r="A57" s="2"/>
      <x:c r="B57" s="2"/>
      <x:c r="C57" s="2" t="str">
        <x:v>Assumptions!H12</x:v>
      </x:c>
      <x:c r="D57" s="2"/>
      <x:c r="E57" s="3" t="n">
        <x:v>131.8</x:v>
      </x:c>
      <x:c r="F57" s="41" t="n">
        <x:f>IF(ISBLANK('Assumptions'!H12),"__BLANK__",'Assumptions'!H12)</x:f>
        <x:v>131.8</x:v>
      </x:c>
      <x:c r="G57" s="41" t="n">
        <x:f>IF(ISBLANK(E57),IF(F57="__BLANK__",0,1),IF(E57=F57,0,1))</x:f>
        <x:v>0</x:v>
      </x:c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Assumptions!H13</x:v>
      </x:c>
      <x:c r="D58" s="2"/>
      <x:c r="E58" s="3" t="n">
        <x:v>131.8</x:v>
      </x:c>
      <x:c r="F58" s="41" t="n">
        <x:f>IF(ISBLANK('Assumptions'!H13),"__BLANK__",'Assumptions'!H13)</x:f>
        <x:v>131.8</x:v>
      </x:c>
      <x:c r="G58" s="41" t="n">
        <x:f>IF(ISBLANK(E58),IF(F58="__BLANK__",0,1),IF(E58=F58,0,1))</x:f>
        <x:v>0</x:v>
      </x:c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Assumptions!H14</x:v>
      </x:c>
      <x:c r="D59" s="2"/>
      <x:c r="E59" s="3" t="n">
        <x:v>132.7</x:v>
      </x:c>
      <x:c r="F59" s="41" t="n">
        <x:f>IF(ISBLANK('Assumptions'!H14),"__BLANK__",'Assumptions'!H14)</x:f>
        <x:v>132.7</x:v>
      </x:c>
      <x:c r="G59" s="41" t="n">
        <x:f>IF(ISBLANK(E59),IF(F59="__BLANK__",0,1),IF(E59=F59,0,1))</x:f>
        <x:v>0</x:v>
      </x:c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Assumptions!H15</x:v>
      </x:c>
      <x:c r="D60" s="2"/>
      <x:c r="E60" s="3" t="n">
        <x:v>131.8</x:v>
      </x:c>
      <x:c r="F60" s="41" t="n">
        <x:f>IF(ISBLANK('Assumptions'!H15),"__BLANK__",'Assumptions'!H15)</x:f>
        <x:v>131.8</x:v>
      </x:c>
      <x:c r="G60" s="41" t="n">
        <x:f>IF(ISBLANK(E60),IF(F60="__BLANK__",0,1),IF(E60=F60,0,1))</x:f>
        <x:v>0</x:v>
      </x:c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Assumptions!H16</x:v>
      </x:c>
      <x:c r="D61" s="2"/>
      <x:c r="E61" s="3" t="n">
        <x:v>131.8</x:v>
      </x:c>
      <x:c r="F61" s="41" t="n">
        <x:f>IF(ISBLANK('Assumptions'!H16),"__BLANK__",'Assumptions'!H16)</x:f>
        <x:v>131.8</x:v>
      </x:c>
      <x:c r="G61" s="41" t="n">
        <x:f>IF(ISBLANK(E61),IF(F61="__BLANK__",0,1),IF(E61=F61,0,1))</x:f>
        <x:v>0</x:v>
      </x:c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Assumptions!H17</x:v>
      </x:c>
      <x:c r="D62" s="2"/>
      <x:c r="E62" s="3" t="n">
        <x:v>131.8</x:v>
      </x:c>
      <x:c r="F62" s="41" t="n">
        <x:f>IF(ISBLANK('Assumptions'!H17),"__BLANK__",'Assumptions'!H17)</x:f>
        <x:v>131.8</x:v>
      </x:c>
      <x:c r="G62" s="41" t="n">
        <x:f>IF(ISBLANK(E62),IF(F62="__BLANK__",0,1),IF(E62=F62,0,1))</x:f>
        <x:v>0</x:v>
      </x:c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Assumptions!I11</x:v>
      </x:c>
      <x:c r="D63" s="2"/>
      <x:c r="E63" s="3"/>
      <x:c r="F63" s="41" t="str">
        <x:f>IF(ISBLANK('Assumptions'!I11),"__BLANK__",'Assumptions'!I11)</x:f>
        <x:v>__BLANK__</x:v>
      </x:c>
      <x:c r="G63" s="41" t="n">
        <x:f>IF(ISBLANK(E63),IF(F63="__BLANK__",0,1),IF(E63=F63,0,1))</x:f>
        <x:v>0</x:v>
      </x:c>
      <x:c r="H63" s="3"/>
      <x:c r="I63" s="3"/>
      <x:c r="J63" s="3"/>
      <x:c r="K63" s="3"/>
      <x:c r="L63" s="3"/>
    </x:row>
    <x:row r="64" ht="19" customHeight="1">
      <x:c r="A64" s="2"/>
      <x:c r="B64" s="2"/>
      <x:c r="C64" s="2" t="str">
        <x:v>Assumptions!I12</x:v>
      </x:c>
      <x:c r="D64" s="2"/>
      <x:c r="E64" s="3"/>
      <x:c r="F64" s="41" t="str">
        <x:f>IF(ISBLANK('Assumptions'!I12),"__BLANK__",'Assumptions'!I12)</x:f>
        <x:v>__BLANK__</x:v>
      </x:c>
      <x:c r="G64" s="41" t="n">
        <x:f>IF(ISBLANK(E64),IF(F64="__BLANK__",0,1),IF(E64=F64,0,1))</x:f>
        <x:v>0</x:v>
      </x:c>
      <x:c r="H64" s="3"/>
      <x:c r="I64" s="3"/>
      <x:c r="J64" s="3"/>
      <x:c r="K64" s="3"/>
      <x:c r="L64" s="3"/>
    </x:row>
    <x:row r="65" ht="19" customHeight="1">
      <x:c r="A65" s="2"/>
      <x:c r="B65" s="2"/>
      <x:c r="C65" s="2" t="str">
        <x:v>Assumptions!I13</x:v>
      </x:c>
      <x:c r="D65" s="2"/>
      <x:c r="E65" s="3"/>
      <x:c r="F65" s="41" t="str">
        <x:f>IF(ISBLANK('Assumptions'!I13),"__BLANK__",'Assumptions'!I13)</x:f>
        <x:v>__BLANK__</x:v>
      </x:c>
      <x:c r="G65" s="41" t="n">
        <x:f>IF(ISBLANK(E65),IF(F65="__BLANK__",0,1),IF(E65=F65,0,1))</x:f>
        <x:v>0</x:v>
      </x:c>
      <x:c r="H65" s="3"/>
      <x:c r="I65" s="3"/>
      <x:c r="J65" s="3"/>
      <x:c r="K65" s="3"/>
      <x:c r="L65" s="3"/>
    </x:row>
    <x:row r="66" ht="19" customHeight="1">
      <x:c r="A66" s="2"/>
      <x:c r="B66" s="2"/>
      <x:c r="C66" s="2" t="str">
        <x:v>Assumptions!I14</x:v>
      </x:c>
      <x:c r="D66" s="2"/>
      <x:c r="E66" s="3"/>
      <x:c r="F66" s="41" t="str">
        <x:f>IF(ISBLANK('Assumptions'!I14),"__BLANK__",'Assumptions'!I14)</x:f>
        <x:v>__BLANK__</x:v>
      </x:c>
      <x:c r="G66" s="41" t="n">
        <x:f>IF(ISBLANK(E66),IF(F66="__BLANK__",0,1),IF(E66=F66,0,1))</x:f>
        <x:v>0</x:v>
      </x:c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Assumptions!I15</x:v>
      </x:c>
      <x:c r="D67" s="2"/>
      <x:c r="E67" s="3"/>
      <x:c r="F67" s="41" t="str">
        <x:f>IF(ISBLANK('Assumptions'!I15),"__BLANK__",'Assumptions'!I15)</x:f>
        <x:v>__BLANK__</x:v>
      </x:c>
      <x:c r="G67" s="41" t="n">
        <x:f>IF(ISBLANK(E67),IF(F67="__BLANK__",0,1),IF(E67=F67,0,1))</x:f>
        <x:v>0</x:v>
      </x:c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Assumptions!I16</x:v>
      </x:c>
      <x:c r="D68" s="2"/>
      <x:c r="E68" s="3"/>
      <x:c r="F68" s="41" t="str">
        <x:f>IF(ISBLANK('Assumptions'!I16),"__BLANK__",'Assumptions'!I16)</x:f>
        <x:v>__BLANK__</x:v>
      </x:c>
      <x:c r="G68" s="41" t="n">
        <x:f>IF(ISBLANK(E68),IF(F68="__BLANK__",0,1),IF(E68=F68,0,1))</x:f>
        <x:v>0</x:v>
      </x:c>
      <x:c r="H68" s="3"/>
      <x:c r="I68" s="3"/>
      <x:c r="J68" s="3"/>
      <x:c r="K68" s="3"/>
      <x:c r="L68" s="3"/>
    </x:row>
    <x:row r="69" ht="19" customHeight="1">
      <x:c r="A69" s="2"/>
      <x:c r="B69" s="2"/>
      <x:c r="C69" s="2" t="str">
        <x:v>Assumptions!I17</x:v>
      </x:c>
      <x:c r="D69" s="2"/>
      <x:c r="E69" s="3"/>
      <x:c r="F69" s="41" t="str">
        <x:f>IF(ISBLANK('Assumptions'!I17),"__BLANK__",'Assumptions'!I17)</x:f>
        <x:v>__BLANK__</x:v>
      </x:c>
      <x:c r="G69" s="41" t="n">
        <x:f>IF(ISBLANK(E69),IF(F69="__BLANK__",0,1),IF(E69=F69,0,1))</x:f>
        <x:v>0</x:v>
      </x:c>
      <x:c r="H69" s="3"/>
      <x:c r="I69" s="3"/>
      <x:c r="J69" s="3"/>
      <x:c r="K69" s="3"/>
      <x:c r="L69" s="3"/>
    </x:row>
    <x:row r="70" ht="19" customHeight="1">
      <x:c r="A70" s="2"/>
      <x:c r="B70" s="2"/>
      <x:c r="C70" s="2" t="str">
        <x:v>Assumptions!J11</x:v>
      </x:c>
      <x:c r="D70" s="2"/>
      <x:c r="E70" s="3"/>
      <x:c r="F70" s="41" t="str">
        <x:f>IF(ISBLANK('Assumptions'!J11),"__BLANK__",'Assumptions'!J11)</x:f>
        <x:v>__BLANK__</x:v>
      </x:c>
      <x:c r="G70" s="41" t="n">
        <x:f>IF(ISBLANK(E70),IF(F70="__BLANK__",0,1),IF(E70=F70,0,1))</x:f>
        <x:v>0</x:v>
      </x:c>
      <x:c r="H70" s="3"/>
      <x:c r="I70" s="3"/>
      <x:c r="J70" s="3"/>
      <x:c r="K70" s="3"/>
      <x:c r="L70" s="3"/>
    </x:row>
    <x:row r="71" ht="19" customHeight="1">
      <x:c r="A71" s="2"/>
      <x:c r="B71" s="2"/>
      <x:c r="C71" s="2" t="str">
        <x:v>Assumptions!J12</x:v>
      </x:c>
      <x:c r="D71" s="2"/>
      <x:c r="E71" s="3"/>
      <x:c r="F71" s="41" t="str">
        <x:f>IF(ISBLANK('Assumptions'!J12),"__BLANK__",'Assumptions'!J12)</x:f>
        <x:v>__BLANK__</x:v>
      </x:c>
      <x:c r="G71" s="41" t="n">
        <x:f>IF(ISBLANK(E71),IF(F71="__BLANK__",0,1),IF(E71=F71,0,1))</x:f>
        <x:v>0</x:v>
      </x:c>
      <x:c r="H71" s="3"/>
      <x:c r="I71" s="3"/>
      <x:c r="J71" s="3"/>
      <x:c r="K71" s="3"/>
      <x:c r="L71" s="3"/>
    </x:row>
    <x:row r="72" ht="19" customHeight="1">
      <x:c r="A72" s="2"/>
      <x:c r="B72" s="2"/>
      <x:c r="C72" s="2" t="str">
        <x:v>Assumptions!J13</x:v>
      </x:c>
      <x:c r="D72" s="2"/>
      <x:c r="E72" s="3"/>
      <x:c r="F72" s="41" t="str">
        <x:f>IF(ISBLANK('Assumptions'!J13),"__BLANK__",'Assumptions'!J13)</x:f>
        <x:v>__BLANK__</x:v>
      </x:c>
      <x:c r="G72" s="41" t="n">
        <x:f>IF(ISBLANK(E72),IF(F72="__BLANK__",0,1),IF(E72=F72,0,1))</x:f>
        <x:v>0</x:v>
      </x:c>
      <x:c r="H72" s="3"/>
      <x:c r="I72" s="3"/>
      <x:c r="J72" s="3"/>
      <x:c r="K72" s="3"/>
      <x:c r="L72" s="3"/>
    </x:row>
    <x:row r="73" ht="19" customHeight="1">
      <x:c r="A73" s="2"/>
      <x:c r="B73" s="2"/>
      <x:c r="C73" s="2" t="str">
        <x:v>Assumptions!J14</x:v>
      </x:c>
      <x:c r="D73" s="2"/>
      <x:c r="E73" s="3"/>
      <x:c r="F73" s="41" t="str">
        <x:f>IF(ISBLANK('Assumptions'!J14),"__BLANK__",'Assumptions'!J14)</x:f>
        <x:v>__BLANK__</x:v>
      </x:c>
      <x:c r="G73" s="41" t="n">
        <x:f>IF(ISBLANK(E73),IF(F73="__BLANK__",0,1),IF(E73=F73,0,1))</x:f>
        <x:v>0</x:v>
      </x:c>
      <x:c r="H73" s="3"/>
      <x:c r="I73" s="3"/>
      <x:c r="J73" s="3"/>
      <x:c r="K73" s="3"/>
      <x:c r="L73" s="3"/>
    </x:row>
    <x:row r="74" ht="19" customHeight="1">
      <x:c r="A74" s="2"/>
      <x:c r="B74" s="2"/>
      <x:c r="C74" s="2" t="str">
        <x:v>Assumptions!J15</x:v>
      </x:c>
      <x:c r="D74" s="2"/>
      <x:c r="E74" s="3"/>
      <x:c r="F74" s="41" t="str">
        <x:f>IF(ISBLANK('Assumptions'!J15),"__BLANK__",'Assumptions'!J15)</x:f>
        <x:v>__BLANK__</x:v>
      </x:c>
      <x:c r="G74" s="41" t="n">
        <x:f>IF(ISBLANK(E74),IF(F74="__BLANK__",0,1),IF(E74=F74,0,1))</x:f>
        <x:v>0</x:v>
      </x:c>
      <x:c r="H74" s="3"/>
      <x:c r="I74" s="3"/>
      <x:c r="J74" s="3"/>
      <x:c r="K74" s="3"/>
      <x:c r="L74" s="3"/>
    </x:row>
    <x:row r="75" ht="19" customHeight="1">
      <x:c r="A75" s="2"/>
      <x:c r="B75" s="2"/>
      <x:c r="C75" s="2" t="str">
        <x:v>Assumptions!J16</x:v>
      </x:c>
      <x:c r="D75" s="2"/>
      <x:c r="E75" s="3"/>
      <x:c r="F75" s="41" t="str">
        <x:f>IF(ISBLANK('Assumptions'!J16),"__BLANK__",'Assumptions'!J16)</x:f>
        <x:v>__BLANK__</x:v>
      </x:c>
      <x:c r="G75" s="41" t="n">
        <x:f>IF(ISBLANK(E75),IF(F75="__BLANK__",0,1),IF(E75=F75,0,1))</x:f>
        <x:v>0</x:v>
      </x:c>
      <x:c r="H75" s="3"/>
      <x:c r="I75" s="3"/>
      <x:c r="J75" s="3"/>
      <x:c r="K75" s="3"/>
      <x:c r="L75" s="3"/>
    </x:row>
    <x:row r="76" ht="19" customHeight="1">
      <x:c r="A76" s="2"/>
      <x:c r="B76" s="2"/>
      <x:c r="C76" s="2" t="str">
        <x:v>Assumptions!J17</x:v>
      </x:c>
      <x:c r="D76" s="2"/>
      <x:c r="E76" s="3"/>
      <x:c r="F76" s="41" t="str">
        <x:f>IF(ISBLANK('Assumptions'!J17),"__BLANK__",'Assumptions'!J17)</x:f>
        <x:v>__BLANK__</x:v>
      </x:c>
      <x:c r="G76" s="41" t="n">
        <x:f>IF(ISBLANK(E76),IF(F76="__BLANK__",0,1),IF(E76=F76,0,1))</x:f>
        <x:v>0</x:v>
      </x:c>
      <x:c r="H76" s="3"/>
      <x:c r="I76" s="3"/>
      <x:c r="J76" s="3"/>
      <x:c r="K76" s="3"/>
      <x:c r="L76" s="3"/>
    </x:row>
    <x:row r="77" ht="19" customHeight="1">
      <x:c r="A77" s="2"/>
      <x:c r="B77" s="2"/>
      <x:c r="C77" s="2" t="str">
        <x:v>Assumptions!K11</x:v>
      </x:c>
      <x:c r="D77" s="2"/>
      <x:c r="E77" s="3"/>
      <x:c r="F77" s="41" t="str">
        <x:f>IF(ISBLANK('Assumptions'!K11),"__BLANK__",'Assumptions'!K11)</x:f>
        <x:v>__BLANK__</x:v>
      </x:c>
      <x:c r="G77" s="41" t="n">
        <x:f>IF(ISBLANK(E77),IF(F77="__BLANK__",0,1),IF(E77=F77,0,1))</x:f>
        <x:v>0</x:v>
      </x:c>
      <x:c r="H77" s="3"/>
      <x:c r="I77" s="3"/>
      <x:c r="J77" s="3"/>
      <x:c r="K77" s="3"/>
      <x:c r="L77" s="3"/>
    </x:row>
    <x:row r="78" ht="19" customHeight="1">
      <x:c r="A78" s="2"/>
      <x:c r="B78" s="2"/>
      <x:c r="C78" s="2" t="str">
        <x:v>Assumptions!K12</x:v>
      </x:c>
      <x:c r="D78" s="2"/>
      <x:c r="E78" s="3"/>
      <x:c r="F78" s="41" t="str">
        <x:f>IF(ISBLANK('Assumptions'!K12),"__BLANK__",'Assumptions'!K12)</x:f>
        <x:v>__BLANK__</x:v>
      </x:c>
      <x:c r="G78" s="41" t="n">
        <x:f>IF(ISBLANK(E78),IF(F78="__BLANK__",0,1),IF(E78=F78,0,1))</x:f>
        <x:v>0</x:v>
      </x:c>
      <x:c r="H78" s="3"/>
      <x:c r="I78" s="3"/>
      <x:c r="J78" s="3"/>
      <x:c r="K78" s="3"/>
      <x:c r="L78" s="3"/>
    </x:row>
    <x:row r="79" ht="19" customHeight="1">
      <x:c r="A79" s="2"/>
      <x:c r="B79" s="2"/>
      <x:c r="C79" s="2" t="str">
        <x:v>Assumptions!K13</x:v>
      </x:c>
      <x:c r="D79" s="2"/>
      <x:c r="E79" s="3"/>
      <x:c r="F79" s="41" t="str">
        <x:f>IF(ISBLANK('Assumptions'!K13),"__BLANK__",'Assumptions'!K13)</x:f>
        <x:v>__BLANK__</x:v>
      </x:c>
      <x:c r="G79" s="41" t="n">
        <x:f>IF(ISBLANK(E79),IF(F79="__BLANK__",0,1),IF(E79=F79,0,1))</x:f>
        <x:v>0</x:v>
      </x:c>
      <x:c r="H79" s="3"/>
      <x:c r="I79" s="3"/>
      <x:c r="J79" s="3"/>
      <x:c r="K79" s="3"/>
      <x:c r="L79" s="3"/>
    </x:row>
    <x:row r="80" ht="19" customHeight="1">
      <x:c r="A80" s="2"/>
      <x:c r="B80" s="2"/>
      <x:c r="C80" s="2" t="str">
        <x:v>Assumptions!K14</x:v>
      </x:c>
      <x:c r="D80" s="2"/>
      <x:c r="E80" s="3"/>
      <x:c r="F80" s="41" t="str">
        <x:f>IF(ISBLANK('Assumptions'!K14),"__BLANK__",'Assumptions'!K14)</x:f>
        <x:v>__BLANK__</x:v>
      </x:c>
      <x:c r="G80" s="41" t="n">
        <x:f>IF(ISBLANK(E80),IF(F80="__BLANK__",0,1),IF(E80=F80,0,1))</x:f>
        <x:v>0</x:v>
      </x:c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Assumptions!K15</x:v>
      </x:c>
      <x:c r="D81" s="2"/>
      <x:c r="E81" s="3"/>
      <x:c r="F81" s="41" t="str">
        <x:f>IF(ISBLANK('Assumptions'!K15),"__BLANK__",'Assumptions'!K15)</x:f>
        <x:v>__BLANK__</x:v>
      </x:c>
      <x:c r="G81" s="41" t="n">
        <x:f>IF(ISBLANK(E81),IF(F81="__BLANK__",0,1),IF(E81=F81,0,1))</x:f>
        <x:v>0</x:v>
      </x:c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Assumptions!K16</x:v>
      </x:c>
      <x:c r="D82" s="2"/>
      <x:c r="E82" s="3"/>
      <x:c r="F82" s="41" t="str">
        <x:f>IF(ISBLANK('Assumptions'!K16),"__BLANK__",'Assumptions'!K16)</x:f>
        <x:v>__BLANK__</x:v>
      </x:c>
      <x:c r="G82" s="41" t="n">
        <x:f>IF(ISBLANK(E82),IF(F82="__BLANK__",0,1),IF(E82=F82,0,1))</x:f>
        <x:v>0</x:v>
      </x:c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Assumptions!K17</x:v>
      </x:c>
      <x:c r="D83" s="2"/>
      <x:c r="E83" s="3"/>
      <x:c r="F83" s="41" t="str">
        <x:f>IF(ISBLANK('Assumptions'!K17),"__BLANK__",'Assumptions'!K17)</x:f>
        <x:v>__BLANK__</x:v>
      </x:c>
      <x:c r="G83" s="41" t="n">
        <x:f>IF(ISBLANK(E83),IF(F83="__BLANK__",0,1),IF(E83=F83,0,1))</x:f>
        <x:v>0</x:v>
      </x:c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Assumptions!L11</x:v>
      </x:c>
      <x:c r="D84" s="2"/>
      <x:c r="E84" s="3"/>
      <x:c r="F84" s="41" t="str">
        <x:f>IF(ISBLANK('Assumptions'!L11),"__BLANK__",'Assumptions'!L11)</x:f>
        <x:v>__BLANK__</x:v>
      </x:c>
      <x:c r="G84" s="41" t="n">
        <x:f>IF(ISBLANK(E84),IF(F84="__BLANK__",0,1),IF(E84=F84,0,1))</x:f>
        <x:v>0</x:v>
      </x:c>
      <x:c r="H84" s="3"/>
      <x:c r="I84" s="3"/>
      <x:c r="J84" s="3"/>
      <x:c r="K84" s="3"/>
      <x:c r="L84" s="3"/>
    </x:row>
    <x:row r="85" ht="19" customHeight="1">
      <x:c r="A85" s="2"/>
      <x:c r="B85" s="2"/>
      <x:c r="C85" s="2" t="str">
        <x:v>Assumptions!L12</x:v>
      </x:c>
      <x:c r="D85" s="2"/>
      <x:c r="E85" s="3"/>
      <x:c r="F85" s="41" t="str">
        <x:f>IF(ISBLANK('Assumptions'!L12),"__BLANK__",'Assumptions'!L12)</x:f>
        <x:v>__BLANK__</x:v>
      </x:c>
      <x:c r="G85" s="41" t="n">
        <x:f>IF(ISBLANK(E85),IF(F85="__BLANK__",0,1),IF(E85=F85,0,1))</x:f>
        <x:v>0</x:v>
      </x:c>
      <x:c r="H85" s="3"/>
      <x:c r="I85" s="3"/>
      <x:c r="J85" s="3"/>
      <x:c r="K85" s="3"/>
      <x:c r="L85" s="3"/>
    </x:row>
    <x:row r="86" ht="19" customHeight="1">
      <x:c r="A86" s="2"/>
      <x:c r="B86" s="2"/>
      <x:c r="C86" s="2" t="str">
        <x:v>Assumptions!L13</x:v>
      </x:c>
      <x:c r="D86" s="2"/>
      <x:c r="E86" s="3"/>
      <x:c r="F86" s="41" t="str">
        <x:f>IF(ISBLANK('Assumptions'!L13),"__BLANK__",'Assumptions'!L13)</x:f>
        <x:v>__BLANK__</x:v>
      </x:c>
      <x:c r="G86" s="41" t="n">
        <x:f>IF(ISBLANK(E86),IF(F86="__BLANK__",0,1),IF(E86=F86,0,1))</x:f>
        <x:v>0</x:v>
      </x:c>
      <x:c r="H86" s="3"/>
      <x:c r="I86" s="3"/>
      <x:c r="J86" s="3"/>
      <x:c r="K86" s="3"/>
      <x:c r="L86" s="3"/>
    </x:row>
    <x:row r="87" ht="19" customHeight="1">
      <x:c r="A87" s="2"/>
      <x:c r="B87" s="2"/>
      <x:c r="C87" s="2" t="str">
        <x:v>Assumptions!L14</x:v>
      </x:c>
      <x:c r="D87" s="2"/>
      <x:c r="E87" s="3"/>
      <x:c r="F87" s="41" t="str">
        <x:f>IF(ISBLANK('Assumptions'!L14),"__BLANK__",'Assumptions'!L14)</x:f>
        <x:v>__BLANK__</x:v>
      </x:c>
      <x:c r="G87" s="41" t="n">
        <x:f>IF(ISBLANK(E87),IF(F87="__BLANK__",0,1),IF(E87=F87,0,1))</x:f>
        <x:v>0</x:v>
      </x:c>
      <x:c r="H87" s="3"/>
      <x:c r="I87" s="3"/>
      <x:c r="J87" s="3"/>
      <x:c r="K87" s="3"/>
      <x:c r="L87" s="3"/>
    </x:row>
    <x:row r="88" ht="19" customHeight="1">
      <x:c r="A88" s="2"/>
      <x:c r="B88" s="2"/>
      <x:c r="C88" s="2" t="str">
        <x:v>Assumptions!L15</x:v>
      </x:c>
      <x:c r="D88" s="2"/>
      <x:c r="E88" s="3"/>
      <x:c r="F88" s="41" t="str">
        <x:f>IF(ISBLANK('Assumptions'!L15),"__BLANK__",'Assumptions'!L15)</x:f>
        <x:v>__BLANK__</x:v>
      </x:c>
      <x:c r="G88" s="41" t="n">
        <x:f>IF(ISBLANK(E88),IF(F88="__BLANK__",0,1),IF(E88=F88,0,1))</x:f>
        <x:v>0</x:v>
      </x:c>
      <x:c r="H88" s="3"/>
      <x:c r="I88" s="3"/>
      <x:c r="J88" s="3"/>
      <x:c r="K88" s="3"/>
      <x:c r="L88" s="3"/>
    </x:row>
    <x:row r="89" ht="19" customHeight="1">
      <x:c r="A89" s="2"/>
      <x:c r="B89" s="2"/>
      <x:c r="C89" s="2" t="str">
        <x:v>Assumptions!L16</x:v>
      </x:c>
      <x:c r="D89" s="2"/>
      <x:c r="E89" s="3"/>
      <x:c r="F89" s="41" t="str">
        <x:f>IF(ISBLANK('Assumptions'!L16),"__BLANK__",'Assumptions'!L16)</x:f>
        <x:v>__BLANK__</x:v>
      </x:c>
      <x:c r="G89" s="41" t="n">
        <x:f>IF(ISBLANK(E89),IF(F89="__BLANK__",0,1),IF(E89=F89,0,1))</x:f>
        <x:v>0</x:v>
      </x:c>
      <x:c r="H89" s="3"/>
      <x:c r="I89" s="3"/>
      <x:c r="J89" s="3"/>
      <x:c r="K89" s="3"/>
      <x:c r="L89" s="3"/>
    </x:row>
    <x:row r="90" ht="19" customHeight="1">
      <x:c r="A90" s="2"/>
      <x:c r="B90" s="2"/>
      <x:c r="C90" s="2" t="str">
        <x:v>Assumptions!L17</x:v>
      </x:c>
      <x:c r="D90" s="2"/>
      <x:c r="E90" s="3"/>
      <x:c r="F90" s="41" t="str">
        <x:f>IF(ISBLANK('Assumptions'!L17),"__BLANK__",'Assumptions'!L17)</x:f>
        <x:v>__BLANK__</x:v>
      </x:c>
      <x:c r="G90" s="41" t="n">
        <x:f>IF(ISBLANK(E90),IF(F90="__BLANK__",0,1),IF(E90=F90,0,1))</x:f>
        <x:v>0</x:v>
      </x:c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Assumptions!E21</x:v>
      </x:c>
      <x:c r="D91" s="2"/>
      <x:c r="E91" s="3" t="n">
        <x:v>186.93982074263766</x:v>
      </x:c>
      <x:c r="F91" s="41" t="n">
        <x:f>IF(ISBLANK('Assumptions'!E21),"__BLANK__",'Assumptions'!E21)</x:f>
        <x:v>186.93982074263766</x:v>
      </x:c>
      <x:c r="G91" s="41" t="n">
        <x:f>IF(ISBLANK(E91),IF(F91="__BLANK__",0,1),IF(E91=F91,0,1))</x:f>
        <x:v>0</x:v>
      </x:c>
      <x:c r="H91" s="3"/>
      <x:c r="I91" s="3"/>
      <x:c r="J91" s="3"/>
      <x:c r="K91" s="3"/>
      <x:c r="L91" s="3"/>
    </x:row>
    <x:row r="92" ht="19" customHeight="1">
      <x:c r="A92" s="2"/>
      <x:c r="B92" s="2"/>
      <x:c r="C92" s="2" t="str">
        <x:v>Assumptions!E22</x:v>
      </x:c>
      <x:c r="D92" s="2"/>
      <x:c r="E92" s="3" t="n">
        <x:v>186.93982074263766</x:v>
      </x:c>
      <x:c r="F92" s="41" t="n">
        <x:f>IF(ISBLANK('Assumptions'!E22),"__BLANK__",'Assumptions'!E22)</x:f>
        <x:v>186.93982074263766</x:v>
      </x:c>
      <x:c r="G92" s="41" t="n">
        <x:f>IF(ISBLANK(E92),IF(F92="__BLANK__",0,1),IF(E92=F92,0,1))</x:f>
        <x:v>0</x:v>
      </x:c>
      <x:c r="H92" s="3"/>
      <x:c r="I92" s="3"/>
      <x:c r="J92" s="3"/>
      <x:c r="K92" s="3"/>
      <x:c r="L92" s="3"/>
    </x:row>
    <x:row r="93" ht="19" customHeight="1">
      <x:c r="A93" s="2"/>
      <x:c r="B93" s="2"/>
      <x:c r="C93" s="2" t="str">
        <x:v>Assumptions!E23</x:v>
      </x:c>
      <x:c r="D93" s="2"/>
      <x:c r="E93" s="3" t="n">
        <x:v>186.93982074263766</x:v>
      </x:c>
      <x:c r="F93" s="41" t="n">
        <x:f>IF(ISBLANK('Assumptions'!E23),"__BLANK__",'Assumptions'!E23)</x:f>
        <x:v>186.93982074263766</x:v>
      </x:c>
      <x:c r="G93" s="41" t="n">
        <x:f>IF(ISBLANK(E93),IF(F93="__BLANK__",0,1),IF(E93=F93,0,1))</x:f>
        <x:v>0</x:v>
      </x:c>
      <x:c r="H93" s="3"/>
      <x:c r="I93" s="3"/>
      <x:c r="J93" s="3"/>
      <x:c r="K93" s="3"/>
      <x:c r="L93" s="3"/>
    </x:row>
    <x:row r="94" ht="19" customHeight="1">
      <x:c r="A94" s="2"/>
      <x:c r="B94" s="2"/>
      <x:c r="C94" s="2" t="str">
        <x:v>Assumptions!E24</x:v>
      </x:c>
      <x:c r="D94" s="2"/>
      <x:c r="E94" s="3" t="n">
        <x:v>186.93982074263766</x:v>
      </x:c>
      <x:c r="F94" s="41" t="n">
        <x:f>IF(ISBLANK('Assumptions'!E24),"__BLANK__",'Assumptions'!E24)</x:f>
        <x:v>186.93982074263766</x:v>
      </x:c>
      <x:c r="G94" s="41" t="n">
        <x:f>IF(ISBLANK(E94),IF(F94="__BLANK__",0,1),IF(E94=F94,0,1))</x:f>
        <x:v>0</x:v>
      </x:c>
      <x:c r="H94" s="3"/>
      <x:c r="I94" s="3"/>
      <x:c r="J94" s="3"/>
      <x:c r="K94" s="3"/>
      <x:c r="L94" s="3"/>
    </x:row>
    <x:row r="95" ht="19" customHeight="1">
      <x:c r="A95" s="2"/>
      <x:c r="B95" s="2"/>
      <x:c r="C95" s="2" t="str">
        <x:v>Assumptions!E25</x:v>
      </x:c>
      <x:c r="D95" s="2"/>
      <x:c r="E95" s="3" t="n">
        <x:v>186.93982074263766</x:v>
      </x:c>
      <x:c r="F95" s="41" t="n">
        <x:f>IF(ISBLANK('Assumptions'!E25),"__BLANK__",'Assumptions'!E25)</x:f>
        <x:v>186.93982074263766</x:v>
      </x:c>
      <x:c r="G95" s="41" t="n">
        <x:f>IF(ISBLANK(E95),IF(F95="__BLANK__",0,1),IF(E95=F95,0,1))</x:f>
        <x:v>0</x:v>
      </x:c>
      <x:c r="H95" s="3"/>
      <x:c r="I95" s="3"/>
      <x:c r="J95" s="3"/>
      <x:c r="K95" s="3"/>
      <x:c r="L95" s="3"/>
    </x:row>
    <x:row r="96" ht="19" customHeight="1">
      <x:c r="A96" s="2"/>
      <x:c r="B96" s="2"/>
      <x:c r="C96" s="2" t="str">
        <x:v>Assumptions!E26</x:v>
      </x:c>
      <x:c r="D96" s="2"/>
      <x:c r="E96" s="3" t="n">
        <x:v>186.93982074263766</x:v>
      </x:c>
      <x:c r="F96" s="41" t="n">
        <x:f>IF(ISBLANK('Assumptions'!E26),"__BLANK__",'Assumptions'!E26)</x:f>
        <x:v>186.93982074263766</x:v>
      </x:c>
      <x:c r="G96" s="41" t="n">
        <x:f>IF(ISBLANK(E96),IF(F96="__BLANK__",0,1),IF(E96=F96,0,1))</x:f>
        <x:v>0</x:v>
      </x:c>
      <x:c r="H96" s="3"/>
      <x:c r="I96" s="3"/>
      <x:c r="J96" s="3"/>
      <x:c r="K96" s="3"/>
      <x:c r="L96" s="3"/>
    </x:row>
    <x:row r="97" ht="19" customHeight="1">
      <x:c r="A97" s="2"/>
      <x:c r="B97" s="2"/>
      <x:c r="C97" s="2" t="str">
        <x:v>Assumptions!E27</x:v>
      </x:c>
      <x:c r="D97" s="2"/>
      <x:c r="E97" s="3" t="n">
        <x:v>186.93982074263766</x:v>
      </x:c>
      <x:c r="F97" s="41" t="n">
        <x:f>IF(ISBLANK('Assumptions'!E27),"__BLANK__",'Assumptions'!E27)</x:f>
        <x:v>186.93982074263766</x:v>
      </x:c>
      <x:c r="G97" s="41" t="n">
        <x:f>IF(ISBLANK(E97),IF(F97="__BLANK__",0,1),IF(E97=F97,0,1))</x:f>
        <x:v>0</x:v>
      </x:c>
      <x:c r="H97" s="3"/>
      <x:c r="I97" s="3"/>
      <x:c r="J97" s="3"/>
      <x:c r="K97" s="3"/>
      <x:c r="L97" s="3"/>
    </x:row>
    <x:row r="98" ht="19" customHeight="1">
      <x:c r="A98" s="2"/>
      <x:c r="B98" s="2"/>
      <x:c r="C98" s="2" t="str">
        <x:v>Assumptions!F21</x:v>
      </x:c>
      <x:c r="D98" s="2"/>
      <x:c r="E98" s="3" t="n">
        <x:v>183.41200269723532</x:v>
      </x:c>
      <x:c r="F98" s="41" t="n">
        <x:f>IF(ISBLANK('Assumptions'!F21),"__BLANK__",'Assumptions'!F21)</x:f>
        <x:v>183.41200269723532</x:v>
      </x:c>
      <x:c r="G98" s="41" t="n">
        <x:f>IF(ISBLANK(E98),IF(F98="__BLANK__",0,1),IF(E98=F98,0,1))</x:f>
        <x:v>0</x:v>
      </x:c>
      <x:c r="H98" s="3"/>
      <x:c r="I98" s="3"/>
      <x:c r="J98" s="3"/>
      <x:c r="K98" s="3"/>
      <x:c r="L98" s="3"/>
    </x:row>
    <x:row r="99" ht="19" customHeight="1">
      <x:c r="A99" s="2"/>
      <x:c r="B99" s="2"/>
      <x:c r="C99" s="2" t="str">
        <x:v>Assumptions!F22</x:v>
      </x:c>
      <x:c r="D99" s="2"/>
      <x:c r="E99" s="3" t="n">
        <x:v>183.41200269723532</x:v>
      </x:c>
      <x:c r="F99" s="41" t="n">
        <x:f>IF(ISBLANK('Assumptions'!F22),"__BLANK__",'Assumptions'!F22)</x:f>
        <x:v>183.41200269723532</x:v>
      </x:c>
      <x:c r="G99" s="41" t="n">
        <x:f>IF(ISBLANK(E99),IF(F99="__BLANK__",0,1),IF(E99=F99,0,1))</x:f>
        <x:v>0</x:v>
      </x:c>
      <x:c r="H99" s="3"/>
      <x:c r="I99" s="3"/>
      <x:c r="J99" s="3"/>
      <x:c r="K99" s="3"/>
      <x:c r="L99" s="3"/>
    </x:row>
    <x:row r="100" ht="19" customHeight="1">
      <x:c r="A100" s="2"/>
      <x:c r="B100" s="2"/>
      <x:c r="C100" s="2" t="str">
        <x:v>Assumptions!F23</x:v>
      </x:c>
      <x:c r="D100" s="2"/>
      <x:c r="E100" s="3" t="n">
        <x:v>183.41200269723532</x:v>
      </x:c>
      <x:c r="F100" s="41" t="n">
        <x:f>IF(ISBLANK('Assumptions'!F23),"__BLANK__",'Assumptions'!F23)</x:f>
        <x:v>183.41200269723532</x:v>
      </x:c>
      <x:c r="G100" s="41" t="n">
        <x:f>IF(ISBLANK(E100),IF(F100="__BLANK__",0,1),IF(E100=F100,0,1))</x:f>
        <x:v>0</x:v>
      </x:c>
      <x:c r="H100" s="3"/>
      <x:c r="I100" s="3"/>
      <x:c r="J100" s="3"/>
      <x:c r="K100" s="3"/>
      <x:c r="L100" s="3"/>
    </x:row>
    <x:row r="101" ht="19" customHeight="1">
      <x:c r="A101" s="2"/>
      <x:c r="B101" s="2"/>
      <x:c r="C101" s="2" t="str">
        <x:v>Assumptions!F24</x:v>
      </x:c>
      <x:c r="D101" s="2"/>
      <x:c r="E101" s="3" t="n">
        <x:v>183.41200269723532</x:v>
      </x:c>
      <x:c r="F101" s="41" t="n">
        <x:f>IF(ISBLANK('Assumptions'!F24),"__BLANK__",'Assumptions'!F24)</x:f>
        <x:v>183.41200269723532</x:v>
      </x:c>
      <x:c r="G101" s="41" t="n">
        <x:f>IF(ISBLANK(E101),IF(F101="__BLANK__",0,1),IF(E101=F101,0,1))</x:f>
        <x:v>0</x:v>
      </x:c>
      <x:c r="H101" s="3"/>
      <x:c r="I101" s="3"/>
      <x:c r="J101" s="3"/>
      <x:c r="K101" s="3"/>
      <x:c r="L101" s="3"/>
    </x:row>
    <x:row r="102" ht="19" customHeight="1">
      <x:c r="A102" s="2"/>
      <x:c r="B102" s="2"/>
      <x:c r="C102" s="2" t="str">
        <x:v>Assumptions!F25</x:v>
      </x:c>
      <x:c r="D102" s="2"/>
      <x:c r="E102" s="3" t="n">
        <x:v>183.41200269723532</x:v>
      </x:c>
      <x:c r="F102" s="41" t="n">
        <x:f>IF(ISBLANK('Assumptions'!F25),"__BLANK__",'Assumptions'!F25)</x:f>
        <x:v>183.41200269723532</x:v>
      </x:c>
      <x:c r="G102" s="41" t="n">
        <x:f>IF(ISBLANK(E102),IF(F102="__BLANK__",0,1),IF(E102=F102,0,1))</x:f>
        <x:v>0</x:v>
      </x:c>
      <x:c r="H102" s="3"/>
      <x:c r="I102" s="3"/>
      <x:c r="J102" s="3"/>
      <x:c r="K102" s="3"/>
      <x:c r="L102" s="3"/>
    </x:row>
    <x:row r="103" ht="19" customHeight="1">
      <x:c r="A103" s="2"/>
      <x:c r="B103" s="2"/>
      <x:c r="C103" s="2" t="str">
        <x:v>Assumptions!F26</x:v>
      </x:c>
      <x:c r="D103" s="2"/>
      <x:c r="E103" s="3" t="n">
        <x:v>183.41200269723532</x:v>
      </x:c>
      <x:c r="F103" s="41" t="n">
        <x:f>IF(ISBLANK('Assumptions'!F26),"__BLANK__",'Assumptions'!F26)</x:f>
        <x:v>183.41200269723532</x:v>
      </x:c>
      <x:c r="G103" s="41" t="n">
        <x:f>IF(ISBLANK(E103),IF(F103="__BLANK__",0,1),IF(E103=F103,0,1))</x:f>
        <x:v>0</x:v>
      </x:c>
      <x:c r="H103" s="3"/>
      <x:c r="I103" s="3"/>
      <x:c r="J103" s="3"/>
      <x:c r="K103" s="3"/>
      <x:c r="L103" s="3"/>
    </x:row>
    <x:row r="104" ht="19" customHeight="1">
      <x:c r="A104" s="2"/>
      <x:c r="B104" s="2"/>
      <x:c r="C104" s="2" t="str">
        <x:v>Assumptions!F27</x:v>
      </x:c>
      <x:c r="D104" s="2"/>
      <x:c r="E104" s="3" t="n">
        <x:v>183.41200269723532</x:v>
      </x:c>
      <x:c r="F104" s="41" t="n">
        <x:f>IF(ISBLANK('Assumptions'!F27),"__BLANK__",'Assumptions'!F27)</x:f>
        <x:v>183.41200269723532</x:v>
      </x:c>
      <x:c r="G104" s="41" t="n">
        <x:f>IF(ISBLANK(E104),IF(F104="__BLANK__",0,1),IF(E104=F104,0,1))</x:f>
        <x:v>0</x:v>
      </x:c>
      <x:c r="H104" s="3"/>
      <x:c r="I104" s="3"/>
      <x:c r="J104" s="3"/>
      <x:c r="K104" s="3"/>
      <x:c r="L104" s="3"/>
    </x:row>
    <x:row r="105" ht="19" customHeight="1">
      <x:c r="A105" s="2"/>
      <x:c r="B105" s="2"/>
      <x:c r="C105" s="2" t="str">
        <x:v>Assumptions!G21</x:v>
      </x:c>
      <x:c r="D105" s="2"/>
      <x:c r="E105" s="3" t="n">
        <x:v>177.17</x:v>
      </x:c>
      <x:c r="F105" s="41" t="n">
        <x:f>IF(ISBLANK('Assumptions'!G21),"__BLANK__",'Assumptions'!G21)</x:f>
        <x:v>177.17</x:v>
      </x:c>
      <x:c r="G105" s="41" t="n">
        <x:f>IF(ISBLANK(E105),IF(F105="__BLANK__",0,1),IF(E105=F105,0,1))</x:f>
        <x:v>0</x:v>
      </x:c>
      <x:c r="H105" s="3"/>
      <x:c r="I105" s="3"/>
      <x:c r="J105" s="3"/>
      <x:c r="K105" s="3"/>
      <x:c r="L105" s="3"/>
    </x:row>
    <x:row r="106" ht="19" customHeight="1">
      <x:c r="A106" s="2"/>
      <x:c r="B106" s="2"/>
      <x:c r="C106" s="2" t="str">
        <x:v>Assumptions!G22</x:v>
      </x:c>
      <x:c r="D106" s="2"/>
      <x:c r="E106" s="3" t="n">
        <x:v>176.88</x:v>
      </x:c>
      <x:c r="F106" s="41" t="n">
        <x:f>IF(ISBLANK('Assumptions'!G22),"__BLANK__",'Assumptions'!G22)</x:f>
        <x:v>176.88</x:v>
      </x:c>
      <x:c r="G106" s="41" t="n">
        <x:f>IF(ISBLANK(E106),IF(F106="__BLANK__",0,1),IF(E106=F106,0,1))</x:f>
        <x:v>0</x:v>
      </x:c>
      <x:c r="H106" s="3"/>
      <x:c r="I106" s="3"/>
      <x:c r="J106" s="3"/>
      <x:c r="K106" s="3"/>
      <x:c r="L106" s="3"/>
    </x:row>
    <x:row r="107" ht="19" customHeight="1">
      <x:c r="A107" s="2"/>
      <x:c r="B107" s="2"/>
      <x:c r="C107" s="2" t="str">
        <x:v>Assumptions!G23</x:v>
      </x:c>
      <x:c r="D107" s="2"/>
      <x:c r="E107" s="3"/>
      <x:c r="F107" s="41" t="str">
        <x:f>IF(ISBLANK('Assumptions'!G23),"__BLANK__",'Assumptions'!G23)</x:f>
        <x:v>__BLANK__</x:v>
      </x:c>
      <x:c r="G107" s="41" t="n">
        <x:f>IF(ISBLANK(E107),IF(F107="__BLANK__",0,1),IF(E107=F107,0,1))</x:f>
        <x:v>0</x:v>
      </x:c>
      <x:c r="H107" s="3"/>
      <x:c r="I107" s="3"/>
      <x:c r="J107" s="3"/>
      <x:c r="K107" s="3"/>
      <x:c r="L107" s="3"/>
    </x:row>
    <x:row r="108" ht="19" customHeight="1">
      <x:c r="A108" s="2"/>
      <x:c r="B108" s="2"/>
      <x:c r="C108" s="2" t="str">
        <x:v>Assumptions!G24</x:v>
      </x:c>
      <x:c r="D108" s="2"/>
      <x:c r="E108" s="3" t="n">
        <x:v>177.17</x:v>
      </x:c>
      <x:c r="F108" s="41" t="n">
        <x:f>IF(ISBLANK('Assumptions'!G24),"__BLANK__",'Assumptions'!G24)</x:f>
        <x:v>177.17</x:v>
      </x:c>
      <x:c r="G108" s="41" t="n">
        <x:f>IF(ISBLANK(E108),IF(F108="__BLANK__",0,1),IF(E108=F108,0,1))</x:f>
        <x:v>0</x:v>
      </x:c>
      <x:c r="H108" s="3"/>
      <x:c r="I108" s="3"/>
      <x:c r="J108" s="3"/>
      <x:c r="K108" s="3"/>
      <x:c r="L108" s="3"/>
    </x:row>
    <x:row r="109" ht="19" customHeight="1">
      <x:c r="A109" s="2"/>
      <x:c r="B109" s="2"/>
      <x:c r="C109" s="2" t="str">
        <x:v>Assumptions!G25</x:v>
      </x:c>
      <x:c r="D109" s="2"/>
      <x:c r="E109" s="3" t="n">
        <x:v>172.9711230497275</x:v>
      </x:c>
      <x:c r="F109" s="41" t="n">
        <x:f>IF(ISBLANK('Assumptions'!G25),"__BLANK__",'Assumptions'!G25)</x:f>
        <x:v>172.9711230497275</x:v>
      </x:c>
      <x:c r="G109" s="41" t="n">
        <x:f>IF(ISBLANK(E109),IF(F109="__BLANK__",0,1),IF(E109=F109,0,1))</x:f>
        <x:v>0</x:v>
      </x:c>
      <x:c r="H109" s="3"/>
      <x:c r="I109" s="3"/>
      <x:c r="J109" s="3"/>
      <x:c r="K109" s="3"/>
      <x:c r="L109" s="3"/>
    </x:row>
    <x:row r="110" ht="19" customHeight="1">
      <x:c r="A110" s="2"/>
      <x:c r="B110" s="2"/>
      <x:c r="C110" s="2" t="str">
        <x:v>Assumptions!G26</x:v>
      </x:c>
      <x:c r="D110" s="2"/>
      <x:c r="E110" s="3" t="n">
        <x:v>177.17</x:v>
      </x:c>
      <x:c r="F110" s="41" t="n">
        <x:f>IF(ISBLANK('Assumptions'!G26),"__BLANK__",'Assumptions'!G26)</x:f>
        <x:v>177.17</x:v>
      </x:c>
      <x:c r="G110" s="41" t="n">
        <x:f>IF(ISBLANK(E110),IF(F110="__BLANK__",0,1),IF(E110=F110,0,1))</x:f>
        <x:v>0</x:v>
      </x:c>
      <x:c r="H110" s="3"/>
      <x:c r="I110" s="3"/>
      <x:c r="J110" s="3"/>
      <x:c r="K110" s="3"/>
      <x:c r="L110" s="3"/>
    </x:row>
    <x:row r="111" ht="19" customHeight="1">
      <x:c r="A111" s="2"/>
      <x:c r="B111" s="2"/>
      <x:c r="C111" s="2" t="str">
        <x:v>Assumptions!G27</x:v>
      </x:c>
      <x:c r="D111" s="2"/>
      <x:c r="E111" s="3" t="n">
        <x:v>177.17</x:v>
      </x:c>
      <x:c r="F111" s="41" t="n">
        <x:f>IF(ISBLANK('Assumptions'!G27),"__BLANK__",'Assumptions'!G27)</x:f>
        <x:v>177.17</x:v>
      </x:c>
      <x:c r="G111" s="41" t="n">
        <x:f>IF(ISBLANK(E111),IF(F111="__BLANK__",0,1),IF(E111=F111,0,1))</x:f>
        <x:v>0</x:v>
      </x:c>
      <x:c r="H111" s="3"/>
      <x:c r="I111" s="3"/>
      <x:c r="J111" s="3"/>
      <x:c r="K111" s="3"/>
      <x:c r="L111" s="3"/>
    </x:row>
    <x:row r="112" ht="19" customHeight="1">
      <x:c r="A112" s="2"/>
      <x:c r="B112" s="2"/>
      <x:c r="C112" s="2" t="str">
        <x:v>Assumptions!H21</x:v>
      </x:c>
      <x:c r="D112" s="2"/>
      <x:c r="E112" s="3" t="n">
        <x:v>174.57</x:v>
      </x:c>
      <x:c r="F112" s="41" t="n">
        <x:f>IF(ISBLANK('Assumptions'!H21),"__BLANK__",'Assumptions'!H21)</x:f>
        <x:v>174.57</x:v>
      </x:c>
      <x:c r="G112" s="41" t="n">
        <x:f>IF(ISBLANK(E112),IF(F112="__BLANK__",0,1),IF(E112=F112,0,1))</x:f>
        <x:v>0</x:v>
      </x:c>
      <x:c r="H112" s="3"/>
      <x:c r="I112" s="3"/>
      <x:c r="J112" s="3"/>
      <x:c r="K112" s="3"/>
      <x:c r="L112" s="3"/>
    </x:row>
    <x:row r="113" ht="19" customHeight="1">
      <x:c r="A113" s="2"/>
      <x:c r="B113" s="2"/>
      <x:c r="C113" s="2" t="str">
        <x:v>Assumptions!H22</x:v>
      </x:c>
      <x:c r="D113" s="2"/>
      <x:c r="E113" s="3" t="n">
        <x:v>173.94</x:v>
      </x:c>
      <x:c r="F113" s="41" t="n">
        <x:f>IF(ISBLANK('Assumptions'!H22),"__BLANK__",'Assumptions'!H22)</x:f>
        <x:v>173.94</x:v>
      </x:c>
      <x:c r="G113" s="41" t="n">
        <x:f>IF(ISBLANK(E113),IF(F113="__BLANK__",0,1),IF(E113=F113,0,1))</x:f>
        <x:v>0</x:v>
      </x:c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 t="str">
        <x:v>Assumptions!H23</x:v>
      </x:c>
      <x:c r="D114" s="2"/>
      <x:c r="E114" s="3"/>
      <x:c r="F114" s="41" t="str">
        <x:f>IF(ISBLANK('Assumptions'!H23),"__BLANK__",'Assumptions'!H23)</x:f>
        <x:v>__BLANK__</x:v>
      </x:c>
      <x:c r="G114" s="41" t="n">
        <x:f>IF(ISBLANK(E114),IF(F114="__BLANK__",0,1),IF(E114=F114,0,1))</x:f>
        <x:v>0</x:v>
      </x:c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 t="str">
        <x:v>Assumptions!H24</x:v>
      </x:c>
      <x:c r="D115" s="2"/>
      <x:c r="E115" s="3" t="n">
        <x:v>174.57</x:v>
      </x:c>
      <x:c r="F115" s="41" t="n">
        <x:f>IF(ISBLANK('Assumptions'!H24),"__BLANK__",'Assumptions'!H24)</x:f>
        <x:v>174.57</x:v>
      </x:c>
      <x:c r="G115" s="41" t="n">
        <x:f>IF(ISBLANK(E115),IF(F115="__BLANK__",0,1),IF(E115=F115,0,1))</x:f>
        <x:v>0</x:v>
      </x:c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 t="str">
        <x:v>Assumptions!H25</x:v>
      </x:c>
      <x:c r="D116" s="2"/>
      <x:c r="E116" s="3" t="n">
        <x:v>170.46378318664642</x:v>
      </x:c>
      <x:c r="F116" s="41" t="n">
        <x:f>IF(ISBLANK('Assumptions'!H25),"__BLANK__",'Assumptions'!H25)</x:f>
        <x:v>170.46378318664642</x:v>
      </x:c>
      <x:c r="G116" s="41" t="n">
        <x:f>IF(ISBLANK(E116),IF(F116="__BLANK__",0,1),IF(E116=F116,0,1))</x:f>
        <x:v>0</x:v>
      </x:c>
      <x:c r="H116" s="3"/>
      <x:c r="I116" s="3"/>
      <x:c r="J116" s="3"/>
      <x:c r="K116" s="3"/>
      <x:c r="L116" s="3"/>
    </x:row>
    <x:row r="117" ht="19" customHeight="1">
      <x:c r="A117" s="2"/>
      <x:c r="B117" s="2"/>
      <x:c r="C117" s="2" t="str">
        <x:v>Assumptions!H26</x:v>
      </x:c>
      <x:c r="D117" s="2"/>
      <x:c r="E117" s="3" t="n">
        <x:v>174.57</x:v>
      </x:c>
      <x:c r="F117" s="41" t="n">
        <x:f>IF(ISBLANK('Assumptions'!H26),"__BLANK__",'Assumptions'!H26)</x:f>
        <x:v>174.57</x:v>
      </x:c>
      <x:c r="G117" s="41" t="n">
        <x:f>IF(ISBLANK(E117),IF(F117="__BLANK__",0,1),IF(E117=F117,0,1))</x:f>
        <x:v>0</x:v>
      </x:c>
      <x:c r="H117" s="3"/>
      <x:c r="I117" s="3"/>
      <x:c r="J117" s="3"/>
      <x:c r="K117" s="3"/>
      <x:c r="L117" s="3"/>
    </x:row>
    <x:row r="118" ht="19" customHeight="1">
      <x:c r="A118" s="2"/>
      <x:c r="B118" s="2"/>
      <x:c r="C118" s="2" t="str">
        <x:v>Assumptions!H27</x:v>
      </x:c>
      <x:c r="D118" s="2"/>
      <x:c r="E118" s="3" t="n">
        <x:v>174.57</x:v>
      </x:c>
      <x:c r="F118" s="41" t="n">
        <x:f>IF(ISBLANK('Assumptions'!H27),"__BLANK__",'Assumptions'!H27)</x:f>
        <x:v>174.57</x:v>
      </x:c>
      <x:c r="G118" s="41" t="n">
        <x:f>IF(ISBLANK(E118),IF(F118="__BLANK__",0,1),IF(E118=F118,0,1))</x:f>
        <x:v>0</x:v>
      </x:c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Assumptions!I21</x:v>
      </x:c>
      <x:c r="D119" s="2"/>
      <x:c r="E119" s="3"/>
      <x:c r="F119" s="41" t="str">
        <x:f>IF(ISBLANK('Assumptions'!I21),"__BLANK__",'Assumptions'!I21)</x:f>
        <x:v>__BLANK__</x:v>
      </x:c>
      <x:c r="G119" s="41" t="n">
        <x:f>IF(ISBLANK(E119),IF(F119="__BLANK__",0,1),IF(E119=F119,0,1))</x:f>
        <x:v>0</x:v>
      </x:c>
      <x:c r="H119" s="3"/>
      <x:c r="I119" s="3"/>
      <x:c r="J119" s="3"/>
      <x:c r="K119" s="3"/>
      <x:c r="L119" s="3"/>
    </x:row>
    <x:row r="120" ht="19" customHeight="1">
      <x:c r="A120" s="2"/>
      <x:c r="B120" s="2"/>
      <x:c r="C120" s="2" t="str">
        <x:v>Assumptions!I22</x:v>
      </x:c>
      <x:c r="D120" s="2"/>
      <x:c r="E120" s="3"/>
      <x:c r="F120" s="41" t="str">
        <x:f>IF(ISBLANK('Assumptions'!I22),"__BLANK__",'Assumptions'!I22)</x:f>
        <x:v>__BLANK__</x:v>
      </x:c>
      <x:c r="G120" s="41" t="n">
        <x:f>IF(ISBLANK(E120),IF(F120="__BLANK__",0,1),IF(E120=F120,0,1))</x:f>
        <x:v>0</x:v>
      </x:c>
      <x:c r="H120" s="3"/>
      <x:c r="I120" s="3"/>
      <x:c r="J120" s="3"/>
      <x:c r="K120" s="3"/>
      <x:c r="L120" s="3"/>
    </x:row>
    <x:row r="121" ht="19" customHeight="1">
      <x:c r="A121" s="2"/>
      <x:c r="B121" s="2"/>
      <x:c r="C121" s="2" t="str">
        <x:v>Assumptions!I23</x:v>
      </x:c>
      <x:c r="D121" s="2"/>
      <x:c r="E121" s="3"/>
      <x:c r="F121" s="41" t="str">
        <x:f>IF(ISBLANK('Assumptions'!I23),"__BLANK__",'Assumptions'!I23)</x:f>
        <x:v>__BLANK__</x:v>
      </x:c>
      <x:c r="G121" s="41" t="n">
        <x:f>IF(ISBLANK(E121),IF(F121="__BLANK__",0,1),IF(E121=F121,0,1))</x:f>
        <x:v>0</x:v>
      </x:c>
      <x:c r="H121" s="3"/>
      <x:c r="I121" s="3"/>
      <x:c r="J121" s="3"/>
      <x:c r="K121" s="3"/>
      <x:c r="L121" s="3"/>
    </x:row>
    <x:row r="122" ht="19" customHeight="1">
      <x:c r="A122" s="2"/>
      <x:c r="B122" s="2"/>
      <x:c r="C122" s="2" t="str">
        <x:v>Assumptions!I24</x:v>
      </x:c>
      <x:c r="D122" s="2"/>
      <x:c r="E122" s="3"/>
      <x:c r="F122" s="41" t="str">
        <x:f>IF(ISBLANK('Assumptions'!I24),"__BLANK__",'Assumptions'!I24)</x:f>
        <x:v>__BLANK__</x:v>
      </x:c>
      <x:c r="G122" s="41" t="n">
        <x:f>IF(ISBLANK(E122),IF(F122="__BLANK__",0,1),IF(E122=F122,0,1))</x:f>
        <x:v>0</x:v>
      </x:c>
      <x:c r="H122" s="3"/>
      <x:c r="I122" s="3"/>
      <x:c r="J122" s="3"/>
      <x:c r="K122" s="3"/>
      <x:c r="L122" s="3"/>
    </x:row>
    <x:row r="123" ht="19" customHeight="1">
      <x:c r="A123" s="2"/>
      <x:c r="B123" s="2"/>
      <x:c r="C123" s="2" t="str">
        <x:v>Assumptions!I25</x:v>
      </x:c>
      <x:c r="D123" s="2"/>
      <x:c r="E123" s="3"/>
      <x:c r="F123" s="41" t="str">
        <x:f>IF(ISBLANK('Assumptions'!I25),"__BLANK__",'Assumptions'!I25)</x:f>
        <x:v>__BLANK__</x:v>
      </x:c>
      <x:c r="G123" s="41" t="n">
        <x:f>IF(ISBLANK(E123),IF(F123="__BLANK__",0,1),IF(E123=F123,0,1))</x:f>
        <x:v>0</x:v>
      </x:c>
      <x:c r="H123" s="3"/>
      <x:c r="I123" s="3"/>
      <x:c r="J123" s="3"/>
      <x:c r="K123" s="3"/>
      <x:c r="L123" s="3"/>
    </x:row>
    <x:row r="124" ht="19" customHeight="1">
      <x:c r="A124" s="2"/>
      <x:c r="B124" s="2"/>
      <x:c r="C124" s="2" t="str">
        <x:v>Assumptions!I26</x:v>
      </x:c>
      <x:c r="D124" s="2"/>
      <x:c r="E124" s="3"/>
      <x:c r="F124" s="41" t="str">
        <x:f>IF(ISBLANK('Assumptions'!I26),"__BLANK__",'Assumptions'!I26)</x:f>
        <x:v>__BLANK__</x:v>
      </x:c>
      <x:c r="G124" s="41" t="n">
        <x:f>IF(ISBLANK(E124),IF(F124="__BLANK__",0,1),IF(E124=F124,0,1))</x:f>
        <x:v>0</x:v>
      </x:c>
      <x:c r="H124" s="3"/>
      <x:c r="I124" s="3"/>
      <x:c r="J124" s="3"/>
      <x:c r="K124" s="3"/>
      <x:c r="L124" s="3"/>
    </x:row>
    <x:row r="125" ht="19" customHeight="1">
      <x:c r="A125" s="2"/>
      <x:c r="B125" s="2"/>
      <x:c r="C125" s="2" t="str">
        <x:v>Assumptions!I27</x:v>
      </x:c>
      <x:c r="D125" s="2"/>
      <x:c r="E125" s="3"/>
      <x:c r="F125" s="41" t="str">
        <x:f>IF(ISBLANK('Assumptions'!I27),"__BLANK__",'Assumptions'!I27)</x:f>
        <x:v>__BLANK__</x:v>
      </x:c>
      <x:c r="G125" s="41" t="n">
        <x:f>IF(ISBLANK(E125),IF(F125="__BLANK__",0,1),IF(E125=F125,0,1))</x:f>
        <x:v>0</x:v>
      </x:c>
      <x:c r="H125" s="3"/>
      <x:c r="I125" s="3"/>
      <x:c r="J125" s="3"/>
      <x:c r="K125" s="3"/>
      <x:c r="L125" s="3"/>
    </x:row>
    <x:row r="126" ht="19" customHeight="1">
      <x:c r="A126" s="2"/>
      <x:c r="B126" s="2"/>
      <x:c r="C126" s="2" t="str">
        <x:v>Assumptions!J21</x:v>
      </x:c>
      <x:c r="D126" s="2"/>
      <x:c r="E126" s="3"/>
      <x:c r="F126" s="41" t="str">
        <x:f>IF(ISBLANK('Assumptions'!J21),"__BLANK__",'Assumptions'!J21)</x:f>
        <x:v>__BLANK__</x:v>
      </x:c>
      <x:c r="G126" s="41" t="n">
        <x:f>IF(ISBLANK(E126),IF(F126="__BLANK__",0,1),IF(E126=F126,0,1))</x:f>
        <x:v>0</x:v>
      </x:c>
      <x:c r="H126" s="3"/>
      <x:c r="I126" s="3"/>
      <x:c r="J126" s="3"/>
      <x:c r="K126" s="3"/>
      <x:c r="L126" s="3"/>
    </x:row>
    <x:row r="127" ht="19" customHeight="1">
      <x:c r="A127" s="2"/>
      <x:c r="B127" s="2"/>
      <x:c r="C127" s="2" t="str">
        <x:v>Assumptions!J22</x:v>
      </x:c>
      <x:c r="D127" s="2"/>
      <x:c r="E127" s="3"/>
      <x:c r="F127" s="41" t="str">
        <x:f>IF(ISBLANK('Assumptions'!J22),"__BLANK__",'Assumptions'!J22)</x:f>
        <x:v>__BLANK__</x:v>
      </x:c>
      <x:c r="G127" s="41" t="n">
        <x:f>IF(ISBLANK(E127),IF(F127="__BLANK__",0,1),IF(E127=F127,0,1))</x:f>
        <x:v>0</x:v>
      </x:c>
      <x:c r="H127" s="3"/>
      <x:c r="I127" s="3"/>
      <x:c r="J127" s="3"/>
      <x:c r="K127" s="3"/>
      <x:c r="L127" s="3"/>
    </x:row>
    <x:row r="128" ht="19" customHeight="1">
      <x:c r="A128" s="2"/>
      <x:c r="B128" s="2"/>
      <x:c r="C128" s="2" t="str">
        <x:v>Assumptions!J23</x:v>
      </x:c>
      <x:c r="D128" s="2"/>
      <x:c r="E128" s="3"/>
      <x:c r="F128" s="41" t="str">
        <x:f>IF(ISBLANK('Assumptions'!J23),"__BLANK__",'Assumptions'!J23)</x:f>
        <x:v>__BLANK__</x:v>
      </x:c>
      <x:c r="G128" s="41" t="n">
        <x:f>IF(ISBLANK(E128),IF(F128="__BLANK__",0,1),IF(E128=F128,0,1))</x:f>
        <x:v>0</x:v>
      </x:c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Assumptions!J24</x:v>
      </x:c>
      <x:c r="D129" s="2"/>
      <x:c r="E129" s="3"/>
      <x:c r="F129" s="41" t="str">
        <x:f>IF(ISBLANK('Assumptions'!J24),"__BLANK__",'Assumptions'!J24)</x:f>
        <x:v>__BLANK__</x:v>
      </x:c>
      <x:c r="G129" s="41" t="n">
        <x:f>IF(ISBLANK(E129),IF(F129="__BLANK__",0,1),IF(E129=F129,0,1))</x:f>
        <x:v>0</x:v>
      </x:c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Assumptions!J25</x:v>
      </x:c>
      <x:c r="D130" s="2"/>
      <x:c r="E130" s="3"/>
      <x:c r="F130" s="41" t="str">
        <x:f>IF(ISBLANK('Assumptions'!J25),"__BLANK__",'Assumptions'!J25)</x:f>
        <x:v>__BLANK__</x:v>
      </x:c>
      <x:c r="G130" s="41" t="n">
        <x:f>IF(ISBLANK(E130),IF(F130="__BLANK__",0,1),IF(E130=F130,0,1))</x:f>
        <x:v>0</x:v>
      </x:c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Assumptions!J26</x:v>
      </x:c>
      <x:c r="D131" s="2"/>
      <x:c r="E131" s="3"/>
      <x:c r="F131" s="41" t="str">
        <x:f>IF(ISBLANK('Assumptions'!J26),"__BLANK__",'Assumptions'!J26)</x:f>
        <x:v>__BLANK__</x:v>
      </x:c>
      <x:c r="G131" s="41" t="n">
        <x:f>IF(ISBLANK(E131),IF(F131="__BLANK__",0,1),IF(E131=F131,0,1))</x:f>
        <x:v>0</x:v>
      </x:c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 t="str">
        <x:v>Assumptions!J27</x:v>
      </x:c>
      <x:c r="D132" s="2"/>
      <x:c r="E132" s="3"/>
      <x:c r="F132" s="41" t="str">
        <x:f>IF(ISBLANK('Assumptions'!J27),"__BLANK__",'Assumptions'!J27)</x:f>
        <x:v>__BLANK__</x:v>
      </x:c>
      <x:c r="G132" s="41" t="n">
        <x:f>IF(ISBLANK(E132),IF(F132="__BLANK__",0,1),IF(E132=F132,0,1))</x:f>
        <x:v>0</x:v>
      </x:c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Assumptions!K21</x:v>
      </x:c>
      <x:c r="D133" s="2"/>
      <x:c r="E133" s="3"/>
      <x:c r="F133" s="41" t="str">
        <x:f>IF(ISBLANK('Assumptions'!K21),"__BLANK__",'Assumptions'!K21)</x:f>
        <x:v>__BLANK__</x:v>
      </x:c>
      <x:c r="G133" s="41" t="n">
        <x:f>IF(ISBLANK(E133),IF(F133="__BLANK__",0,1),IF(E133=F133,0,1))</x:f>
        <x:v>0</x:v>
      </x:c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Assumptions!K22</x:v>
      </x:c>
      <x:c r="D134" s="2"/>
      <x:c r="E134" s="3"/>
      <x:c r="F134" s="41" t="str">
        <x:f>IF(ISBLANK('Assumptions'!K22),"__BLANK__",'Assumptions'!K22)</x:f>
        <x:v>__BLANK__</x:v>
      </x:c>
      <x:c r="G134" s="41" t="n">
        <x:f>IF(ISBLANK(E134),IF(F134="__BLANK__",0,1),IF(E134=F134,0,1))</x:f>
        <x:v>0</x:v>
      </x:c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Assumptions!K23</x:v>
      </x:c>
      <x:c r="D135" s="2"/>
      <x:c r="E135" s="3"/>
      <x:c r="F135" s="41" t="str">
        <x:f>IF(ISBLANK('Assumptions'!K23),"__BLANK__",'Assumptions'!K23)</x:f>
        <x:v>__BLANK__</x:v>
      </x:c>
      <x:c r="G135" s="41" t="n">
        <x:f>IF(ISBLANK(E135),IF(F135="__BLANK__",0,1),IF(E135=F135,0,1))</x:f>
        <x:v>0</x:v>
      </x:c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Assumptions!K24</x:v>
      </x:c>
      <x:c r="D136" s="2"/>
      <x:c r="E136" s="3"/>
      <x:c r="F136" s="41" t="str">
        <x:f>IF(ISBLANK('Assumptions'!K24),"__BLANK__",'Assumptions'!K24)</x:f>
        <x:v>__BLANK__</x:v>
      </x:c>
      <x:c r="G136" s="41" t="n">
        <x:f>IF(ISBLANK(E136),IF(F136="__BLANK__",0,1),IF(E136=F136,0,1))</x:f>
        <x:v>0</x:v>
      </x:c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Assumptions!K25</x:v>
      </x:c>
      <x:c r="D137" s="2"/>
      <x:c r="E137" s="3"/>
      <x:c r="F137" s="41" t="str">
        <x:f>IF(ISBLANK('Assumptions'!K25),"__BLANK__",'Assumptions'!K25)</x:f>
        <x:v>__BLANK__</x:v>
      </x:c>
      <x:c r="G137" s="41" t="n">
        <x:f>IF(ISBLANK(E137),IF(F137="__BLANK__",0,1),IF(E137=F137,0,1))</x:f>
        <x:v>0</x:v>
      </x:c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Assumptions!K26</x:v>
      </x:c>
      <x:c r="D138" s="2"/>
      <x:c r="E138" s="3"/>
      <x:c r="F138" s="41" t="str">
        <x:f>IF(ISBLANK('Assumptions'!K26),"__BLANK__",'Assumptions'!K26)</x:f>
        <x:v>__BLANK__</x:v>
      </x:c>
      <x:c r="G138" s="41" t="n">
        <x:f>IF(ISBLANK(E138),IF(F138="__BLANK__",0,1),IF(E138=F138,0,1))</x:f>
        <x:v>0</x:v>
      </x:c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 t="str">
        <x:v>Assumptions!K27</x:v>
      </x:c>
      <x:c r="D139" s="2"/>
      <x:c r="E139" s="3"/>
      <x:c r="F139" s="41" t="str">
        <x:f>IF(ISBLANK('Assumptions'!K27),"__BLANK__",'Assumptions'!K27)</x:f>
        <x:v>__BLANK__</x:v>
      </x:c>
      <x:c r="G139" s="41" t="n">
        <x:f>IF(ISBLANK(E139),IF(F139="__BLANK__",0,1),IF(E139=F139,0,1))</x:f>
        <x:v>0</x:v>
      </x:c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Assumptions!L21</x:v>
      </x:c>
      <x:c r="D140" s="2"/>
      <x:c r="E140" s="3"/>
      <x:c r="F140" s="41" t="str">
        <x:f>IF(ISBLANK('Assumptions'!L21),"__BLANK__",'Assumptions'!L21)</x:f>
        <x:v>__BLANK__</x:v>
      </x:c>
      <x:c r="G140" s="41" t="n">
        <x:f>IF(ISBLANK(E140),IF(F140="__BLANK__",0,1),IF(E140=F140,0,1))</x:f>
        <x:v>0</x:v>
      </x:c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Assumptions!L22</x:v>
      </x:c>
      <x:c r="D141" s="2"/>
      <x:c r="E141" s="3"/>
      <x:c r="F141" s="41" t="str">
        <x:f>IF(ISBLANK('Assumptions'!L22),"__BLANK__",'Assumptions'!L22)</x:f>
        <x:v>__BLANK__</x:v>
      </x:c>
      <x:c r="G141" s="41" t="n">
        <x:f>IF(ISBLANK(E141),IF(F141="__BLANK__",0,1),IF(E141=F141,0,1))</x:f>
        <x:v>0</x:v>
      </x:c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Assumptions!L23</x:v>
      </x:c>
      <x:c r="D142" s="2"/>
      <x:c r="E142" s="3"/>
      <x:c r="F142" s="41" t="str">
        <x:f>IF(ISBLANK('Assumptions'!L23),"__BLANK__",'Assumptions'!L23)</x:f>
        <x:v>__BLANK__</x:v>
      </x:c>
      <x:c r="G142" s="41" t="n">
        <x:f>IF(ISBLANK(E142),IF(F142="__BLANK__",0,1),IF(E142=F142,0,1))</x:f>
        <x:v>0</x:v>
      </x:c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Assumptions!L24</x:v>
      </x:c>
      <x:c r="D143" s="2"/>
      <x:c r="E143" s="3"/>
      <x:c r="F143" s="41" t="str">
        <x:f>IF(ISBLANK('Assumptions'!L24),"__BLANK__",'Assumptions'!L24)</x:f>
        <x:v>__BLANK__</x:v>
      </x:c>
      <x:c r="G143" s="41" t="n">
        <x:f>IF(ISBLANK(E143),IF(F143="__BLANK__",0,1),IF(E143=F143,0,1))</x:f>
        <x:v>0</x:v>
      </x:c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Assumptions!L25</x:v>
      </x:c>
      <x:c r="D144" s="2"/>
      <x:c r="E144" s="3"/>
      <x:c r="F144" s="41" t="str">
        <x:f>IF(ISBLANK('Assumptions'!L25),"__BLANK__",'Assumptions'!L25)</x:f>
        <x:v>__BLANK__</x:v>
      </x:c>
      <x:c r="G144" s="41" t="n">
        <x:f>IF(ISBLANK(E144),IF(F144="__BLANK__",0,1),IF(E144=F144,0,1))</x:f>
        <x:v>0</x:v>
      </x:c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Assumptions!L26</x:v>
      </x:c>
      <x:c r="D145" s="2"/>
      <x:c r="E145" s="3"/>
      <x:c r="F145" s="41" t="str">
        <x:f>IF(ISBLANK('Assumptions'!L26),"__BLANK__",'Assumptions'!L26)</x:f>
        <x:v>__BLANK__</x:v>
      </x:c>
      <x:c r="G145" s="41" t="n">
        <x:f>IF(ISBLANK(E145),IF(F145="__BLANK__",0,1),IF(E145=F145,0,1))</x:f>
        <x:v>0</x:v>
      </x:c>
      <x:c r="H145" s="3"/>
      <x:c r="I145" s="3"/>
      <x:c r="J145" s="3"/>
      <x:c r="K145" s="3"/>
      <x:c r="L145" s="3"/>
    </x:row>
    <x:row r="146" ht="19" customHeight="1">
      <x:c r="A146" s="2"/>
      <x:c r="B146" s="2"/>
      <x:c r="C146" s="2" t="str">
        <x:v>Assumptions!L27</x:v>
      </x:c>
      <x:c r="D146" s="2"/>
      <x:c r="E146" s="3"/>
      <x:c r="F146" s="41" t="str">
        <x:f>IF(ISBLANK('Assumptions'!L27),"__BLANK__",'Assumptions'!L27)</x:f>
        <x:v>__BLANK__</x:v>
      </x:c>
      <x:c r="G146" s="41" t="n">
        <x:f>IF(ISBLANK(E146),IF(F146="__BLANK__",0,1),IF(E146=F146,0,1))</x:f>
        <x:v>0</x:v>
      </x:c>
      <x:c r="H146" s="3"/>
      <x:c r="I146" s="3"/>
      <x:c r="J146" s="3"/>
      <x:c r="K146" s="3"/>
      <x:c r="L146" s="3"/>
    </x:row>
    <x:row r="147" ht="19" customHeight="1">
      <x:c r="A147" s="2"/>
      <x:c r="B147" s="2"/>
      <x:c r="C147" s="2" t="str">
        <x:v>Assumptions!E31</x:v>
      </x:c>
      <x:c r="D147" s="2"/>
      <x:c r="E147" s="3"/>
      <x:c r="F147" s="41" t="str">
        <x:f>IF(ISBLANK('Assumptions'!E31),"__BLANK__",'Assumptions'!E31)</x:f>
        <x:v>__BLANK__</x:v>
      </x:c>
      <x:c r="G147" s="41" t="n">
        <x:f>IF(ISBLANK(E147),IF(F147="__BLANK__",0,1),IF(E147=F147,0,1))</x:f>
        <x:v>0</x:v>
      </x:c>
      <x:c r="H147" s="3"/>
      <x:c r="I147" s="3"/>
      <x:c r="J147" s="3"/>
      <x:c r="K147" s="3"/>
      <x:c r="L147" s="3"/>
    </x:row>
    <x:row r="148" ht="19" customHeight="1">
      <x:c r="A148" s="2"/>
      <x:c r="B148" s="2"/>
      <x:c r="C148" s="2" t="str">
        <x:v>Assumptions!E32</x:v>
      </x:c>
      <x:c r="D148" s="2"/>
      <x:c r="E148" s="3"/>
      <x:c r="F148" s="41" t="str">
        <x:f>IF(ISBLANK('Assumptions'!E32),"__BLANK__",'Assumptions'!E32)</x:f>
        <x:v>__BLANK__</x:v>
      </x:c>
      <x:c r="G148" s="41" t="n">
        <x:f>IF(ISBLANK(E148),IF(F148="__BLANK__",0,1),IF(E148=F148,0,1))</x:f>
        <x:v>0</x:v>
      </x:c>
      <x:c r="H148" s="3"/>
      <x:c r="I148" s="3"/>
      <x:c r="J148" s="3"/>
      <x:c r="K148" s="3"/>
      <x:c r="L148" s="3"/>
    </x:row>
    <x:row r="149" ht="19" customHeight="1">
      <x:c r="A149" s="2"/>
      <x:c r="B149" s="2"/>
      <x:c r="C149" s="2" t="str">
        <x:v>Assumptions!E33</x:v>
      </x:c>
      <x:c r="D149" s="2"/>
      <x:c r="E149" s="3"/>
      <x:c r="F149" s="41" t="str">
        <x:f>IF(ISBLANK('Assumptions'!E33),"__BLANK__",'Assumptions'!E33)</x:f>
        <x:v>__BLANK__</x:v>
      </x:c>
      <x:c r="G149" s="41" t="n">
        <x:f>IF(ISBLANK(E149),IF(F149="__BLANK__",0,1),IF(E149=F149,0,1))</x:f>
        <x:v>0</x:v>
      </x:c>
      <x:c r="H149" s="3"/>
      <x:c r="I149" s="3"/>
      <x:c r="J149" s="3"/>
      <x:c r="K149" s="3"/>
      <x:c r="L149" s="3"/>
    </x:row>
    <x:row r="150" ht="19" customHeight="1">
      <x:c r="A150" s="2"/>
      <x:c r="B150" s="2"/>
      <x:c r="C150" s="2" t="str">
        <x:v>Assumptions!E34</x:v>
      </x:c>
      <x:c r="D150" s="2"/>
      <x:c r="E150" s="3"/>
      <x:c r="F150" s="41" t="str">
        <x:f>IF(ISBLANK('Assumptions'!E34),"__BLANK__",'Assumptions'!E34)</x:f>
        <x:v>__BLANK__</x:v>
      </x:c>
      <x:c r="G150" s="41" t="n">
        <x:f>IF(ISBLANK(E150),IF(F150="__BLANK__",0,1),IF(E150=F150,0,1))</x:f>
        <x:v>0</x:v>
      </x:c>
      <x:c r="H150" s="3"/>
      <x:c r="I150" s="3"/>
      <x:c r="J150" s="3"/>
      <x:c r="K150" s="3"/>
      <x:c r="L150" s="3"/>
    </x:row>
    <x:row r="151" ht="19" customHeight="1">
      <x:c r="A151" s="2"/>
      <x:c r="B151" s="2"/>
      <x:c r="C151" s="2" t="str">
        <x:v>Assumptions!E35</x:v>
      </x:c>
      <x:c r="D151" s="2"/>
      <x:c r="E151" s="3"/>
      <x:c r="F151" s="41" t="str">
        <x:f>IF(ISBLANK('Assumptions'!E35),"__BLANK__",'Assumptions'!E35)</x:f>
        <x:v>__BLANK__</x:v>
      </x:c>
      <x:c r="G151" s="41" t="n">
        <x:f>IF(ISBLANK(E151),IF(F151="__BLANK__",0,1),IF(E151=F151,0,1))</x:f>
        <x:v>0</x:v>
      </x:c>
      <x:c r="H151" s="3"/>
      <x:c r="I151" s="3"/>
      <x:c r="J151" s="3"/>
      <x:c r="K151" s="3"/>
      <x:c r="L151" s="3"/>
    </x:row>
    <x:row r="152" ht="19" customHeight="1">
      <x:c r="A152" s="2"/>
      <x:c r="B152" s="2"/>
      <x:c r="C152" s="2" t="str">
        <x:v>Assumptions!E36</x:v>
      </x:c>
      <x:c r="D152" s="2"/>
      <x:c r="E152" s="3"/>
      <x:c r="F152" s="41" t="str">
        <x:f>IF(ISBLANK('Assumptions'!E36),"__BLANK__",'Assumptions'!E36)</x:f>
        <x:v>__BLANK__</x:v>
      </x:c>
      <x:c r="G152" s="41" t="n">
        <x:f>IF(ISBLANK(E152),IF(F152="__BLANK__",0,1),IF(E152=F152,0,1))</x:f>
        <x:v>0</x:v>
      </x:c>
      <x:c r="H152" s="3"/>
      <x:c r="I152" s="3"/>
      <x:c r="J152" s="3"/>
      <x:c r="K152" s="3"/>
      <x:c r="L152" s="3"/>
    </x:row>
    <x:row r="153" ht="19" customHeight="1">
      <x:c r="A153" s="2"/>
      <x:c r="B153" s="2"/>
      <x:c r="C153" s="2" t="str">
        <x:v>Assumptions!E37</x:v>
      </x:c>
      <x:c r="D153" s="2"/>
      <x:c r="E153" s="3"/>
      <x:c r="F153" s="41" t="str">
        <x:f>IF(ISBLANK('Assumptions'!E37),"__BLANK__",'Assumptions'!E37)</x:f>
        <x:v>__BLANK__</x:v>
      </x:c>
      <x:c r="G153" s="41" t="n">
        <x:f>IF(ISBLANK(E153),IF(F153="__BLANK__",0,1),IF(E153=F153,0,1))</x:f>
        <x:v>0</x:v>
      </x:c>
      <x:c r="H153" s="3"/>
      <x:c r="I153" s="3"/>
      <x:c r="J153" s="3"/>
      <x:c r="K153" s="3"/>
      <x:c r="L153" s="3"/>
    </x:row>
    <x:row r="154" ht="19" customHeight="1">
      <x:c r="A154" s="2"/>
      <x:c r="B154" s="2"/>
      <x:c r="C154" s="2" t="str">
        <x:v>Assumptions!F31</x:v>
      </x:c>
      <x:c r="D154" s="2"/>
      <x:c r="E154" s="3"/>
      <x:c r="F154" s="41" t="str">
        <x:f>IF(ISBLANK('Assumptions'!F31),"__BLANK__",'Assumptions'!F31)</x:f>
        <x:v>__BLANK__</x:v>
      </x:c>
      <x:c r="G154" s="41" t="n">
        <x:f>IF(ISBLANK(E154),IF(F154="__BLANK__",0,1),IF(E154=F154,0,1))</x:f>
        <x:v>0</x:v>
      </x:c>
      <x:c r="H154" s="3"/>
      <x:c r="I154" s="3"/>
      <x:c r="J154" s="3"/>
      <x:c r="K154" s="3"/>
      <x:c r="L154" s="3"/>
    </x:row>
    <x:row r="155" ht="19" customHeight="1">
      <x:c r="A155" s="2"/>
      <x:c r="B155" s="2"/>
      <x:c r="C155" s="2" t="str">
        <x:v>Assumptions!F32</x:v>
      </x:c>
      <x:c r="D155" s="2"/>
      <x:c r="E155" s="3"/>
      <x:c r="F155" s="41" t="str">
        <x:f>IF(ISBLANK('Assumptions'!F32),"__BLANK__",'Assumptions'!F32)</x:f>
        <x:v>__BLANK__</x:v>
      </x:c>
      <x:c r="G155" s="41" t="n">
        <x:f>IF(ISBLANK(E155),IF(F155="__BLANK__",0,1),IF(E155=F155,0,1))</x:f>
        <x:v>0</x:v>
      </x:c>
      <x:c r="H155" s="3"/>
      <x:c r="I155" s="3"/>
      <x:c r="J155" s="3"/>
      <x:c r="K155" s="3"/>
      <x:c r="L155" s="3"/>
    </x:row>
    <x:row r="156" ht="19" customHeight="1">
      <x:c r="A156" s="2"/>
      <x:c r="B156" s="2"/>
      <x:c r="C156" s="2" t="str">
        <x:v>Assumptions!F33</x:v>
      </x:c>
      <x:c r="D156" s="2"/>
      <x:c r="E156" s="3"/>
      <x:c r="F156" s="41" t="str">
        <x:f>IF(ISBLANK('Assumptions'!F33),"__BLANK__",'Assumptions'!F33)</x:f>
        <x:v>__BLANK__</x:v>
      </x:c>
      <x:c r="G156" s="41" t="n">
        <x:f>IF(ISBLANK(E156),IF(F156="__BLANK__",0,1),IF(E156=F156,0,1))</x:f>
        <x:v>0</x:v>
      </x:c>
      <x:c r="H156" s="3"/>
      <x:c r="I156" s="3"/>
      <x:c r="J156" s="3"/>
      <x:c r="K156" s="3"/>
      <x:c r="L156" s="3"/>
    </x:row>
    <x:row r="157" ht="19" customHeight="1">
      <x:c r="A157" s="2"/>
      <x:c r="B157" s="2"/>
      <x:c r="C157" s="2" t="str">
        <x:v>Assumptions!F34</x:v>
      </x:c>
      <x:c r="D157" s="2"/>
      <x:c r="E157" s="3"/>
      <x:c r="F157" s="41" t="str">
        <x:f>IF(ISBLANK('Assumptions'!F34),"__BLANK__",'Assumptions'!F34)</x:f>
        <x:v>__BLANK__</x:v>
      </x:c>
      <x:c r="G157" s="41" t="n">
        <x:f>IF(ISBLANK(E157),IF(F157="__BLANK__",0,1),IF(E157=F157,0,1))</x:f>
        <x:v>0</x:v>
      </x:c>
      <x:c r="H157" s="3"/>
      <x:c r="I157" s="3"/>
      <x:c r="J157" s="3"/>
      <x:c r="K157" s="3"/>
      <x:c r="L157" s="3"/>
    </x:row>
    <x:row r="158" ht="19" customHeight="1">
      <x:c r="A158" s="2"/>
      <x:c r="B158" s="2"/>
      <x:c r="C158" s="2" t="str">
        <x:v>Assumptions!F35</x:v>
      </x:c>
      <x:c r="D158" s="2"/>
      <x:c r="E158" s="3"/>
      <x:c r="F158" s="41" t="str">
        <x:f>IF(ISBLANK('Assumptions'!F35),"__BLANK__",'Assumptions'!F35)</x:f>
        <x:v>__BLANK__</x:v>
      </x:c>
      <x:c r="G158" s="41" t="n">
        <x:f>IF(ISBLANK(E158),IF(F158="__BLANK__",0,1),IF(E158=F158,0,1))</x:f>
        <x:v>0</x:v>
      </x:c>
      <x:c r="H158" s="3"/>
      <x:c r="I158" s="3"/>
      <x:c r="J158" s="3"/>
      <x:c r="K158" s="3"/>
      <x:c r="L158" s="3"/>
    </x:row>
    <x:row r="159" ht="19" customHeight="1">
      <x:c r="A159" s="2"/>
      <x:c r="B159" s="2"/>
      <x:c r="C159" s="2" t="str">
        <x:v>Assumptions!F36</x:v>
      </x:c>
      <x:c r="D159" s="2"/>
      <x:c r="E159" s="3"/>
      <x:c r="F159" s="41" t="str">
        <x:f>IF(ISBLANK('Assumptions'!F36),"__BLANK__",'Assumptions'!F36)</x:f>
        <x:v>__BLANK__</x:v>
      </x:c>
      <x:c r="G159" s="41" t="n">
        <x:f>IF(ISBLANK(E159),IF(F159="__BLANK__",0,1),IF(E159=F159,0,1))</x:f>
        <x:v>0</x:v>
      </x:c>
      <x:c r="H159" s="3"/>
      <x:c r="I159" s="3"/>
      <x:c r="J159" s="3"/>
      <x:c r="K159" s="3"/>
      <x:c r="L159" s="3"/>
    </x:row>
    <x:row r="160" ht="19" customHeight="1">
      <x:c r="A160" s="2"/>
      <x:c r="B160" s="2"/>
      <x:c r="C160" s="2" t="str">
        <x:v>Assumptions!F37</x:v>
      </x:c>
      <x:c r="D160" s="2"/>
      <x:c r="E160" s="3"/>
      <x:c r="F160" s="41" t="str">
        <x:f>IF(ISBLANK('Assumptions'!F37),"__BLANK__",'Assumptions'!F37)</x:f>
        <x:v>__BLANK__</x:v>
      </x:c>
      <x:c r="G160" s="41" t="n">
        <x:f>IF(ISBLANK(E160),IF(F160="__BLANK__",0,1),IF(E160=F160,0,1))</x:f>
        <x:v>0</x:v>
      </x:c>
      <x:c r="H160" s="3"/>
      <x:c r="I160" s="3"/>
      <x:c r="J160" s="3"/>
      <x:c r="K160" s="3"/>
      <x:c r="L160" s="3"/>
    </x:row>
    <x:row r="161" ht="19" customHeight="1">
      <x:c r="A161" s="2"/>
      <x:c r="B161" s="2"/>
      <x:c r="C161" s="2" t="str">
        <x:v>Assumptions!G31</x:v>
      </x:c>
      <x:c r="D161" s="2"/>
      <x:c r="E161" s="3"/>
      <x:c r="F161" s="41" t="str">
        <x:f>IF(ISBLANK('Assumptions'!G31),"__BLANK__",'Assumptions'!G31)</x:f>
        <x:v>__BLANK__</x:v>
      </x:c>
      <x:c r="G161" s="41" t="n">
        <x:f>IF(ISBLANK(E161),IF(F161="__BLANK__",0,1),IF(E161=F161,0,1))</x:f>
        <x:v>0</x:v>
      </x:c>
      <x:c r="H161" s="3"/>
      <x:c r="I161" s="3"/>
      <x:c r="J161" s="3"/>
      <x:c r="K161" s="3"/>
      <x:c r="L161" s="3"/>
    </x:row>
    <x:row r="162" ht="19" customHeight="1">
      <x:c r="A162" s="2"/>
      <x:c r="B162" s="2"/>
      <x:c r="C162" s="2" t="str">
        <x:v>Assumptions!G32</x:v>
      </x:c>
      <x:c r="D162" s="2"/>
      <x:c r="E162" s="3"/>
      <x:c r="F162" s="41" t="str">
        <x:f>IF(ISBLANK('Assumptions'!G32),"__BLANK__",'Assumptions'!G32)</x:f>
        <x:v>__BLANK__</x:v>
      </x:c>
      <x:c r="G162" s="41" t="n">
        <x:f>IF(ISBLANK(E162),IF(F162="__BLANK__",0,1),IF(E162=F162,0,1))</x:f>
        <x:v>0</x:v>
      </x:c>
      <x:c r="H162" s="3"/>
      <x:c r="I162" s="3"/>
      <x:c r="J162" s="3"/>
      <x:c r="K162" s="3"/>
      <x:c r="L162" s="3"/>
    </x:row>
    <x:row r="163" ht="19" customHeight="1">
      <x:c r="A163" s="2"/>
      <x:c r="B163" s="2"/>
      <x:c r="C163" s="2" t="str">
        <x:v>Assumptions!G33</x:v>
      </x:c>
      <x:c r="D163" s="2"/>
      <x:c r="E163" s="3" t="n">
        <x:v>26449.9723221</x:v>
      </x:c>
      <x:c r="F163" s="41" t="n">
        <x:f>IF(ISBLANK('Assumptions'!G33),"__BLANK__",'Assumptions'!G33)</x:f>
        <x:v>26449.9723221</x:v>
      </x:c>
      <x:c r="G163" s="41" t="n">
        <x:f>IF(ISBLANK(E163),IF(F163="__BLANK__",0,1),IF(E163=F163,0,1))</x:f>
        <x:v>0</x:v>
      </x:c>
      <x:c r="H163" s="3"/>
      <x:c r="I163" s="3"/>
      <x:c r="J163" s="3"/>
      <x:c r="K163" s="3"/>
      <x:c r="L163" s="3"/>
    </x:row>
    <x:row r="164" ht="19" customHeight="1">
      <x:c r="A164" s="2"/>
      <x:c r="B164" s="2"/>
      <x:c r="C164" s="2" t="str">
        <x:v>Assumptions!G34</x:v>
      </x:c>
      <x:c r="D164" s="2"/>
      <x:c r="E164" s="3"/>
      <x:c r="F164" s="41" t="str">
        <x:f>IF(ISBLANK('Assumptions'!G34),"__BLANK__",'Assumptions'!G34)</x:f>
        <x:v>__BLANK__</x:v>
      </x:c>
      <x:c r="G164" s="41" t="n">
        <x:f>IF(ISBLANK(E164),IF(F164="__BLANK__",0,1),IF(E164=F164,0,1))</x:f>
        <x:v>0</x:v>
      </x:c>
      <x:c r="H164" s="3"/>
      <x:c r="I164" s="3"/>
      <x:c r="J164" s="3"/>
      <x:c r="K164" s="3"/>
      <x:c r="L164" s="3"/>
    </x:row>
    <x:row r="165" ht="19" customHeight="1">
      <x:c r="A165" s="2"/>
      <x:c r="B165" s="2"/>
      <x:c r="C165" s="2" t="str">
        <x:v>Assumptions!G35</x:v>
      </x:c>
      <x:c r="D165" s="2"/>
      <x:c r="E165" s="3"/>
      <x:c r="F165" s="41" t="str">
        <x:f>IF(ISBLANK('Assumptions'!G35),"__BLANK__",'Assumptions'!G35)</x:f>
        <x:v>__BLANK__</x:v>
      </x:c>
      <x:c r="G165" s="41" t="n">
        <x:f>IF(ISBLANK(E165),IF(F165="__BLANK__",0,1),IF(E165=F165,0,1))</x:f>
        <x:v>0</x:v>
      </x:c>
      <x:c r="H165" s="3"/>
      <x:c r="I165" s="3"/>
      <x:c r="J165" s="3"/>
      <x:c r="K165" s="3"/>
      <x:c r="L165" s="3"/>
    </x:row>
    <x:row r="166" ht="19" customHeight="1">
      <x:c r="A166" s="2"/>
      <x:c r="B166" s="2"/>
      <x:c r="C166" s="2" t="str">
        <x:v>Assumptions!G36</x:v>
      </x:c>
      <x:c r="D166" s="2"/>
      <x:c r="E166" s="3"/>
      <x:c r="F166" s="41" t="str">
        <x:f>IF(ISBLANK('Assumptions'!G36),"__BLANK__",'Assumptions'!G36)</x:f>
        <x:v>__BLANK__</x:v>
      </x:c>
      <x:c r="G166" s="41" t="n">
        <x:f>IF(ISBLANK(E166),IF(F166="__BLANK__",0,1),IF(E166=F166,0,1))</x:f>
        <x:v>0</x:v>
      </x:c>
      <x:c r="H166" s="3"/>
      <x:c r="I166" s="3"/>
      <x:c r="J166" s="3"/>
      <x:c r="K166" s="3"/>
      <x:c r="L166" s="3"/>
    </x:row>
    <x:row r="167" ht="19" customHeight="1">
      <x:c r="A167" s="2"/>
      <x:c r="B167" s="2"/>
      <x:c r="C167" s="2" t="str">
        <x:v>Assumptions!G37</x:v>
      </x:c>
      <x:c r="D167" s="2"/>
      <x:c r="E167" s="3"/>
      <x:c r="F167" s="41" t="str">
        <x:f>IF(ISBLANK('Assumptions'!G37),"__BLANK__",'Assumptions'!G37)</x:f>
        <x:v>__BLANK__</x:v>
      </x:c>
      <x:c r="G167" s="41" t="n">
        <x:f>IF(ISBLANK(E167),IF(F167="__BLANK__",0,1),IF(E167=F167,0,1))</x:f>
        <x:v>0</x:v>
      </x:c>
      <x:c r="H167" s="3"/>
      <x:c r="I167" s="3"/>
      <x:c r="J167" s="3"/>
      <x:c r="K167" s="3"/>
      <x:c r="L167" s="3"/>
    </x:row>
    <x:row r="168" ht="19" customHeight="1">
      <x:c r="A168" s="2"/>
      <x:c r="B168" s="2"/>
      <x:c r="C168" s="2" t="str">
        <x:v>Assumptions!H31</x:v>
      </x:c>
      <x:c r="D168" s="2"/>
      <x:c r="E168" s="3"/>
      <x:c r="F168" s="41" t="str">
        <x:f>IF(ISBLANK('Assumptions'!H31),"__BLANK__",'Assumptions'!H31)</x:f>
        <x:v>__BLANK__</x:v>
      </x:c>
      <x:c r="G168" s="41" t="n">
        <x:f>IF(ISBLANK(E168),IF(F168="__BLANK__",0,1),IF(E168=F168,0,1))</x:f>
        <x:v>0</x:v>
      </x:c>
      <x:c r="H168" s="3"/>
      <x:c r="I168" s="3"/>
      <x:c r="J168" s="3"/>
      <x:c r="K168" s="3"/>
      <x:c r="L168" s="3"/>
    </x:row>
    <x:row r="169" ht="19" customHeight="1">
      <x:c r="A169" s="2"/>
      <x:c r="B169" s="2"/>
      <x:c r="C169" s="2" t="str">
        <x:v>Assumptions!H32</x:v>
      </x:c>
      <x:c r="D169" s="2"/>
      <x:c r="E169" s="3"/>
      <x:c r="F169" s="41" t="str">
        <x:f>IF(ISBLANK('Assumptions'!H32),"__BLANK__",'Assumptions'!H32)</x:f>
        <x:v>__BLANK__</x:v>
      </x:c>
      <x:c r="G169" s="41" t="n">
        <x:f>IF(ISBLANK(E169),IF(F169="__BLANK__",0,1),IF(E169=F169,0,1))</x:f>
        <x:v>0</x:v>
      </x:c>
      <x:c r="H169" s="3"/>
      <x:c r="I169" s="3"/>
      <x:c r="J169" s="3"/>
      <x:c r="K169" s="3"/>
      <x:c r="L169" s="3"/>
    </x:row>
    <x:row r="170" ht="19" customHeight="1">
      <x:c r="A170" s="2"/>
      <x:c r="B170" s="2"/>
      <x:c r="C170" s="2" t="str">
        <x:v>Assumptions!H33</x:v>
      </x:c>
      <x:c r="D170" s="2"/>
      <x:c r="E170" s="3" t="n">
        <x:v>23562.4207586</x:v>
      </x:c>
      <x:c r="F170" s="41" t="n">
        <x:f>IF(ISBLANK('Assumptions'!H33),"__BLANK__",'Assumptions'!H33)</x:f>
        <x:v>23562.4207586</x:v>
      </x:c>
      <x:c r="G170" s="41" t="n">
        <x:f>IF(ISBLANK(E170),IF(F170="__BLANK__",0,1),IF(E170=F170,0,1))</x:f>
        <x:v>0</x:v>
      </x:c>
      <x:c r="H170" s="3"/>
      <x:c r="I170" s="3"/>
      <x:c r="J170" s="3"/>
      <x:c r="K170" s="3"/>
      <x:c r="L170" s="3"/>
    </x:row>
    <x:row r="171" ht="19" customHeight="1">
      <x:c r="A171" s="2"/>
      <x:c r="B171" s="2"/>
      <x:c r="C171" s="2" t="str">
        <x:v>Assumptions!H34</x:v>
      </x:c>
      <x:c r="D171" s="2"/>
      <x:c r="E171" s="3"/>
      <x:c r="F171" s="41" t="str">
        <x:f>IF(ISBLANK('Assumptions'!H34),"__BLANK__",'Assumptions'!H34)</x:f>
        <x:v>__BLANK__</x:v>
      </x:c>
      <x:c r="G171" s="41" t="n">
        <x:f>IF(ISBLANK(E171),IF(F171="__BLANK__",0,1),IF(E171=F171,0,1))</x:f>
        <x:v>0</x:v>
      </x:c>
      <x:c r="H171" s="3"/>
      <x:c r="I171" s="3"/>
      <x:c r="J171" s="3"/>
      <x:c r="K171" s="3"/>
      <x:c r="L171" s="3"/>
    </x:row>
    <x:row r="172" ht="19" customHeight="1">
      <x:c r="A172" s="2"/>
      <x:c r="B172" s="2"/>
      <x:c r="C172" s="2" t="str">
        <x:v>Assumptions!H35</x:v>
      </x:c>
      <x:c r="D172" s="2"/>
      <x:c r="E172" s="3"/>
      <x:c r="F172" s="41" t="str">
        <x:f>IF(ISBLANK('Assumptions'!H35),"__BLANK__",'Assumptions'!H35)</x:f>
        <x:v>__BLANK__</x:v>
      </x:c>
      <x:c r="G172" s="41" t="n">
        <x:f>IF(ISBLANK(E172),IF(F172="__BLANK__",0,1),IF(E172=F172,0,1))</x:f>
        <x:v>0</x:v>
      </x:c>
      <x:c r="H172" s="3"/>
      <x:c r="I172" s="3"/>
      <x:c r="J172" s="3"/>
      <x:c r="K172" s="3"/>
      <x:c r="L172" s="3"/>
    </x:row>
    <x:row r="173" ht="19" customHeight="1">
      <x:c r="A173" s="2"/>
      <x:c r="B173" s="2"/>
      <x:c r="C173" s="2" t="str">
        <x:v>Assumptions!H36</x:v>
      </x:c>
      <x:c r="D173" s="2"/>
      <x:c r="E173" s="3"/>
      <x:c r="F173" s="41" t="str">
        <x:f>IF(ISBLANK('Assumptions'!H36),"__BLANK__",'Assumptions'!H36)</x:f>
        <x:v>__BLANK__</x:v>
      </x:c>
      <x:c r="G173" s="41" t="n">
        <x:f>IF(ISBLANK(E173),IF(F173="__BLANK__",0,1),IF(E173=F173,0,1))</x:f>
        <x:v>0</x:v>
      </x:c>
      <x:c r="H173" s="3"/>
      <x:c r="I173" s="3"/>
      <x:c r="J173" s="3"/>
      <x:c r="K173" s="3"/>
      <x:c r="L173" s="3"/>
    </x:row>
    <x:row r="174" ht="19" customHeight="1">
      <x:c r="A174" s="2"/>
      <x:c r="B174" s="2"/>
      <x:c r="C174" s="2" t="str">
        <x:v>Assumptions!H37</x:v>
      </x:c>
      <x:c r="D174" s="2"/>
      <x:c r="E174" s="3"/>
      <x:c r="F174" s="41" t="str">
        <x:f>IF(ISBLANK('Assumptions'!H37),"__BLANK__",'Assumptions'!H37)</x:f>
        <x:v>__BLANK__</x:v>
      </x:c>
      <x:c r="G174" s="41" t="n">
        <x:f>IF(ISBLANK(E174),IF(F174="__BLANK__",0,1),IF(E174=F174,0,1))</x:f>
        <x:v>0</x:v>
      </x:c>
      <x:c r="H174" s="3"/>
      <x:c r="I174" s="3"/>
      <x:c r="J174" s="3"/>
      <x:c r="K174" s="3"/>
      <x:c r="L174" s="3"/>
    </x:row>
    <x:row r="175" ht="19" customHeight="1">
      <x:c r="A175" s="2"/>
      <x:c r="B175" s="2"/>
      <x:c r="C175" s="2" t="str">
        <x:v>Assumptions!I31</x:v>
      </x:c>
      <x:c r="D175" s="2"/>
      <x:c r="E175" s="3"/>
      <x:c r="F175" s="41" t="str">
        <x:f>IF(ISBLANK('Assumptions'!I31),"__BLANK__",'Assumptions'!I31)</x:f>
        <x:v>__BLANK__</x:v>
      </x:c>
      <x:c r="G175" s="41" t="n">
        <x:f>IF(ISBLANK(E175),IF(F175="__BLANK__",0,1),IF(E175=F175,0,1))</x:f>
        <x:v>0</x:v>
      </x:c>
      <x:c r="H175" s="3"/>
      <x:c r="I175" s="3"/>
      <x:c r="J175" s="3"/>
      <x:c r="K175" s="3"/>
      <x:c r="L175" s="3"/>
    </x:row>
    <x:row r="176" ht="19" customHeight="1">
      <x:c r="A176" s="2"/>
      <x:c r="B176" s="2"/>
      <x:c r="C176" s="2" t="str">
        <x:v>Assumptions!I32</x:v>
      </x:c>
      <x:c r="D176" s="2"/>
      <x:c r="E176" s="3"/>
      <x:c r="F176" s="41" t="str">
        <x:f>IF(ISBLANK('Assumptions'!I32),"__BLANK__",'Assumptions'!I32)</x:f>
        <x:v>__BLANK__</x:v>
      </x:c>
      <x:c r="G176" s="41" t="n">
        <x:f>IF(ISBLANK(E176),IF(F176="__BLANK__",0,1),IF(E176=F176,0,1))</x:f>
        <x:v>0</x:v>
      </x:c>
      <x:c r="H176" s="3"/>
      <x:c r="I176" s="3"/>
      <x:c r="J176" s="3"/>
      <x:c r="K176" s="3"/>
      <x:c r="L176" s="3"/>
    </x:row>
    <x:row r="177" ht="19" customHeight="1">
      <x:c r="A177" s="2"/>
      <x:c r="B177" s="2"/>
      <x:c r="C177" s="2" t="str">
        <x:v>Assumptions!I33</x:v>
      </x:c>
      <x:c r="D177" s="2"/>
      <x:c r="E177" s="3"/>
      <x:c r="F177" s="41" t="str">
        <x:f>IF(ISBLANK('Assumptions'!I33),"__BLANK__",'Assumptions'!I33)</x:f>
        <x:v>__BLANK__</x:v>
      </x:c>
      <x:c r="G177" s="41" t="n">
        <x:f>IF(ISBLANK(E177),IF(F177="__BLANK__",0,1),IF(E177=F177,0,1))</x:f>
        <x:v>0</x:v>
      </x:c>
      <x:c r="H177" s="3"/>
      <x:c r="I177" s="3"/>
      <x:c r="J177" s="3"/>
      <x:c r="K177" s="3"/>
      <x:c r="L177" s="3"/>
    </x:row>
    <x:row r="178" ht="19" customHeight="1">
      <x:c r="A178" s="2"/>
      <x:c r="B178" s="2"/>
      <x:c r="C178" s="2" t="str">
        <x:v>Assumptions!I34</x:v>
      </x:c>
      <x:c r="D178" s="2"/>
      <x:c r="E178" s="3"/>
      <x:c r="F178" s="41" t="str">
        <x:f>IF(ISBLANK('Assumptions'!I34),"__BLANK__",'Assumptions'!I34)</x:f>
        <x:v>__BLANK__</x:v>
      </x:c>
      <x:c r="G178" s="41" t="n">
        <x:f>IF(ISBLANK(E178),IF(F178="__BLANK__",0,1),IF(E178=F178,0,1))</x:f>
        <x:v>0</x:v>
      </x:c>
      <x:c r="H178" s="3"/>
      <x:c r="I178" s="3"/>
      <x:c r="J178" s="3"/>
      <x:c r="K178" s="3"/>
      <x:c r="L178" s="3"/>
    </x:row>
    <x:row r="179" ht="19" customHeight="1">
      <x:c r="A179" s="2"/>
      <x:c r="B179" s="2"/>
      <x:c r="C179" s="2" t="str">
        <x:v>Assumptions!I35</x:v>
      </x:c>
      <x:c r="D179" s="2"/>
      <x:c r="E179" s="3"/>
      <x:c r="F179" s="41" t="str">
        <x:f>IF(ISBLANK('Assumptions'!I35),"__BLANK__",'Assumptions'!I35)</x:f>
        <x:v>__BLANK__</x:v>
      </x:c>
      <x:c r="G179" s="41" t="n">
        <x:f>IF(ISBLANK(E179),IF(F179="__BLANK__",0,1),IF(E179=F179,0,1))</x:f>
        <x:v>0</x:v>
      </x:c>
      <x:c r="H179" s="3"/>
      <x:c r="I179" s="3"/>
      <x:c r="J179" s="3"/>
      <x:c r="K179" s="3"/>
      <x:c r="L179" s="3"/>
    </x:row>
    <x:row r="180" ht="19" customHeight="1">
      <x:c r="A180" s="2"/>
      <x:c r="B180" s="2"/>
      <x:c r="C180" s="2" t="str">
        <x:v>Assumptions!I36</x:v>
      </x:c>
      <x:c r="D180" s="2"/>
      <x:c r="E180" s="3"/>
      <x:c r="F180" s="41" t="str">
        <x:f>IF(ISBLANK('Assumptions'!I36),"__BLANK__",'Assumptions'!I36)</x:f>
        <x:v>__BLANK__</x:v>
      </x:c>
      <x:c r="G180" s="41" t="n">
        <x:f>IF(ISBLANK(E180),IF(F180="__BLANK__",0,1),IF(E180=F180,0,1))</x:f>
        <x:v>0</x:v>
      </x:c>
      <x:c r="H180" s="3"/>
      <x:c r="I180" s="3"/>
      <x:c r="J180" s="3"/>
      <x:c r="K180" s="3"/>
      <x:c r="L180" s="3"/>
    </x:row>
    <x:row r="181" ht="19" customHeight="1">
      <x:c r="A181" s="2"/>
      <x:c r="B181" s="2"/>
      <x:c r="C181" s="2" t="str">
        <x:v>Assumptions!I37</x:v>
      </x:c>
      <x:c r="D181" s="2"/>
      <x:c r="E181" s="3"/>
      <x:c r="F181" s="41" t="str">
        <x:f>IF(ISBLANK('Assumptions'!I37),"__BLANK__",'Assumptions'!I37)</x:f>
        <x:v>__BLANK__</x:v>
      </x:c>
      <x:c r="G181" s="41" t="n">
        <x:f>IF(ISBLANK(E181),IF(F181="__BLANK__",0,1),IF(E181=F181,0,1))</x:f>
        <x:v>0</x:v>
      </x:c>
      <x:c r="H181" s="3"/>
      <x:c r="I181" s="3"/>
      <x:c r="J181" s="3"/>
      <x:c r="K181" s="3"/>
      <x:c r="L181" s="3"/>
    </x:row>
    <x:row r="182" ht="19" customHeight="1">
      <x:c r="A182" s="2"/>
      <x:c r="B182" s="2"/>
      <x:c r="C182" s="2" t="str">
        <x:v>Assumptions!J31</x:v>
      </x:c>
      <x:c r="D182" s="2"/>
      <x:c r="E182" s="3"/>
      <x:c r="F182" s="41" t="str">
        <x:f>IF(ISBLANK('Assumptions'!J31),"__BLANK__",'Assumptions'!J31)</x:f>
        <x:v>__BLANK__</x:v>
      </x:c>
      <x:c r="G182" s="41" t="n">
        <x:f>IF(ISBLANK(E182),IF(F182="__BLANK__",0,1),IF(E182=F182,0,1))</x:f>
        <x:v>0</x:v>
      </x:c>
      <x:c r="H182" s="3"/>
      <x:c r="I182" s="3"/>
      <x:c r="J182" s="3"/>
      <x:c r="K182" s="3"/>
      <x:c r="L182" s="3"/>
    </x:row>
    <x:row r="183" ht="19" customHeight="1">
      <x:c r="A183" s="2"/>
      <x:c r="B183" s="2"/>
      <x:c r="C183" s="2" t="str">
        <x:v>Assumptions!J32</x:v>
      </x:c>
      <x:c r="D183" s="2"/>
      <x:c r="E183" s="3"/>
      <x:c r="F183" s="41" t="str">
        <x:f>IF(ISBLANK('Assumptions'!J32),"__BLANK__",'Assumptions'!J32)</x:f>
        <x:v>__BLANK__</x:v>
      </x:c>
      <x:c r="G183" s="41" t="n">
        <x:f>IF(ISBLANK(E183),IF(F183="__BLANK__",0,1),IF(E183=F183,0,1))</x:f>
        <x:v>0</x:v>
      </x:c>
      <x:c r="H183" s="3"/>
      <x:c r="I183" s="3"/>
      <x:c r="J183" s="3"/>
      <x:c r="K183" s="3"/>
      <x:c r="L183" s="3"/>
    </x:row>
    <x:row r="184" ht="19" customHeight="1">
      <x:c r="A184" s="2"/>
      <x:c r="B184" s="2"/>
      <x:c r="C184" s="2" t="str">
        <x:v>Assumptions!J33</x:v>
      </x:c>
      <x:c r="D184" s="2"/>
      <x:c r="E184" s="3"/>
      <x:c r="F184" s="41" t="str">
        <x:f>IF(ISBLANK('Assumptions'!J33),"__BLANK__",'Assumptions'!J33)</x:f>
        <x:v>__BLANK__</x:v>
      </x:c>
      <x:c r="G184" s="41" t="n">
        <x:f>IF(ISBLANK(E184),IF(F184="__BLANK__",0,1),IF(E184=F184,0,1))</x:f>
        <x:v>0</x:v>
      </x:c>
      <x:c r="H184" s="3"/>
      <x:c r="I184" s="3"/>
      <x:c r="J184" s="3"/>
      <x:c r="K184" s="3"/>
      <x:c r="L184" s="3"/>
    </x:row>
    <x:row r="185" ht="19" customHeight="1">
      <x:c r="A185" s="2"/>
      <x:c r="B185" s="2"/>
      <x:c r="C185" s="2" t="str">
        <x:v>Assumptions!J34</x:v>
      </x:c>
      <x:c r="D185" s="2"/>
      <x:c r="E185" s="3"/>
      <x:c r="F185" s="41" t="str">
        <x:f>IF(ISBLANK('Assumptions'!J34),"__BLANK__",'Assumptions'!J34)</x:f>
        <x:v>__BLANK__</x:v>
      </x:c>
      <x:c r="G185" s="41" t="n">
        <x:f>IF(ISBLANK(E185),IF(F185="__BLANK__",0,1),IF(E185=F185,0,1))</x:f>
        <x:v>0</x:v>
      </x:c>
      <x:c r="H185" s="3"/>
      <x:c r="I185" s="3"/>
      <x:c r="J185" s="3"/>
      <x:c r="K185" s="3"/>
      <x:c r="L185" s="3"/>
    </x:row>
    <x:row r="186" ht="19" customHeight="1">
      <x:c r="A186" s="2"/>
      <x:c r="B186" s="2"/>
      <x:c r="C186" s="2" t="str">
        <x:v>Assumptions!J35</x:v>
      </x:c>
      <x:c r="D186" s="2"/>
      <x:c r="E186" s="3"/>
      <x:c r="F186" s="41" t="str">
        <x:f>IF(ISBLANK('Assumptions'!J35),"__BLANK__",'Assumptions'!J35)</x:f>
        <x:v>__BLANK__</x:v>
      </x:c>
      <x:c r="G186" s="41" t="n">
        <x:f>IF(ISBLANK(E186),IF(F186="__BLANK__",0,1),IF(E186=F186,0,1))</x:f>
        <x:v>0</x:v>
      </x:c>
      <x:c r="H186" s="3"/>
      <x:c r="I186" s="3"/>
      <x:c r="J186" s="3"/>
      <x:c r="K186" s="3"/>
      <x:c r="L186" s="3"/>
    </x:row>
    <x:row r="187" ht="19" customHeight="1">
      <x:c r="A187" s="2"/>
      <x:c r="B187" s="2"/>
      <x:c r="C187" s="2" t="str">
        <x:v>Assumptions!J36</x:v>
      </x:c>
      <x:c r="D187" s="2"/>
      <x:c r="E187" s="3"/>
      <x:c r="F187" s="41" t="str">
        <x:f>IF(ISBLANK('Assumptions'!J36),"__BLANK__",'Assumptions'!J36)</x:f>
        <x:v>__BLANK__</x:v>
      </x:c>
      <x:c r="G187" s="41" t="n">
        <x:f>IF(ISBLANK(E187),IF(F187="__BLANK__",0,1),IF(E187=F187,0,1))</x:f>
        <x:v>0</x:v>
      </x:c>
      <x:c r="H187" s="3"/>
      <x:c r="I187" s="3"/>
      <x:c r="J187" s="3"/>
      <x:c r="K187" s="3"/>
      <x:c r="L187" s="3"/>
    </x:row>
    <x:row r="188" ht="19" customHeight="1">
      <x:c r="A188" s="2"/>
      <x:c r="B188" s="2"/>
      <x:c r="C188" s="2" t="str">
        <x:v>Assumptions!J37</x:v>
      </x:c>
      <x:c r="D188" s="2"/>
      <x:c r="E188" s="3"/>
      <x:c r="F188" s="41" t="str">
        <x:f>IF(ISBLANK('Assumptions'!J37),"__BLANK__",'Assumptions'!J37)</x:f>
        <x:v>__BLANK__</x:v>
      </x:c>
      <x:c r="G188" s="41" t="n">
        <x:f>IF(ISBLANK(E188),IF(F188="__BLANK__",0,1),IF(E188=F188,0,1))</x:f>
        <x:v>0</x:v>
      </x:c>
      <x:c r="H188" s="3"/>
      <x:c r="I188" s="3"/>
      <x:c r="J188" s="3"/>
      <x:c r="K188" s="3"/>
      <x:c r="L188" s="3"/>
    </x:row>
    <x:row r="189" ht="19" customHeight="1">
      <x:c r="A189" s="2"/>
      <x:c r="B189" s="2"/>
      <x:c r="C189" s="2" t="str">
        <x:v>Assumptions!K31</x:v>
      </x:c>
      <x:c r="D189" s="2"/>
      <x:c r="E189" s="3"/>
      <x:c r="F189" s="41" t="str">
        <x:f>IF(ISBLANK('Assumptions'!K31),"__BLANK__",'Assumptions'!K31)</x:f>
        <x:v>__BLANK__</x:v>
      </x:c>
      <x:c r="G189" s="41" t="n">
        <x:f>IF(ISBLANK(E189),IF(F189="__BLANK__",0,1),IF(E189=F189,0,1))</x:f>
        <x:v>0</x:v>
      </x:c>
      <x:c r="H189" s="3"/>
      <x:c r="I189" s="3"/>
      <x:c r="J189" s="3"/>
      <x:c r="K189" s="3"/>
      <x:c r="L189" s="3"/>
    </x:row>
    <x:row r="190" ht="19" customHeight="1">
      <x:c r="A190" s="2"/>
      <x:c r="B190" s="2"/>
      <x:c r="C190" s="2" t="str">
        <x:v>Assumptions!K32</x:v>
      </x:c>
      <x:c r="D190" s="2"/>
      <x:c r="E190" s="3"/>
      <x:c r="F190" s="41" t="str">
        <x:f>IF(ISBLANK('Assumptions'!K32),"__BLANK__",'Assumptions'!K32)</x:f>
        <x:v>__BLANK__</x:v>
      </x:c>
      <x:c r="G190" s="41" t="n">
        <x:f>IF(ISBLANK(E190),IF(F190="__BLANK__",0,1),IF(E190=F190,0,1))</x:f>
        <x:v>0</x:v>
      </x:c>
      <x:c r="H190" s="3"/>
      <x:c r="I190" s="3"/>
      <x:c r="J190" s="3"/>
      <x:c r="K190" s="3"/>
      <x:c r="L190" s="3"/>
    </x:row>
    <x:row r="191" ht="19" customHeight="1">
      <x:c r="A191" s="2"/>
      <x:c r="B191" s="2"/>
      <x:c r="C191" s="2" t="str">
        <x:v>Assumptions!K33</x:v>
      </x:c>
      <x:c r="D191" s="2"/>
      <x:c r="E191" s="3"/>
      <x:c r="F191" s="41" t="str">
        <x:f>IF(ISBLANK('Assumptions'!K33),"__BLANK__",'Assumptions'!K33)</x:f>
        <x:v>__BLANK__</x:v>
      </x:c>
      <x:c r="G191" s="41" t="n">
        <x:f>IF(ISBLANK(E191),IF(F191="__BLANK__",0,1),IF(E191=F191,0,1))</x:f>
        <x:v>0</x:v>
      </x:c>
      <x:c r="H191" s="3"/>
      <x:c r="I191" s="3"/>
      <x:c r="J191" s="3"/>
      <x:c r="K191" s="3"/>
      <x:c r="L191" s="3"/>
    </x:row>
    <x:row r="192" ht="19" customHeight="1">
      <x:c r="A192" s="2"/>
      <x:c r="B192" s="2"/>
      <x:c r="C192" s="2" t="str">
        <x:v>Assumptions!K34</x:v>
      </x:c>
      <x:c r="D192" s="2"/>
      <x:c r="E192" s="3"/>
      <x:c r="F192" s="41" t="str">
        <x:f>IF(ISBLANK('Assumptions'!K34),"__BLANK__",'Assumptions'!K34)</x:f>
        <x:v>__BLANK__</x:v>
      </x:c>
      <x:c r="G192" s="41" t="n">
        <x:f>IF(ISBLANK(E192),IF(F192="__BLANK__",0,1),IF(E192=F192,0,1))</x:f>
        <x:v>0</x:v>
      </x:c>
      <x:c r="H192" s="3"/>
      <x:c r="I192" s="3"/>
      <x:c r="J192" s="3"/>
      <x:c r="K192" s="3"/>
      <x:c r="L192" s="3"/>
    </x:row>
    <x:row r="193" ht="19" customHeight="1">
      <x:c r="A193" s="2"/>
      <x:c r="B193" s="2"/>
      <x:c r="C193" s="2" t="str">
        <x:v>Assumptions!K35</x:v>
      </x:c>
      <x:c r="D193" s="2"/>
      <x:c r="E193" s="3"/>
      <x:c r="F193" s="41" t="str">
        <x:f>IF(ISBLANK('Assumptions'!K35),"__BLANK__",'Assumptions'!K35)</x:f>
        <x:v>__BLANK__</x:v>
      </x:c>
      <x:c r="G193" s="41" t="n">
        <x:f>IF(ISBLANK(E193),IF(F193="__BLANK__",0,1),IF(E193=F193,0,1))</x:f>
        <x:v>0</x:v>
      </x:c>
      <x:c r="H193" s="3"/>
      <x:c r="I193" s="3"/>
      <x:c r="J193" s="3"/>
      <x:c r="K193" s="3"/>
      <x:c r="L193" s="3"/>
    </x:row>
    <x:row r="194" ht="19" customHeight="1">
      <x:c r="A194" s="2"/>
      <x:c r="B194" s="2"/>
      <x:c r="C194" s="2" t="str">
        <x:v>Assumptions!K36</x:v>
      </x:c>
      <x:c r="D194" s="2"/>
      <x:c r="E194" s="3"/>
      <x:c r="F194" s="41" t="str">
        <x:f>IF(ISBLANK('Assumptions'!K36),"__BLANK__",'Assumptions'!K36)</x:f>
        <x:v>__BLANK__</x:v>
      </x:c>
      <x:c r="G194" s="41" t="n">
        <x:f>IF(ISBLANK(E194),IF(F194="__BLANK__",0,1),IF(E194=F194,0,1))</x:f>
        <x:v>0</x:v>
      </x:c>
      <x:c r="H194" s="3"/>
      <x:c r="I194" s="3"/>
      <x:c r="J194" s="3"/>
      <x:c r="K194" s="3"/>
      <x:c r="L194" s="3"/>
    </x:row>
    <x:row r="195" ht="19" customHeight="1">
      <x:c r="A195" s="2"/>
      <x:c r="B195" s="2"/>
      <x:c r="C195" s="2" t="str">
        <x:v>Assumptions!K37</x:v>
      </x:c>
      <x:c r="D195" s="2"/>
      <x:c r="E195" s="3"/>
      <x:c r="F195" s="41" t="str">
        <x:f>IF(ISBLANK('Assumptions'!K37),"__BLANK__",'Assumptions'!K37)</x:f>
        <x:v>__BLANK__</x:v>
      </x:c>
      <x:c r="G195" s="41" t="n">
        <x:f>IF(ISBLANK(E195),IF(F195="__BLANK__",0,1),IF(E195=F195,0,1))</x:f>
        <x:v>0</x:v>
      </x:c>
      <x:c r="H195" s="3"/>
      <x:c r="I195" s="3"/>
      <x:c r="J195" s="3"/>
      <x:c r="K195" s="3"/>
      <x:c r="L195" s="3"/>
    </x:row>
    <x:row r="196" ht="19" customHeight="1">
      <x:c r="A196" s="2"/>
      <x:c r="B196" s="2"/>
      <x:c r="C196" s="2" t="str">
        <x:v>Assumptions!L31</x:v>
      </x:c>
      <x:c r="D196" s="2"/>
      <x:c r="E196" s="3"/>
      <x:c r="F196" s="41" t="str">
        <x:f>IF(ISBLANK('Assumptions'!L31),"__BLANK__",'Assumptions'!L31)</x:f>
        <x:v>__BLANK__</x:v>
      </x:c>
      <x:c r="G196" s="41" t="n">
        <x:f>IF(ISBLANK(E196),IF(F196="__BLANK__",0,1),IF(E196=F196,0,1))</x:f>
        <x:v>0</x:v>
      </x:c>
      <x:c r="H196" s="3"/>
      <x:c r="I196" s="3"/>
      <x:c r="J196" s="3"/>
      <x:c r="K196" s="3"/>
      <x:c r="L196" s="3"/>
    </x:row>
    <x:row r="197" ht="19" customHeight="1">
      <x:c r="A197" s="2"/>
      <x:c r="B197" s="2"/>
      <x:c r="C197" s="2" t="str">
        <x:v>Assumptions!L32</x:v>
      </x:c>
      <x:c r="D197" s="2"/>
      <x:c r="E197" s="3"/>
      <x:c r="F197" s="41" t="str">
        <x:f>IF(ISBLANK('Assumptions'!L32),"__BLANK__",'Assumptions'!L32)</x:f>
        <x:v>__BLANK__</x:v>
      </x:c>
      <x:c r="G197" s="41" t="n">
        <x:f>IF(ISBLANK(E197),IF(F197="__BLANK__",0,1),IF(E197=F197,0,1))</x:f>
        <x:v>0</x:v>
      </x:c>
      <x:c r="H197" s="3"/>
      <x:c r="I197" s="3"/>
      <x:c r="J197" s="3"/>
      <x:c r="K197" s="3"/>
      <x:c r="L197" s="3"/>
    </x:row>
    <x:row r="198" ht="19" customHeight="1">
      <x:c r="A198" s="2"/>
      <x:c r="B198" s="2"/>
      <x:c r="C198" s="2" t="str">
        <x:v>Assumptions!L33</x:v>
      </x:c>
      <x:c r="D198" s="2"/>
      <x:c r="E198" s="3"/>
      <x:c r="F198" s="41" t="str">
        <x:f>IF(ISBLANK('Assumptions'!L33),"__BLANK__",'Assumptions'!L33)</x:f>
        <x:v>__BLANK__</x:v>
      </x:c>
      <x:c r="G198" s="41" t="n">
        <x:f>IF(ISBLANK(E198),IF(F198="__BLANK__",0,1),IF(E198=F198,0,1))</x:f>
        <x:v>0</x:v>
      </x:c>
      <x:c r="H198" s="3"/>
      <x:c r="I198" s="3"/>
      <x:c r="J198" s="3"/>
      <x:c r="K198" s="3"/>
      <x:c r="L198" s="3"/>
    </x:row>
    <x:row r="199" ht="19" customHeight="1">
      <x:c r="A199" s="2"/>
      <x:c r="B199" s="2"/>
      <x:c r="C199" s="2" t="str">
        <x:v>Assumptions!L34</x:v>
      </x:c>
      <x:c r="D199" s="2"/>
      <x:c r="E199" s="3"/>
      <x:c r="F199" s="41" t="str">
        <x:f>IF(ISBLANK('Assumptions'!L34),"__BLANK__",'Assumptions'!L34)</x:f>
        <x:v>__BLANK__</x:v>
      </x:c>
      <x:c r="G199" s="41" t="n">
        <x:f>IF(ISBLANK(E199),IF(F199="__BLANK__",0,1),IF(E199=F199,0,1))</x:f>
        <x:v>0</x:v>
      </x:c>
      <x:c r="H199" s="3"/>
      <x:c r="I199" s="3"/>
      <x:c r="J199" s="3"/>
      <x:c r="K199" s="3"/>
      <x:c r="L199" s="3"/>
    </x:row>
    <x:row r="200" ht="19" customHeight="1">
      <x:c r="A200" s="2"/>
      <x:c r="B200" s="2"/>
      <x:c r="C200" s="2" t="str">
        <x:v>Assumptions!L35</x:v>
      </x:c>
      <x:c r="D200" s="2"/>
      <x:c r="E200" s="3"/>
      <x:c r="F200" s="41" t="str">
        <x:f>IF(ISBLANK('Assumptions'!L35),"__BLANK__",'Assumptions'!L35)</x:f>
        <x:v>__BLANK__</x:v>
      </x:c>
      <x:c r="G200" s="41" t="n">
        <x:f>IF(ISBLANK(E200),IF(F200="__BLANK__",0,1),IF(E200=F200,0,1))</x:f>
        <x:v>0</x:v>
      </x:c>
      <x:c r="H200" s="3"/>
      <x:c r="I200" s="3"/>
      <x:c r="J200" s="3"/>
      <x:c r="K200" s="3"/>
      <x:c r="L200" s="3"/>
    </x:row>
    <x:row r="201" ht="19" customHeight="1">
      <x:c r="A201" s="2"/>
      <x:c r="B201" s="2"/>
      <x:c r="C201" s="2" t="str">
        <x:v>Assumptions!L36</x:v>
      </x:c>
      <x:c r="D201" s="2"/>
      <x:c r="E201" s="3"/>
      <x:c r="F201" s="41" t="str">
        <x:f>IF(ISBLANK('Assumptions'!L36),"__BLANK__",'Assumptions'!L36)</x:f>
        <x:v>__BLANK__</x:v>
      </x:c>
      <x:c r="G201" s="41" t="n">
        <x:f>IF(ISBLANK(E201),IF(F201="__BLANK__",0,1),IF(E201=F201,0,1))</x:f>
        <x:v>0</x:v>
      </x:c>
      <x:c r="H201" s="3"/>
      <x:c r="I201" s="3"/>
      <x:c r="J201" s="3"/>
      <x:c r="K201" s="3"/>
      <x:c r="L201" s="3"/>
    </x:row>
    <x:row r="202" ht="19" customHeight="1">
      <x:c r="A202" s="2"/>
      <x:c r="B202" s="2"/>
      <x:c r="C202" s="2" t="str">
        <x:v>Assumptions!L37</x:v>
      </x:c>
      <x:c r="D202" s="2"/>
      <x:c r="E202" s="3"/>
      <x:c r="F202" s="41" t="str">
        <x:f>IF(ISBLANK('Assumptions'!L37),"__BLANK__",'Assumptions'!L37)</x:f>
        <x:v>__BLANK__</x:v>
      </x:c>
      <x:c r="G202" s="41" t="n">
        <x:f>IF(ISBLANK(E202),IF(F202="__BLANK__",0,1),IF(E202=F202,0,1))</x:f>
        <x:v>0</x:v>
      </x:c>
      <x:c r="H202" s="3"/>
      <x:c r="I202" s="3"/>
      <x:c r="J202" s="3"/>
      <x:c r="K202" s="3"/>
      <x:c r="L202" s="3"/>
    </x:row>
    <x:row r="203" ht="19" customHeight="1">
      <x:c r="A203" s="2"/>
      <x:c r="B203" s="2"/>
      <x:c r="C203" s="2" t="str">
        <x:v>Assumptions!E41</x:v>
      </x:c>
      <x:c r="D203" s="2"/>
      <x:c r="E203" s="3"/>
      <x:c r="F203" s="41" t="str">
        <x:f>IF(ISBLANK('Assumptions'!E41),"__BLANK__",'Assumptions'!E41)</x:f>
        <x:v>__BLANK__</x:v>
      </x:c>
      <x:c r="G203" s="41" t="n">
        <x:f>IF(ISBLANK(E203),IF(F203="__BLANK__",0,1),IF(E203=F203,0,1))</x:f>
        <x:v>0</x:v>
      </x:c>
      <x:c r="H203" s="3"/>
      <x:c r="I203" s="3"/>
      <x:c r="J203" s="3"/>
      <x:c r="K203" s="3"/>
      <x:c r="L203" s="3"/>
    </x:row>
    <x:row r="204" ht="19" customHeight="1">
      <x:c r="A204" s="2"/>
      <x:c r="B204" s="2"/>
      <x:c r="C204" s="2" t="str">
        <x:v>Assumptions!E42</x:v>
      </x:c>
      <x:c r="D204" s="2"/>
      <x:c r="E204" s="3"/>
      <x:c r="F204" s="41" t="str">
        <x:f>IF(ISBLANK('Assumptions'!E42),"__BLANK__",'Assumptions'!E42)</x:f>
        <x:v>__BLANK__</x:v>
      </x:c>
      <x:c r="G204" s="41" t="n">
        <x:f>IF(ISBLANK(E204),IF(F204="__BLANK__",0,1),IF(E204=F204,0,1))</x:f>
        <x:v>0</x:v>
      </x:c>
      <x:c r="H204" s="3"/>
      <x:c r="I204" s="3"/>
      <x:c r="J204" s="3"/>
      <x:c r="K204" s="3"/>
      <x:c r="L204" s="3"/>
    </x:row>
    <x:row r="205" ht="19" customHeight="1">
      <x:c r="A205" s="2"/>
      <x:c r="B205" s="2"/>
      <x:c r="C205" s="2" t="str">
        <x:v>Assumptions!E43</x:v>
      </x:c>
      <x:c r="D205" s="2"/>
      <x:c r="E205" s="3"/>
      <x:c r="F205" s="41" t="str">
        <x:f>IF(ISBLANK('Assumptions'!E43),"__BLANK__",'Assumptions'!E43)</x:f>
        <x:v>__BLANK__</x:v>
      </x:c>
      <x:c r="G205" s="41" t="n">
        <x:f>IF(ISBLANK(E205),IF(F205="__BLANK__",0,1),IF(E205=F205,0,1))</x:f>
        <x:v>0</x:v>
      </x:c>
      <x:c r="H205" s="3"/>
      <x:c r="I205" s="3"/>
      <x:c r="J205" s="3"/>
      <x:c r="K205" s="3"/>
      <x:c r="L205" s="3"/>
    </x:row>
    <x:row r="206" ht="19" customHeight="1">
      <x:c r="A206" s="2"/>
      <x:c r="B206" s="2"/>
      <x:c r="C206" s="2" t="str">
        <x:v>Assumptions!E44</x:v>
      </x:c>
      <x:c r="D206" s="2"/>
      <x:c r="E206" s="3"/>
      <x:c r="F206" s="41" t="str">
        <x:f>IF(ISBLANK('Assumptions'!E44),"__BLANK__",'Assumptions'!E44)</x:f>
        <x:v>__BLANK__</x:v>
      </x:c>
      <x:c r="G206" s="41" t="n">
        <x:f>IF(ISBLANK(E206),IF(F206="__BLANK__",0,1),IF(E206=F206,0,1))</x:f>
        <x:v>0</x:v>
      </x:c>
      <x:c r="H206" s="3"/>
      <x:c r="I206" s="3"/>
      <x:c r="J206" s="3"/>
      <x:c r="K206" s="3"/>
      <x:c r="L206" s="3"/>
    </x:row>
    <x:row r="207" ht="19" customHeight="1">
      <x:c r="A207" s="2"/>
      <x:c r="B207" s="2"/>
      <x:c r="C207" s="2" t="str">
        <x:v>Assumptions!E45</x:v>
      </x:c>
      <x:c r="D207" s="2"/>
      <x:c r="E207" s="3"/>
      <x:c r="F207" s="41" t="str">
        <x:f>IF(ISBLANK('Assumptions'!E45),"__BLANK__",'Assumptions'!E45)</x:f>
        <x:v>__BLANK__</x:v>
      </x:c>
      <x:c r="G207" s="41" t="n">
        <x:f>IF(ISBLANK(E207),IF(F207="__BLANK__",0,1),IF(E207=F207,0,1))</x:f>
        <x:v>0</x:v>
      </x:c>
      <x:c r="H207" s="3"/>
      <x:c r="I207" s="3"/>
      <x:c r="J207" s="3"/>
      <x:c r="K207" s="3"/>
      <x:c r="L207" s="3"/>
    </x:row>
    <x:row r="208" ht="19" customHeight="1">
      <x:c r="A208" s="2"/>
      <x:c r="B208" s="2"/>
      <x:c r="C208" s="2" t="str">
        <x:v>Assumptions!E46</x:v>
      </x:c>
      <x:c r="D208" s="2"/>
      <x:c r="E208" s="3"/>
      <x:c r="F208" s="41" t="str">
        <x:f>IF(ISBLANK('Assumptions'!E46),"__BLANK__",'Assumptions'!E46)</x:f>
        <x:v>__BLANK__</x:v>
      </x:c>
      <x:c r="G208" s="41" t="n">
        <x:f>IF(ISBLANK(E208),IF(F208="__BLANK__",0,1),IF(E208=F208,0,1))</x:f>
        <x:v>0</x:v>
      </x:c>
      <x:c r="H208" s="3"/>
      <x:c r="I208" s="3"/>
      <x:c r="J208" s="3"/>
      <x:c r="K208" s="3"/>
      <x:c r="L208" s="3"/>
    </x:row>
    <x:row r="209" ht="19" customHeight="1">
      <x:c r="A209" s="2"/>
      <x:c r="B209" s="2"/>
      <x:c r="C209" s="2" t="str">
        <x:v>Assumptions!E47</x:v>
      </x:c>
      <x:c r="D209" s="2"/>
      <x:c r="E209" s="3"/>
      <x:c r="F209" s="41" t="str">
        <x:f>IF(ISBLANK('Assumptions'!E47),"__BLANK__",'Assumptions'!E47)</x:f>
        <x:v>__BLANK__</x:v>
      </x:c>
      <x:c r="G209" s="41" t="n">
        <x:f>IF(ISBLANK(E209),IF(F209="__BLANK__",0,1),IF(E209=F209,0,1))</x:f>
        <x:v>0</x:v>
      </x:c>
      <x:c r="H209" s="3"/>
      <x:c r="I209" s="3"/>
      <x:c r="J209" s="3"/>
      <x:c r="K209" s="3"/>
      <x:c r="L209" s="3"/>
    </x:row>
    <x:row r="210" ht="19" customHeight="1">
      <x:c r="A210" s="2"/>
      <x:c r="B210" s="2"/>
      <x:c r="C210" s="2" t="str">
        <x:v>Assumptions!F41</x:v>
      </x:c>
      <x:c r="D210" s="2"/>
      <x:c r="E210" s="3"/>
      <x:c r="F210" s="41" t="str">
        <x:f>IF(ISBLANK('Assumptions'!F41),"__BLANK__",'Assumptions'!F41)</x:f>
        <x:v>__BLANK__</x:v>
      </x:c>
      <x:c r="G210" s="41" t="n">
        <x:f>IF(ISBLANK(E210),IF(F210="__BLANK__",0,1),IF(E210=F210,0,1))</x:f>
        <x:v>0</x:v>
      </x:c>
      <x:c r="H210" s="3"/>
      <x:c r="I210" s="3"/>
      <x:c r="J210" s="3"/>
      <x:c r="K210" s="3"/>
      <x:c r="L210" s="3"/>
    </x:row>
    <x:row r="211" ht="19" customHeight="1">
      <x:c r="A211" s="2"/>
      <x:c r="B211" s="2"/>
      <x:c r="C211" s="2" t="str">
        <x:v>Assumptions!F42</x:v>
      </x:c>
      <x:c r="D211" s="2"/>
      <x:c r="E211" s="3"/>
      <x:c r="F211" s="41" t="str">
        <x:f>IF(ISBLANK('Assumptions'!F42),"__BLANK__",'Assumptions'!F42)</x:f>
        <x:v>__BLANK__</x:v>
      </x:c>
      <x:c r="G211" s="41" t="n">
        <x:f>IF(ISBLANK(E211),IF(F211="__BLANK__",0,1),IF(E211=F211,0,1))</x:f>
        <x:v>0</x:v>
      </x:c>
      <x:c r="H211" s="3"/>
      <x:c r="I211" s="3"/>
      <x:c r="J211" s="3"/>
      <x:c r="K211" s="3"/>
      <x:c r="L211" s="3"/>
    </x:row>
    <x:row r="212" ht="19" customHeight="1">
      <x:c r="A212" s="2"/>
      <x:c r="B212" s="2"/>
      <x:c r="C212" s="2" t="str">
        <x:v>Assumptions!F43</x:v>
      </x:c>
      <x:c r="D212" s="2"/>
      <x:c r="E212" s="3"/>
      <x:c r="F212" s="41" t="str">
        <x:f>IF(ISBLANK('Assumptions'!F43),"__BLANK__",'Assumptions'!F43)</x:f>
        <x:v>__BLANK__</x:v>
      </x:c>
      <x:c r="G212" s="41" t="n">
        <x:f>IF(ISBLANK(E212),IF(F212="__BLANK__",0,1),IF(E212=F212,0,1))</x:f>
        <x:v>0</x:v>
      </x:c>
      <x:c r="H212" s="3"/>
      <x:c r="I212" s="3"/>
      <x:c r="J212" s="3"/>
      <x:c r="K212" s="3"/>
      <x:c r="L212" s="3"/>
    </x:row>
    <x:row r="213" ht="19" customHeight="1">
      <x:c r="A213" s="2"/>
      <x:c r="B213" s="2"/>
      <x:c r="C213" s="2" t="str">
        <x:v>Assumptions!F44</x:v>
      </x:c>
      <x:c r="D213" s="2"/>
      <x:c r="E213" s="3"/>
      <x:c r="F213" s="41" t="str">
        <x:f>IF(ISBLANK('Assumptions'!F44),"__BLANK__",'Assumptions'!F44)</x:f>
        <x:v>__BLANK__</x:v>
      </x:c>
      <x:c r="G213" s="41" t="n">
        <x:f>IF(ISBLANK(E213),IF(F213="__BLANK__",0,1),IF(E213=F213,0,1))</x:f>
        <x:v>0</x:v>
      </x:c>
      <x:c r="H213" s="3"/>
      <x:c r="I213" s="3"/>
      <x:c r="J213" s="3"/>
      <x:c r="K213" s="3"/>
      <x:c r="L213" s="3"/>
    </x:row>
    <x:row r="214" ht="19" customHeight="1">
      <x:c r="A214" s="2"/>
      <x:c r="B214" s="2"/>
      <x:c r="C214" s="2" t="str">
        <x:v>Assumptions!F45</x:v>
      </x:c>
      <x:c r="D214" s="2"/>
      <x:c r="E214" s="3"/>
      <x:c r="F214" s="41" t="str">
        <x:f>IF(ISBLANK('Assumptions'!F45),"__BLANK__",'Assumptions'!F45)</x:f>
        <x:v>__BLANK__</x:v>
      </x:c>
      <x:c r="G214" s="41" t="n">
        <x:f>IF(ISBLANK(E214),IF(F214="__BLANK__",0,1),IF(E214=F214,0,1))</x:f>
        <x:v>0</x:v>
      </x:c>
      <x:c r="H214" s="3"/>
      <x:c r="I214" s="3"/>
      <x:c r="J214" s="3"/>
      <x:c r="K214" s="3"/>
      <x:c r="L214" s="3"/>
    </x:row>
    <x:row r="215" ht="19" customHeight="1">
      <x:c r="A215" s="2"/>
      <x:c r="B215" s="2"/>
      <x:c r="C215" s="2" t="str">
        <x:v>Assumptions!F46</x:v>
      </x:c>
      <x:c r="D215" s="2"/>
      <x:c r="E215" s="3"/>
      <x:c r="F215" s="41" t="str">
        <x:f>IF(ISBLANK('Assumptions'!F46),"__BLANK__",'Assumptions'!F46)</x:f>
        <x:v>__BLANK__</x:v>
      </x:c>
      <x:c r="G215" s="41" t="n">
        <x:f>IF(ISBLANK(E215),IF(F215="__BLANK__",0,1),IF(E215=F215,0,1))</x:f>
        <x:v>0</x:v>
      </x:c>
      <x:c r="H215" s="3"/>
      <x:c r="I215" s="3"/>
      <x:c r="J215" s="3"/>
      <x:c r="K215" s="3"/>
      <x:c r="L215" s="3"/>
    </x:row>
    <x:row r="216" ht="19" customHeight="1">
      <x:c r="A216" s="2"/>
      <x:c r="B216" s="2"/>
      <x:c r="C216" s="2" t="str">
        <x:v>Assumptions!F47</x:v>
      </x:c>
      <x:c r="D216" s="2"/>
      <x:c r="E216" s="3"/>
      <x:c r="F216" s="41" t="str">
        <x:f>IF(ISBLANK('Assumptions'!F47),"__BLANK__",'Assumptions'!F47)</x:f>
        <x:v>__BLANK__</x:v>
      </x:c>
      <x:c r="G216" s="41" t="n">
        <x:f>IF(ISBLANK(E216),IF(F216="__BLANK__",0,1),IF(E216=F216,0,1))</x:f>
        <x:v>0</x:v>
      </x:c>
      <x:c r="H216" s="3"/>
      <x:c r="I216" s="3"/>
      <x:c r="J216" s="3"/>
      <x:c r="K216" s="3"/>
      <x:c r="L216" s="3"/>
    </x:row>
    <x:row r="217" ht="19" customHeight="1">
      <x:c r="A217" s="2"/>
      <x:c r="B217" s="2"/>
      <x:c r="C217" s="2" t="str">
        <x:v>Assumptions!G41</x:v>
      </x:c>
      <x:c r="D217" s="2"/>
      <x:c r="E217" s="3" t="n">
        <x:v>0.172548908953</x:v>
      </x:c>
      <x:c r="F217" s="41" t="n">
        <x:f>IF(ISBLANK('Assumptions'!G41),"__BLANK__",'Assumptions'!G41)</x:f>
        <x:v>0.172548908953</x:v>
      </x:c>
      <x:c r="G217" s="41" t="n">
        <x:f>IF(ISBLANK(E217),IF(F217="__BLANK__",0,1),IF(E217=F217,0,1))</x:f>
        <x:v>0</x:v>
      </x:c>
      <x:c r="H217" s="3"/>
      <x:c r="I217" s="3"/>
      <x:c r="J217" s="3"/>
      <x:c r="K217" s="3"/>
      <x:c r="L217" s="3"/>
    </x:row>
    <x:row r="218" ht="19" customHeight="1">
      <x:c r="A218" s="2"/>
      <x:c r="B218" s="2"/>
      <x:c r="C218" s="2" t="str">
        <x:v>Assumptions!G42</x:v>
      </x:c>
      <x:c r="D218" s="2"/>
      <x:c r="E218" s="3" t="n">
        <x:v>0.172548908953</x:v>
      </x:c>
      <x:c r="F218" s="41" t="n">
        <x:f>IF(ISBLANK('Assumptions'!G42),"__BLANK__",'Assumptions'!G42)</x:f>
        <x:v>0.172548908953</x:v>
      </x:c>
      <x:c r="G218" s="41" t="n">
        <x:f>IF(ISBLANK(E218),IF(F218="__BLANK__",0,1),IF(E218=F218,0,1))</x:f>
        <x:v>0</x:v>
      </x:c>
      <x:c r="H218" s="3"/>
      <x:c r="I218" s="3"/>
      <x:c r="J218" s="3"/>
      <x:c r="K218" s="3"/>
      <x:c r="L218" s="3"/>
    </x:row>
    <x:row r="219" ht="19" customHeight="1">
      <x:c r="A219" s="2"/>
      <x:c r="B219" s="2"/>
      <x:c r="C219" s="2" t="str">
        <x:v>Assumptions!G43</x:v>
      </x:c>
      <x:c r="D219" s="2"/>
      <x:c r="E219" s="3" t="n">
        <x:v>0.172548908953</x:v>
      </x:c>
      <x:c r="F219" s="41" t="n">
        <x:f>IF(ISBLANK('Assumptions'!G43),"__BLANK__",'Assumptions'!G43)</x:f>
        <x:v>0.172548908953</x:v>
      </x:c>
      <x:c r="G219" s="41" t="n">
        <x:f>IF(ISBLANK(E219),IF(F219="__BLANK__",0,1),IF(E219=F219,0,1))</x:f>
        <x:v>0</x:v>
      </x:c>
      <x:c r="H219" s="3"/>
      <x:c r="I219" s="3"/>
      <x:c r="J219" s="3"/>
      <x:c r="K219" s="3"/>
      <x:c r="L219" s="3"/>
    </x:row>
    <x:row r="220" ht="19" customHeight="1">
      <x:c r="A220" s="2"/>
      <x:c r="B220" s="2"/>
      <x:c r="C220" s="2" t="str">
        <x:v>Assumptions!G44</x:v>
      </x:c>
      <x:c r="D220" s="2"/>
      <x:c r="E220" s="3" t="n">
        <x:v>0.172548908953</x:v>
      </x:c>
      <x:c r="F220" s="41" t="n">
        <x:f>IF(ISBLANK('Assumptions'!G44),"__BLANK__",'Assumptions'!G44)</x:f>
        <x:v>0.172548908953</x:v>
      </x:c>
      <x:c r="G220" s="41" t="n">
        <x:f>IF(ISBLANK(E220),IF(F220="__BLANK__",0,1),IF(E220=F220,0,1))</x:f>
        <x:v>0</x:v>
      </x:c>
      <x:c r="H220" s="3"/>
      <x:c r="I220" s="3"/>
      <x:c r="J220" s="3"/>
      <x:c r="K220" s="3"/>
      <x:c r="L220" s="3"/>
    </x:row>
    <x:row r="221" ht="19" customHeight="1">
      <x:c r="A221" s="2"/>
      <x:c r="B221" s="2"/>
      <x:c r="C221" s="2" t="str">
        <x:v>Assumptions!G45</x:v>
      </x:c>
      <x:c r="D221" s="2"/>
      <x:c r="E221" s="3" t="n">
        <x:v>0.172548908953</x:v>
      </x:c>
      <x:c r="F221" s="41" t="n">
        <x:f>IF(ISBLANK('Assumptions'!G45),"__BLANK__",'Assumptions'!G45)</x:f>
        <x:v>0.172548908953</x:v>
      </x:c>
      <x:c r="G221" s="41" t="n">
        <x:f>IF(ISBLANK(E221),IF(F221="__BLANK__",0,1),IF(E221=F221,0,1))</x:f>
        <x:v>0</x:v>
      </x:c>
      <x:c r="H221" s="3"/>
      <x:c r="I221" s="3"/>
      <x:c r="J221" s="3"/>
      <x:c r="K221" s="3"/>
      <x:c r="L221" s="3"/>
    </x:row>
    <x:row r="222" ht="19" customHeight="1">
      <x:c r="A222" s="2"/>
      <x:c r="B222" s="2"/>
      <x:c r="C222" s="2" t="str">
        <x:v>Assumptions!G46</x:v>
      </x:c>
      <x:c r="D222" s="2"/>
      <x:c r="E222" s="3" t="n">
        <x:v>0.172548908953</x:v>
      </x:c>
      <x:c r="F222" s="41" t="n">
        <x:f>IF(ISBLANK('Assumptions'!G46),"__BLANK__",'Assumptions'!G46)</x:f>
        <x:v>0.172548908953</x:v>
      </x:c>
      <x:c r="G222" s="41" t="n">
        <x:f>IF(ISBLANK(E222),IF(F222="__BLANK__",0,1),IF(E222=F222,0,1))</x:f>
        <x:v>0</x:v>
      </x:c>
      <x:c r="H222" s="3"/>
      <x:c r="I222" s="3"/>
      <x:c r="J222" s="3"/>
      <x:c r="K222" s="3"/>
      <x:c r="L222" s="3"/>
    </x:row>
    <x:row r="223" ht="19" customHeight="1">
      <x:c r="A223" s="2"/>
      <x:c r="B223" s="2"/>
      <x:c r="C223" s="2" t="str">
        <x:v>Assumptions!G47</x:v>
      </x:c>
      <x:c r="D223" s="2"/>
      <x:c r="E223" s="3" t="n">
        <x:v>0.172548908953</x:v>
      </x:c>
      <x:c r="F223" s="41" t="n">
        <x:f>IF(ISBLANK('Assumptions'!G47),"__BLANK__",'Assumptions'!G47)</x:f>
        <x:v>0.172548908953</x:v>
      </x:c>
      <x:c r="G223" s="41" t="n">
        <x:f>IF(ISBLANK(E223),IF(F223="__BLANK__",0,1),IF(E223=F223,0,1))</x:f>
        <x:v>0</x:v>
      </x:c>
      <x:c r="H223" s="3"/>
      <x:c r="I223" s="3"/>
      <x:c r="J223" s="3"/>
      <x:c r="K223" s="3"/>
      <x:c r="L223" s="3"/>
    </x:row>
    <x:row r="224" ht="19" customHeight="1">
      <x:c r="A224" s="2"/>
      <x:c r="B224" s="2"/>
      <x:c r="C224" s="2" t="str">
        <x:v>Assumptions!H41</x:v>
      </x:c>
      <x:c r="D224" s="2"/>
      <x:c r="E224" s="3" t="n">
        <x:v>0.120403669385</x:v>
      </x:c>
      <x:c r="F224" s="41" t="n">
        <x:f>IF(ISBLANK('Assumptions'!H41),"__BLANK__",'Assumptions'!H41)</x:f>
        <x:v>0.120403669385</x:v>
      </x:c>
      <x:c r="G224" s="41" t="n">
        <x:f>IF(ISBLANK(E224),IF(F224="__BLANK__",0,1),IF(E224=F224,0,1))</x:f>
        <x:v>0</x:v>
      </x:c>
      <x:c r="H224" s="3"/>
      <x:c r="I224" s="3"/>
      <x:c r="J224" s="3"/>
      <x:c r="K224" s="3"/>
      <x:c r="L224" s="3"/>
    </x:row>
    <x:row r="225" ht="19" customHeight="1">
      <x:c r="A225" s="2"/>
      <x:c r="B225" s="2"/>
      <x:c r="C225" s="2" t="str">
        <x:v>Assumptions!H42</x:v>
      </x:c>
      <x:c r="D225" s="2"/>
      <x:c r="E225" s="3" t="n">
        <x:v>0.120403669385</x:v>
      </x:c>
      <x:c r="F225" s="41" t="n">
        <x:f>IF(ISBLANK('Assumptions'!H42),"__BLANK__",'Assumptions'!H42)</x:f>
        <x:v>0.120403669385</x:v>
      </x:c>
      <x:c r="G225" s="41" t="n">
        <x:f>IF(ISBLANK(E225),IF(F225="__BLANK__",0,1),IF(E225=F225,0,1))</x:f>
        <x:v>0</x:v>
      </x:c>
      <x:c r="H225" s="3"/>
      <x:c r="I225" s="3"/>
      <x:c r="J225" s="3"/>
      <x:c r="K225" s="3"/>
      <x:c r="L225" s="3"/>
    </x:row>
    <x:row r="226" ht="19" customHeight="1">
      <x:c r="A226" s="2"/>
      <x:c r="B226" s="2"/>
      <x:c r="C226" s="2" t="str">
        <x:v>Assumptions!H43</x:v>
      </x:c>
      <x:c r="D226" s="2"/>
      <x:c r="E226" s="3" t="n">
        <x:v>0.120403669385</x:v>
      </x:c>
      <x:c r="F226" s="41" t="n">
        <x:f>IF(ISBLANK('Assumptions'!H43),"__BLANK__",'Assumptions'!H43)</x:f>
        <x:v>0.120403669385</x:v>
      </x:c>
      <x:c r="G226" s="41" t="n">
        <x:f>IF(ISBLANK(E226),IF(F226="__BLANK__",0,1),IF(E226=F226,0,1))</x:f>
        <x:v>0</x:v>
      </x:c>
      <x:c r="H226" s="3"/>
      <x:c r="I226" s="3"/>
      <x:c r="J226" s="3"/>
      <x:c r="K226" s="3"/>
      <x:c r="L226" s="3"/>
    </x:row>
    <x:row r="227" ht="19" customHeight="1">
      <x:c r="A227" s="2"/>
      <x:c r="B227" s="2"/>
      <x:c r="C227" s="2" t="str">
        <x:v>Assumptions!H44</x:v>
      </x:c>
      <x:c r="D227" s="2"/>
      <x:c r="E227" s="3" t="n">
        <x:v>0.120403669385</x:v>
      </x:c>
      <x:c r="F227" s="41" t="n">
        <x:f>IF(ISBLANK('Assumptions'!H44),"__BLANK__",'Assumptions'!H44)</x:f>
        <x:v>0.120403669385</x:v>
      </x:c>
      <x:c r="G227" s="41" t="n">
        <x:f>IF(ISBLANK(E227),IF(F227="__BLANK__",0,1),IF(E227=F227,0,1))</x:f>
        <x:v>0</x:v>
      </x:c>
      <x:c r="H227" s="3"/>
      <x:c r="I227" s="3"/>
      <x:c r="J227" s="3"/>
      <x:c r="K227" s="3"/>
      <x:c r="L227" s="3"/>
    </x:row>
    <x:row r="228" ht="19" customHeight="1">
      <x:c r="A228" s="2"/>
      <x:c r="B228" s="2"/>
      <x:c r="C228" s="2" t="str">
        <x:v>Assumptions!H45</x:v>
      </x:c>
      <x:c r="D228" s="2"/>
      <x:c r="E228" s="3" t="n">
        <x:v>0.120403669385</x:v>
      </x:c>
      <x:c r="F228" s="41" t="n">
        <x:f>IF(ISBLANK('Assumptions'!H45),"__BLANK__",'Assumptions'!H45)</x:f>
        <x:v>0.120403669385</x:v>
      </x:c>
      <x:c r="G228" s="41" t="n">
        <x:f>IF(ISBLANK(E228),IF(F228="__BLANK__",0,1),IF(E228=F228,0,1))</x:f>
        <x:v>0</x:v>
      </x:c>
      <x:c r="H228" s="3"/>
      <x:c r="I228" s="3"/>
      <x:c r="J228" s="3"/>
      <x:c r="K228" s="3"/>
      <x:c r="L228" s="3"/>
    </x:row>
    <x:row r="229" ht="19" customHeight="1">
      <x:c r="A229" s="2"/>
      <x:c r="B229" s="2"/>
      <x:c r="C229" s="2" t="str">
        <x:v>Assumptions!H46</x:v>
      </x:c>
      <x:c r="D229" s="2"/>
      <x:c r="E229" s="3" t="n">
        <x:v>0.120403669385</x:v>
      </x:c>
      <x:c r="F229" s="41" t="n">
        <x:f>IF(ISBLANK('Assumptions'!H46),"__BLANK__",'Assumptions'!H46)</x:f>
        <x:v>0.120403669385</x:v>
      </x:c>
      <x:c r="G229" s="41" t="n">
        <x:f>IF(ISBLANK(E229),IF(F229="__BLANK__",0,1),IF(E229=F229,0,1))</x:f>
        <x:v>0</x:v>
      </x:c>
      <x:c r="H229" s="3"/>
      <x:c r="I229" s="3"/>
      <x:c r="J229" s="3"/>
      <x:c r="K229" s="3"/>
      <x:c r="L229" s="3"/>
    </x:row>
    <x:row r="230" ht="19" customHeight="1">
      <x:c r="A230" s="2"/>
      <x:c r="B230" s="2"/>
      <x:c r="C230" s="2" t="str">
        <x:v>Assumptions!H47</x:v>
      </x:c>
      <x:c r="D230" s="2"/>
      <x:c r="E230" s="3" t="n">
        <x:v>0.120403669385</x:v>
      </x:c>
      <x:c r="F230" s="41" t="n">
        <x:f>IF(ISBLANK('Assumptions'!H47),"__BLANK__",'Assumptions'!H47)</x:f>
        <x:v>0.120403669385</x:v>
      </x:c>
      <x:c r="G230" s="41" t="n">
        <x:f>IF(ISBLANK(E230),IF(F230="__BLANK__",0,1),IF(E230=F230,0,1))</x:f>
        <x:v>0</x:v>
      </x:c>
      <x:c r="H230" s="3"/>
      <x:c r="I230" s="3"/>
      <x:c r="J230" s="3"/>
      <x:c r="K230" s="3"/>
      <x:c r="L230" s="3"/>
    </x:row>
    <x:row r="231">
      <x:c r="C231" t="str">
        <x:v>Assumptions!I41</x:v>
      </x:c>
      <x:c r="E231" t="n">
        <x:v>0.127275463631</x:v>
      </x:c>
      <x:c r="F231" s="44" t="n">
        <x:f>IF(ISBLANK('Assumptions'!I41),"__BLANK__",'Assumptions'!I41)</x:f>
        <x:v>0.127275463631</x:v>
      </x:c>
      <x:c r="G231" s="44" t="n">
        <x:f>IF(ISBLANK(E231),IF(F231="__BLANK__",0,1),IF(E231=F231,0,1))</x:f>
        <x:v>0</x:v>
      </x:c>
    </x:row>
    <x:row r="232">
      <x:c r="C232" t="str">
        <x:v>Assumptions!I42</x:v>
      </x:c>
      <x:c r="E232" t="n">
        <x:v>0.127275463631</x:v>
      </x:c>
      <x:c r="F232" s="44" t="n">
        <x:f>IF(ISBLANK('Assumptions'!I42),"__BLANK__",'Assumptions'!I42)</x:f>
        <x:v>0.127275463631</x:v>
      </x:c>
      <x:c r="G232" s="44" t="n">
        <x:f>IF(ISBLANK(E232),IF(F232="__BLANK__",0,1),IF(E232=F232,0,1))</x:f>
        <x:v>0</x:v>
      </x:c>
    </x:row>
    <x:row r="233">
      <x:c r="C233" t="str">
        <x:v>Assumptions!I43</x:v>
      </x:c>
      <x:c r="E233" t="n">
        <x:v>0.127275463631</x:v>
      </x:c>
      <x:c r="F233" s="44" t="n">
        <x:f>IF(ISBLANK('Assumptions'!I43),"__BLANK__",'Assumptions'!I43)</x:f>
        <x:v>0.127275463631</x:v>
      </x:c>
      <x:c r="G233" s="44" t="n">
        <x:f>IF(ISBLANK(E233),IF(F233="__BLANK__",0,1),IF(E233=F233,0,1))</x:f>
        <x:v>0</x:v>
      </x:c>
    </x:row>
    <x:row r="234">
      <x:c r="C234" t="str">
        <x:v>Assumptions!I44</x:v>
      </x:c>
      <x:c r="E234" t="n">
        <x:v>0.127275463631</x:v>
      </x:c>
      <x:c r="F234" s="44" t="n">
        <x:f>IF(ISBLANK('Assumptions'!I44),"__BLANK__",'Assumptions'!I44)</x:f>
        <x:v>0.127275463631</x:v>
      </x:c>
      <x:c r="G234" s="44" t="n">
        <x:f>IF(ISBLANK(E234),IF(F234="__BLANK__",0,1),IF(E234=F234,0,1))</x:f>
        <x:v>0</x:v>
      </x:c>
    </x:row>
    <x:row r="235">
      <x:c r="C235" t="str">
        <x:v>Assumptions!I45</x:v>
      </x:c>
      <x:c r="E235" t="n">
        <x:v>0.127275463631</x:v>
      </x:c>
      <x:c r="F235" s="44" t="n">
        <x:f>IF(ISBLANK('Assumptions'!I45),"__BLANK__",'Assumptions'!I45)</x:f>
        <x:v>0.127275463631</x:v>
      </x:c>
      <x:c r="G235" s="44" t="n">
        <x:f>IF(ISBLANK(E235),IF(F235="__BLANK__",0,1),IF(E235=F235,0,1))</x:f>
        <x:v>0</x:v>
      </x:c>
    </x:row>
    <x:row r="236">
      <x:c r="C236" t="str">
        <x:v>Assumptions!I46</x:v>
      </x:c>
      <x:c r="E236" t="n">
        <x:v>0.127275463631</x:v>
      </x:c>
      <x:c r="F236" s="44" t="n">
        <x:f>IF(ISBLANK('Assumptions'!I46),"__BLANK__",'Assumptions'!I46)</x:f>
        <x:v>0.127275463631</x:v>
      </x:c>
      <x:c r="G236" s="44" t="n">
        <x:f>IF(ISBLANK(E236),IF(F236="__BLANK__",0,1),IF(E236=F236,0,1))</x:f>
        <x:v>0</x:v>
      </x:c>
    </x:row>
    <x:row r="237">
      <x:c r="C237" t="str">
        <x:v>Assumptions!I47</x:v>
      </x:c>
      <x:c r="E237" t="n">
        <x:v>0.127275463631</x:v>
      </x:c>
      <x:c r="F237" s="44" t="n">
        <x:f>IF(ISBLANK('Assumptions'!I47),"__BLANK__",'Assumptions'!I47)</x:f>
        <x:v>0.127275463631</x:v>
      </x:c>
      <x:c r="G237" s="44" t="n">
        <x:f>IF(ISBLANK(E237),IF(F237="__BLANK__",0,1),IF(E237=F237,0,1))</x:f>
        <x:v>0</x:v>
      </x:c>
    </x:row>
    <x:row r="238">
      <x:c r="C238" t="str">
        <x:v>Assumptions!J41</x:v>
      </x:c>
      <x:c r="E238"/>
      <x:c r="F238" s="44" t="str">
        <x:f>IF(ISBLANK('Assumptions'!J41),"__BLANK__",'Assumptions'!J41)</x:f>
        <x:v>__BLANK__</x:v>
      </x:c>
      <x:c r="G238" s="44" t="n">
        <x:f>IF(ISBLANK(E238),IF(F238="__BLANK__",0,1),IF(E238=F238,0,1))</x:f>
        <x:v>0</x:v>
      </x:c>
    </x:row>
    <x:row r="239">
      <x:c r="C239" t="str">
        <x:v>Assumptions!J42</x:v>
      </x:c>
      <x:c r="E239"/>
      <x:c r="F239" s="44" t="str">
        <x:f>IF(ISBLANK('Assumptions'!J42),"__BLANK__",'Assumptions'!J42)</x:f>
        <x:v>__BLANK__</x:v>
      </x:c>
      <x:c r="G239" s="44" t="n">
        <x:f>IF(ISBLANK(E239),IF(F239="__BLANK__",0,1),IF(E239=F239,0,1))</x:f>
        <x:v>0</x:v>
      </x:c>
    </x:row>
    <x:row r="240">
      <x:c r="C240" t="str">
        <x:v>Assumptions!J43</x:v>
      </x:c>
      <x:c r="E240"/>
      <x:c r="F240" s="44" t="str">
        <x:f>IF(ISBLANK('Assumptions'!J43),"__BLANK__",'Assumptions'!J43)</x:f>
        <x:v>__BLANK__</x:v>
      </x:c>
      <x:c r="G240" s="44" t="n">
        <x:f>IF(ISBLANK(E240),IF(F240="__BLANK__",0,1),IF(E240=F240,0,1))</x:f>
        <x:v>0</x:v>
      </x:c>
    </x:row>
    <x:row r="241">
      <x:c r="C241" t="str">
        <x:v>Assumptions!J44</x:v>
      </x:c>
      <x:c r="E241"/>
      <x:c r="F241" s="44" t="str">
        <x:f>IF(ISBLANK('Assumptions'!J44),"__BLANK__",'Assumptions'!J44)</x:f>
        <x:v>__BLANK__</x:v>
      </x:c>
      <x:c r="G241" s="44" t="n">
        <x:f>IF(ISBLANK(E241),IF(F241="__BLANK__",0,1),IF(E241=F241,0,1))</x:f>
        <x:v>0</x:v>
      </x:c>
    </x:row>
    <x:row r="242">
      <x:c r="C242" t="str">
        <x:v>Assumptions!J45</x:v>
      </x:c>
      <x:c r="E242"/>
      <x:c r="F242" s="44" t="str">
        <x:f>IF(ISBLANK('Assumptions'!J45),"__BLANK__",'Assumptions'!J45)</x:f>
        <x:v>__BLANK__</x:v>
      </x:c>
      <x:c r="G242" s="44" t="n">
        <x:f>IF(ISBLANK(E242),IF(F242="__BLANK__",0,1),IF(E242=F242,0,1))</x:f>
        <x:v>0</x:v>
      </x:c>
    </x:row>
    <x:row r="243">
      <x:c r="C243" t="str">
        <x:v>Assumptions!J46</x:v>
      </x:c>
      <x:c r="E243"/>
      <x:c r="F243" s="44" t="str">
        <x:f>IF(ISBLANK('Assumptions'!J46),"__BLANK__",'Assumptions'!J46)</x:f>
        <x:v>__BLANK__</x:v>
      </x:c>
      <x:c r="G243" s="44" t="n">
        <x:f>IF(ISBLANK(E243),IF(F243="__BLANK__",0,1),IF(E243=F243,0,1))</x:f>
        <x:v>0</x:v>
      </x:c>
    </x:row>
    <x:row r="244">
      <x:c r="C244" t="str">
        <x:v>Assumptions!J47</x:v>
      </x:c>
      <x:c r="E244"/>
      <x:c r="F244" s="44" t="str">
        <x:f>IF(ISBLANK('Assumptions'!J47),"__BLANK__",'Assumptions'!J47)</x:f>
        <x:v>__BLANK__</x:v>
      </x:c>
      <x:c r="G244" s="44" t="n">
        <x:f>IF(ISBLANK(E244),IF(F244="__BLANK__",0,1),IF(E244=F244,0,1))</x:f>
        <x:v>0</x:v>
      </x:c>
    </x:row>
    <x:row r="245">
      <x:c r="C245" t="str">
        <x:v>Assumptions!K41</x:v>
      </x:c>
      <x:c r="E245"/>
      <x:c r="F245" s="44" t="str">
        <x:f>IF(ISBLANK('Assumptions'!K41),"__BLANK__",'Assumptions'!K41)</x:f>
        <x:v>__BLANK__</x:v>
      </x:c>
      <x:c r="G245" s="44" t="n">
        <x:f>IF(ISBLANK(E245),IF(F245="__BLANK__",0,1),IF(E245=F245,0,1))</x:f>
        <x:v>0</x:v>
      </x:c>
    </x:row>
    <x:row r="246">
      <x:c r="C246" t="str">
        <x:v>Assumptions!K42</x:v>
      </x:c>
      <x:c r="E246"/>
      <x:c r="F246" s="44" t="str">
        <x:f>IF(ISBLANK('Assumptions'!K42),"__BLANK__",'Assumptions'!K42)</x:f>
        <x:v>__BLANK__</x:v>
      </x:c>
      <x:c r="G246" s="44" t="n">
        <x:f>IF(ISBLANK(E246),IF(F246="__BLANK__",0,1),IF(E246=F246,0,1))</x:f>
        <x:v>0</x:v>
      </x:c>
    </x:row>
    <x:row r="247">
      <x:c r="C247" t="str">
        <x:v>Assumptions!K43</x:v>
      </x:c>
      <x:c r="E247"/>
      <x:c r="F247" s="44" t="str">
        <x:f>IF(ISBLANK('Assumptions'!K43),"__BLANK__",'Assumptions'!K43)</x:f>
        <x:v>__BLANK__</x:v>
      </x:c>
      <x:c r="G247" s="44" t="n">
        <x:f>IF(ISBLANK(E247),IF(F247="__BLANK__",0,1),IF(E247=F247,0,1))</x:f>
        <x:v>0</x:v>
      </x:c>
    </x:row>
    <x:row r="248">
      <x:c r="C248" t="str">
        <x:v>Assumptions!K44</x:v>
      </x:c>
      <x:c r="E248"/>
      <x:c r="F248" s="44" t="str">
        <x:f>IF(ISBLANK('Assumptions'!K44),"__BLANK__",'Assumptions'!K44)</x:f>
        <x:v>__BLANK__</x:v>
      </x:c>
      <x:c r="G248" s="44" t="n">
        <x:f>IF(ISBLANK(E248),IF(F248="__BLANK__",0,1),IF(E248=F248,0,1))</x:f>
        <x:v>0</x:v>
      </x:c>
    </x:row>
    <x:row r="249">
      <x:c r="C249" t="str">
        <x:v>Assumptions!K45</x:v>
      </x:c>
      <x:c r="E249"/>
      <x:c r="F249" s="44" t="str">
        <x:f>IF(ISBLANK('Assumptions'!K45),"__BLANK__",'Assumptions'!K45)</x:f>
        <x:v>__BLANK__</x:v>
      </x:c>
      <x:c r="G249" s="44" t="n">
        <x:f>IF(ISBLANK(E249),IF(F249="__BLANK__",0,1),IF(E249=F249,0,1))</x:f>
        <x:v>0</x:v>
      </x:c>
    </x:row>
    <x:row r="250">
      <x:c r="C250" t="str">
        <x:v>Assumptions!K46</x:v>
      </x:c>
      <x:c r="E250"/>
      <x:c r="F250" s="44" t="str">
        <x:f>IF(ISBLANK('Assumptions'!K46),"__BLANK__",'Assumptions'!K46)</x:f>
        <x:v>__BLANK__</x:v>
      </x:c>
      <x:c r="G250" s="44" t="n">
        <x:f>IF(ISBLANK(E250),IF(F250="__BLANK__",0,1),IF(E250=F250,0,1))</x:f>
        <x:v>0</x:v>
      </x:c>
    </x:row>
    <x:row r="251">
      <x:c r="C251" t="str">
        <x:v>Assumptions!K47</x:v>
      </x:c>
      <x:c r="E251"/>
      <x:c r="F251" s="44" t="str">
        <x:f>IF(ISBLANK('Assumptions'!K47),"__BLANK__",'Assumptions'!K47)</x:f>
        <x:v>__BLANK__</x:v>
      </x:c>
      <x:c r="G251" s="44" t="n">
        <x:f>IF(ISBLANK(E251),IF(F251="__BLANK__",0,1),IF(E251=F251,0,1))</x:f>
        <x:v>0</x:v>
      </x:c>
    </x:row>
    <x:row r="252">
      <x:c r="C252" t="str">
        <x:v>Assumptions!L41</x:v>
      </x:c>
      <x:c r="E252"/>
      <x:c r="F252" s="44" t="str">
        <x:f>IF(ISBLANK('Assumptions'!L41),"__BLANK__",'Assumptions'!L41)</x:f>
        <x:v>__BLANK__</x:v>
      </x:c>
      <x:c r="G252" s="44" t="n">
        <x:f>IF(ISBLANK(E252),IF(F252="__BLANK__",0,1),IF(E252=F252,0,1))</x:f>
        <x:v>0</x:v>
      </x:c>
    </x:row>
    <x:row r="253">
      <x:c r="C253" t="str">
        <x:v>Assumptions!L42</x:v>
      </x:c>
      <x:c r="E253"/>
      <x:c r="F253" s="44" t="str">
        <x:f>IF(ISBLANK('Assumptions'!L42),"__BLANK__",'Assumptions'!L42)</x:f>
        <x:v>__BLANK__</x:v>
      </x:c>
      <x:c r="G253" s="44" t="n">
        <x:f>IF(ISBLANK(E253),IF(F253="__BLANK__",0,1),IF(E253=F253,0,1))</x:f>
        <x:v>0</x:v>
      </x:c>
    </x:row>
    <x:row r="254">
      <x:c r="C254" t="str">
        <x:v>Assumptions!L43</x:v>
      </x:c>
      <x:c r="E254"/>
      <x:c r="F254" s="44" t="str">
        <x:f>IF(ISBLANK('Assumptions'!L43),"__BLANK__",'Assumptions'!L43)</x:f>
        <x:v>__BLANK__</x:v>
      </x:c>
      <x:c r="G254" s="44" t="n">
        <x:f>IF(ISBLANK(E254),IF(F254="__BLANK__",0,1),IF(E254=F254,0,1))</x:f>
        <x:v>0</x:v>
      </x:c>
    </x:row>
    <x:row r="255">
      <x:c r="C255" t="str">
        <x:v>Assumptions!L44</x:v>
      </x:c>
      <x:c r="E255"/>
      <x:c r="F255" s="44" t="str">
        <x:f>IF(ISBLANK('Assumptions'!L44),"__BLANK__",'Assumptions'!L44)</x:f>
        <x:v>__BLANK__</x:v>
      </x:c>
      <x:c r="G255" s="44" t="n">
        <x:f>IF(ISBLANK(E255),IF(F255="__BLANK__",0,1),IF(E255=F255,0,1))</x:f>
        <x:v>0</x:v>
      </x:c>
    </x:row>
    <x:row r="256">
      <x:c r="C256" t="str">
        <x:v>Assumptions!L45</x:v>
      </x:c>
      <x:c r="E256"/>
      <x:c r="F256" s="44" t="str">
        <x:f>IF(ISBLANK('Assumptions'!L45),"__BLANK__",'Assumptions'!L45)</x:f>
        <x:v>__BLANK__</x:v>
      </x:c>
      <x:c r="G256" s="44" t="n">
        <x:f>IF(ISBLANK(E256),IF(F256="__BLANK__",0,1),IF(E256=F256,0,1))</x:f>
        <x:v>0</x:v>
      </x:c>
    </x:row>
    <x:row r="257">
      <x:c r="C257" t="str">
        <x:v>Assumptions!L46</x:v>
      </x:c>
      <x:c r="E257"/>
      <x:c r="F257" s="44" t="str">
        <x:f>IF(ISBLANK('Assumptions'!L46),"__BLANK__",'Assumptions'!L46)</x:f>
        <x:v>__BLANK__</x:v>
      </x:c>
      <x:c r="G257" s="44" t="n">
        <x:f>IF(ISBLANK(E257),IF(F257="__BLANK__",0,1),IF(E257=F257,0,1))</x:f>
        <x:v>0</x:v>
      </x:c>
    </x:row>
    <x:row r="258">
      <x:c r="C258" t="str">
        <x:v>Assumptions!L47</x:v>
      </x:c>
      <x:c r="E258"/>
      <x:c r="F258" s="44" t="str">
        <x:f>IF(ISBLANK('Assumptions'!L47),"__BLANK__",'Assumptions'!L47)</x:f>
        <x:v>__BLANK__</x:v>
      </x:c>
      <x:c r="G258" s="44" t="n">
        <x:f>IF(ISBLANK(E258),IF(F258="__BLANK__",0,1),IF(E258=F258,0,1))</x:f>
        <x:v>0</x:v>
      </x:c>
    </x:row>
    <x:row r="259">
      <x:c r="C259" t="str">
        <x:v>Assumptions!E51</x:v>
      </x:c>
      <x:c r="E259"/>
      <x:c r="F259" s="44" t="str">
        <x:f>IF(ISBLANK('Assumptions'!E51),"__BLANK__",'Assumptions'!E51)</x:f>
        <x:v>__BLANK__</x:v>
      </x:c>
      <x:c r="G259" s="44" t="n">
        <x:f>IF(ISBLANK(E259),IF(F259="__BLANK__",0,1),IF(E259=F259,0,1))</x:f>
        <x:v>0</x:v>
      </x:c>
    </x:row>
    <x:row r="260">
      <x:c r="C260" t="str">
        <x:v>Assumptions!E52</x:v>
      </x:c>
      <x:c r="E260"/>
      <x:c r="F260" s="44" t="str">
        <x:f>IF(ISBLANK('Assumptions'!E52),"__BLANK__",'Assumptions'!E52)</x:f>
        <x:v>__BLANK__</x:v>
      </x:c>
      <x:c r="G260" s="44" t="n">
        <x:f>IF(ISBLANK(E260),IF(F260="__BLANK__",0,1),IF(E260=F260,0,1))</x:f>
        <x:v>0</x:v>
      </x:c>
    </x:row>
    <x:row r="261">
      <x:c r="C261" t="str">
        <x:v>Assumptions!E53</x:v>
      </x:c>
      <x:c r="E261"/>
      <x:c r="F261" s="44" t="str">
        <x:f>IF(ISBLANK('Assumptions'!E53),"__BLANK__",'Assumptions'!E53)</x:f>
        <x:v>__BLANK__</x:v>
      </x:c>
      <x:c r="G261" s="44" t="n">
        <x:f>IF(ISBLANK(E261),IF(F261="__BLANK__",0,1),IF(E261=F261,0,1))</x:f>
        <x:v>0</x:v>
      </x:c>
    </x:row>
    <x:row r="262">
      <x:c r="C262" t="str">
        <x:v>Assumptions!E54</x:v>
      </x:c>
      <x:c r="E262"/>
      <x:c r="F262" s="44" t="str">
        <x:f>IF(ISBLANK('Assumptions'!E54),"__BLANK__",'Assumptions'!E54)</x:f>
        <x:v>__BLANK__</x:v>
      </x:c>
      <x:c r="G262" s="44" t="n">
        <x:f>IF(ISBLANK(E262),IF(F262="__BLANK__",0,1),IF(E262=F262,0,1))</x:f>
        <x:v>0</x:v>
      </x:c>
    </x:row>
    <x:row r="263">
      <x:c r="C263" t="str">
        <x:v>Assumptions!E55</x:v>
      </x:c>
      <x:c r="E263"/>
      <x:c r="F263" s="44" t="str">
        <x:f>IF(ISBLANK('Assumptions'!E55),"__BLANK__",'Assumptions'!E55)</x:f>
        <x:v>__BLANK__</x:v>
      </x:c>
      <x:c r="G263" s="44" t="n">
        <x:f>IF(ISBLANK(E263),IF(F263="__BLANK__",0,1),IF(E263=F263,0,1))</x:f>
        <x:v>0</x:v>
      </x:c>
    </x:row>
    <x:row r="264">
      <x:c r="C264" t="str">
        <x:v>Assumptions!E56</x:v>
      </x:c>
      <x:c r="E264"/>
      <x:c r="F264" s="44" t="str">
        <x:f>IF(ISBLANK('Assumptions'!E56),"__BLANK__",'Assumptions'!E56)</x:f>
        <x:v>__BLANK__</x:v>
      </x:c>
      <x:c r="G264" s="44" t="n">
        <x:f>IF(ISBLANK(E264),IF(F264="__BLANK__",0,1),IF(E264=F264,0,1))</x:f>
        <x:v>0</x:v>
      </x:c>
    </x:row>
    <x:row r="265">
      <x:c r="C265" t="str">
        <x:v>Assumptions!E57</x:v>
      </x:c>
      <x:c r="E265"/>
      <x:c r="F265" s="44" t="str">
        <x:f>IF(ISBLANK('Assumptions'!E57),"__BLANK__",'Assumptions'!E57)</x:f>
        <x:v>__BLANK__</x:v>
      </x:c>
      <x:c r="G265" s="44" t="n">
        <x:f>IF(ISBLANK(E265),IF(F265="__BLANK__",0,1),IF(E265=F265,0,1))</x:f>
        <x:v>0</x:v>
      </x:c>
    </x:row>
    <x:row r="266">
      <x:c r="C266" t="str">
        <x:v>Assumptions!F51</x:v>
      </x:c>
      <x:c r="E266"/>
      <x:c r="F266" s="44" t="str">
        <x:f>IF(ISBLANK('Assumptions'!F51),"__BLANK__",'Assumptions'!F51)</x:f>
        <x:v>__BLANK__</x:v>
      </x:c>
      <x:c r="G266" s="44" t="n">
        <x:f>IF(ISBLANK(E266),IF(F266="__BLANK__",0,1),IF(E266=F266,0,1))</x:f>
        <x:v>0</x:v>
      </x:c>
    </x:row>
    <x:row r="267">
      <x:c r="C267" t="str">
        <x:v>Assumptions!F52</x:v>
      </x:c>
      <x:c r="E267"/>
      <x:c r="F267" s="44" t="str">
        <x:f>IF(ISBLANK('Assumptions'!F52),"__BLANK__",'Assumptions'!F52)</x:f>
        <x:v>__BLANK__</x:v>
      </x:c>
      <x:c r="G267" s="44" t="n">
        <x:f>IF(ISBLANK(E267),IF(F267="__BLANK__",0,1),IF(E267=F267,0,1))</x:f>
        <x:v>0</x:v>
      </x:c>
    </x:row>
    <x:row r="268">
      <x:c r="C268" t="str">
        <x:v>Assumptions!F53</x:v>
      </x:c>
      <x:c r="E268"/>
      <x:c r="F268" s="44" t="str">
        <x:f>IF(ISBLANK('Assumptions'!F53),"__BLANK__",'Assumptions'!F53)</x:f>
        <x:v>__BLANK__</x:v>
      </x:c>
      <x:c r="G268" s="44" t="n">
        <x:f>IF(ISBLANK(E268),IF(F268="__BLANK__",0,1),IF(E268=F268,0,1))</x:f>
        <x:v>0</x:v>
      </x:c>
    </x:row>
    <x:row r="269">
      <x:c r="C269" t="str">
        <x:v>Assumptions!F54</x:v>
      </x:c>
      <x:c r="E269"/>
      <x:c r="F269" s="44" t="str">
        <x:f>IF(ISBLANK('Assumptions'!F54),"__BLANK__",'Assumptions'!F54)</x:f>
        <x:v>__BLANK__</x:v>
      </x:c>
      <x:c r="G269" s="44" t="n">
        <x:f>IF(ISBLANK(E269),IF(F269="__BLANK__",0,1),IF(E269=F269,0,1))</x:f>
        <x:v>0</x:v>
      </x:c>
    </x:row>
    <x:row r="270">
      <x:c r="C270" t="str">
        <x:v>Assumptions!F55</x:v>
      </x:c>
      <x:c r="E270"/>
      <x:c r="F270" s="44" t="str">
        <x:f>IF(ISBLANK('Assumptions'!F55),"__BLANK__",'Assumptions'!F55)</x:f>
        <x:v>__BLANK__</x:v>
      </x:c>
      <x:c r="G270" s="44" t="n">
        <x:f>IF(ISBLANK(E270),IF(F270="__BLANK__",0,1),IF(E270=F270,0,1))</x:f>
        <x:v>0</x:v>
      </x:c>
    </x:row>
    <x:row r="271">
      <x:c r="C271" t="str">
        <x:v>Assumptions!F56</x:v>
      </x:c>
      <x:c r="E271"/>
      <x:c r="F271" s="44" t="str">
        <x:f>IF(ISBLANK('Assumptions'!F56),"__BLANK__",'Assumptions'!F56)</x:f>
        <x:v>__BLANK__</x:v>
      </x:c>
      <x:c r="G271" s="44" t="n">
        <x:f>IF(ISBLANK(E271),IF(F271="__BLANK__",0,1),IF(E271=F271,0,1))</x:f>
        <x:v>0</x:v>
      </x:c>
    </x:row>
    <x:row r="272">
      <x:c r="C272" t="str">
        <x:v>Assumptions!F57</x:v>
      </x:c>
      <x:c r="E272"/>
      <x:c r="F272" s="44" t="str">
        <x:f>IF(ISBLANK('Assumptions'!F57),"__BLANK__",'Assumptions'!F57)</x:f>
        <x:v>__BLANK__</x:v>
      </x:c>
      <x:c r="G272" s="44" t="n">
        <x:f>IF(ISBLANK(E272),IF(F272="__BLANK__",0,1),IF(E272=F272,0,1))</x:f>
        <x:v>0</x:v>
      </x:c>
    </x:row>
    <x:row r="273">
      <x:c r="C273" t="str">
        <x:v>Assumptions!G51</x:v>
      </x:c>
      <x:c r="E273" t="n">
        <x:v>0.0179049103085</x:v>
      </x:c>
      <x:c r="F273" s="44" t="n">
        <x:f>IF(ISBLANK('Assumptions'!G51),"__BLANK__",'Assumptions'!G51)</x:f>
        <x:v>0.0179049103085</x:v>
      </x:c>
      <x:c r="G273" s="44" t="n">
        <x:f>IF(ISBLANK(E273),IF(F273="__BLANK__",0,1),IF(E273=F273,0,1))</x:f>
        <x:v>0</x:v>
      </x:c>
    </x:row>
    <x:row r="274">
      <x:c r="C274" t="str">
        <x:v>Assumptions!G52</x:v>
      </x:c>
      <x:c r="E274" t="n">
        <x:v>0.0179049103085</x:v>
      </x:c>
      <x:c r="F274" s="44" t="n">
        <x:f>IF(ISBLANK('Assumptions'!G52),"__BLANK__",'Assumptions'!G52)</x:f>
        <x:v>0.0179049103085</x:v>
      </x:c>
      <x:c r="G274" s="44" t="n">
        <x:f>IF(ISBLANK(E274),IF(F274="__BLANK__",0,1),IF(E274=F274,0,1))</x:f>
        <x:v>0</x:v>
      </x:c>
    </x:row>
    <x:row r="275">
      <x:c r="C275" t="str">
        <x:v>Assumptions!G53</x:v>
      </x:c>
      <x:c r="E275" t="n">
        <x:v>0.0179049103085</x:v>
      </x:c>
      <x:c r="F275" s="44" t="n">
        <x:f>IF(ISBLANK('Assumptions'!G53),"__BLANK__",'Assumptions'!G53)</x:f>
        <x:v>0.0179049103085</x:v>
      </x:c>
      <x:c r="G275" s="44" t="n">
        <x:f>IF(ISBLANK(E275),IF(F275="__BLANK__",0,1),IF(E275=F275,0,1))</x:f>
        <x:v>0</x:v>
      </x:c>
    </x:row>
    <x:row r="276">
      <x:c r="C276" t="str">
        <x:v>Assumptions!G54</x:v>
      </x:c>
      <x:c r="E276" t="n">
        <x:v>0.0179049103085</x:v>
      </x:c>
      <x:c r="F276" s="44" t="n">
        <x:f>IF(ISBLANK('Assumptions'!G54),"__BLANK__",'Assumptions'!G54)</x:f>
        <x:v>0.0179049103085</x:v>
      </x:c>
      <x:c r="G276" s="44" t="n">
        <x:f>IF(ISBLANK(E276),IF(F276="__BLANK__",0,1),IF(E276=F276,0,1))</x:f>
        <x:v>0</x:v>
      </x:c>
    </x:row>
    <x:row r="277">
      <x:c r="C277" t="str">
        <x:v>Assumptions!G55</x:v>
      </x:c>
      <x:c r="E277" t="n">
        <x:v>0.0179049103085</x:v>
      </x:c>
      <x:c r="F277" s="44" t="n">
        <x:f>IF(ISBLANK('Assumptions'!G55),"__BLANK__",'Assumptions'!G55)</x:f>
        <x:v>0.0179049103085</x:v>
      </x:c>
      <x:c r="G277" s="44" t="n">
        <x:f>IF(ISBLANK(E277),IF(F277="__BLANK__",0,1),IF(E277=F277,0,1))</x:f>
        <x:v>0</x:v>
      </x:c>
    </x:row>
    <x:row r="278">
      <x:c r="C278" t="str">
        <x:v>Assumptions!G56</x:v>
      </x:c>
      <x:c r="E278" t="n">
        <x:v>0.0179049103085</x:v>
      </x:c>
      <x:c r="F278" s="44" t="n">
        <x:f>IF(ISBLANK('Assumptions'!G56),"__BLANK__",'Assumptions'!G56)</x:f>
        <x:v>0.0179049103085</x:v>
      </x:c>
      <x:c r="G278" s="44" t="n">
        <x:f>IF(ISBLANK(E278),IF(F278="__BLANK__",0,1),IF(E278=F278,0,1))</x:f>
        <x:v>0</x:v>
      </x:c>
    </x:row>
    <x:row r="279">
      <x:c r="C279" t="str">
        <x:v>Assumptions!G57</x:v>
      </x:c>
      <x:c r="E279" t="n">
        <x:v>0.0179049103085</x:v>
      </x:c>
      <x:c r="F279" s="44" t="n">
        <x:f>IF(ISBLANK('Assumptions'!G57),"__BLANK__",'Assumptions'!G57)</x:f>
        <x:v>0.0179049103085</x:v>
      </x:c>
      <x:c r="G279" s="44" t="n">
        <x:f>IF(ISBLANK(E279),IF(F279="__BLANK__",0,1),IF(E279=F279,0,1))</x:f>
        <x:v>0</x:v>
      </x:c>
    </x:row>
    <x:row r="280">
      <x:c r="C280" t="str">
        <x:v>Assumptions!H51</x:v>
      </x:c>
      <x:c r="E280" t="n">
        <x:v>0.0179049103085</x:v>
      </x:c>
      <x:c r="F280" s="44" t="n">
        <x:f>IF(ISBLANK('Assumptions'!H51),"__BLANK__",'Assumptions'!H51)</x:f>
        <x:v>0.0179049103085</x:v>
      </x:c>
      <x:c r="G280" s="44" t="n">
        <x:f>IF(ISBLANK(E280),IF(F280="__BLANK__",0,1),IF(E280=F280,0,1))</x:f>
        <x:v>0</x:v>
      </x:c>
    </x:row>
    <x:row r="281">
      <x:c r="C281" t="str">
        <x:v>Assumptions!H52</x:v>
      </x:c>
      <x:c r="E281" t="n">
        <x:v>0.0179049103085</x:v>
      </x:c>
      <x:c r="F281" s="44" t="n">
        <x:f>IF(ISBLANK('Assumptions'!H52),"__BLANK__",'Assumptions'!H52)</x:f>
        <x:v>0.0179049103085</x:v>
      </x:c>
      <x:c r="G281" s="44" t="n">
        <x:f>IF(ISBLANK(E281),IF(F281="__BLANK__",0,1),IF(E281=F281,0,1))</x:f>
        <x:v>0</x:v>
      </x:c>
    </x:row>
    <x:row r="282">
      <x:c r="C282" t="str">
        <x:v>Assumptions!H53</x:v>
      </x:c>
      <x:c r="E282" t="n">
        <x:v>0.0179049103085</x:v>
      </x:c>
      <x:c r="F282" s="44" t="n">
        <x:f>IF(ISBLANK('Assumptions'!H53),"__BLANK__",'Assumptions'!H53)</x:f>
        <x:v>0.0179049103085</x:v>
      </x:c>
      <x:c r="G282" s="44" t="n">
        <x:f>IF(ISBLANK(E282),IF(F282="__BLANK__",0,1),IF(E282=F282,0,1))</x:f>
        <x:v>0</x:v>
      </x:c>
    </x:row>
    <x:row r="283">
      <x:c r="C283" t="str">
        <x:v>Assumptions!H54</x:v>
      </x:c>
      <x:c r="E283" t="n">
        <x:v>0.0179049103085</x:v>
      </x:c>
      <x:c r="F283" s="44" t="n">
        <x:f>IF(ISBLANK('Assumptions'!H54),"__BLANK__",'Assumptions'!H54)</x:f>
        <x:v>0.0179049103085</x:v>
      </x:c>
      <x:c r="G283" s="44" t="n">
        <x:f>IF(ISBLANK(E283),IF(F283="__BLANK__",0,1),IF(E283=F283,0,1))</x:f>
        <x:v>0</x:v>
      </x:c>
    </x:row>
    <x:row r="284">
      <x:c r="C284" t="str">
        <x:v>Assumptions!H55</x:v>
      </x:c>
      <x:c r="E284" t="n">
        <x:v>0.0179049103085</x:v>
      </x:c>
      <x:c r="F284" s="44" t="n">
        <x:f>IF(ISBLANK('Assumptions'!H55),"__BLANK__",'Assumptions'!H55)</x:f>
        <x:v>0.0179049103085</x:v>
      </x:c>
      <x:c r="G284" s="44" t="n">
        <x:f>IF(ISBLANK(E284),IF(F284="__BLANK__",0,1),IF(E284=F284,0,1))</x:f>
        <x:v>0</x:v>
      </x:c>
    </x:row>
    <x:row r="285">
      <x:c r="C285" t="str">
        <x:v>Assumptions!H56</x:v>
      </x:c>
      <x:c r="E285" t="n">
        <x:v>0.0179049103085</x:v>
      </x:c>
      <x:c r="F285" s="44" t="n">
        <x:f>IF(ISBLANK('Assumptions'!H56),"__BLANK__",'Assumptions'!H56)</x:f>
        <x:v>0.0179049103085</x:v>
      </x:c>
      <x:c r="G285" s="44" t="n">
        <x:f>IF(ISBLANK(E285),IF(F285="__BLANK__",0,1),IF(E285=F285,0,1))</x:f>
        <x:v>0</x:v>
      </x:c>
    </x:row>
    <x:row r="286">
      <x:c r="C286" t="str">
        <x:v>Assumptions!H57</x:v>
      </x:c>
      <x:c r="E286" t="n">
        <x:v>0.0179049103085</x:v>
      </x:c>
      <x:c r="F286" s="44" t="n">
        <x:f>IF(ISBLANK('Assumptions'!H57),"__BLANK__",'Assumptions'!H57)</x:f>
        <x:v>0.0179049103085</x:v>
      </x:c>
      <x:c r="G286" s="44" t="n">
        <x:f>IF(ISBLANK(E286),IF(F286="__BLANK__",0,1),IF(E286=F286,0,1))</x:f>
        <x:v>0</x:v>
      </x:c>
    </x:row>
    <x:row r="287">
      <x:c r="C287" t="str">
        <x:v>Assumptions!I51</x:v>
      </x:c>
      <x:c r="E287" t="n">
        <x:v>0.0179049103085</x:v>
      </x:c>
      <x:c r="F287" s="44" t="n">
        <x:f>IF(ISBLANK('Assumptions'!I51),"__BLANK__",'Assumptions'!I51)</x:f>
        <x:v>0.0179049103085</x:v>
      </x:c>
      <x:c r="G287" s="44" t="n">
        <x:f>IF(ISBLANK(E287),IF(F287="__BLANK__",0,1),IF(E287=F287,0,1))</x:f>
        <x:v>0</x:v>
      </x:c>
    </x:row>
    <x:row r="288">
      <x:c r="C288" t="str">
        <x:v>Assumptions!I52</x:v>
      </x:c>
      <x:c r="E288" t="n">
        <x:v>0.0179049103085</x:v>
      </x:c>
      <x:c r="F288" s="44" t="n">
        <x:f>IF(ISBLANK('Assumptions'!I52),"__BLANK__",'Assumptions'!I52)</x:f>
        <x:v>0.0179049103085</x:v>
      </x:c>
      <x:c r="G288" s="44" t="n">
        <x:f>IF(ISBLANK(E288),IF(F288="__BLANK__",0,1),IF(E288=F288,0,1))</x:f>
        <x:v>0</x:v>
      </x:c>
    </x:row>
    <x:row r="289">
      <x:c r="C289" t="str">
        <x:v>Assumptions!I53</x:v>
      </x:c>
      <x:c r="E289" t="n">
        <x:v>0.0179049103085</x:v>
      </x:c>
      <x:c r="F289" s="44" t="n">
        <x:f>IF(ISBLANK('Assumptions'!I53),"__BLANK__",'Assumptions'!I53)</x:f>
        <x:v>0.0179049103085</x:v>
      </x:c>
      <x:c r="G289" s="44" t="n">
        <x:f>IF(ISBLANK(E289),IF(F289="__BLANK__",0,1),IF(E289=F289,0,1))</x:f>
        <x:v>0</x:v>
      </x:c>
    </x:row>
    <x:row r="290">
      <x:c r="C290" t="str">
        <x:v>Assumptions!I54</x:v>
      </x:c>
      <x:c r="E290" t="n">
        <x:v>0.0179049103085</x:v>
      </x:c>
      <x:c r="F290" s="44" t="n">
        <x:f>IF(ISBLANK('Assumptions'!I54),"__BLANK__",'Assumptions'!I54)</x:f>
        <x:v>0.0179049103085</x:v>
      </x:c>
      <x:c r="G290" s="44" t="n">
        <x:f>IF(ISBLANK(E290),IF(F290="__BLANK__",0,1),IF(E290=F290,0,1))</x:f>
        <x:v>0</x:v>
      </x:c>
    </x:row>
    <x:row r="291">
      <x:c r="C291" t="str">
        <x:v>Assumptions!I55</x:v>
      </x:c>
      <x:c r="E291" t="n">
        <x:v>0.0179049103085</x:v>
      </x:c>
      <x:c r="F291" s="44" t="n">
        <x:f>IF(ISBLANK('Assumptions'!I55),"__BLANK__",'Assumptions'!I55)</x:f>
        <x:v>0.0179049103085</x:v>
      </x:c>
      <x:c r="G291" s="44" t="n">
        <x:f>IF(ISBLANK(E291),IF(F291="__BLANK__",0,1),IF(E291=F291,0,1))</x:f>
        <x:v>0</x:v>
      </x:c>
    </x:row>
    <x:row r="292">
      <x:c r="C292" t="str">
        <x:v>Assumptions!I56</x:v>
      </x:c>
      <x:c r="E292" t="n">
        <x:v>0.0179049103085</x:v>
      </x:c>
      <x:c r="F292" s="44" t="n">
        <x:f>IF(ISBLANK('Assumptions'!I56),"__BLANK__",'Assumptions'!I56)</x:f>
        <x:v>0.0179049103085</x:v>
      </x:c>
      <x:c r="G292" s="44" t="n">
        <x:f>IF(ISBLANK(E292),IF(F292="__BLANK__",0,1),IF(E292=F292,0,1))</x:f>
        <x:v>0</x:v>
      </x:c>
    </x:row>
    <x:row r="293">
      <x:c r="C293" t="str">
        <x:v>Assumptions!I57</x:v>
      </x:c>
      <x:c r="E293" t="n">
        <x:v>0.0179049103085</x:v>
      </x:c>
      <x:c r="F293" s="44" t="n">
        <x:f>IF(ISBLANK('Assumptions'!I57),"__BLANK__",'Assumptions'!I57)</x:f>
        <x:v>0.0179049103085</x:v>
      </x:c>
      <x:c r="G293" s="44" t="n">
        <x:f>IF(ISBLANK(E293),IF(F293="__BLANK__",0,1),IF(E293=F293,0,1))</x:f>
        <x:v>0</x:v>
      </x:c>
    </x:row>
    <x:row r="294">
      <x:c r="C294" t="str">
        <x:v>Assumptions!J51</x:v>
      </x:c>
      <x:c r="E294"/>
      <x:c r="F294" s="44" t="str">
        <x:f>IF(ISBLANK('Assumptions'!J51),"__BLANK__",'Assumptions'!J51)</x:f>
        <x:v>__BLANK__</x:v>
      </x:c>
      <x:c r="G294" s="44" t="n">
        <x:f>IF(ISBLANK(E294),IF(F294="__BLANK__",0,1),IF(E294=F294,0,1))</x:f>
        <x:v>0</x:v>
      </x:c>
    </x:row>
    <x:row r="295">
      <x:c r="C295" t="str">
        <x:v>Assumptions!J52</x:v>
      </x:c>
      <x:c r="E295"/>
      <x:c r="F295" s="44" t="str">
        <x:f>IF(ISBLANK('Assumptions'!J52),"__BLANK__",'Assumptions'!J52)</x:f>
        <x:v>__BLANK__</x:v>
      </x:c>
      <x:c r="G295" s="44" t="n">
        <x:f>IF(ISBLANK(E295),IF(F295="__BLANK__",0,1),IF(E295=F295,0,1))</x:f>
        <x:v>0</x:v>
      </x:c>
    </x:row>
    <x:row r="296">
      <x:c r="C296" t="str">
        <x:v>Assumptions!J53</x:v>
      </x:c>
      <x:c r="E296"/>
      <x:c r="F296" s="44" t="str">
        <x:f>IF(ISBLANK('Assumptions'!J53),"__BLANK__",'Assumptions'!J53)</x:f>
        <x:v>__BLANK__</x:v>
      </x:c>
      <x:c r="G296" s="44" t="n">
        <x:f>IF(ISBLANK(E296),IF(F296="__BLANK__",0,1),IF(E296=F296,0,1))</x:f>
        <x:v>0</x:v>
      </x:c>
    </x:row>
    <x:row r="297">
      <x:c r="C297" t="str">
        <x:v>Assumptions!J54</x:v>
      </x:c>
      <x:c r="E297"/>
      <x:c r="F297" s="44" t="str">
        <x:f>IF(ISBLANK('Assumptions'!J54),"__BLANK__",'Assumptions'!J54)</x:f>
        <x:v>__BLANK__</x:v>
      </x:c>
      <x:c r="G297" s="44" t="n">
        <x:f>IF(ISBLANK(E297),IF(F297="__BLANK__",0,1),IF(E297=F297,0,1))</x:f>
        <x:v>0</x:v>
      </x:c>
    </x:row>
    <x:row r="298">
      <x:c r="C298" t="str">
        <x:v>Assumptions!J55</x:v>
      </x:c>
      <x:c r="E298"/>
      <x:c r="F298" s="44" t="str">
        <x:f>IF(ISBLANK('Assumptions'!J55),"__BLANK__",'Assumptions'!J55)</x:f>
        <x:v>__BLANK__</x:v>
      </x:c>
      <x:c r="G298" s="44" t="n">
        <x:f>IF(ISBLANK(E298),IF(F298="__BLANK__",0,1),IF(E298=F298,0,1))</x:f>
        <x:v>0</x:v>
      </x:c>
    </x:row>
    <x:row r="299">
      <x:c r="C299" t="str">
        <x:v>Assumptions!J56</x:v>
      </x:c>
      <x:c r="E299"/>
      <x:c r="F299" s="44" t="str">
        <x:f>IF(ISBLANK('Assumptions'!J56),"__BLANK__",'Assumptions'!J56)</x:f>
        <x:v>__BLANK__</x:v>
      </x:c>
      <x:c r="G299" s="44" t="n">
        <x:f>IF(ISBLANK(E299),IF(F299="__BLANK__",0,1),IF(E299=F299,0,1))</x:f>
        <x:v>0</x:v>
      </x:c>
    </x:row>
    <x:row r="300">
      <x:c r="C300" t="str">
        <x:v>Assumptions!J57</x:v>
      </x:c>
      <x:c r="E300"/>
      <x:c r="F300" s="44" t="str">
        <x:f>IF(ISBLANK('Assumptions'!J57),"__BLANK__",'Assumptions'!J57)</x:f>
        <x:v>__BLANK__</x:v>
      </x:c>
      <x:c r="G300" s="44" t="n">
        <x:f>IF(ISBLANK(E300),IF(F300="__BLANK__",0,1),IF(E300=F300,0,1))</x:f>
        <x:v>0</x:v>
      </x:c>
    </x:row>
    <x:row r="301">
      <x:c r="C301" t="str">
        <x:v>Assumptions!K51</x:v>
      </x:c>
      <x:c r="E301"/>
      <x:c r="F301" s="44" t="str">
        <x:f>IF(ISBLANK('Assumptions'!K51),"__BLANK__",'Assumptions'!K51)</x:f>
        <x:v>__BLANK__</x:v>
      </x:c>
      <x:c r="G301" s="44" t="n">
        <x:f>IF(ISBLANK(E301),IF(F301="__BLANK__",0,1),IF(E301=F301,0,1))</x:f>
        <x:v>0</x:v>
      </x:c>
    </x:row>
    <x:row r="302">
      <x:c r="C302" t="str">
        <x:v>Assumptions!K52</x:v>
      </x:c>
      <x:c r="E302"/>
      <x:c r="F302" s="44" t="str">
        <x:f>IF(ISBLANK('Assumptions'!K52),"__BLANK__",'Assumptions'!K52)</x:f>
        <x:v>__BLANK__</x:v>
      </x:c>
      <x:c r="G302" s="44" t="n">
        <x:f>IF(ISBLANK(E302),IF(F302="__BLANK__",0,1),IF(E302=F302,0,1))</x:f>
        <x:v>0</x:v>
      </x:c>
    </x:row>
    <x:row r="303">
      <x:c r="C303" t="str">
        <x:v>Assumptions!K53</x:v>
      </x:c>
      <x:c r="E303"/>
      <x:c r="F303" s="44" t="str">
        <x:f>IF(ISBLANK('Assumptions'!K53),"__BLANK__",'Assumptions'!K53)</x:f>
        <x:v>__BLANK__</x:v>
      </x:c>
      <x:c r="G303" s="44" t="n">
        <x:f>IF(ISBLANK(E303),IF(F303="__BLANK__",0,1),IF(E303=F303,0,1))</x:f>
        <x:v>0</x:v>
      </x:c>
    </x:row>
    <x:row r="304">
      <x:c r="C304" t="str">
        <x:v>Assumptions!K54</x:v>
      </x:c>
      <x:c r="E304"/>
      <x:c r="F304" s="44" t="str">
        <x:f>IF(ISBLANK('Assumptions'!K54),"__BLANK__",'Assumptions'!K54)</x:f>
        <x:v>__BLANK__</x:v>
      </x:c>
      <x:c r="G304" s="44" t="n">
        <x:f>IF(ISBLANK(E304),IF(F304="__BLANK__",0,1),IF(E304=F304,0,1))</x:f>
        <x:v>0</x:v>
      </x:c>
    </x:row>
    <x:row r="305">
      <x:c r="C305" t="str">
        <x:v>Assumptions!K55</x:v>
      </x:c>
      <x:c r="E305"/>
      <x:c r="F305" s="44" t="str">
        <x:f>IF(ISBLANK('Assumptions'!K55),"__BLANK__",'Assumptions'!K55)</x:f>
        <x:v>__BLANK__</x:v>
      </x:c>
      <x:c r="G305" s="44" t="n">
        <x:f>IF(ISBLANK(E305),IF(F305="__BLANK__",0,1),IF(E305=F305,0,1))</x:f>
        <x:v>0</x:v>
      </x:c>
    </x:row>
    <x:row r="306">
      <x:c r="C306" t="str">
        <x:v>Assumptions!K56</x:v>
      </x:c>
      <x:c r="E306"/>
      <x:c r="F306" s="44" t="str">
        <x:f>IF(ISBLANK('Assumptions'!K56),"__BLANK__",'Assumptions'!K56)</x:f>
        <x:v>__BLANK__</x:v>
      </x:c>
      <x:c r="G306" s="44" t="n">
        <x:f>IF(ISBLANK(E306),IF(F306="__BLANK__",0,1),IF(E306=F306,0,1))</x:f>
        <x:v>0</x:v>
      </x:c>
    </x:row>
    <x:row r="307">
      <x:c r="C307" t="str">
        <x:v>Assumptions!K57</x:v>
      </x:c>
      <x:c r="E307"/>
      <x:c r="F307" s="44" t="str">
        <x:f>IF(ISBLANK('Assumptions'!K57),"__BLANK__",'Assumptions'!K57)</x:f>
        <x:v>__BLANK__</x:v>
      </x:c>
      <x:c r="G307" s="44" t="n">
        <x:f>IF(ISBLANK(E307),IF(F307="__BLANK__",0,1),IF(E307=F307,0,1))</x:f>
        <x:v>0</x:v>
      </x:c>
    </x:row>
    <x:row r="308">
      <x:c r="C308" t="str">
        <x:v>Assumptions!L51</x:v>
      </x:c>
      <x:c r="E308"/>
      <x:c r="F308" s="44" t="str">
        <x:f>IF(ISBLANK('Assumptions'!L51),"__BLANK__",'Assumptions'!L51)</x:f>
        <x:v>__BLANK__</x:v>
      </x:c>
      <x:c r="G308" s="44" t="n">
        <x:f>IF(ISBLANK(E308),IF(F308="__BLANK__",0,1),IF(E308=F308,0,1))</x:f>
        <x:v>0</x:v>
      </x:c>
    </x:row>
    <x:row r="309">
      <x:c r="C309" t="str">
        <x:v>Assumptions!L52</x:v>
      </x:c>
      <x:c r="E309"/>
      <x:c r="F309" s="44" t="str">
        <x:f>IF(ISBLANK('Assumptions'!L52),"__BLANK__",'Assumptions'!L52)</x:f>
        <x:v>__BLANK__</x:v>
      </x:c>
      <x:c r="G309" s="44" t="n">
        <x:f>IF(ISBLANK(E309),IF(F309="__BLANK__",0,1),IF(E309=F309,0,1))</x:f>
        <x:v>0</x:v>
      </x:c>
    </x:row>
    <x:row r="310">
      <x:c r="C310" t="str">
        <x:v>Assumptions!L53</x:v>
      </x:c>
      <x:c r="E310"/>
      <x:c r="F310" s="44" t="str">
        <x:f>IF(ISBLANK('Assumptions'!L53),"__BLANK__",'Assumptions'!L53)</x:f>
        <x:v>__BLANK__</x:v>
      </x:c>
      <x:c r="G310" s="44" t="n">
        <x:f>IF(ISBLANK(E310),IF(F310="__BLANK__",0,1),IF(E310=F310,0,1))</x:f>
        <x:v>0</x:v>
      </x:c>
    </x:row>
    <x:row r="311">
      <x:c r="C311" t="str">
        <x:v>Assumptions!L54</x:v>
      </x:c>
      <x:c r="E311"/>
      <x:c r="F311" s="44" t="str">
        <x:f>IF(ISBLANK('Assumptions'!L54),"__BLANK__",'Assumptions'!L54)</x:f>
        <x:v>__BLANK__</x:v>
      </x:c>
      <x:c r="G311" s="44" t="n">
        <x:f>IF(ISBLANK(E311),IF(F311="__BLANK__",0,1),IF(E311=F311,0,1))</x:f>
        <x:v>0</x:v>
      </x:c>
    </x:row>
    <x:row r="312">
      <x:c r="C312" t="str">
        <x:v>Assumptions!L55</x:v>
      </x:c>
      <x:c r="E312"/>
      <x:c r="F312" s="44" t="str">
        <x:f>IF(ISBLANK('Assumptions'!L55),"__BLANK__",'Assumptions'!L55)</x:f>
        <x:v>__BLANK__</x:v>
      </x:c>
      <x:c r="G312" s="44" t="n">
        <x:f>IF(ISBLANK(E312),IF(F312="__BLANK__",0,1),IF(E312=F312,0,1))</x:f>
        <x:v>0</x:v>
      </x:c>
    </x:row>
    <x:row r="313">
      <x:c r="C313" t="str">
        <x:v>Assumptions!L56</x:v>
      </x:c>
      <x:c r="E313"/>
      <x:c r="F313" s="44" t="str">
        <x:f>IF(ISBLANK('Assumptions'!L56),"__BLANK__",'Assumptions'!L56)</x:f>
        <x:v>__BLANK__</x:v>
      </x:c>
      <x:c r="G313" s="44" t="n">
        <x:f>IF(ISBLANK(E313),IF(F313="__BLANK__",0,1),IF(E313=F313,0,1))</x:f>
        <x:v>0</x:v>
      </x:c>
    </x:row>
    <x:row r="314">
      <x:c r="C314" t="str">
        <x:v>Assumptions!L57</x:v>
      </x:c>
      <x:c r="E314"/>
      <x:c r="F314" s="44" t="str">
        <x:f>IF(ISBLANK('Assumptions'!L57),"__BLANK__",'Assumptions'!L57)</x:f>
        <x:v>__BLANK__</x:v>
      </x:c>
      <x:c r="G314" s="44" t="n">
        <x:f>IF(ISBLANK(E314),IF(F314="__BLANK__",0,1),IF(E314=F314,0,1))</x:f>
        <x:v>0</x:v>
      </x:c>
    </x:row>
    <x:row r="315">
      <x:c r="C315" t="str">
        <x:v>Assumptions!E61</x:v>
      </x:c>
      <x:c r="E315"/>
      <x:c r="F315" s="44" t="str">
        <x:f>IF(ISBLANK('Assumptions'!E61),"__BLANK__",'Assumptions'!E61)</x:f>
        <x:v>__BLANK__</x:v>
      </x:c>
      <x:c r="G315" s="44" t="n">
        <x:f>IF(ISBLANK(E315),IF(F315="__BLANK__",0,1),IF(E315=F315,0,1))</x:f>
        <x:v>0</x:v>
      </x:c>
    </x:row>
    <x:row r="316">
      <x:c r="C316" t="str">
        <x:v>Assumptions!E62</x:v>
      </x:c>
      <x:c r="E316"/>
      <x:c r="F316" s="44" t="str">
        <x:f>IF(ISBLANK('Assumptions'!E62),"__BLANK__",'Assumptions'!E62)</x:f>
        <x:v>__BLANK__</x:v>
      </x:c>
      <x:c r="G316" s="44" t="n">
        <x:f>IF(ISBLANK(E316),IF(F316="__BLANK__",0,1),IF(E316=F316,0,1))</x:f>
        <x:v>0</x:v>
      </x:c>
    </x:row>
    <x:row r="317">
      <x:c r="C317" t="str">
        <x:v>Assumptions!E63</x:v>
      </x:c>
      <x:c r="E317"/>
      <x:c r="F317" s="44" t="str">
        <x:f>IF(ISBLANK('Assumptions'!E63),"__BLANK__",'Assumptions'!E63)</x:f>
        <x:v>__BLANK__</x:v>
      </x:c>
      <x:c r="G317" s="44" t="n">
        <x:f>IF(ISBLANK(E317),IF(F317="__BLANK__",0,1),IF(E317=F317,0,1))</x:f>
        <x:v>0</x:v>
      </x:c>
    </x:row>
    <x:row r="318">
      <x:c r="C318" t="str">
        <x:v>Assumptions!E64</x:v>
      </x:c>
      <x:c r="E318"/>
      <x:c r="F318" s="44" t="str">
        <x:f>IF(ISBLANK('Assumptions'!E64),"__BLANK__",'Assumptions'!E64)</x:f>
        <x:v>__BLANK__</x:v>
      </x:c>
      <x:c r="G318" s="44" t="n">
        <x:f>IF(ISBLANK(E318),IF(F318="__BLANK__",0,1),IF(E318=F318,0,1))</x:f>
        <x:v>0</x:v>
      </x:c>
    </x:row>
    <x:row r="319">
      <x:c r="C319" t="str">
        <x:v>Assumptions!E65</x:v>
      </x:c>
      <x:c r="E319"/>
      <x:c r="F319" s="44" t="str">
        <x:f>IF(ISBLANK('Assumptions'!E65),"__BLANK__",'Assumptions'!E65)</x:f>
        <x:v>__BLANK__</x:v>
      </x:c>
      <x:c r="G319" s="44" t="n">
        <x:f>IF(ISBLANK(E319),IF(F319="__BLANK__",0,1),IF(E319=F319,0,1))</x:f>
        <x:v>0</x:v>
      </x:c>
    </x:row>
    <x:row r="320">
      <x:c r="C320" t="str">
        <x:v>Assumptions!E66</x:v>
      </x:c>
      <x:c r="E320"/>
      <x:c r="F320" s="44" t="str">
        <x:f>IF(ISBLANK('Assumptions'!E66),"__BLANK__",'Assumptions'!E66)</x:f>
        <x:v>__BLANK__</x:v>
      </x:c>
      <x:c r="G320" s="44" t="n">
        <x:f>IF(ISBLANK(E320),IF(F320="__BLANK__",0,1),IF(E320=F320,0,1))</x:f>
        <x:v>0</x:v>
      </x:c>
    </x:row>
    <x:row r="321">
      <x:c r="C321" t="str">
        <x:v>Assumptions!E67</x:v>
      </x:c>
      <x:c r="E321"/>
      <x:c r="F321" s="44" t="str">
        <x:f>IF(ISBLANK('Assumptions'!E67),"__BLANK__",'Assumptions'!E67)</x:f>
        <x:v>__BLANK__</x:v>
      </x:c>
      <x:c r="G321" s="44" t="n">
        <x:f>IF(ISBLANK(E321),IF(F321="__BLANK__",0,1),IF(E321=F321,0,1))</x:f>
        <x:v>0</x:v>
      </x:c>
    </x:row>
    <x:row r="322">
      <x:c r="C322" t="str">
        <x:v>Assumptions!F61</x:v>
      </x:c>
      <x:c r="E322"/>
      <x:c r="F322" s="44" t="str">
        <x:f>IF(ISBLANK('Assumptions'!F61),"__BLANK__",'Assumptions'!F61)</x:f>
        <x:v>__BLANK__</x:v>
      </x:c>
      <x:c r="G322" s="44" t="n">
        <x:f>IF(ISBLANK(E322),IF(F322="__BLANK__",0,1),IF(E322=F322,0,1))</x:f>
        <x:v>0</x:v>
      </x:c>
    </x:row>
    <x:row r="323">
      <x:c r="C323" t="str">
        <x:v>Assumptions!F62</x:v>
      </x:c>
      <x:c r="E323"/>
      <x:c r="F323" s="44" t="str">
        <x:f>IF(ISBLANK('Assumptions'!F62),"__BLANK__",'Assumptions'!F62)</x:f>
        <x:v>__BLANK__</x:v>
      </x:c>
      <x:c r="G323" s="44" t="n">
        <x:f>IF(ISBLANK(E323),IF(F323="__BLANK__",0,1),IF(E323=F323,0,1))</x:f>
        <x:v>0</x:v>
      </x:c>
    </x:row>
    <x:row r="324">
      <x:c r="C324" t="str">
        <x:v>Assumptions!F63</x:v>
      </x:c>
      <x:c r="E324"/>
      <x:c r="F324" s="44" t="str">
        <x:f>IF(ISBLANK('Assumptions'!F63),"__BLANK__",'Assumptions'!F63)</x:f>
        <x:v>__BLANK__</x:v>
      </x:c>
      <x:c r="G324" s="44" t="n">
        <x:f>IF(ISBLANK(E324),IF(F324="__BLANK__",0,1),IF(E324=F324,0,1))</x:f>
        <x:v>0</x:v>
      </x:c>
    </x:row>
    <x:row r="325">
      <x:c r="C325" t="str">
        <x:v>Assumptions!F64</x:v>
      </x:c>
      <x:c r="E325"/>
      <x:c r="F325" s="44" t="str">
        <x:f>IF(ISBLANK('Assumptions'!F64),"__BLANK__",'Assumptions'!F64)</x:f>
        <x:v>__BLANK__</x:v>
      </x:c>
      <x:c r="G325" s="44" t="n">
        <x:f>IF(ISBLANK(E325),IF(F325="__BLANK__",0,1),IF(E325=F325,0,1))</x:f>
        <x:v>0</x:v>
      </x:c>
    </x:row>
    <x:row r="326">
      <x:c r="C326" t="str">
        <x:v>Assumptions!F65</x:v>
      </x:c>
      <x:c r="E326"/>
      <x:c r="F326" s="44" t="str">
        <x:f>IF(ISBLANK('Assumptions'!F65),"__BLANK__",'Assumptions'!F65)</x:f>
        <x:v>__BLANK__</x:v>
      </x:c>
      <x:c r="G326" s="44" t="n">
        <x:f>IF(ISBLANK(E326),IF(F326="__BLANK__",0,1),IF(E326=F326,0,1))</x:f>
        <x:v>0</x:v>
      </x:c>
    </x:row>
    <x:row r="327">
      <x:c r="C327" t="str">
        <x:v>Assumptions!F66</x:v>
      </x:c>
      <x:c r="E327"/>
      <x:c r="F327" s="44" t="str">
        <x:f>IF(ISBLANK('Assumptions'!F66),"__BLANK__",'Assumptions'!F66)</x:f>
        <x:v>__BLANK__</x:v>
      </x:c>
      <x:c r="G327" s="44" t="n">
        <x:f>IF(ISBLANK(E327),IF(F327="__BLANK__",0,1),IF(E327=F327,0,1))</x:f>
        <x:v>0</x:v>
      </x:c>
    </x:row>
    <x:row r="328">
      <x:c r="C328" t="str">
        <x:v>Assumptions!F67</x:v>
      </x:c>
      <x:c r="E328"/>
      <x:c r="F328" s="44" t="str">
        <x:f>IF(ISBLANK('Assumptions'!F67),"__BLANK__",'Assumptions'!F67)</x:f>
        <x:v>__BLANK__</x:v>
      </x:c>
      <x:c r="G328" s="44" t="n">
        <x:f>IF(ISBLANK(E328),IF(F328="__BLANK__",0,1),IF(E328=F328,0,1))</x:f>
        <x:v>0</x:v>
      </x:c>
    </x:row>
    <x:row r="329">
      <x:c r="C329" t="str">
        <x:v>Assumptions!G61</x:v>
      </x:c>
      <x:c r="E329"/>
      <x:c r="F329" s="44" t="str">
        <x:f>IF(ISBLANK('Assumptions'!G61),"__BLANK__",'Assumptions'!G61)</x:f>
        <x:v>__BLANK__</x:v>
      </x:c>
      <x:c r="G329" s="44" t="n">
        <x:f>IF(ISBLANK(E329),IF(F329="__BLANK__",0,1),IF(E329=F329,0,1))</x:f>
        <x:v>0</x:v>
      </x:c>
    </x:row>
    <x:row r="330">
      <x:c r="C330" t="str">
        <x:v>Assumptions!G62</x:v>
      </x:c>
      <x:c r="E330"/>
      <x:c r="F330" s="44" t="str">
        <x:f>IF(ISBLANK('Assumptions'!G62),"__BLANK__",'Assumptions'!G62)</x:f>
        <x:v>__BLANK__</x:v>
      </x:c>
      <x:c r="G330" s="44" t="n">
        <x:f>IF(ISBLANK(E330),IF(F330="__BLANK__",0,1),IF(E330=F330,0,1))</x:f>
        <x:v>0</x:v>
      </x:c>
    </x:row>
    <x:row r="331">
      <x:c r="C331" t="str">
        <x:v>Assumptions!G63</x:v>
      </x:c>
      <x:c r="E331"/>
      <x:c r="F331" s="44" t="str">
        <x:f>IF(ISBLANK('Assumptions'!G63),"__BLANK__",'Assumptions'!G63)</x:f>
        <x:v>__BLANK__</x:v>
      </x:c>
      <x:c r="G331" s="44" t="n">
        <x:f>IF(ISBLANK(E331),IF(F331="__BLANK__",0,1),IF(E331=F331,0,1))</x:f>
        <x:v>0</x:v>
      </x:c>
    </x:row>
    <x:row r="332">
      <x:c r="C332" t="str">
        <x:v>Assumptions!G64</x:v>
      </x:c>
      <x:c r="E332"/>
      <x:c r="F332" s="44" t="str">
        <x:f>IF(ISBLANK('Assumptions'!G64),"__BLANK__",'Assumptions'!G64)</x:f>
        <x:v>__BLANK__</x:v>
      </x:c>
      <x:c r="G332" s="44" t="n">
        <x:f>IF(ISBLANK(E332),IF(F332="__BLANK__",0,1),IF(E332=F332,0,1))</x:f>
        <x:v>0</x:v>
      </x:c>
    </x:row>
    <x:row r="333">
      <x:c r="C333" t="str">
        <x:v>Assumptions!G65</x:v>
      </x:c>
      <x:c r="E333"/>
      <x:c r="F333" s="44" t="str">
        <x:f>IF(ISBLANK('Assumptions'!G65),"__BLANK__",'Assumptions'!G65)</x:f>
        <x:v>__BLANK__</x:v>
      </x:c>
      <x:c r="G333" s="44" t="n">
        <x:f>IF(ISBLANK(E333),IF(F333="__BLANK__",0,1),IF(E333=F333,0,1))</x:f>
        <x:v>0</x:v>
      </x:c>
    </x:row>
    <x:row r="334">
      <x:c r="C334" t="str">
        <x:v>Assumptions!G66</x:v>
      </x:c>
      <x:c r="E334" t="n">
        <x:v>-0.01</x:v>
      </x:c>
      <x:c r="F334" s="44" t="n">
        <x:f>IF(ISBLANK('Assumptions'!G66),"__BLANK__",'Assumptions'!G66)</x:f>
        <x:v>-0.01</x:v>
      </x:c>
      <x:c r="G334" s="44" t="n">
        <x:f>IF(ISBLANK(E334),IF(F334="__BLANK__",0,1),IF(E334=F334,0,1))</x:f>
        <x:v>0</x:v>
      </x:c>
    </x:row>
    <x:row r="335">
      <x:c r="C335" t="str">
        <x:v>Assumptions!G67</x:v>
      </x:c>
      <x:c r="E335" t="n">
        <x:v>0.01</x:v>
      </x:c>
      <x:c r="F335" s="44" t="n">
        <x:f>IF(ISBLANK('Assumptions'!G67),"__BLANK__",'Assumptions'!G67)</x:f>
        <x:v>0.01</x:v>
      </x:c>
      <x:c r="G335" s="44" t="n">
        <x:f>IF(ISBLANK(E335),IF(F335="__BLANK__",0,1),IF(E335=F335,0,1))</x:f>
        <x:v>0</x:v>
      </x:c>
    </x:row>
    <x:row r="336">
      <x:c r="C336" t="str">
        <x:v>Assumptions!H61</x:v>
      </x:c>
      <x:c r="E336"/>
      <x:c r="F336" s="44" t="str">
        <x:f>IF(ISBLANK('Assumptions'!H61),"__BLANK__",'Assumptions'!H61)</x:f>
        <x:v>__BLANK__</x:v>
      </x:c>
      <x:c r="G336" s="44" t="n">
        <x:f>IF(ISBLANK(E336),IF(F336="__BLANK__",0,1),IF(E336=F336,0,1))</x:f>
        <x:v>0</x:v>
      </x:c>
    </x:row>
    <x:row r="337">
      <x:c r="C337" t="str">
        <x:v>Assumptions!H62</x:v>
      </x:c>
      <x:c r="E337"/>
      <x:c r="F337" s="44" t="str">
        <x:f>IF(ISBLANK('Assumptions'!H62),"__BLANK__",'Assumptions'!H62)</x:f>
        <x:v>__BLANK__</x:v>
      </x:c>
      <x:c r="G337" s="44" t="n">
        <x:f>IF(ISBLANK(E337),IF(F337="__BLANK__",0,1),IF(E337=F337,0,1))</x:f>
        <x:v>0</x:v>
      </x:c>
    </x:row>
    <x:row r="338">
      <x:c r="C338" t="str">
        <x:v>Assumptions!H63</x:v>
      </x:c>
      <x:c r="E338"/>
      <x:c r="F338" s="44" t="str">
        <x:f>IF(ISBLANK('Assumptions'!H63),"__BLANK__",'Assumptions'!H63)</x:f>
        <x:v>__BLANK__</x:v>
      </x:c>
      <x:c r="G338" s="44" t="n">
        <x:f>IF(ISBLANK(E338),IF(F338="__BLANK__",0,1),IF(E338=F338,0,1))</x:f>
        <x:v>0</x:v>
      </x:c>
    </x:row>
    <x:row r="339">
      <x:c r="C339" t="str">
        <x:v>Assumptions!H64</x:v>
      </x:c>
      <x:c r="E339"/>
      <x:c r="F339" s="44" t="str">
        <x:f>IF(ISBLANK('Assumptions'!H64),"__BLANK__",'Assumptions'!H64)</x:f>
        <x:v>__BLANK__</x:v>
      </x:c>
      <x:c r="G339" s="44" t="n">
        <x:f>IF(ISBLANK(E339),IF(F339="__BLANK__",0,1),IF(E339=F339,0,1))</x:f>
        <x:v>0</x:v>
      </x:c>
    </x:row>
    <x:row r="340">
      <x:c r="C340" t="str">
        <x:v>Assumptions!H65</x:v>
      </x:c>
      <x:c r="E340"/>
      <x:c r="F340" s="44" t="str">
        <x:f>IF(ISBLANK('Assumptions'!H65),"__BLANK__",'Assumptions'!H65)</x:f>
        <x:v>__BLANK__</x:v>
      </x:c>
      <x:c r="G340" s="44" t="n">
        <x:f>IF(ISBLANK(E340),IF(F340="__BLANK__",0,1),IF(E340=F340,0,1))</x:f>
        <x:v>0</x:v>
      </x:c>
    </x:row>
    <x:row r="341">
      <x:c r="C341" t="str">
        <x:v>Assumptions!H66</x:v>
      </x:c>
      <x:c r="E341" t="n">
        <x:v>-0.01</x:v>
      </x:c>
      <x:c r="F341" s="44" t="n">
        <x:f>IF(ISBLANK('Assumptions'!H66),"__BLANK__",'Assumptions'!H66)</x:f>
        <x:v>-0.01</x:v>
      </x:c>
      <x:c r="G341" s="44" t="n">
        <x:f>IF(ISBLANK(E341),IF(F341="__BLANK__",0,1),IF(E341=F341,0,1))</x:f>
        <x:v>0</x:v>
      </x:c>
    </x:row>
    <x:row r="342">
      <x:c r="C342" t="str">
        <x:v>Assumptions!H67</x:v>
      </x:c>
      <x:c r="E342" t="n">
        <x:v>0.01</x:v>
      </x:c>
      <x:c r="F342" s="44" t="n">
        <x:f>IF(ISBLANK('Assumptions'!H67),"__BLANK__",'Assumptions'!H67)</x:f>
        <x:v>0.01</x:v>
      </x:c>
      <x:c r="G342" s="44" t="n">
        <x:f>IF(ISBLANK(E342),IF(F342="__BLANK__",0,1),IF(E342=F342,0,1))</x:f>
        <x:v>0</x:v>
      </x:c>
    </x:row>
    <x:row r="343">
      <x:c r="C343" t="str">
        <x:v>Assumptions!I61</x:v>
      </x:c>
      <x:c r="E343"/>
      <x:c r="F343" s="44" t="str">
        <x:f>IF(ISBLANK('Assumptions'!I61),"__BLANK__",'Assumptions'!I61)</x:f>
        <x:v>__BLANK__</x:v>
      </x:c>
      <x:c r="G343" s="44" t="n">
        <x:f>IF(ISBLANK(E343),IF(F343="__BLANK__",0,1),IF(E343=F343,0,1))</x:f>
        <x:v>0</x:v>
      </x:c>
    </x:row>
    <x:row r="344">
      <x:c r="C344" t="str">
        <x:v>Assumptions!I62</x:v>
      </x:c>
      <x:c r="E344"/>
      <x:c r="F344" s="44" t="str">
        <x:f>IF(ISBLANK('Assumptions'!I62),"__BLANK__",'Assumptions'!I62)</x:f>
        <x:v>__BLANK__</x:v>
      </x:c>
      <x:c r="G344" s="44" t="n">
        <x:f>IF(ISBLANK(E344),IF(F344="__BLANK__",0,1),IF(E344=F344,0,1))</x:f>
        <x:v>0</x:v>
      </x:c>
    </x:row>
    <x:row r="345">
      <x:c r="C345" t="str">
        <x:v>Assumptions!I63</x:v>
      </x:c>
      <x:c r="E345"/>
      <x:c r="F345" s="44" t="str">
        <x:f>IF(ISBLANK('Assumptions'!I63),"__BLANK__",'Assumptions'!I63)</x:f>
        <x:v>__BLANK__</x:v>
      </x:c>
      <x:c r="G345" s="44" t="n">
        <x:f>IF(ISBLANK(E345),IF(F345="__BLANK__",0,1),IF(E345=F345,0,1))</x:f>
        <x:v>0</x:v>
      </x:c>
    </x:row>
    <x:row r="346">
      <x:c r="C346" t="str">
        <x:v>Assumptions!I64</x:v>
      </x:c>
      <x:c r="E346"/>
      <x:c r="F346" s="44" t="str">
        <x:f>IF(ISBLANK('Assumptions'!I64),"__BLANK__",'Assumptions'!I64)</x:f>
        <x:v>__BLANK__</x:v>
      </x:c>
      <x:c r="G346" s="44" t="n">
        <x:f>IF(ISBLANK(E346),IF(F346="__BLANK__",0,1),IF(E346=F346,0,1))</x:f>
        <x:v>0</x:v>
      </x:c>
    </x:row>
    <x:row r="347">
      <x:c r="C347" t="str">
        <x:v>Assumptions!I65</x:v>
      </x:c>
      <x:c r="E347"/>
      <x:c r="F347" s="44" t="str">
        <x:f>IF(ISBLANK('Assumptions'!I65),"__BLANK__",'Assumptions'!I65)</x:f>
        <x:v>__BLANK__</x:v>
      </x:c>
      <x:c r="G347" s="44" t="n">
        <x:f>IF(ISBLANK(E347),IF(F347="__BLANK__",0,1),IF(E347=F347,0,1))</x:f>
        <x:v>0</x:v>
      </x:c>
    </x:row>
    <x:row r="348">
      <x:c r="C348" t="str">
        <x:v>Assumptions!I66</x:v>
      </x:c>
      <x:c r="E348" t="n">
        <x:v>-0.01</x:v>
      </x:c>
      <x:c r="F348" s="44" t="n">
        <x:f>IF(ISBLANK('Assumptions'!I66),"__BLANK__",'Assumptions'!I66)</x:f>
        <x:v>-0.01</x:v>
      </x:c>
      <x:c r="G348" s="44" t="n">
        <x:f>IF(ISBLANK(E348),IF(F348="__BLANK__",0,1),IF(E348=F348,0,1))</x:f>
        <x:v>0</x:v>
      </x:c>
    </x:row>
    <x:row r="349">
      <x:c r="C349" t="str">
        <x:v>Assumptions!I67</x:v>
      </x:c>
      <x:c r="E349" t="n">
        <x:v>0.01</x:v>
      </x:c>
      <x:c r="F349" s="44" t="n">
        <x:f>IF(ISBLANK('Assumptions'!I67),"__BLANK__",'Assumptions'!I67)</x:f>
        <x:v>0.01</x:v>
      </x:c>
      <x:c r="G349" s="44" t="n">
        <x:f>IF(ISBLANK(E349),IF(F349="__BLANK__",0,1),IF(E349=F349,0,1))</x:f>
        <x:v>0</x:v>
      </x:c>
    </x:row>
    <x:row r="350">
      <x:c r="C350" t="str">
        <x:v>Assumptions!J61</x:v>
      </x:c>
      <x:c r="E350"/>
      <x:c r="F350" s="44" t="str">
        <x:f>IF(ISBLANK('Assumptions'!J61),"__BLANK__",'Assumptions'!J61)</x:f>
        <x:v>__BLANK__</x:v>
      </x:c>
      <x:c r="G350" s="44" t="n">
        <x:f>IF(ISBLANK(E350),IF(F350="__BLANK__",0,1),IF(E350=F350,0,1))</x:f>
        <x:v>0</x:v>
      </x:c>
    </x:row>
    <x:row r="351">
      <x:c r="C351" t="str">
        <x:v>Assumptions!J62</x:v>
      </x:c>
      <x:c r="E351"/>
      <x:c r="F351" s="44" t="str">
        <x:f>IF(ISBLANK('Assumptions'!J62),"__BLANK__",'Assumptions'!J62)</x:f>
        <x:v>__BLANK__</x:v>
      </x:c>
      <x:c r="G351" s="44" t="n">
        <x:f>IF(ISBLANK(E351),IF(F351="__BLANK__",0,1),IF(E351=F351,0,1))</x:f>
        <x:v>0</x:v>
      </x:c>
    </x:row>
    <x:row r="352">
      <x:c r="C352" t="str">
        <x:v>Assumptions!J63</x:v>
      </x:c>
      <x:c r="E352"/>
      <x:c r="F352" s="44" t="str">
        <x:f>IF(ISBLANK('Assumptions'!J63),"__BLANK__",'Assumptions'!J63)</x:f>
        <x:v>__BLANK__</x:v>
      </x:c>
      <x:c r="G352" s="44" t="n">
        <x:f>IF(ISBLANK(E352),IF(F352="__BLANK__",0,1),IF(E352=F352,0,1))</x:f>
        <x:v>0</x:v>
      </x:c>
    </x:row>
    <x:row r="353">
      <x:c r="C353" t="str">
        <x:v>Assumptions!J64</x:v>
      </x:c>
      <x:c r="E353"/>
      <x:c r="F353" s="44" t="str">
        <x:f>IF(ISBLANK('Assumptions'!J64),"__BLANK__",'Assumptions'!J64)</x:f>
        <x:v>__BLANK__</x:v>
      </x:c>
      <x:c r="G353" s="44" t="n">
        <x:f>IF(ISBLANK(E353),IF(F353="__BLANK__",0,1),IF(E353=F353,0,1))</x:f>
        <x:v>0</x:v>
      </x:c>
    </x:row>
    <x:row r="354">
      <x:c r="C354" t="str">
        <x:v>Assumptions!J65</x:v>
      </x:c>
      <x:c r="E354"/>
      <x:c r="F354" s="44" t="str">
        <x:f>IF(ISBLANK('Assumptions'!J65),"__BLANK__",'Assumptions'!J65)</x:f>
        <x:v>__BLANK__</x:v>
      </x:c>
      <x:c r="G354" s="44" t="n">
        <x:f>IF(ISBLANK(E354),IF(F354="__BLANK__",0,1),IF(E354=F354,0,1))</x:f>
        <x:v>0</x:v>
      </x:c>
    </x:row>
    <x:row r="355">
      <x:c r="C355" t="str">
        <x:v>Assumptions!J66</x:v>
      </x:c>
      <x:c r="E355"/>
      <x:c r="F355" s="44" t="str">
        <x:f>IF(ISBLANK('Assumptions'!J66),"__BLANK__",'Assumptions'!J66)</x:f>
        <x:v>__BLANK__</x:v>
      </x:c>
      <x:c r="G355" s="44" t="n">
        <x:f>IF(ISBLANK(E355),IF(F355="__BLANK__",0,1),IF(E355=F355,0,1))</x:f>
        <x:v>0</x:v>
      </x:c>
    </x:row>
    <x:row r="356">
      <x:c r="C356" t="str">
        <x:v>Assumptions!J67</x:v>
      </x:c>
      <x:c r="E356"/>
      <x:c r="F356" s="44" t="str">
        <x:f>IF(ISBLANK('Assumptions'!J67),"__BLANK__",'Assumptions'!J67)</x:f>
        <x:v>__BLANK__</x:v>
      </x:c>
      <x:c r="G356" s="44" t="n">
        <x:f>IF(ISBLANK(E356),IF(F356="__BLANK__",0,1),IF(E356=F356,0,1))</x:f>
        <x:v>0</x:v>
      </x:c>
    </x:row>
    <x:row r="357">
      <x:c r="C357" t="str">
        <x:v>Assumptions!K61</x:v>
      </x:c>
      <x:c r="E357"/>
      <x:c r="F357" s="44" t="str">
        <x:f>IF(ISBLANK('Assumptions'!K61),"__BLANK__",'Assumptions'!K61)</x:f>
        <x:v>__BLANK__</x:v>
      </x:c>
      <x:c r="G357" s="44" t="n">
        <x:f>IF(ISBLANK(E357),IF(F357="__BLANK__",0,1),IF(E357=F357,0,1))</x:f>
        <x:v>0</x:v>
      </x:c>
    </x:row>
    <x:row r="358">
      <x:c r="C358" t="str">
        <x:v>Assumptions!K62</x:v>
      </x:c>
      <x:c r="E358"/>
      <x:c r="F358" s="44" t="str">
        <x:f>IF(ISBLANK('Assumptions'!K62),"__BLANK__",'Assumptions'!K62)</x:f>
        <x:v>__BLANK__</x:v>
      </x:c>
      <x:c r="G358" s="44" t="n">
        <x:f>IF(ISBLANK(E358),IF(F358="__BLANK__",0,1),IF(E358=F358,0,1))</x:f>
        <x:v>0</x:v>
      </x:c>
    </x:row>
    <x:row r="359">
      <x:c r="C359" t="str">
        <x:v>Assumptions!K63</x:v>
      </x:c>
      <x:c r="E359"/>
      <x:c r="F359" s="44" t="str">
        <x:f>IF(ISBLANK('Assumptions'!K63),"__BLANK__",'Assumptions'!K63)</x:f>
        <x:v>__BLANK__</x:v>
      </x:c>
      <x:c r="G359" s="44" t="n">
        <x:f>IF(ISBLANK(E359),IF(F359="__BLANK__",0,1),IF(E359=F359,0,1))</x:f>
        <x:v>0</x:v>
      </x:c>
    </x:row>
    <x:row r="360">
      <x:c r="C360" t="str">
        <x:v>Assumptions!K64</x:v>
      </x:c>
      <x:c r="E360"/>
      <x:c r="F360" s="44" t="str">
        <x:f>IF(ISBLANK('Assumptions'!K64),"__BLANK__",'Assumptions'!K64)</x:f>
        <x:v>__BLANK__</x:v>
      </x:c>
      <x:c r="G360" s="44" t="n">
        <x:f>IF(ISBLANK(E360),IF(F360="__BLANK__",0,1),IF(E360=F360,0,1))</x:f>
        <x:v>0</x:v>
      </x:c>
    </x:row>
    <x:row r="361">
      <x:c r="C361" t="str">
        <x:v>Assumptions!K65</x:v>
      </x:c>
      <x:c r="E361"/>
      <x:c r="F361" s="44" t="str">
        <x:f>IF(ISBLANK('Assumptions'!K65),"__BLANK__",'Assumptions'!K65)</x:f>
        <x:v>__BLANK__</x:v>
      </x:c>
      <x:c r="G361" s="44" t="n">
        <x:f>IF(ISBLANK(E361),IF(F361="__BLANK__",0,1),IF(E361=F361,0,1))</x:f>
        <x:v>0</x:v>
      </x:c>
    </x:row>
    <x:row r="362">
      <x:c r="C362" t="str">
        <x:v>Assumptions!K66</x:v>
      </x:c>
      <x:c r="E362"/>
      <x:c r="F362" s="44" t="str">
        <x:f>IF(ISBLANK('Assumptions'!K66),"__BLANK__",'Assumptions'!K66)</x:f>
        <x:v>__BLANK__</x:v>
      </x:c>
      <x:c r="G362" s="44" t="n">
        <x:f>IF(ISBLANK(E362),IF(F362="__BLANK__",0,1),IF(E362=F362,0,1))</x:f>
        <x:v>0</x:v>
      </x:c>
    </x:row>
    <x:row r="363">
      <x:c r="C363" t="str">
        <x:v>Assumptions!K67</x:v>
      </x:c>
      <x:c r="E363"/>
      <x:c r="F363" s="44" t="str">
        <x:f>IF(ISBLANK('Assumptions'!K67),"__BLANK__",'Assumptions'!K67)</x:f>
        <x:v>__BLANK__</x:v>
      </x:c>
      <x:c r="G363" s="44" t="n">
        <x:f>IF(ISBLANK(E363),IF(F363="__BLANK__",0,1),IF(E363=F363,0,1))</x:f>
        <x:v>0</x:v>
      </x:c>
    </x:row>
    <x:row r="364">
      <x:c r="C364" t="str">
        <x:v>Assumptions!L61</x:v>
      </x:c>
      <x:c r="E364"/>
      <x:c r="F364" s="44" t="str">
        <x:f>IF(ISBLANK('Assumptions'!L61),"__BLANK__",'Assumptions'!L61)</x:f>
        <x:v>__BLANK__</x:v>
      </x:c>
      <x:c r="G364" s="44" t="n">
        <x:f>IF(ISBLANK(E364),IF(F364="__BLANK__",0,1),IF(E364=F364,0,1))</x:f>
        <x:v>0</x:v>
      </x:c>
    </x:row>
    <x:row r="365">
      <x:c r="C365" t="str">
        <x:v>Assumptions!L62</x:v>
      </x:c>
      <x:c r="E365"/>
      <x:c r="F365" s="44" t="str">
        <x:f>IF(ISBLANK('Assumptions'!L62),"__BLANK__",'Assumptions'!L62)</x:f>
        <x:v>__BLANK__</x:v>
      </x:c>
      <x:c r="G365" s="44" t="n">
        <x:f>IF(ISBLANK(E365),IF(F365="__BLANK__",0,1),IF(E365=F365,0,1))</x:f>
        <x:v>0</x:v>
      </x:c>
    </x:row>
    <x:row r="366">
      <x:c r="C366" t="str">
        <x:v>Assumptions!L63</x:v>
      </x:c>
      <x:c r="E366"/>
      <x:c r="F366" s="44" t="str">
        <x:f>IF(ISBLANK('Assumptions'!L63),"__BLANK__",'Assumptions'!L63)</x:f>
        <x:v>__BLANK__</x:v>
      </x:c>
      <x:c r="G366" s="44" t="n">
        <x:f>IF(ISBLANK(E366),IF(F366="__BLANK__",0,1),IF(E366=F366,0,1))</x:f>
        <x:v>0</x:v>
      </x:c>
    </x:row>
    <x:row r="367">
      <x:c r="C367" t="str">
        <x:v>Assumptions!L64</x:v>
      </x:c>
      <x:c r="E367"/>
      <x:c r="F367" s="44" t="str">
        <x:f>IF(ISBLANK('Assumptions'!L64),"__BLANK__",'Assumptions'!L64)</x:f>
        <x:v>__BLANK__</x:v>
      </x:c>
      <x:c r="G367" s="44" t="n">
        <x:f>IF(ISBLANK(E367),IF(F367="__BLANK__",0,1),IF(E367=F367,0,1))</x:f>
        <x:v>0</x:v>
      </x:c>
    </x:row>
    <x:row r="368">
      <x:c r="C368" t="str">
        <x:v>Assumptions!L65</x:v>
      </x:c>
      <x:c r="E368"/>
      <x:c r="F368" s="44" t="str">
        <x:f>IF(ISBLANK('Assumptions'!L65),"__BLANK__",'Assumptions'!L65)</x:f>
        <x:v>__BLANK__</x:v>
      </x:c>
      <x:c r="G368" s="44" t="n">
        <x:f>IF(ISBLANK(E368),IF(F368="__BLANK__",0,1),IF(E368=F368,0,1))</x:f>
        <x:v>0</x:v>
      </x:c>
    </x:row>
    <x:row r="369">
      <x:c r="C369" t="str">
        <x:v>Assumptions!L66</x:v>
      </x:c>
      <x:c r="E369"/>
      <x:c r="F369" s="44" t="str">
        <x:f>IF(ISBLANK('Assumptions'!L66),"__BLANK__",'Assumptions'!L66)</x:f>
        <x:v>__BLANK__</x:v>
      </x:c>
      <x:c r="G369" s="44" t="n">
        <x:f>IF(ISBLANK(E369),IF(F369="__BLANK__",0,1),IF(E369=F369,0,1))</x:f>
        <x:v>0</x:v>
      </x:c>
    </x:row>
    <x:row r="370">
      <x:c r="C370" t="str">
        <x:v>Assumptions!L67</x:v>
      </x:c>
      <x:c r="E370"/>
      <x:c r="F370" s="44" t="str">
        <x:f>IF(ISBLANK('Assumptions'!L67),"__BLANK__",'Assumptions'!L67)</x:f>
        <x:v>__BLANK__</x:v>
      </x:c>
      <x:c r="G370" s="44" t="n">
        <x:f>IF(ISBLANK(E370),IF(F370="__BLANK__",0,1),IF(E370=F370,0,1))</x:f>
        <x:v>0</x:v>
      </x:c>
    </x:row>
    <x:row r="371">
      <x:c r="C371" t="str">
        <x:v>Assumptions!E71</x:v>
      </x:c>
      <x:c r="E371"/>
      <x:c r="F371" s="44" t="str">
        <x:f>IF(ISBLANK('Assumptions'!E71),"__BLANK__",'Assumptions'!E71)</x:f>
        <x:v>__BLANK__</x:v>
      </x:c>
      <x:c r="G371" s="44" t="n">
        <x:f>IF(ISBLANK(E371),IF(F371="__BLANK__",0,1),IF(E371=F371,0,1))</x:f>
        <x:v>0</x:v>
      </x:c>
    </x:row>
    <x:row r="372">
      <x:c r="C372" t="str">
        <x:v>Assumptions!E72</x:v>
      </x:c>
      <x:c r="E372"/>
      <x:c r="F372" s="44" t="str">
        <x:f>IF(ISBLANK('Assumptions'!E72),"__BLANK__",'Assumptions'!E72)</x:f>
        <x:v>__BLANK__</x:v>
      </x:c>
      <x:c r="G372" s="44" t="n">
        <x:f>IF(ISBLANK(E372),IF(F372="__BLANK__",0,1),IF(E372=F372,0,1))</x:f>
        <x:v>0</x:v>
      </x:c>
    </x:row>
    <x:row r="373">
      <x:c r="C373" t="str">
        <x:v>Assumptions!E73</x:v>
      </x:c>
      <x:c r="E373"/>
      <x:c r="F373" s="44" t="str">
        <x:f>IF(ISBLANK('Assumptions'!E73),"__BLANK__",'Assumptions'!E73)</x:f>
        <x:v>__BLANK__</x:v>
      </x:c>
      <x:c r="G373" s="44" t="n">
        <x:f>IF(ISBLANK(E373),IF(F373="__BLANK__",0,1),IF(E373=F373,0,1))</x:f>
        <x:v>0</x:v>
      </x:c>
    </x:row>
    <x:row r="374">
      <x:c r="C374" t="str">
        <x:v>Assumptions!E74</x:v>
      </x:c>
      <x:c r="E374"/>
      <x:c r="F374" s="44" t="str">
        <x:f>IF(ISBLANK('Assumptions'!E74),"__BLANK__",'Assumptions'!E74)</x:f>
        <x:v>__BLANK__</x:v>
      </x:c>
      <x:c r="G374" s="44" t="n">
        <x:f>IF(ISBLANK(E374),IF(F374="__BLANK__",0,1),IF(E374=F374,0,1))</x:f>
        <x:v>0</x:v>
      </x:c>
    </x:row>
    <x:row r="375">
      <x:c r="C375" t="str">
        <x:v>Assumptions!E75</x:v>
      </x:c>
      <x:c r="E375"/>
      <x:c r="F375" s="44" t="str">
        <x:f>IF(ISBLANK('Assumptions'!E75),"__BLANK__",'Assumptions'!E75)</x:f>
        <x:v>__BLANK__</x:v>
      </x:c>
      <x:c r="G375" s="44" t="n">
        <x:f>IF(ISBLANK(E375),IF(F375="__BLANK__",0,1),IF(E375=F375,0,1))</x:f>
        <x:v>0</x:v>
      </x:c>
    </x:row>
    <x:row r="376">
      <x:c r="C376" t="str">
        <x:v>Assumptions!E76</x:v>
      </x:c>
      <x:c r="E376"/>
      <x:c r="F376" s="44" t="str">
        <x:f>IF(ISBLANK('Assumptions'!E76),"__BLANK__",'Assumptions'!E76)</x:f>
        <x:v>__BLANK__</x:v>
      </x:c>
      <x:c r="G376" s="44" t="n">
        <x:f>IF(ISBLANK(E376),IF(F376="__BLANK__",0,1),IF(E376=F376,0,1))</x:f>
        <x:v>0</x:v>
      </x:c>
    </x:row>
    <x:row r="377">
      <x:c r="C377" t="str">
        <x:v>Assumptions!E77</x:v>
      </x:c>
      <x:c r="E377"/>
      <x:c r="F377" s="44" t="str">
        <x:f>IF(ISBLANK('Assumptions'!E77),"__BLANK__",'Assumptions'!E77)</x:f>
        <x:v>__BLANK__</x:v>
      </x:c>
      <x:c r="G377" s="44" t="n">
        <x:f>IF(ISBLANK(E377),IF(F377="__BLANK__",0,1),IF(E377=F377,0,1))</x:f>
        <x:v>0</x:v>
      </x:c>
    </x:row>
    <x:row r="378">
      <x:c r="C378" t="str">
        <x:v>Assumptions!F71</x:v>
      </x:c>
      <x:c r="E378"/>
      <x:c r="F378" s="44" t="str">
        <x:f>IF(ISBLANK('Assumptions'!F71),"__BLANK__",'Assumptions'!F71)</x:f>
        <x:v>__BLANK__</x:v>
      </x:c>
      <x:c r="G378" s="44" t="n">
        <x:f>IF(ISBLANK(E378),IF(F378="__BLANK__",0,1),IF(E378=F378,0,1))</x:f>
        <x:v>0</x:v>
      </x:c>
    </x:row>
    <x:row r="379">
      <x:c r="C379" t="str">
        <x:v>Assumptions!F72</x:v>
      </x:c>
      <x:c r="E379"/>
      <x:c r="F379" s="44" t="str">
        <x:f>IF(ISBLANK('Assumptions'!F72),"__BLANK__",'Assumptions'!F72)</x:f>
        <x:v>__BLANK__</x:v>
      </x:c>
      <x:c r="G379" s="44" t="n">
        <x:f>IF(ISBLANK(E379),IF(F379="__BLANK__",0,1),IF(E379=F379,0,1))</x:f>
        <x:v>0</x:v>
      </x:c>
    </x:row>
    <x:row r="380">
      <x:c r="C380" t="str">
        <x:v>Assumptions!F73</x:v>
      </x:c>
      <x:c r="E380"/>
      <x:c r="F380" s="44" t="str">
        <x:f>IF(ISBLANK('Assumptions'!F73),"__BLANK__",'Assumptions'!F73)</x:f>
        <x:v>__BLANK__</x:v>
      </x:c>
      <x:c r="G380" s="44" t="n">
        <x:f>IF(ISBLANK(E380),IF(F380="__BLANK__",0,1),IF(E380=F380,0,1))</x:f>
        <x:v>0</x:v>
      </x:c>
    </x:row>
    <x:row r="381">
      <x:c r="C381" t="str">
        <x:v>Assumptions!F74</x:v>
      </x:c>
      <x:c r="E381"/>
      <x:c r="F381" s="44" t="str">
        <x:f>IF(ISBLANK('Assumptions'!F74),"__BLANK__",'Assumptions'!F74)</x:f>
        <x:v>__BLANK__</x:v>
      </x:c>
      <x:c r="G381" s="44" t="n">
        <x:f>IF(ISBLANK(E381),IF(F381="__BLANK__",0,1),IF(E381=F381,0,1))</x:f>
        <x:v>0</x:v>
      </x:c>
    </x:row>
    <x:row r="382">
      <x:c r="C382" t="str">
        <x:v>Assumptions!F75</x:v>
      </x:c>
      <x:c r="E382"/>
      <x:c r="F382" s="44" t="str">
        <x:f>IF(ISBLANK('Assumptions'!F75),"__BLANK__",'Assumptions'!F75)</x:f>
        <x:v>__BLANK__</x:v>
      </x:c>
      <x:c r="G382" s="44" t="n">
        <x:f>IF(ISBLANK(E382),IF(F382="__BLANK__",0,1),IF(E382=F382,0,1))</x:f>
        <x:v>0</x:v>
      </x:c>
    </x:row>
    <x:row r="383">
      <x:c r="C383" t="str">
        <x:v>Assumptions!F76</x:v>
      </x:c>
      <x:c r="E383"/>
      <x:c r="F383" s="44" t="str">
        <x:f>IF(ISBLANK('Assumptions'!F76),"__BLANK__",'Assumptions'!F76)</x:f>
        <x:v>__BLANK__</x:v>
      </x:c>
      <x:c r="G383" s="44" t="n">
        <x:f>IF(ISBLANK(E383),IF(F383="__BLANK__",0,1),IF(E383=F383,0,1))</x:f>
        <x:v>0</x:v>
      </x:c>
    </x:row>
    <x:row r="384">
      <x:c r="C384" t="str">
        <x:v>Assumptions!F77</x:v>
      </x:c>
      <x:c r="E384"/>
      <x:c r="F384" s="44" t="str">
        <x:f>IF(ISBLANK('Assumptions'!F77),"__BLANK__",'Assumptions'!F77)</x:f>
        <x:v>__BLANK__</x:v>
      </x:c>
      <x:c r="G384" s="44" t="n">
        <x:f>IF(ISBLANK(E384),IF(F384="__BLANK__",0,1),IF(E384=F384,0,1))</x:f>
        <x:v>0</x:v>
      </x:c>
    </x:row>
    <x:row r="385">
      <x:c r="C385" t="str">
        <x:v>Assumptions!G71</x:v>
      </x:c>
      <x:c r="E385"/>
      <x:c r="F385" s="44" t="str">
        <x:f>IF(ISBLANK('Assumptions'!G71),"__BLANK__",'Assumptions'!G71)</x:f>
        <x:v>__BLANK__</x:v>
      </x:c>
      <x:c r="G385" s="44" t="n">
        <x:f>IF(ISBLANK(E385),IF(F385="__BLANK__",0,1),IF(E385=F385,0,1))</x:f>
        <x:v>0</x:v>
      </x:c>
    </x:row>
    <x:row r="386">
      <x:c r="C386" t="str">
        <x:v>Assumptions!G72</x:v>
      </x:c>
      <x:c r="E386"/>
      <x:c r="F386" s="44" t="str">
        <x:f>IF(ISBLANK('Assumptions'!G72),"__BLANK__",'Assumptions'!G72)</x:f>
        <x:v>__BLANK__</x:v>
      </x:c>
      <x:c r="G386" s="44" t="n">
        <x:f>IF(ISBLANK(E386),IF(F386="__BLANK__",0,1),IF(E386=F386,0,1))</x:f>
        <x:v>0</x:v>
      </x:c>
    </x:row>
    <x:row r="387">
      <x:c r="C387" t="str">
        <x:v>Assumptions!G73</x:v>
      </x:c>
      <x:c r="E387"/>
      <x:c r="F387" s="44" t="str">
        <x:f>IF(ISBLANK('Assumptions'!G73),"__BLANK__",'Assumptions'!G73)</x:f>
        <x:v>__BLANK__</x:v>
      </x:c>
      <x:c r="G387" s="44" t="n">
        <x:f>IF(ISBLANK(E387),IF(F387="__BLANK__",0,1),IF(E387=F387,0,1))</x:f>
        <x:v>0</x:v>
      </x:c>
    </x:row>
    <x:row r="388">
      <x:c r="C388" t="str">
        <x:v>Assumptions!G74</x:v>
      </x:c>
      <x:c r="E388"/>
      <x:c r="F388" s="44" t="str">
        <x:f>IF(ISBLANK('Assumptions'!G74),"__BLANK__",'Assumptions'!G74)</x:f>
        <x:v>__BLANK__</x:v>
      </x:c>
      <x:c r="G388" s="44" t="n">
        <x:f>IF(ISBLANK(E388),IF(F388="__BLANK__",0,1),IF(E388=F388,0,1))</x:f>
        <x:v>0</x:v>
      </x:c>
    </x:row>
    <x:row r="389">
      <x:c r="C389" t="str">
        <x:v>Assumptions!G75</x:v>
      </x:c>
      <x:c r="E389"/>
      <x:c r="F389" s="44" t="str">
        <x:f>IF(ISBLANK('Assumptions'!G75),"__BLANK__",'Assumptions'!G75)</x:f>
        <x:v>__BLANK__</x:v>
      </x:c>
      <x:c r="G389" s="44" t="n">
        <x:f>IF(ISBLANK(E389),IF(F389="__BLANK__",0,1),IF(E389=F389,0,1))</x:f>
        <x:v>0</x:v>
      </x:c>
    </x:row>
    <x:row r="390">
      <x:c r="C390" t="str">
        <x:v>Assumptions!G76</x:v>
      </x:c>
      <x:c r="E390"/>
      <x:c r="F390" s="44" t="str">
        <x:f>IF(ISBLANK('Assumptions'!G76),"__BLANK__",'Assumptions'!G76)</x:f>
        <x:v>__BLANK__</x:v>
      </x:c>
      <x:c r="G390" s="44" t="n">
        <x:f>IF(ISBLANK(E390),IF(F390="__BLANK__",0,1),IF(E390=F390,0,1))</x:f>
        <x:v>0</x:v>
      </x:c>
    </x:row>
    <x:row r="391">
      <x:c r="C391" t="str">
        <x:v>Assumptions!G77</x:v>
      </x:c>
      <x:c r="E391"/>
      <x:c r="F391" s="44" t="str">
        <x:f>IF(ISBLANK('Assumptions'!G77),"__BLANK__",'Assumptions'!G77)</x:f>
        <x:v>__BLANK__</x:v>
      </x:c>
      <x:c r="G391" s="44" t="n">
        <x:f>IF(ISBLANK(E391),IF(F391="__BLANK__",0,1),IF(E391=F391,0,1))</x:f>
        <x:v>0</x:v>
      </x:c>
    </x:row>
    <x:row r="392">
      <x:c r="C392" t="str">
        <x:v>Assumptions!H71</x:v>
      </x:c>
      <x:c r="E392"/>
      <x:c r="F392" s="44" t="str">
        <x:f>IF(ISBLANK('Assumptions'!H71),"__BLANK__",'Assumptions'!H71)</x:f>
        <x:v>__BLANK__</x:v>
      </x:c>
      <x:c r="G392" s="44" t="n">
        <x:f>IF(ISBLANK(E392),IF(F392="__BLANK__",0,1),IF(E392=F392,0,1))</x:f>
        <x:v>0</x:v>
      </x:c>
    </x:row>
    <x:row r="393">
      <x:c r="C393" t="str">
        <x:v>Assumptions!H72</x:v>
      </x:c>
      <x:c r="E393"/>
      <x:c r="F393" s="44" t="str">
        <x:f>IF(ISBLANK('Assumptions'!H72),"__BLANK__",'Assumptions'!H72)</x:f>
        <x:v>__BLANK__</x:v>
      </x:c>
      <x:c r="G393" s="44" t="n">
        <x:f>IF(ISBLANK(E393),IF(F393="__BLANK__",0,1),IF(E393=F393,0,1))</x:f>
        <x:v>0</x:v>
      </x:c>
    </x:row>
    <x:row r="394">
      <x:c r="C394" t="str">
        <x:v>Assumptions!H73</x:v>
      </x:c>
      <x:c r="E394"/>
      <x:c r="F394" s="44" t="str">
        <x:f>IF(ISBLANK('Assumptions'!H73),"__BLANK__",'Assumptions'!H73)</x:f>
        <x:v>__BLANK__</x:v>
      </x:c>
      <x:c r="G394" s="44" t="n">
        <x:f>IF(ISBLANK(E394),IF(F394="__BLANK__",0,1),IF(E394=F394,0,1))</x:f>
        <x:v>0</x:v>
      </x:c>
    </x:row>
    <x:row r="395">
      <x:c r="C395" t="str">
        <x:v>Assumptions!H74</x:v>
      </x:c>
      <x:c r="E395"/>
      <x:c r="F395" s="44" t="str">
        <x:f>IF(ISBLANK('Assumptions'!H74),"__BLANK__",'Assumptions'!H74)</x:f>
        <x:v>__BLANK__</x:v>
      </x:c>
      <x:c r="G395" s="44" t="n">
        <x:f>IF(ISBLANK(E395),IF(F395="__BLANK__",0,1),IF(E395=F395,0,1))</x:f>
        <x:v>0</x:v>
      </x:c>
    </x:row>
    <x:row r="396">
      <x:c r="C396" t="str">
        <x:v>Assumptions!H75</x:v>
      </x:c>
      <x:c r="E396"/>
      <x:c r="F396" s="44" t="str">
        <x:f>IF(ISBLANK('Assumptions'!H75),"__BLANK__",'Assumptions'!H75)</x:f>
        <x:v>__BLANK__</x:v>
      </x:c>
      <x:c r="G396" s="44" t="n">
        <x:f>IF(ISBLANK(E396),IF(F396="__BLANK__",0,1),IF(E396=F396,0,1))</x:f>
        <x:v>0</x:v>
      </x:c>
    </x:row>
    <x:row r="397">
      <x:c r="C397" t="str">
        <x:v>Assumptions!H76</x:v>
      </x:c>
      <x:c r="E397"/>
      <x:c r="F397" s="44" t="str">
        <x:f>IF(ISBLANK('Assumptions'!H76),"__BLANK__",'Assumptions'!H76)</x:f>
        <x:v>__BLANK__</x:v>
      </x:c>
      <x:c r="G397" s="44" t="n">
        <x:f>IF(ISBLANK(E397),IF(F397="__BLANK__",0,1),IF(E397=F397,0,1))</x:f>
        <x:v>0</x:v>
      </x:c>
    </x:row>
    <x:row r="398">
      <x:c r="C398" t="str">
        <x:v>Assumptions!H77</x:v>
      </x:c>
      <x:c r="E398"/>
      <x:c r="F398" s="44" t="str">
        <x:f>IF(ISBLANK('Assumptions'!H77),"__BLANK__",'Assumptions'!H77)</x:f>
        <x:v>__BLANK__</x:v>
      </x:c>
      <x:c r="G398" s="44" t="n">
        <x:f>IF(ISBLANK(E398),IF(F398="__BLANK__",0,1),IF(E398=F398,0,1))</x:f>
        <x:v>0</x:v>
      </x:c>
    </x:row>
    <x:row r="399">
      <x:c r="C399" t="str">
        <x:v>Assumptions!I71</x:v>
      </x:c>
      <x:c r="E399"/>
      <x:c r="F399" s="44" t="str">
        <x:f>IF(ISBLANK('Assumptions'!I71),"__BLANK__",'Assumptions'!I71)</x:f>
        <x:v>__BLANK__</x:v>
      </x:c>
      <x:c r="G399" s="44" t="n">
        <x:f>IF(ISBLANK(E399),IF(F399="__BLANK__",0,1),IF(E399=F399,0,1))</x:f>
        <x:v>0</x:v>
      </x:c>
    </x:row>
    <x:row r="400">
      <x:c r="C400" t="str">
        <x:v>Assumptions!I72</x:v>
      </x:c>
      <x:c r="E400"/>
      <x:c r="F400" s="44" t="str">
        <x:f>IF(ISBLANK('Assumptions'!I72),"__BLANK__",'Assumptions'!I72)</x:f>
        <x:v>__BLANK__</x:v>
      </x:c>
      <x:c r="G400" s="44" t="n">
        <x:f>IF(ISBLANK(E400),IF(F400="__BLANK__",0,1),IF(E400=F400,0,1))</x:f>
        <x:v>0</x:v>
      </x:c>
    </x:row>
    <x:row r="401">
      <x:c r="C401" t="str">
        <x:v>Assumptions!I73</x:v>
      </x:c>
      <x:c r="E401"/>
      <x:c r="F401" s="44" t="str">
        <x:f>IF(ISBLANK('Assumptions'!I73),"__BLANK__",'Assumptions'!I73)</x:f>
        <x:v>__BLANK__</x:v>
      </x:c>
      <x:c r="G401" s="44" t="n">
        <x:f>IF(ISBLANK(E401),IF(F401="__BLANK__",0,1),IF(E401=F401,0,1))</x:f>
        <x:v>0</x:v>
      </x:c>
    </x:row>
    <x:row r="402">
      <x:c r="C402" t="str">
        <x:v>Assumptions!I74</x:v>
      </x:c>
      <x:c r="E402"/>
      <x:c r="F402" s="44" t="str">
        <x:f>IF(ISBLANK('Assumptions'!I74),"__BLANK__",'Assumptions'!I74)</x:f>
        <x:v>__BLANK__</x:v>
      </x:c>
      <x:c r="G402" s="44" t="n">
        <x:f>IF(ISBLANK(E402),IF(F402="__BLANK__",0,1),IF(E402=F402,0,1))</x:f>
        <x:v>0</x:v>
      </x:c>
    </x:row>
    <x:row r="403">
      <x:c r="C403" t="str">
        <x:v>Assumptions!I75</x:v>
      </x:c>
      <x:c r="E403"/>
      <x:c r="F403" s="44" t="str">
        <x:f>IF(ISBLANK('Assumptions'!I75),"__BLANK__",'Assumptions'!I75)</x:f>
        <x:v>__BLANK__</x:v>
      </x:c>
      <x:c r="G403" s="44" t="n">
        <x:f>IF(ISBLANK(E403),IF(F403="__BLANK__",0,1),IF(E403=F403,0,1))</x:f>
        <x:v>0</x:v>
      </x:c>
    </x:row>
    <x:row r="404">
      <x:c r="C404" t="str">
        <x:v>Assumptions!I76</x:v>
      </x:c>
      <x:c r="E404"/>
      <x:c r="F404" s="44" t="str">
        <x:f>IF(ISBLANK('Assumptions'!I76),"__BLANK__",'Assumptions'!I76)</x:f>
        <x:v>__BLANK__</x:v>
      </x:c>
      <x:c r="G404" s="44" t="n">
        <x:f>IF(ISBLANK(E404),IF(F404="__BLANK__",0,1),IF(E404=F404,0,1))</x:f>
        <x:v>0</x:v>
      </x:c>
    </x:row>
    <x:row r="405">
      <x:c r="C405" t="str">
        <x:v>Assumptions!I77</x:v>
      </x:c>
      <x:c r="E405"/>
      <x:c r="F405" s="44" t="str">
        <x:f>IF(ISBLANK('Assumptions'!I77),"__BLANK__",'Assumptions'!I77)</x:f>
        <x:v>__BLANK__</x:v>
      </x:c>
      <x:c r="G405" s="44" t="n">
        <x:f>IF(ISBLANK(E405),IF(F405="__BLANK__",0,1),IF(E405=F405,0,1))</x:f>
        <x:v>0</x:v>
      </x:c>
    </x:row>
    <x:row r="406">
      <x:c r="C406" t="str">
        <x:v>Assumptions!J71</x:v>
      </x:c>
      <x:c r="E406" t="n">
        <x:v>0.12217009053638739</x:v>
      </x:c>
      <x:c r="F406" s="44" t="n">
        <x:f>IF(ISBLANK('Assumptions'!J71),"__BLANK__",'Assumptions'!J71)</x:f>
        <x:v>0.12217009053638739</x:v>
      </x:c>
      <x:c r="G406" s="44" t="n">
        <x:f>IF(ISBLANK(E406),IF(F406="__BLANK__",0,1),IF(E406=F406,0,1))</x:f>
        <x:v>0</x:v>
      </x:c>
    </x:row>
    <x:row r="407">
      <x:c r="C407" t="str">
        <x:v>Assumptions!J72</x:v>
      </x:c>
      <x:c r="E407" t="n">
        <x:v>0.12217009053638739</x:v>
      </x:c>
      <x:c r="F407" s="44" t="n">
        <x:f>IF(ISBLANK('Assumptions'!J72),"__BLANK__",'Assumptions'!J72)</x:f>
        <x:v>0.12217009053638739</x:v>
      </x:c>
      <x:c r="G407" s="44" t="n">
        <x:f>IF(ISBLANK(E407),IF(F407="__BLANK__",0,1),IF(E407=F407,0,1))</x:f>
        <x:v>0</x:v>
      </x:c>
    </x:row>
    <x:row r="408">
      <x:c r="C408" t="str">
        <x:v>Assumptions!J73</x:v>
      </x:c>
      <x:c r="E408" t="n">
        <x:v>0.12217009053638739</x:v>
      </x:c>
      <x:c r="F408" s="44" t="n">
        <x:f>IF(ISBLANK('Assumptions'!J73),"__BLANK__",'Assumptions'!J73)</x:f>
        <x:v>0.12217009053638739</x:v>
      </x:c>
      <x:c r="G408" s="44" t="n">
        <x:f>IF(ISBLANK(E408),IF(F408="__BLANK__",0,1),IF(E408=F408,0,1))</x:f>
        <x:v>0</x:v>
      </x:c>
    </x:row>
    <x:row r="409">
      <x:c r="C409" t="str">
        <x:v>Assumptions!J74</x:v>
      </x:c>
      <x:c r="E409" t="n">
        <x:v>0.12217009053638739</x:v>
      </x:c>
      <x:c r="F409" s="44" t="n">
        <x:f>IF(ISBLANK('Assumptions'!J74),"__BLANK__",'Assumptions'!J74)</x:f>
        <x:v>0.12217009053638739</x:v>
      </x:c>
      <x:c r="G409" s="44" t="n">
        <x:f>IF(ISBLANK(E409),IF(F409="__BLANK__",0,1),IF(E409=F409,0,1))</x:f>
        <x:v>0</x:v>
      </x:c>
    </x:row>
    <x:row r="410">
      <x:c r="C410" t="str">
        <x:v>Assumptions!J75</x:v>
      </x:c>
      <x:c r="E410" t="n">
        <x:v>0.12217009053638739</x:v>
      </x:c>
      <x:c r="F410" s="44" t="n">
        <x:f>IF(ISBLANK('Assumptions'!J75),"__BLANK__",'Assumptions'!J75)</x:f>
        <x:v>0.12217009053638739</x:v>
      </x:c>
      <x:c r="G410" s="44" t="n">
        <x:f>IF(ISBLANK(E410),IF(F410="__BLANK__",0,1),IF(E410=F410,0,1))</x:f>
        <x:v>0</x:v>
      </x:c>
    </x:row>
    <x:row r="411">
      <x:c r="C411" t="str">
        <x:v>Assumptions!J76</x:v>
      </x:c>
      <x:c r="E411" t="n">
        <x:v>0.12217009053638739</x:v>
      </x:c>
      <x:c r="F411" s="44" t="n">
        <x:f>IF(ISBLANK('Assumptions'!J76),"__BLANK__",'Assumptions'!J76)</x:f>
        <x:v>0.12217009053638739</x:v>
      </x:c>
      <x:c r="G411" s="44" t="n">
        <x:f>IF(ISBLANK(E411),IF(F411="__BLANK__",0,1),IF(E411=F411,0,1))</x:f>
        <x:v>0</x:v>
      </x:c>
    </x:row>
    <x:row r="412">
      <x:c r="C412" t="str">
        <x:v>Assumptions!J77</x:v>
      </x:c>
      <x:c r="E412" t="n">
        <x:v>0.12217009053638739</x:v>
      </x:c>
      <x:c r="F412" s="44" t="n">
        <x:f>IF(ISBLANK('Assumptions'!J77),"__BLANK__",'Assumptions'!J77)</x:f>
        <x:v>0.12217009053638739</x:v>
      </x:c>
      <x:c r="G412" s="44" t="n">
        <x:f>IF(ISBLANK(E412),IF(F412="__BLANK__",0,1),IF(E412=F412,0,1))</x:f>
        <x:v>0</x:v>
      </x:c>
    </x:row>
    <x:row r="413">
      <x:c r="C413" t="str">
        <x:v>Assumptions!K71</x:v>
      </x:c>
      <x:c r="E413" t="n">
        <x:v>0.09505861133784399</x:v>
      </x:c>
      <x:c r="F413" s="44" t="n">
        <x:f>IF(ISBLANK('Assumptions'!K71),"__BLANK__",'Assumptions'!K71)</x:f>
        <x:v>0.09505861133784399</x:v>
      </x:c>
      <x:c r="G413" s="44" t="n">
        <x:f>IF(ISBLANK(E413),IF(F413="__BLANK__",0,1),IF(E413=F413,0,1))</x:f>
        <x:v>0</x:v>
      </x:c>
    </x:row>
    <x:row r="414">
      <x:c r="C414" t="str">
        <x:v>Assumptions!K72</x:v>
      </x:c>
      <x:c r="E414" t="n">
        <x:v>0.09505861133784399</x:v>
      </x:c>
      <x:c r="F414" s="44" t="n">
        <x:f>IF(ISBLANK('Assumptions'!K72),"__BLANK__",'Assumptions'!K72)</x:f>
        <x:v>0.09505861133784399</x:v>
      </x:c>
      <x:c r="G414" s="44" t="n">
        <x:f>IF(ISBLANK(E414),IF(F414="__BLANK__",0,1),IF(E414=F414,0,1))</x:f>
        <x:v>0</x:v>
      </x:c>
    </x:row>
    <x:row r="415">
      <x:c r="C415" t="str">
        <x:v>Assumptions!K73</x:v>
      </x:c>
      <x:c r="E415" t="n">
        <x:v>0.09505861133784399</x:v>
      </x:c>
      <x:c r="F415" s="44" t="n">
        <x:f>IF(ISBLANK('Assumptions'!K73),"__BLANK__",'Assumptions'!K73)</x:f>
        <x:v>0.09505861133784399</x:v>
      </x:c>
      <x:c r="G415" s="44" t="n">
        <x:f>IF(ISBLANK(E415),IF(F415="__BLANK__",0,1),IF(E415=F415,0,1))</x:f>
        <x:v>0</x:v>
      </x:c>
    </x:row>
    <x:row r="416">
      <x:c r="C416" t="str">
        <x:v>Assumptions!K74</x:v>
      </x:c>
      <x:c r="E416" t="n">
        <x:v>0.09505861133784399</x:v>
      </x:c>
      <x:c r="F416" s="44" t="n">
        <x:f>IF(ISBLANK('Assumptions'!K74),"__BLANK__",'Assumptions'!K74)</x:f>
        <x:v>0.09505861133784399</x:v>
      </x:c>
      <x:c r="G416" s="44" t="n">
        <x:f>IF(ISBLANK(E416),IF(F416="__BLANK__",0,1),IF(E416=F416,0,1))</x:f>
        <x:v>0</x:v>
      </x:c>
    </x:row>
    <x:row r="417">
      <x:c r="C417" t="str">
        <x:v>Assumptions!K75</x:v>
      </x:c>
      <x:c r="E417" t="n">
        <x:v>0.09505861133784399</x:v>
      </x:c>
      <x:c r="F417" s="44" t="n">
        <x:f>IF(ISBLANK('Assumptions'!K75),"__BLANK__",'Assumptions'!K75)</x:f>
        <x:v>0.09505861133784399</x:v>
      </x:c>
      <x:c r="G417" s="44" t="n">
        <x:f>IF(ISBLANK(E417),IF(F417="__BLANK__",0,1),IF(E417=F417,0,1))</x:f>
        <x:v>0</x:v>
      </x:c>
    </x:row>
    <x:row r="418">
      <x:c r="C418" t="str">
        <x:v>Assumptions!K76</x:v>
      </x:c>
      <x:c r="E418" t="n">
        <x:v>0.09505861133784399</x:v>
      </x:c>
      <x:c r="F418" s="44" t="n">
        <x:f>IF(ISBLANK('Assumptions'!K76),"__BLANK__",'Assumptions'!K76)</x:f>
        <x:v>0.09505861133784399</x:v>
      </x:c>
      <x:c r="G418" s="44" t="n">
        <x:f>IF(ISBLANK(E418),IF(F418="__BLANK__",0,1),IF(E418=F418,0,1))</x:f>
        <x:v>0</x:v>
      </x:c>
    </x:row>
    <x:row r="419">
      <x:c r="C419" t="str">
        <x:v>Assumptions!K77</x:v>
      </x:c>
      <x:c r="E419" t="n">
        <x:v>0.09505861133784399</x:v>
      </x:c>
      <x:c r="F419" s="44" t="n">
        <x:f>IF(ISBLANK('Assumptions'!K77),"__BLANK__",'Assumptions'!K77)</x:f>
        <x:v>0.09505861133784399</x:v>
      </x:c>
      <x:c r="G419" s="44" t="n">
        <x:f>IF(ISBLANK(E419),IF(F419="__BLANK__",0,1),IF(E419=F419,0,1))</x:f>
        <x:v>0</x:v>
      </x:c>
    </x:row>
    <x:row r="420">
      <x:c r="C420" t="str">
        <x:v>Assumptions!L71</x:v>
      </x:c>
      <x:c r="E420" t="n">
        <x:v>0.126749458630385</x:v>
      </x:c>
      <x:c r="F420" s="44" t="n">
        <x:f>IF(ISBLANK('Assumptions'!L71),"__BLANK__",'Assumptions'!L71)</x:f>
        <x:v>0.126749458630385</x:v>
      </x:c>
      <x:c r="G420" s="44" t="n">
        <x:f>IF(ISBLANK(E420),IF(F420="__BLANK__",0,1),IF(E420=F420,0,1))</x:f>
        <x:v>0</x:v>
      </x:c>
    </x:row>
    <x:row r="421">
      <x:c r="C421" t="str">
        <x:v>Assumptions!L72</x:v>
      </x:c>
      <x:c r="E421" t="n">
        <x:v>0.126749458630385</x:v>
      </x:c>
      <x:c r="F421" s="44" t="n">
        <x:f>IF(ISBLANK('Assumptions'!L72),"__BLANK__",'Assumptions'!L72)</x:f>
        <x:v>0.126749458630385</x:v>
      </x:c>
      <x:c r="G421" s="44" t="n">
        <x:f>IF(ISBLANK(E421),IF(F421="__BLANK__",0,1),IF(E421=F421,0,1))</x:f>
        <x:v>0</x:v>
      </x:c>
    </x:row>
    <x:row r="422">
      <x:c r="C422" t="str">
        <x:v>Assumptions!L73</x:v>
      </x:c>
      <x:c r="E422" t="n">
        <x:v>0.126749458630385</x:v>
      </x:c>
      <x:c r="F422" s="44" t="n">
        <x:f>IF(ISBLANK('Assumptions'!L73),"__BLANK__",'Assumptions'!L73)</x:f>
        <x:v>0.126749458630385</x:v>
      </x:c>
      <x:c r="G422" s="44" t="n">
        <x:f>IF(ISBLANK(E422),IF(F422="__BLANK__",0,1),IF(E422=F422,0,1))</x:f>
        <x:v>0</x:v>
      </x:c>
    </x:row>
    <x:row r="423">
      <x:c r="C423" t="str">
        <x:v>Assumptions!L74</x:v>
      </x:c>
      <x:c r="E423" t="n">
        <x:v>0.126749458630385</x:v>
      </x:c>
      <x:c r="F423" s="44" t="n">
        <x:f>IF(ISBLANK('Assumptions'!L74),"__BLANK__",'Assumptions'!L74)</x:f>
        <x:v>0.126749458630385</x:v>
      </x:c>
      <x:c r="G423" s="44" t="n">
        <x:f>IF(ISBLANK(E423),IF(F423="__BLANK__",0,1),IF(E423=F423,0,1))</x:f>
        <x:v>0</x:v>
      </x:c>
    </x:row>
    <x:row r="424">
      <x:c r="C424" t="str">
        <x:v>Assumptions!L75</x:v>
      </x:c>
      <x:c r="E424" t="n">
        <x:v>0.126749458630385</x:v>
      </x:c>
      <x:c r="F424" s="44" t="n">
        <x:f>IF(ISBLANK('Assumptions'!L75),"__BLANK__",'Assumptions'!L75)</x:f>
        <x:v>0.126749458630385</x:v>
      </x:c>
      <x:c r="G424" s="44" t="n">
        <x:f>IF(ISBLANK(E424),IF(F424="__BLANK__",0,1),IF(E424=F424,0,1))</x:f>
        <x:v>0</x:v>
      </x:c>
    </x:row>
    <x:row r="425">
      <x:c r="C425" t="str">
        <x:v>Assumptions!L76</x:v>
      </x:c>
      <x:c r="E425" t="n">
        <x:v>0.126749458630385</x:v>
      </x:c>
      <x:c r="F425" s="44" t="n">
        <x:f>IF(ISBLANK('Assumptions'!L76),"__BLANK__",'Assumptions'!L76)</x:f>
        <x:v>0.126749458630385</x:v>
      </x:c>
      <x:c r="G425" s="44" t="n">
        <x:f>IF(ISBLANK(E425),IF(F425="__BLANK__",0,1),IF(E425=F425,0,1))</x:f>
        <x:v>0</x:v>
      </x:c>
    </x:row>
    <x:row r="426">
      <x:c r="C426" t="str">
        <x:v>Assumptions!L77</x:v>
      </x:c>
      <x:c r="E426" t="n">
        <x:v>0.126749458630385</x:v>
      </x:c>
      <x:c r="F426" s="44" t="n">
        <x:f>IF(ISBLANK('Assumptions'!L77),"__BLANK__",'Assumptions'!L77)</x:f>
        <x:v>0.126749458630385</x:v>
      </x:c>
      <x:c r="G426" s="44" t="n">
        <x:f>IF(ISBLANK(E426),IF(F426="__BLANK__",0,1),IF(E426=F426,0,1))</x:f>
        <x:v>0</x:v>
      </x:c>
    </x:row>
    <x:row r="427">
      <x:c r="C427" t="str">
        <x:v>Assumptions!E151</x:v>
      </x:c>
      <x:c r="E427"/>
      <x:c r="F427" s="44" t="str">
        <x:f>IF(ISBLANK('Assumptions'!E151),"__BLANK__",'Assumptions'!E151)</x:f>
        <x:v>__BLANK__</x:v>
      </x:c>
      <x:c r="G427" s="44" t="n">
        <x:f>IF(ISBLANK(E427),IF(F427="__BLANK__",0,1),IF(E427=F427,0,1))</x:f>
        <x:v>0</x:v>
      </x:c>
    </x:row>
    <x:row r="428">
      <x:c r="C428" t="str">
        <x:v>Assumptions!E152</x:v>
      </x:c>
      <x:c r="E428"/>
      <x:c r="F428" s="44" t="str">
        <x:f>IF(ISBLANK('Assumptions'!E152),"__BLANK__",'Assumptions'!E152)</x:f>
        <x:v>__BLANK__</x:v>
      </x:c>
      <x:c r="G428" s="44" t="n">
        <x:f>IF(ISBLANK(E428),IF(F428="__BLANK__",0,1),IF(E428=F428,0,1))</x:f>
        <x:v>0</x:v>
      </x:c>
    </x:row>
    <x:row r="429">
      <x:c r="C429" t="str">
        <x:v>Assumptions!E153</x:v>
      </x:c>
      <x:c r="E429"/>
      <x:c r="F429" s="44" t="str">
        <x:f>IF(ISBLANK('Assumptions'!E153),"__BLANK__",'Assumptions'!E153)</x:f>
        <x:v>__BLANK__</x:v>
      </x:c>
      <x:c r="G429" s="44" t="n">
        <x:f>IF(ISBLANK(E429),IF(F429="__BLANK__",0,1),IF(E429=F429,0,1))</x:f>
        <x:v>0</x:v>
      </x:c>
    </x:row>
    <x:row r="430">
      <x:c r="C430" t="str">
        <x:v>Assumptions!E154</x:v>
      </x:c>
      <x:c r="E430"/>
      <x:c r="F430" s="44" t="str">
        <x:f>IF(ISBLANK('Assumptions'!E154),"__BLANK__",'Assumptions'!E154)</x:f>
        <x:v>__BLANK__</x:v>
      </x:c>
      <x:c r="G430" s="44" t="n">
        <x:f>IF(ISBLANK(E430),IF(F430="__BLANK__",0,1),IF(E430=F430,0,1))</x:f>
        <x:v>0</x:v>
      </x:c>
    </x:row>
    <x:row r="431">
      <x:c r="C431" t="str">
        <x:v>Assumptions!E155</x:v>
      </x:c>
      <x:c r="E431"/>
      <x:c r="F431" s="44" t="str">
        <x:f>IF(ISBLANK('Assumptions'!E155),"__BLANK__",'Assumptions'!E155)</x:f>
        <x:v>__BLANK__</x:v>
      </x:c>
      <x:c r="G431" s="44" t="n">
        <x:f>IF(ISBLANK(E431),IF(F431="__BLANK__",0,1),IF(E431=F431,0,1))</x:f>
        <x:v>0</x:v>
      </x:c>
    </x:row>
    <x:row r="432">
      <x:c r="C432" t="str">
        <x:v>Assumptions!E156</x:v>
      </x:c>
      <x:c r="E432"/>
      <x:c r="F432" s="44" t="str">
        <x:f>IF(ISBLANK('Assumptions'!E156),"__BLANK__",'Assumptions'!E156)</x:f>
        <x:v>__BLANK__</x:v>
      </x:c>
      <x:c r="G432" s="44" t="n">
        <x:f>IF(ISBLANK(E432),IF(F432="__BLANK__",0,1),IF(E432=F432,0,1))</x:f>
        <x:v>0</x:v>
      </x:c>
    </x:row>
    <x:row r="433">
      <x:c r="C433" t="str">
        <x:v>Assumptions!E157</x:v>
      </x:c>
      <x:c r="E433"/>
      <x:c r="F433" s="44" t="str">
        <x:f>IF(ISBLANK('Assumptions'!E157),"__BLANK__",'Assumptions'!E157)</x:f>
        <x:v>__BLANK__</x:v>
      </x:c>
      <x:c r="G433" s="44" t="n">
        <x:f>IF(ISBLANK(E433),IF(F433="__BLANK__",0,1),IF(E433=F433,0,1))</x:f>
        <x:v>0</x:v>
      </x:c>
    </x:row>
    <x:row r="434">
      <x:c r="C434" t="str">
        <x:v>Assumptions!F151</x:v>
      </x:c>
      <x:c r="E434"/>
      <x:c r="F434" s="44" t="str">
        <x:f>IF(ISBLANK('Assumptions'!F151),"__BLANK__",'Assumptions'!F151)</x:f>
        <x:v>__BLANK__</x:v>
      </x:c>
      <x:c r="G434" s="44" t="n">
        <x:f>IF(ISBLANK(E434),IF(F434="__BLANK__",0,1),IF(E434=F434,0,1))</x:f>
        <x:v>0</x:v>
      </x:c>
    </x:row>
    <x:row r="435">
      <x:c r="C435" t="str">
        <x:v>Assumptions!F152</x:v>
      </x:c>
      <x:c r="E435"/>
      <x:c r="F435" s="44" t="str">
        <x:f>IF(ISBLANK('Assumptions'!F152),"__BLANK__",'Assumptions'!F152)</x:f>
        <x:v>__BLANK__</x:v>
      </x:c>
      <x:c r="G435" s="44" t="n">
        <x:f>IF(ISBLANK(E435),IF(F435="__BLANK__",0,1),IF(E435=F435,0,1))</x:f>
        <x:v>0</x:v>
      </x:c>
    </x:row>
    <x:row r="436">
      <x:c r="C436" t="str">
        <x:v>Assumptions!F153</x:v>
      </x:c>
      <x:c r="E436"/>
      <x:c r="F436" s="44" t="str">
        <x:f>IF(ISBLANK('Assumptions'!F153),"__BLANK__",'Assumptions'!F153)</x:f>
        <x:v>__BLANK__</x:v>
      </x:c>
      <x:c r="G436" s="44" t="n">
        <x:f>IF(ISBLANK(E436),IF(F436="__BLANK__",0,1),IF(E436=F436,0,1))</x:f>
        <x:v>0</x:v>
      </x:c>
    </x:row>
    <x:row r="437">
      <x:c r="C437" t="str">
        <x:v>Assumptions!F154</x:v>
      </x:c>
      <x:c r="E437"/>
      <x:c r="F437" s="44" t="str">
        <x:f>IF(ISBLANK('Assumptions'!F154),"__BLANK__",'Assumptions'!F154)</x:f>
        <x:v>__BLANK__</x:v>
      </x:c>
      <x:c r="G437" s="44" t="n">
        <x:f>IF(ISBLANK(E437),IF(F437="__BLANK__",0,1),IF(E437=F437,0,1))</x:f>
        <x:v>0</x:v>
      </x:c>
    </x:row>
    <x:row r="438">
      <x:c r="C438" t="str">
        <x:v>Assumptions!F155</x:v>
      </x:c>
      <x:c r="E438"/>
      <x:c r="F438" s="44" t="str">
        <x:f>IF(ISBLANK('Assumptions'!F155),"__BLANK__",'Assumptions'!F155)</x:f>
        <x:v>__BLANK__</x:v>
      </x:c>
      <x:c r="G438" s="44" t="n">
        <x:f>IF(ISBLANK(E438),IF(F438="__BLANK__",0,1),IF(E438=F438,0,1))</x:f>
        <x:v>0</x:v>
      </x:c>
    </x:row>
    <x:row r="439">
      <x:c r="C439" t="str">
        <x:v>Assumptions!F156</x:v>
      </x:c>
      <x:c r="E439"/>
      <x:c r="F439" s="44" t="str">
        <x:f>IF(ISBLANK('Assumptions'!F156),"__BLANK__",'Assumptions'!F156)</x:f>
        <x:v>__BLANK__</x:v>
      </x:c>
      <x:c r="G439" s="44" t="n">
        <x:f>IF(ISBLANK(E439),IF(F439="__BLANK__",0,1),IF(E439=F439,0,1))</x:f>
        <x:v>0</x:v>
      </x:c>
    </x:row>
    <x:row r="440">
      <x:c r="C440" t="str">
        <x:v>Assumptions!F157</x:v>
      </x:c>
      <x:c r="E440"/>
      <x:c r="F440" s="44" t="str">
        <x:f>IF(ISBLANK('Assumptions'!F157),"__BLANK__",'Assumptions'!F157)</x:f>
        <x:v>__BLANK__</x:v>
      </x:c>
      <x:c r="G440" s="44" t="n">
        <x:f>IF(ISBLANK(E440),IF(F440="__BLANK__",0,1),IF(E440=F440,0,1))</x:f>
        <x:v>0</x:v>
      </x:c>
    </x:row>
    <x:row r="441">
      <x:c r="C441" t="str">
        <x:v>Assumptions!G151</x:v>
      </x:c>
      <x:c r="E441"/>
      <x:c r="F441" s="44" t="str">
        <x:f>IF(ISBLANK('Assumptions'!G151),"__BLANK__",'Assumptions'!G151)</x:f>
        <x:v>__BLANK__</x:v>
      </x:c>
      <x:c r="G441" s="44" t="n">
        <x:f>IF(ISBLANK(E441),IF(F441="__BLANK__",0,1),IF(E441=F441,0,1))</x:f>
        <x:v>0</x:v>
      </x:c>
    </x:row>
    <x:row r="442">
      <x:c r="C442" t="str">
        <x:v>Assumptions!G152</x:v>
      </x:c>
      <x:c r="E442"/>
      <x:c r="F442" s="44" t="str">
        <x:f>IF(ISBLANK('Assumptions'!G152),"__BLANK__",'Assumptions'!G152)</x:f>
        <x:v>__BLANK__</x:v>
      </x:c>
      <x:c r="G442" s="44" t="n">
        <x:f>IF(ISBLANK(E442),IF(F442="__BLANK__",0,1),IF(E442=F442,0,1))</x:f>
        <x:v>0</x:v>
      </x:c>
    </x:row>
    <x:row r="443">
      <x:c r="C443" t="str">
        <x:v>Assumptions!G153</x:v>
      </x:c>
      <x:c r="E443"/>
      <x:c r="F443" s="44" t="str">
        <x:f>IF(ISBLANK('Assumptions'!G153),"__BLANK__",'Assumptions'!G153)</x:f>
        <x:v>__BLANK__</x:v>
      </x:c>
      <x:c r="G443" s="44" t="n">
        <x:f>IF(ISBLANK(E443),IF(F443="__BLANK__",0,1),IF(E443=F443,0,1))</x:f>
        <x:v>0</x:v>
      </x:c>
    </x:row>
    <x:row r="444">
      <x:c r="C444" t="str">
        <x:v>Assumptions!G154</x:v>
      </x:c>
      <x:c r="E444"/>
      <x:c r="F444" s="44" t="str">
        <x:f>IF(ISBLANK('Assumptions'!G154),"__BLANK__",'Assumptions'!G154)</x:f>
        <x:v>__BLANK__</x:v>
      </x:c>
      <x:c r="G444" s="44" t="n">
        <x:f>IF(ISBLANK(E444),IF(F444="__BLANK__",0,1),IF(E444=F444,0,1))</x:f>
        <x:v>0</x:v>
      </x:c>
    </x:row>
    <x:row r="445">
      <x:c r="C445" t="str">
        <x:v>Assumptions!G155</x:v>
      </x:c>
      <x:c r="E445"/>
      <x:c r="F445" s="44" t="str">
        <x:f>IF(ISBLANK('Assumptions'!G155),"__BLANK__",'Assumptions'!G155)</x:f>
        <x:v>__BLANK__</x:v>
      </x:c>
      <x:c r="G445" s="44" t="n">
        <x:f>IF(ISBLANK(E445),IF(F445="__BLANK__",0,1),IF(E445=F445,0,1))</x:f>
        <x:v>0</x:v>
      </x:c>
    </x:row>
    <x:row r="446">
      <x:c r="C446" t="str">
        <x:v>Assumptions!G156</x:v>
      </x:c>
      <x:c r="E446"/>
      <x:c r="F446" s="44" t="str">
        <x:f>IF(ISBLANK('Assumptions'!G156),"__BLANK__",'Assumptions'!G156)</x:f>
        <x:v>__BLANK__</x:v>
      </x:c>
      <x:c r="G446" s="44" t="n">
        <x:f>IF(ISBLANK(E446),IF(F446="__BLANK__",0,1),IF(E446=F446,0,1))</x:f>
        <x:v>0</x:v>
      </x:c>
    </x:row>
    <x:row r="447">
      <x:c r="C447" t="str">
        <x:v>Assumptions!G157</x:v>
      </x:c>
      <x:c r="E447"/>
      <x:c r="F447" s="44" t="str">
        <x:f>IF(ISBLANK('Assumptions'!G157),"__BLANK__",'Assumptions'!G157)</x:f>
        <x:v>__BLANK__</x:v>
      </x:c>
      <x:c r="G447" s="44" t="n">
        <x:f>IF(ISBLANK(E447),IF(F447="__BLANK__",0,1),IF(E447=F447,0,1))</x:f>
        <x:v>0</x:v>
      </x:c>
    </x:row>
    <x:row r="448">
      <x:c r="C448" t="str">
        <x:v>Assumptions!H151</x:v>
      </x:c>
      <x:c r="E448"/>
      <x:c r="F448" s="44" t="str">
        <x:f>IF(ISBLANK('Assumptions'!H151),"__BLANK__",'Assumptions'!H151)</x:f>
        <x:v>__BLANK__</x:v>
      </x:c>
      <x:c r="G448" s="44" t="n">
        <x:f>IF(ISBLANK(E448),IF(F448="__BLANK__",0,1),IF(E448=F448,0,1))</x:f>
        <x:v>0</x:v>
      </x:c>
    </x:row>
    <x:row r="449">
      <x:c r="C449" t="str">
        <x:v>Assumptions!H152</x:v>
      </x:c>
      <x:c r="E449"/>
      <x:c r="F449" s="44" t="str">
        <x:f>IF(ISBLANK('Assumptions'!H152),"__BLANK__",'Assumptions'!H152)</x:f>
        <x:v>__BLANK__</x:v>
      </x:c>
      <x:c r="G449" s="44" t="n">
        <x:f>IF(ISBLANK(E449),IF(F449="__BLANK__",0,1),IF(E449=F449,0,1))</x:f>
        <x:v>0</x:v>
      </x:c>
    </x:row>
    <x:row r="450">
      <x:c r="C450" t="str">
        <x:v>Assumptions!H153</x:v>
      </x:c>
      <x:c r="E450"/>
      <x:c r="F450" s="44" t="str">
        <x:f>IF(ISBLANK('Assumptions'!H153),"__BLANK__",'Assumptions'!H153)</x:f>
        <x:v>__BLANK__</x:v>
      </x:c>
      <x:c r="G450" s="44" t="n">
        <x:f>IF(ISBLANK(E450),IF(F450="__BLANK__",0,1),IF(E450=F450,0,1))</x:f>
        <x:v>0</x:v>
      </x:c>
    </x:row>
    <x:row r="451">
      <x:c r="C451" t="str">
        <x:v>Assumptions!H154</x:v>
      </x:c>
      <x:c r="E451"/>
      <x:c r="F451" s="44" t="str">
        <x:f>IF(ISBLANK('Assumptions'!H154),"__BLANK__",'Assumptions'!H154)</x:f>
        <x:v>__BLANK__</x:v>
      </x:c>
      <x:c r="G451" s="44" t="n">
        <x:f>IF(ISBLANK(E451),IF(F451="__BLANK__",0,1),IF(E451=F451,0,1))</x:f>
        <x:v>0</x:v>
      </x:c>
    </x:row>
    <x:row r="452">
      <x:c r="C452" t="str">
        <x:v>Assumptions!H155</x:v>
      </x:c>
      <x:c r="E452"/>
      <x:c r="F452" s="44" t="str">
        <x:f>IF(ISBLANK('Assumptions'!H155),"__BLANK__",'Assumptions'!H155)</x:f>
        <x:v>__BLANK__</x:v>
      </x:c>
      <x:c r="G452" s="44" t="n">
        <x:f>IF(ISBLANK(E452),IF(F452="__BLANK__",0,1),IF(E452=F452,0,1))</x:f>
        <x:v>0</x:v>
      </x:c>
    </x:row>
    <x:row r="453">
      <x:c r="C453" t="str">
        <x:v>Assumptions!H156</x:v>
      </x:c>
      <x:c r="E453"/>
      <x:c r="F453" s="44" t="str">
        <x:f>IF(ISBLANK('Assumptions'!H156),"__BLANK__",'Assumptions'!H156)</x:f>
        <x:v>__BLANK__</x:v>
      </x:c>
      <x:c r="G453" s="44" t="n">
        <x:f>IF(ISBLANK(E453),IF(F453="__BLANK__",0,1),IF(E453=F453,0,1))</x:f>
        <x:v>0</x:v>
      </x:c>
    </x:row>
    <x:row r="454">
      <x:c r="C454" t="str">
        <x:v>Assumptions!H157</x:v>
      </x:c>
      <x:c r="E454"/>
      <x:c r="F454" s="44" t="str">
        <x:f>IF(ISBLANK('Assumptions'!H157),"__BLANK__",'Assumptions'!H157)</x:f>
        <x:v>__BLANK__</x:v>
      </x:c>
      <x:c r="G454" s="44" t="n">
        <x:f>IF(ISBLANK(E454),IF(F454="__BLANK__",0,1),IF(E454=F454,0,1))</x:f>
        <x:v>0</x:v>
      </x:c>
    </x:row>
    <x:row r="455">
      <x:c r="C455" t="str">
        <x:v>Assumptions!I151</x:v>
      </x:c>
      <x:c r="E455" t="n">
        <x:v>0.08838811599999996</x:v>
      </x:c>
      <x:c r="F455" s="44" t="n">
        <x:f>IF(ISBLANK('Assumptions'!I151),"__BLANK__",'Assumptions'!I151)</x:f>
        <x:v>0.08838811599999996</x:v>
      </x:c>
      <x:c r="G455" s="44" t="n">
        <x:f>IF(ISBLANK(E455),IF(F455="__BLANK__",0,1),IF(E455=F455,0,1))</x:f>
        <x:v>0</x:v>
      </x:c>
    </x:row>
    <x:row r="456">
      <x:c r="C456" t="str">
        <x:v>Assumptions!I152</x:v>
      </x:c>
      <x:c r="E456" t="n">
        <x:v>0.08838811599999996</x:v>
      </x:c>
      <x:c r="F456" s="44" t="n">
        <x:f>IF(ISBLANK('Assumptions'!I152),"__BLANK__",'Assumptions'!I152)</x:f>
        <x:v>0.08838811599999996</x:v>
      </x:c>
      <x:c r="G456" s="44" t="n">
        <x:f>IF(ISBLANK(E456),IF(F456="__BLANK__",0,1),IF(E456=F456,0,1))</x:f>
        <x:v>0</x:v>
      </x:c>
    </x:row>
    <x:row r="457">
      <x:c r="C457" t="str">
        <x:v>Assumptions!I153</x:v>
      </x:c>
      <x:c r="E457" t="n">
        <x:v>0.08838811599999996</x:v>
      </x:c>
      <x:c r="F457" s="44" t="n">
        <x:f>IF(ISBLANK('Assumptions'!I153),"__BLANK__",'Assumptions'!I153)</x:f>
        <x:v>0.08838811599999996</x:v>
      </x:c>
      <x:c r="G457" s="44" t="n">
        <x:f>IF(ISBLANK(E457),IF(F457="__BLANK__",0,1),IF(E457=F457,0,1))</x:f>
        <x:v>0</x:v>
      </x:c>
    </x:row>
    <x:row r="458">
      <x:c r="C458" t="str">
        <x:v>Assumptions!I154</x:v>
      </x:c>
      <x:c r="E458" t="n">
        <x:v>0.08838811599999996</x:v>
      </x:c>
      <x:c r="F458" s="44" t="n">
        <x:f>IF(ISBLANK('Assumptions'!I154),"__BLANK__",'Assumptions'!I154)</x:f>
        <x:v>0.08838811599999996</x:v>
      </x:c>
      <x:c r="G458" s="44" t="n">
        <x:f>IF(ISBLANK(E458),IF(F458="__BLANK__",0,1),IF(E458=F458,0,1))</x:f>
        <x:v>0</x:v>
      </x:c>
    </x:row>
    <x:row r="459">
      <x:c r="C459" t="str">
        <x:v>Assumptions!I155</x:v>
      </x:c>
      <x:c r="E459" t="n">
        <x:v>0.08838811599999996</x:v>
      </x:c>
      <x:c r="F459" s="44" t="n">
        <x:f>IF(ISBLANK('Assumptions'!I155),"__BLANK__",'Assumptions'!I155)</x:f>
        <x:v>0.08838811599999996</x:v>
      </x:c>
      <x:c r="G459" s="44" t="n">
        <x:f>IF(ISBLANK(E459),IF(F459="__BLANK__",0,1),IF(E459=F459,0,1))</x:f>
        <x:v>0</x:v>
      </x:c>
    </x:row>
    <x:row r="460">
      <x:c r="C460" t="str">
        <x:v>Assumptions!I156</x:v>
      </x:c>
      <x:c r="E460" t="n">
        <x:v>0.08838811599999996</x:v>
      </x:c>
      <x:c r="F460" s="44" t="n">
        <x:f>IF(ISBLANK('Assumptions'!I156),"__BLANK__",'Assumptions'!I156)</x:f>
        <x:v>0.08838811599999996</x:v>
      </x:c>
      <x:c r="G460" s="44" t="n">
        <x:f>IF(ISBLANK(E460),IF(F460="__BLANK__",0,1),IF(E460=F460,0,1))</x:f>
        <x:v>0</x:v>
      </x:c>
    </x:row>
    <x:row r="461">
      <x:c r="C461" t="str">
        <x:v>Assumptions!I157</x:v>
      </x:c>
      <x:c r="E461" t="n">
        <x:v>0.08838811599999996</x:v>
      </x:c>
      <x:c r="F461" s="44" t="n">
        <x:f>IF(ISBLANK('Assumptions'!I157),"__BLANK__",'Assumptions'!I157)</x:f>
        <x:v>0.08838811599999996</x:v>
      </x:c>
      <x:c r="G461" s="44" t="n">
        <x:f>IF(ISBLANK(E461),IF(F461="__BLANK__",0,1),IF(E461=F461,0,1))</x:f>
        <x:v>0</x:v>
      </x:c>
    </x:row>
    <x:row r="462">
      <x:c r="C462" t="str">
        <x:v>Assumptions!J151</x:v>
      </x:c>
      <x:c r="E462" t="n">
        <x:v>0.08842840140140162</x:v>
      </x:c>
      <x:c r="F462" s="44" t="n">
        <x:f>IF(ISBLANK('Assumptions'!J151),"__BLANK__",'Assumptions'!J151)</x:f>
        <x:v>0.08842840140140162</x:v>
      </x:c>
      <x:c r="G462" s="44" t="n">
        <x:f>IF(ISBLANK(E462),IF(F462="__BLANK__",0,1),IF(E462=F462,0,1))</x:f>
        <x:v>0</x:v>
      </x:c>
    </x:row>
    <x:row r="463">
      <x:c r="C463" t="str">
        <x:v>Assumptions!J152</x:v>
      </x:c>
      <x:c r="E463" t="n">
        <x:v>0.08842840140140162</x:v>
      </x:c>
      <x:c r="F463" s="44" t="n">
        <x:f>IF(ISBLANK('Assumptions'!J152),"__BLANK__",'Assumptions'!J152)</x:f>
        <x:v>0.08842840140140162</x:v>
      </x:c>
      <x:c r="G463" s="44" t="n">
        <x:f>IF(ISBLANK(E463),IF(F463="__BLANK__",0,1),IF(E463=F463,0,1))</x:f>
        <x:v>0</x:v>
      </x:c>
    </x:row>
    <x:row r="464">
      <x:c r="C464" t="str">
        <x:v>Assumptions!J153</x:v>
      </x:c>
      <x:c r="E464" t="n">
        <x:v>0.08842840140140162</x:v>
      </x:c>
      <x:c r="F464" s="44" t="n">
        <x:f>IF(ISBLANK('Assumptions'!J153),"__BLANK__",'Assumptions'!J153)</x:f>
        <x:v>0.08842840140140162</x:v>
      </x:c>
      <x:c r="G464" s="44" t="n">
        <x:f>IF(ISBLANK(E464),IF(F464="__BLANK__",0,1),IF(E464=F464,0,1))</x:f>
        <x:v>0</x:v>
      </x:c>
    </x:row>
    <x:row r="465">
      <x:c r="C465" t="str">
        <x:v>Assumptions!J154</x:v>
      </x:c>
      <x:c r="E465" t="n">
        <x:v>0.08842840140140162</x:v>
      </x:c>
      <x:c r="F465" s="44" t="n">
        <x:f>IF(ISBLANK('Assumptions'!J154),"__BLANK__",'Assumptions'!J154)</x:f>
        <x:v>0.08842840140140162</x:v>
      </x:c>
      <x:c r="G465" s="44" t="n">
        <x:f>IF(ISBLANK(E465),IF(F465="__BLANK__",0,1),IF(E465=F465,0,1))</x:f>
        <x:v>0</x:v>
      </x:c>
    </x:row>
    <x:row r="466">
      <x:c r="C466" t="str">
        <x:v>Assumptions!J155</x:v>
      </x:c>
      <x:c r="E466" t="n">
        <x:v>0.08842840140140162</x:v>
      </x:c>
      <x:c r="F466" s="44" t="n">
        <x:f>IF(ISBLANK('Assumptions'!J155),"__BLANK__",'Assumptions'!J155)</x:f>
        <x:v>0.08842840140140162</x:v>
      </x:c>
      <x:c r="G466" s="44" t="n">
        <x:f>IF(ISBLANK(E466),IF(F466="__BLANK__",0,1),IF(E466=F466,0,1))</x:f>
        <x:v>0</x:v>
      </x:c>
    </x:row>
    <x:row r="467">
      <x:c r="C467" t="str">
        <x:v>Assumptions!J156</x:v>
      </x:c>
      <x:c r="E467" t="n">
        <x:v>0.08842840140140162</x:v>
      </x:c>
      <x:c r="F467" s="44" t="n">
        <x:f>IF(ISBLANK('Assumptions'!J156),"__BLANK__",'Assumptions'!J156)</x:f>
        <x:v>0.08842840140140162</x:v>
      </x:c>
      <x:c r="G467" s="44" t="n">
        <x:f>IF(ISBLANK(E467),IF(F467="__BLANK__",0,1),IF(E467=F467,0,1))</x:f>
        <x:v>0</x:v>
      </x:c>
    </x:row>
    <x:row r="468">
      <x:c r="C468" t="str">
        <x:v>Assumptions!J157</x:v>
      </x:c>
      <x:c r="E468" t="n">
        <x:v>0.08842840140140162</x:v>
      </x:c>
      <x:c r="F468" s="44" t="n">
        <x:f>IF(ISBLANK('Assumptions'!J157),"__BLANK__",'Assumptions'!J157)</x:f>
        <x:v>0.08842840140140162</x:v>
      </x:c>
      <x:c r="G468" s="44" t="n">
        <x:f>IF(ISBLANK(E468),IF(F468="__BLANK__",0,1),IF(E468=F468,0,1))</x:f>
        <x:v>0</x:v>
      </x:c>
    </x:row>
    <x:row r="469">
      <x:c r="C469" t="str">
        <x:v>Assumptions!K151</x:v>
      </x:c>
      <x:c r="E469" t="n">
        <x:v>0.0885779212073432</x:v>
      </x:c>
      <x:c r="F469" s="44" t="n">
        <x:f>IF(ISBLANK('Assumptions'!K151),"__BLANK__",'Assumptions'!K151)</x:f>
        <x:v>0.0885779212073432</x:v>
      </x:c>
      <x:c r="G469" s="44" t="n">
        <x:f>IF(ISBLANK(E469),IF(F469="__BLANK__",0,1),IF(E469=F469,0,1))</x:f>
        <x:v>0</x:v>
      </x:c>
    </x:row>
    <x:row r="470">
      <x:c r="C470" t="str">
        <x:v>Assumptions!K152</x:v>
      </x:c>
      <x:c r="E470" t="n">
        <x:v>0.0885779212073432</x:v>
      </x:c>
      <x:c r="F470" s="44" t="n">
        <x:f>IF(ISBLANK('Assumptions'!K152),"__BLANK__",'Assumptions'!K152)</x:f>
        <x:v>0.0885779212073432</x:v>
      </x:c>
      <x:c r="G470" s="44" t="n">
        <x:f>IF(ISBLANK(E470),IF(F470="__BLANK__",0,1),IF(E470=F470,0,1))</x:f>
        <x:v>0</x:v>
      </x:c>
    </x:row>
    <x:row r="471">
      <x:c r="C471" t="str">
        <x:v>Assumptions!K153</x:v>
      </x:c>
      <x:c r="E471" t="n">
        <x:v>0.0885779212073432</x:v>
      </x:c>
      <x:c r="F471" s="44" t="n">
        <x:f>IF(ISBLANK('Assumptions'!K153),"__BLANK__",'Assumptions'!K153)</x:f>
        <x:v>0.0885779212073432</x:v>
      </x:c>
      <x:c r="G471" s="44" t="n">
        <x:f>IF(ISBLANK(E471),IF(F471="__BLANK__",0,1),IF(E471=F471,0,1))</x:f>
        <x:v>0</x:v>
      </x:c>
    </x:row>
    <x:row r="472">
      <x:c r="C472" t="str">
        <x:v>Assumptions!K154</x:v>
      </x:c>
      <x:c r="E472" t="n">
        <x:v>0.0885779212073432</x:v>
      </x:c>
      <x:c r="F472" s="44" t="n">
        <x:f>IF(ISBLANK('Assumptions'!K154),"__BLANK__",'Assumptions'!K154)</x:f>
        <x:v>0.0885779212073432</x:v>
      </x:c>
      <x:c r="G472" s="44" t="n">
        <x:f>IF(ISBLANK(E472),IF(F472="__BLANK__",0,1),IF(E472=F472,0,1))</x:f>
        <x:v>0</x:v>
      </x:c>
    </x:row>
    <x:row r="473">
      <x:c r="C473" t="str">
        <x:v>Assumptions!K155</x:v>
      </x:c>
      <x:c r="E473" t="n">
        <x:v>0.0885779212073432</x:v>
      </x:c>
      <x:c r="F473" s="44" t="n">
        <x:f>IF(ISBLANK('Assumptions'!K155),"__BLANK__",'Assumptions'!K155)</x:f>
        <x:v>0.0885779212073432</x:v>
      </x:c>
      <x:c r="G473" s="44" t="n">
        <x:f>IF(ISBLANK(E473),IF(F473="__BLANK__",0,1),IF(E473=F473,0,1))</x:f>
        <x:v>0</x:v>
      </x:c>
    </x:row>
    <x:row r="474">
      <x:c r="C474" t="str">
        <x:v>Assumptions!K156</x:v>
      </x:c>
      <x:c r="E474" t="n">
        <x:v>0.0885779212073432</x:v>
      </x:c>
      <x:c r="F474" s="44" t="n">
        <x:f>IF(ISBLANK('Assumptions'!K156),"__BLANK__",'Assumptions'!K156)</x:f>
        <x:v>0.0885779212073432</x:v>
      </x:c>
      <x:c r="G474" s="44" t="n">
        <x:f>IF(ISBLANK(E474),IF(F474="__BLANK__",0,1),IF(E474=F474,0,1))</x:f>
        <x:v>0</x:v>
      </x:c>
    </x:row>
    <x:row r="475">
      <x:c r="C475" t="str">
        <x:v>Assumptions!K157</x:v>
      </x:c>
      <x:c r="E475" t="n">
        <x:v>0.0885779212073432</x:v>
      </x:c>
      <x:c r="F475" s="44" t="n">
        <x:f>IF(ISBLANK('Assumptions'!K157),"__BLANK__",'Assumptions'!K157)</x:f>
        <x:v>0.0885779212073432</x:v>
      </x:c>
      <x:c r="G475" s="44" t="n">
        <x:f>IF(ISBLANK(E475),IF(F475="__BLANK__",0,1),IF(E475=F475,0,1))</x:f>
        <x:v>0</x:v>
      </x:c>
    </x:row>
    <x:row r="476">
      <x:c r="C476" t="str">
        <x:v>Assumptions!L151</x:v>
      </x:c>
      <x:c r="E476" t="n">
        <x:v>0.08946783740302067</x:v>
      </x:c>
      <x:c r="F476" s="44" t="n">
        <x:f>IF(ISBLANK('Assumptions'!L151),"__BLANK__",'Assumptions'!L151)</x:f>
        <x:v>0.08946783740302067</x:v>
      </x:c>
      <x:c r="G476" s="44" t="n">
        <x:f>IF(ISBLANK(E476),IF(F476="__BLANK__",0,1),IF(E476=F476,0,1))</x:f>
        <x:v>0</x:v>
      </x:c>
    </x:row>
    <x:row r="477">
      <x:c r="C477" t="str">
        <x:v>Assumptions!L152</x:v>
      </x:c>
      <x:c r="E477" t="n">
        <x:v>0.08946783740302067</x:v>
      </x:c>
      <x:c r="F477" s="44" t="n">
        <x:f>IF(ISBLANK('Assumptions'!L152),"__BLANK__",'Assumptions'!L152)</x:f>
        <x:v>0.08946783740302067</x:v>
      </x:c>
      <x:c r="G477" s="44" t="n">
        <x:f>IF(ISBLANK(E477),IF(F477="__BLANK__",0,1),IF(E477=F477,0,1))</x:f>
        <x:v>0</x:v>
      </x:c>
    </x:row>
    <x:row r="478">
      <x:c r="C478" t="str">
        <x:v>Assumptions!L153</x:v>
      </x:c>
      <x:c r="E478" t="n">
        <x:v>0.08946783740302067</x:v>
      </x:c>
      <x:c r="F478" s="44" t="n">
        <x:f>IF(ISBLANK('Assumptions'!L153),"__BLANK__",'Assumptions'!L153)</x:f>
        <x:v>0.08946783740302067</x:v>
      </x:c>
      <x:c r="G478" s="44" t="n">
        <x:f>IF(ISBLANK(E478),IF(F478="__BLANK__",0,1),IF(E478=F478,0,1))</x:f>
        <x:v>0</x:v>
      </x:c>
    </x:row>
    <x:row r="479">
      <x:c r="C479" t="str">
        <x:v>Assumptions!L154</x:v>
      </x:c>
      <x:c r="E479" t="n">
        <x:v>0.08946783740302067</x:v>
      </x:c>
      <x:c r="F479" s="44" t="n">
        <x:f>IF(ISBLANK('Assumptions'!L154),"__BLANK__",'Assumptions'!L154)</x:f>
        <x:v>0.08946783740302067</x:v>
      </x:c>
      <x:c r="G479" s="44" t="n">
        <x:f>IF(ISBLANK(E479),IF(F479="__BLANK__",0,1),IF(E479=F479,0,1))</x:f>
        <x:v>0</x:v>
      </x:c>
    </x:row>
    <x:row r="480">
      <x:c r="C480" t="str">
        <x:v>Assumptions!L155</x:v>
      </x:c>
      <x:c r="E480" t="n">
        <x:v>0.08946783740302067</x:v>
      </x:c>
      <x:c r="F480" s="44" t="n">
        <x:f>IF(ISBLANK('Assumptions'!L155),"__BLANK__",'Assumptions'!L155)</x:f>
        <x:v>0.08946783740302067</x:v>
      </x:c>
      <x:c r="G480" s="44" t="n">
        <x:f>IF(ISBLANK(E480),IF(F480="__BLANK__",0,1),IF(E480=F480,0,1))</x:f>
        <x:v>0</x:v>
      </x:c>
    </x:row>
    <x:row r="481">
      <x:c r="C481" t="str">
        <x:v>Assumptions!L156</x:v>
      </x:c>
      <x:c r="E481" t="n">
        <x:v>0.08946783740302067</x:v>
      </x:c>
      <x:c r="F481" s="44" t="n">
        <x:f>IF(ISBLANK('Assumptions'!L156),"__BLANK__",'Assumptions'!L156)</x:f>
        <x:v>0.08946783740302067</x:v>
      </x:c>
      <x:c r="G481" s="44" t="n">
        <x:f>IF(ISBLANK(E481),IF(F481="__BLANK__",0,1),IF(E481=F481,0,1))</x:f>
        <x:v>0</x:v>
      </x:c>
    </x:row>
    <x:row r="482">
      <x:c r="C482" t="str">
        <x:v>Assumptions!L157</x:v>
      </x:c>
      <x:c r="E482" t="n">
        <x:v>0.08946783740302067</x:v>
      </x:c>
      <x:c r="F482" s="44" t="n">
        <x:f>IF(ISBLANK('Assumptions'!L157),"__BLANK__",'Assumptions'!L157)</x:f>
        <x:v>0.08946783740302067</x:v>
      </x:c>
      <x:c r="G482" s="44" t="n">
        <x:f>IF(ISBLANK(E482),IF(F482="__BLANK__",0,1),IF(E482=F482,0,1))</x:f>
        <x:v>0</x:v>
      </x:c>
    </x:row>
    <x:row r="483">
      <x:c r="C483" t="str">
        <x:v>Assumptions!E161</x:v>
      </x:c>
      <x:c r="E483"/>
      <x:c r="F483" s="44" t="str">
        <x:f>IF(ISBLANK('Assumptions'!E161),"__BLANK__",'Assumptions'!E161)</x:f>
        <x:v>__BLANK__</x:v>
      </x:c>
      <x:c r="G483" s="44" t="n">
        <x:f>IF(ISBLANK(E483),IF(F483="__BLANK__",0,1),IF(E483=F483,0,1))</x:f>
        <x:v>0</x:v>
      </x:c>
    </x:row>
    <x:row r="484">
      <x:c r="C484" t="str">
        <x:v>Assumptions!E162</x:v>
      </x:c>
      <x:c r="E484"/>
      <x:c r="F484" s="44" t="str">
        <x:f>IF(ISBLANK('Assumptions'!E162),"__BLANK__",'Assumptions'!E162)</x:f>
        <x:v>__BLANK__</x:v>
      </x:c>
      <x:c r="G484" s="44" t="n">
        <x:f>IF(ISBLANK(E484),IF(F484="__BLANK__",0,1),IF(E484=F484,0,1))</x:f>
        <x:v>0</x:v>
      </x:c>
    </x:row>
    <x:row r="485">
      <x:c r="C485" t="str">
        <x:v>Assumptions!E163</x:v>
      </x:c>
      <x:c r="E485"/>
      <x:c r="F485" s="44" t="str">
        <x:f>IF(ISBLANK('Assumptions'!E163),"__BLANK__",'Assumptions'!E163)</x:f>
        <x:v>__BLANK__</x:v>
      </x:c>
      <x:c r="G485" s="44" t="n">
        <x:f>IF(ISBLANK(E485),IF(F485="__BLANK__",0,1),IF(E485=F485,0,1))</x:f>
        <x:v>0</x:v>
      </x:c>
    </x:row>
    <x:row r="486">
      <x:c r="C486" t="str">
        <x:v>Assumptions!E164</x:v>
      </x:c>
      <x:c r="E486"/>
      <x:c r="F486" s="44" t="str">
        <x:f>IF(ISBLANK('Assumptions'!E164),"__BLANK__",'Assumptions'!E164)</x:f>
        <x:v>__BLANK__</x:v>
      </x:c>
      <x:c r="G486" s="44" t="n">
        <x:f>IF(ISBLANK(E486),IF(F486="__BLANK__",0,1),IF(E486=F486,0,1))</x:f>
        <x:v>0</x:v>
      </x:c>
    </x:row>
    <x:row r="487">
      <x:c r="C487" t="str">
        <x:v>Assumptions!E165</x:v>
      </x:c>
      <x:c r="E487"/>
      <x:c r="F487" s="44" t="str">
        <x:f>IF(ISBLANK('Assumptions'!E165),"__BLANK__",'Assumptions'!E165)</x:f>
        <x:v>__BLANK__</x:v>
      </x:c>
      <x:c r="G487" s="44" t="n">
        <x:f>IF(ISBLANK(E487),IF(F487="__BLANK__",0,1),IF(E487=F487,0,1))</x:f>
        <x:v>0</x:v>
      </x:c>
    </x:row>
    <x:row r="488">
      <x:c r="C488" t="str">
        <x:v>Assumptions!E166</x:v>
      </x:c>
      <x:c r="E488"/>
      <x:c r="F488" s="44" t="str">
        <x:f>IF(ISBLANK('Assumptions'!E166),"__BLANK__",'Assumptions'!E166)</x:f>
        <x:v>__BLANK__</x:v>
      </x:c>
      <x:c r="G488" s="44" t="n">
        <x:f>IF(ISBLANK(E488),IF(F488="__BLANK__",0,1),IF(E488=F488,0,1))</x:f>
        <x:v>0</x:v>
      </x:c>
    </x:row>
    <x:row r="489">
      <x:c r="C489" t="str">
        <x:v>Assumptions!E167</x:v>
      </x:c>
      <x:c r="E489"/>
      <x:c r="F489" s="44" t="str">
        <x:f>IF(ISBLANK('Assumptions'!E167),"__BLANK__",'Assumptions'!E167)</x:f>
        <x:v>__BLANK__</x:v>
      </x:c>
      <x:c r="G489" s="44" t="n">
        <x:f>IF(ISBLANK(E489),IF(F489="__BLANK__",0,1),IF(E489=F489,0,1))</x:f>
        <x:v>0</x:v>
      </x:c>
    </x:row>
    <x:row r="490">
      <x:c r="C490" t="str">
        <x:v>Assumptions!F161</x:v>
      </x:c>
      <x:c r="E490"/>
      <x:c r="F490" s="44" t="str">
        <x:f>IF(ISBLANK('Assumptions'!F161),"__BLANK__",'Assumptions'!F161)</x:f>
        <x:v>__BLANK__</x:v>
      </x:c>
      <x:c r="G490" s="44" t="n">
        <x:f>IF(ISBLANK(E490),IF(F490="__BLANK__",0,1),IF(E490=F490,0,1))</x:f>
        <x:v>0</x:v>
      </x:c>
    </x:row>
    <x:row r="491">
      <x:c r="C491" t="str">
        <x:v>Assumptions!F162</x:v>
      </x:c>
      <x:c r="E491"/>
      <x:c r="F491" s="44" t="str">
        <x:f>IF(ISBLANK('Assumptions'!F162),"__BLANK__",'Assumptions'!F162)</x:f>
        <x:v>__BLANK__</x:v>
      </x:c>
      <x:c r="G491" s="44" t="n">
        <x:f>IF(ISBLANK(E491),IF(F491="__BLANK__",0,1),IF(E491=F491,0,1))</x:f>
        <x:v>0</x:v>
      </x:c>
    </x:row>
    <x:row r="492">
      <x:c r="C492" t="str">
        <x:v>Assumptions!F163</x:v>
      </x:c>
      <x:c r="E492"/>
      <x:c r="F492" s="44" t="str">
        <x:f>IF(ISBLANK('Assumptions'!F163),"__BLANK__",'Assumptions'!F163)</x:f>
        <x:v>__BLANK__</x:v>
      </x:c>
      <x:c r="G492" s="44" t="n">
        <x:f>IF(ISBLANK(E492),IF(F492="__BLANK__",0,1),IF(E492=F492,0,1))</x:f>
        <x:v>0</x:v>
      </x:c>
    </x:row>
    <x:row r="493">
      <x:c r="C493" t="str">
        <x:v>Assumptions!F164</x:v>
      </x:c>
      <x:c r="E493"/>
      <x:c r="F493" s="44" t="str">
        <x:f>IF(ISBLANK('Assumptions'!F164),"__BLANK__",'Assumptions'!F164)</x:f>
        <x:v>__BLANK__</x:v>
      </x:c>
      <x:c r="G493" s="44" t="n">
        <x:f>IF(ISBLANK(E493),IF(F493="__BLANK__",0,1),IF(E493=F493,0,1))</x:f>
        <x:v>0</x:v>
      </x:c>
    </x:row>
    <x:row r="494">
      <x:c r="C494" t="str">
        <x:v>Assumptions!F165</x:v>
      </x:c>
      <x:c r="E494"/>
      <x:c r="F494" s="44" t="str">
        <x:f>IF(ISBLANK('Assumptions'!F165),"__BLANK__",'Assumptions'!F165)</x:f>
        <x:v>__BLANK__</x:v>
      </x:c>
      <x:c r="G494" s="44" t="n">
        <x:f>IF(ISBLANK(E494),IF(F494="__BLANK__",0,1),IF(E494=F494,0,1))</x:f>
        <x:v>0</x:v>
      </x:c>
    </x:row>
    <x:row r="495">
      <x:c r="C495" t="str">
        <x:v>Assumptions!F166</x:v>
      </x:c>
      <x:c r="E495"/>
      <x:c r="F495" s="44" t="str">
        <x:f>IF(ISBLANK('Assumptions'!F166),"__BLANK__",'Assumptions'!F166)</x:f>
        <x:v>__BLANK__</x:v>
      </x:c>
      <x:c r="G495" s="44" t="n">
        <x:f>IF(ISBLANK(E495),IF(F495="__BLANK__",0,1),IF(E495=F495,0,1))</x:f>
        <x:v>0</x:v>
      </x:c>
    </x:row>
    <x:row r="496">
      <x:c r="C496" t="str">
        <x:v>Assumptions!F167</x:v>
      </x:c>
      <x:c r="E496"/>
      <x:c r="F496" s="44" t="str">
        <x:f>IF(ISBLANK('Assumptions'!F167),"__BLANK__",'Assumptions'!F167)</x:f>
        <x:v>__BLANK__</x:v>
      </x:c>
      <x:c r="G496" s="44" t="n">
        <x:f>IF(ISBLANK(E496),IF(F496="__BLANK__",0,1),IF(E496=F496,0,1))</x:f>
        <x:v>0</x:v>
      </x:c>
    </x:row>
    <x:row r="497">
      <x:c r="C497" t="str">
        <x:v>Assumptions!G161</x:v>
      </x:c>
      <x:c r="E497"/>
      <x:c r="F497" s="44" t="str">
        <x:f>IF(ISBLANK('Assumptions'!G161),"__BLANK__",'Assumptions'!G161)</x:f>
        <x:v>__BLANK__</x:v>
      </x:c>
      <x:c r="G497" s="44" t="n">
        <x:f>IF(ISBLANK(E497),IF(F497="__BLANK__",0,1),IF(E497=F497,0,1))</x:f>
        <x:v>0</x:v>
      </x:c>
    </x:row>
    <x:row r="498">
      <x:c r="C498" t="str">
        <x:v>Assumptions!G162</x:v>
      </x:c>
      <x:c r="E498"/>
      <x:c r="F498" s="44" t="str">
        <x:f>IF(ISBLANK('Assumptions'!G162),"__BLANK__",'Assumptions'!G162)</x:f>
        <x:v>__BLANK__</x:v>
      </x:c>
      <x:c r="G498" s="44" t="n">
        <x:f>IF(ISBLANK(E498),IF(F498="__BLANK__",0,1),IF(E498=F498,0,1))</x:f>
        <x:v>0</x:v>
      </x:c>
    </x:row>
    <x:row r="499">
      <x:c r="C499" t="str">
        <x:v>Assumptions!G163</x:v>
      </x:c>
      <x:c r="E499"/>
      <x:c r="F499" s="44" t="str">
        <x:f>IF(ISBLANK('Assumptions'!G163),"__BLANK__",'Assumptions'!G163)</x:f>
        <x:v>__BLANK__</x:v>
      </x:c>
      <x:c r="G499" s="44" t="n">
        <x:f>IF(ISBLANK(E499),IF(F499="__BLANK__",0,1),IF(E499=F499,0,1))</x:f>
        <x:v>0</x:v>
      </x:c>
    </x:row>
    <x:row r="500">
      <x:c r="C500" t="str">
        <x:v>Assumptions!G164</x:v>
      </x:c>
      <x:c r="E500"/>
      <x:c r="F500" s="44" t="str">
        <x:f>IF(ISBLANK('Assumptions'!G164),"__BLANK__",'Assumptions'!G164)</x:f>
        <x:v>__BLANK__</x:v>
      </x:c>
      <x:c r="G500" s="44" t="n">
        <x:f>IF(ISBLANK(E500),IF(F500="__BLANK__",0,1),IF(E500=F500,0,1))</x:f>
        <x:v>0</x:v>
      </x:c>
    </x:row>
    <x:row r="501">
      <x:c r="C501" t="str">
        <x:v>Assumptions!G165</x:v>
      </x:c>
      <x:c r="E501"/>
      <x:c r="F501" s="44" t="str">
        <x:f>IF(ISBLANK('Assumptions'!G165),"__BLANK__",'Assumptions'!G165)</x:f>
        <x:v>__BLANK__</x:v>
      </x:c>
      <x:c r="G501" s="44" t="n">
        <x:f>IF(ISBLANK(E501),IF(F501="__BLANK__",0,1),IF(E501=F501,0,1))</x:f>
        <x:v>0</x:v>
      </x:c>
    </x:row>
    <x:row r="502">
      <x:c r="C502" t="str">
        <x:v>Assumptions!G166</x:v>
      </x:c>
      <x:c r="E502"/>
      <x:c r="F502" s="44" t="str">
        <x:f>IF(ISBLANK('Assumptions'!G166),"__BLANK__",'Assumptions'!G166)</x:f>
        <x:v>__BLANK__</x:v>
      </x:c>
      <x:c r="G502" s="44" t="n">
        <x:f>IF(ISBLANK(E502),IF(F502="__BLANK__",0,1),IF(E502=F502,0,1))</x:f>
        <x:v>0</x:v>
      </x:c>
    </x:row>
    <x:row r="503">
      <x:c r="C503" t="str">
        <x:v>Assumptions!G167</x:v>
      </x:c>
      <x:c r="E503"/>
      <x:c r="F503" s="44" t="str">
        <x:f>IF(ISBLANK('Assumptions'!G167),"__BLANK__",'Assumptions'!G167)</x:f>
        <x:v>__BLANK__</x:v>
      </x:c>
      <x:c r="G503" s="44" t="n">
        <x:f>IF(ISBLANK(E503),IF(F503="__BLANK__",0,1),IF(E503=F503,0,1))</x:f>
        <x:v>0</x:v>
      </x:c>
    </x:row>
    <x:row r="504">
      <x:c r="C504" t="str">
        <x:v>Assumptions!H161</x:v>
      </x:c>
      <x:c r="E504"/>
      <x:c r="F504" s="44" t="str">
        <x:f>IF(ISBLANK('Assumptions'!H161),"__BLANK__",'Assumptions'!H161)</x:f>
        <x:v>__BLANK__</x:v>
      </x:c>
      <x:c r="G504" s="44" t="n">
        <x:f>IF(ISBLANK(E504),IF(F504="__BLANK__",0,1),IF(E504=F504,0,1))</x:f>
        <x:v>0</x:v>
      </x:c>
    </x:row>
    <x:row r="505">
      <x:c r="C505" t="str">
        <x:v>Assumptions!H162</x:v>
      </x:c>
      <x:c r="E505"/>
      <x:c r="F505" s="44" t="str">
        <x:f>IF(ISBLANK('Assumptions'!H162),"__BLANK__",'Assumptions'!H162)</x:f>
        <x:v>__BLANK__</x:v>
      </x:c>
      <x:c r="G505" s="44" t="n">
        <x:f>IF(ISBLANK(E505),IF(F505="__BLANK__",0,1),IF(E505=F505,0,1))</x:f>
        <x:v>0</x:v>
      </x:c>
    </x:row>
    <x:row r="506">
      <x:c r="C506" t="str">
        <x:v>Assumptions!H163</x:v>
      </x:c>
      <x:c r="E506"/>
      <x:c r="F506" s="44" t="str">
        <x:f>IF(ISBLANK('Assumptions'!H163),"__BLANK__",'Assumptions'!H163)</x:f>
        <x:v>__BLANK__</x:v>
      </x:c>
      <x:c r="G506" s="44" t="n">
        <x:f>IF(ISBLANK(E506),IF(F506="__BLANK__",0,1),IF(E506=F506,0,1))</x:f>
        <x:v>0</x:v>
      </x:c>
    </x:row>
    <x:row r="507">
      <x:c r="C507" t="str">
        <x:v>Assumptions!H164</x:v>
      </x:c>
      <x:c r="E507"/>
      <x:c r="F507" s="44" t="str">
        <x:f>IF(ISBLANK('Assumptions'!H164),"__BLANK__",'Assumptions'!H164)</x:f>
        <x:v>__BLANK__</x:v>
      </x:c>
      <x:c r="G507" s="44" t="n">
        <x:f>IF(ISBLANK(E507),IF(F507="__BLANK__",0,1),IF(E507=F507,0,1))</x:f>
        <x:v>0</x:v>
      </x:c>
    </x:row>
    <x:row r="508">
      <x:c r="C508" t="str">
        <x:v>Assumptions!H165</x:v>
      </x:c>
      <x:c r="E508"/>
      <x:c r="F508" s="44" t="str">
        <x:f>IF(ISBLANK('Assumptions'!H165),"__BLANK__",'Assumptions'!H165)</x:f>
        <x:v>__BLANK__</x:v>
      </x:c>
      <x:c r="G508" s="44" t="n">
        <x:f>IF(ISBLANK(E508),IF(F508="__BLANK__",0,1),IF(E508=F508,0,1))</x:f>
        <x:v>0</x:v>
      </x:c>
    </x:row>
    <x:row r="509">
      <x:c r="C509" t="str">
        <x:v>Assumptions!H166</x:v>
      </x:c>
      <x:c r="E509"/>
      <x:c r="F509" s="44" t="str">
        <x:f>IF(ISBLANK('Assumptions'!H166),"__BLANK__",'Assumptions'!H166)</x:f>
        <x:v>__BLANK__</x:v>
      </x:c>
      <x:c r="G509" s="44" t="n">
        <x:f>IF(ISBLANK(E509),IF(F509="__BLANK__",0,1),IF(E509=F509,0,1))</x:f>
        <x:v>0</x:v>
      </x:c>
    </x:row>
    <x:row r="510">
      <x:c r="C510" t="str">
        <x:v>Assumptions!H167</x:v>
      </x:c>
      <x:c r="E510"/>
      <x:c r="F510" s="44" t="str">
        <x:f>IF(ISBLANK('Assumptions'!H167),"__BLANK__",'Assumptions'!H167)</x:f>
        <x:v>__BLANK__</x:v>
      </x:c>
      <x:c r="G510" s="44" t="n">
        <x:f>IF(ISBLANK(E510),IF(F510="__BLANK__",0,1),IF(E510=F510,0,1))</x:f>
        <x:v>0</x:v>
      </x:c>
    </x:row>
    <x:row r="511">
      <x:c r="C511" t="str">
        <x:v>Assumptions!I161</x:v>
      </x:c>
      <x:c r="E511" t="n">
        <x:v>0.020245645054794315</x:v>
      </x:c>
      <x:c r="F511" s="44" t="n">
        <x:f>IF(ISBLANK('Assumptions'!I161),"__BLANK__",'Assumptions'!I161)</x:f>
        <x:v>0.020245645054794315</x:v>
      </x:c>
      <x:c r="G511" s="44" t="n">
        <x:f>IF(ISBLANK(E511),IF(F511="__BLANK__",0,1),IF(E511=F511,0,1))</x:f>
        <x:v>0</x:v>
      </x:c>
    </x:row>
    <x:row r="512">
      <x:c r="C512" t="str">
        <x:v>Assumptions!I162</x:v>
      </x:c>
      <x:c r="E512" t="n">
        <x:v>0.020245645054794315</x:v>
      </x:c>
      <x:c r="F512" s="44" t="n">
        <x:f>IF(ISBLANK('Assumptions'!I162),"__BLANK__",'Assumptions'!I162)</x:f>
        <x:v>0.020245645054794315</x:v>
      </x:c>
      <x:c r="G512" s="44" t="n">
        <x:f>IF(ISBLANK(E512),IF(F512="__BLANK__",0,1),IF(E512=F512,0,1))</x:f>
        <x:v>0</x:v>
      </x:c>
    </x:row>
    <x:row r="513">
      <x:c r="C513" t="str">
        <x:v>Assumptions!I163</x:v>
      </x:c>
      <x:c r="E513" t="n">
        <x:v>0.020245645054794315</x:v>
      </x:c>
      <x:c r="F513" s="44" t="n">
        <x:f>IF(ISBLANK('Assumptions'!I163),"__BLANK__",'Assumptions'!I163)</x:f>
        <x:v>0.020245645054794315</x:v>
      </x:c>
      <x:c r="G513" s="44" t="n">
        <x:f>IF(ISBLANK(E513),IF(F513="__BLANK__",0,1),IF(E513=F513,0,1))</x:f>
        <x:v>0</x:v>
      </x:c>
    </x:row>
    <x:row r="514">
      <x:c r="C514" t="str">
        <x:v>Assumptions!I164</x:v>
      </x:c>
      <x:c r="E514" t="n">
        <x:v>0.020245645054794315</x:v>
      </x:c>
      <x:c r="F514" s="44" t="n">
        <x:f>IF(ISBLANK('Assumptions'!I164),"__BLANK__",'Assumptions'!I164)</x:f>
        <x:v>0.020245645054794315</x:v>
      </x:c>
      <x:c r="G514" s="44" t="n">
        <x:f>IF(ISBLANK(E514),IF(F514="__BLANK__",0,1),IF(E514=F514,0,1))</x:f>
        <x:v>0</x:v>
      </x:c>
    </x:row>
    <x:row r="515">
      <x:c r="C515" t="str">
        <x:v>Assumptions!I165</x:v>
      </x:c>
      <x:c r="E515" t="n">
        <x:v>0.020245645054794315</x:v>
      </x:c>
      <x:c r="F515" s="44" t="n">
        <x:f>IF(ISBLANK('Assumptions'!I165),"__BLANK__",'Assumptions'!I165)</x:f>
        <x:v>0.020245645054794315</x:v>
      </x:c>
      <x:c r="G515" s="44" t="n">
        <x:f>IF(ISBLANK(E515),IF(F515="__BLANK__",0,1),IF(E515=F515,0,1))</x:f>
        <x:v>0</x:v>
      </x:c>
    </x:row>
    <x:row r="516">
      <x:c r="C516" t="str">
        <x:v>Assumptions!I166</x:v>
      </x:c>
      <x:c r="E516" t="n">
        <x:v>0.020245645054794315</x:v>
      </x:c>
      <x:c r="F516" s="44" t="n">
        <x:f>IF(ISBLANK('Assumptions'!I166),"__BLANK__",'Assumptions'!I166)</x:f>
        <x:v>0.020245645054794315</x:v>
      </x:c>
      <x:c r="G516" s="44" t="n">
        <x:f>IF(ISBLANK(E516),IF(F516="__BLANK__",0,1),IF(E516=F516,0,1))</x:f>
        <x:v>0</x:v>
      </x:c>
    </x:row>
    <x:row r="517">
      <x:c r="C517" t="str">
        <x:v>Assumptions!I167</x:v>
      </x:c>
      <x:c r="E517" t="n">
        <x:v>0.020245645054794315</x:v>
      </x:c>
      <x:c r="F517" s="44" t="n">
        <x:f>IF(ISBLANK('Assumptions'!I167),"__BLANK__",'Assumptions'!I167)</x:f>
        <x:v>0.020245645054794315</x:v>
      </x:c>
      <x:c r="G517" s="44" t="n">
        <x:f>IF(ISBLANK(E517),IF(F517="__BLANK__",0,1),IF(E517=F517,0,1))</x:f>
        <x:v>0</x:v>
      </x:c>
    </x:row>
    <x:row r="518">
      <x:c r="C518" t="str">
        <x:v>Assumptions!J161</x:v>
      </x:c>
      <x:c r="E518" t="n">
        <x:v>0.026982486860110066</x:v>
      </x:c>
      <x:c r="F518" s="44" t="n">
        <x:f>IF(ISBLANK('Assumptions'!J161),"__BLANK__",'Assumptions'!J161)</x:f>
        <x:v>0.026982486860110066</x:v>
      </x:c>
      <x:c r="G518" s="44" t="n">
        <x:f>IF(ISBLANK(E518),IF(F518="__BLANK__",0,1),IF(E518=F518,0,1))</x:f>
        <x:v>0</x:v>
      </x:c>
    </x:row>
    <x:row r="519">
      <x:c r="C519" t="str">
        <x:v>Assumptions!J162</x:v>
      </x:c>
      <x:c r="E519" t="n">
        <x:v>0.026982486860110066</x:v>
      </x:c>
      <x:c r="F519" s="44" t="n">
        <x:f>IF(ISBLANK('Assumptions'!J162),"__BLANK__",'Assumptions'!J162)</x:f>
        <x:v>0.026982486860110066</x:v>
      </x:c>
      <x:c r="G519" s="44" t="n">
        <x:f>IF(ISBLANK(E519),IF(F519="__BLANK__",0,1),IF(E519=F519,0,1))</x:f>
        <x:v>0</x:v>
      </x:c>
    </x:row>
    <x:row r="520">
      <x:c r="C520" t="str">
        <x:v>Assumptions!J163</x:v>
      </x:c>
      <x:c r="E520" t="n">
        <x:v>0.026982486860110066</x:v>
      </x:c>
      <x:c r="F520" s="44" t="n">
        <x:f>IF(ISBLANK('Assumptions'!J163),"__BLANK__",'Assumptions'!J163)</x:f>
        <x:v>0.026982486860110066</x:v>
      </x:c>
      <x:c r="G520" s="44" t="n">
        <x:f>IF(ISBLANK(E520),IF(F520="__BLANK__",0,1),IF(E520=F520,0,1))</x:f>
        <x:v>0</x:v>
      </x:c>
    </x:row>
    <x:row r="521">
      <x:c r="C521" t="str">
        <x:v>Assumptions!J164</x:v>
      </x:c>
      <x:c r="E521" t="n">
        <x:v>0.026982486860110066</x:v>
      </x:c>
      <x:c r="F521" s="44" t="n">
        <x:f>IF(ISBLANK('Assumptions'!J164),"__BLANK__",'Assumptions'!J164)</x:f>
        <x:v>0.026982486860110066</x:v>
      </x:c>
      <x:c r="G521" s="44" t="n">
        <x:f>IF(ISBLANK(E521),IF(F521="__BLANK__",0,1),IF(E521=F521,0,1))</x:f>
        <x:v>0</x:v>
      </x:c>
    </x:row>
    <x:row r="522">
      <x:c r="C522" t="str">
        <x:v>Assumptions!J165</x:v>
      </x:c>
      <x:c r="E522" t="n">
        <x:v>0.026982486860110066</x:v>
      </x:c>
      <x:c r="F522" s="44" t="n">
        <x:f>IF(ISBLANK('Assumptions'!J165),"__BLANK__",'Assumptions'!J165)</x:f>
        <x:v>0.026982486860110066</x:v>
      </x:c>
      <x:c r="G522" s="44" t="n">
        <x:f>IF(ISBLANK(E522),IF(F522="__BLANK__",0,1),IF(E522=F522,0,1))</x:f>
        <x:v>0</x:v>
      </x:c>
    </x:row>
    <x:row r="523">
      <x:c r="C523" t="str">
        <x:v>Assumptions!J166</x:v>
      </x:c>
      <x:c r="E523" t="n">
        <x:v>0.026982486860110066</x:v>
      </x:c>
      <x:c r="F523" s="44" t="n">
        <x:f>IF(ISBLANK('Assumptions'!J166),"__BLANK__",'Assumptions'!J166)</x:f>
        <x:v>0.026982486860110066</x:v>
      </x:c>
      <x:c r="G523" s="44" t="n">
        <x:f>IF(ISBLANK(E523),IF(F523="__BLANK__",0,1),IF(E523=F523,0,1))</x:f>
        <x:v>0</x:v>
      </x:c>
    </x:row>
    <x:row r="524">
      <x:c r="C524" t="str">
        <x:v>Assumptions!J167</x:v>
      </x:c>
      <x:c r="E524" t="n">
        <x:v>0.026982486860110066</x:v>
      </x:c>
      <x:c r="F524" s="44" t="n">
        <x:f>IF(ISBLANK('Assumptions'!J167),"__BLANK__",'Assumptions'!J167)</x:f>
        <x:v>0.026982486860110066</x:v>
      </x:c>
      <x:c r="G524" s="44" t="n">
        <x:f>IF(ISBLANK(E524),IF(F524="__BLANK__",0,1),IF(E524=F524,0,1))</x:f>
        <x:v>0</x:v>
      </x:c>
    </x:row>
    <x:row r="525">
      <x:c r="C525" t="str">
        <x:v>Assumptions!K161</x:v>
      </x:c>
      <x:c r="E525" t="n">
        <x:v>0.03176499999999982</x:v>
      </x:c>
      <x:c r="F525" s="44" t="n">
        <x:f>IF(ISBLANK('Assumptions'!K161),"__BLANK__",'Assumptions'!K161)</x:f>
        <x:v>0.03176499999999982</x:v>
      </x:c>
      <x:c r="G525" s="44" t="n">
        <x:f>IF(ISBLANK(E525),IF(F525="__BLANK__",0,1),IF(E525=F525,0,1))</x:f>
        <x:v>0</x:v>
      </x:c>
    </x:row>
    <x:row r="526">
      <x:c r="C526" t="str">
        <x:v>Assumptions!K162</x:v>
      </x:c>
      <x:c r="E526" t="n">
        <x:v>0.03176499999999982</x:v>
      </x:c>
      <x:c r="F526" s="44" t="n">
        <x:f>IF(ISBLANK('Assumptions'!K162),"__BLANK__",'Assumptions'!K162)</x:f>
        <x:v>0.03176499999999982</x:v>
      </x:c>
      <x:c r="G526" s="44" t="n">
        <x:f>IF(ISBLANK(E526),IF(F526="__BLANK__",0,1),IF(E526=F526,0,1))</x:f>
        <x:v>0</x:v>
      </x:c>
    </x:row>
    <x:row r="527">
      <x:c r="C527" t="str">
        <x:v>Assumptions!K163</x:v>
      </x:c>
      <x:c r="E527" t="n">
        <x:v>0.03176499999999982</x:v>
      </x:c>
      <x:c r="F527" s="44" t="n">
        <x:f>IF(ISBLANK('Assumptions'!K163),"__BLANK__",'Assumptions'!K163)</x:f>
        <x:v>0.03176499999999982</x:v>
      </x:c>
      <x:c r="G527" s="44" t="n">
        <x:f>IF(ISBLANK(E527),IF(F527="__BLANK__",0,1),IF(E527=F527,0,1))</x:f>
        <x:v>0</x:v>
      </x:c>
    </x:row>
    <x:row r="528">
      <x:c r="C528" t="str">
        <x:v>Assumptions!K164</x:v>
      </x:c>
      <x:c r="E528" t="n">
        <x:v>0.03176499999999982</x:v>
      </x:c>
      <x:c r="F528" s="44" t="n">
        <x:f>IF(ISBLANK('Assumptions'!K164),"__BLANK__",'Assumptions'!K164)</x:f>
        <x:v>0.03176499999999982</x:v>
      </x:c>
      <x:c r="G528" s="44" t="n">
        <x:f>IF(ISBLANK(E528),IF(F528="__BLANK__",0,1),IF(E528=F528,0,1))</x:f>
        <x:v>0</x:v>
      </x:c>
    </x:row>
    <x:row r="529">
      <x:c r="C529" t="str">
        <x:v>Assumptions!K165</x:v>
      </x:c>
      <x:c r="E529" t="n">
        <x:v>0.03176499999999982</x:v>
      </x:c>
      <x:c r="F529" s="44" t="n">
        <x:f>IF(ISBLANK('Assumptions'!K165),"__BLANK__",'Assumptions'!K165)</x:f>
        <x:v>0.03176499999999982</x:v>
      </x:c>
      <x:c r="G529" s="44" t="n">
        <x:f>IF(ISBLANK(E529),IF(F529="__BLANK__",0,1),IF(E529=F529,0,1))</x:f>
        <x:v>0</x:v>
      </x:c>
    </x:row>
    <x:row r="530">
      <x:c r="C530" t="str">
        <x:v>Assumptions!K166</x:v>
      </x:c>
      <x:c r="E530" t="n">
        <x:v>0.03176499999999982</x:v>
      </x:c>
      <x:c r="F530" s="44" t="n">
        <x:f>IF(ISBLANK('Assumptions'!K166),"__BLANK__",'Assumptions'!K166)</x:f>
        <x:v>0.03176499999999982</x:v>
      </x:c>
      <x:c r="G530" s="44" t="n">
        <x:f>IF(ISBLANK(E530),IF(F530="__BLANK__",0,1),IF(E530=F530,0,1))</x:f>
        <x:v>0</x:v>
      </x:c>
    </x:row>
    <x:row r="531">
      <x:c r="C531" t="str">
        <x:v>Assumptions!K167</x:v>
      </x:c>
      <x:c r="E531" t="n">
        <x:v>0.03176499999999982</x:v>
      </x:c>
      <x:c r="F531" s="44" t="n">
        <x:f>IF(ISBLANK('Assumptions'!K167),"__BLANK__",'Assumptions'!K167)</x:f>
        <x:v>0.03176499999999982</x:v>
      </x:c>
      <x:c r="G531" s="44" t="n">
        <x:f>IF(ISBLANK(E531),IF(F531="__BLANK__",0,1),IF(E531=F531,0,1))</x:f>
        <x:v>0</x:v>
      </x:c>
    </x:row>
    <x:row r="532">
      <x:c r="C532" t="str">
        <x:v>Assumptions!L161</x:v>
      </x:c>
      <x:c r="E532" t="n">
        <x:v>0.03002249999999984</x:v>
      </x:c>
      <x:c r="F532" s="44" t="n">
        <x:f>IF(ISBLANK('Assumptions'!L161),"__BLANK__",'Assumptions'!L161)</x:f>
        <x:v>0.03002249999999984</x:v>
      </x:c>
      <x:c r="G532" s="44" t="n">
        <x:f>IF(ISBLANK(E532),IF(F532="__BLANK__",0,1),IF(E532=F532,0,1))</x:f>
        <x:v>0</x:v>
      </x:c>
    </x:row>
    <x:row r="533">
      <x:c r="C533" t="str">
        <x:v>Assumptions!L162</x:v>
      </x:c>
      <x:c r="E533" t="n">
        <x:v>0.03002249999999962</x:v>
      </x:c>
      <x:c r="F533" s="44" t="n">
        <x:f>IF(ISBLANK('Assumptions'!L162),"__BLANK__",'Assumptions'!L162)</x:f>
        <x:v>0.03002249999999962</x:v>
      </x:c>
      <x:c r="G533" s="44" t="n">
        <x:f>IF(ISBLANK(E533),IF(F533="__BLANK__",0,1),IF(E533=F533,0,1))</x:f>
        <x:v>0</x:v>
      </x:c>
    </x:row>
    <x:row r="534">
      <x:c r="C534" t="str">
        <x:v>Assumptions!L163</x:v>
      </x:c>
      <x:c r="E534" t="n">
        <x:v>0.03002249999999984</x:v>
      </x:c>
      <x:c r="F534" s="44" t="n">
        <x:f>IF(ISBLANK('Assumptions'!L163),"__BLANK__",'Assumptions'!L163)</x:f>
        <x:v>0.03002249999999984</x:v>
      </x:c>
      <x:c r="G534" s="44" t="n">
        <x:f>IF(ISBLANK(E534),IF(F534="__BLANK__",0,1),IF(E534=F534,0,1))</x:f>
        <x:v>0</x:v>
      </x:c>
    </x:row>
    <x:row r="535">
      <x:c r="C535" t="str">
        <x:v>Assumptions!L164</x:v>
      </x:c>
      <x:c r="E535" t="n">
        <x:v>0.03002249999999984</x:v>
      </x:c>
      <x:c r="F535" s="44" t="n">
        <x:f>IF(ISBLANK('Assumptions'!L164),"__BLANK__",'Assumptions'!L164)</x:f>
        <x:v>0.03002249999999984</x:v>
      </x:c>
      <x:c r="G535" s="44" t="n">
        <x:f>IF(ISBLANK(E535),IF(F535="__BLANK__",0,1),IF(E535=F535,0,1))</x:f>
        <x:v>0</x:v>
      </x:c>
    </x:row>
    <x:row r="536">
      <x:c r="C536" t="str">
        <x:v>Assumptions!L165</x:v>
      </x:c>
      <x:c r="E536" t="n">
        <x:v>0.03002249999999962</x:v>
      </x:c>
      <x:c r="F536" s="44" t="n">
        <x:f>IF(ISBLANK('Assumptions'!L165),"__BLANK__",'Assumptions'!L165)</x:f>
        <x:v>0.03002249999999962</x:v>
      </x:c>
      <x:c r="G536" s="44" t="n">
        <x:f>IF(ISBLANK(E536),IF(F536="__BLANK__",0,1),IF(E536=F536,0,1))</x:f>
        <x:v>0</x:v>
      </x:c>
    </x:row>
    <x:row r="537">
      <x:c r="C537" t="str">
        <x:v>Assumptions!L166</x:v>
      </x:c>
      <x:c r="E537" t="n">
        <x:v>0.03002249999999984</x:v>
      </x:c>
      <x:c r="F537" s="44" t="n">
        <x:f>IF(ISBLANK('Assumptions'!L166),"__BLANK__",'Assumptions'!L166)</x:f>
        <x:v>0.03002249999999984</x:v>
      </x:c>
      <x:c r="G537" s="44" t="n">
        <x:f>IF(ISBLANK(E537),IF(F537="__BLANK__",0,1),IF(E537=F537,0,1))</x:f>
        <x:v>0</x:v>
      </x:c>
    </x:row>
    <x:row r="538">
      <x:c r="C538" t="str">
        <x:v>Assumptions!L167</x:v>
      </x:c>
      <x:c r="E538" t="n">
        <x:v>0.03002249999999984</x:v>
      </x:c>
      <x:c r="F538" s="44" t="n">
        <x:f>IF(ISBLANK('Assumptions'!L167),"__BLANK__",'Assumptions'!L167)</x:f>
        <x:v>0.03002249999999984</x:v>
      </x:c>
      <x:c r="G538" s="44" t="n">
        <x:f>IF(ISBLANK(E538),IF(F538="__BLANK__",0,1),IF(E538=F538,0,1))</x:f>
        <x:v>0</x:v>
      </x:c>
    </x:row>
    <x:row r="539">
      <x:c r="C539" t="str">
        <x:v>Assumptions!F91</x:v>
      </x:c>
      <x:c r="E539" t="n">
        <x:v>0</x:v>
      </x:c>
      <x:c r="F539" s="44" t="n">
        <x:f>IF(ISBLANK('Assumptions'!F91),"__BLANK__",'Assumptions'!F91)</x:f>
        <x:v>0</x:v>
      </x:c>
      <x:c r="G539" s="44" t="n">
        <x:f>IF(ISBLANK(E539),IF(F539="__BLANK__",0,1),IF(E539=F539,0,1))</x:f>
        <x:v>0</x:v>
      </x:c>
    </x:row>
    <x:row r="540">
      <x:c r="C540" t="str">
        <x:v>Assumptions!G91</x:v>
      </x:c>
      <x:c r="E540" t="n">
        <x:v>0</x:v>
      </x:c>
      <x:c r="F540" s="44" t="n">
        <x:f>IF(ISBLANK('Assumptions'!G91),"__BLANK__",'Assumptions'!G91)</x:f>
        <x:v>0</x:v>
      </x:c>
      <x:c r="G540" s="44" t="n">
        <x:f>IF(ISBLANK(E540),IF(F540="__BLANK__",0,1),IF(E540=F540,0,1))</x:f>
        <x:v>0</x:v>
      </x:c>
    </x:row>
    <x:row r="541">
      <x:c r="C541" t="str">
        <x:v>Assumptions!H91</x:v>
      </x:c>
      <x:c r="E541" t="n">
        <x:v>-0.005</x:v>
      </x:c>
      <x:c r="F541" s="44" t="n">
        <x:f>IF(ISBLANK('Assumptions'!H91),"__BLANK__",'Assumptions'!H91)</x:f>
        <x:v>-0.005</x:v>
      </x:c>
      <x:c r="G541" s="44" t="n">
        <x:f>IF(ISBLANK(E541),IF(F541="__BLANK__",0,1),IF(E541=F541,0,1))</x:f>
        <x:v>0</x:v>
      </x:c>
    </x:row>
    <x:row r="542">
      <x:c r="C542" t="str">
        <x:v>Assumptions!F92</x:v>
      </x:c>
      <x:c r="E542" t="n">
        <x:v>-0.05</x:v>
      </x:c>
      <x:c r="F542" s="44" t="n">
        <x:f>IF(ISBLANK('Assumptions'!F92),"__BLANK__",'Assumptions'!F92)</x:f>
        <x:v>-0.05</x:v>
      </x:c>
      <x:c r="G542" s="44" t="n">
        <x:f>IF(ISBLANK(E542),IF(F542="__BLANK__",0,1),IF(E542=F542,0,1))</x:f>
        <x:v>0</x:v>
      </x:c>
    </x:row>
    <x:row r="543">
      <x:c r="C543" t="str">
        <x:v>Assumptions!G92</x:v>
      </x:c>
      <x:c r="E543" t="n">
        <x:v>-0.05</x:v>
      </x:c>
      <x:c r="F543" s="44" t="n">
        <x:f>IF(ISBLANK('Assumptions'!G92),"__BLANK__",'Assumptions'!G92)</x:f>
        <x:v>-0.05</x:v>
      </x:c>
      <x:c r="G543" s="44" t="n">
        <x:f>IF(ISBLANK(E543),IF(F543="__BLANK__",0,1),IF(E543=F543,0,1))</x:f>
        <x:v>0</x:v>
      </x:c>
    </x:row>
    <x:row r="544">
      <x:c r="C544" t="str">
        <x:v>Assumptions!H92</x:v>
      </x:c>
      <x:c r="E544" t="n">
        <x:v>-0.05</x:v>
      </x:c>
      <x:c r="F544" s="44" t="n">
        <x:f>IF(ISBLANK('Assumptions'!H92),"__BLANK__",'Assumptions'!H92)</x:f>
        <x:v>-0.05</x:v>
      </x:c>
      <x:c r="G544" s="44" t="n">
        <x:f>IF(ISBLANK(E544),IF(F544="__BLANK__",0,1),IF(E544=F544,0,1))</x:f>
        <x:v>0</x:v>
      </x:c>
    </x:row>
    <x:row r="545">
      <x:c r="C545" t="str">
        <x:v>Assumptions!F93</x:v>
      </x:c>
      <x:c r="E545" t="n">
        <x:v>0.11</x:v>
      </x:c>
      <x:c r="F545" s="44" t="n">
        <x:f>IF(ISBLANK('Assumptions'!F93),"__BLANK__",'Assumptions'!F93)</x:f>
        <x:v>0.11</x:v>
      </x:c>
      <x:c r="G545" s="44" t="n">
        <x:f>IF(ISBLANK(E545),IF(F545="__BLANK__",0,1),IF(E545=F545,0,1))</x:f>
        <x:v>0</x:v>
      </x:c>
    </x:row>
    <x:row r="546">
      <x:c r="C546" t="str">
        <x:v>Assumptions!G93</x:v>
      </x:c>
      <x:c r="E546" t="n">
        <x:v>0.1</x:v>
      </x:c>
      <x:c r="F546" s="44" t="n">
        <x:f>IF(ISBLANK('Assumptions'!G93),"__BLANK__",'Assumptions'!G93)</x:f>
        <x:v>0.1</x:v>
      </x:c>
      <x:c r="G546" s="44" t="n">
        <x:f>IF(ISBLANK(E546),IF(F546="__BLANK__",0,1),IF(E546=F546,0,1))</x:f>
        <x:v>0</x:v>
      </x:c>
    </x:row>
    <x:row r="547">
      <x:c r="C547" t="str">
        <x:v>Assumptions!H93</x:v>
      </x:c>
      <x:c r="E547" t="n">
        <x:v>0.095</x:v>
      </x:c>
      <x:c r="F547" s="44" t="n">
        <x:f>IF(ISBLANK('Assumptions'!H93),"__BLANK__",'Assumptions'!H93)</x:f>
        <x:v>0.095</x:v>
      </x:c>
      <x:c r="G547" s="44" t="n">
        <x:f>IF(ISBLANK(E547),IF(F547="__BLANK__",0,1),IF(E547=F547,0,1))</x:f>
        <x:v>0</x:v>
      </x:c>
    </x:row>
    <x:row r="548">
      <x:c r="C548" t="str">
        <x:v>Assumptions!F94</x:v>
      </x:c>
      <x:c r="E548" t="n">
        <x:v>0.25</x:v>
      </x:c>
      <x:c r="F548" s="44" t="n">
        <x:f>IF(ISBLANK('Assumptions'!F94),"__BLANK__",'Assumptions'!F94)</x:f>
        <x:v>0.25</x:v>
      </x:c>
      <x:c r="G548" s="44" t="n">
        <x:f>IF(ISBLANK(E548),IF(F548="__BLANK__",0,1),IF(E548=F548,0,1))</x:f>
        <x:v>0</x:v>
      </x:c>
    </x:row>
    <x:row r="549">
      <x:c r="C549" t="str">
        <x:v>Assumptions!G94</x:v>
      </x:c>
      <x:c r="E549" t="n">
        <x:v>0.16</x:v>
      </x:c>
      <x:c r="F549" s="44" t="n">
        <x:f>IF(ISBLANK('Assumptions'!G94),"__BLANK__",'Assumptions'!G94)</x:f>
        <x:v>0.16</x:v>
      </x:c>
      <x:c r="G549" s="44" t="n">
        <x:f>IF(ISBLANK(E549),IF(F549="__BLANK__",0,1),IF(E549=F549,0,1))</x:f>
        <x:v>0</x:v>
      </x:c>
    </x:row>
    <x:row r="550">
      <x:c r="C550" t="str">
        <x:v>Assumptions!H94</x:v>
      </x:c>
      <x:c r="E550" t="n">
        <x:v>0.135</x:v>
      </x:c>
      <x:c r="F550" s="44" t="n">
        <x:f>IF(ISBLANK('Assumptions'!H94),"__BLANK__",'Assumptions'!H94)</x:f>
        <x:v>0.135</x:v>
      </x:c>
      <x:c r="G550" s="44" t="n">
        <x:f>IF(ISBLANK(E550),IF(F550="__BLANK__",0,1),IF(E550=F550,0,1))</x:f>
        <x:v>0</x:v>
      </x:c>
    </x:row>
    <x:row r="551">
      <x:c r="C551" t="str">
        <x:v>Assumptions!F95</x:v>
      </x:c>
      <x:c r="E551" t="n">
        <x:v>0.18</x:v>
      </x:c>
      <x:c r="F551" s="44" t="n">
        <x:f>IF(ISBLANK('Assumptions'!F95),"__BLANK__",'Assumptions'!F95)</x:f>
        <x:v>0.18</x:v>
      </x:c>
      <x:c r="G551" s="44" t="n">
        <x:f>IF(ISBLANK(E551),IF(F551="__BLANK__",0,1),IF(E551=F551,0,1))</x:f>
        <x:v>0</x:v>
      </x:c>
    </x:row>
    <x:row r="552">
      <x:c r="C552" t="str">
        <x:v>Assumptions!G95</x:v>
      </x:c>
      <x:c r="E552" t="n">
        <x:v>0.14</x:v>
      </x:c>
      <x:c r="F552" s="44" t="n">
        <x:f>IF(ISBLANK('Assumptions'!G95),"__BLANK__",'Assumptions'!G95)</x:f>
        <x:v>0.14</x:v>
      </x:c>
      <x:c r="G552" s="44" t="n">
        <x:f>IF(ISBLANK(E552),IF(F552="__BLANK__",0,1),IF(E552=F552,0,1))</x:f>
        <x:v>0</x:v>
      </x:c>
    </x:row>
    <x:row r="553">
      <x:c r="C553" t="str">
        <x:v>Assumptions!H95</x:v>
      </x:c>
      <x:c r="E553" t="n">
        <x:v>0.12</x:v>
      </x:c>
      <x:c r="F553" s="44" t="n">
        <x:f>IF(ISBLANK('Assumptions'!H95),"__BLANK__",'Assumptions'!H95)</x:f>
        <x:v>0.12</x:v>
      </x:c>
      <x:c r="G553" s="44" t="n">
        <x:f>IF(ISBLANK(E553),IF(F553="__BLANK__",0,1),IF(E553=F553,0,1))</x:f>
        <x:v>0</x:v>
      </x:c>
    </x:row>
    <x:row r="554">
      <x:c r="C554" t="str">
        <x:v>Assumptions!F96</x:v>
      </x:c>
      <x:c r="E554" t="n">
        <x:v>0.02</x:v>
      </x:c>
      <x:c r="F554" s="44" t="n">
        <x:f>IF(ISBLANK('Assumptions'!F96),"__BLANK__",'Assumptions'!F96)</x:f>
        <x:v>0.02</x:v>
      </x:c>
      <x:c r="G554" s="44" t="n">
        <x:f>IF(ISBLANK(E554),IF(F554="__BLANK__",0,1),IF(E554=F554,0,1))</x:f>
        <x:v>0</x:v>
      </x:c>
    </x:row>
    <x:row r="555">
      <x:c r="C555" t="str">
        <x:v>Assumptions!G96</x:v>
      </x:c>
      <x:c r="E555" t="n">
        <x:v>0.055</x:v>
      </x:c>
      <x:c r="F555" s="44" t="n">
        <x:f>IF(ISBLANK('Assumptions'!G96),"__BLANK__",'Assumptions'!G96)</x:f>
        <x:v>0.055</x:v>
      </x:c>
      <x:c r="G555" s="44" t="n">
        <x:f>IF(ISBLANK(E555),IF(F555="__BLANK__",0,1),IF(E555=F555,0,1))</x:f>
        <x:v>0</x:v>
      </x:c>
    </x:row>
    <x:row r="556">
      <x:c r="C556" t="str">
        <x:v>Assumptions!H96</x:v>
      </x:c>
      <x:c r="E556" t="n">
        <x:v>0.05</x:v>
      </x:c>
      <x:c r="F556" s="44" t="n">
        <x:f>IF(ISBLANK('Assumptions'!H96),"__BLANK__",'Assumptions'!H96)</x:f>
        <x:v>0.05</x:v>
      </x:c>
      <x:c r="G556" s="44" t="n">
        <x:f>IF(ISBLANK(E556),IF(F556="__BLANK__",0,1),IF(E556=F556,0,1))</x:f>
        <x:v>0</x:v>
      </x:c>
    </x:row>
    <x:row r="557">
      <x:c r="C557" t="str">
        <x:v>Assumptions!F97</x:v>
      </x:c>
      <x:c r="E557" t="n">
        <x:v>0.009</x:v>
      </x:c>
      <x:c r="F557" s="44" t="n">
        <x:f>IF(ISBLANK('Assumptions'!F97),"__BLANK__",'Assumptions'!F97)</x:f>
        <x:v>0.009</x:v>
      </x:c>
      <x:c r="G557" s="44" t="n">
        <x:f>IF(ISBLANK(E557),IF(F557="__BLANK__",0,1),IF(E557=F557,0,1))</x:f>
        <x:v>0</x:v>
      </x:c>
    </x:row>
    <x:row r="558">
      <x:c r="C558" t="str">
        <x:v>Assumptions!G97</x:v>
      </x:c>
      <x:c r="E558" t="n">
        <x:v>0.009</x:v>
      </x:c>
      <x:c r="F558" s="44" t="n">
        <x:f>IF(ISBLANK('Assumptions'!G97),"__BLANK__",'Assumptions'!G97)</x:f>
        <x:v>0.009</x:v>
      </x:c>
      <x:c r="G558" s="44" t="n">
        <x:f>IF(ISBLANK(E558),IF(F558="__BLANK__",0,1),IF(E558=F558,0,1))</x:f>
        <x:v>0</x:v>
      </x:c>
    </x:row>
    <x:row r="559">
      <x:c r="C559" t="str">
        <x:v>Assumptions!H97</x:v>
      </x:c>
      <x:c r="E559" t="n">
        <x:v>0.009</x:v>
      </x:c>
      <x:c r="F559" s="44" t="n">
        <x:f>IF(ISBLANK('Assumptions'!H97),"__BLANK__",'Assumptions'!H97)</x:f>
        <x:v>0.009</x:v>
      </x:c>
      <x:c r="G559" s="44" t="n">
        <x:f>IF(ISBLANK(E559),IF(F559="__BLANK__",0,1),IF(E559=F559,0,1))</x:f>
        <x:v>0</x:v>
      </x:c>
    </x:row>
    <x:row r="560">
      <x:c r="C560" t="str">
        <x:v>Assumptions!F98</x:v>
      </x:c>
      <x:c r="E560" t="n">
        <x:v>0.13</x:v>
      </x:c>
      <x:c r="F560" s="44" t="n">
        <x:f>IF(ISBLANK('Assumptions'!F98),"__BLANK__",'Assumptions'!F98)</x:f>
        <x:v>0.13</x:v>
      </x:c>
      <x:c r="G560" s="44" t="n">
        <x:f>IF(ISBLANK(E560),IF(F560="__BLANK__",0,1),IF(E560=F560,0,1))</x:f>
        <x:v>0</x:v>
      </x:c>
    </x:row>
    <x:row r="561">
      <x:c r="C561" t="str">
        <x:v>Assumptions!G98</x:v>
      </x:c>
      <x:c r="E561" t="n">
        <x:v>0.1</x:v>
      </x:c>
      <x:c r="F561" s="44" t="n">
        <x:f>IF(ISBLANK('Assumptions'!G98),"__BLANK__",'Assumptions'!G98)</x:f>
        <x:v>0.1</x:v>
      </x:c>
      <x:c r="G561" s="44" t="n">
        <x:f>IF(ISBLANK(E561),IF(F561="__BLANK__",0,1),IF(E561=F561,0,1))</x:f>
        <x:v>0</x:v>
      </x:c>
    </x:row>
    <x:row r="562">
      <x:c r="C562" t="str">
        <x:v>Assumptions!H98</x:v>
      </x:c>
      <x:c r="E562" t="n">
        <x:v>0.08</x:v>
      </x:c>
      <x:c r="F562" s="44" t="n">
        <x:f>IF(ISBLANK('Assumptions'!H98),"__BLANK__",'Assumptions'!H98)</x:f>
        <x:v>0.08</x:v>
      </x:c>
      <x:c r="G562" s="44" t="n">
        <x:f>IF(ISBLANK(E562),IF(F562="__BLANK__",0,1),IF(E562=F562,0,1))</x:f>
        <x:v>0</x:v>
      </x:c>
    </x:row>
    <x:row r="563">
      <x:c r="C563" t="str">
        <x:v>Assumptions!F99</x:v>
      </x:c>
      <x:c r="E563" t="n">
        <x:v>660</x:v>
      </x:c>
      <x:c r="F563" s="44" t="n">
        <x:f>IF(ISBLANK('Assumptions'!F99),"__BLANK__",'Assumptions'!F99)</x:f>
        <x:v>660</x:v>
      </x:c>
      <x:c r="G563" s="44" t="n">
        <x:f>IF(ISBLANK(E563),IF(F563="__BLANK__",0,1),IF(E563=F563,0,1))</x:f>
        <x:v>0</x:v>
      </x:c>
    </x:row>
    <x:row r="564">
      <x:c r="C564" t="str">
        <x:v>Assumptions!G99</x:v>
      </x:c>
      <x:c r="E564" t="n">
        <x:v>620</x:v>
      </x:c>
      <x:c r="F564" s="44" t="n">
        <x:f>IF(ISBLANK('Assumptions'!G99),"__BLANK__",'Assumptions'!G99)</x:f>
        <x:v>620</x:v>
      </x:c>
      <x:c r="G564" s="44" t="n">
        <x:f>IF(ISBLANK(E564),IF(F564="__BLANK__",0,1),IF(E564=F564,0,1))</x:f>
        <x:v>0</x:v>
      </x:c>
    </x:row>
    <x:row r="565">
      <x:c r="C565" t="str">
        <x:v>Assumptions!H99</x:v>
      </x:c>
      <x:c r="E565" t="n">
        <x:v>590</x:v>
      </x:c>
      <x:c r="F565" s="44" t="n">
        <x:f>IF(ISBLANK('Assumptions'!H99),"__BLANK__",'Assumptions'!H99)</x:f>
        <x:v>590</x:v>
      </x:c>
      <x:c r="G565" s="44" t="n">
        <x:f>IF(ISBLANK(E565),IF(F565="__BLANK__",0,1),IF(E565=F565,0,1))</x:f>
        <x:v>0</x:v>
      </x:c>
    </x:row>
    <x:row r="566">
      <x:c r="C566" t="str">
        <x:v>Assumptions!F100</x:v>
      </x:c>
      <x:c r="E566" t="n">
        <x:v>120</x:v>
      </x:c>
      <x:c r="F566" s="44" t="n">
        <x:f>IF(ISBLANK('Assumptions'!F100),"__BLANK__",'Assumptions'!F100)</x:f>
        <x:v>120</x:v>
      </x:c>
      <x:c r="G566" s="44" t="n">
        <x:f>IF(ISBLANK(E566),IF(F566="__BLANK__",0,1),IF(E566=F566,0,1))</x:f>
        <x:v>0</x:v>
      </x:c>
    </x:row>
    <x:row r="567">
      <x:c r="C567" t="str">
        <x:v>Assumptions!G100</x:v>
      </x:c>
      <x:c r="E567" t="n">
        <x:v>125</x:v>
      </x:c>
      <x:c r="F567" s="44" t="n">
        <x:f>IF(ISBLANK('Assumptions'!G100),"__BLANK__",'Assumptions'!G100)</x:f>
        <x:v>125</x:v>
      </x:c>
      <x:c r="G567" s="44" t="n">
        <x:f>IF(ISBLANK(E567),IF(F567="__BLANK__",0,1),IF(E567=F567,0,1))</x:f>
        <x:v>0</x:v>
      </x:c>
    </x:row>
    <x:row r="568">
      <x:c r="C568" t="str">
        <x:v>Assumptions!H100</x:v>
      </x:c>
      <x:c r="E568" t="n">
        <x:v>125</x:v>
      </x:c>
      <x:c r="F568" s="44" t="n">
        <x:f>IF(ISBLANK('Assumptions'!H100),"__BLANK__",'Assumptions'!H100)</x:f>
        <x:v>125</x:v>
      </x:c>
      <x:c r="G568" s="44" t="n">
        <x:f>IF(ISBLANK(E568),IF(F568="__BLANK__",0,1),IF(E568=F568,0,1))</x:f>
        <x:v>0</x:v>
      </x:c>
    </x:row>
    <x:row r="569">
      <x:c r="C569" t="str">
        <x:v>Assumptions!F101</x:v>
      </x:c>
      <x:c r="E569" t="n">
        <x:v>0.026</x:v>
      </x:c>
      <x:c r="F569" s="44" t="n">
        <x:f>IF(ISBLANK('Assumptions'!F101),"__BLANK__",'Assumptions'!F101)</x:f>
        <x:v>0.026</x:v>
      </x:c>
      <x:c r="G569" s="44" t="n">
        <x:f>IF(ISBLANK(E569),IF(F569="__BLANK__",0,1),IF(E569=F569,0,1))</x:f>
        <x:v>0</x:v>
      </x:c>
    </x:row>
    <x:row r="570">
      <x:c r="C570" t="str">
        <x:v>Assumptions!G101</x:v>
      </x:c>
      <x:c r="E570" t="n">
        <x:v>0.034</x:v>
      </x:c>
      <x:c r="F570" s="44" t="n">
        <x:f>IF(ISBLANK('Assumptions'!G101),"__BLANK__",'Assumptions'!G101)</x:f>
        <x:v>0.034</x:v>
      </x:c>
      <x:c r="G570" s="44" t="n">
        <x:f>IF(ISBLANK(E570),IF(F570="__BLANK__",0,1),IF(E570=F570,0,1))</x:f>
        <x:v>0</x:v>
      </x:c>
    </x:row>
    <x:row r="571">
      <x:c r="C571" t="str">
        <x:v>Assumptions!H101</x:v>
      </x:c>
      <x:c r="E571" t="n">
        <x:v>0.04</x:v>
      </x:c>
      <x:c r="F571" s="44" t="n">
        <x:f>IF(ISBLANK('Assumptions'!H101),"__BLANK__",'Assumptions'!H101)</x:f>
        <x:v>0.04</x:v>
      </x:c>
      <x:c r="G571" s="44" t="n">
        <x:f>IF(ISBLANK(E571),IF(F571="__BLANK__",0,1),IF(E571=F571,0,1))</x:f>
        <x:v>0</x:v>
      </x:c>
    </x:row>
    <x:row r="572">
      <x:c r="C572" t="str">
        <x:v>Assumptions!F102</x:v>
      </x:c>
      <x:c r="E572" t="n">
        <x:v>0</x:v>
      </x:c>
      <x:c r="F572" s="44" t="n">
        <x:f>IF(ISBLANK('Assumptions'!F102),"__BLANK__",'Assumptions'!F102)</x:f>
        <x:v>0</x:v>
      </x:c>
      <x:c r="G572" s="44" t="n">
        <x:f>IF(ISBLANK(E572),IF(F572="__BLANK__",0,1),IF(E572=F572,0,1))</x:f>
        <x:v>0</x:v>
      </x:c>
    </x:row>
    <x:row r="573">
      <x:c r="C573" t="str">
        <x:v>Assumptions!G102</x:v>
      </x:c>
      <x:c r="E573" t="n">
        <x:v>0</x:v>
      </x:c>
      <x:c r="F573" s="44" t="n">
        <x:f>IF(ISBLANK('Assumptions'!G102),"__BLANK__",'Assumptions'!G102)</x:f>
        <x:v>0</x:v>
      </x:c>
      <x:c r="G573" s="44" t="n">
        <x:f>IF(ISBLANK(E573),IF(F573="__BLANK__",0,1),IF(E573=F573,0,1))</x:f>
        <x:v>0</x:v>
      </x:c>
    </x:row>
    <x:row r="574">
      <x:c r="C574" t="str">
        <x:v>Assumptions!H102</x:v>
      </x:c>
      <x:c r="E574" t="n">
        <x:v>0</x:v>
      </x:c>
      <x:c r="F574" s="44" t="n">
        <x:f>IF(ISBLANK('Assumptions'!H102),"__BLANK__",'Assumptions'!H102)</x:f>
        <x:v>0</x:v>
      </x:c>
      <x:c r="G574" s="44" t="n">
        <x:f>IF(ISBLANK(E574),IF(F574="__BLANK__",0,1),IF(E574=F574,0,1))</x:f>
        <x:v>0</x:v>
      </x:c>
    </x:row>
    <x:row r="575">
      <x:c r="C575" t="str">
        <x:v>Assumptions!F103</x:v>
      </x:c>
      <x:c r="E575" t="n">
        <x:v>0.19</x:v>
      </x:c>
      <x:c r="F575" s="44" t="n">
        <x:f>IF(ISBLANK('Assumptions'!F103),"__BLANK__",'Assumptions'!F103)</x:f>
        <x:v>0.19</x:v>
      </x:c>
      <x:c r="G575" s="44" t="n">
        <x:f>IF(ISBLANK(E575),IF(F575="__BLANK__",0,1),IF(E575=F575,0,1))</x:f>
        <x:v>0</x:v>
      </x:c>
    </x:row>
    <x:row r="576">
      <x:c r="C576" t="str">
        <x:v>Assumptions!G103</x:v>
      </x:c>
      <x:c r="E576" t="n">
        <x:v>0.2</x:v>
      </x:c>
      <x:c r="F576" s="44" t="n">
        <x:f>IF(ISBLANK('Assumptions'!G103),"__BLANK__",'Assumptions'!G103)</x:f>
        <x:v>0.2</x:v>
      </x:c>
      <x:c r="G576" s="44" t="n">
        <x:f>IF(ISBLANK(E576),IF(F576="__BLANK__",0,1),IF(E576=F576,0,1))</x:f>
        <x:v>0</x:v>
      </x:c>
    </x:row>
    <x:row r="577">
      <x:c r="C577" t="str">
        <x:v>Assumptions!H103</x:v>
      </x:c>
      <x:c r="E577" t="n">
        <x:v>0.2</x:v>
      </x:c>
      <x:c r="F577" s="44" t="n">
        <x:f>IF(ISBLANK('Assumptions'!H103),"__BLANK__",'Assumptions'!H103)</x:f>
        <x:v>0.2</x:v>
      </x:c>
      <x:c r="G577" s="44" t="n">
        <x:f>IF(ISBLANK(E577),IF(F577="__BLANK__",0,1),IF(E577=F577,0,1))</x:f>
        <x:v>0</x:v>
      </x:c>
    </x:row>
    <x:row r="578">
      <x:c r="C578" t="str">
        <x:v>Assumptions!F104</x:v>
      </x:c>
      <x:c r="E578" t="n">
        <x:v>0</x:v>
      </x:c>
      <x:c r="F578" s="44" t="n">
        <x:f>IF(ISBLANK('Assumptions'!F104),"__BLANK__",'Assumptions'!F104)</x:f>
        <x:v>0</x:v>
      </x:c>
      <x:c r="G578" s="44" t="n">
        <x:f>IF(ISBLANK(E578),IF(F578="__BLANK__",0,1),IF(E578=F578,0,1))</x:f>
        <x:v>0</x:v>
      </x:c>
    </x:row>
    <x:row r="579">
      <x:c r="C579" t="str">
        <x:v>Assumptions!G104</x:v>
      </x:c>
      <x:c r="E579" t="n">
        <x:v>0.0038</x:v>
      </x:c>
      <x:c r="F579" s="44" t="n">
        <x:f>IF(ISBLANK('Assumptions'!G104),"__BLANK__",'Assumptions'!G104)</x:f>
        <x:v>0.0038</x:v>
      </x:c>
      <x:c r="G579" s="44" t="n">
        <x:f>IF(ISBLANK(E579),IF(F579="__BLANK__",0,1),IF(E579=F579,0,1))</x:f>
        <x:v>0</x:v>
      </x:c>
    </x:row>
    <x:row r="580">
      <x:c r="C580" t="str">
        <x:v>Assumptions!H104</x:v>
      </x:c>
      <x:c r="E580" t="n">
        <x:v>0.0077</x:v>
      </x:c>
      <x:c r="F580" s="44" t="n">
        <x:f>IF(ISBLANK('Assumptions'!H104),"__BLANK__",'Assumptions'!H104)</x:f>
        <x:v>0.0077</x:v>
      </x:c>
      <x:c r="G580" s="44" t="n">
        <x:f>IF(ISBLANK(E580),IF(F580="__BLANK__",0,1),IF(E580=F580,0,1))</x:f>
        <x:v>0</x:v>
      </x:c>
    </x:row>
    <x:row r="581">
      <x:c r="C581" t="str">
        <x:v>Assumptions!F105</x:v>
      </x:c>
      <x:c r="E581" t="n">
        <x:v>4200</x:v>
      </x:c>
      <x:c r="F581" s="44" t="n">
        <x:f>IF(ISBLANK('Assumptions'!F105),"__BLANK__",'Assumptions'!F105)</x:f>
        <x:v>4200</x:v>
      </x:c>
      <x:c r="G581" s="44" t="n">
        <x:f>IF(ISBLANK(E581),IF(F581="__BLANK__",0,1),IF(E581=F581,0,1))</x:f>
        <x:v>0</x:v>
      </x:c>
    </x:row>
    <x:row r="582">
      <x:c r="C582" t="str">
        <x:v>Assumptions!G105</x:v>
      </x:c>
      <x:c r="E582" t="n">
        <x:v>4000</x:v>
      </x:c>
      <x:c r="F582" s="44" t="n">
        <x:f>IF(ISBLANK('Assumptions'!G105),"__BLANK__",'Assumptions'!G105)</x:f>
        <x:v>4000</x:v>
      </x:c>
      <x:c r="G582" s="44" t="n">
        <x:f>IF(ISBLANK(E582),IF(F582="__BLANK__",0,1),IF(E582=F582,0,1))</x:f>
        <x:v>0</x:v>
      </x:c>
    </x:row>
    <x:row r="583">
      <x:c r="C583" t="str">
        <x:v>Assumptions!H105</x:v>
      </x:c>
      <x:c r="E583" t="n">
        <x:v>4000</x:v>
      </x:c>
      <x:c r="F583" s="44" t="n">
        <x:f>IF(ISBLANK('Assumptions'!H105),"__BLANK__",'Assumptions'!H105)</x:f>
        <x:v>4000</x:v>
      </x:c>
      <x:c r="G583" s="44" t="n">
        <x:f>IF(ISBLANK(E583),IF(F583="__BLANK__",0,1),IF(E583=F583,0,1))</x:f>
        <x:v>0</x:v>
      </x:c>
    </x:row>
    <x:row r="584">
      <x:c r="C584" t="str">
        <x:v>Assumptions!F106</x:v>
      </x:c>
      <x:c r="E584" t="n">
        <x:v>0.003</x:v>
      </x:c>
      <x:c r="F584" s="44" t="n">
        <x:f>IF(ISBLANK('Assumptions'!F106),"__BLANK__",'Assumptions'!F106)</x:f>
        <x:v>0.003</x:v>
      </x:c>
      <x:c r="G584" s="44" t="n">
        <x:f>IF(ISBLANK(E584),IF(F584="__BLANK__",0,1),IF(E584=F584,0,1))</x:f>
        <x:v>0</x:v>
      </x:c>
    </x:row>
    <x:row r="585">
      <x:c r="C585" t="str">
        <x:v>Assumptions!G106</x:v>
      </x:c>
      <x:c r="E585" t="n">
        <x:v>0.003</x:v>
      </x:c>
      <x:c r="F585" s="44" t="n">
        <x:f>IF(ISBLANK('Assumptions'!G106),"__BLANK__",'Assumptions'!G106)</x:f>
        <x:v>0.003</x:v>
      </x:c>
      <x:c r="G585" s="44" t="n">
        <x:f>IF(ISBLANK(E585),IF(F585="__BLANK__",0,1),IF(E585=F585,0,1))</x:f>
        <x:v>0</x:v>
      </x:c>
    </x:row>
    <x:row r="586">
      <x:c r="C586" t="str">
        <x:v>Assumptions!H106</x:v>
      </x:c>
      <x:c r="E586" t="n">
        <x:v>0.003</x:v>
      </x:c>
      <x:c r="F586" s="44" t="n">
        <x:f>IF(ISBLANK('Assumptions'!H106),"__BLANK__",'Assumptions'!H106)</x:f>
        <x:v>0.003</x:v>
      </x:c>
      <x:c r="G586" s="44" t="n">
        <x:f>IF(ISBLANK(E586),IF(F586="__BLANK__",0,1),IF(E586=F586,0,1))</x:f>
        <x:v>0</x:v>
      </x:c>
    </x:row>
    <x:row r="587">
      <x:c r="C587" t="str">
        <x:v>Assumptions!F107</x:v>
      </x:c>
      <x:c r="E587" t="n">
        <x:v>-0.011</x:v>
      </x:c>
      <x:c r="F587" s="44" t="n">
        <x:f>IF(ISBLANK('Assumptions'!F107),"__BLANK__",'Assumptions'!F107)</x:f>
        <x:v>-0.011</x:v>
      </x:c>
      <x:c r="G587" s="44" t="n">
        <x:f>IF(ISBLANK(E587),IF(F587="__BLANK__",0,1),IF(E587=F587,0,1))</x:f>
        <x:v>0</x:v>
      </x:c>
    </x:row>
    <x:row r="588">
      <x:c r="C588" t="str">
        <x:v>Assumptions!G107</x:v>
      </x:c>
      <x:c r="E588" t="n">
        <x:v>-0.011</x:v>
      </x:c>
      <x:c r="F588" s="44" t="n">
        <x:f>IF(ISBLANK('Assumptions'!G107),"__BLANK__",'Assumptions'!G107)</x:f>
        <x:v>-0.011</x:v>
      </x:c>
      <x:c r="G588" s="44" t="n">
        <x:f>IF(ISBLANK(E588),IF(F588="__BLANK__",0,1),IF(E588=F588,0,1))</x:f>
        <x:v>0</x:v>
      </x:c>
    </x:row>
    <x:row r="589">
      <x:c r="C589" t="str">
        <x:v>Assumptions!H107</x:v>
      </x:c>
      <x:c r="E589" t="n">
        <x:v>-0.011</x:v>
      </x:c>
      <x:c r="F589" s="44" t="n">
        <x:f>IF(ISBLANK('Assumptions'!H107),"__BLANK__",'Assumptions'!H107)</x:f>
        <x:v>-0.011</x:v>
      </x:c>
      <x:c r="G589" s="44" t="n">
        <x:f>IF(ISBLANK(E589),IF(F589="__BLANK__",0,1),IF(E589=F589,0,1))</x:f>
        <x:v>0</x:v>
      </x:c>
    </x:row>
    <x:row r="590">
      <x:c r="C590" t="str">
        <x:v>Assumptions!F108</x:v>
      </x:c>
      <x:c r="E590" t="n">
        <x:v>0.007</x:v>
      </x:c>
      <x:c r="F590" s="44" t="n">
        <x:f>IF(ISBLANK('Assumptions'!F108),"__BLANK__",'Assumptions'!F108)</x:f>
        <x:v>0.007</x:v>
      </x:c>
      <x:c r="G590" s="44" t="n">
        <x:f>IF(ISBLANK(E590),IF(F590="__BLANK__",0,1),IF(E590=F590,0,1))</x:f>
        <x:v>0</x:v>
      </x:c>
    </x:row>
    <x:row r="591">
      <x:c r="C591" t="str">
        <x:v>Assumptions!G108</x:v>
      </x:c>
      <x:c r="E591" t="n">
        <x:v>0.007</x:v>
      </x:c>
      <x:c r="F591" s="44" t="n">
        <x:f>IF(ISBLANK('Assumptions'!G108),"__BLANK__",'Assumptions'!G108)</x:f>
        <x:v>0.007</x:v>
      </x:c>
      <x:c r="G591" s="44" t="n">
        <x:f>IF(ISBLANK(E591),IF(F591="__BLANK__",0,1),IF(E591=F591,0,1))</x:f>
        <x:v>0</x:v>
      </x:c>
    </x:row>
    <x:row r="592">
      <x:c r="C592" t="str">
        <x:v>Assumptions!H108</x:v>
      </x:c>
      <x:c r="E592" t="n">
        <x:v>0.007</x:v>
      </x:c>
      <x:c r="F592" s="44" t="n">
        <x:f>IF(ISBLANK('Assumptions'!H108),"__BLANK__",'Assumptions'!H108)</x:f>
        <x:v>0.007</x:v>
      </x:c>
      <x:c r="G592" s="44" t="n">
        <x:f>IF(ISBLANK(E592),IF(F592="__BLANK__",0,1),IF(E592=F592,0,1))</x:f>
        <x:v>0</x:v>
      </x:c>
    </x:row>
    <x:row r="593">
      <x:c r="C593" t="str">
        <x:v>Assumptions!F109</x:v>
      </x:c>
      <x:c r="E593" t="n">
        <x:v>0.16269355464987667</x:v>
      </x:c>
      <x:c r="F593" s="44" t="n">
        <x:f>IF(ISBLANK('Assumptions'!F109),"__BLANK__",'Assumptions'!F109)</x:f>
        <x:v>0.16269355464987667</x:v>
      </x:c>
      <x:c r="G593" s="44" t="n">
        <x:f>IF(ISBLANK(E593),IF(F593="__BLANK__",0,1),IF(E593=F593,0,1))</x:f>
        <x:v>0</x:v>
      </x:c>
    </x:row>
    <x:row r="594">
      <x:c r="C594" t="str">
        <x:v>Assumptions!G109</x:v>
      </x:c>
      <x:c r="E594" t="n">
        <x:v>0.11308628221453687</x:v>
      </x:c>
      <x:c r="F594" s="44" t="n">
        <x:f>IF(ISBLANK('Assumptions'!G109),"__BLANK__",'Assumptions'!G109)</x:f>
        <x:v>0.11308628221453687</x:v>
      </x:c>
      <x:c r="G594" s="44" t="n">
        <x:f>IF(ISBLANK(E594),IF(F594="__BLANK__",0,1),IF(E594=F594,0,1))</x:f>
        <x:v>0</x:v>
      </x:c>
    </x:row>
    <x:row r="595">
      <x:c r="C595" t="str">
        <x:v>Assumptions!H109</x:v>
      </x:c>
      <x:c r="E595" t="n">
        <x:v>0.13288064259639487</x:v>
      </x:c>
      <x:c r="F595" s="44" t="n">
        <x:f>IF(ISBLANK('Assumptions'!H109),"__BLANK__",'Assumptions'!H109)</x:f>
        <x:v>0.13288064259639487</x:v>
      </x:c>
      <x:c r="G595" s="44" t="n">
        <x:f>IF(ISBLANK(E595),IF(F595="__BLANK__",0,1),IF(E595=F595,0,1))</x:f>
        <x:v>0</x:v>
      </x:c>
    </x:row>
    <x:row r="596">
      <x:c r="C596" t="str">
        <x:v>Assumptions!F110</x:v>
      </x:c>
      <x:c r="E596" t="n">
        <x:v>0.09886917177551302</x:v>
      </x:c>
      <x:c r="F596" s="44" t="n">
        <x:f>IF(ISBLANK('Assumptions'!F110),"__BLANK__",'Assumptions'!F110)</x:f>
        <x:v>0.09886917177551302</x:v>
      </x:c>
      <x:c r="G596" s="44" t="n">
        <x:f>IF(ISBLANK(E596),IF(F596="__BLANK__",0,1),IF(E596=F596,0,1))</x:f>
        <x:v>0</x:v>
      </x:c>
    </x:row>
    <x:row r="597">
      <x:c r="C597" t="str">
        <x:v>Assumptions!G110</x:v>
      </x:c>
      <x:c r="E597" t="n">
        <x:v>0.0886929804893033</x:v>
      </x:c>
      <x:c r="F597" s="44" t="n">
        <x:f>IF(ISBLANK('Assumptions'!G110),"__BLANK__",'Assumptions'!G110)</x:f>
        <x:v>0.0886929804893033</x:v>
      </x:c>
      <x:c r="G597" s="44" t="n">
        <x:f>IF(ISBLANK(E597),IF(F597="__BLANK__",0,1),IF(E597=F597,0,1))</x:f>
        <x:v>0</x:v>
      </x:c>
    </x:row>
    <x:row r="598">
      <x:c r="C598" t="str">
        <x:v>Assumptions!H110</x:v>
      </x:c>
      <x:c r="E598" t="n">
        <x:v>0.07451225678632123</x:v>
      </x:c>
      <x:c r="F598" s="44" t="n">
        <x:f>IF(ISBLANK('Assumptions'!H110),"__BLANK__",'Assumptions'!H110)</x:f>
        <x:v>0.07451225678632123</x:v>
      </x:c>
      <x:c r="G598" s="44" t="n">
        <x:f>IF(ISBLANK(E598),IF(F598="__BLANK__",0,1),IF(E598=F598,0,1))</x:f>
        <x:v>0</x:v>
      </x:c>
    </x:row>
    <x:row r="599">
      <x:c r="C599" t="str">
        <x:v>Assumptions!F111</x:v>
      </x:c>
      <x:c r="E599" t="n">
        <x:v>0.15678346349504446</x:v>
      </x:c>
      <x:c r="F599" s="44" t="n">
        <x:f>IF(ISBLANK('Assumptions'!F111),"__BLANK__",'Assumptions'!F111)</x:f>
        <x:v>0.15678346349504446</x:v>
      </x:c>
      <x:c r="G599" s="44" t="n">
        <x:f>IF(ISBLANK(E599),IF(F599="__BLANK__",0,1),IF(E599=F599,0,1))</x:f>
        <x:v>0</x:v>
      </x:c>
    </x:row>
    <x:row r="600">
      <x:c r="C600" t="str">
        <x:v>Assumptions!G111</x:v>
      </x:c>
      <x:c r="E600" t="n">
        <x:v>0.11804203320630169</x:v>
      </x:c>
      <x:c r="F600" s="44" t="n">
        <x:f>IF(ISBLANK('Assumptions'!G111),"__BLANK__",'Assumptions'!G111)</x:f>
        <x:v>0.11804203320630169</x:v>
      </x:c>
      <x:c r="G600" s="44" t="n">
        <x:f>IF(ISBLANK(E600),IF(F600="__BLANK__",0,1),IF(E600=F600,0,1))</x:f>
        <x:v>0</x:v>
      </x:c>
    </x:row>
    <x:row r="601">
      <x:c r="C601" t="str">
        <x:v>Assumptions!H111</x:v>
      </x:c>
      <x:c r="E601" t="n">
        <x:v>0.10137506320597933</x:v>
      </x:c>
      <x:c r="F601" s="44" t="n">
        <x:f>IF(ISBLANK('Assumptions'!H111),"__BLANK__",'Assumptions'!H111)</x:f>
        <x:v>0.10137506320597933</x:v>
      </x:c>
      <x:c r="G601" s="44" t="n">
        <x:f>IF(ISBLANK(E601),IF(F601="__BLANK__",0,1),IF(E601=F601,0,1))</x:f>
        <x:v>0</x:v>
      </x:c>
    </x:row>
    <x:row r="602">
      <x:c r="C602" t="str">
        <x:v>Assumptions!F112</x:v>
      </x:c>
      <x:c r="E602" t="n">
        <x:v>8.422559940396688</x:v>
      </x:c>
      <x:c r="F602" s="44" t="n">
        <x:f>IF(ISBLANK('Assumptions'!F112),"__BLANK__",'Assumptions'!F112)</x:f>
        <x:v>8.422559940396688</x:v>
      </x:c>
      <x:c r="G602" s="44" t="n">
        <x:f>IF(ISBLANK(E602),IF(F602="__BLANK__",0,1),IF(E602=F602,0,1))</x:f>
        <x:v>0</x:v>
      </x:c>
    </x:row>
    <x:row r="603">
      <x:c r="C603" t="str">
        <x:v>Assumptions!G112</x:v>
      </x:c>
      <x:c r="E603" t="n">
        <x:v>58.998795545192756</x:v>
      </x:c>
      <x:c r="F603" s="44" t="n">
        <x:f>IF(ISBLANK('Assumptions'!G112),"__BLANK__",'Assumptions'!G112)</x:f>
        <x:v>58.998795545192756</x:v>
      </x:c>
      <x:c r="G603" s="44" t="n">
        <x:f>IF(ISBLANK(E603),IF(F603="__BLANK__",0,1),IF(E603=F603,0,1))</x:f>
        <x:v>0</x:v>
      </x:c>
    </x:row>
    <x:row r="604">
      <x:c r="C604" t="str">
        <x:v>Assumptions!H112</x:v>
      </x:c>
      <x:c r="E604" t="n">
        <x:v>149.66858377950746</x:v>
      </x:c>
      <x:c r="F604" s="44" t="n">
        <x:f>IF(ISBLANK('Assumptions'!H112),"__BLANK__",'Assumptions'!H112)</x:f>
        <x:v>149.66858377950746</x:v>
      </x:c>
      <x:c r="G604" s="44" t="n">
        <x:f>IF(ISBLANK(E604),IF(F604="__BLANK__",0,1),IF(E604=F604,0,1))</x:f>
        <x:v>0</x:v>
      </x:c>
    </x:row>
    <x:row r="605">
      <x:c r="C605" t="str">
        <x:v>Assumptions!F119</x:v>
      </x:c>
      <x:c r="E605" t="n">
        <x:v>181.94</x:v>
      </x:c>
      <x:c r="F605" s="44" t="n">
        <x:f>IF(ISBLANK('Assumptions'!F119),"__BLANK__",'Assumptions'!F119)</x:f>
        <x:v>181.94</x:v>
      </x:c>
      <x:c r="G605" s="44" t="n">
        <x:f>IF(ISBLANK(E605),IF(F605="__BLANK__",0,1),IF(E605=F605,0,1))</x:f>
        <x:v>0</x:v>
      </x:c>
    </x:row>
    <x:row r="606">
      <x:c r="C606" t="str">
        <x:v>Assumptions!F120</x:v>
      </x:c>
      <x:c r="E606" t="n">
        <x:v>9593</x:v>
      </x:c>
      <x:c r="F606" s="44" t="n">
        <x:f>IF(ISBLANK('Assumptions'!F120),"__BLANK__",'Assumptions'!F120)</x:f>
        <x:v>9593</x:v>
      </x:c>
      <x:c r="G606" s="44" t="n">
        <x:f>IF(ISBLANK(E606),IF(F606="__BLANK__",0,1),IF(E606=F606,0,1))</x:f>
        <x:v>0</x:v>
      </x:c>
    </x:row>
    <x:row r="607">
      <x:c r="C607" t="str">
        <x:v>Assumptions!F121</x:v>
      </x:c>
      <x:c r="E607" t="n">
        <x:v>597</x:v>
      </x:c>
      <x:c r="F607" s="44" t="n">
        <x:f>IF(ISBLANK('Assumptions'!F121),"__BLANK__",'Assumptions'!F121)</x:f>
        <x:v>597</x:v>
      </x:c>
      <x:c r="G607" s="44" t="n">
        <x:f>IF(ISBLANK(E607),IF(F607="__BLANK__",0,1),IF(E607=F607,0,1))</x:f>
        <x:v>0</x:v>
      </x:c>
    </x:row>
    <x:row r="608">
      <x:c r="C608" t="str">
        <x:v>Assumptions!F122</x:v>
      </x:c>
      <x:c r="E608" t="n">
        <x:v>0.105</x:v>
      </x:c>
      <x:c r="F608" s="44" t="n">
        <x:f>IF(ISBLANK('Assumptions'!F122),"__BLANK__",'Assumptions'!F122)</x:f>
        <x:v>0.105</x:v>
      </x:c>
      <x:c r="G608" s="44" t="n">
        <x:f>IF(ISBLANK(E608),IF(F608="__BLANK__",0,1),IF(E608=F608,0,1))</x:f>
        <x:v>0</x:v>
      </x:c>
    </x:row>
    <x:row r="609">
      <x:c r="C609" t="str">
        <x:v>Assumptions!F123</x:v>
      </x:c>
      <x:c r="E609" t="n">
        <x:v>0.03</x:v>
      </x:c>
      <x:c r="F609" s="44" t="n">
        <x:f>IF(ISBLANK('Assumptions'!F123),"__BLANK__",'Assumptions'!F123)</x:f>
        <x:v>0.03</x:v>
      </x:c>
      <x:c r="G609" s="44" t="n">
        <x:f>IF(ISBLANK(E609),IF(F609="__BLANK__",0,1),IF(E609=F609,0,1))</x:f>
        <x:v>0</x:v>
      </x:c>
    </x:row>
    <x:row r="610">
      <x:c r="C610" t="str">
        <x:v>Assumptions!F124</x:v>
      </x:c>
      <x:c r="E610" t="n">
        <x:v>0.09</x:v>
      </x:c>
      <x:c r="F610" s="44" t="n">
        <x:f>IF(ISBLANK('Assumptions'!F124),"__BLANK__",'Assumptions'!F124)</x:f>
        <x:v>0.09</x:v>
      </x:c>
      <x:c r="G610" s="44" t="n">
        <x:f>IF(ISBLANK(E610),IF(F610="__BLANK__",0,1),IF(E610=F610,0,1))</x:f>
        <x:v>0</x:v>
      </x:c>
    </x:row>
    <x:row r="611">
      <x:c r="C611" t="str">
        <x:v>Assumptions!F125</x:v>
      </x:c>
      <x:c r="E611" t="n">
        <x:v>16.5</x:v>
      </x:c>
      <x:c r="F611" s="44" t="n">
        <x:f>IF(ISBLANK('Assumptions'!F125),"__BLANK__",'Assumptions'!F125)</x:f>
        <x:v>16.5</x:v>
      </x:c>
      <x:c r="G611" s="44" t="n">
        <x:f>IF(ISBLANK(E611),IF(F611="__BLANK__",0,1),IF(E611=F611,0,1))</x:f>
        <x:v>0</x:v>
      </x:c>
    </x:row>
    <x:row r="612">
      <x:c r="C612" t="str">
        <x:v>Assumptions!F126</x:v>
      </x:c>
      <x:c r="E612" t="n">
        <x:v>14.3</x:v>
      </x:c>
      <x:c r="F612" s="44" t="n">
        <x:f>IF(ISBLANK('Assumptions'!F126),"__BLANK__",'Assumptions'!F126)</x:f>
        <x:v>14.3</x:v>
      </x:c>
      <x:c r="G612" s="44" t="n">
        <x:f>IF(ISBLANK(E612),IF(F612="__BLANK__",0,1),IF(E612=F612,0,1))</x:f>
        <x:v>0</x:v>
      </x:c>
    </x:row>
    <x:row r="613">
      <x:c r="C613" t="str">
        <x:v>Assumptions!F127</x:v>
      </x:c>
      <x:c r="E613" t="n">
        <x:v>19.5</x:v>
      </x:c>
      <x:c r="F613" s="44" t="n">
        <x:f>IF(ISBLANK('Assumptions'!F127),"__BLANK__",'Assumptions'!F127)</x:f>
        <x:v>19.5</x:v>
      </x:c>
      <x:c r="G613" s="44" t="n">
        <x:f>IF(ISBLANK(E613),IF(F613="__BLANK__",0,1),IF(E613=F613,0,1))</x:f>
        <x:v>0</x:v>
      </x:c>
    </x:row>
    <x:row r="614">
      <x:c r="C614" t="str">
        <x:v>Assumptions!F128</x:v>
      </x:c>
      <x:c r="E614" t="n">
        <x:v>19.5</x:v>
      </x:c>
      <x:c r="F614" s="44" t="n">
        <x:f>IF(ISBLANK('Assumptions'!F128),"__BLANK__",'Assumptions'!F128)</x:f>
        <x:v>19.5</x:v>
      </x:c>
      <x:c r="G614" s="44" t="n">
        <x:f>IF(ISBLANK(E614),IF(F614="__BLANK__",0,1),IF(E614=F614,0,1))</x:f>
        <x:v>0</x:v>
      </x:c>
    </x:row>
    <x:row r="615">
      <x:c r="C615" t="str">
        <x:v>Assumptions!F129</x:v>
      </x:c>
      <x:c r="E615" t="n">
        <x:v>0.35</x:v>
      </x:c>
      <x:c r="F615" s="44" t="n">
        <x:f>IF(ISBLANK('Assumptions'!F129),"__BLANK__",'Assumptions'!F129)</x:f>
        <x:v>0.35</x:v>
      </x:c>
      <x:c r="G615" s="44" t="n">
        <x:f>IF(ISBLANK(E615),IF(F615="__BLANK__",0,1),IF(E615=F615,0,1))</x:f>
        <x:v>0</x:v>
      </x:c>
    </x:row>
    <x:row r="616">
      <x:c r="C616" t="str">
        <x:v>Assumptions!F130</x:v>
      </x:c>
      <x:c r="E616" t="n">
        <x:v>0.05</x:v>
      </x:c>
      <x:c r="F616" s="44" t="n">
        <x:f>IF(ISBLANK('Assumptions'!F130),"__BLANK__",'Assumptions'!F130)</x:f>
        <x:v>0.05</x:v>
      </x:c>
      <x:c r="G616" s="44" t="n">
        <x:f>IF(ISBLANK(E616),IF(F616="__BLANK__",0,1),IF(E616=F616,0,1))</x:f>
        <x:v>0</x:v>
      </x:c>
    </x:row>
    <x:row r="617">
      <x:c r="C617" t="str">
        <x:v>Assumptions!F131</x:v>
      </x:c>
      <x:c r="E617" t="n">
        <x:v>0.38</x:v>
      </x:c>
      <x:c r="F617" s="44" t="n">
        <x:f>IF(ISBLANK('Assumptions'!F131),"__BLANK__",'Assumptions'!F131)</x:f>
        <x:v>0.38</x:v>
      </x:c>
      <x:c r="G617" s="44" t="n">
        <x:f>IF(ISBLANK(E617),IF(F617="__BLANK__",0,1),IF(E617=F617,0,1))</x:f>
        <x:v>0</x:v>
      </x:c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cor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ops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pd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bpm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fop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ga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sbc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fcf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buybacks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sbc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 sources: L4 versioned bridge. L3 cohort/currency/timing evidence is pending an explicit handoff.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adj_ebitda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fcf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sbc_adj_fcf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net_income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net_cash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shares_end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