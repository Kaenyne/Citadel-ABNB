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Lines" sheetId="3" state="visible" r:id="rId3"/>
    <sheet xmlns:r="http://schemas.openxmlformats.org/officeDocument/2006/relationships" name="Bridge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Consensus" sheetId="6" state="visible" r:id="rId6"/>
    <sheet xmlns:r="http://schemas.openxmlformats.org/officeDocument/2006/relationships" name="Seasonality" sheetId="7" state="visible" r:id="rId7"/>
    <sheet xmlns:r="http://schemas.openxmlformats.org/officeDocument/2006/relationships" name="Weights" sheetId="8" state="visible" r:id="rId8"/>
    <sheet xmlns:r="http://schemas.openxmlformats.org/officeDocument/2006/relationships" name="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1" pivotButton="0" quotePrefix="0" xfId="0"/>
    <xf numFmtId="4" fontId="0" fillId="0" borderId="1" pivotButton="0" quotePrefix="0" xfId="0"/>
    <xf numFmtId="0" fontId="2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ABNB margin model — WS23 final, post-audit (WS31)</t>
        </is>
      </c>
    </row>
    <row r="2">
      <c r="A2" t="inlineStr">
        <is>
          <t>Built 14 Sep 2026 by the margin-build run (docs/margin-build/SYNTHESIS.md).</t>
        </is>
      </c>
    </row>
    <row r="3">
      <c r="A3" t="inlineStr">
        <is>
          <t>Vintage: 2026-09-11 (LSEG consensus row). Revenue path: bridge v3 / WS06 v2b.</t>
        </is>
      </c>
    </row>
    <row r="4">
      <c r="A4" t="inlineStr"/>
    </row>
    <row r="5">
      <c r="A5" s="1" t="inlineStr">
        <is>
          <t>THIS IS A FROZEN REPORT, NOT AN INPUT-DRIVEN MODEL.</t>
        </is>
      </c>
    </row>
    <row r="6">
      <c r="A6" t="inlineStr">
        <is>
          <t>Every forecast cell is a value generated from the CSVs in</t>
        </is>
      </c>
    </row>
    <row r="7">
      <c r="A7" t="inlineStr">
        <is>
          <t>data/processed/margin_build/23_final_model/. Changing a number on the Inputs sheet</t>
        </is>
      </c>
    </row>
    <row r="8">
      <c r="A8" t="inlineStr">
        <is>
          <t>does NOT flow through: the only live formulas are the local identities on the Bridge</t>
        </is>
      </c>
    </row>
    <row r="9">
      <c r="A9" t="inlineStr">
        <is>
          <t>sheet (line sum, total cash costs, adj EBITDA, margins, operating income, pretax,</t>
        </is>
      </c>
    </row>
    <row r="10">
      <c r="A10" t="inlineStr">
        <is>
          <t>tax, net income, EPS), and their cached results are blank until Excel opens the file</t>
        </is>
      </c>
    </row>
    <row r="11">
      <c r="A11" t="inlineStr">
        <is>
          <t>and recalculates. To change an assumption, edit the code and rebuild:</t>
        </is>
      </c>
    </row>
    <row r="12">
      <c r="A12" t="inlineStr">
        <is>
          <t xml:space="preserve">    py -3.13 analysis/src/margin_build/23_final_model/run.py</t>
        </is>
      </c>
    </row>
    <row r="13">
      <c r="A13" t="inlineStr">
        <is>
          <t>(MARGIN_VERIFY_ONLY=1 recomputes into _verify/ and compares, writing nothing.)</t>
        </is>
      </c>
    </row>
    <row r="14">
      <c r="A14" t="inlineStr"/>
    </row>
    <row r="15">
      <c r="A15" s="1" t="inlineStr">
        <is>
          <t>What this workbook is</t>
        </is>
      </c>
    </row>
    <row r="16">
      <c r="A16" t="inlineStr">
        <is>
          <t>A margin model on top of an adopted revenue path. It does NOT forecast revenue.</t>
        </is>
      </c>
    </row>
    <row r="17">
      <c r="A17" t="inlineStr">
        <is>
          <t>The adj EBITDA margin for 3Q26 comes from final-margin|combined|stack_clip, a</t>
        </is>
      </c>
    </row>
    <row r="18">
      <c r="A18" t="inlineStr">
        <is>
          <t>six-member leave-future-out combination plus a zero-parameter management-sentence clip.</t>
        </is>
      </c>
    </row>
    <row r="19">
      <c r="A19" t="inlineStr">
        <is>
          <t>4Q26 comes from the Street baseline (the combination loses to it at h=1).</t>
        </is>
      </c>
    </row>
    <row r="20">
      <c r="A20" t="inlineStr">
        <is>
          <t>2027 is a SCENARIO: the combination fails its test at h&gt;=2.</t>
        </is>
      </c>
    </row>
    <row r="21">
      <c r="A21" t="inlineStr">
        <is>
          <t>FY28 is the FY27 margin rolled flat — an extrapolation, not a forecast.</t>
        </is>
      </c>
    </row>
    <row r="22">
      <c r="A22" t="inlineStr"/>
    </row>
    <row r="23">
      <c r="A23" s="1" t="inlineStr">
        <is>
          <t>Sheets</t>
        </is>
      </c>
    </row>
    <row r="24">
      <c r="A24" t="inlineStr">
        <is>
          <t>Inputs      revenue path, model parameters, sources</t>
        </is>
      </c>
    </row>
    <row r="25">
      <c r="A25" t="inlineStr">
        <is>
          <t>Lines       six cash cost lines, history 1Q21-2Q26 and forecast 3Q26-4Q27</t>
        </is>
      </c>
    </row>
    <row r="26">
      <c r="A26" t="inlineStr">
        <is>
          <t>Bridge      adj EBITDA -&gt; operating income -&gt; EPS -&gt; FCF, quarterly and annual</t>
        </is>
      </c>
    </row>
    <row r="27">
      <c r="A27" t="inlineStr">
        <is>
          <t>Scenarios   bear/base/bull revenue x cost-response variant (M6 k), macro sensitivity, FY26 floor</t>
        </is>
      </c>
    </row>
    <row r="28">
      <c r="A28" t="inlineStr">
        <is>
          <t>Consensus   model vs LSEG / Bloomberg / management, with n and dispersion</t>
        </is>
      </c>
    </row>
    <row r="29">
      <c r="A29" t="inlineStr">
        <is>
          <t>Seasonality quarterly profile with the mechanical / discretionary cost split</t>
        </is>
      </c>
    </row>
    <row r="30">
      <c r="A30" t="inlineStr">
        <is>
          <t>Weights     the combination's member weights, backtest scores and diagnostics</t>
        </is>
      </c>
    </row>
    <row r="31">
      <c r="A31" t="inlineStr">
        <is>
          <t>Card        the 5 Nov card and the FY-guide budget identity</t>
        </is>
      </c>
    </row>
    <row r="32">
      <c r="A32" t="inlineStr"/>
    </row>
    <row r="33">
      <c r="A33" s="1" t="inlineStr">
        <is>
          <t>Traceability</t>
        </is>
      </c>
    </row>
    <row r="34">
      <c r="A34" t="inlineStr">
        <is>
          <t>Every forecast number is in data/processed/margin_build/23_final_model/*.csv.</t>
        </is>
      </c>
    </row>
    <row r="35">
      <c r="A35" t="inlineStr">
        <is>
          <t>Rebuild: py -3.13 analysis/src/margin_build/23_final_model/run.py</t>
        </is>
      </c>
    </row>
    <row r="36">
      <c r="A36" t="inlineStr"/>
    </row>
    <row r="37">
      <c r="A37" s="1" t="inlineStr">
        <is>
          <t>Numbers that must NOT be quoted (kill list, AGENT_BRIEF §6 + WS21 addendum + WS22)</t>
        </is>
      </c>
    </row>
    <row r="38">
      <c r="A38" t="inlineStr">
        <is>
          <t>M3 LIVE 4Q26 34.51% / FY26 37.03%; M6 FY28 31.3%; M5 '+0.41pt beat' as a model output;</t>
        </is>
      </c>
    </row>
    <row r="39">
      <c r="A39" t="inlineStr">
        <is>
          <t>M1 d_steps_rw; any oracle spec; 'survives both windows' as evidence of skill;</t>
        </is>
      </c>
    </row>
    <row r="40">
      <c r="A40" t="inlineStr">
        <is>
          <t>any margin MAE ratio without its p-value and quarters-better count;</t>
        </is>
      </c>
    </row>
    <row r="41">
      <c r="A41" t="inlineStr">
        <is>
          <t>any quarterly FCF forecast; 'M7 tax quantiles under-cover'.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22" customWidth="1" min="9" max="9"/>
    <col width="25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Revenue path, USD m (bridge v3 / WS06 v2b, 06_revenue_path_3q26_4q27_v2b.csv)</t>
        </is>
      </c>
    </row>
    <row r="2">
      <c r="A2" s="2" t="inlineStr">
        <is>
          <t>quarter</t>
        </is>
      </c>
      <c r="B2" s="2" t="inlineStr">
        <is>
          <t>base</t>
        </is>
      </c>
      <c r="C2" s="2" t="inlineStr">
        <is>
          <t>bear</t>
        </is>
      </c>
      <c r="D2" s="2" t="inlineStr">
        <is>
          <t>bull</t>
        </is>
      </c>
    </row>
    <row r="3">
      <c r="A3" s="3" t="inlineStr">
        <is>
          <t>1Q27</t>
        </is>
      </c>
      <c r="B3" s="4" t="n">
        <v>3053.1293</v>
      </c>
      <c r="C3" s="4" t="n">
        <v>2995.1629</v>
      </c>
      <c r="D3" s="4" t="n">
        <v>3119.9376</v>
      </c>
    </row>
    <row r="4">
      <c r="A4" s="3" t="inlineStr">
        <is>
          <t>1Q28</t>
        </is>
      </c>
      <c r="B4" s="4" t="n">
        <v>3309.9486</v>
      </c>
      <c r="C4" s="3" t="n"/>
      <c r="D4" s="3" t="n"/>
    </row>
    <row r="5">
      <c r="A5" s="3" t="inlineStr">
        <is>
          <t>2Q27</t>
        </is>
      </c>
      <c r="B5" s="4" t="n">
        <v>4028.9807</v>
      </c>
      <c r="C5" s="4" t="n">
        <v>3803.7239</v>
      </c>
      <c r="D5" s="4" t="n">
        <v>4189.9054</v>
      </c>
    </row>
    <row r="6">
      <c r="A6" s="3" t="inlineStr">
        <is>
          <t>2Q28</t>
        </is>
      </c>
      <c r="B6" s="4" t="n">
        <v>4361.7464</v>
      </c>
      <c r="C6" s="3" t="n"/>
      <c r="D6" s="3" t="n"/>
    </row>
    <row r="7">
      <c r="A7" s="3" t="inlineStr">
        <is>
          <t>3Q26</t>
        </is>
      </c>
      <c r="B7" s="4" t="n">
        <v>4804.0355</v>
      </c>
      <c r="C7" s="4" t="n">
        <v>4755</v>
      </c>
      <c r="D7" s="4" t="n">
        <v>4878</v>
      </c>
    </row>
    <row r="8">
      <c r="A8" s="3" t="inlineStr">
        <is>
          <t>3Q27</t>
        </is>
      </c>
      <c r="B8" s="4" t="n">
        <v>5280.7325</v>
      </c>
      <c r="C8" s="4" t="n">
        <v>4936.538</v>
      </c>
      <c r="D8" s="4" t="n">
        <v>5559.9477</v>
      </c>
    </row>
    <row r="9">
      <c r="A9" s="3" t="inlineStr">
        <is>
          <t>3Q28</t>
        </is>
      </c>
      <c r="B9" s="4" t="n">
        <v>5717.0633</v>
      </c>
      <c r="C9" s="3" t="n"/>
      <c r="D9" s="3" t="n"/>
    </row>
    <row r="10">
      <c r="A10" s="3" t="inlineStr">
        <is>
          <t>4Q26</t>
        </is>
      </c>
      <c r="B10" s="4" t="n">
        <v>3178.1078</v>
      </c>
      <c r="C10" s="4" t="n">
        <v>3123.807</v>
      </c>
      <c r="D10" s="4" t="n">
        <v>3227.9366</v>
      </c>
    </row>
    <row r="11">
      <c r="A11" s="3" t="inlineStr">
        <is>
          <t>4Q27</t>
        </is>
      </c>
      <c r="B11" s="4" t="n">
        <v>3465.7641</v>
      </c>
      <c r="C11" s="4" t="n">
        <v>3212.9091</v>
      </c>
      <c r="D11" s="4" t="n">
        <v>3700.9529</v>
      </c>
    </row>
    <row r="12">
      <c r="A12" s="3" t="inlineStr">
        <is>
          <t>4Q28</t>
        </is>
      </c>
      <c r="B12" s="4" t="n">
        <v>3748.6827</v>
      </c>
      <c r="C12" s="3" t="n"/>
      <c r="D12" s="3" t="n"/>
    </row>
    <row r="14">
      <c r="A14" s="1" t="inlineStr">
        <is>
          <t>Model parameters and their sources</t>
        </is>
      </c>
    </row>
    <row r="15">
      <c r="A15" s="2" t="inlineStr">
        <is>
          <t>parameter</t>
        </is>
      </c>
      <c r="B15" s="2" t="inlineStr">
        <is>
          <t>value</t>
        </is>
      </c>
      <c r="C15" s="2" t="inlineStr">
        <is>
          <t>unit</t>
        </is>
      </c>
      <c r="D15" s="2" t="inlineStr">
        <is>
          <t>source</t>
        </is>
      </c>
    </row>
    <row r="16">
      <c r="A16" s="3" t="inlineStr">
        <is>
          <t>3Q25 adj EBITDA margin (the 'down slightly' ceiling)</t>
        </is>
      </c>
      <c r="B16" s="4" t="n">
        <v>50.08547</v>
      </c>
      <c r="C16" s="3" t="inlineStr">
        <is>
          <t>%</t>
        </is>
      </c>
      <c r="D16" s="3" t="inlineStr">
        <is>
          <t>harness targets.csv</t>
        </is>
      </c>
    </row>
    <row r="17">
      <c r="A17" s="3" t="inlineStr">
        <is>
          <t>1H26 actual revenue</t>
        </is>
      </c>
      <c r="B17" s="4" t="n">
        <v>6286</v>
      </c>
      <c r="C17" s="3" t="inlineStr">
        <is>
          <t>USD m</t>
        </is>
      </c>
      <c r="D17" s="3" t="inlineStr">
        <is>
          <t>WS02 panel / targets.csv</t>
        </is>
      </c>
    </row>
    <row r="18">
      <c r="A18" s="3" t="inlineStr">
        <is>
          <t>1H26 actual adj EBITDA</t>
        </is>
      </c>
      <c r="B18" s="4" t="n">
        <v>1780</v>
      </c>
      <c r="C18" s="3" t="inlineStr">
        <is>
          <t>USD m</t>
        </is>
      </c>
      <c r="D18" s="3" t="inlineStr">
        <is>
          <t>WS02 panel / targets.csv</t>
        </is>
      </c>
    </row>
    <row r="19">
      <c r="A19" s="3" t="inlineStr">
        <is>
          <t>FY26 management margin floor (2Q26 letter)</t>
        </is>
      </c>
      <c r="B19" s="4" t="n">
        <v>35.5</v>
      </c>
      <c r="C19" s="3" t="inlineStr">
        <is>
          <t>%</t>
        </is>
      </c>
      <c r="D19" s="3" t="inlineStr">
        <is>
          <t>guides_margin.csv id ...FY2026-190</t>
        </is>
      </c>
    </row>
    <row r="20">
      <c r="A20" s="3" t="inlineStr">
        <is>
          <t>Forecast 5 Nov FY26 sentence (floor + 50bp)</t>
        </is>
      </c>
      <c r="B20" s="4" t="n">
        <v>36</v>
      </c>
      <c r="C20" s="3" t="inlineStr">
        <is>
          <t>%</t>
        </is>
      </c>
      <c r="D20" s="3" t="inlineStr">
        <is>
          <t>M3 November rule, exact 2 of 2</t>
        </is>
      </c>
    </row>
    <row r="21">
      <c r="A21" s="3" t="inlineStr">
        <is>
          <t>Combination shrinkage lambda</t>
        </is>
      </c>
      <c r="B21" s="4" t="n">
        <v>0.5</v>
      </c>
      <c r="C21" s="3" t="inlineStr">
        <is>
          <t>ratio</t>
        </is>
      </c>
      <c r="D21" s="3" t="inlineStr">
        <is>
          <t>prereg.json, fixed a priori</t>
        </is>
      </c>
    </row>
    <row r="22">
      <c r="A22" s="3" t="inlineStr">
        <is>
          <t>k on total cash costs (revenue elasticity)</t>
        </is>
      </c>
      <c r="B22" s="4" t="n">
        <v>0.364173</v>
      </c>
      <c r="C22" s="3" t="inlineStr">
        <is>
          <t>elasticity</t>
        </is>
      </c>
      <c r="D22" s="3" t="inlineStr">
        <is>
          <t>M6 k_table 1Q22+ rw lag0, t 6.58</t>
        </is>
      </c>
    </row>
    <row r="23">
      <c r="A23" s="3" t="inlineStr">
        <is>
          <t>k cost of revenue</t>
        </is>
      </c>
      <c r="B23" s="4" t="n">
        <v>0.561589</v>
      </c>
      <c r="C23" s="3" t="inlineStr">
        <is>
          <t>elasticity</t>
        </is>
      </c>
      <c r="D23" s="3" t="inlineStr">
        <is>
          <t>M6, t 5.61; the only line significant vs drift</t>
        </is>
      </c>
    </row>
    <row r="24">
      <c r="A24" s="3" t="inlineStr">
        <is>
          <t>k operations &amp; support</t>
        </is>
      </c>
      <c r="B24" s="4" t="n">
        <v>0.438174</v>
      </c>
      <c r="C24" s="3" t="inlineStr">
        <is>
          <t>elasticity</t>
        </is>
      </c>
      <c r="D24" s="3" t="inlineStr">
        <is>
          <t>M6, t 3.43</t>
        </is>
      </c>
    </row>
    <row r="25">
      <c r="A25" s="3" t="inlineStr">
        <is>
          <t>k product development</t>
        </is>
      </c>
      <c r="B25" s="4" t="n">
        <v>-0.210634</v>
      </c>
      <c r="C25" s="3" t="inlineStr">
        <is>
          <t>elasticity</t>
        </is>
      </c>
      <c r="D25" s="3" t="inlineStr">
        <is>
          <t>M6, t -1.59, NOT significant</t>
        </is>
      </c>
    </row>
    <row r="26">
      <c r="A26" s="3" t="inlineStr">
        <is>
          <t>k sales &amp; marketing</t>
        </is>
      </c>
      <c r="B26" s="4" t="n">
        <v>0.41848</v>
      </c>
      <c r="C26" s="3" t="inlineStr">
        <is>
          <t>elasticity</t>
        </is>
      </c>
      <c r="D26" s="3" t="inlineStr">
        <is>
          <t>M6, t 2.25, unstable</t>
        </is>
      </c>
    </row>
    <row r="27">
      <c r="A27" s="3" t="inlineStr">
        <is>
          <t>k G&amp;A</t>
        </is>
      </c>
      <c r="B27" s="4" t="n">
        <v>-0.110228</v>
      </c>
      <c r="C27" s="3" t="inlineStr">
        <is>
          <t>elasticity</t>
        </is>
      </c>
      <c r="D27" s="3" t="inlineStr">
        <is>
          <t>M6, t -0.29, NOT significant</t>
        </is>
      </c>
    </row>
    <row r="28">
      <c r="A28" s="3" t="inlineStr">
        <is>
          <t>ABNB total opex elasticity to revenue</t>
        </is>
      </c>
      <c r="B28" s="4" t="n">
        <v>0.139141</v>
      </c>
      <c r="C28" s="3" t="inlineStr">
        <is>
          <t>elasticity</t>
        </is>
      </c>
      <c r="D28" s="3" t="inlineStr">
        <is>
          <t>M6 peer table, t 0.47 (ns)</t>
        </is>
      </c>
    </row>
    <row r="29">
      <c r="A29" s="3" t="inlineStr">
        <is>
          <t>BKNG / TRIP / EXPE total opex elasticity</t>
        </is>
      </c>
      <c r="B29" s="4" t="n">
        <v>0.608</v>
      </c>
      <c r="C29" s="3" t="inlineStr">
        <is>
          <t>elasticity</t>
        </is>
      </c>
      <c r="D29" s="3" t="inlineStr">
        <is>
          <t>M6 peer table (0.61 / 0.63 / 0.44)</t>
        </is>
      </c>
    </row>
    <row r="30">
      <c r="A30" s="3" t="inlineStr">
        <is>
          <t>D&amp;A per quarter</t>
        </is>
      </c>
      <c r="B30" s="4" t="n">
        <v>20.633971</v>
      </c>
      <c r="C30" s="3" t="inlineStr">
        <is>
          <t>USD m</t>
        </is>
      </c>
      <c r="D30" s="3" t="inlineStr">
        <is>
          <t>M7 parameter sheet, recency-weighted last 4</t>
        </is>
      </c>
    </row>
    <row r="31">
      <c r="A31" s="3" t="inlineStr">
        <is>
          <t>Interest expense per quarter</t>
        </is>
      </c>
      <c r="B31" s="4" t="n">
        <v>37</v>
      </c>
      <c r="C31" s="3" t="inlineStr">
        <is>
          <t>USD m</t>
        </is>
      </c>
      <c r="D31" s="3" t="inlineStr">
        <is>
          <t>M7, 2Q26 10-Q printed</t>
        </is>
      </c>
    </row>
    <row r="32">
      <c r="A32" s="3" t="inlineStr">
        <is>
          <t>Other income per quarter</t>
        </is>
      </c>
      <c r="B32" s="4" t="n">
        <v>3.707412</v>
      </c>
      <c r="C32" s="3" t="inlineStr">
        <is>
          <t>USD m</t>
        </is>
      </c>
      <c r="D32" s="3" t="inlineStr">
        <is>
          <t>M7, rw mean of last 8</t>
        </is>
      </c>
    </row>
    <row r="33">
      <c r="A33" s="3" t="inlineStr">
        <is>
          <t>Interest income yield beta</t>
        </is>
      </c>
      <c r="B33" s="4" t="n">
        <v>0.876498</v>
      </c>
      <c r="C33" s="3" t="inlineStr">
        <is>
          <t>ratio to 3m T-bill</t>
        </is>
      </c>
      <c r="D33" s="3" t="inlineStr">
        <is>
          <t>M7, WS04 diagnostic</t>
        </is>
      </c>
    </row>
    <row r="34">
      <c r="A34" s="3" t="inlineStr">
        <is>
          <t>3m T-bill spot (10 Sep 2026)</t>
        </is>
      </c>
      <c r="B34" s="4" t="n">
        <v>3.86</v>
      </c>
      <c r="C34" s="3" t="inlineStr">
        <is>
          <t>%</t>
        </is>
      </c>
      <c r="D34" s="3" t="inlineStr">
        <is>
          <t>FRED DTB3</t>
        </is>
      </c>
    </row>
    <row r="35">
      <c r="A35" s="3" t="inlineStr">
        <is>
          <t>Effective tax rate FY26</t>
        </is>
      </c>
      <c r="B35" s="4" t="n">
        <v>18</v>
      </c>
      <c r="C35" s="3" t="inlineStr">
        <is>
          <t>%</t>
        </is>
      </c>
      <c r="D35" s="3" t="inlineStr">
        <is>
          <t>M7 / WS05 S157 'high teens'</t>
        </is>
      </c>
    </row>
    <row r="36">
      <c r="A36" s="3" t="inlineStr">
        <is>
          <t>Effective tax rate FY27-28</t>
        </is>
      </c>
      <c r="B36" s="4" t="n">
        <v>17.5</v>
      </c>
      <c r="C36" s="3" t="inlineStr">
        <is>
          <t>%</t>
        </is>
      </c>
      <c r="D36" s="3" t="inlineStr">
        <is>
          <t>M7 / WS05 S148</t>
        </is>
      </c>
    </row>
    <row r="37">
      <c r="A37" s="3" t="inlineStr">
        <is>
          <t>SBC y/y growth rule</t>
        </is>
      </c>
      <c r="B37" s="4" t="n">
        <v>13.18</v>
      </c>
      <c r="C37" s="3" t="inlineStr">
        <is>
          <t>%</t>
        </is>
      </c>
      <c r="D37" s="3" t="inlineStr">
        <is>
          <t>M7, rw mean of last 4 y/y</t>
        </is>
      </c>
    </row>
    <row r="38">
      <c r="A38" s="3" t="inlineStr">
        <is>
          <t>Diluted share delta per quarter</t>
        </is>
      </c>
      <c r="B38" s="4" t="n">
        <v>-5.324187</v>
      </c>
      <c r="C38" s="3" t="inlineStr">
        <is>
          <t>m shares</t>
        </is>
      </c>
      <c r="D38" s="3" t="inlineStr">
        <is>
          <t>M7, -buyback/price + issuance</t>
        </is>
      </c>
    </row>
    <row r="39">
      <c r="A39" s="3" t="inlineStr">
        <is>
          <t>Capex per quarter</t>
        </is>
      </c>
      <c r="B39" s="4" t="n">
        <v>8.929321</v>
      </c>
      <c r="C39" s="3" t="inlineStr">
        <is>
          <t>USD m</t>
        </is>
      </c>
      <c r="D39" s="3" t="inlineStr">
        <is>
          <t>M7, rw last-4 mean</t>
        </is>
      </c>
    </row>
    <row r="40">
      <c r="A40" s="3" t="inlineStr">
        <is>
          <t>EPS per $M of adj EBITDA</t>
        </is>
      </c>
      <c r="B40" s="4" t="n">
        <v>0.001386</v>
      </c>
      <c r="C40" s="3" t="inlineStr">
        <is>
          <t>USD/share per USD m</t>
        </is>
      </c>
      <c r="D40" s="3" t="inlineStr">
        <is>
          <t>(1 - ETR) / diluted shares</t>
        </is>
      </c>
    </row>
    <row r="41">
      <c r="A41" s="3" t="inlineStr">
        <is>
          <t>Residual allocation weights (pd / sm / ga)</t>
        </is>
      </c>
      <c r="B41" s="3" t="n"/>
      <c r="C41" s="3" t="inlineStr">
        <is>
          <t>share</t>
        </is>
      </c>
      <c r="D41" s="3" t="inlineStr">
        <is>
          <t>PIT error variance 211 / 1721 / 315</t>
        </is>
      </c>
    </row>
    <row r="43">
      <c r="A43" s="1" t="inlineStr">
        <is>
          <t>Conformal bands (split conformal on the combination's own PIT errors)</t>
        </is>
      </c>
    </row>
    <row r="44">
      <c r="A44" s="2" t="inlineStr">
        <is>
          <t>target</t>
        </is>
      </c>
      <c r="B44" s="2" t="inlineStr">
        <is>
          <t>horizon_q</t>
        </is>
      </c>
      <c r="C44" s="2" t="inlineStr">
        <is>
          <t>calibration</t>
        </is>
      </c>
      <c r="D44" s="2" t="inlineStr">
        <is>
          <t>n</t>
        </is>
      </c>
      <c r="E44" s="2" t="inlineStr">
        <is>
          <t>qhat80</t>
        </is>
      </c>
      <c r="F44" s="2" t="inlineStr">
        <is>
          <t>qhat90</t>
        </is>
      </c>
      <c r="G44" s="2" t="inlineStr">
        <is>
          <t>rank_grid_cov80_lo</t>
        </is>
      </c>
      <c r="H44" s="2" t="inlineStr">
        <is>
          <t>rank_grid_cov80_hi</t>
        </is>
      </c>
      <c r="I44" s="2" t="inlineStr">
        <is>
          <t>gaussian_from_mae_80</t>
        </is>
      </c>
      <c r="J44" s="2" t="inlineStr">
        <is>
          <t>gaussian_sd_from_qhat80</t>
        </is>
      </c>
      <c r="K44" s="2" t="inlineStr">
        <is>
          <t>mae</t>
        </is>
      </c>
      <c r="L44" s="2" t="inlineStr">
        <is>
          <t>bias</t>
        </is>
      </c>
      <c r="M44" s="2" t="inlineStr">
        <is>
          <t>bias_last5</t>
        </is>
      </c>
    </row>
    <row r="45">
      <c r="A45" s="3" t="inlineStr">
        <is>
          <t>adj_ebitda_margin_pct</t>
        </is>
      </c>
      <c r="B45" s="3" t="n">
        <v>0</v>
      </c>
      <c r="C45" s="3" t="inlineStr">
        <is>
          <t>W1_all_n14</t>
        </is>
      </c>
      <c r="D45" s="3" t="n">
        <v>14</v>
      </c>
      <c r="E45" s="4" t="n">
        <v>2.203943161864217</v>
      </c>
      <c r="F45" s="4" t="n">
        <v>3.905909723864877</v>
      </c>
      <c r="G45" s="4" t="n">
        <v>0.8</v>
      </c>
      <c r="H45" s="4" t="n">
        <v>0.8666666666666667</v>
      </c>
      <c r="I45" s="4" t="n">
        <v>1.809296095507047</v>
      </c>
      <c r="J45" s="4" t="n">
        <v>1.719680993963964</v>
      </c>
      <c r="K45" s="4" t="n">
        <v>1.126424550987544</v>
      </c>
      <c r="L45" s="4" t="n">
        <v>-0.6693158605443091</v>
      </c>
      <c r="M45" s="4" t="n">
        <v>-0.2712741759064897</v>
      </c>
    </row>
    <row r="46">
      <c r="A46" s="3" t="inlineStr">
        <is>
          <t>adj_ebitda_margin_pct</t>
        </is>
      </c>
      <c r="B46" s="3" t="n">
        <v>0</v>
      </c>
      <c r="C46" s="3" t="inlineStr">
        <is>
          <t>recent_2024Q1plus</t>
        </is>
      </c>
      <c r="D46" s="3" t="n">
        <v>10</v>
      </c>
      <c r="E46" s="4" t="n">
        <v>2.080264714077487</v>
      </c>
      <c r="F46" s="4" t="n">
        <v>2.600474825397711</v>
      </c>
      <c r="G46" s="4" t="n">
        <v>0.8181818181818182</v>
      </c>
      <c r="H46" s="4" t="n">
        <v>0.9090909090909092</v>
      </c>
      <c r="I46" s="4" t="n">
        <v>1.29706912222906</v>
      </c>
      <c r="J46" s="4" t="n">
        <v>1.623177835578563</v>
      </c>
      <c r="K46" s="4" t="n">
        <v>0.8075242671638136</v>
      </c>
      <c r="L46" s="4" t="n">
        <v>-0.4845417318349625</v>
      </c>
      <c r="M46" s="4" t="n">
        <v>-0.2712741759064897</v>
      </c>
    </row>
    <row r="47">
      <c r="A47" s="3" t="inlineStr">
        <is>
          <t>adj_ebitda_margin_pct</t>
        </is>
      </c>
      <c r="B47" s="3" t="n">
        <v>1</v>
      </c>
      <c r="C47" s="3" t="inlineStr">
        <is>
          <t>W1_all_n14</t>
        </is>
      </c>
      <c r="D47" s="3" t="n">
        <v>13</v>
      </c>
      <c r="E47" s="4" t="n">
        <v>4.205128664090589</v>
      </c>
      <c r="F47" s="4" t="n">
        <v>4.498846590324334</v>
      </c>
      <c r="G47" s="4" t="n">
        <v>0.8571428571428571</v>
      </c>
      <c r="H47" s="4" t="n">
        <v>0.9285714285714286</v>
      </c>
      <c r="I47" s="4" t="n">
        <v>3.135332398978297</v>
      </c>
      <c r="J47" s="4" t="n">
        <v>3.281155324664941</v>
      </c>
      <c r="K47" s="4" t="n">
        <v>1.951983093583188</v>
      </c>
      <c r="L47" s="4" t="n">
        <v>-0.450166606954569</v>
      </c>
      <c r="M47" s="4" t="n">
        <v>-0.4294982970542129</v>
      </c>
    </row>
    <row r="48">
      <c r="A48" s="3" t="inlineStr">
        <is>
          <t>adj_ebitda_margin_pct</t>
        </is>
      </c>
      <c r="B48" s="3" t="n">
        <v>1</v>
      </c>
      <c r="C48" s="3" t="inlineStr">
        <is>
          <t>recent_2024Q1plus</t>
        </is>
      </c>
      <c r="D48" s="3" t="n">
        <v>10</v>
      </c>
      <c r="E48" s="4" t="n">
        <v>2.416179191000801</v>
      </c>
      <c r="F48" s="4" t="n">
        <v>4.205128664090589</v>
      </c>
      <c r="G48" s="4" t="n">
        <v>0.8181818181818182</v>
      </c>
      <c r="H48" s="4" t="n">
        <v>0.9090909090909092</v>
      </c>
      <c r="I48" s="4" t="n">
        <v>2.510238801550501</v>
      </c>
      <c r="J48" s="4" t="n">
        <v>1.885283388733458</v>
      </c>
      <c r="K48" s="4" t="n">
        <v>1.562814744324982</v>
      </c>
      <c r="L48" s="4" t="n">
        <v>-0.2042418282061563</v>
      </c>
      <c r="M48" s="4" t="n">
        <v>-0.4294982970542129</v>
      </c>
    </row>
    <row r="49">
      <c r="A49" s="3" t="inlineStr">
        <is>
          <t>adj_ebitda_margin_pct</t>
        </is>
      </c>
      <c r="B49" s="3" t="n">
        <v>2</v>
      </c>
      <c r="C49" s="3" t="inlineStr">
        <is>
          <t>W1_all_n14</t>
        </is>
      </c>
      <c r="D49" s="3" t="n">
        <v>12</v>
      </c>
      <c r="E49" s="4" t="n">
        <v>4.522924115091705</v>
      </c>
      <c r="F49" s="4" t="n">
        <v>4.547336566744603</v>
      </c>
      <c r="G49" s="4" t="n">
        <v>0.8461538461538461</v>
      </c>
      <c r="H49" s="4" t="n">
        <v>0.9230769230769232</v>
      </c>
      <c r="I49" s="4" t="n">
        <v>3.580195245064639</v>
      </c>
      <c r="J49" s="4" t="n">
        <v>3.529123061089033</v>
      </c>
      <c r="K49" s="4" t="n">
        <v>2.228944080178042</v>
      </c>
      <c r="L49" s="4" t="n">
        <v>-0.442768154280881</v>
      </c>
      <c r="M49" s="4" t="n">
        <v>-0.4416929905982655</v>
      </c>
    </row>
    <row r="50">
      <c r="A50" s="3" t="inlineStr">
        <is>
          <t>adj_ebitda_margin_pct</t>
        </is>
      </c>
      <c r="B50" s="3" t="n">
        <v>2</v>
      </c>
      <c r="C50" s="3" t="inlineStr">
        <is>
          <t>recent_2024Q1plus</t>
        </is>
      </c>
      <c r="D50" s="3" t="n">
        <v>10</v>
      </c>
      <c r="E50" s="4" t="n">
        <v>3.650223179771114</v>
      </c>
      <c r="F50" s="4" t="n">
        <v>4.547336566744603</v>
      </c>
      <c r="G50" s="4" t="n">
        <v>0.8181818181818182</v>
      </c>
      <c r="H50" s="4" t="n">
        <v>0.9090909090909092</v>
      </c>
      <c r="I50" s="4" t="n">
        <v>3.199427116068308</v>
      </c>
      <c r="J50" s="4" t="n">
        <v>2.848176638398185</v>
      </c>
      <c r="K50" s="4" t="n">
        <v>1.991886934141997</v>
      </c>
      <c r="L50" s="4" t="n">
        <v>0.1515241769345957</v>
      </c>
      <c r="M50" s="4" t="n">
        <v>-0.4416929905982655</v>
      </c>
    </row>
    <row r="51">
      <c r="A51" s="3" t="inlineStr">
        <is>
          <t>adj_ebitda_musd</t>
        </is>
      </c>
      <c r="B51" s="3" t="n">
        <v>0</v>
      </c>
      <c r="C51" s="3" t="inlineStr">
        <is>
          <t>W1_all_n14</t>
        </is>
      </c>
      <c r="D51" s="3" t="n">
        <v>14</v>
      </c>
      <c r="E51" s="4" t="n">
        <v>76.3337340359783</v>
      </c>
      <c r="F51" s="4" t="n">
        <v>94.5624882136774</v>
      </c>
      <c r="G51" s="4" t="n">
        <v>0.8</v>
      </c>
      <c r="H51" s="4" t="n">
        <v>0.8666666666666667</v>
      </c>
      <c r="I51" s="4" t="n">
        <v>63.74173131409582</v>
      </c>
      <c r="J51" s="4" t="n">
        <v>59.56127811796059</v>
      </c>
      <c r="K51" s="4" t="n">
        <v>39.6840800424805</v>
      </c>
      <c r="L51" s="4" t="n">
        <v>-13.94472240806033</v>
      </c>
      <c r="M51" s="4" t="n">
        <v>-9.800419846978082</v>
      </c>
    </row>
    <row r="52">
      <c r="A52" s="3" t="inlineStr">
        <is>
          <t>adj_ebitda_musd</t>
        </is>
      </c>
      <c r="B52" s="3" t="n">
        <v>0</v>
      </c>
      <c r="C52" s="3" t="inlineStr">
        <is>
          <t>recent_2024Q1plus</t>
        </is>
      </c>
      <c r="D52" s="3" t="n">
        <v>10</v>
      </c>
      <c r="E52" s="4" t="n">
        <v>66.58459551303008</v>
      </c>
      <c r="F52" s="4" t="n">
        <v>81.40337162494626</v>
      </c>
      <c r="G52" s="4" t="n">
        <v>0.8181818181818182</v>
      </c>
      <c r="H52" s="4" t="n">
        <v>0.9090909090909092</v>
      </c>
      <c r="I52" s="4" t="n">
        <v>49.93604664601964</v>
      </c>
      <c r="J52" s="4" t="n">
        <v>51.95427240404968</v>
      </c>
      <c r="K52" s="4" t="n">
        <v>31.08899038748667</v>
      </c>
      <c r="L52" s="4" t="n">
        <v>-9.812088593339359</v>
      </c>
      <c r="M52" s="4" t="n">
        <v>-9.800419846978082</v>
      </c>
    </row>
    <row r="53">
      <c r="A53" s="3" t="inlineStr">
        <is>
          <t>adj_ebitda_musd</t>
        </is>
      </c>
      <c r="B53" s="3" t="n">
        <v>1</v>
      </c>
      <c r="C53" s="3" t="inlineStr">
        <is>
          <t>W1_all_n14</t>
        </is>
      </c>
      <c r="D53" s="3" t="n">
        <v>13</v>
      </c>
      <c r="E53" s="4" t="n">
        <v>107.5548578275793</v>
      </c>
      <c r="F53" s="4" t="n">
        <v>170.651235835543</v>
      </c>
      <c r="G53" s="4" t="n">
        <v>0.8571428571428571</v>
      </c>
      <c r="H53" s="4" t="n">
        <v>0.9285714285714286</v>
      </c>
      <c r="I53" s="4" t="n">
        <v>121.2208152706159</v>
      </c>
      <c r="J53" s="4" t="n">
        <v>83.92232976558935</v>
      </c>
      <c r="K53" s="4" t="n">
        <v>75.46918536475431</v>
      </c>
      <c r="L53" s="4" t="n">
        <v>-6.198149854358816</v>
      </c>
      <c r="M53" s="4" t="n">
        <v>-43.7838006314397</v>
      </c>
    </row>
    <row r="54">
      <c r="A54" s="3" t="inlineStr">
        <is>
          <t>adj_ebitda_musd</t>
        </is>
      </c>
      <c r="B54" s="3" t="n">
        <v>1</v>
      </c>
      <c r="C54" s="3" t="inlineStr">
        <is>
          <t>recent_2024Q1plus</t>
        </is>
      </c>
      <c r="D54" s="3" t="n">
        <v>10</v>
      </c>
      <c r="E54" s="4" t="n">
        <v>107.5548578275793</v>
      </c>
      <c r="F54" s="4" t="n">
        <v>170.651235835543</v>
      </c>
      <c r="G54" s="4" t="n">
        <v>0.8181818181818182</v>
      </c>
      <c r="H54" s="4" t="n">
        <v>0.9090909090909092</v>
      </c>
      <c r="I54" s="4" t="n">
        <v>115.4450904696432</v>
      </c>
      <c r="J54" s="4" t="n">
        <v>83.92232976558935</v>
      </c>
      <c r="K54" s="4" t="n">
        <v>71.87335700270836</v>
      </c>
      <c r="L54" s="4" t="n">
        <v>-1.196538148224619</v>
      </c>
      <c r="M54" s="4" t="n">
        <v>-43.7838006314397</v>
      </c>
    </row>
    <row r="55">
      <c r="A55" s="3" t="inlineStr">
        <is>
          <t>adj_ebitda_musd</t>
        </is>
      </c>
      <c r="B55" s="3" t="n">
        <v>2</v>
      </c>
      <c r="C55" s="3" t="inlineStr">
        <is>
          <t>W1_all_n14</t>
        </is>
      </c>
      <c r="D55" s="3" t="n">
        <v>12</v>
      </c>
      <c r="E55" s="4" t="n">
        <v>150.0974018505301</v>
      </c>
      <c r="F55" s="4" t="n">
        <v>180.7583249605468</v>
      </c>
      <c r="G55" s="4" t="n">
        <v>0.8461538461538461</v>
      </c>
      <c r="H55" s="4" t="n">
        <v>0.9230769230769232</v>
      </c>
      <c r="I55" s="4" t="n">
        <v>138.7555141189085</v>
      </c>
      <c r="J55" s="4" t="n">
        <v>117.117198697355</v>
      </c>
      <c r="K55" s="4" t="n">
        <v>86.38587021580661</v>
      </c>
      <c r="L55" s="4" t="n">
        <v>10.09226734645174</v>
      </c>
      <c r="M55" s="4" t="n">
        <v>-38.80704159307409</v>
      </c>
    </row>
    <row r="56">
      <c r="A56" s="3" t="inlineStr">
        <is>
          <t>adj_ebitda_musd</t>
        </is>
      </c>
      <c r="B56" s="3" t="n">
        <v>2</v>
      </c>
      <c r="C56" s="3" t="inlineStr">
        <is>
          <t>recent_2024Q1plus</t>
        </is>
      </c>
      <c r="D56" s="3" t="n">
        <v>10</v>
      </c>
      <c r="E56" s="4" t="n">
        <v>150.0974018505301</v>
      </c>
      <c r="F56" s="4" t="n">
        <v>180.7583249605468</v>
      </c>
      <c r="G56" s="4" t="n">
        <v>0.8181818181818182</v>
      </c>
      <c r="H56" s="4" t="n">
        <v>0.9090909090909092</v>
      </c>
      <c r="I56" s="4" t="n">
        <v>151.1304927492112</v>
      </c>
      <c r="J56" s="4" t="n">
        <v>117.117198697355</v>
      </c>
      <c r="K56" s="4" t="n">
        <v>94.09023645068358</v>
      </c>
      <c r="L56" s="4" t="n">
        <v>18.37673995792728</v>
      </c>
      <c r="M56" s="4" t="n">
        <v>-38.80704159307409</v>
      </c>
    </row>
    <row r="57">
      <c r="A57" s="3" t="inlineStr">
        <is>
          <t>adj_ebitda_musd_from_margin</t>
        </is>
      </c>
      <c r="B57" s="3" t="n">
        <v>0</v>
      </c>
      <c r="C57" s="3" t="inlineStr">
        <is>
          <t>W1_all_n14</t>
        </is>
      </c>
      <c r="D57" s="3" t="n">
        <v>14</v>
      </c>
      <c r="E57" s="4" t="n">
        <v>62.58378500133336</v>
      </c>
      <c r="F57" s="4" t="n">
        <v>89.94124822969684</v>
      </c>
      <c r="G57" s="4" t="n">
        <v>0.8</v>
      </c>
      <c r="H57" s="4" t="n">
        <v>0.8666666666666667</v>
      </c>
      <c r="I57" s="4" t="n">
        <v>49.23957748880937</v>
      </c>
      <c r="J57" s="4" t="n">
        <v>48.83254135559719</v>
      </c>
      <c r="K57" s="4" t="n">
        <v>30.655385318844</v>
      </c>
      <c r="L57" s="4" t="n">
        <v>-11.46619280784791</v>
      </c>
      <c r="M57" s="4" t="n">
        <v>-4.963008497922861</v>
      </c>
    </row>
    <row r="58">
      <c r="A58" s="3" t="inlineStr">
        <is>
          <t>adj_ebitda_musd_from_margin</t>
        </is>
      </c>
      <c r="B58" s="3" t="n">
        <v>0</v>
      </c>
      <c r="C58" s="3" t="inlineStr">
        <is>
          <t>recent_2024Q1plus</t>
        </is>
      </c>
      <c r="D58" s="3" t="n">
        <v>10</v>
      </c>
      <c r="E58" s="4" t="n">
        <v>62.58378500133336</v>
      </c>
      <c r="F58" s="4" t="n">
        <v>68.88488192096918</v>
      </c>
      <c r="G58" s="4" t="n">
        <v>0.8181818181818182</v>
      </c>
      <c r="H58" s="4" t="n">
        <v>0.9090909090909092</v>
      </c>
      <c r="I58" s="4" t="n">
        <v>42.89792615616632</v>
      </c>
      <c r="J58" s="4" t="n">
        <v>48.83254135559719</v>
      </c>
      <c r="K58" s="4" t="n">
        <v>26.70722461002972</v>
      </c>
      <c r="L58" s="4" t="n">
        <v>-6.124364846733482</v>
      </c>
      <c r="M58" s="4" t="n">
        <v>-4.963008497922861</v>
      </c>
    </row>
    <row r="59">
      <c r="A59" s="3" t="inlineStr">
        <is>
          <t>adj_ebitda_musd_from_margin</t>
        </is>
      </c>
      <c r="B59" s="3" t="n">
        <v>1</v>
      </c>
      <c r="C59" s="3" t="inlineStr">
        <is>
          <t>W1_all_n14</t>
        </is>
      </c>
      <c r="D59" s="3" t="n">
        <v>13</v>
      </c>
      <c r="E59" s="4" t="n">
        <v>119.8042280899093</v>
      </c>
      <c r="F59" s="4" t="n">
        <v>193.15460207259</v>
      </c>
      <c r="G59" s="4" t="n">
        <v>0.8571428571428571</v>
      </c>
      <c r="H59" s="4" t="n">
        <v>0.9285714285714286</v>
      </c>
      <c r="I59" s="4" t="n">
        <v>125.7606268392008</v>
      </c>
      <c r="J59" s="4" t="n">
        <v>93.4802029415647</v>
      </c>
      <c r="K59" s="4" t="n">
        <v>78.29556365651661</v>
      </c>
      <c r="L59" s="4" t="n">
        <v>1.154825090442942</v>
      </c>
      <c r="M59" s="4" t="n">
        <v>-43.70823322077003</v>
      </c>
    </row>
    <row r="60">
      <c r="A60" s="3" t="inlineStr">
        <is>
          <t>adj_ebitda_musd_from_margin</t>
        </is>
      </c>
      <c r="B60" s="3" t="n">
        <v>1</v>
      </c>
      <c r="C60" s="3" t="inlineStr">
        <is>
          <t>recent_2024Q1plus</t>
        </is>
      </c>
      <c r="D60" s="3" t="n">
        <v>10</v>
      </c>
      <c r="E60" s="4" t="n">
        <v>118.3635687682455</v>
      </c>
      <c r="F60" s="4" t="n">
        <v>193.15460207259</v>
      </c>
      <c r="G60" s="4" t="n">
        <v>0.8181818181818182</v>
      </c>
      <c r="H60" s="4" t="n">
        <v>0.9090909090909092</v>
      </c>
      <c r="I60" s="4" t="n">
        <v>123.4918987121797</v>
      </c>
      <c r="J60" s="4" t="n">
        <v>92.35609298396184</v>
      </c>
      <c r="K60" s="4" t="n">
        <v>76.88310769193527</v>
      </c>
      <c r="L60" s="4" t="n">
        <v>2.441552061130269</v>
      </c>
      <c r="M60" s="4" t="n">
        <v>-43.70823322077003</v>
      </c>
    </row>
    <row r="61">
      <c r="A61" s="3" t="inlineStr">
        <is>
          <t>adj_ebitda_musd_from_margin</t>
        </is>
      </c>
      <c r="B61" s="3" t="n">
        <v>2</v>
      </c>
      <c r="C61" s="3" t="inlineStr">
        <is>
          <t>W1_all_n14</t>
        </is>
      </c>
      <c r="D61" s="3" t="n">
        <v>12</v>
      </c>
      <c r="E61" s="4" t="n">
        <v>149.4899145957761</v>
      </c>
      <c r="F61" s="4" t="n">
        <v>180.7583249605464</v>
      </c>
      <c r="G61" s="4" t="n">
        <v>0.8461538461538461</v>
      </c>
      <c r="H61" s="4" t="n">
        <v>0.9230769230769232</v>
      </c>
      <c r="I61" s="4" t="n">
        <v>138.065949701514</v>
      </c>
      <c r="J61" s="4" t="n">
        <v>116.6431917882148</v>
      </c>
      <c r="K61" s="4" t="n">
        <v>85.95656387331825</v>
      </c>
      <c r="L61" s="4" t="n">
        <v>10.65983240194402</v>
      </c>
      <c r="M61" s="4" t="n">
        <v>-37.48441339222855</v>
      </c>
    </row>
    <row r="62">
      <c r="A62" s="3" t="inlineStr">
        <is>
          <t>adj_ebitda_musd_from_margin</t>
        </is>
      </c>
      <c r="B62" s="3" t="n">
        <v>2</v>
      </c>
      <c r="C62" s="3" t="inlineStr">
        <is>
          <t>recent_2024Q1plus</t>
        </is>
      </c>
      <c r="D62" s="3" t="n">
        <v>10</v>
      </c>
      <c r="E62" s="4" t="n">
        <v>149.4899145957761</v>
      </c>
      <c r="F62" s="4" t="n">
        <v>180.7583249605464</v>
      </c>
      <c r="G62" s="4" t="n">
        <v>0.8181818181818182</v>
      </c>
      <c r="H62" s="4" t="n">
        <v>0.9090909090909092</v>
      </c>
      <c r="I62" s="4" t="n">
        <v>150.3030154483378</v>
      </c>
      <c r="J62" s="4" t="n">
        <v>116.6431917882148</v>
      </c>
      <c r="K62" s="4" t="n">
        <v>93.57506883969752</v>
      </c>
      <c r="L62" s="4" t="n">
        <v>19.05781802451797</v>
      </c>
      <c r="M62" s="4" t="n">
        <v>-37.48441339222855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4" customWidth="1" min="8" max="8"/>
    <col width="21" customWidth="1" min="9" max="9"/>
    <col width="15" customWidth="1" min="10" max="10"/>
    <col width="25" customWidth="1" min="11" max="11"/>
    <col width="23" customWidth="1" min="12" max="12"/>
    <col width="16" customWidth="1" min="13" max="13"/>
    <col width="17" customWidth="1" min="14" max="14"/>
    <col width="23" customWidth="1" min="15" max="15"/>
    <col width="21" customWidth="1" min="16" max="16"/>
  </cols>
  <sheetData>
    <row r="1">
      <c r="A1" s="1" t="inlineStr">
        <is>
          <t>History — actual cash cost lines ex-SBC, 1Q21-2Q26 (WS02 panel)</t>
        </is>
      </c>
    </row>
    <row r="2">
      <c r="A2" s="2" t="inlineStr">
        <is>
          <t>quarter</t>
        </is>
      </c>
      <c r="B2" s="2" t="inlineStr">
        <is>
          <t>revenue_musd</t>
        </is>
      </c>
      <c r="C2" s="2" t="inlineStr">
        <is>
          <t>cor_cash_musd</t>
        </is>
      </c>
      <c r="D2" s="2" t="inlineStr">
        <is>
          <t>ops_cash_musd</t>
        </is>
      </c>
      <c r="E2" s="2" t="inlineStr">
        <is>
          <t>pd_cash_musd</t>
        </is>
      </c>
      <c r="F2" s="2" t="inlineStr">
        <is>
          <t>sm_cash_musd</t>
        </is>
      </c>
      <c r="G2" s="2" t="inlineStr">
        <is>
          <t>ga_cash_musd</t>
        </is>
      </c>
      <c r="H2" s="2" t="inlineStr">
        <is>
          <t>total_cash_costs_musd</t>
        </is>
      </c>
      <c r="I2" s="2" t="inlineStr">
        <is>
          <t>adj_ebitda_musd</t>
        </is>
      </c>
      <c r="J2" s="2" t="inlineStr">
        <is>
          <t>adj_ebitda_margin_pct</t>
        </is>
      </c>
    </row>
    <row r="3">
      <c r="A3" s="3" t="inlineStr">
        <is>
          <t>2021Q1</t>
        </is>
      </c>
      <c r="B3" s="4" t="n">
        <v>886.936</v>
      </c>
      <c r="C3" s="4" t="n">
        <v>254.515</v>
      </c>
      <c r="D3" s="4" t="n">
        <v>174.024</v>
      </c>
      <c r="E3" s="4" t="n">
        <v>219.346</v>
      </c>
      <c r="F3" s="4" t="n">
        <v>203.224</v>
      </c>
      <c r="G3" s="4" t="n">
        <v>140.705</v>
      </c>
      <c r="H3" s="4" t="n">
        <v>945.5359999999999</v>
      </c>
      <c r="I3" s="4" t="n">
        <v>-58.6</v>
      </c>
      <c r="J3" s="4" t="n">
        <v>-6.607015613302425</v>
      </c>
    </row>
    <row r="4">
      <c r="A4" s="3" t="inlineStr">
        <is>
          <t>2021Q2</t>
        </is>
      </c>
      <c r="B4" s="4" t="n">
        <v>1335.196</v>
      </c>
      <c r="C4" s="4" t="n">
        <v>294.427</v>
      </c>
      <c r="D4" s="4" t="n">
        <v>193.889</v>
      </c>
      <c r="E4" s="4" t="n">
        <v>205.922</v>
      </c>
      <c r="F4" s="4" t="n">
        <v>291.259</v>
      </c>
      <c r="G4" s="4" t="n">
        <v>167.575</v>
      </c>
      <c r="H4" s="4" t="n">
        <v>1117.196</v>
      </c>
      <c r="I4" s="4" t="n">
        <v>218</v>
      </c>
      <c r="J4" s="4" t="n">
        <v>16.32719091429274</v>
      </c>
    </row>
    <row r="5">
      <c r="A5" s="3" t="inlineStr">
        <is>
          <t>2021Q3</t>
        </is>
      </c>
      <c r="B5" s="4" t="n">
        <v>2237.432</v>
      </c>
      <c r="C5" s="4" t="n">
        <v>311.58</v>
      </c>
      <c r="D5" s="4" t="n">
        <v>217.168</v>
      </c>
      <c r="E5" s="4" t="n">
        <v>213.133</v>
      </c>
      <c r="F5" s="4" t="n">
        <v>267.145</v>
      </c>
      <c r="G5" s="4" t="n">
        <v>164.059</v>
      </c>
      <c r="H5" s="4" t="n">
        <v>1136.432</v>
      </c>
      <c r="I5" s="4" t="n">
        <v>1101</v>
      </c>
      <c r="J5" s="4" t="n">
        <v>49.20819940002647</v>
      </c>
    </row>
    <row r="6">
      <c r="A6" s="3" t="inlineStr">
        <is>
          <t>2021Q4</t>
        </is>
      </c>
      <c r="B6" s="4" t="n">
        <v>1532.436</v>
      </c>
      <c r="C6" s="4" t="n">
        <v>295.478</v>
      </c>
      <c r="D6" s="4" t="n">
        <v>213.646</v>
      </c>
      <c r="E6" s="4" t="n">
        <v>241.486</v>
      </c>
      <c r="F6" s="4" t="n">
        <v>324.403</v>
      </c>
      <c r="G6" s="4" t="n">
        <v>155.769</v>
      </c>
      <c r="H6" s="4" t="n">
        <v>1199.436</v>
      </c>
      <c r="I6" s="4" t="n">
        <v>333</v>
      </c>
      <c r="J6" s="4" t="n">
        <v>21.73010814154718</v>
      </c>
    </row>
    <row r="7">
      <c r="A7" s="3" t="inlineStr">
        <is>
          <t>2022Q1</t>
        </is>
      </c>
      <c r="B7" s="4" t="n">
        <v>1508.937</v>
      </c>
      <c r="C7" s="4" t="n">
        <v>362.623</v>
      </c>
      <c r="D7" s="4" t="n">
        <v>221.317</v>
      </c>
      <c r="E7" s="4" t="n">
        <v>245.051</v>
      </c>
      <c r="F7" s="4" t="n">
        <v>323.409</v>
      </c>
      <c r="G7" s="4" t="n">
        <v>167.459</v>
      </c>
      <c r="H7" s="4" t="n">
        <v>1279.937</v>
      </c>
      <c r="I7" s="4" t="n">
        <v>229</v>
      </c>
      <c r="J7" s="4" t="n">
        <v>15.17624658948651</v>
      </c>
    </row>
    <row r="8">
      <c r="A8" s="3" t="inlineStr">
        <is>
          <t>2022Q2</t>
        </is>
      </c>
      <c r="B8" s="4" t="n">
        <v>2104.107</v>
      </c>
      <c r="C8" s="4" t="n">
        <v>390.107</v>
      </c>
      <c r="D8" s="4" t="n">
        <v>241.47</v>
      </c>
      <c r="E8" s="4" t="n">
        <v>230.118</v>
      </c>
      <c r="F8" s="4" t="n">
        <v>349.882</v>
      </c>
      <c r="G8" s="4" t="n">
        <v>185.836</v>
      </c>
      <c r="H8" s="4" t="n">
        <v>1393.107</v>
      </c>
      <c r="I8" s="4" t="n">
        <v>711</v>
      </c>
      <c r="J8" s="4" t="n">
        <v>33.79105720383992</v>
      </c>
    </row>
    <row r="9">
      <c r="A9" s="3" t="inlineStr">
        <is>
          <t>2022Q3</t>
        </is>
      </c>
      <c r="B9" s="4" t="n">
        <v>2884.41</v>
      </c>
      <c r="C9" s="4" t="n">
        <v>401.149</v>
      </c>
      <c r="D9" s="4" t="n">
        <v>271.164</v>
      </c>
      <c r="E9" s="4" t="n">
        <v>230.277</v>
      </c>
      <c r="F9" s="4" t="n">
        <v>356.554</v>
      </c>
      <c r="G9" s="4" t="n">
        <v>181.369</v>
      </c>
      <c r="H9" s="4" t="n">
        <v>1427.41</v>
      </c>
      <c r="I9" s="4" t="n">
        <v>1457</v>
      </c>
      <c r="J9" s="4" t="n">
        <v>50.51292985393894</v>
      </c>
    </row>
    <row r="10">
      <c r="A10" s="3" t="inlineStr">
        <is>
          <t>2022Q4</t>
        </is>
      </c>
      <c r="B10" s="4" t="n">
        <v>1902</v>
      </c>
      <c r="C10" s="4" t="n">
        <v>345</v>
      </c>
      <c r="D10" s="4" t="n">
        <v>243</v>
      </c>
      <c r="E10" s="4" t="n">
        <v>249</v>
      </c>
      <c r="F10" s="4" t="n">
        <v>372</v>
      </c>
      <c r="G10" s="4" t="n">
        <v>198</v>
      </c>
      <c r="H10" s="4" t="n">
        <v>1396</v>
      </c>
      <c r="I10" s="4" t="n">
        <v>506</v>
      </c>
      <c r="J10" s="4" t="n">
        <v>26.60357518401682</v>
      </c>
    </row>
    <row r="11">
      <c r="A11" s="3" t="inlineStr">
        <is>
          <t>2023Q1</t>
        </is>
      </c>
      <c r="B11" s="4" t="n">
        <v>1818</v>
      </c>
      <c r="C11" s="4" t="n">
        <v>428</v>
      </c>
      <c r="D11" s="4" t="n">
        <v>267</v>
      </c>
      <c r="E11" s="4" t="n">
        <v>271</v>
      </c>
      <c r="F11" s="4" t="n">
        <v>422</v>
      </c>
      <c r="G11" s="4" t="n">
        <v>191</v>
      </c>
      <c r="H11" s="4" t="n">
        <v>1556</v>
      </c>
      <c r="I11" s="4" t="n">
        <v>262</v>
      </c>
      <c r="J11" s="4" t="n">
        <v>14.41144114411441</v>
      </c>
    </row>
    <row r="12">
      <c r="A12" s="3" t="inlineStr">
        <is>
          <t>2023Q2</t>
        </is>
      </c>
      <c r="B12" s="4" t="n">
        <v>2484</v>
      </c>
      <c r="C12" s="4" t="n">
        <v>432</v>
      </c>
      <c r="D12" s="4" t="n">
        <v>298</v>
      </c>
      <c r="E12" s="4" t="n">
        <v>260</v>
      </c>
      <c r="F12" s="4" t="n">
        <v>450</v>
      </c>
      <c r="G12" s="4" t="n">
        <v>219</v>
      </c>
      <c r="H12" s="4" t="n">
        <v>1665</v>
      </c>
      <c r="I12" s="4" t="n">
        <v>819</v>
      </c>
      <c r="J12" s="4" t="n">
        <v>32.97101449275362</v>
      </c>
    </row>
    <row r="13">
      <c r="A13" s="3" t="inlineStr">
        <is>
          <t>2023Q3</t>
        </is>
      </c>
      <c r="B13" s="4" t="n">
        <v>3397</v>
      </c>
      <c r="C13" s="4" t="n">
        <v>459</v>
      </c>
      <c r="D13" s="4" t="n">
        <v>299</v>
      </c>
      <c r="E13" s="4" t="n">
        <v>244</v>
      </c>
      <c r="F13" s="4" t="n">
        <v>370</v>
      </c>
      <c r="G13" s="4" t="n">
        <v>202</v>
      </c>
      <c r="H13" s="4" t="n">
        <v>1563</v>
      </c>
      <c r="I13" s="4" t="n">
        <v>1834</v>
      </c>
      <c r="J13" s="4" t="n">
        <v>53.98881365911098</v>
      </c>
    </row>
    <row r="14">
      <c r="A14" s="3" t="inlineStr">
        <is>
          <t>2023Q4</t>
        </is>
      </c>
      <c r="B14" s="4" t="n">
        <v>2218</v>
      </c>
      <c r="C14" s="4" t="n">
        <v>384</v>
      </c>
      <c r="D14" s="4" t="n">
        <v>254</v>
      </c>
      <c r="E14" s="4" t="n">
        <v>253</v>
      </c>
      <c r="F14" s="4" t="n">
        <v>391</v>
      </c>
      <c r="G14" s="4" t="n">
        <v>211</v>
      </c>
      <c r="H14" s="4" t="n">
        <v>1480</v>
      </c>
      <c r="I14" s="4" t="n">
        <v>738</v>
      </c>
      <c r="J14" s="4" t="n">
        <v>33.27321911632101</v>
      </c>
    </row>
    <row r="15">
      <c r="A15" s="3" t="inlineStr">
        <is>
          <t>2024Q1</t>
        </is>
      </c>
      <c r="B15" s="4" t="n">
        <v>2142</v>
      </c>
      <c r="C15" s="4" t="n">
        <v>480</v>
      </c>
      <c r="D15" s="4" t="n">
        <v>266</v>
      </c>
      <c r="E15" s="4" t="n">
        <v>290</v>
      </c>
      <c r="F15" s="4" t="n">
        <v>479</v>
      </c>
      <c r="G15" s="4" t="n">
        <v>223</v>
      </c>
      <c r="H15" s="4" t="n">
        <v>1718</v>
      </c>
      <c r="I15" s="4" t="n">
        <v>424</v>
      </c>
      <c r="J15" s="4" t="n">
        <v>19.79458450046685</v>
      </c>
    </row>
    <row r="16">
      <c r="A16" s="3" t="inlineStr">
        <is>
          <t>2024Q2</t>
        </is>
      </c>
      <c r="B16" s="4" t="n">
        <v>2748</v>
      </c>
      <c r="C16" s="4" t="n">
        <v>506</v>
      </c>
      <c r="D16" s="4" t="n">
        <v>314</v>
      </c>
      <c r="E16" s="4" t="n">
        <v>280</v>
      </c>
      <c r="F16" s="4" t="n">
        <v>527</v>
      </c>
      <c r="G16" s="4" t="n">
        <v>242</v>
      </c>
      <c r="H16" s="4" t="n">
        <v>1854</v>
      </c>
      <c r="I16" s="4" t="n">
        <v>894</v>
      </c>
      <c r="J16" s="4" t="n">
        <v>32.53275109170306</v>
      </c>
    </row>
    <row r="17">
      <c r="A17" s="3" t="inlineStr">
        <is>
          <t>2024Q3</t>
        </is>
      </c>
      <c r="B17" s="4" t="n">
        <v>3732</v>
      </c>
      <c r="C17" s="4" t="n">
        <v>465</v>
      </c>
      <c r="D17" s="4" t="n">
        <v>347</v>
      </c>
      <c r="E17" s="4" t="n">
        <v>294</v>
      </c>
      <c r="F17" s="4" t="n">
        <v>471</v>
      </c>
      <c r="G17" s="4" t="n">
        <v>210</v>
      </c>
      <c r="H17" s="4" t="n">
        <v>1774</v>
      </c>
      <c r="I17" s="4" t="n">
        <v>1958</v>
      </c>
      <c r="J17" s="4" t="n">
        <v>52.46516613076098</v>
      </c>
    </row>
    <row r="18">
      <c r="A18" s="3" t="inlineStr">
        <is>
          <t>2024Q4</t>
        </is>
      </c>
      <c r="B18" s="4" t="n">
        <v>2480</v>
      </c>
      <c r="C18" s="4" t="n">
        <v>427</v>
      </c>
      <c r="D18" s="4" t="n">
        <v>265</v>
      </c>
      <c r="E18" s="4" t="n">
        <v>306</v>
      </c>
      <c r="F18" s="4" t="n">
        <v>501</v>
      </c>
      <c r="G18" s="4" t="n">
        <v>226</v>
      </c>
      <c r="H18" s="4" t="n">
        <v>1715</v>
      </c>
      <c r="I18" s="4" t="n">
        <v>765</v>
      </c>
      <c r="J18" s="4" t="n">
        <v>30.84677419354839</v>
      </c>
    </row>
    <row r="19">
      <c r="A19" s="3" t="inlineStr">
        <is>
          <t>2025Q1</t>
        </is>
      </c>
      <c r="B19" s="4" t="n">
        <v>2272</v>
      </c>
      <c r="C19" s="4" t="n">
        <v>506</v>
      </c>
      <c r="D19" s="4" t="n">
        <v>282</v>
      </c>
      <c r="E19" s="4" t="n">
        <v>338</v>
      </c>
      <c r="F19" s="4" t="n">
        <v>519</v>
      </c>
      <c r="G19" s="4" t="n">
        <v>235</v>
      </c>
      <c r="H19" s="4" t="n">
        <v>1855</v>
      </c>
      <c r="I19" s="4" t="n">
        <v>417</v>
      </c>
      <c r="J19" s="4" t="n">
        <v>18.35387323943662</v>
      </c>
    </row>
    <row r="20">
      <c r="A20" s="3" t="inlineStr">
        <is>
          <t>2025Q2</t>
        </is>
      </c>
      <c r="B20" s="4" t="n">
        <v>3096</v>
      </c>
      <c r="C20" s="4" t="n">
        <v>544</v>
      </c>
      <c r="D20" s="4" t="n">
        <v>309</v>
      </c>
      <c r="E20" s="4" t="n">
        <v>331</v>
      </c>
      <c r="F20" s="4" t="n">
        <v>639</v>
      </c>
      <c r="G20" s="4" t="n">
        <v>244</v>
      </c>
      <c r="H20" s="4" t="n">
        <v>2053</v>
      </c>
      <c r="I20" s="4" t="n">
        <v>1043</v>
      </c>
      <c r="J20" s="4" t="n">
        <v>33.68863049095607</v>
      </c>
    </row>
    <row r="21">
      <c r="A21" s="3" t="inlineStr">
        <is>
          <t>2025Q3</t>
        </is>
      </c>
      <c r="B21" s="4" t="n">
        <v>4095</v>
      </c>
      <c r="C21" s="4" t="n">
        <v>549</v>
      </c>
      <c r="D21" s="4" t="n">
        <v>343</v>
      </c>
      <c r="E21" s="4" t="n">
        <v>333</v>
      </c>
      <c r="F21" s="4" t="n">
        <v>585</v>
      </c>
      <c r="G21" s="4" t="n">
        <v>257</v>
      </c>
      <c r="H21" s="4" t="n">
        <v>2044</v>
      </c>
      <c r="I21" s="4" t="n">
        <v>2051</v>
      </c>
      <c r="J21" s="4" t="n">
        <v>50.08547008547009</v>
      </c>
    </row>
    <row r="22">
      <c r="A22" s="3" t="inlineStr">
        <is>
          <t>2025Q4</t>
        </is>
      </c>
      <c r="B22" s="4" t="n">
        <v>2778</v>
      </c>
      <c r="C22" s="4" t="n">
        <v>487</v>
      </c>
      <c r="D22" s="4" t="n">
        <v>303</v>
      </c>
      <c r="E22" s="4" t="n">
        <v>335</v>
      </c>
      <c r="F22" s="4" t="n">
        <v>633</v>
      </c>
      <c r="G22" s="4" t="n">
        <v>259</v>
      </c>
      <c r="H22" s="4" t="n">
        <v>1992</v>
      </c>
      <c r="I22" s="4" t="n">
        <v>786</v>
      </c>
      <c r="J22" s="4" t="n">
        <v>28.29373650107992</v>
      </c>
    </row>
    <row r="23">
      <c r="A23" s="3" t="inlineStr">
        <is>
          <t>2026Q1</t>
        </is>
      </c>
      <c r="B23" s="4" t="n">
        <v>2678</v>
      </c>
      <c r="C23" s="4" t="n">
        <v>581</v>
      </c>
      <c r="D23" s="4" t="n">
        <v>301</v>
      </c>
      <c r="E23" s="4" t="n">
        <v>375</v>
      </c>
      <c r="F23" s="4" t="n">
        <v>696</v>
      </c>
      <c r="G23" s="4" t="n">
        <v>226</v>
      </c>
      <c r="H23" s="4" t="n">
        <v>2159</v>
      </c>
      <c r="I23" s="4" t="n">
        <v>519</v>
      </c>
      <c r="J23" s="4" t="n">
        <v>19.38013442867812</v>
      </c>
    </row>
    <row r="24">
      <c r="A24" s="3" t="inlineStr">
        <is>
          <t>2026Q2</t>
        </is>
      </c>
      <c r="B24" s="4" t="n">
        <v>3608</v>
      </c>
      <c r="C24" s="4" t="n">
        <v>633</v>
      </c>
      <c r="D24" s="4" t="n">
        <v>323</v>
      </c>
      <c r="E24" s="4" t="n">
        <v>374</v>
      </c>
      <c r="F24" s="4" t="n">
        <v>808</v>
      </c>
      <c r="G24" s="4" t="n">
        <v>227</v>
      </c>
      <c r="H24" s="4" t="n">
        <v>2347</v>
      </c>
      <c r="I24" s="4" t="n">
        <v>1261</v>
      </c>
      <c r="J24" s="4" t="n">
        <v>34.95011086474501</v>
      </c>
    </row>
    <row r="26">
      <c r="A26" s="1" t="inlineStr">
        <is>
          <t>Forecast — M1 driver lines reconciled to the adopted adj EBITDA; the residual is allocated to pd / sm / ga in proportion to their PIT error variance</t>
        </is>
      </c>
    </row>
    <row r="27">
      <c r="A27" s="2" t="inlineStr">
        <is>
          <t>quarter</t>
        </is>
      </c>
      <c r="B27" s="2" t="inlineStr">
        <is>
          <t>scenario</t>
        </is>
      </c>
      <c r="C27" s="2" t="inlineStr">
        <is>
          <t>revenue_musd</t>
        </is>
      </c>
      <c r="D27" s="2" t="inlineStr">
        <is>
          <t>cor_cash_musd</t>
        </is>
      </c>
      <c r="E27" s="2" t="inlineStr">
        <is>
          <t>ops_cash_musd</t>
        </is>
      </c>
      <c r="F27" s="2" t="inlineStr">
        <is>
          <t>pd_cash_musd</t>
        </is>
      </c>
      <c r="G27" s="2" t="inlineStr">
        <is>
          <t>sm_cash_musd</t>
        </is>
      </c>
      <c r="H27" s="2" t="inlineStr">
        <is>
          <t>ga_cash_musd</t>
        </is>
      </c>
      <c r="I27" s="2" t="inlineStr">
        <is>
          <t>sum_five_lines_musd</t>
        </is>
      </c>
      <c r="J27" s="2" t="inlineStr">
        <is>
          <t>addbacks_musd</t>
        </is>
      </c>
      <c r="K27" s="2" t="inlineStr">
        <is>
          <t>residual_allocated_musd</t>
        </is>
      </c>
      <c r="L27" s="2" t="inlineStr">
        <is>
          <t>total_cash_costs_musd</t>
        </is>
      </c>
      <c r="M27" s="2" t="inlineStr">
        <is>
          <t>recon_gap_musd</t>
        </is>
      </c>
      <c r="N27" s="2" t="inlineStr">
        <is>
          <t>adj_ebitda_musd</t>
        </is>
      </c>
      <c r="O27" s="2" t="inlineStr">
        <is>
          <t>adj_ebitda_margin_pct</t>
        </is>
      </c>
      <c r="P27" s="2" t="inlineStr">
        <is>
          <t>scenario_cost_basis</t>
        </is>
      </c>
    </row>
    <row r="28">
      <c r="A28" s="3" t="inlineStr">
        <is>
          <t>2026Q3</t>
        </is>
      </c>
      <c r="B28" s="3" t="inlineStr">
        <is>
          <t>base</t>
        </is>
      </c>
      <c r="C28" s="4" t="n">
        <v>4804.0355</v>
      </c>
      <c r="D28" s="4" t="n">
        <v>617.4248791049705</v>
      </c>
      <c r="E28" s="4" t="n">
        <v>364.80540374915</v>
      </c>
      <c r="F28" s="4" t="n">
        <v>381.0150238529766</v>
      </c>
      <c r="G28" s="4" t="n">
        <v>781.1389859657324</v>
      </c>
      <c r="H28" s="4" t="n">
        <v>281.1527755386359</v>
      </c>
      <c r="I28" s="4" t="n">
        <v>2425.537068211465</v>
      </c>
      <c r="J28" s="4" t="n">
        <v>20.63397059990752</v>
      </c>
      <c r="K28" s="4" t="n">
        <v>66.65956423738589</v>
      </c>
      <c r="L28" s="4" t="n">
        <v>2404.903097611558</v>
      </c>
      <c r="M28" s="4" t="n">
        <v>0</v>
      </c>
      <c r="N28" s="4" t="n">
        <v>2399.132402388442</v>
      </c>
      <c r="O28" s="4" t="n">
        <v>49.93993908638773</v>
      </c>
      <c r="P28" s="3" t="inlineStr">
        <is>
          <t>adopted margin path</t>
        </is>
      </c>
    </row>
    <row r="29">
      <c r="A29" s="3" t="inlineStr">
        <is>
          <t>2026Q4</t>
        </is>
      </c>
      <c r="B29" s="3" t="inlineStr">
        <is>
          <t>base</t>
        </is>
      </c>
      <c r="C29" s="4" t="n">
        <v>3178.1078</v>
      </c>
      <c r="D29" s="4" t="n">
        <v>543.8839154594368</v>
      </c>
      <c r="E29" s="4" t="n">
        <v>318.2894504254017</v>
      </c>
      <c r="F29" s="4" t="n">
        <v>375.6395710821145</v>
      </c>
      <c r="G29" s="4" t="n">
        <v>770.6284104429461</v>
      </c>
      <c r="H29" s="4" t="n">
        <v>271.9087238929229</v>
      </c>
      <c r="I29" s="4" t="n">
        <v>2280.350071302822</v>
      </c>
      <c r="J29" s="4" t="n">
        <v>20.63397059990752</v>
      </c>
      <c r="K29" s="4" t="n">
        <v>-14.47460766879931</v>
      </c>
      <c r="L29" s="4" t="n">
        <v>2259.716100702914</v>
      </c>
      <c r="M29" s="4" t="n">
        <v>0</v>
      </c>
      <c r="N29" s="4" t="n">
        <v>918.391699297086</v>
      </c>
      <c r="O29" s="4" t="n">
        <v>28.897437</v>
      </c>
      <c r="P29" s="3" t="inlineStr">
        <is>
          <t>adopted margin path</t>
        </is>
      </c>
    </row>
    <row r="30">
      <c r="A30" s="3" t="inlineStr">
        <is>
          <t>2027Q1</t>
        </is>
      </c>
      <c r="B30" s="3" t="inlineStr">
        <is>
          <t>base</t>
        </is>
      </c>
      <c r="C30" s="4" t="n">
        <v>3053.1293</v>
      </c>
      <c r="D30" s="4" t="n">
        <v>644.0082604379614</v>
      </c>
      <c r="E30" s="4" t="n">
        <v>316.380655663393</v>
      </c>
      <c r="F30" s="4" t="n">
        <v>421.9776190609413</v>
      </c>
      <c r="G30" s="4" t="n">
        <v>857.9691223907109</v>
      </c>
      <c r="H30" s="4" t="n">
        <v>238.9765724899441</v>
      </c>
      <c r="I30" s="4" t="n">
        <v>2479.312230042951</v>
      </c>
      <c r="J30" s="4" t="n">
        <v>20.63397059990752</v>
      </c>
      <c r="K30" s="4" t="n">
        <v>-0.3982145072181993</v>
      </c>
      <c r="L30" s="4" t="n">
        <v>2458.678259443044</v>
      </c>
      <c r="M30" s="4" t="n">
        <v>0</v>
      </c>
      <c r="N30" s="4" t="n">
        <v>594.4510405569569</v>
      </c>
      <c r="O30" s="4" t="n">
        <v>19.47022160368239</v>
      </c>
      <c r="P30" s="3" t="inlineStr">
        <is>
          <t>adopted margin path</t>
        </is>
      </c>
    </row>
    <row r="31">
      <c r="A31" s="3" t="inlineStr">
        <is>
          <t>2027Q2</t>
        </is>
      </c>
      <c r="B31" s="3" t="inlineStr">
        <is>
          <t>base</t>
        </is>
      </c>
      <c r="C31" s="4" t="n">
        <v>4028.9807</v>
      </c>
      <c r="D31" s="4" t="n">
        <v>688.1674688605063</v>
      </c>
      <c r="E31" s="4" t="n">
        <v>334.0450646878938</v>
      </c>
      <c r="F31" s="4" t="n">
        <v>421.5800551253174</v>
      </c>
      <c r="G31" s="4" t="n">
        <v>993.404122861038</v>
      </c>
      <c r="H31" s="4" t="n">
        <v>241.1183249718299</v>
      </c>
      <c r="I31" s="4" t="n">
        <v>2678.315036506585</v>
      </c>
      <c r="J31" s="4" t="n">
        <v>20.63397059990752</v>
      </c>
      <c r="K31" s="4" t="n">
        <v>7.344858813309202</v>
      </c>
      <c r="L31" s="4" t="n">
        <v>2657.681065906678</v>
      </c>
      <c r="M31" s="4" t="n">
        <v>0</v>
      </c>
      <c r="N31" s="4" t="n">
        <v>1371.299634093322</v>
      </c>
      <c r="O31" s="4" t="n">
        <v>34.03589483795052</v>
      </c>
      <c r="P31" s="3" t="inlineStr">
        <is>
          <t>adopted margin path</t>
        </is>
      </c>
    </row>
    <row r="32">
      <c r="A32" s="3" t="inlineStr">
        <is>
          <t>2027Q3</t>
        </is>
      </c>
      <c r="B32" s="3" t="inlineStr">
        <is>
          <t>base</t>
        </is>
      </c>
      <c r="C32" s="4" t="n">
        <v>5280.7325</v>
      </c>
      <c r="D32" s="4" t="n">
        <v>671.6252746940066</v>
      </c>
      <c r="E32" s="4" t="n">
        <v>378.0824832694792</v>
      </c>
      <c r="F32" s="4" t="n">
        <v>431.6036398623501</v>
      </c>
      <c r="G32" s="4" t="n">
        <v>967.0940529604534</v>
      </c>
      <c r="H32" s="4" t="n">
        <v>302.1970223173678</v>
      </c>
      <c r="I32" s="4" t="n">
        <v>2750.602473103657</v>
      </c>
      <c r="J32" s="4" t="n">
        <v>20.63397059990752</v>
      </c>
      <c r="K32" s="4" t="n">
        <v>105.0125953628762</v>
      </c>
      <c r="L32" s="4" t="n">
        <v>2729.96850250375</v>
      </c>
      <c r="M32" s="4" t="n">
        <v>0</v>
      </c>
      <c r="N32" s="4" t="n">
        <v>2550.76399749625</v>
      </c>
      <c r="O32" s="4" t="n">
        <v>48.30322303764203</v>
      </c>
      <c r="P32" s="3" t="inlineStr">
        <is>
          <t>adopted margin path</t>
        </is>
      </c>
    </row>
    <row r="33">
      <c r="A33" s="3" t="inlineStr">
        <is>
          <t>2027Q4</t>
        </is>
      </c>
      <c r="B33" s="3" t="inlineStr">
        <is>
          <t>base</t>
        </is>
      </c>
      <c r="C33" s="4" t="n">
        <v>3465.7641</v>
      </c>
      <c r="D33" s="4" t="n">
        <v>587.0414290476064</v>
      </c>
      <c r="E33" s="4" t="n">
        <v>329.4369335539894</v>
      </c>
      <c r="F33" s="4" t="n">
        <v>418.8985605046918</v>
      </c>
      <c r="G33" s="4" t="n">
        <v>902.469012307805</v>
      </c>
      <c r="H33" s="4" t="n">
        <v>281.737002536719</v>
      </c>
      <c r="I33" s="4" t="n">
        <v>2519.582937950812</v>
      </c>
      <c r="J33" s="4" t="n">
        <v>20.63397059990752</v>
      </c>
      <c r="K33" s="4" t="n">
        <v>-57.10266386354988</v>
      </c>
      <c r="L33" s="4" t="n">
        <v>2498.948967350904</v>
      </c>
      <c r="M33" s="4" t="n">
        <v>0</v>
      </c>
      <c r="N33" s="4" t="n">
        <v>966.8151326490954</v>
      </c>
      <c r="O33" s="4" t="n">
        <v>27.89616098363692</v>
      </c>
      <c r="P33" s="3" t="inlineStr">
        <is>
          <t>adopted margin path</t>
        </is>
      </c>
    </row>
    <row r="34">
      <c r="A34" s="3" t="inlineStr">
        <is>
          <t>2026Q3</t>
        </is>
      </c>
      <c r="B34" s="3" t="inlineStr">
        <is>
          <t>bear</t>
        </is>
      </c>
      <c r="C34" s="4" t="n">
        <v>4755</v>
      </c>
      <c r="D34" s="4" t="n">
        <v>604.3863721850661</v>
      </c>
      <c r="E34" s="4" t="n">
        <v>361.274873526688</v>
      </c>
      <c r="F34" s="4" t="n">
        <v>382.0261678139928</v>
      </c>
      <c r="G34" s="4" t="n">
        <v>786.2513314422317</v>
      </c>
      <c r="H34" s="4" t="n">
        <v>282.6588953520612</v>
      </c>
      <c r="I34" s="4" t="n">
        <v>2416.59764032004</v>
      </c>
      <c r="J34" s="4" t="n">
        <v>20.63397059990752</v>
      </c>
      <c r="K34" s="4" t="n">
        <v>77.41699666545901</v>
      </c>
      <c r="L34" s="4" t="n">
        <v>2395.963669720132</v>
      </c>
      <c r="M34" s="4" t="n">
        <v>0</v>
      </c>
      <c r="N34" s="4" t="n">
        <v>2359.036330279868</v>
      </c>
      <c r="O34" s="4" t="n">
        <v>49.61169990073329</v>
      </c>
      <c r="P34" s="3" t="inlineStr">
        <is>
          <t>flex k=0.364173 on total cash costs (M6)</t>
        </is>
      </c>
    </row>
    <row r="35">
      <c r="A35" s="3" t="inlineStr">
        <is>
          <t>2026Q4</t>
        </is>
      </c>
      <c r="B35" s="3" t="inlineStr">
        <is>
          <t>bear</t>
        </is>
      </c>
      <c r="C35" s="4" t="n">
        <v>3123.807</v>
      </c>
      <c r="D35" s="4" t="n">
        <v>537.2646813028805</v>
      </c>
      <c r="E35" s="4" t="n">
        <v>318.0194939368866</v>
      </c>
      <c r="F35" s="4" t="n">
        <v>375.4935132305229</v>
      </c>
      <c r="G35" s="4" t="n">
        <v>763.8207648913249</v>
      </c>
      <c r="H35" s="4" t="n">
        <v>271.6911677063961</v>
      </c>
      <c r="I35" s="4" t="n">
        <v>2266.289621068011</v>
      </c>
      <c r="J35" s="4" t="n">
        <v>20.63397059990752</v>
      </c>
      <c r="K35" s="4" t="n">
        <v>-16.02849863750589</v>
      </c>
      <c r="L35" s="4" t="n">
        <v>2245.655650468103</v>
      </c>
      <c r="M35" s="4" t="n">
        <v>0</v>
      </c>
      <c r="N35" s="4" t="n">
        <v>878.1513495318964</v>
      </c>
      <c r="O35" s="4" t="n">
        <v>28.11157505991556</v>
      </c>
      <c r="P35" s="3" t="inlineStr">
        <is>
          <t>flex k=0.364173 on total cash costs (M6)</t>
        </is>
      </c>
    </row>
    <row r="36">
      <c r="A36" s="3" t="inlineStr">
        <is>
          <t>2027Q1</t>
        </is>
      </c>
      <c r="B36" s="3" t="inlineStr">
        <is>
          <t>bear</t>
        </is>
      </c>
      <c r="C36" s="4" t="n">
        <v>2995.1629</v>
      </c>
      <c r="D36" s="4" t="n">
        <v>607.0804860675973</v>
      </c>
      <c r="E36" s="4" t="n">
        <v>308.5343713625237</v>
      </c>
      <c r="F36" s="4" t="n">
        <v>425.2328120077115</v>
      </c>
      <c r="G36" s="4" t="n">
        <v>877.6396376124371</v>
      </c>
      <c r="H36" s="4" t="n">
        <v>243.8252496147381</v>
      </c>
      <c r="I36" s="4" t="n">
        <v>2462.312556665008</v>
      </c>
      <c r="J36" s="4" t="n">
        <v>20.63397059990752</v>
      </c>
      <c r="K36" s="4" t="n">
        <v>34.23337062337714</v>
      </c>
      <c r="L36" s="4" t="n">
        <v>2441.6785860651</v>
      </c>
      <c r="M36" s="4" t="n">
        <v>0</v>
      </c>
      <c r="N36" s="4" t="n">
        <v>553.4843139348995</v>
      </c>
      <c r="O36" s="4" t="n">
        <v>18.47927249415715</v>
      </c>
      <c r="P36" s="3" t="inlineStr">
        <is>
          <t>flex k=0.364173 on total cash costs (M6)</t>
        </is>
      </c>
    </row>
    <row r="37">
      <c r="A37" s="3" t="inlineStr">
        <is>
          <t>2027Q2</t>
        </is>
      </c>
      <c r="B37" s="3" t="inlineStr">
        <is>
          <t>bear</t>
        </is>
      </c>
      <c r="C37" s="4" t="n">
        <v>3803.7239</v>
      </c>
      <c r="D37" s="4" t="n">
        <v>653.2131725418034</v>
      </c>
      <c r="E37" s="4" t="n">
        <v>327.0166313325761</v>
      </c>
      <c r="F37" s="4" t="n">
        <v>422.6486678703357</v>
      </c>
      <c r="G37" s="4" t="n">
        <v>978.6145509955636</v>
      </c>
      <c r="H37" s="4" t="n">
        <v>242.7100457259482</v>
      </c>
      <c r="I37" s="4" t="n">
        <v>2624.203068466227</v>
      </c>
      <c r="J37" s="4" t="n">
        <v>20.63397059990752</v>
      </c>
      <c r="K37" s="4" t="n">
        <v>18.71369434960525</v>
      </c>
      <c r="L37" s="4" t="n">
        <v>2603.569097866319</v>
      </c>
      <c r="M37" s="4" t="n">
        <v>0</v>
      </c>
      <c r="N37" s="4" t="n">
        <v>1200.154802133681</v>
      </c>
      <c r="O37" s="4" t="n">
        <v>31.55210088023688</v>
      </c>
      <c r="P37" s="3" t="inlineStr">
        <is>
          <t>flex k=0.364173 on total cash costs (M6)</t>
        </is>
      </c>
    </row>
    <row r="38">
      <c r="A38" s="3" t="inlineStr">
        <is>
          <t>2027Q3</t>
        </is>
      </c>
      <c r="B38" s="3" t="inlineStr">
        <is>
          <t>bear</t>
        </is>
      </c>
      <c r="C38" s="4" t="n">
        <v>4936.538</v>
      </c>
      <c r="D38" s="4" t="n">
        <v>628.6058744865479</v>
      </c>
      <c r="E38" s="4" t="n">
        <v>366.7949985087064</v>
      </c>
      <c r="F38" s="4" t="n">
        <v>432.9351946217909</v>
      </c>
      <c r="G38" s="4" t="n">
        <v>953.2859851475794</v>
      </c>
      <c r="H38" s="4" t="n">
        <v>304.180400632597</v>
      </c>
      <c r="I38" s="4" t="n">
        <v>2685.802453397222</v>
      </c>
      <c r="J38" s="4" t="n">
        <v>20.63397059990752</v>
      </c>
      <c r="K38" s="4" t="n">
        <v>119.1788376599343</v>
      </c>
      <c r="L38" s="4" t="n">
        <v>2665.168482797314</v>
      </c>
      <c r="M38" s="4" t="n">
        <v>0</v>
      </c>
      <c r="N38" s="4" t="n">
        <v>2271.369517202685</v>
      </c>
      <c r="O38" s="4" t="n">
        <v>46.0113852502034</v>
      </c>
      <c r="P38" s="3" t="inlineStr">
        <is>
          <t>flex k=0.364173 on total cash costs (M6)</t>
        </is>
      </c>
    </row>
    <row r="39">
      <c r="A39" s="3" t="inlineStr">
        <is>
          <t>2027Q4</t>
        </is>
      </c>
      <c r="B39" s="3" t="inlineStr">
        <is>
          <t>bear</t>
        </is>
      </c>
      <c r="C39" s="4" t="n">
        <v>3212.9091</v>
      </c>
      <c r="D39" s="4" t="n">
        <v>562.6212402791537</v>
      </c>
      <c r="E39" s="4" t="n">
        <v>322.6925998696844</v>
      </c>
      <c r="F39" s="4" t="n">
        <v>418.3624018199534</v>
      </c>
      <c r="G39" s="4" t="n">
        <v>868.5729608169149</v>
      </c>
      <c r="H39" s="4" t="n">
        <v>280.938383102338</v>
      </c>
      <c r="I39" s="4" t="n">
        <v>2453.187585888044</v>
      </c>
      <c r="J39" s="4" t="n">
        <v>20.63397059990752</v>
      </c>
      <c r="K39" s="4" t="n">
        <v>-62.806788146705</v>
      </c>
      <c r="L39" s="4" t="n">
        <v>2432.553615288137</v>
      </c>
      <c r="M39" s="4" t="n">
        <v>0</v>
      </c>
      <c r="N39" s="4" t="n">
        <v>780.355484711863</v>
      </c>
      <c r="O39" s="4" t="n">
        <v>24.28812831062861</v>
      </c>
      <c r="P39" s="3" t="inlineStr">
        <is>
          <t>flex k=0.364173 on total cash costs (M6)</t>
        </is>
      </c>
    </row>
    <row r="40">
      <c r="A40" s="3" t="inlineStr">
        <is>
          <t>2026Q3</t>
        </is>
      </c>
      <c r="B40" s="3" t="inlineStr">
        <is>
          <t>bull</t>
        </is>
      </c>
      <c r="C40" s="4" t="n">
        <v>4878</v>
      </c>
      <c r="D40" s="4" t="n">
        <v>629.3321899967984</v>
      </c>
      <c r="E40" s="4" t="n">
        <v>367.6173183237593</v>
      </c>
      <c r="F40" s="4" t="n">
        <v>380.4587475479121</v>
      </c>
      <c r="G40" s="4" t="n">
        <v>781.288736710891</v>
      </c>
      <c r="H40" s="4" t="n">
        <v>280.3241904932833</v>
      </c>
      <c r="I40" s="4" t="n">
        <v>2439.021183072644</v>
      </c>
      <c r="J40" s="4" t="n">
        <v>20.63397059990752</v>
      </c>
      <c r="K40" s="4" t="n">
        <v>60.74141114170288</v>
      </c>
      <c r="L40" s="4" t="n">
        <v>2418.387212472737</v>
      </c>
      <c r="M40" s="4" t="n">
        <v>0</v>
      </c>
      <c r="N40" s="4" t="n">
        <v>2459.612787527263</v>
      </c>
      <c r="O40" s="4" t="n">
        <v>50.4225663699726</v>
      </c>
      <c r="P40" s="3" t="inlineStr">
        <is>
          <t>flex k=0.364173 on total cash costs (M6)</t>
        </is>
      </c>
    </row>
    <row r="41">
      <c r="A41" s="3" t="inlineStr">
        <is>
          <t>2026Q4</t>
        </is>
      </c>
      <c r="B41" s="3" t="inlineStr">
        <is>
          <t>bull</t>
        </is>
      </c>
      <c r="C41" s="4" t="n">
        <v>3227.9366</v>
      </c>
      <c r="D41" s="4" t="n">
        <v>553.0066160756695</v>
      </c>
      <c r="E41" s="4" t="n">
        <v>319.9522854214302</v>
      </c>
      <c r="F41" s="4" t="n">
        <v>375.3586306447311</v>
      </c>
      <c r="G41" s="4" t="n">
        <v>773.4447687887543</v>
      </c>
      <c r="H41" s="4" t="n">
        <v>271.4902573090843</v>
      </c>
      <c r="I41" s="4" t="n">
        <v>2293.252558239669</v>
      </c>
      <c r="J41" s="4" t="n">
        <v>20.63397059990752</v>
      </c>
      <c r="K41" s="4" t="n">
        <v>-17.46349736995262</v>
      </c>
      <c r="L41" s="4" t="n">
        <v>2272.618587639762</v>
      </c>
      <c r="M41" s="4" t="n">
        <v>0</v>
      </c>
      <c r="N41" s="4" t="n">
        <v>955.3180123602384</v>
      </c>
      <c r="O41" s="4" t="n">
        <v>29.59531523513313</v>
      </c>
      <c r="P41" s="3" t="inlineStr">
        <is>
          <t>flex k=0.364173 on total cash costs (M6)</t>
        </is>
      </c>
    </row>
    <row r="42">
      <c r="A42" s="3" t="inlineStr">
        <is>
          <t>2027Q1</t>
        </is>
      </c>
      <c r="B42" s="3" t="inlineStr">
        <is>
          <t>bull</t>
        </is>
      </c>
      <c r="C42" s="4" t="n">
        <v>3119.9376</v>
      </c>
      <c r="D42" s="4" t="n">
        <v>668.2599265394815</v>
      </c>
      <c r="E42" s="4" t="n">
        <v>321.5455377087953</v>
      </c>
      <c r="F42" s="4" t="n">
        <v>420.3201378897427</v>
      </c>
      <c r="G42" s="4" t="n">
        <v>852.2716249939202</v>
      </c>
      <c r="H42" s="4" t="n">
        <v>236.5077200529353</v>
      </c>
      <c r="I42" s="4" t="n">
        <v>2498.904947184876</v>
      </c>
      <c r="J42" s="4" t="n">
        <v>20.63397059990752</v>
      </c>
      <c r="K42" s="4" t="n">
        <v>-18.03194658435314</v>
      </c>
      <c r="L42" s="4" t="n">
        <v>2478.270976584968</v>
      </c>
      <c r="M42" s="4" t="n">
        <v>0</v>
      </c>
      <c r="N42" s="4" t="n">
        <v>641.6666234150325</v>
      </c>
      <c r="O42" s="4" t="n">
        <v>20.56664926295425</v>
      </c>
      <c r="P42" s="3" t="inlineStr">
        <is>
          <t>flex k=0.364173 on total cash costs (M6)</t>
        </is>
      </c>
    </row>
    <row r="43">
      <c r="A43" s="3" t="inlineStr">
        <is>
          <t>2027Q2</t>
        </is>
      </c>
      <c r="B43" s="3" t="inlineStr">
        <is>
          <t>bull</t>
        </is>
      </c>
      <c r="C43" s="4" t="n">
        <v>4189.9054</v>
      </c>
      <c r="D43" s="4" t="n">
        <v>719.3574533534245</v>
      </c>
      <c r="E43" s="4" t="n">
        <v>340.9756419242195</v>
      </c>
      <c r="F43" s="4" t="n">
        <v>420.0963066013587</v>
      </c>
      <c r="G43" s="4" t="n">
        <v>997.6352720713284</v>
      </c>
      <c r="H43" s="4" t="n">
        <v>238.9082509010428</v>
      </c>
      <c r="I43" s="4" t="n">
        <v>2716.972924851374</v>
      </c>
      <c r="J43" s="4" t="n">
        <v>20.63397059990752</v>
      </c>
      <c r="K43" s="4" t="n">
        <v>-8.440553652289054</v>
      </c>
      <c r="L43" s="4" t="n">
        <v>2696.338954251466</v>
      </c>
      <c r="M43" s="4" t="n">
        <v>4.547473508864641e-13</v>
      </c>
      <c r="N43" s="4" t="n">
        <v>1493.566445748534</v>
      </c>
      <c r="O43" s="4" t="n">
        <v>35.64678204306316</v>
      </c>
      <c r="P43" s="3" t="inlineStr">
        <is>
          <t>flex k=0.364173 on total cash costs (M6)</t>
        </is>
      </c>
    </row>
    <row r="44">
      <c r="A44" s="3" t="inlineStr">
        <is>
          <t>2027Q3</t>
        </is>
      </c>
      <c r="B44" s="3" t="inlineStr">
        <is>
          <t>bull</t>
        </is>
      </c>
      <c r="C44" s="4" t="n">
        <v>5559.9477</v>
      </c>
      <c r="D44" s="4" t="n">
        <v>711.5486865276811</v>
      </c>
      <c r="E44" s="4" t="n">
        <v>387.7053030574305</v>
      </c>
      <c r="F44" s="4" t="n">
        <v>430.0710554411981</v>
      </c>
      <c r="G44" s="4" t="n">
        <v>973.9298679828968</v>
      </c>
      <c r="H44" s="4" t="n">
        <v>299.9142061690873</v>
      </c>
      <c r="I44" s="4" t="n">
        <v>2803.169119178294</v>
      </c>
      <c r="J44" s="4" t="n">
        <v>20.63397059990752</v>
      </c>
      <c r="K44" s="4" t="n">
        <v>88.70762397750377</v>
      </c>
      <c r="L44" s="4" t="n">
        <v>2782.535148578386</v>
      </c>
      <c r="M44" s="4" t="n">
        <v>0</v>
      </c>
      <c r="N44" s="4" t="n">
        <v>2777.412551421613</v>
      </c>
      <c r="O44" s="4" t="n">
        <v>49.95393304547836</v>
      </c>
      <c r="P44" s="3" t="inlineStr">
        <is>
          <t>flex k=0.364173 on total cash costs (M6)</t>
        </is>
      </c>
    </row>
    <row r="45">
      <c r="A45" s="3" t="inlineStr">
        <is>
          <t>2027Q4</t>
        </is>
      </c>
      <c r="B45" s="3" t="inlineStr">
        <is>
          <t>bull</t>
        </is>
      </c>
      <c r="C45" s="4" t="n">
        <v>3700.9529</v>
      </c>
      <c r="D45" s="4" t="n">
        <v>614.6433553131775</v>
      </c>
      <c r="E45" s="4" t="n">
        <v>337.1677531299605</v>
      </c>
      <c r="F45" s="4" t="n">
        <v>418.9046745455631</v>
      </c>
      <c r="G45" s="4" t="n">
        <v>928.8775587619266</v>
      </c>
      <c r="H45" s="4" t="n">
        <v>281.7461095268721</v>
      </c>
      <c r="I45" s="4" t="n">
        <v>2581.3394512775</v>
      </c>
      <c r="J45" s="4" t="n">
        <v>20.63397059990752</v>
      </c>
      <c r="K45" s="4" t="n">
        <v>-57.03761735773924</v>
      </c>
      <c r="L45" s="4" t="n">
        <v>2560.705480677592</v>
      </c>
      <c r="M45" s="4" t="n">
        <v>0</v>
      </c>
      <c r="N45" s="4" t="n">
        <v>1140.247419322408</v>
      </c>
      <c r="O45" s="4" t="n">
        <v>30.80956310798789</v>
      </c>
      <c r="P45" s="3" t="inlineStr">
        <is>
          <t>flex k=0.364173 on total cash costs (M6)</t>
        </is>
      </c>
    </row>
    <row r="47">
      <c r="A47" s="1" t="inlineStr">
        <is>
          <t>Forecast lines as a percentage of revenue</t>
        </is>
      </c>
    </row>
    <row r="48">
      <c r="A48" s="2" t="inlineStr">
        <is>
          <t>quarter</t>
        </is>
      </c>
      <c r="B48" s="2" t="inlineStr">
        <is>
          <t>scenario</t>
        </is>
      </c>
      <c r="C48" s="2" t="inlineStr">
        <is>
          <t>cor_pct_rev</t>
        </is>
      </c>
      <c r="D48" s="2" t="inlineStr">
        <is>
          <t>ops_pct_rev</t>
        </is>
      </c>
      <c r="E48" s="2" t="inlineStr">
        <is>
          <t>pd_pct_rev</t>
        </is>
      </c>
      <c r="F48" s="2" t="inlineStr">
        <is>
          <t>sm_pct_rev</t>
        </is>
      </c>
      <c r="G48" s="2" t="inlineStr">
        <is>
          <t>ga_pct_rev</t>
        </is>
      </c>
    </row>
    <row r="49">
      <c r="A49" s="3" t="inlineStr">
        <is>
          <t>2026Q3</t>
        </is>
      </c>
      <c r="B49" s="3" t="inlineStr">
        <is>
          <t>base</t>
        </is>
      </c>
      <c r="C49" s="4" t="n">
        <v>12.85221308429071</v>
      </c>
      <c r="D49" s="4" t="n">
        <v>7.593728309233977</v>
      </c>
      <c r="E49" s="4" t="n">
        <v>7.931145051966759</v>
      </c>
      <c r="F49" s="4" t="n">
        <v>16.2600585687956</v>
      </c>
      <c r="G49" s="4" t="n">
        <v>5.852429182478688</v>
      </c>
    </row>
    <row r="50">
      <c r="A50" s="3" t="inlineStr">
        <is>
          <t>2026Q4</t>
        </is>
      </c>
      <c r="B50" s="3" t="inlineStr">
        <is>
          <t>base</t>
        </is>
      </c>
      <c r="C50" s="4" t="n">
        <v>17.1134508231419</v>
      </c>
      <c r="D50" s="4" t="n">
        <v>10.01506149116156</v>
      </c>
      <c r="E50" s="4" t="n">
        <v>11.81959816095962</v>
      </c>
      <c r="F50" s="4" t="n">
        <v>24.2480261507475</v>
      </c>
      <c r="G50" s="4" t="n">
        <v>8.55567970013235</v>
      </c>
    </row>
    <row r="51">
      <c r="A51" s="3" t="inlineStr">
        <is>
          <t>2027Q1</t>
        </is>
      </c>
      <c r="B51" s="3" t="inlineStr">
        <is>
          <t>base</t>
        </is>
      </c>
      <c r="C51" s="4" t="n">
        <v>21.09338312130972</v>
      </c>
      <c r="D51" s="4" t="n">
        <v>10.36250432182459</v>
      </c>
      <c r="E51" s="4" t="n">
        <v>13.82115127128554</v>
      </c>
      <c r="F51" s="4" t="n">
        <v>28.10130322324413</v>
      </c>
      <c r="G51" s="4" t="n">
        <v>7.827266683069864</v>
      </c>
    </row>
    <row r="52">
      <c r="A52" s="3" t="inlineStr">
        <is>
          <t>2027Q2</t>
        </is>
      </c>
      <c r="B52" s="3" t="inlineStr">
        <is>
          <t>base</t>
        </is>
      </c>
      <c r="C52" s="4" t="n">
        <v>17.08043597380614</v>
      </c>
      <c r="D52" s="4" t="n">
        <v>8.291056462193868</v>
      </c>
      <c r="E52" s="4" t="n">
        <v>10.46369011212482</v>
      </c>
      <c r="F52" s="4" t="n">
        <v>24.65646268449581</v>
      </c>
      <c r="G52" s="4" t="n">
        <v>5.984598659701445</v>
      </c>
    </row>
    <row r="53">
      <c r="A53" s="3" t="inlineStr">
        <is>
          <t>2027Q3</t>
        </is>
      </c>
      <c r="B53" s="3" t="inlineStr">
        <is>
          <t>base</t>
        </is>
      </c>
      <c r="C53" s="4" t="n">
        <v>12.71841121840591</v>
      </c>
      <c r="D53" s="4" t="n">
        <v>7.159659825023882</v>
      </c>
      <c r="E53" s="4" t="n">
        <v>8.173177487448003</v>
      </c>
      <c r="F53" s="4" t="n">
        <v>18.31363457551492</v>
      </c>
      <c r="G53" s="4" t="n">
        <v>5.722634545820449</v>
      </c>
    </row>
    <row r="54">
      <c r="A54" s="3" t="inlineStr">
        <is>
          <t>2027Q4</t>
        </is>
      </c>
      <c r="B54" s="3" t="inlineStr">
        <is>
          <t>base</t>
        </is>
      </c>
      <c r="C54" s="4" t="n">
        <v>16.93829735981183</v>
      </c>
      <c r="D54" s="4" t="n">
        <v>9.505463270105125</v>
      </c>
      <c r="E54" s="4" t="n">
        <v>12.08675917973447</v>
      </c>
      <c r="F54" s="4" t="n">
        <v>26.03953951475823</v>
      </c>
      <c r="G54" s="4" t="n">
        <v>8.129145389229436</v>
      </c>
    </row>
    <row r="55">
      <c r="A55" s="3" t="inlineStr">
        <is>
          <t>2026Q3</t>
        </is>
      </c>
      <c r="B55" s="3" t="inlineStr">
        <is>
          <t>bear</t>
        </is>
      </c>
      <c r="C55" s="4" t="n">
        <v>12.7105441048384</v>
      </c>
      <c r="D55" s="4" t="n">
        <v>7.597789138311</v>
      </c>
      <c r="E55" s="4" t="n">
        <v>8.034199112807419</v>
      </c>
      <c r="F55" s="4" t="n">
        <v>16.53525407870098</v>
      </c>
      <c r="G55" s="4" t="n">
        <v>5.944456263976051</v>
      </c>
    </row>
    <row r="56">
      <c r="A56" s="3" t="inlineStr">
        <is>
          <t>2026Q4</t>
        </is>
      </c>
      <c r="B56" s="3" t="inlineStr">
        <is>
          <t>bear</t>
        </is>
      </c>
      <c r="C56" s="4" t="n">
        <v>17.19903570556313</v>
      </c>
      <c r="D56" s="4" t="n">
        <v>10.18051031759922</v>
      </c>
      <c r="E56" s="4" t="n">
        <v>12.02038132415104</v>
      </c>
      <c r="F56" s="4" t="n">
        <v>24.45159911900207</v>
      </c>
      <c r="G56" s="4" t="n">
        <v>8.697437700421187</v>
      </c>
    </row>
    <row r="57">
      <c r="A57" s="3" t="inlineStr">
        <is>
          <t>2027Q1</t>
        </is>
      </c>
      <c r="B57" s="3" t="inlineStr">
        <is>
          <t>bear</t>
        </is>
      </c>
      <c r="C57" s="4" t="n">
        <v>20.2686967733073</v>
      </c>
      <c r="D57" s="4" t="n">
        <v>10.30108817662384</v>
      </c>
      <c r="E57" s="4" t="n">
        <v>14.19731834978697</v>
      </c>
      <c r="F57" s="4" t="n">
        <v>29.3018999939014</v>
      </c>
      <c r="G57" s="4" t="n">
        <v>8.140634007410352</v>
      </c>
    </row>
    <row r="58">
      <c r="A58" s="3" t="inlineStr">
        <is>
          <t>2027Q2</t>
        </is>
      </c>
      <c r="B58" s="3" t="inlineStr">
        <is>
          <t>bear</t>
        </is>
      </c>
      <c r="C58" s="4" t="n">
        <v>17.17299125054275</v>
      </c>
      <c r="D58" s="4" t="n">
        <v>8.597275720579407</v>
      </c>
      <c r="E58" s="4" t="n">
        <v>11.11144444186224</v>
      </c>
      <c r="F58" s="4" t="n">
        <v>25.72780193103825</v>
      </c>
      <c r="G58" s="4" t="n">
        <v>6.380853398059418</v>
      </c>
    </row>
    <row r="59">
      <c r="A59" s="3" t="inlineStr">
        <is>
          <t>2027Q3</t>
        </is>
      </c>
      <c r="B59" s="3" t="inlineStr">
        <is>
          <t>bear</t>
        </is>
      </c>
      <c r="C59" s="4" t="n">
        <v>12.73373920116786</v>
      </c>
      <c r="D59" s="4" t="n">
        <v>7.430207131165736</v>
      </c>
      <c r="E59" s="4" t="n">
        <v>8.770016449215845</v>
      </c>
      <c r="F59" s="4" t="n">
        <v>19.31082035927971</v>
      </c>
      <c r="G59" s="4" t="n">
        <v>6.161816249213457</v>
      </c>
    </row>
    <row r="60">
      <c r="A60" s="3" t="inlineStr">
        <is>
          <t>2027Q4</t>
        </is>
      </c>
      <c r="B60" s="3" t="inlineStr">
        <is>
          <t>bear</t>
        </is>
      </c>
      <c r="C60" s="4" t="n">
        <v>17.51127164721696</v>
      </c>
      <c r="D60" s="4" t="n">
        <v>10.04362681377087</v>
      </c>
      <c r="E60" s="4" t="n">
        <v>13.02129592835208</v>
      </c>
      <c r="F60" s="4" t="n">
        <v>27.03384794848117</v>
      </c>
      <c r="G60" s="4" t="n">
        <v>8.744050153872639</v>
      </c>
    </row>
    <row r="61">
      <c r="A61" s="3" t="inlineStr">
        <is>
          <t>2026Q3</t>
        </is>
      </c>
      <c r="B61" s="3" t="inlineStr">
        <is>
          <t>bull</t>
        </is>
      </c>
      <c r="C61" s="4" t="n">
        <v>12.90143890932346</v>
      </c>
      <c r="D61" s="4" t="n">
        <v>7.536230387940945</v>
      </c>
      <c r="E61" s="4" t="n">
        <v>7.799482319555394</v>
      </c>
      <c r="F61" s="4" t="n">
        <v>16.01657926836595</v>
      </c>
      <c r="G61" s="4" t="n">
        <v>5.74670337214603</v>
      </c>
    </row>
    <row r="62">
      <c r="A62" s="3" t="inlineStr">
        <is>
          <t>2026Q4</t>
        </is>
      </c>
      <c r="B62" s="3" t="inlineStr">
        <is>
          <t>bull</t>
        </is>
      </c>
      <c r="C62" s="4" t="n">
        <v>17.13189212191062</v>
      </c>
      <c r="D62" s="4" t="n">
        <v>9.911975514681115</v>
      </c>
      <c r="E62" s="4" t="n">
        <v>11.62843875696725</v>
      </c>
      <c r="F62" s="4" t="n">
        <v>23.96096530485618</v>
      </c>
      <c r="G62" s="4" t="n">
        <v>8.41064404143143</v>
      </c>
    </row>
    <row r="63">
      <c r="A63" s="3" t="inlineStr">
        <is>
          <t>2027Q1</t>
        </is>
      </c>
      <c r="B63" s="3" t="inlineStr">
        <is>
          <t>bull</t>
        </is>
      </c>
      <c r="C63" s="4" t="n">
        <v>21.41901576940133</v>
      </c>
      <c r="D63" s="4" t="n">
        <v>10.30615284449264</v>
      </c>
      <c r="E63" s="4" t="n">
        <v>13.47206873271256</v>
      </c>
      <c r="F63" s="4" t="n">
        <v>27.31694457587614</v>
      </c>
      <c r="G63" s="4" t="n">
        <v>7.580527253267352</v>
      </c>
    </row>
    <row r="64">
      <c r="A64" s="3" t="inlineStr">
        <is>
          <t>2027Q2</t>
        </is>
      </c>
      <c r="B64" s="3" t="inlineStr">
        <is>
          <t>bull</t>
        </is>
      </c>
      <c r="C64" s="4" t="n">
        <v>17.16882327112742</v>
      </c>
      <c r="D64" s="4" t="n">
        <v>8.138027219521938</v>
      </c>
      <c r="E64" s="4" t="n">
        <v>10.02639120686015</v>
      </c>
      <c r="F64" s="4" t="n">
        <v>23.81044860992156</v>
      </c>
      <c r="G64" s="4" t="n">
        <v>5.701996300466422</v>
      </c>
    </row>
    <row r="65">
      <c r="A65" s="3" t="inlineStr">
        <is>
          <t>2027Q3</t>
        </is>
      </c>
      <c r="B65" s="3" t="inlineStr">
        <is>
          <t>bull</t>
        </is>
      </c>
      <c r="C65" s="4" t="n">
        <v>12.79775862869504</v>
      </c>
      <c r="D65" s="4" t="n">
        <v>6.973182554530692</v>
      </c>
      <c r="E65" s="4" t="n">
        <v>7.735163685823844</v>
      </c>
      <c r="F65" s="4" t="n">
        <v>17.51688901647217</v>
      </c>
      <c r="G65" s="4" t="n">
        <v>5.394191139047716</v>
      </c>
    </row>
    <row r="66">
      <c r="A66" s="3" t="inlineStr">
        <is>
          <t>2027Q4</t>
        </is>
      </c>
      <c r="B66" s="3" t="inlineStr">
        <is>
          <t>bull</t>
        </is>
      </c>
      <c r="C66" s="4" t="n">
        <v>16.60770541860118</v>
      </c>
      <c r="D66" s="4" t="n">
        <v>9.110295706004811</v>
      </c>
      <c r="E66" s="4" t="n">
        <v>11.31883290234694</v>
      </c>
      <c r="F66" s="4" t="n">
        <v>25.09833504668288</v>
      </c>
      <c r="G66" s="4" t="n">
        <v>7.612799112544019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7" customWidth="1" min="5" max="5"/>
    <col width="23" customWidth="1" min="6" max="6"/>
    <col width="12" customWidth="1" min="7" max="7"/>
    <col width="12" customWidth="1" min="8" max="8"/>
    <col width="16" customWidth="1" min="9" max="9"/>
    <col width="15" customWidth="1" min="10" max="10"/>
    <col width="22" customWidth="1" min="11" max="11"/>
    <col width="23" customWidth="1" min="12" max="12"/>
    <col width="20" customWidth="1" min="13" max="13"/>
    <col width="20" customWidth="1" min="14" max="14"/>
    <col width="14" customWidth="1" min="15" max="15"/>
    <col width="17" customWidth="1" min="16" max="16"/>
    <col width="12" customWidth="1" min="17" max="17"/>
    <col width="27" customWidth="1" min="18" max="18"/>
    <col width="18" customWidth="1" min="19" max="19"/>
    <col width="13" customWidth="1" min="20" max="20"/>
    <col width="12" customWidth="1" min="21" max="21"/>
    <col width="20" customWidth="1" min="22" max="22"/>
    <col width="24" customWidth="1" min="23" max="23"/>
    <col width="16" customWidth="1" min="24" max="24"/>
  </cols>
  <sheetData>
    <row r="1">
      <c r="A1" s="1" t="inlineStr">
        <is>
          <t>Quarterly bridge, base case — adj EBITDA to EPS (formula cells: op income, pretax, net income, EPS, margins)</t>
        </is>
      </c>
    </row>
    <row r="2">
      <c r="A2" s="5" t="inlineStr">
        <is>
          <t>line</t>
        </is>
      </c>
      <c r="B2" s="5" t="inlineStr">
        <is>
          <t>2026Q3</t>
        </is>
      </c>
      <c r="C2" s="5" t="inlineStr">
        <is>
          <t>2026Q4</t>
        </is>
      </c>
      <c r="D2" s="5" t="inlineStr">
        <is>
          <t>2027Q1</t>
        </is>
      </c>
      <c r="E2" s="5" t="inlineStr">
        <is>
          <t>2027Q2</t>
        </is>
      </c>
      <c r="F2" s="5" t="inlineStr">
        <is>
          <t>2027Q3</t>
        </is>
      </c>
      <c r="G2" s="5" t="inlineStr">
        <is>
          <t>2027Q4</t>
        </is>
      </c>
    </row>
    <row r="3">
      <c r="A3" t="inlineStr">
        <is>
          <t>Revenue</t>
        </is>
      </c>
      <c r="B3" s="6" t="n">
        <v>4804.0355</v>
      </c>
      <c r="C3" s="6" t="n">
        <v>3178.1078</v>
      </c>
      <c r="D3" s="6" t="n">
        <v>3053.1293</v>
      </c>
      <c r="E3" s="6" t="n">
        <v>4028.9807</v>
      </c>
      <c r="F3" s="6" t="n">
        <v>5280.7325</v>
      </c>
      <c r="G3" s="6" t="n">
        <v>3465.7641</v>
      </c>
    </row>
    <row r="4">
      <c r="A4" t="inlineStr">
        <is>
          <t>Cost of revenue</t>
        </is>
      </c>
      <c r="B4" s="6" t="n">
        <v>617.4248791049705</v>
      </c>
      <c r="C4" s="6" t="n">
        <v>543.8839154594368</v>
      </c>
      <c r="D4" s="6" t="n">
        <v>644.0082604379614</v>
      </c>
      <c r="E4" s="6" t="n">
        <v>688.1674688605063</v>
      </c>
      <c r="F4" s="6" t="n">
        <v>671.6252746940066</v>
      </c>
      <c r="G4" s="6" t="n">
        <v>587.0414290476064</v>
      </c>
    </row>
    <row r="5">
      <c r="A5" t="inlineStr">
        <is>
          <t>Operations &amp; support</t>
        </is>
      </c>
      <c r="B5" s="6" t="n">
        <v>364.80540374915</v>
      </c>
      <c r="C5" s="6" t="n">
        <v>318.2894504254017</v>
      </c>
      <c r="D5" s="6" t="n">
        <v>316.380655663393</v>
      </c>
      <c r="E5" s="6" t="n">
        <v>334.0450646878938</v>
      </c>
      <c r="F5" s="6" t="n">
        <v>378.0824832694792</v>
      </c>
      <c r="G5" s="6" t="n">
        <v>329.4369335539894</v>
      </c>
    </row>
    <row r="6">
      <c r="A6" t="inlineStr">
        <is>
          <t>Product development</t>
        </is>
      </c>
      <c r="B6" s="6" t="n">
        <v>381.0150238529766</v>
      </c>
      <c r="C6" s="6" t="n">
        <v>375.6395710821145</v>
      </c>
      <c r="D6" s="6" t="n">
        <v>421.9776190609413</v>
      </c>
      <c r="E6" s="6" t="n">
        <v>421.5800551253174</v>
      </c>
      <c r="F6" s="6" t="n">
        <v>431.6036398623501</v>
      </c>
      <c r="G6" s="6" t="n">
        <v>418.8985605046918</v>
      </c>
    </row>
    <row r="7">
      <c r="A7" t="inlineStr">
        <is>
          <t>Sales &amp; marketing</t>
        </is>
      </c>
      <c r="B7" s="6" t="n">
        <v>781.1389859657324</v>
      </c>
      <c r="C7" s="6" t="n">
        <v>770.6284104429461</v>
      </c>
      <c r="D7" s="6" t="n">
        <v>857.9691223907109</v>
      </c>
      <c r="E7" s="6" t="n">
        <v>993.404122861038</v>
      </c>
      <c r="F7" s="6" t="n">
        <v>967.0940529604534</v>
      </c>
      <c r="G7" s="6" t="n">
        <v>902.469012307805</v>
      </c>
    </row>
    <row r="8">
      <c r="A8" t="inlineStr">
        <is>
          <t>G&amp;A ex reserves</t>
        </is>
      </c>
      <c r="B8" s="6" t="n">
        <v>281.1527755386359</v>
      </c>
      <c r="C8" s="6" t="n">
        <v>271.9087238929229</v>
      </c>
      <c r="D8" s="6" t="n">
        <v>238.9765724899441</v>
      </c>
      <c r="E8" s="6" t="n">
        <v>241.1183249718299</v>
      </c>
      <c r="F8" s="6" t="n">
        <v>302.1970223173678</v>
      </c>
      <c r="G8" s="6" t="n">
        <v>281.737002536719</v>
      </c>
    </row>
    <row r="9">
      <c r="A9" t="inlineStr">
        <is>
          <t>Sum of the five cash lines</t>
        </is>
      </c>
      <c r="B9" s="6">
        <f>B4+B5+B6+B7+B8</f>
        <v/>
      </c>
      <c r="C9" s="6">
        <f>C4+C5+C6+C7+C8</f>
        <v/>
      </c>
      <c r="D9" s="6">
        <f>D4+D5+D6+D7+D8</f>
        <v/>
      </c>
      <c r="E9" s="6">
        <f>E4+E5+E6+E7+E8</f>
        <v/>
      </c>
      <c r="F9" s="6">
        <f>F4+F5+F6+F7+F8</f>
        <v/>
      </c>
      <c r="G9" s="6">
        <f>G4+G5+G6+G7+G8</f>
        <v/>
      </c>
    </row>
    <row r="10">
      <c r="A10" t="inlineStr">
        <is>
          <t>less: D&amp;A add-back (the one add-back schedule)</t>
        </is>
      </c>
      <c r="B10" s="6" t="n">
        <v>20.63397059990752</v>
      </c>
      <c r="C10" s="6" t="n">
        <v>20.63397059990752</v>
      </c>
      <c r="D10" s="6" t="n">
        <v>20.63397059990752</v>
      </c>
      <c r="E10" s="6" t="n">
        <v>20.63397059990752</v>
      </c>
      <c r="F10" s="6" t="n">
        <v>20.63397059990752</v>
      </c>
      <c r="G10" s="6" t="n">
        <v>20.63397059990752</v>
      </c>
    </row>
    <row r="11">
      <c r="A11" t="inlineStr">
        <is>
          <t>Total cash costs (net of the add-back)</t>
        </is>
      </c>
      <c r="B11" s="6">
        <f>B9-B10</f>
        <v/>
      </c>
      <c r="C11" s="6">
        <f>C9-C10</f>
        <v/>
      </c>
      <c r="D11" s="6">
        <f>D9-D10</f>
        <v/>
      </c>
      <c r="E11" s="6">
        <f>E9-E10</f>
        <v/>
      </c>
      <c r="F11" s="6">
        <f>F9-F10</f>
        <v/>
      </c>
      <c r="G11" s="6">
        <f>G9-G10</f>
        <v/>
      </c>
    </row>
    <row r="12">
      <c r="A12" t="inlineStr">
        <is>
          <t>Adj EBITDA</t>
        </is>
      </c>
      <c r="B12" s="6">
        <f>B3-B11</f>
        <v/>
      </c>
      <c r="C12" s="6">
        <f>C3-C11</f>
        <v/>
      </c>
      <c r="D12" s="6">
        <f>D3-D11</f>
        <v/>
      </c>
      <c r="E12" s="6">
        <f>E3-E11</f>
        <v/>
      </c>
      <c r="F12" s="6">
        <f>F3-F11</f>
        <v/>
      </c>
      <c r="G12" s="6">
        <f>G3-G11</f>
        <v/>
      </c>
    </row>
    <row r="13">
      <c r="A13" t="inlineStr">
        <is>
          <t>Adj EBITDA margin %</t>
        </is>
      </c>
      <c r="B13" s="6">
        <f>B12/B3*100</f>
        <v/>
      </c>
      <c r="C13" s="6">
        <f>C12/C3*100</f>
        <v/>
      </c>
      <c r="D13" s="6">
        <f>D12/D3*100</f>
        <v/>
      </c>
      <c r="E13" s="6">
        <f>E12/E3*100</f>
        <v/>
      </c>
      <c r="F13" s="6">
        <f>F12/F3*100</f>
        <v/>
      </c>
      <c r="G13" s="6">
        <f>G12/G3*100</f>
        <v/>
      </c>
    </row>
    <row r="14">
      <c r="A14" t="inlineStr">
        <is>
          <t xml:space="preserve">  80% band low %</t>
        </is>
      </c>
      <c r="B14" s="6" t="n">
        <v>47.85967437231024</v>
      </c>
      <c r="C14" s="6" t="n">
        <v>26.4812578089992</v>
      </c>
      <c r="D14" s="6" t="n">
        <v>15.81999842391128</v>
      </c>
      <c r="E14" s="6" t="n">
        <v>30.3856716581794</v>
      </c>
      <c r="F14" s="6" t="n">
        <v>44.65299985787093</v>
      </c>
      <c r="G14" s="6" t="n">
        <v>24.24593780386581</v>
      </c>
    </row>
    <row r="15">
      <c r="A15" t="inlineStr">
        <is>
          <t xml:space="preserve">  80% band high %</t>
        </is>
      </c>
      <c r="B15" s="6" t="n">
        <v>52.02020380046522</v>
      </c>
      <c r="C15" s="6" t="n">
        <v>31.3136161910008</v>
      </c>
      <c r="D15" s="6" t="n">
        <v>23.1204447834535</v>
      </c>
      <c r="E15" s="6" t="n">
        <v>37.68611801772163</v>
      </c>
      <c r="F15" s="6" t="n">
        <v>51.95344621741314</v>
      </c>
      <c r="G15" s="6" t="n">
        <v>31.54638416340804</v>
      </c>
    </row>
    <row r="16">
      <c r="A16" t="inlineStr">
        <is>
          <t>Stock-based compensation</t>
        </is>
      </c>
      <c r="B16" s="6" t="n">
        <v>451.5791856610708</v>
      </c>
      <c r="C16" s="6" t="n">
        <v>465.1605145531331</v>
      </c>
      <c r="D16" s="6" t="n">
        <v>464.0287371454613</v>
      </c>
      <c r="E16" s="6" t="n">
        <v>551.1755975361942</v>
      </c>
      <c r="F16" s="6" t="n">
        <v>511.0871201060549</v>
      </c>
      <c r="G16" s="6" t="n">
        <v>526.4581613122519</v>
      </c>
    </row>
    <row r="17">
      <c r="A17" t="inlineStr">
        <is>
          <t>Depreciation &amp; amortisation</t>
        </is>
      </c>
      <c r="B17" s="6" t="n">
        <v>20.63397059990752</v>
      </c>
      <c r="C17" s="6" t="n">
        <v>20.63397059990752</v>
      </c>
      <c r="D17" s="6" t="n">
        <v>20.63397059990752</v>
      </c>
      <c r="E17" s="6" t="n">
        <v>20.63397059990752</v>
      </c>
      <c r="F17" s="6" t="n">
        <v>20.63397059990752</v>
      </c>
      <c r="G17" s="6" t="n">
        <v>20.63397059990752</v>
      </c>
    </row>
    <row r="18">
      <c r="A18" t="inlineStr">
        <is>
          <t>GAAP operating income</t>
        </is>
      </c>
      <c r="B18" s="6">
        <f>B12-B17-B16</f>
        <v/>
      </c>
      <c r="C18" s="6">
        <f>C12-C17-C16</f>
        <v/>
      </c>
      <c r="D18" s="6">
        <f>D12-D17-D16</f>
        <v/>
      </c>
      <c r="E18" s="6">
        <f>E12-E17-E16</f>
        <v/>
      </c>
      <c r="F18" s="6">
        <f>F12-F17-F16</f>
        <v/>
      </c>
      <c r="G18" s="6">
        <f>G12-G17-G16</f>
        <v/>
      </c>
    </row>
    <row r="19">
      <c r="A19" t="inlineStr">
        <is>
          <t>GAAP operating margin %</t>
        </is>
      </c>
      <c r="B19" s="6">
        <f>B18/B3*100</f>
        <v/>
      </c>
      <c r="C19" s="6">
        <f>C18/C3*100</f>
        <v/>
      </c>
      <c r="D19" s="6">
        <f>D18/D3*100</f>
        <v/>
      </c>
      <c r="E19" s="6">
        <f>E18/E3*100</f>
        <v/>
      </c>
      <c r="F19" s="6">
        <f>F18/F3*100</f>
        <v/>
      </c>
      <c r="G19" s="6">
        <f>G18/G3*100</f>
        <v/>
      </c>
    </row>
    <row r="20">
      <c r="A20" t="inlineStr">
        <is>
          <t>Interest income</t>
        </is>
      </c>
      <c r="B20" s="6" t="n">
        <v>183.6651628209243</v>
      </c>
      <c r="C20" s="6" t="n">
        <v>169.8969404377947</v>
      </c>
      <c r="D20" s="6" t="n">
        <v>185.056467449014</v>
      </c>
      <c r="E20" s="6" t="n">
        <v>208.2425784616941</v>
      </c>
      <c r="F20" s="6" t="n">
        <v>196.2287312110724</v>
      </c>
      <c r="G20" s="6" t="n">
        <v>175.7070731323778</v>
      </c>
    </row>
    <row r="21">
      <c r="A21" t="inlineStr">
        <is>
          <t>Interest expense</t>
        </is>
      </c>
      <c r="B21" s="6" t="n">
        <v>37</v>
      </c>
      <c r="C21" s="6" t="n">
        <v>37</v>
      </c>
      <c r="D21" s="6" t="n">
        <v>37</v>
      </c>
      <c r="E21" s="6" t="n">
        <v>37</v>
      </c>
      <c r="F21" s="6" t="n">
        <v>37</v>
      </c>
      <c r="G21" s="6" t="n">
        <v>37</v>
      </c>
    </row>
    <row r="22">
      <c r="A22" t="inlineStr">
        <is>
          <t>Other income</t>
        </is>
      </c>
      <c r="B22" s="6" t="n">
        <v>3.707412112603224</v>
      </c>
      <c r="C22" s="6" t="n">
        <v>3.707412112603224</v>
      </c>
      <c r="D22" s="6" t="n">
        <v>3.707412112603224</v>
      </c>
      <c r="E22" s="6" t="n">
        <v>3.707412112603224</v>
      </c>
      <c r="F22" s="6" t="n">
        <v>3.707412112603224</v>
      </c>
      <c r="G22" s="6" t="n">
        <v>3.707412112603224</v>
      </c>
    </row>
    <row r="23">
      <c r="A23" t="inlineStr">
        <is>
          <t>Pretax income</t>
        </is>
      </c>
      <c r="B23" s="6">
        <f>B18+B20-B21+B22</f>
        <v/>
      </c>
      <c r="C23" s="6">
        <f>C18+C20-C21+C22</f>
        <v/>
      </c>
      <c r="D23" s="6">
        <f>D18+D20-D21+D22</f>
        <v/>
      </c>
      <c r="E23" s="6">
        <f>E18+E20-E21+E22</f>
        <v/>
      </c>
      <c r="F23" s="6">
        <f>F18+F20-F21+F22</f>
        <v/>
      </c>
      <c r="G23" s="6">
        <f>G18+G20-G21+G22</f>
        <v/>
      </c>
    </row>
    <row r="24">
      <c r="A24" t="inlineStr">
        <is>
          <t>Effective tax rate %</t>
        </is>
      </c>
      <c r="B24" s="6" t="n">
        <v>18</v>
      </c>
      <c r="C24" s="6" t="n">
        <v>18</v>
      </c>
      <c r="D24" s="6" t="n">
        <v>17.5</v>
      </c>
      <c r="E24" s="6" t="n">
        <v>17.5</v>
      </c>
      <c r="F24" s="6" t="n">
        <v>17.5</v>
      </c>
      <c r="G24" s="6" t="n">
        <v>17.5</v>
      </c>
    </row>
    <row r="25">
      <c r="A25" t="inlineStr">
        <is>
          <t>Tax provision</t>
        </is>
      </c>
      <c r="B25" s="6">
        <f>B23*B24/100</f>
        <v/>
      </c>
      <c r="C25" s="6">
        <f>C23*C24/100</f>
        <v/>
      </c>
      <c r="D25" s="6">
        <f>D23*D24/100</f>
        <v/>
      </c>
      <c r="E25" s="6">
        <f>E23*E24/100</f>
        <v/>
      </c>
      <c r="F25" s="6">
        <f>F23*F24/100</f>
        <v/>
      </c>
      <c r="G25" s="6">
        <f>G23*G24/100</f>
        <v/>
      </c>
    </row>
    <row r="26">
      <c r="A26" t="inlineStr">
        <is>
          <t>Net income</t>
        </is>
      </c>
      <c r="B26" s="6">
        <f>B23-B25</f>
        <v/>
      </c>
      <c r="C26" s="6">
        <f>C23-C25</f>
        <v/>
      </c>
      <c r="D26" s="6">
        <f>D23-D25</f>
        <v/>
      </c>
      <c r="E26" s="6">
        <f>E23-E25</f>
        <v/>
      </c>
      <c r="F26" s="6">
        <f>F23-F25</f>
        <v/>
      </c>
      <c r="G26" s="6">
        <f>G23-G25</f>
        <v/>
      </c>
    </row>
    <row r="27">
      <c r="A27" t="inlineStr">
        <is>
          <t>Diluted shares (m)</t>
        </is>
      </c>
      <c r="B27" s="6" t="n">
        <v>591.6758133819055</v>
      </c>
      <c r="C27" s="6" t="n">
        <v>586.3516267638111</v>
      </c>
      <c r="D27" s="6" t="n">
        <v>581.0274401457166</v>
      </c>
      <c r="E27" s="6" t="n">
        <v>575.7032535276221</v>
      </c>
      <c r="F27" s="6" t="n">
        <v>570.3790669095276</v>
      </c>
      <c r="G27" s="6" t="n">
        <v>565.0548802914333</v>
      </c>
    </row>
    <row r="28">
      <c r="A28" t="inlineStr">
        <is>
          <t>EPS, diluted (GAAP = Street definition)</t>
        </is>
      </c>
      <c r="B28" s="6">
        <f>B26/B27</f>
        <v/>
      </c>
      <c r="C28" s="6">
        <f>C26/C27</f>
        <v/>
      </c>
      <c r="D28" s="6">
        <f>D26/D27</f>
        <v/>
      </c>
      <c r="E28" s="6">
        <f>E26/E27</f>
        <v/>
      </c>
      <c r="F28" s="6">
        <f>F26/F27</f>
        <v/>
      </c>
      <c r="G28" s="6">
        <f>G26/G27</f>
        <v/>
      </c>
    </row>
    <row r="29">
      <c r="A29" t="inlineStr">
        <is>
          <t xml:space="preserve">  EPS 80% band low</t>
        </is>
      </c>
      <c r="B29" s="6" t="n">
        <v>2.704270016741174</v>
      </c>
      <c r="C29" s="6" t="n">
        <v>0.6448629972349915</v>
      </c>
      <c r="D29" s="6" t="n">
        <v>0.1807058348737482</v>
      </c>
      <c r="E29" s="6" t="n">
        <v>1.160327207081948</v>
      </c>
      <c r="F29" s="6" t="n">
        <v>2.857618570081216</v>
      </c>
      <c r="G29" s="6" t="n">
        <v>0.6075936178499651</v>
      </c>
    </row>
    <row r="30">
      <c r="A30" t="inlineStr">
        <is>
          <t xml:space="preserve">  EPS 80% band high</t>
        </is>
      </c>
      <c r="B30" s="6" t="n">
        <v>3.053542808271305</v>
      </c>
      <c r="C30" s="6" t="n">
        <v>0.9471690305961642</v>
      </c>
      <c r="D30" s="6" t="n">
        <v>0.5620493615203443</v>
      </c>
      <c r="E30" s="6" t="n">
        <v>1.632476348265445</v>
      </c>
      <c r="F30" s="6" t="n">
        <v>3.454438869535703</v>
      </c>
      <c r="G30" s="6" t="n">
        <v>1.033887385538203</v>
      </c>
    </row>
    <row r="31">
      <c r="A31" t="inlineStr">
        <is>
          <t>Capex</t>
        </is>
      </c>
      <c r="B31" s="6" t="n">
        <v>8.929320995781959</v>
      </c>
      <c r="C31" s="6" t="n">
        <v>8.929320995781959</v>
      </c>
      <c r="D31" s="6" t="n">
        <v>8.929320995781959</v>
      </c>
      <c r="E31" s="6" t="n">
        <v>8.929320995781959</v>
      </c>
      <c r="F31" s="6" t="n">
        <v>8.929320995781959</v>
      </c>
      <c r="G31" s="6" t="n">
        <v>8.929320995781959</v>
      </c>
    </row>
    <row r="32">
      <c r="A32" t="inlineStr">
        <is>
          <t>CFO (DIAGNOSTIC — quarterly FCF failed its backtest)</t>
        </is>
      </c>
      <c r="B32" s="6" t="n">
        <v>1016.856577360912</v>
      </c>
      <c r="C32" s="6" t="n">
        <v>887.9493910365632</v>
      </c>
      <c r="D32" s="6" t="n">
        <v>1824.519426575492</v>
      </c>
      <c r="E32" s="6" t="n">
        <v>1502.50084013535</v>
      </c>
      <c r="F32" s="6" t="n">
        <v>1066.018092085144</v>
      </c>
      <c r="G32" s="6" t="n">
        <v>939.3845711981828</v>
      </c>
    </row>
    <row r="33">
      <c r="A33" t="inlineStr">
        <is>
          <t>FCF (DIAGNOSTIC — do not quote quarterly)</t>
        </is>
      </c>
      <c r="B33" s="6" t="n">
        <v>1007.927256365131</v>
      </c>
      <c r="C33" s="6" t="n">
        <v>879.0200700407812</v>
      </c>
      <c r="D33" s="6" t="n">
        <v>1815.590105579709</v>
      </c>
      <c r="E33" s="6" t="n">
        <v>1493.571519139568</v>
      </c>
      <c r="F33" s="6" t="n">
        <v>1057.088771089362</v>
      </c>
      <c r="G33" s="6" t="n">
        <v>930.4552502024007</v>
      </c>
    </row>
    <row r="36">
      <c r="A36" s="1" t="inlineStr">
        <is>
          <t>Annual forecast — FY26 / FY27 / FY28, three revenue scenarios (FY26 = 1H26 actual + 3Q26 combination + 4Q26 Street)</t>
        </is>
      </c>
    </row>
    <row r="37">
      <c r="A37" s="2" t="inlineStr">
        <is>
          <t>period</t>
        </is>
      </c>
      <c r="B37" s="2" t="inlineStr">
        <is>
          <t>scenario</t>
        </is>
      </c>
      <c r="C37" s="2" t="inlineStr">
        <is>
          <t>basis</t>
        </is>
      </c>
      <c r="D37" s="2" t="inlineStr">
        <is>
          <t>revenue_musd</t>
        </is>
      </c>
      <c r="E37" s="2" t="inlineStr">
        <is>
          <t>adj_ebitda_musd</t>
        </is>
      </c>
      <c r="F37" s="2" t="inlineStr">
        <is>
          <t>adj_ebitda_margin_pct</t>
        </is>
      </c>
      <c r="G37" s="2" t="inlineStr">
        <is>
          <t>sbc_musd</t>
        </is>
      </c>
      <c r="H37" s="2" t="inlineStr">
        <is>
          <t>da_musd</t>
        </is>
      </c>
      <c r="I37" s="2" t="inlineStr">
        <is>
          <t>op_income_musd</t>
        </is>
      </c>
      <c r="J37" s="2" t="inlineStr">
        <is>
          <t>op_margin_pct</t>
        </is>
      </c>
      <c r="K37" s="2" t="inlineStr">
        <is>
          <t>interest_income_musd</t>
        </is>
      </c>
      <c r="L37" s="2" t="inlineStr">
        <is>
          <t>interest_expense_musd</t>
        </is>
      </c>
      <c r="M37" s="2" t="inlineStr">
        <is>
          <t>pretax_income_musd</t>
        </is>
      </c>
      <c r="N37" s="2" t="inlineStr">
        <is>
          <t>tax_provision_musd</t>
        </is>
      </c>
      <c r="O37" s="2" t="inlineStr">
        <is>
          <t>tax_rate_pct</t>
        </is>
      </c>
      <c r="P37" s="2" t="inlineStr">
        <is>
          <t>net_income_musd</t>
        </is>
      </c>
      <c r="Q37" s="2" t="inlineStr">
        <is>
          <t>ni_basis</t>
        </is>
      </c>
      <c r="R37" s="2" t="inlineStr">
        <is>
          <t>m7_annual_net_income_musd</t>
        </is>
      </c>
      <c r="S37" s="2" t="inlineStr">
        <is>
          <t>diluted_shares_m</t>
        </is>
      </c>
      <c r="T37" s="2" t="inlineStr">
        <is>
          <t>eps_diluted</t>
        </is>
      </c>
      <c r="U37" s="2" t="inlineStr">
        <is>
          <t>cfo_musd</t>
        </is>
      </c>
      <c r="V37" s="2" t="inlineStr">
        <is>
          <t>fcf_musd_range_mid</t>
        </is>
      </c>
      <c r="W37" s="2" t="inlineStr">
        <is>
          <t>fcf_musd_bias_adjusted</t>
        </is>
      </c>
      <c r="X37" s="2" t="inlineStr">
        <is>
          <t>fcf_margin_pct</t>
        </is>
      </c>
    </row>
    <row r="38">
      <c r="A38" s="3" t="inlineStr">
        <is>
          <t>FY26</t>
        </is>
      </c>
      <c r="B38" s="3" t="inlineStr">
        <is>
          <t>base</t>
        </is>
      </c>
      <c r="C38" s="3" t="inlineStr">
        <is>
          <t>1H26 actual + 3Q26 combination + 4Q26 Street</t>
        </is>
      </c>
      <c r="D38" s="4" t="n">
        <v>14268.1434</v>
      </c>
      <c r="E38" s="4" t="n">
        <v>5097.524101685529</v>
      </c>
      <c r="F38" s="4" t="n">
        <v>35.72661108582304</v>
      </c>
      <c r="G38" s="4" t="n">
        <v>1813.739700214204</v>
      </c>
      <c r="H38" s="4" t="n">
        <v>80.26794119981504</v>
      </c>
      <c r="I38" s="4" t="n">
        <v>3203.516460271509</v>
      </c>
      <c r="J38" s="4" t="n">
        <v>22.45223061236901</v>
      </c>
      <c r="K38" s="4" t="n">
        <v>691.5621032587189</v>
      </c>
      <c r="L38" s="4" t="n">
        <v>132</v>
      </c>
      <c r="M38" s="4" t="n">
        <v>3824.493387755435</v>
      </c>
      <c r="N38" s="4" t="n">
        <v>678.3688097959782</v>
      </c>
      <c r="O38" s="4" t="n">
        <v>17.73748156992128</v>
      </c>
      <c r="P38" s="4" t="n">
        <v>3146.124577959456</v>
      </c>
      <c r="Q38" s="3" t="inlineStr">
        <is>
          <t>sum of quarters (1H26 actual + 3Q26/4Q26 forecast)</t>
        </is>
      </c>
      <c r="R38" s="4" t="n">
        <v>3208.821035116772</v>
      </c>
      <c r="S38" s="4" t="n">
        <v>595.7568600364291</v>
      </c>
      <c r="T38" s="4" t="n">
        <v>5.2808868667783</v>
      </c>
      <c r="U38" s="4" t="n">
        <v>4882.805968397476</v>
      </c>
      <c r="V38" s="4" t="n">
        <v>4843.947326405912</v>
      </c>
      <c r="W38" s="4" t="n">
        <v>4444.947326405912</v>
      </c>
      <c r="X38" s="4" t="n">
        <v>33.94938774168693</v>
      </c>
    </row>
    <row r="39">
      <c r="A39" s="3" t="inlineStr">
        <is>
          <t>FY27</t>
        </is>
      </c>
      <c r="B39" s="3" t="inlineStr">
        <is>
          <t>base</t>
        </is>
      </c>
      <c r="C39" s="3" t="inlineStr">
        <is>
          <t>sum of the four 2027 combination quarters (SCENARIO: h&gt;=2 fails its test)</t>
        </is>
      </c>
      <c r="D39" s="4" t="n">
        <v>15828.6067</v>
      </c>
      <c r="E39" s="4" t="n">
        <v>5483.329804795625</v>
      </c>
      <c r="F39" s="4" t="n">
        <v>34.64189810715067</v>
      </c>
      <c r="G39" s="4" t="n">
        <v>2052.749616099962</v>
      </c>
      <c r="H39" s="4" t="n">
        <v>82.53588239963008</v>
      </c>
      <c r="I39" s="4" t="n">
        <v>3348.044306296033</v>
      </c>
      <c r="J39" s="4" t="n">
        <v>21.15185732864304</v>
      </c>
      <c r="K39" s="4" t="n">
        <v>765.2348502541582</v>
      </c>
      <c r="L39" s="4" t="n">
        <v>148</v>
      </c>
      <c r="M39" s="4" t="n">
        <v>3980.108805000604</v>
      </c>
      <c r="N39" s="4" t="n">
        <v>696.5190408751056</v>
      </c>
      <c r="O39" s="4" t="n">
        <v>17.5</v>
      </c>
      <c r="P39" s="4" t="n">
        <v>3283.589764125499</v>
      </c>
      <c r="Q39" s="3" t="inlineStr">
        <is>
          <t>sum of the four forecast quarters</t>
        </is>
      </c>
      <c r="R39" s="4" t="n">
        <v>3348.637452508412</v>
      </c>
      <c r="S39" s="4" t="n">
        <v>573.0411602185749</v>
      </c>
      <c r="T39" s="4" t="n">
        <v>5.730111538363214</v>
      </c>
      <c r="U39" s="4" t="n">
        <v>5332.422929994169</v>
      </c>
      <c r="V39" s="4" t="n">
        <v>5296.705646011041</v>
      </c>
      <c r="W39" s="4" t="n">
        <v>4897.705646011041</v>
      </c>
      <c r="X39" s="4" t="n">
        <v>33.46286724030512</v>
      </c>
    </row>
    <row r="40">
      <c r="A40" s="3" t="inlineStr">
        <is>
          <t>FY28</t>
        </is>
      </c>
      <c r="B40" s="3" t="inlineStr">
        <is>
          <t>base</t>
        </is>
      </c>
      <c r="C40" s="3" t="inlineStr">
        <is>
          <t>FY27 margin rolled flat onto FY28 base revenue (M6 R15 rule); NOT a forecast</t>
        </is>
      </c>
      <c r="D40" s="4" t="n">
        <v>17137.441</v>
      </c>
      <c r="E40" s="4" t="n">
        <v>5936.734849393063</v>
      </c>
      <c r="F40" s="4" t="n">
        <v>34.64189810715067</v>
      </c>
      <c r="G40" s="4" t="n">
        <v>2323.255639109014</v>
      </c>
      <c r="H40" s="4" t="n">
        <v>82.53588239963007</v>
      </c>
      <c r="I40" s="4" t="n">
        <v>3530.943327884419</v>
      </c>
      <c r="J40" s="4" t="n">
        <v>20.60367897333341</v>
      </c>
      <c r="K40" s="4" t="n">
        <v>794.5100425825694</v>
      </c>
      <c r="L40" s="4" t="n">
        <v>148</v>
      </c>
      <c r="M40" s="4" t="n">
        <v>4192.283018917401</v>
      </c>
      <c r="N40" s="4" t="n">
        <v>733.6495283105451</v>
      </c>
      <c r="O40" s="4" t="n">
        <v>17.5</v>
      </c>
      <c r="P40" s="4" t="n">
        <v>3458.633490606856</v>
      </c>
      <c r="Q40" s="3" t="inlineStr">
        <is>
          <t>annual ETR on annual pretax (no quarterly build for this period)</t>
        </is>
      </c>
      <c r="R40" s="4" t="n">
        <v>3529.059867343592</v>
      </c>
      <c r="S40" s="4" t="n">
        <v>551.7444137461971</v>
      </c>
      <c r="T40" s="4" t="n">
        <v>6.268542833308739</v>
      </c>
      <c r="U40" s="4" t="n">
        <v>5766.518747973769</v>
      </c>
      <c r="V40" s="4" t="n">
        <v>5730.801463990641</v>
      </c>
      <c r="W40" s="4" t="n">
        <v>5331.801463990641</v>
      </c>
      <c r="X40" s="4" t="n">
        <v>33.4402403718889</v>
      </c>
    </row>
    <row r="41">
      <c r="A41" s="3" t="inlineStr">
        <is>
          <t>FY26</t>
        </is>
      </c>
      <c r="B41" s="3" t="inlineStr">
        <is>
          <t>bear</t>
        </is>
      </c>
      <c r="C41" s="3" t="inlineStr">
        <is>
          <t>1H26 actual + 3Q26 combination + 4Q26 Street</t>
        </is>
      </c>
      <c r="D41" s="4" t="n">
        <v>14164.807</v>
      </c>
      <c r="E41" s="4" t="n">
        <v>5017.187679811765</v>
      </c>
      <c r="F41" s="4" t="n">
        <v>35.42009206205044</v>
      </c>
      <c r="G41" s="4" t="n">
        <v>1813.739700214204</v>
      </c>
      <c r="H41" s="4" t="n">
        <v>80.26794119981504</v>
      </c>
      <c r="I41" s="4" t="n">
        <v>3123.180038397745</v>
      </c>
      <c r="J41" s="4" t="n">
        <v>22.04887110991167</v>
      </c>
      <c r="K41" s="4" t="n">
        <v>689.2842876263995</v>
      </c>
      <c r="L41" s="4" t="n">
        <v>132</v>
      </c>
      <c r="M41" s="4" t="n">
        <v>3741.879150249352</v>
      </c>
      <c r="N41" s="4" t="n">
        <v>663.4982470448832</v>
      </c>
      <c r="O41" s="4" t="n">
        <v>17.73168561578663</v>
      </c>
      <c r="P41" s="4" t="n">
        <v>3078.380903204468</v>
      </c>
      <c r="Q41" s="3" t="inlineStr">
        <is>
          <t>sum of quarters (1H26 actual + 3Q26/4Q26 forecast)</t>
        </is>
      </c>
      <c r="R41" s="4" t="n">
        <v>3206.953226298269</v>
      </c>
      <c r="S41" s="4" t="n">
        <v>595.7568600364291</v>
      </c>
      <c r="T41" s="4" t="n">
        <v>5.167176594519168</v>
      </c>
      <c r="U41" s="4" t="n">
        <v>4847.038845402056</v>
      </c>
      <c r="V41" s="4" t="n">
        <v>4808.180203410492</v>
      </c>
      <c r="W41" s="4" t="n">
        <v>4409.180203410492</v>
      </c>
      <c r="X41" s="4" t="n">
        <v>33.94455147472529</v>
      </c>
    </row>
    <row r="42">
      <c r="A42" s="3" t="inlineStr">
        <is>
          <t>FY27</t>
        </is>
      </c>
      <c r="B42" s="3" t="inlineStr">
        <is>
          <t>bear</t>
        </is>
      </c>
      <c r="C42" s="3" t="inlineStr">
        <is>
          <t>sum of the four 2027 combination quarters (SCENARIO: h&gt;=2 fails its test)</t>
        </is>
      </c>
      <c r="D42" s="4" t="n">
        <v>14948.3339</v>
      </c>
      <c r="E42" s="4" t="n">
        <v>4805.364117983128</v>
      </c>
      <c r="F42" s="4" t="n">
        <v>32.14648635847724</v>
      </c>
      <c r="G42" s="4" t="n">
        <v>2052.749616099962</v>
      </c>
      <c r="H42" s="4" t="n">
        <v>82.53588239963008</v>
      </c>
      <c r="I42" s="4" t="n">
        <v>2670.078619483536</v>
      </c>
      <c r="J42" s="4" t="n">
        <v>17.86204828809408</v>
      </c>
      <c r="K42" s="4" t="n">
        <v>742.9386984942926</v>
      </c>
      <c r="L42" s="4" t="n">
        <v>148</v>
      </c>
      <c r="M42" s="4" t="n">
        <v>3279.846966428242</v>
      </c>
      <c r="N42" s="4" t="n">
        <v>573.9732191249423</v>
      </c>
      <c r="O42" s="4" t="n">
        <v>17.5</v>
      </c>
      <c r="P42" s="4" t="n">
        <v>2705.873747303299</v>
      </c>
      <c r="Q42" s="3" t="inlineStr">
        <is>
          <t>sum of the four forecast quarters</t>
        </is>
      </c>
      <c r="R42" s="4" t="n">
        <v>3330.243127306522</v>
      </c>
      <c r="S42" s="4" t="n">
        <v>573.0411602185749</v>
      </c>
      <c r="T42" s="4" t="n">
        <v>4.721953561365816</v>
      </c>
      <c r="U42" s="4" t="n">
        <v>4776.286318791484</v>
      </c>
      <c r="V42" s="4" t="n">
        <v>4740.569034808355</v>
      </c>
      <c r="W42" s="4" t="n">
        <v>4341.569034808355</v>
      </c>
      <c r="X42" s="4" t="n">
        <v>31.71302612399068</v>
      </c>
    </row>
    <row r="43">
      <c r="A43" s="3" t="inlineStr">
        <is>
          <t>FY28</t>
        </is>
      </c>
      <c r="B43" s="3" t="inlineStr">
        <is>
          <t>bear</t>
        </is>
      </c>
      <c r="C43" s="3" t="inlineStr">
        <is>
          <t>FY27 margin rolled flat onto FY28 base revenue (M6 R15 rule); NOT a forecast</t>
        </is>
      </c>
      <c r="D43" s="4" t="n">
        <v>17137.441</v>
      </c>
      <c r="E43" s="4" t="n">
        <v>5509.085133257085</v>
      </c>
      <c r="F43" s="4" t="n">
        <v>32.14648635847724</v>
      </c>
      <c r="G43" s="4" t="n">
        <v>2323.255639109014</v>
      </c>
      <c r="H43" s="4" t="n">
        <v>82.53588239963007</v>
      </c>
      <c r="I43" s="4" t="n">
        <v>3103.29361174844</v>
      </c>
      <c r="J43" s="4" t="n">
        <v>18.10826722465998</v>
      </c>
      <c r="K43" s="4" t="n">
        <v>792.6785828393811</v>
      </c>
      <c r="L43" s="4" t="n">
        <v>148</v>
      </c>
      <c r="M43" s="4" t="n">
        <v>3762.801843038234</v>
      </c>
      <c r="N43" s="4" t="n">
        <v>658.4903225316909</v>
      </c>
      <c r="O43" s="4" t="n">
        <v>17.5</v>
      </c>
      <c r="P43" s="4" t="n">
        <v>3104.311520506544</v>
      </c>
      <c r="Q43" s="3" t="inlineStr">
        <is>
          <t>annual ETR on annual pretax (no quarterly build for this period)</t>
        </is>
      </c>
      <c r="R43" s="4" t="n">
        <v>3527.548913055462</v>
      </c>
      <c r="S43" s="4" t="n">
        <v>551.7444137461971</v>
      </c>
      <c r="T43" s="4" t="n">
        <v>5.626357862744994</v>
      </c>
      <c r="U43" s="4" t="n">
        <v>5412.196777873457</v>
      </c>
      <c r="V43" s="4" t="n">
        <v>5376.479493890329</v>
      </c>
      <c r="W43" s="4" t="n">
        <v>4977.479493890329</v>
      </c>
      <c r="X43" s="4" t="n">
        <v>31.37270899366089</v>
      </c>
    </row>
    <row r="44">
      <c r="A44" s="3" t="inlineStr">
        <is>
          <t>FY26</t>
        </is>
      </c>
      <c r="B44" s="3" t="inlineStr">
        <is>
          <t>bull</t>
        </is>
      </c>
      <c r="C44" s="3" t="inlineStr">
        <is>
          <t>1H26 actual + 3Q26 combination + 4Q26 Street</t>
        </is>
      </c>
      <c r="D44" s="4" t="n">
        <v>14391.9366</v>
      </c>
      <c r="E44" s="4" t="n">
        <v>5194.930799887501</v>
      </c>
      <c r="F44" s="4" t="n">
        <v>36.09612065611449</v>
      </c>
      <c r="G44" s="4" t="n">
        <v>1813.739700214204</v>
      </c>
      <c r="H44" s="4" t="n">
        <v>80.26794119981504</v>
      </c>
      <c r="I44" s="4" t="n">
        <v>3300.923158473483</v>
      </c>
      <c r="J44" s="4" t="n">
        <v>22.93592064929943</v>
      </c>
      <c r="K44" s="4" t="n">
        <v>693.8837962728763</v>
      </c>
      <c r="L44" s="4" t="n">
        <v>132</v>
      </c>
      <c r="M44" s="4" t="n">
        <v>3924.221778971566</v>
      </c>
      <c r="N44" s="4" t="n">
        <v>696.3199202148818</v>
      </c>
      <c r="O44" s="4" t="n">
        <v>17.74415309415486</v>
      </c>
      <c r="P44" s="4" t="n">
        <v>3227.901858756684</v>
      </c>
      <c r="Q44" s="3" t="inlineStr">
        <is>
          <t>sum of quarters (1H26 actual + 3Q26/4Q26 forecast)</t>
        </is>
      </c>
      <c r="R44" s="4" t="n">
        <v>3210.724823388381</v>
      </c>
      <c r="S44" s="4" t="n">
        <v>595.7568600364291</v>
      </c>
      <c r="T44" s="4" t="n">
        <v>5.418153067611014</v>
      </c>
      <c r="U44" s="4" t="n">
        <v>4934.643835289403</v>
      </c>
      <c r="V44" s="4" t="n">
        <v>4895.785193297839</v>
      </c>
      <c r="W44" s="4" t="n">
        <v>4496.785193297839</v>
      </c>
      <c r="X44" s="4" t="n">
        <v>34.01755670114499</v>
      </c>
    </row>
    <row r="45">
      <c r="A45" s="3" t="inlineStr">
        <is>
          <t>FY27</t>
        </is>
      </c>
      <c r="B45" s="3" t="inlineStr">
        <is>
          <t>bull</t>
        </is>
      </c>
      <c r="C45" s="3" t="inlineStr">
        <is>
          <t>sum of the four 2027 combination quarters (SCENARIO: h&gt;=2 fails its test)</t>
        </is>
      </c>
      <c r="D45" s="4" t="n">
        <v>16570.7437</v>
      </c>
      <c r="E45" s="4" t="n">
        <v>6052.893039907587</v>
      </c>
      <c r="F45" s="4" t="n">
        <v>36.52758831764194</v>
      </c>
      <c r="G45" s="4" t="n">
        <v>2052.749616099962</v>
      </c>
      <c r="H45" s="4" t="n">
        <v>82.53588239963008</v>
      </c>
      <c r="I45" s="4" t="n">
        <v>3917.607541407995</v>
      </c>
      <c r="J45" s="4" t="n">
        <v>23.64171223895036</v>
      </c>
      <c r="K45" s="4" t="n">
        <v>784.5969724998841</v>
      </c>
      <c r="L45" s="4" t="n">
        <v>148</v>
      </c>
      <c r="M45" s="4" t="n">
        <v>4569.034162358292</v>
      </c>
      <c r="N45" s="4" t="n">
        <v>799.5809784127011</v>
      </c>
      <c r="O45" s="4" t="n">
        <v>17.5</v>
      </c>
      <c r="P45" s="4" t="n">
        <v>3769.453183945591</v>
      </c>
      <c r="Q45" s="3" t="inlineStr">
        <is>
          <t>sum of the four forecast quarters</t>
        </is>
      </c>
      <c r="R45" s="4" t="n">
        <v>3364.611203361136</v>
      </c>
      <c r="S45" s="4" t="n">
        <v>573.0411602185749</v>
      </c>
      <c r="T45" s="4" t="n">
        <v>6.57797981301694</v>
      </c>
      <c r="U45" s="4" t="n">
        <v>5775.2355686585</v>
      </c>
      <c r="V45" s="4" t="n">
        <v>5739.518284675371</v>
      </c>
      <c r="W45" s="4" t="n">
        <v>5340.518284675371</v>
      </c>
      <c r="X45" s="4" t="n">
        <v>34.63645560262556</v>
      </c>
    </row>
    <row r="46">
      <c r="A46" s="3" t="inlineStr">
        <is>
          <t>FY28</t>
        </is>
      </c>
      <c r="B46" s="3" t="inlineStr">
        <is>
          <t>bull</t>
        </is>
      </c>
      <c r="C46" s="3" t="inlineStr">
        <is>
          <t>FY27 margin rolled flat onto FY28 base revenue (M6 R15 rule); NOT a forecast</t>
        </is>
      </c>
      <c r="D46" s="4" t="n">
        <v>17137.441</v>
      </c>
      <c r="E46" s="4" t="n">
        <v>6259.893896658779</v>
      </c>
      <c r="F46" s="4" t="n">
        <v>36.52758831764194</v>
      </c>
      <c r="G46" s="4" t="n">
        <v>2323.255639109014</v>
      </c>
      <c r="H46" s="4" t="n">
        <v>82.53588239963007</v>
      </c>
      <c r="I46" s="4" t="n">
        <v>3854.102375150135</v>
      </c>
      <c r="J46" s="4" t="n">
        <v>22.48936918382467</v>
      </c>
      <c r="K46" s="4" t="n">
        <v>796.6017585980471</v>
      </c>
      <c r="L46" s="4" t="n">
        <v>148</v>
      </c>
      <c r="M46" s="4" t="n">
        <v>4517.533782198595</v>
      </c>
      <c r="N46" s="4" t="n">
        <v>790.5684118847539</v>
      </c>
      <c r="O46" s="4" t="n">
        <v>17.5</v>
      </c>
      <c r="P46" s="4" t="n">
        <v>3726.965370313841</v>
      </c>
      <c r="Q46" s="3" t="inlineStr">
        <is>
          <t>annual ETR on annual pretax (no quarterly build for this period)</t>
        </is>
      </c>
      <c r="R46" s="4" t="n">
        <v>3530.785533056362</v>
      </c>
      <c r="S46" s="4" t="n">
        <v>551.7444137461971</v>
      </c>
      <c r="T46" s="4" t="n">
        <v>6.75487649255702</v>
      </c>
      <c r="U46" s="4" t="n">
        <v>6034.850627680755</v>
      </c>
      <c r="V46" s="4" t="n">
        <v>5999.133343697627</v>
      </c>
      <c r="W46" s="4" t="n">
        <v>5600.133343697627</v>
      </c>
      <c r="X46" s="4" t="n">
        <v>35.00600436026374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2" customWidth="1" min="4" max="4"/>
    <col width="12" customWidth="1" min="5" max="5"/>
    <col width="30" customWidth="1" min="6" max="6"/>
    <col width="31" customWidth="1" min="7" max="7"/>
    <col width="21" customWidth="1" min="8" max="8"/>
    <col width="23" customWidth="1" min="9" max="9"/>
    <col width="19" customWidth="1" min="10" max="10"/>
  </cols>
  <sheetData>
    <row r="1">
      <c r="A1" s="1" t="inlineStr">
        <is>
          <t>Revenue scenario x cost response. k = M6's fitted elasticity of total cash costs to revenue (0.364); 'held' = costs do not move; 'full_flex' = costs move one-for-one (not observed at ABNB)</t>
        </is>
      </c>
    </row>
    <row r="2">
      <c r="A2" s="2" t="inlineStr">
        <is>
          <t>quarter</t>
        </is>
      </c>
      <c r="B2" s="2" t="inlineStr">
        <is>
          <t>revenue_scenario</t>
        </is>
      </c>
      <c r="C2" s="2" t="inlineStr">
        <is>
          <t>cost_response</t>
        </is>
      </c>
      <c r="D2" s="2" t="inlineStr">
        <is>
          <t>k</t>
        </is>
      </c>
      <c r="E2" s="2" t="inlineStr">
        <is>
          <t>revenue_musd</t>
        </is>
      </c>
      <c r="F2" s="2" t="inlineStr">
        <is>
          <t>revenue_delta_pct</t>
        </is>
      </c>
      <c r="G2" s="2" t="inlineStr">
        <is>
          <t>total_cash_costs_musd</t>
        </is>
      </c>
      <c r="H2" s="2" t="inlineStr">
        <is>
          <t>adj_ebitda_musd</t>
        </is>
      </c>
      <c r="I2" s="2" t="inlineStr">
        <is>
          <t>adj_ebitda_margin_pct</t>
        </is>
      </c>
      <c r="J2" s="2" t="inlineStr">
        <is>
          <t>margin_vs_base_pp</t>
        </is>
      </c>
    </row>
    <row r="3">
      <c r="A3" s="3" t="inlineStr">
        <is>
          <t>2026Q3</t>
        </is>
      </c>
      <c r="B3" s="3" t="inlineStr">
        <is>
          <t>bear</t>
        </is>
      </c>
      <c r="C3" s="3" t="inlineStr">
        <is>
          <t>held</t>
        </is>
      </c>
      <c r="D3" s="4" t="n">
        <v>0</v>
      </c>
      <c r="E3" s="4" t="n">
        <v>4755</v>
      </c>
      <c r="F3" s="4" t="n">
        <v>-1.020714771987008</v>
      </c>
      <c r="G3" s="4" t="n">
        <v>2404.903097611558</v>
      </c>
      <c r="H3" s="4" t="n">
        <v>2350.096902388442</v>
      </c>
      <c r="I3" s="4" t="n">
        <v>49.42369931416282</v>
      </c>
      <c r="J3" s="4" t="n">
        <v>-0.5162397722249068</v>
      </c>
    </row>
    <row r="4">
      <c r="A4" s="3" t="inlineStr">
        <is>
          <t>2026Q3</t>
        </is>
      </c>
      <c r="B4" s="3" t="inlineStr">
        <is>
          <t>bear</t>
        </is>
      </c>
      <c r="C4" s="3" t="inlineStr">
        <is>
          <t>flex</t>
        </is>
      </c>
      <c r="D4" s="4" t="n">
        <v>0.364173</v>
      </c>
      <c r="E4" s="4" t="n">
        <v>4755</v>
      </c>
      <c r="F4" s="4" t="n">
        <v>-1.020714771987008</v>
      </c>
      <c r="G4" s="4" t="n">
        <v>2395.963669720132</v>
      </c>
      <c r="H4" s="4" t="n">
        <v>2359.036330279868</v>
      </c>
      <c r="I4" s="4" t="n">
        <v>49.61169990073329</v>
      </c>
      <c r="J4" s="4" t="n">
        <v>-0.3282391856544464</v>
      </c>
    </row>
    <row r="5">
      <c r="A5" s="3" t="inlineStr">
        <is>
          <t>2026Q3</t>
        </is>
      </c>
      <c r="B5" s="3" t="inlineStr">
        <is>
          <t>bear</t>
        </is>
      </c>
      <c r="C5" s="3" t="inlineStr">
        <is>
          <t>full_flex</t>
        </is>
      </c>
      <c r="D5" s="4" t="n">
        <v>1</v>
      </c>
      <c r="E5" s="4" t="n">
        <v>4755</v>
      </c>
      <c r="F5" s="4" t="n">
        <v>-1.020714771987008</v>
      </c>
      <c r="G5" s="4" t="n">
        <v>2380.355896442264</v>
      </c>
      <c r="H5" s="4" t="n">
        <v>2374.644103557736</v>
      </c>
      <c r="I5" s="4" t="n">
        <v>49.93993908638773</v>
      </c>
      <c r="J5" s="4" t="n">
        <v>-7.105427357601002e-15</v>
      </c>
    </row>
    <row r="6">
      <c r="A6" s="3" t="inlineStr">
        <is>
          <t>2026Q3</t>
        </is>
      </c>
      <c r="B6" s="3" t="inlineStr">
        <is>
          <t>base</t>
        </is>
      </c>
      <c r="C6" s="3" t="inlineStr">
        <is>
          <t>held</t>
        </is>
      </c>
      <c r="D6" s="4" t="n">
        <v>0</v>
      </c>
      <c r="E6" s="4" t="n">
        <v>4804.0355</v>
      </c>
      <c r="F6" s="4" t="n">
        <v>0</v>
      </c>
      <c r="G6" s="4" t="n">
        <v>2404.903097611558</v>
      </c>
      <c r="H6" s="4" t="n">
        <v>2399.132402388442</v>
      </c>
      <c r="I6" s="4" t="n">
        <v>49.93993908638773</v>
      </c>
      <c r="J6" s="4" t="n">
        <v>0</v>
      </c>
    </row>
    <row r="7">
      <c r="A7" s="3" t="inlineStr">
        <is>
          <t>2026Q3</t>
        </is>
      </c>
      <c r="B7" s="3" t="inlineStr">
        <is>
          <t>base</t>
        </is>
      </c>
      <c r="C7" s="3" t="inlineStr">
        <is>
          <t>flex</t>
        </is>
      </c>
      <c r="D7" s="4" t="n">
        <v>0.364173</v>
      </c>
      <c r="E7" s="4" t="n">
        <v>4804.0355</v>
      </c>
      <c r="F7" s="4" t="n">
        <v>0</v>
      </c>
      <c r="G7" s="4" t="n">
        <v>2404.903097611558</v>
      </c>
      <c r="H7" s="4" t="n">
        <v>2399.132402388442</v>
      </c>
      <c r="I7" s="4" t="n">
        <v>49.93993908638773</v>
      </c>
      <c r="J7" s="4" t="n">
        <v>0</v>
      </c>
    </row>
    <row r="8">
      <c r="A8" s="3" t="inlineStr">
        <is>
          <t>2026Q3</t>
        </is>
      </c>
      <c r="B8" s="3" t="inlineStr">
        <is>
          <t>base</t>
        </is>
      </c>
      <c r="C8" s="3" t="inlineStr">
        <is>
          <t>full_flex</t>
        </is>
      </c>
      <c r="D8" s="4" t="n">
        <v>1</v>
      </c>
      <c r="E8" s="4" t="n">
        <v>4804.0355</v>
      </c>
      <c r="F8" s="4" t="n">
        <v>0</v>
      </c>
      <c r="G8" s="4" t="n">
        <v>2404.903097611558</v>
      </c>
      <c r="H8" s="4" t="n">
        <v>2399.132402388442</v>
      </c>
      <c r="I8" s="4" t="n">
        <v>49.93993908638773</v>
      </c>
      <c r="J8" s="4" t="n">
        <v>0</v>
      </c>
    </row>
    <row r="9">
      <c r="A9" s="3" t="inlineStr">
        <is>
          <t>2026Q3</t>
        </is>
      </c>
      <c r="B9" s="3" t="inlineStr">
        <is>
          <t>bull</t>
        </is>
      </c>
      <c r="C9" s="3" t="inlineStr">
        <is>
          <t>held</t>
        </is>
      </c>
      <c r="D9" s="4" t="n">
        <v>0</v>
      </c>
      <c r="E9" s="4" t="n">
        <v>4878</v>
      </c>
      <c r="F9" s="4" t="n">
        <v>1.539632669242352</v>
      </c>
      <c r="G9" s="4" t="n">
        <v>2404.903097611558</v>
      </c>
      <c r="H9" s="4" t="n">
        <v>2473.096902388442</v>
      </c>
      <c r="I9" s="4" t="n">
        <v>50.69899348889796</v>
      </c>
      <c r="J9" s="4" t="n">
        <v>0.7590544025102304</v>
      </c>
    </row>
    <row r="10">
      <c r="A10" s="3" t="inlineStr">
        <is>
          <t>2026Q3</t>
        </is>
      </c>
      <c r="B10" s="3" t="inlineStr">
        <is>
          <t>bull</t>
        </is>
      </c>
      <c r="C10" s="3" t="inlineStr">
        <is>
          <t>flex</t>
        </is>
      </c>
      <c r="D10" s="4" t="n">
        <v>0.364173</v>
      </c>
      <c r="E10" s="4" t="n">
        <v>4878</v>
      </c>
      <c r="F10" s="4" t="n">
        <v>1.539632669242352</v>
      </c>
      <c r="G10" s="4" t="n">
        <v>2418.387212472737</v>
      </c>
      <c r="H10" s="4" t="n">
        <v>2459.612787527263</v>
      </c>
      <c r="I10" s="4" t="n">
        <v>50.4225663699726</v>
      </c>
      <c r="J10" s="4" t="n">
        <v>0.4826272835848684</v>
      </c>
    </row>
    <row r="11">
      <c r="A11" s="3" t="inlineStr">
        <is>
          <t>2026Q3</t>
        </is>
      </c>
      <c r="B11" s="3" t="inlineStr">
        <is>
          <t>bull</t>
        </is>
      </c>
      <c r="C11" s="3" t="inlineStr">
        <is>
          <t>full_flex</t>
        </is>
      </c>
      <c r="D11" s="4" t="n">
        <v>1</v>
      </c>
      <c r="E11" s="4" t="n">
        <v>4878</v>
      </c>
      <c r="F11" s="4" t="n">
        <v>1.539632669242352</v>
      </c>
      <c r="G11" s="4" t="n">
        <v>2441.929771366007</v>
      </c>
      <c r="H11" s="4" t="n">
        <v>2436.070228633993</v>
      </c>
      <c r="I11" s="4" t="n">
        <v>49.93993908638773</v>
      </c>
      <c r="J11" s="4" t="n">
        <v>-7.105427357601002e-15</v>
      </c>
    </row>
    <row r="12">
      <c r="A12" s="3" t="inlineStr">
        <is>
          <t>2026Q4</t>
        </is>
      </c>
      <c r="B12" s="3" t="inlineStr">
        <is>
          <t>bear</t>
        </is>
      </c>
      <c r="C12" s="3" t="inlineStr">
        <is>
          <t>held</t>
        </is>
      </c>
      <c r="D12" s="4" t="n">
        <v>0</v>
      </c>
      <c r="E12" s="4" t="n">
        <v>3123.807</v>
      </c>
      <c r="F12" s="4" t="n">
        <v>-1.708588991223026</v>
      </c>
      <c r="G12" s="4" t="n">
        <v>2259.716100702914</v>
      </c>
      <c r="H12" s="4" t="n">
        <v>864.0908992970853</v>
      </c>
      <c r="I12" s="4" t="n">
        <v>27.6614688198434</v>
      </c>
      <c r="J12" s="4" t="n">
        <v>-1.2359681801566</v>
      </c>
    </row>
    <row r="13">
      <c r="A13" s="3" t="inlineStr">
        <is>
          <t>2026Q4</t>
        </is>
      </c>
      <c r="B13" s="3" t="inlineStr">
        <is>
          <t>bear</t>
        </is>
      </c>
      <c r="C13" s="3" t="inlineStr">
        <is>
          <t>flex</t>
        </is>
      </c>
      <c r="D13" s="4" t="n">
        <v>0.364173</v>
      </c>
      <c r="E13" s="4" t="n">
        <v>3123.807</v>
      </c>
      <c r="F13" s="4" t="n">
        <v>-1.708588991223026</v>
      </c>
      <c r="G13" s="4" t="n">
        <v>2245.655650468103</v>
      </c>
      <c r="H13" s="4" t="n">
        <v>878.1513495318964</v>
      </c>
      <c r="I13" s="4" t="n">
        <v>28.11157505991556</v>
      </c>
      <c r="J13" s="4" t="n">
        <v>-0.7858619400844375</v>
      </c>
    </row>
    <row r="14">
      <c r="A14" s="3" t="inlineStr">
        <is>
          <t>2026Q4</t>
        </is>
      </c>
      <c r="B14" s="3" t="inlineStr">
        <is>
          <t>bear</t>
        </is>
      </c>
      <c r="C14" s="3" t="inlineStr">
        <is>
          <t>full_flex</t>
        </is>
      </c>
      <c r="D14" s="4" t="n">
        <v>1</v>
      </c>
      <c r="E14" s="4" t="n">
        <v>3123.807</v>
      </c>
      <c r="F14" s="4" t="n">
        <v>-1.708588991223026</v>
      </c>
      <c r="G14" s="4" t="n">
        <v>2221.10684017341</v>
      </c>
      <c r="H14" s="4" t="n">
        <v>902.7001598265896</v>
      </c>
      <c r="I14" s="4" t="n">
        <v>28.897437</v>
      </c>
      <c r="J14" s="4" t="n">
        <v>-7.105427357601002e-15</v>
      </c>
    </row>
    <row r="15">
      <c r="A15" s="3" t="inlineStr">
        <is>
          <t>2026Q4</t>
        </is>
      </c>
      <c r="B15" s="3" t="inlineStr">
        <is>
          <t>base</t>
        </is>
      </c>
      <c r="C15" s="3" t="inlineStr">
        <is>
          <t>held</t>
        </is>
      </c>
      <c r="D15" s="4" t="n">
        <v>0</v>
      </c>
      <c r="E15" s="4" t="n">
        <v>3178.1078</v>
      </c>
      <c r="F15" s="4" t="n">
        <v>0</v>
      </c>
      <c r="G15" s="4" t="n">
        <v>2259.716100702914</v>
      </c>
      <c r="H15" s="4" t="n">
        <v>918.3916992970858</v>
      </c>
      <c r="I15" s="4" t="n">
        <v>28.897437</v>
      </c>
      <c r="J15" s="4" t="n">
        <v>-7.105427357601002e-15</v>
      </c>
    </row>
    <row r="16">
      <c r="A16" s="3" t="inlineStr">
        <is>
          <t>2026Q4</t>
        </is>
      </c>
      <c r="B16" s="3" t="inlineStr">
        <is>
          <t>base</t>
        </is>
      </c>
      <c r="C16" s="3" t="inlineStr">
        <is>
          <t>flex</t>
        </is>
      </c>
      <c r="D16" s="4" t="n">
        <v>0.364173</v>
      </c>
      <c r="E16" s="4" t="n">
        <v>3178.1078</v>
      </c>
      <c r="F16" s="4" t="n">
        <v>0</v>
      </c>
      <c r="G16" s="4" t="n">
        <v>2259.716100702914</v>
      </c>
      <c r="H16" s="4" t="n">
        <v>918.3916992970858</v>
      </c>
      <c r="I16" s="4" t="n">
        <v>28.897437</v>
      </c>
      <c r="J16" s="4" t="n">
        <v>-7.105427357601002e-15</v>
      </c>
    </row>
    <row r="17">
      <c r="A17" s="3" t="inlineStr">
        <is>
          <t>2026Q4</t>
        </is>
      </c>
      <c r="B17" s="3" t="inlineStr">
        <is>
          <t>base</t>
        </is>
      </c>
      <c r="C17" s="3" t="inlineStr">
        <is>
          <t>full_flex</t>
        </is>
      </c>
      <c r="D17" s="4" t="n">
        <v>1</v>
      </c>
      <c r="E17" s="4" t="n">
        <v>3178.1078</v>
      </c>
      <c r="F17" s="4" t="n">
        <v>0</v>
      </c>
      <c r="G17" s="4" t="n">
        <v>2259.716100702914</v>
      </c>
      <c r="H17" s="4" t="n">
        <v>918.3916992970858</v>
      </c>
      <c r="I17" s="4" t="n">
        <v>28.897437</v>
      </c>
      <c r="J17" s="4" t="n">
        <v>-7.105427357601002e-15</v>
      </c>
    </row>
    <row r="18">
      <c r="A18" s="3" t="inlineStr">
        <is>
          <t>2026Q4</t>
        </is>
      </c>
      <c r="B18" s="3" t="inlineStr">
        <is>
          <t>bull</t>
        </is>
      </c>
      <c r="C18" s="3" t="inlineStr">
        <is>
          <t>held</t>
        </is>
      </c>
      <c r="D18" s="4" t="n">
        <v>0</v>
      </c>
      <c r="E18" s="4" t="n">
        <v>3227.9366</v>
      </c>
      <c r="F18" s="4" t="n">
        <v>1.567876331948215</v>
      </c>
      <c r="G18" s="4" t="n">
        <v>2259.716100702914</v>
      </c>
      <c r="H18" s="4" t="n">
        <v>968.2204992970856</v>
      </c>
      <c r="I18" s="4" t="n">
        <v>29.99502838119824</v>
      </c>
      <c r="J18" s="4" t="n">
        <v>1.097591381198243</v>
      </c>
    </row>
    <row r="19">
      <c r="A19" s="3" t="inlineStr">
        <is>
          <t>2026Q4</t>
        </is>
      </c>
      <c r="B19" s="3" t="inlineStr">
        <is>
          <t>bull</t>
        </is>
      </c>
      <c r="C19" s="3" t="inlineStr">
        <is>
          <t>flex</t>
        </is>
      </c>
      <c r="D19" s="4" t="n">
        <v>0.364173</v>
      </c>
      <c r="E19" s="4" t="n">
        <v>3227.9366</v>
      </c>
      <c r="F19" s="4" t="n">
        <v>1.567876331948215</v>
      </c>
      <c r="G19" s="4" t="n">
        <v>2272.618587639762</v>
      </c>
      <c r="H19" s="4" t="n">
        <v>955.3180123602384</v>
      </c>
      <c r="I19" s="4" t="n">
        <v>29.59531523513313</v>
      </c>
      <c r="J19" s="4" t="n">
        <v>0.6978782351331283</v>
      </c>
    </row>
    <row r="20">
      <c r="A20" s="3" t="inlineStr">
        <is>
          <t>2026Q4</t>
        </is>
      </c>
      <c r="B20" s="3" t="inlineStr">
        <is>
          <t>bull</t>
        </is>
      </c>
      <c r="C20" s="3" t="inlineStr">
        <is>
          <t>full_flex</t>
        </is>
      </c>
      <c r="D20" s="4" t="n">
        <v>1</v>
      </c>
      <c r="E20" s="4" t="n">
        <v>3227.9366</v>
      </c>
      <c r="F20" s="4" t="n">
        <v>1.567876331948215</v>
      </c>
      <c r="G20" s="4" t="n">
        <v>2295.145654615058</v>
      </c>
      <c r="H20" s="4" t="n">
        <v>932.7909453849416</v>
      </c>
      <c r="I20" s="4" t="n">
        <v>28.89743699999998</v>
      </c>
      <c r="J20" s="4" t="n">
        <v>-1.4210854715202e-14</v>
      </c>
    </row>
    <row r="21">
      <c r="A21" s="3" t="inlineStr">
        <is>
          <t>2027Q1</t>
        </is>
      </c>
      <c r="B21" s="3" t="inlineStr">
        <is>
          <t>bear</t>
        </is>
      </c>
      <c r="C21" s="3" t="inlineStr">
        <is>
          <t>held</t>
        </is>
      </c>
      <c r="D21" s="4" t="n">
        <v>0</v>
      </c>
      <c r="E21" s="4" t="n">
        <v>2995.1629</v>
      </c>
      <c r="F21" s="4" t="n">
        <v>-1.898589751832658</v>
      </c>
      <c r="G21" s="4" t="n">
        <v>2458.678259443044</v>
      </c>
      <c r="H21" s="4" t="n">
        <v>536.4846405569565</v>
      </c>
      <c r="I21" s="4" t="n">
        <v>17.91170158247341</v>
      </c>
      <c r="J21" s="4" t="n">
        <v>-1.558520021208981</v>
      </c>
    </row>
    <row r="22">
      <c r="A22" s="3" t="inlineStr">
        <is>
          <t>2027Q1</t>
        </is>
      </c>
      <c r="B22" s="3" t="inlineStr">
        <is>
          <t>bear</t>
        </is>
      </c>
      <c r="C22" s="3" t="inlineStr">
        <is>
          <t>flex</t>
        </is>
      </c>
      <c r="D22" s="4" t="n">
        <v>0.364173</v>
      </c>
      <c r="E22" s="4" t="n">
        <v>2995.1629</v>
      </c>
      <c r="F22" s="4" t="n">
        <v>-1.898589751832658</v>
      </c>
      <c r="G22" s="4" t="n">
        <v>2441.6785860651</v>
      </c>
      <c r="H22" s="4" t="n">
        <v>553.4843139348995</v>
      </c>
      <c r="I22" s="4" t="n">
        <v>18.47927249415715</v>
      </c>
      <c r="J22" s="4" t="n">
        <v>-0.9909491095252428</v>
      </c>
    </row>
    <row r="23">
      <c r="A23" s="3" t="inlineStr">
        <is>
          <t>2027Q1</t>
        </is>
      </c>
      <c r="B23" s="3" t="inlineStr">
        <is>
          <t>bear</t>
        </is>
      </c>
      <c r="C23" s="3" t="inlineStr">
        <is>
          <t>full_flex</t>
        </is>
      </c>
      <c r="D23" s="4" t="n">
        <v>1</v>
      </c>
      <c r="E23" s="4" t="n">
        <v>2995.1629</v>
      </c>
      <c r="F23" s="4" t="n">
        <v>-1.898589751832658</v>
      </c>
      <c r="G23" s="4" t="n">
        <v>2411.99804597872</v>
      </c>
      <c r="H23" s="4" t="n">
        <v>583.1648540212796</v>
      </c>
      <c r="I23" s="4" t="n">
        <v>19.47022160368238</v>
      </c>
      <c r="J23" s="4" t="n">
        <v>-1.06581410364015e-14</v>
      </c>
    </row>
    <row r="24">
      <c r="A24" s="3" t="inlineStr">
        <is>
          <t>2027Q1</t>
        </is>
      </c>
      <c r="B24" s="3" t="inlineStr">
        <is>
          <t>base</t>
        </is>
      </c>
      <c r="C24" s="3" t="inlineStr">
        <is>
          <t>held</t>
        </is>
      </c>
      <c r="D24" s="4" t="n">
        <v>0</v>
      </c>
      <c r="E24" s="4" t="n">
        <v>3053.1293</v>
      </c>
      <c r="F24" s="4" t="n">
        <v>0</v>
      </c>
      <c r="G24" s="4" t="n">
        <v>2458.678259443044</v>
      </c>
      <c r="H24" s="4" t="n">
        <v>594.4510405569567</v>
      </c>
      <c r="I24" s="4" t="n">
        <v>19.47022160368238</v>
      </c>
      <c r="J24" s="4" t="n">
        <v>-7.105427357601002e-15</v>
      </c>
    </row>
    <row r="25">
      <c r="A25" s="3" t="inlineStr">
        <is>
          <t>2027Q1</t>
        </is>
      </c>
      <c r="B25" s="3" t="inlineStr">
        <is>
          <t>base</t>
        </is>
      </c>
      <c r="C25" s="3" t="inlineStr">
        <is>
          <t>flex</t>
        </is>
      </c>
      <c r="D25" s="4" t="n">
        <v>0.364173</v>
      </c>
      <c r="E25" s="4" t="n">
        <v>3053.1293</v>
      </c>
      <c r="F25" s="4" t="n">
        <v>0</v>
      </c>
      <c r="G25" s="4" t="n">
        <v>2458.678259443044</v>
      </c>
      <c r="H25" s="4" t="n">
        <v>594.4510405569567</v>
      </c>
      <c r="I25" s="4" t="n">
        <v>19.47022160368238</v>
      </c>
      <c r="J25" s="4" t="n">
        <v>-7.105427357601002e-15</v>
      </c>
    </row>
    <row r="26">
      <c r="A26" s="3" t="inlineStr">
        <is>
          <t>2027Q1</t>
        </is>
      </c>
      <c r="B26" s="3" t="inlineStr">
        <is>
          <t>base</t>
        </is>
      </c>
      <c r="C26" s="3" t="inlineStr">
        <is>
          <t>full_flex</t>
        </is>
      </c>
      <c r="D26" s="4" t="n">
        <v>1</v>
      </c>
      <c r="E26" s="4" t="n">
        <v>3053.1293</v>
      </c>
      <c r="F26" s="4" t="n">
        <v>0</v>
      </c>
      <c r="G26" s="4" t="n">
        <v>2458.678259443044</v>
      </c>
      <c r="H26" s="4" t="n">
        <v>594.4510405569567</v>
      </c>
      <c r="I26" s="4" t="n">
        <v>19.47022160368238</v>
      </c>
      <c r="J26" s="4" t="n">
        <v>-7.105427357601002e-15</v>
      </c>
    </row>
    <row r="27">
      <c r="A27" s="3" t="inlineStr">
        <is>
          <t>2027Q1</t>
        </is>
      </c>
      <c r="B27" s="3" t="inlineStr">
        <is>
          <t>bull</t>
        </is>
      </c>
      <c r="C27" s="3" t="inlineStr">
        <is>
          <t>held</t>
        </is>
      </c>
      <c r="D27" s="4" t="n">
        <v>0</v>
      </c>
      <c r="E27" s="4" t="n">
        <v>3119.9376</v>
      </c>
      <c r="F27" s="4" t="n">
        <v>2.188190981626636</v>
      </c>
      <c r="G27" s="4" t="n">
        <v>2458.678259443044</v>
      </c>
      <c r="H27" s="4" t="n">
        <v>661.2593405569569</v>
      </c>
      <c r="I27" s="4" t="n">
        <v>21.19463352590632</v>
      </c>
      <c r="J27" s="4" t="n">
        <v>1.724411922223926</v>
      </c>
    </row>
    <row r="28">
      <c r="A28" s="3" t="inlineStr">
        <is>
          <t>2027Q1</t>
        </is>
      </c>
      <c r="B28" s="3" t="inlineStr">
        <is>
          <t>bull</t>
        </is>
      </c>
      <c r="C28" s="3" t="inlineStr">
        <is>
          <t>flex</t>
        </is>
      </c>
      <c r="D28" s="4" t="n">
        <v>0.364173</v>
      </c>
      <c r="E28" s="4" t="n">
        <v>3119.9376</v>
      </c>
      <c r="F28" s="4" t="n">
        <v>2.188190981626636</v>
      </c>
      <c r="G28" s="4" t="n">
        <v>2478.270976584968</v>
      </c>
      <c r="H28" s="4" t="n">
        <v>641.6666234150325</v>
      </c>
      <c r="I28" s="4" t="n">
        <v>20.56664926295425</v>
      </c>
      <c r="J28" s="4" t="n">
        <v>1.096427659271857</v>
      </c>
    </row>
    <row r="29">
      <c r="A29" s="3" t="inlineStr">
        <is>
          <t>2027Q1</t>
        </is>
      </c>
      <c r="B29" s="3" t="inlineStr">
        <is>
          <t>bull</t>
        </is>
      </c>
      <c r="C29" s="3" t="inlineStr">
        <is>
          <t>full_flex</t>
        </is>
      </c>
      <c r="D29" s="4" t="n">
        <v>1</v>
      </c>
      <c r="E29" s="4" t="n">
        <v>3119.9376</v>
      </c>
      <c r="F29" s="4" t="n">
        <v>2.188190981626636</v>
      </c>
      <c r="G29" s="4" t="n">
        <v>2512.478835383391</v>
      </c>
      <c r="H29" s="4" t="n">
        <v>607.4587646166096</v>
      </c>
      <c r="I29" s="4" t="n">
        <v>19.47022160368238</v>
      </c>
      <c r="J29" s="4" t="n">
        <v>-1.06581410364015e-14</v>
      </c>
    </row>
    <row r="30">
      <c r="A30" s="3" t="inlineStr">
        <is>
          <t>2027Q2</t>
        </is>
      </c>
      <c r="B30" s="3" t="inlineStr">
        <is>
          <t>bear</t>
        </is>
      </c>
      <c r="C30" s="3" t="inlineStr">
        <is>
          <t>held</t>
        </is>
      </c>
      <c r="D30" s="4" t="n">
        <v>0</v>
      </c>
      <c r="E30" s="4" t="n">
        <v>3803.7239</v>
      </c>
      <c r="F30" s="4" t="n">
        <v>-5.590912857934516</v>
      </c>
      <c r="G30" s="4" t="n">
        <v>2657.681065906678</v>
      </c>
      <c r="H30" s="4" t="n">
        <v>1146.042834093322</v>
      </c>
      <c r="I30" s="4" t="n">
        <v>30.12949583678569</v>
      </c>
      <c r="J30" s="4" t="n">
        <v>-3.906399001164829</v>
      </c>
    </row>
    <row r="31">
      <c r="A31" s="3" t="inlineStr">
        <is>
          <t>2027Q2</t>
        </is>
      </c>
      <c r="B31" s="3" t="inlineStr">
        <is>
          <t>bear</t>
        </is>
      </c>
      <c r="C31" s="3" t="inlineStr">
        <is>
          <t>flex</t>
        </is>
      </c>
      <c r="D31" s="4" t="n">
        <v>0.364173</v>
      </c>
      <c r="E31" s="4" t="n">
        <v>3803.7239</v>
      </c>
      <c r="F31" s="4" t="n">
        <v>-5.590912857934516</v>
      </c>
      <c r="G31" s="4" t="n">
        <v>2603.569097866319</v>
      </c>
      <c r="H31" s="4" t="n">
        <v>1200.154802133681</v>
      </c>
      <c r="I31" s="4" t="n">
        <v>31.55210088023688</v>
      </c>
      <c r="J31" s="4" t="n">
        <v>-2.483793957713633</v>
      </c>
    </row>
    <row r="32">
      <c r="A32" s="3" t="inlineStr">
        <is>
          <t>2027Q2</t>
        </is>
      </c>
      <c r="B32" s="3" t="inlineStr">
        <is>
          <t>bear</t>
        </is>
      </c>
      <c r="C32" s="3" t="inlineStr">
        <is>
          <t>full_flex</t>
        </is>
      </c>
      <c r="D32" s="4" t="n">
        <v>1</v>
      </c>
      <c r="E32" s="4" t="n">
        <v>3803.7239</v>
      </c>
      <c r="F32" s="4" t="n">
        <v>-5.590912857934516</v>
      </c>
      <c r="G32" s="4" t="n">
        <v>2509.09243347001</v>
      </c>
      <c r="H32" s="4" t="n">
        <v>1294.63146652999</v>
      </c>
      <c r="I32" s="4" t="n">
        <v>34.03589483795051</v>
      </c>
      <c r="J32" s="4" t="n">
        <v>-7.105427357601002e-15</v>
      </c>
    </row>
    <row r="33">
      <c r="A33" s="3" t="inlineStr">
        <is>
          <t>2027Q2</t>
        </is>
      </c>
      <c r="B33" s="3" t="inlineStr">
        <is>
          <t>base</t>
        </is>
      </c>
      <c r="C33" s="3" t="inlineStr">
        <is>
          <t>held</t>
        </is>
      </c>
      <c r="D33" s="4" t="n">
        <v>0</v>
      </c>
      <c r="E33" s="4" t="n">
        <v>4028.9807</v>
      </c>
      <c r="F33" s="4" t="n">
        <v>0</v>
      </c>
      <c r="G33" s="4" t="n">
        <v>2657.681065906678</v>
      </c>
      <c r="H33" s="4" t="n">
        <v>1371.299634093322</v>
      </c>
      <c r="I33" s="4" t="n">
        <v>34.03589483795051</v>
      </c>
      <c r="J33" s="4" t="n">
        <v>-7.105427357601002e-15</v>
      </c>
    </row>
    <row r="34">
      <c r="A34" s="3" t="inlineStr">
        <is>
          <t>2027Q2</t>
        </is>
      </c>
      <c r="B34" s="3" t="inlineStr">
        <is>
          <t>base</t>
        </is>
      </c>
      <c r="C34" s="3" t="inlineStr">
        <is>
          <t>flex</t>
        </is>
      </c>
      <c r="D34" s="4" t="n">
        <v>0.364173</v>
      </c>
      <c r="E34" s="4" t="n">
        <v>4028.9807</v>
      </c>
      <c r="F34" s="4" t="n">
        <v>0</v>
      </c>
      <c r="G34" s="4" t="n">
        <v>2657.681065906678</v>
      </c>
      <c r="H34" s="4" t="n">
        <v>1371.299634093322</v>
      </c>
      <c r="I34" s="4" t="n">
        <v>34.03589483795051</v>
      </c>
      <c r="J34" s="4" t="n">
        <v>-7.105427357601002e-15</v>
      </c>
    </row>
    <row r="35">
      <c r="A35" s="3" t="inlineStr">
        <is>
          <t>2027Q2</t>
        </is>
      </c>
      <c r="B35" s="3" t="inlineStr">
        <is>
          <t>base</t>
        </is>
      </c>
      <c r="C35" s="3" t="inlineStr">
        <is>
          <t>full_flex</t>
        </is>
      </c>
      <c r="D35" s="4" t="n">
        <v>1</v>
      </c>
      <c r="E35" s="4" t="n">
        <v>4028.9807</v>
      </c>
      <c r="F35" s="4" t="n">
        <v>0</v>
      </c>
      <c r="G35" s="4" t="n">
        <v>2657.681065906678</v>
      </c>
      <c r="H35" s="4" t="n">
        <v>1371.299634093322</v>
      </c>
      <c r="I35" s="4" t="n">
        <v>34.03589483795051</v>
      </c>
      <c r="J35" s="4" t="n">
        <v>-7.105427357601002e-15</v>
      </c>
    </row>
    <row r="36">
      <c r="A36" s="3" t="inlineStr">
        <is>
          <t>2027Q2</t>
        </is>
      </c>
      <c r="B36" s="3" t="inlineStr">
        <is>
          <t>bull</t>
        </is>
      </c>
      <c r="C36" s="3" t="inlineStr">
        <is>
          <t>held</t>
        </is>
      </c>
      <c r="D36" s="4" t="n">
        <v>0</v>
      </c>
      <c r="E36" s="4" t="n">
        <v>4189.9054</v>
      </c>
      <c r="F36" s="4" t="n">
        <v>3.994178974349505</v>
      </c>
      <c r="G36" s="4" t="n">
        <v>2657.681065906678</v>
      </c>
      <c r="H36" s="4" t="n">
        <v>1532.224334093322</v>
      </c>
      <c r="I36" s="4" t="n">
        <v>36.56942550763371</v>
      </c>
      <c r="J36" s="4" t="n">
        <v>2.533530669683195</v>
      </c>
    </row>
    <row r="37">
      <c r="A37" s="3" t="inlineStr">
        <is>
          <t>2027Q2</t>
        </is>
      </c>
      <c r="B37" s="3" t="inlineStr">
        <is>
          <t>bull</t>
        </is>
      </c>
      <c r="C37" s="3" t="inlineStr">
        <is>
          <t>flex</t>
        </is>
      </c>
      <c r="D37" s="4" t="n">
        <v>0.364173</v>
      </c>
      <c r="E37" s="4" t="n">
        <v>4189.9054</v>
      </c>
      <c r="F37" s="4" t="n">
        <v>3.994178974349505</v>
      </c>
      <c r="G37" s="4" t="n">
        <v>2696.338954251466</v>
      </c>
      <c r="H37" s="4" t="n">
        <v>1493.566445748534</v>
      </c>
      <c r="I37" s="4" t="n">
        <v>35.64678204306316</v>
      </c>
      <c r="J37" s="4" t="n">
        <v>1.610887205112647</v>
      </c>
    </row>
    <row r="38">
      <c r="A38" s="3" t="inlineStr">
        <is>
          <t>2027Q2</t>
        </is>
      </c>
      <c r="B38" s="3" t="inlineStr">
        <is>
          <t>bull</t>
        </is>
      </c>
      <c r="C38" s="3" t="inlineStr">
        <is>
          <t>full_flex</t>
        </is>
      </c>
      <c r="D38" s="4" t="n">
        <v>1</v>
      </c>
      <c r="E38" s="4" t="n">
        <v>4189.9054</v>
      </c>
      <c r="F38" s="4" t="n">
        <v>3.994178974349505</v>
      </c>
      <c r="G38" s="4" t="n">
        <v>2763.83360424639</v>
      </c>
      <c r="H38" s="4" t="n">
        <v>1426.071795753609</v>
      </c>
      <c r="I38" s="4" t="n">
        <v>34.03589483795051</v>
      </c>
      <c r="J38" s="4" t="n">
        <v>-7.105427357601002e-15</v>
      </c>
    </row>
    <row r="39">
      <c r="A39" s="3" t="inlineStr">
        <is>
          <t>2027Q3</t>
        </is>
      </c>
      <c r="B39" s="3" t="inlineStr">
        <is>
          <t>bear</t>
        </is>
      </c>
      <c r="C39" s="3" t="inlineStr">
        <is>
          <t>held</t>
        </is>
      </c>
      <c r="D39" s="4" t="n">
        <v>0</v>
      </c>
      <c r="E39" s="4" t="n">
        <v>4936.538</v>
      </c>
      <c r="F39" s="4" t="n">
        <v>-6.517930987793841</v>
      </c>
      <c r="G39" s="4" t="n">
        <v>2729.96850250375</v>
      </c>
      <c r="H39" s="4" t="n">
        <v>2206.56949749625</v>
      </c>
      <c r="I39" s="4" t="n">
        <v>44.69872403486512</v>
      </c>
      <c r="J39" s="4" t="n">
        <v>-3.604499002776912</v>
      </c>
    </row>
    <row r="40">
      <c r="A40" s="3" t="inlineStr">
        <is>
          <t>2027Q3</t>
        </is>
      </c>
      <c r="B40" s="3" t="inlineStr">
        <is>
          <t>bear</t>
        </is>
      </c>
      <c r="C40" s="3" t="inlineStr">
        <is>
          <t>flex</t>
        </is>
      </c>
      <c r="D40" s="4" t="n">
        <v>0.364173</v>
      </c>
      <c r="E40" s="4" t="n">
        <v>4936.538</v>
      </c>
      <c r="F40" s="4" t="n">
        <v>-6.517930987793841</v>
      </c>
      <c r="G40" s="4" t="n">
        <v>2665.168482797314</v>
      </c>
      <c r="H40" s="4" t="n">
        <v>2271.369517202685</v>
      </c>
      <c r="I40" s="4" t="n">
        <v>46.0113852502034</v>
      </c>
      <c r="J40" s="4" t="n">
        <v>-2.291837787438638</v>
      </c>
    </row>
    <row r="41">
      <c r="A41" s="3" t="inlineStr">
        <is>
          <t>2027Q3</t>
        </is>
      </c>
      <c r="B41" s="3" t="inlineStr">
        <is>
          <t>bear</t>
        </is>
      </c>
      <c r="C41" s="3" t="inlineStr">
        <is>
          <t>full_flex</t>
        </is>
      </c>
      <c r="D41" s="4" t="n">
        <v>1</v>
      </c>
      <c r="E41" s="4" t="n">
        <v>4936.538</v>
      </c>
      <c r="F41" s="4" t="n">
        <v>-6.517930987793841</v>
      </c>
      <c r="G41" s="4" t="n">
        <v>2552.031039522046</v>
      </c>
      <c r="H41" s="4" t="n">
        <v>2384.506960477953</v>
      </c>
      <c r="I41" s="4" t="n">
        <v>48.30322303764204</v>
      </c>
      <c r="J41" s="4" t="n">
        <v>7.105427357601002e-15</v>
      </c>
    </row>
    <row r="42">
      <c r="A42" s="3" t="inlineStr">
        <is>
          <t>2027Q3</t>
        </is>
      </c>
      <c r="B42" s="3" t="inlineStr">
        <is>
          <t>base</t>
        </is>
      </c>
      <c r="C42" s="3" t="inlineStr">
        <is>
          <t>held</t>
        </is>
      </c>
      <c r="D42" s="4" t="n">
        <v>0</v>
      </c>
      <c r="E42" s="4" t="n">
        <v>5280.7325</v>
      </c>
      <c r="F42" s="4" t="n">
        <v>0</v>
      </c>
      <c r="G42" s="4" t="n">
        <v>2729.96850250375</v>
      </c>
      <c r="H42" s="4" t="n">
        <v>2550.76399749625</v>
      </c>
      <c r="I42" s="4" t="n">
        <v>48.30322303764204</v>
      </c>
      <c r="J42" s="4" t="n">
        <v>7.105427357601002e-15</v>
      </c>
    </row>
    <row r="43">
      <c r="A43" s="3" t="inlineStr">
        <is>
          <t>2027Q3</t>
        </is>
      </c>
      <c r="B43" s="3" t="inlineStr">
        <is>
          <t>base</t>
        </is>
      </c>
      <c r="C43" s="3" t="inlineStr">
        <is>
          <t>flex</t>
        </is>
      </c>
      <c r="D43" s="4" t="n">
        <v>0.364173</v>
      </c>
      <c r="E43" s="4" t="n">
        <v>5280.7325</v>
      </c>
      <c r="F43" s="4" t="n">
        <v>0</v>
      </c>
      <c r="G43" s="4" t="n">
        <v>2729.96850250375</v>
      </c>
      <c r="H43" s="4" t="n">
        <v>2550.76399749625</v>
      </c>
      <c r="I43" s="4" t="n">
        <v>48.30322303764204</v>
      </c>
      <c r="J43" s="4" t="n">
        <v>7.105427357601002e-15</v>
      </c>
    </row>
    <row r="44">
      <c r="A44" s="3" t="inlineStr">
        <is>
          <t>2027Q3</t>
        </is>
      </c>
      <c r="B44" s="3" t="inlineStr">
        <is>
          <t>base</t>
        </is>
      </c>
      <c r="C44" s="3" t="inlineStr">
        <is>
          <t>full_flex</t>
        </is>
      </c>
      <c r="D44" s="4" t="n">
        <v>1</v>
      </c>
      <c r="E44" s="4" t="n">
        <v>5280.7325</v>
      </c>
      <c r="F44" s="4" t="n">
        <v>0</v>
      </c>
      <c r="G44" s="4" t="n">
        <v>2729.96850250375</v>
      </c>
      <c r="H44" s="4" t="n">
        <v>2550.76399749625</v>
      </c>
      <c r="I44" s="4" t="n">
        <v>48.30322303764204</v>
      </c>
      <c r="J44" s="4" t="n">
        <v>7.105427357601002e-15</v>
      </c>
    </row>
    <row r="45">
      <c r="A45" s="3" t="inlineStr">
        <is>
          <t>2027Q3</t>
        </is>
      </c>
      <c r="B45" s="3" t="inlineStr">
        <is>
          <t>bull</t>
        </is>
      </c>
      <c r="C45" s="3" t="inlineStr">
        <is>
          <t>held</t>
        </is>
      </c>
      <c r="D45" s="4" t="n">
        <v>0</v>
      </c>
      <c r="E45" s="4" t="n">
        <v>5559.9477</v>
      </c>
      <c r="F45" s="4" t="n">
        <v>5.287433135459896</v>
      </c>
      <c r="G45" s="4" t="n">
        <v>2729.96850250375</v>
      </c>
      <c r="H45" s="4" t="n">
        <v>2829.97919749625</v>
      </c>
      <c r="I45" s="4" t="n">
        <v>50.89938521357404</v>
      </c>
      <c r="J45" s="4" t="n">
        <v>2.596162175932008</v>
      </c>
    </row>
    <row r="46">
      <c r="A46" s="3" t="inlineStr">
        <is>
          <t>2027Q3</t>
        </is>
      </c>
      <c r="B46" s="3" t="inlineStr">
        <is>
          <t>bull</t>
        </is>
      </c>
      <c r="C46" s="3" t="inlineStr">
        <is>
          <t>flex</t>
        </is>
      </c>
      <c r="D46" s="4" t="n">
        <v>0.364173</v>
      </c>
      <c r="E46" s="4" t="n">
        <v>5559.9477</v>
      </c>
      <c r="F46" s="4" t="n">
        <v>5.287433135459896</v>
      </c>
      <c r="G46" s="4" t="n">
        <v>2782.535148578386</v>
      </c>
      <c r="H46" s="4" t="n">
        <v>2777.412551421613</v>
      </c>
      <c r="I46" s="4" t="n">
        <v>49.95393304547836</v>
      </c>
      <c r="J46" s="4" t="n">
        <v>1.650710007836323</v>
      </c>
    </row>
    <row r="47">
      <c r="A47" s="3" t="inlineStr">
        <is>
          <t>2027Q3</t>
        </is>
      </c>
      <c r="B47" s="3" t="inlineStr">
        <is>
          <t>bull</t>
        </is>
      </c>
      <c r="C47" s="3" t="inlineStr">
        <is>
          <t>full_flex</t>
        </is>
      </c>
      <c r="D47" s="4" t="n">
        <v>1</v>
      </c>
      <c r="E47" s="4" t="n">
        <v>5559.9477</v>
      </c>
      <c r="F47" s="4" t="n">
        <v>5.287433135459896</v>
      </c>
      <c r="G47" s="4" t="n">
        <v>2874.313761692751</v>
      </c>
      <c r="H47" s="4" t="n">
        <v>2685.633938307249</v>
      </c>
      <c r="I47" s="4" t="n">
        <v>48.30322303764204</v>
      </c>
      <c r="J47" s="4" t="n">
        <v>7.105427357601002e-15</v>
      </c>
    </row>
    <row r="48">
      <c r="A48" s="3" t="inlineStr">
        <is>
          <t>2027Q4</t>
        </is>
      </c>
      <c r="B48" s="3" t="inlineStr">
        <is>
          <t>bear</t>
        </is>
      </c>
      <c r="C48" s="3" t="inlineStr">
        <is>
          <t>held</t>
        </is>
      </c>
      <c r="D48" s="4" t="n">
        <v>0</v>
      </c>
      <c r="E48" s="4" t="n">
        <v>3212.9091</v>
      </c>
      <c r="F48" s="4" t="n">
        <v>-7.295793732758671</v>
      </c>
      <c r="G48" s="4" t="n">
        <v>2498.948967350904</v>
      </c>
      <c r="H48" s="4" t="n">
        <v>713.9601326490956</v>
      </c>
      <c r="I48" s="4" t="n">
        <v>22.22161008691767</v>
      </c>
      <c r="J48" s="4" t="n">
        <v>-5.674550896719257</v>
      </c>
    </row>
    <row r="49">
      <c r="A49" s="3" t="inlineStr">
        <is>
          <t>2027Q4</t>
        </is>
      </c>
      <c r="B49" s="3" t="inlineStr">
        <is>
          <t>bear</t>
        </is>
      </c>
      <c r="C49" s="3" t="inlineStr">
        <is>
          <t>flex</t>
        </is>
      </c>
      <c r="D49" s="4" t="n">
        <v>0.364173</v>
      </c>
      <c r="E49" s="4" t="n">
        <v>3212.9091</v>
      </c>
      <c r="F49" s="4" t="n">
        <v>-7.295793732758671</v>
      </c>
      <c r="G49" s="4" t="n">
        <v>2432.553615288137</v>
      </c>
      <c r="H49" s="4" t="n">
        <v>780.355484711863</v>
      </c>
      <c r="I49" s="4" t="n">
        <v>24.28812831062861</v>
      </c>
      <c r="J49" s="4" t="n">
        <v>-3.60803267300831</v>
      </c>
    </row>
    <row r="50">
      <c r="A50" s="3" t="inlineStr">
        <is>
          <t>2027Q4</t>
        </is>
      </c>
      <c r="B50" s="3" t="inlineStr">
        <is>
          <t>bear</t>
        </is>
      </c>
      <c r="C50" s="3" t="inlineStr">
        <is>
          <t>full_flex</t>
        </is>
      </c>
      <c r="D50" s="4" t="n">
        <v>1</v>
      </c>
      <c r="E50" s="4" t="n">
        <v>3212.9091</v>
      </c>
      <c r="F50" s="4" t="n">
        <v>-7.295793732758671</v>
      </c>
      <c r="G50" s="4" t="n">
        <v>2316.630805206079</v>
      </c>
      <c r="H50" s="4" t="n">
        <v>896.2782947939204</v>
      </c>
      <c r="I50" s="4" t="n">
        <v>27.89616098363693</v>
      </c>
      <c r="J50" s="4" t="n">
        <v>7.105427357601002e-15</v>
      </c>
    </row>
    <row r="51">
      <c r="A51" s="3" t="inlineStr">
        <is>
          <t>2027Q4</t>
        </is>
      </c>
      <c r="B51" s="3" t="inlineStr">
        <is>
          <t>base</t>
        </is>
      </c>
      <c r="C51" s="3" t="inlineStr">
        <is>
          <t>held</t>
        </is>
      </c>
      <c r="D51" s="4" t="n">
        <v>0</v>
      </c>
      <c r="E51" s="4" t="n">
        <v>3465.7641</v>
      </c>
      <c r="F51" s="4" t="n">
        <v>0</v>
      </c>
      <c r="G51" s="4" t="n">
        <v>2498.948967350904</v>
      </c>
      <c r="H51" s="4" t="n">
        <v>966.8151326490956</v>
      </c>
      <c r="I51" s="4" t="n">
        <v>27.89616098363693</v>
      </c>
      <c r="J51" s="4" t="n">
        <v>7.105427357601002e-15</v>
      </c>
    </row>
    <row r="52">
      <c r="A52" s="3" t="inlineStr">
        <is>
          <t>2027Q4</t>
        </is>
      </c>
      <c r="B52" s="3" t="inlineStr">
        <is>
          <t>base</t>
        </is>
      </c>
      <c r="C52" s="3" t="inlineStr">
        <is>
          <t>flex</t>
        </is>
      </c>
      <c r="D52" s="4" t="n">
        <v>0.364173</v>
      </c>
      <c r="E52" s="4" t="n">
        <v>3465.7641</v>
      </c>
      <c r="F52" s="4" t="n">
        <v>0</v>
      </c>
      <c r="G52" s="4" t="n">
        <v>2498.948967350904</v>
      </c>
      <c r="H52" s="4" t="n">
        <v>966.8151326490956</v>
      </c>
      <c r="I52" s="4" t="n">
        <v>27.89616098363693</v>
      </c>
      <c r="J52" s="4" t="n">
        <v>7.105427357601002e-15</v>
      </c>
    </row>
    <row r="53">
      <c r="A53" s="3" t="inlineStr">
        <is>
          <t>2027Q4</t>
        </is>
      </c>
      <c r="B53" s="3" t="inlineStr">
        <is>
          <t>base</t>
        </is>
      </c>
      <c r="C53" s="3" t="inlineStr">
        <is>
          <t>full_flex</t>
        </is>
      </c>
      <c r="D53" s="4" t="n">
        <v>1</v>
      </c>
      <c r="E53" s="4" t="n">
        <v>3465.7641</v>
      </c>
      <c r="F53" s="4" t="n">
        <v>0</v>
      </c>
      <c r="G53" s="4" t="n">
        <v>2498.948967350904</v>
      </c>
      <c r="H53" s="4" t="n">
        <v>966.8151326490956</v>
      </c>
      <c r="I53" s="4" t="n">
        <v>27.89616098363693</v>
      </c>
      <c r="J53" s="4" t="n">
        <v>7.105427357601002e-15</v>
      </c>
    </row>
    <row r="54">
      <c r="A54" s="3" t="inlineStr">
        <is>
          <t>2027Q4</t>
        </is>
      </c>
      <c r="B54" s="3" t="inlineStr">
        <is>
          <t>bull</t>
        </is>
      </c>
      <c r="C54" s="3" t="inlineStr">
        <is>
          <t>held</t>
        </is>
      </c>
      <c r="D54" s="4" t="n">
        <v>0</v>
      </c>
      <c r="E54" s="4" t="n">
        <v>3700.9529</v>
      </c>
      <c r="F54" s="4" t="n">
        <v>6.786059097328656</v>
      </c>
      <c r="G54" s="4" t="n">
        <v>2498.948967350904</v>
      </c>
      <c r="H54" s="4" t="n">
        <v>1202.003932649096</v>
      </c>
      <c r="I54" s="4" t="n">
        <v>32.47822831382415</v>
      </c>
      <c r="J54" s="4" t="n">
        <v>4.582067330187222</v>
      </c>
    </row>
    <row r="55">
      <c r="A55" s="3" t="inlineStr">
        <is>
          <t>2027Q4</t>
        </is>
      </c>
      <c r="B55" s="3" t="inlineStr">
        <is>
          <t>bull</t>
        </is>
      </c>
      <c r="C55" s="3" t="inlineStr">
        <is>
          <t>flex</t>
        </is>
      </c>
      <c r="D55" s="4" t="n">
        <v>0.364173</v>
      </c>
      <c r="E55" s="4" t="n">
        <v>3700.9529</v>
      </c>
      <c r="F55" s="4" t="n">
        <v>6.786059097328656</v>
      </c>
      <c r="G55" s="4" t="n">
        <v>2560.705480677592</v>
      </c>
      <c r="H55" s="4" t="n">
        <v>1140.247419322408</v>
      </c>
      <c r="I55" s="4" t="n">
        <v>30.80956310798789</v>
      </c>
      <c r="J55" s="4" t="n">
        <v>2.913402124350963</v>
      </c>
    </row>
    <row r="56">
      <c r="A56" s="3" t="inlineStr">
        <is>
          <t>2027Q4</t>
        </is>
      </c>
      <c r="B56" s="3" t="inlineStr">
        <is>
          <t>bull</t>
        </is>
      </c>
      <c r="C56" s="3" t="inlineStr">
        <is>
          <t>full_flex</t>
        </is>
      </c>
      <c r="D56" s="4" t="n">
        <v>1</v>
      </c>
      <c r="E56" s="4" t="n">
        <v>3700.9529</v>
      </c>
      <c r="F56" s="4" t="n">
        <v>6.786059097328656</v>
      </c>
      <c r="G56" s="4" t="n">
        <v>2668.529121087421</v>
      </c>
      <c r="H56" s="4" t="n">
        <v>1032.42377891258</v>
      </c>
      <c r="I56" s="4" t="n">
        <v>27.89616098363693</v>
      </c>
      <c r="J56" s="4" t="n">
        <v>7.105427357601002e-15</v>
      </c>
    </row>
    <row r="58">
      <c r="A58" s="1" t="inlineStr">
        <is>
          <t>Macro sensitivity: margin change per 1 percentage point of revenue shortfall</t>
        </is>
      </c>
    </row>
    <row r="59">
      <c r="A59" s="2" t="inlineStr">
        <is>
          <t>period</t>
        </is>
      </c>
      <c r="B59" s="2" t="inlineStr">
        <is>
          <t>cost_response</t>
        </is>
      </c>
      <c r="C59" s="2" t="inlineStr">
        <is>
          <t>k</t>
        </is>
      </c>
      <c r="D59" s="2" t="inlineStr">
        <is>
          <t>revenue_shock_pct</t>
        </is>
      </c>
      <c r="E59" s="2" t="inlineStr">
        <is>
          <t>margin_base_pct</t>
        </is>
      </c>
      <c r="F59" s="2" t="inlineStr">
        <is>
          <t>margin_shocked_pct</t>
        </is>
      </c>
      <c r="G59" s="2" t="inlineStr">
        <is>
          <t>margin_delta_pp</t>
        </is>
      </c>
      <c r="H59" s="2" t="inlineStr">
        <is>
          <t>pp_per_1pct_revenue</t>
        </is>
      </c>
    </row>
    <row r="60">
      <c r="A60" s="3" t="inlineStr">
        <is>
          <t>2H26</t>
        </is>
      </c>
      <c r="B60" s="3" t="inlineStr">
        <is>
          <t>held</t>
        </is>
      </c>
      <c r="C60" s="4" t="n">
        <v>0</v>
      </c>
      <c r="D60" s="3" t="n">
        <v>-3</v>
      </c>
      <c r="E60" s="4" t="n">
        <v>41.56182089195927</v>
      </c>
      <c r="F60" s="4" t="n">
        <v>39.75445452779306</v>
      </c>
      <c r="G60" s="4" t="n">
        <v>-1.807366364166214</v>
      </c>
      <c r="H60" s="4" t="n">
        <v>0.6024554547220712</v>
      </c>
    </row>
    <row r="61">
      <c r="A61" s="3" t="inlineStr">
        <is>
          <t>2H26</t>
        </is>
      </c>
      <c r="B61" s="3" t="inlineStr">
        <is>
          <t>held</t>
        </is>
      </c>
      <c r="C61" s="4" t="n">
        <v>0</v>
      </c>
      <c r="D61" s="3" t="n">
        <v>-2</v>
      </c>
      <c r="E61" s="4" t="n">
        <v>41.56182089195927</v>
      </c>
      <c r="F61" s="4" t="n">
        <v>40.36920499179517</v>
      </c>
      <c r="G61" s="4" t="n">
        <v>-1.1926159001641</v>
      </c>
      <c r="H61" s="4" t="n">
        <v>0.5963079500820498</v>
      </c>
    </row>
    <row r="62">
      <c r="A62" s="3" t="inlineStr">
        <is>
          <t>2H26</t>
        </is>
      </c>
      <c r="B62" s="3" t="inlineStr">
        <is>
          <t>held</t>
        </is>
      </c>
      <c r="C62" s="4" t="n">
        <v>0</v>
      </c>
      <c r="D62" s="3" t="n">
        <v>-1</v>
      </c>
      <c r="E62" s="4" t="n">
        <v>41.56182089195927</v>
      </c>
      <c r="F62" s="4" t="n">
        <v>40.97153625450432</v>
      </c>
      <c r="G62" s="4" t="n">
        <v>-0.5902846374549569</v>
      </c>
      <c r="H62" s="4" t="n">
        <v>0.5902846374549569</v>
      </c>
    </row>
    <row r="63">
      <c r="A63" s="3" t="inlineStr">
        <is>
          <t>2H26</t>
        </is>
      </c>
      <c r="B63" s="3" t="inlineStr">
        <is>
          <t>held</t>
        </is>
      </c>
      <c r="C63" s="4" t="n">
        <v>0</v>
      </c>
      <c r="D63" s="3" t="n">
        <v>1</v>
      </c>
      <c r="E63" s="4" t="n">
        <v>41.56182089195927</v>
      </c>
      <c r="F63" s="4" t="n">
        <v>42.14041672471215</v>
      </c>
      <c r="G63" s="4" t="n">
        <v>0.5785958327528746</v>
      </c>
      <c r="H63" s="4" t="n">
        <v>0.5785958327528746</v>
      </c>
    </row>
    <row r="64">
      <c r="A64" s="3" t="inlineStr">
        <is>
          <t>2H26</t>
        </is>
      </c>
      <c r="B64" s="3" t="inlineStr">
        <is>
          <t>held</t>
        </is>
      </c>
      <c r="C64" s="4" t="n">
        <v>0</v>
      </c>
      <c r="D64" s="3" t="n">
        <v>2</v>
      </c>
      <c r="E64" s="4" t="n">
        <v>41.56182089195927</v>
      </c>
      <c r="F64" s="4" t="n">
        <v>42.70766754113654</v>
      </c>
      <c r="G64" s="4" t="n">
        <v>1.145846649177265</v>
      </c>
      <c r="H64" s="4" t="n">
        <v>0.5729233245886327</v>
      </c>
    </row>
    <row r="65">
      <c r="A65" s="3" t="inlineStr">
        <is>
          <t>2H26</t>
        </is>
      </c>
      <c r="B65" s="3" t="inlineStr">
        <is>
          <t>flex</t>
        </is>
      </c>
      <c r="C65" s="4" t="n">
        <v>0.364173</v>
      </c>
      <c r="D65" s="3" t="n">
        <v>-3</v>
      </c>
      <c r="E65" s="4" t="n">
        <v>41.56182089195927</v>
      </c>
      <c r="F65" s="4" t="n">
        <v>40.41264855873056</v>
      </c>
      <c r="G65" s="4" t="n">
        <v>-1.149172333228712</v>
      </c>
      <c r="H65" s="4" t="n">
        <v>0.3830574444095707</v>
      </c>
    </row>
    <row r="66">
      <c r="A66" s="3" t="inlineStr">
        <is>
          <t>2H26</t>
        </is>
      </c>
      <c r="B66" s="3" t="inlineStr">
        <is>
          <t>flex</t>
        </is>
      </c>
      <c r="C66" s="4" t="n">
        <v>0.364173</v>
      </c>
      <c r="D66" s="3" t="n">
        <v>-2</v>
      </c>
      <c r="E66" s="4" t="n">
        <v>41.56182089195927</v>
      </c>
      <c r="F66" s="4" t="n">
        <v>40.80352350200563</v>
      </c>
      <c r="G66" s="4" t="n">
        <v>-0.7582973899536398</v>
      </c>
      <c r="H66" s="4" t="n">
        <v>0.3791486949768199</v>
      </c>
    </row>
    <row r="67">
      <c r="A67" s="3" t="inlineStr">
        <is>
          <t>2H26</t>
        </is>
      </c>
      <c r="B67" s="3" t="inlineStr">
        <is>
          <t>flex</t>
        </is>
      </c>
      <c r="C67" s="4" t="n">
        <v>0.364173</v>
      </c>
      <c r="D67" s="3" t="n">
        <v>-1</v>
      </c>
      <c r="E67" s="4" t="n">
        <v>41.56182089195927</v>
      </c>
      <c r="F67" s="4" t="n">
        <v>41.1865019817802</v>
      </c>
      <c r="G67" s="4" t="n">
        <v>-0.3753189101790752</v>
      </c>
      <c r="H67" s="4" t="n">
        <v>0.3753189101790752</v>
      </c>
    </row>
    <row r="68">
      <c r="A68" s="3" t="inlineStr">
        <is>
          <t>2H26</t>
        </is>
      </c>
      <c r="B68" s="3" t="inlineStr">
        <is>
          <t>flex</t>
        </is>
      </c>
      <c r="C68" s="4" t="n">
        <v>0.364173</v>
      </c>
      <c r="D68" s="3" t="n">
        <v>1</v>
      </c>
      <c r="E68" s="4" t="n">
        <v>41.56182089195927</v>
      </c>
      <c r="F68" s="4" t="n">
        <v>41.92970774451104</v>
      </c>
      <c r="G68" s="4" t="n">
        <v>0.36788685255177</v>
      </c>
      <c r="H68" s="4" t="n">
        <v>0.36788685255177</v>
      </c>
    </row>
    <row r="69">
      <c r="A69" s="3" t="inlineStr">
        <is>
          <t>2H26</t>
        </is>
      </c>
      <c r="B69" s="3" t="inlineStr">
        <is>
          <t>flex</t>
        </is>
      </c>
      <c r="C69" s="4" t="n">
        <v>0.364173</v>
      </c>
      <c r="D69" s="3" t="n">
        <v>2</v>
      </c>
      <c r="E69" s="4" t="n">
        <v>41.56182089195927</v>
      </c>
      <c r="F69" s="4" t="n">
        <v>42.29038112936571</v>
      </c>
      <c r="G69" s="4" t="n">
        <v>0.7285602374064339</v>
      </c>
      <c r="H69" s="4" t="n">
        <v>0.3642801187032169</v>
      </c>
    </row>
    <row r="70">
      <c r="A70" s="3" t="inlineStr">
        <is>
          <t>2H26</t>
        </is>
      </c>
      <c r="B70" s="3" t="inlineStr">
        <is>
          <t>full_flex</t>
        </is>
      </c>
      <c r="C70" s="4" t="n">
        <v>1</v>
      </c>
      <c r="D70" s="3" t="n">
        <v>-3</v>
      </c>
      <c r="E70" s="4" t="n">
        <v>41.56182089195927</v>
      </c>
      <c r="F70" s="4" t="n">
        <v>41.56182089195927</v>
      </c>
      <c r="G70" s="4" t="n">
        <v>0</v>
      </c>
      <c r="H70" s="4" t="n">
        <v>-0</v>
      </c>
    </row>
    <row r="71">
      <c r="A71" s="3" t="inlineStr">
        <is>
          <t>2H26</t>
        </is>
      </c>
      <c r="B71" s="3" t="inlineStr">
        <is>
          <t>full_flex</t>
        </is>
      </c>
      <c r="C71" s="4" t="n">
        <v>1</v>
      </c>
      <c r="D71" s="3" t="n">
        <v>-2</v>
      </c>
      <c r="E71" s="4" t="n">
        <v>41.56182089195927</v>
      </c>
      <c r="F71" s="4" t="n">
        <v>41.56182089195928</v>
      </c>
      <c r="G71" s="4" t="n">
        <v>7.105427357601002e-15</v>
      </c>
      <c r="H71" s="4" t="n">
        <v>-3.552713678800501e-15</v>
      </c>
    </row>
    <row r="72">
      <c r="A72" s="3" t="inlineStr">
        <is>
          <t>2H26</t>
        </is>
      </c>
      <c r="B72" s="3" t="inlineStr">
        <is>
          <t>full_flex</t>
        </is>
      </c>
      <c r="C72" s="4" t="n">
        <v>1</v>
      </c>
      <c r="D72" s="3" t="n">
        <v>-1</v>
      </c>
      <c r="E72" s="4" t="n">
        <v>41.56182089195927</v>
      </c>
      <c r="F72" s="4" t="n">
        <v>41.56182089195927</v>
      </c>
      <c r="G72" s="4" t="n">
        <v>-7.105427357601002e-15</v>
      </c>
      <c r="H72" s="4" t="n">
        <v>7.105427357601002e-15</v>
      </c>
    </row>
    <row r="73">
      <c r="A73" s="3" t="inlineStr">
        <is>
          <t>2H26</t>
        </is>
      </c>
      <c r="B73" s="3" t="inlineStr">
        <is>
          <t>full_flex</t>
        </is>
      </c>
      <c r="C73" s="4" t="n">
        <v>1</v>
      </c>
      <c r="D73" s="3" t="n">
        <v>1</v>
      </c>
      <c r="E73" s="4" t="n">
        <v>41.56182089195927</v>
      </c>
      <c r="F73" s="4" t="n">
        <v>41.56182089195927</v>
      </c>
      <c r="G73" s="4" t="n">
        <v>0</v>
      </c>
      <c r="H73" s="4" t="n">
        <v>0</v>
      </c>
    </row>
    <row r="74">
      <c r="A74" s="3" t="inlineStr">
        <is>
          <t>2H26</t>
        </is>
      </c>
      <c r="B74" s="3" t="inlineStr">
        <is>
          <t>full_flex</t>
        </is>
      </c>
      <c r="C74" s="4" t="n">
        <v>1</v>
      </c>
      <c r="D74" s="3" t="n">
        <v>2</v>
      </c>
      <c r="E74" s="4" t="n">
        <v>41.56182089195927</v>
      </c>
      <c r="F74" s="4" t="n">
        <v>41.56182089195927</v>
      </c>
      <c r="G74" s="4" t="n">
        <v>-7.105427357601002e-15</v>
      </c>
      <c r="H74" s="4" t="n">
        <v>-3.552713678800501e-15</v>
      </c>
    </row>
    <row r="75">
      <c r="A75" s="3" t="inlineStr">
        <is>
          <t>FY26</t>
        </is>
      </c>
      <c r="B75" s="3" t="inlineStr">
        <is>
          <t>held</t>
        </is>
      </c>
      <c r="C75" s="4" t="n">
        <v>0</v>
      </c>
      <c r="D75" s="3" t="n">
        <v>-3</v>
      </c>
      <c r="E75" s="4" t="n">
        <v>35.72661133621728</v>
      </c>
      <c r="F75" s="4" t="n">
        <v>34.62948865206219</v>
      </c>
      <c r="G75" s="4" t="n">
        <v>-1.097122684155089</v>
      </c>
      <c r="H75" s="4" t="n">
        <v>0.3657075613850296</v>
      </c>
    </row>
    <row r="76">
      <c r="A76" s="3" t="inlineStr">
        <is>
          <t>FY26</t>
        </is>
      </c>
      <c r="B76" s="3" t="inlineStr">
        <is>
          <t>held</t>
        </is>
      </c>
      <c r="C76" s="4" t="n">
        <v>0</v>
      </c>
      <c r="D76" s="3" t="n">
        <v>-2</v>
      </c>
      <c r="E76" s="4" t="n">
        <v>35.72661133621728</v>
      </c>
      <c r="F76" s="4" t="n">
        <v>34.99933432886853</v>
      </c>
      <c r="G76" s="4" t="n">
        <v>-0.7272770073487536</v>
      </c>
      <c r="H76" s="4" t="n">
        <v>0.3636385036743768</v>
      </c>
    </row>
    <row r="77">
      <c r="A77" s="3" t="inlineStr">
        <is>
          <t>FY26</t>
        </is>
      </c>
      <c r="B77" s="3" t="inlineStr">
        <is>
          <t>held</t>
        </is>
      </c>
      <c r="C77" s="4" t="n">
        <v>0</v>
      </c>
      <c r="D77" s="3" t="n">
        <v>-1</v>
      </c>
      <c r="E77" s="4" t="n">
        <v>35.72661133621728</v>
      </c>
      <c r="F77" s="4" t="n">
        <v>35.36501860981871</v>
      </c>
      <c r="G77" s="4" t="n">
        <v>-0.3615927263985696</v>
      </c>
      <c r="H77" s="4" t="n">
        <v>0.3615927263985696</v>
      </c>
    </row>
    <row r="78">
      <c r="A78" s="3" t="inlineStr">
        <is>
          <t>FY26</t>
        </is>
      </c>
      <c r="B78" s="3" t="inlineStr">
        <is>
          <t>held</t>
        </is>
      </c>
      <c r="C78" s="4" t="n">
        <v>0</v>
      </c>
      <c r="D78" s="3" t="n">
        <v>1</v>
      </c>
      <c r="E78" s="4" t="n">
        <v>35.72661133621728</v>
      </c>
      <c r="F78" s="4" t="n">
        <v>36.08418079518796</v>
      </c>
      <c r="G78" s="4" t="n">
        <v>0.3575694589706728</v>
      </c>
      <c r="H78" s="4" t="n">
        <v>0.3575694589706728</v>
      </c>
    </row>
    <row r="79">
      <c r="A79" s="3" t="inlineStr">
        <is>
          <t>FY26</t>
        </is>
      </c>
      <c r="B79" s="3" t="inlineStr">
        <is>
          <t>held</t>
        </is>
      </c>
      <c r="C79" s="4" t="n">
        <v>0</v>
      </c>
      <c r="D79" s="3" t="n">
        <v>2</v>
      </c>
      <c r="E79" s="4" t="n">
        <v>35.72661133621728</v>
      </c>
      <c r="F79" s="4" t="n">
        <v>36.43779376266594</v>
      </c>
      <c r="G79" s="4" t="n">
        <v>0.7111824264486586</v>
      </c>
      <c r="H79" s="4" t="n">
        <v>0.3555912132243293</v>
      </c>
    </row>
    <row r="80">
      <c r="A80" s="3" t="inlineStr">
        <is>
          <t>FY26</t>
        </is>
      </c>
      <c r="B80" s="3" t="inlineStr">
        <is>
          <t>flex</t>
        </is>
      </c>
      <c r="C80" s="4" t="n">
        <v>0.364173</v>
      </c>
      <c r="D80" s="3" t="n">
        <v>-3</v>
      </c>
      <c r="E80" s="4" t="n">
        <v>35.72661133621728</v>
      </c>
      <c r="F80" s="4" t="n">
        <v>34.99275771692283</v>
      </c>
      <c r="G80" s="4" t="n">
        <v>-0.7338536192944503</v>
      </c>
      <c r="H80" s="4" t="n">
        <v>0.24461787309815</v>
      </c>
    </row>
    <row r="81">
      <c r="A81" s="3" t="inlineStr">
        <is>
          <t>FY26</t>
        </is>
      </c>
      <c r="B81" s="3" t="inlineStr">
        <is>
          <t>flex</t>
        </is>
      </c>
      <c r="C81" s="4" t="n">
        <v>0.364173</v>
      </c>
      <c r="D81" s="3" t="n">
        <v>-2</v>
      </c>
      <c r="E81" s="4" t="n">
        <v>35.72661133621728</v>
      </c>
      <c r="F81" s="4" t="n">
        <v>35.24014353112989</v>
      </c>
      <c r="G81" s="4" t="n">
        <v>-0.4864678050873934</v>
      </c>
      <c r="H81" s="4" t="n">
        <v>0.2432339025436967</v>
      </c>
    </row>
    <row r="82">
      <c r="A82" s="3" t="inlineStr">
        <is>
          <t>FY26</t>
        </is>
      </c>
      <c r="B82" s="3" t="inlineStr">
        <is>
          <t>flex</t>
        </is>
      </c>
      <c r="C82" s="4" t="n">
        <v>0.364173</v>
      </c>
      <c r="D82" s="3" t="n">
        <v>-1</v>
      </c>
      <c r="E82" s="4" t="n">
        <v>35.72661133621728</v>
      </c>
      <c r="F82" s="4" t="n">
        <v>35.48474583219437</v>
      </c>
      <c r="G82" s="4" t="n">
        <v>-0.2418655040229111</v>
      </c>
      <c r="H82" s="4" t="n">
        <v>0.2418655040229111</v>
      </c>
    </row>
    <row r="83">
      <c r="A83" s="3" t="inlineStr">
        <is>
          <t>FY26</t>
        </is>
      </c>
      <c r="B83" s="3" t="inlineStr">
        <is>
          <t>flex</t>
        </is>
      </c>
      <c r="C83" s="4" t="n">
        <v>0.364173</v>
      </c>
      <c r="D83" s="3" t="n">
        <v>1</v>
      </c>
      <c r="E83" s="4" t="n">
        <v>35.72661133621728</v>
      </c>
      <c r="F83" s="4" t="n">
        <v>35.9657857197247</v>
      </c>
      <c r="G83" s="4" t="n">
        <v>0.239174383507418</v>
      </c>
      <c r="H83" s="4" t="n">
        <v>0.239174383507418</v>
      </c>
    </row>
    <row r="84">
      <c r="A84" s="3" t="inlineStr">
        <is>
          <t>FY26</t>
        </is>
      </c>
      <c r="B84" s="3" t="inlineStr">
        <is>
          <t>flex</t>
        </is>
      </c>
      <c r="C84" s="4" t="n">
        <v>0.364173</v>
      </c>
      <c r="D84" s="3" t="n">
        <v>2</v>
      </c>
      <c r="E84" s="4" t="n">
        <v>35.72661133621728</v>
      </c>
      <c r="F84" s="4" t="n">
        <v>36.20231364842486</v>
      </c>
      <c r="G84" s="4" t="n">
        <v>0.4757023122075736</v>
      </c>
      <c r="H84" s="4" t="n">
        <v>0.2378511561037868</v>
      </c>
    </row>
    <row r="85">
      <c r="A85" s="3" t="inlineStr">
        <is>
          <t>FY26</t>
        </is>
      </c>
      <c r="B85" s="3" t="inlineStr">
        <is>
          <t>full_flex</t>
        </is>
      </c>
      <c r="C85" s="4" t="n">
        <v>1</v>
      </c>
      <c r="D85" s="3" t="n">
        <v>-3</v>
      </c>
      <c r="E85" s="4" t="n">
        <v>35.72661133621728</v>
      </c>
      <c r="F85" s="4" t="n">
        <v>35.62700649347448</v>
      </c>
      <c r="G85" s="4" t="n">
        <v>-0.09960484274279929</v>
      </c>
      <c r="H85" s="4" t="n">
        <v>0.0332016142475997</v>
      </c>
    </row>
    <row r="86">
      <c r="A86" s="3" t="inlineStr">
        <is>
          <t>FY26</t>
        </is>
      </c>
      <c r="B86" s="3" t="inlineStr">
        <is>
          <t>full_flex</t>
        </is>
      </c>
      <c r="C86" s="4" t="n">
        <v>1</v>
      </c>
      <c r="D86" s="3" t="n">
        <v>-2</v>
      </c>
      <c r="E86" s="4" t="n">
        <v>35.72661133621728</v>
      </c>
      <c r="F86" s="4" t="n">
        <v>35.66058379618587</v>
      </c>
      <c r="G86" s="4" t="n">
        <v>-0.0660275400314134</v>
      </c>
      <c r="H86" s="4" t="n">
        <v>0.0330137700157067</v>
      </c>
    </row>
    <row r="87">
      <c r="A87" s="3" t="inlineStr">
        <is>
          <t>FY26</t>
        </is>
      </c>
      <c r="B87" s="3" t="inlineStr">
        <is>
          <t>full_flex</t>
        </is>
      </c>
      <c r="C87" s="4" t="n">
        <v>1</v>
      </c>
      <c r="D87" s="3" t="n">
        <v>-1</v>
      </c>
      <c r="E87" s="4" t="n">
        <v>35.72661133621728</v>
      </c>
      <c r="F87" s="4" t="n">
        <v>35.69378329686487</v>
      </c>
      <c r="G87" s="4" t="n">
        <v>-0.0328280393524096</v>
      </c>
      <c r="H87" s="4" t="n">
        <v>0.0328280393524096</v>
      </c>
    </row>
    <row r="88">
      <c r="A88" s="3" t="inlineStr">
        <is>
          <t>FY26</t>
        </is>
      </c>
      <c r="B88" s="3" t="inlineStr">
        <is>
          <t>full_flex</t>
        </is>
      </c>
      <c r="C88" s="4" t="n">
        <v>1</v>
      </c>
      <c r="D88" s="3" t="n">
        <v>1</v>
      </c>
      <c r="E88" s="4" t="n">
        <v>35.72661133621728</v>
      </c>
      <c r="F88" s="4" t="n">
        <v>35.75907411384897</v>
      </c>
      <c r="G88" s="4" t="n">
        <v>0.0324627776316859</v>
      </c>
      <c r="H88" s="4" t="n">
        <v>0.0324627776316859</v>
      </c>
    </row>
    <row r="89">
      <c r="A89" s="3" t="inlineStr">
        <is>
          <t>FY26</t>
        </is>
      </c>
      <c r="B89" s="3" t="inlineStr">
        <is>
          <t>full_flex</t>
        </is>
      </c>
      <c r="C89" s="4" t="n">
        <v>1</v>
      </c>
      <c r="D89" s="3" t="n">
        <v>2</v>
      </c>
      <c r="E89" s="4" t="n">
        <v>35.72661133621728</v>
      </c>
      <c r="F89" s="4" t="n">
        <v>35.791177692169</v>
      </c>
      <c r="G89" s="4" t="n">
        <v>0.06456635595171881</v>
      </c>
      <c r="H89" s="4" t="n">
        <v>0.0322831779758594</v>
      </c>
    </row>
    <row r="90">
      <c r="A90" s="3" t="inlineStr">
        <is>
          <t>FY27</t>
        </is>
      </c>
      <c r="B90" s="3" t="inlineStr">
        <is>
          <t>held</t>
        </is>
      </c>
      <c r="C90" s="4" t="n">
        <v>0</v>
      </c>
      <c r="D90" s="3" t="n">
        <v>-3</v>
      </c>
      <c r="E90" s="4" t="n">
        <v>34.64189832600695</v>
      </c>
      <c r="F90" s="4" t="n">
        <v>32.62051373815149</v>
      </c>
      <c r="G90" s="4" t="n">
        <v>-2.021384587855458</v>
      </c>
      <c r="H90" s="4" t="n">
        <v>0.673794862618486</v>
      </c>
    </row>
    <row r="91">
      <c r="A91" s="3" t="inlineStr">
        <is>
          <t>FY27</t>
        </is>
      </c>
      <c r="B91" s="3" t="inlineStr">
        <is>
          <t>held</t>
        </is>
      </c>
      <c r="C91" s="4" t="n">
        <v>0</v>
      </c>
      <c r="D91" s="3" t="n">
        <v>-2</v>
      </c>
      <c r="E91" s="4" t="n">
        <v>34.64189832600695</v>
      </c>
      <c r="F91" s="4" t="n">
        <v>33.30805951633361</v>
      </c>
      <c r="G91" s="4" t="n">
        <v>-1.333838809673338</v>
      </c>
      <c r="H91" s="4" t="n">
        <v>0.6669194048366691</v>
      </c>
    </row>
    <row r="92">
      <c r="A92" s="3" t="inlineStr">
        <is>
          <t>FY27</t>
        </is>
      </c>
      <c r="B92" s="3" t="inlineStr">
        <is>
          <t>held</t>
        </is>
      </c>
      <c r="C92" s="4" t="n">
        <v>0</v>
      </c>
      <c r="D92" s="3" t="n">
        <v>-1</v>
      </c>
      <c r="E92" s="4" t="n">
        <v>34.64189832600695</v>
      </c>
      <c r="F92" s="4" t="n">
        <v>33.9817154808151</v>
      </c>
      <c r="G92" s="4" t="n">
        <v>-0.6601828451918479</v>
      </c>
      <c r="H92" s="4" t="n">
        <v>0.6601828451918479</v>
      </c>
    </row>
    <row r="93">
      <c r="A93" s="3" t="inlineStr">
        <is>
          <t>FY27</t>
        </is>
      </c>
      <c r="B93" s="3" t="inlineStr">
        <is>
          <t>held</t>
        </is>
      </c>
      <c r="C93" s="4" t="n">
        <v>0</v>
      </c>
      <c r="D93" s="3" t="n">
        <v>1</v>
      </c>
      <c r="E93" s="4" t="n">
        <v>34.64189832600695</v>
      </c>
      <c r="F93" s="4" t="n">
        <v>35.28900824357123</v>
      </c>
      <c r="G93" s="4" t="n">
        <v>0.6471099175642863</v>
      </c>
      <c r="H93" s="4" t="n">
        <v>0.6471099175642863</v>
      </c>
    </row>
    <row r="94">
      <c r="A94" s="3" t="inlineStr">
        <is>
          <t>FY27</t>
        </is>
      </c>
      <c r="B94" s="3" t="inlineStr">
        <is>
          <t>held</t>
        </is>
      </c>
      <c r="C94" s="4" t="n">
        <v>0</v>
      </c>
      <c r="D94" s="3" t="n">
        <v>2</v>
      </c>
      <c r="E94" s="4" t="n">
        <v>34.64189832600695</v>
      </c>
      <c r="F94" s="4" t="n">
        <v>35.92342973137936</v>
      </c>
      <c r="G94" s="4" t="n">
        <v>1.281531405372419</v>
      </c>
      <c r="H94" s="4" t="n">
        <v>0.6407657026862097</v>
      </c>
    </row>
    <row r="95">
      <c r="A95" s="3" t="inlineStr">
        <is>
          <t>FY27</t>
        </is>
      </c>
      <c r="B95" s="3" t="inlineStr">
        <is>
          <t>flex</t>
        </is>
      </c>
      <c r="C95" s="4" t="n">
        <v>0.364173</v>
      </c>
      <c r="D95" s="3" t="n">
        <v>-3</v>
      </c>
      <c r="E95" s="4" t="n">
        <v>34.64189832600695</v>
      </c>
      <c r="F95" s="4" t="n">
        <v>33.35664742766458</v>
      </c>
      <c r="G95" s="4" t="n">
        <v>-1.285250898342362</v>
      </c>
      <c r="H95" s="4" t="n">
        <v>0.4284169661141206</v>
      </c>
    </row>
    <row r="96">
      <c r="A96" s="3" t="inlineStr">
        <is>
          <t>FY27</t>
        </is>
      </c>
      <c r="B96" s="3" t="inlineStr">
        <is>
          <t>flex</t>
        </is>
      </c>
      <c r="C96" s="4" t="n">
        <v>0.364173</v>
      </c>
      <c r="D96" s="3" t="n">
        <v>-2</v>
      </c>
      <c r="E96" s="4" t="n">
        <v>34.64189832600695</v>
      </c>
      <c r="F96" s="4" t="n">
        <v>33.79380759716878</v>
      </c>
      <c r="G96" s="4" t="n">
        <v>-0.8480907288381658</v>
      </c>
      <c r="H96" s="4" t="n">
        <v>0.4240453644190829</v>
      </c>
    </row>
    <row r="97">
      <c r="A97" s="3" t="inlineStr">
        <is>
          <t>FY27</t>
        </is>
      </c>
      <c r="B97" s="3" t="inlineStr">
        <is>
          <t>flex</t>
        </is>
      </c>
      <c r="C97" s="4" t="n">
        <v>0.364173</v>
      </c>
      <c r="D97" s="3" t="n">
        <v>-1</v>
      </c>
      <c r="E97" s="4" t="n">
        <v>34.64189832600695</v>
      </c>
      <c r="F97" s="4" t="n">
        <v>34.22213624809715</v>
      </c>
      <c r="G97" s="4" t="n">
        <v>-0.4197620779097946</v>
      </c>
      <c r="H97" s="4" t="n">
        <v>0.4197620779097946</v>
      </c>
    </row>
    <row r="98">
      <c r="A98" s="3" t="inlineStr">
        <is>
          <t>FY27</t>
        </is>
      </c>
      <c r="B98" s="3" t="inlineStr">
        <is>
          <t>flex</t>
        </is>
      </c>
      <c r="C98" s="4" t="n">
        <v>0.364173</v>
      </c>
      <c r="D98" s="3" t="n">
        <v>1</v>
      </c>
      <c r="E98" s="4" t="n">
        <v>34.64189832600695</v>
      </c>
      <c r="F98" s="4" t="n">
        <v>35.05334828356209</v>
      </c>
      <c r="G98" s="4" t="n">
        <v>0.4114499575551491</v>
      </c>
      <c r="H98" s="4" t="n">
        <v>0.4114499575551491</v>
      </c>
    </row>
    <row r="99">
      <c r="A99" s="3" t="inlineStr">
        <is>
          <t>FY27</t>
        </is>
      </c>
      <c r="B99" s="3" t="inlineStr">
        <is>
          <t>flex</t>
        </is>
      </c>
      <c r="C99" s="4" t="n">
        <v>0.364173</v>
      </c>
      <c r="D99" s="3" t="n">
        <v>2</v>
      </c>
      <c r="E99" s="4" t="n">
        <v>34.64189832600695</v>
      </c>
      <c r="F99" s="4" t="n">
        <v>35.45673059489067</v>
      </c>
      <c r="G99" s="4" t="n">
        <v>0.8148322688837268</v>
      </c>
      <c r="H99" s="4" t="n">
        <v>0.4074161344418634</v>
      </c>
    </row>
    <row r="100">
      <c r="A100" s="3" t="inlineStr">
        <is>
          <t>FY27</t>
        </is>
      </c>
      <c r="B100" s="3" t="inlineStr">
        <is>
          <t>full_flex</t>
        </is>
      </c>
      <c r="C100" s="4" t="n">
        <v>1</v>
      </c>
      <c r="D100" s="3" t="n">
        <v>-3</v>
      </c>
      <c r="E100" s="4" t="n">
        <v>34.64189832600695</v>
      </c>
      <c r="F100" s="4" t="n">
        <v>34.64189832600695</v>
      </c>
      <c r="G100" s="4" t="n">
        <v>0</v>
      </c>
      <c r="H100" s="4" t="n">
        <v>-0</v>
      </c>
    </row>
    <row r="101">
      <c r="A101" s="3" t="inlineStr">
        <is>
          <t>FY27</t>
        </is>
      </c>
      <c r="B101" s="3" t="inlineStr">
        <is>
          <t>full_flex</t>
        </is>
      </c>
      <c r="C101" s="4" t="n">
        <v>1</v>
      </c>
      <c r="D101" s="3" t="n">
        <v>-2</v>
      </c>
      <c r="E101" s="4" t="n">
        <v>34.64189832600695</v>
      </c>
      <c r="F101" s="4" t="n">
        <v>34.64189832600695</v>
      </c>
      <c r="G101" s="4" t="n">
        <v>0</v>
      </c>
      <c r="H101" s="4" t="n">
        <v>-0</v>
      </c>
    </row>
    <row r="102">
      <c r="A102" s="3" t="inlineStr">
        <is>
          <t>FY27</t>
        </is>
      </c>
      <c r="B102" s="3" t="inlineStr">
        <is>
          <t>full_flex</t>
        </is>
      </c>
      <c r="C102" s="4" t="n">
        <v>1</v>
      </c>
      <c r="D102" s="3" t="n">
        <v>-1</v>
      </c>
      <c r="E102" s="4" t="n">
        <v>34.64189832600695</v>
      </c>
      <c r="F102" s="4" t="n">
        <v>34.64189832600694</v>
      </c>
      <c r="G102" s="4" t="n">
        <v>-7.105427357601002e-15</v>
      </c>
      <c r="H102" s="4" t="n">
        <v>7.105427357601002e-15</v>
      </c>
    </row>
    <row r="103">
      <c r="A103" s="3" t="inlineStr">
        <is>
          <t>FY27</t>
        </is>
      </c>
      <c r="B103" s="3" t="inlineStr">
        <is>
          <t>full_flex</t>
        </is>
      </c>
      <c r="C103" s="4" t="n">
        <v>1</v>
      </c>
      <c r="D103" s="3" t="n">
        <v>1</v>
      </c>
      <c r="E103" s="4" t="n">
        <v>34.64189832600695</v>
      </c>
      <c r="F103" s="4" t="n">
        <v>34.64189832600695</v>
      </c>
      <c r="G103" s="4" t="n">
        <v>0</v>
      </c>
      <c r="H103" s="4" t="n">
        <v>0</v>
      </c>
    </row>
    <row r="104">
      <c r="A104" s="3" t="inlineStr">
        <is>
          <t>FY27</t>
        </is>
      </c>
      <c r="B104" s="3" t="inlineStr">
        <is>
          <t>full_flex</t>
        </is>
      </c>
      <c r="C104" s="4" t="n">
        <v>1</v>
      </c>
      <c r="D104" s="3" t="n">
        <v>2</v>
      </c>
      <c r="E104" s="4" t="n">
        <v>34.64189832600695</v>
      </c>
      <c r="F104" s="4" t="n">
        <v>34.64189832600695</v>
      </c>
      <c r="G104" s="4" t="n">
        <v>0</v>
      </c>
      <c r="H104" s="4" t="n">
        <v>0</v>
      </c>
    </row>
    <row r="106">
      <c r="A106" s="1" t="inlineStr">
        <is>
          <t>FY26 'at least 35.5%' floor — how large a 2H26 revenue shortfall it survives</t>
        </is>
      </c>
    </row>
    <row r="107">
      <c r="A107" s="2" t="inlineStr">
        <is>
          <t>cost_response</t>
        </is>
      </c>
      <c r="B107" s="2" t="inlineStr">
        <is>
          <t>k</t>
        </is>
      </c>
      <c r="C107" s="2" t="inlineStr">
        <is>
          <t>floor_pct</t>
        </is>
      </c>
      <c r="D107" s="2" t="inlineStr">
        <is>
          <t>fy26_margin_base_pct</t>
        </is>
      </c>
      <c r="E107" s="2" t="inlineStr">
        <is>
          <t>cushion_pp</t>
        </is>
      </c>
      <c r="F107" s="2" t="inlineStr">
        <is>
          <t>breakeven_2h26_shortfall_pct</t>
        </is>
      </c>
      <c r="G107" s="2" t="inlineStr">
        <is>
          <t>breakeven_2h26_shortfall_musd</t>
        </is>
      </c>
    </row>
    <row r="108">
      <c r="A108" s="3" t="inlineStr">
        <is>
          <t>held</t>
        </is>
      </c>
      <c r="B108" s="4" t="n">
        <v>0</v>
      </c>
      <c r="C108" s="4" t="n">
        <v>35.5</v>
      </c>
      <c r="D108" s="4" t="n">
        <v>35.72661133621728</v>
      </c>
      <c r="E108" s="4" t="n">
        <v>0.2266113362172817</v>
      </c>
      <c r="F108" s="4" t="n">
        <v>0.628014772014035</v>
      </c>
      <c r="G108" s="4" t="n">
        <v>50.12903904732857</v>
      </c>
    </row>
    <row r="109">
      <c r="A109" s="3" t="inlineStr">
        <is>
          <t>flex</t>
        </is>
      </c>
      <c r="B109" s="4" t="n">
        <v>0.364173</v>
      </c>
      <c r="C109" s="4" t="n">
        <v>35.5</v>
      </c>
      <c r="D109" s="4" t="n">
        <v>35.72661133621728</v>
      </c>
      <c r="E109" s="4" t="n">
        <v>0.2266113362172817</v>
      </c>
      <c r="F109" s="4" t="n">
        <v>0.9372618920652276</v>
      </c>
      <c r="G109" s="4" t="n">
        <v>74.8135873209378</v>
      </c>
    </row>
    <row r="110">
      <c r="A110" s="3" t="inlineStr">
        <is>
          <t>full_flex</t>
        </is>
      </c>
      <c r="B110" s="4" t="n">
        <v>1</v>
      </c>
      <c r="C110" s="4" t="n">
        <v>35.5</v>
      </c>
      <c r="D110" s="4" t="n">
        <v>35.72661133621728</v>
      </c>
      <c r="E110" s="4" t="n">
        <v>0.2266113362172817</v>
      </c>
      <c r="F110" s="4" t="n">
        <v>6.682307761457558</v>
      </c>
      <c r="G110" s="4" t="n">
        <v>533.3913812665644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9" customWidth="1" min="4" max="4"/>
    <col width="18" customWidth="1" min="5" max="5"/>
    <col width="12" customWidth="1" min="6" max="6"/>
    <col width="19" customWidth="1" min="7" max="7"/>
    <col width="18" customWidth="1" min="8" max="8"/>
    <col width="17" customWidth="1" min="9" max="9"/>
    <col width="12" customWidth="1" min="10" max="10"/>
    <col width="22" customWidth="1" min="11" max="11"/>
    <col width="21" customWidth="1" min="12" max="12"/>
    <col width="17" customWidth="1" min="13" max="13"/>
    <col width="15" customWidth="1" min="14" max="14"/>
    <col width="12" customWidth="1" min="15" max="15"/>
    <col width="23" customWidth="1" min="16" max="16"/>
    <col width="12" customWidth="1" min="17" max="17"/>
  </cols>
  <sheetData>
    <row r="1">
      <c r="A1" s="1" t="inlineStr">
        <is>
          <t>Model vs consensus. LSEG pull 2026-09-11 (WS03); Bloomberg BEST pull 2026-09-05</t>
        </is>
      </c>
    </row>
    <row r="2">
      <c r="A2" s="2" t="inlineStr">
        <is>
          <t>period</t>
        </is>
      </c>
      <c r="B2" s="2" t="inlineStr">
        <is>
          <t>kind</t>
        </is>
      </c>
      <c r="C2" s="2" t="inlineStr">
        <is>
          <t>model_revenue_musd</t>
        </is>
      </c>
      <c r="D2" s="2" t="inlineStr">
        <is>
          <t>model_ebitda_musd</t>
        </is>
      </c>
      <c r="E2" s="2" t="inlineStr">
        <is>
          <t>model_margin_pct</t>
        </is>
      </c>
      <c r="F2" s="2" t="inlineStr">
        <is>
          <t>model_eps</t>
        </is>
      </c>
      <c r="G2" s="2" t="inlineStr">
        <is>
          <t>lseg_revenue_musd</t>
        </is>
      </c>
      <c r="H2" s="2" t="inlineStr">
        <is>
          <t>lseg_ebitda_musd</t>
        </is>
      </c>
      <c r="I2" s="2" t="inlineStr">
        <is>
          <t>lseg_margin_pct</t>
        </is>
      </c>
      <c r="J2" s="2" t="inlineStr">
        <is>
          <t>lseg_n</t>
        </is>
      </c>
      <c r="K2" s="2" t="inlineStr">
        <is>
          <t>lseg_revenue_sd_musd</t>
        </is>
      </c>
      <c r="L2" s="2" t="inlineStr">
        <is>
          <t>lseg_ebitda_sd_musd</t>
        </is>
      </c>
      <c r="M2" s="2" t="inlineStr">
        <is>
          <t>gap_ebitda_musd</t>
        </is>
      </c>
      <c r="N2" s="2" t="inlineStr">
        <is>
          <t>gap_margin_pp</t>
        </is>
      </c>
      <c r="O2" s="2" t="inlineStr">
        <is>
          <t>lseg_eps</t>
        </is>
      </c>
      <c r="P2" s="2" t="inlineStr">
        <is>
          <t>bloomberg_ebitda_musd</t>
        </is>
      </c>
      <c r="Q2" s="2" t="inlineStr">
        <is>
          <t>gap_eps</t>
        </is>
      </c>
    </row>
    <row r="3">
      <c r="A3" s="3" t="inlineStr">
        <is>
          <t>2026Q3</t>
        </is>
      </c>
      <c r="B3" s="3" t="inlineStr">
        <is>
          <t>quarter</t>
        </is>
      </c>
      <c r="C3" s="4" t="n">
        <v>4804.0355</v>
      </c>
      <c r="D3" s="4" t="n">
        <v>2399.132402388442</v>
      </c>
      <c r="E3" s="4" t="n">
        <v>49.93993908638773</v>
      </c>
      <c r="F3" s="4" t="n">
        <v>2.87890641250624</v>
      </c>
      <c r="G3" s="4" t="n">
        <v>4744.32212</v>
      </c>
      <c r="H3" s="4" t="n">
        <v>2361.52179</v>
      </c>
      <c r="I3" s="4" t="n">
        <v>49.77574730950182</v>
      </c>
      <c r="J3" s="4" t="n">
        <v>36</v>
      </c>
      <c r="K3" s="4" t="n">
        <v>24.27626</v>
      </c>
      <c r="L3" s="4" t="n">
        <v>20.0425</v>
      </c>
      <c r="M3" s="4" t="n">
        <v>37.61061238844241</v>
      </c>
      <c r="N3" s="4" t="n">
        <v>0.1641917768859073</v>
      </c>
      <c r="O3" s="3" t="n"/>
      <c r="P3" s="3" t="n"/>
      <c r="Q3" s="3" t="n"/>
    </row>
    <row r="4">
      <c r="A4" s="3" t="inlineStr">
        <is>
          <t>2026Q4</t>
        </is>
      </c>
      <c r="B4" s="3" t="inlineStr">
        <is>
          <t>quarter</t>
        </is>
      </c>
      <c r="C4" s="4" t="n">
        <v>3178.1078</v>
      </c>
      <c r="D4" s="4" t="n">
        <v>918.391699297086</v>
      </c>
      <c r="E4" s="4" t="n">
        <v>28.897437</v>
      </c>
      <c r="F4" s="4" t="n">
        <v>0.7960160139155779</v>
      </c>
      <c r="G4" s="4" t="n">
        <v>3161.81627</v>
      </c>
      <c r="H4" s="4" t="n">
        <v>913.68388</v>
      </c>
      <c r="I4" s="4" t="n">
        <v>28.89743748456326</v>
      </c>
      <c r="J4" s="4" t="n">
        <v>36</v>
      </c>
      <c r="K4" s="4" t="n">
        <v>48.55902</v>
      </c>
      <c r="L4" s="4" t="n">
        <v>26.52396</v>
      </c>
      <c r="M4" s="4" t="n">
        <v>4.707819297085962</v>
      </c>
      <c r="N4" s="4" t="n">
        <v>-4.845632659566945e-07</v>
      </c>
      <c r="O4" s="3" t="n"/>
      <c r="P4" s="3" t="n"/>
      <c r="Q4" s="3" t="n"/>
    </row>
    <row r="5">
      <c r="A5" s="3" t="inlineStr">
        <is>
          <t>2027Q1</t>
        </is>
      </c>
      <c r="B5" s="3" t="inlineStr">
        <is>
          <t>quarter</t>
        </is>
      </c>
      <c r="C5" s="4" t="n">
        <v>3053.1293</v>
      </c>
      <c r="D5" s="4" t="n">
        <v>594.4510405569569</v>
      </c>
      <c r="E5" s="4" t="n">
        <v>19.47022160368239</v>
      </c>
      <c r="F5" s="4" t="n">
        <v>0.3713775981970463</v>
      </c>
      <c r="G5" s="4" t="n">
        <v>3010.32375</v>
      </c>
      <c r="H5" s="4" t="n">
        <v>610.73207</v>
      </c>
      <c r="I5" s="4" t="n">
        <v>20.28791986244005</v>
      </c>
      <c r="J5" s="4" t="n">
        <v>19</v>
      </c>
      <c r="K5" s="4" t="n">
        <v>49.4461</v>
      </c>
      <c r="L5" s="3" t="n"/>
      <c r="M5" s="4" t="n">
        <v>-16.28102944304317</v>
      </c>
      <c r="N5" s="4" t="n">
        <v>-0.8176982587576553</v>
      </c>
      <c r="O5" s="3" t="n"/>
      <c r="P5" s="3" t="n"/>
      <c r="Q5" s="3" t="n"/>
    </row>
    <row r="6">
      <c r="A6" s="3" t="inlineStr">
        <is>
          <t>2027Q2</t>
        </is>
      </c>
      <c r="B6" s="3" t="inlineStr">
        <is>
          <t>quarter</t>
        </is>
      </c>
      <c r="C6" s="4" t="n">
        <v>4028.9807</v>
      </c>
      <c r="D6" s="4" t="n">
        <v>1371.299634093322</v>
      </c>
      <c r="E6" s="4" t="n">
        <v>34.03589483795052</v>
      </c>
      <c r="F6" s="4" t="n">
        <v>1.396401777673697</v>
      </c>
      <c r="G6" s="4" t="n">
        <v>4036.93556</v>
      </c>
      <c r="H6" s="4" t="n">
        <v>1451.71427</v>
      </c>
      <c r="I6" s="4" t="n">
        <v>35.96079869057905</v>
      </c>
      <c r="J6" s="4" t="n">
        <v>19</v>
      </c>
      <c r="K6" s="4" t="n">
        <v>120.0081</v>
      </c>
      <c r="L6" s="3" t="n"/>
      <c r="M6" s="4" t="n">
        <v>-80.4146359066774</v>
      </c>
      <c r="N6" s="4" t="n">
        <v>-1.924903852628532</v>
      </c>
      <c r="O6" s="3" t="n"/>
      <c r="P6" s="3" t="n"/>
      <c r="Q6" s="3" t="n"/>
    </row>
    <row r="7">
      <c r="A7" s="3" t="inlineStr">
        <is>
          <t>2027Q3</t>
        </is>
      </c>
      <c r="B7" s="3" t="inlineStr">
        <is>
          <t>quarter</t>
        </is>
      </c>
      <c r="C7" s="4" t="n">
        <v>5280.7325</v>
      </c>
      <c r="D7" s="4" t="n">
        <v>2550.76399749625</v>
      </c>
      <c r="E7" s="4" t="n">
        <v>48.30322303764203</v>
      </c>
      <c r="F7" s="4" t="n">
        <v>3.15602871980846</v>
      </c>
      <c r="G7" s="4" t="n">
        <v>5269.96729</v>
      </c>
      <c r="H7" s="4" t="n">
        <v>2695.55277</v>
      </c>
      <c r="I7" s="4" t="n">
        <v>51.14932639363688</v>
      </c>
      <c r="J7" s="4" t="n">
        <v>17</v>
      </c>
      <c r="K7" s="4" t="n">
        <v>94.58991</v>
      </c>
      <c r="L7" s="3" t="n"/>
      <c r="M7" s="4" t="n">
        <v>-144.7887725037494</v>
      </c>
      <c r="N7" s="4" t="n">
        <v>-2.846103355994842</v>
      </c>
      <c r="O7" s="3" t="n"/>
      <c r="P7" s="3" t="n"/>
      <c r="Q7" s="3" t="n"/>
    </row>
    <row r="8">
      <c r="A8" s="3" t="inlineStr">
        <is>
          <t>2027Q4</t>
        </is>
      </c>
      <c r="B8" s="3" t="inlineStr">
        <is>
          <t>quarter</t>
        </is>
      </c>
      <c r="C8" s="4" t="n">
        <v>3465.7641</v>
      </c>
      <c r="D8" s="4" t="n">
        <v>966.8151326490954</v>
      </c>
      <c r="E8" s="4" t="n">
        <v>27.89616098363692</v>
      </c>
      <c r="F8" s="4" t="n">
        <v>0.820740501694084</v>
      </c>
      <c r="G8" s="4" t="n">
        <v>3528.91936</v>
      </c>
      <c r="H8" s="4" t="n">
        <v>1068.39608</v>
      </c>
      <c r="I8" s="4" t="n">
        <v>30.27544613544244</v>
      </c>
      <c r="J8" s="4" t="n">
        <v>17</v>
      </c>
      <c r="K8" s="4" t="n">
        <v>72.37043</v>
      </c>
      <c r="L8" s="3" t="n"/>
      <c r="M8" s="4" t="n">
        <v>-101.5809473509046</v>
      </c>
      <c r="N8" s="4" t="n">
        <v>-2.379285151805515</v>
      </c>
      <c r="O8" s="3" t="n"/>
      <c r="P8" s="3" t="n"/>
      <c r="Q8" s="3" t="n"/>
    </row>
    <row r="9">
      <c r="A9" s="3" t="inlineStr">
        <is>
          <t>FY26</t>
        </is>
      </c>
      <c r="B9" s="3" t="inlineStr">
        <is>
          <t>annual</t>
        </is>
      </c>
      <c r="C9" s="4" t="n">
        <v>14268.1434</v>
      </c>
      <c r="D9" s="4" t="n">
        <v>5097.524101685529</v>
      </c>
      <c r="E9" s="4" t="n">
        <v>35.72661108582304</v>
      </c>
      <c r="F9" s="4" t="n">
        <v>5.2808868667783</v>
      </c>
      <c r="G9" s="4" t="n">
        <v>14189.55705</v>
      </c>
      <c r="H9" s="4" t="n">
        <v>5053.72214</v>
      </c>
      <c r="I9" s="4" t="n">
        <v>35.61578506074648</v>
      </c>
      <c r="J9" s="4" t="n">
        <v>44</v>
      </c>
      <c r="K9" s="4" t="n">
        <v>59.21929</v>
      </c>
      <c r="L9" s="4" t="n">
        <v>40.21549</v>
      </c>
      <c r="M9" s="4" t="n">
        <v>43.80196168552902</v>
      </c>
      <c r="N9" s="4" t="n">
        <v>0.1108260250765553</v>
      </c>
      <c r="O9" s="4" t="n">
        <v>5.31259</v>
      </c>
      <c r="P9" s="4" t="n">
        <v>5046.838</v>
      </c>
      <c r="Q9" s="4" t="n">
        <v>-0.0317031332216997</v>
      </c>
    </row>
    <row r="10">
      <c r="A10" s="3" t="inlineStr">
        <is>
          <t>FY27</t>
        </is>
      </c>
      <c r="B10" s="3" t="inlineStr">
        <is>
          <t>annual</t>
        </is>
      </c>
      <c r="C10" s="4" t="n">
        <v>15828.6067</v>
      </c>
      <c r="D10" s="4" t="n">
        <v>5483.329804795625</v>
      </c>
      <c r="E10" s="4" t="n">
        <v>34.64189810715067</v>
      </c>
      <c r="F10" s="4" t="n">
        <v>5.730111538363214</v>
      </c>
      <c r="G10" s="4" t="n">
        <v>15819.33924</v>
      </c>
      <c r="H10" s="4" t="n">
        <v>5766.09917</v>
      </c>
      <c r="I10" s="4" t="n">
        <v>36.44968403876268</v>
      </c>
      <c r="J10" s="4" t="n">
        <v>44</v>
      </c>
      <c r="K10" s="4" t="n">
        <v>258.17766</v>
      </c>
      <c r="L10" s="4" t="n">
        <v>154.22275</v>
      </c>
      <c r="M10" s="4" t="n">
        <v>-282.7693652043754</v>
      </c>
      <c r="N10" s="4" t="n">
        <v>-1.807785931612002</v>
      </c>
      <c r="O10" s="4" t="n">
        <v>6.22753</v>
      </c>
      <c r="P10" s="3" t="n"/>
      <c r="Q10" s="4" t="n">
        <v>-0.4974184616367862</v>
      </c>
    </row>
    <row r="11">
      <c r="A11" s="3" t="inlineStr">
        <is>
          <t>FY28</t>
        </is>
      </c>
      <c r="B11" s="3" t="inlineStr">
        <is>
          <t>annual</t>
        </is>
      </c>
      <c r="C11" s="4" t="n">
        <v>17137.441</v>
      </c>
      <c r="D11" s="4" t="n">
        <v>5936.734849393063</v>
      </c>
      <c r="E11" s="4" t="n">
        <v>34.64189810715067</v>
      </c>
      <c r="F11" s="4" t="n">
        <v>6.268542833308739</v>
      </c>
      <c r="G11" s="4" t="n">
        <v>17535.09557</v>
      </c>
      <c r="H11" s="4" t="n">
        <v>6602.71735</v>
      </c>
      <c r="I11" s="4" t="n">
        <v>37.65429919467499</v>
      </c>
      <c r="J11" s="4" t="n">
        <v>26</v>
      </c>
      <c r="K11" s="4" t="n">
        <v>513.94985</v>
      </c>
      <c r="L11" s="4" t="n">
        <v>271.9227</v>
      </c>
      <c r="M11" s="4" t="n">
        <v>-665.9825006069368</v>
      </c>
      <c r="N11" s="4" t="n">
        <v>-3.012401087524317</v>
      </c>
      <c r="O11" s="4" t="n">
        <v>7.51977</v>
      </c>
      <c r="P11" s="3" t="n"/>
      <c r="Q11" s="4" t="n">
        <v>-1.251227166691261</v>
      </c>
    </row>
    <row r="13">
      <c r="A13" s="1" t="inlineStr">
        <is>
          <t>Prior team numbers, and which are carried</t>
        </is>
      </c>
    </row>
    <row r="14">
      <c r="A14" s="2" t="inlineStr">
        <is>
          <t>prior team number</t>
        </is>
      </c>
      <c r="B14" s="2" t="inlineStr">
        <is>
          <t>value</t>
        </is>
      </c>
      <c r="C14" s="2" t="inlineStr">
        <is>
          <t>source / status</t>
        </is>
      </c>
    </row>
    <row r="15">
      <c r="A15" s="3" t="inlineStr">
        <is>
          <t>Management, 3Q26</t>
        </is>
      </c>
      <c r="B15" s="3" t="inlineStr">
        <is>
          <t>margin down slightly vs 3Q25 (50.085%)</t>
        </is>
      </c>
      <c r="C15" s="3" t="inlineStr">
        <is>
          <t>2Q26 letter 6 Aug 2026</t>
        </is>
      </c>
    </row>
    <row r="16">
      <c r="A16" s="3" t="inlineStr">
        <is>
          <t>Management, FY26</t>
        </is>
      </c>
      <c r="B16" s="3" t="inlineStr">
        <is>
          <t>adj EBITDA margin at least 35.5%</t>
        </is>
      </c>
      <c r="C16" s="3" t="inlineStr">
        <is>
          <t>2Q26 letter 6 Aug 2026</t>
        </is>
      </c>
    </row>
    <row r="17">
      <c r="A17" s="3" t="inlineStr">
        <is>
          <t>WS30 margin walk, 3Q26 / 4Q26</t>
        </is>
      </c>
      <c r="B17" s="3" t="inlineStr">
        <is>
          <t>50.80% / 29.70%</t>
        </is>
      </c>
      <c r="C17" s="3" t="inlineStr">
        <is>
          <t>research/notes/overnight/30_margin-walk.md</t>
        </is>
      </c>
    </row>
    <row r="18">
      <c r="A18" s="3" t="inlineStr">
        <is>
          <t>WS31b base profile, 3Q26 / 4Q26</t>
        </is>
      </c>
      <c r="B18" s="3" t="inlineStr">
        <is>
          <t>51.30% / 24.65%</t>
        </is>
      </c>
      <c r="C18" s="3" t="inlineStr">
        <is>
          <t>31b_operating-profile.md — 4Q26 is 3-4pp below every method and the Street; NOT carried</t>
        </is>
      </c>
    </row>
    <row r="19">
      <c r="A19" s="3" t="inlineStr">
        <is>
          <t>WS31b management profile, 3Q26 / 4Q26</t>
        </is>
      </c>
      <c r="B19" s="3" t="inlineStr">
        <is>
          <t>52.15% / 25.93%</t>
        </is>
      </c>
      <c r="C19" s="3" t="inlineStr">
        <is>
          <t>same — NOT carried</t>
        </is>
      </c>
    </row>
    <row r="20">
      <c r="A20" s="3" t="inlineStr">
        <is>
          <t>WS07 lever model</t>
        </is>
      </c>
      <c r="B20" s="3" t="inlineStr">
        <is>
          <t>cost lines per night</t>
        </is>
      </c>
      <c r="C20" s="3" t="inlineStr">
        <is>
          <t>research/notes/overnight/07_ops-and-margin-levers.md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25" customWidth="1" min="5" max="5"/>
    <col width="28" customWidth="1" min="6" max="6"/>
    <col width="26" customWidth="1" min="7" max="7"/>
    <col width="16" customWidth="1" min="8" max="8"/>
    <col width="20" customWidth="1" min="9" max="9"/>
  </cols>
  <sheetData>
    <row r="1">
      <c r="A1" s="1" t="inlineStr">
        <is>
          <t>Quarterly seasonal profile with the mechanical (cost of revenue + operations &amp; support) vs discretionary (product dev + S&amp;M + G&amp;A) split</t>
        </is>
      </c>
    </row>
    <row r="2">
      <c r="A2" s="2" t="inlineStr">
        <is>
          <t>quarter</t>
        </is>
      </c>
      <c r="B2" s="2" t="inlineStr">
        <is>
          <t>quarter_of_year</t>
        </is>
      </c>
      <c r="C2" s="2" t="inlineStr">
        <is>
          <t>revenue_musd</t>
        </is>
      </c>
      <c r="D2" s="2" t="inlineStr">
        <is>
          <t>margin_pct</t>
        </is>
      </c>
      <c r="E2" s="2" t="inlineStr">
        <is>
          <t>mechanical_cost_pct_rev</t>
        </is>
      </c>
      <c r="F2" s="2" t="inlineStr">
        <is>
          <t>discretionary_cost_pct_rev</t>
        </is>
      </c>
      <c r="G2" s="2" t="inlineStr">
        <is>
          <t>hist_margin_mean_2022_26</t>
        </is>
      </c>
      <c r="H2" s="2" t="inlineStr">
        <is>
          <t>hist_margin_sd</t>
        </is>
      </c>
      <c r="I2" s="2" t="inlineStr">
        <is>
          <t>hist_rev_share_pct</t>
        </is>
      </c>
    </row>
    <row r="3">
      <c r="A3" s="3" t="inlineStr">
        <is>
          <t>2022Q1</t>
        </is>
      </c>
      <c r="B3" s="3" t="n">
        <v>1</v>
      </c>
      <c r="C3" s="4" t="n">
        <v>1508.937</v>
      </c>
      <c r="D3" s="4" t="n">
        <v>15.17624658948651</v>
      </c>
      <c r="E3" s="4" t="n">
        <v>38.69876608499892</v>
      </c>
      <c r="F3" s="4" t="n">
        <v>48.77069089034202</v>
      </c>
      <c r="G3" s="3" t="n"/>
      <c r="H3" s="3" t="n"/>
      <c r="I3" s="3" t="n"/>
    </row>
    <row r="4">
      <c r="A4" s="3" t="inlineStr">
        <is>
          <t>2022Q2</t>
        </is>
      </c>
      <c r="B4" s="3" t="n">
        <v>2</v>
      </c>
      <c r="C4" s="4" t="n">
        <v>2104.107</v>
      </c>
      <c r="D4" s="4" t="n">
        <v>33.79105720383992</v>
      </c>
      <c r="E4" s="4" t="n">
        <v>30.01639175194037</v>
      </c>
      <c r="F4" s="4" t="n">
        <v>36.39719843144859</v>
      </c>
      <c r="G4" s="3" t="n"/>
      <c r="H4" s="3" t="n"/>
      <c r="I4" s="3" t="n"/>
    </row>
    <row r="5">
      <c r="A5" s="3" t="inlineStr">
        <is>
          <t>2022Q3</t>
        </is>
      </c>
      <c r="B5" s="3" t="n">
        <v>3</v>
      </c>
      <c r="C5" s="4" t="n">
        <v>2884.41</v>
      </c>
      <c r="D5" s="4" t="n">
        <v>50.51292985393894</v>
      </c>
      <c r="E5" s="4" t="n">
        <v>23.30851023259523</v>
      </c>
      <c r="F5" s="4" t="n">
        <v>26.6328295908002</v>
      </c>
      <c r="G5" s="3" t="n"/>
      <c r="H5" s="3" t="n"/>
      <c r="I5" s="3" t="n"/>
    </row>
    <row r="6">
      <c r="A6" s="3" t="inlineStr">
        <is>
          <t>2022Q4</t>
        </is>
      </c>
      <c r="B6" s="3" t="n">
        <v>4</v>
      </c>
      <c r="C6" s="4" t="n">
        <v>1902</v>
      </c>
      <c r="D6" s="4" t="n">
        <v>26.60357518401682</v>
      </c>
      <c r="E6" s="4" t="n">
        <v>30.91482649842272</v>
      </c>
      <c r="F6" s="4" t="n">
        <v>43.05993690851735</v>
      </c>
      <c r="G6" s="3" t="n"/>
      <c r="H6" s="3" t="n"/>
      <c r="I6" s="3" t="n"/>
    </row>
    <row r="7">
      <c r="A7" s="3" t="inlineStr">
        <is>
          <t>2023Q1</t>
        </is>
      </c>
      <c r="B7" s="3" t="n">
        <v>1</v>
      </c>
      <c r="C7" s="4" t="n">
        <v>1818</v>
      </c>
      <c r="D7" s="4" t="n">
        <v>14.41144114411441</v>
      </c>
      <c r="E7" s="4" t="n">
        <v>38.22882288228823</v>
      </c>
      <c r="F7" s="4" t="n">
        <v>48.62486248624862</v>
      </c>
      <c r="G7" s="3" t="n"/>
      <c r="H7" s="3" t="n"/>
      <c r="I7" s="3" t="n"/>
    </row>
    <row r="8">
      <c r="A8" s="3" t="inlineStr">
        <is>
          <t>2023Q2</t>
        </is>
      </c>
      <c r="B8" s="3" t="n">
        <v>2</v>
      </c>
      <c r="C8" s="4" t="n">
        <v>2484</v>
      </c>
      <c r="D8" s="4" t="n">
        <v>32.97101449275362</v>
      </c>
      <c r="E8" s="4" t="n">
        <v>29.38808373590982</v>
      </c>
      <c r="F8" s="4" t="n">
        <v>37.39935587761675</v>
      </c>
      <c r="G8" s="3" t="n"/>
      <c r="H8" s="3" t="n"/>
      <c r="I8" s="3" t="n"/>
    </row>
    <row r="9">
      <c r="A9" s="3" t="inlineStr">
        <is>
          <t>2023Q3</t>
        </is>
      </c>
      <c r="B9" s="3" t="n">
        <v>3</v>
      </c>
      <c r="C9" s="4" t="n">
        <v>3397</v>
      </c>
      <c r="D9" s="4" t="n">
        <v>53.98881365911098</v>
      </c>
      <c r="E9" s="4" t="n">
        <v>22.31380629967618</v>
      </c>
      <c r="F9" s="4" t="n">
        <v>24.02119517221077</v>
      </c>
      <c r="G9" s="3" t="n"/>
      <c r="H9" s="3" t="n"/>
      <c r="I9" s="3" t="n"/>
    </row>
    <row r="10">
      <c r="A10" s="3" t="inlineStr">
        <is>
          <t>2023Q4</t>
        </is>
      </c>
      <c r="B10" s="3" t="n">
        <v>4</v>
      </c>
      <c r="C10" s="4" t="n">
        <v>2218</v>
      </c>
      <c r="D10" s="4" t="n">
        <v>33.27321911632101</v>
      </c>
      <c r="E10" s="4" t="n">
        <v>28.76465284039676</v>
      </c>
      <c r="F10" s="4" t="n">
        <v>38.54824165915239</v>
      </c>
      <c r="G10" s="3" t="n"/>
      <c r="H10" s="3" t="n"/>
      <c r="I10" s="3" t="n"/>
    </row>
    <row r="11">
      <c r="A11" s="3" t="inlineStr">
        <is>
          <t>2024Q1</t>
        </is>
      </c>
      <c r="B11" s="3" t="n">
        <v>1</v>
      </c>
      <c r="C11" s="4" t="n">
        <v>2142</v>
      </c>
      <c r="D11" s="4" t="n">
        <v>19.79458450046685</v>
      </c>
      <c r="E11" s="4" t="n">
        <v>34.82726423902894</v>
      </c>
      <c r="F11" s="4" t="n">
        <v>46.31185807656396</v>
      </c>
      <c r="G11" s="3" t="n"/>
      <c r="H11" s="3" t="n"/>
      <c r="I11" s="3" t="n"/>
    </row>
    <row r="12">
      <c r="A12" s="3" t="inlineStr">
        <is>
          <t>2024Q2</t>
        </is>
      </c>
      <c r="B12" s="3" t="n">
        <v>2</v>
      </c>
      <c r="C12" s="4" t="n">
        <v>2748</v>
      </c>
      <c r="D12" s="4" t="n">
        <v>32.53275109170306</v>
      </c>
      <c r="E12" s="4" t="n">
        <v>29.83988355167394</v>
      </c>
      <c r="F12" s="4" t="n">
        <v>38.17321688500728</v>
      </c>
      <c r="G12" s="3" t="n"/>
      <c r="H12" s="3" t="n"/>
      <c r="I12" s="3" t="n"/>
    </row>
    <row r="13">
      <c r="A13" s="3" t="inlineStr">
        <is>
          <t>2024Q3</t>
        </is>
      </c>
      <c r="B13" s="3" t="n">
        <v>3</v>
      </c>
      <c r="C13" s="4" t="n">
        <v>3732</v>
      </c>
      <c r="D13" s="4" t="n">
        <v>52.46516613076098</v>
      </c>
      <c r="E13" s="4" t="n">
        <v>21.7577706323687</v>
      </c>
      <c r="F13" s="4" t="n">
        <v>26.12540192926045</v>
      </c>
      <c r="G13" s="3" t="n"/>
      <c r="H13" s="3" t="n"/>
      <c r="I13" s="3" t="n"/>
    </row>
    <row r="14">
      <c r="A14" s="3" t="inlineStr">
        <is>
          <t>2024Q4</t>
        </is>
      </c>
      <c r="B14" s="3" t="n">
        <v>4</v>
      </c>
      <c r="C14" s="4" t="n">
        <v>2480</v>
      </c>
      <c r="D14" s="4" t="n">
        <v>30.84677419354839</v>
      </c>
      <c r="E14" s="4" t="n">
        <v>27.90322580645162</v>
      </c>
      <c r="F14" s="4" t="n">
        <v>41.65322580645161</v>
      </c>
      <c r="G14" s="3" t="n"/>
      <c r="H14" s="3" t="n"/>
      <c r="I14" s="3" t="n"/>
    </row>
    <row r="15">
      <c r="A15" s="3" t="inlineStr">
        <is>
          <t>2025Q1</t>
        </is>
      </c>
      <c r="B15" s="3" t="n">
        <v>1</v>
      </c>
      <c r="C15" s="4" t="n">
        <v>2272</v>
      </c>
      <c r="D15" s="4" t="n">
        <v>18.35387323943662</v>
      </c>
      <c r="E15" s="4" t="n">
        <v>34.6830985915493</v>
      </c>
      <c r="F15" s="4" t="n">
        <v>48.06338028169014</v>
      </c>
      <c r="G15" s="3" t="n"/>
      <c r="H15" s="3" t="n"/>
      <c r="I15" s="3" t="n"/>
    </row>
    <row r="16">
      <c r="A16" s="3" t="inlineStr">
        <is>
          <t>2025Q2</t>
        </is>
      </c>
      <c r="B16" s="3" t="n">
        <v>2</v>
      </c>
      <c r="C16" s="4" t="n">
        <v>3096</v>
      </c>
      <c r="D16" s="4" t="n">
        <v>33.68863049095607</v>
      </c>
      <c r="E16" s="4" t="n">
        <v>27.55167958656331</v>
      </c>
      <c r="F16" s="4" t="n">
        <v>39.21188630490956</v>
      </c>
      <c r="G16" s="3" t="n"/>
      <c r="H16" s="3" t="n"/>
      <c r="I16" s="3" t="n"/>
    </row>
    <row r="17">
      <c r="A17" s="3" t="inlineStr">
        <is>
          <t>2025Q3</t>
        </is>
      </c>
      <c r="B17" s="3" t="n">
        <v>3</v>
      </c>
      <c r="C17" s="4" t="n">
        <v>4095</v>
      </c>
      <c r="D17" s="4" t="n">
        <v>50.08547008547009</v>
      </c>
      <c r="E17" s="4" t="n">
        <v>21.78266178266178</v>
      </c>
      <c r="F17" s="4" t="n">
        <v>28.69352869352869</v>
      </c>
      <c r="G17" s="3" t="n"/>
      <c r="H17" s="3" t="n"/>
      <c r="I17" s="3" t="n"/>
    </row>
    <row r="18">
      <c r="A18" s="3" t="inlineStr">
        <is>
          <t>2025Q4</t>
        </is>
      </c>
      <c r="B18" s="3" t="n">
        <v>4</v>
      </c>
      <c r="C18" s="4" t="n">
        <v>2778</v>
      </c>
      <c r="D18" s="4" t="n">
        <v>28.29373650107992</v>
      </c>
      <c r="E18" s="4" t="n">
        <v>28.43772498200144</v>
      </c>
      <c r="F18" s="4" t="n">
        <v>44.16846652267819</v>
      </c>
      <c r="G18" s="3" t="n"/>
      <c r="H18" s="3" t="n"/>
      <c r="I18" s="3" t="n"/>
    </row>
    <row r="19">
      <c r="A19" s="3" t="inlineStr">
        <is>
          <t>2026Q1</t>
        </is>
      </c>
      <c r="B19" s="3" t="n">
        <v>1</v>
      </c>
      <c r="C19" s="4" t="n">
        <v>2678</v>
      </c>
      <c r="D19" s="4" t="n">
        <v>19.38013442867812</v>
      </c>
      <c r="E19" s="4" t="n">
        <v>32.93502613890963</v>
      </c>
      <c r="F19" s="4" t="n">
        <v>48.43166542195668</v>
      </c>
      <c r="G19" s="3" t="n"/>
      <c r="H19" s="3" t="n"/>
      <c r="I19" s="3" t="n"/>
    </row>
    <row r="20">
      <c r="A20" s="3" t="inlineStr">
        <is>
          <t>2026Q2</t>
        </is>
      </c>
      <c r="B20" s="3" t="n">
        <v>2</v>
      </c>
      <c r="C20" s="4" t="n">
        <v>3608</v>
      </c>
      <c r="D20" s="4" t="n">
        <v>34.95011086474501</v>
      </c>
      <c r="E20" s="4" t="n">
        <v>26.49667405764967</v>
      </c>
      <c r="F20" s="4" t="n">
        <v>39.05210643015521</v>
      </c>
      <c r="G20" s="3" t="n"/>
      <c r="H20" s="3" t="n"/>
      <c r="I20" s="3" t="n"/>
    </row>
    <row r="21">
      <c r="A21" s="3" t="inlineStr">
        <is>
          <t>2026Q3</t>
        </is>
      </c>
      <c r="B21" s="3" t="n">
        <v>3</v>
      </c>
      <c r="C21" s="4" t="n">
        <v>4804.0355</v>
      </c>
      <c r="D21" s="4" t="n">
        <v>49.93993908638773</v>
      </c>
      <c r="E21" s="4" t="n">
        <v>20.44594139352468</v>
      </c>
      <c r="F21" s="4" t="n">
        <v>30.04363280324104</v>
      </c>
      <c r="G21" s="4" t="n">
        <v>51.76309493232024</v>
      </c>
      <c r="H21" s="4" t="n">
        <v>1.809610056378642</v>
      </c>
      <c r="I21" s="4" t="n">
        <v>32.76937396232364</v>
      </c>
    </row>
    <row r="22">
      <c r="A22" s="3" t="inlineStr">
        <is>
          <t>2026Q4</t>
        </is>
      </c>
      <c r="B22" s="3" t="n">
        <v>4</v>
      </c>
      <c r="C22" s="4" t="n">
        <v>3178.1078</v>
      </c>
      <c r="D22" s="4" t="n">
        <v>28.897437</v>
      </c>
      <c r="E22" s="4" t="n">
        <v>27.12851231430345</v>
      </c>
      <c r="F22" s="4" t="n">
        <v>44.62330401183948</v>
      </c>
      <c r="G22" s="4" t="n">
        <v>29.75432624874153</v>
      </c>
      <c r="H22" s="4" t="n">
        <v>2.923274659718249</v>
      </c>
      <c r="I22" s="4" t="n">
        <v>21.78212775349392</v>
      </c>
    </row>
    <row r="23">
      <c r="A23" s="3" t="inlineStr">
        <is>
          <t>2027Q1</t>
        </is>
      </c>
      <c r="B23" s="3" t="n">
        <v>1</v>
      </c>
      <c r="C23" s="4" t="n">
        <v>3053.1293</v>
      </c>
      <c r="D23" s="4" t="n">
        <v>19.47022160368239</v>
      </c>
      <c r="E23" s="4" t="n">
        <v>31.4558874431343</v>
      </c>
      <c r="F23" s="4" t="n">
        <v>49.74972117759954</v>
      </c>
      <c r="G23" s="4" t="n">
        <v>17.4232559804365</v>
      </c>
      <c r="H23" s="4" t="n">
        <v>2.471775703070469</v>
      </c>
      <c r="I23" s="4" t="n">
        <v>19.35991612621921</v>
      </c>
    </row>
    <row r="24">
      <c r="A24" s="3" t="inlineStr">
        <is>
          <t>2027Q2</t>
        </is>
      </c>
      <c r="B24" s="3" t="n">
        <v>2</v>
      </c>
      <c r="C24" s="4" t="n">
        <v>4028.9807</v>
      </c>
      <c r="D24" s="4" t="n">
        <v>34.03589483795052</v>
      </c>
      <c r="E24" s="4" t="n">
        <v>25.37149243600001</v>
      </c>
      <c r="F24" s="4" t="n">
        <v>41.10475145632208</v>
      </c>
      <c r="G24" s="4" t="n">
        <v>33.58671282879953</v>
      </c>
      <c r="H24" s="4" t="n">
        <v>0.922078877071158</v>
      </c>
      <c r="I24" s="4" t="n">
        <v>26.08858215796325</v>
      </c>
    </row>
    <row r="25">
      <c r="A25" s="3" t="inlineStr">
        <is>
          <t>2027Q3</t>
        </is>
      </c>
      <c r="B25" s="3" t="n">
        <v>3</v>
      </c>
      <c r="C25" s="4" t="n">
        <v>5280.7325</v>
      </c>
      <c r="D25" s="4" t="n">
        <v>48.30322303764203</v>
      </c>
      <c r="E25" s="4" t="n">
        <v>19.87807104342979</v>
      </c>
      <c r="F25" s="4" t="n">
        <v>32.20944660878337</v>
      </c>
      <c r="G25" s="4" t="n">
        <v>51.76309493232024</v>
      </c>
      <c r="H25" s="4" t="n">
        <v>1.809610056378642</v>
      </c>
      <c r="I25" s="4" t="n">
        <v>32.76937396232364</v>
      </c>
    </row>
    <row r="26">
      <c r="A26" s="3" t="inlineStr">
        <is>
          <t>2027Q4</t>
        </is>
      </c>
      <c r="B26" s="3" t="n">
        <v>4</v>
      </c>
      <c r="C26" s="4" t="n">
        <v>3465.7641</v>
      </c>
      <c r="D26" s="4" t="n">
        <v>27.89616098363692</v>
      </c>
      <c r="E26" s="4" t="n">
        <v>26.44376062991696</v>
      </c>
      <c r="F26" s="4" t="n">
        <v>46.25544408372214</v>
      </c>
      <c r="G26" s="4" t="n">
        <v>29.75432624874153</v>
      </c>
      <c r="H26" s="4" t="n">
        <v>2.923274659718249</v>
      </c>
      <c r="I26" s="4" t="n">
        <v>21.78212775349392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2" customWidth="1" min="7" max="7"/>
    <col width="12" customWidth="1" min="8" max="8"/>
    <col width="26" customWidth="1" min="9" max="9"/>
    <col width="29" customWidth="1" min="10" max="10"/>
    <col width="32" customWidth="1" min="11" max="11"/>
    <col width="18" customWidth="1" min="12" max="12"/>
    <col width="21" customWidth="1" min="13" max="13"/>
    <col width="22" customWidth="1" min="14" max="14"/>
    <col width="22" customWidth="1" min="15" max="15"/>
    <col width="25" customWidth="1" min="16" max="16"/>
    <col width="22" customWidth="1" min="17" max="17"/>
    <col width="23" customWidth="1" min="18" max="18"/>
    <col width="15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LIVE member weights and points, vintage 2026-09-11</t>
        </is>
      </c>
    </row>
    <row r="2">
      <c r="A2" s="2" t="inlineStr">
        <is>
          <t>target</t>
        </is>
      </c>
      <c r="B2" s="2" t="inlineStr">
        <is>
          <t>quarter</t>
        </is>
      </c>
      <c r="C2" s="2" t="inlineStr">
        <is>
          <t>point</t>
        </is>
      </c>
      <c r="D2" s="2" t="inlineStr">
        <is>
          <t>raw_point</t>
        </is>
      </c>
      <c r="E2" s="2" t="inlineStr">
        <is>
          <t>clip</t>
        </is>
      </c>
      <c r="F2" s="2" t="inlineStr">
        <is>
          <t>weight_source</t>
        </is>
      </c>
      <c r="G2" s="2" t="inlineStr">
        <is>
          <t>w__street-bias|dispersion_conditioned|rw_hl4_med</t>
        </is>
      </c>
      <c r="H2" s="2" t="inlineStr">
        <is>
          <t>p__street-bias|dispersion_conditioned|rw_hl4_med</t>
        </is>
      </c>
      <c r="I2" s="2" t="inlineStr">
        <is>
          <t>w__street-bias|street_plus_flowthrough|rw_hl4</t>
        </is>
      </c>
      <c r="J2" s="2" t="inlineStr">
        <is>
          <t>p__street-bias|street_plus_flowthrough|rw_hl4</t>
        </is>
      </c>
      <c r="K2" s="2" t="inlineStr">
        <is>
          <t>w__baselines-margin|street</t>
        </is>
      </c>
      <c r="L2" s="2" t="inlineStr">
        <is>
          <t>p__baselines-margin|street</t>
        </is>
      </c>
      <c r="M2" s="2" t="inlineStr">
        <is>
          <t>w__guide-policy-margin|actual_given_guide|nov_sentence_pin</t>
        </is>
      </c>
      <c r="N2" s="2" t="inlineStr">
        <is>
          <t>p__guide-policy-margin|actual_given_guide|nov_sentence_pin</t>
        </is>
      </c>
      <c r="O2" s="2" t="inlineStr">
        <is>
          <t>w__margin-ts|q_sentence_direction|k_fit_median</t>
        </is>
      </c>
      <c r="P2" s="2" t="inlineStr">
        <is>
          <t>p__margin-ts|q_sentence_direction|k_fit_median</t>
        </is>
      </c>
      <c r="Q2" s="2" t="inlineStr">
        <is>
          <t>w__FAMILY_A</t>
        </is>
      </c>
      <c r="R2" s="2" t="inlineStr">
        <is>
          <t>p__FAMILY_A</t>
        </is>
      </c>
      <c r="S2" s="2" t="inlineStr">
        <is>
          <t>w__margin-ts|incremental_margin|k8_median</t>
        </is>
      </c>
      <c r="T2" s="2" t="inlineStr">
        <is>
          <t>p__margin-ts|incremental_margin|k8_median</t>
        </is>
      </c>
    </row>
    <row r="3">
      <c r="A3" s="3" t="inlineStr">
        <is>
          <t>adj_ebitda_margin_pct</t>
        </is>
      </c>
      <c r="B3" s="3" t="inlineStr">
        <is>
          <t>2026Q3</t>
        </is>
      </c>
      <c r="C3" s="4" t="n">
        <v>49.93993908638773</v>
      </c>
      <c r="D3" s="4" t="n">
        <v>49.93993908638773</v>
      </c>
      <c r="E3" s="3" t="inlineStr">
        <is>
          <t>sentence_not_binding</t>
        </is>
      </c>
      <c r="F3" s="3" t="inlineStr">
        <is>
          <t>invmae_shrunk_lam0.5_full_W1_history</t>
        </is>
      </c>
      <c r="G3" s="4" t="n">
        <v>0.1988932207069577</v>
      </c>
      <c r="H3" s="4" t="n">
        <v>50.11777344483114</v>
      </c>
      <c r="I3" s="4" t="n">
        <v>0.1684467001725891</v>
      </c>
      <c r="J3" s="4" t="n">
        <v>50.0649582567483</v>
      </c>
      <c r="K3" s="4" t="n">
        <v>0.1721204227330215</v>
      </c>
      <c r="L3" s="4" t="n">
        <v>49.77574730950182</v>
      </c>
      <c r="M3" s="4" t="n">
        <v>0.1584132994633665</v>
      </c>
      <c r="N3" s="4" t="n">
        <v>50.08547008547009</v>
      </c>
      <c r="O3" s="4" t="n">
        <v>0.152352261634505</v>
      </c>
      <c r="P3" s="4" t="n">
        <v>48.13379829864964</v>
      </c>
      <c r="Q3" s="4" t="n">
        <v>0.1497740952895599</v>
      </c>
      <c r="R3" s="4" t="n">
        <v>51.43517249580077</v>
      </c>
      <c r="S3" s="3" t="n"/>
      <c r="T3" s="3" t="n"/>
    </row>
    <row r="4">
      <c r="A4" s="3" t="inlineStr">
        <is>
          <t>adj_ebitda_margin_pct</t>
        </is>
      </c>
      <c r="B4" s="3" t="inlineStr">
        <is>
          <t>2026Q4</t>
        </is>
      </c>
      <c r="C4" s="4" t="n">
        <v>29.03769607249881</v>
      </c>
      <c r="D4" s="4" t="n">
        <v>29.03769607249881</v>
      </c>
      <c r="E4" s="3" t="inlineStr">
        <is>
          <t>no_sentence</t>
        </is>
      </c>
      <c r="F4" s="3" t="inlineStr">
        <is>
          <t>invmae_shrunk_lam0.5_full_W1_history</t>
        </is>
      </c>
      <c r="G4" s="3" t="n"/>
      <c r="H4" s="3" t="n"/>
      <c r="I4" s="4" t="n">
        <v>0.2690872872042958</v>
      </c>
      <c r="J4" s="4" t="n">
        <v>28.96623283929659</v>
      </c>
      <c r="K4" s="4" t="n">
        <v>0.2805522352669263</v>
      </c>
      <c r="L4" s="4" t="n">
        <v>28.89743748456326</v>
      </c>
      <c r="M4" s="4" t="n">
        <v>0.2416273322490513</v>
      </c>
      <c r="N4" s="4" t="n">
        <v>29.90483283015562</v>
      </c>
      <c r="O4" s="3" t="n"/>
      <c r="P4" s="3" t="n"/>
      <c r="Q4" s="4" t="n">
        <v>0.2087331452797265</v>
      </c>
      <c r="R4" s="4" t="n">
        <v>28.31455153631365</v>
      </c>
      <c r="S4" s="3" t="n"/>
      <c r="T4" s="3" t="n"/>
    </row>
    <row r="5">
      <c r="A5" s="3" t="inlineStr">
        <is>
          <t>adj_ebitda_margin_pct</t>
        </is>
      </c>
      <c r="B5" s="3" t="inlineStr">
        <is>
          <t>2027Q1</t>
        </is>
      </c>
      <c r="C5" s="4" t="n">
        <v>19.47022160368239</v>
      </c>
      <c r="D5" s="4" t="n">
        <v>19.47022160368239</v>
      </c>
      <c r="E5" s="3" t="inlineStr">
        <is>
          <t>no_sentence</t>
        </is>
      </c>
      <c r="F5" s="3" t="inlineStr">
        <is>
          <t>invmae_shrunk_lam0.5_full_W1_history</t>
        </is>
      </c>
      <c r="G5" s="3" t="n"/>
      <c r="H5" s="3" t="n"/>
      <c r="I5" s="3" t="n"/>
      <c r="J5" s="3" t="n"/>
      <c r="K5" s="3" t="n"/>
      <c r="L5" s="3" t="n"/>
      <c r="M5" s="4" t="n">
        <v>0.3206062312022998</v>
      </c>
      <c r="N5" s="4" t="n">
        <v>17.62121558941614</v>
      </c>
      <c r="O5" s="3" t="n"/>
      <c r="P5" s="3" t="n"/>
      <c r="Q5" s="4" t="n">
        <v>0.3135469489672333</v>
      </c>
      <c r="R5" s="4" t="n">
        <v>19.1559189194802</v>
      </c>
      <c r="S5" s="4" t="n">
        <v>0.3658468198304668</v>
      </c>
      <c r="T5" s="4" t="n">
        <v>21.35995102024113</v>
      </c>
    </row>
    <row r="6">
      <c r="A6" s="3" t="inlineStr">
        <is>
          <t>adj_ebitda_margin_pct</t>
        </is>
      </c>
      <c r="B6" s="3" t="inlineStr">
        <is>
          <t>2027Q2</t>
        </is>
      </c>
      <c r="C6" s="4" t="n">
        <v>34.03589483795052</v>
      </c>
      <c r="D6" s="4" t="n">
        <v>34.03589483795052</v>
      </c>
      <c r="E6" s="3" t="inlineStr">
        <is>
          <t>no_sentence</t>
        </is>
      </c>
      <c r="F6" s="3" t="inlineStr">
        <is>
          <t>invmae_shrunk_lam0.5_full_W1_history</t>
        </is>
      </c>
      <c r="G6" s="3" t="n"/>
      <c r="H6" s="3" t="n"/>
      <c r="I6" s="3" t="n"/>
      <c r="J6" s="3" t="n"/>
      <c r="K6" s="3" t="n"/>
      <c r="L6" s="3" t="n"/>
      <c r="M6" s="4" t="n">
        <v>0.3206062312022998</v>
      </c>
      <c r="N6" s="4" t="n">
        <v>33.19119202548303</v>
      </c>
      <c r="O6" s="3" t="n"/>
      <c r="P6" s="3" t="n"/>
      <c r="Q6" s="4" t="n">
        <v>0.3135469489672333</v>
      </c>
      <c r="R6" s="4" t="n">
        <v>33.76664611392398</v>
      </c>
      <c r="S6" s="4" t="n">
        <v>0.3658468198304668</v>
      </c>
      <c r="T6" s="4" t="n">
        <v>35.00689986482936</v>
      </c>
    </row>
    <row r="7">
      <c r="A7" s="3" t="inlineStr">
        <is>
          <t>adj_ebitda_margin_pct</t>
        </is>
      </c>
      <c r="B7" s="3" t="inlineStr">
        <is>
          <t>2027Q3</t>
        </is>
      </c>
      <c r="C7" s="4" t="n">
        <v>48.30322303764203</v>
      </c>
      <c r="D7" s="4" t="n">
        <v>48.30322303764203</v>
      </c>
      <c r="E7" s="3" t="inlineStr">
        <is>
          <t>no_sentence</t>
        </is>
      </c>
      <c r="F7" s="3" t="inlineStr">
        <is>
          <t>invmae_shrunk_lam0.5_full_W1_history</t>
        </is>
      </c>
      <c r="G7" s="3" t="n"/>
      <c r="H7" s="3" t="n"/>
      <c r="I7" s="3" t="n"/>
      <c r="J7" s="3" t="n"/>
      <c r="K7" s="3" t="n"/>
      <c r="L7" s="3" t="n"/>
      <c r="M7" s="4" t="n">
        <v>0.3206062312022998</v>
      </c>
      <c r="N7" s="4" t="n">
        <v>48.3265512462081</v>
      </c>
      <c r="O7" s="3" t="n"/>
      <c r="P7" s="3" t="n"/>
      <c r="Q7" s="4" t="n">
        <v>0.3135469489672333</v>
      </c>
      <c r="R7" s="4" t="n">
        <v>50.02280436446974</v>
      </c>
      <c r="S7" s="4" t="n">
        <v>0.3658468198304668</v>
      </c>
      <c r="T7" s="4" t="n">
        <v>46.80902213735748</v>
      </c>
    </row>
    <row r="8">
      <c r="A8" s="3" t="inlineStr">
        <is>
          <t>adj_ebitda_margin_pct</t>
        </is>
      </c>
      <c r="B8" s="3" t="inlineStr">
        <is>
          <t>2027Q4</t>
        </is>
      </c>
      <c r="C8" s="4" t="n">
        <v>27.89616098363692</v>
      </c>
      <c r="D8" s="4" t="n">
        <v>27.89616098363692</v>
      </c>
      <c r="E8" s="3" t="inlineStr">
        <is>
          <t>no_sentence</t>
        </is>
      </c>
      <c r="F8" s="3" t="inlineStr">
        <is>
          <t>invmae_shrunk_lam0.5_full_W1_history</t>
        </is>
      </c>
      <c r="G8" s="3" t="n"/>
      <c r="H8" s="3" t="n"/>
      <c r="I8" s="3" t="n"/>
      <c r="J8" s="3" t="n"/>
      <c r="K8" s="3" t="n"/>
      <c r="L8" s="3" t="n"/>
      <c r="M8" s="4" t="n">
        <v>0.3206062312022998</v>
      </c>
      <c r="N8" s="4" t="n">
        <v>28.14591399089365</v>
      </c>
      <c r="O8" s="3" t="n"/>
      <c r="P8" s="3" t="n"/>
      <c r="Q8" s="4" t="n">
        <v>0.3135469489672333</v>
      </c>
      <c r="R8" s="4" t="n">
        <v>25.50979239865226</v>
      </c>
      <c r="S8" s="4" t="n">
        <v>0.3658468198304668</v>
      </c>
      <c r="T8" s="4" t="n">
        <v>29.72251612007026</v>
      </c>
    </row>
    <row r="9">
      <c r="A9" s="3" t="inlineStr">
        <is>
          <t>adj_ebitda_musd</t>
        </is>
      </c>
      <c r="B9" s="3" t="inlineStr">
        <is>
          <t>2026Q3</t>
        </is>
      </c>
      <c r="C9" s="4" t="n">
        <v>2411.001493610793</v>
      </c>
      <c r="D9" s="4" t="n">
        <v>2411.001493610793</v>
      </c>
      <c r="E9" s="3" t="inlineStr">
        <is>
          <t>clip_off</t>
        </is>
      </c>
      <c r="F9" s="3" t="inlineStr">
        <is>
          <t>invmae_shrunk_lam0.5_full_W1_history</t>
        </is>
      </c>
      <c r="G9" s="3" t="n"/>
      <c r="H9" s="3" t="n"/>
      <c r="I9" s="4" t="n">
        <v>0.2751793886144212</v>
      </c>
      <c r="J9" s="4" t="n">
        <v>2405.138367714369</v>
      </c>
      <c r="K9" s="4" t="n">
        <v>0.2240719775604729</v>
      </c>
      <c r="L9" s="4" t="n">
        <v>2361.52179</v>
      </c>
      <c r="M9" s="4" t="n">
        <v>0.2672060593551209</v>
      </c>
      <c r="N9" s="4" t="n">
        <v>2406.123763247864</v>
      </c>
      <c r="O9" s="3" t="n"/>
      <c r="P9" s="3" t="n"/>
      <c r="Q9" s="4" t="n">
        <v>0.2335425744699849</v>
      </c>
      <c r="R9" s="4" t="n">
        <v>2470.963946184505</v>
      </c>
      <c r="S9" s="3" t="n"/>
      <c r="T9" s="3" t="n"/>
    </row>
    <row r="10">
      <c r="A10" s="3" t="inlineStr">
        <is>
          <t>adj_ebitda_musd</t>
        </is>
      </c>
      <c r="B10" s="3" t="inlineStr">
        <is>
          <t>2026Q4</t>
        </is>
      </c>
      <c r="C10" s="4" t="n">
        <v>922.4849522278176</v>
      </c>
      <c r="D10" s="4" t="n">
        <v>922.4849522278176</v>
      </c>
      <c r="E10" s="3" t="inlineStr">
        <is>
          <t>clip_off</t>
        </is>
      </c>
      <c r="F10" s="3" t="inlineStr">
        <is>
          <t>invmae_shrunk_lam0.5_full_W1_history</t>
        </is>
      </c>
      <c r="G10" s="3" t="n"/>
      <c r="H10" s="3" t="n"/>
      <c r="I10" s="4" t="n">
        <v>0.2440125765744288</v>
      </c>
      <c r="J10" s="4" t="n">
        <v>920.5781052318464</v>
      </c>
      <c r="K10" s="4" t="n">
        <v>0.2707463027307394</v>
      </c>
      <c r="L10" s="4" t="n">
        <v>913.68388</v>
      </c>
      <c r="M10" s="4" t="n">
        <v>0.2735079834608546</v>
      </c>
      <c r="N10" s="4" t="n">
        <v>950.4078247521368</v>
      </c>
      <c r="O10" s="3" t="n"/>
      <c r="P10" s="3" t="n"/>
      <c r="Q10" s="4" t="n">
        <v>0.2117331372339771</v>
      </c>
      <c r="R10" s="4" t="n">
        <v>899.8669709106039</v>
      </c>
      <c r="S10" s="3" t="n"/>
      <c r="T10" s="3" t="n"/>
    </row>
    <row r="11">
      <c r="A11" s="3" t="inlineStr">
        <is>
          <t>adj_ebitda_musd</t>
        </is>
      </c>
      <c r="B11" s="3" t="inlineStr">
        <is>
          <t>2027Q1</t>
        </is>
      </c>
      <c r="C11" s="4" t="n">
        <v>593.5637120893311</v>
      </c>
      <c r="D11" s="4" t="n">
        <v>593.5637120893311</v>
      </c>
      <c r="E11" s="3" t="inlineStr">
        <is>
          <t>clip_off</t>
        </is>
      </c>
      <c r="F11" s="3" t="inlineStr">
        <is>
          <t>invmae_shrunk_lam0.5_full_W1_history</t>
        </is>
      </c>
      <c r="G11" s="3" t="n"/>
      <c r="H11" s="3" t="n"/>
      <c r="I11" s="3" t="n"/>
      <c r="J11" s="3" t="n"/>
      <c r="K11" s="3" t="n"/>
      <c r="L11" s="3" t="n"/>
      <c r="M11" s="4" t="n">
        <v>0.3412500190501501</v>
      </c>
      <c r="N11" s="4" t="n">
        <v>537.9984961766319</v>
      </c>
      <c r="O11" s="3" t="n"/>
      <c r="P11" s="3" t="n"/>
      <c r="Q11" s="4" t="n">
        <v>0.2917148064376059</v>
      </c>
      <c r="R11" s="4" t="n">
        <v>584.8549732148932</v>
      </c>
      <c r="S11" s="4" t="n">
        <v>0.367035174512244</v>
      </c>
      <c r="T11" s="4" t="n">
        <v>652.1469230646308</v>
      </c>
    </row>
    <row r="12">
      <c r="A12" s="3" t="inlineStr">
        <is>
          <t>adj_ebitda_musd</t>
        </is>
      </c>
      <c r="B12" s="3" t="inlineStr">
        <is>
          <t>2027Q2</t>
        </is>
      </c>
      <c r="C12" s="4" t="n">
        <v>1370.88039082064</v>
      </c>
      <c r="D12" s="4" t="n">
        <v>1370.88039082064</v>
      </c>
      <c r="E12" s="3" t="inlineStr">
        <is>
          <t>clip_off</t>
        </is>
      </c>
      <c r="F12" s="3" t="inlineStr">
        <is>
          <t>invmae_shrunk_lam0.5_full_W1_history</t>
        </is>
      </c>
      <c r="G12" s="3" t="n"/>
      <c r="H12" s="3" t="n"/>
      <c r="I12" s="3" t="n"/>
      <c r="J12" s="3" t="n"/>
      <c r="K12" s="3" t="n"/>
      <c r="L12" s="3" t="n"/>
      <c r="M12" s="4" t="n">
        <v>0.3412500190501501</v>
      </c>
      <c r="N12" s="4" t="n">
        <v>1337.26672080665</v>
      </c>
      <c r="O12" s="3" t="n"/>
      <c r="P12" s="3" t="n"/>
      <c r="Q12" s="4" t="n">
        <v>0.2917148064376059</v>
      </c>
      <c r="R12" s="4" t="n">
        <v>1360.451654967297</v>
      </c>
      <c r="S12" s="4" t="n">
        <v>0.367035174512244</v>
      </c>
      <c r="T12" s="4" t="n">
        <v>1410.421239222301</v>
      </c>
    </row>
    <row r="13">
      <c r="A13" s="3" t="inlineStr">
        <is>
          <t>adj_ebitda_musd</t>
        </is>
      </c>
      <c r="B13" s="3" t="inlineStr">
        <is>
          <t>2027Q3</t>
        </is>
      </c>
      <c r="C13" s="4" t="n">
        <v>2548.71316152033</v>
      </c>
      <c r="D13" s="4" t="n">
        <v>2548.71316152033</v>
      </c>
      <c r="E13" s="3" t="inlineStr">
        <is>
          <t>clip_off</t>
        </is>
      </c>
      <c r="F13" s="3" t="inlineStr">
        <is>
          <t>invmae_shrunk_lam0.5_full_W1_history</t>
        </is>
      </c>
      <c r="G13" s="3" t="n"/>
      <c r="H13" s="3" t="n"/>
      <c r="I13" s="3" t="n"/>
      <c r="J13" s="3" t="n"/>
      <c r="K13" s="3" t="n"/>
      <c r="L13" s="3" t="n"/>
      <c r="M13" s="4" t="n">
        <v>0.3412500190501501</v>
      </c>
      <c r="N13" s="4" t="n">
        <v>2551.995897787666</v>
      </c>
      <c r="O13" s="3" t="n"/>
      <c r="P13" s="3" t="n"/>
      <c r="Q13" s="4" t="n">
        <v>0.2917148064376059</v>
      </c>
      <c r="R13" s="4" t="n">
        <v>2641.570487485972</v>
      </c>
      <c r="S13" s="4" t="n">
        <v>0.367035174512244</v>
      </c>
      <c r="T13" s="4" t="n">
        <v>2471.859244939631</v>
      </c>
    </row>
    <row r="14">
      <c r="A14" s="3" t="inlineStr">
        <is>
          <t>adj_ebitda_musd</t>
        </is>
      </c>
      <c r="B14" s="3" t="inlineStr">
        <is>
          <t>2027Q4</t>
        </is>
      </c>
      <c r="C14" s="4" t="n">
        <v>968.8746887802208</v>
      </c>
      <c r="D14" s="4" t="n">
        <v>968.8746887802208</v>
      </c>
      <c r="E14" s="3" t="inlineStr">
        <is>
          <t>clip_off</t>
        </is>
      </c>
      <c r="F14" s="3" t="inlineStr">
        <is>
          <t>invmae_shrunk_lam0.5_full_W1_history</t>
        </is>
      </c>
      <c r="G14" s="3" t="n"/>
      <c r="H14" s="3" t="n"/>
      <c r="I14" s="3" t="n"/>
      <c r="J14" s="3" t="n"/>
      <c r="K14" s="3" t="n"/>
      <c r="L14" s="3" t="n"/>
      <c r="M14" s="4" t="n">
        <v>0.3412500190501501</v>
      </c>
      <c r="N14" s="4" t="n">
        <v>975.4709827132692</v>
      </c>
      <c r="O14" s="3" t="n"/>
      <c r="P14" s="3" t="n"/>
      <c r="Q14" s="4" t="n">
        <v>0.2917148064376059</v>
      </c>
      <c r="R14" s="4" t="n">
        <v>884.1092269370188</v>
      </c>
      <c r="S14" s="4" t="n">
        <v>0.367035174512244</v>
      </c>
      <c r="T14" s="4" t="n">
        <v>1030.112293306108</v>
      </c>
    </row>
    <row r="16">
      <c r="A16" s="1" t="inlineStr">
        <is>
          <t>Backtest weights by vintage (leave-future-out, W1, h=0, margin)</t>
        </is>
      </c>
    </row>
    <row r="17">
      <c r="A17" s="2" t="inlineStr">
        <is>
          <t>quarter</t>
        </is>
      </c>
      <c r="B17" s="2" t="inlineStr">
        <is>
          <t>FAMILY_A</t>
        </is>
      </c>
      <c r="C17" s="2" t="inlineStr">
        <is>
          <t>baselines-margin|street</t>
        </is>
      </c>
      <c r="D17" s="2" t="inlineStr">
        <is>
          <t>guide-policy-margin|actual_given_guide|nov_sentence_pin</t>
        </is>
      </c>
      <c r="E17" s="2" t="inlineStr">
        <is>
          <t>margin-ts|q_sentence_direction|k_fit_median</t>
        </is>
      </c>
      <c r="F17" s="2" t="inlineStr">
        <is>
          <t>street-bias|dispersion_conditioned|rw_hl4_med</t>
        </is>
      </c>
      <c r="G17" s="2" t="inlineStr">
        <is>
          <t>street-bias|street_plus_flowthrough|rw_hl4</t>
        </is>
      </c>
    </row>
    <row r="18">
      <c r="A18" s="3" t="inlineStr">
        <is>
          <t>2023Q1</t>
        </is>
      </c>
      <c r="B18" s="4" t="n">
        <v>0.1666666666666666</v>
      </c>
      <c r="C18" s="4" t="n">
        <v>0.1666666666666666</v>
      </c>
      <c r="D18" s="4" t="n">
        <v>0.1666666666666666</v>
      </c>
      <c r="E18" s="4" t="n">
        <v>0.1666666666666666</v>
      </c>
      <c r="F18" s="4" t="n">
        <v>0.1666666666666666</v>
      </c>
      <c r="G18" s="4" t="n">
        <v>0.1666666666666666</v>
      </c>
    </row>
    <row r="19">
      <c r="A19" s="3" t="inlineStr">
        <is>
          <t>2023Q2</t>
        </is>
      </c>
      <c r="B19" s="4" t="n">
        <v>0.1666666666666666</v>
      </c>
      <c r="C19" s="4" t="n">
        <v>0.1666666666666666</v>
      </c>
      <c r="D19" s="4" t="n">
        <v>0.1666666666666666</v>
      </c>
      <c r="E19" s="4" t="n">
        <v>0.1666666666666666</v>
      </c>
      <c r="F19" s="4" t="n">
        <v>0.1666666666666666</v>
      </c>
      <c r="G19" s="4" t="n">
        <v>0.1666666666666666</v>
      </c>
    </row>
    <row r="20">
      <c r="A20" s="3" t="inlineStr">
        <is>
          <t>2023Q3</t>
        </is>
      </c>
      <c r="B20" s="4" t="n">
        <v>0.1666666666666666</v>
      </c>
      <c r="C20" s="4" t="n">
        <v>0.1666666666666666</v>
      </c>
      <c r="D20" s="4" t="n">
        <v>0.1666666666666666</v>
      </c>
      <c r="E20" s="4" t="n">
        <v>0.1666666666666666</v>
      </c>
      <c r="F20" s="4" t="n">
        <v>0.1666666666666666</v>
      </c>
      <c r="G20" s="4" t="n">
        <v>0.1666666666666666</v>
      </c>
    </row>
    <row r="21">
      <c r="A21" s="3" t="inlineStr">
        <is>
          <t>2023Q4</t>
        </is>
      </c>
      <c r="B21" s="4" t="n">
        <v>0.1666666666666666</v>
      </c>
      <c r="C21" s="4" t="n">
        <v>0.1666666666666666</v>
      </c>
      <c r="D21" s="4" t="n">
        <v>0.1666666666666666</v>
      </c>
      <c r="E21" s="4" t="n">
        <v>0.1666666666666666</v>
      </c>
      <c r="F21" s="4" t="n">
        <v>0.1666666666666666</v>
      </c>
      <c r="G21" s="4" t="n">
        <v>0.1666666666666666</v>
      </c>
    </row>
    <row r="22">
      <c r="A22" s="3" t="inlineStr">
        <is>
          <t>2024Q1</t>
        </is>
      </c>
      <c r="B22" s="4" t="n">
        <v>0.1504276769445445</v>
      </c>
      <c r="C22" s="4" t="n">
        <v>0.1790150678460837</v>
      </c>
      <c r="D22" s="4" t="n">
        <v>0.1939592256795665</v>
      </c>
      <c r="E22" s="4" t="n">
        <v>0.1494291476752161</v>
      </c>
      <c r="F22" s="4" t="n">
        <v>0.178204475541715</v>
      </c>
      <c r="G22" s="4" t="n">
        <v>0.148964406312874</v>
      </c>
    </row>
    <row r="23">
      <c r="A23" s="3" t="inlineStr">
        <is>
          <t>2024Q2</t>
        </is>
      </c>
      <c r="B23" s="4" t="n">
        <v>0.1524428773274184</v>
      </c>
      <c r="C23" s="4" t="n">
        <v>0.1658348260251015</v>
      </c>
      <c r="D23" s="4" t="n">
        <v>0.1653383446272685</v>
      </c>
      <c r="E23" s="4" t="n">
        <v>0.1552347944480087</v>
      </c>
      <c r="F23" s="4" t="n">
        <v>0.2013513136984003</v>
      </c>
      <c r="G23" s="4" t="n">
        <v>0.1597978438738024</v>
      </c>
    </row>
    <row r="24">
      <c r="A24" s="3" t="inlineStr">
        <is>
          <t>2024Q3</t>
        </is>
      </c>
      <c r="B24" s="4" t="n">
        <v>0.1545071165772059</v>
      </c>
      <c r="C24" s="4" t="n">
        <v>0.1741890684420168</v>
      </c>
      <c r="D24" s="4" t="n">
        <v>0.1647284665113093</v>
      </c>
      <c r="E24" s="4" t="n">
        <v>0.1513212966954897</v>
      </c>
      <c r="F24" s="4" t="n">
        <v>0.1947951967655743</v>
      </c>
      <c r="G24" s="4" t="n">
        <v>0.1604588550084039</v>
      </c>
    </row>
    <row r="25">
      <c r="A25" s="3" t="inlineStr">
        <is>
          <t>2024Q4</t>
        </is>
      </c>
      <c r="B25" s="4" t="n">
        <v>0.1528853356381769</v>
      </c>
      <c r="C25" s="4" t="n">
        <v>0.1808299930091418</v>
      </c>
      <c r="D25" s="4" t="n">
        <v>0.1603508440220796</v>
      </c>
      <c r="E25" s="4" t="n">
        <v>0.1495406114632762</v>
      </c>
      <c r="F25" s="4" t="n">
        <v>0.1906294156424789</v>
      </c>
      <c r="G25" s="4" t="n">
        <v>0.1657638002248464</v>
      </c>
    </row>
    <row r="26">
      <c r="A26" s="3" t="inlineStr">
        <is>
          <t>2025Q1</t>
        </is>
      </c>
      <c r="B26" s="4" t="n">
        <v>0.1486525802939433</v>
      </c>
      <c r="C26" s="4" t="n">
        <v>0.1795478405137638</v>
      </c>
      <c r="D26" s="4" t="n">
        <v>0.1568601489719451</v>
      </c>
      <c r="E26" s="4" t="n">
        <v>0.1526278748056456</v>
      </c>
      <c r="F26" s="4" t="n">
        <v>0.1952917113372604</v>
      </c>
      <c r="G26" s="4" t="n">
        <v>0.1670198440774415</v>
      </c>
    </row>
    <row r="27">
      <c r="A27" s="3" t="inlineStr">
        <is>
          <t>2025Q2</t>
        </is>
      </c>
      <c r="B27" s="4" t="n">
        <v>0.1465674307445681</v>
      </c>
      <c r="C27" s="4" t="n">
        <v>0.1741209239177619</v>
      </c>
      <c r="D27" s="4" t="n">
        <v>0.1613182156405062</v>
      </c>
      <c r="E27" s="4" t="n">
        <v>0.1538285493549859</v>
      </c>
      <c r="F27" s="4" t="n">
        <v>0.1968668590987082</v>
      </c>
      <c r="G27" s="4" t="n">
        <v>0.1672980212434695</v>
      </c>
    </row>
    <row r="28">
      <c r="A28" s="3" t="inlineStr">
        <is>
          <t>2025Q3</t>
        </is>
      </c>
      <c r="B28" s="4" t="n">
        <v>0.1503274070473478</v>
      </c>
      <c r="C28" s="4" t="n">
        <v>0.1715416982415456</v>
      </c>
      <c r="D28" s="4" t="n">
        <v>0.1605470531054393</v>
      </c>
      <c r="E28" s="4" t="n">
        <v>0.1520469932999991</v>
      </c>
      <c r="F28" s="4" t="n">
        <v>0.1952002044867488</v>
      </c>
      <c r="G28" s="4" t="n">
        <v>0.1703366438189191</v>
      </c>
    </row>
    <row r="29">
      <c r="A29" s="3" t="inlineStr">
        <is>
          <t>2025Q4</t>
        </is>
      </c>
      <c r="B29" s="4" t="n">
        <v>0.1461721003112266</v>
      </c>
      <c r="C29" s="4" t="n">
        <v>0.1715310648052077</v>
      </c>
      <c r="D29" s="4" t="n">
        <v>0.1616600987135899</v>
      </c>
      <c r="E29" s="4" t="n">
        <v>0.1517442528447531</v>
      </c>
      <c r="F29" s="4" t="n">
        <v>0.1974692484955782</v>
      </c>
      <c r="G29" s="4" t="n">
        <v>0.1714232348296442</v>
      </c>
    </row>
    <row r="30">
      <c r="A30" s="3" t="inlineStr">
        <is>
          <t>2026Q1</t>
        </is>
      </c>
      <c r="B30" s="4" t="n">
        <v>0.1461227063744526</v>
      </c>
      <c r="C30" s="4" t="n">
        <v>0.173787651148478</v>
      </c>
      <c r="D30" s="4" t="n">
        <v>0.1592544910002325</v>
      </c>
      <c r="E30" s="4" t="n">
        <v>0.152941101446444</v>
      </c>
      <c r="F30" s="4" t="n">
        <v>0.1990048543880121</v>
      </c>
      <c r="G30" s="4" t="n">
        <v>0.1688891956423807</v>
      </c>
    </row>
    <row r="31">
      <c r="A31" s="3" t="inlineStr">
        <is>
          <t>2026Q2</t>
        </is>
      </c>
      <c r="B31" s="4" t="n">
        <v>0.1482697059953308</v>
      </c>
      <c r="C31" s="4" t="n">
        <v>0.1735509471144527</v>
      </c>
      <c r="D31" s="4" t="n">
        <v>0.1590130780331581</v>
      </c>
      <c r="E31" s="4" t="n">
        <v>0.1529541538906109</v>
      </c>
      <c r="F31" s="4" t="n">
        <v>0.200179899670316</v>
      </c>
      <c r="G31" s="4" t="n">
        <v>0.1660322152961313</v>
      </c>
    </row>
    <row r="33">
      <c r="A33" s="1" t="inlineStr">
        <is>
          <t>Backtest scoreboard of the combination (PIT, spec stack_clip)</t>
        </is>
      </c>
    </row>
    <row r="34">
      <c r="A34" s="2" t="inlineStr">
        <is>
          <t>target</t>
        </is>
      </c>
      <c r="B34" s="2" t="inlineStr">
        <is>
          <t>window</t>
        </is>
      </c>
      <c r="C34" s="2" t="inlineStr">
        <is>
          <t>horizon_q</t>
        </is>
      </c>
      <c r="D34" s="2" t="inlineStr">
        <is>
          <t>n</t>
        </is>
      </c>
      <c r="E34" s="2" t="inlineStr">
        <is>
          <t>mae</t>
        </is>
      </c>
      <c r="F34" s="2" t="inlineStr">
        <is>
          <t>rw_mae</t>
        </is>
      </c>
      <c r="G34" s="2" t="inlineStr">
        <is>
          <t>rmse</t>
        </is>
      </c>
      <c r="H34" s="2" t="inlineStr">
        <is>
          <t>bias</t>
        </is>
      </c>
      <c r="I34" s="2" t="inlineStr">
        <is>
          <t>mae_ratio_seasonal_naive</t>
        </is>
      </c>
      <c r="J34" s="2" t="inlineStr">
        <is>
          <t>rw_mae_ratio_seasonal_naive</t>
        </is>
      </c>
      <c r="K34" s="2" t="inlineStr">
        <is>
          <t>mae_ratio_seasonal_naive_drift</t>
        </is>
      </c>
      <c r="L34" s="2" t="inlineStr">
        <is>
          <t>mae_ratio_street</t>
        </is>
      </c>
      <c r="M34" s="2" t="inlineStr">
        <is>
          <t>rw_mae_ratio_street</t>
        </is>
      </c>
      <c r="N34" s="2" t="inlineStr">
        <is>
          <t>t_nw1_seasonal_naive</t>
        </is>
      </c>
      <c r="O34" s="2" t="inlineStr">
        <is>
          <t>p_nw1_seasonal_naive</t>
        </is>
      </c>
      <c r="P34" s="2" t="inlineStr">
        <is>
          <t>k_better_seasonal_naive</t>
        </is>
      </c>
      <c r="Q34" s="2" t="inlineStr">
        <is>
          <t>n_cmp_seasonal_naive</t>
        </is>
      </c>
      <c r="R34" s="2" t="inlineStr">
        <is>
          <t>p_sign_seasonal_naive</t>
        </is>
      </c>
      <c r="S34" s="2" t="inlineStr">
        <is>
          <t>p_sign_street</t>
        </is>
      </c>
      <c r="T34" s="2" t="inlineStr">
        <is>
          <t>cov80</t>
        </is>
      </c>
      <c r="U34" s="2" t="inlineStr">
        <is>
          <t>cov90</t>
        </is>
      </c>
      <c r="V34" s="2" t="inlineStr">
        <is>
          <t>n_clipped</t>
        </is>
      </c>
    </row>
    <row r="35">
      <c r="A35" s="3" t="inlineStr">
        <is>
          <t>adj_ebitda_margin_pct</t>
        </is>
      </c>
      <c r="B35" s="3" t="inlineStr">
        <is>
          <t>W1</t>
        </is>
      </c>
      <c r="C35" s="3" t="n">
        <v>0</v>
      </c>
      <c r="D35" s="3" t="n">
        <v>14</v>
      </c>
      <c r="E35" s="4" t="n">
        <v>1.126424550987544</v>
      </c>
      <c r="F35" s="4" t="n">
        <v>0.8233049302761721</v>
      </c>
      <c r="G35" s="4" t="n">
        <v>1.579269015608036</v>
      </c>
      <c r="H35" s="4" t="n">
        <v>-0.6693158605443091</v>
      </c>
      <c r="I35" s="4" t="n">
        <v>0.5035273600673427</v>
      </c>
      <c r="J35" s="4" t="n">
        <v>0.4304427010042483</v>
      </c>
      <c r="K35" s="4" t="n">
        <v>0.4723655109767401</v>
      </c>
      <c r="L35" s="4" t="n">
        <v>0.7075184463071643</v>
      </c>
      <c r="M35" s="4" t="n">
        <v>0.6586030477891266</v>
      </c>
      <c r="N35" s="4" t="n">
        <v>-3.603115203256472</v>
      </c>
      <c r="O35" s="4" t="n">
        <v>0.0003144260864773</v>
      </c>
      <c r="P35" s="3" t="n">
        <v>11</v>
      </c>
      <c r="Q35" s="3" t="n">
        <v>12</v>
      </c>
      <c r="R35" s="4" t="n">
        <v>0.003173828125</v>
      </c>
      <c r="S35" s="4" t="n">
        <v>0.0286865234375</v>
      </c>
      <c r="T35" s="4" t="n">
        <v>0.9285714285714286</v>
      </c>
      <c r="U35" s="4" t="n">
        <v>1</v>
      </c>
      <c r="V35" s="3" t="n">
        <v>2</v>
      </c>
    </row>
    <row r="36">
      <c r="A36" s="3" t="inlineStr">
        <is>
          <t>adj_ebitda_margin_pct</t>
        </is>
      </c>
      <c r="B36" s="3" t="inlineStr">
        <is>
          <t>W1</t>
        </is>
      </c>
      <c r="C36" s="3" t="n">
        <v>1</v>
      </c>
      <c r="D36" s="3" t="n">
        <v>13</v>
      </c>
      <c r="E36" s="4" t="n">
        <v>1.951983093583188</v>
      </c>
      <c r="F36" s="4" t="n">
        <v>1.560214021478974</v>
      </c>
      <c r="G36" s="4" t="n">
        <v>2.349148333857344</v>
      </c>
      <c r="H36" s="4" t="n">
        <v>-0.450166606954569</v>
      </c>
      <c r="I36" s="4" t="n">
        <v>0.8305186745815915</v>
      </c>
      <c r="J36" s="4" t="n">
        <v>0.806668499254698</v>
      </c>
      <c r="K36" s="4" t="n">
        <v>0.4988587811466886</v>
      </c>
      <c r="L36" s="4" t="n">
        <v>1.189374132925887</v>
      </c>
      <c r="M36" s="4" t="n">
        <v>1.246352303053341</v>
      </c>
      <c r="N36" s="4" t="n">
        <v>-1.076682684667773</v>
      </c>
      <c r="O36" s="4" t="n">
        <v>0.2816220505794327</v>
      </c>
      <c r="P36" s="3" t="n">
        <v>9</v>
      </c>
      <c r="Q36" s="3" t="n">
        <v>13</v>
      </c>
      <c r="R36" s="4" t="n">
        <v>0.1334228515625</v>
      </c>
      <c r="S36" s="4" t="n">
        <v>0.953857421875</v>
      </c>
      <c r="T36" s="4" t="n">
        <v>0.8461538461538461</v>
      </c>
      <c r="U36" s="4" t="n">
        <v>0.8461538461538461</v>
      </c>
      <c r="V36" s="3" t="n">
        <v>0</v>
      </c>
    </row>
    <row r="37">
      <c r="A37" s="3" t="inlineStr">
        <is>
          <t>adj_ebitda_margin_pct</t>
        </is>
      </c>
      <c r="B37" s="3" t="inlineStr">
        <is>
          <t>W1</t>
        </is>
      </c>
      <c r="C37" s="3" t="n">
        <v>2</v>
      </c>
      <c r="D37" s="3" t="n">
        <v>12</v>
      </c>
      <c r="E37" s="4" t="n">
        <v>2.228944080178042</v>
      </c>
      <c r="F37" s="4" t="n">
        <v>1.862095709247065</v>
      </c>
      <c r="G37" s="4" t="n">
        <v>2.549134646349621</v>
      </c>
      <c r="H37" s="4" t="n">
        <v>-0.442768154280881</v>
      </c>
      <c r="I37" s="4" t="n">
        <v>0.8995508639099009</v>
      </c>
      <c r="J37" s="4" t="n">
        <v>0.9503068936869808</v>
      </c>
      <c r="K37" s="4" t="n">
        <v>0.6139765284844375</v>
      </c>
      <c r="L37" s="3" t="n"/>
      <c r="M37" s="3" t="n"/>
      <c r="N37" s="4" t="n">
        <v>-0.7281506586805081</v>
      </c>
      <c r="O37" s="4" t="n">
        <v>0.4665213661392766</v>
      </c>
      <c r="P37" s="3" t="n">
        <v>6</v>
      </c>
      <c r="Q37" s="3" t="n">
        <v>12</v>
      </c>
      <c r="R37" s="4" t="n">
        <v>0.61279296875</v>
      </c>
      <c r="S37" s="3" t="n"/>
      <c r="T37" s="4" t="n">
        <v>0.75</v>
      </c>
      <c r="U37" s="4" t="n">
        <v>0.8333333333333334</v>
      </c>
      <c r="V37" s="3" t="n">
        <v>0</v>
      </c>
    </row>
    <row r="38">
      <c r="A38" s="3" t="inlineStr">
        <is>
          <t>adj_ebitda_margin_pct</t>
        </is>
      </c>
      <c r="B38" s="3" t="inlineStr">
        <is>
          <t>W2</t>
        </is>
      </c>
      <c r="C38" s="3" t="n">
        <v>0</v>
      </c>
      <c r="D38" s="3" t="n">
        <v>10</v>
      </c>
      <c r="E38" s="4" t="n">
        <v>0.7876374470960329</v>
      </c>
      <c r="F38" s="4" t="n">
        <v>0.6621422775863165</v>
      </c>
      <c r="G38" s="4" t="n">
        <v>1.131211961790711</v>
      </c>
      <c r="H38" s="4" t="n">
        <v>-0.4698594597563932</v>
      </c>
      <c r="I38" s="4" t="n">
        <v>0.4020904238144204</v>
      </c>
      <c r="J38" s="4" t="n">
        <v>0.3772941326579771</v>
      </c>
      <c r="K38" s="4" t="n">
        <v>0.389883853215682</v>
      </c>
      <c r="L38" s="4" t="n">
        <v>0.6007098122913319</v>
      </c>
      <c r="M38" s="4" t="n">
        <v>0.5931373351236351</v>
      </c>
      <c r="N38" s="4" t="n">
        <v>-3.842851918589498</v>
      </c>
      <c r="O38" s="4" t="n">
        <v>0.000121612851315</v>
      </c>
      <c r="P38" s="3" t="n">
        <v>9</v>
      </c>
      <c r="Q38" s="3" t="n">
        <v>10</v>
      </c>
      <c r="R38" s="4" t="n">
        <v>0.0107421875</v>
      </c>
      <c r="S38" s="4" t="n">
        <v>0.0546875</v>
      </c>
      <c r="T38" s="4" t="n">
        <v>1</v>
      </c>
      <c r="U38" s="4" t="n">
        <v>1</v>
      </c>
      <c r="V38" s="3" t="n">
        <v>0</v>
      </c>
    </row>
    <row r="39">
      <c r="A39" s="3" t="inlineStr">
        <is>
          <t>adj_ebitda_margin_pct</t>
        </is>
      </c>
      <c r="B39" s="3" t="inlineStr">
        <is>
          <t>W2</t>
        </is>
      </c>
      <c r="C39" s="3" t="n">
        <v>1</v>
      </c>
      <c r="D39" s="3" t="n">
        <v>9</v>
      </c>
      <c r="E39" s="4" t="n">
        <v>1.26912380855547</v>
      </c>
      <c r="F39" s="4" t="n">
        <v>1.283541346512894</v>
      </c>
      <c r="G39" s="4" t="n">
        <v>1.474162122634583</v>
      </c>
      <c r="H39" s="4" t="n">
        <v>0.2269222839235085</v>
      </c>
      <c r="I39" s="4" t="n">
        <v>0.8040672376478366</v>
      </c>
      <c r="J39" s="4" t="n">
        <v>0.801551241844914</v>
      </c>
      <c r="K39" s="4" t="n">
        <v>0.3621869242494373</v>
      </c>
      <c r="L39" s="4" t="n">
        <v>1.278122785858695</v>
      </c>
      <c r="M39" s="4" t="n">
        <v>1.324941514890552</v>
      </c>
      <c r="N39" s="4" t="n">
        <v>-0.7619711565601504</v>
      </c>
      <c r="O39" s="4" t="n">
        <v>0.4460772191449527</v>
      </c>
      <c r="P39" s="3" t="n">
        <v>6</v>
      </c>
      <c r="Q39" s="3" t="n">
        <v>9</v>
      </c>
      <c r="R39" s="4" t="n">
        <v>0.25390625</v>
      </c>
      <c r="S39" s="4" t="n">
        <v>0.98046875</v>
      </c>
      <c r="T39" s="4" t="n">
        <v>1</v>
      </c>
      <c r="U39" s="4" t="n">
        <v>1</v>
      </c>
      <c r="V39" s="3" t="n">
        <v>0</v>
      </c>
    </row>
    <row r="40">
      <c r="A40" s="3" t="inlineStr">
        <is>
          <t>adj_ebitda_margin_pct</t>
        </is>
      </c>
      <c r="B40" s="3" t="inlineStr">
        <is>
          <t>W2</t>
        </is>
      </c>
      <c r="C40" s="3" t="n">
        <v>2</v>
      </c>
      <c r="D40" s="3" t="n">
        <v>8</v>
      </c>
      <c r="E40" s="4" t="n">
        <v>1.765683027396108</v>
      </c>
      <c r="F40" s="4" t="n">
        <v>1.714804718610076</v>
      </c>
      <c r="G40" s="4" t="n">
        <v>1.939734607897329</v>
      </c>
      <c r="H40" s="4" t="n">
        <v>0.4240406162222707</v>
      </c>
      <c r="I40" s="4" t="n">
        <v>1.02602612654299</v>
      </c>
      <c r="J40" s="4" t="n">
        <v>1.031148957377771</v>
      </c>
      <c r="K40" s="4" t="n">
        <v>0.5738623740858788</v>
      </c>
      <c r="L40" s="3" t="n"/>
      <c r="M40" s="3" t="n"/>
      <c r="N40" s="4" t="n">
        <v>0.1387231968078926</v>
      </c>
      <c r="O40" s="4" t="n">
        <v>0.8896688869302445</v>
      </c>
      <c r="P40" s="3" t="n">
        <v>3</v>
      </c>
      <c r="Q40" s="3" t="n">
        <v>8</v>
      </c>
      <c r="R40" s="4" t="n">
        <v>0.85546875</v>
      </c>
      <c r="S40" s="3" t="n"/>
      <c r="T40" s="4" t="n">
        <v>0.875</v>
      </c>
      <c r="U40" s="4" t="n">
        <v>1</v>
      </c>
      <c r="V40" s="3" t="n">
        <v>0</v>
      </c>
    </row>
    <row r="41">
      <c r="A41" s="3" t="inlineStr">
        <is>
          <t>adj_ebitda_musd</t>
        </is>
      </c>
      <c r="B41" s="3" t="inlineStr">
        <is>
          <t>W1</t>
        </is>
      </c>
      <c r="C41" s="3" t="n">
        <v>0</v>
      </c>
      <c r="D41" s="3" t="n">
        <v>14</v>
      </c>
      <c r="E41" s="4" t="n">
        <v>39.6840800424805</v>
      </c>
      <c r="F41" s="4" t="n">
        <v>29.65612583510682</v>
      </c>
      <c r="G41" s="4" t="n">
        <v>48.30348952379256</v>
      </c>
      <c r="H41" s="4" t="n">
        <v>-13.94472240806033</v>
      </c>
      <c r="I41" s="4" t="n">
        <v>0.3215145373812077</v>
      </c>
      <c r="J41" s="4" t="n">
        <v>0.2556717522341092</v>
      </c>
      <c r="K41" s="4" t="n">
        <v>0.3839510163059619</v>
      </c>
      <c r="L41" s="4" t="n">
        <v>0.6079366493799467</v>
      </c>
      <c r="M41" s="4" t="n">
        <v>0.4759149689012446</v>
      </c>
      <c r="N41" s="4" t="n">
        <v>-3.511718248803066</v>
      </c>
      <c r="O41" s="4" t="n">
        <v>0.0004452197310578</v>
      </c>
      <c r="P41" s="3" t="n">
        <v>12</v>
      </c>
      <c r="Q41" s="3" t="n">
        <v>14</v>
      </c>
      <c r="R41" s="4" t="n">
        <v>0.0064697265625</v>
      </c>
      <c r="S41" s="4" t="n">
        <v>0.08978271484375</v>
      </c>
      <c r="T41" s="4" t="n">
        <v>0.8571428571428571</v>
      </c>
      <c r="U41" s="4" t="n">
        <v>0.9285714285714286</v>
      </c>
      <c r="V41" s="3" t="n">
        <v>0</v>
      </c>
    </row>
    <row r="42">
      <c r="A42" s="3" t="inlineStr">
        <is>
          <t>adj_ebitda_musd</t>
        </is>
      </c>
      <c r="B42" s="3" t="inlineStr">
        <is>
          <t>W1</t>
        </is>
      </c>
      <c r="C42" s="3" t="n">
        <v>1</v>
      </c>
      <c r="D42" s="3" t="n">
        <v>13</v>
      </c>
      <c r="E42" s="4" t="n">
        <v>75.46918536475431</v>
      </c>
      <c r="F42" s="4" t="n">
        <v>70.58891881366988</v>
      </c>
      <c r="G42" s="4" t="n">
        <v>86.31885928503564</v>
      </c>
      <c r="H42" s="4" t="n">
        <v>-6.198149854358816</v>
      </c>
      <c r="I42" s="4" t="n">
        <v>0.5788197107621275</v>
      </c>
      <c r="J42" s="4" t="n">
        <v>0.6005321518879094</v>
      </c>
      <c r="K42" s="4" t="n">
        <v>0.5846837960320657</v>
      </c>
      <c r="L42" s="4" t="n">
        <v>1.152270791364583</v>
      </c>
      <c r="M42" s="4" t="n">
        <v>1.218464574990531</v>
      </c>
      <c r="N42" s="4" t="n">
        <v>-1.955720711144799</v>
      </c>
      <c r="O42" s="4" t="n">
        <v>0.0504980635707033</v>
      </c>
      <c r="P42" s="3" t="n">
        <v>9</v>
      </c>
      <c r="Q42" s="3" t="n">
        <v>13</v>
      </c>
      <c r="R42" s="4" t="n">
        <v>0.1334228515625</v>
      </c>
      <c r="S42" s="4" t="n">
        <v>0.70947265625</v>
      </c>
      <c r="T42" s="4" t="n">
        <v>0.6153846153846154</v>
      </c>
      <c r="U42" s="4" t="n">
        <v>0.7692307692307693</v>
      </c>
      <c r="V42" s="3" t="n">
        <v>0</v>
      </c>
    </row>
    <row r="43">
      <c r="A43" s="3" t="inlineStr">
        <is>
          <t>adj_ebitda_musd</t>
        </is>
      </c>
      <c r="B43" s="3" t="inlineStr">
        <is>
          <t>W1</t>
        </is>
      </c>
      <c r="C43" s="3" t="n">
        <v>2</v>
      </c>
      <c r="D43" s="3" t="n">
        <v>12</v>
      </c>
      <c r="E43" s="4" t="n">
        <v>86.38587021580661</v>
      </c>
      <c r="F43" s="4" t="n">
        <v>86.20300744214747</v>
      </c>
      <c r="G43" s="4" t="n">
        <v>99.54472150175688</v>
      </c>
      <c r="H43" s="4" t="n">
        <v>10.09226734645174</v>
      </c>
      <c r="I43" s="4" t="n">
        <v>0.6532012870760424</v>
      </c>
      <c r="J43" s="4" t="n">
        <v>0.7320174063520044</v>
      </c>
      <c r="K43" s="4" t="n">
        <v>0.7539130491561304</v>
      </c>
      <c r="L43" s="3" t="n"/>
      <c r="M43" s="3" t="n"/>
      <c r="N43" s="4" t="n">
        <v>-1.138866621443014</v>
      </c>
      <c r="O43" s="4" t="n">
        <v>0.2547587893633087</v>
      </c>
      <c r="P43" s="3" t="n">
        <v>8</v>
      </c>
      <c r="Q43" s="3" t="n">
        <v>12</v>
      </c>
      <c r="R43" s="4" t="n">
        <v>0.19384765625</v>
      </c>
      <c r="S43" s="3" t="n"/>
      <c r="T43" s="4" t="n">
        <v>0.5833333333333334</v>
      </c>
      <c r="U43" s="4" t="n">
        <v>0.8333333333333334</v>
      </c>
      <c r="V43" s="3" t="n">
        <v>0</v>
      </c>
    </row>
    <row r="44">
      <c r="A44" s="3" t="inlineStr">
        <is>
          <t>adj_ebitda_musd</t>
        </is>
      </c>
      <c r="B44" s="3" t="inlineStr">
        <is>
          <t>W2</t>
        </is>
      </c>
      <c r="C44" s="3" t="n">
        <v>0</v>
      </c>
      <c r="D44" s="3" t="n">
        <v>10</v>
      </c>
      <c r="E44" s="4" t="n">
        <v>30.86185417665952</v>
      </c>
      <c r="F44" s="4" t="n">
        <v>25.45506223277289</v>
      </c>
      <c r="G44" s="4" t="n">
        <v>38.62347252994411</v>
      </c>
      <c r="H44" s="4" t="n">
        <v>-9.236386712873063</v>
      </c>
      <c r="I44" s="4" t="n">
        <v>0.3155608811519378</v>
      </c>
      <c r="J44" s="4" t="n">
        <v>0.2392168290966337</v>
      </c>
      <c r="K44" s="4" t="n">
        <v>0.3772842808882582</v>
      </c>
      <c r="L44" s="4" t="n">
        <v>0.5310230671209226</v>
      </c>
      <c r="M44" s="4" t="n">
        <v>0.4291092963584821</v>
      </c>
      <c r="N44" s="4" t="n">
        <v>-3.555844903391227</v>
      </c>
      <c r="O44" s="4" t="n">
        <v>0.0003767663074634</v>
      </c>
      <c r="P44" s="3" t="n">
        <v>9</v>
      </c>
      <c r="Q44" s="3" t="n">
        <v>10</v>
      </c>
      <c r="R44" s="4" t="n">
        <v>0.0107421875</v>
      </c>
      <c r="S44" s="4" t="n">
        <v>0.0107421875</v>
      </c>
      <c r="T44" s="4" t="n">
        <v>0.9</v>
      </c>
      <c r="U44" s="4" t="n">
        <v>0.9</v>
      </c>
      <c r="V44" s="3" t="n">
        <v>0</v>
      </c>
    </row>
    <row r="45">
      <c r="A45" s="3" t="inlineStr">
        <is>
          <t>adj_ebitda_musd</t>
        </is>
      </c>
      <c r="B45" s="3" t="inlineStr">
        <is>
          <t>W2</t>
        </is>
      </c>
      <c r="C45" s="3" t="n">
        <v>1</v>
      </c>
      <c r="D45" s="3" t="n">
        <v>9</v>
      </c>
      <c r="E45" s="4" t="n">
        <v>68.50241698998701</v>
      </c>
      <c r="F45" s="4" t="n">
        <v>66.87492521553908</v>
      </c>
      <c r="G45" s="4" t="n">
        <v>83.57273906920126</v>
      </c>
      <c r="H45" s="4" t="n">
        <v>9.006609681859736</v>
      </c>
      <c r="I45" s="4" t="n">
        <v>0.7555413638601508</v>
      </c>
      <c r="J45" s="4" t="n">
        <v>0.6426837166329399</v>
      </c>
      <c r="K45" s="4" t="n">
        <v>0.6629266160321324</v>
      </c>
      <c r="L45" s="4" t="n">
        <v>1.46569866191755</v>
      </c>
      <c r="M45" s="4" t="n">
        <v>1.315910313767708</v>
      </c>
      <c r="N45" s="4" t="n">
        <v>-1.164197840621325</v>
      </c>
      <c r="O45" s="4" t="n">
        <v>0.2443438451485222</v>
      </c>
      <c r="P45" s="3" t="n">
        <v>5</v>
      </c>
      <c r="Q45" s="3" t="n">
        <v>9</v>
      </c>
      <c r="R45" s="4" t="n">
        <v>0.5</v>
      </c>
      <c r="S45" s="4" t="n">
        <v>0.91015625</v>
      </c>
      <c r="T45" s="4" t="n">
        <v>0.8888888888888888</v>
      </c>
      <c r="U45" s="4" t="n">
        <v>1</v>
      </c>
      <c r="V45" s="3" t="n">
        <v>0</v>
      </c>
    </row>
    <row r="46">
      <c r="A46" s="3" t="inlineStr">
        <is>
          <t>adj_ebitda_musd</t>
        </is>
      </c>
      <c r="B46" s="3" t="inlineStr">
        <is>
          <t>W2</t>
        </is>
      </c>
      <c r="C46" s="3" t="n">
        <v>2</v>
      </c>
      <c r="D46" s="3" t="n">
        <v>8</v>
      </c>
      <c r="E46" s="4" t="n">
        <v>93.6572226734344</v>
      </c>
      <c r="F46" s="4" t="n">
        <v>88.99023884263318</v>
      </c>
      <c r="G46" s="4" t="n">
        <v>108.4032606086686</v>
      </c>
      <c r="H46" s="4" t="n">
        <v>19.68746395252231</v>
      </c>
      <c r="I46" s="4" t="n">
        <v>1.011144104436539</v>
      </c>
      <c r="J46" s="4" t="n">
        <v>0.8427370097747829</v>
      </c>
      <c r="K46" s="4" t="n">
        <v>1.21632756718746</v>
      </c>
      <c r="L46" s="3" t="n"/>
      <c r="M46" s="3" t="n"/>
      <c r="N46" s="4" t="n">
        <v>0.0413071277732203</v>
      </c>
      <c r="O46" s="4" t="n">
        <v>0.9670510507805974</v>
      </c>
      <c r="P46" s="3" t="n">
        <v>5</v>
      </c>
      <c r="Q46" s="3" t="n">
        <v>8</v>
      </c>
      <c r="R46" s="4" t="n">
        <v>0.36328125</v>
      </c>
      <c r="S46" s="3" t="n"/>
      <c r="T46" s="4" t="n">
        <v>0.875</v>
      </c>
      <c r="U46" s="4" t="n">
        <v>0.875</v>
      </c>
      <c r="V46" s="3" t="n">
        <v>0</v>
      </c>
    </row>
    <row r="48">
      <c r="A48" s="1" t="inlineStr">
        <is>
          <t>Each member's own PIT MAE on the same matched quarters</t>
        </is>
      </c>
    </row>
    <row r="49">
      <c r="A49" s="2" t="inlineStr">
        <is>
          <t>window</t>
        </is>
      </c>
      <c r="B49" s="2" t="inlineStr">
        <is>
          <t>member</t>
        </is>
      </c>
      <c r="C49" s="2" t="inlineStr">
        <is>
          <t>n</t>
        </is>
      </c>
      <c r="D49" s="2" t="inlineStr">
        <is>
          <t>mae</t>
        </is>
      </c>
      <c r="E49" s="2" t="inlineStr">
        <is>
          <t>bias</t>
        </is>
      </c>
    </row>
    <row r="50">
      <c r="A50" s="3" t="inlineStr">
        <is>
          <t>W1</t>
        </is>
      </c>
      <c r="B50" s="3" t="inlineStr">
        <is>
          <t>street-bias|dispersion_conditioned|rw_hl4_med</t>
        </is>
      </c>
      <c r="C50" s="3" t="n">
        <v>14</v>
      </c>
      <c r="D50" s="4" t="n">
        <v>1.223226975055342</v>
      </c>
      <c r="E50" s="4" t="n">
        <v>0.1341344995765379</v>
      </c>
    </row>
    <row r="51">
      <c r="A51" s="3" t="inlineStr">
        <is>
          <t>W1</t>
        </is>
      </c>
      <c r="B51" s="3" t="inlineStr">
        <is>
          <t>street-bias|street_plus_flowthrough|rw_hl4</t>
        </is>
      </c>
      <c r="C51" s="3" t="n">
        <v>14</v>
      </c>
      <c r="D51" s="4" t="n">
        <v>1.660796379219001</v>
      </c>
      <c r="E51" s="4" t="n">
        <v>0.6924918534695753</v>
      </c>
    </row>
    <row r="52">
      <c r="A52" s="3" t="inlineStr">
        <is>
          <t>W1</t>
        </is>
      </c>
      <c r="B52" s="3" t="inlineStr">
        <is>
          <t>baselines-margin|street</t>
        </is>
      </c>
      <c r="C52" s="3" t="n">
        <v>14</v>
      </c>
      <c r="D52" s="4" t="n">
        <v>1.592077997212408</v>
      </c>
      <c r="E52" s="4" t="n">
        <v>-1.219145776102977</v>
      </c>
    </row>
    <row r="53">
      <c r="A53" s="3" t="inlineStr">
        <is>
          <t>W1</t>
        </is>
      </c>
      <c r="B53" s="3" t="inlineStr">
        <is>
          <t>guide-policy-margin|actual_given_guide|nov_sentence_pin</t>
        </is>
      </c>
      <c r="C53" s="3" t="n">
        <v>14</v>
      </c>
      <c r="D53" s="4" t="n">
        <v>1.882738881700558</v>
      </c>
      <c r="E53" s="4" t="n">
        <v>-1.424079583313518</v>
      </c>
    </row>
    <row r="54">
      <c r="A54" s="3" t="inlineStr">
        <is>
          <t>W1</t>
        </is>
      </c>
      <c r="B54" s="3" t="inlineStr">
        <is>
          <t>margin-ts|q_sentence_direction|k_fit_median</t>
        </is>
      </c>
      <c r="C54" s="3" t="n">
        <v>14</v>
      </c>
      <c r="D54" s="4" t="n">
        <v>2.048075433060218</v>
      </c>
      <c r="E54" s="4" t="n">
        <v>-1.680128276761525</v>
      </c>
    </row>
    <row r="55">
      <c r="A55" s="3" t="inlineStr">
        <is>
          <t>W1</t>
        </is>
      </c>
      <c r="B55" s="3" t="inlineStr">
        <is>
          <t>FAMILY_A</t>
        </is>
      </c>
      <c r="C55" s="3" t="n">
        <v>14</v>
      </c>
      <c r="D55" s="4" t="n">
        <v>2.127548921893828</v>
      </c>
      <c r="E55" s="4" t="n">
        <v>-0.0631093977875139</v>
      </c>
    </row>
    <row r="56">
      <c r="A56" s="3" t="inlineStr">
        <is>
          <t>W1</t>
        </is>
      </c>
      <c r="B56" s="3" t="inlineStr">
        <is>
          <t>seasonal_naive (= the sentence level)</t>
        </is>
      </c>
      <c r="C56" s="3" t="n">
        <v>14</v>
      </c>
      <c r="D56" s="4" t="n">
        <v>2.237067218823807</v>
      </c>
      <c r="E56" s="4" t="n">
        <v>-0.4732602177636394</v>
      </c>
    </row>
    <row r="57">
      <c r="A57" s="3" t="inlineStr">
        <is>
          <t>W2</t>
        </is>
      </c>
      <c r="B57" s="3" t="inlineStr">
        <is>
          <t>street-bias|dispersion_conditioned|rw_hl4_med</t>
        </is>
      </c>
      <c r="C57" s="3" t="n">
        <v>10</v>
      </c>
      <c r="D57" s="4" t="n">
        <v>0.7869452728492963</v>
      </c>
      <c r="E57" s="4" t="n">
        <v>0.06864823999963959</v>
      </c>
    </row>
    <row r="58">
      <c r="A58" s="3" t="inlineStr">
        <is>
          <t>W2</t>
        </is>
      </c>
      <c r="B58" s="3" t="inlineStr">
        <is>
          <t>street-bias|street_plus_flowthrough|rw_hl4</t>
        </is>
      </c>
      <c r="C58" s="3" t="n">
        <v>10</v>
      </c>
      <c r="D58" s="4" t="n">
        <v>0.987179779949685</v>
      </c>
      <c r="E58" s="4" t="n">
        <v>0.3158871116862212</v>
      </c>
    </row>
    <row r="59">
      <c r="A59" s="3" t="inlineStr">
        <is>
          <t>W2</t>
        </is>
      </c>
      <c r="B59" s="3" t="inlineStr">
        <is>
          <t>baselines-margin|street</t>
        </is>
      </c>
      <c r="C59" s="3" t="n">
        <v>10</v>
      </c>
      <c r="D59" s="4" t="n">
        <v>1.311177928144189</v>
      </c>
      <c r="E59" s="4" t="n">
        <v>-1.126356841361538</v>
      </c>
    </row>
    <row r="60">
      <c r="A60" s="3" t="inlineStr">
        <is>
          <t>W2</t>
        </is>
      </c>
      <c r="B60" s="3" t="inlineStr">
        <is>
          <t>guide-policy-margin|actual_given_guide|nov_sentence_pin</t>
        </is>
      </c>
      <c r="C60" s="3" t="n">
        <v>10</v>
      </c>
      <c r="D60" s="4" t="n">
        <v>1.842077044749781</v>
      </c>
      <c r="E60" s="4" t="n">
        <v>-1.506556561557028</v>
      </c>
    </row>
    <row r="61">
      <c r="A61" s="3" t="inlineStr">
        <is>
          <t>W2</t>
        </is>
      </c>
      <c r="B61" s="3" t="inlineStr">
        <is>
          <t>margin-ts|q_sentence_direction|k_fit_median</t>
        </is>
      </c>
      <c r="C61" s="3" t="n">
        <v>10</v>
      </c>
      <c r="D61" s="4" t="n">
        <v>1.538777916465018</v>
      </c>
      <c r="E61" s="4" t="n">
        <v>-1.023651897646848</v>
      </c>
    </row>
    <row r="62">
      <c r="A62" s="3" t="inlineStr">
        <is>
          <t>W2</t>
        </is>
      </c>
      <c r="B62" s="3" t="inlineStr">
        <is>
          <t>FAMILY_A</t>
        </is>
      </c>
      <c r="C62" s="3" t="n">
        <v>10</v>
      </c>
      <c r="D62" s="4" t="n">
        <v>1.669812568644345</v>
      </c>
      <c r="E62" s="4" t="n">
        <v>0.429086331899904</v>
      </c>
    </row>
    <row r="63">
      <c r="A63" s="3" t="inlineStr">
        <is>
          <t>W2</t>
        </is>
      </c>
      <c r="B63" s="3" t="inlineStr">
        <is>
          <t>seasonal_naive (= the sentence level)</t>
        </is>
      </c>
      <c r="C63" s="3" t="n">
        <v>10</v>
      </c>
      <c r="D63" s="4" t="n">
        <v>1.958856516959868</v>
      </c>
      <c r="E63" s="4" t="n">
        <v>0.193503653232689</v>
      </c>
    </row>
    <row r="65">
      <c r="A65" s="1" t="inlineStr">
        <is>
          <t>Leave-one-member-out and the no-clip / Street-independent variants</t>
        </is>
      </c>
    </row>
    <row r="66">
      <c r="A66" s="2" t="inlineStr">
        <is>
          <t>window</t>
        </is>
      </c>
      <c r="B66" s="2" t="inlineStr">
        <is>
          <t>variant</t>
        </is>
      </c>
      <c r="C66" s="2" t="inlineStr">
        <is>
          <t>n</t>
        </is>
      </c>
      <c r="D66" s="2" t="inlineStr">
        <is>
          <t>mae</t>
        </is>
      </c>
      <c r="E66" s="2" t="inlineStr">
        <is>
          <t>ratio_to_naive</t>
        </is>
      </c>
      <c r="F66" s="2" t="inlineStr">
        <is>
          <t>delta_vs_full_pp</t>
        </is>
      </c>
      <c r="G66" s="2" t="inlineStr">
        <is>
          <t>dropped</t>
        </is>
      </c>
    </row>
    <row r="67">
      <c r="A67" s="3" t="inlineStr">
        <is>
          <t>W1</t>
        </is>
      </c>
      <c r="B67" s="3" t="inlineStr">
        <is>
          <t>ALL (stack_clip)</t>
        </is>
      </c>
      <c r="C67" s="3" t="n">
        <v>14</v>
      </c>
      <c r="D67" s="4" t="n">
        <v>1.126424550987544</v>
      </c>
      <c r="E67" s="4" t="n">
        <v>0.5035273600673428</v>
      </c>
      <c r="F67" s="4" t="n">
        <v>0</v>
      </c>
      <c r="G67" s="3" t="n"/>
    </row>
    <row r="68">
      <c r="A68" s="3" t="inlineStr">
        <is>
          <t>W1</t>
        </is>
      </c>
      <c r="B68" s="3" t="inlineStr">
        <is>
          <t>drop street-bias|dispersion_conditioned|rw_hl4_med</t>
        </is>
      </c>
      <c r="C68" s="3" t="n">
        <v>14</v>
      </c>
      <c r="D68" s="4" t="n">
        <v>1.220840322765947</v>
      </c>
      <c r="E68" s="4" t="n">
        <v>0.545732516436334</v>
      </c>
      <c r="F68" s="4" t="n">
        <v>0.0944157717784031</v>
      </c>
      <c r="G68" s="3" t="inlineStr">
        <is>
          <t>street-bias|dispersion_conditioned|rw_hl4_med</t>
        </is>
      </c>
    </row>
    <row r="69">
      <c r="A69" s="3" t="inlineStr">
        <is>
          <t>W1</t>
        </is>
      </c>
      <c r="B69" s="3" t="inlineStr">
        <is>
          <t>drop street-bias|street_plus_flowthrough|rw_hl4</t>
        </is>
      </c>
      <c r="C69" s="3" t="n">
        <v>14</v>
      </c>
      <c r="D69" s="4" t="n">
        <v>1.163351502798599</v>
      </c>
      <c r="E69" s="4" t="n">
        <v>0.5200342184667386</v>
      </c>
      <c r="F69" s="4" t="n">
        <v>0.0369269518110546</v>
      </c>
      <c r="G69" s="3" t="inlineStr">
        <is>
          <t>street-bias|street_plus_flowthrough|rw_hl4</t>
        </is>
      </c>
    </row>
    <row r="70">
      <c r="A70" s="3" t="inlineStr">
        <is>
          <t>W1</t>
        </is>
      </c>
      <c r="B70" s="3" t="inlineStr">
        <is>
          <t>drop baselines-margin|street</t>
        </is>
      </c>
      <c r="C70" s="3" t="n">
        <v>14</v>
      </c>
      <c r="D70" s="4" t="n">
        <v>1.098628843893249</v>
      </c>
      <c r="E70" s="4" t="n">
        <v>0.4911022944008272</v>
      </c>
      <c r="F70" s="4" t="n">
        <v>-0.0277957070942951</v>
      </c>
      <c r="G70" s="3" t="inlineStr">
        <is>
          <t>baselines-margin|street</t>
        </is>
      </c>
    </row>
    <row r="71">
      <c r="A71" s="3" t="inlineStr">
        <is>
          <t>W1</t>
        </is>
      </c>
      <c r="B71" s="3" t="inlineStr">
        <is>
          <t>drop guide-policy-margin|actual_given_guide|nov_sentence_pin</t>
        </is>
      </c>
      <c r="C71" s="3" t="n">
        <v>14</v>
      </c>
      <c r="D71" s="4" t="n">
        <v>1.106865720385213</v>
      </c>
      <c r="E71" s="4" t="n">
        <v>0.4947842921622958</v>
      </c>
      <c r="F71" s="4" t="n">
        <v>-0.0195588306023311</v>
      </c>
      <c r="G71" s="3" t="inlineStr">
        <is>
          <t>guide-policy-margin|actual_given_guide|nov_sentence_pin</t>
        </is>
      </c>
    </row>
    <row r="72">
      <c r="A72" s="3" t="inlineStr">
        <is>
          <t>W1</t>
        </is>
      </c>
      <c r="B72" s="3" t="inlineStr">
        <is>
          <t>drop margin-ts|q_sentence_direction|k_fit_median</t>
        </is>
      </c>
      <c r="C72" s="3" t="n">
        <v>14</v>
      </c>
      <c r="D72" s="4" t="n">
        <v>1.130336866740201</v>
      </c>
      <c r="E72" s="4" t="n">
        <v>0.5052762193415462</v>
      </c>
      <c r="F72" s="4" t="n">
        <v>0.0039123157526563</v>
      </c>
      <c r="G72" s="3" t="inlineStr">
        <is>
          <t>margin-ts|q_sentence_direction|k_fit_median</t>
        </is>
      </c>
    </row>
    <row r="73">
      <c r="A73" s="3" t="inlineStr">
        <is>
          <t>W1</t>
        </is>
      </c>
      <c r="B73" s="3" t="inlineStr">
        <is>
          <t>drop FAMILY_A</t>
        </is>
      </c>
      <c r="C73" s="3" t="n">
        <v>14</v>
      </c>
      <c r="D73" s="4" t="n">
        <v>1.086581058831426</v>
      </c>
      <c r="E73" s="4" t="n">
        <v>0.4857167677789864</v>
      </c>
      <c r="F73" s="4" t="n">
        <v>-0.0398434921561181</v>
      </c>
      <c r="G73" s="3" t="inlineStr">
        <is>
          <t>FAMILY_A</t>
        </is>
      </c>
    </row>
    <row r="74">
      <c r="A74" s="3" t="inlineStr">
        <is>
          <t>W1</t>
        </is>
      </c>
      <c r="B74" s="3" t="inlineStr">
        <is>
          <t>STREET-INDEPENDENT ONLY (M3 + M2sent + family)</t>
        </is>
      </c>
      <c r="C74" s="3" t="n">
        <v>14</v>
      </c>
      <c r="D74" s="4" t="n">
        <v>1.419446404960632</v>
      </c>
      <c r="E74" s="4" t="n">
        <v>0.6345121831908744</v>
      </c>
      <c r="F74" s="4" t="n">
        <v>0.2930218539730871</v>
      </c>
      <c r="G74" s="3" t="inlineStr">
        <is>
          <t>all Street-anchored</t>
        </is>
      </c>
    </row>
    <row r="75">
      <c r="A75" s="3" t="inlineStr">
        <is>
          <t>W1</t>
        </is>
      </c>
      <c r="B75" s="3" t="inlineStr">
        <is>
          <t>NO SENTENCE CLIP</t>
        </is>
      </c>
      <c r="C75" s="3" t="n">
        <v>14</v>
      </c>
      <c r="D75" s="4" t="n">
        <v>1.194778729708365</v>
      </c>
      <c r="E75" s="4" t="n">
        <v>0.5340826237383022</v>
      </c>
      <c r="F75" s="4" t="n">
        <v>0.068354178720821</v>
      </c>
      <c r="G75" s="3" t="inlineStr">
        <is>
          <t>the clip</t>
        </is>
      </c>
    </row>
    <row r="76">
      <c r="A76" s="3" t="inlineStr">
        <is>
          <t>W2</t>
        </is>
      </c>
      <c r="B76" s="3" t="inlineStr">
        <is>
          <t>ALL (stack_clip)</t>
        </is>
      </c>
      <c r="C76" s="3" t="n">
        <v>10</v>
      </c>
      <c r="D76" s="4" t="n">
        <v>0.7876374470960329</v>
      </c>
      <c r="E76" s="4" t="n">
        <v>0.4020904238144204</v>
      </c>
      <c r="F76" s="4" t="n">
        <v>0</v>
      </c>
      <c r="G76" s="3" t="n"/>
    </row>
    <row r="77">
      <c r="A77" s="3" t="inlineStr">
        <is>
          <t>W2</t>
        </is>
      </c>
      <c r="B77" s="3" t="inlineStr">
        <is>
          <t>drop street-bias|dispersion_conditioned|rw_hl4_med</t>
        </is>
      </c>
      <c r="C77" s="3" t="n">
        <v>10</v>
      </c>
      <c r="D77" s="4" t="n">
        <v>0.8706037191515715</v>
      </c>
      <c r="E77" s="4" t="n">
        <v>0.4444448644471125</v>
      </c>
      <c r="F77" s="4" t="n">
        <v>0.0829662720555386</v>
      </c>
      <c r="G77" s="3" t="inlineStr">
        <is>
          <t>street-bias|dispersion_conditioned|rw_hl4_med</t>
        </is>
      </c>
    </row>
    <row r="78">
      <c r="A78" s="3" t="inlineStr">
        <is>
          <t>W2</t>
        </is>
      </c>
      <c r="B78" s="3" t="inlineStr">
        <is>
          <t>drop street-bias|street_plus_flowthrough|rw_hl4</t>
        </is>
      </c>
      <c r="C78" s="3" t="n">
        <v>10</v>
      </c>
      <c r="D78" s="4" t="n">
        <v>0.8693282894055724</v>
      </c>
      <c r="E78" s="4" t="n">
        <v>0.4437937551213622</v>
      </c>
      <c r="F78" s="4" t="n">
        <v>0.08169084230953939</v>
      </c>
      <c r="G78" s="3" t="inlineStr">
        <is>
          <t>street-bias|street_plus_flowthrough|rw_hl4</t>
        </is>
      </c>
    </row>
    <row r="79">
      <c r="A79" s="3" t="inlineStr">
        <is>
          <t>W2</t>
        </is>
      </c>
      <c r="B79" s="3" t="inlineStr">
        <is>
          <t>drop baselines-margin|street</t>
        </is>
      </c>
      <c r="C79" s="3" t="n">
        <v>10</v>
      </c>
      <c r="D79" s="4" t="n">
        <v>0.7533815367103713</v>
      </c>
      <c r="E79" s="4" t="n">
        <v>0.3846027160170027</v>
      </c>
      <c r="F79" s="4" t="n">
        <v>-0.0342559103856615</v>
      </c>
      <c r="G79" s="3" t="inlineStr">
        <is>
          <t>baselines-margin|street</t>
        </is>
      </c>
    </row>
    <row r="80">
      <c r="A80" s="3" t="inlineStr">
        <is>
          <t>W2</t>
        </is>
      </c>
      <c r="B80" s="3" t="inlineStr">
        <is>
          <t>drop guide-policy-margin|actual_given_guide|nov_sentence_pin</t>
        </is>
      </c>
      <c r="C80" s="3" t="n">
        <v>10</v>
      </c>
      <c r="D80" s="4" t="n">
        <v>0.7752892527939498</v>
      </c>
      <c r="E80" s="4" t="n">
        <v>0.3957866469960716</v>
      </c>
      <c r="F80" s="4" t="n">
        <v>-0.0123481943020831</v>
      </c>
      <c r="G80" s="3" t="inlineStr">
        <is>
          <t>guide-policy-margin|actual_given_guide|nov_sentence_pin</t>
        </is>
      </c>
    </row>
    <row r="81">
      <c r="A81" s="3" t="inlineStr">
        <is>
          <t>W2</t>
        </is>
      </c>
      <c r="B81" s="3" t="inlineStr">
        <is>
          <t>drop margin-ts|q_sentence_direction|k_fit_median</t>
        </is>
      </c>
      <c r="C81" s="3" t="n">
        <v>10</v>
      </c>
      <c r="D81" s="4" t="n">
        <v>0.8144769848255166</v>
      </c>
      <c r="E81" s="4" t="n">
        <v>0.4157920591803116</v>
      </c>
      <c r="F81" s="4" t="n">
        <v>0.0268395377294836</v>
      </c>
      <c r="G81" s="3" t="inlineStr">
        <is>
          <t>margin-ts|q_sentence_direction|k_fit_median</t>
        </is>
      </c>
    </row>
    <row r="82">
      <c r="A82" s="3" t="inlineStr">
        <is>
          <t>W2</t>
        </is>
      </c>
      <c r="B82" s="3" t="inlineStr">
        <is>
          <t>drop FAMILY_A</t>
        </is>
      </c>
      <c r="C82" s="3" t="n">
        <v>10</v>
      </c>
      <c r="D82" s="4" t="n">
        <v>0.8136950306295165</v>
      </c>
      <c r="E82" s="4" t="n">
        <v>0.415392870067056</v>
      </c>
      <c r="F82" s="4" t="n">
        <v>0.0260575835334836</v>
      </c>
      <c r="G82" s="3" t="inlineStr">
        <is>
          <t>FAMILY_A</t>
        </is>
      </c>
    </row>
    <row r="83">
      <c r="A83" s="3" t="inlineStr">
        <is>
          <t>W2</t>
        </is>
      </c>
      <c r="B83" s="3" t="inlineStr">
        <is>
          <t>STREET-INDEPENDENT ONLY (M3 + M2sent + family)</t>
        </is>
      </c>
      <c r="C83" s="3" t="n">
        <v>10</v>
      </c>
      <c r="D83" s="4" t="n">
        <v>1.202365189180608</v>
      </c>
      <c r="E83" s="4" t="n">
        <v>0.61380972969203</v>
      </c>
      <c r="F83" s="4" t="n">
        <v>0.4147277420845751</v>
      </c>
      <c r="G83" s="3" t="inlineStr">
        <is>
          <t>all Street-anchored</t>
        </is>
      </c>
    </row>
    <row r="84">
      <c r="A84" s="3" t="inlineStr">
        <is>
          <t>W2</t>
        </is>
      </c>
      <c r="B84" s="3" t="inlineStr">
        <is>
          <t>NO SENTENCE CLIP</t>
        </is>
      </c>
      <c r="C84" s="3" t="n">
        <v>10</v>
      </c>
      <c r="D84" s="4" t="n">
        <v>0.7876374470960329</v>
      </c>
      <c r="E84" s="4" t="n">
        <v>0.4020904238144204</v>
      </c>
      <c r="F84" s="4" t="n">
        <v>0</v>
      </c>
      <c r="G84" s="3" t="inlineStr">
        <is>
          <t>the clip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8" customWidth="1" min="3" max="3"/>
    <col width="16" customWidth="1" min="4" max="4"/>
    <col width="16" customWidth="1" min="5" max="5"/>
    <col width="15" customWidth="1" min="6" max="6"/>
    <col width="19" customWidth="1" min="7" max="7"/>
    <col width="24" customWidth="1" min="8" max="8"/>
    <col width="24" customWidth="1" min="9" max="9"/>
    <col width="17" customWidth="1" min="10" max="10"/>
    <col width="25" customWidth="1" min="11" max="11"/>
  </cols>
  <sheetData>
    <row r="1">
      <c r="A1" s="1" t="inlineStr">
        <is>
          <t>The 5 November 2026 card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band80</t>
        </is>
      </c>
      <c r="E2" s="2" t="inlineStr">
        <is>
          <t>vs</t>
        </is>
      </c>
      <c r="F2" s="2" t="inlineStr">
        <is>
          <t>note</t>
        </is>
      </c>
    </row>
    <row r="3">
      <c r="A3" s="3" t="inlineStr">
        <is>
          <t>3Q26 adj EBITDA margin</t>
        </is>
      </c>
      <c r="B3" s="4" t="n">
        <v>49.93993908638773</v>
      </c>
      <c r="C3" s="3" t="inlineStr">
        <is>
          <t>%</t>
        </is>
      </c>
      <c r="D3" s="3" t="inlineStr">
        <is>
          <t>47.86 - 52.02</t>
        </is>
      </c>
      <c r="E3" s="3" t="inlineStr">
        <is>
          <t>Street 49.78%</t>
        </is>
      </c>
      <c r="F3" s="3" t="inlineStr">
        <is>
          <t>combination stack_clip, h=0; bias-corrected on the last 5 PIT errors -&gt; 50.21%, which the 'down slightly' sentence caps at 50.09%</t>
        </is>
      </c>
    </row>
    <row r="4">
      <c r="A4" s="3" t="inlineStr">
        <is>
          <t>3Q26 adj EBITDA</t>
        </is>
      </c>
      <c r="B4" s="4" t="n">
        <v>2399.132402388442</v>
      </c>
      <c r="C4" s="3" t="inlineStr">
        <is>
          <t>USD m</t>
        </is>
      </c>
      <c r="D4" s="3" t="inlineStr">
        <is>
          <t>2337 - 2462</t>
        </is>
      </c>
      <c r="E4" s="3" t="inlineStr">
        <is>
          <t>Street 2362 (n 36, EBITDA sd 20.0)</t>
        </is>
      </c>
      <c r="F4" s="3" t="inlineStr">
        <is>
          <t>final-margin|combined_dollar_from_margin (the margin combination x bridge-v3 revenue 4,804), band = its OWN conformal qhat80 62.6 on the 2024Q1+ calibration; W1/W2 h=0 MAE 30.7 / 25.8. Cross-check: the four-member dollar combination reads 2411</t>
        </is>
      </c>
    </row>
    <row r="5">
      <c r="A5" s="3" t="inlineStr">
        <is>
          <t>3Q26 beat vs Street, $</t>
        </is>
      </c>
      <c r="B5" s="4" t="n">
        <v>37.61061238844241</v>
      </c>
      <c r="C5" s="3" t="inlineStr">
        <is>
          <t>USD m</t>
        </is>
      </c>
      <c r="D5" s="3" t="n"/>
      <c r="E5" s="3" t="n"/>
      <c r="F5" s="3" t="inlineStr">
        <is>
          <t>M5 flow-through arithmetic: 0.464 x (4,804 - 4,744) + 16 = +$44M</t>
        </is>
      </c>
    </row>
    <row r="6">
      <c r="A6" s="3" t="inlineStr">
        <is>
          <t>P(3Q26 adj EBITDA beats Street)</t>
        </is>
      </c>
      <c r="B6" s="4" t="n">
        <v>0.7794080869036119</v>
      </c>
      <c r="C6" s="3" t="inlineStr">
        <is>
          <t>probability</t>
        </is>
      </c>
      <c r="D6" s="3" t="n"/>
      <c r="E6" s="3" t="n"/>
      <c r="F6" s="3" t="inlineStr">
        <is>
          <t>Gaussian, sd = qhat80/1.2816 = 48.8, on the SAME object as the band (WS31 audit 04). The previously published 0.77 mixed a band from the margin route with an sd from the four-member dollar object and is withdrawn. Descriptive, not a validated probability: the calibration pool is n=10 and the object was selected after seeing the scoreboard</t>
        </is>
      </c>
    </row>
    <row r="7">
      <c r="A7" s="3" t="inlineStr">
        <is>
          <t>P(3Q26 margin beats Street margin)</t>
        </is>
      </c>
      <c r="B7" s="4" t="n">
        <v>0.5402861765589382</v>
      </c>
      <c r="C7" s="3" t="inlineStr">
        <is>
          <t>probability</t>
        </is>
      </c>
      <c r="D7" s="3" t="n"/>
      <c r="E7" s="3" t="n"/>
      <c r="F7" s="3" t="inlineStr">
        <is>
          <t>Gaussian on the margin object's own conformal sd; same caveat</t>
        </is>
      </c>
    </row>
    <row r="8">
      <c r="A8" s="3" t="inlineStr">
        <is>
          <t>3Q26 EPS (GAAP diluted)</t>
        </is>
      </c>
      <c r="B8" s="4" t="n">
        <v>2.87890641250624</v>
      </c>
      <c r="C8" s="3" t="inlineStr">
        <is>
          <t>USD</t>
        </is>
      </c>
      <c r="D8" s="3" t="inlineStr">
        <is>
          <t>2.70 - 3.05</t>
        </is>
      </c>
      <c r="E8" s="3" t="inlineStr">
        <is>
          <t>Street 2.85</t>
        </is>
      </c>
      <c r="F8" s="3" t="inlineStr">
        <is>
          <t>M7 bridge, ETR 18.0%, 591.7m shares; $0.001386 of EPS per $M of EBITDA. Band is JOINT (WS31 audit 06): EBITDA conformal term and M7's measured bridge sd $0.083 in quadrature, not EBITDA-only</t>
        </is>
      </c>
    </row>
    <row r="9">
      <c r="A9" s="3" t="inlineStr">
        <is>
          <t>4Q26 adj EBITDA margin</t>
        </is>
      </c>
      <c r="B9" s="4" t="n">
        <v>28.897437</v>
      </c>
      <c r="C9" s="3" t="inlineStr">
        <is>
          <t>%</t>
        </is>
      </c>
      <c r="D9" s="3" t="n"/>
      <c r="E9" s="3" t="inlineStr">
        <is>
          <t>Street 28.90%</t>
        </is>
      </c>
      <c r="F9" s="3" t="inlineStr">
        <is>
          <t>h=1 rule: the Street is unbeaten; combination 29.04%, M3 sentence path 29.90%</t>
        </is>
      </c>
    </row>
    <row r="10">
      <c r="A10" s="3" t="inlineStr">
        <is>
          <t>FY26 adj EBITDA margin</t>
        </is>
      </c>
      <c r="B10" s="4" t="n">
        <v>35.72661108582304</v>
      </c>
      <c r="C10" s="3" t="inlineStr">
        <is>
          <t>%</t>
        </is>
      </c>
      <c r="D10" s="3" t="n"/>
      <c r="E10" s="3" t="inlineStr">
        <is>
          <t>floor 35.5%, Street 35.62%</t>
        </is>
      </c>
      <c r="F10" s="3" t="inlineStr">
        <is>
          <t>1H26 actual + 3Q26 combination + 4Q26 Street, on bridge v3 revenue</t>
        </is>
      </c>
    </row>
    <row r="11">
      <c r="A11" s="3" t="inlineStr">
        <is>
          <t>FY26 adj EBITDA</t>
        </is>
      </c>
      <c r="B11" s="4" t="n">
        <v>5097.524101685529</v>
      </c>
      <c r="C11" s="3" t="inlineStr">
        <is>
          <t>USD m</t>
        </is>
      </c>
      <c r="D11" s="3" t="n"/>
      <c r="E11" s="3" t="inlineStr">
        <is>
          <t>Street 5,053.7</t>
        </is>
      </c>
      <c r="F11" s="3" t="n"/>
    </row>
    <row r="12">
      <c r="A12" s="3" t="inlineStr">
        <is>
          <t>5 Nov FY26 margin sentence (forecast)</t>
        </is>
      </c>
      <c r="B12" s="4" t="n">
        <v>36</v>
      </c>
      <c r="C12" s="3" t="inlineStr">
        <is>
          <t>%</t>
        </is>
      </c>
      <c r="D12" s="3" t="n"/>
      <c r="E12" s="3" t="n"/>
      <c r="F12" s="3" t="inlineStr">
        <is>
          <t>M3: the November sentence has been the numeric floor + 50bp, exact 2 of 2; p ~0.45-0.50. 'Approximately 36%'</t>
        </is>
      </c>
    </row>
    <row r="13">
      <c r="A13" s="3" t="inlineStr">
        <is>
          <t>4Q26 margin implied by the 36.0% sentence at our 3Q26</t>
        </is>
      </c>
      <c r="B13" s="4" t="n">
        <v>30.12481897598181</v>
      </c>
      <c r="C13" s="3" t="inlineStr">
        <is>
          <t>%</t>
        </is>
      </c>
      <c r="D13" s="3" t="n"/>
      <c r="E13" s="3" t="inlineStr">
        <is>
          <t>Street 28.90%</t>
        </is>
      </c>
      <c r="F13" s="3" t="inlineStr">
        <is>
          <t>M3 budget identity: 1pp of FY26 = 4.49pp of 4Q26; 1pp of 3Q26 = -1.51pp of 4Q26</t>
        </is>
      </c>
    </row>
    <row r="14">
      <c r="A14" s="3" t="inlineStr">
        <is>
          <t>FY27 adj EBITDA margin (SCENARIO)</t>
        </is>
      </c>
      <c r="B14" s="4" t="n">
        <v>34.64189810715067</v>
      </c>
      <c r="C14" s="3" t="inlineStr">
        <is>
          <t>%</t>
        </is>
      </c>
      <c r="D14" s="3" t="n"/>
      <c r="E14" s="3" t="inlineStr">
        <is>
          <t>Street 36.45%</t>
        </is>
      </c>
      <c r="F14" s="3" t="inlineStr">
        <is>
          <t>h&gt;=2 fails its test; this is a spending scenario, not a forecast</t>
        </is>
      </c>
    </row>
    <row r="16">
      <c r="A16" s="1" t="inlineStr">
        <is>
          <t>Which object supplies which quarter, and why</t>
        </is>
      </c>
    </row>
    <row r="17">
      <c r="A17" s="2" t="inlineStr">
        <is>
          <t>quarter</t>
        </is>
      </c>
      <c r="B17" s="2" t="inlineStr">
        <is>
          <t>horizon_q</t>
        </is>
      </c>
      <c r="C17" s="2" t="inlineStr">
        <is>
          <t>margin_pct</t>
        </is>
      </c>
      <c r="D17" s="2" t="inlineStr">
        <is>
          <t>source</t>
        </is>
      </c>
      <c r="E17" s="2" t="inlineStr">
        <is>
          <t>rationale</t>
        </is>
      </c>
      <c r="F17" s="2" t="inlineStr">
        <is>
          <t>combination_pct</t>
        </is>
      </c>
      <c r="G17" s="2" t="inlineStr">
        <is>
          <t>combination_raw_pct</t>
        </is>
      </c>
      <c r="H17" s="2" t="inlineStr">
        <is>
          <t>clip</t>
        </is>
      </c>
      <c r="I17" s="2" t="inlineStr">
        <is>
          <t>street_pct</t>
        </is>
      </c>
      <c r="J17" s="2" t="inlineStr">
        <is>
          <t>m3_sentence_pct</t>
        </is>
      </c>
      <c r="K17" s="2" t="inlineStr">
        <is>
          <t>combination_ebitda_musd</t>
        </is>
      </c>
    </row>
    <row r="18">
      <c r="A18" s="3" t="inlineStr">
        <is>
          <t>2026Q3</t>
        </is>
      </c>
      <c r="B18" s="3" t="n">
        <v>0</v>
      </c>
      <c r="C18" s="4" t="n">
        <v>49.93993908638773</v>
      </c>
      <c r="D18" s="3" t="inlineStr">
        <is>
          <t>final-margin|combined|stack_clip (h=0)</t>
        </is>
      </c>
      <c r="E18" s="3" t="inlineStr">
        <is>
          <t>h=0: the combination beats seasonal_naive 0.50x (W1) / 0.40x (W2) and the Street 0.71x / 0.60x, both windows, both weightings</t>
        </is>
      </c>
      <c r="F18" s="4" t="n">
        <v>49.93993908638773</v>
      </c>
      <c r="G18" s="4" t="n">
        <v>49.93993908638773</v>
      </c>
      <c r="H18" s="3" t="inlineStr">
        <is>
          <t>sentence_not_binding</t>
        </is>
      </c>
      <c r="I18" s="4" t="n">
        <v>49.775747</v>
      </c>
      <c r="J18" s="4" t="n">
        <v>50.08547</v>
      </c>
      <c r="K18" s="4" t="n">
        <v>2411.001493610793</v>
      </c>
    </row>
    <row r="19">
      <c r="A19" s="3" t="inlineStr">
        <is>
          <t>2026Q4</t>
        </is>
      </c>
      <c r="B19" s="3" t="n">
        <v>1</v>
      </c>
      <c r="C19" s="4" t="n">
        <v>28.897437</v>
      </c>
      <c r="D19" s="3" t="inlineStr">
        <is>
          <t>baselines-margin|street (h=1)</t>
        </is>
      </c>
      <c r="E19" s="3" t="inlineStr">
        <is>
          <t>h=1: the combination beats seasonal_naive (0.83x / 0.81x) but LOSES to the raw Street by 20-28%; the pre-registered secondary test fails, so the Street carries the quarter</t>
        </is>
      </c>
      <c r="F19" s="4" t="n">
        <v>29.03769607249881</v>
      </c>
      <c r="G19" s="4" t="n">
        <v>29.03769607249881</v>
      </c>
      <c r="H19" s="3" t="inlineStr">
        <is>
          <t>no_sentence</t>
        </is>
      </c>
      <c r="I19" s="4" t="n">
        <v>28.897437</v>
      </c>
      <c r="J19" s="4" t="n">
        <v>29.904833</v>
      </c>
      <c r="K19" s="4" t="n">
        <v>922.4849522278176</v>
      </c>
    </row>
    <row r="20">
      <c r="A20" s="3" t="inlineStr">
        <is>
          <t>2027Q1</t>
        </is>
      </c>
      <c r="B20" s="3" t="n">
        <v>2</v>
      </c>
      <c r="C20" s="4" t="n">
        <v>19.47022160368239</v>
      </c>
      <c r="D20" s="3" t="inlineStr">
        <is>
          <t>final-margin|combined|stack_clip (h&gt;=2, SCENARIO)</t>
        </is>
      </c>
      <c r="E20" s="3" t="inlineStr">
        <is>
          <t>h=2: the combination is 0.91x seasonal_naive in W1 but 1.02x in W2 - it fails. 2027 is a scenario, not a forecast</t>
        </is>
      </c>
      <c r="F20" s="4" t="n">
        <v>19.47022160368239</v>
      </c>
      <c r="G20" s="4" t="n">
        <v>19.47022160368239</v>
      </c>
      <c r="H20" s="3" t="inlineStr">
        <is>
          <t>no_sentence</t>
        </is>
      </c>
      <c r="I20" s="3" t="n"/>
      <c r="J20" s="4" t="n">
        <v>17.621216</v>
      </c>
      <c r="K20" s="4" t="n">
        <v>593.5637120893311</v>
      </c>
    </row>
    <row r="21">
      <c r="A21" s="3" t="inlineStr">
        <is>
          <t>2027Q2</t>
        </is>
      </c>
      <c r="B21" s="3" t="n">
        <v>3</v>
      </c>
      <c r="C21" s="4" t="n">
        <v>34.03589483795052</v>
      </c>
      <c r="D21" s="3" t="inlineStr">
        <is>
          <t>final-margin|combined|stack_clip (h&gt;=2, SCENARIO)</t>
        </is>
      </c>
      <c r="E21" s="3" t="inlineStr">
        <is>
          <t>h=2: the combination is 0.91x seasonal_naive in W1 but 1.02x in W2 - it fails. 2027 is a scenario, not a forecast</t>
        </is>
      </c>
      <c r="F21" s="4" t="n">
        <v>34.03589483795052</v>
      </c>
      <c r="G21" s="4" t="n">
        <v>34.03589483795052</v>
      </c>
      <c r="H21" s="3" t="inlineStr">
        <is>
          <t>no_sentence</t>
        </is>
      </c>
      <c r="I21" s="3" t="n"/>
      <c r="J21" s="4" t="n">
        <v>33.191192</v>
      </c>
      <c r="K21" s="4" t="n">
        <v>1370.88039082064</v>
      </c>
    </row>
    <row r="22">
      <c r="A22" s="3" t="inlineStr">
        <is>
          <t>2027Q3</t>
        </is>
      </c>
      <c r="B22" s="3" t="n">
        <v>4</v>
      </c>
      <c r="C22" s="4" t="n">
        <v>48.30322303764203</v>
      </c>
      <c r="D22" s="3" t="inlineStr">
        <is>
          <t>final-margin|combined|stack_clip (h&gt;=2, SCENARIO)</t>
        </is>
      </c>
      <c r="E22" s="3" t="inlineStr">
        <is>
          <t>h=2: the combination is 0.91x seasonal_naive in W1 but 1.02x in W2 - it fails. 2027 is a scenario, not a forecast</t>
        </is>
      </c>
      <c r="F22" s="4" t="n">
        <v>48.30322303764203</v>
      </c>
      <c r="G22" s="4" t="n">
        <v>48.30322303764203</v>
      </c>
      <c r="H22" s="3" t="inlineStr">
        <is>
          <t>no_sentence</t>
        </is>
      </c>
      <c r="I22" s="3" t="n"/>
      <c r="J22" s="4" t="n">
        <v>48.326551</v>
      </c>
      <c r="K22" s="4" t="n">
        <v>2548.71316152033</v>
      </c>
    </row>
    <row r="23">
      <c r="A23" s="3" t="inlineStr">
        <is>
          <t>2027Q4</t>
        </is>
      </c>
      <c r="B23" s="3" t="n">
        <v>5</v>
      </c>
      <c r="C23" s="4" t="n">
        <v>27.89616098363692</v>
      </c>
      <c r="D23" s="3" t="inlineStr">
        <is>
          <t>final-margin|combined|stack_clip (h&gt;=2, SCENARIO)</t>
        </is>
      </c>
      <c r="E23" s="3" t="inlineStr">
        <is>
          <t>h=2: the combination is 0.91x seasonal_naive in W1 but 1.02x in W2 - it fails. 2027 is a scenario, not a forecast</t>
        </is>
      </c>
      <c r="F23" s="4" t="n">
        <v>27.89616098363692</v>
      </c>
      <c r="G23" s="4" t="n">
        <v>27.89616098363692</v>
      </c>
      <c r="H23" s="3" t="inlineStr">
        <is>
          <t>no_sentence</t>
        </is>
      </c>
      <c r="I23" s="3" t="n"/>
      <c r="J23" s="4" t="n">
        <v>28.145914</v>
      </c>
      <c r="K23" s="4" t="n">
        <v>968.8746887802208</v>
      </c>
    </row>
    <row r="25">
      <c r="A25" s="1" t="inlineStr">
        <is>
          <t>M3 budget identity: the FY sentence, the Q3 pin and the 4Q26 residual</t>
        </is>
      </c>
    </row>
    <row r="26">
      <c r="A26" s="2" t="inlineStr">
        <is>
          <t>fy26_sentence_pct</t>
        </is>
      </c>
      <c r="B26" s="2" t="inlineStr">
        <is>
          <t>q3_margin_pct</t>
        </is>
      </c>
      <c r="C26" s="2" t="inlineStr">
        <is>
          <t>fy26_ebitda_musd</t>
        </is>
      </c>
      <c r="D26" s="2" t="inlineStr">
        <is>
          <t>q3_ebitda_musd</t>
        </is>
      </c>
      <c r="E26" s="2" t="inlineStr">
        <is>
          <t>q4_ebitda_musd</t>
        </is>
      </c>
      <c r="F26" s="2" t="inlineStr">
        <is>
          <t>q4_margin_pct</t>
        </is>
      </c>
      <c r="G26" s="2" t="inlineStr">
        <is>
          <t>q4_margin_reading</t>
        </is>
      </c>
      <c r="H26" s="2" t="inlineStr">
        <is>
          <t>pp_of_q4_per_1pp_of_q3</t>
        </is>
      </c>
      <c r="I26" s="2" t="inlineStr">
        <is>
          <t>pp_of_q4_per_1pp_of_fy</t>
        </is>
      </c>
    </row>
    <row r="27">
      <c r="A27" s="4" t="n">
        <v>35.5</v>
      </c>
      <c r="B27" s="4" t="n">
        <v>49.4</v>
      </c>
      <c r="C27" s="4" t="n">
        <v>5065.190907</v>
      </c>
      <c r="D27" s="4" t="n">
        <v>2373.193537</v>
      </c>
      <c r="E27" s="4" t="n">
        <v>911.99737</v>
      </c>
      <c r="F27" s="4" t="n">
        <v>28.69623774247054</v>
      </c>
      <c r="G27" s="3" t="inlineStr">
        <is>
          <t>lower bound on 4Q26 (the FY sentence is a floor)</t>
        </is>
      </c>
      <c r="H27" s="4" t="n">
        <v>-1.511602438406904</v>
      </c>
      <c r="I27" s="4" t="n">
        <v>4.48950894617231</v>
      </c>
    </row>
    <row r="28">
      <c r="A28" s="4" t="n">
        <v>35.5</v>
      </c>
      <c r="B28" s="4" t="n">
        <v>49.94</v>
      </c>
      <c r="C28" s="4" t="n">
        <v>5065.190907</v>
      </c>
      <c r="D28" s="4" t="n">
        <v>2399.1353287</v>
      </c>
      <c r="E28" s="4" t="n">
        <v>886.0555783000004</v>
      </c>
      <c r="F28" s="4" t="n">
        <v>27.87997242573082</v>
      </c>
      <c r="G28" s="3" t="inlineStr">
        <is>
          <t>lower bound on 4Q26 (the FY sentence is a floor)</t>
        </is>
      </c>
      <c r="H28" s="4" t="n">
        <v>-1.511602438406904</v>
      </c>
      <c r="I28" s="4" t="n">
        <v>4.48950894617231</v>
      </c>
    </row>
    <row r="29">
      <c r="A29" s="4" t="n">
        <v>35.5</v>
      </c>
      <c r="B29" s="4" t="n">
        <v>50.085</v>
      </c>
      <c r="C29" s="4" t="n">
        <v>5065.190907</v>
      </c>
      <c r="D29" s="4" t="n">
        <v>2406.101180175</v>
      </c>
      <c r="E29" s="4" t="n">
        <v>879.0897268250001</v>
      </c>
      <c r="F29" s="4" t="n">
        <v>27.66079007216181</v>
      </c>
      <c r="G29" s="3" t="inlineStr">
        <is>
          <t>lower bound on 4Q26 (the FY sentence is a floor)</t>
        </is>
      </c>
      <c r="H29" s="4" t="n">
        <v>-1.511602438406904</v>
      </c>
      <c r="I29" s="4" t="n">
        <v>4.48950894617231</v>
      </c>
    </row>
    <row r="30">
      <c r="A30" s="4" t="n">
        <v>35.5</v>
      </c>
      <c r="B30" s="4" t="n">
        <v>50.5</v>
      </c>
      <c r="C30" s="4" t="n">
        <v>5065.190907</v>
      </c>
      <c r="D30" s="4" t="n">
        <v>2426.0379275</v>
      </c>
      <c r="E30" s="4" t="n">
        <v>859.1529795000001</v>
      </c>
      <c r="F30" s="4" t="n">
        <v>27.03347506022294</v>
      </c>
      <c r="G30" s="3" t="inlineStr">
        <is>
          <t>lower bound on 4Q26 (the FY sentence is a floor)</t>
        </is>
      </c>
      <c r="H30" s="4" t="n">
        <v>-1.511602438406904</v>
      </c>
      <c r="I30" s="4" t="n">
        <v>4.48950894617231</v>
      </c>
    </row>
    <row r="31">
      <c r="A31" s="4" t="n">
        <v>35.75</v>
      </c>
      <c r="B31" s="4" t="n">
        <v>49.4</v>
      </c>
      <c r="C31" s="4" t="n">
        <v>5100.8612655</v>
      </c>
      <c r="D31" s="4" t="n">
        <v>2373.193537</v>
      </c>
      <c r="E31" s="4" t="n">
        <v>947.6677284999996</v>
      </c>
      <c r="F31" s="4" t="n">
        <v>29.8186149790136</v>
      </c>
      <c r="G31" s="3" t="inlineStr">
        <is>
          <t>equality if the FY sentence is a point/'approximately' statement</t>
        </is>
      </c>
      <c r="H31" s="4" t="n">
        <v>-1.511602438406904</v>
      </c>
      <c r="I31" s="4" t="n">
        <v>4.48950894617231</v>
      </c>
    </row>
    <row r="32">
      <c r="A32" s="4" t="n">
        <v>35.75</v>
      </c>
      <c r="B32" s="4" t="n">
        <v>49.94</v>
      </c>
      <c r="C32" s="4" t="n">
        <v>5100.8612655</v>
      </c>
      <c r="D32" s="4" t="n">
        <v>2399.1353287</v>
      </c>
      <c r="E32" s="4" t="n">
        <v>921.7259368</v>
      </c>
      <c r="F32" s="4" t="n">
        <v>29.00234966227389</v>
      </c>
      <c r="G32" s="3" t="inlineStr">
        <is>
          <t>equality if the FY sentence is a point/'approximately' statement</t>
        </is>
      </c>
      <c r="H32" s="4" t="n">
        <v>-1.511602438406904</v>
      </c>
      <c r="I32" s="4" t="n">
        <v>4.48950894617231</v>
      </c>
    </row>
    <row r="33">
      <c r="A33" s="4" t="n">
        <v>35.75</v>
      </c>
      <c r="B33" s="4" t="n">
        <v>50.085</v>
      </c>
      <c r="C33" s="4" t="n">
        <v>5100.8612655</v>
      </c>
      <c r="D33" s="4" t="n">
        <v>2406.101180175</v>
      </c>
      <c r="E33" s="4" t="n">
        <v>914.7600853249996</v>
      </c>
      <c r="F33" s="4" t="n">
        <v>28.78316730870487</v>
      </c>
      <c r="G33" s="3" t="inlineStr">
        <is>
          <t>equality if the FY sentence is a point/'approximately' statement</t>
        </is>
      </c>
      <c r="H33" s="4" t="n">
        <v>-1.511602438406904</v>
      </c>
      <c r="I33" s="4" t="n">
        <v>4.48950894617231</v>
      </c>
    </row>
    <row r="34">
      <c r="A34" s="4" t="n">
        <v>35.75</v>
      </c>
      <c r="B34" s="4" t="n">
        <v>50.5</v>
      </c>
      <c r="C34" s="4" t="n">
        <v>5100.8612655</v>
      </c>
      <c r="D34" s="4" t="n">
        <v>2426.0379275</v>
      </c>
      <c r="E34" s="4" t="n">
        <v>894.8233379999997</v>
      </c>
      <c r="F34" s="4" t="n">
        <v>28.15585229676601</v>
      </c>
      <c r="G34" s="3" t="inlineStr">
        <is>
          <t>equality if the FY sentence is a point/'approximately' statement</t>
        </is>
      </c>
      <c r="H34" s="4" t="n">
        <v>-1.511602438406904</v>
      </c>
      <c r="I34" s="4" t="n">
        <v>4.48950894617231</v>
      </c>
    </row>
    <row r="35">
      <c r="A35" s="4" t="n">
        <v>36</v>
      </c>
      <c r="B35" s="4" t="n">
        <v>49.4</v>
      </c>
      <c r="C35" s="4" t="n">
        <v>5136.531624</v>
      </c>
      <c r="D35" s="4" t="n">
        <v>2373.193537</v>
      </c>
      <c r="E35" s="4" t="n">
        <v>983.338087</v>
      </c>
      <c r="F35" s="4" t="n">
        <v>30.94099221555669</v>
      </c>
      <c r="G35" s="3" t="inlineStr">
        <is>
          <t>equality if the FY sentence is a point/'approximately' statement</t>
        </is>
      </c>
      <c r="H35" s="4" t="n">
        <v>-1.511602438406904</v>
      </c>
      <c r="I35" s="4" t="n">
        <v>4.48950894617231</v>
      </c>
    </row>
    <row r="36">
      <c r="A36" s="4" t="n">
        <v>36</v>
      </c>
      <c r="B36" s="4" t="n">
        <v>49.94</v>
      </c>
      <c r="C36" s="4" t="n">
        <v>5136.531624</v>
      </c>
      <c r="D36" s="4" t="n">
        <v>2399.1353287</v>
      </c>
      <c r="E36" s="4" t="n">
        <v>957.3962953000004</v>
      </c>
      <c r="F36" s="4" t="n">
        <v>30.12472689881698</v>
      </c>
      <c r="G36" s="3" t="inlineStr">
        <is>
          <t>equality if the FY sentence is a point/'approximately' statement</t>
        </is>
      </c>
      <c r="H36" s="4" t="n">
        <v>-1.511602438406904</v>
      </c>
      <c r="I36" s="4" t="n">
        <v>4.48950894617231</v>
      </c>
    </row>
    <row r="37">
      <c r="A37" s="4" t="n">
        <v>36</v>
      </c>
      <c r="B37" s="4" t="n">
        <v>50.085</v>
      </c>
      <c r="C37" s="4" t="n">
        <v>5136.531624</v>
      </c>
      <c r="D37" s="4" t="n">
        <v>2406.101180175</v>
      </c>
      <c r="E37" s="4" t="n">
        <v>950.430443825</v>
      </c>
      <c r="F37" s="4" t="n">
        <v>29.90554454524796</v>
      </c>
      <c r="G37" s="3" t="inlineStr">
        <is>
          <t>equality if the FY sentence is a point/'approximately' statement</t>
        </is>
      </c>
      <c r="H37" s="4" t="n">
        <v>-1.511602438406904</v>
      </c>
      <c r="I37" s="4" t="n">
        <v>4.48950894617231</v>
      </c>
    </row>
    <row r="38">
      <c r="A38" s="4" t="n">
        <v>36</v>
      </c>
      <c r="B38" s="4" t="n">
        <v>50.5</v>
      </c>
      <c r="C38" s="4" t="n">
        <v>5136.531624</v>
      </c>
      <c r="D38" s="4" t="n">
        <v>2426.0379275</v>
      </c>
      <c r="E38" s="4" t="n">
        <v>930.4936965000002</v>
      </c>
      <c r="F38" s="4" t="n">
        <v>29.2782295333091</v>
      </c>
      <c r="G38" s="3" t="inlineStr">
        <is>
          <t>equality if the FY sentence is a point/'approximately' statement</t>
        </is>
      </c>
      <c r="H38" s="4" t="n">
        <v>-1.511602438406904</v>
      </c>
      <c r="I38" s="4" t="n">
        <v>4.48950894617231</v>
      </c>
    </row>
    <row r="39">
      <c r="A39" s="4" t="n">
        <v>36.25</v>
      </c>
      <c r="B39" s="4" t="n">
        <v>49.4</v>
      </c>
      <c r="C39" s="4" t="n">
        <v>5172.2019825</v>
      </c>
      <c r="D39" s="4" t="n">
        <v>2373.193537</v>
      </c>
      <c r="E39" s="4" t="n">
        <v>1019.0084455</v>
      </c>
      <c r="F39" s="4" t="n">
        <v>32.06336945209976</v>
      </c>
      <c r="G39" s="3" t="inlineStr">
        <is>
          <t>equality if the FY sentence is a point/'approximately' statement</t>
        </is>
      </c>
      <c r="H39" s="4" t="n">
        <v>-1.511602438406904</v>
      </c>
      <c r="I39" s="4" t="n">
        <v>4.48950894617231</v>
      </c>
    </row>
    <row r="40">
      <c r="A40" s="4" t="n">
        <v>36.25</v>
      </c>
      <c r="B40" s="4" t="n">
        <v>49.94</v>
      </c>
      <c r="C40" s="4" t="n">
        <v>5172.2019825</v>
      </c>
      <c r="D40" s="4" t="n">
        <v>2399.1353287</v>
      </c>
      <c r="E40" s="4" t="n">
        <v>993.0666538</v>
      </c>
      <c r="F40" s="4" t="n">
        <v>31.24710413536004</v>
      </c>
      <c r="G40" s="3" t="inlineStr">
        <is>
          <t>equality if the FY sentence is a point/'approximately' statement</t>
        </is>
      </c>
      <c r="H40" s="4" t="n">
        <v>-1.511602438406904</v>
      </c>
      <c r="I40" s="4" t="n">
        <v>4.48950894617231</v>
      </c>
    </row>
    <row r="41">
      <c r="A41" s="4" t="n">
        <v>36.25</v>
      </c>
      <c r="B41" s="4" t="n">
        <v>50.085</v>
      </c>
      <c r="C41" s="4" t="n">
        <v>5172.2019825</v>
      </c>
      <c r="D41" s="4" t="n">
        <v>2406.101180175</v>
      </c>
      <c r="E41" s="4" t="n">
        <v>986.1008023249996</v>
      </c>
      <c r="F41" s="4" t="n">
        <v>31.02792178179103</v>
      </c>
      <c r="G41" s="3" t="inlineStr">
        <is>
          <t>equality if the FY sentence is a point/'approximately' statement</t>
        </is>
      </c>
      <c r="H41" s="4" t="n">
        <v>-1.511602438406904</v>
      </c>
      <c r="I41" s="4" t="n">
        <v>4.48950894617231</v>
      </c>
    </row>
    <row r="42">
      <c r="A42" s="4" t="n">
        <v>36.25</v>
      </c>
      <c r="B42" s="4" t="n">
        <v>50.5</v>
      </c>
      <c r="C42" s="4" t="n">
        <v>5172.2019825</v>
      </c>
      <c r="D42" s="4" t="n">
        <v>2426.0379275</v>
      </c>
      <c r="E42" s="4" t="n">
        <v>966.1640549999996</v>
      </c>
      <c r="F42" s="4" t="n">
        <v>30.40060676985216</v>
      </c>
      <c r="G42" s="3" t="inlineStr">
        <is>
          <t>equality if the FY sentence is a point/'approximately' statement</t>
        </is>
      </c>
      <c r="H42" s="4" t="n">
        <v>-1.511602438406904</v>
      </c>
      <c r="I42" s="4" t="n">
        <v>4.48950894617231</v>
      </c>
    </row>
    <row r="43">
      <c r="A43" s="4" t="n">
        <v>36.5</v>
      </c>
      <c r="B43" s="4" t="n">
        <v>49.4</v>
      </c>
      <c r="C43" s="4" t="n">
        <v>5207.872341</v>
      </c>
      <c r="D43" s="4" t="n">
        <v>2373.193537</v>
      </c>
      <c r="E43" s="4" t="n">
        <v>1054.678804</v>
      </c>
      <c r="F43" s="4" t="n">
        <v>33.18574668864285</v>
      </c>
      <c r="G43" s="3" t="inlineStr">
        <is>
          <t>equality if the FY sentence is a point/'approximately' statement</t>
        </is>
      </c>
      <c r="H43" s="4" t="n">
        <v>-1.511602438406904</v>
      </c>
      <c r="I43" s="4" t="n">
        <v>4.48950894617231</v>
      </c>
    </row>
    <row r="44">
      <c r="A44" s="4" t="n">
        <v>36.5</v>
      </c>
      <c r="B44" s="4" t="n">
        <v>49.94</v>
      </c>
      <c r="C44" s="4" t="n">
        <v>5207.872341</v>
      </c>
      <c r="D44" s="4" t="n">
        <v>2399.1353287</v>
      </c>
      <c r="E44" s="4" t="n">
        <v>1028.7370123</v>
      </c>
      <c r="F44" s="4" t="n">
        <v>32.36948137190313</v>
      </c>
      <c r="G44" s="3" t="inlineStr">
        <is>
          <t>equality if the FY sentence is a point/'approximately' statement</t>
        </is>
      </c>
      <c r="H44" s="4" t="n">
        <v>-1.511602438406904</v>
      </c>
      <c r="I44" s="4" t="n">
        <v>4.48950894617231</v>
      </c>
    </row>
    <row r="45">
      <c r="A45" s="4" t="n">
        <v>36.5</v>
      </c>
      <c r="B45" s="4" t="n">
        <v>50.085</v>
      </c>
      <c r="C45" s="4" t="n">
        <v>5207.872341</v>
      </c>
      <c r="D45" s="4" t="n">
        <v>2406.101180175</v>
      </c>
      <c r="E45" s="4" t="n">
        <v>1021.771160825</v>
      </c>
      <c r="F45" s="4" t="n">
        <v>32.15029901833412</v>
      </c>
      <c r="G45" s="3" t="inlineStr">
        <is>
          <t>equality if the FY sentence is a point/'approximately' statement</t>
        </is>
      </c>
      <c r="H45" s="4" t="n">
        <v>-1.511602438406904</v>
      </c>
      <c r="I45" s="4" t="n">
        <v>4.48950894617231</v>
      </c>
    </row>
    <row r="46">
      <c r="A46" s="4" t="n">
        <v>36.5</v>
      </c>
      <c r="B46" s="4" t="n">
        <v>50.5</v>
      </c>
      <c r="C46" s="4" t="n">
        <v>5207.872341</v>
      </c>
      <c r="D46" s="4" t="n">
        <v>2426.0379275</v>
      </c>
      <c r="E46" s="4" t="n">
        <v>1001.8344135</v>
      </c>
      <c r="F46" s="4" t="n">
        <v>31.52298400639525</v>
      </c>
      <c r="G46" s="3" t="inlineStr">
        <is>
          <t>equality if the FY sentence is a point/'approximately' statement</t>
        </is>
      </c>
      <c r="H46" s="4" t="n">
        <v>-1.511602438406904</v>
      </c>
      <c r="I46" s="4" t="n">
        <v>4.48950894617231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2026-09-14T07:40:18Z</dcterms:created>
  <dcterms:modified xmlns:dcterms="http://purl.org/dc/terms/" xmlns:xsi="http://www.w3.org/2001/XMLSchema-instance" xsi:type="dcterms:W3CDTF">2026-09-14T07:40:18Z</dcterms:modified>
</cp:coreProperties>
</file>