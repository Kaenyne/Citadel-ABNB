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citadel-abnb\model\"/>
    </mc:Choice>
  </mc:AlternateContent>
  <xr:revisionPtr revIDLastSave="0" documentId="13_ncr:1_{6E929CDF-25B3-4510-84C5-54F450C3FD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Income Statement" sheetId="2" r:id="rId2"/>
    <sheet name="Revenue Model" sheetId="3" r:id="rId3"/>
    <sheet name="Margins" sheetId="4" r:id="rId4"/>
    <sheet name="Operating Schedules" sheetId="5" r:id="rId5"/>
    <sheet name="5 Nov &amp; Street" sheetId="6" r:id="rId6"/>
    <sheet name="Stock Chart" sheetId="7" r:id="rId7"/>
    <sheet name="Reverse DCF - Mgmt" sheetId="8" r:id="rId8"/>
    <sheet name="Reverse DCF - Market" sheetId="9" r:id="rId9"/>
    <sheet name="Scenario Da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0" i="9" l="1"/>
  <c r="N200" i="9"/>
  <c r="O199" i="9"/>
  <c r="N199" i="9"/>
  <c r="O198" i="9"/>
  <c r="N198" i="9"/>
  <c r="O197" i="9"/>
  <c r="N197" i="9"/>
  <c r="O196" i="9"/>
  <c r="N196" i="9"/>
  <c r="O195" i="9"/>
  <c r="N195" i="9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H31" i="8"/>
  <c r="G31" i="8"/>
  <c r="F31" i="8"/>
  <c r="E31" i="8"/>
  <c r="D31" i="8"/>
  <c r="C31" i="8"/>
  <c r="H30" i="8"/>
  <c r="G30" i="8"/>
  <c r="F30" i="8"/>
  <c r="E30" i="8"/>
  <c r="D30" i="8"/>
  <c r="C30" i="8"/>
  <c r="H29" i="8"/>
  <c r="G29" i="8"/>
  <c r="F29" i="8"/>
  <c r="E29" i="8"/>
  <c r="D29" i="8"/>
  <c r="C29" i="8"/>
  <c r="H28" i="8"/>
  <c r="G28" i="8"/>
  <c r="F28" i="8"/>
  <c r="E28" i="8"/>
  <c r="D28" i="8"/>
  <c r="C28" i="8"/>
  <c r="B40" i="7"/>
  <c r="C39" i="7"/>
  <c r="B39" i="7"/>
  <c r="B38" i="7"/>
  <c r="B37" i="7"/>
  <c r="G60" i="6"/>
  <c r="H60" i="6" s="1"/>
  <c r="E60" i="6"/>
  <c r="F60" i="6" s="1"/>
  <c r="C60" i="6"/>
  <c r="H59" i="6"/>
  <c r="F59" i="6"/>
  <c r="H58" i="6"/>
  <c r="F58" i="6"/>
  <c r="H57" i="6"/>
  <c r="F57" i="6"/>
  <c r="H56" i="6"/>
  <c r="F56" i="6"/>
  <c r="H55" i="6"/>
  <c r="F55" i="6"/>
  <c r="H54" i="6"/>
  <c r="F54" i="6"/>
  <c r="H53" i="6"/>
  <c r="F53" i="6"/>
  <c r="C37" i="6"/>
  <c r="C36" i="6"/>
  <c r="B36" i="6"/>
  <c r="G32" i="6"/>
  <c r="E32" i="6"/>
  <c r="G31" i="6"/>
  <c r="E31" i="6"/>
  <c r="G30" i="6"/>
  <c r="E30" i="6"/>
  <c r="G28" i="6"/>
  <c r="E28" i="6"/>
  <c r="G27" i="6"/>
  <c r="E27" i="6"/>
  <c r="E25" i="6"/>
  <c r="G24" i="6"/>
  <c r="E24" i="6"/>
  <c r="G23" i="6"/>
  <c r="E23" i="6"/>
  <c r="G22" i="6"/>
  <c r="E22" i="6"/>
  <c r="G20" i="6"/>
  <c r="E20" i="6"/>
  <c r="G19" i="6"/>
  <c r="E19" i="6"/>
  <c r="G18" i="6"/>
  <c r="E18" i="6"/>
  <c r="G17" i="6"/>
  <c r="E17" i="6"/>
  <c r="G16" i="6"/>
  <c r="E16" i="6"/>
  <c r="G15" i="6"/>
  <c r="E15" i="6"/>
  <c r="G13" i="6"/>
  <c r="E13" i="6"/>
  <c r="G12" i="6"/>
  <c r="E12" i="6"/>
  <c r="G11" i="6"/>
  <c r="E11" i="6"/>
  <c r="E10" i="6"/>
  <c r="G9" i="6"/>
  <c r="E9" i="6"/>
  <c r="G8" i="6"/>
  <c r="E8" i="6"/>
  <c r="G7" i="6"/>
  <c r="E7" i="6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O29" i="5"/>
  <c r="N29" i="5"/>
  <c r="M29" i="5"/>
  <c r="L29" i="5"/>
  <c r="K29" i="5"/>
  <c r="J29" i="5"/>
  <c r="I29" i="5"/>
  <c r="H29" i="5"/>
  <c r="G29" i="5"/>
  <c r="F29" i="5"/>
  <c r="O28" i="5"/>
  <c r="N28" i="5"/>
  <c r="M28" i="5"/>
  <c r="L28" i="5"/>
  <c r="K28" i="5"/>
  <c r="J28" i="5"/>
  <c r="I28" i="5"/>
  <c r="H28" i="5"/>
  <c r="G28" i="5"/>
  <c r="F28" i="5"/>
  <c r="O27" i="5"/>
  <c r="N27" i="5"/>
  <c r="M27" i="5"/>
  <c r="L27" i="5"/>
  <c r="K27" i="5"/>
  <c r="J27" i="5"/>
  <c r="I27" i="5"/>
  <c r="H27" i="5"/>
  <c r="G27" i="5"/>
  <c r="F27" i="5"/>
  <c r="O26" i="5"/>
  <c r="N26" i="5"/>
  <c r="M26" i="5"/>
  <c r="L26" i="5"/>
  <c r="K26" i="5"/>
  <c r="J26" i="5"/>
  <c r="I26" i="5"/>
  <c r="H26" i="5"/>
  <c r="G26" i="5"/>
  <c r="F26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F59" i="4"/>
  <c r="E59" i="4"/>
  <c r="D59" i="4"/>
  <c r="C59" i="4"/>
  <c r="B59" i="4"/>
  <c r="F58" i="4"/>
  <c r="E58" i="4"/>
  <c r="D58" i="4"/>
  <c r="C58" i="4"/>
  <c r="B58" i="4"/>
  <c r="Y42" i="4"/>
  <c r="X42" i="4"/>
  <c r="W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J38" i="4"/>
  <c r="H38" i="4"/>
  <c r="X37" i="4"/>
  <c r="X38" i="4" s="1"/>
  <c r="J37" i="4"/>
  <c r="D37" i="4"/>
  <c r="D38" i="4" s="1"/>
  <c r="B37" i="4"/>
  <c r="B38" i="4" s="1"/>
  <c r="AA36" i="4"/>
  <c r="Z36" i="4"/>
  <c r="L34" i="4"/>
  <c r="Y33" i="4"/>
  <c r="N33" i="4"/>
  <c r="L33" i="4"/>
  <c r="G33" i="4"/>
  <c r="E33" i="4"/>
  <c r="Y32" i="4"/>
  <c r="Y37" i="4" s="1"/>
  <c r="Y38" i="4" s="1"/>
  <c r="X32" i="4"/>
  <c r="X33" i="4" s="1"/>
  <c r="W32" i="4"/>
  <c r="W33" i="4" s="1"/>
  <c r="O32" i="4"/>
  <c r="O33" i="4" s="1"/>
  <c r="N32" i="4"/>
  <c r="N37" i="4" s="1"/>
  <c r="M32" i="4"/>
  <c r="M33" i="4" s="1"/>
  <c r="L32" i="4"/>
  <c r="L37" i="4" s="1"/>
  <c r="L38" i="4" s="1"/>
  <c r="K32" i="4"/>
  <c r="K33" i="4" s="1"/>
  <c r="J32" i="4"/>
  <c r="I32" i="4"/>
  <c r="I33" i="4" s="1"/>
  <c r="H32" i="4"/>
  <c r="H37" i="4" s="1"/>
  <c r="G32" i="4"/>
  <c r="F32" i="4"/>
  <c r="F33" i="4" s="1"/>
  <c r="E32" i="4"/>
  <c r="E37" i="4" s="1"/>
  <c r="E38" i="4" s="1"/>
  <c r="D32" i="4"/>
  <c r="D33" i="4" s="1"/>
  <c r="C32" i="4"/>
  <c r="C33" i="4" s="1"/>
  <c r="B32" i="4"/>
  <c r="B33" i="4" s="1"/>
  <c r="Y31" i="4"/>
  <c r="X31" i="4"/>
  <c r="O31" i="4"/>
  <c r="N31" i="4"/>
  <c r="M31" i="4"/>
  <c r="L31" i="4"/>
  <c r="K31" i="4"/>
  <c r="J31" i="4"/>
  <c r="I31" i="4"/>
  <c r="H31" i="4"/>
  <c r="G31" i="4"/>
  <c r="F31" i="4"/>
  <c r="Y30" i="4"/>
  <c r="X30" i="4"/>
  <c r="W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Y26" i="4"/>
  <c r="X26" i="4"/>
  <c r="O26" i="4"/>
  <c r="N26" i="4"/>
  <c r="M26" i="4"/>
  <c r="L26" i="4"/>
  <c r="K26" i="4"/>
  <c r="J26" i="4"/>
  <c r="I26" i="4"/>
  <c r="H26" i="4"/>
  <c r="G26" i="4"/>
  <c r="F26" i="4"/>
  <c r="Y25" i="4"/>
  <c r="X25" i="4"/>
  <c r="W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3" i="4"/>
  <c r="X23" i="4"/>
  <c r="O23" i="4"/>
  <c r="N23" i="4"/>
  <c r="M23" i="4"/>
  <c r="L23" i="4"/>
  <c r="K23" i="4"/>
  <c r="J23" i="4"/>
  <c r="I23" i="4"/>
  <c r="H23" i="4"/>
  <c r="G23" i="4"/>
  <c r="F23" i="4"/>
  <c r="Y22" i="4"/>
  <c r="X22" i="4"/>
  <c r="W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17" i="4"/>
  <c r="X17" i="4"/>
  <c r="O17" i="4"/>
  <c r="N17" i="4"/>
  <c r="M17" i="4"/>
  <c r="L17" i="4"/>
  <c r="K17" i="4"/>
  <c r="J17" i="4"/>
  <c r="I17" i="4"/>
  <c r="H17" i="4"/>
  <c r="G17" i="4"/>
  <c r="F17" i="4"/>
  <c r="Y16" i="4"/>
  <c r="X16" i="4"/>
  <c r="W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0" i="4"/>
  <c r="X10" i="4"/>
  <c r="O10" i="4"/>
  <c r="N10" i="4"/>
  <c r="M10" i="4"/>
  <c r="L10" i="4"/>
  <c r="K10" i="4"/>
  <c r="J10" i="4"/>
  <c r="I10" i="4"/>
  <c r="H10" i="4"/>
  <c r="G10" i="4"/>
  <c r="F10" i="4"/>
  <c r="Y9" i="4"/>
  <c r="X9" i="4"/>
  <c r="W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3" i="4"/>
  <c r="B107" i="3"/>
  <c r="C39" i="6" s="1"/>
  <c r="C40" i="6" s="1"/>
  <c r="B106" i="3"/>
  <c r="B104" i="3"/>
  <c r="B100" i="3"/>
  <c r="B101" i="3" s="1"/>
  <c r="B39" i="6" s="1"/>
  <c r="B40" i="6" s="1"/>
  <c r="E93" i="3"/>
  <c r="E92" i="3"/>
  <c r="G92" i="3" s="1"/>
  <c r="G91" i="3"/>
  <c r="E91" i="3"/>
  <c r="I91" i="3" s="1"/>
  <c r="G90" i="3"/>
  <c r="E90" i="3"/>
  <c r="E89" i="3"/>
  <c r="E88" i="3"/>
  <c r="U84" i="3"/>
  <c r="T84" i="3"/>
  <c r="S84" i="3"/>
  <c r="R84" i="3"/>
  <c r="Q84" i="3"/>
  <c r="P84" i="3"/>
  <c r="AA83" i="3"/>
  <c r="Z83" i="3"/>
  <c r="U83" i="3"/>
  <c r="T83" i="3"/>
  <c r="S83" i="3"/>
  <c r="R83" i="3"/>
  <c r="Q83" i="3"/>
  <c r="P83" i="3"/>
  <c r="U82" i="3"/>
  <c r="T82" i="3"/>
  <c r="S82" i="3"/>
  <c r="R82" i="3"/>
  <c r="Q82" i="3"/>
  <c r="P82" i="3"/>
  <c r="AA53" i="3"/>
  <c r="U53" i="3"/>
  <c r="T53" i="3"/>
  <c r="S53" i="3"/>
  <c r="R53" i="3"/>
  <c r="Q53" i="3"/>
  <c r="P53" i="3"/>
  <c r="U30" i="3"/>
  <c r="R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G29" i="3"/>
  <c r="E29" i="3"/>
  <c r="D29" i="3"/>
  <c r="C29" i="3"/>
  <c r="B29" i="3"/>
  <c r="U27" i="3"/>
  <c r="U29" i="3" s="1"/>
  <c r="T27" i="3"/>
  <c r="T29" i="3" s="1"/>
  <c r="S27" i="3"/>
  <c r="S29" i="3" s="1"/>
  <c r="R27" i="3"/>
  <c r="R29" i="3" s="1"/>
  <c r="Q27" i="3"/>
  <c r="Q29" i="3" s="1"/>
  <c r="P27" i="3"/>
  <c r="P29" i="3" s="1"/>
  <c r="O27" i="3"/>
  <c r="O29" i="3" s="1"/>
  <c r="N27" i="3"/>
  <c r="M27" i="3"/>
  <c r="M29" i="3" s="1"/>
  <c r="L27" i="3"/>
  <c r="L29" i="3" s="1"/>
  <c r="K27" i="3"/>
  <c r="K29" i="3" s="1"/>
  <c r="J27" i="3"/>
  <c r="J29" i="3" s="1"/>
  <c r="I27" i="3"/>
  <c r="I29" i="3" s="1"/>
  <c r="H27" i="3"/>
  <c r="H29" i="3" s="1"/>
  <c r="G27" i="3"/>
  <c r="F27" i="3"/>
  <c r="F29" i="3" s="1"/>
  <c r="AA26" i="3"/>
  <c r="AA82" i="3" s="1"/>
  <c r="Z26" i="3"/>
  <c r="Y26" i="3"/>
  <c r="X26" i="3"/>
  <c r="W26" i="3"/>
  <c r="W30" i="3" s="1"/>
  <c r="U25" i="3"/>
  <c r="T25" i="3"/>
  <c r="S25" i="3"/>
  <c r="R25" i="3"/>
  <c r="Q25" i="3"/>
  <c r="P25" i="3"/>
  <c r="Q20" i="3"/>
  <c r="O20" i="3"/>
  <c r="N20" i="3"/>
  <c r="M20" i="3"/>
  <c r="L20" i="3"/>
  <c r="K20" i="3"/>
  <c r="J20" i="3"/>
  <c r="I20" i="3"/>
  <c r="H20" i="3"/>
  <c r="G20" i="3"/>
  <c r="F20" i="3"/>
  <c r="Y19" i="3"/>
  <c r="Y20" i="3" s="1"/>
  <c r="X19" i="3"/>
  <c r="X20" i="3" s="1"/>
  <c r="W19" i="3"/>
  <c r="U19" i="3"/>
  <c r="U20" i="3" s="1"/>
  <c r="T19" i="3"/>
  <c r="S19" i="3"/>
  <c r="S20" i="3" s="1"/>
  <c r="R19" i="3"/>
  <c r="R20" i="3" s="1"/>
  <c r="Q19" i="3"/>
  <c r="Q30" i="3" s="1"/>
  <c r="P19" i="3"/>
  <c r="P30" i="3" s="1"/>
  <c r="M16" i="3"/>
  <c r="AA15" i="3"/>
  <c r="Z15" i="3"/>
  <c r="Y15" i="3"/>
  <c r="X15" i="3"/>
  <c r="U15" i="3"/>
  <c r="T15" i="3"/>
  <c r="S15" i="3"/>
  <c r="R15" i="3"/>
  <c r="Q15" i="3"/>
  <c r="P15" i="3"/>
  <c r="O15" i="3"/>
  <c r="O16" i="3" s="1"/>
  <c r="N15" i="3"/>
  <c r="N16" i="3" s="1"/>
  <c r="M15" i="3"/>
  <c r="L15" i="3"/>
  <c r="L16" i="3" s="1"/>
  <c r="K15" i="3"/>
  <c r="J15" i="3"/>
  <c r="I15" i="3"/>
  <c r="H15" i="3"/>
  <c r="G15" i="3"/>
  <c r="F15" i="3"/>
  <c r="U8" i="3"/>
  <c r="T8" i="3"/>
  <c r="S8" i="3"/>
  <c r="R8" i="3"/>
  <c r="Q8" i="3"/>
  <c r="P8" i="3"/>
  <c r="B37" i="6" s="1"/>
  <c r="O8" i="3"/>
  <c r="N8" i="3"/>
  <c r="M8" i="3"/>
  <c r="L8" i="3"/>
  <c r="K8" i="3"/>
  <c r="J8" i="3"/>
  <c r="I8" i="3"/>
  <c r="H8" i="3"/>
  <c r="G8" i="3"/>
  <c r="F8" i="3"/>
  <c r="AA7" i="3"/>
  <c r="AA8" i="3" s="1"/>
  <c r="Z7" i="3"/>
  <c r="Y7" i="3"/>
  <c r="Z8" i="3" s="1"/>
  <c r="X7" i="3"/>
  <c r="W7" i="3"/>
  <c r="AA52" i="2"/>
  <c r="Z52" i="2"/>
  <c r="Y51" i="2"/>
  <c r="X51" i="2"/>
  <c r="W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A50" i="2"/>
  <c r="Z50" i="2"/>
  <c r="Y45" i="2"/>
  <c r="X45" i="2"/>
  <c r="W45" i="2"/>
  <c r="T38" i="2"/>
  <c r="AA34" i="2"/>
  <c r="Z34" i="2"/>
  <c r="Y33" i="2"/>
  <c r="X33" i="2"/>
  <c r="W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Y28" i="2"/>
  <c r="Y35" i="2" s="1"/>
  <c r="Y40" i="2" s="1"/>
  <c r="X28" i="2"/>
  <c r="K28" i="2"/>
  <c r="K35" i="2" s="1"/>
  <c r="K36" i="2" s="1"/>
  <c r="D28" i="2"/>
  <c r="AA27" i="2"/>
  <c r="Z27" i="2"/>
  <c r="W25" i="2"/>
  <c r="K25" i="2"/>
  <c r="D25" i="2"/>
  <c r="Y24" i="2"/>
  <c r="Y25" i="2" s="1"/>
  <c r="X24" i="2"/>
  <c r="X25" i="2" s="1"/>
  <c r="W24" i="2"/>
  <c r="W28" i="2" s="1"/>
  <c r="O24" i="2"/>
  <c r="O28" i="2" s="1"/>
  <c r="O30" i="2" s="1"/>
  <c r="N24" i="2"/>
  <c r="N25" i="2" s="1"/>
  <c r="M24" i="2"/>
  <c r="M28" i="2" s="1"/>
  <c r="M35" i="2" s="1"/>
  <c r="L24" i="2"/>
  <c r="K24" i="2"/>
  <c r="J24" i="2"/>
  <c r="J28" i="2" s="1"/>
  <c r="I24" i="2"/>
  <c r="H24" i="2"/>
  <c r="H28" i="2" s="1"/>
  <c r="H29" i="2" s="1"/>
  <c r="G24" i="2"/>
  <c r="G25" i="2" s="1"/>
  <c r="F24" i="2"/>
  <c r="F28" i="2" s="1"/>
  <c r="F35" i="2" s="1"/>
  <c r="F40" i="2" s="1"/>
  <c r="E24" i="2"/>
  <c r="E25" i="2" s="1"/>
  <c r="D24" i="2"/>
  <c r="C24" i="2"/>
  <c r="C28" i="2" s="1"/>
  <c r="B24" i="2"/>
  <c r="B25" i="2" s="1"/>
  <c r="R22" i="2"/>
  <c r="P22" i="2"/>
  <c r="S19" i="2"/>
  <c r="Y17" i="2"/>
  <c r="X17" i="2"/>
  <c r="W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Y16" i="2"/>
  <c r="X16" i="2"/>
  <c r="O16" i="2"/>
  <c r="N16" i="2"/>
  <c r="M16" i="2"/>
  <c r="L16" i="2"/>
  <c r="K16" i="2"/>
  <c r="J16" i="2"/>
  <c r="I16" i="2"/>
  <c r="H16" i="2"/>
  <c r="G16" i="2"/>
  <c r="F16" i="2"/>
  <c r="Y12" i="2"/>
  <c r="K12" i="2"/>
  <c r="I12" i="2"/>
  <c r="Y11" i="2"/>
  <c r="X11" i="2"/>
  <c r="X12" i="2" s="1"/>
  <c r="W11" i="2"/>
  <c r="O11" i="2"/>
  <c r="O12" i="2" s="1"/>
  <c r="N11" i="2"/>
  <c r="M11" i="2"/>
  <c r="L11" i="2"/>
  <c r="K11" i="2"/>
  <c r="J11" i="2"/>
  <c r="J12" i="2" s="1"/>
  <c r="I11" i="2"/>
  <c r="H11" i="2"/>
  <c r="G11" i="2"/>
  <c r="G12" i="2" s="1"/>
  <c r="F11" i="2"/>
  <c r="F12" i="2" s="1"/>
  <c r="E11" i="2"/>
  <c r="D11" i="2"/>
  <c r="C11" i="2"/>
  <c r="B11" i="2"/>
  <c r="Y10" i="2"/>
  <c r="X10" i="2"/>
  <c r="O10" i="2"/>
  <c r="N10" i="2"/>
  <c r="M10" i="2"/>
  <c r="L10" i="2"/>
  <c r="K10" i="2"/>
  <c r="J10" i="2"/>
  <c r="I10" i="2"/>
  <c r="H10" i="2"/>
  <c r="G10" i="2"/>
  <c r="F10" i="2"/>
  <c r="T9" i="2"/>
  <c r="R9" i="2"/>
  <c r="R10" i="2" s="1"/>
  <c r="Y8" i="2"/>
  <c r="X8" i="2"/>
  <c r="O8" i="2"/>
  <c r="N8" i="2"/>
  <c r="M8" i="2"/>
  <c r="L8" i="2"/>
  <c r="K8" i="2"/>
  <c r="J8" i="2"/>
  <c r="I8" i="2"/>
  <c r="H8" i="2"/>
  <c r="G8" i="2"/>
  <c r="F8" i="2"/>
  <c r="G3" i="2"/>
  <c r="Q23" i="2" s="1"/>
  <c r="G50" i="1"/>
  <c r="F50" i="1"/>
  <c r="G49" i="1"/>
  <c r="F49" i="1"/>
  <c r="G48" i="1"/>
  <c r="F48" i="1"/>
  <c r="G47" i="1"/>
  <c r="F47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N12" i="2" l="1"/>
  <c r="B28" i="2"/>
  <c r="B35" i="2" s="1"/>
  <c r="Z19" i="3"/>
  <c r="Z20" i="3" s="1"/>
  <c r="P20" i="3"/>
  <c r="X27" i="3"/>
  <c r="X30" i="3"/>
  <c r="U24" i="4"/>
  <c r="I37" i="4"/>
  <c r="AA19" i="3"/>
  <c r="AA20" i="3" s="1"/>
  <c r="E28" i="2"/>
  <c r="H34" i="4"/>
  <c r="K37" i="4"/>
  <c r="K40" i="4" s="1"/>
  <c r="H40" i="4"/>
  <c r="U76" i="5"/>
  <c r="C25" i="2"/>
  <c r="G28" i="2"/>
  <c r="G35" i="2" s="1"/>
  <c r="F36" i="2"/>
  <c r="Y8" i="3"/>
  <c r="J34" i="4"/>
  <c r="S41" i="4"/>
  <c r="B105" i="3"/>
  <c r="M37" i="4"/>
  <c r="T20" i="2"/>
  <c r="F25" i="2"/>
  <c r="N28" i="2"/>
  <c r="K40" i="2"/>
  <c r="K43" i="2" s="1"/>
  <c r="H39" i="4"/>
  <c r="O34" i="4"/>
  <c r="L12" i="2"/>
  <c r="S20" i="4"/>
  <c r="X34" i="4"/>
  <c r="Q22" i="2"/>
  <c r="Z22" i="2" s="1"/>
  <c r="O25" i="2"/>
  <c r="X8" i="3"/>
  <c r="Y34" i="4"/>
  <c r="S12" i="5"/>
  <c r="S30" i="3"/>
  <c r="M36" i="2"/>
  <c r="M40" i="2"/>
  <c r="G40" i="2"/>
  <c r="G36" i="2"/>
  <c r="W35" i="2"/>
  <c r="W29" i="2"/>
  <c r="Y42" i="2"/>
  <c r="Y43" i="2"/>
  <c r="X35" i="2"/>
  <c r="X30" i="2"/>
  <c r="X29" i="2"/>
  <c r="Y27" i="3"/>
  <c r="Y30" i="3"/>
  <c r="Z53" i="3"/>
  <c r="Z82" i="3"/>
  <c r="Z27" i="3"/>
  <c r="Z84" i="3"/>
  <c r="Z30" i="3"/>
  <c r="K42" i="2"/>
  <c r="J30" i="2"/>
  <c r="J35" i="2"/>
  <c r="J29" i="2"/>
  <c r="B29" i="2"/>
  <c r="Y30" i="2"/>
  <c r="S87" i="5"/>
  <c r="U85" i="5"/>
  <c r="U83" i="5"/>
  <c r="U79" i="5"/>
  <c r="U77" i="5"/>
  <c r="U75" i="5"/>
  <c r="U73" i="5"/>
  <c r="U71" i="5"/>
  <c r="U7" i="5"/>
  <c r="P41" i="4"/>
  <c r="T35" i="4"/>
  <c r="Q28" i="4"/>
  <c r="P24" i="4"/>
  <c r="U21" i="4"/>
  <c r="U19" i="4"/>
  <c r="T15" i="4"/>
  <c r="T13" i="4"/>
  <c r="T11" i="4"/>
  <c r="U7" i="4"/>
  <c r="U25" i="4" s="1"/>
  <c r="S39" i="2"/>
  <c r="T26" i="2"/>
  <c r="R87" i="5"/>
  <c r="T85" i="5"/>
  <c r="T83" i="5"/>
  <c r="T79" i="5"/>
  <c r="T77" i="5"/>
  <c r="T75" i="5"/>
  <c r="T73" i="5"/>
  <c r="T74" i="5" s="1"/>
  <c r="T71" i="5"/>
  <c r="T7" i="5"/>
  <c r="S35" i="4"/>
  <c r="P28" i="4"/>
  <c r="T21" i="4"/>
  <c r="T19" i="4"/>
  <c r="S15" i="4"/>
  <c r="S13" i="4"/>
  <c r="S11" i="4"/>
  <c r="T7" i="4"/>
  <c r="Q87" i="5"/>
  <c r="S85" i="5"/>
  <c r="S83" i="5"/>
  <c r="S79" i="5"/>
  <c r="S77" i="5"/>
  <c r="S75" i="5"/>
  <c r="S73" i="5"/>
  <c r="S71" i="5"/>
  <c r="S7" i="5"/>
  <c r="S13" i="5" s="1"/>
  <c r="R35" i="4"/>
  <c r="U29" i="4"/>
  <c r="U27" i="4"/>
  <c r="S21" i="4"/>
  <c r="S19" i="4"/>
  <c r="R15" i="4"/>
  <c r="R13" i="4"/>
  <c r="R11" i="4"/>
  <c r="S7" i="4"/>
  <c r="U45" i="2"/>
  <c r="T41" i="2"/>
  <c r="Q39" i="2"/>
  <c r="U37" i="2"/>
  <c r="R26" i="2"/>
  <c r="P23" i="2"/>
  <c r="Z23" i="2" s="1"/>
  <c r="P87" i="5"/>
  <c r="R85" i="5"/>
  <c r="R83" i="5"/>
  <c r="R79" i="5"/>
  <c r="R77" i="5"/>
  <c r="R75" i="5"/>
  <c r="R73" i="5"/>
  <c r="R71" i="5"/>
  <c r="R7" i="5"/>
  <c r="Q35" i="4"/>
  <c r="T29" i="4"/>
  <c r="T27" i="4"/>
  <c r="R21" i="4"/>
  <c r="R19" i="4"/>
  <c r="Q15" i="4"/>
  <c r="Q13" i="4"/>
  <c r="Q11" i="4"/>
  <c r="U86" i="5"/>
  <c r="Q85" i="5"/>
  <c r="Q83" i="5"/>
  <c r="Q79" i="5"/>
  <c r="Q77" i="5"/>
  <c r="Q75" i="5"/>
  <c r="Q73" i="5"/>
  <c r="Q71" i="5"/>
  <c r="Q7" i="5"/>
  <c r="Q9" i="5" s="1"/>
  <c r="P35" i="4"/>
  <c r="S29" i="4"/>
  <c r="S27" i="4"/>
  <c r="Q21" i="4"/>
  <c r="Q19" i="4"/>
  <c r="P15" i="4"/>
  <c r="P13" i="4"/>
  <c r="P11" i="4"/>
  <c r="U8" i="4"/>
  <c r="Q7" i="4"/>
  <c r="T86" i="5"/>
  <c r="P85" i="5"/>
  <c r="P83" i="5"/>
  <c r="P79" i="5"/>
  <c r="P77" i="5"/>
  <c r="P75" i="5"/>
  <c r="P73" i="5"/>
  <c r="P71" i="5"/>
  <c r="P7" i="5"/>
  <c r="R29" i="4"/>
  <c r="R27" i="4"/>
  <c r="P21" i="4"/>
  <c r="P19" i="4"/>
  <c r="U14" i="4"/>
  <c r="U12" i="4"/>
  <c r="T8" i="4"/>
  <c r="P7" i="4"/>
  <c r="R45" i="2"/>
  <c r="Q41" i="2"/>
  <c r="R37" i="2"/>
  <c r="S32" i="2"/>
  <c r="U22" i="2"/>
  <c r="Q21" i="2"/>
  <c r="U19" i="2"/>
  <c r="Q86" i="5"/>
  <c r="S82" i="5"/>
  <c r="S76" i="5"/>
  <c r="S72" i="5"/>
  <c r="Q12" i="5"/>
  <c r="Q8" i="5"/>
  <c r="R41" i="4"/>
  <c r="Q29" i="4"/>
  <c r="S18" i="4"/>
  <c r="U13" i="4"/>
  <c r="R8" i="4"/>
  <c r="R38" i="2"/>
  <c r="U32" i="2"/>
  <c r="U33" i="2" s="1"/>
  <c r="U23" i="2"/>
  <c r="R20" i="2"/>
  <c r="P15" i="2"/>
  <c r="P9" i="2"/>
  <c r="T10" i="2" s="1"/>
  <c r="T7" i="2"/>
  <c r="P86" i="5"/>
  <c r="R82" i="5"/>
  <c r="R76" i="5"/>
  <c r="R72" i="5"/>
  <c r="P12" i="5"/>
  <c r="P8" i="5"/>
  <c r="Q41" i="4"/>
  <c r="Q42" i="4" s="1"/>
  <c r="P29" i="4"/>
  <c r="R18" i="4"/>
  <c r="T12" i="4"/>
  <c r="Q8" i="4"/>
  <c r="T45" i="2"/>
  <c r="U84" i="5"/>
  <c r="U15" i="5"/>
  <c r="S10" i="5"/>
  <c r="S11" i="5" s="1"/>
  <c r="S28" i="4"/>
  <c r="U20" i="4"/>
  <c r="Q12" i="4"/>
  <c r="T84" i="5"/>
  <c r="T15" i="5"/>
  <c r="U87" i="5"/>
  <c r="Q84" i="5"/>
  <c r="U12" i="5"/>
  <c r="U8" i="5"/>
  <c r="S84" i="5"/>
  <c r="Q76" i="5"/>
  <c r="R10" i="5"/>
  <c r="R11" i="5" s="1"/>
  <c r="U41" i="4"/>
  <c r="U42" i="4" s="1"/>
  <c r="P27" i="4"/>
  <c r="T24" i="4"/>
  <c r="U18" i="4"/>
  <c r="P12" i="4"/>
  <c r="S38" i="2"/>
  <c r="T23" i="2"/>
  <c r="U21" i="2"/>
  <c r="T21" i="2"/>
  <c r="R84" i="5"/>
  <c r="P76" i="5"/>
  <c r="Q10" i="5"/>
  <c r="T41" i="4"/>
  <c r="T42" i="4" s="1"/>
  <c r="S24" i="4"/>
  <c r="T18" i="4"/>
  <c r="U11" i="4"/>
  <c r="Q38" i="2"/>
  <c r="S23" i="2"/>
  <c r="P84" i="5"/>
  <c r="U82" i="5"/>
  <c r="T8" i="5"/>
  <c r="Q24" i="4"/>
  <c r="U26" i="4" s="1"/>
  <c r="P18" i="4"/>
  <c r="T82" i="5"/>
  <c r="S8" i="5"/>
  <c r="U15" i="4"/>
  <c r="S8" i="4"/>
  <c r="T37" i="2"/>
  <c r="S26" i="2"/>
  <c r="P21" i="2"/>
  <c r="R19" i="2"/>
  <c r="U15" i="2"/>
  <c r="S9" i="2"/>
  <c r="AA9" i="2" s="1"/>
  <c r="S45" i="2"/>
  <c r="Q26" i="2"/>
  <c r="Q19" i="2"/>
  <c r="Q82" i="5"/>
  <c r="U72" i="5"/>
  <c r="R8" i="5"/>
  <c r="T14" i="4"/>
  <c r="P8" i="4"/>
  <c r="U39" i="2"/>
  <c r="S37" i="2"/>
  <c r="T15" i="2"/>
  <c r="P82" i="5"/>
  <c r="T72" i="5"/>
  <c r="S14" i="4"/>
  <c r="Q45" i="2"/>
  <c r="T39" i="2"/>
  <c r="Q37" i="2"/>
  <c r="P26" i="2"/>
  <c r="T22" i="2"/>
  <c r="P19" i="2"/>
  <c r="S15" i="2"/>
  <c r="Q9" i="2"/>
  <c r="S7" i="2"/>
  <c r="S8" i="2" s="1"/>
  <c r="T87" i="5"/>
  <c r="Q72" i="5"/>
  <c r="T12" i="5"/>
  <c r="U35" i="4"/>
  <c r="T20" i="4"/>
  <c r="R14" i="4"/>
  <c r="R7" i="4"/>
  <c r="P45" i="2"/>
  <c r="Z45" i="2" s="1"/>
  <c r="R39" i="2"/>
  <c r="P37" i="2"/>
  <c r="S22" i="2"/>
  <c r="U20" i="2"/>
  <c r="R15" i="2"/>
  <c r="R7" i="2"/>
  <c r="U9" i="2"/>
  <c r="T19" i="2"/>
  <c r="R23" i="2"/>
  <c r="D29" i="2"/>
  <c r="D35" i="2"/>
  <c r="P32" i="2"/>
  <c r="Y36" i="2"/>
  <c r="P7" i="2"/>
  <c r="T11" i="2"/>
  <c r="P20" i="2"/>
  <c r="L28" i="2"/>
  <c r="L25" i="2"/>
  <c r="M25" i="2"/>
  <c r="E29" i="2"/>
  <c r="E35" i="2"/>
  <c r="M29" i="2"/>
  <c r="Q32" i="2"/>
  <c r="R86" i="5"/>
  <c r="S24" i="2"/>
  <c r="S25" i="2" s="1"/>
  <c r="H30" i="2"/>
  <c r="H35" i="2"/>
  <c r="H25" i="2"/>
  <c r="Q7" i="2"/>
  <c r="Q8" i="2" s="1"/>
  <c r="H12" i="2"/>
  <c r="Q20" i="2"/>
  <c r="G29" i="2"/>
  <c r="G30" i="2"/>
  <c r="O29" i="2"/>
  <c r="R32" i="2"/>
  <c r="P41" i="2"/>
  <c r="S86" i="5"/>
  <c r="U7" i="2"/>
  <c r="S20" i="2"/>
  <c r="T32" i="2"/>
  <c r="T33" i="2" s="1"/>
  <c r="O35" i="2"/>
  <c r="P38" i="2"/>
  <c r="R41" i="2"/>
  <c r="B108" i="3"/>
  <c r="R12" i="4"/>
  <c r="P15" i="5"/>
  <c r="C29" i="2"/>
  <c r="C35" i="2"/>
  <c r="N29" i="2"/>
  <c r="N35" i="2"/>
  <c r="N30" i="2"/>
  <c r="Y29" i="2"/>
  <c r="S41" i="2"/>
  <c r="S12" i="4"/>
  <c r="Q18" i="4"/>
  <c r="Q27" i="4"/>
  <c r="P10" i="5"/>
  <c r="R15" i="5"/>
  <c r="R21" i="2"/>
  <c r="AA21" i="2" s="1"/>
  <c r="U38" i="2"/>
  <c r="U41" i="2"/>
  <c r="P14" i="4"/>
  <c r="P20" i="4"/>
  <c r="R28" i="4"/>
  <c r="L40" i="4"/>
  <c r="L39" i="4"/>
  <c r="T10" i="5"/>
  <c r="T11" i="5" s="1"/>
  <c r="S15" i="5"/>
  <c r="I28" i="2"/>
  <c r="I25" i="2"/>
  <c r="S21" i="2"/>
  <c r="Q14" i="4"/>
  <c r="Q20" i="4"/>
  <c r="T28" i="4"/>
  <c r="U10" i="5"/>
  <c r="U11" i="5" s="1"/>
  <c r="P72" i="5"/>
  <c r="Q15" i="2"/>
  <c r="F43" i="2"/>
  <c r="F42" i="2"/>
  <c r="U26" i="2"/>
  <c r="K30" i="2"/>
  <c r="P39" i="2"/>
  <c r="R20" i="4"/>
  <c r="R24" i="4"/>
  <c r="U28" i="4"/>
  <c r="N40" i="4"/>
  <c r="N38" i="4"/>
  <c r="N39" i="4"/>
  <c r="R12" i="5"/>
  <c r="T76" i="5"/>
  <c r="J25" i="2"/>
  <c r="T20" i="3"/>
  <c r="T30" i="3"/>
  <c r="Y40" i="4"/>
  <c r="Y39" i="4"/>
  <c r="M12" i="2"/>
  <c r="F29" i="2"/>
  <c r="H33" i="4"/>
  <c r="I34" i="4"/>
  <c r="F30" i="2"/>
  <c r="I88" i="3"/>
  <c r="G88" i="3"/>
  <c r="G37" i="4"/>
  <c r="K34" i="4"/>
  <c r="G34" i="4"/>
  <c r="I39" i="4"/>
  <c r="I40" i="4"/>
  <c r="K29" i="2"/>
  <c r="I89" i="3"/>
  <c r="G89" i="3"/>
  <c r="J40" i="4"/>
  <c r="I38" i="4"/>
  <c r="F34" i="4"/>
  <c r="F37" i="4"/>
  <c r="J39" i="4" s="1"/>
  <c r="M40" i="4"/>
  <c r="AA27" i="3"/>
  <c r="W37" i="4"/>
  <c r="W38" i="4" s="1"/>
  <c r="AA84" i="3"/>
  <c r="B103" i="3"/>
  <c r="C102" i="3"/>
  <c r="B102" i="3"/>
  <c r="N34" i="4"/>
  <c r="J33" i="4"/>
  <c r="X39" i="4"/>
  <c r="X40" i="4"/>
  <c r="M34" i="4"/>
  <c r="C37" i="4"/>
  <c r="C38" i="4" s="1"/>
  <c r="O37" i="4"/>
  <c r="AA22" i="2" l="1"/>
  <c r="P11" i="5"/>
  <c r="Z26" i="2"/>
  <c r="AA38" i="2"/>
  <c r="Q74" i="5"/>
  <c r="T78" i="5"/>
  <c r="M38" i="4"/>
  <c r="M39" i="4"/>
  <c r="K38" i="4"/>
  <c r="AA23" i="2"/>
  <c r="Q78" i="5"/>
  <c r="T24" i="2"/>
  <c r="T25" i="2" s="1"/>
  <c r="Q11" i="5"/>
  <c r="S33" i="2"/>
  <c r="AA30" i="3"/>
  <c r="U8" i="2"/>
  <c r="AA20" i="2"/>
  <c r="U78" i="5"/>
  <c r="R10" i="4"/>
  <c r="AA8" i="4"/>
  <c r="R32" i="4"/>
  <c r="R9" i="4"/>
  <c r="U32" i="4"/>
  <c r="U37" i="4" s="1"/>
  <c r="U10" i="4"/>
  <c r="U9" i="4"/>
  <c r="T30" i="4"/>
  <c r="T31" i="4"/>
  <c r="U30" i="4"/>
  <c r="U31" i="4"/>
  <c r="P25" i="4"/>
  <c r="P26" i="4"/>
  <c r="Z24" i="4"/>
  <c r="X40" i="2"/>
  <c r="X36" i="2"/>
  <c r="T14" i="5"/>
  <c r="T13" i="5"/>
  <c r="P9" i="5"/>
  <c r="R9" i="5"/>
  <c r="Y46" i="2"/>
  <c r="Y44" i="2"/>
  <c r="Z38" i="2"/>
  <c r="Q30" i="4"/>
  <c r="Q31" i="4"/>
  <c r="AA37" i="2"/>
  <c r="P42" i="4"/>
  <c r="Z41" i="4"/>
  <c r="R25" i="4"/>
  <c r="R26" i="4"/>
  <c r="AA24" i="4"/>
  <c r="O36" i="2"/>
  <c r="O40" i="2"/>
  <c r="L30" i="2"/>
  <c r="L35" i="2"/>
  <c r="L29" i="2"/>
  <c r="R51" i="2"/>
  <c r="R17" i="2"/>
  <c r="R16" i="2"/>
  <c r="AA15" i="2"/>
  <c r="S10" i="2"/>
  <c r="S11" i="2"/>
  <c r="S12" i="2" s="1"/>
  <c r="R42" i="4"/>
  <c r="AA41" i="4"/>
  <c r="P74" i="5"/>
  <c r="R74" i="5"/>
  <c r="S74" i="5"/>
  <c r="T22" i="4"/>
  <c r="T23" i="4"/>
  <c r="U9" i="5"/>
  <c r="Z20" i="2"/>
  <c r="T17" i="2"/>
  <c r="T16" i="2"/>
  <c r="T51" i="2"/>
  <c r="U17" i="2"/>
  <c r="U51" i="2"/>
  <c r="U16" i="2"/>
  <c r="U14" i="5"/>
  <c r="U13" i="5"/>
  <c r="T8" i="2"/>
  <c r="AA45" i="2"/>
  <c r="Q22" i="4"/>
  <c r="Q23" i="4"/>
  <c r="J36" i="2"/>
  <c r="J40" i="2"/>
  <c r="W36" i="2"/>
  <c r="W40" i="2"/>
  <c r="P13" i="5"/>
  <c r="P14" i="5"/>
  <c r="AA26" i="2"/>
  <c r="U10" i="2"/>
  <c r="U11" i="2"/>
  <c r="S16" i="4"/>
  <c r="S17" i="4"/>
  <c r="S14" i="5"/>
  <c r="R8" i="2"/>
  <c r="AA7" i="2"/>
  <c r="Q25" i="4"/>
  <c r="Q26" i="4"/>
  <c r="O38" i="4"/>
  <c r="O39" i="4"/>
  <c r="O40" i="4"/>
  <c r="Z39" i="2"/>
  <c r="R11" i="2"/>
  <c r="R12" i="2" s="1"/>
  <c r="H36" i="2"/>
  <c r="H40" i="2"/>
  <c r="Q11" i="2"/>
  <c r="Q12" i="2" s="1"/>
  <c r="Q10" i="2"/>
  <c r="R24" i="2"/>
  <c r="R25" i="2" s="1"/>
  <c r="AA19" i="2"/>
  <c r="AA24" i="2" s="1"/>
  <c r="AA25" i="2" s="1"/>
  <c r="Q15" i="5"/>
  <c r="Q10" i="4"/>
  <c r="Q32" i="4"/>
  <c r="Q37" i="4" s="1"/>
  <c r="Q9" i="4"/>
  <c r="P11" i="2"/>
  <c r="P12" i="2" s="1"/>
  <c r="Z9" i="2"/>
  <c r="P10" i="2"/>
  <c r="Q13" i="5"/>
  <c r="Q14" i="5"/>
  <c r="Z7" i="4"/>
  <c r="P78" i="5"/>
  <c r="R78" i="5"/>
  <c r="S78" i="5"/>
  <c r="U74" i="5"/>
  <c r="S42" i="4"/>
  <c r="E36" i="2"/>
  <c r="E40" i="2"/>
  <c r="Q24" i="2"/>
  <c r="Q25" i="2" s="1"/>
  <c r="AA29" i="4"/>
  <c r="R30" i="4"/>
  <c r="R31" i="4"/>
  <c r="AA35" i="4"/>
  <c r="AA41" i="2"/>
  <c r="S9" i="5"/>
  <c r="B40" i="2"/>
  <c r="B36" i="2"/>
  <c r="P16" i="4"/>
  <c r="Z15" i="4"/>
  <c r="P17" i="4"/>
  <c r="N36" i="2"/>
  <c r="N40" i="2"/>
  <c r="P8" i="2"/>
  <c r="Z7" i="2"/>
  <c r="Z8" i="2" s="1"/>
  <c r="Z37" i="2"/>
  <c r="S51" i="2"/>
  <c r="S28" i="2"/>
  <c r="S16" i="2"/>
  <c r="S17" i="2"/>
  <c r="Z21" i="2"/>
  <c r="P51" i="2"/>
  <c r="P17" i="2"/>
  <c r="P16" i="2"/>
  <c r="Z15" i="2"/>
  <c r="T10" i="4"/>
  <c r="T9" i="4"/>
  <c r="T32" i="4"/>
  <c r="S31" i="4"/>
  <c r="S30" i="4"/>
  <c r="T9" i="5"/>
  <c r="I35" i="2"/>
  <c r="I30" i="2"/>
  <c r="I29" i="2"/>
  <c r="M30" i="2"/>
  <c r="AA39" i="2"/>
  <c r="Z19" i="2"/>
  <c r="P24" i="2"/>
  <c r="P25" i="2" s="1"/>
  <c r="P32" i="4"/>
  <c r="P10" i="4"/>
  <c r="P9" i="4"/>
  <c r="Z8" i="4"/>
  <c r="Z35" i="4"/>
  <c r="Q16" i="4"/>
  <c r="Q17" i="4"/>
  <c r="R16" i="4"/>
  <c r="AA15" i="4"/>
  <c r="R17" i="4"/>
  <c r="K46" i="2"/>
  <c r="K44" i="2"/>
  <c r="G42" i="2"/>
  <c r="G43" i="2"/>
  <c r="F38" i="4"/>
  <c r="F39" i="4"/>
  <c r="F40" i="4"/>
  <c r="G38" i="4"/>
  <c r="G39" i="4"/>
  <c r="G40" i="4"/>
  <c r="AA10" i="2"/>
  <c r="AA11" i="2"/>
  <c r="C40" i="2"/>
  <c r="C36" i="2"/>
  <c r="Z41" i="2"/>
  <c r="Z32" i="2"/>
  <c r="P33" i="2"/>
  <c r="P31" i="4"/>
  <c r="Z29" i="4"/>
  <c r="P30" i="4"/>
  <c r="T16" i="4"/>
  <c r="T17" i="4"/>
  <c r="F44" i="2"/>
  <c r="F46" i="2"/>
  <c r="K39" i="4"/>
  <c r="AA32" i="2"/>
  <c r="AA33" i="2" s="1"/>
  <c r="R33" i="2"/>
  <c r="Q33" i="2"/>
  <c r="D40" i="2"/>
  <c r="D36" i="2"/>
  <c r="R37" i="4"/>
  <c r="AA7" i="4"/>
  <c r="S10" i="4"/>
  <c r="S32" i="4"/>
  <c r="S37" i="4" s="1"/>
  <c r="S9" i="4"/>
  <c r="T26" i="4"/>
  <c r="T25" i="4"/>
  <c r="R22" i="4"/>
  <c r="R23" i="4"/>
  <c r="AA21" i="4"/>
  <c r="S22" i="4"/>
  <c r="S23" i="4"/>
  <c r="M42" i="2"/>
  <c r="M43" i="2"/>
  <c r="R13" i="5"/>
  <c r="R14" i="5"/>
  <c r="Q51" i="2"/>
  <c r="Q28" i="2"/>
  <c r="Q16" i="2"/>
  <c r="Q17" i="2"/>
  <c r="U16" i="4"/>
  <c r="U17" i="4"/>
  <c r="S26" i="4"/>
  <c r="S25" i="4"/>
  <c r="U24" i="2"/>
  <c r="U25" i="2" s="1"/>
  <c r="Z21" i="4"/>
  <c r="P23" i="4"/>
  <c r="P22" i="4"/>
  <c r="T37" i="4"/>
  <c r="U22" i="4"/>
  <c r="U23" i="4"/>
  <c r="Z24" i="2" l="1"/>
  <c r="Z25" i="2" s="1"/>
  <c r="T12" i="2"/>
  <c r="T28" i="2"/>
  <c r="AA42" i="4"/>
  <c r="S38" i="4"/>
  <c r="S39" i="4"/>
  <c r="S40" i="4"/>
  <c r="Q29" i="2"/>
  <c r="Q30" i="2"/>
  <c r="Q35" i="2"/>
  <c r="AA17" i="4"/>
  <c r="AA16" i="4"/>
  <c r="E43" i="2"/>
  <c r="E42" i="2"/>
  <c r="Z30" i="4"/>
  <c r="Z31" i="4"/>
  <c r="I40" i="2"/>
  <c r="I36" i="2"/>
  <c r="Z11" i="2"/>
  <c r="Z12" i="2" s="1"/>
  <c r="Z10" i="2"/>
  <c r="T35" i="2"/>
  <c r="T29" i="2"/>
  <c r="U12" i="2"/>
  <c r="AA25" i="4"/>
  <c r="AA26" i="4"/>
  <c r="D43" i="2"/>
  <c r="D42" i="2"/>
  <c r="Z9" i="4"/>
  <c r="Z32" i="4"/>
  <c r="Z10" i="4"/>
  <c r="B42" i="2"/>
  <c r="B43" i="2"/>
  <c r="AA28" i="2"/>
  <c r="AA17" i="2"/>
  <c r="AA16" i="2"/>
  <c r="AA51" i="2"/>
  <c r="C42" i="2"/>
  <c r="C43" i="2"/>
  <c r="AA31" i="4"/>
  <c r="AA30" i="4"/>
  <c r="O43" i="2"/>
  <c r="O42" i="2"/>
  <c r="M44" i="2"/>
  <c r="M46" i="2"/>
  <c r="R38" i="4"/>
  <c r="R39" i="4"/>
  <c r="R40" i="4"/>
  <c r="Z33" i="2"/>
  <c r="S29" i="2"/>
  <c r="S30" i="2"/>
  <c r="S35" i="2"/>
  <c r="U39" i="4"/>
  <c r="U40" i="4"/>
  <c r="U38" i="4"/>
  <c r="Q34" i="4"/>
  <c r="Q33" i="4"/>
  <c r="Z23" i="4"/>
  <c r="Z22" i="4"/>
  <c r="Z17" i="4"/>
  <c r="Z16" i="4"/>
  <c r="H43" i="2"/>
  <c r="H42" i="2"/>
  <c r="AA23" i="4"/>
  <c r="AA22" i="4"/>
  <c r="G46" i="2"/>
  <c r="G44" i="2"/>
  <c r="T34" i="4"/>
  <c r="T33" i="4"/>
  <c r="Z42" i="4"/>
  <c r="U34" i="4"/>
  <c r="U33" i="4"/>
  <c r="P34" i="4"/>
  <c r="P33" i="4"/>
  <c r="R28" i="2"/>
  <c r="S34" i="4"/>
  <c r="S33" i="4"/>
  <c r="W42" i="2"/>
  <c r="W43" i="2"/>
  <c r="U28" i="2"/>
  <c r="X43" i="2"/>
  <c r="X42" i="2"/>
  <c r="R34" i="4"/>
  <c r="R33" i="4"/>
  <c r="T39" i="4"/>
  <c r="T38" i="4"/>
  <c r="Z28" i="2"/>
  <c r="Z17" i="2"/>
  <c r="Z16" i="2"/>
  <c r="Z51" i="2"/>
  <c r="Z25" i="4"/>
  <c r="Z26" i="4"/>
  <c r="AA9" i="4"/>
  <c r="AA32" i="4"/>
  <c r="AA37" i="4" s="1"/>
  <c r="AA10" i="4"/>
  <c r="Q38" i="4"/>
  <c r="Q39" i="4"/>
  <c r="Q40" i="4"/>
  <c r="P28" i="2"/>
  <c r="T30" i="2" s="1"/>
  <c r="N42" i="2"/>
  <c r="N43" i="2"/>
  <c r="P37" i="4"/>
  <c r="T40" i="4" s="1"/>
  <c r="AA8" i="2"/>
  <c r="J42" i="2"/>
  <c r="J43" i="2"/>
  <c r="L36" i="2"/>
  <c r="L40" i="2"/>
  <c r="AA12" i="2" l="1"/>
  <c r="AA38" i="4"/>
  <c r="Z30" i="2"/>
  <c r="Z35" i="2"/>
  <c r="Z29" i="2"/>
  <c r="Z33" i="4"/>
  <c r="Z34" i="4"/>
  <c r="R35" i="2"/>
  <c r="R30" i="2"/>
  <c r="R29" i="2"/>
  <c r="C46" i="2"/>
  <c r="C44" i="2"/>
  <c r="J46" i="2"/>
  <c r="J44" i="2"/>
  <c r="H46" i="2"/>
  <c r="H44" i="2"/>
  <c r="P38" i="4"/>
  <c r="B38" i="6" s="1"/>
  <c r="P39" i="4"/>
  <c r="P40" i="4"/>
  <c r="X44" i="2"/>
  <c r="X46" i="2"/>
  <c r="N44" i="2"/>
  <c r="N46" i="2"/>
  <c r="Z37" i="4"/>
  <c r="U35" i="2"/>
  <c r="U29" i="2"/>
  <c r="U30" i="2"/>
  <c r="AA29" i="2"/>
  <c r="AA30" i="2"/>
  <c r="AA35" i="2"/>
  <c r="T36" i="2"/>
  <c r="T40" i="2"/>
  <c r="I43" i="2"/>
  <c r="I42" i="2"/>
  <c r="D46" i="2"/>
  <c r="D44" i="2"/>
  <c r="E46" i="2"/>
  <c r="E44" i="2"/>
  <c r="W46" i="2"/>
  <c r="W44" i="2"/>
  <c r="B44" i="2"/>
  <c r="B46" i="2"/>
  <c r="Q36" i="2"/>
  <c r="Q40" i="2"/>
  <c r="L42" i="2"/>
  <c r="L43" i="2"/>
  <c r="S40" i="2"/>
  <c r="S36" i="2"/>
  <c r="AA33" i="4"/>
  <c r="AA34" i="4"/>
  <c r="P30" i="2"/>
  <c r="P35" i="2"/>
  <c r="P29" i="2"/>
  <c r="O44" i="2"/>
  <c r="O46" i="2"/>
  <c r="Z40" i="4" l="1"/>
  <c r="Z39" i="4"/>
  <c r="Z38" i="4"/>
  <c r="AA40" i="4"/>
  <c r="S43" i="2"/>
  <c r="S42" i="2"/>
  <c r="L46" i="2"/>
  <c r="L44" i="2"/>
  <c r="I46" i="2"/>
  <c r="I44" i="2"/>
  <c r="Q43" i="2"/>
  <c r="Q42" i="2"/>
  <c r="T43" i="2"/>
  <c r="T42" i="2"/>
  <c r="R40" i="2"/>
  <c r="R36" i="2"/>
  <c r="AA40" i="2"/>
  <c r="AA36" i="2"/>
  <c r="P40" i="2"/>
  <c r="P36" i="2"/>
  <c r="Z40" i="2"/>
  <c r="Z36" i="2"/>
  <c r="AA39" i="4"/>
  <c r="U40" i="2"/>
  <c r="U36" i="2"/>
  <c r="T46" i="2" l="1"/>
  <c r="T44" i="2"/>
  <c r="U43" i="2"/>
  <c r="U42" i="2"/>
  <c r="Q46" i="2"/>
  <c r="Q44" i="2"/>
  <c r="Z43" i="2"/>
  <c r="Z42" i="2"/>
  <c r="P43" i="2"/>
  <c r="P42" i="2"/>
  <c r="S46" i="2"/>
  <c r="S44" i="2"/>
  <c r="AA43" i="2"/>
  <c r="AA42" i="2"/>
  <c r="R43" i="2"/>
  <c r="R42" i="2"/>
  <c r="Z46" i="2" l="1"/>
  <c r="Z44" i="2"/>
  <c r="P44" i="2"/>
  <c r="P46" i="2"/>
  <c r="R46" i="2"/>
  <c r="R44" i="2"/>
  <c r="U46" i="2"/>
  <c r="U44" i="2"/>
  <c r="AA46" i="2"/>
  <c r="AA44" i="2"/>
</calcChain>
</file>

<file path=xl/sharedStrings.xml><?xml version="1.0" encoding="utf-8"?>
<sst xmlns="http://schemas.openxmlformats.org/spreadsheetml/2006/main" count="3688" uniqueCount="2137">
  <si>
    <t>Airbnb (ABNB): the team's forecasting model in one workbook</t>
  </si>
  <si>
    <t>2026 Citadel Intercollegiate Stock Pitch Competition. Built 16 Sep 2026 from the repo's processed outputs (main at PR #56). Prelim memo due 2 Oct 2026; next print 5 Nov 2026 (3Q26).</t>
  </si>
  <si>
    <t>What this is</t>
  </si>
  <si>
    <t>• One place to see everything the team has built for the upcoming quarters: the revenue model (nights x ADR x FX x take rate), the cost stack line by line, a full income statement to FY27, the operating schedules behind them, the annotated stock history, the two reverse-DCF studies, and the Street/guidance comparison with its price implications.</t>
  </si>
  <si>
    <t>• Nothing here is typed in by hand: every blue number is read from a CSV in data/processed (the path is beside it or in the Sources block at the foot of each tab); every black number is an Excel formula. Rebuild with:  py -3.13 analysis/src/model_workbook/build.py   (the script recalculates in Excel and saves the cached values).</t>
  </si>
  <si>
    <t>• Two cases run through the workbook. BASE = the team model (bridge v3 revenue path, 40_line_build costs). SHORT = the pitch case added 15 Sep (the 4Q25-1Q26 bundle and the World Cup flattered 1H26 nights; RNPL eligibility expanding into a cohort that cancels more; costs at management's budget). STREET = LSEG/Bloomberg consensus, 11-12 Sep 2026.</t>
  </si>
  <si>
    <t>How to read it</t>
  </si>
  <si>
    <t>Blue font</t>
  </si>
  <si>
    <t>hard-coded source value from a repo CSV</t>
  </si>
  <si>
    <t>Black font</t>
  </si>
  <si>
    <t>formula in this sheet</t>
  </si>
  <si>
    <t>Green font</t>
  </si>
  <si>
    <t>link to another tab</t>
  </si>
  <si>
    <t>Grey italic</t>
  </si>
  <si>
    <t>note, source, caveat</t>
  </si>
  <si>
    <t>Yellow fill</t>
  </si>
  <si>
    <t>forecast column (3Q26E onward)</t>
  </si>
  <si>
    <t>Green fill</t>
  </si>
  <si>
    <t>team base case</t>
  </si>
  <si>
    <t>Orange fill</t>
  </si>
  <si>
    <t>short (pitch) case</t>
  </si>
  <si>
    <t>Grey fill</t>
  </si>
  <si>
    <t>Street consensus</t>
  </si>
  <si>
    <t>Pink fill</t>
  </si>
  <si>
    <t>bear / warning</t>
  </si>
  <si>
    <t>• The Income Statement tab has a scenario dropdown in cell B3 (Base, the two Short cases, evidence-only costs, revenue/cost bear and bull). The forecast columns on the Income Statement, Margins and Operating Schedules tabs re-flow to the chosen scenario; the Revenue Model and 5 Nov &amp; Street tabs always show Base, Short and Street side by side.</t>
  </si>
  <si>
    <t>• Units are USD millions unless a row says otherwise; nights in millions; GBV in $bn; percentages are y/y unless labelled '% of revenue'. Quarters are labelled 1Q23A ... 4Q27E.</t>
  </si>
  <si>
    <t>• Forecast vs scenario: 3Q26 is a tested forecast (the calibrated margin combination beat the Street 14/14 and 10/10 at h=0 in the two backtest windows; the revenue bridge and nights index were scored through the harness). 4Q26 margin is quoted from the Street (no h=1 edge). FY27 is a labelled spending scenario. FY28 is a roll-forward, not a forecast. The short case is a mechanism-plus-current-data view, not a backtest.</t>
  </si>
  <si>
    <t>Tab map</t>
  </si>
  <si>
    <t>Income Statement</t>
  </si>
  <si>
    <t>Quarterly 1Q23A-4Q27E and FY23-FY27: KPIs, cash cost lines, adjusted EBITDA, GAAP bridge to EPS. Scenario dropdown. Street and Short comparison rows underneath.</t>
  </si>
  <si>
    <t>Revenue Model</t>
  </si>
  <si>
    <t>Nights (with the regional and lap builds), ADR ex-FX and FX, GBV, take rate, the bridge conversion, revenue; bear/bull/short scenarios; Street on every KPI; the 3Q26 guide in force and the 4Q26 guide the model implies; guide history.</t>
  </si>
  <si>
    <t>Margins</t>
  </si>
  <si>
    <t>Each cost line with its drivers, the 3Q26 'down slightly' reconciliation, the 5 Nov margin card (calibrated run), the FY26 sentence expectation and budget identity, FY27 scenario grid, sensitivities, the short case quarter by quarter, seasonality.</t>
  </si>
  <si>
    <t>Operating Schedules</t>
  </si>
  <si>
    <t>Bookings and unit economics, revenue by region, the 2027 nights and ADR builds, FX paths, unit-cost drivers, below-EBITDA items, the full parameter sheet.</t>
  </si>
  <si>
    <t>5 Nov &amp; Street</t>
  </si>
  <si>
    <t>Key items side by side (Street / base / short / management delivered), the 5 Nov sequence the model expects, and what each path implies for the price (joint solve, fixed multiple, print reaction, repricing ladder).</t>
  </si>
  <si>
    <t>Stock Chart</t>
  </si>
  <si>
    <t>Annotated price history since the IPO: every earnings reaction, every 7%+ day and its driver, and the read-across to 5 Nov.</t>
  </si>
  <si>
    <t>Reverse DCF - Mgmt</t>
  </si>
  <si>
    <t>What management's words are worth: Literal / Delivered / Ambition cases, inputs, implied prices by lens, reverse-DCF growth.</t>
  </si>
  <si>
    <t>Reverse DCF - Market</t>
  </si>
  <si>
    <t>What the price, the options market and the sell-side tape are paying for; the reaction function; the positioning card.</t>
  </si>
  <si>
    <t>Scenario Data</t>
  </si>
  <si>
    <t>The data block behind the dropdown (every scenario x line x quarter). Reference only.</t>
  </si>
  <si>
    <t>The numbers in one table</t>
  </si>
  <si>
    <t>Item</t>
  </si>
  <si>
    <t>Street</t>
  </si>
  <si>
    <t>Team base</t>
  </si>
  <si>
    <t>Short (pitch)</t>
  </si>
  <si>
    <t>Base vs Street</t>
  </si>
  <si>
    <t>Short vs Street</t>
  </si>
  <si>
    <t>3Q26 revenue ($m)</t>
  </si>
  <si>
    <t>3Q26 nights y/y</t>
  </si>
  <si>
    <t>3Q26 adj. EBITDA ($m)</t>
  </si>
  <si>
    <t>3Q26 adj. EBITDA margin</t>
  </si>
  <si>
    <t>3Q26 EPS ($)</t>
  </si>
  <si>
    <t>4Q26 revenue ($m)</t>
  </si>
  <si>
    <t>4Q26 adj. EBITDA ($m)</t>
  </si>
  <si>
    <t>FY26 revenue ($m)</t>
  </si>
  <si>
    <t>FY26 adj. EBITDA margin</t>
  </si>
  <si>
    <t>FY26 EPS ($)</t>
  </si>
  <si>
    <t>FY27 revenue ($m)</t>
  </si>
  <si>
    <t>FY27 adj. EBITDA ($m)</t>
  </si>
  <si>
    <t>FY27 adj. EBITDA margin</t>
  </si>
  <si>
    <t>FY27 EPS ($)</t>
  </si>
  <si>
    <t>The pitch in six lines (short; see 5 Nov &amp; Street for the arithmetic)</t>
  </si>
  <si>
    <t>• The market is positioned for an accelerating 3Q26 nights print (Street +11.5%, every estimate at or above 2Q26's +10.3%); the team's nowcast is a deceleration (+9.9% base, band 8.5-11.0; +8.5% short). On the only print reaction with statistical support (post-2022 sign rule, n 14) a decelerating print has averaged -5.6% day-1 excess against a 9.5% options-implied dispersion.</t>
  </si>
  <si>
    <t>• 1H26 nights were flattered by the 4Q25-1Q26 bundle and the June-July World Cup; the underlying rate is 6-7%, not 9-10%. RNPL eligibility is widening into a cohort that cancels more, with no volume offset in the alt data.</t>
  </si>
  <si>
    <t>• On the short path the 4Q26 revenue guide lands 6-10% below the Street and FY26 needs a $177M marketing cut to hold the 35.5% floor; FY27 EBITDA is $4.8bn / 31.9% against the Street's $5.8bn / 36.5%.</t>
  </si>
  <si>
    <t>• Even on the team's own base path, 5 Nov is 'a beat on dollars, not points' (3Q26 EBITDA $2,420m vs $2,362m) followed by a 4Q26 guide midpoint about 3% below the Street, because the Street prices the guide plus the cushion.</t>
  </si>
  <si>
    <t>• The Street's FY27 margin needs the marketing ramp to stop (43.7% incremental margin); the line build's S&amp;M path (19.4% -&gt; 21.3% -&gt; 21.9% of revenue) gives 35.7%, the calibrated run 34.6%.</t>
  </si>
  <si>
    <t>• Price: $170 pays 16x for FY27 revenue of $15.7-15.9bn (the Street and the team base); the team bear is worth $121-137 and the short case about $140-148 on the same arithmetic (indicative).</t>
  </si>
  <si>
    <t>Provenance and what not to quote</t>
  </si>
  <si>
    <t>• Revenue: bridge v3 (PR #52, 12 Sep) on the quarterly nights path (PR #32), ADR card v3 (PR #46), the FX-lag kernel (WS05) and the WS06 v2b 2027 path. Margins: the 13-15 Sep margin build (PR #56): calibrated combination (23_final_model, Codex-audited, 18 findings closed) and the line build (40_line_build, Codex read-only check, 7 findings fixed). Reverse DCF: PR #49 and the 12-13 Sep market-implied run. Stock history: the predictive study.</t>
  </si>
  <si>
    <t>• Withdrawn numbers (do not quote): P(beat) 0.77 (now 0.779), the 3Q26 band $2,299-2,499m (now $2,337-2,462m), 'attained coverage 82-91%', 'Airbnb has no cost dial', S&amp;M $790M/+35% (now $781M/+33.5%), FY27 S&amp;M $3,740M/23.6% (run) or the WS31b 4Q26 margin profile of 24.7-25.9%. The full kill list is in docs/revenue-forecast-strategy/AGENT_BRIEF.md section 6 and docs/margin-build/SYNTHESIS.md section 9.</t>
  </si>
  <si>
    <t>• Consensus is a comparison column, never an input. Every consensus value in this workbook carries its vendor and pull date. The Bloomberg KPI distribution is a 5-12 Sep pull, the LSEG means are 11 Sep.</t>
  </si>
  <si>
    <t>• Open items for the team (from the margin build): the revenue_leg_live harness patch; reconcile or retire WS31b; a genuine h=1 object for 4Q26; the G&amp;A residual allocation; the 5 Nov 10-Q S&amp;M split will settle whether the ramp is a commitment or a dial.</t>
  </si>
  <si>
    <t>Airbnb income statement: actuals 1Q23-2Q26, forecast 3Q26-4Q27, FY23-FY27</t>
  </si>
  <si>
    <t>USD millions unless stated. Blue = source value (10-Q/10-K panel, 40_line_build), black = formula. Forecast columns (yellow) follow the scenario chosen in B3 and pull from the 'Scenario Data' tab. Adjusted EBITDA = revenue less cash costs plus D&amp;A (cash cost lines are GAAP less SBC and other add-backs, as management defines them).</t>
  </si>
  <si>
    <t>Scenario shown in the forecast columns  →</t>
  </si>
  <si>
    <t>Base (team model)</t>
  </si>
  <si>
    <t>← scenario key (used by the lookups). Pick from the dropdown in B3: Base, the two Short (pitch) cases, evidence-only costs, or the bear/bull revenue and cost cases.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</si>
  <si>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</si>
  <si>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</si>
  <si>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</si>
  <si>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</si>
  <si>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</si>
  <si>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</si>
  <si>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</si>
  <si>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</si>
  <si>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</si>
  <si>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</si>
  <si>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</si>
  <si>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</si>
  <si>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</si>
  <si>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</si>
  <si>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</si>
  <si>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</si>
  <si>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</si>
  <si>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2Q27</t>
  </si>
  <si>
    <t>3Q27</t>
  </si>
  <si>
    <t>4Q27</t>
  </si>
  <si>
    <t>FY23</t>
  </si>
  <si>
    <t>FY24</t>
  </si>
  <si>
    <t>FY25</t>
  </si>
  <si>
    <t>FY26</t>
  </si>
  <si>
    <t>FY27</t>
  </si>
  <si>
    <t>Quarter</t>
  </si>
  <si>
    <t>1Q23A</t>
  </si>
  <si>
    <t>2Q23A</t>
  </si>
  <si>
    <t>3Q23A</t>
  </si>
  <si>
    <t>4Q23A</t>
  </si>
  <si>
    <t>1Q24A</t>
  </si>
  <si>
    <t>2Q24A</t>
  </si>
  <si>
    <t>3Q24A</t>
  </si>
  <si>
    <t>4Q24A</t>
  </si>
  <si>
    <t>1Q25A</t>
  </si>
  <si>
    <t>2Q25A</t>
  </si>
  <si>
    <t>3Q25A</t>
  </si>
  <si>
    <t>4Q25A</t>
  </si>
  <si>
    <t>1Q26A</t>
  </si>
  <si>
    <t>2Q26A</t>
  </si>
  <si>
    <t>3Q26E</t>
  </si>
  <si>
    <t>4Q26E</t>
  </si>
  <si>
    <t>1Q27E</t>
  </si>
  <si>
    <t>2Q27E</t>
  </si>
  <si>
    <t>3Q27E</t>
  </si>
  <si>
    <t>4Q27E</t>
  </si>
  <si>
    <t>FY26E</t>
  </si>
  <si>
    <t>FY27E</t>
  </si>
  <si>
    <t>Operating KPIs</t>
  </si>
  <si>
    <t>Nights &amp; seats booked (m)</t>
  </si>
  <si>
    <t xml:space="preserve">    y/y</t>
  </si>
  <si>
    <t>Gross booking value ($bn)</t>
  </si>
  <si>
    <t>ADR ($, = GBV / nights)</t>
  </si>
  <si>
    <t>Income statement (adjusted EBITDA build, then GAAP bridge)</t>
  </si>
  <si>
    <t>Revenue</t>
  </si>
  <si>
    <t xml:space="preserve">    Take rate (revenue / GBV)</t>
  </si>
  <si>
    <t xml:space="preserve">    Cost of revenue (cash)</t>
  </si>
  <si>
    <t xml:space="preserve">    Operations &amp; support (cash)</t>
  </si>
  <si>
    <t xml:space="preserve">    Product development (cash)</t>
  </si>
  <si>
    <t xml:space="preserve">    Sales &amp; marketing (cash)</t>
  </si>
  <si>
    <t xml:space="preserve">    General &amp; administrative (cash, ex lodging-tax reserves)</t>
  </si>
  <si>
    <t>Total cash costs</t>
  </si>
  <si>
    <t xml:space="preserve">    % of revenue</t>
  </si>
  <si>
    <t xml:space="preserve">    Depreciation &amp; amortisation (inside the cash lines)</t>
  </si>
  <si>
    <t xml:space="preserve">    Other add-backs / reconciling items (history only)</t>
  </si>
  <si>
    <t>History: reported adjusted EBITDA less (revenue - cash costs + D&amp;A); lodging-tax reserves, restructuring and rounding. Forecast: nil by construction.</t>
  </si>
  <si>
    <t>Adjusted EBITDA</t>
  </si>
  <si>
    <t xml:space="preserve">    Adjusted EBITDA margin</t>
  </si>
  <si>
    <t xml:space="preserve">    Stock-based compensation</t>
  </si>
  <si>
    <t xml:space="preserve">        % of revenue</t>
  </si>
  <si>
    <t xml:space="preserve">    Other GAAP items vs the adjusted stack (history only)</t>
  </si>
  <si>
    <t>History: reported operating income less (adjusted EBITDA - D&amp;A - SBC): restructuring, lodging-tax reserves, acquisition items. Forecast: nil.</t>
  </si>
  <si>
    <t>Operating income (GAAP)</t>
  </si>
  <si>
    <t xml:space="preserve">    Operating margin</t>
  </si>
  <si>
    <t xml:space="preserve">    Interest income</t>
  </si>
  <si>
    <t xml:space="preserve">    Interest expense</t>
  </si>
  <si>
    <t xml:space="preserve">    Other income / (expense), net</t>
  </si>
  <si>
    <t>Pre-tax income</t>
  </si>
  <si>
    <t xml:space="preserve">    Income tax provision / (benefit)</t>
  </si>
  <si>
    <t>4Q23 carries the $2.7bn valuation-allowance release; FY23 GAAP net income is not comparable.</t>
  </si>
  <si>
    <t xml:space="preserve">        Effective tax rate</t>
  </si>
  <si>
    <t>Net income</t>
  </si>
  <si>
    <t xml:space="preserve">    Net margin</t>
  </si>
  <si>
    <t xml:space="preserve">    Diluted weighted-average shares (m)</t>
  </si>
  <si>
    <t>Diluted EPS ($)</t>
  </si>
  <si>
    <t>History EPS is net income / diluted shares from the panel; it can differ from the reported figure by a cent. Forecast: 40_line_build M7 bridge.</t>
  </si>
  <si>
    <t xml:space="preserve">    Diluted EPS as reported ($)</t>
  </si>
  <si>
    <t>Memo: cash and capital return (history)</t>
  </si>
  <si>
    <t xml:space="preserve">    Free cash flow</t>
  </si>
  <si>
    <t xml:space="preserve">        FCF margin</t>
  </si>
  <si>
    <t xml:space="preserve">    Share repurchases</t>
  </si>
  <si>
    <t>Comparison rows (do not move with the dropdown)</t>
  </si>
  <si>
    <t>Street = LSEG mean 11 Sep 2026 (quarters 1Q27-4Q27 n 17-19); Short = pitch case with costs at budget</t>
  </si>
  <si>
    <t xml:space="preserve">    Revenue: Street (LSEG)</t>
  </si>
  <si>
    <t xml:space="preserve">    Revenue: Base (team)</t>
  </si>
  <si>
    <t xml:space="preserve">    Revenue: Short case (pitch)</t>
  </si>
  <si>
    <t xml:space="preserve">    Adj. EBITDA: Street (LSEG)</t>
  </si>
  <si>
    <t xml:space="preserve">    Adj. EBITDA: Base (team)</t>
  </si>
  <si>
    <t xml:space="preserve">    Adj. EBITDA: Short case (pitch)</t>
  </si>
  <si>
    <t xml:space="preserve">    Adj. EBITDA margin: Street (LSEG)</t>
  </si>
  <si>
    <t xml:space="preserve">    Adj. EBITDA margin: Base (team)</t>
  </si>
  <si>
    <t xml:space="preserve">    Adj. EBITDA margin: Short case (pitch)</t>
  </si>
  <si>
    <t xml:space="preserve">    Diluted EPS: Street (LSEG)</t>
  </si>
  <si>
    <t xml:space="preserve">    Diluted EPS: Base (team)</t>
  </si>
  <si>
    <t xml:space="preserve">    Diluted EPS: Short case (pitch)</t>
  </si>
  <si>
    <t>Sources (paths relative to the repo root)</t>
  </si>
  <si>
    <t>Quarterly and annual GAAP lines, cash cost lines, SBC, D&amp;A, shares</t>
  </si>
  <si>
    <t>data/processed/margin_build/02_financial_panel/02_panel_quarterly.csv, 02_panel_annual.csv</t>
  </si>
  <si>
    <t>Nights, GBV, ADR, reported adjusted EBITDA, FCF, buybacks</t>
  </si>
  <si>
    <t>data/processed/abnb_driver_history_quarterly.csv</t>
  </si>
  <si>
    <t>Forecast lines by scenario (base, bear/bull, evidence-only)</t>
  </si>
  <si>
    <t>data/processed/margin_build/40_line_build/40_lines_quarterly.csv; note docs/margin-build/notes/40_line_build.md</t>
  </si>
  <si>
    <t>Short case (pitch) quarterly lines</t>
  </si>
  <si>
    <t>data/processed/margin_build/40_line_build/40_short_case_quarterly.csv, 40_short_case_summary.csv</t>
  </si>
  <si>
    <t>data/processed/margin_build/03_consensus_pit/03_current_consensus.csv (LSEG 11 Sep 2026); 23_final_model/23_vs_consensus.csv</t>
  </si>
  <si>
    <t>Revenue model: nights x ADR (ex-FX + FX) = GBV; GBV x take rate = revenue</t>
  </si>
  <si>
    <t>Base path = bridge v3 for 3Q26-4Q26 (team nights baseline PR #32, ADR card v3, FX kernel) and the WS06 v2b path for 2027. Blue = source value, black = formula. Percent changes are y/y. FX shown in percentage points of y/y growth.</t>
  </si>
  <si>
    <t>1. Base path: volume, price, FX and take rate</t>
  </si>
  <si>
    <t>team baseline; comparison scenarios are in section 2</t>
  </si>
  <si>
    <t xml:space="preserve">        NA nights y/y (regional build)</t>
  </si>
  <si>
    <t>1H26 from letters/10-Q commentary; 2H26 = WS10 regional build re-based (h2_bridge_2026_projection.csv). No regional 2027 build.</t>
  </si>
  <si>
    <t xml:space="preserve">        EMEA nights y/y (regional build)</t>
  </si>
  <si>
    <t xml:space="preserve">        LatAm nights y/y (regional build)</t>
  </si>
  <si>
    <t xml:space="preserve">        APAC nights y/y (regional build)</t>
  </si>
  <si>
    <t xml:space="preserve">    ADR y/y reported</t>
  </si>
  <si>
    <t xml:space="preserve">    ADR y/y ex-FX</t>
  </si>
  <si>
    <t>Forecast: ADR card v3 (3Q26 +3.9%, 4Q26 +4.1%) then the WS06 ADR build (residual + K line + geo mix + party size + LOS + seats).</t>
  </si>
  <si>
    <t xml:space="preserve">    FX contribution to ADR y/y (pts)</t>
  </si>
  <si>
    <t>History: disclosed in the letters (3Q25-2Q26). Forecast: ADR v3 midpoint of the EUR fit and regional baskets (3Q26 -0.4pt, 4Q26 +0.2pt), then the FX kernel.</t>
  </si>
  <si>
    <t>Forecast GBV = nights x ADR (the 06 path carries a &lt;0.2% identity gap to its own GBV line).</t>
  </si>
  <si>
    <t xml:space="preserve">    Take rate, prior-year quarter (%)</t>
  </si>
  <si>
    <t xml:space="preserve">    Take rate change y/y (pts)</t>
  </si>
  <si>
    <t>3Q26 +0.58pt: FX timing (revenue recognised at check-in on bookings made when the dollar was weaker) and the fee changes; 2027 +0.1-0.3pt.</t>
  </si>
  <si>
    <t xml:space="preserve">    Lagged GBV used by the bridge ($bn)</t>
  </si>
  <si>
    <t>Revenue converts from bookings made earlier: the bridge kernel maps a lagged GBV mix to revenue at a seasonal conversion rate.</t>
  </si>
  <si>
    <t xml:space="preserve">    Conversion: revenue / lagged GBV</t>
  </si>
  <si>
    <t xml:space="preserve">    Revenue y/y reported</t>
  </si>
  <si>
    <t xml:space="preserve">    FX contribution to revenue y/y (pts)</t>
  </si>
  <si>
    <t>History: reported less constant-currency growth from the letters. 3Q26 = management's ~3pt after hedging; 4Q26+ = FX-lag kernel (0.98, 0.93, 0.62, 0.31, 0.38pt).</t>
  </si>
  <si>
    <t xml:space="preserve">    Revenue y/y ex-FX</t>
  </si>
  <si>
    <t xml:space="preserve">    Take rate printed (revenue / GBV)</t>
  </si>
  <si>
    <t xml:space="preserve">    Revenue band low (conversion band)</t>
  </si>
  <si>
    <t xml:space="preserve">    Revenue band high (conversion band)</t>
  </si>
  <si>
    <t>Conversion min/max over the fitted years; it is not the nights band (section 2 has that).</t>
  </si>
  <si>
    <t>2. Revenue scenarios: nights, ADR and revenue by case</t>
  </si>
  <si>
    <t>bear/bull = WS06 v2b on the bridge v3 bands; Short = the pitch case (lap + RNPL cancellations)</t>
  </si>
  <si>
    <t xml:space="preserve">    Nights y/y: Bear</t>
  </si>
  <si>
    <t xml:space="preserve">    Nights y/y: Base</t>
  </si>
  <si>
    <t xml:space="preserve">    Nights y/y: Bull</t>
  </si>
  <si>
    <t xml:space="preserve">    Nights y/y: Short (pitch)</t>
  </si>
  <si>
    <t>Short: nights +8.5% in 3Q26 (guide low; July still has the World Cup) then +5/+4/+2/+3/+4% as the 4Q25-1Q26 bundle and World Cup lap and RNPL cancellations land; ADR ex-FX +2.5% then flat.</t>
  </si>
  <si>
    <t xml:space="preserve">    ADR y/y reported: Bear</t>
  </si>
  <si>
    <t xml:space="preserve">    ADR y/y reported: Base</t>
  </si>
  <si>
    <t xml:space="preserve">    ADR y/y reported: Bull</t>
  </si>
  <si>
    <t xml:space="preserve">    ADR y/y reported: Short (pitch)</t>
  </si>
  <si>
    <t xml:space="preserve">    Revenue ($m): Bear</t>
  </si>
  <si>
    <t xml:space="preserve">    Revenue ($m): Base</t>
  </si>
  <si>
    <t xml:space="preserve">    Revenue ($m): Bull</t>
  </si>
  <si>
    <t xml:space="preserve">    Revenue ($m): Short (pitch)</t>
  </si>
  <si>
    <t xml:space="preserve">    Revenue y/y: Bear</t>
  </si>
  <si>
    <t xml:space="preserve">    Revenue y/y: Base</t>
  </si>
  <si>
    <t xml:space="preserve">    Revenue y/y: Bull</t>
  </si>
  <si>
    <t xml:space="preserve">    Revenue y/y: Short (pitch)</t>
  </si>
  <si>
    <t>2b. Nights lap arithmetic for 2H26 (bridge v3 scenarios)</t>
  </si>
  <si>
    <t>Scenario</t>
  </si>
  <si>
    <t>4Q26 nights y/y</t>
  </si>
  <si>
    <t>3Q26 GBV y/y</t>
  </si>
  <si>
    <t>4Q26 GBV y/y</t>
  </si>
  <si>
    <t>3Q26 vs guide (10-12%)</t>
  </si>
  <si>
    <t>3Q26 accel vs 2Q26 (pts)</t>
  </si>
  <si>
    <t>4Q26 accel vs 3Q26 (pts)</t>
  </si>
  <si>
    <t>v3 baseline band LOW (3Q26 reviews-index low; 4Q26 case B low)</t>
  </si>
  <si>
    <t>below</t>
  </si>
  <si>
    <t>v3 BASELINE (3Q26 team baseline; 4Q26 case B global lap)</t>
  </si>
  <si>
    <t>v3 baseline band HIGH (3Q26 reviews-index high; 4Q26 case A NA-only lap)</t>
  </si>
  <si>
    <t>inside 10-12</t>
  </si>
  <si>
    <t>COMPARISON v1/v2: no lap (international RNPL adoption offsets the US anniversary)</t>
  </si>
  <si>
    <t>COMPARISON v1/v2: half lap</t>
  </si>
  <si>
    <t>COMPARISON v1/v2: full lap (all ~3 pts of 1Q26 RNPL lift laps)</t>
  </si>
  <si>
    <t>2Q26 printed nights +10.3%; management guided 3Q26 'low double digits'. The team baseline (+9.9%) sits below the guide and decelerates; the 4Q26 case B applies the RNPL/bundle lap to ex-NA nights at a 45% split. The 2027 nights build (06_nights_build.csv) carries NA +2.3% and ex-NA +10-11% pre-lap, less 0.74pt fee-cancellation lap and 0.36-0.91pt RNPL lap, for +6.0-8.2% total.</t>
  </si>
  <si>
    <t>3. Street consensus on the KPIs, and where the team sits</t>
  </si>
  <si>
    <t>Bloomberg estimate distribution (pull 5-12 Sep 2026) for 3Q26/4Q26; LSEG revenue means 11 Sep 2026 for 3Q26-FY28</t>
  </si>
  <si>
    <t>Metric</t>
  </si>
  <si>
    <t>n</t>
  </si>
  <si>
    <t>Street low</t>
  </si>
  <si>
    <t>Street mean</t>
  </si>
  <si>
    <t>Street high</t>
  </si>
  <si>
    <t>Prior-year actual</t>
  </si>
  <si>
    <t>Street mean y/y</t>
  </si>
  <si>
    <t>Team value</t>
  </si>
  <si>
    <t>Team y/y</t>
  </si>
  <si>
    <t>Team position in the range</t>
  </si>
  <si>
    <t>Nights (m)</t>
  </si>
  <si>
    <t>below the lowest estimate</t>
  </si>
  <si>
    <t>GBV ($m)</t>
  </si>
  <si>
    <t>ADR ($)</t>
  </si>
  <si>
    <t>inside the range</t>
  </si>
  <si>
    <t>Take rate (%)</t>
  </si>
  <si>
    <t>Revenue ($m)</t>
  </si>
  <si>
    <t>EPS ($)</t>
  </si>
  <si>
    <t>Team values in this Bloomberg comparison are the reverse-DCF run's snapshot (12 Sep): 3Q26 nights 146.8m / +9.9% and revenue $4,771m; the live bridge v3 revenue is $4,804m (section 1). The point that matters: every one of the 28 Street nights estimates for 3Q26 is at or above 2Q26's growth rate; the team's is below the lowest.</t>
  </si>
  <si>
    <t>Revenue: Street (LSEG mean)</t>
  </si>
  <si>
    <t xml:space="preserve">      n estimates</t>
  </si>
  <si>
    <t xml:space="preserve">      sd of estimates ($m)</t>
  </si>
  <si>
    <t xml:space="preserve">    Team base vs Street (%)</t>
  </si>
  <si>
    <t xml:space="preserve">    Short case vs Street (%)</t>
  </si>
  <si>
    <t xml:space="preserve">    Team base gap in Street sd's</t>
  </si>
  <si>
    <t>4. Management guidance: the 3Q26 guide in force, and what the model implies for the 5 Nov 4Q26 guide</t>
  </si>
  <si>
    <t>3Q26 item</t>
  </si>
  <si>
    <t>Guide text (6 Aug 2026 letter)</t>
  </si>
  <si>
    <t>Guide low</t>
  </si>
  <si>
    <t>Guide high</t>
  </si>
  <si>
    <t>Guide mid</t>
  </si>
  <si>
    <t>Base vs mid</t>
  </si>
  <si>
    <t>Short case</t>
  </si>
  <si>
    <t>Short vs mid</t>
  </si>
  <si>
    <t>$4.69-4.77bn, +15-17% incl. ~3pt FX</t>
  </si>
  <si>
    <t>Nights &amp; seats y/y</t>
  </si>
  <si>
    <t>low double digits</t>
  </si>
  <si>
    <t>GBV y/y</t>
  </si>
  <si>
    <t>mid teens</t>
  </si>
  <si>
    <t>FX pts on revenue</t>
  </si>
  <si>
    <t>~3</t>
  </si>
  <si>
    <t>Take rate</t>
  </si>
  <si>
    <t>in line y/y (3Q25 17.9)</t>
  </si>
  <si>
    <t>Adj. EBITDA margin</t>
  </si>
  <si>
    <t>down slightly vs 50.1</t>
  </si>
  <si>
    <t>Margin margin-sentence rows are on the Margins tab (3Q26 'down slightly' vs 3Q25's 50.1%; FY26 'at least 35.5%'). The team base sits above the 3Q26 revenue guide's top end (as the last 19 prints did, mean +2.5% vs the midpoint), and below its nights guide.</t>
  </si>
  <si>
    <t>Expected 4Q26 guide (given 5 Nov)</t>
  </si>
  <si>
    <t>How it is derived</t>
  </si>
  <si>
    <t>Historical Q4 actual vs guide midpoint (mean, 4 Q4 guides)</t>
  </si>
  <si>
    <t>abnb_revenue_guidance_vs_actual.csv: 4Q22 +3.4%, 4Q23 +3.2%, 4Q24 +2.7%, 4Q25 +3.3%</t>
  </si>
  <si>
    <t>Historical actual vs midpoint, all 19 guided quarters (mean)</t>
  </si>
  <si>
    <t>every print since 4Q21 landed above the midpoint; 15 of 19 above the top end</t>
  </si>
  <si>
    <t>Guide range width, % of midpoint (mean of the last 6)</t>
  </si>
  <si>
    <t>Team base 4Q26 revenue ($m)</t>
  </si>
  <si>
    <t>bridge v3</t>
  </si>
  <si>
    <t>Implied 4Q26 guide midpoint if the Q4 cushion holds ($m)</t>
  </si>
  <si>
    <t>team base / (1 + historical Q4 cushion). Bridge v3 quotes $3,059m on the same arithmetic.</t>
  </si>
  <si>
    <t xml:space="preserve">  Implied guide range ($m, low / high)</t>
  </si>
  <si>
    <t xml:space="preserve">  Implied guide midpoint y/y</t>
  </si>
  <si>
    <t>vs 4Q25 actual $2,778m</t>
  </si>
  <si>
    <t>Street 4Q26 revenue (LSEG mean)</t>
  </si>
  <si>
    <t xml:space="preserve">  Implied guide midpoint vs Street (%)</t>
  </si>
  <si>
    <t>a guide midpoint below the Street is the base case even on the team's own path: the market prices the guide plus the cushion</t>
  </si>
  <si>
    <t>Short case 4Q26 revenue ($m)</t>
  </si>
  <si>
    <t xml:space="preserve">  Short case implied guide midpoint ($m)</t>
  </si>
  <si>
    <t xml:space="preserve">  Short case implied guide midpoint vs Street (%)</t>
  </si>
  <si>
    <t>the pitch's 5 Nov sequence: a Q3 print near the sentence, a Q4 guide well below the Street</t>
  </si>
  <si>
    <t>Nights guide direction for 4Q26 (expected wording)</t>
  </si>
  <si>
    <t>decelerating vs 3Q26 print; 'high single digits' on the base path, 'mid single digits' on the short path</t>
  </si>
  <si>
    <t>FX in the 4Q26 revenue guide (pts)</t>
  </si>
  <si>
    <t>kernel: about +1pt; management's own sentence has been the hedged number</t>
  </si>
  <si>
    <t>Take rate wording</t>
  </si>
  <si>
    <t>'in line' y/y (4Q25 13.6%); team 13.8%</t>
  </si>
  <si>
    <t>4b. Revenue guide history: every quarterly guide since 4Q21 and how the print landed</t>
  </si>
  <si>
    <t>Guided quarter</t>
  </si>
  <si>
    <t>Issued on call</t>
  </si>
  <si>
    <t>Range width % of mid</t>
  </si>
  <si>
    <t>Actual</t>
  </si>
  <si>
    <t>Actual vs mid</t>
  </si>
  <si>
    <t>Actual vs high</t>
  </si>
  <si>
    <t>2021Q4</t>
  </si>
  <si>
    <t>2021Q3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</si>
  <si>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</si>
  <si>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</si>
  <si>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</si>
  <si>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</si>
  <si>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</si>
  <si>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</si>
  <si>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</si>
  <si>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</si>
  <si>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</si>
  <si>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</si>
  <si>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</si>
  <si>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</si>
  <si>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</si>
  <si>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</si>
  <si>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</si>
  <si>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</si>
  <si>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</si>
  <si>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</si>
  <si>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</si>
  <si>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History KPIs and revenue</t>
  </si>
  <si>
    <t>data/processed/abnb_driver_history_quarterly.csv; margin_build/02_financial_panel/02_panel_quarterly.csv</t>
  </si>
  <si>
    <t>Base / bear / bull path 3Q26-4Q28 (nights, ADR, FX, take rate, revenue)</t>
  </si>
  <si>
    <t>data/processed/margin_build/06_fy27_path_v2/06_revenue_path_3q26_4q27_v2b.csv, 06_annual_fy26_fy28_v2b.csv, 06_nights_build.csv, 06_adr_build.csv</t>
  </si>
  <si>
    <t>Bridge v3 (2H26 lines, FX, nights scenarios, revenue dollars, 3Q26 guide)</t>
  </si>
  <si>
    <t>data/processed/h2_bridge_v3/*.csv; docs/thesis-kernel-topdown; PR #52</t>
  </si>
  <si>
    <t>Regional nights 2026</t>
  </si>
  <si>
    <t>data/processed/h2_bridge_v3/h2_bridge_2026_projection.csv (WS10 regional build)</t>
  </si>
  <si>
    <t>FX history and kernel</t>
  </si>
  <si>
    <t>data/processed/overnight/05_fx_schedule.csv; h2_bridge_v3/h2_bridge_v3_fx_line.csv</t>
  </si>
  <si>
    <t>Short case path</t>
  </si>
  <si>
    <t>data/processed/margin_build/40_line_build/40_short_case_revenue_path.csv; docs/margin-build/notes/40_line_build.md</t>
  </si>
  <si>
    <t>Street KPIs</t>
  </si>
  <si>
    <t>data/processed/reverse_dcf/E/E_street_distribution_vs_team.csv (Bloomberg); margin_build/03_consensus_pit/03_current_consensus.csv and 23_final_model/23_vs_consensus.csv (LSEG)</t>
  </si>
  <si>
    <t>Guide history</t>
  </si>
  <si>
    <t>data/processed/abnb_revenue_guidance_vs_actual.csv</t>
  </si>
  <si>
    <t>Margins: the cost stack line by line, the 3Q26 sentence, the 5 Nov card and the FY26/FY27 margin view</t>
  </si>
  <si>
    <t>Cash cost lines = GAAP less SBC and add-backs (management's adjusted EBITDA definition). Forecast columns follow the scenario dropdown on the Income Statement tab (B3). Blue = source value, black = formula, green = link.</t>
  </si>
  <si>
    <t>Scenario in the forecast columns:</t>
  </si>
  <si>
    <t>1. The cost stack, cash basis (what adjusted EBITDA is made of)</t>
  </si>
  <si>
    <t>Cost of revenue</t>
  </si>
  <si>
    <t xml:space="preserve">    Merchant / payment fees</t>
  </si>
  <si>
    <t>1.70% of GBV annual-equivalent, seasonal factors 0.90/1.045/1.035/1.033; 1H26 rate 1.68% after processor rebates</t>
  </si>
  <si>
    <t xml:space="preserve">    Chargebacks</t>
  </si>
  <si>
    <t>$0.72 per booking (1H26 +$25M y/y); short case adds $0.15 per booking</t>
  </si>
  <si>
    <t xml:space="preserve">    Hosting</t>
  </si>
  <si>
    <t>$224M/yr FY25 + $30M per half step in 2H26 + AI reconciliation step; $330M/yr FY27. The least-sourced number in the build.</t>
  </si>
  <si>
    <t xml:space="preserve">    Other cost of revenue</t>
  </si>
  <si>
    <t>$0.36 per night</t>
  </si>
  <si>
    <t>Operations &amp; support</t>
  </si>
  <si>
    <t xml:space="preserve">    Variable part (AI-addressable, 21.5% of the line)</t>
  </si>
  <si>
    <t>per booking -14% y/y in 2H26, -10% in FY27 (management: support cost per booking -10% and -16% in 1H26)</t>
  </si>
  <si>
    <t xml:space="preserve">    Fixed part (payroll, customer relations, insurance)</t>
  </si>
  <si>
    <t>+8% y/y</t>
  </si>
  <si>
    <t xml:space="preserve">    Ops &amp; support per booking ($)</t>
  </si>
  <si>
    <t>Product development</t>
  </si>
  <si>
    <t>2H26 +9% y/y, FY27 +8% + $30M AI tooling; 1H26 ran +12%/+10%, all payroll</t>
  </si>
  <si>
    <t>Sales &amp; marketing</t>
  </si>
  <si>
    <t>THE line that carries the margin call: FY25 19.4% of revenue, FY26 21.3%, FY27 21.9% (line build) / 23.5% (run allocation)</t>
  </si>
  <si>
    <t xml:space="preserve">    Brand + performance marketing</t>
  </si>
  <si>
    <t>FY25 $1,595M (10-K split); 1H26 +32% reported; 2H26 +25% plus the $67M 3Q26 reconciliation step; FY27 +15%</t>
  </si>
  <si>
    <t xml:space="preserve">    Field operations &amp; policy</t>
  </si>
  <si>
    <t>FY25 $781M incl. ~$200M of Services/Experiences launch spend; +18% FY26, +11% FY27</t>
  </si>
  <si>
    <t>General &amp; administrative (ex lodging-tax reserves)</t>
  </si>
  <si>
    <t>4Q23 excludes the ~$1bn lodging-tax reserve, which management adds back; 2H26 +5%, FY27 +5% (1H26 ran -5.4% on a $38M drop in non-income taxes)</t>
  </si>
  <si>
    <t xml:space="preserve">    D&amp;A (inside the lines, added back)</t>
  </si>
  <si>
    <t xml:space="preserve">    Other add-backs (history)</t>
  </si>
  <si>
    <t>reported adjusted EBITDA less the stack identity; nil in the forecast</t>
  </si>
  <si>
    <t>Adjusted EBITDA margin</t>
  </si>
  <si>
    <t xml:space="preserve">    Adjusted EBITDA y/y</t>
  </si>
  <si>
    <t xml:space="preserve">    Incremental margin y/y (d EBITDA / d revenue)</t>
  </si>
  <si>
    <t>Street-implied FY27 incremental margin is 43.7%; the line build's is 34.8%, the run's 24.7%</t>
  </si>
  <si>
    <t xml:space="preserve">    Stock-based compensation (below adjusted EBITDA)</t>
  </si>
  <si>
    <t>+13.2% y/y on the year-ago quarter (M7); management: SBC growth below FY25's +13%</t>
  </si>
  <si>
    <t>2. Adjusted EBITDA and margin: line build vs the calibrated run vs Street vs the short case</t>
  </si>
  <si>
    <t>LSEG 11 Sep 2026; run = 23_final_model (backtested combination); line build = 40_line_build (composition); short = pitch</t>
  </si>
  <si>
    <t>Adj. EBITDA ($m) / margin</t>
  </si>
  <si>
    <t>FY28 (roll)</t>
  </si>
  <si>
    <t xml:space="preserve">    EBITDA: Street (LSEG mean)</t>
  </si>
  <si>
    <t xml:space="preserve">    EBITDA: line build base (this workbook's IS)</t>
  </si>
  <si>
    <t xml:space="preserve">    EBITDA: calibrated run (backtested; the 5 Nov card object)</t>
  </si>
  <si>
    <t xml:space="preserve">    EBITDA: short case (pitch, costs at budget)</t>
  </si>
  <si>
    <t xml:space="preserve">    Margin: Street</t>
  </si>
  <si>
    <t xml:space="preserve">    Margin: line build base</t>
  </si>
  <si>
    <t xml:space="preserve">    Margin: calibrated run</t>
  </si>
  <si>
    <t xml:space="preserve">    Margin: short case</t>
  </si>
  <si>
    <t xml:space="preserve">    EPS: Street</t>
  </si>
  <si>
    <t xml:space="preserve">    EPS: line build base</t>
  </si>
  <si>
    <t xml:space="preserve">    EPS: calibrated run</t>
  </si>
  <si>
    <t xml:space="preserve">    EPS: short case</t>
  </si>
  <si>
    <t xml:space="preserve">    Line build base vs Street, EBITDA ($m)</t>
  </si>
  <si>
    <t xml:space="preserve">    Short case vs Street, EBITDA ($m)</t>
  </si>
  <si>
    <t>FY28 in the line build is the FY27 margin rolled flat, not a forecast. The run's FY27 (34.6%) and the line build's FY27 (35.7%) differ by one point, all in S&amp;M: the run carried the 1H26 marketing growth rate forward, the line build applies management's stated deceleration to a base that already includes the 3Q26 step. Both sit below the Street's 36.5%, which needs the marketing ramp to stop (43.7% incremental margin).</t>
  </si>
  <si>
    <t>3. 3Q26: management's 'margin down slightly' sentence used as the cost budget</t>
  </si>
  <si>
    <t xml:space="preserve">    3Q25 actual margin</t>
  </si>
  <si>
    <t xml:space="preserve">    'down slightly' target used (3Q25 - 0.5pt)</t>
  </si>
  <si>
    <t xml:space="preserve">    evidence-only build: 3Q26 margin</t>
  </si>
  <si>
    <t xml:space="preserve">    evidence-only build: 3Q26 total cash cost growth y/y %</t>
  </si>
  <si>
    <t xml:space="preserve">    reconciled base: 3Q26 margin at the GUIDE midpoint revenue (by construction = target)</t>
  </si>
  <si>
    <t xml:space="preserve">    reconciled base: 3Q26 margin at OUR revenue ($4,804M; the forecast)</t>
  </si>
  <si>
    <t xml:space="preserve">    reconciled base: 3Q26 total cash cost growth y/y %</t>
  </si>
  <si>
    <t xml:space="preserve">    reconciled base: cost gap assigned in 3Q26, USD m</t>
  </si>
  <si>
    <t xml:space="preserve">    2H26 marketing growth % that lands the sentence AT OUR revenue with no hosting step (evidence build)</t>
  </si>
  <si>
    <t xml:space="preserve">    3Q26 S&amp;M at that growth, USD m</t>
  </si>
  <si>
    <t xml:space="preserve">    3Q26 S&amp;M y/y % at that growth</t>
  </si>
  <si>
    <t xml:space="preserve">    3Q26 total cash cost growth y/y % at that growth</t>
  </si>
  <si>
    <t xml:space="preserve">    FY26 margin at that growth</t>
  </si>
  <si>
    <t>Built from the evidence alone, 3Q26 costs grow 11.5% against revenue +17% and the margin would be 52.4%, contradicting the sentence. The base takes management at its word and adds $97M of cost to 3Q26 (70% marketing as a timing step, 30% hosting as a run-rate step). The quarterly sentence has not been sandbagged: the realised gap averaged -0.19pp, above the sentence in 4 of 10 quarters. The 5 Nov 10-Q S&amp;M split (brand vs performance) is what settles whether the ramp is a fixed commitment or a dial.</t>
  </si>
  <si>
    <t>4. The 5 November margin card (calibrated run, audited; the object with the backtest record)</t>
  </si>
  <si>
    <t>Value</t>
  </si>
  <si>
    <t>Unit</t>
  </si>
  <si>
    <t>80% band</t>
  </si>
  <si>
    <t>Versus</t>
  </si>
  <si>
    <t>Note</t>
  </si>
  <si>
    <t>3Q26 adj EBITDA margin</t>
  </si>
  <si>
    <t>%</t>
  </si>
  <si>
    <t>47.86 - 52.02</t>
  </si>
  <si>
    <t>Street 49.78%</t>
  </si>
  <si>
    <t>combination stack_clip, h=0; bias-corrected on the last 5 PIT errors -&gt; 50.21%, which the 'down slightly' sentence caps at 50.09%</t>
  </si>
  <si>
    <t>3Q26 adj EBITDA</t>
  </si>
  <si>
    <t>USD m</t>
  </si>
  <si>
    <t>2337 - 2462</t>
  </si>
  <si>
    <t>Street 2362 (n 36, EBITDA sd 20.0)</t>
  </si>
  <si>
    <t>final-margin|combined_dollar_from_margin (the margin combination x bridge-v3 revenue 4,804), band = its OWN conformal qhat80 62.6 on the 2024Q1+ calibration; W1/W2 h=0 MAE 30.7 / 2</t>
  </si>
  <si>
    <t>3Q26 beat vs Street, $</t>
  </si>
  <si>
    <t>M5 flow-through arithmetic: 0.464 x (4,804 - 4,744) + 16 = +$44M</t>
  </si>
  <si>
    <t>P(3Q26 adj EBITDA beats Street)</t>
  </si>
  <si>
    <t>probability</t>
  </si>
  <si>
    <t>Gaussian, sd = qhat80/1.2816 = 48.8, on the SAME object as the band (WS31 audit 04). The previously published 0.77 mixed a band from the margin route with an sd from the four-membe</t>
  </si>
  <si>
    <t>P(3Q26 margin beats Street margin)</t>
  </si>
  <si>
    <t>Gaussian on the margin object's own conformal sd; same caveat</t>
  </si>
  <si>
    <t>3Q26 EPS (GAAP diluted)</t>
  </si>
  <si>
    <t>USD</t>
  </si>
  <si>
    <t>2.70 - 3.05</t>
  </si>
  <si>
    <t>Street 2.85</t>
  </si>
  <si>
    <t>M7 bridge, ETR 18.0%, 591.7m shares; $0.001386 of EPS per $M of EBITDA. Band is JOINT (WS31 audit 06): EBITDA conformal term and M7's measured bridge sd $0.083 in quadrature, not E</t>
  </si>
  <si>
    <t>4Q26 adj EBITDA margin</t>
  </si>
  <si>
    <t>Street 28.90%</t>
  </si>
  <si>
    <t>h=1 rule: the Street is unbeaten; combination 29.04%, M3 sentence path 29.90%</t>
  </si>
  <si>
    <t>FY26 adj EBITDA margin</t>
  </si>
  <si>
    <t>floor 35.5%, Street 35.62%</t>
  </si>
  <si>
    <t>1H26 actual + 3Q26 combination + 4Q26 Street, on bridge v3 revenue</t>
  </si>
  <si>
    <t>FY26 adj EBITDA</t>
  </si>
  <si>
    <t>Street 5,053.7</t>
  </si>
  <si>
    <t>5 Nov FY26 margin sentence (forecast)</t>
  </si>
  <si>
    <t>M3: the November sentence has been the numeric floor + 50bp, exact 2 of 2; p ~0.45-0.50. 'Approximately 36%'</t>
  </si>
  <si>
    <t>4Q26 margin implied by the 36.0% sentence at our 3Q26</t>
  </si>
  <si>
    <t>M3 budget identity: 1pp of FY26 = 4.49pp of 4Q26; 1pp of 3Q26 = -1.51pp of 4Q26</t>
  </si>
  <si>
    <t>FY27 adj EBITDA margin (SCENARIO)</t>
  </si>
  <si>
    <t>Street 36.45%</t>
  </si>
  <si>
    <t>h&gt;=2 fails its test; this is a spending scenario, not a forecast</t>
  </si>
  <si>
    <t>The beat is dollars, not points: the team's revenue is $60M above the Street's; at the Street's own revenue the margin view is worth about $8M (P(margin beats) 0.54). Backtest: at h=0 the combination's MAE is 0.50x/0.40x the seasonal naive and 0.71x/0.60x the Street (W1 n 14 / W2 n 10); at h=1 it loses to the raw Street, so 4Q26 is quoted from the Street. The pool was chosen after seeing the scoreboard; 5 Nov is the first true out-of-sample observation.</t>
  </si>
  <si>
    <t>5. What the FY26 margin sentence should look like on 5 Nov, and what it forces on 4Q26</t>
  </si>
  <si>
    <t>FY</t>
  </si>
  <si>
    <t>Call</t>
  </si>
  <si>
    <t>Guide date</t>
  </si>
  <si>
    <t>Type</t>
  </si>
  <si>
    <t>Guide level</t>
  </si>
  <si>
    <t>FY actual margin</t>
  </si>
  <si>
    <t>Cushion (actual - guide)</t>
  </si>
  <si>
    <t>Quote</t>
  </si>
  <si>
    <t>FEB</t>
  </si>
  <si>
    <t>2022-02-15</t>
  </si>
  <si>
    <t>point</t>
  </si>
  <si>
    <t>we would expect Adjusted EBITDA margin to be directionally in-line with 2021</t>
  </si>
  <si>
    <t>MAY</t>
  </si>
  <si>
    <t>2022-05-03</t>
  </si>
  <si>
    <t>floor</t>
  </si>
  <si>
    <t>We currently anticipate delivering modest Adjusted EBITDA margin expansion for the full-year 2022 relative to 2021</t>
  </si>
  <si>
    <t>AUG</t>
  </si>
  <si>
    <t>2022-08-02</t>
  </si>
  <si>
    <t>We continue to forecast delivering Adjusted EBITDA margin expansion for the full-year 2022 relative to 2021</t>
  </si>
  <si>
    <t>2023-02-14</t>
  </si>
  <si>
    <t>For the full year 2023, we expect to maintain the strong Adjusted EBITDA margin we delivered in 2022</t>
  </si>
  <si>
    <t>2023-05-09</t>
  </si>
  <si>
    <t>We continue to anticipate a full year Adjusted EBITDA margin that is broadly in-line with full-year 2022</t>
  </si>
  <si>
    <t>2023-08-03</t>
  </si>
  <si>
    <t>For the full-year 2023, we expect an Adjusted EBITDA margin that is modestly higher than the full-year 2022</t>
  </si>
  <si>
    <t>NOV</t>
  </si>
  <si>
    <t>2023-11-01</t>
  </si>
  <si>
    <t>we expect an Adjusted EBITDA margin for full-year 2023 that is approximately 150 bps higher than full-year 2022</t>
  </si>
  <si>
    <t>2024-02-13</t>
  </si>
  <si>
    <t>For the full-year 2024, we expect to maintain an Adjusted EBITDA Margin of at least 35%</t>
  </si>
  <si>
    <t>2024-05-08</t>
  </si>
  <si>
    <t xml:space="preserve">For the full-year 2024, consistent with our prior guidance, we expect to grow Adjusted EBITDA on a nominal basis and to </t>
  </si>
  <si>
    <t>2024-08-06</t>
  </si>
  <si>
    <t>2024-11-07</t>
  </si>
  <si>
    <t>For the full-year 2024, we now expect to deliver an Adjusted EBITDA Margin of approximately 35.5%</t>
  </si>
  <si>
    <t>2025-02-13</t>
  </si>
  <si>
    <t>we expect to deliver a full-year Adjusted EBITDA Margin of at least 34.5%</t>
  </si>
  <si>
    <t>2025-05-01</t>
  </si>
  <si>
    <t>For full-year 2025, consistent with our prior guidance, we expect to deliver a full-year Adjusted EBITDA Margin of at le</t>
  </si>
  <si>
    <t>2025-08-06</t>
  </si>
  <si>
    <t>For 2025, consistent with our prior guidance, we expect to deliver a full-year Adjusted EBITDA Margin of at least 34.5%</t>
  </si>
  <si>
    <t>2025-11-06</t>
  </si>
  <si>
    <t>For the full-year 2025, we now expect to deliver an Adjusted EBITDA Margin of approximately 35%</t>
  </si>
  <si>
    <t>2026-02-12</t>
  </si>
  <si>
    <t>For 2026, we expect our Adjusted EBITDA Margin to be stable year-over-year</t>
  </si>
  <si>
    <t>2026-05-07</t>
  </si>
  <si>
    <t>For 2026, we now expect our Adjusted EBITDA Margin to be at least 35%</t>
  </si>
  <si>
    <t>2026-08-06</t>
  </si>
  <si>
    <t>For 2026, we now expect to deliver a full-year Adjusted EBITDA Margin of at least 35.5%</t>
  </si>
  <si>
    <t>Pattern (M3): the November sentence has been the August floor + 50bp, exactly, in both years it was numeric (FY24: 35% -&gt; 'approximately 35.5%'; FY25: 34.5% -&gt; 'approximately 35%'). Forecast for 5 Nov 2026: 'approximately 36%' (p about 0.45-0.50). Every FY floor since 2023 has been beaten by 60-230bp.</t>
  </si>
  <si>
    <t>Budget identity (bridge v3 revenue: FY26 $14,268m, 4Q26 $3,178m)</t>
  </si>
  <si>
    <t>FY26 sentence</t>
  </si>
  <si>
    <t>3Q26 margin</t>
  </si>
  <si>
    <t>FY26 EBITDA ($m)</t>
  </si>
  <si>
    <t>3Q26 EBITDA ($m)</t>
  </si>
  <si>
    <t>4Q26 EBITDA implied ($m)</t>
  </si>
  <si>
    <t>4Q26 margin implied</t>
  </si>
  <si>
    <t>Reading</t>
  </si>
  <si>
    <t>lower bound on 4Q26 (the FY sentence is a floor)</t>
  </si>
  <si>
    <t>equality if the FY sentence is a point/'approximately' state</t>
  </si>
  <si>
    <t>1pp of the FY26 sentence = pp of 4Q26 margin</t>
  </si>
  <si>
    <t>1pp of 3Q26 margin = pp of 4Q26 margin</t>
  </si>
  <si>
    <t>Highlighted row: 'approximately 36%' at the run's 3Q26 (49.94%) implies 4Q26 at 30.1% vs the Street's 28.9%, the contestable number. An unchanged 'at least 35.5%' is only an inequality (4Q26 &gt;= ~27.6%), i.e. the absence of a raise, not a guide-down. The short case needs a $177M 4Q26 marketing cut to hold the 35.5% floor at its revenue.</t>
  </si>
  <si>
    <t>Cost response</t>
  </si>
  <si>
    <t>k (cost elasticity)</t>
  </si>
  <si>
    <t>Floor</t>
  </si>
  <si>
    <t>FY26 margin (run base)</t>
  </si>
  <si>
    <t>Cushion</t>
  </si>
  <si>
    <t>2H26 revenue shortfall that breaks the floor (%)</t>
  </si>
  <si>
    <t>... in $m</t>
  </si>
  <si>
    <t>held</t>
  </si>
  <si>
    <t>flex</t>
  </si>
  <si>
    <t>full_flex</t>
  </si>
  <si>
    <t>6. FY27 margin scenarios (line build) and sensitivities</t>
  </si>
  <si>
    <t>FY27 adj. EBITDA margin: revenue case x cost case</t>
  </si>
  <si>
    <t>Cost bull</t>
  </si>
  <si>
    <t>Cost base</t>
  </si>
  <si>
    <t>Cost bear</t>
  </si>
  <si>
    <t xml:space="preserve">    Revenue bull (FY27 +15.1%)</t>
  </si>
  <si>
    <t xml:space="preserve">    Revenue base (FY27 +10.9%)</t>
  </si>
  <si>
    <t xml:space="preserve">    Revenue bear (FY27 +5.5%)</t>
  </si>
  <si>
    <t>FY26 adj. EBITDA margin: same grid</t>
  </si>
  <si>
    <t xml:space="preserve">    Revenue bull</t>
  </si>
  <si>
    <t xml:space="preserve">    Revenue base</t>
  </si>
  <si>
    <t xml:space="preserve">    Revenue bear</t>
  </si>
  <si>
    <t>Costs do not flex with revenue in the revenue cases except through the drivers (GBV, bookings, nights): the M6 finding is that Airbnb's discretionary lines have not responded to revenue within a year (cash-cost elasticity 0.364, t 6.6, n 18; asymmetric, it cuts less readily than it spends). Rule of thumb: 0.35-0.6pp of FY27 margin per 1pt of revenue.</t>
  </si>
  <si>
    <t>Parameter</t>
  </si>
  <si>
    <t>Shock</t>
  </si>
  <si>
    <t>d 3Q26 EBITDA ($m)</t>
  </si>
  <si>
    <t>d FY27 margin</t>
  </si>
  <si>
    <t>d FY27 EPS ($)</t>
  </si>
  <si>
    <t>marketing_growth_fy27</t>
  </si>
  <si>
    <t>+5pts</t>
  </si>
  <si>
    <t>recon_share_to_marketing</t>
  </si>
  <si>
    <t>+0.30 to marketing</t>
  </si>
  <si>
    <t>merchant_fee_pct_gbv</t>
  </si>
  <si>
    <t>+10bp of GBV</t>
  </si>
  <si>
    <t>hosting_fy27</t>
  </si>
  <si>
    <t>+$50M a year</t>
  </si>
  <si>
    <t>sentence_3q26_margin_delta_pp</t>
  </si>
  <si>
    <t>-0.5pp (a bigger 'slightly')</t>
  </si>
  <si>
    <t>guide_3q26_revenue_mid</t>
  </si>
  <si>
    <t>+$40M guide midpoint</t>
  </si>
  <si>
    <t>field_growth_fy27</t>
  </si>
  <si>
    <t>+4pts</t>
  </si>
  <si>
    <t>ops_fixed_growth</t>
  </si>
  <si>
    <t>+3pts</t>
  </si>
  <si>
    <t>pd_ai_tooling_fy27</t>
  </si>
  <si>
    <t>+$30M</t>
  </si>
  <si>
    <t>ga_growth_fy27</t>
  </si>
  <si>
    <t>pd_growth_fy27</t>
  </si>
  <si>
    <t>+2pts</t>
  </si>
  <si>
    <t>chargeback_per_booking</t>
  </si>
  <si>
    <t>+$0.20 per booking</t>
  </si>
  <si>
    <t>hosting_step_2h26</t>
  </si>
  <si>
    <t>+$15M per half</t>
  </si>
  <si>
    <t>ops_variable_share</t>
  </si>
  <si>
    <t>+0.10</t>
  </si>
  <si>
    <t>ops_variable_decline_fy27</t>
  </si>
  <si>
    <t>+4pts (slower decline)</t>
  </si>
  <si>
    <t>marketing_growth_2h26</t>
  </si>
  <si>
    <t>field_growth_fy26</t>
  </si>
  <si>
    <t>pd_growth_2h26</t>
  </si>
  <si>
    <t>ga_growth_2h26</t>
  </si>
  <si>
    <t>ops_variable_decline_2h26</t>
  </si>
  <si>
    <t>etr_fy27</t>
  </si>
  <si>
    <t>tbill_3m</t>
  </si>
  <si>
    <t>+100bp</t>
  </si>
  <si>
    <t>rnpl_share_shift_pts</t>
  </si>
  <si>
    <t>+10pts of GBV paid later</t>
  </si>
  <si>
    <t>Period</t>
  </si>
  <si>
    <t>k</t>
  </si>
  <si>
    <t>Revenue shock</t>
  </si>
  <si>
    <t>Margin base (run)</t>
  </si>
  <si>
    <t>Margin shocked</t>
  </si>
  <si>
    <t>Margin delta</t>
  </si>
  <si>
    <t>pp per 1% of revenue</t>
  </si>
  <si>
    <t>2H26</t>
  </si>
  <si>
    <t>7. The short case, quarter by quarter: the lap plus RNPL cancellations on a budgeted cost base</t>
  </si>
  <si>
    <t>Revenue vs team path</t>
  </si>
  <si>
    <t>Nights y/y</t>
  </si>
  <si>
    <t>Ops &amp; support ($m)</t>
  </si>
  <si>
    <t>Ops per booking ($)</t>
  </si>
  <si>
    <t>Chargebacks ($m)</t>
  </si>
  <si>
    <t>Interest income ($m)</t>
  </si>
  <si>
    <t>S&amp;M % revenue</t>
  </si>
  <si>
    <t>Total cash costs % revenue</t>
  </si>
  <si>
    <t>Margin</t>
  </si>
  <si>
    <t>Margin vs base (pp)</t>
  </si>
  <si>
    <t>Case</t>
  </si>
  <si>
    <t>3Q26 revenue</t>
  </si>
  <si>
    <t>3Q26 EBITDA</t>
  </si>
  <si>
    <t>3Q26 EPS</t>
  </si>
  <si>
    <t>4Q26 revenue</t>
  </si>
  <si>
    <t>4Q26 EBITDA</t>
  </si>
  <si>
    <t>4Q26 margin</t>
  </si>
  <si>
    <t>4Q26 marketing cut ($m)</t>
  </si>
  <si>
    <t>FY26 revenue</t>
  </si>
  <si>
    <t>FY26 EBITDA</t>
  </si>
  <si>
    <t>FY26 margin</t>
  </si>
  <si>
    <t>FY27 revenue</t>
  </si>
  <si>
    <t>FY27 EBITDA</t>
  </si>
  <si>
    <t>FY27 margin</t>
  </si>
  <si>
    <t>FY27 EPS</t>
  </si>
  <si>
    <t>short_costs_at_budget</t>
  </si>
  <si>
    <t>short_with_q4_marketing_cut</t>
  </si>
  <si>
    <t>Assumptions: nights +8.5% in 3Q26 then +5/+4/+2/+3/+4% through 4Q27; ADR ex-FX +2.5% then flat; FX on the kernel; take rate on the team path. RNPL overlays: ops &amp; support +4% per completed booking, chargebacks +$0.15 per booking, funds held -10% (interest income). Costs at management's budget. Almost all of the margin gap is revenue on fixed cost: total cash costs go from 77% to 88% of revenue in the low quarters. Evidence standard = disclosed mechanism plus current data, not a backtest; not re-audited by Codex.</t>
  </si>
  <si>
    <t>8. Seasonality: the margin is a revenue phenomenon, not a cost one</t>
  </si>
  <si>
    <t>Revenue ($m, run base)</t>
  </si>
  <si>
    <t>Mechanical cost % rev (CoR + ops)</t>
  </si>
  <si>
    <t>Discretionary cost % rev (PD + S&amp;M + G&amp;A)</t>
  </si>
  <si>
    <t>Same-quarter margin mean 2022-26</t>
  </si>
  <si>
    <t>sd</t>
  </si>
  <si>
    <t>2026Q4</t>
  </si>
  <si>
    <t>2027Q1</t>
  </si>
  <si>
    <t>2027Q2</t>
  </si>
  <si>
    <t>2027Q3</t>
  </si>
  <si>
    <t>2027Q4</t>
  </si>
  <si>
    <t>Product development, S&amp;M and G&amp;A run $1.4-1.7bn every quarter regardless of season; that is why 1Q27 is a 19-20% margin quarter. 3Q26 at 49.9% is 1.0 sd below its own 2022-26 seasonal mean (51.8%), and that gap is the marketing ramp.</t>
  </si>
  <si>
    <t>Cost lines, history</t>
  </si>
  <si>
    <t>Cost lines, forecast by scenario</t>
  </si>
  <si>
    <t>data/processed/margin_build/40_line_build/40_lines_quarterly.csv, 40_annual.csv, 40_params.csv, 40_sentence_implied.csv, 40_sensitivities.csv; docs/margin-build/notes/40_line_build.md</t>
  </si>
  <si>
    <t>Calibrated run and the 5 Nov card</t>
  </si>
  <si>
    <t>data/processed/margin_build/23_final_model/23_card_5nov.csv, 23_forecast_quarterly.csv, 23_forecast_annual.csv, 23_card_budget_identity.csv, 23_fy26_floor_breakeven.csv, 23_macro_sensitivity.csv, 23_seasonality.csv; docs/margin-build/MORNING_REPORT.md, SYNTHESIS.md</t>
  </si>
  <si>
    <t>FY sentence history</t>
  </si>
  <si>
    <t>data/processed/margin_build/M3_guide_policy_margin/M3_cushion_history.csv, M3_q4_implied_live_5nov.csv</t>
  </si>
  <si>
    <t>data/processed/margin_build/40_line_build/40_short_case_*.csv</t>
  </si>
  <si>
    <t>data/processed/margin_build/03_consensus_pit/03_current_consensus.csv (LSEG, 11 Sep 2026)</t>
  </si>
  <si>
    <t>Operating schedules: volume, unit economics, regional mix, the 2027 nights and ADR builds, FX, below-EBITDA items, parameters</t>
  </si>
  <si>
    <t>Forecast columns follow the scenario dropdown on the Income Statement tab where the line exists per scenario (green links); builds that exist only for the base path are shown as blue source values.</t>
  </si>
  <si>
    <t>A. Volume and unit economics</t>
  </si>
  <si>
    <t>Bookings (m)</t>
  </si>
  <si>
    <t>nights / nights per booking (3.65 in 2026, 3.60 in 2027, continuing 3.9 / 3.8 / 3.7)</t>
  </si>
  <si>
    <t xml:space="preserve">    Nights per booking</t>
  </si>
  <si>
    <t xml:space="preserve">    Revenue per night ($)</t>
  </si>
  <si>
    <t xml:space="preserve">    Cash cost per night ($)</t>
  </si>
  <si>
    <t>B. Revenue by region (10-Q geographic split; Q4 derived from the 10-K)</t>
  </si>
  <si>
    <t xml:space="preserve">    North America ($m)</t>
  </si>
  <si>
    <t xml:space="preserve">    EMEA ($m)</t>
  </si>
  <si>
    <t xml:space="preserve">    Latin America ($m)</t>
  </si>
  <si>
    <t xml:space="preserve">    Asia Pacific ($m)</t>
  </si>
  <si>
    <t xml:space="preserve">    North America share of revenue</t>
  </si>
  <si>
    <t xml:space="preserve">    EMEA share of revenue</t>
  </si>
  <si>
    <t xml:space="preserve">    Latin America share of revenue</t>
  </si>
  <si>
    <t xml:space="preserve">    Asia Pacific share of revenue</t>
  </si>
  <si>
    <t xml:space="preserve">    North America revenue y/y</t>
  </si>
  <si>
    <t xml:space="preserve">    EMEA revenue y/y</t>
  </si>
  <si>
    <t xml:space="preserve">    Latin America revenue y/y</t>
  </si>
  <si>
    <t xml:space="preserve">    Asia Pacific revenue y/y</t>
  </si>
  <si>
    <t>Regional nights growth used by the 2026 build (WS10, re-based): NA +8% in 1H26 and +11% in 2H26; EMEA +5/+8/+6.5/+9.5%; LatAm +18-20%; APAC +14-18%. The pitch's lap thesis is NA-centred: the 4Q25-1Q26 bundle and the June-July World Cup flattered 1H26 NA nights. Revenue Model tab section 1 has the quarterly rows.</t>
  </si>
  <si>
    <t>C. The 2027 nights build (WS06 v2b, base): NA plus ex-NA less the laps</t>
  </si>
  <si>
    <t xml:space="preserve">    NA share of prior-year nights</t>
  </si>
  <si>
    <t xml:space="preserve">    NA nights y/y</t>
  </si>
  <si>
    <t>PR #32 three-feature lap: NA +2.3% base (bear +1.3%, bull +4.7%)</t>
  </si>
  <si>
    <t xml:space="preserve">    Ex-NA nights y/y, pre-lap (WS10)</t>
  </si>
  <si>
    <t xml:space="preserve">    NA contribution (pts)</t>
  </si>
  <si>
    <t xml:space="preserve">    Ex-NA contribution pre-lap (pts)</t>
  </si>
  <si>
    <t xml:space="preserve">    Ex-NA fee-cancellation lap (pts)</t>
  </si>
  <si>
    <t xml:space="preserve">    Ex-NA RNPL lap (pts)</t>
  </si>
  <si>
    <t xml:space="preserve">    Events (World Cup lap etc., pts)</t>
  </si>
  <si>
    <t xml:space="preserve">    Total nights y/y (base)</t>
  </si>
  <si>
    <t xml:space="preserve"> = NA contribution + ex-NA contribution + laps + events</t>
  </si>
  <si>
    <t>D. The 2027 ADR build (WS06 v2b, base): ex-FX terms then FX</t>
  </si>
  <si>
    <t xml:space="preserve">    Pricing residual (pts)</t>
  </si>
  <si>
    <t>the unobserved same-listing price term; ADR v3 rule = last quarter's residual, decaying</t>
  </si>
  <si>
    <t xml:space="preserve">    K mechanics line (pts)</t>
  </si>
  <si>
    <t>fee-structure mechanics from ADR v3 workstream K</t>
  </si>
  <si>
    <t xml:space="preserve">    Geographic mix (pts)</t>
  </si>
  <si>
    <t>faster growth in lower-ADR regions (LatAm/APAC) dilutes ADR</t>
  </si>
  <si>
    <t xml:space="preserve">    Party size (pts)</t>
  </si>
  <si>
    <t xml:space="preserve">    Length of stay (pts)</t>
  </si>
  <si>
    <t xml:space="preserve">    New-business seats dilution (pts)</t>
  </si>
  <si>
    <t>Services/Experiences seats are counted in 'nights &amp; seats' at a lower price</t>
  </si>
  <si>
    <t xml:space="preserve">    Interaction (pts)</t>
  </si>
  <si>
    <t xml:space="preserve">    FX on ADR (pts, kernel)</t>
  </si>
  <si>
    <t>E. FX: EUR/USD paths and the fitted effects on ADR and revenue (WS05 kernel; three USD paths)</t>
  </si>
  <si>
    <t xml:space="preserve">    Consensus FX path: EUR/USD average</t>
  </si>
  <si>
    <t xml:space="preserve">          EUR/USD y/y</t>
  </si>
  <si>
    <t xml:space="preserve">          FX effect on ADR (pts): fit (EUR) / actual where disclosed</t>
  </si>
  <si>
    <t xml:space="preserve">          FX effect on revenue (pts): lagged fit / actual where disclosed</t>
  </si>
  <si>
    <t xml:space="preserve">    Strong-USD path: EUR/USD average</t>
  </si>
  <si>
    <t xml:space="preserve">    Weak-USD path: EUR/USD average</t>
  </si>
  <si>
    <t>Revenue FX lags ADR FX because revenue is recognised at check-in on bookings made one to two quarters earlier (fit: -0.64 + 0.41 x mean EUR/USD y/y at t-1, t-2; n 17, r 0.80). The base path in the Revenue Model uses management's ~3pt for 3Q26 and the kernel thereafter (+1.0, +0.9, +0.6, +0.3, +0.4pt); ADR FX uses the ADR v3 midpoint (EUR fit and regional baskets).</t>
  </si>
  <si>
    <t>F. Unit-cost drivers (follow the scenario dropdown)</t>
  </si>
  <si>
    <t xml:space="preserve">    Merchant fee rate (% of GBV, quarterly)</t>
  </si>
  <si>
    <t>annual-equivalent 1.70% x seasonal factor; +1bp per point of non-NA revenue share</t>
  </si>
  <si>
    <t xml:space="preserve">    Merchant / payment fees ($m)</t>
  </si>
  <si>
    <t xml:space="preserve">    Chargebacks ($m)</t>
  </si>
  <si>
    <t xml:space="preserve">        Chargebacks per booking ($)</t>
  </si>
  <si>
    <t xml:space="preserve">    Hosting ($m)</t>
  </si>
  <si>
    <t>$1.7bn of cloud commitments through 2031 (10-K); 'material increase in AI spend' (Mertz)</t>
  </si>
  <si>
    <t>management: support cost per booking -10% (1Q26) and -16% (2Q26) y/y with AI; applies to ~22% of the line</t>
  </si>
  <si>
    <t xml:space="preserve">    Brand + performance marketing ($m)</t>
  </si>
  <si>
    <t xml:space="preserve">          Marketing per night ($)</t>
  </si>
  <si>
    <t xml:space="preserve">    Field operations &amp; policy ($m)</t>
  </si>
  <si>
    <t>G. Below adjusted EBITDA (M7 bridge conventions)</t>
  </si>
  <si>
    <t xml:space="preserve">    Stock-based compensation ($m)</t>
  </si>
  <si>
    <t>+13.2% y/y on the year-ago quarter</t>
  </si>
  <si>
    <t xml:space="preserve">    D&amp;A ($m)</t>
  </si>
  <si>
    <t>$20.6M per quarter</t>
  </si>
  <si>
    <t xml:space="preserve">    Interest income ($m)</t>
  </si>
  <si>
    <t>rule: 0.876 x 3m T-bill (3.76% held) x average earning base (cash + STI $12.1bn + funds held, previous quarter) / 4; reproduces 2Q26 $183M. Short case: funds held -10%</t>
  </si>
  <si>
    <t xml:space="preserve">    Interest expense ($m)</t>
  </si>
  <si>
    <t>$37M per quarter on the $2.5bn 2026 senior notes</t>
  </si>
  <si>
    <t xml:space="preserve">    Effective tax rate</t>
  </si>
  <si>
    <t>18.0% for 2H26 (1H26 printed 17.1%), 17.5% for FY27; management guides 'high teens'</t>
  </si>
  <si>
    <t xml:space="preserve">    Diluted shares (m)</t>
  </si>
  <si>
    <t>-5.3M per quarter (the 2023-26 run rate of buybacks net of RSU issuance)</t>
  </si>
  <si>
    <t xml:space="preserve">    Share repurchases ($m, history)</t>
  </si>
  <si>
    <t>FY24 $3.4bn, FY25 $3.8bn, 1H26 $2.1bn; $3.4bn authorisation left (Aug 2026)</t>
  </si>
  <si>
    <t xml:space="preserve">    Free cash flow ($m, history)</t>
  </si>
  <si>
    <t>conversion above 100% of EBITDA is guest-float growth and interest income</t>
  </si>
  <si>
    <t>H. The line build's parameter sheet (40_params.csv): change a value there and re-run to regenerate</t>
  </si>
  <si>
    <t>Line</t>
  </si>
  <si>
    <t>Base</t>
  </si>
  <si>
    <t>Bear</t>
  </si>
  <si>
    <t>Bull</t>
  </si>
  <si>
    <t>Source</t>
  </si>
  <si>
    <t>volume</t>
  </si>
  <si>
    <t>nights_per_booking_fy26</t>
  </si>
  <si>
    <t>nights per booking</t>
  </si>
  <si>
    <t>WS02 nights_per_booking_fy 3.9 (2023), 3.8 (2024), 3.7 (2025); trend continued</t>
  </si>
  <si>
    <t>nights_per_booking_fy27</t>
  </si>
  <si>
    <t>same trend</t>
  </si>
  <si>
    <t>cor</t>
  </si>
  <si>
    <t>% of GBV, annual-equivalent rate</t>
  </si>
  <si>
    <t>FY24 1.69%, FY25 1.76% (cost of revenue less chargebacks, hosting, other per night; 07_cost_components payment processing $1,665M incl. $67M chargebacks); 1H26 fits 1.68% annual-equivalent after 'higher payment processor rebates and incentives' (1Q26 10-Q). Base 1.70 = rebates persist, do not widen.</t>
  </si>
  <si>
    <t>USD per booking</t>
  </si>
  <si>
    <t>FY25 $67M / 144M bookings = $0.47; 1H26 +$12M and +$13M y/y (10-Q MD&amp;A) implies ~$0.72 on 1H26 bookings; held flat</t>
  </si>
  <si>
    <t>hosting_fy25</t>
  </si>
  <si>
    <t>USD m per year</t>
  </si>
  <si>
    <t>Run-rate of the $672M hosting commitment through 2027 in the FY24 10-K (~$224M a year); FY25 10-K re-cut to $1.7bn through 2031 (~$283M a year)</t>
  </si>
  <si>
    <t>USD m per half vs 2H25</t>
  </si>
  <si>
    <t>1H26 server costs +$12M y/y (2Q26 10-Q) and reserved-instance amortisation +$12-15M (WS05 H14); Mertz 2Q26 'a material increase in AI spend' ramping in 2H</t>
  </si>
  <si>
    <t>Between the old run-rate ($224M) and the new commitment ($283M a year) plus the unsized AI inference ramp; WS05 H03 total purchase obligations ~$465M a year in 2027-28</t>
  </si>
  <si>
    <t>cor_other_per_night</t>
  </si>
  <si>
    <t>USD per night</t>
  </si>
  <si>
    <t>FY25 residual: 2,086 - 1,598 fees - 67 chargebacks - 224 hosting = $197M on 533M nights (AirCover claims, payment operations)</t>
  </si>
  <si>
    <t>xborder_fee_bp_per_pt</t>
  </si>
  <si>
    <t>bp of GBV per +1pt non-NA revenue share</t>
  </si>
  <si>
    <t>Cross-border card volume carries higher interchange and FX cost; non-NA share of revenue 2Q26 55.8% vs 55.5% 2Q25 (WS02). Small at current drift.</t>
  </si>
  <si>
    <t>ops</t>
  </si>
  <si>
    <t>share of the line that behaves like mgmt's 'support cost per booking'</t>
  </si>
  <si>
    <t>Calibrated on 1H26 with the rule itself: ops 1H26/1H25 = 624/591 = 1.056 = v x (1 - 0.13) x 1.112 (bookings) + (1 - v) x 1.08 -&gt; v = 0.215; mgmt's metric fell -10% (1Q26) and -16% (2Q26). Consistent with the metric being third-party contact cost (13,000 contingent workers, FY25 10-K), not the whole line.</t>
  </si>
  <si>
    <t>% y/y per booking, 2H26</t>
  </si>
  <si>
    <t>Support cost per booking -10% (1Q26 call), -16% (2Q26 call); &gt;40% of issues resolved without an agent</t>
  </si>
  <si>
    <t>% y/y per booking, FY27</t>
  </si>
  <si>
    <t>Chesky 4Q25/2Q26: 'continue to decline' as AI moves to voice; no number (31a: medium confidence)</t>
  </si>
  <si>
    <t>% y/y, the non-variable part</t>
  </si>
  <si>
    <t>1H26 10-Q: payroll +$14M/+$27M, customer relations +$3M/+$10M, insurance +$7M; headcount +12% in 2025 slowing</t>
  </si>
  <si>
    <t>pd</t>
  </si>
  <si>
    <t>% y/y, 2H26</t>
  </si>
  <si>
    <t>1H26 +12% / +10%, all payroll from average headcount (10-Q); headcount growth below FY25's +12% (2Q26 call)</t>
  </si>
  <si>
    <t>% y/y, FY27</t>
  </si>
  <si>
    <t>Headcount ~+5% plus ~3% comp; 31b took 9.5%</t>
  </si>
  <si>
    <t>USD m, FY27 incremental</t>
  </si>
  <si>
    <t>The engineering-tools part of the unsized 'material increase in AI spend'; judgement</t>
  </si>
  <si>
    <t>sm</t>
  </si>
  <si>
    <t>marketing_fy25</t>
  </si>
  <si>
    <t>FY25 10-K S&amp;M split: brand and performance marketing $1,595M</t>
  </si>
  <si>
    <t>marketing_1h_share</t>
  </si>
  <si>
    <t>1H share of FY marketing</t>
  </si>
  <si>
    <t>2023-25 mean S&amp;M quarterly shares Q1 24.0% + Q2 27.0% (02_seasonality)</t>
  </si>
  <si>
    <t>marketing_growth_1h26</t>
  </si>
  <si>
    <t>% y/y, 1H26 (reported)</t>
  </si>
  <si>
    <t>10-Q: marketing spend +$126M (1Q26) and +$132M (2Q26), 'paid growth initiatives in emerging markets and partnerships' = +$258M on ~$813M</t>
  </si>
  <si>
    <t>2Q26 call: 'some incremental investment ... in sales and marketing' in 2H; Sep 2026 Goldman (WS05 V022-V026): marketing stays elevated into next year's launches. 1H26 ran +32%; 31b took +21% for 2H. Base 25 = partial deceleration.</t>
  </si>
  <si>
    <t>Expansion-market spend grows while core markets lever ('relative floor', 2Q26); 31b 15%</t>
  </si>
  <si>
    <t>field_cash_fy25</t>
  </si>
  <si>
    <t>FY25 10-K field operations and policy $993M less S&amp;M SBC $212M (WS02) = cash $781M; includes the ~$200M new-businesses launch spend</t>
  </si>
  <si>
    <t>% y/y</t>
  </si>
  <si>
    <t>1H26 S&amp;M payroll +$42M/+$48M (10-Q) of which ~$26M SBC; 1H26 implied field cash +$88M (+21%); FY25 grew 43%; 31b 18%</t>
  </si>
  <si>
    <t>Services/Experiences launch spend laps (Chesky: each new business cheaper to launch); 31b 13%</t>
  </si>
  <si>
    <t>recon</t>
  </si>
  <si>
    <t>reconcile_to_sentence</t>
  </si>
  <si>
    <t>1 = on, 0 = evidence-only build</t>
  </si>
  <si>
    <t>Management's quarterly margin sentence has not been sandbagged (WS22 group A: realised gap to the sentence mean -0.19pp, above in 4 of 10, W2), so the 2H26 cost budget is anchored to it; the un-reconciled build is kept as scenario evidence_only</t>
  </si>
  <si>
    <t>6 Aug 2026 guide $4,690-4,770M (02_guidance_ledger)</t>
  </si>
  <si>
    <t>pp y/y</t>
  </si>
  <si>
    <t>'Adjusted EBITDA margin down slightly vs 3Q25' (6 Aug 2026); 'slightly' has meant 0.8-1.5pp in past quarters (M3), base -0.5</t>
  </si>
  <si>
    <t>share of the cost gap assigned to 2H26 marketing</t>
  </si>
  <si>
    <t>Management named S&amp;M ('some incremental investment') and AI spend ('material increase') as the 2H26 step-ups; the rest of the gap goes to hosting/AI in cost of revenue</t>
  </si>
  <si>
    <t>ga</t>
  </si>
  <si>
    <t>% y/y, 2H26 (ex reserves)</t>
  </si>
  <si>
    <t>1H26 -5.4% because non-income taxes fell $38M; underlying payroll +$32M in 2Q26 alone (10-Q); 'extremely disciplined' (2Q26)</t>
  </si>
  <si>
    <t>31b 5%; highest fixed share of any line</t>
  </si>
  <si>
    <t>lodging_reserves_fwd</t>
  </si>
  <si>
    <t>USD m per quarter (added back)</t>
  </si>
  <si>
    <t>None assumed; 4Q25's $81M was a one-off</t>
  </si>
  <si>
    <t>overlay</t>
  </si>
  <si>
    <t>rnpl_ops_uplift_pct</t>
  </si>
  <si>
    <t>% uplift on ops &amp; support per completed booking</t>
  </si>
  <si>
    <t>Cancellations raise contacts, refunds and make-goods per completed stay: 2Q26 10-Q customer relations +$10M on higher make-good payouts and related case reserves, 1Q26 +$3M refunds and credits; short case 4%</t>
  </si>
  <si>
    <t>chargeback_add_per_booking</t>
  </si>
  <si>
    <t>USD per booking added</t>
  </si>
  <si>
    <t>1H26 chargebacks +$25M y/y (+37%) after two years of declines; short case +$0.15</t>
  </si>
  <si>
    <t>q4_marketing_cut_musd</t>
  </si>
  <si>
    <t>USD m cut from 4Q26 marketing</t>
  </si>
  <si>
    <t>Management protected the FY floor in 4Q24 by phasing brand marketing down; the short case reports the cut needed</t>
  </si>
  <si>
    <t>da_per_q</t>
  </si>
  <si>
    <t>USD m per quarter</t>
  </si>
  <si>
    <t>M7 parameter sheet</t>
  </si>
  <si>
    <t>sbc_growth</t>
  </si>
  <si>
    <t>% y/y on SBC[q-4]</t>
  </si>
  <si>
    <t>M7 (recency-weighted last-4 y/y); mgmt: SBC growth below FY25's</t>
  </si>
  <si>
    <t>interest_income_beta</t>
  </si>
  <si>
    <t>x 3m T-bill x avg earning base / 4</t>
  </si>
  <si>
    <t>M7 / WS04 rule (r 0.83, n 18)</t>
  </si>
  <si>
    <t>% (3Q26 QTD average, held)</t>
  </si>
  <si>
    <t>FRED DTB3 via M7</t>
  </si>
  <si>
    <t>cash_plus_sti</t>
  </si>
  <si>
    <t>USD m, held flat</t>
  </si>
  <si>
    <t>WS02 2Q26</t>
  </si>
  <si>
    <t>pts of GBV paid at check-in rather than at booking, vs 2025</t>
  </si>
  <si>
    <t>No RNPL share series exists in the repo; sensitivity only: each 10 pts of GBV paid later cuts average funds held by ~10%</t>
  </si>
  <si>
    <t>interest_expense_per_q</t>
  </si>
  <si>
    <t>M7: $2.5bn notes (~$119M a year, WS05 H10)</t>
  </si>
  <si>
    <t>other_income_per_q</t>
  </si>
  <si>
    <t>M7 recency-weighted mean</t>
  </si>
  <si>
    <t>etr_2h26</t>
  </si>
  <si>
    <t>% applied to 2H26 forecast quarters (1H26 printed 17.1%)</t>
  </si>
  <si>
    <t>M7; mgmt high teens (2Q26)</t>
  </si>
  <si>
    <t>M7; long-term mid-to-high teens under OBBBA (WS05 H09)</t>
  </si>
  <si>
    <t>diluted_shares_2q26</t>
  </si>
  <si>
    <t>m</t>
  </si>
  <si>
    <t>diluted_shares_delta_per_q</t>
  </si>
  <si>
    <t>m per quarter</t>
  </si>
  <si>
    <t>M7: -buyback/price + issuance; authorisation runs out ~1Q27 (WS05 H11)</t>
  </si>
  <si>
    <t>Volume, unit costs, below-EBITDA forecast lines</t>
  </si>
  <si>
    <t>data/processed/margin_build/40_line_build/40_lines_quarterly.csv, 40_short_case_quarterly.csv, 40_params.csv</t>
  </si>
  <si>
    <t>Regional revenue</t>
  </si>
  <si>
    <t>data/processed/airbnb_regional_revenue_quarterly.csv (10-Q / 10-K)</t>
  </si>
  <si>
    <t>2027 nights and ADR builds</t>
  </si>
  <si>
    <t>data/processed/margin_build/06_fy27_path_v2/06_nights_build.csv, 06_adr_build.csv</t>
  </si>
  <si>
    <t>FX schedule</t>
  </si>
  <si>
    <t>data/processed/overnight/05_fx_schedule.csv (WS05 kernel, three USD paths)</t>
  </si>
  <si>
    <t>History</t>
  </si>
  <si>
    <t>data/processed/margin_build/02_financial_panel/02_panel_quarterly.csv; abnb_driver_history_quarterly.csv</t>
  </si>
  <si>
    <t>5 November and the Street: where the team sits on every key item, the guide we expect, and what it implies for the stock</t>
  </si>
  <si>
    <t>Street = LSEG mean 11 Sep 2026 (revenue/EBITDA/EPS) and Bloomberg estimate distribution 5-12 Sep (nights/GBV/ADR). Team base = this workbook's base scenario. Short = the pitch case. Blue = source value, black = formula.</t>
  </si>
  <si>
    <t>1. Key items: Street, team base, short case, management delivered</t>
  </si>
  <si>
    <t>Mgmt delivered</t>
  </si>
  <si>
    <t>Notes</t>
  </si>
  <si>
    <t>3Q26 (prints 5 Nov)</t>
  </si>
  <si>
    <t>guide $4,690-4,770m; the base sits above the top end, as 15 of the last 19 prints did</t>
  </si>
  <si>
    <t>guide 'low double digits'; 2Q26 printed +10.3%. Every Street estimate is at or above 2Q26's rate; the team is below the lowest</t>
  </si>
  <si>
    <t>ADR y/y reported</t>
  </si>
  <si>
    <t>ADR card v3 +3.9% ex-FX, FX -0.4pt</t>
  </si>
  <si>
    <t>guide 'mid teens'</t>
  </si>
  <si>
    <t>Adj. EBITDA ($m)</t>
  </si>
  <si>
    <t>calibrated run $2,399m, 80% band $2,337-2,462m, P(beat) 0.78; line build $2,420m</t>
  </si>
  <si>
    <t>sentence 'down slightly' vs 50.1%; ceiling 50.085%; P(margin beats) 0.54</t>
  </si>
  <si>
    <t>run $2.88 (band $2.70-3.05)</t>
  </si>
  <si>
    <t>4Q26 (guided 5 Nov, prints Feb 2027)</t>
  </si>
  <si>
    <t>the guide will sit below the print by the cushion (about 3.9% in Q4s): see section 2</t>
  </si>
  <si>
    <t>ex-NA lap adopted (case B); NA-only lap would be +8.9%</t>
  </si>
  <si>
    <t>no h=1 edge: the run quotes the Street ($918m); line build $899m; short $700m at budget / $876m with the marketing cut</t>
  </si>
  <si>
    <t>'approximately 36%' FY sentence at the run's 3Q26 implies 30.1%</t>
  </si>
  <si>
    <t>floor 'at least 35.5%' breaks on a 2H26 revenue miss of $50m held / $75m flexed</t>
  </si>
  <si>
    <t>short case: 34.2% at budget (floor broken) or 35.5% with a $177m Q4 marketing cut</t>
  </si>
  <si>
    <t>FY27 (the trade)</t>
  </si>
  <si>
    <t>Street FY27 = management's delivered case; the price pays for $15.7-15.9bn</t>
  </si>
  <si>
    <t>Revenue growth</t>
  </si>
  <si>
    <t>Nights growth</t>
  </si>
  <si>
    <t>no direct Street nights consensus for FY27; the joint solve backs out +8 to +9% at the price</t>
  </si>
  <si>
    <t>calibrated run $5,483m (34.6%, a spending scenario); Street needs a 43.7% incremental margin</t>
  </si>
  <si>
    <t>S&amp;M 19.4% (FY25) -&gt; 21.3% (FY26) -&gt; 21.9% (FY27) of revenue</t>
  </si>
  <si>
    <t>2. The 5 November sequence the model expects (links to the Revenue Model and Margins tabs)</t>
  </si>
  <si>
    <t>Base path</t>
  </si>
  <si>
    <t>Short path</t>
  </si>
  <si>
    <t>Street / prior</t>
  </si>
  <si>
    <t>Comment</t>
  </si>
  <si>
    <t>3Q26 revenue print vs guide midpoint ($4,730m)</t>
  </si>
  <si>
    <t>prior: Q3 prints landed +1.3% above the midpoint on average</t>
  </si>
  <si>
    <t>3Q26 nights y/y print</t>
  </si>
  <si>
    <t>Street bar +11.5%; a decelerating print vs 2Q26's +10.3% is the differentiated call</t>
  </si>
  <si>
    <t>at or just under the 'down slightly' ceiling; the beat is dollars</t>
  </si>
  <si>
    <t>4Q26 revenue guide midpoint we expect ($m)</t>
  </si>
  <si>
    <t>team revenue / (1 + historical Q4 cushion); Street column = LSEG 4Q26 revenue mean</t>
  </si>
  <si>
    <t xml:space="preserve">  ... vs Street 4Q26 revenue</t>
  </si>
  <si>
    <t>the market prices the guide plus the cushion; a guide below the Street is the base case even on the team path</t>
  </si>
  <si>
    <t>4Q26 nights guide direction</t>
  </si>
  <si>
    <t>decelerating ('high single digits')</t>
  </si>
  <si>
    <t>decelerating ('mid single digits')</t>
  </si>
  <si>
    <t>Street 4Q26 +9.9%</t>
  </si>
  <si>
    <t>management's bar has matched the Street's sign in 12 of 13 guided prints; this is a bet on the first downside miss of a nights guide</t>
  </si>
  <si>
    <t>FY26 margin sentence we expect</t>
  </si>
  <si>
    <t>approximately 36%</t>
  </si>
  <si>
    <t>at least 35.5% held (or floor at risk)</t>
  </si>
  <si>
    <t>in force: at least 35.5%</t>
  </si>
  <si>
    <t>M3: November sentence = August floor + 50bp, 2 of 2; p about 0.45-0.50</t>
  </si>
  <si>
    <t>4Q26 margin that sentence implies at the run's 3Q26</t>
  </si>
  <si>
    <t>1pp of the FY sentence = 4.49pp of 4Q26; an unchanged floor only says 4Q26 &gt;= ~27.6%</t>
  </si>
  <si>
    <t>3. What each path implies for the share price (reverse DCF run, 12-13 Sep 2026; details on the two Reverse DCF tabs)</t>
  </si>
  <si>
    <t>Reference price (12 Sep 2026)</t>
  </si>
  <si>
    <t>Diluted shares (m)</t>
  </si>
  <si>
    <t>Net cash ex float ($m, 30 Jun 2026)</t>
  </si>
  <si>
    <t>Fixed EV / FY27 EBITDA multiple used for the cross-check</t>
  </si>
  <si>
    <t>Joint-solve multiple rule: EV / NTM EBITDA = a + b x NTM growth (%)</t>
  </si>
  <si>
    <t>t 3.1, R2 0.23, about 16 independent observations; the price pays 16x for 12.9% NTM growth</t>
  </si>
  <si>
    <t>FY27 growth</t>
  </si>
  <si>
    <t>FY27 EBITDA ($m)</t>
  </si>
  <si>
    <t>Joint-solve price</t>
  </si>
  <si>
    <t>Upside vs ref</t>
  </si>
  <si>
    <t>Price at 16.5x own EBITDA</t>
  </si>
  <si>
    <t>P(above in 12M, options)</t>
  </si>
  <si>
    <t>Management literal</t>
  </si>
  <si>
    <t>Management delivered</t>
  </si>
  <si>
    <t>Management ambition</t>
  </si>
  <si>
    <t>Street FY27 $15,745m</t>
  </si>
  <si>
    <t>Team base (WS29/30) $15,804m</t>
  </si>
  <si>
    <t>Team bear (WS29) $14,318m</t>
  </si>
  <si>
    <t>Team bull (WS29) $16,910m</t>
  </si>
  <si>
    <t>Short case (pitch): 15 Sep, not in the run; derived here</t>
  </si>
  <si>
    <t>Short-case joint-solve price is a linear interpolation between the team bear and Street rows on FY27 revenue (indicative, JUDGEMENT); the 16.5x column is the arithmetic (multiple x own FY27 EBITDA + net cash) / shares, the same convention as the run's fixed-multiple cross-check. The joint solve is the primary lens in the run; the fixed multiple is the cross-check.</t>
  </si>
  <si>
    <t>Print scenario (reaction function C)</t>
  </si>
  <si>
    <t>Accel sign vs 2Q26</t>
  </si>
  <si>
    <t>4Q26 revenue guide ($m)</t>
  </si>
  <si>
    <t>Guide vs Street</t>
  </si>
  <si>
    <t>Expected day-1 excess (sign rule, post-2022)</t>
  </si>
  <si>
    <t>Expected (S2 with guide term)</t>
  </si>
  <si>
    <t>Team base (WS29/30)</t>
  </si>
  <si>
    <t>Team base, ex-NA lap adopted (4Q26 8.1%)</t>
  </si>
  <si>
    <t>Street (Bloomberg FA 4 Sep)</t>
  </si>
  <si>
    <t>Q3 nowcast central (reviews index 9.75) with stable 4Q guide</t>
  </si>
  <si>
    <t>Flat print: 3Q26 = 2Q26 rate, 4Q26 guided stable, revenue at Street</t>
  </si>
  <si>
    <t>Accelerating print, 4Q26 guide at Street revenue</t>
  </si>
  <si>
    <t>Team base, UNCONDITIONAL over the nowcast band (nowcast centre 9.9,...</t>
  </si>
  <si>
    <t>Options-implied 5 Nov event standard deviation</t>
  </si>
  <si>
    <t>9.5 (range 8.5-10.5; identified specs 8.3-11.0)%</t>
  </si>
  <si>
    <t>expected absolute move 7.6 (range 6.8-8.4)%; realised print rms 8.92% raw / 8.48% excess</t>
  </si>
  <si>
    <t>Nights-acceleration sign rule, post-2022 (n 14)</t>
  </si>
  <si>
    <t>accelerating +6.0%, decelerating -5.6% day-1 excess; 0 of 8 decelerating prints positive on excess, 2 of 8 raw; Fisher p 0.007</t>
  </si>
  <si>
    <t>12-month options distribution (lognormal p25 / p50 / p75)</t>
  </si>
  <si>
    <t>P(above $179.5) 0.41-0.43; P(below $150) 0.40-0.41</t>
  </si>
  <si>
    <t>Outcome on 5 Nov (positioning card E)</t>
  </si>
  <si>
    <t>NTM revenue ($m)</t>
  </si>
  <si>
    <t>NTM growth</t>
  </si>
  <si>
    <t>Fundamental repricing</t>
  </si>
  <si>
    <t>Accel sign</t>
  </si>
  <si>
    <t>Sign-rule reaction</t>
  </si>
  <si>
    <t>Street path prints (3Q26 +11.45%, 4Q26 at Street $3,177m; 1H27 at Street FY27, delivered FY26 base)</t>
  </si>
  <si>
    <t>Street path, 1H27 on the Street's own FY26 base</t>
  </si>
  <si>
    <t>Management delivered prints (3Q26 +11.5%, 4Q26 $3,130m)</t>
  </si>
  <si>
    <t>Team pnl bridge prints (3Q26 +10.3%, 4Q26 +9.9%, revenue $4,771m / $3,111m)</t>
  </si>
  <si>
    <t>Team pivot baseline prints (3Q26 +9.9%, 4Q26 +8.9%, 1H27 as pnl)</t>
  </si>
  <si>
    <t>Team pivot baseline with the ex-NA lap: 4Q26 +8.1% one-for-one, 1H27 unchanged</t>
  </si>
  <si>
    <t>Team pivot baseline with the ex-NA lap also hitting 1H27 by 0.8pt</t>
  </si>
  <si>
    <t>Reading: the differentiated claim is the 3Q26 nights print, not FY27. The price is within 1-3% of the team's own revenue path (fundamental repricing -1 to -3%); the reaction is the sign rule (-4 to -6% conditional on deceleration, -2 to -3.5% probability-weighted over the nowcast band) against a 9.5% options-implied dispersion. The short case adds a second leg: a 4Q26 guide 6-10% below the Street and FY27 EBITDA about $1.0bn below, which on the multiple arithmetic above is worth $20-30 a share.</t>
  </si>
  <si>
    <t>data/processed/margin_build/03_consensus_pit/03_current_consensus.csv (LSEG 11 Sep 2026); reverse_dcf/E/E_street_distribution_vs_team.csv (Bloomberg)</t>
  </si>
  <si>
    <t>Team base / short</t>
  </si>
  <si>
    <t>this workbook's Income Statement, Revenue Model and Margins tabs; 40_line_build outputs</t>
  </si>
  <si>
    <t>data/processed/reverse_dcf/mgmt_implied_summary.csv</t>
  </si>
  <si>
    <t>Price implications</t>
  </si>
  <si>
    <t>data/processed/reverse_dcf/market/market_implied_cases.csv, market_implied_comparison.csv, market_implied_params.json; C/C_scenarios.csv; B/B_headline.csv; E/E_repricing_ladder.csv; docs/reverse_dcf/SYNTHESIS.md</t>
  </si>
  <si>
    <t>ABNB stock chart: what moves the stock, Dec 2020 IPO to Sep 2026</t>
  </si>
  <si>
    <t>Earnings prints are the dominant driver of ABNB's largest days: 11 of the 41 moves of 7% or more since IPO are earnings days, and they are the biggest (mean 12.1% absolute vs 8.6% for macro days). The chart labels which prints moved the stock and why; the tables below give every print and every 7%+ day, and the read-across to the 5 Nov 2026 print.</t>
  </si>
  <si>
    <t>Earnings-day reactions, all 23 prints</t>
  </si>
  <si>
    <t>reaction day = first session after the print; close-to-close; excess = ABNB minus QQQ</t>
  </si>
  <si>
    <t>Mean absolute 1-day move (n = 23)</t>
  </si>
  <si>
    <t>Share of prints with |move| &gt;= 7%</t>
  </si>
  <si>
    <t>Prints up / down (1-day)</t>
  </si>
  <si>
    <t>Mean 1-day excess vs QQQ</t>
  </si>
  <si>
    <t>quarter</t>
  </si>
  <si>
    <t>reaction_date</t>
  </si>
  <si>
    <t>abnb_1d_pct</t>
  </si>
  <si>
    <t>qqq_1d_pct</t>
  </si>
  <si>
    <t>excess_1d_pct</t>
  </si>
  <si>
    <t>abnb_5d_pct</t>
  </si>
  <si>
    <t>excess_5d_pct</t>
  </si>
  <si>
    <t>abnb_20d_pct</t>
  </si>
  <si>
    <t>excess_20d_pct</t>
  </si>
  <si>
    <t>2020Q4</t>
  </si>
  <si>
    <t>2021Q1</t>
  </si>
  <si>
    <t>2021Q2</t>
  </si>
  <si>
    <t>Missing: 20-day returns for the 7 Aug 2026 print (2026Q2) were not yet available in the source file. Row highlighting is not applied; large moves are readable from the values.</t>
  </si>
  <si>
    <t>What moved the stock on each earnings day (the 11 prints with a 7%+ move)</t>
  </si>
  <si>
    <t>same-day moves of QQQ, BKNG, EXPE for context; trigger and notes from the big-moves file</t>
  </si>
  <si>
    <t>date</t>
  </si>
  <si>
    <t>ABNB move</t>
  </si>
  <si>
    <t>QQQ same day</t>
  </si>
  <si>
    <t>BKNG same day</t>
  </si>
  <si>
    <t>EXPE same day</t>
  </si>
  <si>
    <t>trigger</t>
  </si>
  <si>
    <t>notes</t>
  </si>
  <si>
    <t>Q4'20 (first print as a public company)</t>
  </si>
  <si>
    <t>Revenue $859M (-22% YoY) beat ~$748M est; nights 46.3M (-39%); GBV $5.9B (-31%); ADR $128 (+13%); net loss $3.9B on IPO charges</t>
  </si>
  <si>
    <t>Q3'21 record quarter (Expedia also reported)</t>
  </si>
  <si>
    <t>Revenue $2.24B (+67% YoY; +36% vs 2019); nights 79.7M (+29%); GBV $11.9B (+48%); net income $834M; adj EBITDA $1.1B (49% margin); Expedia +15.6% same day on its own beat</t>
  </si>
  <si>
    <t>Q1'22 first-ever profitable Q1 (plus Fed-day rally)</t>
  </si>
  <si>
    <t>Revenue $1.51B (+70%); nights 102.1M (+59%; first 100M quarter); GBV $17.2B (+67%); adj EBITDA $229M; Q2 guide $2.03-2.13B above est; Nasdaq +3.4% on Powell</t>
  </si>
  <si>
    <t>Q3'22: beat but Q4 nights guided to moderate</t>
  </si>
  <si>
    <t>Revenue $2.88B (+29%) at top of guide; adj EBITDA $1.46B (51% margin); nights 99.7M (+25%); Q4 guide nights growth to slow to ~20% ADR flat revenue +17-23%; Fed hiked 75 bp same day</t>
  </si>
  <si>
    <t>Q4'22: first profitable full year; Q1 guide beat</t>
  </si>
  <si>
    <t>Revenue $1.90B (+24%) vs $1.86B; adj EBITDA $506M vs $435M; nights 88.2M (+20%) slightly below 90.1M est; FY22 net income $1.9B FCF $3.4B; Q1'23 guide $1.75-1.82B vs $1.68B est</t>
  </si>
  <si>
    <t>Q1'23: first profitable Q1 on GAAP but nights guided below revenue</t>
  </si>
  <si>
    <t>Revenue $1.82B (+20%); nights 121.1M (+19%); GBV $20.4B (+19%); net income $117M; Q2 guide $2.35-2.45B (+12-16%) with nights growth below revenue growth; tough pandemic comps</t>
  </si>
  <si>
    <t>Q2'24: shorter lead times and slowing US demand</t>
  </si>
  <si>
    <t>Revenue $2.75B (+11%); nights 125.1M (+9%); GBV $21.2B (+11%); EPS $0.86 vs $0.92 est; adj EBITDA $894M (33%); Q3 guide $3.67-3.73B and nights growth to moderate; flagged shorter booking lead times</t>
  </si>
  <si>
    <t>Q3'24: EPS miss and expense growth</t>
  </si>
  <si>
    <t>Revenue $3.73B (+10%) beat; nights 122.8M (+8%); GBV $20.1B (+10%); EPS $2.13 vs $2.17; S&amp;M +27.5% product dev +25%; adj EBITDA margin 52% (-200 bp)</t>
  </si>
  <si>
    <t>Q4'24: nights beat (best day on record)</t>
  </si>
  <si>
    <t>Revenue $2.48B (+12%) vs $2.42B; nights 111.0M (+12%) vs 108.7M est; GBV $17.6B (+13%); EPS $0.73 vs $0.58; adj EBITDA $765M vs $654M; Q1 guide $2.23-2.27B below $2.30B est but ignored</t>
  </si>
  <si>
    <t>Q2'25: beat but H2 nights to moderate and $200M new-business spend</t>
  </si>
  <si>
    <t>Revenue $3.10B (+13%) vs $3.04B; nights 134.4M (+7%) vs 133.4M; GBV $23.5B (+11%); EPS $1.03 vs $0.94; adj EBITDA $1.04B (34%); Q3 guide $4.02-4.10B; nights growth to slow into Q4; Services/Experiences to weigh on margin</t>
  </si>
  <si>
    <t>Q2'26: beat on every KPI and FY guide raised</t>
  </si>
  <si>
    <t>Revenue $3.61B (+17%) vs $3.58B; nights 148.3M (+10%) accelerating; GBV $27.2B (+16%); EPS $1.37 vs $1.26; adj EBITDA $1.26B (35%); first-time bookers +11%; hotels ~3x homes; FY26 revenue at least mid-teens and margin at least 35.5%; highest close since Apr 2022</t>
  </si>
  <si>
    <t>All moves of 7% or more since IPO, by driver</t>
  </si>
  <si>
    <t>41 days; percentages are absolute close-to-close moves; excess = ABNB minus the peer</t>
  </si>
  <si>
    <t>driver</t>
  </si>
  <si>
    <t>n_up</t>
  </si>
  <si>
    <t>n_down</t>
  </si>
  <si>
    <t>mean_abs_move</t>
  </si>
  <si>
    <t>median_abs_move</t>
  </si>
  <si>
    <t>max_up</t>
  </si>
  <si>
    <t>max_down</t>
  </si>
  <si>
    <t>mean_abs_qqq_same_day</t>
  </si>
  <si>
    <t>mean_abs_excess_vs_qqq</t>
  </si>
  <si>
    <t>mean_abs_excess_vs_bkng</t>
  </si>
  <si>
    <t>mean_abs_excess_vs_expe</t>
  </si>
  <si>
    <t>n_since_2023</t>
  </si>
  <si>
    <t>Company/other</t>
  </si>
  <si>
    <t>Competitor/industry</t>
  </si>
  <si>
    <t>Earnings</t>
  </si>
  <si>
    <t>Macro/market</t>
  </si>
  <si>
    <t>ALL</t>
  </si>
  <si>
    <t>Earnings days are fewer than macro days but larger on average, and almost all of the move is stock-specific (mean absolute excess vs QQQ 11.3% on earnings days vs 5.1% on macro days).</t>
  </si>
  <si>
    <t>Full list, 41 days (chronological)</t>
  </si>
  <si>
    <t>Post-IPO momentum</t>
  </si>
  <si>
    <t>Tigress Financial initiates Buy</t>
  </si>
  <si>
    <t>Analyst-initiation and reopening momentum</t>
  </si>
  <si>
    <t>Momentum into Feb 11 all-time high ($216.84)</t>
  </si>
  <si>
    <t>Rates spike hits growth</t>
  </si>
  <si>
    <t>Growth rebound after rates scare</t>
  </si>
  <si>
    <t>Afghan refugee housing pledge; DA Davidson reiterates Buy</t>
  </si>
  <si>
    <t>Post-earnings momentum</t>
  </si>
  <si>
    <t>Growth rotation on Powell renomination</t>
  </si>
  <si>
    <t>Omicron-is-milder relief rally</t>
  </si>
  <si>
    <t>Month-end growth rebound</t>
  </si>
  <si>
    <t>Eve of Russia's invasion of Ukraine</t>
  </si>
  <si>
    <t>Oil spikes above $120 on Russia embargo talk</t>
  </si>
  <si>
    <t>Oil reverses; travel bounce</t>
  </si>
  <si>
    <t>First Fed hike (25 bp) relief rally</t>
  </si>
  <si>
    <t>Delta Q1 read-across</t>
  </si>
  <si>
    <t>Fed-rally reversal</t>
  </si>
  <si>
    <t>Growth-stock capitulation</t>
  </si>
  <si>
    <t>Target/Walmart margin shock</t>
  </si>
  <si>
    <t>Hot May CPI; 75 bp hike priced</t>
  </si>
  <si>
    <t>Fed hikes 75 bp</t>
  </si>
  <si>
    <t>Oversold bounce</t>
  </si>
  <si>
    <t>Fed 75 bp plus hawkish dots</t>
  </si>
  <si>
    <t>Pre-earnings de-risking; bearish sector note on mortgage rates hurting hosts</t>
  </si>
  <si>
    <t>Cool October CPI (Nov 10) follow-through</t>
  </si>
  <si>
    <t>Powell signals slower hikes</t>
  </si>
  <si>
    <t>S&amp;P 500 inclusion (announced Sep 1; effective Sep 18)</t>
  </si>
  <si>
    <t>Liberation Day tariffs</t>
  </si>
  <si>
    <t>90-day tariff pause</t>
  </si>
  <si>
    <t>AI-disintermediation scare</t>
  </si>
  <si>
    <t>Read-across to 5 Nov 2026 (3Q26 print)</t>
  </si>
  <si>
    <t>numbers from data/processed/reverse_dcf/{B,C,E} and docs/reverse_dcf/SYNTHESIS.md section 1</t>
  </si>
  <si>
    <t>• Sign rule on printed nights acceleration (workstream C, post-2022 prints, n = 14, +/-0.25pt dead band): accelerating prints average +6.0% day-1 excess vs QQQ (4 of 5 positive); decelerating prints average -5.6% (0 of 8 positive); flat: 3Q24; Fisher p 0.007. Regression form: excess = -0.45 + 5.66 x sign, R2 0.41 (C_coefficients_used.csv, S1_post2022; C_deadband_sensitivity.csv).</t>
  </si>
  <si>
    <t>• On the raw (not QQQ-excess) return the split is 6 up / 2 down accel; 3 up / 8 down decel; on excess it is 6 up / 2 down accel; 1 up / 10 down decel (B_headline.csv). The rule gives the sign of the reaction, not its size, and does not clear a multiplicity correction (C_multiplicity_holm.csv): 14 prints.</t>
  </si>
  <si>
    <t>• Where the Street sits for 3Q26: the consensus nights bar is 148.9M (+11.45% y/y vs +10.34% in 2Q26), i.e. positioned for acceleration, for only the 4th time in 17 prints. The 3 prior times the Street was positioned for acceleration, all 3 printed acceleration, mean day-1 excess +4.2%; the 12 times it was positioned for deceleration averaged +0.38% (E_street_sign_summary.csv, E_street_sign_history.csv).</t>
  </si>
  <si>
    <t>• Options-implied 5 Nov event: standard deviation 9.5% (range 8.5-10.5; identified specs 8.3-11.0), expected absolute move 7.6%; spot $170.19 on 2026-09-12 (B_headline.csv, JUDGEMENT rows built from the measured 16 Oct / 20 Nov straddle pair 9.88% and least-squares 9.16-9.73%).</t>
  </si>
  <si>
    <t>• Realised print history for scale: raw close-to-close rms 8.92%, 48% of the 23 prints moved 7% or more, 13 up / 10 down (B_headline.csv, hist_realised_raw_* rows); this tab's table above gives the same 23 prints.</t>
  </si>
  <si>
    <t>• Team read (SYNTHESIS.md section 1): the team's nowcast is a decelerating 3Q26 nights print (+9.5 to 10.0%) against a Street bar that implies acceleration; on the sign rule that implies a -4 to -6% day conditional on deceleration and -2 to -3.5% unconditionally, against a 9.5% options-implied dispersion. The trade is the print reaction, not an estimate revision.</t>
  </si>
  <si>
    <t>Daily close (Yahoo, Dec 2020 to 4 Sep 2026)</t>
  </si>
  <si>
    <t>data/processed/abnb_daily_close.csv</t>
  </si>
  <si>
    <t>7%+ days with driver, trigger, notes, peer moves (41 rows)</t>
  </si>
  <si>
    <t>data/processed/abnb_big_moves_7pct.csv</t>
  </si>
  <si>
    <t>Earnings-day reactions, 23 prints</t>
  </si>
  <si>
    <t>data/processed/abnb_earnings_reactions.csv</t>
  </si>
  <si>
    <t>7%+ move statistics by driver</t>
  </si>
  <si>
    <t>data/processed/abnb_big_move_stats_by_driver.csv</t>
  </si>
  <si>
    <t>Sign rule, dead-band sensitivity (post-2022, 0.25pt row)</t>
  </si>
  <si>
    <t>data/processed/reverse_dcf/C/C_deadband_sensitivity.csv</t>
  </si>
  <si>
    <t>Sign rule, coefficients used (S1_post2022)</t>
  </si>
  <si>
    <t>data/processed/reverse_dcf/C/C_coefficients_used.csv</t>
  </si>
  <si>
    <t>Multiplicity check</t>
  </si>
  <si>
    <t>data/processed/reverse_dcf/C/C_multiplicity_holm.csv</t>
  </si>
  <si>
    <t>Street positioning summary</t>
  </si>
  <si>
    <t>data/processed/reverse_dcf/E/E_street_sign_summary.csv</t>
  </si>
  <si>
    <t>Street positioning history (16 prints + 3Q26E)</t>
  </si>
  <si>
    <t>data/processed/reverse_dcf/E/E_street_sign_history.csv</t>
  </si>
  <si>
    <t>Options headline (event sd, realised history)</t>
  </si>
  <si>
    <t>data/processed/reverse_dcf/B/B_headline.csv</t>
  </si>
  <si>
    <t>Reverse DCF synthesis, section 1</t>
  </si>
  <si>
    <t>docs/reverse_dcf/SYNTHESIS.md</t>
  </si>
  <si>
    <t>Chart image</t>
  </si>
  <si>
    <t>model/figures/abnb_annotated_stock_chart.png</t>
  </si>
  <si>
    <t>Reverse DCF - Management-implied: what management's words are worth</t>
  </si>
  <si>
    <t>Three readings of the guide (Literal / Delivered / Ambition), FY26E-FY27E by quarter, implied prices at the team's multiples, and a reverse DCF on management's own FCF. Source: management-implied model, 12 Sep 2026.</t>
  </si>
  <si>
    <t>What this tab says</t>
  </si>
  <si>
    <t>• LITERAL = the guide taken at its word: range midpoints, floors as points, buckets ('low double digits') at the low end; FY27 is the guide management would give in Feb 2027 on its own pattern (floor carried).</t>
  </si>
  <si>
    <t>• DELIVERED = the guide plus management's own cushion: quarterly revenue +1.8% vs the midpoint (median of the last eight prints; 19 of 19 ranges beaten), nights one point above the bucket top (3 of 3 bucket guides since 4Q25 printed above range), FY margin floor +70bp (FY24 +140, FY25 +60); FY27 holds the FY26 exit rate with margin flat.</t>
  </si>
  <si>
    <t>• AMBITION = the 8 Sep 2026 CEO framing ('almost every market is accelerating', hotels 3x homes, India +60%, sponsored listings 'a straight shot to $1bn'): take rate +20bp in FY27, margin drifting to 37%.</t>
  </si>
  <si>
    <t>• Headline (Delivered, FY27E): revenue $16,025m (+12.6%), nights 647.0m (+10.0%), adj. EBITDA $5,801m at a 36.2% margin, GAAP EPS $6.08, FCF $5,941m. The Street's FY27 revenue ($15,745m) is the Delivered case; the sell-side mean target (~$182) is the Delivered case at 16-17x EBITDA.</t>
  </si>
  <si>
    <t>• At the team's mid multiples (16.5x EV/EBITDA, 27x P/E, 17x EV/FCF) the three cases are worth $174 / $182 / $196 (Literal / Delivered / Ambition) against $170.19, i.e. +2% / +7% / +15%. The multiple matters more than the case: 13.5x to 18.5x moves the Delivered case by about $51, the three cases at a fixed 16.5x span about $30.</t>
  </si>
  <si>
    <t>• Reverse DCF on the Delivered FCF ($5,941m, WACC 10%, ten-year fade to 3%): at $170.19 (EV $92.0bn) the price needs FY28+ FCF growth of 4.6% on reported FCF and 15.9% on SBC-adjusted FCF ($4,005m): the SBC debate.</t>
  </si>
  <si>
    <t>The three cases side by side: annual (FY25A actual, FY26E-FY27E by case)</t>
  </si>
  <si>
    <t>USD millions unless stated; blue = model output from the CSV, black = growth formulas</t>
  </si>
  <si>
    <t>Literal</t>
  </si>
  <si>
    <t>Delivered</t>
  </si>
  <si>
    <t>Ambition</t>
  </si>
  <si>
    <t>FY25A</t>
  </si>
  <si>
    <t>Gross booking value ($m)</t>
  </si>
  <si>
    <t>Take rate (revenue / GBV)</t>
  </si>
  <si>
    <t>Stock-based compensation ($m)</t>
  </si>
  <si>
    <t>GAAP net income ($m)</t>
  </si>
  <si>
    <t>GAAP diluted EPS</t>
  </si>
  <si>
    <t>Free cash flow ($m)</t>
  </si>
  <si>
    <t>Net cash ($m)</t>
  </si>
  <si>
    <t xml:space="preserve">    Revenue growth y/y</t>
  </si>
  <si>
    <t xml:space="preserve">    Nights growth y/y</t>
  </si>
  <si>
    <t xml:space="preserve">    Adj. EBITDA growth y/y</t>
  </si>
  <si>
    <t xml:space="preserve">    EPS growth y/y</t>
  </si>
  <si>
    <t>The three cases side by side: quarterly, 3Q26E-4Q27E</t>
  </si>
  <si>
    <t>Inputs by case and quarter (the assumptions behind each case)</t>
  </si>
  <si>
    <t>pp rows are percentage points; FX and timing rows are common across cases (WS29 consensus-EUR schedule)</t>
  </si>
  <si>
    <t>Input</t>
  </si>
  <si>
    <t>Nights growth y/y</t>
  </si>
  <si>
    <t>ADR growth ex-FX y/y</t>
  </si>
  <si>
    <t>ADR FX effect (pp)</t>
  </si>
  <si>
    <t>Take-rate change vs prior year (pp)</t>
  </si>
  <si>
    <t>Revenue FX after hedging (pp)</t>
  </si>
  <si>
    <t>Timing / RNPL residual (pp of revenue growth)</t>
  </si>
  <si>
    <t>SBC growth y/y</t>
  </si>
  <si>
    <t>D&amp;A (% of revenue)</t>
  </si>
  <si>
    <t>Interest expense ($m)</t>
  </si>
  <si>
    <t>Effective tax rate</t>
  </si>
  <si>
    <t>Buybacks ($m)</t>
  </si>
  <si>
    <t>Buyback price ($)</t>
  </si>
  <si>
    <t>Net RSU issuance (m shares)</t>
  </si>
  <si>
    <t>FCF / adj. EBITDA (x)</t>
  </si>
  <si>
    <t>Adj. EBITDA margin change y/y (pp)</t>
  </si>
  <si>
    <t>Implied share price by lens and case (team multiples: EV/EBITDA 13.5 / 16.5 / 18.5x; P/E 22 / 27 / 30x; EV/FCF 14 / 17 / 20x)</t>
  </si>
  <si>
    <t>Reference share price ($, close 11 Sep 2026)</t>
  </si>
  <si>
    <t>input: the upside columns reference this cell</t>
  </si>
  <si>
    <t>Lens (multiple)</t>
  </si>
  <si>
    <t>Literal upside</t>
  </si>
  <si>
    <t>Delivered upside</t>
  </si>
  <si>
    <t>Ambition upside</t>
  </si>
  <si>
    <t>EV / FY27E adj. EBITDA x Low</t>
  </si>
  <si>
    <t>EV / FY27E adj. EBITDA x Mid</t>
  </si>
  <si>
    <t>EV / FY27E adj. EBITDA x High</t>
  </si>
  <si>
    <t>P / FY27E GAAP EPS x Low</t>
  </si>
  <si>
    <t>P / FY27E GAAP EPS x Mid</t>
  </si>
  <si>
    <t>P / FY27E GAAP EPS x High</t>
  </si>
  <si>
    <t>EV / FY27E FCF x Low</t>
  </si>
  <si>
    <t>EV / FY27E FCF x Mid</t>
  </si>
  <si>
    <t>EV / FY27E FCF x High</t>
  </si>
  <si>
    <t>Average of the three mid multiples</t>
  </si>
  <si>
    <t>Average of all nine cells</t>
  </si>
  <si>
    <t>Reverse DCF on management's own FCF (EV $92.0bn at $170.19; WACC 10%; growth fades to 3% over ten years)</t>
  </si>
  <si>
    <t>FY27E free cash flow, reported ($m)</t>
  </si>
  <si>
    <t>FY27E free cash flow less SBC ($m)</t>
  </si>
  <si>
    <t>FY27E FCF growth y/y</t>
  </si>
  <si>
    <t>Implied FCF growth FY28+ on reported FCF (price = $170.19)</t>
  </si>
  <si>
    <t>Implied FCF growth FY28+ on SBC-adjusted FCF</t>
  </si>
  <si>
    <t>Value per share if FY27 FCF growth were sustained ($)</t>
  </si>
  <si>
    <t>The seven-turn gap between the reported and SBC-adjusted readings is the SBC debate: on reported FCF the market asks for little; on FCF after SBC it asks for mid-teens growth.</t>
  </si>
  <si>
    <t>What management is looking at, by area: near term, mid term, the number used in the Delivered case, and the line's track record</t>
  </si>
  <si>
    <t>Area</t>
  </si>
  <si>
    <t>Near term: what they said (3Q26 / FY26)</t>
  </si>
  <si>
    <t>Mid term: what they said (FY27 and beyond)</t>
  </si>
  <si>
    <t>Number used (Delivered case)</t>
  </si>
  <si>
    <t>Track record of this line</t>
  </si>
  <si>
    <t>Nights &amp; Seats Booked</t>
  </si>
  <si>
    <t>3Q26 'low double-digit growth'; FY26 'accelerated pace of Nights and Seats Booked we've observed'; 2Q26 +10.3% with every region up, expansion markets ~2x core, first-time bookers +11% (highest in four years), app nights +23% = 64% of total</t>
  </si>
  <si>
    <t>No number. 8 Sep: 'almost every market is accelerating', 'four of the five countries [70% of the business] are accelerating', India +60%; core business 'could probably be double the size'</t>
  </si>
  <si>
    <t>3Q26 +11.5%, 4Q26 +10.5%, FY27 +10.0%</t>
  </si>
  <si>
    <t>Bucket guides: 3 of 3 since 4Q25 printed ABOVE the range (+1 to +5pts). Directional guides 92% met (n=13)</t>
  </si>
  <si>
    <t>2Q26 letter p.6; 2Q26 call; Communacopia 8 Sep 2026</t>
  </si>
  <si>
    <t>ADR</t>
  </si>
  <si>
    <t>3Q26 'moderate increase in ADR due to mix shift and price appreciation'; 2Q26 +5% (+4% ex-FX), 'noticeable strength in North America and Europe'; bedroom nights +12% vs nights +10% (larger homes keep growing fastest)</t>
  </si>
  <si>
    <t>AI pricing model 'one of the biggest single levers for growth', 'many multiples bigger than RNPL' -&gt; aimed at affordability, i.e. it argues for LOWER host prices over time, not higher; ADR ex-FX above ~3% is mix, not price</t>
  </si>
  <si>
    <t>ex-FX +3.5% 3Q26, +3.0% thereafter; FX +0.3 / -0.4 / -0.4 / 0 / +0.7 / 0 pp</t>
  </si>
  <si>
    <t>ADR floors/points 16 of 18 met or beaten</t>
  </si>
  <si>
    <t>2Q26 letter p.10; 2Q26 call (pricing answer)</t>
  </si>
  <si>
    <t>GBV</t>
  </si>
  <si>
    <t>3Q26 'mid teens' (nights low double digits + moderate ADR); 2Q26 +16% (+15% ex-FX); RNPL &gt;20% of GBV, eligibility expanded in July</t>
  </si>
  <si>
    <t>'approaching $100 billion in GBV' (8 Sep); FY25 was $91.3bn, FY26 lands ~$106bn in the Delivered case</t>
  </si>
  <si>
    <t>3Q26 +15.4%, 4Q26 +13.4%, FY27 +13.3%</t>
  </si>
  <si>
    <t>Bucket guides beaten by 4-6pts in all three cases since 4Q25</t>
  </si>
  <si>
    <t>2Q26 letter; Communacopia</t>
  </si>
  <si>
    <t>Take rate / monetisation</t>
  </si>
  <si>
    <t>FY26 'relatively flat compared to 2025' (13.41%) after RNPL timing and 'higher customer incentives related to new businesses'; 'absent these incentives... slightly higher'; 3Q26 'relatively in-line'; single fee to be completed by year-end (half of listings already)</t>
  </si>
  <si>
    <t>Sponsored listings 'a pretty easy straight shot to $1 billion incremental high margin revenue' (8 Sep, undated); travel insurance 'very high margin... does quite well'; advertising deferred behind AI search</t>
  </si>
  <si>
    <t>flat in Literal/Delivered; +20bp FY27 in Ambition</t>
  </si>
  <si>
    <t>The weak line: 59% kept (n=17). FY25 promised +20bp, printed -16bp. 1Q26 'lift full-year take rate' withdrawn at 2Q26</t>
  </si>
  <si>
    <t>2Q26 call prepared remarks; 31a S165/S166/S110</t>
  </si>
  <si>
    <t>Cancellations / RNPL</t>
  </si>
  <si>
    <t>Not disclosed. Nights and GBV are reported net of cancellations. RNPL defers payment to near check-in; 2Q26: 'absent RNPL... unearned fees would have grown y/y'; 1Q26 letter predicted unearned fees higher y/y in 3Q26 (forward-testable on 5 Nov). 1Q26: Middle East cancellations cost ~1pt of nights</t>
  </si>
  <si>
    <t>Nothing. The team's own RNPL ledger (overnight2 D) models a -0.1 to -1.4pt cancellation drag on 3Q26/4Q26 nights; management has never sized it</t>
  </si>
  <si>
    <t>Inside the -0.6 to -1.1pp timing residual</t>
  </si>
  <si>
    <t>n/a (never guided)</t>
  </si>
  <si>
    <t>2Q26 call CFO; 1Q26 letter; docs/overnight2/SYNTHESIS.md</t>
  </si>
  <si>
    <t>3Q26 $4.69-4.77bn (+15-17%) incl. ~3pp FX after hedging; FY26 'at least mid teens' (raised from 'low double digits' in Feb and 'low-to-mid teens' in May)</t>
  </si>
  <si>
    <t>No FY27 number ('I'm not going to give you a specific guide for 2027 and beyond'). Pattern: Feb guide is a floor, raised twice, printed 1-3pp above</t>
  </si>
  <si>
    <t>3Q26 $4,815M (+17.6%), 4Q26 $3,131M (+12.7%), FY26 $14.23bn (+16.3%), FY27 $15.99bn (+12.4%)</t>
  </si>
  <si>
    <t>19 of 19 quarterly ranges beaten at the midpoint (median +2.5%, last eight +1.8%); 15 of 19 above the top</t>
  </si>
  <si>
    <t>2Q26 letter p.6; 02_guidance_ledger.csv</t>
  </si>
  <si>
    <t>FX</t>
  </si>
  <si>
    <t>~3pp tailwind to 3Q26 revenue after hedging (was 0 / +3 / +4 in 4Q25-2Q26); ADR FX 'significantly lower in Q2 than Q1'</t>
  </si>
  <si>
    <t>Silent; hedging programme unchanged. Consensus EUR path turns FX to a -0.4 to -1.0pp headwind from 4Q26</t>
  </si>
  <si>
    <t>WS29 schedule</t>
  </si>
  <si>
    <t>FX statements 100% kept but they only ever guide one quarter</t>
  </si>
  <si>
    <t>2Q26 letter; 28_fx-hedge-disclosures.md</t>
  </si>
  <si>
    <t>FY26 'at least 35.5%' (raised from 'stable' -&gt; '&gt;=35%' -&gt; '&gt;=35.5%'); 3Q26 'down slightly compared to Q3 2025' (50.1%) 'due to timing of investments'; 2Q26 printed 35.0% (+1.3pts) on ops &amp; support and product-dev efficiency, offset by S&amp;M</t>
  </si>
  <si>
    <t>'There's a relative floor in our ability to continue to invest against that' (2Q26); 'we basically have remained pretty steady, 35% margins' (8 Sep); rule: find variable-cost efficiencies every year and reinvest most of them</t>
  </si>
  <si>
    <t>3Q26 50.0%, 4Q26 30.8%, FY26 36.2%, FY27 36.2%</t>
  </si>
  <si>
    <t>Total-margin statements 91% kept (n=43). Floors beaten by +140bp (FY24), +60bp (FY25). Floor becomes a point ('approximately X') at the Q3 print</t>
  </si>
  <si>
    <t>2Q26 letter; 31a note</t>
  </si>
  <si>
    <t>Cost lines</t>
  </si>
  <si>
    <t>Cost of revenue 'scale somewhat linearly'; ops &amp; support cost per booking -16% y/y (AI resolves ~45% of tickets); product dev: 'we don't need to grow our head count at levels that we did in the past'; S&amp;M: 'where you will see some incremental investment'; AI spend: guidance 'assumes a material increase' (unsized)</t>
  </si>
  <si>
    <t>No FY27 line has a number. Brand marketing is fixed per market ('surgical topper' for performance); hotels build-out unbudgeted; services are partnerships ('we do not see a big incurring of cost')</t>
  </si>
  <si>
    <t>Not modelled line by line here (margin is the policy variable per 31a); WS30/31 hold the line build</t>
  </si>
  <si>
    <t>Ops &amp; support 100% kept (n=13); brand marketing 63% (n=35); product dev 60%; SBC 40%</t>
  </si>
  <si>
    <t>31a_mgmt-margin-statements.md</t>
  </si>
  <si>
    <t>SBC / share count</t>
  </si>
  <si>
    <t>FY26 SBC growth 'lower than 2025'; 1H26 +14.7%; 37.8M RSUs + 5.7M options outstanding; diluted WA 597M in 2Q26 (-4.6% y/y)</t>
  </si>
  <si>
    <t>Silent; the SBC-equals-headcount promise was withdrawn at 4Q25</t>
  </si>
  <si>
    <t>SBC +10% H2-26, +9% FY27; shares -4.5M/q net</t>
  </si>
  <si>
    <t>SBC guides 40% kept (n=5)</t>
  </si>
  <si>
    <t>4Q25 letter; 2Q26 10-Q</t>
  </si>
  <si>
    <t>Capital return</t>
  </si>
  <si>
    <t>$1.1bn repurchased in 2Q26, $2.1bn in 1H26; $3.4bn authorisation remaining (2Q26 call); 'returning capital to shareholders remains a core component'</t>
  </si>
  <si>
    <t>Nothing beyond the authorisation; at the current pace it is exhausted by ~2Q27, so a new programme is the likely 4Q26/1Q27 announcement</t>
  </si>
  <si>
    <t>$1,050M/q through FY27 ($4.2bn/yr)</t>
  </si>
  <si>
    <t>FY24 $3.4bn, FY25 $3.8bn delivered; never guided</t>
  </si>
  <si>
    <t>2Q26 call CFO; 10-Q</t>
  </si>
  <si>
    <t>Tax</t>
  </si>
  <si>
    <t>FY26 effective tax rate 'high teens' (FY25 20.0%; 1H26 17.1% incl. a $77M prior-year benefit)</t>
  </si>
  <si>
    <t>OBBBA long-term effective rate 'mid-to-high teens' (2Q26 call)</t>
  </si>
  <si>
    <t>18% throughout</t>
  </si>
  <si>
    <t>Tax statements 33% kept (n=3) but the FY26 direction is landing</t>
  </si>
  <si>
    <t>1Q26 / 2Q26 letters; 2Q26 call</t>
  </si>
  <si>
    <t>New businesses: hotels</t>
  </si>
  <si>
    <t>'Single-digit percentage of nights', growing ~3x faster than homes; 35% of first-time hotel guests come back to book a home; supply outreach expanded to top-20 cities; 'we are absolutely going to be stepping on the gas'</t>
  </si>
  <si>
    <t>'This other business that's, like, 10x larger' (8 Sep); 'international expansion of hotels... $ billions incremental revenue... nearly adjacent' (2Q26 horizon 2)</t>
  </si>
  <si>
    <t>Inside the nights growth (no separate line: management gives no hotel nights or revenue figure)</t>
  </si>
  <si>
    <t>New-business cost claims: 'not cost very much' (2Q24) missed by ~$200m in FY25</t>
  </si>
  <si>
    <t>2Q26 call; Communacopia</t>
  </si>
  <si>
    <t>New businesses: services, experiences, cars</t>
  </si>
  <si>
    <t>Services expanded May 2026 (groceries, car rental, airport pickup, luggage); Resort Passes; experiences supply +80%, bookings accelerating on a small base; car rentals 'one of the biggest sellers... at one point'</t>
  </si>
  <si>
    <t>Horizon 3, 'multi-year', 'not this year' for the 1-10-many industrialisation; 'every month you'll see an acceleration in new verticals launching'</t>
  </si>
  <si>
    <t>Zero incremental revenue in Literal/Delivered; the +20bp FY27 take rate in Ambition is the only place it enters</t>
  </si>
  <si>
    <t>Multi-year claims 48% kept (n=31); Chesky 57% (n=21)</t>
  </si>
  <si>
    <t>AI</t>
  </si>
  <si>
    <t>Customer service: ~45% of tickets AI-resolved in 50+ languages, cost per booking -16%; AI search in test on a small share of traffic, expanding through the year; 'ship 80% more features than a year ago'; guidance assumes a 'material increase' in AI spend; 'we are not buying up a whole bunch of GPUs'</t>
  </si>
  <si>
    <t>'The next 18 months to 24 months... a massive shift from enterprise to consumer' AI; full trip-planning agent within ~18 months; sponsored listings gated behind AI search</t>
  </si>
  <si>
    <t>In the margin floor; no separate line</t>
  </si>
  <si>
    <t>Support-cost claim landed; engineering-productivity claim (+30%, since 1Q23) has never shown in a filed number</t>
  </si>
  <si>
    <t>2Q26 call; 31a section (d); Communacopia</t>
  </si>
  <si>
    <t>Regulation</t>
  </si>
  <si>
    <t>Not in guidance. 2Q26 letter: usual risk-factor language only</t>
  </si>
  <si>
    <t>Nothing</t>
  </si>
  <si>
    <t>Zero; the team's regulatory Monte Carlo (PR #15) is the only quantification</t>
  </si>
  <si>
    <t>n/a</t>
  </si>
  <si>
    <t>regulatory package, PR #19</t>
  </si>
  <si>
    <t>Three cases, quarterly and annual</t>
  </si>
  <si>
    <t>Inputs by case</t>
  </si>
  <si>
    <t>data/processed/reverse_dcf/mgmt_implied_inputs.csv</t>
  </si>
  <si>
    <t>Implied prices by lens</t>
  </si>
  <si>
    <t>data/processed/reverse_dcf/mgmt_implied_targets.csv</t>
  </si>
  <si>
    <t>Reverse DCF</t>
  </si>
  <si>
    <t>data/processed/reverse_dcf/mgmt_implied_dcf.csv</t>
  </si>
  <si>
    <t>Management statements table</t>
  </si>
  <si>
    <t>model/ABNB_management_implied.xlsx (Mgmt_Statements sheet); data/processed/margin_build/05_mgmt_statements_v2/05_statements.csv (377 statements)</t>
  </si>
  <si>
    <t>Street FY27 revenue</t>
  </si>
  <si>
    <t>data/processed/reverse_dcf/market/market_implied_comparison.csv</t>
  </si>
  <si>
    <t>Builder and note</t>
  </si>
  <si>
    <t>analysis/src/reverse_dcf/management_implied_model.py; research/notes/2026-09-12_management-implied-model.md</t>
  </si>
  <si>
    <t>Synthesis</t>
  </si>
  <si>
    <t>Reverse DCF - Market-implied: what the price, the options and the sell-side imply</t>
  </si>
  <si>
    <t>Joint solve (multiple endogenous to growth) at $170.19, the options-implied distribution and 5 Nov event move, the sell-side tape, the print reaction function and the positioning card. Run of 12-13 Sep 2026.</t>
  </si>
  <si>
    <t>• At $170.19 (close 11 Sep 2026; EV $92.0bn) the joint solve, with the multiple endogenous to growth (EV/NTM EBITDA = 12.53 + 0.40 x growth, about 16 independent observations), says the price pays for NTM revenue growth of 12.9% (band 11.5 to 14.3). Mapped to FY27: revenue $15.7 to 15.9bn (+10.4 to +11.5%), nights +7.8 to +8.9%, adj. EBITDA $5.7bn at 16.0 to 16.2x FY27 EBITDA. That is the Street and the team's base case, about $5 below management's delivered case.</t>
  </si>
  <si>
    <t>• Fixed-multiple cross-check (16.5x held): FY27 revenue $15.4bn (+8.2%), nights +5.7%. It agrees with the joint solve at the price and goes absurd in the tails, so the joint solve is primary and the fixed multiple is the cross-check only. A point of FY27 nights is worth about $4.90 on the joint solve, $1.50 on a fixed multiple.</t>
  </si>
  <si>
    <t>• Options (11 Sep chain): 12-month lognormal p25 / p50 / p75 = $125.5 / $163.8 / $213.9 (p10 $98.7, p90 $271.9); risk-neutral P(above the $179.5 mean target) 0.41-0.43. The 5 Nov print is priced at an event sd of 9.5% (range 8.5-10.5; identified specs 8.3-11.0), expected absolute move 7.6% (range 6.8-8.4), against a realised print rms of 8.92% raw / 8.48% QQQ-excess. The 20 Nov straddle (13.5% of spot) is a 70-day upper bound, not the print.</t>
  </si>
  <si>
    <t>• The only print reaction with statistical support is the sign of printed nights acceleration (S1, post-2022, n 14, permutation p 0.017): fitted day-1 excess return +5.2% on an accelerating print vs -6.1% on a decelerating one (group means +6.0 / -5.6% in the synthesis; 0 of 8 post-2022 decelerating prints positive on excess returns). The Street's 3Q26 nights bar (148.9m, +11.45%) is an acceleration; the team's nowcast (+9.5 to 10.0%) is a deceleration, so the team's base case implies -4 to -6% conditional and -2 to -3.5% unconditional against a 9.5% priced dispersion.</t>
  </si>
  <si>
    <t>• Sell-side tape, 12 Sep: 32 live targets, mean $182 = 17.1x delivered FY27 EBITDA; p25 $165 (15.3x) / p75 $200 (18.9x). Held at 16.5x, the mean target needs FY27 revenue growth of +16.4%, which nobody forecasts: the tape is the delivered case at a higher multiple, not a higher revenue number.</t>
  </si>
  <si>
    <t>Who is pricing what: management vs market vs team (FY27E on the delivered FY26 base; nights at ADR +3%, FX -0.6pp, take rate flat)</t>
  </si>
  <si>
    <t>green = team rows, grey = Street, yellow = the current price</t>
  </si>
  <si>
    <t>Who</t>
  </si>
  <si>
    <t>Price / target ($)</t>
  </si>
  <si>
    <t>FY27 revenue growth</t>
  </si>
  <si>
    <t>FY27 nights growth</t>
  </si>
  <si>
    <t>EV / FY27 EBITDA</t>
  </si>
  <si>
    <t>Options P(above) in 12M</t>
  </si>
  <si>
    <t>Expected 5 Nov day-1 move (S1 post-2022, conditional)</t>
  </si>
  <si>
    <t>Market: current price (joint solve, proportional mapping)</t>
  </si>
  <si>
    <t>Market: current price (joint solve, chained mapping)</t>
  </si>
  <si>
    <t>Market: current price (fixed 16.5x)</t>
  </si>
  <si>
    <t>Options: 12M p25 (joint solve)</t>
  </si>
  <si>
    <t>Options: 12M p50 (joint solve)</t>
  </si>
  <si>
    <t>Options: 12M p75 (joint solve)</t>
  </si>
  <si>
    <t>Sell-side: p25 target $165 (joint solve)</t>
  </si>
  <si>
    <t>Sell-side: mean target $179.5 (joint solve)</t>
  </si>
  <si>
    <t>Sell-side: p75 target $197.5 (joint solve)</t>
  </si>
  <si>
    <t>Sell-side: top target $220 (joint solve)</t>
  </si>
  <si>
    <t>Cases and their implied prices: joint solve (primary) vs fixed 16.5x (cross-check)</t>
  </si>
  <si>
    <t>FY27 adj. EBITDA, own case ($m)</t>
  </si>
  <si>
    <t>Joint-solve price ($)</t>
  </si>
  <si>
    <t>Upside vs $170.19</t>
  </si>
  <si>
    <t>Price at fixed 16.5x on price-implied EBITDA ($)</t>
  </si>
  <si>
    <t>Price at 16.5x on own EBITDA ($)</t>
  </si>
  <si>
    <t>Price ladder: what each price point implies (joint solve on the NTM basis, mapped to FY27)</t>
  </si>
  <si>
    <t>g NTM in the guide-proxy units the regression was fitted on (about 1pt above realised growth)</t>
  </si>
  <si>
    <t>Price point</t>
  </si>
  <si>
    <t>Price ($)</t>
  </si>
  <si>
    <t>EV ($m)</t>
  </si>
  <si>
    <t>Implied NTM revenue growth</t>
  </si>
  <si>
    <t>NTM growth, band low</t>
  </si>
  <si>
    <t>NTM growth, band high</t>
  </si>
  <si>
    <t>EV / NTM EBITDA</t>
  </si>
  <si>
    <t>FY27 revenue growth (proportional map)</t>
  </si>
  <si>
    <t>FY27 nights growth (proportional)</t>
  </si>
  <si>
    <t>FY27 nights growth (chained)</t>
  </si>
  <si>
    <t>FY27 revenue growth at fixed 16.5x</t>
  </si>
  <si>
    <t>P(above) in 12M</t>
  </si>
  <si>
    <t>P(above) at 20 Nov</t>
  </si>
  <si>
    <t>Reverse DCF growth, reported FCF</t>
  </si>
  <si>
    <t>Reverse DCF growth, SBC-adjusted</t>
  </si>
  <si>
    <t>options-implied 12M p25 (lognormal)</t>
  </si>
  <si>
    <t>bear tape</t>
  </si>
  <si>
    <t>options-implied 12M p50 (lognormal)</t>
  </si>
  <si>
    <t>p25 sell-side target</t>
  </si>
  <si>
    <t>price, close 11 Sep 2026</t>
  </si>
  <si>
    <t>mean sell-side target</t>
  </si>
  <si>
    <t>median yfinance target</t>
  </si>
  <si>
    <t>p75 sell-side target</t>
  </si>
  <si>
    <t>options-implied 12M p75 (lognormal)</t>
  </si>
  <si>
    <t>top sell-side target</t>
  </si>
  <si>
    <t>Options: the 5 Nov event move and the 12-month distribution (yfinance chain, 11 Sep 2026 close)</t>
  </si>
  <si>
    <t>Status</t>
  </si>
  <si>
    <t>Spot ($)</t>
  </si>
  <si>
    <t>ANCHOR</t>
  </si>
  <si>
    <t>close 11 Sep 2026</t>
  </si>
  <si>
    <t>First post-print expiry</t>
  </si>
  <si>
    <t>2026-11-20</t>
  </si>
  <si>
    <t>MEASURED</t>
  </si>
  <si>
    <t>no 6 Nov weekly listed; 15 days after the 5 Nov print</t>
  </si>
  <si>
    <t>16 Oct 170 straddle, mid (% of spot; pre-print, 35 days)</t>
  </si>
  <si>
    <t>pre-print 35-day straddle</t>
  </si>
  <si>
    <t>20 Nov 170 straddle, mid (% of spot; 70-day TOTAL move)</t>
  </si>
  <si>
    <t>mid of a 12.0-15.0 market (170 put quoted 8.85/12.30); TOTAL 70-day move, not the print</t>
  </si>
  <si>
    <t>ATM implied vol, 16 Oct</t>
  </si>
  <si>
    <t>own Black-76 IV from mids, smile at forward</t>
  </si>
  <si>
    <t>ATM implied vol, 20 Nov</t>
  </si>
  <si>
    <t>own</t>
  </si>
  <si>
    <t>ATM implied vol, 12M (variance-interpolated)</t>
  </si>
  <si>
    <t>variance-interpolated Jun27/Dec27</t>
  </si>
  <si>
    <t>Event sd: 16 Oct / 20 Nov pair</t>
  </si>
  <si>
    <t>E = T_post (sig_post^2 - sig_pre^2); flat background; +/-1 vol pt on either leg gives 8.4..11.2</t>
  </si>
  <si>
    <t>Event sd: least squares, one print, 5 maturities</t>
  </si>
  <si>
    <t>5 maturities, LOO 7.97..10.13</t>
  </si>
  <si>
    <t>Event sd: least squares, 11 maturities, sloped background</t>
  </si>
  <si>
    <t>11 maturities, 5 prints, background allowed to slope</t>
  </si>
  <si>
    <t>Event sd: two post-print maturities</t>
  </si>
  <si>
    <t>20 Nov vs 18 Dec, both contain the print</t>
  </si>
  <si>
    <t>Event sd: same method on the 4 Sep Bloomberg chain</t>
  </si>
  <si>
    <t>same method on the 4 Sep Bloomberg chain; within noise of the 11 Sep reading</t>
  </si>
  <si>
    <t>Event sd, central (JUDGEMENT), %</t>
  </si>
  <si>
    <t>9.5 (range 8.5-10.5; identified specs 8.3-11.0)</t>
  </si>
  <si>
    <t>JUDGEMENT</t>
  </si>
  <si>
    <t>about 0.7 pt of sd per vol pt of either leg; smile fit RMSE 0.5-0.7 pt</t>
  </si>
  <si>
    <t>Expected absolute 5 Nov move, central, %</t>
  </si>
  <si>
    <t>7.6 (range 6.8-8.4)</t>
  </si>
  <si>
    <t>0.80 x sd</t>
  </si>
  <si>
    <t>History: mean implied sd from IV crush, 23 prints</t>
  </si>
  <si>
    <t>Bloomberg 30D ATM IV, print close vs reaction close, 23 prints; upper-bound style measure</t>
  </si>
  <si>
    <t>History: realised print move, rms, raw</t>
  </si>
  <si>
    <t>raw close-to-close, 20_executable_returns entry_postclose_px / pre_close</t>
  </si>
  <si>
    <t>History: realised print move, rms, QQQ-excess</t>
  </si>
  <si>
    <t>QQQ-excess close-to-close (legacy_1d_pct); the series earlier notes used</t>
  </si>
  <si>
    <t>History: up / down prints, raw</t>
  </si>
  <si>
    <t>13 up / 10 down</t>
  </si>
  <si>
    <t>same</t>
  </si>
  <si>
    <t>History: up / down prints, excess</t>
  </si>
  <si>
    <t>11 up / 12 down</t>
  </si>
  <si>
    <t>Nights accelerating / decelerating prints, raw</t>
  </si>
  <si>
    <t>6 up / 2 down accel; 3 up / 8 down decel</t>
  </si>
  <si>
    <t>threshold 0, n 8 / 11; base rate not model</t>
  </si>
  <si>
    <t>Nights accelerating / decelerating prints, excess</t>
  </si>
  <si>
    <t>6 up / 2 down accel; 1 up / 10 down decel</t>
  </si>
  <si>
    <t>1Q25 and 1Q26 flip sign once QQQ is subtracted; C's +/-0.25pt dead band moves 1Q22 and 3Q24 to flat</t>
  </si>
  <si>
    <t>25-delta risk reversal, 20 Nov (vol pts; negative = puts richer)</t>
  </si>
  <si>
    <t>25d call IV minus 25d put IV; negative = puts richer</t>
  </si>
  <si>
    <t>90 / 110 skew, 20 Nov (vol pts)</t>
  </si>
  <si>
    <t>own method, 70d; cross-method vs BBG 30D history (median 4.4) is approximate, own method reads ~1 pt below BBG</t>
  </si>
  <si>
    <t>10%-OTM call / put ratio relative to a flat smile</t>
  </si>
  <si>
    <t>market call/put ratio is 15.5% below the flat-smile ratio, i.e. the put is 1/0.845 = 1.18x richer relative to the call than under a flat smile</t>
  </si>
  <si>
    <t>P(above spot) at 20 Nov, risk-neutral</t>
  </si>
  <si>
    <t>risk-neutral</t>
  </si>
  <si>
    <t>12M lognormal p10 ($)</t>
  </si>
  <si>
    <t>HEADLINE 12M distribution: lognormal, ATM IV 39.5%, forward 177.1, risk-neutral</t>
  </si>
  <si>
    <t>12M lognormal p25 ($)</t>
  </si>
  <si>
    <t>12M lognormal p50 ($)</t>
  </si>
  <si>
    <t>below spot mechanically: RN drift = carry less half the variance</t>
  </si>
  <si>
    <t>12M lognormal p75 ($)</t>
  </si>
  <si>
    <t>12M lognormal p90 ($)</t>
  </si>
  <si>
    <t>12M skew-adjusted RND p25 ($, sensitivity)</t>
  </si>
  <si>
    <t>sensitivity: skew-adjusted RND; mean 0.8% below forward from clipping</t>
  </si>
  <si>
    <t>12M skew-adjusted RND p50 ($, sensitivity)</t>
  </si>
  <si>
    <t>sensitivity</t>
  </si>
  <si>
    <t>12M skew-adjusted RND p75 ($, sensitivity)</t>
  </si>
  <si>
    <t>P(above $179.5 mean target) in 12M, risk-neutral</t>
  </si>
  <si>
    <t>0.41-0.43</t>
  </si>
  <si>
    <t>mean target; lognormal-skew RND range; risk-neutral</t>
  </si>
  <si>
    <t>P(above $220 top target) in 12M</t>
  </si>
  <si>
    <t>0.23-0.24</t>
  </si>
  <si>
    <t>top target</t>
  </si>
  <si>
    <t>P(below $150 bear tape) in 12M</t>
  </si>
  <si>
    <t>0.40-0.41</t>
  </si>
  <si>
    <t>P(below $125) in 12M</t>
  </si>
  <si>
    <t>0.25-0.26</t>
  </si>
  <si>
    <t>MS target</t>
  </si>
  <si>
    <t>12-month distribution: P(above) at each price point, by method (risk-neutral, not a forecast; lognormal on the interpolated 12M ATM IV is the headline)</t>
  </si>
  <si>
    <t>Label</t>
  </si>
  <si>
    <t>Price point ($)</t>
  </si>
  <si>
    <t>vs spot</t>
  </si>
  <si>
    <t>P(above): lognormal, 12M interpolated IV (headline)</t>
  </si>
  <si>
    <t>P(above): lognormal, Sep-27 IV direct</t>
  </si>
  <si>
    <t>P(above): two-sided lognormal, 10% wings</t>
  </si>
  <si>
    <t>P(above): skew-adjusted RND</t>
  </si>
  <si>
    <t>below $125</t>
  </si>
  <si>
    <t>p25 target</t>
  </si>
  <si>
    <t>price</t>
  </si>
  <si>
    <t>mean target</t>
  </si>
  <si>
    <t>p75 target</t>
  </si>
  <si>
    <t>Realised print-day move base rates (close to close, 23 prints since listing; raw and QQQ-excess series)</t>
  </si>
  <si>
    <t>Sample</t>
  </si>
  <si>
    <t>Series</t>
  </si>
  <si>
    <t>Mean |move|</t>
  </si>
  <si>
    <t>Median |move|</t>
  </si>
  <si>
    <t>RMS</t>
  </si>
  <si>
    <t>Mean signed</t>
  </si>
  <si>
    <t>Share |move| &gt;= 7%</t>
  </si>
  <si>
    <t>Share |move| &gt;= 10%</t>
  </si>
  <si>
    <t>Up</t>
  </si>
  <si>
    <t>Down</t>
  </si>
  <si>
    <t>Mean up</t>
  </si>
  <si>
    <t>Mean down</t>
  </si>
  <si>
    <t>Mean |gap|</t>
  </si>
  <si>
    <t>Mean |open-to-close|</t>
  </si>
  <si>
    <t>p10</t>
  </si>
  <si>
    <t>p25</t>
  </si>
  <si>
    <t>p75</t>
  </si>
  <si>
    <t>p90</t>
  </si>
  <si>
    <t>all 23 prints</t>
  </si>
  <si>
    <t>raw</t>
  </si>
  <si>
    <t>excess</t>
  </si>
  <si>
    <t>last 8 prints</t>
  </si>
  <si>
    <t>last 12 prints</t>
  </si>
  <si>
    <t>prints since 2024</t>
  </si>
  <si>
    <t>Q3 prints only (Nov)</t>
  </si>
  <si>
    <t>revenue beat above median (2.21pct)</t>
  </si>
  <si>
    <t>revenue beat below median</t>
  </si>
  <si>
    <t>nights accelerated yoy in reported q (gt 0)</t>
  </si>
  <si>
    <t>nights decelerated yoy in reported q (le 0)</t>
  </si>
  <si>
    <t>nights accel gt 0.25pt (C dead band)</t>
  </si>
  <si>
    <t>nights flat within 0.25pt (C dead band)</t>
  </si>
  <si>
    <t>nights decel lt -0.25pt (C dead band)</t>
  </si>
  <si>
    <t>next q rev guide above street</t>
  </si>
  <si>
    <t>next q rev guide below street</t>
  </si>
  <si>
    <t>nights beat</t>
  </si>
  <si>
    <t>nights miss or inline</t>
  </si>
  <si>
    <t>Sell-side tape: what the targets imply (EV = target x 597.0m shares - $9,593m net cash; FY27 EBITDA at 16.5x, margin 36.2%, FY26 base $14,231m)</t>
  </si>
  <si>
    <t>12 Sep 2026 tape, 32 live targets, with the $170.19 price for comparison</t>
  </si>
  <si>
    <t>Statistic</t>
  </si>
  <si>
    <t>Target ($)</t>
  </si>
  <si>
    <t>Implied EV / FY27 EBITDA (spot basis)</t>
  </si>
  <si>
    <t>Implied EV / FY27 EBITDA (FY27-end basis)</t>
  </si>
  <si>
    <t>Required FY27 revenue at 16.5x ($m)</t>
  </si>
  <si>
    <t>Required FY27 revenue growth at 16.5x</t>
  </si>
  <si>
    <t>Required FY27 EBITDA at 16.5x ($m)</t>
  </si>
  <si>
    <t>Required EBITDA vs delivered case</t>
  </si>
  <si>
    <t>Required FY27 nights growth at 16.5x</t>
  </si>
  <si>
    <t>Required FY27 EPS at 16.5x</t>
  </si>
  <si>
    <t>Required nights growth at 13.5x</t>
  </si>
  <si>
    <t>Required nights growth at 18.5x</t>
  </si>
  <si>
    <t>min</t>
  </si>
  <si>
    <t>median</t>
  </si>
  <si>
    <t>mean</t>
  </si>
  <si>
    <t>max</t>
  </si>
  <si>
    <t>$170.19 price</t>
  </si>
  <si>
    <t>Target percentiles by pull: the tape moved up into the 8-10 Sep drawdown (three raises, no cuts)</t>
  </si>
  <si>
    <t>Pull</t>
  </si>
  <si>
    <t>min target ($)</t>
  </si>
  <si>
    <t>p25 target ($)</t>
  </si>
  <si>
    <t>median target ($)</t>
  </si>
  <si>
    <t>mean target ($)</t>
  </si>
  <si>
    <t>p75 target ($)</t>
  </si>
  <si>
    <t>max target ($)</t>
  </si>
  <si>
    <t>Dispersion (sd / mean)</t>
  </si>
  <si>
    <t>Share of targets below $170.19</t>
  </si>
  <si>
    <t>6 Sep pull (31 targets)</t>
  </si>
  <si>
    <t>12 Sep pull (feed as-is)</t>
  </si>
  <si>
    <t>12 Sep pull (Goldman corrected to $165)</t>
  </si>
  <si>
    <t>All live targets (12 Sep 2026 feed), sorted by target; required growth holds 16.5x EV/EBITDA and a 36.2% margin</t>
  </si>
  <si>
    <t>Firm</t>
  </si>
  <si>
    <t>Date</t>
  </si>
  <si>
    <t>Rating</t>
  </si>
  <si>
    <t>Implied P/E on delivered FY27 EPS</t>
  </si>
  <si>
    <t>DA Davidson</t>
  </si>
  <si>
    <t>2026-08-31</t>
  </si>
  <si>
    <t>Buy</t>
  </si>
  <si>
    <t>Rosenblatt</t>
  </si>
  <si>
    <t>2026-09-01</t>
  </si>
  <si>
    <t>Bernstein</t>
  </si>
  <si>
    <t>2026-08-24</t>
  </si>
  <si>
    <t>Outperform</t>
  </si>
  <si>
    <t>B. Riley Securities</t>
  </si>
  <si>
    <t>2026-08-07</t>
  </si>
  <si>
    <t>Wedbush</t>
  </si>
  <si>
    <t>Canaccord Genuity</t>
  </si>
  <si>
    <t>Susquehanna</t>
  </si>
  <si>
    <t>Positive</t>
  </si>
  <si>
    <t>Evercore ISI Group</t>
  </si>
  <si>
    <t>Raymond James</t>
  </si>
  <si>
    <t>2026-09-08</t>
  </si>
  <si>
    <t>Baird</t>
  </si>
  <si>
    <t>RBC Capital</t>
  </si>
  <si>
    <t>Citigroup</t>
  </si>
  <si>
    <t>Citizens</t>
  </si>
  <si>
    <t>Market Outperform</t>
  </si>
  <si>
    <t>Oppenheimer</t>
  </si>
  <si>
    <t>Wells Fargo</t>
  </si>
  <si>
    <t>Overweight</t>
  </si>
  <si>
    <t>Tigress Financial</t>
  </si>
  <si>
    <t>2026-04-08</t>
  </si>
  <si>
    <t>Benchmark</t>
  </si>
  <si>
    <t>Mizuho</t>
  </si>
  <si>
    <t>2026-03-03</t>
  </si>
  <si>
    <t>B of A Securities</t>
  </si>
  <si>
    <t>Neutral</t>
  </si>
  <si>
    <t>Jefferies</t>
  </si>
  <si>
    <t>2026-07-14</t>
  </si>
  <si>
    <t>UBS</t>
  </si>
  <si>
    <t>Piper Sandler</t>
  </si>
  <si>
    <t>JP Morgan</t>
  </si>
  <si>
    <t>CICC</t>
  </si>
  <si>
    <t>2026-06-05</t>
  </si>
  <si>
    <t>BMO Capital</t>
  </si>
  <si>
    <t>2026-08-10</t>
  </si>
  <si>
    <t>Market Perform</t>
  </si>
  <si>
    <t>Truist Securities</t>
  </si>
  <si>
    <t>2026-09-10</t>
  </si>
  <si>
    <t>Hold</t>
  </si>
  <si>
    <t>TD Cowen</t>
  </si>
  <si>
    <t>2026-02-13</t>
  </si>
  <si>
    <t>Cantor Fitzgerald</t>
  </si>
  <si>
    <t>Goldman Sachs</t>
  </si>
  <si>
    <t>2026-07-20</t>
  </si>
  <si>
    <t>Sell</t>
  </si>
  <si>
    <t>Deutsche Bank</t>
  </si>
  <si>
    <t>Barclays</t>
  </si>
  <si>
    <t>Equal-Weight</t>
  </si>
  <si>
    <t>Morgan Stanley</t>
  </si>
  <si>
    <t>2026-07-30</t>
  </si>
  <si>
    <t>Underweight</t>
  </si>
  <si>
    <t>Reaction function for 5 Nov: what moves the stock on the print (re-test of the predictive study; S1 sign rule is the headline, S2 illustrative)</t>
  </si>
  <si>
    <t>Coefficients used (day-1 QQQ-excess return, %, = c + b_sign x sign(nights acceleration) + b_gvs x guide-vs-Street % + ...); fitted accelerating / decelerating values are formulas</t>
  </si>
  <si>
    <t>Spec</t>
  </si>
  <si>
    <t>Specification</t>
  </si>
  <si>
    <t>c (intercept, %)</t>
  </si>
  <si>
    <t>b sign(accel), %</t>
  </si>
  <si>
    <t>b guide vs Street (% per 1%)</t>
  </si>
  <si>
    <t>b revenue surprise</t>
  </si>
  <si>
    <t>b guide direction</t>
  </si>
  <si>
    <t>R2</t>
  </si>
  <si>
    <t>LOO R2</t>
  </si>
  <si>
    <t>Permutation p</t>
  </si>
  <si>
    <t>Residual sd, %</t>
  </si>
  <si>
    <t>Fitted: accelerating print (%)</t>
  </si>
  <si>
    <t>Fitted: decelerating print (%)</t>
  </si>
  <si>
    <t>S1_ex_reopening</t>
  </si>
  <si>
    <t>S1: sign(printed nights acceleration)</t>
  </si>
  <si>
    <t>pre-stated; HEADLINE</t>
  </si>
  <si>
    <t>S2_ex_reopening</t>
  </si>
  <si>
    <t>S2 (M6): sign(accel) + next-Q revenue guide midpoint vs Street (%)</t>
  </si>
  <si>
    <t>post-hoc; ILLUSTRATIVE</t>
  </si>
  <si>
    <t>S2s_ex_reopening</t>
  </si>
  <si>
    <t>S2 sensitivity: M8 (adds revenue surprise) with M7's guide-direction coefficient bolted on</t>
  </si>
  <si>
    <t>post-hoc; sensitivity only</t>
  </si>
  <si>
    <t>S1_post2022</t>
  </si>
  <si>
    <t>S2_post2022</t>
  </si>
  <si>
    <t>S2s_post2022</t>
  </si>
  <si>
    <t>Scenarios for the 5 Nov print: nights, the 4Q26 guide vs the Street, and the expected day-1 excess return under each spec (E = fitted mean; realised p10/p90 = spread of history in that state)</t>
  </si>
  <si>
    <t>Conditional on</t>
  </si>
  <si>
    <t>3Q26 nights growth</t>
  </si>
  <si>
    <t>Acceleration vs 2Q26 (pts)</t>
  </si>
  <si>
    <t>Sign</t>
  </si>
  <si>
    <t>Revenue vs Street</t>
  </si>
  <si>
    <t>4Q26 nights guide</t>
  </si>
  <si>
    <t>Guide vs Street (Bloomberg)</t>
  </si>
  <si>
    <t>Guide vs Street (Zacks)</t>
  </si>
  <si>
    <t>E[day-1] S1 post-2022 (headline)</t>
  </si>
  <si>
    <t>E[day-1] S1 ex-reopening (n 16)</t>
  </si>
  <si>
    <t>E[day-1] S2 post-2022, Bloomberg</t>
  </si>
  <si>
    <t>E[day-1] S2 post-2022, Zacks</t>
  </si>
  <si>
    <t>E[day-1] S2 ex-reopening, Bloomberg</t>
  </si>
  <si>
    <t>Realised p10 in this state (S1 post-2022)</t>
  </si>
  <si>
    <t>Realised p90 in this state (S1 post-2022)</t>
  </si>
  <si>
    <t>decelerating print</t>
  </si>
  <si>
    <t>decelerating</t>
  </si>
  <si>
    <t>accelerating print</t>
  </si>
  <si>
    <t>accelerating</t>
  </si>
  <si>
    <t>flat print</t>
  </si>
  <si>
    <t>flat</t>
  </si>
  <si>
    <t>Accelerating print, 4Q26 guide 2% below Street</t>
  </si>
  <si>
    <t>Decelerating print, 4Q26 guide 3% above Street</t>
  </si>
  <si>
    <t>2Q26 replay: accel print, guide +2.6% vs Street</t>
  </si>
  <si>
    <t>Team base, UNCONDITIONAL over the nowcast band (nowcast centre 9.9, sd 0.85 (band 8.5-11.0 read as ~1.3 sd)): P(accel) 0.21, P(flat) 0.20, P(decel) 0.59</t>
  </si>
  <si>
    <t>none (mixture)</t>
  </si>
  <si>
    <t>Team base, UNCONDITIONAL over the nowcast band (nowcast centre 9.75, sd 0.75): P(accel) 0.13, P(flat) 0.19, P(decel) 0.67</t>
  </si>
  <si>
    <t>Unconditional base rates of the print-day move (all 23 prints; ex-reopening n 16; post-2022 n 14)</t>
  </si>
  <si>
    <t>Mean</t>
  </si>
  <si>
    <t>Median</t>
  </si>
  <si>
    <t>Share positive</t>
  </si>
  <si>
    <t>all</t>
  </si>
  <si>
    <t>ret_1d_cc_excess_pct</t>
  </si>
  <si>
    <t>ret_1d_cc_raw_pct</t>
  </si>
  <si>
    <t>gap_excess_pct</t>
  </si>
  <si>
    <t>intraday_excess_pct</t>
  </si>
  <si>
    <t>ret_1d_open_excess_pct</t>
  </si>
  <si>
    <t>ev_ntm_rev_multiple_change_pct</t>
  </si>
  <si>
    <t>ret_20d_cc_excess_pct</t>
  </si>
  <si>
    <t>ex_reopening</t>
  </si>
  <si>
    <t>post2022</t>
  </si>
  <si>
    <t>Positioning card: is the market positioned for an accelerating 3Q26? (workstream E; Bloomberg MODL standard consensus, 12 Sep 2026)</t>
  </si>
  <si>
    <t>Street distribution vs the team, by quarter and metric</t>
  </si>
  <si>
    <t>Quarter / metric</t>
  </si>
  <si>
    <t>Street low growth</t>
  </si>
  <si>
    <t>Street mean growth</t>
  </si>
  <si>
    <t>Street high growth</t>
  </si>
  <si>
    <t>Team growth</t>
  </si>
  <si>
    <t>Team position</t>
  </si>
  <si>
    <t>Position (% of range)</t>
  </si>
  <si>
    <t>Team source</t>
  </si>
  <si>
    <t>3Q26 Nights (m)</t>
  </si>
  <si>
    <t>team baseline +9.9% (docs/q3nowcast/SYNTHESIS.md; reviews index 9.5-10.0, band 8.5-11.0)</t>
  </si>
  <si>
    <t>3Q26 GBV ($m)</t>
  </si>
  <si>
    <t>team: 146.8m x $176.8 (H note); WS-B FX schedule</t>
  </si>
  <si>
    <t>3Q26 ADR ($)</t>
  </si>
  <si>
    <t>ADR card v3 +3.3% (docs/adrv3); H note +3.2% $176.8</t>
  </si>
  <si>
    <t>3Q26 Take rate</t>
  </si>
  <si>
    <t>team 3Q26 revenue $4,771m / GBV ~$25.9bn</t>
  </si>
  <si>
    <t>4Q26 Nights (m)</t>
  </si>
  <si>
    <t>team baseline +8.9% (8.0-8.2% if the ex-NA lap is adopted: 131.7-131.9m)</t>
  </si>
  <si>
    <t>4Q26 GBV ($m)</t>
  </si>
  <si>
    <t>team: 132.7m x $174.1 (ADR card v2/v3 4Q26 +3.8-3.9%)</t>
  </si>
  <si>
    <t>4Q26 ADR ($)</t>
  </si>
  <si>
    <t>ADR card v3 4Q26 +3.8%</t>
  </si>
  <si>
    <t>4Q26 Take rate</t>
  </si>
  <si>
    <t>team 4Q26 revenue $3,111m / GBV ~$23.1bn</t>
  </si>
  <si>
    <t>4Q26 Revenue ($m)</t>
  </si>
  <si>
    <t>WS29 bridge base; ex-NA lap $3,055-3,102m</t>
  </si>
  <si>
    <t>4Q26 EPS</t>
  </si>
  <si>
    <t>WS30 base</t>
  </si>
  <si>
    <t>The team's 3Q26 nights (146.8m) sit below the lowest of 28 estimates while its ADR is on consensus; the Street's 148.9m bar is +11.45% vs 2Q26's +10.34%, an acceleration.</t>
  </si>
  <si>
    <t>What the Street's nights bar was positioned for at each scored print, and what printed (16 prints with a nights consensus; 0.25pt dead band)</t>
  </si>
  <si>
    <t>Street bar positioned for</t>
  </si>
  <si>
    <t>Prints</t>
  </si>
  <si>
    <t>Printed acceleration</t>
  </si>
  <si>
    <t>Printed deceleration</t>
  </si>
  <si>
    <t>Mean day-1 excess return</t>
  </si>
  <si>
    <t>Mean nights beat vs Street (%)</t>
  </si>
  <si>
    <t>acceleration</t>
  </si>
  <si>
    <t>deceleration</t>
  </si>
  <si>
    <t>Prints where management gave a next-quarter nights guide</t>
  </si>
  <si>
    <t>... where the Street's bar carried the same sign as the guide</t>
  </si>
  <si>
    <t>... downside misses of a nights guide (1Q25, 'stable' printed 0.4pt lower)</t>
  </si>
  <si>
    <t>... accelerating guides / met</t>
  </si>
  <si>
    <t>The bar is the guide: the team's call is a bet on the first downside miss of a management nights guide in the sample. Say so before the judge does.</t>
  </si>
  <si>
    <t>Repricing ladder for 5 Nov: fundamental = joint-solve repricing if the market re-anchors NTM growth to the printed path; sign rule = total day-1 excess return in history (alternatives, not addends)</t>
  </si>
  <si>
    <t>Outcome on 5 Nov</t>
  </si>
  <si>
    <t>Joint-solve price, realised units ($)</t>
  </si>
  <si>
    <t>Fundamental repricing, realised units</t>
  </si>
  <si>
    <t>3Q26 nights sign</t>
  </si>
  <si>
    <t>Sign rule, post-2022 (n 14)</t>
  </si>
  <si>
    <t>Sign rule, ex-reopening (n 16)</t>
  </si>
  <si>
    <t>Options event sd</t>
  </si>
  <si>
    <t>Honest caveats (these belong on the slide)</t>
  </si>
  <si>
    <t>• About 16 independent observations sit behind the multiple-growth slope (EV/NTM EBITDA on NTM growth, t 3.1, R2 0.23); the FY27 mapping from the NTM basis is a judgement, so FY27 is quoted as a range across mappings, never a point.</t>
  </si>
  <si>
    <t>• 14 post-2022 prints (16 ex-reopening) sit behind the nights-acceleration sign rule; it is a re-test of the predictive study, not multiplicity-robust (no pre-stated spec clears Holm), and no print in the sample pairs an accelerating Street bar with a decelerating print, so that reaction is unobserved. Its content is the sign, not the size.</t>
  </si>
  <si>
    <t>• Options probabilities are risk-neutral, not forecasts; the 12M quartiles are a lognormal on the interpolated ATM IV (skew-adjusted RND shown as a sensitivity; tails beyond quoted strikes are not quoted).</t>
  </si>
  <si>
    <t>• The joint solve is primary; the fixed-multiple hold is the cross-check at the price only and is absurd in the tails. Nights are a residual of revenue at ADR +3%, FX -0.6pp, take rate flat (one for one): a judgement.</t>
  </si>
  <si>
    <t>• The sell-side tape moves with the price symmetrically with a 1-2 month lag; a $5-7 cut in the mean target is the base case after the drawdown, not evidence of a view. The 12 Sep feed has 96 chain breaks; Bernstein's 25.5x is a P/E.</t>
  </si>
  <si>
    <t>Who is pricing what; cases; price ladder</t>
  </si>
  <si>
    <t>data/processed/reverse_dcf/market/market_implied_comparison.csv, market_implied_cases.csv, market_implied_by_price.csv</t>
  </si>
  <si>
    <t>Joint solve (workstream A)</t>
  </si>
  <si>
    <t>data/processed/reverse_dcf/A/A_joint_solve.csv, A_price_points.csv, A_implied_nights.csv</t>
  </si>
  <si>
    <t>Options (workstream B)</t>
  </si>
  <si>
    <t>data/processed/reverse_dcf/B/B_headline.csv, B_dist_12m_price_points.csv, B_print_base_rates.csv</t>
  </si>
  <si>
    <t>Reaction function (workstream C)</t>
  </si>
  <si>
    <t>data/processed/reverse_dcf/C/C_scenarios.csv, C_coefficients_used.csv, C_base_rates.csv</t>
  </si>
  <si>
    <t>Sell-side tape (workstream D)</t>
  </si>
  <si>
    <t>data/processed/reverse_dcf/D/D_headline.csv, D_tape_percentiles.csv, D_target_implied.csv</t>
  </si>
  <si>
    <t>Positioning card (workstream E)</t>
  </si>
  <si>
    <t>data/processed/reverse_dcf/E/E_street_distribution_vs_team.csv, E_street_sign_summary.csv, E_guide_vs_street_sign.csv, E_repricing_ladder.csv</t>
  </si>
  <si>
    <t>Builder and notes</t>
  </si>
  <si>
    <t>analysis/src/reverse_dcf/market_implied_model.py; research/notes/2026-09-13_market-implied-model.md; research/notes/reverse_dcf/ (A-E notes and audits)</t>
  </si>
  <si>
    <t>Workbook</t>
  </si>
  <si>
    <t>model/ABNB_market_implied.xlsx</t>
  </si>
  <si>
    <t>Scenario data block (feeds the Income Statement dropdown)</t>
  </si>
  <si>
    <t>One row per scenario x line item, 3Q26-4Q27. Key in column A = '&lt;scenario key&gt;|&lt;line key&gt;'. Values in USD m unless stated; percent lines stored as fractions. Sources: 40_lines_quarterly.csv (8 scenarios) and 40_short_case_quarterly.csv (short case; the 4Q26-marketing-cut variant is derived from 40_short_case_summary.csv q4_marketing_cut_musd).</t>
  </si>
  <si>
    <t>key</t>
  </si>
  <si>
    <t>Scenario names (dropdown list)</t>
  </si>
  <si>
    <t>base|nights_m</t>
  </si>
  <si>
    <t>base</t>
  </si>
  <si>
    <t>base|gbv_busd</t>
  </si>
  <si>
    <t>Short case: costs at budget (PITCH)</t>
  </si>
  <si>
    <t>base|bookings_m</t>
  </si>
  <si>
    <t>Short case: with 4Q26 marketing cut</t>
  </si>
  <si>
    <t>base|revenue</t>
  </si>
  <si>
    <t>Evidence-only costs (upside)</t>
  </si>
  <si>
    <t>evidence_only</t>
  </si>
  <si>
    <t>base|cor_cash</t>
  </si>
  <si>
    <t>Cost of revenue (cash)</t>
  </si>
  <si>
    <t>Revenue bear</t>
  </si>
  <si>
    <t>rev_bear</t>
  </si>
  <si>
    <t>base|ops_cash</t>
  </si>
  <si>
    <t>Operations &amp; support (cash)</t>
  </si>
  <si>
    <t>Revenue bull</t>
  </si>
  <si>
    <t>rev_bull</t>
  </si>
  <si>
    <t>base|pd_cash</t>
  </si>
  <si>
    <t>Product development (cash)</t>
  </si>
  <si>
    <t>cost_bear</t>
  </si>
  <si>
    <t>base|sm_cash</t>
  </si>
  <si>
    <t>Sales &amp; marketing (cash)</t>
  </si>
  <si>
    <t>cost_bull</t>
  </si>
  <si>
    <t>base|ga_cash</t>
  </si>
  <si>
    <t>General &amp; administrative (cash)</t>
  </si>
  <si>
    <t>Both bear</t>
  </si>
  <si>
    <t>both_bear</t>
  </si>
  <si>
    <t>base|total_cash_costs</t>
  </si>
  <si>
    <t>Both bull</t>
  </si>
  <si>
    <t>both_bull</t>
  </si>
  <si>
    <t>base|da</t>
  </si>
  <si>
    <t>Depreciation &amp; amortisation</t>
  </si>
  <si>
    <t>base|adj_ebitda</t>
  </si>
  <si>
    <t>base|sbc</t>
  </si>
  <si>
    <t>Stock-based compensation</t>
  </si>
  <si>
    <t>base|op_income</t>
  </si>
  <si>
    <t>base|interest_income</t>
  </si>
  <si>
    <t>Interest income</t>
  </si>
  <si>
    <t>base|interest_expense</t>
  </si>
  <si>
    <t>Interest expense</t>
  </si>
  <si>
    <t>base|other_income</t>
  </si>
  <si>
    <t>Other income / (expense), net</t>
  </si>
  <si>
    <t>base|pretax</t>
  </si>
  <si>
    <t>base|tax</t>
  </si>
  <si>
    <t>Income tax provision</t>
  </si>
  <si>
    <t>base|net_income</t>
  </si>
  <si>
    <t>base|diluted_shares_m</t>
  </si>
  <si>
    <t>base|eps</t>
  </si>
  <si>
    <t>base|cor_fees</t>
  </si>
  <si>
    <t>Merchant / payment fees</t>
  </si>
  <si>
    <t>base|cor_chargebacks</t>
  </si>
  <si>
    <t>Chargebacks</t>
  </si>
  <si>
    <t>base|cor_hosting</t>
  </si>
  <si>
    <t>Hosting</t>
  </si>
  <si>
    <t>base|cor_other</t>
  </si>
  <si>
    <t>Other cost of revenue</t>
  </si>
  <si>
    <t>base|ops_variable</t>
  </si>
  <si>
    <t>Ops: variable (AI-addressable)</t>
  </si>
  <si>
    <t>base|ops_fixed</t>
  </si>
  <si>
    <t>Ops: fixed / payroll</t>
  </si>
  <si>
    <t>base|sm_marketing</t>
  </si>
  <si>
    <t>S&amp;M: brand + performance marketing</t>
  </si>
  <si>
    <t>base|sm_field</t>
  </si>
  <si>
    <t>S&amp;M: field operations &amp; policy</t>
  </si>
  <si>
    <t>base|ops_per_booking</t>
  </si>
  <si>
    <t>Ops &amp; support per booking ($)</t>
  </si>
  <si>
    <t>base|merchant_fee_rate_q_pct</t>
  </si>
  <si>
    <t>Merchant fee rate (% of GBV)</t>
  </si>
  <si>
    <t>base|etr_pct</t>
  </si>
  <si>
    <t>Effective tax rate (%)</t>
  </si>
  <si>
    <t>short_costs_at_budget|nights_m</t>
  </si>
  <si>
    <t>short_costs_at_budget|gbv_busd</t>
  </si>
  <si>
    <t>short_costs_at_budget|bookings_m</t>
  </si>
  <si>
    <t>short_costs_at_budget|revenue</t>
  </si>
  <si>
    <t>short_costs_at_budget|cor_cash</t>
  </si>
  <si>
    <t>short_costs_at_budget|ops_cash</t>
  </si>
  <si>
    <t>short_costs_at_budget|pd_cash</t>
  </si>
  <si>
    <t>short_costs_at_budget|sm_cash</t>
  </si>
  <si>
    <t>short_costs_at_budget|ga_cash</t>
  </si>
  <si>
    <t>short_costs_at_budget|total_cash_costs</t>
  </si>
  <si>
    <t>short_costs_at_budget|da</t>
  </si>
  <si>
    <t>short_costs_at_budget|adj_ebitda</t>
  </si>
  <si>
    <t>short_costs_at_budget|sbc</t>
  </si>
  <si>
    <t>short_costs_at_budget|op_income</t>
  </si>
  <si>
    <t>short_costs_at_budget|interest_income</t>
  </si>
  <si>
    <t>short_costs_at_budget|interest_expense</t>
  </si>
  <si>
    <t>short_costs_at_budget|other_income</t>
  </si>
  <si>
    <t>short_costs_at_budget|pretax</t>
  </si>
  <si>
    <t>short_costs_at_budget|tax</t>
  </si>
  <si>
    <t>short_costs_at_budget|net_income</t>
  </si>
  <si>
    <t>short_costs_at_budget|diluted_shares_m</t>
  </si>
  <si>
    <t>short_costs_at_budget|eps</t>
  </si>
  <si>
    <t>short_costs_at_budget|cor_fees</t>
  </si>
  <si>
    <t>short_costs_at_budget|cor_chargebacks</t>
  </si>
  <si>
    <t>short_costs_at_budget|cor_hosting</t>
  </si>
  <si>
    <t>short_costs_at_budget|cor_other</t>
  </si>
  <si>
    <t>short_costs_at_budget|ops_variable</t>
  </si>
  <si>
    <t>short_costs_at_budget|ops_fixed</t>
  </si>
  <si>
    <t>short_costs_at_budget|sm_marketing</t>
  </si>
  <si>
    <t>short_costs_at_budget|sm_field</t>
  </si>
  <si>
    <t>short_costs_at_budget|ops_per_booking</t>
  </si>
  <si>
    <t>short_costs_at_budget|merchant_fee_rate_q_pct</t>
  </si>
  <si>
    <t>short_costs_at_budget|etr_pct</t>
  </si>
  <si>
    <t>short_with_q4_marketing_cut|nights_m</t>
  </si>
  <si>
    <t>short_with_q4_marketing_cut|gbv_busd</t>
  </si>
  <si>
    <t>short_with_q4_marketing_cut|bookings_m</t>
  </si>
  <si>
    <t>short_with_q4_marketing_cut|revenue</t>
  </si>
  <si>
    <t>short_with_q4_marketing_cut|cor_cash</t>
  </si>
  <si>
    <t>short_with_q4_marketing_cut|ops_cash</t>
  </si>
  <si>
    <t>short_with_q4_marketing_cut|pd_cash</t>
  </si>
  <si>
    <t>short_with_q4_marketing_cut|sm_cash</t>
  </si>
  <si>
    <t>short_with_q4_marketing_cut|ga_cash</t>
  </si>
  <si>
    <t>short_with_q4_marketing_cut|total_cash_costs</t>
  </si>
  <si>
    <t>short_with_q4_marketing_cut|da</t>
  </si>
  <si>
    <t>short_with_q4_marketing_cut|adj_ebitda</t>
  </si>
  <si>
    <t>short_with_q4_marketing_cut|sbc</t>
  </si>
  <si>
    <t>short_with_q4_marketing_cut|op_income</t>
  </si>
  <si>
    <t>short_with_q4_marketing_cut|interest_income</t>
  </si>
  <si>
    <t>short_with_q4_marketing_cut|interest_expense</t>
  </si>
  <si>
    <t>short_with_q4_marketing_cut|other_income</t>
  </si>
  <si>
    <t>short_with_q4_marketing_cut|pretax</t>
  </si>
  <si>
    <t>short_with_q4_marketing_cut|tax</t>
  </si>
  <si>
    <t>short_with_q4_marketing_cut|net_income</t>
  </si>
  <si>
    <t>short_with_q4_marketing_cut|diluted_shares_m</t>
  </si>
  <si>
    <t>short_with_q4_marketing_cut|eps</t>
  </si>
  <si>
    <t>short_with_q4_marketing_cut|cor_fees</t>
  </si>
  <si>
    <t>short_with_q4_marketing_cut|cor_chargebacks</t>
  </si>
  <si>
    <t>short_with_q4_marketing_cut|cor_hosting</t>
  </si>
  <si>
    <t>short_with_q4_marketing_cut|cor_other</t>
  </si>
  <si>
    <t>short_with_q4_marketing_cut|ops_variable</t>
  </si>
  <si>
    <t>short_with_q4_marketing_cut|ops_fixed</t>
  </si>
  <si>
    <t>short_with_q4_marketing_cut|sm_marketing</t>
  </si>
  <si>
    <t>short_with_q4_marketing_cut|sm_field</t>
  </si>
  <si>
    <t>short_with_q4_marketing_cut|ops_per_booking</t>
  </si>
  <si>
    <t>short_with_q4_marketing_cut|merchant_fee_rate_q_pct</t>
  </si>
  <si>
    <t>short_with_q4_marketing_cut|etr_pct</t>
  </si>
  <si>
    <t>evidence_only|nights_m</t>
  </si>
  <si>
    <t>evidence_only|gbv_busd</t>
  </si>
  <si>
    <t>evidence_only|bookings_m</t>
  </si>
  <si>
    <t>evidence_only|revenue</t>
  </si>
  <si>
    <t>evidence_only|cor_cash</t>
  </si>
  <si>
    <t>evidence_only|ops_cash</t>
  </si>
  <si>
    <t>evidence_only|pd_cash</t>
  </si>
  <si>
    <t>evidence_only|sm_cash</t>
  </si>
  <si>
    <t>evidence_only|ga_cash</t>
  </si>
  <si>
    <t>evidence_only|total_cash_costs</t>
  </si>
  <si>
    <t>evidence_only|da</t>
  </si>
  <si>
    <t>evidence_only|adj_ebitda</t>
  </si>
  <si>
    <t>evidence_only|sbc</t>
  </si>
  <si>
    <t>evidence_only|op_income</t>
  </si>
  <si>
    <t>evidence_only|interest_income</t>
  </si>
  <si>
    <t>evidence_only|interest_expense</t>
  </si>
  <si>
    <t>evidence_only|other_income</t>
  </si>
  <si>
    <t>evidence_only|pretax</t>
  </si>
  <si>
    <t>evidence_only|tax</t>
  </si>
  <si>
    <t>evidence_only|net_income</t>
  </si>
  <si>
    <t>evidence_only|diluted_shares_m</t>
  </si>
  <si>
    <t>evidence_only|eps</t>
  </si>
  <si>
    <t>evidence_only|cor_fees</t>
  </si>
  <si>
    <t>evidence_only|cor_chargebacks</t>
  </si>
  <si>
    <t>evidence_only|cor_hosting</t>
  </si>
  <si>
    <t>evidence_only|cor_other</t>
  </si>
  <si>
    <t>evidence_only|ops_variable</t>
  </si>
  <si>
    <t>evidence_only|ops_fixed</t>
  </si>
  <si>
    <t>evidence_only|sm_marketing</t>
  </si>
  <si>
    <t>evidence_only|sm_field</t>
  </si>
  <si>
    <t>evidence_only|ops_per_booking</t>
  </si>
  <si>
    <t>evidence_only|merchant_fee_rate_q_pct</t>
  </si>
  <si>
    <t>evidence_only|etr_pct</t>
  </si>
  <si>
    <t>rev_bear|nights_m</t>
  </si>
  <si>
    <t>rev_bear|gbv_busd</t>
  </si>
  <si>
    <t>rev_bear|bookings_m</t>
  </si>
  <si>
    <t>rev_bear|revenue</t>
  </si>
  <si>
    <t>rev_bear|cor_cash</t>
  </si>
  <si>
    <t>rev_bear|ops_cash</t>
  </si>
  <si>
    <t>rev_bear|pd_cash</t>
  </si>
  <si>
    <t>rev_bear|sm_cash</t>
  </si>
  <si>
    <t>rev_bear|ga_cash</t>
  </si>
  <si>
    <t>rev_bear|total_cash_costs</t>
  </si>
  <si>
    <t>rev_bear|da</t>
  </si>
  <si>
    <t>rev_bear|adj_ebitda</t>
  </si>
  <si>
    <t>rev_bear|sbc</t>
  </si>
  <si>
    <t>rev_bear|op_income</t>
  </si>
  <si>
    <t>rev_bear|interest_income</t>
  </si>
  <si>
    <t>rev_bear|interest_expense</t>
  </si>
  <si>
    <t>rev_bear|other_income</t>
  </si>
  <si>
    <t>rev_bear|pretax</t>
  </si>
  <si>
    <t>rev_bear|tax</t>
  </si>
  <si>
    <t>rev_bear|net_income</t>
  </si>
  <si>
    <t>rev_bear|diluted_shares_m</t>
  </si>
  <si>
    <t>rev_bear|eps</t>
  </si>
  <si>
    <t>rev_bear|cor_fees</t>
  </si>
  <si>
    <t>rev_bear|cor_chargebacks</t>
  </si>
  <si>
    <t>rev_bear|cor_hosting</t>
  </si>
  <si>
    <t>rev_bear|cor_other</t>
  </si>
  <si>
    <t>rev_bear|ops_variable</t>
  </si>
  <si>
    <t>rev_bear|ops_fixed</t>
  </si>
  <si>
    <t>rev_bear|sm_marketing</t>
  </si>
  <si>
    <t>rev_bear|sm_field</t>
  </si>
  <si>
    <t>rev_bear|ops_per_booking</t>
  </si>
  <si>
    <t>rev_bear|merchant_fee_rate_q_pct</t>
  </si>
  <si>
    <t>rev_bear|etr_pct</t>
  </si>
  <si>
    <t>rev_bull|nights_m</t>
  </si>
  <si>
    <t>rev_bull|gbv_busd</t>
  </si>
  <si>
    <t>rev_bull|bookings_m</t>
  </si>
  <si>
    <t>rev_bull|revenue</t>
  </si>
  <si>
    <t>rev_bull|cor_cash</t>
  </si>
  <si>
    <t>rev_bull|ops_cash</t>
  </si>
  <si>
    <t>rev_bull|pd_cash</t>
  </si>
  <si>
    <t>rev_bull|sm_cash</t>
  </si>
  <si>
    <t>rev_bull|ga_cash</t>
  </si>
  <si>
    <t>rev_bull|total_cash_costs</t>
  </si>
  <si>
    <t>rev_bull|da</t>
  </si>
  <si>
    <t>rev_bull|adj_ebitda</t>
  </si>
  <si>
    <t>rev_bull|sbc</t>
  </si>
  <si>
    <t>rev_bull|op_income</t>
  </si>
  <si>
    <t>rev_bull|interest_income</t>
  </si>
  <si>
    <t>rev_bull|interest_expense</t>
  </si>
  <si>
    <t>rev_bull|other_income</t>
  </si>
  <si>
    <t>rev_bull|pretax</t>
  </si>
  <si>
    <t>rev_bull|tax</t>
  </si>
  <si>
    <t>rev_bull|net_income</t>
  </si>
  <si>
    <t>rev_bull|diluted_shares_m</t>
  </si>
  <si>
    <t>rev_bull|eps</t>
  </si>
  <si>
    <t>rev_bull|cor_fees</t>
  </si>
  <si>
    <t>rev_bull|cor_chargebacks</t>
  </si>
  <si>
    <t>rev_bull|cor_hosting</t>
  </si>
  <si>
    <t>rev_bull|cor_other</t>
  </si>
  <si>
    <t>rev_bull|ops_variable</t>
  </si>
  <si>
    <t>rev_bull|ops_fixed</t>
  </si>
  <si>
    <t>rev_bull|sm_marketing</t>
  </si>
  <si>
    <t>rev_bull|sm_field</t>
  </si>
  <si>
    <t>rev_bull|ops_per_booking</t>
  </si>
  <si>
    <t>rev_bull|merchant_fee_rate_q_pct</t>
  </si>
  <si>
    <t>rev_bull|etr_pct</t>
  </si>
  <si>
    <t>cost_bear|nights_m</t>
  </si>
  <si>
    <t>cost_bear|gbv_busd</t>
  </si>
  <si>
    <t>cost_bear|bookings_m</t>
  </si>
  <si>
    <t>cost_bear|revenue</t>
  </si>
  <si>
    <t>cost_bear|cor_cash</t>
  </si>
  <si>
    <t>cost_bear|ops_cash</t>
  </si>
  <si>
    <t>cost_bear|pd_cash</t>
  </si>
  <si>
    <t>cost_bear|sm_cash</t>
  </si>
  <si>
    <t>cost_bear|ga_cash</t>
  </si>
  <si>
    <t>cost_bear|total_cash_costs</t>
  </si>
  <si>
    <t>cost_bear|da</t>
  </si>
  <si>
    <t>cost_bear|adj_ebitda</t>
  </si>
  <si>
    <t>cost_bear|sbc</t>
  </si>
  <si>
    <t>cost_bear|op_income</t>
  </si>
  <si>
    <t>cost_bear|interest_income</t>
  </si>
  <si>
    <t>cost_bear|interest_expense</t>
  </si>
  <si>
    <t>cost_bear|other_income</t>
  </si>
  <si>
    <t>cost_bear|pretax</t>
  </si>
  <si>
    <t>cost_bear|tax</t>
  </si>
  <si>
    <t>cost_bear|net_income</t>
  </si>
  <si>
    <t>cost_bear|diluted_shares_m</t>
  </si>
  <si>
    <t>cost_bear|eps</t>
  </si>
  <si>
    <t>cost_bear|cor_fees</t>
  </si>
  <si>
    <t>cost_bear|cor_chargebacks</t>
  </si>
  <si>
    <t>cost_bear|cor_hosting</t>
  </si>
  <si>
    <t>cost_bear|cor_other</t>
  </si>
  <si>
    <t>cost_bear|ops_variable</t>
  </si>
  <si>
    <t>cost_bear|ops_fixed</t>
  </si>
  <si>
    <t>cost_bear|sm_marketing</t>
  </si>
  <si>
    <t>cost_bear|sm_field</t>
  </si>
  <si>
    <t>cost_bear|ops_per_booking</t>
  </si>
  <si>
    <t>cost_bear|merchant_fee_rate_q_pct</t>
  </si>
  <si>
    <t>cost_bear|etr_pct</t>
  </si>
  <si>
    <t>cost_bull|nights_m</t>
  </si>
  <si>
    <t>cost_bull|gbv_busd</t>
  </si>
  <si>
    <t>cost_bull|bookings_m</t>
  </si>
  <si>
    <t>cost_bull|revenue</t>
  </si>
  <si>
    <t>cost_bull|cor_cash</t>
  </si>
  <si>
    <t>cost_bull|ops_cash</t>
  </si>
  <si>
    <t>cost_bull|pd_cash</t>
  </si>
  <si>
    <t>cost_bull|sm_cash</t>
  </si>
  <si>
    <t>cost_bull|ga_cash</t>
  </si>
  <si>
    <t>cost_bull|total_cash_costs</t>
  </si>
  <si>
    <t>cost_bull|da</t>
  </si>
  <si>
    <t>cost_bull|adj_ebitda</t>
  </si>
  <si>
    <t>cost_bull|sbc</t>
  </si>
  <si>
    <t>cost_bull|op_income</t>
  </si>
  <si>
    <t>cost_bull|interest_income</t>
  </si>
  <si>
    <t>cost_bull|interest_expense</t>
  </si>
  <si>
    <t>cost_bull|other_income</t>
  </si>
  <si>
    <t>cost_bull|pretax</t>
  </si>
  <si>
    <t>cost_bull|tax</t>
  </si>
  <si>
    <t>cost_bull|net_income</t>
  </si>
  <si>
    <t>cost_bull|diluted_shares_m</t>
  </si>
  <si>
    <t>cost_bull|eps</t>
  </si>
  <si>
    <t>cost_bull|cor_fees</t>
  </si>
  <si>
    <t>cost_bull|cor_chargebacks</t>
  </si>
  <si>
    <t>cost_bull|cor_hosting</t>
  </si>
  <si>
    <t>cost_bull|cor_other</t>
  </si>
  <si>
    <t>cost_bull|ops_variable</t>
  </si>
  <si>
    <t>cost_bull|ops_fixed</t>
  </si>
  <si>
    <t>cost_bull|sm_marketing</t>
  </si>
  <si>
    <t>cost_bull|sm_field</t>
  </si>
  <si>
    <t>cost_bull|ops_per_booking</t>
  </si>
  <si>
    <t>cost_bull|merchant_fee_rate_q_pct</t>
  </si>
  <si>
    <t>cost_bull|etr_pct</t>
  </si>
  <si>
    <t>both_bear|nights_m</t>
  </si>
  <si>
    <t>both_bear|gbv_busd</t>
  </si>
  <si>
    <t>both_bear|bookings_m</t>
  </si>
  <si>
    <t>both_bear|revenue</t>
  </si>
  <si>
    <t>both_bear|cor_cash</t>
  </si>
  <si>
    <t>both_bear|ops_cash</t>
  </si>
  <si>
    <t>both_bear|pd_cash</t>
  </si>
  <si>
    <t>both_bear|sm_cash</t>
  </si>
  <si>
    <t>both_bear|ga_cash</t>
  </si>
  <si>
    <t>both_bear|total_cash_costs</t>
  </si>
  <si>
    <t>both_bear|da</t>
  </si>
  <si>
    <t>both_bear|adj_ebitda</t>
  </si>
  <si>
    <t>both_bear|sbc</t>
  </si>
  <si>
    <t>both_bear|op_income</t>
  </si>
  <si>
    <t>both_bear|interest_income</t>
  </si>
  <si>
    <t>both_bear|interest_expense</t>
  </si>
  <si>
    <t>both_bear|other_income</t>
  </si>
  <si>
    <t>both_bear|pretax</t>
  </si>
  <si>
    <t>both_bear|tax</t>
  </si>
  <si>
    <t>both_bear|net_income</t>
  </si>
  <si>
    <t>both_bear|diluted_shares_m</t>
  </si>
  <si>
    <t>both_bear|eps</t>
  </si>
  <si>
    <t>both_bear|cor_fees</t>
  </si>
  <si>
    <t>both_bear|cor_chargebacks</t>
  </si>
  <si>
    <t>both_bear|cor_hosting</t>
  </si>
  <si>
    <t>both_bear|cor_other</t>
  </si>
  <si>
    <t>both_bear|ops_variable</t>
  </si>
  <si>
    <t>both_bear|ops_fixed</t>
  </si>
  <si>
    <t>both_bear|sm_marketing</t>
  </si>
  <si>
    <t>both_bear|sm_field</t>
  </si>
  <si>
    <t>both_bear|ops_per_booking</t>
  </si>
  <si>
    <t>both_bear|merchant_fee_rate_q_pct</t>
  </si>
  <si>
    <t>both_bear|etr_pct</t>
  </si>
  <si>
    <t>both_bull|nights_m</t>
  </si>
  <si>
    <t>both_bull|gbv_busd</t>
  </si>
  <si>
    <t>both_bull|bookings_m</t>
  </si>
  <si>
    <t>both_bull|revenue</t>
  </si>
  <si>
    <t>both_bull|cor_cash</t>
  </si>
  <si>
    <t>both_bull|ops_cash</t>
  </si>
  <si>
    <t>both_bull|pd_cash</t>
  </si>
  <si>
    <t>both_bull|sm_cash</t>
  </si>
  <si>
    <t>both_bull|ga_cash</t>
  </si>
  <si>
    <t>both_bull|total_cash_costs</t>
  </si>
  <si>
    <t>both_bull|da</t>
  </si>
  <si>
    <t>both_bull|adj_ebitda</t>
  </si>
  <si>
    <t>both_bull|sbc</t>
  </si>
  <si>
    <t>both_bull|op_income</t>
  </si>
  <si>
    <t>both_bull|interest_income</t>
  </si>
  <si>
    <t>both_bull|interest_expense</t>
  </si>
  <si>
    <t>both_bull|other_income</t>
  </si>
  <si>
    <t>both_bull|pretax</t>
  </si>
  <si>
    <t>both_bull|tax</t>
  </si>
  <si>
    <t>both_bull|net_income</t>
  </si>
  <si>
    <t>both_bull|diluted_shares_m</t>
  </si>
  <si>
    <t>both_bull|eps</t>
  </si>
  <si>
    <t>both_bull|cor_fees</t>
  </si>
  <si>
    <t>both_bull|cor_chargebacks</t>
  </si>
  <si>
    <t>both_bull|cor_hosting</t>
  </si>
  <si>
    <t>both_bull|cor_other</t>
  </si>
  <si>
    <t>both_bull|ops_variable</t>
  </si>
  <si>
    <t>both_bull|ops_fixed</t>
  </si>
  <si>
    <t>both_bull|sm_marketing</t>
  </si>
  <si>
    <t>both_bull|sm_field</t>
  </si>
  <si>
    <t>both_bull|ops_per_booking</t>
  </si>
  <si>
    <t>both_bull|merchant_fee_rate_q_pct</t>
  </si>
  <si>
    <t>both_bull|etr_pct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</si>
</sst>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;\(#,##0.0\);&quot;-&quot;"/>
    <numFmt numFmtId="165" formatCode="#,##0.00;\(#,##0.00\);&quot;-&quot;"/>
    <numFmt numFmtId="166" formatCode="0.00%;\(0.00%\);&quot;-&quot;"/>
    <numFmt numFmtId="167" formatCode="#,##0;\(#,##0\);&quot;-&quot;"/>
    <numFmt numFmtId="168" formatCode="0.0%;\(0.0%\);&quot;-&quot;"/>
    <numFmt numFmtId="169" formatCode="\$0.00;\(\$0.00\);&quot;-&quot;"/>
    <numFmt numFmtId="170" formatCode="\$#,##0.00"/>
    <numFmt numFmtId="171" formatCode="0.0&quot;x&quot;"/>
    <numFmt numFmtId="172" formatCode="dd\-mmm\-yy"/>
    <numFmt numFmtId="173" formatCode="\+0.0&quot;pp&quot;;\-0.0&quot;pp&quot;;&quot;0.0pp&quot;"/>
    <numFmt numFmtId="174" formatCode="0.00&quot;x&quot;"/>
    <numFmt numFmtId="175" formatCode="\$#,##0"/>
    <numFmt numFmtId="176" formatCode="0.000"/>
    <numFmt numFmtId="177" formatCode="\+0.00&quot;pp&quot;;\-0.00&quot;pp&quot;;&quot;0.00pp&quot;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6E6E6E"/>
      <name val="Arial"/>
    </font>
    <font>
      <b/>
      <sz val="10"/>
      <color rgb="FFFFFFFF"/>
      <name val="Arial"/>
    </font>
    <font>
      <i/>
      <sz val="9"/>
      <color rgb="FF6E6E6E"/>
      <name val="Arial"/>
    </font>
    <font>
      <sz val="10"/>
      <name val="Arial"/>
    </font>
    <font>
      <sz val="10"/>
      <color rgb="FF0000FF"/>
      <name val="Arial"/>
    </font>
    <font>
      <b/>
      <sz val="11"/>
      <color rgb="FF1F3864"/>
      <name val="Arial"/>
    </font>
    <font>
      <sz val="10"/>
      <color rgb="FF000000"/>
      <name val="Arial"/>
    </font>
    <font>
      <sz val="10"/>
      <color rgb="FF007A33"/>
      <name val="Arial"/>
    </font>
    <font>
      <b/>
      <sz val="10"/>
      <color rgb="FF007A33"/>
      <name val="Arial"/>
    </font>
    <font>
      <b/>
      <sz val="10"/>
      <name val="Arial"/>
    </font>
    <font>
      <b/>
      <sz val="10"/>
      <color rgb="FF0000FF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9E5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EDEDED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2" fillId="0" borderId="0" xfId="0" applyFont="1"/>
    <xf numFmtId="0" fontId="7" fillId="3" borderId="1" xfId="0" applyFont="1" applyFill="1" applyBorder="1"/>
    <xf numFmtId="0" fontId="0" fillId="3" borderId="1" xfId="0" applyFill="1" applyBorder="1"/>
    <xf numFmtId="0" fontId="5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10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167" fontId="6" fillId="7" borderId="0" xfId="0" applyNumberFormat="1" applyFont="1" applyFill="1" applyAlignment="1">
      <alignment horizontal="right"/>
    </xf>
    <xf numFmtId="167" fontId="6" fillId="5" borderId="0" xfId="0" applyNumberFormat="1" applyFont="1" applyFill="1" applyAlignment="1">
      <alignment horizontal="right"/>
    </xf>
    <xf numFmtId="167" fontId="6" fillId="6" borderId="0" xfId="0" applyNumberFormat="1" applyFont="1" applyFill="1" applyAlignment="1">
      <alignment horizontal="right"/>
    </xf>
    <xf numFmtId="168" fontId="8" fillId="0" borderId="0" xfId="0" applyNumberFormat="1" applyFont="1" applyAlignment="1">
      <alignment horizontal="right"/>
    </xf>
    <xf numFmtId="168" fontId="6" fillId="7" borderId="0" xfId="0" applyNumberFormat="1" applyFont="1" applyFill="1" applyAlignment="1">
      <alignment horizontal="right"/>
    </xf>
    <xf numFmtId="168" fontId="6" fillId="5" borderId="0" xfId="0" applyNumberFormat="1" applyFont="1" applyFill="1" applyAlignment="1">
      <alignment horizontal="right"/>
    </xf>
    <xf numFmtId="168" fontId="6" fillId="6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169" fontId="6" fillId="7" borderId="0" xfId="0" applyNumberFormat="1" applyFont="1" applyFill="1" applyAlignment="1">
      <alignment horizontal="right"/>
    </xf>
    <xf numFmtId="169" fontId="6" fillId="5" borderId="0" xfId="0" applyNumberFormat="1" applyFont="1" applyFill="1" applyAlignment="1">
      <alignment horizontal="right"/>
    </xf>
    <xf numFmtId="169" fontId="6" fillId="6" borderId="0" xfId="0" applyNumberFormat="1" applyFont="1" applyFill="1" applyAlignment="1">
      <alignment horizontal="right"/>
    </xf>
    <xf numFmtId="0" fontId="11" fillId="0" borderId="0" xfId="0" applyFont="1"/>
    <xf numFmtId="0" fontId="4" fillId="0" borderId="0" xfId="0" applyFont="1" applyAlignment="1">
      <alignment horizontal="center"/>
    </xf>
    <xf numFmtId="164" fontId="12" fillId="0" borderId="0" xfId="0" applyNumberFormat="1" applyFont="1" applyAlignment="1">
      <alignment horizontal="right"/>
    </xf>
    <xf numFmtId="164" fontId="10" fillId="4" borderId="0" xfId="0" applyNumberFormat="1" applyFont="1" applyFill="1" applyAlignment="1">
      <alignment horizontal="right"/>
    </xf>
    <xf numFmtId="164" fontId="13" fillId="4" borderId="0" xfId="0" applyNumberFormat="1" applyFont="1" applyFill="1" applyAlignment="1">
      <alignment horizontal="right"/>
    </xf>
    <xf numFmtId="168" fontId="8" fillId="4" borderId="0" xfId="0" applyNumberFormat="1" applyFont="1" applyFill="1" applyAlignment="1">
      <alignment horizontal="right"/>
    </xf>
    <xf numFmtId="170" fontId="8" fillId="0" borderId="0" xfId="0" applyNumberFormat="1" applyFont="1" applyAlignment="1">
      <alignment horizontal="right"/>
    </xf>
    <xf numFmtId="170" fontId="8" fillId="4" borderId="0" xfId="0" applyNumberFormat="1" applyFont="1" applyFill="1" applyAlignment="1">
      <alignment horizontal="right"/>
    </xf>
    <xf numFmtId="167" fontId="12" fillId="0" borderId="0" xfId="0" applyNumberFormat="1" applyFont="1" applyAlignment="1">
      <alignment horizontal="right"/>
    </xf>
    <xf numFmtId="167" fontId="10" fillId="4" borderId="0" xfId="0" applyNumberFormat="1" applyFont="1" applyFill="1" applyAlignment="1">
      <alignment horizontal="right"/>
    </xf>
    <xf numFmtId="167" fontId="13" fillId="4" borderId="0" xfId="0" applyNumberFormat="1" applyFont="1" applyFill="1" applyAlignment="1">
      <alignment horizontal="right"/>
    </xf>
    <xf numFmtId="166" fontId="8" fillId="4" borderId="0" xfId="0" applyNumberFormat="1" applyFont="1" applyFill="1" applyAlignment="1">
      <alignment horizontal="right"/>
    </xf>
    <xf numFmtId="167" fontId="6" fillId="0" borderId="0" xfId="0" applyNumberFormat="1" applyFont="1" applyAlignment="1">
      <alignment horizontal="right"/>
    </xf>
    <xf numFmtId="167" fontId="9" fillId="4" borderId="0" xfId="0" applyNumberFormat="1" applyFont="1" applyFill="1" applyAlignment="1">
      <alignment horizontal="right"/>
    </xf>
    <xf numFmtId="167" fontId="8" fillId="4" borderId="0" xfId="0" applyNumberFormat="1" applyFont="1" applyFill="1" applyAlignment="1">
      <alignment horizontal="right"/>
    </xf>
    <xf numFmtId="167" fontId="13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top"/>
    </xf>
    <xf numFmtId="168" fontId="13" fillId="0" borderId="0" xfId="0" applyNumberFormat="1" applyFont="1" applyAlignment="1">
      <alignment horizontal="right"/>
    </xf>
    <xf numFmtId="168" fontId="13" fillId="4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164" fontId="9" fillId="4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4" borderId="0" xfId="0" applyNumberFormat="1" applyFont="1" applyFill="1" applyAlignment="1">
      <alignment horizontal="right"/>
    </xf>
    <xf numFmtId="169" fontId="13" fillId="0" borderId="0" xfId="0" applyNumberFormat="1" applyFont="1" applyAlignment="1">
      <alignment horizontal="right"/>
    </xf>
    <xf numFmtId="169" fontId="13" fillId="4" borderId="0" xfId="0" applyNumberFormat="1" applyFont="1" applyFill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3" borderId="1" xfId="0" applyFont="1" applyFill="1" applyBorder="1"/>
    <xf numFmtId="164" fontId="12" fillId="4" borderId="0" xfId="0" applyNumberFormat="1" applyFont="1" applyFill="1" applyAlignment="1">
      <alignment horizontal="right"/>
    </xf>
    <xf numFmtId="164" fontId="13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68" fontId="6" fillId="4" borderId="0" xfId="0" applyNumberFormat="1" applyFont="1" applyFill="1" applyAlignment="1">
      <alignment horizontal="right"/>
    </xf>
    <xf numFmtId="170" fontId="12" fillId="0" borderId="0" xfId="0" applyNumberFormat="1" applyFont="1" applyAlignment="1">
      <alignment horizontal="right"/>
    </xf>
    <xf numFmtId="170" fontId="12" fillId="4" borderId="0" xfId="0" applyNumberFormat="1" applyFont="1" applyFill="1" applyAlignment="1">
      <alignment horizontal="right"/>
    </xf>
    <xf numFmtId="168" fontId="8" fillId="0" borderId="0" xfId="0" applyNumberFormat="1" applyFont="1"/>
    <xf numFmtId="166" fontId="6" fillId="4" borderId="0" xfId="0" applyNumberFormat="1" applyFont="1" applyFill="1" applyAlignment="1">
      <alignment horizontal="right"/>
    </xf>
    <xf numFmtId="164" fontId="6" fillId="4" borderId="0" xfId="0" applyNumberFormat="1" applyFont="1" applyFill="1" applyAlignment="1">
      <alignment horizontal="right"/>
    </xf>
    <xf numFmtId="167" fontId="12" fillId="4" borderId="0" xfId="0" applyNumberFormat="1" applyFont="1" applyFill="1" applyAlignment="1">
      <alignment horizontal="right"/>
    </xf>
    <xf numFmtId="166" fontId="13" fillId="0" borderId="0" xfId="0" applyNumberFormat="1" applyFont="1" applyAlignment="1">
      <alignment horizontal="right"/>
    </xf>
    <xf numFmtId="166" fontId="13" fillId="4" borderId="0" xfId="0" applyNumberFormat="1" applyFont="1" applyFill="1" applyAlignment="1">
      <alignment horizontal="right"/>
    </xf>
    <xf numFmtId="167" fontId="6" fillId="4" borderId="0" xfId="0" applyNumberFormat="1" applyFont="1" applyFill="1" applyAlignment="1">
      <alignment horizontal="right"/>
    </xf>
    <xf numFmtId="168" fontId="6" fillId="8" borderId="0" xfId="0" applyNumberFormat="1" applyFont="1" applyFill="1" applyAlignment="1">
      <alignment horizontal="right"/>
    </xf>
    <xf numFmtId="167" fontId="6" fillId="8" borderId="0" xfId="0" applyNumberFormat="1" applyFont="1" applyFill="1" applyAlignment="1">
      <alignment horizontal="right"/>
    </xf>
    <xf numFmtId="168" fontId="8" fillId="6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3" fontId="6" fillId="8" borderId="0" xfId="0" applyNumberFormat="1" applyFont="1" applyFill="1" applyAlignment="1">
      <alignment horizontal="right"/>
    </xf>
    <xf numFmtId="164" fontId="6" fillId="8" borderId="0" xfId="0" applyNumberFormat="1" applyFont="1" applyFill="1" applyAlignment="1">
      <alignment horizontal="right"/>
    </xf>
    <xf numFmtId="3" fontId="6" fillId="0" borderId="0" xfId="0" applyNumberFormat="1" applyFont="1" applyAlignment="1">
      <alignment horizontal="right"/>
    </xf>
    <xf numFmtId="167" fontId="12" fillId="7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165" fontId="8" fillId="4" borderId="0" xfId="0" applyNumberFormat="1" applyFont="1" applyFill="1" applyAlignment="1">
      <alignment horizontal="right"/>
    </xf>
    <xf numFmtId="167" fontId="8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left" vertical="top"/>
    </xf>
    <xf numFmtId="165" fontId="9" fillId="4" borderId="0" xfId="0" applyNumberFormat="1" applyFont="1" applyFill="1" applyAlignment="1">
      <alignment horizontal="right"/>
    </xf>
    <xf numFmtId="168" fontId="13" fillId="5" borderId="0" xfId="0" applyNumberFormat="1" applyFont="1" applyFill="1" applyAlignment="1">
      <alignment horizontal="right"/>
    </xf>
    <xf numFmtId="168" fontId="12" fillId="0" borderId="0" xfId="0" applyNumberFormat="1" applyFont="1"/>
    <xf numFmtId="167" fontId="12" fillId="0" borderId="0" xfId="0" applyNumberFormat="1" applyFont="1"/>
    <xf numFmtId="2" fontId="12" fillId="0" borderId="0" xfId="0" applyNumberFormat="1" applyFont="1"/>
    <xf numFmtId="169" fontId="12" fillId="0" borderId="0" xfId="0" applyNumberFormat="1" applyFont="1"/>
    <xf numFmtId="49" fontId="5" fillId="0" borderId="0" xfId="0" applyNumberFormat="1" applyFont="1" applyAlignment="1">
      <alignment horizontal="left" vertical="top"/>
    </xf>
    <xf numFmtId="49" fontId="5" fillId="5" borderId="0" xfId="0" applyNumberFormat="1" applyFont="1" applyFill="1" applyAlignment="1">
      <alignment horizontal="left" vertical="top"/>
    </xf>
    <xf numFmtId="165" fontId="12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65" fontId="12" fillId="4" borderId="0" xfId="0" applyNumberFormat="1" applyFont="1" applyFill="1" applyAlignment="1">
      <alignment horizontal="right"/>
    </xf>
    <xf numFmtId="166" fontId="9" fillId="4" borderId="0" xfId="0" applyNumberFormat="1" applyFont="1" applyFill="1" applyAlignment="1">
      <alignment horizontal="right"/>
    </xf>
    <xf numFmtId="168" fontId="9" fillId="4" borderId="0" xfId="0" applyNumberFormat="1" applyFont="1" applyFill="1" applyAlignment="1">
      <alignment horizontal="right"/>
    </xf>
    <xf numFmtId="49" fontId="4" fillId="0" borderId="0" xfId="0" applyNumberFormat="1" applyFont="1" applyAlignment="1">
      <alignment horizontal="left" vertical="top"/>
    </xf>
    <xf numFmtId="0" fontId="0" fillId="6" borderId="0" xfId="0" applyFill="1"/>
    <xf numFmtId="0" fontId="0" fillId="7" borderId="0" xfId="0" applyFill="1"/>
    <xf numFmtId="168" fontId="9" fillId="5" borderId="0" xfId="0" applyNumberFormat="1" applyFont="1" applyFill="1" applyAlignment="1">
      <alignment horizontal="right"/>
    </xf>
    <xf numFmtId="168" fontId="9" fillId="6" borderId="0" xfId="0" applyNumberFormat="1" applyFont="1" applyFill="1" applyAlignment="1">
      <alignment horizontal="right"/>
    </xf>
    <xf numFmtId="167" fontId="9" fillId="5" borderId="0" xfId="0" applyNumberFormat="1" applyFont="1" applyFill="1" applyAlignment="1">
      <alignment horizontal="right"/>
    </xf>
    <xf numFmtId="167" fontId="9" fillId="6" borderId="0" xfId="0" applyNumberFormat="1" applyFont="1" applyFill="1" applyAlignment="1">
      <alignment horizontal="right"/>
    </xf>
    <xf numFmtId="49" fontId="5" fillId="5" borderId="0" xfId="0" applyNumberFormat="1" applyFont="1" applyFill="1" applyAlignment="1">
      <alignment horizontal="left" vertical="top" wrapText="1"/>
    </xf>
    <xf numFmtId="49" fontId="5" fillId="6" borderId="0" xfId="0" applyNumberFormat="1" applyFont="1" applyFill="1" applyAlignment="1">
      <alignment horizontal="left" vertical="top" wrapText="1"/>
    </xf>
    <xf numFmtId="49" fontId="5" fillId="7" borderId="0" xfId="0" applyNumberFormat="1" applyFont="1" applyFill="1" applyAlignment="1">
      <alignment horizontal="left" vertical="top" wrapText="1"/>
    </xf>
    <xf numFmtId="171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70" fontId="6" fillId="7" borderId="0" xfId="0" applyNumberFormat="1" applyFont="1" applyFill="1" applyAlignment="1">
      <alignment horizontal="right"/>
    </xf>
    <xf numFmtId="168" fontId="8" fillId="7" borderId="0" xfId="0" applyNumberFormat="1" applyFont="1" applyFill="1" applyAlignment="1">
      <alignment horizontal="right"/>
    </xf>
    <xf numFmtId="2" fontId="6" fillId="7" borderId="0" xfId="0" applyNumberFormat="1" applyFont="1" applyFill="1" applyAlignment="1">
      <alignment horizontal="right"/>
    </xf>
    <xf numFmtId="170" fontId="6" fillId="5" borderId="0" xfId="0" applyNumberFormat="1" applyFont="1" applyFill="1" applyAlignment="1">
      <alignment horizontal="right"/>
    </xf>
    <xf numFmtId="168" fontId="8" fillId="5" borderId="0" xfId="0" applyNumberFormat="1" applyFont="1" applyFill="1" applyAlignment="1">
      <alignment horizontal="right"/>
    </xf>
    <xf numFmtId="2" fontId="6" fillId="5" borderId="0" xfId="0" applyNumberFormat="1" applyFont="1" applyFill="1" applyAlignment="1">
      <alignment horizontal="right"/>
    </xf>
    <xf numFmtId="170" fontId="6" fillId="8" borderId="0" xfId="0" applyNumberFormat="1" applyFont="1" applyFill="1" applyAlignment="1">
      <alignment horizontal="right"/>
    </xf>
    <xf numFmtId="168" fontId="8" fillId="8" borderId="0" xfId="0" applyNumberFormat="1" applyFont="1" applyFill="1" applyAlignment="1">
      <alignment horizontal="right"/>
    </xf>
    <xf numFmtId="2" fontId="6" fillId="8" borderId="0" xfId="0" applyNumberFormat="1" applyFont="1" applyFill="1" applyAlignment="1">
      <alignment horizontal="right"/>
    </xf>
    <xf numFmtId="170" fontId="8" fillId="6" borderId="0" xfId="0" applyNumberFormat="1" applyFont="1" applyFill="1" applyAlignment="1">
      <alignment horizontal="right"/>
    </xf>
    <xf numFmtId="0" fontId="0" fillId="5" borderId="0" xfId="0" applyFill="1"/>
    <xf numFmtId="3" fontId="8" fillId="0" borderId="0" xfId="0" applyNumberFormat="1" applyFont="1" applyAlignment="1">
      <alignment horizontal="right"/>
    </xf>
    <xf numFmtId="172" fontId="5" fillId="0" borderId="0" xfId="0" applyNumberFormat="1" applyFont="1"/>
    <xf numFmtId="172" fontId="5" fillId="0" borderId="0" xfId="0" applyNumberFormat="1" applyFont="1" applyAlignment="1">
      <alignment vertical="top"/>
    </xf>
    <xf numFmtId="168" fontId="6" fillId="0" borderId="0" xfId="0" applyNumberFormat="1" applyFont="1" applyAlignment="1">
      <alignment horizontal="right" vertical="top"/>
    </xf>
    <xf numFmtId="0" fontId="1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3" fillId="2" borderId="0" xfId="0" applyFont="1" applyFill="1" applyAlignment="1">
      <alignment horizontal="center"/>
    </xf>
    <xf numFmtId="170" fontId="6" fillId="4" borderId="0" xfId="0" applyNumberFormat="1" applyFont="1" applyFill="1" applyAlignment="1">
      <alignment horizontal="right"/>
    </xf>
    <xf numFmtId="169" fontId="12" fillId="0" borderId="0" xfId="0" applyNumberFormat="1" applyFont="1" applyAlignment="1">
      <alignment horizontal="right"/>
    </xf>
    <xf numFmtId="169" fontId="12" fillId="4" borderId="0" xfId="0" applyNumberFormat="1" applyFont="1" applyFill="1" applyAlignment="1">
      <alignment horizontal="right"/>
    </xf>
    <xf numFmtId="173" fontId="6" fillId="4" borderId="0" xfId="0" applyNumberFormat="1" applyFont="1" applyFill="1" applyAlignment="1">
      <alignment horizontal="right"/>
    </xf>
    <xf numFmtId="174" fontId="6" fillId="4" borderId="0" xfId="0" applyNumberFormat="1" applyFont="1" applyFill="1" applyAlignment="1">
      <alignment horizontal="right"/>
    </xf>
    <xf numFmtId="175" fontId="6" fillId="0" borderId="0" xfId="0" applyNumberFormat="1" applyFont="1" applyAlignment="1">
      <alignment horizontal="right"/>
    </xf>
    <xf numFmtId="175" fontId="12" fillId="5" borderId="0" xfId="0" applyNumberFormat="1" applyFont="1" applyFill="1" applyAlignment="1">
      <alignment horizontal="right"/>
    </xf>
    <xf numFmtId="168" fontId="12" fillId="0" borderId="0" xfId="0" applyNumberFormat="1" applyFont="1" applyAlignment="1">
      <alignment horizontal="right"/>
    </xf>
    <xf numFmtId="171" fontId="6" fillId="4" borderId="0" xfId="0" applyNumberFormat="1" applyFont="1" applyFill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0" fillId="4" borderId="0" xfId="0" applyFill="1"/>
    <xf numFmtId="171" fontId="6" fillId="7" borderId="0" xfId="0" applyNumberFormat="1" applyFont="1" applyFill="1" applyAlignment="1">
      <alignment horizontal="right"/>
    </xf>
    <xf numFmtId="171" fontId="6" fillId="5" borderId="0" xfId="0" applyNumberFormat="1" applyFont="1" applyFill="1" applyAlignment="1">
      <alignment horizontal="right"/>
    </xf>
    <xf numFmtId="169" fontId="6" fillId="4" borderId="0" xfId="0" applyNumberFormat="1" applyFont="1" applyFill="1" applyAlignment="1">
      <alignment horizontal="right"/>
    </xf>
    <xf numFmtId="49" fontId="6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left" vertical="top"/>
    </xf>
    <xf numFmtId="176" fontId="6" fillId="0" borderId="0" xfId="0" applyNumberFormat="1" applyFont="1" applyAlignment="1">
      <alignment horizontal="right"/>
    </xf>
    <xf numFmtId="3" fontId="6" fillId="5" borderId="0" xfId="0" applyNumberFormat="1" applyFont="1" applyFill="1" applyAlignment="1">
      <alignment horizontal="right"/>
    </xf>
    <xf numFmtId="165" fontId="8" fillId="0" borderId="0" xfId="0" applyNumberFormat="1" applyFont="1"/>
    <xf numFmtId="0" fontId="5" fillId="5" borderId="0" xfId="0" applyFont="1" applyFill="1" applyAlignment="1">
      <alignment vertical="top" wrapText="1"/>
    </xf>
    <xf numFmtId="177" fontId="6" fillId="5" borderId="0" xfId="0" applyNumberFormat="1" applyFont="1" applyFill="1" applyAlignment="1">
      <alignment horizontal="right"/>
    </xf>
    <xf numFmtId="0" fontId="5" fillId="7" borderId="0" xfId="0" applyFont="1" applyFill="1" applyAlignment="1">
      <alignment vertical="top" wrapText="1"/>
    </xf>
    <xf numFmtId="177" fontId="6" fillId="7" borderId="0" xfId="0" applyNumberFormat="1" applyFont="1" applyFill="1" applyAlignment="1">
      <alignment horizontal="right"/>
    </xf>
    <xf numFmtId="177" fontId="6" fillId="0" borderId="0" xfId="0" applyNumberFormat="1" applyFont="1" applyAlignment="1">
      <alignment horizontal="right"/>
    </xf>
    <xf numFmtId="164" fontId="6" fillId="5" borderId="0" xfId="0" applyNumberFormat="1" applyFont="1" applyFill="1" applyAlignment="1">
      <alignment horizontal="right"/>
    </xf>
    <xf numFmtId="49" fontId="4" fillId="5" borderId="0" xfId="0" applyNumberFormat="1" applyFont="1" applyFill="1" applyAlignment="1">
      <alignment horizontal="left" vertical="top"/>
    </xf>
    <xf numFmtId="166" fontId="6" fillId="5" borderId="0" xfId="0" applyNumberFormat="1" applyFont="1" applyFill="1" applyAlignment="1">
      <alignment horizontal="right"/>
    </xf>
    <xf numFmtId="0" fontId="5" fillId="0" borderId="0" xfId="0" applyFont="1" applyAlignment="1">
      <alignment vertical="top" wrapText="1"/>
    </xf>
    <xf numFmtId="0" fontId="0" fillId="0" borderId="0" xfId="0"/>
    <xf numFmtId="0" fontId="12" fillId="5" borderId="0" xfId="0" applyFont="1" applyFill="1"/>
    <xf numFmtId="0" fontId="4" fillId="0" borderId="0" xfId="0" applyFont="1" applyAlignment="1">
      <alignment vertical="top" wrapText="1"/>
    </xf>
    <xf numFmtId="0" fontId="10" fillId="5" borderId="0" xfId="0" applyFont="1" applyFill="1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333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4"/>
  <sheetViews>
    <sheetView showGridLines="0" tabSelected="1" workbookViewId="0">
      <selection activeCell="B20" activeCellId="1" sqref="A1 B20:K20"/>
    </sheetView>
  </sheetViews>
  <sheetFormatPr defaultRowHeight="14.4" x14ac:dyDescent="0.3"/>
  <cols>
    <col min="1" max="1" width="3" customWidth="1"/>
    <col min="2" max="2" width="34" customWidth="1"/>
    <col min="3" max="10" width="13" customWidth="1"/>
    <col min="11" max="11" width="40" customWidth="1"/>
  </cols>
  <sheetData>
    <row r="2" spans="1:11" ht="17.399999999999999" x14ac:dyDescent="0.3">
      <c r="B2" s="1" t="s">
        <v>0</v>
      </c>
    </row>
    <row r="3" spans="1:11" x14ac:dyDescent="0.3">
      <c r="B3" s="2" t="s">
        <v>1</v>
      </c>
    </row>
    <row r="5" spans="1:11" x14ac:dyDescent="0.3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43.95" customHeight="1" x14ac:dyDescent="0.3">
      <c r="B6" s="155" t="s">
        <v>3</v>
      </c>
      <c r="C6" s="156"/>
      <c r="D6" s="156"/>
      <c r="E6" s="156"/>
      <c r="F6" s="156"/>
      <c r="G6" s="156"/>
      <c r="H6" s="156"/>
      <c r="I6" s="156"/>
      <c r="J6" s="156"/>
      <c r="K6" s="156"/>
    </row>
    <row r="7" spans="1:11" ht="43.95" customHeight="1" x14ac:dyDescent="0.3">
      <c r="B7" s="155" t="s">
        <v>4</v>
      </c>
      <c r="C7" s="156"/>
      <c r="D7" s="156"/>
      <c r="E7" s="156"/>
      <c r="F7" s="156"/>
      <c r="G7" s="156"/>
      <c r="H7" s="156"/>
      <c r="I7" s="156"/>
      <c r="J7" s="156"/>
      <c r="K7" s="156"/>
    </row>
    <row r="8" spans="1:11" ht="43.95" customHeight="1" x14ac:dyDescent="0.3">
      <c r="B8" s="155" t="s">
        <v>5</v>
      </c>
      <c r="C8" s="156"/>
      <c r="D8" s="156"/>
      <c r="E8" s="156"/>
      <c r="F8" s="156"/>
      <c r="G8" s="156"/>
      <c r="H8" s="156"/>
      <c r="I8" s="156"/>
      <c r="J8" s="156"/>
      <c r="K8" s="156"/>
    </row>
    <row r="10" spans="1:11" x14ac:dyDescent="0.3">
      <c r="A10" s="3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B11" s="6" t="s">
        <v>7</v>
      </c>
      <c r="C11" s="7" t="s">
        <v>8</v>
      </c>
    </row>
    <row r="12" spans="1:11" x14ac:dyDescent="0.3">
      <c r="B12" s="8" t="s">
        <v>9</v>
      </c>
      <c r="C12" s="7" t="s">
        <v>10</v>
      </c>
    </row>
    <row r="13" spans="1:11" x14ac:dyDescent="0.3">
      <c r="B13" s="9" t="s">
        <v>11</v>
      </c>
      <c r="C13" s="7" t="s">
        <v>12</v>
      </c>
    </row>
    <row r="14" spans="1:11" x14ac:dyDescent="0.3">
      <c r="B14" s="10" t="s">
        <v>13</v>
      </c>
      <c r="C14" s="7" t="s">
        <v>14</v>
      </c>
    </row>
    <row r="15" spans="1:11" x14ac:dyDescent="0.3">
      <c r="B15" s="11" t="s">
        <v>15</v>
      </c>
      <c r="C15" s="7" t="s">
        <v>16</v>
      </c>
    </row>
    <row r="16" spans="1:11" x14ac:dyDescent="0.3">
      <c r="B16" s="12" t="s">
        <v>17</v>
      </c>
      <c r="C16" s="7" t="s">
        <v>18</v>
      </c>
    </row>
    <row r="17" spans="1:11" x14ac:dyDescent="0.3">
      <c r="B17" s="13" t="s">
        <v>19</v>
      </c>
      <c r="C17" s="7" t="s">
        <v>20</v>
      </c>
    </row>
    <row r="18" spans="1:11" x14ac:dyDescent="0.3">
      <c r="B18" s="14" t="s">
        <v>21</v>
      </c>
      <c r="C18" s="7" t="s">
        <v>22</v>
      </c>
    </row>
    <row r="19" spans="1:11" x14ac:dyDescent="0.3">
      <c r="B19" s="15" t="s">
        <v>23</v>
      </c>
      <c r="C19" s="7" t="s">
        <v>24</v>
      </c>
    </row>
    <row r="20" spans="1:11" ht="43.95" customHeight="1" x14ac:dyDescent="0.3">
      <c r="B20" s="155" t="s">
        <v>25</v>
      </c>
      <c r="C20" s="156"/>
      <c r="D20" s="156"/>
      <c r="E20" s="156"/>
      <c r="F20" s="156"/>
      <c r="G20" s="156"/>
      <c r="H20" s="156"/>
      <c r="I20" s="156"/>
      <c r="J20" s="156"/>
      <c r="K20" s="156"/>
    </row>
    <row r="21" spans="1:11" ht="43.95" customHeight="1" x14ac:dyDescent="0.3">
      <c r="B21" s="155" t="s">
        <v>26</v>
      </c>
      <c r="C21" s="156"/>
      <c r="D21" s="156"/>
      <c r="E21" s="156"/>
      <c r="F21" s="156"/>
      <c r="G21" s="156"/>
      <c r="H21" s="156"/>
      <c r="I21" s="156"/>
      <c r="J21" s="156"/>
      <c r="K21" s="156"/>
    </row>
    <row r="22" spans="1:11" ht="43.95" customHeight="1" x14ac:dyDescent="0.3">
      <c r="B22" s="155" t="s">
        <v>27</v>
      </c>
      <c r="C22" s="156"/>
      <c r="D22" s="156"/>
      <c r="E22" s="156"/>
      <c r="F22" s="156"/>
      <c r="G22" s="156"/>
      <c r="H22" s="156"/>
      <c r="I22" s="156"/>
      <c r="J22" s="156"/>
      <c r="K22" s="156"/>
    </row>
    <row r="24" spans="1:11" x14ac:dyDescent="0.3">
      <c r="A24" s="3" t="s">
        <v>28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30" customHeight="1" x14ac:dyDescent="0.3">
      <c r="B25" s="16" t="s">
        <v>29</v>
      </c>
      <c r="C25" s="155" t="s">
        <v>30</v>
      </c>
      <c r="D25" s="156"/>
      <c r="E25" s="156"/>
      <c r="F25" s="156"/>
      <c r="G25" s="156"/>
      <c r="H25" s="156"/>
      <c r="I25" s="156"/>
      <c r="J25" s="156"/>
      <c r="K25" s="156"/>
    </row>
    <row r="26" spans="1:11" ht="30" customHeight="1" x14ac:dyDescent="0.3">
      <c r="B26" s="16" t="s">
        <v>31</v>
      </c>
      <c r="C26" s="155" t="s">
        <v>32</v>
      </c>
      <c r="D26" s="156"/>
      <c r="E26" s="156"/>
      <c r="F26" s="156"/>
      <c r="G26" s="156"/>
      <c r="H26" s="156"/>
      <c r="I26" s="156"/>
      <c r="J26" s="156"/>
      <c r="K26" s="156"/>
    </row>
    <row r="27" spans="1:11" ht="30" customHeight="1" x14ac:dyDescent="0.3">
      <c r="B27" s="16" t="s">
        <v>33</v>
      </c>
      <c r="C27" s="155" t="s">
        <v>34</v>
      </c>
      <c r="D27" s="156"/>
      <c r="E27" s="156"/>
      <c r="F27" s="156"/>
      <c r="G27" s="156"/>
      <c r="H27" s="156"/>
      <c r="I27" s="156"/>
      <c r="J27" s="156"/>
      <c r="K27" s="156"/>
    </row>
    <row r="28" spans="1:11" ht="30" customHeight="1" x14ac:dyDescent="0.3">
      <c r="B28" s="16" t="s">
        <v>35</v>
      </c>
      <c r="C28" s="155" t="s">
        <v>36</v>
      </c>
      <c r="D28" s="156"/>
      <c r="E28" s="156"/>
      <c r="F28" s="156"/>
      <c r="G28" s="156"/>
      <c r="H28" s="156"/>
      <c r="I28" s="156"/>
      <c r="J28" s="156"/>
      <c r="K28" s="156"/>
    </row>
    <row r="29" spans="1:11" ht="30" customHeight="1" x14ac:dyDescent="0.3">
      <c r="B29" s="16" t="s">
        <v>37</v>
      </c>
      <c r="C29" s="155" t="s">
        <v>38</v>
      </c>
      <c r="D29" s="156"/>
      <c r="E29" s="156"/>
      <c r="F29" s="156"/>
      <c r="G29" s="156"/>
      <c r="H29" s="156"/>
      <c r="I29" s="156"/>
      <c r="J29" s="156"/>
      <c r="K29" s="156"/>
    </row>
    <row r="30" spans="1:11" ht="30" customHeight="1" x14ac:dyDescent="0.3">
      <c r="B30" s="16" t="s">
        <v>39</v>
      </c>
      <c r="C30" s="155" t="s">
        <v>40</v>
      </c>
      <c r="D30" s="156"/>
      <c r="E30" s="156"/>
      <c r="F30" s="156"/>
      <c r="G30" s="156"/>
      <c r="H30" s="156"/>
      <c r="I30" s="156"/>
      <c r="J30" s="156"/>
      <c r="K30" s="156"/>
    </row>
    <row r="31" spans="1:11" ht="30" customHeight="1" x14ac:dyDescent="0.3">
      <c r="B31" s="16" t="s">
        <v>41</v>
      </c>
      <c r="C31" s="155" t="s">
        <v>42</v>
      </c>
      <c r="D31" s="156"/>
      <c r="E31" s="156"/>
      <c r="F31" s="156"/>
      <c r="G31" s="156"/>
      <c r="H31" s="156"/>
      <c r="I31" s="156"/>
      <c r="J31" s="156"/>
      <c r="K31" s="156"/>
    </row>
    <row r="32" spans="1:11" ht="30" customHeight="1" x14ac:dyDescent="0.3">
      <c r="B32" s="16" t="s">
        <v>43</v>
      </c>
      <c r="C32" s="155" t="s">
        <v>44</v>
      </c>
      <c r="D32" s="156"/>
      <c r="E32" s="156"/>
      <c r="F32" s="156"/>
      <c r="G32" s="156"/>
      <c r="H32" s="156"/>
      <c r="I32" s="156"/>
      <c r="J32" s="156"/>
      <c r="K32" s="156"/>
    </row>
    <row r="33" spans="1:11" ht="30" customHeight="1" x14ac:dyDescent="0.3">
      <c r="B33" s="16" t="s">
        <v>45</v>
      </c>
      <c r="C33" s="155" t="s">
        <v>46</v>
      </c>
      <c r="D33" s="156"/>
      <c r="E33" s="156"/>
      <c r="F33" s="156"/>
      <c r="G33" s="156"/>
      <c r="H33" s="156"/>
      <c r="I33" s="156"/>
      <c r="J33" s="156"/>
      <c r="K33" s="156"/>
    </row>
    <row r="35" spans="1:11" x14ac:dyDescent="0.3">
      <c r="A35" s="3" t="s">
        <v>47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8" customHeight="1" x14ac:dyDescent="0.3">
      <c r="B36" s="17" t="s">
        <v>48</v>
      </c>
      <c r="C36" s="18" t="s">
        <v>49</v>
      </c>
      <c r="D36" s="18" t="s">
        <v>50</v>
      </c>
      <c r="E36" s="18" t="s">
        <v>51</v>
      </c>
      <c r="F36" s="18" t="s">
        <v>52</v>
      </c>
      <c r="G36" s="18" t="s">
        <v>53</v>
      </c>
    </row>
    <row r="37" spans="1:11" x14ac:dyDescent="0.3">
      <c r="A37" s="7"/>
      <c r="B37" s="7" t="s">
        <v>54</v>
      </c>
      <c r="C37" s="19">
        <v>4744.3221199999998</v>
      </c>
      <c r="D37" s="20">
        <v>4804.0355</v>
      </c>
      <c r="E37" s="21">
        <v>4680.8999966296178</v>
      </c>
      <c r="F37" s="22">
        <f>D37/C37-1</f>
        <v>1.2586282821791306E-2</v>
      </c>
      <c r="G37" s="22">
        <f>E37/C37-1</f>
        <v>-1.3368005326413579E-2</v>
      </c>
    </row>
    <row r="38" spans="1:11" x14ac:dyDescent="0.3">
      <c r="A38" s="7"/>
      <c r="B38" s="7" t="s">
        <v>55</v>
      </c>
      <c r="C38" s="23">
        <v>0.11527</v>
      </c>
      <c r="D38" s="24">
        <v>9.8900000000000002E-2</v>
      </c>
      <c r="E38" s="25">
        <v>8.5000000000000006E-2</v>
      </c>
      <c r="F38" s="26">
        <f>D38-C38</f>
        <v>-1.6369999999999996E-2</v>
      </c>
      <c r="G38" s="26">
        <f>E38-C38</f>
        <v>-3.0269999999999991E-2</v>
      </c>
    </row>
    <row r="39" spans="1:11" x14ac:dyDescent="0.3">
      <c r="A39" s="7"/>
      <c r="B39" s="7" t="s">
        <v>56</v>
      </c>
      <c r="C39" s="19">
        <v>2361.5217899999998</v>
      </c>
      <c r="D39" s="20">
        <v>2419.6424999999999</v>
      </c>
      <c r="E39" s="21">
        <v>2289.815228356711</v>
      </c>
      <c r="F39" s="22">
        <f>D39/C39-1</f>
        <v>2.4611549317950621E-2</v>
      </c>
      <c r="G39" s="22">
        <f>E39/C39-1</f>
        <v>-3.03645564258328E-2</v>
      </c>
    </row>
    <row r="40" spans="1:11" x14ac:dyDescent="0.3">
      <c r="A40" s="7"/>
      <c r="B40" s="7" t="s">
        <v>57</v>
      </c>
      <c r="C40" s="23">
        <v>0.49775747309501822</v>
      </c>
      <c r="D40" s="24">
        <v>0.50366873850120397</v>
      </c>
      <c r="E40" s="25">
        <v>0.48918268495491118</v>
      </c>
      <c r="F40" s="26">
        <f>D40-C40</f>
        <v>5.9112654061857506E-3</v>
      </c>
      <c r="G40" s="26">
        <f>E40-C40</f>
        <v>-8.5747881401070369E-3</v>
      </c>
    </row>
    <row r="41" spans="1:11" x14ac:dyDescent="0.3">
      <c r="A41" s="7"/>
      <c r="B41" s="7" t="s">
        <v>58</v>
      </c>
      <c r="C41" s="27">
        <v>2.8453900000000001</v>
      </c>
      <c r="D41" s="28">
        <v>2.9071598815524831</v>
      </c>
      <c r="E41" s="29">
        <v>2.7144969286287441</v>
      </c>
      <c r="F41" s="22">
        <f>D41/C41-1</f>
        <v>2.1708757517416855E-2</v>
      </c>
      <c r="G41" s="22">
        <f>E41/C41-1</f>
        <v>-4.6001803398218133E-2</v>
      </c>
    </row>
    <row r="42" spans="1:11" x14ac:dyDescent="0.3">
      <c r="A42" s="7"/>
      <c r="B42" s="7" t="s">
        <v>59</v>
      </c>
      <c r="C42" s="19">
        <v>3161.8162699999998</v>
      </c>
      <c r="D42" s="20">
        <v>3178.1078000000002</v>
      </c>
      <c r="E42" s="21">
        <v>2965.8676775559729</v>
      </c>
      <c r="F42" s="22">
        <f>D42/C42-1</f>
        <v>5.1525859217620429E-3</v>
      </c>
      <c r="G42" s="22">
        <f>E42/C42-1</f>
        <v>-6.1973427837420436E-2</v>
      </c>
    </row>
    <row r="43" spans="1:11" x14ac:dyDescent="0.3">
      <c r="A43" s="7"/>
      <c r="B43" s="7" t="s">
        <v>60</v>
      </c>
      <c r="C43" s="19">
        <v>913.68388000000004</v>
      </c>
      <c r="D43" s="20">
        <v>898.87164132527096</v>
      </c>
      <c r="E43" s="21">
        <v>699.60783868535009</v>
      </c>
      <c r="F43" s="22">
        <f>D43/C43-1</f>
        <v>-1.6211557409471999E-2</v>
      </c>
      <c r="G43" s="22">
        <f>E43/C43-1</f>
        <v>-0.23429989956115893</v>
      </c>
    </row>
    <row r="44" spans="1:11" x14ac:dyDescent="0.3">
      <c r="A44" s="7"/>
      <c r="B44" s="7" t="s">
        <v>61</v>
      </c>
      <c r="C44" s="19">
        <v>14189.557049999999</v>
      </c>
      <c r="D44" s="20">
        <v>14268.1433</v>
      </c>
      <c r="E44" s="21">
        <v>13932.76767418559</v>
      </c>
      <c r="F44" s="22">
        <f>D44/C44-1</f>
        <v>5.5383159405952842E-3</v>
      </c>
      <c r="G44" s="22">
        <f>E44/C44-1</f>
        <v>-1.8097067787920085E-2</v>
      </c>
    </row>
    <row r="45" spans="1:11" x14ac:dyDescent="0.3">
      <c r="A45" s="7"/>
      <c r="B45" s="7" t="s">
        <v>62</v>
      </c>
      <c r="C45" s="23">
        <v>0.35615785060746491</v>
      </c>
      <c r="D45" s="24">
        <v>0.35733550148219162</v>
      </c>
      <c r="E45" s="25">
        <v>0.34231698816587403</v>
      </c>
      <c r="F45" s="26">
        <f>D45-C45</f>
        <v>1.17765087472671E-3</v>
      </c>
      <c r="G45" s="26">
        <f>E45-C45</f>
        <v>-1.3840862441590884E-2</v>
      </c>
    </row>
    <row r="46" spans="1:11" x14ac:dyDescent="0.3">
      <c r="A46" s="7"/>
      <c r="B46" s="7" t="s">
        <v>63</v>
      </c>
      <c r="C46" s="27">
        <v>5.3125900000000001</v>
      </c>
      <c r="D46" s="28">
        <v>5.2760109836776561</v>
      </c>
      <c r="F46" s="22">
        <f>D46/C46-1</f>
        <v>-6.8853452501217438E-3</v>
      </c>
    </row>
    <row r="47" spans="1:11" x14ac:dyDescent="0.3">
      <c r="A47" s="7"/>
      <c r="B47" s="7" t="s">
        <v>64</v>
      </c>
      <c r="C47" s="19">
        <v>15819.339239999999</v>
      </c>
      <c r="D47" s="20">
        <v>15828.606599999999</v>
      </c>
      <c r="E47" s="21">
        <v>14913.511523502641</v>
      </c>
      <c r="F47" s="22">
        <f>D47/C47-1</f>
        <v>5.8582472121004869E-4</v>
      </c>
      <c r="G47" s="22">
        <f>E47/C47-1</f>
        <v>-5.7260780792090737E-2</v>
      </c>
    </row>
    <row r="48" spans="1:11" x14ac:dyDescent="0.3">
      <c r="A48" s="7"/>
      <c r="B48" s="7" t="s">
        <v>65</v>
      </c>
      <c r="C48" s="19">
        <v>5766.0991700000004</v>
      </c>
      <c r="D48" s="20">
        <v>5644.2042352917124</v>
      </c>
      <c r="E48" s="21">
        <v>4761.4353900764636</v>
      </c>
      <c r="F48" s="22">
        <f>D48/C48-1</f>
        <v>-2.1139930326291578E-2</v>
      </c>
      <c r="G48" s="22">
        <f>E48/C48-1</f>
        <v>-0.17423629915188166</v>
      </c>
    </row>
    <row r="49" spans="1:11" x14ac:dyDescent="0.3">
      <c r="A49" s="7"/>
      <c r="B49" s="7" t="s">
        <v>66</v>
      </c>
      <c r="C49" s="23">
        <v>0.36449684038762681</v>
      </c>
      <c r="D49" s="24">
        <v>0.35658250772949979</v>
      </c>
      <c r="E49" s="25">
        <v>0.31926990384342258</v>
      </c>
      <c r="F49" s="26">
        <f>D49-C49</f>
        <v>-7.9143326581270212E-3</v>
      </c>
      <c r="G49" s="26">
        <f>E49-C49</f>
        <v>-4.5226936544204233E-2</v>
      </c>
    </row>
    <row r="50" spans="1:11" x14ac:dyDescent="0.3">
      <c r="A50" s="7"/>
      <c r="B50" s="7" t="s">
        <v>67</v>
      </c>
      <c r="C50" s="27">
        <v>6.2275299999999998</v>
      </c>
      <c r="D50" s="28">
        <v>5.933136286313955</v>
      </c>
      <c r="E50" s="29">
        <v>4.5839263945318729</v>
      </c>
      <c r="F50" s="22">
        <f>D50/C50-1</f>
        <v>-4.7272949899244909E-2</v>
      </c>
      <c r="G50" s="22">
        <f>E50/C50-1</f>
        <v>-0.26392544162262199</v>
      </c>
    </row>
    <row r="52" spans="1:11" x14ac:dyDescent="0.3">
      <c r="A52" s="3" t="s">
        <v>68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43.95" customHeight="1" x14ac:dyDescent="0.3">
      <c r="B53" s="155" t="s">
        <v>69</v>
      </c>
      <c r="C53" s="156"/>
      <c r="D53" s="156"/>
      <c r="E53" s="156"/>
      <c r="F53" s="156"/>
      <c r="G53" s="156"/>
      <c r="H53" s="156"/>
      <c r="I53" s="156"/>
      <c r="J53" s="156"/>
      <c r="K53" s="156"/>
    </row>
    <row r="54" spans="1:11" ht="43.95" customHeight="1" x14ac:dyDescent="0.3">
      <c r="B54" s="155" t="s">
        <v>70</v>
      </c>
      <c r="C54" s="156"/>
      <c r="D54" s="156"/>
      <c r="E54" s="156"/>
      <c r="F54" s="156"/>
      <c r="G54" s="156"/>
      <c r="H54" s="156"/>
      <c r="I54" s="156"/>
      <c r="J54" s="156"/>
      <c r="K54" s="156"/>
    </row>
    <row r="55" spans="1:11" ht="43.95" customHeight="1" x14ac:dyDescent="0.3">
      <c r="B55" s="155" t="s">
        <v>71</v>
      </c>
      <c r="C55" s="156"/>
      <c r="D55" s="156"/>
      <c r="E55" s="156"/>
      <c r="F55" s="156"/>
      <c r="G55" s="156"/>
      <c r="H55" s="156"/>
      <c r="I55" s="156"/>
      <c r="J55" s="156"/>
      <c r="K55" s="156"/>
    </row>
    <row r="56" spans="1:11" ht="43.95" customHeight="1" x14ac:dyDescent="0.3">
      <c r="B56" s="155" t="s">
        <v>72</v>
      </c>
      <c r="C56" s="156"/>
      <c r="D56" s="156"/>
      <c r="E56" s="156"/>
      <c r="F56" s="156"/>
      <c r="G56" s="156"/>
      <c r="H56" s="156"/>
      <c r="I56" s="156"/>
      <c r="J56" s="156"/>
      <c r="K56" s="156"/>
    </row>
    <row r="57" spans="1:11" ht="43.95" customHeight="1" x14ac:dyDescent="0.3">
      <c r="B57" s="155" t="s">
        <v>73</v>
      </c>
      <c r="C57" s="156"/>
      <c r="D57" s="156"/>
      <c r="E57" s="156"/>
      <c r="F57" s="156"/>
      <c r="G57" s="156"/>
      <c r="H57" s="156"/>
      <c r="I57" s="156"/>
      <c r="J57" s="156"/>
      <c r="K57" s="156"/>
    </row>
    <row r="58" spans="1:11" ht="43.95" customHeight="1" x14ac:dyDescent="0.3">
      <c r="B58" s="155" t="s">
        <v>74</v>
      </c>
      <c r="C58" s="156"/>
      <c r="D58" s="156"/>
      <c r="E58" s="156"/>
      <c r="F58" s="156"/>
      <c r="G58" s="156"/>
      <c r="H58" s="156"/>
      <c r="I58" s="156"/>
      <c r="J58" s="156"/>
      <c r="K58" s="156"/>
    </row>
    <row r="60" spans="1:11" x14ac:dyDescent="0.3">
      <c r="A60" s="3" t="s">
        <v>75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43.95" customHeight="1" x14ac:dyDescent="0.3">
      <c r="B61" s="155" t="s">
        <v>76</v>
      </c>
      <c r="C61" s="156"/>
      <c r="D61" s="156"/>
      <c r="E61" s="156"/>
      <c r="F61" s="156"/>
      <c r="G61" s="156"/>
      <c r="H61" s="156"/>
      <c r="I61" s="156"/>
      <c r="J61" s="156"/>
      <c r="K61" s="156"/>
    </row>
    <row r="62" spans="1:11" ht="43.95" customHeight="1" x14ac:dyDescent="0.3">
      <c r="B62" s="155" t="s">
        <v>77</v>
      </c>
      <c r="C62" s="156"/>
      <c r="D62" s="156"/>
      <c r="E62" s="156"/>
      <c r="F62" s="156"/>
      <c r="G62" s="156"/>
      <c r="H62" s="156"/>
      <c r="I62" s="156"/>
      <c r="J62" s="156"/>
      <c r="K62" s="156"/>
    </row>
    <row r="63" spans="1:11" ht="43.95" customHeight="1" x14ac:dyDescent="0.3">
      <c r="B63" s="155" t="s">
        <v>78</v>
      </c>
      <c r="C63" s="156"/>
      <c r="D63" s="156"/>
      <c r="E63" s="156"/>
      <c r="F63" s="156"/>
      <c r="G63" s="156"/>
      <c r="H63" s="156"/>
      <c r="I63" s="156"/>
      <c r="J63" s="156"/>
      <c r="K63" s="156"/>
    </row>
    <row r="64" spans="1:11" ht="43.95" customHeight="1" x14ac:dyDescent="0.3">
      <c r="B64" s="155" t="s">
        <v>79</v>
      </c>
      <c r="C64" s="156"/>
      <c r="D64" s="156"/>
      <c r="E64" s="156"/>
      <c r="F64" s="156"/>
      <c r="G64" s="156"/>
      <c r="H64" s="156"/>
      <c r="I64" s="156"/>
      <c r="J64" s="156"/>
      <c r="K64" s="156"/>
    </row>
  </sheetData>
  <mergeCells count="25">
    <mergeCell ref="C25:K25"/>
    <mergeCell ref="C31:K31"/>
    <mergeCell ref="B55:K55"/>
    <mergeCell ref="B6:K6"/>
    <mergeCell ref="B20:K20"/>
    <mergeCell ref="B8:K8"/>
    <mergeCell ref="B53:K53"/>
    <mergeCell ref="C26:K26"/>
    <mergeCell ref="C29:K29"/>
    <mergeCell ref="B64:K64"/>
    <mergeCell ref="B63:K63"/>
    <mergeCell ref="C27:K27"/>
    <mergeCell ref="B7:K7"/>
    <mergeCell ref="B54:K54"/>
    <mergeCell ref="B62:K62"/>
    <mergeCell ref="C32:K32"/>
    <mergeCell ref="B22:K22"/>
    <mergeCell ref="B56:K56"/>
    <mergeCell ref="C28:K28"/>
    <mergeCell ref="B58:K58"/>
    <mergeCell ref="B21:K21"/>
    <mergeCell ref="C30:K30"/>
    <mergeCell ref="B61:K61"/>
    <mergeCell ref="C33:K33"/>
    <mergeCell ref="B57:K57"/>
  </mergeCells>
  <hyperlinks>
    <hyperlink ref="B25" location="'Income Statement'!A1" display="Income Statement" xr:uid="{00000000-0004-0000-0000-000000000000}"/>
    <hyperlink ref="B26" location="'Revenue Model'!A1" display="Revenue Model" xr:uid="{00000000-0004-0000-0000-000001000000}"/>
    <hyperlink ref="B27" location="'Margins'!A1" display="Margins" xr:uid="{00000000-0004-0000-0000-000002000000}"/>
    <hyperlink ref="B28" location="'Operating Schedules'!A1" display="Operating Schedules" xr:uid="{00000000-0004-0000-0000-000003000000}"/>
    <hyperlink ref="B29" location="'5 Nov &amp; Street'!A1" display="5 Nov &amp; Street" xr:uid="{00000000-0004-0000-0000-000004000000}"/>
    <hyperlink ref="B30" location="'Stock Chart'!A1" display="Stock Chart" xr:uid="{00000000-0004-0000-0000-000005000000}"/>
    <hyperlink ref="B31" location="'Reverse DCF - Mgmt'!A1" display="Reverse DCF - Mgmt" xr:uid="{00000000-0004-0000-0000-000006000000}"/>
    <hyperlink ref="B32" location="'Reverse DCF - Market'!A1" display="Reverse DCF - Market" xr:uid="{00000000-0004-0000-0000-000007000000}"/>
    <hyperlink ref="B33" location="'Scenario Data'!A1" display="Scenario Data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3"/>
  <sheetViews>
    <sheetView showGridLines="0" zoomScale="56" workbookViewId="0">
      <pane xSplit="1" ySplit="5" topLeftCell="B6" activePane="bottomRight" state="frozen"/>
      <selection pane="topRight"/>
      <selection pane="bottomLeft"/>
      <selection pane="bottomRight" activeCell="P15" sqref="P15"/>
    </sheetView>
  </sheetViews>
  <sheetFormatPr defaultRowHeight="14.4" x14ac:dyDescent="0.3"/>
  <cols>
    <col min="1" max="1" width="40" customWidth="1"/>
    <col min="2" max="21" width="9.44140625" customWidth="1"/>
    <col min="22" max="22" width="2" customWidth="1"/>
    <col min="23" max="27" width="11" customWidth="1"/>
    <col min="28" max="28" width="3" customWidth="1"/>
    <col min="29" max="29" width="60" customWidth="1"/>
  </cols>
  <sheetData>
    <row r="1" spans="1:28" ht="17.399999999999999" x14ac:dyDescent="0.3">
      <c r="A1" s="1" t="s">
        <v>80</v>
      </c>
    </row>
    <row r="2" spans="1:28" x14ac:dyDescent="0.3">
      <c r="A2" s="2" t="s">
        <v>81</v>
      </c>
    </row>
    <row r="3" spans="1:28" x14ac:dyDescent="0.3">
      <c r="A3" s="30" t="s">
        <v>82</v>
      </c>
      <c r="B3" s="157" t="s">
        <v>83</v>
      </c>
      <c r="C3" s="156"/>
      <c r="D3" s="156"/>
      <c r="E3" s="156"/>
      <c r="F3" s="156"/>
      <c r="G3" s="10" t="str">
        <f>INDEX('Scenario Data'!$M$5:$M$14,MATCH($B$3,'Scenario Data'!$L$5:$L$14,0))</f>
        <v>base</v>
      </c>
      <c r="H3" s="10" t="s">
        <v>84</v>
      </c>
    </row>
    <row r="4" spans="1:28" x14ac:dyDescent="0.3">
      <c r="B4" s="31" t="s">
        <v>85</v>
      </c>
      <c r="C4" s="31" t="s">
        <v>86</v>
      </c>
      <c r="D4" s="31" t="s">
        <v>87</v>
      </c>
      <c r="E4" s="31" t="s">
        <v>88</v>
      </c>
      <c r="F4" s="31" t="s">
        <v>89</v>
      </c>
      <c r="G4" s="31" t="s">
        <v>90</v>
      </c>
      <c r="H4" s="31" t="s">
        <v>91</v>
      </c>
      <c r="I4" s="31" t="s">
        <v>92</v>
      </c>
      <c r="J4" s="31" t="s">
        <v>93</v>
      </c>
      <c r="K4" s="31" t="s">
        <v>94</v>
      </c>
      <c r="L4" s="31" t="s">
        <v>95</v>
      </c>
      <c r="M4" s="31" t="s">
        <v>96</v>
      </c>
      <c r="N4" s="31" t="s">
        <v>97</v>
      </c>
      <c r="O4" s="31" t="s">
        <v>98</v>
      </c>
      <c r="P4" s="31" t="s">
        <v>99</v>
      </c>
      <c r="Q4" s="31" t="s">
        <v>100</v>
      </c>
      <c r="R4" s="31" t="s">
        <v>101</v>
      </c>
      <c r="S4" s="31" t="s">
        <v>102</v>
      </c>
      <c r="T4" s="31" t="s">
        <v>103</v>
      </c>
      <c r="U4" s="31" t="s">
        <v>104</v>
      </c>
      <c r="W4" s="10" t="s">
        <v>105</v>
      </c>
      <c r="X4" s="10" t="s">
        <v>106</v>
      </c>
      <c r="Y4" s="10" t="s">
        <v>107</v>
      </c>
      <c r="Z4" s="10" t="s">
        <v>108</v>
      </c>
      <c r="AA4" s="10" t="s">
        <v>109</v>
      </c>
    </row>
    <row r="5" spans="1:28" ht="18" customHeight="1" x14ac:dyDescent="0.3">
      <c r="A5" s="17" t="s">
        <v>110</v>
      </c>
      <c r="B5" s="18" t="s">
        <v>111</v>
      </c>
      <c r="C5" s="18" t="s">
        <v>112</v>
      </c>
      <c r="D5" s="18" t="s">
        <v>113</v>
      </c>
      <c r="E5" s="18" t="s">
        <v>114</v>
      </c>
      <c r="F5" s="18" t="s">
        <v>115</v>
      </c>
      <c r="G5" s="18" t="s">
        <v>116</v>
      </c>
      <c r="H5" s="18" t="s">
        <v>117</v>
      </c>
      <c r="I5" s="18" t="s">
        <v>118</v>
      </c>
      <c r="J5" s="18" t="s">
        <v>119</v>
      </c>
      <c r="K5" s="18" t="s">
        <v>120</v>
      </c>
      <c r="L5" s="18" t="s">
        <v>121</v>
      </c>
      <c r="M5" s="18" t="s">
        <v>122</v>
      </c>
      <c r="N5" s="18" t="s">
        <v>123</v>
      </c>
      <c r="O5" s="18" t="s">
        <v>124</v>
      </c>
      <c r="P5" s="18" t="s">
        <v>125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W5" s="18" t="s">
        <v>105</v>
      </c>
      <c r="X5" s="18" t="s">
        <v>106</v>
      </c>
      <c r="Y5" s="18" t="s">
        <v>107</v>
      </c>
      <c r="Z5" s="18" t="s">
        <v>131</v>
      </c>
      <c r="AA5" s="18" t="s">
        <v>132</v>
      </c>
    </row>
    <row r="6" spans="1:28" x14ac:dyDescent="0.3">
      <c r="A6" s="3" t="s">
        <v>133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3">
      <c r="A7" s="30" t="s">
        <v>134</v>
      </c>
      <c r="B7" s="32">
        <v>121.1</v>
      </c>
      <c r="C7" s="32">
        <v>115.1</v>
      </c>
      <c r="D7" s="32">
        <v>113.2</v>
      </c>
      <c r="E7" s="32">
        <v>98.8</v>
      </c>
      <c r="F7" s="32">
        <v>132.6</v>
      </c>
      <c r="G7" s="32">
        <v>125.1</v>
      </c>
      <c r="H7" s="32">
        <v>122.8</v>
      </c>
      <c r="I7" s="32">
        <v>111</v>
      </c>
      <c r="J7" s="32">
        <v>143.1</v>
      </c>
      <c r="K7" s="32">
        <v>134.4</v>
      </c>
      <c r="L7" s="32">
        <v>133.6</v>
      </c>
      <c r="M7" s="32">
        <v>121.9</v>
      </c>
      <c r="N7" s="32">
        <v>156.19999999999999</v>
      </c>
      <c r="O7" s="32">
        <v>148.30000000000001</v>
      </c>
      <c r="P7" s="33">
        <f>INDEX('Scenario Data'!$D$5:$I$345,MATCH($G$3&amp;"|nights_m",'Scenario Data'!$A$5:$A$345,0),MATCH(P$4,'Scenario Data'!$D$4:$I$4,0))</f>
        <v>146.81299999999999</v>
      </c>
      <c r="Q7" s="33">
        <f>INDEX('Scenario Data'!$D$5:$I$345,MATCH($G$3&amp;"|nights_m",'Scenario Data'!$A$5:$A$345,0),MATCH(Q$4,'Scenario Data'!$D$4:$I$4,0))</f>
        <v>131.79830000000001</v>
      </c>
      <c r="R7" s="33">
        <f>INDEX('Scenario Data'!$D$5:$I$345,MATCH($G$3&amp;"|nights_m",'Scenario Data'!$A$5:$A$345,0),MATCH(R$4,'Scenario Data'!$D$4:$I$4,0))</f>
        <v>169.01779999999999</v>
      </c>
      <c r="S7" s="33">
        <f>INDEX('Scenario Data'!$D$5:$I$345,MATCH($G$3&amp;"|nights_m",'Scenario Data'!$A$5:$A$345,0),MATCH(S$4,'Scenario Data'!$D$4:$I$4,0))</f>
        <v>157.1001</v>
      </c>
      <c r="T7" s="33">
        <f>INDEX('Scenario Data'!$D$5:$I$345,MATCH($G$3&amp;"|nights_m",'Scenario Data'!$A$5:$A$345,0),MATCH(T$4,'Scenario Data'!$D$4:$I$4,0))</f>
        <v>155.958</v>
      </c>
      <c r="U7" s="33">
        <f>INDEX('Scenario Data'!$D$5:$I$345,MATCH($G$3&amp;"|nights_m",'Scenario Data'!$A$5:$A$345,0),MATCH(U$4,'Scenario Data'!$D$4:$I$4,0))</f>
        <v>139.7655</v>
      </c>
      <c r="W7" s="32">
        <v>448.2</v>
      </c>
      <c r="X7" s="32">
        <v>491.5</v>
      </c>
      <c r="Y7" s="32">
        <v>533</v>
      </c>
      <c r="Z7" s="34">
        <f>SUM(N7:O7,P7:Q7)</f>
        <v>583.11130000000003</v>
      </c>
      <c r="AA7" s="34">
        <f>SUM(R7:U7)</f>
        <v>621.84139999999991</v>
      </c>
    </row>
    <row r="8" spans="1:28" x14ac:dyDescent="0.3">
      <c r="A8" s="7" t="s">
        <v>135</v>
      </c>
      <c r="F8" s="22">
        <f t="shared" ref="F8:U8" si="0">IFERROR(F7/B7-1,"")</f>
        <v>9.4962840627580425E-2</v>
      </c>
      <c r="G8" s="22">
        <f t="shared" si="0"/>
        <v>8.6880973066898459E-2</v>
      </c>
      <c r="H8" s="22">
        <f t="shared" si="0"/>
        <v>8.4805653710247286E-2</v>
      </c>
      <c r="I8" s="22">
        <f t="shared" si="0"/>
        <v>0.12348178137651833</v>
      </c>
      <c r="J8" s="22">
        <f t="shared" si="0"/>
        <v>7.9185520361990891E-2</v>
      </c>
      <c r="K8" s="22">
        <f t="shared" si="0"/>
        <v>7.4340527577937854E-2</v>
      </c>
      <c r="L8" s="22">
        <f t="shared" si="0"/>
        <v>8.7947882736156391E-2</v>
      </c>
      <c r="M8" s="22">
        <f t="shared" si="0"/>
        <v>9.8198198198198305E-2</v>
      </c>
      <c r="N8" s="22">
        <f t="shared" si="0"/>
        <v>9.1544374563242492E-2</v>
      </c>
      <c r="O8" s="22">
        <f t="shared" si="0"/>
        <v>0.10342261904761907</v>
      </c>
      <c r="P8" s="35">
        <f t="shared" si="0"/>
        <v>9.8899700598802376E-2</v>
      </c>
      <c r="Q8" s="35">
        <f t="shared" si="0"/>
        <v>8.1200164068909064E-2</v>
      </c>
      <c r="R8" s="35">
        <f t="shared" si="0"/>
        <v>8.2060179257362309E-2</v>
      </c>
      <c r="S8" s="35">
        <f t="shared" si="0"/>
        <v>5.9339851652056463E-2</v>
      </c>
      <c r="T8" s="35">
        <f t="shared" si="0"/>
        <v>6.2290124171565209E-2</v>
      </c>
      <c r="U8" s="35">
        <f t="shared" si="0"/>
        <v>6.0449945105513381E-2</v>
      </c>
      <c r="X8" s="22">
        <f>IFERROR(X7/W7-1,"")</f>
        <v>9.6608656849620722E-2</v>
      </c>
      <c r="Y8" s="22">
        <f>IFERROR(Y7/X7-1,"")</f>
        <v>8.4435401831129298E-2</v>
      </c>
      <c r="Z8" s="35">
        <f>IFERROR(Z7/Y7-1,"")</f>
        <v>9.401744840525339E-2</v>
      </c>
      <c r="AA8" s="35">
        <f>IFERROR(AA7/Z7-1,"")</f>
        <v>6.6419738392996086E-2</v>
      </c>
    </row>
    <row r="9" spans="1:28" x14ac:dyDescent="0.3">
      <c r="A9" s="30" t="s">
        <v>136</v>
      </c>
      <c r="B9" s="32">
        <v>20.399999999999999</v>
      </c>
      <c r="C9" s="32">
        <v>19.100000000000001</v>
      </c>
      <c r="D9" s="32">
        <v>18.3</v>
      </c>
      <c r="E9" s="32">
        <v>15.5</v>
      </c>
      <c r="F9" s="32">
        <v>22.9</v>
      </c>
      <c r="G9" s="32">
        <v>21.2</v>
      </c>
      <c r="H9" s="32">
        <v>20.100000000000001</v>
      </c>
      <c r="I9" s="32">
        <v>17.600000000000001</v>
      </c>
      <c r="J9" s="32">
        <v>24.5</v>
      </c>
      <c r="K9" s="32">
        <v>23.5</v>
      </c>
      <c r="L9" s="32">
        <v>22.9</v>
      </c>
      <c r="M9" s="32">
        <v>20.399999999999999</v>
      </c>
      <c r="N9" s="32">
        <v>29.2</v>
      </c>
      <c r="O9" s="32">
        <v>27.2</v>
      </c>
      <c r="P9" s="33">
        <f>INDEX('Scenario Data'!$D$5:$I$345,MATCH($G$3&amp;"|gbv_busd",'Scenario Data'!$A$5:$A$345,0),MATCH(P$4,'Scenario Data'!$D$4:$I$4,0))</f>
        <v>26.027999999999999</v>
      </c>
      <c r="Q9" s="33">
        <f>INDEX('Scenario Data'!$D$5:$I$345,MATCH($G$3&amp;"|gbv_busd",'Scenario Data'!$A$5:$A$345,0),MATCH(Q$4,'Scenario Data'!$D$4:$I$4,0))</f>
        <v>22.987300000000001</v>
      </c>
      <c r="R9" s="33">
        <f>INDEX('Scenario Data'!$D$5:$I$345,MATCH($G$3&amp;"|gbv_busd",'Scenario Data'!$A$5:$A$345,0),MATCH(R$4,'Scenario Data'!$D$4:$I$4,0))</f>
        <v>32.599600000000002</v>
      </c>
      <c r="S9" s="33">
        <f>INDEX('Scenario Data'!$D$5:$I$345,MATCH($G$3&amp;"|gbv_busd",'Scenario Data'!$A$5:$A$345,0),MATCH(S$4,'Scenario Data'!$D$4:$I$4,0))</f>
        <v>29.6479</v>
      </c>
      <c r="T9" s="33">
        <f>INDEX('Scenario Data'!$D$5:$I$345,MATCH($G$3&amp;"|gbv_busd",'Scenario Data'!$A$5:$A$345,0),MATCH(T$4,'Scenario Data'!$D$4:$I$4,0))</f>
        <v>28.390799999999999</v>
      </c>
      <c r="U9" s="33">
        <f>INDEX('Scenario Data'!$D$5:$I$345,MATCH($G$3&amp;"|gbv_busd",'Scenario Data'!$A$5:$A$345,0),MATCH(U$4,'Scenario Data'!$D$4:$I$4,0))</f>
        <v>24.834199999999999</v>
      </c>
      <c r="W9" s="32">
        <v>73.3</v>
      </c>
      <c r="X9" s="32">
        <v>81.8</v>
      </c>
      <c r="Y9" s="32">
        <v>91.3</v>
      </c>
      <c r="Z9" s="34">
        <f>SUM(N9:O9,P9:Q9)</f>
        <v>105.4153</v>
      </c>
      <c r="AA9" s="34">
        <f>SUM(R9:U9)</f>
        <v>115.4725</v>
      </c>
    </row>
    <row r="10" spans="1:28" x14ac:dyDescent="0.3">
      <c r="A10" s="7" t="s">
        <v>135</v>
      </c>
      <c r="F10" s="22">
        <f t="shared" ref="F10:U10" si="1">IFERROR(F9/B9-1,"")</f>
        <v>0.12254901960784315</v>
      </c>
      <c r="G10" s="22">
        <f t="shared" si="1"/>
        <v>0.10994764397905743</v>
      </c>
      <c r="H10" s="22">
        <f t="shared" si="1"/>
        <v>9.8360655737705027E-2</v>
      </c>
      <c r="I10" s="22">
        <f t="shared" si="1"/>
        <v>0.13548387096774195</v>
      </c>
      <c r="J10" s="22">
        <f t="shared" si="1"/>
        <v>6.9868995633187936E-2</v>
      </c>
      <c r="K10" s="22">
        <f t="shared" si="1"/>
        <v>0.10849056603773599</v>
      </c>
      <c r="L10" s="22">
        <f t="shared" si="1"/>
        <v>0.13930348258706449</v>
      </c>
      <c r="M10" s="22">
        <f t="shared" si="1"/>
        <v>0.15909090909090895</v>
      </c>
      <c r="N10" s="22">
        <f t="shared" si="1"/>
        <v>0.19183673469387763</v>
      </c>
      <c r="O10" s="22">
        <f t="shared" si="1"/>
        <v>0.15744680851063819</v>
      </c>
      <c r="P10" s="35">
        <f t="shared" si="1"/>
        <v>0.13659388646288217</v>
      </c>
      <c r="Q10" s="35">
        <f t="shared" si="1"/>
        <v>0.12682843137254918</v>
      </c>
      <c r="R10" s="35">
        <f t="shared" si="1"/>
        <v>0.11642465753424669</v>
      </c>
      <c r="S10" s="35">
        <f t="shared" si="1"/>
        <v>8.9996323529411892E-2</v>
      </c>
      <c r="T10" s="35">
        <f t="shared" si="1"/>
        <v>9.0779160903642131E-2</v>
      </c>
      <c r="U10" s="35">
        <f t="shared" si="1"/>
        <v>8.0344364061895046E-2</v>
      </c>
      <c r="X10" s="22">
        <f>IFERROR(X9/W9-1,"")</f>
        <v>0.1159618008185539</v>
      </c>
      <c r="Y10" s="22">
        <f>IFERROR(Y9/X9-1,"")</f>
        <v>0.11613691931540338</v>
      </c>
      <c r="Z10" s="35">
        <f>IFERROR(Z9/Y9-1,"")</f>
        <v>0.15460350492880615</v>
      </c>
      <c r="AA10" s="35">
        <f>IFERROR(AA9/Z9-1,"")</f>
        <v>9.5405505652405243E-2</v>
      </c>
    </row>
    <row r="11" spans="1:28" x14ac:dyDescent="0.3">
      <c r="A11" s="7" t="s">
        <v>137</v>
      </c>
      <c r="B11" s="36">
        <f t="shared" ref="B11:U11" si="2">IFERROR(B9/B7*1000,"")</f>
        <v>168.45582163501237</v>
      </c>
      <c r="C11" s="36">
        <f t="shared" si="2"/>
        <v>165.94265855777587</v>
      </c>
      <c r="D11" s="36">
        <f t="shared" si="2"/>
        <v>161.66077738515901</v>
      </c>
      <c r="E11" s="36">
        <f t="shared" si="2"/>
        <v>156.88259109311741</v>
      </c>
      <c r="F11" s="36">
        <f t="shared" si="2"/>
        <v>172.6998491704374</v>
      </c>
      <c r="G11" s="36">
        <f t="shared" si="2"/>
        <v>169.46442845723422</v>
      </c>
      <c r="H11" s="36">
        <f t="shared" si="2"/>
        <v>163.68078175895766</v>
      </c>
      <c r="I11" s="36">
        <f t="shared" si="2"/>
        <v>158.55855855855859</v>
      </c>
      <c r="J11" s="36">
        <f t="shared" si="2"/>
        <v>171.20894479385046</v>
      </c>
      <c r="K11" s="36">
        <f t="shared" si="2"/>
        <v>174.85119047619045</v>
      </c>
      <c r="L11" s="36">
        <f t="shared" si="2"/>
        <v>171.40718562874252</v>
      </c>
      <c r="M11" s="36">
        <f t="shared" si="2"/>
        <v>167.35028712059062</v>
      </c>
      <c r="N11" s="36">
        <f t="shared" si="2"/>
        <v>186.93982074263766</v>
      </c>
      <c r="O11" s="36">
        <f t="shared" si="2"/>
        <v>183.41200269723532</v>
      </c>
      <c r="P11" s="37">
        <f t="shared" si="2"/>
        <v>177.2867525355384</v>
      </c>
      <c r="Q11" s="37">
        <f t="shared" si="2"/>
        <v>174.41272004267125</v>
      </c>
      <c r="R11" s="37">
        <f t="shared" si="2"/>
        <v>192.87672659329374</v>
      </c>
      <c r="S11" s="37">
        <f t="shared" si="2"/>
        <v>188.71980348834916</v>
      </c>
      <c r="T11" s="37">
        <f t="shared" si="2"/>
        <v>182.04131881660444</v>
      </c>
      <c r="U11" s="37">
        <f t="shared" si="2"/>
        <v>177.68476483824691</v>
      </c>
      <c r="W11" s="36">
        <f>IFERROR(W9/W7*1000,"")</f>
        <v>163.54306113342255</v>
      </c>
      <c r="X11" s="36">
        <f>IFERROR(X9/X7*1000,"")</f>
        <v>166.42929806714142</v>
      </c>
      <c r="Y11" s="36">
        <f>IFERROR(Y9/Y7*1000,"")</f>
        <v>171.29455909943715</v>
      </c>
      <c r="Z11" s="37">
        <f>IFERROR(Z9/Z7*1000,"")</f>
        <v>180.78075317696639</v>
      </c>
      <c r="AA11" s="37">
        <f>IFERROR(AA9/AA7*1000,"")</f>
        <v>185.69445520996192</v>
      </c>
    </row>
    <row r="12" spans="1:28" x14ac:dyDescent="0.3">
      <c r="A12" s="7" t="s">
        <v>135</v>
      </c>
      <c r="F12" s="22">
        <f t="shared" ref="F12:U12" si="3">IFERROR(F11/B11-1,"")</f>
        <v>2.5193712477449504E-2</v>
      </c>
      <c r="G12" s="22">
        <f t="shared" si="3"/>
        <v>2.1222812326055385E-2</v>
      </c>
      <c r="H12" s="22">
        <f t="shared" si="3"/>
        <v>1.2495327601858452E-2</v>
      </c>
      <c r="I12" s="22">
        <f t="shared" si="3"/>
        <v>1.0682941005521807E-2</v>
      </c>
      <c r="J12" s="22">
        <f t="shared" si="3"/>
        <v>-8.6329222853899212E-3</v>
      </c>
      <c r="K12" s="22">
        <f t="shared" si="3"/>
        <v>3.1786977762803037E-2</v>
      </c>
      <c r="L12" s="22">
        <f t="shared" si="3"/>
        <v>4.720409926415825E-2</v>
      </c>
      <c r="M12" s="22">
        <f t="shared" si="3"/>
        <v>5.5447833544633784E-2</v>
      </c>
      <c r="N12" s="22">
        <f t="shared" si="3"/>
        <v>9.1881157072303932E-2</v>
      </c>
      <c r="O12" s="22">
        <f t="shared" si="3"/>
        <v>4.8960560106741768E-2</v>
      </c>
      <c r="P12" s="35">
        <f t="shared" si="3"/>
        <v>3.4301752783752359E-2</v>
      </c>
      <c r="Q12" s="35">
        <f t="shared" si="3"/>
        <v>4.2201498686354366E-2</v>
      </c>
      <c r="R12" s="35">
        <f t="shared" si="3"/>
        <v>3.1758379927139702E-2</v>
      </c>
      <c r="S12" s="35">
        <f t="shared" si="3"/>
        <v>2.8939222695668398E-2</v>
      </c>
      <c r="T12" s="35">
        <f t="shared" si="3"/>
        <v>2.6818508507075123E-2</v>
      </c>
      <c r="U12" s="35">
        <f t="shared" si="3"/>
        <v>1.8760356439456505E-2</v>
      </c>
      <c r="X12" s="22">
        <f>IFERROR(X11/W11-1,"")</f>
        <v>1.7648177267296061E-2</v>
      </c>
      <c r="Y12" s="22">
        <f>IFERROR(Y11/X11-1,"")</f>
        <v>2.9233200456886932E-2</v>
      </c>
      <c r="Z12" s="35">
        <f>IFERROR(Z11/Y11-1,"")</f>
        <v>5.5379424351841067E-2</v>
      </c>
      <c r="AA12" s="35">
        <f>IFERROR(AA11/Z11-1,"")</f>
        <v>2.7180448950699487E-2</v>
      </c>
    </row>
    <row r="14" spans="1:28" x14ac:dyDescent="0.3">
      <c r="A14" s="3" t="s">
        <v>138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3">
      <c r="A15" s="30" t="s">
        <v>139</v>
      </c>
      <c r="B15" s="38">
        <v>1818</v>
      </c>
      <c r="C15" s="38">
        <v>2484</v>
      </c>
      <c r="D15" s="38">
        <v>3397</v>
      </c>
      <c r="E15" s="38">
        <v>2218</v>
      </c>
      <c r="F15" s="38">
        <v>2142</v>
      </c>
      <c r="G15" s="38">
        <v>2748</v>
      </c>
      <c r="H15" s="38">
        <v>3732</v>
      </c>
      <c r="I15" s="38">
        <v>2480</v>
      </c>
      <c r="J15" s="38">
        <v>2272</v>
      </c>
      <c r="K15" s="38">
        <v>3096</v>
      </c>
      <c r="L15" s="38">
        <v>4095</v>
      </c>
      <c r="M15" s="38">
        <v>2778</v>
      </c>
      <c r="N15" s="38">
        <v>2678</v>
      </c>
      <c r="O15" s="38">
        <v>3608</v>
      </c>
      <c r="P15" s="39">
        <f>INDEX('Scenario Data'!$D$5:$I$345,MATCH($G$3&amp;"|revenue",'Scenario Data'!$A$5:$A$345,0),MATCH(P$4,'Scenario Data'!$D$4:$I$4,0))</f>
        <v>4804.0355</v>
      </c>
      <c r="Q15" s="39">
        <f>INDEX('Scenario Data'!$D$5:$I$345,MATCH($G$3&amp;"|revenue",'Scenario Data'!$A$5:$A$345,0),MATCH(Q$4,'Scenario Data'!$D$4:$I$4,0))</f>
        <v>3178.1078000000002</v>
      </c>
      <c r="R15" s="39">
        <f>INDEX('Scenario Data'!$D$5:$I$345,MATCH($G$3&amp;"|revenue",'Scenario Data'!$A$5:$A$345,0),MATCH(R$4,'Scenario Data'!$D$4:$I$4,0))</f>
        <v>3053.1293000000001</v>
      </c>
      <c r="S15" s="39">
        <f>INDEX('Scenario Data'!$D$5:$I$345,MATCH($G$3&amp;"|revenue",'Scenario Data'!$A$5:$A$345,0),MATCH(S$4,'Scenario Data'!$D$4:$I$4,0))</f>
        <v>4028.9807000000001</v>
      </c>
      <c r="T15" s="39">
        <f>INDEX('Scenario Data'!$D$5:$I$345,MATCH($G$3&amp;"|revenue",'Scenario Data'!$A$5:$A$345,0),MATCH(T$4,'Scenario Data'!$D$4:$I$4,0))</f>
        <v>5280.7325000000001</v>
      </c>
      <c r="U15" s="39">
        <f>INDEX('Scenario Data'!$D$5:$I$345,MATCH($G$3&amp;"|revenue",'Scenario Data'!$A$5:$A$345,0),MATCH(U$4,'Scenario Data'!$D$4:$I$4,0))</f>
        <v>3465.7640999999999</v>
      </c>
      <c r="W15" s="38">
        <v>9917</v>
      </c>
      <c r="X15" s="38">
        <v>11102</v>
      </c>
      <c r="Y15" s="38">
        <v>12241</v>
      </c>
      <c r="Z15" s="40">
        <f>SUM(N15:O15,P15:Q15)</f>
        <v>14268.1433</v>
      </c>
      <c r="AA15" s="40">
        <f>SUM(R15:U15)</f>
        <v>15828.606600000001</v>
      </c>
    </row>
    <row r="16" spans="1:28" x14ac:dyDescent="0.3">
      <c r="A16" s="7" t="s">
        <v>135</v>
      </c>
      <c r="F16" s="22">
        <f t="shared" ref="F16:U16" si="4">IFERROR(F15/B15-1,"")</f>
        <v>0.17821782178217815</v>
      </c>
      <c r="G16" s="22">
        <f t="shared" si="4"/>
        <v>0.106280193236715</v>
      </c>
      <c r="H16" s="22">
        <f t="shared" si="4"/>
        <v>9.8616426258463452E-2</v>
      </c>
      <c r="I16" s="22">
        <f t="shared" si="4"/>
        <v>0.11812443642921555</v>
      </c>
      <c r="J16" s="22">
        <f t="shared" si="4"/>
        <v>6.0690943043884227E-2</v>
      </c>
      <c r="K16" s="22">
        <f t="shared" si="4"/>
        <v>0.1266375545851528</v>
      </c>
      <c r="L16" s="22">
        <f t="shared" si="4"/>
        <v>9.726688102893899E-2</v>
      </c>
      <c r="M16" s="22">
        <f t="shared" si="4"/>
        <v>0.12016129032258061</v>
      </c>
      <c r="N16" s="22">
        <f t="shared" si="4"/>
        <v>0.17869718309859151</v>
      </c>
      <c r="O16" s="22">
        <f t="shared" si="4"/>
        <v>0.1653746770025839</v>
      </c>
      <c r="P16" s="35">
        <f t="shared" si="4"/>
        <v>0.17314664224664233</v>
      </c>
      <c r="Q16" s="35">
        <f t="shared" si="4"/>
        <v>0.14402728581713475</v>
      </c>
      <c r="R16" s="35">
        <f t="shared" si="4"/>
        <v>0.14007815533980583</v>
      </c>
      <c r="S16" s="35">
        <f t="shared" si="4"/>
        <v>0.11667979490022184</v>
      </c>
      <c r="T16" s="35">
        <f t="shared" si="4"/>
        <v>9.9228450747293584E-2</v>
      </c>
      <c r="U16" s="35">
        <f t="shared" si="4"/>
        <v>9.0511813350069303E-2</v>
      </c>
      <c r="X16" s="22">
        <f>IFERROR(X15/W15-1,"")</f>
        <v>0.11949178178884745</v>
      </c>
      <c r="Y16" s="22">
        <f>IFERROR(Y15/X15-1,"")</f>
        <v>0.10259412718429117</v>
      </c>
      <c r="Z16" s="35">
        <f>IFERROR(Z15/Y15-1,"")</f>
        <v>0.16560275304305194</v>
      </c>
      <c r="AA16" s="35">
        <f>IFERROR(AA15/Z15-1,"")</f>
        <v>0.10936694895684163</v>
      </c>
    </row>
    <row r="17" spans="1:29" x14ac:dyDescent="0.3">
      <c r="A17" s="7" t="s">
        <v>140</v>
      </c>
      <c r="B17" s="26">
        <f t="shared" ref="B17:U17" si="5">IFERROR(B15/B9/1000,"")</f>
        <v>8.9117647058823538E-2</v>
      </c>
      <c r="C17" s="26">
        <f t="shared" si="5"/>
        <v>0.13005235602094239</v>
      </c>
      <c r="D17" s="26">
        <f t="shared" si="5"/>
        <v>0.18562841530054644</v>
      </c>
      <c r="E17" s="26">
        <f t="shared" si="5"/>
        <v>0.14309677419354838</v>
      </c>
      <c r="F17" s="26">
        <f t="shared" si="5"/>
        <v>9.3537117903930142E-2</v>
      </c>
      <c r="G17" s="26">
        <f t="shared" si="5"/>
        <v>0.12962264150943398</v>
      </c>
      <c r="H17" s="26">
        <f t="shared" si="5"/>
        <v>0.18567164179104476</v>
      </c>
      <c r="I17" s="26">
        <f t="shared" si="5"/>
        <v>0.1409090909090909</v>
      </c>
      <c r="J17" s="26">
        <f t="shared" si="5"/>
        <v>9.2734693877551025E-2</v>
      </c>
      <c r="K17" s="26">
        <f t="shared" si="5"/>
        <v>0.13174468085106383</v>
      </c>
      <c r="L17" s="26">
        <f t="shared" si="5"/>
        <v>0.17882096069868997</v>
      </c>
      <c r="M17" s="26">
        <f t="shared" si="5"/>
        <v>0.13617647058823532</v>
      </c>
      <c r="N17" s="26">
        <f t="shared" si="5"/>
        <v>9.1712328767123291E-2</v>
      </c>
      <c r="O17" s="26">
        <f t="shared" si="5"/>
        <v>0.13264705882352942</v>
      </c>
      <c r="P17" s="41">
        <f t="shared" si="5"/>
        <v>0.18457182649454434</v>
      </c>
      <c r="Q17" s="41">
        <f t="shared" si="5"/>
        <v>0.13825494077164346</v>
      </c>
      <c r="R17" s="41">
        <f t="shared" si="5"/>
        <v>9.3655422152419052E-2</v>
      </c>
      <c r="S17" s="41">
        <f t="shared" si="5"/>
        <v>0.13589430280053563</v>
      </c>
      <c r="T17" s="41">
        <f t="shared" si="5"/>
        <v>0.1860015392310185</v>
      </c>
      <c r="U17" s="41">
        <f t="shared" si="5"/>
        <v>0.13955610005556851</v>
      </c>
      <c r="W17" s="26">
        <f>IFERROR(W15/W9/1000,"")</f>
        <v>0.13529331514324694</v>
      </c>
      <c r="X17" s="26">
        <f>IFERROR(X15/X9/1000,"")</f>
        <v>0.13572127139364304</v>
      </c>
      <c r="Y17" s="26">
        <f>IFERROR(Y15/Y9/1000,"")</f>
        <v>0.13407447973713033</v>
      </c>
      <c r="Z17" s="41">
        <f>IFERROR(Z15/Z9/1000,"")</f>
        <v>0.13535173072599516</v>
      </c>
      <c r="AA17" s="41">
        <f>IFERROR(AA15/AA9/1000,"")</f>
        <v>0.13707685033233022</v>
      </c>
    </row>
    <row r="19" spans="1:29" x14ac:dyDescent="0.3">
      <c r="A19" s="7" t="s">
        <v>141</v>
      </c>
      <c r="B19" s="42">
        <v>428</v>
      </c>
      <c r="C19" s="42">
        <v>432</v>
      </c>
      <c r="D19" s="42">
        <v>459</v>
      </c>
      <c r="E19" s="42">
        <v>384</v>
      </c>
      <c r="F19" s="42">
        <v>480</v>
      </c>
      <c r="G19" s="42">
        <v>506</v>
      </c>
      <c r="H19" s="42">
        <v>465</v>
      </c>
      <c r="I19" s="42">
        <v>427</v>
      </c>
      <c r="J19" s="42">
        <v>506</v>
      </c>
      <c r="K19" s="42">
        <v>544</v>
      </c>
      <c r="L19" s="42">
        <v>549</v>
      </c>
      <c r="M19" s="42">
        <v>487</v>
      </c>
      <c r="N19" s="42">
        <v>581</v>
      </c>
      <c r="O19" s="42">
        <v>633</v>
      </c>
      <c r="P19" s="43">
        <f>INDEX('Scenario Data'!$D$5:$I$345,MATCH($G$3&amp;"|cor_cash",'Scenario Data'!$A$5:$A$345,0),MATCH(P$4,'Scenario Data'!$D$4:$I$4,0))</f>
        <v>640.78411880236081</v>
      </c>
      <c r="Q19" s="43">
        <f>INDEX('Scenario Data'!$D$5:$I$345,MATCH($G$3&amp;"|cor_cash",'Scenario Data'!$A$5:$A$345,0),MATCH(Q$4,'Scenario Data'!$D$4:$I$4,0))</f>
        <v>578.03945746664272</v>
      </c>
      <c r="R19" s="43">
        <f>INDEX('Scenario Data'!$D$5:$I$345,MATCH($G$3&amp;"|cor_cash",'Scenario Data'!$A$5:$A$345,0),MATCH(R$4,'Scenario Data'!$D$4:$I$4,0))</f>
        <v>706.00358820286976</v>
      </c>
      <c r="S19" s="43">
        <f>INDEX('Scenario Data'!$D$5:$I$345,MATCH($G$3&amp;"|cor_cash",'Scenario Data'!$A$5:$A$345,0),MATCH(S$4,'Scenario Data'!$D$4:$I$4,0))</f>
        <v>727.29954297889071</v>
      </c>
      <c r="T19" s="43">
        <f>INDEX('Scenario Data'!$D$5:$I$345,MATCH($G$3&amp;"|cor_cash",'Scenario Data'!$A$5:$A$345,0),MATCH(T$4,'Scenario Data'!$D$4:$I$4,0))</f>
        <v>699.45367853399443</v>
      </c>
      <c r="U19" s="43">
        <f>INDEX('Scenario Data'!$D$5:$I$345,MATCH($G$3&amp;"|cor_cash",'Scenario Data'!$A$5:$A$345,0),MATCH(U$4,'Scenario Data'!$D$4:$I$4,0))</f>
        <v>626.85228201550058</v>
      </c>
      <c r="W19" s="42">
        <v>1703</v>
      </c>
      <c r="X19" s="42">
        <v>1878</v>
      </c>
      <c r="Y19" s="42">
        <v>2086</v>
      </c>
      <c r="Z19" s="44">
        <f>SUM(N19:O19,P19:Q19)</f>
        <v>2432.8235762690038</v>
      </c>
      <c r="AA19" s="44">
        <f>SUM(R19:U19)</f>
        <v>2759.6090917312549</v>
      </c>
    </row>
    <row r="20" spans="1:29" x14ac:dyDescent="0.3">
      <c r="A20" s="7" t="s">
        <v>142</v>
      </c>
      <c r="B20" s="42">
        <v>267</v>
      </c>
      <c r="C20" s="42">
        <v>298</v>
      </c>
      <c r="D20" s="42">
        <v>299</v>
      </c>
      <c r="E20" s="42">
        <v>254</v>
      </c>
      <c r="F20" s="42">
        <v>266</v>
      </c>
      <c r="G20" s="42">
        <v>314</v>
      </c>
      <c r="H20" s="42">
        <v>347</v>
      </c>
      <c r="I20" s="42">
        <v>265</v>
      </c>
      <c r="J20" s="42">
        <v>282</v>
      </c>
      <c r="K20" s="42">
        <v>309</v>
      </c>
      <c r="L20" s="42">
        <v>343</v>
      </c>
      <c r="M20" s="42">
        <v>303</v>
      </c>
      <c r="N20" s="42">
        <v>301</v>
      </c>
      <c r="O20" s="42">
        <v>323</v>
      </c>
      <c r="P20" s="43">
        <f>INDEX('Scenario Data'!$D$5:$I$345,MATCH($G$3&amp;"|ops_cash",'Scenario Data'!$A$5:$A$345,0),MATCH(P$4,'Scenario Data'!$D$4:$I$4,0))</f>
        <v>361.44308671083178</v>
      </c>
      <c r="Q20" s="43">
        <f>INDEX('Scenario Data'!$D$5:$I$345,MATCH($G$3&amp;"|ops_cash",'Scenario Data'!$A$5:$A$345,0),MATCH(Q$4,'Scenario Data'!$D$4:$I$4,0))</f>
        <v>318.28709448714312</v>
      </c>
      <c r="R20" s="43">
        <f>INDEX('Scenario Data'!$D$5:$I$345,MATCH($G$3&amp;"|ops_cash",'Scenario Data'!$A$5:$A$345,0),MATCH(R$4,'Scenario Data'!$D$4:$I$4,0))</f>
        <v>319.0860911068342</v>
      </c>
      <c r="S20" s="43">
        <f>INDEX('Scenario Data'!$D$5:$I$345,MATCH($G$3&amp;"|ops_cash",'Scenario Data'!$A$5:$A$345,0),MATCH(S$4,'Scenario Data'!$D$4:$I$4,0))</f>
        <v>340.96824359815412</v>
      </c>
      <c r="T20" s="43">
        <f>INDEX('Scenario Data'!$D$5:$I$345,MATCH($G$3&amp;"|ops_cash",'Scenario Data'!$A$5:$A$345,0),MATCH(T$4,'Scenario Data'!$D$4:$I$4,0))</f>
        <v>381.75909553671619</v>
      </c>
      <c r="U20" s="43">
        <f>INDEX('Scenario Data'!$D$5:$I$345,MATCH($G$3&amp;"|ops_cash",'Scenario Data'!$A$5:$A$345,0),MATCH(U$4,'Scenario Data'!$D$4:$I$4,0))</f>
        <v>336.06248136625692</v>
      </c>
      <c r="W20" s="42">
        <v>1118</v>
      </c>
      <c r="X20" s="42">
        <v>1192</v>
      </c>
      <c r="Y20" s="42">
        <v>1237</v>
      </c>
      <c r="Z20" s="44">
        <f>SUM(N20:O20,P20:Q20)</f>
        <v>1303.7301811979748</v>
      </c>
      <c r="AA20" s="44">
        <f>SUM(R20:U20)</f>
        <v>1377.8759116079614</v>
      </c>
    </row>
    <row r="21" spans="1:29" x14ac:dyDescent="0.3">
      <c r="A21" s="7" t="s">
        <v>143</v>
      </c>
      <c r="B21" s="42">
        <v>271</v>
      </c>
      <c r="C21" s="42">
        <v>260</v>
      </c>
      <c r="D21" s="42">
        <v>244</v>
      </c>
      <c r="E21" s="42">
        <v>253</v>
      </c>
      <c r="F21" s="42">
        <v>290</v>
      </c>
      <c r="G21" s="42">
        <v>280</v>
      </c>
      <c r="H21" s="42">
        <v>294</v>
      </c>
      <c r="I21" s="42">
        <v>306</v>
      </c>
      <c r="J21" s="42">
        <v>338</v>
      </c>
      <c r="K21" s="42">
        <v>331</v>
      </c>
      <c r="L21" s="42">
        <v>333</v>
      </c>
      <c r="M21" s="42">
        <v>335</v>
      </c>
      <c r="N21" s="42">
        <v>375</v>
      </c>
      <c r="O21" s="42">
        <v>374</v>
      </c>
      <c r="P21" s="43">
        <f>INDEX('Scenario Data'!$D$5:$I$345,MATCH($G$3&amp;"|pd_cash",'Scenario Data'!$A$5:$A$345,0),MATCH(P$4,'Scenario Data'!$D$4:$I$4,0))</f>
        <v>359.09488166867231</v>
      </c>
      <c r="Q21" s="43">
        <f>INDEX('Scenario Data'!$D$5:$I$345,MATCH($G$3&amp;"|pd_cash",'Scenario Data'!$A$5:$A$345,0),MATCH(Q$4,'Scenario Data'!$D$4:$I$4,0))</f>
        <v>369.02511833132769</v>
      </c>
      <c r="R21" s="43">
        <f>INDEX('Scenario Data'!$D$5:$I$345,MATCH($G$3&amp;"|pd_cash",'Scenario Data'!$A$5:$A$345,0),MATCH(R$4,'Scenario Data'!$D$4:$I$4,0))</f>
        <v>414.12379008000011</v>
      </c>
      <c r="S21" s="43">
        <f>INDEX('Scenario Data'!$D$5:$I$345,MATCH($G$3&amp;"|pd_cash",'Scenario Data'!$A$5:$A$345,0),MATCH(S$4,'Scenario Data'!$D$4:$I$4,0))</f>
        <v>400.79641536000003</v>
      </c>
      <c r="T21" s="43">
        <f>INDEX('Scenario Data'!$D$5:$I$345,MATCH($G$3&amp;"|pd_cash",'Scenario Data'!$A$5:$A$345,0),MATCH(T$4,'Scenario Data'!$D$4:$I$4,0))</f>
        <v>399.65871263999998</v>
      </c>
      <c r="U21" s="43">
        <f>INDEX('Scenario Data'!$D$5:$I$345,MATCH($G$3&amp;"|pd_cash",'Scenario Data'!$A$5:$A$345,0),MATCH(U$4,'Scenario Data'!$D$4:$I$4,0))</f>
        <v>410.71068192000001</v>
      </c>
      <c r="W21" s="42">
        <v>1028</v>
      </c>
      <c r="X21" s="42">
        <v>1170</v>
      </c>
      <c r="Y21" s="42">
        <v>1337</v>
      </c>
      <c r="Z21" s="44">
        <f>SUM(N21:O21,P21:Q21)</f>
        <v>1477.12</v>
      </c>
      <c r="AA21" s="44">
        <f>SUM(R21:U21)</f>
        <v>1625.2896000000003</v>
      </c>
    </row>
    <row r="22" spans="1:29" x14ac:dyDescent="0.3">
      <c r="A22" s="7" t="s">
        <v>144</v>
      </c>
      <c r="B22" s="42">
        <v>422</v>
      </c>
      <c r="C22" s="42">
        <v>450</v>
      </c>
      <c r="D22" s="42">
        <v>370</v>
      </c>
      <c r="E22" s="42">
        <v>391</v>
      </c>
      <c r="F22" s="42">
        <v>479</v>
      </c>
      <c r="G22" s="42">
        <v>527</v>
      </c>
      <c r="H22" s="42">
        <v>471</v>
      </c>
      <c r="I22" s="42">
        <v>501</v>
      </c>
      <c r="J22" s="42">
        <v>519</v>
      </c>
      <c r="K22" s="42">
        <v>639</v>
      </c>
      <c r="L22" s="42">
        <v>585</v>
      </c>
      <c r="M22" s="42">
        <v>633</v>
      </c>
      <c r="N22" s="42">
        <v>696</v>
      </c>
      <c r="O22" s="42">
        <v>808</v>
      </c>
      <c r="P22" s="43">
        <f>INDEX('Scenario Data'!$D$5:$I$345,MATCH($G$3&amp;"|sm_cash",'Scenario Data'!$A$5:$A$345,0),MATCH(P$4,'Scenario Data'!$D$4:$I$4,0))</f>
        <v>778.31581281572915</v>
      </c>
      <c r="Q22" s="43">
        <f>INDEX('Scenario Data'!$D$5:$I$345,MATCH($G$3&amp;"|sm_cash",'Scenario Data'!$A$5:$A$345,0),MATCH(Q$4,'Scenario Data'!$D$4:$I$4,0))</f>
        <v>758.10752959183674</v>
      </c>
      <c r="R22" s="43">
        <f>INDEX('Scenario Data'!$D$5:$I$345,MATCH($G$3&amp;"|sm_cash",'Scenario Data'!$A$5:$A$345,0),MATCH(R$4,'Scenario Data'!$D$4:$I$4,0))</f>
        <v>829.27178741135731</v>
      </c>
      <c r="S22" s="43">
        <f>INDEX('Scenario Data'!$D$5:$I$345,MATCH($G$3&amp;"|sm_cash",'Scenario Data'!$A$5:$A$345,0),MATCH(S$4,'Scenario Data'!$D$4:$I$4,0))</f>
        <v>935.13627091067963</v>
      </c>
      <c r="T22" s="43">
        <f>INDEX('Scenario Data'!$D$5:$I$345,MATCH($G$3&amp;"|sm_cash",'Scenario Data'!$A$5:$A$345,0),MATCH(T$4,'Scenario Data'!$D$4:$I$4,0))</f>
        <v>819.93080357318183</v>
      </c>
      <c r="U22" s="43">
        <f>INDEX('Scenario Data'!$D$5:$I$345,MATCH($G$3&amp;"|sm_cash",'Scenario Data'!$A$5:$A$345,0),MATCH(U$4,'Scenario Data'!$D$4:$I$4,0))</f>
        <v>875.28478187348117</v>
      </c>
      <c r="W22" s="42">
        <v>1633</v>
      </c>
      <c r="X22" s="42">
        <v>1978</v>
      </c>
      <c r="Y22" s="42">
        <v>2376</v>
      </c>
      <c r="Z22" s="44">
        <f>SUM(N22:O22,P22:Q22)</f>
        <v>3040.423342407566</v>
      </c>
      <c r="AA22" s="44">
        <f>SUM(R22:U22)</f>
        <v>3459.6236437687003</v>
      </c>
    </row>
    <row r="23" spans="1:29" x14ac:dyDescent="0.3">
      <c r="A23" s="7" t="s">
        <v>145</v>
      </c>
      <c r="B23" s="42">
        <v>191</v>
      </c>
      <c r="C23" s="42">
        <v>219</v>
      </c>
      <c r="D23" s="42">
        <v>202</v>
      </c>
      <c r="E23" s="42">
        <v>211</v>
      </c>
      <c r="F23" s="42">
        <v>223</v>
      </c>
      <c r="G23" s="42">
        <v>242</v>
      </c>
      <c r="H23" s="42">
        <v>210</v>
      </c>
      <c r="I23" s="42">
        <v>226</v>
      </c>
      <c r="J23" s="42">
        <v>235</v>
      </c>
      <c r="K23" s="42">
        <v>244</v>
      </c>
      <c r="L23" s="42">
        <v>257</v>
      </c>
      <c r="M23" s="42">
        <v>259</v>
      </c>
      <c r="N23" s="42">
        <v>226</v>
      </c>
      <c r="O23" s="42">
        <v>227</v>
      </c>
      <c r="P23" s="43">
        <f>INDEX('Scenario Data'!$D$5:$I$345,MATCH($G$3&amp;"|ga_cash",'Scenario Data'!$A$5:$A$345,0),MATCH(P$4,'Scenario Data'!$D$4:$I$4,0))</f>
        <v>265.38907060231361</v>
      </c>
      <c r="Q23" s="43">
        <f>INDEX('Scenario Data'!$D$5:$I$345,MATCH($G$3&amp;"|ga_cash",'Scenario Data'!$A$5:$A$345,0),MATCH(Q$4,'Scenario Data'!$D$4:$I$4,0))</f>
        <v>276.41092939768652</v>
      </c>
      <c r="R23" s="43">
        <f>INDEX('Scenario Data'!$D$5:$I$345,MATCH($G$3&amp;"|ga_cash",'Scenario Data'!$A$5:$A$345,0),MATCH(R$4,'Scenario Data'!$D$4:$I$4,0))</f>
        <v>249.22724400000001</v>
      </c>
      <c r="S23" s="43">
        <f>INDEX('Scenario Data'!$D$5:$I$345,MATCH($G$3&amp;"|ga_cash",'Scenario Data'!$A$5:$A$345,0),MATCH(S$4,'Scenario Data'!$D$4:$I$4,0))</f>
        <v>271.58040000000011</v>
      </c>
      <c r="T23" s="43">
        <f>INDEX('Scenario Data'!$D$5:$I$345,MATCH($G$3&amp;"|ga_cash",'Scenario Data'!$A$5:$A$345,0),MATCH(T$4,'Scenario Data'!$D$4:$I$4,0))</f>
        <v>256.53902399999998</v>
      </c>
      <c r="U23" s="43">
        <f>INDEX('Scenario Data'!$D$5:$I$345,MATCH($G$3&amp;"|ga_cash",'Scenario Data'!$A$5:$A$345,0),MATCH(U$4,'Scenario Data'!$D$4:$I$4,0))</f>
        <v>267.19333200000011</v>
      </c>
      <c r="W23" s="42">
        <v>823</v>
      </c>
      <c r="X23" s="42">
        <v>901</v>
      </c>
      <c r="Y23" s="42">
        <v>995</v>
      </c>
      <c r="Z23" s="44">
        <f>SUM(N23:O23,P23:Q23)</f>
        <v>994.80000000000018</v>
      </c>
      <c r="AA23" s="44">
        <f>SUM(R23:U23)</f>
        <v>1044.5400000000002</v>
      </c>
    </row>
    <row r="24" spans="1:29" x14ac:dyDescent="0.3">
      <c r="A24" s="30" t="s">
        <v>146</v>
      </c>
      <c r="B24" s="45">
        <f t="shared" ref="B24:U24" si="6">SUM(B19:B23)</f>
        <v>1579</v>
      </c>
      <c r="C24" s="45">
        <f t="shared" si="6"/>
        <v>1659</v>
      </c>
      <c r="D24" s="45">
        <f t="shared" si="6"/>
        <v>1574</v>
      </c>
      <c r="E24" s="45">
        <f t="shared" si="6"/>
        <v>1493</v>
      </c>
      <c r="F24" s="45">
        <f t="shared" si="6"/>
        <v>1738</v>
      </c>
      <c r="G24" s="45">
        <f t="shared" si="6"/>
        <v>1869</v>
      </c>
      <c r="H24" s="45">
        <f t="shared" si="6"/>
        <v>1787</v>
      </c>
      <c r="I24" s="45">
        <f t="shared" si="6"/>
        <v>1725</v>
      </c>
      <c r="J24" s="45">
        <f t="shared" si="6"/>
        <v>1880</v>
      </c>
      <c r="K24" s="45">
        <f t="shared" si="6"/>
        <v>2067</v>
      </c>
      <c r="L24" s="45">
        <f t="shared" si="6"/>
        <v>2067</v>
      </c>
      <c r="M24" s="45">
        <f t="shared" si="6"/>
        <v>2017</v>
      </c>
      <c r="N24" s="45">
        <f t="shared" si="6"/>
        <v>2179</v>
      </c>
      <c r="O24" s="45">
        <f t="shared" si="6"/>
        <v>2365</v>
      </c>
      <c r="P24" s="40">
        <f t="shared" si="6"/>
        <v>2405.0269705999076</v>
      </c>
      <c r="Q24" s="40">
        <f t="shared" si="6"/>
        <v>2299.8701292746368</v>
      </c>
      <c r="R24" s="40">
        <f t="shared" si="6"/>
        <v>2517.7125008010617</v>
      </c>
      <c r="S24" s="40">
        <f t="shared" si="6"/>
        <v>2675.7808728477248</v>
      </c>
      <c r="T24" s="40">
        <f t="shared" si="6"/>
        <v>2557.3413142838926</v>
      </c>
      <c r="U24" s="40">
        <f t="shared" si="6"/>
        <v>2516.1035591752388</v>
      </c>
      <c r="W24" s="45">
        <f>SUM(W19:W23)</f>
        <v>6305</v>
      </c>
      <c r="X24" s="45">
        <f>SUM(X19:X23)</f>
        <v>7119</v>
      </c>
      <c r="Y24" s="45">
        <f>SUM(Y19:Y23)</f>
        <v>8031</v>
      </c>
      <c r="Z24" s="40">
        <f>SUM(Z19:Z23)</f>
        <v>9248.8970998745463</v>
      </c>
      <c r="AA24" s="40">
        <f>SUM(AA19:AA23)</f>
        <v>10266.938247107917</v>
      </c>
    </row>
    <row r="25" spans="1:29" x14ac:dyDescent="0.3">
      <c r="A25" s="7" t="s">
        <v>147</v>
      </c>
      <c r="B25" s="22">
        <f t="shared" ref="B25:U25" si="7">IFERROR(B24/B15,"")</f>
        <v>0.86853685368536848</v>
      </c>
      <c r="C25" s="22">
        <f t="shared" si="7"/>
        <v>0.66787439613526567</v>
      </c>
      <c r="D25" s="22">
        <f t="shared" si="7"/>
        <v>0.46335001471886961</v>
      </c>
      <c r="E25" s="22">
        <f t="shared" si="7"/>
        <v>0.67312894499549147</v>
      </c>
      <c r="F25" s="22">
        <f t="shared" si="7"/>
        <v>0.81139122315592904</v>
      </c>
      <c r="G25" s="22">
        <f t="shared" si="7"/>
        <v>0.68013100436681218</v>
      </c>
      <c r="H25" s="22">
        <f t="shared" si="7"/>
        <v>0.47883172561629156</v>
      </c>
      <c r="I25" s="22">
        <f t="shared" si="7"/>
        <v>0.69556451612903225</v>
      </c>
      <c r="J25" s="22">
        <f t="shared" si="7"/>
        <v>0.82746478873239437</v>
      </c>
      <c r="K25" s="22">
        <f t="shared" si="7"/>
        <v>0.66763565891472865</v>
      </c>
      <c r="L25" s="22">
        <f t="shared" si="7"/>
        <v>0.50476190476190474</v>
      </c>
      <c r="M25" s="22">
        <f t="shared" si="7"/>
        <v>0.72606191504679629</v>
      </c>
      <c r="N25" s="22">
        <f t="shared" si="7"/>
        <v>0.81366691560866322</v>
      </c>
      <c r="O25" s="22">
        <f t="shared" si="7"/>
        <v>0.65548780487804881</v>
      </c>
      <c r="P25" s="35">
        <f t="shared" si="7"/>
        <v>0.50062639433033074</v>
      </c>
      <c r="Q25" s="35">
        <f t="shared" si="7"/>
        <v>0.72366020097702055</v>
      </c>
      <c r="R25" s="35">
        <f t="shared" si="7"/>
        <v>0.82463343455551052</v>
      </c>
      <c r="S25" s="35">
        <f t="shared" si="7"/>
        <v>0.66413345510633115</v>
      </c>
      <c r="T25" s="35">
        <f t="shared" si="7"/>
        <v>0.48427776151961732</v>
      </c>
      <c r="U25" s="35">
        <f t="shared" si="7"/>
        <v>0.72598811880336545</v>
      </c>
      <c r="W25" s="22">
        <f>IFERROR(W24/W15,"")</f>
        <v>0.63577694867399415</v>
      </c>
      <c r="X25" s="22">
        <f>IFERROR(X24/X15,"")</f>
        <v>0.64123581336696089</v>
      </c>
      <c r="Y25" s="22">
        <f>IFERROR(Y24/Y15,"")</f>
        <v>0.65607385017563924</v>
      </c>
      <c r="Z25" s="35">
        <f>IFERROR(Z24/Z15,"")</f>
        <v>0.64822008760414862</v>
      </c>
      <c r="AA25" s="35">
        <f>IFERROR(AA24/AA15,"")</f>
        <v>0.64863184148552389</v>
      </c>
    </row>
    <row r="26" spans="1:29" x14ac:dyDescent="0.3">
      <c r="A26" s="7" t="s">
        <v>148</v>
      </c>
      <c r="B26" s="42">
        <v>11</v>
      </c>
      <c r="C26" s="42">
        <v>9</v>
      </c>
      <c r="D26" s="42">
        <v>8</v>
      </c>
      <c r="E26" s="42">
        <v>16</v>
      </c>
      <c r="F26" s="42">
        <v>14</v>
      </c>
      <c r="G26" s="42">
        <v>14</v>
      </c>
      <c r="H26" s="42">
        <v>15</v>
      </c>
      <c r="I26" s="42">
        <v>22</v>
      </c>
      <c r="J26" s="42">
        <v>25</v>
      </c>
      <c r="K26" s="42">
        <v>21</v>
      </c>
      <c r="L26" s="42">
        <v>22</v>
      </c>
      <c r="M26" s="42">
        <v>23</v>
      </c>
      <c r="N26" s="42">
        <v>22</v>
      </c>
      <c r="O26" s="42">
        <v>17</v>
      </c>
      <c r="P26" s="43">
        <f>INDEX('Scenario Data'!$D$5:$I$345,MATCH($G$3&amp;"|da",'Scenario Data'!$A$5:$A$345,0),MATCH(P$4,'Scenario Data'!$D$4:$I$4,0))</f>
        <v>20.633970599907521</v>
      </c>
      <c r="Q26" s="43">
        <f>INDEX('Scenario Data'!$D$5:$I$345,MATCH($G$3&amp;"|da",'Scenario Data'!$A$5:$A$345,0),MATCH(Q$4,'Scenario Data'!$D$4:$I$4,0))</f>
        <v>20.633970599907521</v>
      </c>
      <c r="R26" s="43">
        <f>INDEX('Scenario Data'!$D$5:$I$345,MATCH($G$3&amp;"|da",'Scenario Data'!$A$5:$A$345,0),MATCH(R$4,'Scenario Data'!$D$4:$I$4,0))</f>
        <v>20.633970599907521</v>
      </c>
      <c r="S26" s="43">
        <f>INDEX('Scenario Data'!$D$5:$I$345,MATCH($G$3&amp;"|da",'Scenario Data'!$A$5:$A$345,0),MATCH(S$4,'Scenario Data'!$D$4:$I$4,0))</f>
        <v>20.633970599907521</v>
      </c>
      <c r="T26" s="43">
        <f>INDEX('Scenario Data'!$D$5:$I$345,MATCH($G$3&amp;"|da",'Scenario Data'!$A$5:$A$345,0),MATCH(T$4,'Scenario Data'!$D$4:$I$4,0))</f>
        <v>20.633970599907521</v>
      </c>
      <c r="U26" s="43">
        <f>INDEX('Scenario Data'!$D$5:$I$345,MATCH($G$3&amp;"|da",'Scenario Data'!$A$5:$A$345,0),MATCH(U$4,'Scenario Data'!$D$4:$I$4,0))</f>
        <v>20.633970599907521</v>
      </c>
      <c r="W26" s="42">
        <v>44</v>
      </c>
      <c r="X26" s="42">
        <v>65</v>
      </c>
      <c r="Y26" s="42">
        <v>91</v>
      </c>
      <c r="Z26" s="44">
        <f>SUM(N26:O26,P26:Q26)</f>
        <v>80.267941199815041</v>
      </c>
      <c r="AA26" s="44">
        <f>SUM(R26:U26)</f>
        <v>82.535882399630083</v>
      </c>
    </row>
    <row r="27" spans="1:29" x14ac:dyDescent="0.3">
      <c r="A27" s="7" t="s">
        <v>149</v>
      </c>
      <c r="B27" s="42">
        <v>12</v>
      </c>
      <c r="C27" s="42">
        <v>-15</v>
      </c>
      <c r="D27" s="42">
        <v>3</v>
      </c>
      <c r="E27" s="42">
        <v>-3</v>
      </c>
      <c r="F27" s="42">
        <v>6</v>
      </c>
      <c r="G27" s="42">
        <v>1</v>
      </c>
      <c r="H27" s="42">
        <v>-2</v>
      </c>
      <c r="I27" s="42">
        <v>-12</v>
      </c>
      <c r="J27" s="42">
        <v>0</v>
      </c>
      <c r="K27" s="42">
        <v>-7</v>
      </c>
      <c r="L27" s="42">
        <v>1</v>
      </c>
      <c r="M27" s="42">
        <v>2</v>
      </c>
      <c r="N27" s="42">
        <v>-2</v>
      </c>
      <c r="O27" s="42">
        <v>1</v>
      </c>
      <c r="W27" s="42">
        <v>-3</v>
      </c>
      <c r="X27" s="42">
        <v>-7</v>
      </c>
      <c r="Y27" s="42">
        <v>-4</v>
      </c>
      <c r="Z27" s="44">
        <f>SUM(N27:O27,P27:Q27)</f>
        <v>-1</v>
      </c>
      <c r="AA27" s="44">
        <f>SUM(R27:U27)</f>
        <v>0</v>
      </c>
      <c r="AC27" s="46" t="s">
        <v>150</v>
      </c>
    </row>
    <row r="28" spans="1:29" x14ac:dyDescent="0.3">
      <c r="A28" s="30" t="s">
        <v>151</v>
      </c>
      <c r="B28" s="45">
        <f t="shared" ref="B28:O28" si="8">B15-B24+B26+B27</f>
        <v>262</v>
      </c>
      <c r="C28" s="45">
        <f t="shared" si="8"/>
        <v>819</v>
      </c>
      <c r="D28" s="45">
        <f t="shared" si="8"/>
        <v>1834</v>
      </c>
      <c r="E28" s="45">
        <f t="shared" si="8"/>
        <v>738</v>
      </c>
      <c r="F28" s="45">
        <f t="shared" si="8"/>
        <v>424</v>
      </c>
      <c r="G28" s="45">
        <f t="shared" si="8"/>
        <v>894</v>
      </c>
      <c r="H28" s="45">
        <f t="shared" si="8"/>
        <v>1958</v>
      </c>
      <c r="I28" s="45">
        <f t="shared" si="8"/>
        <v>765</v>
      </c>
      <c r="J28" s="45">
        <f t="shared" si="8"/>
        <v>417</v>
      </c>
      <c r="K28" s="45">
        <f t="shared" si="8"/>
        <v>1043</v>
      </c>
      <c r="L28" s="45">
        <f t="shared" si="8"/>
        <v>2051</v>
      </c>
      <c r="M28" s="45">
        <f t="shared" si="8"/>
        <v>786</v>
      </c>
      <c r="N28" s="45">
        <f t="shared" si="8"/>
        <v>519</v>
      </c>
      <c r="O28" s="45">
        <f t="shared" si="8"/>
        <v>1261</v>
      </c>
      <c r="P28" s="40">
        <f t="shared" ref="P28:U28" si="9">P15-P24+P26</f>
        <v>2419.6424999999999</v>
      </c>
      <c r="Q28" s="40">
        <f t="shared" si="9"/>
        <v>898.87164132527096</v>
      </c>
      <c r="R28" s="40">
        <f t="shared" si="9"/>
        <v>556.05076979884598</v>
      </c>
      <c r="S28" s="40">
        <f t="shared" si="9"/>
        <v>1373.8337977521828</v>
      </c>
      <c r="T28" s="40">
        <f t="shared" si="9"/>
        <v>2744.025156316015</v>
      </c>
      <c r="U28" s="40">
        <f t="shared" si="9"/>
        <v>970.2945114246686</v>
      </c>
      <c r="W28" s="45">
        <f>W15-W24+W26+IF(ISNUMBER(W27),W27,0)</f>
        <v>3653</v>
      </c>
      <c r="X28" s="45">
        <f>X15-X24+X26+IF(ISNUMBER(X27),X27,0)</f>
        <v>4041</v>
      </c>
      <c r="Y28" s="45">
        <f>Y15-Y24+Y26+IF(ISNUMBER(Y27),Y27,0)</f>
        <v>4297</v>
      </c>
      <c r="Z28" s="40">
        <f>Z15-Z24+Z26+IF(ISNUMBER(Z27),Z27,0)</f>
        <v>5098.5141413252686</v>
      </c>
      <c r="AA28" s="40">
        <f>AA15-AA24+AA26+IF(ISNUMBER(AA27),AA27,0)</f>
        <v>5644.2042352917142</v>
      </c>
    </row>
    <row r="29" spans="1:29" x14ac:dyDescent="0.3">
      <c r="A29" s="30" t="s">
        <v>152</v>
      </c>
      <c r="B29" s="47">
        <f t="shared" ref="B29:U29" si="10">IFERROR(B28/B15,"")</f>
        <v>0.14411441144114412</v>
      </c>
      <c r="C29" s="47">
        <f t="shared" si="10"/>
        <v>0.32971014492753625</v>
      </c>
      <c r="D29" s="47">
        <f t="shared" si="10"/>
        <v>0.53988813659110979</v>
      </c>
      <c r="E29" s="47">
        <f t="shared" si="10"/>
        <v>0.33273219116321012</v>
      </c>
      <c r="F29" s="47">
        <f t="shared" si="10"/>
        <v>0.19794584500466852</v>
      </c>
      <c r="G29" s="47">
        <f t="shared" si="10"/>
        <v>0.32532751091703055</v>
      </c>
      <c r="H29" s="47">
        <f t="shared" si="10"/>
        <v>0.52465166130760987</v>
      </c>
      <c r="I29" s="47">
        <f t="shared" si="10"/>
        <v>0.30846774193548387</v>
      </c>
      <c r="J29" s="47">
        <f t="shared" si="10"/>
        <v>0.18353873239436619</v>
      </c>
      <c r="K29" s="47">
        <f t="shared" si="10"/>
        <v>0.33688630490956073</v>
      </c>
      <c r="L29" s="47">
        <f t="shared" si="10"/>
        <v>0.50085470085470085</v>
      </c>
      <c r="M29" s="47">
        <f t="shared" si="10"/>
        <v>0.28293736501079914</v>
      </c>
      <c r="N29" s="47">
        <f t="shared" si="10"/>
        <v>0.19380134428678117</v>
      </c>
      <c r="O29" s="47">
        <f t="shared" si="10"/>
        <v>0.3495011086474501</v>
      </c>
      <c r="P29" s="48">
        <f t="shared" si="10"/>
        <v>0.50366873850120386</v>
      </c>
      <c r="Q29" s="48">
        <f t="shared" si="10"/>
        <v>0.28283233228440863</v>
      </c>
      <c r="R29" s="48">
        <f t="shared" si="10"/>
        <v>0.18212486768865177</v>
      </c>
      <c r="S29" s="48">
        <f t="shared" si="10"/>
        <v>0.34098793219639467</v>
      </c>
      <c r="T29" s="48">
        <f t="shared" si="10"/>
        <v>0.51962964537893463</v>
      </c>
      <c r="U29" s="48">
        <f t="shared" si="10"/>
        <v>0.2799655381693949</v>
      </c>
      <c r="W29" s="47">
        <f>IFERROR(W28/W15,"")</f>
        <v>0.36835736613895331</v>
      </c>
      <c r="X29" s="47">
        <f>IFERROR(X28/X15,"")</f>
        <v>0.3639884705458476</v>
      </c>
      <c r="Y29" s="47">
        <f>IFERROR(Y28/Y15,"")</f>
        <v>0.3510334123029164</v>
      </c>
      <c r="Z29" s="48">
        <f>IFERROR(Z28/Z15,"")</f>
        <v>0.35733550148219134</v>
      </c>
      <c r="AA29" s="48">
        <f>IFERROR(AA28/AA15,"")</f>
        <v>0.35658250772949995</v>
      </c>
    </row>
    <row r="30" spans="1:29" x14ac:dyDescent="0.3">
      <c r="A30" s="7" t="s">
        <v>135</v>
      </c>
      <c r="F30" s="22">
        <f t="shared" ref="F30:U30" si="11">IFERROR(F28/B28-1,"")</f>
        <v>0.61832061068702293</v>
      </c>
      <c r="G30" s="22">
        <f t="shared" si="11"/>
        <v>9.1575091575091472E-2</v>
      </c>
      <c r="H30" s="22">
        <f t="shared" si="11"/>
        <v>6.7611777535441675E-2</v>
      </c>
      <c r="I30" s="22">
        <f t="shared" si="11"/>
        <v>3.6585365853658569E-2</v>
      </c>
      <c r="J30" s="22">
        <f t="shared" si="11"/>
        <v>-1.650943396226412E-2</v>
      </c>
      <c r="K30" s="22">
        <f t="shared" si="11"/>
        <v>0.16666666666666674</v>
      </c>
      <c r="L30" s="22">
        <f t="shared" si="11"/>
        <v>4.7497446373850893E-2</v>
      </c>
      <c r="M30" s="22">
        <f t="shared" si="11"/>
        <v>2.7450980392156765E-2</v>
      </c>
      <c r="N30" s="22">
        <f t="shared" si="11"/>
        <v>0.24460431654676262</v>
      </c>
      <c r="O30" s="22">
        <f t="shared" si="11"/>
        <v>0.20901246404602114</v>
      </c>
      <c r="P30" s="35">
        <f t="shared" si="11"/>
        <v>0.17973793271574845</v>
      </c>
      <c r="Q30" s="35">
        <f t="shared" si="11"/>
        <v>0.1436025971059427</v>
      </c>
      <c r="R30" s="35">
        <f t="shared" si="11"/>
        <v>7.1388766471764953E-2</v>
      </c>
      <c r="S30" s="35">
        <f t="shared" si="11"/>
        <v>8.9479617567155278E-2</v>
      </c>
      <c r="T30" s="35">
        <f t="shared" si="11"/>
        <v>0.13406222461211326</v>
      </c>
      <c r="U30" s="35">
        <f t="shared" si="11"/>
        <v>7.9458364037487961E-2</v>
      </c>
      <c r="X30" s="22">
        <f>IFERROR(X28/W28-1,"")</f>
        <v>0.10621407062688193</v>
      </c>
      <c r="Y30" s="22">
        <f>IFERROR(Y28/X28-1,"")</f>
        <v>6.3350655778272813E-2</v>
      </c>
      <c r="Z30" s="35">
        <f>IFERROR(Z28/Y28-1,"")</f>
        <v>0.18652877387136813</v>
      </c>
      <c r="AA30" s="35">
        <f>IFERROR(AA28/Z28-1,"")</f>
        <v>0.10702924005710468</v>
      </c>
    </row>
    <row r="32" spans="1:29" x14ac:dyDescent="0.3">
      <c r="A32" s="7" t="s">
        <v>153</v>
      </c>
      <c r="B32" s="42">
        <v>240</v>
      </c>
      <c r="C32" s="42">
        <v>304</v>
      </c>
      <c r="D32" s="42">
        <v>286</v>
      </c>
      <c r="E32" s="42">
        <v>290</v>
      </c>
      <c r="F32" s="42">
        <v>295</v>
      </c>
      <c r="G32" s="42">
        <v>382</v>
      </c>
      <c r="H32" s="42">
        <v>362</v>
      </c>
      <c r="I32" s="42">
        <v>368</v>
      </c>
      <c r="J32" s="42">
        <v>358</v>
      </c>
      <c r="K32" s="42">
        <v>424</v>
      </c>
      <c r="L32" s="42">
        <v>399</v>
      </c>
      <c r="M32" s="42">
        <v>411</v>
      </c>
      <c r="N32" s="42">
        <v>410</v>
      </c>
      <c r="O32" s="42">
        <v>487</v>
      </c>
      <c r="P32" s="43">
        <f>INDEX('Scenario Data'!$D$5:$I$345,MATCH($G$3&amp;"|sbc",'Scenario Data'!$A$5:$A$345,0),MATCH(P$4,'Scenario Data'!$D$4:$I$4,0))</f>
        <v>451.57918566107082</v>
      </c>
      <c r="Q32" s="43">
        <f>INDEX('Scenario Data'!$D$5:$I$345,MATCH($G$3&amp;"|sbc",'Scenario Data'!$A$5:$A$345,0),MATCH(Q$4,'Scenario Data'!$D$4:$I$4,0))</f>
        <v>465.16051455313311</v>
      </c>
      <c r="R32" s="43">
        <f>INDEX('Scenario Data'!$D$5:$I$345,MATCH($G$3&amp;"|sbc",'Scenario Data'!$A$5:$A$345,0),MATCH(R$4,'Scenario Data'!$D$4:$I$4,0))</f>
        <v>464.02873714546132</v>
      </c>
      <c r="S32" s="43">
        <f>INDEX('Scenario Data'!$D$5:$I$345,MATCH($G$3&amp;"|sbc",'Scenario Data'!$A$5:$A$345,0),MATCH(S$4,'Scenario Data'!$D$4:$I$4,0))</f>
        <v>551.17559753619423</v>
      </c>
      <c r="T32" s="43">
        <f>INDEX('Scenario Data'!$D$5:$I$345,MATCH($G$3&amp;"|sbc",'Scenario Data'!$A$5:$A$345,0),MATCH(T$4,'Scenario Data'!$D$4:$I$4,0))</f>
        <v>511.0871201060549</v>
      </c>
      <c r="U32" s="43">
        <f>INDEX('Scenario Data'!$D$5:$I$345,MATCH($G$3&amp;"|sbc",'Scenario Data'!$A$5:$A$345,0),MATCH(U$4,'Scenario Data'!$D$4:$I$4,0))</f>
        <v>526.45816131225195</v>
      </c>
      <c r="W32" s="42">
        <v>1120</v>
      </c>
      <c r="X32" s="42">
        <v>1407</v>
      </c>
      <c r="Y32" s="42">
        <v>1592</v>
      </c>
      <c r="Z32" s="44">
        <f>SUM(N32:O32,P32:Q32)</f>
        <v>1813.7397002142038</v>
      </c>
      <c r="AA32" s="44">
        <f>SUM(R32:U32)</f>
        <v>2052.7496160999626</v>
      </c>
    </row>
    <row r="33" spans="1:29" x14ac:dyDescent="0.3">
      <c r="A33" s="7" t="s">
        <v>154</v>
      </c>
      <c r="B33" s="22">
        <f t="shared" ref="B33:U33" si="12">IFERROR(B32/B15,"")</f>
        <v>0.132013201320132</v>
      </c>
      <c r="C33" s="22">
        <f t="shared" si="12"/>
        <v>0.12238325281803543</v>
      </c>
      <c r="D33" s="22">
        <f t="shared" si="12"/>
        <v>8.4191934059464235E-2</v>
      </c>
      <c r="E33" s="22">
        <f t="shared" si="12"/>
        <v>0.13074842200180342</v>
      </c>
      <c r="F33" s="22">
        <f t="shared" si="12"/>
        <v>0.1377217553688142</v>
      </c>
      <c r="G33" s="22">
        <f t="shared" si="12"/>
        <v>0.13901018922852984</v>
      </c>
      <c r="H33" s="22">
        <f t="shared" si="12"/>
        <v>9.6998928188638797E-2</v>
      </c>
      <c r="I33" s="22">
        <f t="shared" si="12"/>
        <v>0.14838709677419354</v>
      </c>
      <c r="J33" s="22">
        <f t="shared" si="12"/>
        <v>0.15757042253521128</v>
      </c>
      <c r="K33" s="22">
        <f t="shared" si="12"/>
        <v>0.13695090439276486</v>
      </c>
      <c r="L33" s="22">
        <f t="shared" si="12"/>
        <v>9.7435897435897437E-2</v>
      </c>
      <c r="M33" s="22">
        <f t="shared" si="12"/>
        <v>0.14794816414686826</v>
      </c>
      <c r="N33" s="22">
        <f t="shared" si="12"/>
        <v>0.1530993278566094</v>
      </c>
      <c r="O33" s="22">
        <f t="shared" si="12"/>
        <v>0.13497782705099778</v>
      </c>
      <c r="P33" s="35">
        <f t="shared" si="12"/>
        <v>9.3999968497541456E-2</v>
      </c>
      <c r="Q33" s="35">
        <f t="shared" si="12"/>
        <v>0.14636398254116273</v>
      </c>
      <c r="R33" s="35">
        <f t="shared" si="12"/>
        <v>0.15198463332210049</v>
      </c>
      <c r="S33" s="35">
        <f t="shared" si="12"/>
        <v>0.13680273959520189</v>
      </c>
      <c r="T33" s="35">
        <f t="shared" si="12"/>
        <v>9.6783376189961315E-2</v>
      </c>
      <c r="U33" s="35">
        <f t="shared" si="12"/>
        <v>0.15190247983475041</v>
      </c>
      <c r="W33" s="22">
        <f>IFERROR(W32/W15,"")</f>
        <v>0.11293738025612585</v>
      </c>
      <c r="X33" s="22">
        <f>IFERROR(X32/X15,"")</f>
        <v>0.12673392181588902</v>
      </c>
      <c r="Y33" s="22">
        <f>IFERROR(Y32/Y15,"")</f>
        <v>0.13005473409035209</v>
      </c>
      <c r="Z33" s="35">
        <f>IFERROR(Z32/Z15,"")</f>
        <v>0.12711813037469311</v>
      </c>
      <c r="AA33" s="35">
        <f>IFERROR(AA32/AA15,"")</f>
        <v>0.12968605942230962</v>
      </c>
    </row>
    <row r="34" spans="1:29" x14ac:dyDescent="0.3">
      <c r="A34" s="7" t="s">
        <v>155</v>
      </c>
      <c r="B34" s="42">
        <v>-16</v>
      </c>
      <c r="C34" s="42">
        <v>17</v>
      </c>
      <c r="D34" s="42">
        <v>-44</v>
      </c>
      <c r="E34" s="42">
        <v>-928</v>
      </c>
      <c r="F34" s="42">
        <v>-14</v>
      </c>
      <c r="G34" s="42">
        <v>-1</v>
      </c>
      <c r="H34" s="42">
        <v>-56</v>
      </c>
      <c r="I34" s="42">
        <v>55</v>
      </c>
      <c r="J34" s="42">
        <v>4</v>
      </c>
      <c r="K34" s="42">
        <v>14</v>
      </c>
      <c r="L34" s="42">
        <v>-5</v>
      </c>
      <c r="M34" s="42">
        <v>-83</v>
      </c>
      <c r="N34" s="42">
        <v>-1</v>
      </c>
      <c r="O34" s="42">
        <v>1</v>
      </c>
      <c r="W34" s="42">
        <v>-971</v>
      </c>
      <c r="X34" s="42">
        <v>-16</v>
      </c>
      <c r="Y34" s="42">
        <v>-70</v>
      </c>
      <c r="Z34" s="44">
        <f>SUM(N34:O34,P34:Q34)</f>
        <v>0</v>
      </c>
      <c r="AA34" s="44">
        <f>SUM(R34:U34)</f>
        <v>0</v>
      </c>
      <c r="AC34" s="46" t="s">
        <v>156</v>
      </c>
    </row>
    <row r="35" spans="1:29" x14ac:dyDescent="0.3">
      <c r="A35" s="30" t="s">
        <v>157</v>
      </c>
      <c r="B35" s="45">
        <f t="shared" ref="B35:O35" si="13">B28-B26-B32+B34</f>
        <v>-5</v>
      </c>
      <c r="C35" s="45">
        <f t="shared" si="13"/>
        <v>523</v>
      </c>
      <c r="D35" s="45">
        <f t="shared" si="13"/>
        <v>1496</v>
      </c>
      <c r="E35" s="45">
        <f t="shared" si="13"/>
        <v>-496</v>
      </c>
      <c r="F35" s="45">
        <f t="shared" si="13"/>
        <v>101</v>
      </c>
      <c r="G35" s="45">
        <f t="shared" si="13"/>
        <v>497</v>
      </c>
      <c r="H35" s="45">
        <f t="shared" si="13"/>
        <v>1525</v>
      </c>
      <c r="I35" s="45">
        <f t="shared" si="13"/>
        <v>430</v>
      </c>
      <c r="J35" s="45">
        <f t="shared" si="13"/>
        <v>38</v>
      </c>
      <c r="K35" s="45">
        <f t="shared" si="13"/>
        <v>612</v>
      </c>
      <c r="L35" s="45">
        <f t="shared" si="13"/>
        <v>1625</v>
      </c>
      <c r="M35" s="45">
        <f t="shared" si="13"/>
        <v>269</v>
      </c>
      <c r="N35" s="45">
        <f t="shared" si="13"/>
        <v>86</v>
      </c>
      <c r="O35" s="45">
        <f t="shared" si="13"/>
        <v>758</v>
      </c>
      <c r="P35" s="40">
        <f t="shared" ref="P35:U35" si="14">P28-P26-P32</f>
        <v>1947.4293437390215</v>
      </c>
      <c r="Q35" s="40">
        <f t="shared" si="14"/>
        <v>413.07715617223027</v>
      </c>
      <c r="R35" s="40">
        <f t="shared" si="14"/>
        <v>71.388062053477086</v>
      </c>
      <c r="S35" s="40">
        <f t="shared" si="14"/>
        <v>802.02422961608102</v>
      </c>
      <c r="T35" s="40">
        <f t="shared" si="14"/>
        <v>2212.3040656100525</v>
      </c>
      <c r="U35" s="40">
        <f t="shared" si="14"/>
        <v>423.20237951250908</v>
      </c>
      <c r="W35" s="45">
        <f>W28-W26-W32+IF(ISNUMBER(W34),W34,0)</f>
        <v>1518</v>
      </c>
      <c r="X35" s="45">
        <f>X28-X26-X32+IF(ISNUMBER(X34),X34,0)</f>
        <v>2553</v>
      </c>
      <c r="Y35" s="45">
        <f>Y28-Y26-Y32+IF(ISNUMBER(Y34),Y34,0)</f>
        <v>2544</v>
      </c>
      <c r="Z35" s="40">
        <f>Z28-Z26-Z32+IF(ISNUMBER(Z34),Z34,0)</f>
        <v>3204.5064999112496</v>
      </c>
      <c r="AA35" s="40">
        <f>AA28-AA26-AA32+IF(ISNUMBER(AA34),AA34,0)</f>
        <v>3508.9187367921213</v>
      </c>
    </row>
    <row r="36" spans="1:29" x14ac:dyDescent="0.3">
      <c r="A36" s="7" t="s">
        <v>158</v>
      </c>
      <c r="B36" s="22">
        <f t="shared" ref="B36:U36" si="15">IFERROR(B35/B15,"")</f>
        <v>-2.7502750275027505E-3</v>
      </c>
      <c r="C36" s="22">
        <f t="shared" si="15"/>
        <v>0.21054750402576489</v>
      </c>
      <c r="D36" s="22">
        <f t="shared" si="15"/>
        <v>0.44038857815719751</v>
      </c>
      <c r="E36" s="22">
        <f t="shared" si="15"/>
        <v>-0.22362488728584309</v>
      </c>
      <c r="F36" s="22">
        <f t="shared" si="15"/>
        <v>4.7152194211017739E-2</v>
      </c>
      <c r="G36" s="22">
        <f t="shared" si="15"/>
        <v>0.18085880640465793</v>
      </c>
      <c r="H36" s="22">
        <f t="shared" si="15"/>
        <v>0.40862808145766344</v>
      </c>
      <c r="I36" s="22">
        <f t="shared" si="15"/>
        <v>0.17338709677419356</v>
      </c>
      <c r="J36" s="22">
        <f t="shared" si="15"/>
        <v>1.6725352112676055E-2</v>
      </c>
      <c r="K36" s="22">
        <f t="shared" si="15"/>
        <v>0.19767441860465115</v>
      </c>
      <c r="L36" s="22">
        <f t="shared" si="15"/>
        <v>0.3968253968253968</v>
      </c>
      <c r="M36" s="22">
        <f t="shared" si="15"/>
        <v>9.6832253419726427E-2</v>
      </c>
      <c r="N36" s="22">
        <f t="shared" si="15"/>
        <v>3.2113517550410753E-2</v>
      </c>
      <c r="O36" s="22">
        <f t="shared" si="15"/>
        <v>0.21008869179600886</v>
      </c>
      <c r="P36" s="35">
        <f t="shared" si="15"/>
        <v>0.40537363717212782</v>
      </c>
      <c r="Q36" s="35">
        <f t="shared" si="15"/>
        <v>0.12997581648181672</v>
      </c>
      <c r="R36" s="35">
        <f t="shared" si="15"/>
        <v>2.3381932122389013E-2</v>
      </c>
      <c r="S36" s="35">
        <f t="shared" si="15"/>
        <v>0.19906380529846693</v>
      </c>
      <c r="T36" s="35">
        <f t="shared" si="15"/>
        <v>0.41893886229042132</v>
      </c>
      <c r="U36" s="35">
        <f t="shared" si="15"/>
        <v>0.12210940136188413</v>
      </c>
      <c r="W36" s="22">
        <f>IFERROR(W35/W15,"")</f>
        <v>0.15307048502571341</v>
      </c>
      <c r="X36" s="22">
        <f>IFERROR(X35/X15,"")</f>
        <v>0.2299585660241398</v>
      </c>
      <c r="Y36" s="22">
        <f>IFERROR(Y35/Y15,"")</f>
        <v>0.20782615799362797</v>
      </c>
      <c r="Z36" s="35">
        <f>IFERROR(Z35/Z15,"")</f>
        <v>0.22459169581730018</v>
      </c>
      <c r="AA36" s="35">
        <f>IFERROR(AA35/AA15,"")</f>
        <v>0.22168209909216652</v>
      </c>
    </row>
    <row r="37" spans="1:29" x14ac:dyDescent="0.3">
      <c r="A37" s="7" t="s">
        <v>159</v>
      </c>
      <c r="B37" s="42">
        <v>146</v>
      </c>
      <c r="C37" s="42">
        <v>191</v>
      </c>
      <c r="D37" s="42">
        <v>192</v>
      </c>
      <c r="E37" s="42">
        <v>192</v>
      </c>
      <c r="F37" s="42">
        <v>202</v>
      </c>
      <c r="G37" s="42">
        <v>226</v>
      </c>
      <c r="H37" s="42">
        <v>207</v>
      </c>
      <c r="I37" s="42">
        <v>183</v>
      </c>
      <c r="J37" s="42">
        <v>173</v>
      </c>
      <c r="K37" s="42">
        <v>190</v>
      </c>
      <c r="L37" s="42">
        <v>180</v>
      </c>
      <c r="M37" s="42">
        <v>162</v>
      </c>
      <c r="N37" s="42">
        <v>155</v>
      </c>
      <c r="O37" s="42">
        <v>183</v>
      </c>
      <c r="P37" s="43">
        <f>INDEX('Scenario Data'!$D$5:$I$345,MATCH($G$3&amp;"|interest_income",'Scenario Data'!$A$5:$A$345,0),MATCH(P$4,'Scenario Data'!$D$4:$I$4,0))</f>
        <v>183.54893375952639</v>
      </c>
      <c r="Q37" s="43">
        <f>INDEX('Scenario Data'!$D$5:$I$345,MATCH($G$3&amp;"|interest_income",'Scenario Data'!$A$5:$A$345,0),MATCH(Q$4,'Scenario Data'!$D$4:$I$4,0))</f>
        <v>165.49546529691921</v>
      </c>
      <c r="R37" s="43">
        <f>INDEX('Scenario Data'!$D$5:$I$345,MATCH($G$3&amp;"|interest_income",'Scenario Data'!$A$5:$A$345,0),MATCH(R$4,'Scenario Data'!$D$4:$I$4,0))</f>
        <v>180.26225844774419</v>
      </c>
      <c r="S37" s="43">
        <f>INDEX('Scenario Data'!$D$5:$I$345,MATCH($G$3&amp;"|interest_income",'Scenario Data'!$A$5:$A$345,0),MATCH(S$4,'Scenario Data'!$D$4:$I$4,0))</f>
        <v>202.84769300931859</v>
      </c>
      <c r="T37" s="43">
        <f>INDEX('Scenario Data'!$D$5:$I$345,MATCH($G$3&amp;"|interest_income",'Scenario Data'!$A$5:$A$345,0),MATCH(T$4,'Scenario Data'!$D$4:$I$4,0))</f>
        <v>191.14508532477521</v>
      </c>
      <c r="U37" s="43">
        <f>INDEX('Scenario Data'!$D$5:$I$345,MATCH($G$3&amp;"|interest_income",'Scenario Data'!$A$5:$A$345,0),MATCH(U$4,'Scenario Data'!$D$4:$I$4,0))</f>
        <v>171.15507641910381</v>
      </c>
      <c r="W37" s="42">
        <v>721</v>
      </c>
      <c r="X37" s="42">
        <v>818</v>
      </c>
      <c r="Y37" s="42">
        <v>705</v>
      </c>
      <c r="Z37" s="44">
        <f>SUM(N37:O37,P37:Q37)</f>
        <v>687.04439905644551</v>
      </c>
      <c r="AA37" s="44">
        <f>SUM(R37:U37)</f>
        <v>745.41011320094185</v>
      </c>
    </row>
    <row r="38" spans="1:29" x14ac:dyDescent="0.3">
      <c r="A38" s="7" t="s">
        <v>160</v>
      </c>
      <c r="B38" s="42">
        <v>4</v>
      </c>
      <c r="C38" s="42">
        <v>2</v>
      </c>
      <c r="D38" s="42">
        <v>6</v>
      </c>
      <c r="E38" s="42">
        <v>71</v>
      </c>
      <c r="G38" s="42">
        <v>9</v>
      </c>
      <c r="H38" s="42">
        <v>2</v>
      </c>
      <c r="I38" s="42">
        <v>10</v>
      </c>
      <c r="J38" s="42">
        <v>5</v>
      </c>
      <c r="K38" s="42">
        <v>6</v>
      </c>
      <c r="L38" s="42">
        <v>6</v>
      </c>
      <c r="M38" s="42">
        <v>26</v>
      </c>
      <c r="N38" s="42">
        <v>21</v>
      </c>
      <c r="O38" s="42">
        <v>37</v>
      </c>
      <c r="P38" s="43">
        <f>INDEX('Scenario Data'!$D$5:$I$345,MATCH($G$3&amp;"|interest_expense",'Scenario Data'!$A$5:$A$345,0),MATCH(P$4,'Scenario Data'!$D$4:$I$4,0))</f>
        <v>37</v>
      </c>
      <c r="Q38" s="43">
        <f>INDEX('Scenario Data'!$D$5:$I$345,MATCH($G$3&amp;"|interest_expense",'Scenario Data'!$A$5:$A$345,0),MATCH(Q$4,'Scenario Data'!$D$4:$I$4,0))</f>
        <v>37</v>
      </c>
      <c r="R38" s="43">
        <f>INDEX('Scenario Data'!$D$5:$I$345,MATCH($G$3&amp;"|interest_expense",'Scenario Data'!$A$5:$A$345,0),MATCH(R$4,'Scenario Data'!$D$4:$I$4,0))</f>
        <v>37</v>
      </c>
      <c r="S38" s="43">
        <f>INDEX('Scenario Data'!$D$5:$I$345,MATCH($G$3&amp;"|interest_expense",'Scenario Data'!$A$5:$A$345,0),MATCH(S$4,'Scenario Data'!$D$4:$I$4,0))</f>
        <v>37</v>
      </c>
      <c r="T38" s="43">
        <f>INDEX('Scenario Data'!$D$5:$I$345,MATCH($G$3&amp;"|interest_expense",'Scenario Data'!$A$5:$A$345,0),MATCH(T$4,'Scenario Data'!$D$4:$I$4,0))</f>
        <v>37</v>
      </c>
      <c r="U38" s="43">
        <f>INDEX('Scenario Data'!$D$5:$I$345,MATCH($G$3&amp;"|interest_expense",'Scenario Data'!$A$5:$A$345,0),MATCH(U$4,'Scenario Data'!$D$4:$I$4,0))</f>
        <v>37</v>
      </c>
      <c r="W38" s="42">
        <v>83</v>
      </c>
      <c r="Y38" s="42">
        <v>43</v>
      </c>
      <c r="Z38" s="44">
        <f>SUM(N38:O38,P38:Q38)</f>
        <v>132</v>
      </c>
      <c r="AA38" s="44">
        <f>SUM(R38:U38)</f>
        <v>148</v>
      </c>
    </row>
    <row r="39" spans="1:29" x14ac:dyDescent="0.3">
      <c r="A39" s="7" t="s">
        <v>161</v>
      </c>
      <c r="B39" s="42">
        <v>-7</v>
      </c>
      <c r="C39" s="42">
        <v>-36</v>
      </c>
      <c r="D39" s="42">
        <v>-3</v>
      </c>
      <c r="E39" s="42">
        <v>-8</v>
      </c>
      <c r="F39" s="42">
        <v>-10</v>
      </c>
      <c r="G39" s="42">
        <v>-33</v>
      </c>
      <c r="H39" s="42">
        <v>5</v>
      </c>
      <c r="I39" s="42">
        <v>19</v>
      </c>
      <c r="J39" s="42">
        <v>-33</v>
      </c>
      <c r="K39" s="42">
        <v>-17</v>
      </c>
      <c r="L39" s="42">
        <v>-7</v>
      </c>
      <c r="M39" s="42">
        <v>-12</v>
      </c>
      <c r="N39" s="42">
        <v>61</v>
      </c>
      <c r="O39" s="42">
        <v>-7</v>
      </c>
      <c r="P39" s="43">
        <f>INDEX('Scenario Data'!$D$5:$I$345,MATCH($G$3&amp;"|other_income",'Scenario Data'!$A$5:$A$345,0),MATCH(P$4,'Scenario Data'!$D$4:$I$4,0))</f>
        <v>3.7</v>
      </c>
      <c r="Q39" s="43">
        <f>INDEX('Scenario Data'!$D$5:$I$345,MATCH($G$3&amp;"|other_income",'Scenario Data'!$A$5:$A$345,0),MATCH(Q$4,'Scenario Data'!$D$4:$I$4,0))</f>
        <v>3.7</v>
      </c>
      <c r="R39" s="43">
        <f>INDEX('Scenario Data'!$D$5:$I$345,MATCH($G$3&amp;"|other_income",'Scenario Data'!$A$5:$A$345,0),MATCH(R$4,'Scenario Data'!$D$4:$I$4,0))</f>
        <v>3.7</v>
      </c>
      <c r="S39" s="43">
        <f>INDEX('Scenario Data'!$D$5:$I$345,MATCH($G$3&amp;"|other_income",'Scenario Data'!$A$5:$A$345,0),MATCH(S$4,'Scenario Data'!$D$4:$I$4,0))</f>
        <v>3.7</v>
      </c>
      <c r="T39" s="43">
        <f>INDEX('Scenario Data'!$D$5:$I$345,MATCH($G$3&amp;"|other_income",'Scenario Data'!$A$5:$A$345,0),MATCH(T$4,'Scenario Data'!$D$4:$I$4,0))</f>
        <v>3.7</v>
      </c>
      <c r="U39" s="43">
        <f>INDEX('Scenario Data'!$D$5:$I$345,MATCH($G$3&amp;"|other_income",'Scenario Data'!$A$5:$A$345,0),MATCH(U$4,'Scenario Data'!$D$4:$I$4,0))</f>
        <v>3.7</v>
      </c>
      <c r="W39" s="42">
        <v>-54</v>
      </c>
      <c r="X39" s="42">
        <v>-40</v>
      </c>
      <c r="Y39" s="42">
        <v>-69</v>
      </c>
      <c r="Z39" s="44">
        <f>SUM(N39:O39,P39:Q39)</f>
        <v>61.400000000000006</v>
      </c>
      <c r="AA39" s="44">
        <f>SUM(R39:U39)</f>
        <v>14.8</v>
      </c>
    </row>
    <row r="40" spans="1:29" x14ac:dyDescent="0.3">
      <c r="A40" s="30" t="s">
        <v>162</v>
      </c>
      <c r="B40" s="45">
        <f t="shared" ref="B40:U40" si="16">B35+B37-B38+B39</f>
        <v>130</v>
      </c>
      <c r="C40" s="45">
        <f t="shared" si="16"/>
        <v>676</v>
      </c>
      <c r="D40" s="45">
        <f t="shared" si="16"/>
        <v>1679</v>
      </c>
      <c r="E40" s="45">
        <f t="shared" si="16"/>
        <v>-383</v>
      </c>
      <c r="F40" s="45">
        <f t="shared" si="16"/>
        <v>293</v>
      </c>
      <c r="G40" s="45">
        <f t="shared" si="16"/>
        <v>681</v>
      </c>
      <c r="H40" s="45">
        <f t="shared" si="16"/>
        <v>1735</v>
      </c>
      <c r="I40" s="45">
        <f t="shared" si="16"/>
        <v>622</v>
      </c>
      <c r="J40" s="45">
        <f t="shared" si="16"/>
        <v>173</v>
      </c>
      <c r="K40" s="45">
        <f t="shared" si="16"/>
        <v>779</v>
      </c>
      <c r="L40" s="45">
        <f t="shared" si="16"/>
        <v>1792</v>
      </c>
      <c r="M40" s="45">
        <f t="shared" si="16"/>
        <v>393</v>
      </c>
      <c r="N40" s="45">
        <f t="shared" si="16"/>
        <v>281</v>
      </c>
      <c r="O40" s="45">
        <f t="shared" si="16"/>
        <v>897</v>
      </c>
      <c r="P40" s="40">
        <f t="shared" si="16"/>
        <v>2097.6782774985477</v>
      </c>
      <c r="Q40" s="40">
        <f t="shared" si="16"/>
        <v>545.2726214691495</v>
      </c>
      <c r="R40" s="40">
        <f t="shared" si="16"/>
        <v>218.35032050122126</v>
      </c>
      <c r="S40" s="40">
        <f t="shared" si="16"/>
        <v>971.57192262539968</v>
      </c>
      <c r="T40" s="40">
        <f t="shared" si="16"/>
        <v>2370.1491509348275</v>
      </c>
      <c r="U40" s="40">
        <f t="shared" si="16"/>
        <v>561.05745593161294</v>
      </c>
      <c r="W40" s="45">
        <f>W35+W37-W38+W39</f>
        <v>2102</v>
      </c>
      <c r="X40" s="45">
        <f>X35+X37-X38+X39</f>
        <v>3331</v>
      </c>
      <c r="Y40" s="45">
        <f>Y35+Y37-Y38+Y39</f>
        <v>3137</v>
      </c>
      <c r="Z40" s="40">
        <f>Z35+Z37-Z38+Z39</f>
        <v>3820.9508989676951</v>
      </c>
      <c r="AA40" s="40">
        <f>AA35+AA37-AA38+AA39</f>
        <v>4121.1288499930633</v>
      </c>
    </row>
    <row r="41" spans="1:29" x14ac:dyDescent="0.3">
      <c r="A41" s="7" t="s">
        <v>163</v>
      </c>
      <c r="B41" s="42">
        <v>13.4</v>
      </c>
      <c r="C41" s="42">
        <v>26</v>
      </c>
      <c r="D41" s="42">
        <v>-2695</v>
      </c>
      <c r="E41" s="42">
        <v>-34</v>
      </c>
      <c r="F41" s="42">
        <v>29</v>
      </c>
      <c r="G41" s="42">
        <v>126</v>
      </c>
      <c r="H41" s="42">
        <v>367</v>
      </c>
      <c r="I41" s="42">
        <v>161</v>
      </c>
      <c r="J41" s="42">
        <v>19</v>
      </c>
      <c r="K41" s="42">
        <v>137</v>
      </c>
      <c r="L41" s="42">
        <v>418</v>
      </c>
      <c r="M41" s="42">
        <v>52</v>
      </c>
      <c r="N41" s="42">
        <v>121</v>
      </c>
      <c r="O41" s="42">
        <v>81</v>
      </c>
      <c r="P41" s="43">
        <f>INDEX('Scenario Data'!$D$5:$I$345,MATCH($G$3&amp;"|tax",'Scenario Data'!$A$5:$A$345,0),MATCH(P$4,'Scenario Data'!$D$4:$I$4,0))</f>
        <v>377.58208994973847</v>
      </c>
      <c r="Q41" s="43">
        <f>INDEX('Scenario Data'!$D$5:$I$345,MATCH($G$3&amp;"|tax",'Scenario Data'!$A$5:$A$345,0),MATCH(Q$4,'Scenario Data'!$D$4:$I$4,0))</f>
        <v>98.149071864446839</v>
      </c>
      <c r="R41" s="43">
        <f>INDEX('Scenario Data'!$D$5:$I$345,MATCH($G$3&amp;"|tax",'Scenario Data'!$A$5:$A$345,0),MATCH(R$4,'Scenario Data'!$D$4:$I$4,0))</f>
        <v>38.211306087713751</v>
      </c>
      <c r="S41" s="43">
        <f>INDEX('Scenario Data'!$D$5:$I$345,MATCH($G$3&amp;"|tax",'Scenario Data'!$A$5:$A$345,0),MATCH(S$4,'Scenario Data'!$D$4:$I$4,0))</f>
        <v>170.02508645944499</v>
      </c>
      <c r="T41" s="43">
        <f>INDEX('Scenario Data'!$D$5:$I$345,MATCH($G$3&amp;"|tax",'Scenario Data'!$A$5:$A$345,0),MATCH(T$4,'Scenario Data'!$D$4:$I$4,0))</f>
        <v>414.77610141359492</v>
      </c>
      <c r="U41" s="43">
        <f>INDEX('Scenario Data'!$D$5:$I$345,MATCH($G$3&amp;"|tax",'Scenario Data'!$A$5:$A$345,0),MATCH(U$4,'Scenario Data'!$D$4:$I$4,0))</f>
        <v>98.185054788032275</v>
      </c>
      <c r="W41" s="42">
        <v>-2690</v>
      </c>
      <c r="X41" s="42">
        <v>683</v>
      </c>
      <c r="Y41" s="42">
        <v>626</v>
      </c>
      <c r="Z41" s="44">
        <f>SUM(N41:O41,P41:Q41)</f>
        <v>677.73116181418527</v>
      </c>
      <c r="AA41" s="44">
        <f>SUM(R41:U41)</f>
        <v>721.19754874878595</v>
      </c>
      <c r="AC41" s="46" t="s">
        <v>164</v>
      </c>
    </row>
    <row r="42" spans="1:29" x14ac:dyDescent="0.3">
      <c r="A42" s="7" t="s">
        <v>165</v>
      </c>
      <c r="B42" s="22">
        <f t="shared" ref="B42:U42" si="17">IFERROR(B41/B40,"")</f>
        <v>0.10307692307692308</v>
      </c>
      <c r="C42" s="22">
        <f t="shared" si="17"/>
        <v>3.8461538461538464E-2</v>
      </c>
      <c r="D42" s="22">
        <f t="shared" si="17"/>
        <v>-1.6051220964860036</v>
      </c>
      <c r="E42" s="22">
        <f t="shared" si="17"/>
        <v>8.877284595300261E-2</v>
      </c>
      <c r="F42" s="22">
        <f t="shared" si="17"/>
        <v>9.8976109215017066E-2</v>
      </c>
      <c r="G42" s="22">
        <f t="shared" si="17"/>
        <v>0.18502202643171806</v>
      </c>
      <c r="H42" s="22">
        <f t="shared" si="17"/>
        <v>0.21152737752161382</v>
      </c>
      <c r="I42" s="22">
        <f t="shared" si="17"/>
        <v>0.25884244372990356</v>
      </c>
      <c r="J42" s="22">
        <f t="shared" si="17"/>
        <v>0.10982658959537572</v>
      </c>
      <c r="K42" s="22">
        <f t="shared" si="17"/>
        <v>0.17586649550706032</v>
      </c>
      <c r="L42" s="22">
        <f t="shared" si="17"/>
        <v>0.23325892857142858</v>
      </c>
      <c r="M42" s="22">
        <f t="shared" si="17"/>
        <v>0.13231552162849872</v>
      </c>
      <c r="N42" s="22">
        <f t="shared" si="17"/>
        <v>0.4306049822064057</v>
      </c>
      <c r="O42" s="22">
        <f t="shared" si="17"/>
        <v>9.0301003344481601E-2</v>
      </c>
      <c r="P42" s="35">
        <f t="shared" si="17"/>
        <v>0.17999999999999994</v>
      </c>
      <c r="Q42" s="35">
        <f t="shared" si="17"/>
        <v>0.17999999999999988</v>
      </c>
      <c r="R42" s="35">
        <f t="shared" si="17"/>
        <v>0.17500000000000013</v>
      </c>
      <c r="S42" s="35">
        <f t="shared" si="17"/>
        <v>0.17500000000000004</v>
      </c>
      <c r="T42" s="35">
        <f t="shared" si="17"/>
        <v>0.17500000000000004</v>
      </c>
      <c r="U42" s="35">
        <f t="shared" si="17"/>
        <v>0.17500000000000002</v>
      </c>
      <c r="W42" s="22">
        <f>IFERROR(W41/W40,"")</f>
        <v>-1.2797335870599429</v>
      </c>
      <c r="X42" s="22">
        <f>IFERROR(X41/X40,"")</f>
        <v>0.20504353047132992</v>
      </c>
      <c r="Y42" s="22">
        <f>IFERROR(Y41/Y40,"")</f>
        <v>0.1995537137392413</v>
      </c>
      <c r="Z42" s="35">
        <f>IFERROR(Z41/Z40,"")</f>
        <v>0.17737238183230453</v>
      </c>
      <c r="AA42" s="35">
        <f>IFERROR(AA41/AA40,"")</f>
        <v>0.17499999999999996</v>
      </c>
    </row>
    <row r="43" spans="1:29" x14ac:dyDescent="0.3">
      <c r="A43" s="30" t="s">
        <v>166</v>
      </c>
      <c r="B43" s="45">
        <f t="shared" ref="B43:U43" si="18">B40-B41</f>
        <v>116.6</v>
      </c>
      <c r="C43" s="45">
        <f t="shared" si="18"/>
        <v>650</v>
      </c>
      <c r="D43" s="45">
        <f t="shared" si="18"/>
        <v>4374</v>
      </c>
      <c r="E43" s="45">
        <f t="shared" si="18"/>
        <v>-349</v>
      </c>
      <c r="F43" s="45">
        <f t="shared" si="18"/>
        <v>264</v>
      </c>
      <c r="G43" s="45">
        <f t="shared" si="18"/>
        <v>555</v>
      </c>
      <c r="H43" s="45">
        <f t="shared" si="18"/>
        <v>1368</v>
      </c>
      <c r="I43" s="45">
        <f t="shared" si="18"/>
        <v>461</v>
      </c>
      <c r="J43" s="45">
        <f t="shared" si="18"/>
        <v>154</v>
      </c>
      <c r="K43" s="45">
        <f t="shared" si="18"/>
        <v>642</v>
      </c>
      <c r="L43" s="45">
        <f t="shared" si="18"/>
        <v>1374</v>
      </c>
      <c r="M43" s="45">
        <f t="shared" si="18"/>
        <v>341</v>
      </c>
      <c r="N43" s="45">
        <f t="shared" si="18"/>
        <v>160</v>
      </c>
      <c r="O43" s="45">
        <f t="shared" si="18"/>
        <v>816</v>
      </c>
      <c r="P43" s="40">
        <f t="shared" si="18"/>
        <v>1720.0961875488092</v>
      </c>
      <c r="Q43" s="40">
        <f t="shared" si="18"/>
        <v>447.12354960470265</v>
      </c>
      <c r="R43" s="40">
        <f t="shared" si="18"/>
        <v>180.13901441350751</v>
      </c>
      <c r="S43" s="40">
        <f t="shared" si="18"/>
        <v>801.54683616595469</v>
      </c>
      <c r="T43" s="40">
        <f t="shared" si="18"/>
        <v>1955.3730495212326</v>
      </c>
      <c r="U43" s="40">
        <f t="shared" si="18"/>
        <v>462.87240114358065</v>
      </c>
      <c r="W43" s="45">
        <f>W40-W41</f>
        <v>4792</v>
      </c>
      <c r="X43" s="45">
        <f>X40-X41</f>
        <v>2648</v>
      </c>
      <c r="Y43" s="45">
        <f>Y40-Y41</f>
        <v>2511</v>
      </c>
      <c r="Z43" s="40">
        <f>Z40-Z41</f>
        <v>3143.2197371535099</v>
      </c>
      <c r="AA43" s="40">
        <f>AA40-AA41</f>
        <v>3399.9313012442772</v>
      </c>
    </row>
    <row r="44" spans="1:29" x14ac:dyDescent="0.3">
      <c r="A44" s="7" t="s">
        <v>167</v>
      </c>
      <c r="B44" s="22">
        <f t="shared" ref="B44:U44" si="19">IFERROR(B43/B15,"")</f>
        <v>6.4136413641364132E-2</v>
      </c>
      <c r="C44" s="22">
        <f t="shared" si="19"/>
        <v>0.26167471819645732</v>
      </c>
      <c r="D44" s="22">
        <f t="shared" si="19"/>
        <v>1.2876067118045333</v>
      </c>
      <c r="E44" s="22">
        <f t="shared" si="19"/>
        <v>-0.15734896302975654</v>
      </c>
      <c r="F44" s="22">
        <f t="shared" si="19"/>
        <v>0.12324929971988796</v>
      </c>
      <c r="G44" s="22">
        <f t="shared" si="19"/>
        <v>0.20196506550218341</v>
      </c>
      <c r="H44" s="22">
        <f t="shared" si="19"/>
        <v>0.36655948553054662</v>
      </c>
      <c r="I44" s="22">
        <f t="shared" si="19"/>
        <v>0.18588709677419354</v>
      </c>
      <c r="J44" s="22">
        <f t="shared" si="19"/>
        <v>6.7781690140845077E-2</v>
      </c>
      <c r="K44" s="22">
        <f t="shared" si="19"/>
        <v>0.20736434108527133</v>
      </c>
      <c r="L44" s="22">
        <f t="shared" si="19"/>
        <v>0.3355311355311355</v>
      </c>
      <c r="M44" s="22">
        <f t="shared" si="19"/>
        <v>0.12275017998560116</v>
      </c>
      <c r="N44" s="22">
        <f t="shared" si="19"/>
        <v>5.9746079163554892E-2</v>
      </c>
      <c r="O44" s="22">
        <f t="shared" si="19"/>
        <v>0.22616407982261641</v>
      </c>
      <c r="P44" s="35">
        <f t="shared" si="19"/>
        <v>0.35805234735438762</v>
      </c>
      <c r="Q44" s="35">
        <f t="shared" si="19"/>
        <v>0.14068860395632352</v>
      </c>
      <c r="R44" s="35">
        <f t="shared" si="19"/>
        <v>5.9001436465041787E-2</v>
      </c>
      <c r="S44" s="35">
        <f t="shared" si="19"/>
        <v>0.19894531541587049</v>
      </c>
      <c r="T44" s="35">
        <f t="shared" si="19"/>
        <v>0.37028443488118978</v>
      </c>
      <c r="U44" s="35">
        <f t="shared" si="19"/>
        <v>0.13355565693105906</v>
      </c>
      <c r="W44" s="22">
        <f>IFERROR(W43/W15,"")</f>
        <v>0.48321064838156702</v>
      </c>
      <c r="X44" s="22">
        <f>IFERROR(X43/X15,"")</f>
        <v>0.23851558277787785</v>
      </c>
      <c r="Y44" s="22">
        <f>IFERROR(Y43/Y15,"")</f>
        <v>0.20513029981210684</v>
      </c>
      <c r="Z44" s="35">
        <f>IFERROR(Z43/Z15,"")</f>
        <v>0.22029633926885989</v>
      </c>
      <c r="AA44" s="35">
        <f>IFERROR(AA43/AA15,"")</f>
        <v>0.21479662658646637</v>
      </c>
    </row>
    <row r="45" spans="1:29" x14ac:dyDescent="0.3">
      <c r="A45" s="7" t="s">
        <v>168</v>
      </c>
      <c r="B45" s="49">
        <v>670</v>
      </c>
      <c r="C45" s="49">
        <v>665</v>
      </c>
      <c r="D45" s="49">
        <v>660</v>
      </c>
      <c r="E45" s="49">
        <v>640</v>
      </c>
      <c r="F45" s="49">
        <v>654</v>
      </c>
      <c r="G45" s="49">
        <v>649</v>
      </c>
      <c r="H45" s="49">
        <v>642</v>
      </c>
      <c r="I45" s="49">
        <v>636</v>
      </c>
      <c r="J45" s="49">
        <v>632</v>
      </c>
      <c r="K45" s="49">
        <v>626</v>
      </c>
      <c r="L45" s="49">
        <v>621</v>
      </c>
      <c r="M45" s="49">
        <v>614</v>
      </c>
      <c r="N45" s="49">
        <v>608</v>
      </c>
      <c r="O45" s="49">
        <v>597</v>
      </c>
      <c r="P45" s="50">
        <f>INDEX('Scenario Data'!$D$5:$I$345,MATCH($G$3&amp;"|diluted_shares_m",'Scenario Data'!$A$5:$A$345,0),MATCH(P$4,'Scenario Data'!$D$4:$I$4,0))</f>
        <v>591.67581338190553</v>
      </c>
      <c r="Q45" s="50">
        <f>INDEX('Scenario Data'!$D$5:$I$345,MATCH($G$3&amp;"|diluted_shares_m",'Scenario Data'!$A$5:$A$345,0),MATCH(Q$4,'Scenario Data'!$D$4:$I$4,0))</f>
        <v>586.35162676381105</v>
      </c>
      <c r="R45" s="50">
        <f>INDEX('Scenario Data'!$D$5:$I$345,MATCH($G$3&amp;"|diluted_shares_m",'Scenario Data'!$A$5:$A$345,0),MATCH(R$4,'Scenario Data'!$D$4:$I$4,0))</f>
        <v>581.02744014571658</v>
      </c>
      <c r="S45" s="50">
        <f>INDEX('Scenario Data'!$D$5:$I$345,MATCH($G$3&amp;"|diluted_shares_m",'Scenario Data'!$A$5:$A$345,0),MATCH(S$4,'Scenario Data'!$D$4:$I$4,0))</f>
        <v>575.70325352762211</v>
      </c>
      <c r="T45" s="50">
        <f>INDEX('Scenario Data'!$D$5:$I$345,MATCH($G$3&amp;"|diluted_shares_m",'Scenario Data'!$A$5:$A$345,0),MATCH(T$4,'Scenario Data'!$D$4:$I$4,0))</f>
        <v>570.37906690952764</v>
      </c>
      <c r="U45" s="50">
        <f>INDEX('Scenario Data'!$D$5:$I$345,MATCH($G$3&amp;"|diluted_shares_m",'Scenario Data'!$A$5:$A$345,0),MATCH(U$4,'Scenario Data'!$D$4:$I$4,0))</f>
        <v>565.05488029143316</v>
      </c>
      <c r="W45" s="51">
        <f>AVERAGE(B45:E45)</f>
        <v>658.75</v>
      </c>
      <c r="X45" s="51">
        <f>AVERAGE(F45:I45)</f>
        <v>645.25</v>
      </c>
      <c r="Y45" s="51">
        <f>AVERAGE(J45:M45)</f>
        <v>623.25</v>
      </c>
      <c r="Z45" s="52">
        <f>AVERAGE(N45:O45,P45:Q45)</f>
        <v>595.75686003642909</v>
      </c>
      <c r="AA45" s="52">
        <f>AVERAGE(R45:U45)</f>
        <v>573.04116021857487</v>
      </c>
    </row>
    <row r="46" spans="1:29" x14ac:dyDescent="0.3">
      <c r="A46" s="30" t="s">
        <v>169</v>
      </c>
      <c r="B46" s="53">
        <f t="shared" ref="B46:U46" si="20">IFERROR(B43/B45,"")</f>
        <v>0.17402985074626864</v>
      </c>
      <c r="C46" s="53">
        <f t="shared" si="20"/>
        <v>0.97744360902255634</v>
      </c>
      <c r="D46" s="53">
        <f t="shared" si="20"/>
        <v>6.627272727272727</v>
      </c>
      <c r="E46" s="53">
        <f t="shared" si="20"/>
        <v>-0.54531249999999998</v>
      </c>
      <c r="F46" s="53">
        <f t="shared" si="20"/>
        <v>0.40366972477064222</v>
      </c>
      <c r="G46" s="53">
        <f t="shared" si="20"/>
        <v>0.85516178736517723</v>
      </c>
      <c r="H46" s="53">
        <f t="shared" si="20"/>
        <v>2.1308411214953269</v>
      </c>
      <c r="I46" s="53">
        <f t="shared" si="20"/>
        <v>0.72484276729559749</v>
      </c>
      <c r="J46" s="53">
        <f t="shared" si="20"/>
        <v>0.24367088607594936</v>
      </c>
      <c r="K46" s="53">
        <f t="shared" si="20"/>
        <v>1.02555910543131</v>
      </c>
      <c r="L46" s="53">
        <f t="shared" si="20"/>
        <v>2.21256038647343</v>
      </c>
      <c r="M46" s="53">
        <f t="shared" si="20"/>
        <v>0.55537459283387625</v>
      </c>
      <c r="N46" s="53">
        <f t="shared" si="20"/>
        <v>0.26315789473684209</v>
      </c>
      <c r="O46" s="53">
        <f t="shared" si="20"/>
        <v>1.3668341708542713</v>
      </c>
      <c r="P46" s="54">
        <f t="shared" si="20"/>
        <v>2.9071598815524826</v>
      </c>
      <c r="Q46" s="54">
        <f t="shared" si="20"/>
        <v>0.76255190434528963</v>
      </c>
      <c r="R46" s="54">
        <f t="shared" si="20"/>
        <v>0.31003529604097568</v>
      </c>
      <c r="S46" s="54">
        <f t="shared" si="20"/>
        <v>1.3922916559086229</v>
      </c>
      <c r="T46" s="54">
        <f t="shared" si="20"/>
        <v>3.4281991800926135</v>
      </c>
      <c r="U46" s="54">
        <f t="shared" si="20"/>
        <v>0.81916361983255359</v>
      </c>
      <c r="W46" s="53">
        <f>IFERROR(W43/W45,"")</f>
        <v>7.2743833017077799</v>
      </c>
      <c r="X46" s="53">
        <f>IFERROR(X43/X45,"")</f>
        <v>4.1038357225881441</v>
      </c>
      <c r="Y46" s="53">
        <f>IFERROR(Y43/Y45,"")</f>
        <v>4.0288808664259932</v>
      </c>
      <c r="Z46" s="54">
        <f>IFERROR(Z43/Z45,"")</f>
        <v>5.2760109836776525</v>
      </c>
      <c r="AA46" s="54">
        <f>IFERROR(AA43/AA45,"")</f>
        <v>5.9331362863139576</v>
      </c>
      <c r="AC46" s="46" t="s">
        <v>170</v>
      </c>
    </row>
    <row r="47" spans="1:29" x14ac:dyDescent="0.3">
      <c r="A47" s="7" t="s">
        <v>171</v>
      </c>
      <c r="B47" s="55">
        <v>0.18</v>
      </c>
      <c r="C47" s="55">
        <v>0.98</v>
      </c>
      <c r="D47" s="55">
        <v>6.63</v>
      </c>
      <c r="E47" s="55">
        <v>-0.55000000000000004</v>
      </c>
      <c r="F47" s="55">
        <v>0.41</v>
      </c>
      <c r="G47" s="55">
        <v>0.86</v>
      </c>
      <c r="H47" s="55">
        <v>2.13</v>
      </c>
      <c r="I47" s="55">
        <v>0.73</v>
      </c>
      <c r="J47" s="55">
        <v>0.24</v>
      </c>
      <c r="K47" s="55">
        <v>1.03</v>
      </c>
      <c r="L47" s="55">
        <v>2.21</v>
      </c>
      <c r="M47" s="55">
        <v>0.56000000000000005</v>
      </c>
      <c r="N47" s="55">
        <v>0.26</v>
      </c>
      <c r="O47" s="55">
        <v>1.37</v>
      </c>
    </row>
    <row r="49" spans="1:28" x14ac:dyDescent="0.3">
      <c r="A49" s="3" t="s">
        <v>172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3">
      <c r="A50" s="7" t="s">
        <v>173</v>
      </c>
      <c r="B50" s="42">
        <v>1581</v>
      </c>
      <c r="C50" s="42">
        <v>900</v>
      </c>
      <c r="D50" s="42">
        <v>1310</v>
      </c>
      <c r="E50" s="42">
        <v>46</v>
      </c>
      <c r="F50" s="42">
        <v>1909</v>
      </c>
      <c r="G50" s="42">
        <v>1043</v>
      </c>
      <c r="H50" s="42">
        <v>1074</v>
      </c>
      <c r="I50" s="42">
        <v>458</v>
      </c>
      <c r="J50" s="42">
        <v>1781</v>
      </c>
      <c r="K50" s="42">
        <v>962</v>
      </c>
      <c r="L50" s="42">
        <v>1349</v>
      </c>
      <c r="M50" s="42">
        <v>521</v>
      </c>
      <c r="N50" s="42">
        <v>1704</v>
      </c>
      <c r="O50" s="42">
        <v>1253</v>
      </c>
      <c r="W50" s="42">
        <v>3837</v>
      </c>
      <c r="X50" s="42">
        <v>4484</v>
      </c>
      <c r="Y50" s="42">
        <v>4613</v>
      </c>
      <c r="Z50" s="44">
        <f>SUM(N50:O50,P50:Q50)</f>
        <v>2957</v>
      </c>
      <c r="AA50" s="44">
        <f>SUM(R50:U50)</f>
        <v>0</v>
      </c>
    </row>
    <row r="51" spans="1:28" x14ac:dyDescent="0.3">
      <c r="A51" s="7" t="s">
        <v>174</v>
      </c>
      <c r="B51" s="22">
        <f t="shared" ref="B51:U51" si="21">IFERROR(B50/B15,"")</f>
        <v>0.86963696369636967</v>
      </c>
      <c r="C51" s="22">
        <f t="shared" si="21"/>
        <v>0.36231884057971014</v>
      </c>
      <c r="D51" s="22">
        <f t="shared" si="21"/>
        <v>0.38563438327936417</v>
      </c>
      <c r="E51" s="22">
        <f t="shared" si="21"/>
        <v>2.0739404869251576E-2</v>
      </c>
      <c r="F51" s="22">
        <f t="shared" si="21"/>
        <v>0.89122315592903834</v>
      </c>
      <c r="G51" s="22">
        <f t="shared" si="21"/>
        <v>0.37954876273653565</v>
      </c>
      <c r="H51" s="22">
        <f t="shared" si="21"/>
        <v>0.28778135048231512</v>
      </c>
      <c r="I51" s="22">
        <f t="shared" si="21"/>
        <v>0.18467741935483872</v>
      </c>
      <c r="J51" s="22">
        <f t="shared" si="21"/>
        <v>0.7838908450704225</v>
      </c>
      <c r="K51" s="22">
        <f t="shared" si="21"/>
        <v>0.31072351421188632</v>
      </c>
      <c r="L51" s="22">
        <f t="shared" si="21"/>
        <v>0.32942612942612942</v>
      </c>
      <c r="M51" s="22">
        <f t="shared" si="21"/>
        <v>0.18754499640028799</v>
      </c>
      <c r="N51" s="22">
        <f t="shared" si="21"/>
        <v>0.63629574309185954</v>
      </c>
      <c r="O51" s="22">
        <f t="shared" si="21"/>
        <v>0.34728381374722839</v>
      </c>
      <c r="P51" s="35">
        <f t="shared" si="21"/>
        <v>0</v>
      </c>
      <c r="Q51" s="35">
        <f t="shared" si="21"/>
        <v>0</v>
      </c>
      <c r="R51" s="35">
        <f t="shared" si="21"/>
        <v>0</v>
      </c>
      <c r="S51" s="35">
        <f t="shared" si="21"/>
        <v>0</v>
      </c>
      <c r="T51" s="35">
        <f t="shared" si="21"/>
        <v>0</v>
      </c>
      <c r="U51" s="35">
        <f t="shared" si="21"/>
        <v>0</v>
      </c>
      <c r="W51" s="22">
        <f>IFERROR(W50/W15,"")</f>
        <v>0.38691136432388828</v>
      </c>
      <c r="X51" s="22">
        <f>IFERROR(X50/X15,"")</f>
        <v>0.4038911907764367</v>
      </c>
      <c r="Y51" s="22">
        <f>IFERROR(Y50/Y15,"")</f>
        <v>0.3768482967077853</v>
      </c>
      <c r="Z51" s="35">
        <f>IFERROR(Z50/Z15,"")</f>
        <v>0.20724490480832219</v>
      </c>
      <c r="AA51" s="35">
        <f>IFERROR(AA50/AA15,"")</f>
        <v>0</v>
      </c>
    </row>
    <row r="52" spans="1:28" x14ac:dyDescent="0.3">
      <c r="A52" s="7" t="s">
        <v>175</v>
      </c>
      <c r="B52" s="42">
        <v>493</v>
      </c>
      <c r="C52" s="42">
        <v>507</v>
      </c>
      <c r="D52" s="42">
        <v>500</v>
      </c>
      <c r="E52" s="42">
        <v>752</v>
      </c>
      <c r="F52" s="42">
        <v>750</v>
      </c>
      <c r="G52" s="42">
        <v>749</v>
      </c>
      <c r="H52" s="42">
        <v>1093</v>
      </c>
      <c r="I52" s="42">
        <v>838</v>
      </c>
      <c r="J52" s="42">
        <v>807</v>
      </c>
      <c r="K52" s="42">
        <v>1010</v>
      </c>
      <c r="L52" s="42">
        <v>877</v>
      </c>
      <c r="M52" s="42">
        <v>1095</v>
      </c>
      <c r="N52" s="42">
        <v>1088</v>
      </c>
      <c r="O52" s="42">
        <v>1051</v>
      </c>
      <c r="W52" s="42">
        <v>2252</v>
      </c>
      <c r="X52" s="42">
        <v>3430</v>
      </c>
      <c r="Y52" s="42">
        <v>3789</v>
      </c>
      <c r="Z52" s="44">
        <f>SUM(N52:O52,P52:Q52)</f>
        <v>2139</v>
      </c>
      <c r="AA52" s="44">
        <f>SUM(R52:U52)</f>
        <v>0</v>
      </c>
    </row>
    <row r="54" spans="1:28" x14ac:dyDescent="0.3">
      <c r="A54" s="3" t="s">
        <v>176</v>
      </c>
      <c r="B54" s="56" t="s">
        <v>177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3">
      <c r="A55" s="7" t="s">
        <v>178</v>
      </c>
      <c r="P55" s="19">
        <v>4744.3221199999998</v>
      </c>
      <c r="Q55" s="19">
        <v>3161.8162699999998</v>
      </c>
      <c r="R55" s="19">
        <v>3010.32375</v>
      </c>
      <c r="S55" s="19">
        <v>4036.9355599999999</v>
      </c>
      <c r="T55" s="19">
        <v>5269.9672899999996</v>
      </c>
      <c r="U55" s="19">
        <v>3528.9193599999999</v>
      </c>
      <c r="Z55" s="19">
        <v>14189.557049999999</v>
      </c>
      <c r="AA55" s="19">
        <v>15819.339239999999</v>
      </c>
    </row>
    <row r="56" spans="1:28" x14ac:dyDescent="0.3">
      <c r="A56" s="7" t="s">
        <v>179</v>
      </c>
      <c r="P56" s="20">
        <v>4804.0355</v>
      </c>
      <c r="Q56" s="20">
        <v>3178.1078000000002</v>
      </c>
      <c r="R56" s="20">
        <v>3053.1293000000001</v>
      </c>
      <c r="S56" s="20">
        <v>4028.9807000000001</v>
      </c>
      <c r="T56" s="20">
        <v>5280.7325000000001</v>
      </c>
      <c r="U56" s="20">
        <v>3465.7640999999999</v>
      </c>
      <c r="Z56" s="20">
        <v>14268.1433</v>
      </c>
      <c r="AA56" s="20">
        <v>15828.606599999999</v>
      </c>
    </row>
    <row r="57" spans="1:28" x14ac:dyDescent="0.3">
      <c r="A57" s="7" t="s">
        <v>180</v>
      </c>
      <c r="P57" s="21">
        <v>4680.8999966296178</v>
      </c>
      <c r="Q57" s="21">
        <v>2965.8676775559729</v>
      </c>
      <c r="R57" s="21">
        <v>2835.534611159138</v>
      </c>
      <c r="S57" s="21">
        <v>3762.9715817637061</v>
      </c>
      <c r="T57" s="21">
        <v>4988.1742476277986</v>
      </c>
      <c r="U57" s="21">
        <v>3326.8310829520001</v>
      </c>
      <c r="Z57" s="21">
        <v>13932.76767418559</v>
      </c>
      <c r="AA57" s="21">
        <v>14913.511523502641</v>
      </c>
    </row>
    <row r="58" spans="1:28" x14ac:dyDescent="0.3">
      <c r="A58" s="7" t="s">
        <v>181</v>
      </c>
      <c r="P58" s="19">
        <v>2361.5217899999998</v>
      </c>
      <c r="Q58" s="19">
        <v>913.68388000000004</v>
      </c>
      <c r="R58" s="19">
        <v>610.73207000000002</v>
      </c>
      <c r="S58" s="19">
        <v>1451.7142699999999</v>
      </c>
      <c r="T58" s="19">
        <v>2695.5527699999998</v>
      </c>
      <c r="U58" s="19">
        <v>1068.39608</v>
      </c>
      <c r="Z58" s="19">
        <v>5053.7221399999999</v>
      </c>
      <c r="AA58" s="19">
        <v>5766.0991700000004</v>
      </c>
    </row>
    <row r="59" spans="1:28" x14ac:dyDescent="0.3">
      <c r="A59" s="7" t="s">
        <v>182</v>
      </c>
      <c r="P59" s="20">
        <v>2419.6424999999999</v>
      </c>
      <c r="Q59" s="20">
        <v>898.87164132527096</v>
      </c>
      <c r="R59" s="20">
        <v>556.05076979884598</v>
      </c>
      <c r="S59" s="20">
        <v>1373.833797752183</v>
      </c>
      <c r="T59" s="20">
        <v>2744.025156316015</v>
      </c>
      <c r="U59" s="20">
        <v>970.2945114246686</v>
      </c>
      <c r="Z59" s="20">
        <v>5098.5141413252713</v>
      </c>
      <c r="AA59" s="20">
        <v>5644.2042352917124</v>
      </c>
    </row>
    <row r="60" spans="1:28" x14ac:dyDescent="0.3">
      <c r="A60" s="7" t="s">
        <v>183</v>
      </c>
      <c r="P60" s="21">
        <v>2289.815228356711</v>
      </c>
      <c r="Q60" s="21">
        <v>699.60783868535009</v>
      </c>
      <c r="R60" s="21">
        <v>360.79561264093712</v>
      </c>
      <c r="S60" s="21">
        <v>1128.578171640635</v>
      </c>
      <c r="T60" s="21">
        <v>2449.0346826639752</v>
      </c>
      <c r="U60" s="21">
        <v>823.02692313091666</v>
      </c>
      <c r="Z60" s="21">
        <v>4769.4230670420611</v>
      </c>
      <c r="AA60" s="21">
        <v>4761.4353900764636</v>
      </c>
    </row>
    <row r="61" spans="1:28" x14ac:dyDescent="0.3">
      <c r="A61" s="7" t="s">
        <v>184</v>
      </c>
      <c r="P61" s="23">
        <v>0.49775747309501822</v>
      </c>
      <c r="Q61" s="23">
        <v>0.2889743748456326</v>
      </c>
      <c r="R61" s="23">
        <v>0.20287919862440049</v>
      </c>
      <c r="S61" s="23">
        <v>0.35960798690579049</v>
      </c>
      <c r="T61" s="23">
        <v>0.51149326393636885</v>
      </c>
      <c r="U61" s="23">
        <v>0.30275446135442441</v>
      </c>
      <c r="Z61" s="23">
        <v>0.35615785060746491</v>
      </c>
      <c r="AA61" s="23">
        <v>0.36449684038762681</v>
      </c>
    </row>
    <row r="62" spans="1:28" x14ac:dyDescent="0.3">
      <c r="A62" s="7" t="s">
        <v>185</v>
      </c>
      <c r="P62" s="24">
        <v>0.50366873850120397</v>
      </c>
      <c r="Q62" s="24">
        <v>0.28283233228440863</v>
      </c>
      <c r="R62" s="24">
        <v>0.1821248676886518</v>
      </c>
      <c r="S62" s="24">
        <v>0.34098793219639473</v>
      </c>
      <c r="T62" s="24">
        <v>0.51962964537893463</v>
      </c>
      <c r="U62" s="24">
        <v>0.2799655381693949</v>
      </c>
      <c r="Z62" s="24">
        <v>0.35733550148219162</v>
      </c>
      <c r="AA62" s="24">
        <v>0.35658250772949979</v>
      </c>
    </row>
    <row r="63" spans="1:28" x14ac:dyDescent="0.3">
      <c r="A63" s="7" t="s">
        <v>186</v>
      </c>
      <c r="P63" s="25">
        <v>0.48918268495491118</v>
      </c>
      <c r="Q63" s="25">
        <v>0.23588639640924999</v>
      </c>
      <c r="R63" s="25">
        <v>0.127240771888673</v>
      </c>
      <c r="S63" s="25">
        <v>0.29991674056482509</v>
      </c>
      <c r="T63" s="25">
        <v>0.49096815008590577</v>
      </c>
      <c r="U63" s="25">
        <v>0.24739065573495231</v>
      </c>
      <c r="Z63" s="25">
        <v>0.34231698816587403</v>
      </c>
      <c r="AA63" s="25">
        <v>0.31926990384342258</v>
      </c>
    </row>
    <row r="64" spans="1:28" x14ac:dyDescent="0.3">
      <c r="A64" s="7" t="s">
        <v>187</v>
      </c>
      <c r="P64" s="27">
        <v>2.8453900000000001</v>
      </c>
      <c r="Q64" s="27">
        <v>0.86153999999999997</v>
      </c>
      <c r="Z64" s="27">
        <v>5.3125900000000001</v>
      </c>
      <c r="AA64" s="27">
        <v>6.2275299999999998</v>
      </c>
    </row>
    <row r="65" spans="1:28" x14ac:dyDescent="0.3">
      <c r="A65" s="7" t="s">
        <v>188</v>
      </c>
      <c r="P65" s="28">
        <v>2.9071598815524831</v>
      </c>
      <c r="Q65" s="28">
        <v>0.76255190434528963</v>
      </c>
      <c r="R65" s="28">
        <v>0.31003529604097568</v>
      </c>
      <c r="S65" s="28">
        <v>1.3922916559086229</v>
      </c>
      <c r="T65" s="28">
        <v>3.428199180092613</v>
      </c>
      <c r="U65" s="28">
        <v>0.81916361983255359</v>
      </c>
      <c r="Z65" s="28">
        <v>5.2760109836776561</v>
      </c>
      <c r="AA65" s="28">
        <v>5.933136286313955</v>
      </c>
    </row>
    <row r="66" spans="1:28" x14ac:dyDescent="0.3">
      <c r="A66" s="7" t="s">
        <v>189</v>
      </c>
      <c r="P66" s="29">
        <v>2.7144969286287441</v>
      </c>
      <c r="Q66" s="29">
        <v>0.4708435412086483</v>
      </c>
      <c r="R66" s="29">
        <v>1.41405438541583E-2</v>
      </c>
      <c r="S66" s="29">
        <v>1.0168800632775921</v>
      </c>
      <c r="T66" s="29">
        <v>2.9808854594297278</v>
      </c>
      <c r="U66" s="29">
        <v>0.58915804340908007</v>
      </c>
      <c r="AA66" s="29">
        <v>4.5839263945318729</v>
      </c>
    </row>
    <row r="68" spans="1:28" x14ac:dyDescent="0.3">
      <c r="A68" s="3" t="s">
        <v>190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3">
      <c r="A69" s="7" t="s">
        <v>191</v>
      </c>
      <c r="B69" s="10" t="s">
        <v>192</v>
      </c>
    </row>
    <row r="70" spans="1:28" x14ac:dyDescent="0.3">
      <c r="A70" s="7" t="s">
        <v>193</v>
      </c>
      <c r="B70" s="10" t="s">
        <v>194</v>
      </c>
    </row>
    <row r="71" spans="1:28" x14ac:dyDescent="0.3">
      <c r="A71" s="7" t="s">
        <v>195</v>
      </c>
      <c r="B71" s="10" t="s">
        <v>196</v>
      </c>
    </row>
    <row r="72" spans="1:28" x14ac:dyDescent="0.3">
      <c r="A72" s="7" t="s">
        <v>197</v>
      </c>
      <c r="B72" s="10" t="s">
        <v>198</v>
      </c>
    </row>
    <row r="73" spans="1:28" x14ac:dyDescent="0.3">
      <c r="A73" s="7" t="s">
        <v>22</v>
      </c>
      <c r="B73" s="10" t="s">
        <v>199</v>
      </c>
    </row>
  </sheetData>
  <mergeCells count="1">
    <mergeCell ref="B3:F3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'Scenario Data'!$L$5:$L$14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44"/>
  <sheetViews>
    <sheetView showGridLines="0" zoomScale="65" zoomScaleNormal="70" workbookViewId="0">
      <pane xSplit="1" ySplit="5" topLeftCell="B43" activePane="bottomRight" state="frozen"/>
      <selection pane="topRight"/>
      <selection pane="bottomLeft"/>
      <selection pane="bottomRight" activeCell="P10" sqref="P10"/>
    </sheetView>
  </sheetViews>
  <sheetFormatPr defaultRowHeight="14.4" x14ac:dyDescent="0.3"/>
  <cols>
    <col min="1" max="1" width="46" customWidth="1"/>
    <col min="2" max="21" width="9.44140625" customWidth="1"/>
    <col min="22" max="22" width="2" customWidth="1"/>
    <col min="23" max="27" width="11" customWidth="1"/>
    <col min="28" max="28" width="3" customWidth="1"/>
    <col min="29" max="29" width="70" customWidth="1"/>
  </cols>
  <sheetData>
    <row r="1" spans="1:29" ht="17.399999999999999" x14ac:dyDescent="0.3">
      <c r="A1" s="1" t="s">
        <v>200</v>
      </c>
    </row>
    <row r="2" spans="1:29" x14ac:dyDescent="0.3">
      <c r="A2" s="2" t="s">
        <v>201</v>
      </c>
    </row>
    <row r="5" spans="1:29" x14ac:dyDescent="0.3">
      <c r="A5" s="17" t="s">
        <v>110</v>
      </c>
      <c r="B5" s="18" t="s">
        <v>111</v>
      </c>
      <c r="C5" s="18" t="s">
        <v>112</v>
      </c>
      <c r="D5" s="18" t="s">
        <v>113</v>
      </c>
      <c r="E5" s="18" t="s">
        <v>114</v>
      </c>
      <c r="F5" s="18" t="s">
        <v>115</v>
      </c>
      <c r="G5" s="18" t="s">
        <v>116</v>
      </c>
      <c r="H5" s="18" t="s">
        <v>117</v>
      </c>
      <c r="I5" s="18" t="s">
        <v>118</v>
      </c>
      <c r="J5" s="18" t="s">
        <v>119</v>
      </c>
      <c r="K5" s="18" t="s">
        <v>120</v>
      </c>
      <c r="L5" s="18" t="s">
        <v>121</v>
      </c>
      <c r="M5" s="18" t="s">
        <v>122</v>
      </c>
      <c r="N5" s="18" t="s">
        <v>123</v>
      </c>
      <c r="O5" s="18" t="s">
        <v>124</v>
      </c>
      <c r="P5" s="18" t="s">
        <v>125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W5" s="18" t="s">
        <v>105</v>
      </c>
      <c r="X5" s="18" t="s">
        <v>106</v>
      </c>
      <c r="Y5" s="18" t="s">
        <v>107</v>
      </c>
      <c r="Z5" s="18" t="s">
        <v>131</v>
      </c>
      <c r="AA5" s="18" t="s">
        <v>132</v>
      </c>
    </row>
    <row r="6" spans="1:29" x14ac:dyDescent="0.3">
      <c r="A6" s="3" t="s">
        <v>202</v>
      </c>
      <c r="B6" s="56" t="s">
        <v>203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9" x14ac:dyDescent="0.3">
      <c r="A7" s="30"/>
      <c r="B7" s="32">
        <v>121.1</v>
      </c>
      <c r="C7" s="32">
        <v>115.1</v>
      </c>
      <c r="D7" s="32">
        <v>113.2</v>
      </c>
      <c r="E7" s="32">
        <v>98.8</v>
      </c>
      <c r="F7" s="32">
        <v>132.6</v>
      </c>
      <c r="G7" s="32">
        <v>125.1</v>
      </c>
      <c r="H7" s="32">
        <v>122.8</v>
      </c>
      <c r="I7" s="32">
        <v>111</v>
      </c>
      <c r="J7" s="32">
        <v>143.1</v>
      </c>
      <c r="K7" s="32">
        <v>134.4</v>
      </c>
      <c r="L7" s="32">
        <v>133.6</v>
      </c>
      <c r="M7" s="32">
        <v>121.9</v>
      </c>
      <c r="N7" s="32">
        <v>156.19999999999999</v>
      </c>
      <c r="O7" s="32">
        <v>148.30000000000001</v>
      </c>
      <c r="P7" s="57">
        <v>146.81299999999999</v>
      </c>
      <c r="Q7" s="57">
        <v>131.79830000000001</v>
      </c>
      <c r="R7" s="57">
        <v>169.01779999999999</v>
      </c>
      <c r="S7" s="57">
        <v>157.1001</v>
      </c>
      <c r="T7" s="57">
        <v>155.958</v>
      </c>
      <c r="U7" s="57">
        <v>139.7655</v>
      </c>
      <c r="W7" s="58">
        <f>SUM(B7:E7)</f>
        <v>448.2</v>
      </c>
      <c r="X7" s="58">
        <f>SUM(F7:I7)</f>
        <v>491.5</v>
      </c>
      <c r="Y7" s="58">
        <f>SUM(J7:M7)</f>
        <v>533</v>
      </c>
      <c r="Z7" s="34">
        <f>SUM(N7:O7,P7:Q7)</f>
        <v>583.11130000000003</v>
      </c>
      <c r="AA7" s="34">
        <f>SUM(R7:U7)</f>
        <v>621.84139999999991</v>
      </c>
    </row>
    <row r="8" spans="1:29" x14ac:dyDescent="0.3">
      <c r="A8" s="7" t="s">
        <v>135</v>
      </c>
      <c r="F8" s="22">
        <f t="shared" ref="F8:U8" si="0">IFERROR(F7/B7-1,"")</f>
        <v>9.4962840627580425E-2</v>
      </c>
      <c r="G8" s="22">
        <f t="shared" si="0"/>
        <v>8.6880973066898459E-2</v>
      </c>
      <c r="H8" s="22">
        <f t="shared" si="0"/>
        <v>8.4805653710247286E-2</v>
      </c>
      <c r="I8" s="22">
        <f t="shared" si="0"/>
        <v>0.12348178137651833</v>
      </c>
      <c r="J8" s="22">
        <f t="shared" si="0"/>
        <v>7.9185520361990891E-2</v>
      </c>
      <c r="K8" s="22">
        <f t="shared" si="0"/>
        <v>7.4340527577937854E-2</v>
      </c>
      <c r="L8" s="22">
        <f t="shared" si="0"/>
        <v>8.7947882736156391E-2</v>
      </c>
      <c r="M8" s="22">
        <f t="shared" si="0"/>
        <v>9.8198198198198305E-2</v>
      </c>
      <c r="N8" s="22">
        <f t="shared" si="0"/>
        <v>9.1544374563242492E-2</v>
      </c>
      <c r="O8" s="22">
        <f t="shared" si="0"/>
        <v>0.10342261904761907</v>
      </c>
      <c r="P8" s="35">
        <f t="shared" si="0"/>
        <v>9.8899700598802376E-2</v>
      </c>
      <c r="Q8" s="35">
        <f t="shared" si="0"/>
        <v>8.1200164068909064E-2</v>
      </c>
      <c r="R8" s="35">
        <f t="shared" si="0"/>
        <v>8.2060179257362309E-2</v>
      </c>
      <c r="S8" s="35">
        <f t="shared" si="0"/>
        <v>5.9339851652056463E-2</v>
      </c>
      <c r="T8" s="35">
        <f t="shared" si="0"/>
        <v>6.2290124171565209E-2</v>
      </c>
      <c r="U8" s="35">
        <f t="shared" si="0"/>
        <v>6.0449945105513381E-2</v>
      </c>
      <c r="X8" s="22">
        <f>IFERROR(X7/W7-1,"")</f>
        <v>9.6608656849620722E-2</v>
      </c>
      <c r="Y8" s="22">
        <f>IFERROR(Y7/X7-1,"")</f>
        <v>8.4435401831129298E-2</v>
      </c>
      <c r="Z8" s="35">
        <f>IFERROR(Z7/Y7-1,"")</f>
        <v>9.401744840525339E-2</v>
      </c>
      <c r="AA8" s="35">
        <f>IFERROR(AA7/Z7-1,"")</f>
        <v>6.6419738392996086E-2</v>
      </c>
    </row>
    <row r="9" spans="1:29" x14ac:dyDescent="0.3">
      <c r="A9" s="7" t="s">
        <v>204</v>
      </c>
      <c r="N9" s="59">
        <v>0.08</v>
      </c>
      <c r="O9" s="59">
        <v>0.08</v>
      </c>
      <c r="P9" s="60">
        <v>0.11</v>
      </c>
      <c r="Q9" s="60">
        <v>0.11</v>
      </c>
      <c r="AC9" s="46" t="s">
        <v>205</v>
      </c>
    </row>
    <row r="10" spans="1:29" x14ac:dyDescent="0.3">
      <c r="A10" s="7" t="s">
        <v>206</v>
      </c>
      <c r="N10" s="59">
        <v>0.05</v>
      </c>
      <c r="O10" s="59">
        <v>0.08</v>
      </c>
      <c r="P10" s="60">
        <v>6.5000000000000002E-2</v>
      </c>
      <c r="Q10" s="60">
        <v>9.5000000000000001E-2</v>
      </c>
    </row>
    <row r="11" spans="1:29" x14ac:dyDescent="0.3">
      <c r="A11" s="7" t="s">
        <v>207</v>
      </c>
      <c r="N11" s="59">
        <v>0.18</v>
      </c>
      <c r="O11" s="59">
        <v>0.2</v>
      </c>
      <c r="P11" s="60">
        <v>0.1933333333333333</v>
      </c>
      <c r="Q11" s="60">
        <v>0.19666666666666671</v>
      </c>
    </row>
    <row r="12" spans="1:29" x14ac:dyDescent="0.3">
      <c r="A12" s="7" t="s">
        <v>208</v>
      </c>
      <c r="N12" s="59">
        <v>0.18</v>
      </c>
      <c r="O12" s="59">
        <v>0.18</v>
      </c>
      <c r="P12" s="60">
        <v>0.1466666666666667</v>
      </c>
      <c r="Q12" s="60">
        <v>0.14000000000000001</v>
      </c>
    </row>
    <row r="14" spans="1:29" x14ac:dyDescent="0.3">
      <c r="A14" s="7"/>
      <c r="B14" s="61">
        <v>168.43</v>
      </c>
      <c r="C14" s="61">
        <v>166.01</v>
      </c>
      <c r="D14" s="61">
        <v>161.38</v>
      </c>
      <c r="E14" s="61">
        <v>156.72999999999999</v>
      </c>
      <c r="F14" s="61">
        <v>172.88</v>
      </c>
      <c r="G14" s="61">
        <v>169.53</v>
      </c>
      <c r="H14" s="61">
        <v>163.63999999999999</v>
      </c>
      <c r="I14" s="61">
        <v>158.13</v>
      </c>
      <c r="J14" s="61">
        <v>171.34</v>
      </c>
      <c r="K14" s="61">
        <v>174.48</v>
      </c>
      <c r="L14" s="61">
        <v>171.29</v>
      </c>
      <c r="M14" s="61">
        <v>167.51</v>
      </c>
      <c r="N14" s="61">
        <v>186.82</v>
      </c>
      <c r="O14" s="61">
        <v>183.73</v>
      </c>
      <c r="P14" s="62">
        <v>177.1652</v>
      </c>
      <c r="Q14" s="62">
        <v>174.5789</v>
      </c>
      <c r="R14" s="62">
        <v>192.7534</v>
      </c>
      <c r="S14" s="62">
        <v>189.0471</v>
      </c>
      <c r="T14" s="62">
        <v>181.91679999999999</v>
      </c>
      <c r="U14" s="62">
        <v>177.85400000000001</v>
      </c>
    </row>
    <row r="15" spans="1:29" x14ac:dyDescent="0.3">
      <c r="A15" s="7" t="s">
        <v>209</v>
      </c>
      <c r="F15" s="22">
        <f t="shared" ref="F15:U15" si="1">IFERROR(F14/B14-1,"")</f>
        <v>2.642047141245607E-2</v>
      </c>
      <c r="G15" s="22">
        <f t="shared" si="1"/>
        <v>2.1203541955304051E-2</v>
      </c>
      <c r="H15" s="22">
        <f t="shared" si="1"/>
        <v>1.4004213657206499E-2</v>
      </c>
      <c r="I15" s="22">
        <f t="shared" si="1"/>
        <v>8.9325591782045688E-3</v>
      </c>
      <c r="J15" s="22">
        <f t="shared" si="1"/>
        <v>-8.9079130032392317E-3</v>
      </c>
      <c r="K15" s="22">
        <f t="shared" si="1"/>
        <v>2.9198371969562764E-2</v>
      </c>
      <c r="L15" s="22">
        <f t="shared" si="1"/>
        <v>4.6748961134197131E-2</v>
      </c>
      <c r="M15" s="22">
        <f t="shared" si="1"/>
        <v>5.931828242585202E-2</v>
      </c>
      <c r="N15" s="22">
        <f t="shared" si="1"/>
        <v>9.0346679117544015E-2</v>
      </c>
      <c r="O15" s="22">
        <f t="shared" si="1"/>
        <v>5.3014672168729904E-2</v>
      </c>
      <c r="P15" s="35">
        <f t="shared" si="1"/>
        <v>3.4299725611536047E-2</v>
      </c>
      <c r="Q15" s="35">
        <f t="shared" si="1"/>
        <v>4.2199868664557494E-2</v>
      </c>
      <c r="R15" s="35">
        <f t="shared" si="1"/>
        <v>3.1759982871212955E-2</v>
      </c>
      <c r="S15" s="35">
        <f t="shared" si="1"/>
        <v>2.8939748544059229E-2</v>
      </c>
      <c r="T15" s="35">
        <f t="shared" si="1"/>
        <v>2.6820165585566436E-2</v>
      </c>
      <c r="U15" s="35">
        <f t="shared" si="1"/>
        <v>1.8759999060596666E-2</v>
      </c>
      <c r="X15" s="22" t="str">
        <f>IFERROR(X14/W14-1,"")</f>
        <v/>
      </c>
      <c r="Y15" s="22" t="str">
        <f>IFERROR(Y14/X14-1,"")</f>
        <v/>
      </c>
      <c r="Z15" s="35" t="str">
        <f>IFERROR(Z14/Y14-1,"")</f>
        <v/>
      </c>
      <c r="AA15" s="35" t="str">
        <f>IFERROR(AA14/Z14-1,"")</f>
        <v/>
      </c>
    </row>
    <row r="16" spans="1:29" x14ac:dyDescent="0.3">
      <c r="A16" s="7" t="s">
        <v>210</v>
      </c>
      <c r="L16" s="63">
        <f>L15-L17</f>
        <v>1.9748961134197131E-2</v>
      </c>
      <c r="M16" s="63">
        <f>M15-M17</f>
        <v>3.0318282425852019E-2</v>
      </c>
      <c r="N16" s="63">
        <f>N15-N17</f>
        <v>4.0346679117544013E-2</v>
      </c>
      <c r="O16" s="63">
        <f>O15-O17</f>
        <v>4.0014672168729906E-2</v>
      </c>
      <c r="P16" s="60">
        <v>3.8600000000000002E-2</v>
      </c>
      <c r="Q16" s="60">
        <v>4.07E-2</v>
      </c>
      <c r="R16" s="60">
        <v>3.4780000000000012E-2</v>
      </c>
      <c r="S16" s="60">
        <v>3.0870000000000002E-2</v>
      </c>
      <c r="T16" s="60">
        <v>2.648E-2</v>
      </c>
      <c r="U16" s="60">
        <v>2.1610000000000001E-2</v>
      </c>
      <c r="AC16" s="46" t="s">
        <v>211</v>
      </c>
    </row>
    <row r="17" spans="1:29" x14ac:dyDescent="0.3">
      <c r="A17" s="7" t="s">
        <v>212</v>
      </c>
      <c r="L17" s="59">
        <v>2.7E-2</v>
      </c>
      <c r="M17" s="59">
        <v>2.9000000000000001E-2</v>
      </c>
      <c r="N17" s="59">
        <v>0.05</v>
      </c>
      <c r="O17" s="59">
        <v>1.2999999999999999E-2</v>
      </c>
      <c r="P17" s="60">
        <v>-4.3E-3</v>
      </c>
      <c r="Q17" s="60">
        <v>1.5E-3</v>
      </c>
      <c r="R17" s="60">
        <v>-3.0100000000000001E-3</v>
      </c>
      <c r="S17" s="60">
        <v>-1.9300000000000001E-3</v>
      </c>
      <c r="T17" s="60">
        <v>3.4000000000000002E-4</v>
      </c>
      <c r="U17" s="60">
        <v>-2.8500000000000001E-3</v>
      </c>
      <c r="AC17" s="46" t="s">
        <v>213</v>
      </c>
    </row>
    <row r="19" spans="1:29" x14ac:dyDescent="0.3">
      <c r="A19" s="30"/>
      <c r="B19" s="32">
        <v>20.399999999999999</v>
      </c>
      <c r="C19" s="32">
        <v>19.100000000000001</v>
      </c>
      <c r="D19" s="32">
        <v>18.3</v>
      </c>
      <c r="E19" s="32">
        <v>15.5</v>
      </c>
      <c r="F19" s="32">
        <v>22.9</v>
      </c>
      <c r="G19" s="32">
        <v>21.2</v>
      </c>
      <c r="H19" s="32">
        <v>20.100000000000001</v>
      </c>
      <c r="I19" s="32">
        <v>17.600000000000001</v>
      </c>
      <c r="J19" s="32">
        <v>24.5</v>
      </c>
      <c r="K19" s="32">
        <v>23.5</v>
      </c>
      <c r="L19" s="32">
        <v>22.9</v>
      </c>
      <c r="M19" s="32">
        <v>20.399999999999999</v>
      </c>
      <c r="N19" s="32">
        <v>29.2</v>
      </c>
      <c r="O19" s="32">
        <v>27.2</v>
      </c>
      <c r="P19" s="34">
        <f t="shared" ref="P19:U19" si="2">P7*P14/1000</f>
        <v>26.010154507599996</v>
      </c>
      <c r="Q19" s="34">
        <f t="shared" si="2"/>
        <v>23.009202235870003</v>
      </c>
      <c r="R19" s="34">
        <f t="shared" si="2"/>
        <v>32.578755610519998</v>
      </c>
      <c r="S19" s="34">
        <f t="shared" si="2"/>
        <v>29.699318314709998</v>
      </c>
      <c r="T19" s="34">
        <f t="shared" si="2"/>
        <v>28.371380294399998</v>
      </c>
      <c r="U19" s="34">
        <f t="shared" si="2"/>
        <v>24.857853237000004</v>
      </c>
      <c r="W19" s="58">
        <f>SUM(B19:E19)</f>
        <v>73.3</v>
      </c>
      <c r="X19" s="58">
        <f>SUM(F19:I19)</f>
        <v>81.799999999999983</v>
      </c>
      <c r="Y19" s="58">
        <f>SUM(J19:M19)</f>
        <v>91.300000000000011</v>
      </c>
      <c r="Z19" s="34">
        <f>SUM(N19:O19,P19:Q19)</f>
        <v>105.41935674347</v>
      </c>
      <c r="AA19" s="34">
        <f>SUM(R19:U19)</f>
        <v>115.50730745663</v>
      </c>
      <c r="AC19" s="46" t="s">
        <v>214</v>
      </c>
    </row>
    <row r="20" spans="1:29" x14ac:dyDescent="0.3">
      <c r="A20" s="7" t="s">
        <v>135</v>
      </c>
      <c r="F20" s="22">
        <f t="shared" ref="F20:U20" si="3">IFERROR(F19/B19-1,"")</f>
        <v>0.12254901960784315</v>
      </c>
      <c r="G20" s="22">
        <f t="shared" si="3"/>
        <v>0.10994764397905743</v>
      </c>
      <c r="H20" s="22">
        <f t="shared" si="3"/>
        <v>9.8360655737705027E-2</v>
      </c>
      <c r="I20" s="22">
        <f t="shared" si="3"/>
        <v>0.13548387096774195</v>
      </c>
      <c r="J20" s="22">
        <f t="shared" si="3"/>
        <v>6.9868995633187936E-2</v>
      </c>
      <c r="K20" s="22">
        <f t="shared" si="3"/>
        <v>0.10849056603773599</v>
      </c>
      <c r="L20" s="22">
        <f t="shared" si="3"/>
        <v>0.13930348258706449</v>
      </c>
      <c r="M20" s="22">
        <f t="shared" si="3"/>
        <v>0.15909090909090895</v>
      </c>
      <c r="N20" s="22">
        <f t="shared" si="3"/>
        <v>0.19183673469387763</v>
      </c>
      <c r="O20" s="22">
        <f t="shared" si="3"/>
        <v>0.15744680851063819</v>
      </c>
      <c r="P20" s="35">
        <f t="shared" si="3"/>
        <v>0.13581460731877715</v>
      </c>
      <c r="Q20" s="35">
        <f t="shared" si="3"/>
        <v>0.12790207038578449</v>
      </c>
      <c r="R20" s="35">
        <f t="shared" si="3"/>
        <v>0.11571080857945204</v>
      </c>
      <c r="S20" s="35">
        <f t="shared" si="3"/>
        <v>9.1886702746691196E-2</v>
      </c>
      <c r="T20" s="35">
        <f t="shared" si="3"/>
        <v>9.0780921201758735E-2</v>
      </c>
      <c r="U20" s="35">
        <f t="shared" si="3"/>
        <v>8.0343985079502689E-2</v>
      </c>
      <c r="X20" s="22">
        <f>IFERROR(X19/W19-1,"")</f>
        <v>0.11596180081855367</v>
      </c>
      <c r="Y20" s="22">
        <f>IFERROR(Y19/X19-1,"")</f>
        <v>0.11613691931540382</v>
      </c>
      <c r="Z20" s="35">
        <f>IFERROR(Z19/Y19-1,"")</f>
        <v>0.15464793804457821</v>
      </c>
      <c r="AA20" s="35">
        <f>IFERROR(AA19/Z19-1,"")</f>
        <v>9.5693533187726221E-2</v>
      </c>
    </row>
    <row r="22" spans="1:29" x14ac:dyDescent="0.3">
      <c r="A22" s="7" t="s">
        <v>215</v>
      </c>
      <c r="P22" s="64">
        <v>0.17882100000000001</v>
      </c>
      <c r="Q22" s="64">
        <v>0.13617599999999999</v>
      </c>
      <c r="R22" s="64">
        <v>9.1712000000000002E-2</v>
      </c>
      <c r="S22" s="64">
        <v>0.13264699999999999</v>
      </c>
      <c r="T22" s="64">
        <v>0.18457200000000001</v>
      </c>
      <c r="U22" s="64">
        <v>0.13825499999999999</v>
      </c>
    </row>
    <row r="23" spans="1:29" x14ac:dyDescent="0.3">
      <c r="A23" s="7" t="s">
        <v>216</v>
      </c>
      <c r="P23" s="64">
        <v>5.7509999999999992E-3</v>
      </c>
      <c r="Q23" s="64">
        <v>2.0790000000000001E-3</v>
      </c>
      <c r="R23" s="64">
        <v>1.9430000000000001E-3</v>
      </c>
      <c r="S23" s="64">
        <v>3.2469999999999999E-3</v>
      </c>
      <c r="T23" s="64">
        <v>1.4289999999999999E-3</v>
      </c>
      <c r="U23" s="64">
        <v>1.3010000000000001E-3</v>
      </c>
      <c r="AC23" s="46" t="s">
        <v>217</v>
      </c>
    </row>
    <row r="24" spans="1:29" x14ac:dyDescent="0.3">
      <c r="A24" s="7" t="s">
        <v>218</v>
      </c>
      <c r="P24" s="65">
        <v>27.866700000000002</v>
      </c>
      <c r="Q24" s="65">
        <v>26.418600000000001</v>
      </c>
      <c r="R24" s="65">
        <v>24.000800000000002</v>
      </c>
      <c r="S24" s="65">
        <v>29.395499999999998</v>
      </c>
      <c r="T24" s="65">
        <v>30.631799999999998</v>
      </c>
      <c r="U24" s="65">
        <v>28.809799999999999</v>
      </c>
      <c r="AC24" s="46" t="s">
        <v>219</v>
      </c>
    </row>
    <row r="25" spans="1:29" x14ac:dyDescent="0.3">
      <c r="A25" s="7" t="s">
        <v>220</v>
      </c>
      <c r="P25" s="41">
        <f t="shared" ref="P25:U25" si="4">IFERROR(P26/(P24*1000),"")</f>
        <v>0.17239341220883705</v>
      </c>
      <c r="Q25" s="41">
        <f t="shared" si="4"/>
        <v>0.12029811572149925</v>
      </c>
      <c r="R25" s="41">
        <f t="shared" si="4"/>
        <v>0.12720948051731606</v>
      </c>
      <c r="S25" s="41">
        <f t="shared" si="4"/>
        <v>0.13706113860965113</v>
      </c>
      <c r="T25" s="41">
        <f t="shared" si="4"/>
        <v>0.17239380317186714</v>
      </c>
      <c r="U25" s="41">
        <f t="shared" si="4"/>
        <v>0.12029809648105853</v>
      </c>
    </row>
    <row r="26" spans="1:29" x14ac:dyDescent="0.3">
      <c r="A26" s="30"/>
      <c r="B26" s="38">
        <v>1818</v>
      </c>
      <c r="C26" s="38">
        <v>2484</v>
      </c>
      <c r="D26" s="38">
        <v>3397</v>
      </c>
      <c r="E26" s="38">
        <v>2218</v>
      </c>
      <c r="F26" s="38">
        <v>2142</v>
      </c>
      <c r="G26" s="38">
        <v>2748</v>
      </c>
      <c r="H26" s="38">
        <v>3732</v>
      </c>
      <c r="I26" s="38">
        <v>2480</v>
      </c>
      <c r="J26" s="38">
        <v>2272</v>
      </c>
      <c r="K26" s="38">
        <v>3096</v>
      </c>
      <c r="L26" s="38">
        <v>4095</v>
      </c>
      <c r="M26" s="38">
        <v>2778</v>
      </c>
      <c r="N26" s="38">
        <v>2678</v>
      </c>
      <c r="O26" s="38">
        <v>3608</v>
      </c>
      <c r="P26" s="66">
        <v>4804.0355</v>
      </c>
      <c r="Q26" s="66">
        <v>3178.1078000000002</v>
      </c>
      <c r="R26" s="66">
        <v>3053.1293000000001</v>
      </c>
      <c r="S26" s="66">
        <v>4028.9807000000001</v>
      </c>
      <c r="T26" s="66">
        <v>5280.7325000000001</v>
      </c>
      <c r="U26" s="66">
        <v>3465.7640999999999</v>
      </c>
      <c r="W26" s="45">
        <f>SUM(B26:E26)</f>
        <v>9917</v>
      </c>
      <c r="X26" s="45">
        <f>SUM(F26:I26)</f>
        <v>11102</v>
      </c>
      <c r="Y26" s="45">
        <f>SUM(J26:M26)</f>
        <v>12241</v>
      </c>
      <c r="Z26" s="40">
        <f>SUM(N26:O26,P26:Q26)</f>
        <v>14268.1433</v>
      </c>
      <c r="AA26" s="40">
        <f>SUM(R26:U26)</f>
        <v>15828.606600000001</v>
      </c>
    </row>
    <row r="27" spans="1:29" x14ac:dyDescent="0.3">
      <c r="A27" s="7" t="s">
        <v>221</v>
      </c>
      <c r="F27" s="22">
        <f t="shared" ref="F27:U27" si="5">IFERROR(F26/B26-1,"")</f>
        <v>0.17821782178217815</v>
      </c>
      <c r="G27" s="22">
        <f t="shared" si="5"/>
        <v>0.106280193236715</v>
      </c>
      <c r="H27" s="22">
        <f t="shared" si="5"/>
        <v>9.8616426258463452E-2</v>
      </c>
      <c r="I27" s="22">
        <f t="shared" si="5"/>
        <v>0.11812443642921555</v>
      </c>
      <c r="J27" s="22">
        <f t="shared" si="5"/>
        <v>6.0690943043884227E-2</v>
      </c>
      <c r="K27" s="22">
        <f t="shared" si="5"/>
        <v>0.1266375545851528</v>
      </c>
      <c r="L27" s="22">
        <f t="shared" si="5"/>
        <v>9.726688102893899E-2</v>
      </c>
      <c r="M27" s="22">
        <f t="shared" si="5"/>
        <v>0.12016129032258061</v>
      </c>
      <c r="N27" s="22">
        <f t="shared" si="5"/>
        <v>0.17869718309859151</v>
      </c>
      <c r="O27" s="22">
        <f t="shared" si="5"/>
        <v>0.1653746770025839</v>
      </c>
      <c r="P27" s="35">
        <f t="shared" si="5"/>
        <v>0.17314664224664233</v>
      </c>
      <c r="Q27" s="35">
        <f t="shared" si="5"/>
        <v>0.14402728581713475</v>
      </c>
      <c r="R27" s="35">
        <f t="shared" si="5"/>
        <v>0.14007815533980583</v>
      </c>
      <c r="S27" s="35">
        <f t="shared" si="5"/>
        <v>0.11667979490022184</v>
      </c>
      <c r="T27" s="35">
        <f t="shared" si="5"/>
        <v>9.9228450747293584E-2</v>
      </c>
      <c r="U27" s="35">
        <f t="shared" si="5"/>
        <v>9.0511813350069303E-2</v>
      </c>
      <c r="X27" s="22">
        <f>IFERROR(X26/W26-1,"")</f>
        <v>0.11949178178884745</v>
      </c>
      <c r="Y27" s="22">
        <f>IFERROR(Y26/X26-1,"")</f>
        <v>0.10259412718429117</v>
      </c>
      <c r="Z27" s="35">
        <f>IFERROR(Z26/Y26-1,"")</f>
        <v>0.16560275304305194</v>
      </c>
      <c r="AA27" s="35">
        <f>IFERROR(AA26/Z26-1,"")</f>
        <v>0.10936694895684163</v>
      </c>
    </row>
    <row r="28" spans="1:29" x14ac:dyDescent="0.3">
      <c r="A28" s="7" t="s">
        <v>222</v>
      </c>
      <c r="B28" s="59">
        <v>-3.999999999999998E-2</v>
      </c>
      <c r="C28" s="59">
        <v>-1.0000000000000011E-2</v>
      </c>
      <c r="D28" s="59">
        <v>3.999999999999998E-2</v>
      </c>
      <c r="E28" s="59">
        <v>0.03</v>
      </c>
      <c r="F28" s="59">
        <v>0</v>
      </c>
      <c r="G28" s="59">
        <v>0</v>
      </c>
      <c r="H28" s="59">
        <v>0</v>
      </c>
      <c r="J28" s="59">
        <v>-0.02</v>
      </c>
      <c r="K28" s="59">
        <v>0</v>
      </c>
      <c r="L28" s="59">
        <v>0</v>
      </c>
      <c r="M28" s="59">
        <v>9.999999999999995E-3</v>
      </c>
      <c r="N28" s="59">
        <v>0.03</v>
      </c>
      <c r="O28" s="59">
        <v>4.0000000000000008E-2</v>
      </c>
      <c r="P28" s="60">
        <v>0.03</v>
      </c>
      <c r="Q28" s="60">
        <v>9.7999999999999997E-3</v>
      </c>
      <c r="R28" s="60">
        <v>9.300000000000001E-3</v>
      </c>
      <c r="S28" s="60">
        <v>6.1999999999999998E-3</v>
      </c>
      <c r="T28" s="60">
        <v>3.0999999999999999E-3</v>
      </c>
      <c r="U28" s="60">
        <v>3.8E-3</v>
      </c>
      <c r="AC28" s="46" t="s">
        <v>223</v>
      </c>
    </row>
    <row r="29" spans="1:29" x14ac:dyDescent="0.3">
      <c r="A29" s="7" t="s">
        <v>224</v>
      </c>
      <c r="B29" s="22">
        <f t="shared" ref="B29:O29" si="6">IFERROR(B27-B28,"")</f>
        <v>3.999999999999998E-2</v>
      </c>
      <c r="C29" s="22">
        <f t="shared" si="6"/>
        <v>1.0000000000000011E-2</v>
      </c>
      <c r="D29" s="22">
        <f t="shared" si="6"/>
        <v>-3.999999999999998E-2</v>
      </c>
      <c r="E29" s="22">
        <f t="shared" si="6"/>
        <v>-0.03</v>
      </c>
      <c r="F29" s="22">
        <f t="shared" si="6"/>
        <v>0.17821782178217815</v>
      </c>
      <c r="G29" s="22">
        <f t="shared" si="6"/>
        <v>0.106280193236715</v>
      </c>
      <c r="H29" s="22">
        <f t="shared" si="6"/>
        <v>9.8616426258463452E-2</v>
      </c>
      <c r="I29" s="22">
        <f t="shared" si="6"/>
        <v>0.11812443642921555</v>
      </c>
      <c r="J29" s="22">
        <f t="shared" si="6"/>
        <v>8.0690943043884231E-2</v>
      </c>
      <c r="K29" s="22">
        <f t="shared" si="6"/>
        <v>0.1266375545851528</v>
      </c>
      <c r="L29" s="22">
        <f t="shared" si="6"/>
        <v>9.726688102893899E-2</v>
      </c>
      <c r="M29" s="22">
        <f t="shared" si="6"/>
        <v>0.11016129032258061</v>
      </c>
      <c r="N29" s="22">
        <f t="shared" si="6"/>
        <v>0.14869718309859151</v>
      </c>
      <c r="O29" s="22">
        <f t="shared" si="6"/>
        <v>0.1253746770025839</v>
      </c>
      <c r="P29" s="35">
        <f t="shared" ref="P29:U29" si="7">P27-P28</f>
        <v>0.14314664224664234</v>
      </c>
      <c r="Q29" s="35">
        <f t="shared" si="7"/>
        <v>0.13422728581713475</v>
      </c>
      <c r="R29" s="35">
        <f t="shared" si="7"/>
        <v>0.13077815533980583</v>
      </c>
      <c r="S29" s="35">
        <f t="shared" si="7"/>
        <v>0.11047979490022185</v>
      </c>
      <c r="T29" s="35">
        <f t="shared" si="7"/>
        <v>9.6128450747293578E-2</v>
      </c>
      <c r="U29" s="35">
        <f t="shared" si="7"/>
        <v>8.6711813350069306E-2</v>
      </c>
    </row>
    <row r="30" spans="1:29" x14ac:dyDescent="0.3">
      <c r="A30" s="30" t="s">
        <v>225</v>
      </c>
      <c r="B30" s="67">
        <f t="shared" ref="B30:U30" si="8">IFERROR(B26/(B19*1000),"")</f>
        <v>8.9117647058823524E-2</v>
      </c>
      <c r="C30" s="67">
        <f t="shared" si="8"/>
        <v>0.13005235602094239</v>
      </c>
      <c r="D30" s="67">
        <f t="shared" si="8"/>
        <v>0.18562841530054644</v>
      </c>
      <c r="E30" s="67">
        <f t="shared" si="8"/>
        <v>0.14309677419354838</v>
      </c>
      <c r="F30" s="67">
        <f t="shared" si="8"/>
        <v>9.3537117903930128E-2</v>
      </c>
      <c r="G30" s="67">
        <f t="shared" si="8"/>
        <v>0.12962264150943395</v>
      </c>
      <c r="H30" s="67">
        <f t="shared" si="8"/>
        <v>0.18567164179104478</v>
      </c>
      <c r="I30" s="67">
        <f t="shared" si="8"/>
        <v>0.1409090909090909</v>
      </c>
      <c r="J30" s="67">
        <f t="shared" si="8"/>
        <v>9.2734693877551025E-2</v>
      </c>
      <c r="K30" s="67">
        <f t="shared" si="8"/>
        <v>0.13174468085106383</v>
      </c>
      <c r="L30" s="67">
        <f t="shared" si="8"/>
        <v>0.17882096069868997</v>
      </c>
      <c r="M30" s="67">
        <f t="shared" si="8"/>
        <v>0.13617647058823529</v>
      </c>
      <c r="N30" s="67">
        <f t="shared" si="8"/>
        <v>9.1712328767123291E-2</v>
      </c>
      <c r="O30" s="67">
        <f t="shared" si="8"/>
        <v>0.13264705882352942</v>
      </c>
      <c r="P30" s="68">
        <f t="shared" si="8"/>
        <v>0.18469846069527546</v>
      </c>
      <c r="Q30" s="68">
        <f t="shared" si="8"/>
        <v>0.13812333723789502</v>
      </c>
      <c r="R30" s="68">
        <f t="shared" si="8"/>
        <v>9.3715344333597406E-2</v>
      </c>
      <c r="S30" s="68">
        <f t="shared" si="8"/>
        <v>0.13565902952070302</v>
      </c>
      <c r="T30" s="68">
        <f t="shared" si="8"/>
        <v>0.18612885397903331</v>
      </c>
      <c r="U30" s="68">
        <f t="shared" si="8"/>
        <v>0.13942330687033494</v>
      </c>
      <c r="W30" s="67">
        <f>IFERROR(W26/(W19*1000),"")</f>
        <v>0.13529331514324694</v>
      </c>
      <c r="X30" s="67">
        <f>IFERROR(X26/(X19*1000),"")</f>
        <v>0.13572127139364307</v>
      </c>
      <c r="Y30" s="67">
        <f>IFERROR(Y26/(Y19*1000),"")</f>
        <v>0.13407447973713033</v>
      </c>
      <c r="Z30" s="68">
        <f>IFERROR(Z26/(Z19*1000),"")</f>
        <v>0.13534652212610671</v>
      </c>
      <c r="AA30" s="68">
        <f>IFERROR(AA26/(AA19*1000),"")</f>
        <v>0.13703554301915688</v>
      </c>
    </row>
    <row r="31" spans="1:29" x14ac:dyDescent="0.3">
      <c r="A31" s="7" t="s">
        <v>226</v>
      </c>
      <c r="P31" s="69">
        <v>4777.8743999999997</v>
      </c>
      <c r="Q31" s="69">
        <v>3156.0079999999998</v>
      </c>
      <c r="R31" s="69">
        <v>2958.2215999999999</v>
      </c>
      <c r="S31" s="69">
        <v>3953.2896000000001</v>
      </c>
      <c r="T31" s="69">
        <v>5251.9754999999996</v>
      </c>
      <c r="U31" s="69">
        <v>3441.6639</v>
      </c>
    </row>
    <row r="32" spans="1:29" x14ac:dyDescent="0.3">
      <c r="A32" s="7" t="s">
        <v>227</v>
      </c>
      <c r="P32" s="69">
        <v>4846.2321000000002</v>
      </c>
      <c r="Q32" s="69">
        <v>3201.2166000000002</v>
      </c>
      <c r="R32" s="69">
        <v>3128.384</v>
      </c>
      <c r="S32" s="69">
        <v>4099.4831000000004</v>
      </c>
      <c r="T32" s="69">
        <v>5327.1162000000004</v>
      </c>
      <c r="U32" s="69">
        <v>3490.9643999999998</v>
      </c>
      <c r="AC32" s="46" t="s">
        <v>228</v>
      </c>
    </row>
    <row r="34" spans="1:29" x14ac:dyDescent="0.3">
      <c r="A34" s="3" t="s">
        <v>229</v>
      </c>
      <c r="B34" s="56" t="s">
        <v>230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9" x14ac:dyDescent="0.3">
      <c r="A35" s="7" t="s">
        <v>231</v>
      </c>
      <c r="P35" s="70">
        <v>8.5000000000000006E-2</v>
      </c>
      <c r="Q35" s="70">
        <v>0.08</v>
      </c>
      <c r="R35" s="70">
        <v>4.7070000000000001E-2</v>
      </c>
      <c r="S35" s="70">
        <v>3.0259999999999999E-2</v>
      </c>
      <c r="T35" s="70">
        <v>3.4049999999999997E-2</v>
      </c>
      <c r="U35" s="70">
        <v>3.3270000000000001E-2</v>
      </c>
      <c r="Z35" s="60">
        <v>9.0259000000000006E-2</v>
      </c>
      <c r="AA35" s="60">
        <v>3.6406000000000001E-2</v>
      </c>
    </row>
    <row r="36" spans="1:29" x14ac:dyDescent="0.3">
      <c r="A36" s="7" t="s">
        <v>232</v>
      </c>
      <c r="P36" s="24">
        <v>9.8900000000000002E-2</v>
      </c>
      <c r="Q36" s="24">
        <v>8.1199999999999994E-2</v>
      </c>
      <c r="R36" s="24">
        <v>8.2059999999999994E-2</v>
      </c>
      <c r="S36" s="24">
        <v>5.9339999999999997E-2</v>
      </c>
      <c r="T36" s="24">
        <v>6.2289999999999998E-2</v>
      </c>
      <c r="U36" s="24">
        <v>6.0449999999999997E-2</v>
      </c>
      <c r="Z36" s="60">
        <v>9.4017000000000003E-2</v>
      </c>
      <c r="AA36" s="60">
        <v>6.6420000000000007E-2</v>
      </c>
    </row>
    <row r="37" spans="1:29" x14ac:dyDescent="0.3">
      <c r="A37" s="7" t="s">
        <v>233</v>
      </c>
      <c r="P37" s="60">
        <v>0.11</v>
      </c>
      <c r="Q37" s="60">
        <v>8.8599999999999998E-2</v>
      </c>
      <c r="R37" s="60">
        <v>0.10524</v>
      </c>
      <c r="S37" s="60">
        <v>8.8200000000000001E-2</v>
      </c>
      <c r="T37" s="60">
        <v>8.6839999999999987E-2</v>
      </c>
      <c r="U37" s="60">
        <v>8.5709999999999995E-2</v>
      </c>
      <c r="Z37" s="60">
        <v>9.8491999999999996E-2</v>
      </c>
      <c r="AA37" s="60">
        <v>9.1837000000000002E-2</v>
      </c>
    </row>
    <row r="38" spans="1:29" x14ac:dyDescent="0.3">
      <c r="A38" s="7" t="s">
        <v>234</v>
      </c>
      <c r="P38" s="25">
        <v>8.5000000000000006E-2</v>
      </c>
      <c r="Q38" s="25">
        <v>0.05</v>
      </c>
      <c r="R38" s="25">
        <v>0.04</v>
      </c>
      <c r="S38" s="25">
        <v>0.02</v>
      </c>
      <c r="T38" s="25">
        <v>0.03</v>
      </c>
      <c r="U38" s="25">
        <v>0.04</v>
      </c>
      <c r="AC38" s="46" t="s">
        <v>235</v>
      </c>
    </row>
    <row r="40" spans="1:29" x14ac:dyDescent="0.3">
      <c r="A40" s="7" t="s">
        <v>236</v>
      </c>
      <c r="P40" s="70">
        <v>2.0299999999999999E-2</v>
      </c>
      <c r="Q40" s="70">
        <v>2.7699999999999999E-2</v>
      </c>
      <c r="R40" s="70">
        <v>-8.7500000000000008E-3</v>
      </c>
      <c r="S40" s="70">
        <v>-7.980000000000001E-3</v>
      </c>
      <c r="T40" s="70">
        <v>-1.98E-3</v>
      </c>
      <c r="U40" s="70">
        <v>7.2299999999999986E-3</v>
      </c>
      <c r="Z40" s="60">
        <v>4.8749000000000001E-2</v>
      </c>
      <c r="AA40" s="60">
        <v>-3.3310000000000002E-3</v>
      </c>
    </row>
    <row r="41" spans="1:29" x14ac:dyDescent="0.3">
      <c r="A41" s="7" t="s">
        <v>237</v>
      </c>
      <c r="P41" s="24">
        <v>3.4299999999999997E-2</v>
      </c>
      <c r="Q41" s="24">
        <v>4.2199999999999988E-2</v>
      </c>
      <c r="R41" s="24">
        <v>3.1759999999999997E-2</v>
      </c>
      <c r="S41" s="24">
        <v>2.894E-2</v>
      </c>
      <c r="T41" s="24">
        <v>2.682E-2</v>
      </c>
      <c r="U41" s="24">
        <v>1.8759999999999999E-2</v>
      </c>
      <c r="Z41" s="60">
        <v>5.5378999999999998E-2</v>
      </c>
      <c r="AA41" s="60">
        <v>2.7181E-2</v>
      </c>
    </row>
    <row r="42" spans="1:29" x14ac:dyDescent="0.3">
      <c r="A42" s="7" t="s">
        <v>238</v>
      </c>
      <c r="P42" s="60">
        <v>4.8399999999999999E-2</v>
      </c>
      <c r="Q42" s="60">
        <v>5.6599999999999998E-2</v>
      </c>
      <c r="R42" s="60">
        <v>5.7299999999999997E-2</v>
      </c>
      <c r="S42" s="60">
        <v>5.8009999999999999E-2</v>
      </c>
      <c r="T42" s="60">
        <v>5.2679999999999998E-2</v>
      </c>
      <c r="U42" s="60">
        <v>3.1739999999999997E-2</v>
      </c>
      <c r="Z42" s="60">
        <v>6.2031999999999997E-2</v>
      </c>
      <c r="AA42" s="60">
        <v>5.0872000000000001E-2</v>
      </c>
    </row>
    <row r="43" spans="1:29" x14ac:dyDescent="0.3">
      <c r="A43" s="7" t="s">
        <v>239</v>
      </c>
      <c r="P43" s="25">
        <v>2.07E-2</v>
      </c>
      <c r="Q43" s="25">
        <v>1.499999999999994E-3</v>
      </c>
      <c r="R43" s="25">
        <v>-3.0200000000000001E-3</v>
      </c>
      <c r="S43" s="25">
        <v>-1.9300000000000001E-3</v>
      </c>
      <c r="T43" s="25">
        <v>3.3999999999999802E-4</v>
      </c>
      <c r="U43" s="25">
        <v>-2.850000000000001E-3</v>
      </c>
    </row>
    <row r="45" spans="1:29" x14ac:dyDescent="0.3">
      <c r="A45" s="7" t="s">
        <v>240</v>
      </c>
      <c r="P45" s="71">
        <v>4755</v>
      </c>
      <c r="Q45" s="71">
        <v>3123.8069999999998</v>
      </c>
      <c r="R45" s="71">
        <v>2995.1628999999998</v>
      </c>
      <c r="S45" s="71">
        <v>3803.7239</v>
      </c>
      <c r="T45" s="71">
        <v>4936.5379999999996</v>
      </c>
      <c r="U45" s="71">
        <v>3212.9090999999999</v>
      </c>
      <c r="Z45" s="69">
        <v>14164.807000000001</v>
      </c>
      <c r="AA45" s="69">
        <v>14948.3339</v>
      </c>
    </row>
    <row r="46" spans="1:29" x14ac:dyDescent="0.3">
      <c r="A46" s="7" t="s">
        <v>241</v>
      </c>
      <c r="P46" s="20">
        <v>4804.0355</v>
      </c>
      <c r="Q46" s="20">
        <v>3178.1078000000002</v>
      </c>
      <c r="R46" s="20">
        <v>3053.1293000000001</v>
      </c>
      <c r="S46" s="20">
        <v>4028.9807000000001</v>
      </c>
      <c r="T46" s="20">
        <v>5280.7325000000001</v>
      </c>
      <c r="U46" s="20">
        <v>3465.7640999999999</v>
      </c>
      <c r="Z46" s="69">
        <v>14268.143400000001</v>
      </c>
      <c r="AA46" s="69">
        <v>15828.6067</v>
      </c>
    </row>
    <row r="47" spans="1:29" x14ac:dyDescent="0.3">
      <c r="A47" s="7" t="s">
        <v>242</v>
      </c>
      <c r="P47" s="69">
        <v>4878</v>
      </c>
      <c r="Q47" s="69">
        <v>3227.9366</v>
      </c>
      <c r="R47" s="69">
        <v>3119.9376000000002</v>
      </c>
      <c r="S47" s="69">
        <v>4189.9053999999996</v>
      </c>
      <c r="T47" s="69">
        <v>5559.9476999999997</v>
      </c>
      <c r="U47" s="69">
        <v>3700.9529000000002</v>
      </c>
      <c r="Z47" s="69">
        <v>14391.936600000001</v>
      </c>
      <c r="AA47" s="69">
        <v>16570.743699999999</v>
      </c>
    </row>
    <row r="48" spans="1:29" x14ac:dyDescent="0.3">
      <c r="A48" s="7" t="s">
        <v>243</v>
      </c>
      <c r="P48" s="21">
        <v>4680.8999966296178</v>
      </c>
      <c r="Q48" s="21">
        <v>2965.8676775559729</v>
      </c>
      <c r="R48" s="21">
        <v>2835.534611159138</v>
      </c>
      <c r="S48" s="21">
        <v>3762.9715817637061</v>
      </c>
      <c r="T48" s="21">
        <v>4988.1742476277986</v>
      </c>
      <c r="U48" s="21">
        <v>3326.8310829520001</v>
      </c>
      <c r="Z48" s="69">
        <v>13932.76767418559</v>
      </c>
      <c r="AA48" s="69">
        <v>14913.511523502641</v>
      </c>
    </row>
    <row r="50" spans="1:28" x14ac:dyDescent="0.3">
      <c r="A50" s="7" t="s">
        <v>244</v>
      </c>
      <c r="P50" s="70">
        <v>0.16117216117216129</v>
      </c>
      <c r="Q50" s="70">
        <v>0.12448099999999999</v>
      </c>
      <c r="R50" s="70">
        <v>0.118433</v>
      </c>
      <c r="S50" s="70">
        <v>5.4246999999999997E-2</v>
      </c>
      <c r="T50" s="70">
        <v>2.7581000000000001E-2</v>
      </c>
      <c r="U50" s="70">
        <v>2.8524000000000001E-2</v>
      </c>
      <c r="Z50" s="60">
        <v>0.1571609345641696</v>
      </c>
      <c r="AA50" s="60">
        <v>5.5315042414626481E-2</v>
      </c>
    </row>
    <row r="51" spans="1:28" x14ac:dyDescent="0.3">
      <c r="A51" s="7" t="s">
        <v>245</v>
      </c>
      <c r="P51" s="24">
        <v>0.173147</v>
      </c>
      <c r="Q51" s="24">
        <v>0.14402699999999999</v>
      </c>
      <c r="R51" s="24">
        <v>0.14007800000000001</v>
      </c>
      <c r="S51" s="24">
        <v>0.11668000000000001</v>
      </c>
      <c r="T51" s="24">
        <v>9.9228000000000011E-2</v>
      </c>
      <c r="U51" s="24">
        <v>9.0511999999999995E-2</v>
      </c>
      <c r="Z51" s="60">
        <v>0.165603</v>
      </c>
      <c r="AA51" s="60">
        <v>0.10936700000000001</v>
      </c>
    </row>
    <row r="52" spans="1:28" x14ac:dyDescent="0.3">
      <c r="A52" s="7" t="s">
        <v>246</v>
      </c>
      <c r="P52" s="60">
        <v>0.1912087912087912</v>
      </c>
      <c r="Q52" s="60">
        <v>0.161964</v>
      </c>
      <c r="R52" s="60">
        <v>0.16502500000000001</v>
      </c>
      <c r="S52" s="60">
        <v>0.16128200000000001</v>
      </c>
      <c r="T52" s="60">
        <v>0.15734899999999999</v>
      </c>
      <c r="U52" s="60">
        <v>0.146538</v>
      </c>
      <c r="Z52" s="60">
        <v>0.17571575851646101</v>
      </c>
      <c r="AA52" s="60">
        <v>0.15139082116301131</v>
      </c>
    </row>
    <row r="53" spans="1:28" x14ac:dyDescent="0.3">
      <c r="A53" s="7" t="s">
        <v>247</v>
      </c>
      <c r="P53" s="72">
        <f t="shared" ref="P53:U53" si="9">IFERROR(P48/L26-1,"")</f>
        <v>0.14307692225387503</v>
      </c>
      <c r="Q53" s="72">
        <f t="shared" si="9"/>
        <v>6.7626953763849196E-2</v>
      </c>
      <c r="R53" s="72">
        <f t="shared" si="9"/>
        <v>5.8825470933210555E-2</v>
      </c>
      <c r="S53" s="72">
        <f t="shared" si="9"/>
        <v>4.2952212240495058E-2</v>
      </c>
      <c r="T53" s="72">
        <f t="shared" si="9"/>
        <v>3.8330013928456363E-2</v>
      </c>
      <c r="U53" s="72">
        <f t="shared" si="9"/>
        <v>4.679617316693907E-2</v>
      </c>
      <c r="Z53" s="35">
        <f>Z48/Y26-1</f>
        <v>0.13820502199049023</v>
      </c>
      <c r="AA53" s="35">
        <f>AA48/Z48-1</f>
        <v>7.0391172253173817E-2</v>
      </c>
    </row>
    <row r="55" spans="1:28" x14ac:dyDescent="0.3">
      <c r="A55" s="3" t="s">
        <v>248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31.95" customHeight="1" x14ac:dyDescent="0.3">
      <c r="A56" s="18" t="s">
        <v>249</v>
      </c>
      <c r="B56" s="18" t="s">
        <v>55</v>
      </c>
      <c r="C56" s="18" t="s">
        <v>250</v>
      </c>
      <c r="D56" s="18" t="s">
        <v>251</v>
      </c>
      <c r="E56" s="18" t="s">
        <v>252</v>
      </c>
      <c r="F56" s="18" t="s">
        <v>253</v>
      </c>
      <c r="G56" s="18" t="s">
        <v>254</v>
      </c>
      <c r="H56" s="18" t="s">
        <v>255</v>
      </c>
    </row>
    <row r="57" spans="1:28" x14ac:dyDescent="0.3">
      <c r="A57" s="7" t="s">
        <v>256</v>
      </c>
      <c r="B57" s="59">
        <v>8.5000000000000006E-2</v>
      </c>
      <c r="C57" s="59">
        <v>0.08</v>
      </c>
      <c r="D57" s="59">
        <v>0.1222155000000001</v>
      </c>
      <c r="E57" s="59">
        <v>0.1255760000000001</v>
      </c>
      <c r="F57" s="7" t="s">
        <v>257</v>
      </c>
      <c r="G57" s="73">
        <v>-1.84</v>
      </c>
      <c r="H57" s="73">
        <v>-0.5</v>
      </c>
    </row>
    <row r="58" spans="1:28" x14ac:dyDescent="0.3">
      <c r="A58" s="7" t="s">
        <v>258</v>
      </c>
      <c r="B58" s="59">
        <v>9.8900000000000002E-2</v>
      </c>
      <c r="C58" s="59">
        <v>8.1199999999999994E-2</v>
      </c>
      <c r="D58" s="59">
        <v>0.13659226999999999</v>
      </c>
      <c r="E58" s="59">
        <v>0.12682663999999999</v>
      </c>
      <c r="F58" s="7" t="s">
        <v>257</v>
      </c>
      <c r="G58" s="73">
        <v>-0.44999999999999929</v>
      </c>
      <c r="H58" s="73">
        <v>-1.7700000000000009</v>
      </c>
    </row>
    <row r="59" spans="1:28" x14ac:dyDescent="0.3">
      <c r="A59" s="7" t="s">
        <v>259</v>
      </c>
      <c r="B59" s="59">
        <v>0.11</v>
      </c>
      <c r="C59" s="59">
        <v>8.8599999999999998E-2</v>
      </c>
      <c r="D59" s="59">
        <v>0.14807300000000009</v>
      </c>
      <c r="E59" s="59">
        <v>0.13453892000000001</v>
      </c>
      <c r="F59" s="7" t="s">
        <v>260</v>
      </c>
      <c r="G59" s="73">
        <v>0.66000000000000014</v>
      </c>
      <c r="H59" s="73">
        <v>-2.140000000000001</v>
      </c>
    </row>
    <row r="60" spans="1:28" x14ac:dyDescent="0.3">
      <c r="A60" s="7" t="s">
        <v>261</v>
      </c>
      <c r="B60" s="59">
        <v>9.9916666666666668E-2</v>
      </c>
      <c r="C60" s="59">
        <v>0.1061833333333333</v>
      </c>
      <c r="D60" s="59">
        <v>0.13764380833333331</v>
      </c>
      <c r="E60" s="59">
        <v>0.15286427</v>
      </c>
      <c r="F60" s="7" t="s">
        <v>257</v>
      </c>
      <c r="G60" s="73">
        <v>-0.34833333333333272</v>
      </c>
      <c r="H60" s="73">
        <v>0.62666666666666693</v>
      </c>
    </row>
    <row r="61" spans="1:28" x14ac:dyDescent="0.3">
      <c r="A61" s="7" t="s">
        <v>262</v>
      </c>
      <c r="B61" s="59">
        <v>8.4916666666666668E-2</v>
      </c>
      <c r="C61" s="59">
        <v>8.1183333333333343E-2</v>
      </c>
      <c r="D61" s="59">
        <v>0.12212930833333351</v>
      </c>
      <c r="E61" s="59">
        <v>0.12680927000000011</v>
      </c>
      <c r="F61" s="7" t="s">
        <v>257</v>
      </c>
      <c r="G61" s="73">
        <v>-1.8483333333333329</v>
      </c>
      <c r="H61" s="73">
        <v>-0.37333333333333307</v>
      </c>
    </row>
    <row r="62" spans="1:28" x14ac:dyDescent="0.3">
      <c r="A62" s="7" t="s">
        <v>263</v>
      </c>
      <c r="B62" s="59">
        <v>6.9916666666666669E-2</v>
      </c>
      <c r="C62" s="59">
        <v>7.6183333333333339E-2</v>
      </c>
      <c r="D62" s="59">
        <v>0.10661480833333339</v>
      </c>
      <c r="E62" s="59">
        <v>0.12159827000000011</v>
      </c>
      <c r="F62" s="7" t="s">
        <v>257</v>
      </c>
      <c r="G62" s="73">
        <v>-3.3483333333333332</v>
      </c>
      <c r="H62" s="73">
        <v>0.62666666666666693</v>
      </c>
    </row>
    <row r="63" spans="1:28" ht="42" customHeight="1" x14ac:dyDescent="0.3">
      <c r="A63" s="158" t="s">
        <v>264</v>
      </c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</row>
    <row r="65" spans="1:28" x14ac:dyDescent="0.3">
      <c r="A65" s="3" t="s">
        <v>265</v>
      </c>
      <c r="B65" s="56" t="s">
        <v>266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31.95" customHeight="1" x14ac:dyDescent="0.3">
      <c r="A66" s="18" t="s">
        <v>110</v>
      </c>
      <c r="B66" s="18" t="s">
        <v>267</v>
      </c>
      <c r="C66" s="18" t="s">
        <v>268</v>
      </c>
      <c r="D66" s="18" t="s">
        <v>269</v>
      </c>
      <c r="E66" s="18" t="s">
        <v>270</v>
      </c>
      <c r="F66" s="18" t="s">
        <v>271</v>
      </c>
      <c r="G66" s="18" t="s">
        <v>272</v>
      </c>
      <c r="H66" s="18" t="s">
        <v>273</v>
      </c>
      <c r="I66" s="18" t="s">
        <v>274</v>
      </c>
      <c r="J66" s="18" t="s">
        <v>275</v>
      </c>
      <c r="K66" s="18" t="s">
        <v>276</v>
      </c>
    </row>
    <row r="67" spans="1:28" x14ac:dyDescent="0.3">
      <c r="A67" s="15" t="s">
        <v>99</v>
      </c>
      <c r="B67" s="15" t="s">
        <v>277</v>
      </c>
      <c r="C67" s="74">
        <v>28</v>
      </c>
      <c r="D67" s="75">
        <v>147</v>
      </c>
      <c r="E67" s="75">
        <v>149</v>
      </c>
      <c r="F67" s="75">
        <v>151</v>
      </c>
      <c r="G67" s="75">
        <v>133.6</v>
      </c>
      <c r="H67" s="70">
        <v>0.11527</v>
      </c>
      <c r="I67" s="75">
        <v>146.80000000000001</v>
      </c>
      <c r="J67" s="70">
        <v>9.8800000000000013E-2</v>
      </c>
      <c r="K67" s="15" t="s">
        <v>278</v>
      </c>
    </row>
    <row r="68" spans="1:28" x14ac:dyDescent="0.3">
      <c r="A68" s="15" t="s">
        <v>99</v>
      </c>
      <c r="B68" s="15" t="s">
        <v>279</v>
      </c>
      <c r="C68" s="74">
        <v>28</v>
      </c>
      <c r="D68" s="75">
        <v>25992</v>
      </c>
      <c r="E68" s="75">
        <v>26375</v>
      </c>
      <c r="F68" s="75">
        <v>26723</v>
      </c>
      <c r="G68" s="75">
        <v>22892</v>
      </c>
      <c r="H68" s="70">
        <v>0.15215000000000001</v>
      </c>
      <c r="I68" s="75">
        <v>25900</v>
      </c>
      <c r="J68" s="70">
        <v>0.13139999999999999</v>
      </c>
      <c r="K68" s="15" t="s">
        <v>278</v>
      </c>
    </row>
    <row r="69" spans="1:28" x14ac:dyDescent="0.3">
      <c r="A69" s="7" t="s">
        <v>99</v>
      </c>
      <c r="B69" s="7" t="s">
        <v>280</v>
      </c>
      <c r="C69" s="76">
        <v>26</v>
      </c>
      <c r="D69" s="49">
        <v>173.71</v>
      </c>
      <c r="E69" s="49">
        <v>177.06</v>
      </c>
      <c r="F69" s="49">
        <v>179.12</v>
      </c>
      <c r="G69" s="49">
        <v>171.29</v>
      </c>
      <c r="H69" s="59">
        <v>3.3689999999999998E-2</v>
      </c>
      <c r="I69" s="49">
        <v>176.9</v>
      </c>
      <c r="J69" s="59">
        <v>3.2750000000000001E-2</v>
      </c>
      <c r="K69" s="7" t="s">
        <v>281</v>
      </c>
    </row>
    <row r="70" spans="1:28" x14ac:dyDescent="0.3">
      <c r="A70" s="7" t="s">
        <v>99</v>
      </c>
      <c r="B70" s="7" t="s">
        <v>282</v>
      </c>
      <c r="C70" s="76">
        <v>28</v>
      </c>
      <c r="D70" s="49">
        <v>17.82</v>
      </c>
      <c r="E70" s="49">
        <v>18</v>
      </c>
      <c r="F70" s="49">
        <v>18.440000000000001</v>
      </c>
      <c r="G70" s="49">
        <v>17.88</v>
      </c>
      <c r="H70" s="59">
        <v>1.1999999999999999E-3</v>
      </c>
      <c r="I70" s="49">
        <v>18.399999999999999</v>
      </c>
      <c r="J70" s="59">
        <v>5.1999999999999998E-3</v>
      </c>
      <c r="K70" s="7" t="s">
        <v>281</v>
      </c>
    </row>
    <row r="71" spans="1:28" x14ac:dyDescent="0.3">
      <c r="A71" s="7" t="s">
        <v>100</v>
      </c>
      <c r="B71" s="7" t="s">
        <v>277</v>
      </c>
      <c r="C71" s="76">
        <v>28</v>
      </c>
      <c r="D71" s="49">
        <v>130</v>
      </c>
      <c r="E71" s="49">
        <v>134</v>
      </c>
      <c r="F71" s="49">
        <v>136</v>
      </c>
      <c r="G71" s="49">
        <v>121.9</v>
      </c>
      <c r="H71" s="59">
        <v>9.9260000000000001E-2</v>
      </c>
      <c r="I71" s="49">
        <v>132.69999999999999</v>
      </c>
      <c r="J71" s="59">
        <v>8.8599999999999998E-2</v>
      </c>
      <c r="K71" s="7" t="s">
        <v>281</v>
      </c>
    </row>
    <row r="72" spans="1:28" x14ac:dyDescent="0.3">
      <c r="A72" s="7" t="s">
        <v>100</v>
      </c>
      <c r="B72" s="7" t="s">
        <v>279</v>
      </c>
      <c r="C72" s="76">
        <v>28</v>
      </c>
      <c r="D72" s="49">
        <v>22177</v>
      </c>
      <c r="E72" s="49">
        <v>23003</v>
      </c>
      <c r="F72" s="49">
        <v>23565</v>
      </c>
      <c r="G72" s="49">
        <v>20400</v>
      </c>
      <c r="H72" s="59">
        <v>0.12759999999999999</v>
      </c>
      <c r="I72" s="49">
        <v>23100</v>
      </c>
      <c r="J72" s="59">
        <v>0.13235</v>
      </c>
      <c r="K72" s="7" t="s">
        <v>281</v>
      </c>
    </row>
    <row r="73" spans="1:28" x14ac:dyDescent="0.3">
      <c r="A73" s="7" t="s">
        <v>100</v>
      </c>
      <c r="B73" s="7" t="s">
        <v>280</v>
      </c>
      <c r="C73" s="76">
        <v>25</v>
      </c>
      <c r="D73" s="49">
        <v>167.79</v>
      </c>
      <c r="E73" s="49">
        <v>171.33</v>
      </c>
      <c r="F73" s="49">
        <v>174.21</v>
      </c>
      <c r="G73" s="49">
        <v>167.51</v>
      </c>
      <c r="H73" s="59">
        <v>2.2800000000000001E-2</v>
      </c>
      <c r="I73" s="49">
        <v>174.1</v>
      </c>
      <c r="J73" s="59">
        <v>3.934E-2</v>
      </c>
      <c r="K73" s="7" t="s">
        <v>281</v>
      </c>
    </row>
    <row r="74" spans="1:28" x14ac:dyDescent="0.3">
      <c r="A74" s="15" t="s">
        <v>100</v>
      </c>
      <c r="B74" s="15" t="s">
        <v>282</v>
      </c>
      <c r="C74" s="74">
        <v>28</v>
      </c>
      <c r="D74" s="75">
        <v>13.6</v>
      </c>
      <c r="E74" s="75">
        <v>13.76</v>
      </c>
      <c r="F74" s="75">
        <v>14</v>
      </c>
      <c r="G74" s="75">
        <v>13.62</v>
      </c>
      <c r="H74" s="70">
        <v>1.4E-3</v>
      </c>
      <c r="I74" s="75">
        <v>13.5</v>
      </c>
      <c r="J74" s="70">
        <v>-1.1999999999999999E-3</v>
      </c>
      <c r="K74" s="15" t="s">
        <v>278</v>
      </c>
    </row>
    <row r="75" spans="1:28" x14ac:dyDescent="0.3">
      <c r="A75" s="7" t="s">
        <v>100</v>
      </c>
      <c r="B75" s="7" t="s">
        <v>283</v>
      </c>
      <c r="C75" s="76">
        <v>37</v>
      </c>
      <c r="D75" s="49">
        <v>3052</v>
      </c>
      <c r="E75" s="49">
        <v>3157</v>
      </c>
      <c r="F75" s="49">
        <v>3223</v>
      </c>
      <c r="G75" s="49">
        <v>2778</v>
      </c>
      <c r="H75" s="59">
        <v>0.13643</v>
      </c>
      <c r="I75" s="49">
        <v>3111</v>
      </c>
      <c r="J75" s="59">
        <v>0.11987</v>
      </c>
      <c r="K75" s="7" t="s">
        <v>281</v>
      </c>
    </row>
    <row r="76" spans="1:28" x14ac:dyDescent="0.3">
      <c r="A76" s="7" t="s">
        <v>100</v>
      </c>
      <c r="B76" s="7" t="s">
        <v>284</v>
      </c>
      <c r="C76" s="76">
        <v>29</v>
      </c>
      <c r="D76" s="49">
        <v>0.67</v>
      </c>
      <c r="E76" s="49">
        <v>0.87</v>
      </c>
      <c r="F76" s="49">
        <v>1.36</v>
      </c>
      <c r="G76" s="49">
        <v>0.56000000000000005</v>
      </c>
      <c r="H76" s="59">
        <v>0.55357000000000001</v>
      </c>
      <c r="I76" s="49">
        <v>0.81</v>
      </c>
      <c r="J76" s="59">
        <v>0.44642999999999999</v>
      </c>
      <c r="K76" s="7" t="s">
        <v>281</v>
      </c>
    </row>
    <row r="77" spans="1:28" ht="36" customHeight="1" x14ac:dyDescent="0.3">
      <c r="A77" s="158" t="s">
        <v>285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</row>
    <row r="79" spans="1:28" x14ac:dyDescent="0.3">
      <c r="A79" s="30" t="s">
        <v>286</v>
      </c>
      <c r="P79" s="77">
        <v>4744.3221199999998</v>
      </c>
      <c r="Q79" s="77">
        <v>3161.8162699999998</v>
      </c>
      <c r="R79" s="77">
        <v>3010.32375</v>
      </c>
      <c r="S79" s="77">
        <v>4036.9355599999999</v>
      </c>
      <c r="T79" s="77">
        <v>5269.9672899999996</v>
      </c>
      <c r="U79" s="77">
        <v>3528.9193599999999</v>
      </c>
      <c r="Z79" s="77">
        <v>14189.557049999999</v>
      </c>
      <c r="AA79" s="77">
        <v>15819.339239999999</v>
      </c>
    </row>
    <row r="80" spans="1:28" x14ac:dyDescent="0.3">
      <c r="A80" s="7" t="s">
        <v>287</v>
      </c>
      <c r="P80" s="78">
        <v>36</v>
      </c>
      <c r="Q80" s="78">
        <v>36</v>
      </c>
      <c r="R80" s="78">
        <v>19</v>
      </c>
      <c r="S80" s="78">
        <v>19</v>
      </c>
      <c r="T80" s="78">
        <v>17</v>
      </c>
      <c r="U80" s="78">
        <v>17</v>
      </c>
      <c r="Z80" s="78">
        <v>44</v>
      </c>
      <c r="AA80" s="78">
        <v>44</v>
      </c>
    </row>
    <row r="81" spans="1:28" x14ac:dyDescent="0.3">
      <c r="A81" s="7" t="s">
        <v>288</v>
      </c>
      <c r="P81" s="65">
        <v>24.276260000000001</v>
      </c>
      <c r="Q81" s="65">
        <v>48.559019999999997</v>
      </c>
      <c r="R81" s="65">
        <v>49.446100000000001</v>
      </c>
      <c r="S81" s="65">
        <v>120.0081</v>
      </c>
      <c r="T81" s="65">
        <v>94.589910000000003</v>
      </c>
      <c r="U81" s="65">
        <v>72.370429999999999</v>
      </c>
      <c r="Z81" s="65">
        <v>59.219290000000001</v>
      </c>
      <c r="AA81" s="65">
        <v>258.17766</v>
      </c>
    </row>
    <row r="82" spans="1:28" x14ac:dyDescent="0.3">
      <c r="A82" s="7" t="s">
        <v>289</v>
      </c>
      <c r="P82" s="35">
        <f t="shared" ref="P82:U82" si="10">P26/P79-1</f>
        <v>1.2586282821791306E-2</v>
      </c>
      <c r="Q82" s="35">
        <f t="shared" si="10"/>
        <v>5.1525859217620429E-3</v>
      </c>
      <c r="R82" s="35">
        <f t="shared" si="10"/>
        <v>1.4219583524861745E-2</v>
      </c>
      <c r="S82" s="35">
        <f t="shared" si="10"/>
        <v>-1.9705194402458437E-3</v>
      </c>
      <c r="T82" s="35">
        <f t="shared" si="10"/>
        <v>2.0427470243369328E-3</v>
      </c>
      <c r="U82" s="35">
        <f t="shared" si="10"/>
        <v>-1.7896487155773411E-2</v>
      </c>
      <c r="Z82" s="35">
        <f>Z26/Z79-1</f>
        <v>5.5383159405952842E-3</v>
      </c>
      <c r="AA82" s="35">
        <f>AA26/AA79-1</f>
        <v>5.8582472121004869E-4</v>
      </c>
    </row>
    <row r="83" spans="1:28" x14ac:dyDescent="0.3">
      <c r="A83" s="7" t="s">
        <v>290</v>
      </c>
      <c r="P83" s="35">
        <f t="shared" ref="P83:U83" si="11">P48/P79-1</f>
        <v>-1.3368005326413579E-2</v>
      </c>
      <c r="Q83" s="35">
        <f t="shared" si="11"/>
        <v>-6.1973427837420436E-2</v>
      </c>
      <c r="R83" s="35">
        <f t="shared" si="11"/>
        <v>-5.8063236168821364E-2</v>
      </c>
      <c r="S83" s="35">
        <f t="shared" si="11"/>
        <v>-6.7864342683808809E-2</v>
      </c>
      <c r="T83" s="35">
        <f t="shared" si="11"/>
        <v>-5.3471497424076198E-2</v>
      </c>
      <c r="U83" s="35">
        <f t="shared" si="11"/>
        <v>-5.7266334657190887E-2</v>
      </c>
      <c r="Z83" s="35">
        <f>Z48/Z79-1</f>
        <v>-1.8097067787920085E-2</v>
      </c>
      <c r="AA83" s="35">
        <f>AA48/AA79-1</f>
        <v>-5.7260780792090737E-2</v>
      </c>
    </row>
    <row r="84" spans="1:28" x14ac:dyDescent="0.3">
      <c r="A84" s="7" t="s">
        <v>291</v>
      </c>
      <c r="P84" s="79">
        <f t="shared" ref="P84:U84" si="12">IFERROR((P26-P79)/P81,"")</f>
        <v>2.4597437990860267</v>
      </c>
      <c r="Q84" s="79">
        <f t="shared" si="12"/>
        <v>0.33549956321195162</v>
      </c>
      <c r="R84" s="79">
        <f t="shared" si="12"/>
        <v>0.86570123831808854</v>
      </c>
      <c r="S84" s="79">
        <f t="shared" si="12"/>
        <v>-6.628602569326425E-2</v>
      </c>
      <c r="T84" s="79">
        <f t="shared" si="12"/>
        <v>0.11380928473238297</v>
      </c>
      <c r="U84" s="79">
        <f t="shared" si="12"/>
        <v>-0.87266664022861273</v>
      </c>
      <c r="Z84" s="79">
        <f>(Z26-Z79)/Z81</f>
        <v>1.3270380310199648</v>
      </c>
      <c r="AA84" s="79">
        <f>(AA26-AA79)/AA81</f>
        <v>3.5895282341631127E-2</v>
      </c>
    </row>
    <row r="86" spans="1:28" x14ac:dyDescent="0.3">
      <c r="A86" s="3" t="s">
        <v>292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30" customHeight="1" x14ac:dyDescent="0.3">
      <c r="A87" s="17" t="s">
        <v>293</v>
      </c>
      <c r="B87" s="18" t="s">
        <v>294</v>
      </c>
      <c r="C87" s="18" t="s">
        <v>295</v>
      </c>
      <c r="D87" s="18" t="s">
        <v>296</v>
      </c>
      <c r="E87" s="18" t="s">
        <v>297</v>
      </c>
      <c r="F87" s="18" t="s">
        <v>50</v>
      </c>
      <c r="G87" s="18" t="s">
        <v>298</v>
      </c>
      <c r="H87" s="18" t="s">
        <v>299</v>
      </c>
      <c r="I87" s="18" t="s">
        <v>300</v>
      </c>
      <c r="J87" s="18" t="s">
        <v>49</v>
      </c>
    </row>
    <row r="88" spans="1:28" x14ac:dyDescent="0.3">
      <c r="A88" s="7" t="s">
        <v>283</v>
      </c>
      <c r="B88" s="10" t="s">
        <v>301</v>
      </c>
      <c r="C88" s="42">
        <v>4690</v>
      </c>
      <c r="D88" s="42">
        <v>4770</v>
      </c>
      <c r="E88" s="80">
        <f t="shared" ref="E88:E93" si="13">AVERAGE(C88:D88)</f>
        <v>4730</v>
      </c>
      <c r="F88" s="42">
        <v>4804.0355</v>
      </c>
      <c r="G88" s="22">
        <f>F88/E88-1</f>
        <v>1.5652325581395399E-2</v>
      </c>
      <c r="H88" s="42">
        <v>4680.8999966296178</v>
      </c>
      <c r="I88" s="22">
        <f>H88/E88-1</f>
        <v>-1.0380550395429622E-2</v>
      </c>
      <c r="J88" s="42">
        <v>4744.3221199999998</v>
      </c>
    </row>
    <row r="89" spans="1:28" x14ac:dyDescent="0.3">
      <c r="A89" s="7" t="s">
        <v>302</v>
      </c>
      <c r="B89" s="10" t="s">
        <v>303</v>
      </c>
      <c r="C89" s="59">
        <v>0.1</v>
      </c>
      <c r="D89" s="59">
        <v>0.12</v>
      </c>
      <c r="E89" s="22">
        <f t="shared" si="13"/>
        <v>0.11</v>
      </c>
      <c r="F89" s="59">
        <v>9.8900000000000002E-2</v>
      </c>
      <c r="G89" s="26">
        <f>F89-E89</f>
        <v>-1.1099999999999999E-2</v>
      </c>
      <c r="H89" s="59">
        <v>8.5000000000000006E-2</v>
      </c>
      <c r="I89" s="26">
        <f>H89-E89</f>
        <v>-2.4999999999999994E-2</v>
      </c>
      <c r="J89" s="59">
        <v>0.11527</v>
      </c>
    </row>
    <row r="90" spans="1:28" x14ac:dyDescent="0.3">
      <c r="A90" s="7" t="s">
        <v>304</v>
      </c>
      <c r="B90" s="10" t="s">
        <v>305</v>
      </c>
      <c r="C90" s="59">
        <v>0.14000000000000001</v>
      </c>
      <c r="D90" s="59">
        <v>0.16</v>
      </c>
      <c r="E90" s="22">
        <f t="shared" si="13"/>
        <v>0.15000000000000002</v>
      </c>
      <c r="F90" s="59">
        <v>0.13659199999999999</v>
      </c>
      <c r="G90" s="26">
        <f>F90-E90</f>
        <v>-1.3408000000000031E-2</v>
      </c>
      <c r="J90" s="59">
        <v>0.15215000000000001</v>
      </c>
    </row>
    <row r="91" spans="1:28" x14ac:dyDescent="0.3">
      <c r="A91" s="7" t="s">
        <v>306</v>
      </c>
      <c r="B91" s="10" t="s">
        <v>307</v>
      </c>
      <c r="C91" s="59">
        <v>0.03</v>
      </c>
      <c r="D91" s="59">
        <v>0.03</v>
      </c>
      <c r="E91" s="22">
        <f t="shared" si="13"/>
        <v>0.03</v>
      </c>
      <c r="F91" s="59">
        <v>0.03</v>
      </c>
      <c r="G91" s="26">
        <f>F91-E91</f>
        <v>0</v>
      </c>
      <c r="H91" s="59">
        <v>0.03</v>
      </c>
      <c r="I91" s="26">
        <f>H91-E91</f>
        <v>0</v>
      </c>
    </row>
    <row r="92" spans="1:28" x14ac:dyDescent="0.3">
      <c r="A92" s="7" t="s">
        <v>308</v>
      </c>
      <c r="B92" s="10" t="s">
        <v>309</v>
      </c>
      <c r="C92" s="81">
        <v>0.17899999999999999</v>
      </c>
      <c r="D92" s="81">
        <v>0.17899999999999999</v>
      </c>
      <c r="E92" s="26">
        <f t="shared" si="13"/>
        <v>0.17899999999999999</v>
      </c>
      <c r="F92" s="81">
        <v>0.18457200000000001</v>
      </c>
      <c r="G92" s="26">
        <f>F92-E92</f>
        <v>5.5720000000000214E-3</v>
      </c>
      <c r="J92" s="81">
        <v>0.18</v>
      </c>
    </row>
    <row r="93" spans="1:28" x14ac:dyDescent="0.3">
      <c r="A93" s="7" t="s">
        <v>310</v>
      </c>
      <c r="B93" s="10" t="s">
        <v>311</v>
      </c>
      <c r="C93" s="59">
        <v>0.48499999999999999</v>
      </c>
      <c r="D93" s="59">
        <v>0.499</v>
      </c>
      <c r="E93" s="22">
        <f t="shared" si="13"/>
        <v>0.49199999999999999</v>
      </c>
      <c r="J93" s="59">
        <v>0.49775747309501822</v>
      </c>
    </row>
    <row r="94" spans="1:28" ht="30" customHeight="1" x14ac:dyDescent="0.3">
      <c r="A94" s="158" t="s">
        <v>312</v>
      </c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</row>
    <row r="96" spans="1:28" ht="18" customHeight="1" x14ac:dyDescent="0.3">
      <c r="A96" s="17" t="s">
        <v>313</v>
      </c>
      <c r="B96" s="18" t="s">
        <v>100</v>
      </c>
      <c r="C96" s="18" t="s">
        <v>314</v>
      </c>
    </row>
    <row r="97" spans="1:3" x14ac:dyDescent="0.3">
      <c r="A97" s="7" t="s">
        <v>315</v>
      </c>
      <c r="B97" s="59">
        <v>3.8800000000000001E-2</v>
      </c>
      <c r="C97" s="46" t="s">
        <v>316</v>
      </c>
    </row>
    <row r="98" spans="1:3" x14ac:dyDescent="0.3">
      <c r="A98" s="7" t="s">
        <v>317</v>
      </c>
      <c r="B98" s="59">
        <v>2.5526315789473689E-2</v>
      </c>
      <c r="C98" s="46" t="s">
        <v>318</v>
      </c>
    </row>
    <row r="99" spans="1:3" x14ac:dyDescent="0.3">
      <c r="A99" s="7" t="s">
        <v>319</v>
      </c>
      <c r="B99" s="59">
        <v>1.8499999999999999E-2</v>
      </c>
    </row>
    <row r="100" spans="1:3" x14ac:dyDescent="0.3">
      <c r="A100" s="7" t="s">
        <v>320</v>
      </c>
      <c r="B100" s="82">
        <f>Q26</f>
        <v>3178.1078000000002</v>
      </c>
      <c r="C100" s="46" t="s">
        <v>321</v>
      </c>
    </row>
    <row r="101" spans="1:3" x14ac:dyDescent="0.3">
      <c r="A101" s="30" t="s">
        <v>322</v>
      </c>
      <c r="B101" s="45">
        <f>B100/(1+B97)</f>
        <v>3059.4029649595691</v>
      </c>
      <c r="C101" s="46" t="s">
        <v>323</v>
      </c>
    </row>
    <row r="102" spans="1:3" x14ac:dyDescent="0.3">
      <c r="A102" s="7" t="s">
        <v>324</v>
      </c>
      <c r="B102" s="80">
        <f>B101*(1-B99/2)</f>
        <v>3031.1034875336932</v>
      </c>
      <c r="C102" s="80">
        <f>B101*(1+B99/2)</f>
        <v>3087.702442385445</v>
      </c>
    </row>
    <row r="103" spans="1:3" x14ac:dyDescent="0.3">
      <c r="A103" s="7" t="s">
        <v>325</v>
      </c>
      <c r="B103" s="22">
        <f>B101/M26-1</f>
        <v>0.1012969636283545</v>
      </c>
      <c r="C103" s="46" t="s">
        <v>326</v>
      </c>
    </row>
    <row r="104" spans="1:3" x14ac:dyDescent="0.3">
      <c r="A104" s="7" t="s">
        <v>327</v>
      </c>
      <c r="B104" s="82">
        <f>Q79</f>
        <v>3161.8162699999998</v>
      </c>
    </row>
    <row r="105" spans="1:3" x14ac:dyDescent="0.3">
      <c r="A105" s="30" t="s">
        <v>328</v>
      </c>
      <c r="B105" s="47">
        <f>B101/B104-1</f>
        <v>-3.2390656602077184E-2</v>
      </c>
      <c r="C105" s="46" t="s">
        <v>329</v>
      </c>
    </row>
    <row r="106" spans="1:3" x14ac:dyDescent="0.3">
      <c r="A106" s="7" t="s">
        <v>330</v>
      </c>
      <c r="B106" s="82">
        <f>Q48</f>
        <v>2965.8676775559729</v>
      </c>
    </row>
    <row r="107" spans="1:3" x14ac:dyDescent="0.3">
      <c r="A107" s="30" t="s">
        <v>331</v>
      </c>
      <c r="B107" s="45">
        <f>B106/(1+B97)</f>
        <v>2855.0901786253112</v>
      </c>
    </row>
    <row r="108" spans="1:3" x14ac:dyDescent="0.3">
      <c r="A108" s="30" t="s">
        <v>332</v>
      </c>
      <c r="B108" s="47">
        <f>B107/B104-1</f>
        <v>-9.7009460759934885E-2</v>
      </c>
      <c r="C108" s="46" t="s">
        <v>333</v>
      </c>
    </row>
    <row r="109" spans="1:3" x14ac:dyDescent="0.3">
      <c r="A109" s="7" t="s">
        <v>334</v>
      </c>
      <c r="B109" s="83" t="s">
        <v>335</v>
      </c>
    </row>
    <row r="110" spans="1:3" x14ac:dyDescent="0.3">
      <c r="A110" s="7" t="s">
        <v>336</v>
      </c>
      <c r="B110" s="59">
        <v>9.7999999999999997E-3</v>
      </c>
      <c r="C110" s="46" t="s">
        <v>337</v>
      </c>
    </row>
    <row r="111" spans="1:3" x14ac:dyDescent="0.3">
      <c r="A111" s="7" t="s">
        <v>338</v>
      </c>
      <c r="B111" s="83" t="s">
        <v>339</v>
      </c>
    </row>
    <row r="113" spans="1:28" x14ac:dyDescent="0.3">
      <c r="A113" s="3" t="s">
        <v>340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30" customHeight="1" x14ac:dyDescent="0.3">
      <c r="A114" s="18" t="s">
        <v>341</v>
      </c>
      <c r="B114" s="18" t="s">
        <v>342</v>
      </c>
      <c r="C114" s="18" t="s">
        <v>295</v>
      </c>
      <c r="D114" s="18" t="s">
        <v>296</v>
      </c>
      <c r="E114" s="18" t="s">
        <v>297</v>
      </c>
      <c r="F114" s="18" t="s">
        <v>343</v>
      </c>
      <c r="G114" s="18" t="s">
        <v>344</v>
      </c>
      <c r="H114" s="18" t="s">
        <v>345</v>
      </c>
      <c r="I114" s="18" t="s">
        <v>346</v>
      </c>
    </row>
    <row r="115" spans="1:28" x14ac:dyDescent="0.3">
      <c r="A115" s="7" t="s">
        <v>347</v>
      </c>
      <c r="B115" s="7" t="s">
        <v>348</v>
      </c>
      <c r="C115" s="42">
        <v>1390</v>
      </c>
      <c r="D115" s="42">
        <v>1480</v>
      </c>
      <c r="E115" s="42">
        <v>1435</v>
      </c>
      <c r="F115" s="59">
        <v>6.3E-2</v>
      </c>
      <c r="G115" s="42">
        <v>1532</v>
      </c>
      <c r="H115" s="59">
        <v>6.8000000000000005E-2</v>
      </c>
      <c r="I115" s="59">
        <v>3.5000000000000003E-2</v>
      </c>
    </row>
    <row r="116" spans="1:28" x14ac:dyDescent="0.3">
      <c r="A116" s="7" t="s">
        <v>349</v>
      </c>
      <c r="B116" s="7" t="s">
        <v>347</v>
      </c>
      <c r="C116" s="42">
        <v>1410</v>
      </c>
      <c r="D116" s="42">
        <v>1480</v>
      </c>
      <c r="E116" s="42">
        <v>1445</v>
      </c>
      <c r="F116" s="59">
        <v>4.8000000000000001E-2</v>
      </c>
      <c r="G116" s="42">
        <v>1509</v>
      </c>
      <c r="H116" s="59">
        <v>4.3999999999999997E-2</v>
      </c>
      <c r="I116" s="59">
        <v>0.02</v>
      </c>
    </row>
    <row r="117" spans="1:28" x14ac:dyDescent="0.3">
      <c r="A117" s="7" t="s">
        <v>350</v>
      </c>
      <c r="B117" s="7" t="s">
        <v>349</v>
      </c>
      <c r="C117" s="42">
        <v>2030</v>
      </c>
      <c r="D117" s="42">
        <v>2130</v>
      </c>
      <c r="E117" s="42">
        <v>2080</v>
      </c>
      <c r="F117" s="59">
        <v>4.8000000000000001E-2</v>
      </c>
      <c r="G117" s="42">
        <v>2104</v>
      </c>
      <c r="H117" s="59">
        <v>1.2E-2</v>
      </c>
      <c r="I117" s="59">
        <v>-1.2E-2</v>
      </c>
    </row>
    <row r="118" spans="1:28" x14ac:dyDescent="0.3">
      <c r="A118" s="7" t="s">
        <v>351</v>
      </c>
      <c r="B118" s="7" t="s">
        <v>350</v>
      </c>
      <c r="C118" s="42">
        <v>2780</v>
      </c>
      <c r="D118" s="42">
        <v>2880</v>
      </c>
      <c r="E118" s="42">
        <v>2830</v>
      </c>
      <c r="F118" s="59">
        <v>3.5000000000000003E-2</v>
      </c>
      <c r="G118" s="42">
        <v>2884</v>
      </c>
      <c r="H118" s="59">
        <v>1.9E-2</v>
      </c>
      <c r="I118" s="59">
        <v>1E-3</v>
      </c>
    </row>
    <row r="119" spans="1:28" x14ac:dyDescent="0.3">
      <c r="A119" s="7" t="s">
        <v>352</v>
      </c>
      <c r="B119" s="7" t="s">
        <v>351</v>
      </c>
      <c r="C119" s="42">
        <v>1800</v>
      </c>
      <c r="D119" s="42">
        <v>1880</v>
      </c>
      <c r="E119" s="42">
        <v>1840</v>
      </c>
      <c r="F119" s="59">
        <v>4.2999999999999997E-2</v>
      </c>
      <c r="G119" s="42">
        <v>1902</v>
      </c>
      <c r="H119" s="59">
        <v>3.4000000000000002E-2</v>
      </c>
      <c r="I119" s="59">
        <v>1.2E-2</v>
      </c>
    </row>
    <row r="120" spans="1:28" x14ac:dyDescent="0.3">
      <c r="A120" s="7" t="s">
        <v>353</v>
      </c>
      <c r="B120" s="7" t="s">
        <v>352</v>
      </c>
      <c r="C120" s="42">
        <v>1750</v>
      </c>
      <c r="D120" s="42">
        <v>1820</v>
      </c>
      <c r="E120" s="42">
        <v>1785</v>
      </c>
      <c r="F120" s="59">
        <v>3.9E-2</v>
      </c>
      <c r="G120" s="42">
        <v>1818</v>
      </c>
      <c r="H120" s="59">
        <v>1.7999999999999999E-2</v>
      </c>
      <c r="I120" s="59">
        <v>-1E-3</v>
      </c>
    </row>
    <row r="121" spans="1:28" x14ac:dyDescent="0.3">
      <c r="A121" s="7" t="s">
        <v>354</v>
      </c>
      <c r="B121" s="7" t="s">
        <v>353</v>
      </c>
      <c r="C121" s="42">
        <v>2350</v>
      </c>
      <c r="D121" s="42">
        <v>2450</v>
      </c>
      <c r="E121" s="42">
        <v>2400</v>
      </c>
      <c r="F121" s="59">
        <v>4.2000000000000003E-2</v>
      </c>
      <c r="G121" s="42">
        <v>2484</v>
      </c>
      <c r="H121" s="59">
        <v>3.5000000000000003E-2</v>
      </c>
      <c r="I121" s="59">
        <v>1.4E-2</v>
      </c>
    </row>
    <row r="122" spans="1:28" x14ac:dyDescent="0.3">
      <c r="A122" s="7" t="s">
        <v>355</v>
      </c>
      <c r="B122" s="7" t="s">
        <v>354</v>
      </c>
      <c r="C122" s="42">
        <v>3300</v>
      </c>
      <c r="D122" s="42">
        <v>3400</v>
      </c>
      <c r="E122" s="42">
        <v>3350</v>
      </c>
      <c r="F122" s="59">
        <v>0.03</v>
      </c>
      <c r="G122" s="42">
        <v>3397</v>
      </c>
      <c r="H122" s="59">
        <v>1.4E-2</v>
      </c>
      <c r="I122" s="59">
        <v>-1E-3</v>
      </c>
    </row>
    <row r="123" spans="1:28" x14ac:dyDescent="0.3">
      <c r="A123" s="7" t="s">
        <v>356</v>
      </c>
      <c r="B123" s="7" t="s">
        <v>355</v>
      </c>
      <c r="C123" s="42">
        <v>2130</v>
      </c>
      <c r="D123" s="42">
        <v>2170</v>
      </c>
      <c r="E123" s="42">
        <v>2150</v>
      </c>
      <c r="F123" s="59">
        <v>1.9E-2</v>
      </c>
      <c r="G123" s="42">
        <v>2218</v>
      </c>
      <c r="H123" s="59">
        <v>3.2000000000000001E-2</v>
      </c>
      <c r="I123" s="59">
        <v>2.1999999999999999E-2</v>
      </c>
    </row>
    <row r="124" spans="1:28" x14ac:dyDescent="0.3">
      <c r="A124" s="7" t="s">
        <v>357</v>
      </c>
      <c r="B124" s="7" t="s">
        <v>356</v>
      </c>
      <c r="C124" s="42">
        <v>2030</v>
      </c>
      <c r="D124" s="42">
        <v>2070</v>
      </c>
      <c r="E124" s="42">
        <v>2050</v>
      </c>
      <c r="F124" s="59">
        <v>0.02</v>
      </c>
      <c r="G124" s="42">
        <v>2142</v>
      </c>
      <c r="H124" s="59">
        <v>4.4999999999999998E-2</v>
      </c>
      <c r="I124" s="59">
        <v>3.5000000000000003E-2</v>
      </c>
    </row>
    <row r="125" spans="1:28" x14ac:dyDescent="0.3">
      <c r="A125" s="7" t="s">
        <v>358</v>
      </c>
      <c r="B125" s="7" t="s">
        <v>357</v>
      </c>
      <c r="C125" s="42">
        <v>2680</v>
      </c>
      <c r="D125" s="42">
        <v>2740</v>
      </c>
      <c r="E125" s="42">
        <v>2710</v>
      </c>
      <c r="F125" s="59">
        <v>2.1999999999999999E-2</v>
      </c>
      <c r="G125" s="42">
        <v>2748</v>
      </c>
      <c r="H125" s="59">
        <v>1.4E-2</v>
      </c>
      <c r="I125" s="59">
        <v>3.0000000000000001E-3</v>
      </c>
    </row>
    <row r="126" spans="1:28" x14ac:dyDescent="0.3">
      <c r="A126" s="7" t="s">
        <v>359</v>
      </c>
      <c r="B126" s="7" t="s">
        <v>358</v>
      </c>
      <c r="C126" s="42">
        <v>3670</v>
      </c>
      <c r="D126" s="42">
        <v>3730</v>
      </c>
      <c r="E126" s="42">
        <v>3700</v>
      </c>
      <c r="F126" s="59">
        <v>1.6E-2</v>
      </c>
      <c r="G126" s="42">
        <v>3732</v>
      </c>
      <c r="H126" s="59">
        <v>9.0000000000000011E-3</v>
      </c>
      <c r="I126" s="59">
        <v>1E-3</v>
      </c>
    </row>
    <row r="127" spans="1:28" x14ac:dyDescent="0.3">
      <c r="A127" s="7" t="s">
        <v>360</v>
      </c>
      <c r="B127" s="7" t="s">
        <v>359</v>
      </c>
      <c r="C127" s="42">
        <v>2390</v>
      </c>
      <c r="D127" s="42">
        <v>2440</v>
      </c>
      <c r="E127" s="42">
        <v>2415</v>
      </c>
      <c r="F127" s="59">
        <v>2.1000000000000001E-2</v>
      </c>
      <c r="G127" s="42">
        <v>2480</v>
      </c>
      <c r="H127" s="59">
        <v>2.7E-2</v>
      </c>
      <c r="I127" s="59">
        <v>1.6E-2</v>
      </c>
    </row>
    <row r="128" spans="1:28" x14ac:dyDescent="0.3">
      <c r="A128" s="7" t="s">
        <v>361</v>
      </c>
      <c r="B128" s="7" t="s">
        <v>360</v>
      </c>
      <c r="C128" s="42">
        <v>2230</v>
      </c>
      <c r="D128" s="42">
        <v>2270</v>
      </c>
      <c r="E128" s="42">
        <v>2250</v>
      </c>
      <c r="F128" s="59">
        <v>1.7999999999999999E-2</v>
      </c>
      <c r="G128" s="42">
        <v>2272</v>
      </c>
      <c r="H128" s="59">
        <v>0.01</v>
      </c>
      <c r="I128" s="59">
        <v>1E-3</v>
      </c>
    </row>
    <row r="129" spans="1:28" x14ac:dyDescent="0.3">
      <c r="A129" s="7" t="s">
        <v>362</v>
      </c>
      <c r="B129" s="7" t="s">
        <v>361</v>
      </c>
      <c r="C129" s="42">
        <v>2990</v>
      </c>
      <c r="D129" s="42">
        <v>3050</v>
      </c>
      <c r="E129" s="42">
        <v>3020</v>
      </c>
      <c r="F129" s="59">
        <v>0.02</v>
      </c>
      <c r="G129" s="42">
        <v>3096</v>
      </c>
      <c r="H129" s="59">
        <v>2.5000000000000001E-2</v>
      </c>
      <c r="I129" s="59">
        <v>1.4999999999999999E-2</v>
      </c>
    </row>
    <row r="130" spans="1:28" x14ac:dyDescent="0.3">
      <c r="A130" s="7" t="s">
        <v>363</v>
      </c>
      <c r="B130" s="7" t="s">
        <v>362</v>
      </c>
      <c r="C130" s="42">
        <v>4020</v>
      </c>
      <c r="D130" s="42">
        <v>4100</v>
      </c>
      <c r="E130" s="42">
        <v>4060</v>
      </c>
      <c r="F130" s="59">
        <v>0.02</v>
      </c>
      <c r="G130" s="42">
        <v>4095</v>
      </c>
      <c r="H130" s="59">
        <v>9.0000000000000011E-3</v>
      </c>
      <c r="I130" s="59">
        <v>-1E-3</v>
      </c>
    </row>
    <row r="131" spans="1:28" x14ac:dyDescent="0.3">
      <c r="A131" s="7" t="s">
        <v>364</v>
      </c>
      <c r="B131" s="7" t="s">
        <v>363</v>
      </c>
      <c r="C131" s="42">
        <v>2660</v>
      </c>
      <c r="D131" s="42">
        <v>2720</v>
      </c>
      <c r="E131" s="42">
        <v>2690</v>
      </c>
      <c r="F131" s="59">
        <v>2.1999999999999999E-2</v>
      </c>
      <c r="G131" s="42">
        <v>2778</v>
      </c>
      <c r="H131" s="59">
        <v>3.3000000000000002E-2</v>
      </c>
      <c r="I131" s="59">
        <v>2.1000000000000001E-2</v>
      </c>
    </row>
    <row r="132" spans="1:28" x14ac:dyDescent="0.3">
      <c r="A132" s="7" t="s">
        <v>365</v>
      </c>
      <c r="B132" s="7" t="s">
        <v>364</v>
      </c>
      <c r="C132" s="42">
        <v>2590</v>
      </c>
      <c r="D132" s="42">
        <v>2630</v>
      </c>
      <c r="E132" s="42">
        <v>2610</v>
      </c>
      <c r="F132" s="59">
        <v>1.4999999999999999E-2</v>
      </c>
      <c r="G132" s="42">
        <v>2678</v>
      </c>
      <c r="H132" s="59">
        <v>2.5999999999999999E-2</v>
      </c>
      <c r="I132" s="59">
        <v>1.7999999999999999E-2</v>
      </c>
    </row>
    <row r="133" spans="1:28" x14ac:dyDescent="0.3">
      <c r="A133" s="7" t="s">
        <v>366</v>
      </c>
      <c r="B133" s="7" t="s">
        <v>365</v>
      </c>
      <c r="C133" s="42">
        <v>3540</v>
      </c>
      <c r="D133" s="42">
        <v>3600</v>
      </c>
      <c r="E133" s="42">
        <v>3570</v>
      </c>
      <c r="F133" s="59">
        <v>1.7000000000000001E-2</v>
      </c>
      <c r="G133" s="42">
        <v>3608</v>
      </c>
      <c r="H133" s="59">
        <v>1.0999999999999999E-2</v>
      </c>
      <c r="I133" s="59">
        <v>2E-3</v>
      </c>
    </row>
    <row r="134" spans="1:28" x14ac:dyDescent="0.3">
      <c r="A134" s="7" t="s">
        <v>367</v>
      </c>
      <c r="B134" s="7" t="s">
        <v>366</v>
      </c>
      <c r="C134" s="42">
        <v>4690</v>
      </c>
      <c r="D134" s="42">
        <v>4770</v>
      </c>
      <c r="E134" s="42">
        <v>4730</v>
      </c>
      <c r="F134" s="59">
        <v>1.7000000000000001E-2</v>
      </c>
    </row>
    <row r="136" spans="1:28" x14ac:dyDescent="0.3">
      <c r="A136" s="3" t="s">
        <v>190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3">
      <c r="A137" s="7" t="s">
        <v>368</v>
      </c>
      <c r="B137" s="10" t="s">
        <v>369</v>
      </c>
    </row>
    <row r="138" spans="1:28" x14ac:dyDescent="0.3">
      <c r="A138" s="7" t="s">
        <v>370</v>
      </c>
      <c r="B138" s="10" t="s">
        <v>371</v>
      </c>
    </row>
    <row r="139" spans="1:28" x14ac:dyDescent="0.3">
      <c r="A139" s="7" t="s">
        <v>372</v>
      </c>
      <c r="B139" s="10" t="s">
        <v>373</v>
      </c>
    </row>
    <row r="140" spans="1:28" x14ac:dyDescent="0.3">
      <c r="A140" s="7" t="s">
        <v>374</v>
      </c>
      <c r="B140" s="10" t="s">
        <v>375</v>
      </c>
    </row>
    <row r="141" spans="1:28" x14ac:dyDescent="0.3">
      <c r="A141" s="7" t="s">
        <v>376</v>
      </c>
      <c r="B141" s="10" t="s">
        <v>377</v>
      </c>
    </row>
    <row r="142" spans="1:28" x14ac:dyDescent="0.3">
      <c r="A142" s="7" t="s">
        <v>378</v>
      </c>
      <c r="B142" s="10" t="s">
        <v>379</v>
      </c>
    </row>
    <row r="143" spans="1:28" x14ac:dyDescent="0.3">
      <c r="A143" s="7" t="s">
        <v>380</v>
      </c>
      <c r="B143" s="10" t="s">
        <v>381</v>
      </c>
    </row>
    <row r="144" spans="1:28" x14ac:dyDescent="0.3">
      <c r="A144" s="7" t="s">
        <v>382</v>
      </c>
      <c r="B144" s="10" t="s">
        <v>383</v>
      </c>
    </row>
  </sheetData>
  <mergeCells count="3">
    <mergeCell ref="A63:L63"/>
    <mergeCell ref="A77:L77"/>
    <mergeCell ref="A94:L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41"/>
  <sheetViews>
    <sheetView showGridLines="0" zoomScale="49" workbookViewId="0">
      <pane xSplit="1" ySplit="5" topLeftCell="B6" activePane="bottomRight" state="frozen"/>
      <selection pane="topRight"/>
      <selection pane="bottomLeft"/>
      <selection pane="bottomRight" activeCell="N113" sqref="N113"/>
    </sheetView>
  </sheetViews>
  <sheetFormatPr defaultRowHeight="14.4" x14ac:dyDescent="0.3"/>
  <cols>
    <col min="1" max="1" width="46" customWidth="1"/>
    <col min="2" max="21" width="9.44140625" customWidth="1"/>
    <col min="22" max="22" width="2" customWidth="1"/>
    <col min="23" max="27" width="11" customWidth="1"/>
    <col min="28" max="28" width="3" customWidth="1"/>
    <col min="29" max="29" width="70" customWidth="1"/>
  </cols>
  <sheetData>
    <row r="1" spans="1:29" ht="17.399999999999999" x14ac:dyDescent="0.3">
      <c r="A1" s="1" t="s">
        <v>384</v>
      </c>
    </row>
    <row r="2" spans="1:29" x14ac:dyDescent="0.3">
      <c r="A2" s="2" t="s">
        <v>385</v>
      </c>
    </row>
    <row r="3" spans="1:29" x14ac:dyDescent="0.3">
      <c r="A3" s="30" t="s">
        <v>386</v>
      </c>
      <c r="B3" s="159" t="str">
        <f>'Income Statement'!B3</f>
        <v>Base (team model)</v>
      </c>
      <c r="C3" s="156"/>
      <c r="D3" s="156"/>
      <c r="E3" s="156"/>
      <c r="F3" s="156"/>
    </row>
    <row r="4" spans="1:29" x14ac:dyDescent="0.3">
      <c r="B4" s="10" t="s">
        <v>85</v>
      </c>
      <c r="C4" s="10" t="s">
        <v>86</v>
      </c>
      <c r="D4" s="10" t="s">
        <v>87</v>
      </c>
      <c r="E4" s="10" t="s">
        <v>88</v>
      </c>
      <c r="F4" s="10" t="s">
        <v>89</v>
      </c>
      <c r="G4" s="10" t="s">
        <v>90</v>
      </c>
      <c r="H4" s="10" t="s">
        <v>91</v>
      </c>
      <c r="I4" s="10" t="s">
        <v>92</v>
      </c>
      <c r="J4" s="10" t="s">
        <v>93</v>
      </c>
      <c r="K4" s="10" t="s">
        <v>94</v>
      </c>
      <c r="L4" s="10" t="s">
        <v>95</v>
      </c>
      <c r="M4" s="10" t="s">
        <v>96</v>
      </c>
      <c r="N4" s="10" t="s">
        <v>97</v>
      </c>
      <c r="O4" s="10" t="s">
        <v>98</v>
      </c>
      <c r="P4" s="10" t="s">
        <v>99</v>
      </c>
      <c r="Q4" s="10" t="s">
        <v>100</v>
      </c>
      <c r="R4" s="10" t="s">
        <v>101</v>
      </c>
      <c r="S4" s="10" t="s">
        <v>102</v>
      </c>
      <c r="T4" s="10" t="s">
        <v>103</v>
      </c>
      <c r="U4" s="10" t="s">
        <v>104</v>
      </c>
    </row>
    <row r="5" spans="1:29" x14ac:dyDescent="0.3">
      <c r="A5" s="17" t="s">
        <v>110</v>
      </c>
      <c r="B5" s="18" t="s">
        <v>111</v>
      </c>
      <c r="C5" s="18" t="s">
        <v>112</v>
      </c>
      <c r="D5" s="18" t="s">
        <v>113</v>
      </c>
      <c r="E5" s="18" t="s">
        <v>114</v>
      </c>
      <c r="F5" s="18" t="s">
        <v>115</v>
      </c>
      <c r="G5" s="18" t="s">
        <v>116</v>
      </c>
      <c r="H5" s="18" t="s">
        <v>117</v>
      </c>
      <c r="I5" s="18" t="s">
        <v>118</v>
      </c>
      <c r="J5" s="18" t="s">
        <v>119</v>
      </c>
      <c r="K5" s="18" t="s">
        <v>120</v>
      </c>
      <c r="L5" s="18" t="s">
        <v>121</v>
      </c>
      <c r="M5" s="18" t="s">
        <v>122</v>
      </c>
      <c r="N5" s="18" t="s">
        <v>123</v>
      </c>
      <c r="O5" s="18" t="s">
        <v>124</v>
      </c>
      <c r="P5" s="18" t="s">
        <v>125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W5" s="18" t="s">
        <v>105</v>
      </c>
      <c r="X5" s="18" t="s">
        <v>106</v>
      </c>
      <c r="Y5" s="18" t="s">
        <v>107</v>
      </c>
      <c r="Z5" s="18" t="s">
        <v>131</v>
      </c>
      <c r="AA5" s="18" t="s">
        <v>132</v>
      </c>
    </row>
    <row r="6" spans="1:29" x14ac:dyDescent="0.3">
      <c r="A6" s="3" t="s">
        <v>387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9" x14ac:dyDescent="0.3">
      <c r="A7" s="30" t="s">
        <v>139</v>
      </c>
      <c r="B7" s="38">
        <v>1818</v>
      </c>
      <c r="C7" s="38">
        <v>2484</v>
      </c>
      <c r="D7" s="38">
        <v>3397</v>
      </c>
      <c r="E7" s="38">
        <v>2218</v>
      </c>
      <c r="F7" s="38">
        <v>2142</v>
      </c>
      <c r="G7" s="38">
        <v>2748</v>
      </c>
      <c r="H7" s="38">
        <v>3732</v>
      </c>
      <c r="I7" s="38">
        <v>2480</v>
      </c>
      <c r="J7" s="38">
        <v>2272</v>
      </c>
      <c r="K7" s="38">
        <v>3096</v>
      </c>
      <c r="L7" s="38">
        <v>4095</v>
      </c>
      <c r="M7" s="38">
        <v>2778</v>
      </c>
      <c r="N7" s="38">
        <v>2678</v>
      </c>
      <c r="O7" s="38">
        <v>3608</v>
      </c>
      <c r="P7" s="39">
        <f>INDEX('Scenario Data'!$D$5:$I$345,MATCH('Income Statement'!$G$3&amp;"|revenue",'Scenario Data'!$A$5:$A$345,0),MATCH(P$4,'Scenario Data'!$D$4:$I$4,0))</f>
        <v>4804.0355</v>
      </c>
      <c r="Q7" s="39">
        <f>INDEX('Scenario Data'!$D$5:$I$345,MATCH('Income Statement'!$G$3&amp;"|revenue",'Scenario Data'!$A$5:$A$345,0),MATCH(Q$4,'Scenario Data'!$D$4:$I$4,0))</f>
        <v>3178.1078000000002</v>
      </c>
      <c r="R7" s="39">
        <f>INDEX('Scenario Data'!$D$5:$I$345,MATCH('Income Statement'!$G$3&amp;"|revenue",'Scenario Data'!$A$5:$A$345,0),MATCH(R$4,'Scenario Data'!$D$4:$I$4,0))</f>
        <v>3053.1293000000001</v>
      </c>
      <c r="S7" s="39">
        <f>INDEX('Scenario Data'!$D$5:$I$345,MATCH('Income Statement'!$G$3&amp;"|revenue",'Scenario Data'!$A$5:$A$345,0),MATCH(S$4,'Scenario Data'!$D$4:$I$4,0))</f>
        <v>4028.9807000000001</v>
      </c>
      <c r="T7" s="39">
        <f>INDEX('Scenario Data'!$D$5:$I$345,MATCH('Income Statement'!$G$3&amp;"|revenue",'Scenario Data'!$A$5:$A$345,0),MATCH(T$4,'Scenario Data'!$D$4:$I$4,0))</f>
        <v>5280.7325000000001</v>
      </c>
      <c r="U7" s="39">
        <f>INDEX('Scenario Data'!$D$5:$I$345,MATCH('Income Statement'!$G$3&amp;"|revenue",'Scenario Data'!$A$5:$A$345,0),MATCH(U$4,'Scenario Data'!$D$4:$I$4,0))</f>
        <v>3465.7640999999999</v>
      </c>
      <c r="W7" s="38">
        <v>9917</v>
      </c>
      <c r="X7" s="38">
        <v>11102</v>
      </c>
      <c r="Y7" s="38">
        <v>12241</v>
      </c>
      <c r="Z7" s="40">
        <f>SUM(N7:O7,P7:Q7)</f>
        <v>14268.1433</v>
      </c>
      <c r="AA7" s="40">
        <f>SUM(R7:U7)</f>
        <v>15828.606600000001</v>
      </c>
    </row>
    <row r="8" spans="1:29" x14ac:dyDescent="0.3">
      <c r="A8" s="30" t="s">
        <v>388</v>
      </c>
      <c r="B8" s="38">
        <v>428</v>
      </c>
      <c r="C8" s="38">
        <v>432</v>
      </c>
      <c r="D8" s="38">
        <v>459</v>
      </c>
      <c r="E8" s="38">
        <v>384</v>
      </c>
      <c r="F8" s="38">
        <v>480</v>
      </c>
      <c r="G8" s="38">
        <v>506</v>
      </c>
      <c r="H8" s="38">
        <v>465</v>
      </c>
      <c r="I8" s="38">
        <v>427</v>
      </c>
      <c r="J8" s="38">
        <v>506</v>
      </c>
      <c r="K8" s="38">
        <v>544</v>
      </c>
      <c r="L8" s="38">
        <v>549</v>
      </c>
      <c r="M8" s="38">
        <v>487</v>
      </c>
      <c r="N8" s="38">
        <v>581</v>
      </c>
      <c r="O8" s="38">
        <v>633</v>
      </c>
      <c r="P8" s="39">
        <f>INDEX('Scenario Data'!$D$5:$I$345,MATCH('Income Statement'!$G$3&amp;"|cor_cash",'Scenario Data'!$A$5:$A$345,0),MATCH(P$4,'Scenario Data'!$D$4:$I$4,0))</f>
        <v>640.78411880236081</v>
      </c>
      <c r="Q8" s="39">
        <f>INDEX('Scenario Data'!$D$5:$I$345,MATCH('Income Statement'!$G$3&amp;"|cor_cash",'Scenario Data'!$A$5:$A$345,0),MATCH(Q$4,'Scenario Data'!$D$4:$I$4,0))</f>
        <v>578.03945746664272</v>
      </c>
      <c r="R8" s="39">
        <f>INDEX('Scenario Data'!$D$5:$I$345,MATCH('Income Statement'!$G$3&amp;"|cor_cash",'Scenario Data'!$A$5:$A$345,0),MATCH(R$4,'Scenario Data'!$D$4:$I$4,0))</f>
        <v>706.00358820286976</v>
      </c>
      <c r="S8" s="39">
        <f>INDEX('Scenario Data'!$D$5:$I$345,MATCH('Income Statement'!$G$3&amp;"|cor_cash",'Scenario Data'!$A$5:$A$345,0),MATCH(S$4,'Scenario Data'!$D$4:$I$4,0))</f>
        <v>727.29954297889071</v>
      </c>
      <c r="T8" s="39">
        <f>INDEX('Scenario Data'!$D$5:$I$345,MATCH('Income Statement'!$G$3&amp;"|cor_cash",'Scenario Data'!$A$5:$A$345,0),MATCH(T$4,'Scenario Data'!$D$4:$I$4,0))</f>
        <v>699.45367853399443</v>
      </c>
      <c r="U8" s="39">
        <f>INDEX('Scenario Data'!$D$5:$I$345,MATCH('Income Statement'!$G$3&amp;"|cor_cash",'Scenario Data'!$A$5:$A$345,0),MATCH(U$4,'Scenario Data'!$D$4:$I$4,0))</f>
        <v>626.85228201550058</v>
      </c>
      <c r="W8" s="38">
        <v>1703</v>
      </c>
      <c r="X8" s="38">
        <v>1878</v>
      </c>
      <c r="Y8" s="38">
        <v>2086</v>
      </c>
      <c r="Z8" s="40">
        <f>SUM(N8:O8,P8:Q8)</f>
        <v>2432.8235762690038</v>
      </c>
      <c r="AA8" s="40">
        <f>SUM(R8:U8)</f>
        <v>2759.6090917312549</v>
      </c>
    </row>
    <row r="9" spans="1:29" x14ac:dyDescent="0.3">
      <c r="A9" s="7" t="s">
        <v>147</v>
      </c>
      <c r="B9" s="22">
        <f t="shared" ref="B9:U9" si="0">IFERROR(B8/B7,"")</f>
        <v>0.23542354235423543</v>
      </c>
      <c r="C9" s="22">
        <f t="shared" si="0"/>
        <v>0.17391304347826086</v>
      </c>
      <c r="D9" s="22">
        <f t="shared" si="0"/>
        <v>0.1351192228436856</v>
      </c>
      <c r="E9" s="22">
        <f t="shared" si="0"/>
        <v>0.17312894499549145</v>
      </c>
      <c r="F9" s="22">
        <f t="shared" si="0"/>
        <v>0.22408963585434175</v>
      </c>
      <c r="G9" s="22">
        <f t="shared" si="0"/>
        <v>0.18413391557496361</v>
      </c>
      <c r="H9" s="22">
        <f t="shared" si="0"/>
        <v>0.12459807073954984</v>
      </c>
      <c r="I9" s="22">
        <f t="shared" si="0"/>
        <v>0.17217741935483871</v>
      </c>
      <c r="J9" s="22">
        <f t="shared" si="0"/>
        <v>0.22271126760563381</v>
      </c>
      <c r="K9" s="22">
        <f t="shared" si="0"/>
        <v>0.17571059431524547</v>
      </c>
      <c r="L9" s="22">
        <f t="shared" si="0"/>
        <v>0.13406593406593406</v>
      </c>
      <c r="M9" s="22">
        <f t="shared" si="0"/>
        <v>0.17530597552195826</v>
      </c>
      <c r="N9" s="22">
        <f t="shared" si="0"/>
        <v>0.21695294996265871</v>
      </c>
      <c r="O9" s="22">
        <f t="shared" si="0"/>
        <v>0.17544345898004435</v>
      </c>
      <c r="P9" s="35">
        <f t="shared" si="0"/>
        <v>0.13338455113463688</v>
      </c>
      <c r="Q9" s="35">
        <f t="shared" si="0"/>
        <v>0.18188163959279249</v>
      </c>
      <c r="R9" s="35">
        <f t="shared" si="0"/>
        <v>0.23123933473858108</v>
      </c>
      <c r="S9" s="35">
        <f t="shared" si="0"/>
        <v>0.18051700842818399</v>
      </c>
      <c r="T9" s="35">
        <f t="shared" si="0"/>
        <v>0.13245391212942417</v>
      </c>
      <c r="U9" s="35">
        <f t="shared" si="0"/>
        <v>0.18086986417093437</v>
      </c>
      <c r="W9" s="22">
        <f>IFERROR(W8/W7,"")</f>
        <v>0.17172532015730563</v>
      </c>
      <c r="X9" s="22">
        <f>IFERROR(X8/X7,"")</f>
        <v>0.1691587101423167</v>
      </c>
      <c r="Y9" s="22">
        <f>IFERROR(Y8/Y7,"")</f>
        <v>0.17041091414100154</v>
      </c>
      <c r="Z9" s="35">
        <f>IFERROR(Z8/Z7,"")</f>
        <v>0.17050736911711586</v>
      </c>
      <c r="AA9" s="35">
        <f>IFERROR(AA8/AA7,"")</f>
        <v>0.17434314728191266</v>
      </c>
    </row>
    <row r="10" spans="1:29" x14ac:dyDescent="0.3">
      <c r="A10" s="7" t="s">
        <v>135</v>
      </c>
      <c r="F10" s="22">
        <f t="shared" ref="F10:U10" si="1">IFERROR(F8/B8-1,"")</f>
        <v>0.12149532710280364</v>
      </c>
      <c r="G10" s="22">
        <f t="shared" si="1"/>
        <v>0.17129629629629628</v>
      </c>
      <c r="H10" s="22">
        <f t="shared" si="1"/>
        <v>1.3071895424836555E-2</v>
      </c>
      <c r="I10" s="22">
        <f t="shared" si="1"/>
        <v>0.11197916666666674</v>
      </c>
      <c r="J10" s="22">
        <f t="shared" si="1"/>
        <v>5.4166666666666696E-2</v>
      </c>
      <c r="K10" s="22">
        <f t="shared" si="1"/>
        <v>7.5098814229249022E-2</v>
      </c>
      <c r="L10" s="22">
        <f t="shared" si="1"/>
        <v>0.1806451612903226</v>
      </c>
      <c r="M10" s="22">
        <f t="shared" si="1"/>
        <v>0.14051522248243553</v>
      </c>
      <c r="N10" s="22">
        <f t="shared" si="1"/>
        <v>0.14822134387351782</v>
      </c>
      <c r="O10" s="22">
        <f t="shared" si="1"/>
        <v>0.16360294117647056</v>
      </c>
      <c r="P10" s="35">
        <f t="shared" si="1"/>
        <v>0.16718418725384487</v>
      </c>
      <c r="Q10" s="35">
        <f t="shared" si="1"/>
        <v>0.18693933771384552</v>
      </c>
      <c r="R10" s="35">
        <f t="shared" si="1"/>
        <v>0.21515247539220272</v>
      </c>
      <c r="S10" s="35">
        <f t="shared" si="1"/>
        <v>0.14897242176759984</v>
      </c>
      <c r="T10" s="35">
        <f t="shared" si="1"/>
        <v>9.1559010297084686E-2</v>
      </c>
      <c r="U10" s="35">
        <f t="shared" si="1"/>
        <v>8.44454888301025E-2</v>
      </c>
      <c r="X10" s="22">
        <f>IFERROR(X8/W8-1,"")</f>
        <v>0.10275983558426316</v>
      </c>
      <c r="Y10" s="22">
        <f>IFERROR(Y8/X8-1,"")</f>
        <v>0.11075612353567621</v>
      </c>
      <c r="Z10" s="35">
        <f>IFERROR(Z8/Y8-1,"")</f>
        <v>0.16626250060834313</v>
      </c>
      <c r="AA10" s="35">
        <f>IFERROR(AA8/Z8-1,"")</f>
        <v>0.13432355664828433</v>
      </c>
    </row>
    <row r="11" spans="1:29" x14ac:dyDescent="0.3">
      <c r="A11" s="7" t="s">
        <v>389</v>
      </c>
      <c r="P11" s="43">
        <f>INDEX('Scenario Data'!$D$5:$I$345,MATCH('Income Statement'!$G$3&amp;"|cor_fees",'Scenario Data'!$A$5:$A$345,0),MATCH(P$4,'Scenario Data'!$D$4:$I$4,0))</f>
        <v>458.7631337392358</v>
      </c>
      <c r="Q11" s="43">
        <f>INDEX('Scenario Data'!$D$5:$I$345,MATCH('Income Statement'!$G$3&amp;"|cor_fees",'Scenario Data'!$A$5:$A$345,0),MATCH(Q$4,'Scenario Data'!$D$4:$I$4,0))</f>
        <v>404.38556823913399</v>
      </c>
      <c r="R11" s="43">
        <f>INDEX('Scenario Data'!$D$5:$I$345,MATCH('Income Statement'!$G$3&amp;"|cor_fees",'Scenario Data'!$A$5:$A$345,0),MATCH(R$4,'Scenario Data'!$D$4:$I$4,0))</f>
        <v>499.64568774248448</v>
      </c>
      <c r="S11" s="43">
        <f>INDEX('Scenario Data'!$D$5:$I$345,MATCH('Income Statement'!$G$3&amp;"|cor_fees",'Scenario Data'!$A$5:$A$345,0),MATCH(S$4,'Scenario Data'!$D$4:$I$4,0))</f>
        <v>527.61555451850529</v>
      </c>
      <c r="T11" s="43">
        <f>INDEX('Scenario Data'!$D$5:$I$345,MATCH('Income Statement'!$G$3&amp;"|cor_fees",'Scenario Data'!$A$5:$A$345,0),MATCH(T$4,'Scenario Data'!$D$4:$I$4,0))</f>
        <v>500.40926607360899</v>
      </c>
      <c r="U11" s="43">
        <f>INDEX('Scenario Data'!$D$5:$I$345,MATCH('Income Statement'!$G$3&amp;"|cor_fees",'Scenario Data'!$A$5:$A$345,0),MATCH(U$4,'Scenario Data'!$D$4:$I$4,0))</f>
        <v>436.87566955511522</v>
      </c>
      <c r="AC11" s="46" t="s">
        <v>390</v>
      </c>
    </row>
    <row r="12" spans="1:29" x14ac:dyDescent="0.3">
      <c r="A12" s="7" t="s">
        <v>391</v>
      </c>
      <c r="P12" s="43">
        <f>INDEX('Scenario Data'!$D$5:$I$345,MATCH('Income Statement'!$G$3&amp;"|cor_chargebacks",'Scenario Data'!$A$5:$A$345,0),MATCH(P$4,'Scenario Data'!$D$4:$I$4,0))</f>
        <v>28.960372602739721</v>
      </c>
      <c r="Q12" s="43">
        <f>INDEX('Scenario Data'!$D$5:$I$345,MATCH('Income Statement'!$G$3&amp;"|cor_chargebacks",'Scenario Data'!$A$5:$A$345,0),MATCH(Q$4,'Scenario Data'!$D$4:$I$4,0))</f>
        <v>25.998568767123292</v>
      </c>
      <c r="R12" s="43">
        <f>INDEX('Scenario Data'!$D$5:$I$345,MATCH('Income Statement'!$G$3&amp;"|cor_chargebacks",'Scenario Data'!$A$5:$A$345,0),MATCH(R$4,'Scenario Data'!$D$4:$I$4,0))</f>
        <v>33.803559999999997</v>
      </c>
      <c r="S12" s="43">
        <f>INDEX('Scenario Data'!$D$5:$I$345,MATCH('Income Statement'!$G$3&amp;"|cor_chargebacks",'Scenario Data'!$A$5:$A$345,0),MATCH(S$4,'Scenario Data'!$D$4:$I$4,0))</f>
        <v>31.420020000000001</v>
      </c>
      <c r="T12" s="43">
        <f>INDEX('Scenario Data'!$D$5:$I$345,MATCH('Income Statement'!$G$3&amp;"|cor_chargebacks",'Scenario Data'!$A$5:$A$345,0),MATCH(T$4,'Scenario Data'!$D$4:$I$4,0))</f>
        <v>31.191600000000001</v>
      </c>
      <c r="U12" s="43">
        <f>INDEX('Scenario Data'!$D$5:$I$345,MATCH('Income Statement'!$G$3&amp;"|cor_chargebacks",'Scenario Data'!$A$5:$A$345,0),MATCH(U$4,'Scenario Data'!$D$4:$I$4,0))</f>
        <v>27.953099999999999</v>
      </c>
      <c r="AC12" s="46" t="s">
        <v>392</v>
      </c>
    </row>
    <row r="13" spans="1:29" x14ac:dyDescent="0.3">
      <c r="A13" s="7" t="s">
        <v>393</v>
      </c>
      <c r="P13" s="43">
        <f>INDEX('Scenario Data'!$D$5:$I$345,MATCH('Income Statement'!$G$3&amp;"|cor_hosting",'Scenario Data'!$A$5:$A$345,0),MATCH(P$4,'Scenario Data'!$D$4:$I$4,0))</f>
        <v>100.20793246038539</v>
      </c>
      <c r="Q13" s="43">
        <f>INDEX('Scenario Data'!$D$5:$I$345,MATCH('Income Statement'!$G$3&amp;"|cor_hosting",'Scenario Data'!$A$5:$A$345,0),MATCH(Q$4,'Scenario Data'!$D$4:$I$4,0))</f>
        <v>100.20793246038539</v>
      </c>
      <c r="R13" s="43">
        <f>INDEX('Scenario Data'!$D$5:$I$345,MATCH('Income Statement'!$G$3&amp;"|cor_hosting",'Scenario Data'!$A$5:$A$345,0),MATCH(R$4,'Scenario Data'!$D$4:$I$4,0))</f>
        <v>111.70793246038539</v>
      </c>
      <c r="S13" s="43">
        <f>INDEX('Scenario Data'!$D$5:$I$345,MATCH('Income Statement'!$G$3&amp;"|cor_hosting",'Scenario Data'!$A$5:$A$345,0),MATCH(S$4,'Scenario Data'!$D$4:$I$4,0))</f>
        <v>111.70793246038539</v>
      </c>
      <c r="T13" s="43">
        <f>INDEX('Scenario Data'!$D$5:$I$345,MATCH('Income Statement'!$G$3&amp;"|cor_hosting",'Scenario Data'!$A$5:$A$345,0),MATCH(T$4,'Scenario Data'!$D$4:$I$4,0))</f>
        <v>111.70793246038539</v>
      </c>
      <c r="U13" s="43">
        <f>INDEX('Scenario Data'!$D$5:$I$345,MATCH('Income Statement'!$G$3&amp;"|cor_hosting",'Scenario Data'!$A$5:$A$345,0),MATCH(U$4,'Scenario Data'!$D$4:$I$4,0))</f>
        <v>111.70793246038539</v>
      </c>
      <c r="AC13" s="46" t="s">
        <v>394</v>
      </c>
    </row>
    <row r="14" spans="1:29" x14ac:dyDescent="0.3">
      <c r="A14" s="7" t="s">
        <v>395</v>
      </c>
      <c r="P14" s="43">
        <f>INDEX('Scenario Data'!$D$5:$I$345,MATCH('Income Statement'!$G$3&amp;"|cor_other",'Scenario Data'!$A$5:$A$345,0),MATCH(P$4,'Scenario Data'!$D$4:$I$4,0))</f>
        <v>52.852679999999992</v>
      </c>
      <c r="Q14" s="43">
        <f>INDEX('Scenario Data'!$D$5:$I$345,MATCH('Income Statement'!$G$3&amp;"|cor_other",'Scenario Data'!$A$5:$A$345,0),MATCH(Q$4,'Scenario Data'!$D$4:$I$4,0))</f>
        <v>47.447387999999997</v>
      </c>
      <c r="R14" s="43">
        <f>INDEX('Scenario Data'!$D$5:$I$345,MATCH('Income Statement'!$G$3&amp;"|cor_other",'Scenario Data'!$A$5:$A$345,0),MATCH(R$4,'Scenario Data'!$D$4:$I$4,0))</f>
        <v>60.846407999999997</v>
      </c>
      <c r="S14" s="43">
        <f>INDEX('Scenario Data'!$D$5:$I$345,MATCH('Income Statement'!$G$3&amp;"|cor_other",'Scenario Data'!$A$5:$A$345,0),MATCH(S$4,'Scenario Data'!$D$4:$I$4,0))</f>
        <v>56.556035999999999</v>
      </c>
      <c r="T14" s="43">
        <f>INDEX('Scenario Data'!$D$5:$I$345,MATCH('Income Statement'!$G$3&amp;"|cor_other",'Scenario Data'!$A$5:$A$345,0),MATCH(T$4,'Scenario Data'!$D$4:$I$4,0))</f>
        <v>56.144880000000001</v>
      </c>
      <c r="U14" s="43">
        <f>INDEX('Scenario Data'!$D$5:$I$345,MATCH('Income Statement'!$G$3&amp;"|cor_other",'Scenario Data'!$A$5:$A$345,0),MATCH(U$4,'Scenario Data'!$D$4:$I$4,0))</f>
        <v>50.315579999999997</v>
      </c>
      <c r="AC14" s="46" t="s">
        <v>396</v>
      </c>
    </row>
    <row r="15" spans="1:29" x14ac:dyDescent="0.3">
      <c r="A15" s="30" t="s">
        <v>397</v>
      </c>
      <c r="B15" s="38">
        <v>267</v>
      </c>
      <c r="C15" s="38">
        <v>298</v>
      </c>
      <c r="D15" s="38">
        <v>299</v>
      </c>
      <c r="E15" s="38">
        <v>254</v>
      </c>
      <c r="F15" s="38">
        <v>266</v>
      </c>
      <c r="G15" s="38">
        <v>314</v>
      </c>
      <c r="H15" s="38">
        <v>347</v>
      </c>
      <c r="I15" s="38">
        <v>265</v>
      </c>
      <c r="J15" s="38">
        <v>282</v>
      </c>
      <c r="K15" s="38">
        <v>309</v>
      </c>
      <c r="L15" s="38">
        <v>343</v>
      </c>
      <c r="M15" s="38">
        <v>303</v>
      </c>
      <c r="N15" s="38">
        <v>301</v>
      </c>
      <c r="O15" s="38">
        <v>323</v>
      </c>
      <c r="P15" s="39">
        <f>INDEX('Scenario Data'!$D$5:$I$345,MATCH('Income Statement'!$G$3&amp;"|ops_cash",'Scenario Data'!$A$5:$A$345,0),MATCH(P$4,'Scenario Data'!$D$4:$I$4,0))</f>
        <v>361.44308671083178</v>
      </c>
      <c r="Q15" s="39">
        <f>INDEX('Scenario Data'!$D$5:$I$345,MATCH('Income Statement'!$G$3&amp;"|ops_cash",'Scenario Data'!$A$5:$A$345,0),MATCH(Q$4,'Scenario Data'!$D$4:$I$4,0))</f>
        <v>318.28709448714312</v>
      </c>
      <c r="R15" s="39">
        <f>INDEX('Scenario Data'!$D$5:$I$345,MATCH('Income Statement'!$G$3&amp;"|ops_cash",'Scenario Data'!$A$5:$A$345,0),MATCH(R$4,'Scenario Data'!$D$4:$I$4,0))</f>
        <v>319.0860911068342</v>
      </c>
      <c r="S15" s="39">
        <f>INDEX('Scenario Data'!$D$5:$I$345,MATCH('Income Statement'!$G$3&amp;"|ops_cash",'Scenario Data'!$A$5:$A$345,0),MATCH(S$4,'Scenario Data'!$D$4:$I$4,0))</f>
        <v>340.96824359815412</v>
      </c>
      <c r="T15" s="39">
        <f>INDEX('Scenario Data'!$D$5:$I$345,MATCH('Income Statement'!$G$3&amp;"|ops_cash",'Scenario Data'!$A$5:$A$345,0),MATCH(T$4,'Scenario Data'!$D$4:$I$4,0))</f>
        <v>381.75909553671619</v>
      </c>
      <c r="U15" s="39">
        <f>INDEX('Scenario Data'!$D$5:$I$345,MATCH('Income Statement'!$G$3&amp;"|ops_cash",'Scenario Data'!$A$5:$A$345,0),MATCH(U$4,'Scenario Data'!$D$4:$I$4,0))</f>
        <v>336.06248136625692</v>
      </c>
      <c r="W15" s="38">
        <v>1118</v>
      </c>
      <c r="X15" s="38">
        <v>1192</v>
      </c>
      <c r="Y15" s="38">
        <v>1237</v>
      </c>
      <c r="Z15" s="40">
        <f>SUM(N15:O15,P15:Q15)</f>
        <v>1303.7301811979748</v>
      </c>
      <c r="AA15" s="40">
        <f>SUM(R15:U15)</f>
        <v>1377.8759116079614</v>
      </c>
    </row>
    <row r="16" spans="1:29" x14ac:dyDescent="0.3">
      <c r="A16" s="7" t="s">
        <v>147</v>
      </c>
      <c r="B16" s="22">
        <f t="shared" ref="B16:U16" si="2">IFERROR(B15/B7,"")</f>
        <v>0.14686468646864687</v>
      </c>
      <c r="C16" s="22">
        <f t="shared" si="2"/>
        <v>0.11996779388083736</v>
      </c>
      <c r="D16" s="22">
        <f t="shared" si="2"/>
        <v>8.8018840153076247E-2</v>
      </c>
      <c r="E16" s="22">
        <f t="shared" si="2"/>
        <v>0.11451758340847611</v>
      </c>
      <c r="F16" s="22">
        <f t="shared" si="2"/>
        <v>0.12418300653594772</v>
      </c>
      <c r="G16" s="22">
        <f t="shared" si="2"/>
        <v>0.11426491994177583</v>
      </c>
      <c r="H16" s="22">
        <f t="shared" si="2"/>
        <v>9.2979635584137188E-2</v>
      </c>
      <c r="I16" s="22">
        <f t="shared" si="2"/>
        <v>0.10685483870967742</v>
      </c>
      <c r="J16" s="22">
        <f t="shared" si="2"/>
        <v>0.12411971830985916</v>
      </c>
      <c r="K16" s="22">
        <f t="shared" si="2"/>
        <v>9.9806201550387594E-2</v>
      </c>
      <c r="L16" s="22">
        <f t="shared" si="2"/>
        <v>8.3760683760683755E-2</v>
      </c>
      <c r="M16" s="22">
        <f t="shared" si="2"/>
        <v>0.10907127429805616</v>
      </c>
      <c r="N16" s="22">
        <f t="shared" si="2"/>
        <v>0.11239731142643763</v>
      </c>
      <c r="O16" s="22">
        <f t="shared" si="2"/>
        <v>8.9523281596452328E-2</v>
      </c>
      <c r="P16" s="35">
        <f t="shared" si="2"/>
        <v>7.5237388797570665E-2</v>
      </c>
      <c r="Q16" s="35">
        <f t="shared" si="2"/>
        <v>0.10014987360942983</v>
      </c>
      <c r="R16" s="35">
        <f t="shared" si="2"/>
        <v>0.1045111620745424</v>
      </c>
      <c r="S16" s="35">
        <f t="shared" si="2"/>
        <v>8.462890963914374E-2</v>
      </c>
      <c r="T16" s="35">
        <f t="shared" si="2"/>
        <v>7.2292829742221593E-2</v>
      </c>
      <c r="U16" s="35">
        <f t="shared" si="2"/>
        <v>9.6966346141751814E-2</v>
      </c>
      <c r="W16" s="22">
        <f>IFERROR(W15/W7,"")</f>
        <v>0.11273570636281133</v>
      </c>
      <c r="X16" s="22">
        <f>IFERROR(X15/X7,"")</f>
        <v>0.1073680417942713</v>
      </c>
      <c r="Y16" s="22">
        <f>IFERROR(Y15/Y7,"")</f>
        <v>0.10105383547095825</v>
      </c>
      <c r="Z16" s="35">
        <f>IFERROR(Z15/Z7,"")</f>
        <v>9.1373499255363866E-2</v>
      </c>
      <c r="AA16" s="35">
        <f>IFERROR(AA15/AA7,"")</f>
        <v>8.7049728787116434E-2</v>
      </c>
    </row>
    <row r="17" spans="1:29" x14ac:dyDescent="0.3">
      <c r="A17" s="7" t="s">
        <v>135</v>
      </c>
      <c r="F17" s="22">
        <f t="shared" ref="F17:U17" si="3">IFERROR(F15/B15-1,"")</f>
        <v>-3.7453183520599342E-3</v>
      </c>
      <c r="G17" s="22">
        <f t="shared" si="3"/>
        <v>5.3691275167785157E-2</v>
      </c>
      <c r="H17" s="22">
        <f t="shared" si="3"/>
        <v>0.16053511705685608</v>
      </c>
      <c r="I17" s="22">
        <f t="shared" si="3"/>
        <v>4.3307086614173151E-2</v>
      </c>
      <c r="J17" s="22">
        <f t="shared" si="3"/>
        <v>6.0150375939849621E-2</v>
      </c>
      <c r="K17" s="22">
        <f t="shared" si="3"/>
        <v>-1.5923566878980888E-2</v>
      </c>
      <c r="L17" s="22">
        <f t="shared" si="3"/>
        <v>-1.1527377521613813E-2</v>
      </c>
      <c r="M17" s="22">
        <f t="shared" si="3"/>
        <v>0.14339622641509431</v>
      </c>
      <c r="N17" s="22">
        <f t="shared" si="3"/>
        <v>6.7375886524822626E-2</v>
      </c>
      <c r="O17" s="22">
        <f t="shared" si="3"/>
        <v>4.5307443365695699E-2</v>
      </c>
      <c r="P17" s="35">
        <f t="shared" si="3"/>
        <v>5.3769932101550344E-2</v>
      </c>
      <c r="Q17" s="35">
        <f t="shared" si="3"/>
        <v>5.0452457053277611E-2</v>
      </c>
      <c r="R17" s="35">
        <f t="shared" si="3"/>
        <v>6.0086681418053844E-2</v>
      </c>
      <c r="S17" s="35">
        <f t="shared" si="3"/>
        <v>5.5629237145987886E-2</v>
      </c>
      <c r="T17" s="35">
        <f t="shared" si="3"/>
        <v>5.6208043735909152E-2</v>
      </c>
      <c r="U17" s="35">
        <f t="shared" si="3"/>
        <v>5.5847023605387847E-2</v>
      </c>
      <c r="X17" s="22">
        <f>IFERROR(X15/W15-1,"")</f>
        <v>6.6189624329159313E-2</v>
      </c>
      <c r="Y17" s="22">
        <f>IFERROR(Y15/X15-1,"")</f>
        <v>3.7751677852349008E-2</v>
      </c>
      <c r="Z17" s="35">
        <f>IFERROR(Z15/Y15-1,"")</f>
        <v>5.3945174776050875E-2</v>
      </c>
      <c r="AA17" s="35">
        <f>IFERROR(AA15/Z15-1,"")</f>
        <v>5.6871990446562659E-2</v>
      </c>
    </row>
    <row r="18" spans="1:29" x14ac:dyDescent="0.3">
      <c r="A18" s="7" t="s">
        <v>398</v>
      </c>
      <c r="P18" s="43">
        <f>INDEX('Scenario Data'!$D$5:$I$345,MATCH('Income Statement'!$G$3&amp;"|ops_variable",'Scenario Data'!$A$5:$A$345,0),MATCH(P$4,'Scenario Data'!$D$4:$I$4,0))</f>
        <v>70.647686710831763</v>
      </c>
      <c r="Q18" s="43">
        <f>INDEX('Scenario Data'!$D$5:$I$345,MATCH('Income Statement'!$G$3&amp;"|ops_variable",'Scenario Data'!$A$5:$A$345,0),MATCH(Q$4,'Scenario Data'!$D$4:$I$4,0))</f>
        <v>61.403694487143078</v>
      </c>
      <c r="R18" s="43">
        <f>INDEX('Scenario Data'!$D$5:$I$345,MATCH('Income Statement'!$G$3&amp;"|ops_variable",'Scenario Data'!$A$5:$A$345,0),MATCH(R$4,'Scenario Data'!$D$4:$I$4,0))</f>
        <v>63.898291106834193</v>
      </c>
      <c r="S18" s="43">
        <f>INDEX('Scenario Data'!$D$5:$I$345,MATCH('Income Statement'!$G$3&amp;"|ops_variable",'Scenario Data'!$A$5:$A$345,0),MATCH(S$4,'Scenario Data'!$D$4:$I$4,0))</f>
        <v>67.128843598154063</v>
      </c>
      <c r="T18" s="43">
        <f>INDEX('Scenario Data'!$D$5:$I$345,MATCH('Income Statement'!$G$3&amp;"|ops_variable",'Scenario Data'!$A$5:$A$345,0),MATCH(T$4,'Scenario Data'!$D$4:$I$4,0))</f>
        <v>75.327646623272983</v>
      </c>
      <c r="U18" s="43">
        <f>INDEX('Scenario Data'!$D$5:$I$345,MATCH('Income Statement'!$G$3&amp;"|ops_variable",'Scenario Data'!$A$5:$A$345,0),MATCH(U$4,'Scenario Data'!$D$4:$I$4,0))</f>
        <v>66.218682660056984</v>
      </c>
      <c r="AC18" s="46" t="s">
        <v>399</v>
      </c>
    </row>
    <row r="19" spans="1:29" x14ac:dyDescent="0.3">
      <c r="A19" s="7" t="s">
        <v>400</v>
      </c>
      <c r="P19" s="43">
        <f>INDEX('Scenario Data'!$D$5:$I$345,MATCH('Income Statement'!$G$3&amp;"|ops_fixed",'Scenario Data'!$A$5:$A$345,0),MATCH(P$4,'Scenario Data'!$D$4:$I$4,0))</f>
        <v>290.79539999999997</v>
      </c>
      <c r="Q19" s="43">
        <f>INDEX('Scenario Data'!$D$5:$I$345,MATCH('Income Statement'!$G$3&amp;"|ops_fixed",'Scenario Data'!$A$5:$A$345,0),MATCH(Q$4,'Scenario Data'!$D$4:$I$4,0))</f>
        <v>256.88340000000011</v>
      </c>
      <c r="R19" s="43">
        <f>INDEX('Scenario Data'!$D$5:$I$345,MATCH('Income Statement'!$G$3&amp;"|ops_fixed",'Scenario Data'!$A$5:$A$345,0),MATCH(R$4,'Scenario Data'!$D$4:$I$4,0))</f>
        <v>255.18780000000001</v>
      </c>
      <c r="S19" s="43">
        <f>INDEX('Scenario Data'!$D$5:$I$345,MATCH('Income Statement'!$G$3&amp;"|ops_fixed",'Scenario Data'!$A$5:$A$345,0),MATCH(S$4,'Scenario Data'!$D$4:$I$4,0))</f>
        <v>273.83940000000001</v>
      </c>
      <c r="T19" s="43">
        <f>INDEX('Scenario Data'!$D$5:$I$345,MATCH('Income Statement'!$G$3&amp;"|ops_fixed",'Scenario Data'!$A$5:$A$345,0),MATCH(T$4,'Scenario Data'!$D$4:$I$4,0))</f>
        <v>306.43144891344321</v>
      </c>
      <c r="U19" s="43">
        <f>INDEX('Scenario Data'!$D$5:$I$345,MATCH('Income Statement'!$G$3&amp;"|ops_fixed",'Scenario Data'!$A$5:$A$345,0),MATCH(U$4,'Scenario Data'!$D$4:$I$4,0))</f>
        <v>269.84379870619989</v>
      </c>
      <c r="AC19" s="46" t="s">
        <v>401</v>
      </c>
    </row>
    <row r="20" spans="1:29" x14ac:dyDescent="0.3">
      <c r="A20" s="7" t="s">
        <v>402</v>
      </c>
      <c r="P20" s="84">
        <f>INDEX('Scenario Data'!$D$5:$I$345,MATCH('Income Statement'!$G$3&amp;"|ops_per_booking",'Scenario Data'!$A$5:$A$345,0),MATCH(P$4,'Scenario Data'!$D$4:$I$4,0))</f>
        <v>8.9860384740761123</v>
      </c>
      <c r="Q20" s="84">
        <f>INDEX('Scenario Data'!$D$5:$I$345,MATCH('Income Statement'!$G$3&amp;"|ops_per_booking",'Scenario Data'!$A$5:$A$345,0),MATCH(Q$4,'Scenario Data'!$D$4:$I$4,0))</f>
        <v>8.8145893754173787</v>
      </c>
      <c r="R20" s="84">
        <f>INDEX('Scenario Data'!$D$5:$I$345,MATCH('Income Statement'!$G$3&amp;"|ops_per_booking",'Scenario Data'!$A$5:$A$345,0),MATCH(R$4,'Scenario Data'!$D$4:$I$4,0))</f>
        <v>6.7963843333933056</v>
      </c>
      <c r="S20" s="84">
        <f>INDEX('Scenario Data'!$D$5:$I$345,MATCH('Income Statement'!$G$3&amp;"|ops_per_booking",'Scenario Data'!$A$5:$A$345,0),MATCH(S$4,'Scenario Data'!$D$4:$I$4,0))</f>
        <v>7.813398444388989</v>
      </c>
      <c r="T20" s="84">
        <f>INDEX('Scenario Data'!$D$5:$I$345,MATCH('Income Statement'!$G$3&amp;"|ops_per_booking",'Scenario Data'!$A$5:$A$345,0),MATCH(T$4,'Scenario Data'!$D$4:$I$4,0))</f>
        <v>8.8121977964078688</v>
      </c>
      <c r="U20" s="84">
        <f>INDEX('Scenario Data'!$D$5:$I$345,MATCH('Income Statement'!$G$3&amp;"|ops_per_booking",'Scenario Data'!$A$5:$A$345,0),MATCH(U$4,'Scenario Data'!$D$4:$I$4,0))</f>
        <v>8.6561056406518411</v>
      </c>
    </row>
    <row r="21" spans="1:29" x14ac:dyDescent="0.3">
      <c r="A21" s="30" t="s">
        <v>403</v>
      </c>
      <c r="B21" s="38">
        <v>271</v>
      </c>
      <c r="C21" s="38">
        <v>260</v>
      </c>
      <c r="D21" s="38">
        <v>244</v>
      </c>
      <c r="E21" s="38">
        <v>253</v>
      </c>
      <c r="F21" s="38">
        <v>290</v>
      </c>
      <c r="G21" s="38">
        <v>280</v>
      </c>
      <c r="H21" s="38">
        <v>294</v>
      </c>
      <c r="I21" s="38">
        <v>306</v>
      </c>
      <c r="J21" s="38">
        <v>338</v>
      </c>
      <c r="K21" s="38">
        <v>331</v>
      </c>
      <c r="L21" s="38">
        <v>333</v>
      </c>
      <c r="M21" s="38">
        <v>335</v>
      </c>
      <c r="N21" s="38">
        <v>375</v>
      </c>
      <c r="O21" s="38">
        <v>374</v>
      </c>
      <c r="P21" s="39">
        <f>INDEX('Scenario Data'!$D$5:$I$345,MATCH('Income Statement'!$G$3&amp;"|pd_cash",'Scenario Data'!$A$5:$A$345,0),MATCH(P$4,'Scenario Data'!$D$4:$I$4,0))</f>
        <v>359.09488166867231</v>
      </c>
      <c r="Q21" s="39">
        <f>INDEX('Scenario Data'!$D$5:$I$345,MATCH('Income Statement'!$G$3&amp;"|pd_cash",'Scenario Data'!$A$5:$A$345,0),MATCH(Q$4,'Scenario Data'!$D$4:$I$4,0))</f>
        <v>369.02511833132769</v>
      </c>
      <c r="R21" s="39">
        <f>INDEX('Scenario Data'!$D$5:$I$345,MATCH('Income Statement'!$G$3&amp;"|pd_cash",'Scenario Data'!$A$5:$A$345,0),MATCH(R$4,'Scenario Data'!$D$4:$I$4,0))</f>
        <v>414.12379008000011</v>
      </c>
      <c r="S21" s="39">
        <f>INDEX('Scenario Data'!$D$5:$I$345,MATCH('Income Statement'!$G$3&amp;"|pd_cash",'Scenario Data'!$A$5:$A$345,0),MATCH(S$4,'Scenario Data'!$D$4:$I$4,0))</f>
        <v>400.79641536000003</v>
      </c>
      <c r="T21" s="39">
        <f>INDEX('Scenario Data'!$D$5:$I$345,MATCH('Income Statement'!$G$3&amp;"|pd_cash",'Scenario Data'!$A$5:$A$345,0),MATCH(T$4,'Scenario Data'!$D$4:$I$4,0))</f>
        <v>399.65871263999998</v>
      </c>
      <c r="U21" s="39">
        <f>INDEX('Scenario Data'!$D$5:$I$345,MATCH('Income Statement'!$G$3&amp;"|pd_cash",'Scenario Data'!$A$5:$A$345,0),MATCH(U$4,'Scenario Data'!$D$4:$I$4,0))</f>
        <v>410.71068192000001</v>
      </c>
      <c r="W21" s="38">
        <v>1028</v>
      </c>
      <c r="X21" s="38">
        <v>1170</v>
      </c>
      <c r="Y21" s="38">
        <v>1337</v>
      </c>
      <c r="Z21" s="40">
        <f>SUM(N21:O21,P21:Q21)</f>
        <v>1477.12</v>
      </c>
      <c r="AA21" s="40">
        <f>SUM(R21:U21)</f>
        <v>1625.2896000000003</v>
      </c>
      <c r="AC21" s="46" t="s">
        <v>404</v>
      </c>
    </row>
    <row r="22" spans="1:29" x14ac:dyDescent="0.3">
      <c r="A22" s="7" t="s">
        <v>147</v>
      </c>
      <c r="B22" s="22">
        <f t="shared" ref="B22:U22" si="4">IFERROR(B21/B7,"")</f>
        <v>0.14906490649064907</v>
      </c>
      <c r="C22" s="22">
        <f t="shared" si="4"/>
        <v>0.10466988727858294</v>
      </c>
      <c r="D22" s="22">
        <f t="shared" si="4"/>
        <v>7.1828083603179271E-2</v>
      </c>
      <c r="E22" s="22">
        <f t="shared" si="4"/>
        <v>0.11406672678088368</v>
      </c>
      <c r="F22" s="22">
        <f t="shared" si="4"/>
        <v>0.13538748832866479</v>
      </c>
      <c r="G22" s="22">
        <f t="shared" si="4"/>
        <v>0.10189228529839883</v>
      </c>
      <c r="H22" s="22">
        <f t="shared" si="4"/>
        <v>7.8778135048231515E-2</v>
      </c>
      <c r="I22" s="22">
        <f t="shared" si="4"/>
        <v>0.12338709677419354</v>
      </c>
      <c r="J22" s="22">
        <f t="shared" si="4"/>
        <v>0.14876760563380281</v>
      </c>
      <c r="K22" s="22">
        <f t="shared" si="4"/>
        <v>0.10691214470284238</v>
      </c>
      <c r="L22" s="22">
        <f t="shared" si="4"/>
        <v>8.1318681318681321E-2</v>
      </c>
      <c r="M22" s="22">
        <f t="shared" si="4"/>
        <v>0.12059035277177826</v>
      </c>
      <c r="N22" s="22">
        <f t="shared" si="4"/>
        <v>0.14002987303958178</v>
      </c>
      <c r="O22" s="22">
        <f t="shared" si="4"/>
        <v>0.10365853658536585</v>
      </c>
      <c r="P22" s="35">
        <f t="shared" si="4"/>
        <v>7.474859036088978E-2</v>
      </c>
      <c r="Q22" s="35">
        <f t="shared" si="4"/>
        <v>0.11611472660912499</v>
      </c>
      <c r="R22" s="35">
        <f t="shared" si="4"/>
        <v>0.13563912608614384</v>
      </c>
      <c r="S22" s="35">
        <f t="shared" si="4"/>
        <v>9.9478365671992433E-2</v>
      </c>
      <c r="T22" s="35">
        <f t="shared" si="4"/>
        <v>7.5682438495038321E-2</v>
      </c>
      <c r="U22" s="35">
        <f t="shared" si="4"/>
        <v>0.11850508865274473</v>
      </c>
      <c r="W22" s="22">
        <f>IFERROR(W21/W7,"")</f>
        <v>0.10366038116365836</v>
      </c>
      <c r="X22" s="22">
        <f>IFERROR(X21/X7,"")</f>
        <v>0.1053864168618267</v>
      </c>
      <c r="Y22" s="22">
        <f>IFERROR(Y21/Y7,"")</f>
        <v>0.10922310268768891</v>
      </c>
      <c r="Z22" s="35">
        <f>IFERROR(Z21/Z7,"")</f>
        <v>0.10352573344283694</v>
      </c>
      <c r="AA22" s="35">
        <f>IFERROR(AA21/AA7,"")</f>
        <v>0.10268052274418142</v>
      </c>
    </row>
    <row r="23" spans="1:29" x14ac:dyDescent="0.3">
      <c r="A23" s="7" t="s">
        <v>135</v>
      </c>
      <c r="F23" s="22">
        <f t="shared" ref="F23:U23" si="5">IFERROR(F21/B21-1,"")</f>
        <v>7.0110701107011009E-2</v>
      </c>
      <c r="G23" s="22">
        <f t="shared" si="5"/>
        <v>7.6923076923076872E-2</v>
      </c>
      <c r="H23" s="22">
        <f t="shared" si="5"/>
        <v>0.20491803278688514</v>
      </c>
      <c r="I23" s="22">
        <f t="shared" si="5"/>
        <v>0.20948616600790504</v>
      </c>
      <c r="J23" s="22">
        <f t="shared" si="5"/>
        <v>0.16551724137931045</v>
      </c>
      <c r="K23" s="22">
        <f t="shared" si="5"/>
        <v>0.18214285714285716</v>
      </c>
      <c r="L23" s="22">
        <f t="shared" si="5"/>
        <v>0.13265306122448983</v>
      </c>
      <c r="M23" s="22">
        <f t="shared" si="5"/>
        <v>9.4771241830065467E-2</v>
      </c>
      <c r="N23" s="22">
        <f t="shared" si="5"/>
        <v>0.10946745562130178</v>
      </c>
      <c r="O23" s="22">
        <f t="shared" si="5"/>
        <v>0.1299093655589123</v>
      </c>
      <c r="P23" s="35">
        <f t="shared" si="5"/>
        <v>7.8363008014030955E-2</v>
      </c>
      <c r="Q23" s="35">
        <f t="shared" si="5"/>
        <v>0.10156751740694836</v>
      </c>
      <c r="R23" s="35">
        <f t="shared" si="5"/>
        <v>0.10433010688000022</v>
      </c>
      <c r="S23" s="35">
        <f t="shared" si="5"/>
        <v>7.1648169411764773E-2</v>
      </c>
      <c r="T23" s="35">
        <f t="shared" si="5"/>
        <v>0.11296131758501327</v>
      </c>
      <c r="U23" s="35">
        <f t="shared" si="5"/>
        <v>0.11296131758501349</v>
      </c>
      <c r="X23" s="22">
        <f>IFERROR(X21/W21-1,"")</f>
        <v>0.13813229571984431</v>
      </c>
      <c r="Y23" s="22">
        <f>IFERROR(Y21/X21-1,"")</f>
        <v>0.14273504273504267</v>
      </c>
      <c r="Z23" s="35">
        <f>IFERROR(Z21/Y21-1,"")</f>
        <v>0.10480179506357512</v>
      </c>
      <c r="AA23" s="35">
        <f>IFERROR(AA21/Z21-1,"")</f>
        <v>0.10030979202772983</v>
      </c>
    </row>
    <row r="24" spans="1:29" x14ac:dyDescent="0.3">
      <c r="A24" s="30" t="s">
        <v>405</v>
      </c>
      <c r="B24" s="38">
        <v>422</v>
      </c>
      <c r="C24" s="38">
        <v>450</v>
      </c>
      <c r="D24" s="38">
        <v>370</v>
      </c>
      <c r="E24" s="38">
        <v>391</v>
      </c>
      <c r="F24" s="38">
        <v>479</v>
      </c>
      <c r="G24" s="38">
        <v>527</v>
      </c>
      <c r="H24" s="38">
        <v>471</v>
      </c>
      <c r="I24" s="38">
        <v>501</v>
      </c>
      <c r="J24" s="38">
        <v>519</v>
      </c>
      <c r="K24" s="38">
        <v>639</v>
      </c>
      <c r="L24" s="38">
        <v>585</v>
      </c>
      <c r="M24" s="38">
        <v>633</v>
      </c>
      <c r="N24" s="38">
        <v>696</v>
      </c>
      <c r="O24" s="38">
        <v>808</v>
      </c>
      <c r="P24" s="39">
        <f>INDEX('Scenario Data'!$D$5:$I$345,MATCH('Income Statement'!$G$3&amp;"|sm_cash",'Scenario Data'!$A$5:$A$345,0),MATCH(P$4,'Scenario Data'!$D$4:$I$4,0))</f>
        <v>778.31581281572915</v>
      </c>
      <c r="Q24" s="39">
        <f>INDEX('Scenario Data'!$D$5:$I$345,MATCH('Income Statement'!$G$3&amp;"|sm_cash",'Scenario Data'!$A$5:$A$345,0),MATCH(Q$4,'Scenario Data'!$D$4:$I$4,0))</f>
        <v>758.10752959183674</v>
      </c>
      <c r="R24" s="39">
        <f>INDEX('Scenario Data'!$D$5:$I$345,MATCH('Income Statement'!$G$3&amp;"|sm_cash",'Scenario Data'!$A$5:$A$345,0),MATCH(R$4,'Scenario Data'!$D$4:$I$4,0))</f>
        <v>829.27178741135731</v>
      </c>
      <c r="S24" s="39">
        <f>INDEX('Scenario Data'!$D$5:$I$345,MATCH('Income Statement'!$G$3&amp;"|sm_cash",'Scenario Data'!$A$5:$A$345,0),MATCH(S$4,'Scenario Data'!$D$4:$I$4,0))</f>
        <v>935.13627091067963</v>
      </c>
      <c r="T24" s="39">
        <f>INDEX('Scenario Data'!$D$5:$I$345,MATCH('Income Statement'!$G$3&amp;"|sm_cash",'Scenario Data'!$A$5:$A$345,0),MATCH(T$4,'Scenario Data'!$D$4:$I$4,0))</f>
        <v>819.93080357318183</v>
      </c>
      <c r="U24" s="39">
        <f>INDEX('Scenario Data'!$D$5:$I$345,MATCH('Income Statement'!$G$3&amp;"|sm_cash",'Scenario Data'!$A$5:$A$345,0),MATCH(U$4,'Scenario Data'!$D$4:$I$4,0))</f>
        <v>875.28478187348117</v>
      </c>
      <c r="W24" s="38">
        <v>1633</v>
      </c>
      <c r="X24" s="38">
        <v>1978</v>
      </c>
      <c r="Y24" s="38">
        <v>2376</v>
      </c>
      <c r="Z24" s="40">
        <f>SUM(N24:O24,P24:Q24)</f>
        <v>3040.423342407566</v>
      </c>
      <c r="AA24" s="40">
        <f>SUM(R24:U24)</f>
        <v>3459.6236437687003</v>
      </c>
      <c r="AC24" s="46" t="s">
        <v>406</v>
      </c>
    </row>
    <row r="25" spans="1:29" x14ac:dyDescent="0.3">
      <c r="A25" s="7" t="s">
        <v>147</v>
      </c>
      <c r="B25" s="22">
        <f t="shared" ref="B25:U25" si="6">IFERROR(B24/B7,"")</f>
        <v>0.23212321232123212</v>
      </c>
      <c r="C25" s="22">
        <f t="shared" si="6"/>
        <v>0.18115942028985507</v>
      </c>
      <c r="D25" s="22">
        <f t="shared" si="6"/>
        <v>0.10891963497203415</v>
      </c>
      <c r="E25" s="22">
        <f t="shared" si="6"/>
        <v>0.1762849413886384</v>
      </c>
      <c r="F25" s="22">
        <f t="shared" si="6"/>
        <v>0.22362278244631187</v>
      </c>
      <c r="G25" s="22">
        <f t="shared" si="6"/>
        <v>0.19177583697234352</v>
      </c>
      <c r="H25" s="22">
        <f t="shared" si="6"/>
        <v>0.12620578778135047</v>
      </c>
      <c r="I25" s="22">
        <f t="shared" si="6"/>
        <v>0.20201612903225807</v>
      </c>
      <c r="J25" s="22">
        <f t="shared" si="6"/>
        <v>0.22843309859154928</v>
      </c>
      <c r="K25" s="22">
        <f t="shared" si="6"/>
        <v>0.20639534883720931</v>
      </c>
      <c r="L25" s="22">
        <f t="shared" si="6"/>
        <v>0.14285714285714285</v>
      </c>
      <c r="M25" s="22">
        <f t="shared" si="6"/>
        <v>0.22786177105831534</v>
      </c>
      <c r="N25" s="22">
        <f t="shared" si="6"/>
        <v>0.25989544436146378</v>
      </c>
      <c r="O25" s="22">
        <f t="shared" si="6"/>
        <v>0.22394678492239467</v>
      </c>
      <c r="P25" s="35">
        <f t="shared" si="6"/>
        <v>0.16201291868382928</v>
      </c>
      <c r="Q25" s="35">
        <f t="shared" si="6"/>
        <v>0.23854053332987529</v>
      </c>
      <c r="R25" s="35">
        <f t="shared" si="6"/>
        <v>0.27161371364499937</v>
      </c>
      <c r="S25" s="35">
        <f t="shared" si="6"/>
        <v>0.23210244489646714</v>
      </c>
      <c r="T25" s="35">
        <f t="shared" si="6"/>
        <v>0.15526838437152077</v>
      </c>
      <c r="U25" s="35">
        <f t="shared" si="6"/>
        <v>0.25255174807583736</v>
      </c>
      <c r="W25" s="22">
        <f>IFERROR(W24/W7,"")</f>
        <v>0.16466673389129777</v>
      </c>
      <c r="X25" s="22">
        <f>IFERROR(X24/X7,"")</f>
        <v>0.17816609619888307</v>
      </c>
      <c r="Y25" s="22">
        <f>IFERROR(Y24/Y7,"")</f>
        <v>0.19410178906952047</v>
      </c>
      <c r="Z25" s="35">
        <f>IFERROR(Z24/Z7,"")</f>
        <v>0.2130917301908207</v>
      </c>
      <c r="AA25" s="35">
        <f>IFERROR(AA24/AA7,"")</f>
        <v>0.21856779508113494</v>
      </c>
    </row>
    <row r="26" spans="1:29" x14ac:dyDescent="0.3">
      <c r="A26" s="7" t="s">
        <v>135</v>
      </c>
      <c r="F26" s="22">
        <f t="shared" ref="F26:U26" si="7">IFERROR(F24/B24-1,"")</f>
        <v>0.13507109004739326</v>
      </c>
      <c r="G26" s="22">
        <f t="shared" si="7"/>
        <v>0.17111111111111121</v>
      </c>
      <c r="H26" s="22">
        <f t="shared" si="7"/>
        <v>0.27297297297297307</v>
      </c>
      <c r="I26" s="22">
        <f t="shared" si="7"/>
        <v>0.28132992327365725</v>
      </c>
      <c r="J26" s="22">
        <f t="shared" si="7"/>
        <v>8.3507306889352817E-2</v>
      </c>
      <c r="K26" s="22">
        <f t="shared" si="7"/>
        <v>0.21252371916508528</v>
      </c>
      <c r="L26" s="22">
        <f t="shared" si="7"/>
        <v>0.2420382165605095</v>
      </c>
      <c r="M26" s="22">
        <f t="shared" si="7"/>
        <v>0.26347305389221565</v>
      </c>
      <c r="N26" s="22">
        <f t="shared" si="7"/>
        <v>0.34104046242774566</v>
      </c>
      <c r="O26" s="22">
        <f t="shared" si="7"/>
        <v>0.26447574334898283</v>
      </c>
      <c r="P26" s="35">
        <f t="shared" si="7"/>
        <v>0.33045438088158829</v>
      </c>
      <c r="Q26" s="35">
        <f t="shared" si="7"/>
        <v>0.19764222684334398</v>
      </c>
      <c r="R26" s="35">
        <f t="shared" si="7"/>
        <v>0.19148245317723744</v>
      </c>
      <c r="S26" s="35">
        <f t="shared" si="7"/>
        <v>0.15734686993895997</v>
      </c>
      <c r="T26" s="35">
        <f t="shared" si="7"/>
        <v>5.346800112784722E-2</v>
      </c>
      <c r="U26" s="35">
        <f t="shared" si="7"/>
        <v>0.15456547746562066</v>
      </c>
      <c r="X26" s="22">
        <f>IFERROR(X24/W24-1,"")</f>
        <v>0.21126760563380276</v>
      </c>
      <c r="Y26" s="22">
        <f>IFERROR(Y24/X24-1,"")</f>
        <v>0.20121334681496461</v>
      </c>
      <c r="Z26" s="35">
        <f>IFERROR(Z24/Y24-1,"")</f>
        <v>0.27963945387523825</v>
      </c>
      <c r="AA26" s="35">
        <f>IFERROR(AA24/Z24-1,"")</f>
        <v>0.13787563577550666</v>
      </c>
    </row>
    <row r="27" spans="1:29" x14ac:dyDescent="0.3">
      <c r="A27" s="7" t="s">
        <v>407</v>
      </c>
      <c r="P27" s="43">
        <f>INDEX('Scenario Data'!$D$5:$I$345,MATCH('Income Statement'!$G$3&amp;"|sm_marketing",'Scenario Data'!$A$5:$A$345,0),MATCH(P$4,'Scenario Data'!$D$4:$I$4,0))</f>
        <v>540.67059240756589</v>
      </c>
      <c r="Q27" s="43">
        <f>INDEX('Scenario Data'!$D$5:$I$345,MATCH('Income Statement'!$G$3&amp;"|sm_marketing",'Scenario Data'!$A$5:$A$345,0),MATCH(Q$4,'Scenario Data'!$D$4:$I$4,0))</f>
        <v>504.41874999999999</v>
      </c>
      <c r="R27" s="43">
        <f>INDEX('Scenario Data'!$D$5:$I$345,MATCH('Income Statement'!$G$3&amp;"|sm_marketing",'Scenario Data'!$A$5:$A$345,0),MATCH(R$4,'Scenario Data'!$D$4:$I$4,0))</f>
        <v>584.06976155135737</v>
      </c>
      <c r="S27" s="43">
        <f>INDEX('Scenario Data'!$D$5:$I$345,MATCH('Income Statement'!$G$3&amp;"|sm_marketing",'Scenario Data'!$A$5:$A$345,0),MATCH(S$4,'Scenario Data'!$D$4:$I$4,0))</f>
        <v>658.63185877067963</v>
      </c>
      <c r="T27" s="43">
        <f>INDEX('Scenario Data'!$D$5:$I$345,MATCH('Income Statement'!$G$3&amp;"|sm_marketing",'Scenario Data'!$A$5:$A$345,0),MATCH(T$4,'Scenario Data'!$D$4:$I$4,0))</f>
        <v>577.49075297318188</v>
      </c>
      <c r="U27" s="43">
        <f>INDEX('Scenario Data'!$D$5:$I$345,MATCH('Income Statement'!$G$3&amp;"|sm_marketing",'Scenario Data'!$A$5:$A$345,0),MATCH(U$4,'Scenario Data'!$D$4:$I$4,0))</f>
        <v>616.47747047348116</v>
      </c>
      <c r="AC27" s="46" t="s">
        <v>408</v>
      </c>
    </row>
    <row r="28" spans="1:29" x14ac:dyDescent="0.3">
      <c r="A28" s="7" t="s">
        <v>409</v>
      </c>
      <c r="P28" s="43">
        <f>INDEX('Scenario Data'!$D$5:$I$345,MATCH('Income Statement'!$G$3&amp;"|sm_field",'Scenario Data'!$A$5:$A$345,0),MATCH(P$4,'Scenario Data'!$D$4:$I$4,0))</f>
        <v>237.64522040816331</v>
      </c>
      <c r="Q28" s="43">
        <f>INDEX('Scenario Data'!$D$5:$I$345,MATCH('Income Statement'!$G$3&amp;"|sm_field",'Scenario Data'!$A$5:$A$345,0),MATCH(Q$4,'Scenario Data'!$D$4:$I$4,0))</f>
        <v>253.68877959183681</v>
      </c>
      <c r="R28" s="43">
        <f>INDEX('Scenario Data'!$D$5:$I$345,MATCH('Income Statement'!$G$3&amp;"|sm_field",'Scenario Data'!$A$5:$A$345,0),MATCH(R$4,'Scenario Data'!$D$4:$I$4,0))</f>
        <v>245.20202585999999</v>
      </c>
      <c r="S28" s="43">
        <f>INDEX('Scenario Data'!$D$5:$I$345,MATCH('Income Statement'!$G$3&amp;"|sm_field",'Scenario Data'!$A$5:$A$345,0),MATCH(S$4,'Scenario Data'!$D$4:$I$4,0))</f>
        <v>276.50441214</v>
      </c>
      <c r="T28" s="43">
        <f>INDEX('Scenario Data'!$D$5:$I$345,MATCH('Income Statement'!$G$3&amp;"|sm_field",'Scenario Data'!$A$5:$A$345,0),MATCH(T$4,'Scenario Data'!$D$4:$I$4,0))</f>
        <v>242.44005060000001</v>
      </c>
      <c r="U28" s="43">
        <f>INDEX('Scenario Data'!$D$5:$I$345,MATCH('Income Statement'!$G$3&amp;"|sm_field",'Scenario Data'!$A$5:$A$345,0),MATCH(U$4,'Scenario Data'!$D$4:$I$4,0))</f>
        <v>258.8073114</v>
      </c>
      <c r="AC28" s="46" t="s">
        <v>410</v>
      </c>
    </row>
    <row r="29" spans="1:29" x14ac:dyDescent="0.3">
      <c r="A29" s="30" t="s">
        <v>411</v>
      </c>
      <c r="B29" s="38">
        <v>191</v>
      </c>
      <c r="C29" s="38">
        <v>219</v>
      </c>
      <c r="D29" s="38">
        <v>202</v>
      </c>
      <c r="E29" s="38">
        <v>211</v>
      </c>
      <c r="F29" s="38">
        <v>223</v>
      </c>
      <c r="G29" s="38">
        <v>242</v>
      </c>
      <c r="H29" s="38">
        <v>210</v>
      </c>
      <c r="I29" s="38">
        <v>226</v>
      </c>
      <c r="J29" s="38">
        <v>235</v>
      </c>
      <c r="K29" s="38">
        <v>244</v>
      </c>
      <c r="L29" s="38">
        <v>257</v>
      </c>
      <c r="M29" s="38">
        <v>259</v>
      </c>
      <c r="N29" s="38">
        <v>226</v>
      </c>
      <c r="O29" s="38">
        <v>227</v>
      </c>
      <c r="P29" s="39">
        <f>INDEX('Scenario Data'!$D$5:$I$345,MATCH('Income Statement'!$G$3&amp;"|ga_cash",'Scenario Data'!$A$5:$A$345,0),MATCH(P$4,'Scenario Data'!$D$4:$I$4,0))</f>
        <v>265.38907060231361</v>
      </c>
      <c r="Q29" s="39">
        <f>INDEX('Scenario Data'!$D$5:$I$345,MATCH('Income Statement'!$G$3&amp;"|ga_cash",'Scenario Data'!$A$5:$A$345,0),MATCH(Q$4,'Scenario Data'!$D$4:$I$4,0))</f>
        <v>276.41092939768652</v>
      </c>
      <c r="R29" s="39">
        <f>INDEX('Scenario Data'!$D$5:$I$345,MATCH('Income Statement'!$G$3&amp;"|ga_cash",'Scenario Data'!$A$5:$A$345,0),MATCH(R$4,'Scenario Data'!$D$4:$I$4,0))</f>
        <v>249.22724400000001</v>
      </c>
      <c r="S29" s="39">
        <f>INDEX('Scenario Data'!$D$5:$I$345,MATCH('Income Statement'!$G$3&amp;"|ga_cash",'Scenario Data'!$A$5:$A$345,0),MATCH(S$4,'Scenario Data'!$D$4:$I$4,0))</f>
        <v>271.58040000000011</v>
      </c>
      <c r="T29" s="39">
        <f>INDEX('Scenario Data'!$D$5:$I$345,MATCH('Income Statement'!$G$3&amp;"|ga_cash",'Scenario Data'!$A$5:$A$345,0),MATCH(T$4,'Scenario Data'!$D$4:$I$4,0))</f>
        <v>256.53902399999998</v>
      </c>
      <c r="U29" s="39">
        <f>INDEX('Scenario Data'!$D$5:$I$345,MATCH('Income Statement'!$G$3&amp;"|ga_cash",'Scenario Data'!$A$5:$A$345,0),MATCH(U$4,'Scenario Data'!$D$4:$I$4,0))</f>
        <v>267.19333200000011</v>
      </c>
      <c r="W29" s="38">
        <v>823</v>
      </c>
      <c r="X29" s="38">
        <v>901</v>
      </c>
      <c r="Y29" s="38">
        <v>995</v>
      </c>
      <c r="Z29" s="40">
        <f>SUM(N29:O29,P29:Q29)</f>
        <v>994.80000000000018</v>
      </c>
      <c r="AA29" s="40">
        <f>SUM(R29:U29)</f>
        <v>1044.5400000000002</v>
      </c>
      <c r="AC29" s="46" t="s">
        <v>412</v>
      </c>
    </row>
    <row r="30" spans="1:29" x14ac:dyDescent="0.3">
      <c r="A30" s="7" t="s">
        <v>147</v>
      </c>
      <c r="B30" s="22">
        <f t="shared" ref="B30:U30" si="8">IFERROR(B29/B7,"")</f>
        <v>0.10506050605060506</v>
      </c>
      <c r="C30" s="22">
        <f t="shared" si="8"/>
        <v>8.8164251207729472E-2</v>
      </c>
      <c r="D30" s="22">
        <f t="shared" si="8"/>
        <v>5.9464233146894321E-2</v>
      </c>
      <c r="E30" s="22">
        <f t="shared" si="8"/>
        <v>9.513074842200181E-2</v>
      </c>
      <c r="F30" s="22">
        <f t="shared" si="8"/>
        <v>0.10410830999066294</v>
      </c>
      <c r="G30" s="22">
        <f t="shared" si="8"/>
        <v>8.8064046579330424E-2</v>
      </c>
      <c r="H30" s="22">
        <f t="shared" si="8"/>
        <v>5.6270096463022508E-2</v>
      </c>
      <c r="I30" s="22">
        <f t="shared" si="8"/>
        <v>9.1129032258064513E-2</v>
      </c>
      <c r="J30" s="22">
        <f t="shared" si="8"/>
        <v>0.1034330985915493</v>
      </c>
      <c r="K30" s="22">
        <f t="shared" si="8"/>
        <v>7.8811369509043924E-2</v>
      </c>
      <c r="L30" s="22">
        <f t="shared" si="8"/>
        <v>6.2759462759462759E-2</v>
      </c>
      <c r="M30" s="22">
        <f t="shared" si="8"/>
        <v>9.3232541396688268E-2</v>
      </c>
      <c r="N30" s="22">
        <f t="shared" si="8"/>
        <v>8.439133681852129E-2</v>
      </c>
      <c r="O30" s="22">
        <f t="shared" si="8"/>
        <v>6.2915742793791571E-2</v>
      </c>
      <c r="P30" s="35">
        <f t="shared" si="8"/>
        <v>5.5242945353404155E-2</v>
      </c>
      <c r="Q30" s="35">
        <f t="shared" si="8"/>
        <v>8.6973427835797923E-2</v>
      </c>
      <c r="R30" s="35">
        <f t="shared" si="8"/>
        <v>8.163009801124374E-2</v>
      </c>
      <c r="S30" s="35">
        <f t="shared" si="8"/>
        <v>6.7406726470543799E-2</v>
      </c>
      <c r="T30" s="35">
        <f t="shared" si="8"/>
        <v>4.858019678141242E-2</v>
      </c>
      <c r="U30" s="35">
        <f t="shared" si="8"/>
        <v>7.7095071762097178E-2</v>
      </c>
      <c r="W30" s="22">
        <f>IFERROR(W29/W7,"")</f>
        <v>8.298880709892105E-2</v>
      </c>
      <c r="X30" s="22">
        <f>IFERROR(X29/X7,"")</f>
        <v>8.1156548369663128E-2</v>
      </c>
      <c r="Y30" s="22">
        <f>IFERROR(Y29/Y7,"")</f>
        <v>8.1284208806470054E-2</v>
      </c>
      <c r="Z30" s="35">
        <f>IFERROR(Z29/Z7,"")</f>
        <v>6.9721755598011151E-2</v>
      </c>
      <c r="AA30" s="35">
        <f>IFERROR(AA29/AA7,"")</f>
        <v>6.599064759117837E-2</v>
      </c>
    </row>
    <row r="31" spans="1:29" x14ac:dyDescent="0.3">
      <c r="A31" s="7" t="s">
        <v>135</v>
      </c>
      <c r="F31" s="22">
        <f t="shared" ref="F31:U31" si="9">IFERROR(F29/B29-1,"")</f>
        <v>0.16753926701570676</v>
      </c>
      <c r="G31" s="22">
        <f t="shared" si="9"/>
        <v>0.10502283105022836</v>
      </c>
      <c r="H31" s="22">
        <f t="shared" si="9"/>
        <v>3.9603960396039639E-2</v>
      </c>
      <c r="I31" s="22">
        <f t="shared" si="9"/>
        <v>7.1090047393364886E-2</v>
      </c>
      <c r="J31" s="22">
        <f t="shared" si="9"/>
        <v>5.3811659192825045E-2</v>
      </c>
      <c r="K31" s="22">
        <f t="shared" si="9"/>
        <v>8.2644628099173278E-3</v>
      </c>
      <c r="L31" s="22">
        <f t="shared" si="9"/>
        <v>0.2238095238095239</v>
      </c>
      <c r="M31" s="22">
        <f t="shared" si="9"/>
        <v>0.14601769911504414</v>
      </c>
      <c r="N31" s="22">
        <f t="shared" si="9"/>
        <v>-3.8297872340425587E-2</v>
      </c>
      <c r="O31" s="22">
        <f t="shared" si="9"/>
        <v>-6.9672131147541005E-2</v>
      </c>
      <c r="P31" s="35">
        <f t="shared" si="9"/>
        <v>3.2642298063477071E-2</v>
      </c>
      <c r="Q31" s="35">
        <f t="shared" si="9"/>
        <v>6.7223665628133311E-2</v>
      </c>
      <c r="R31" s="35">
        <f t="shared" si="9"/>
        <v>0.10277541592920358</v>
      </c>
      <c r="S31" s="35">
        <f t="shared" si="9"/>
        <v>0.19638942731277576</v>
      </c>
      <c r="T31" s="35">
        <f t="shared" si="9"/>
        <v>-3.3347441860465454E-2</v>
      </c>
      <c r="U31" s="35">
        <f t="shared" si="9"/>
        <v>-3.3347441860464899E-2</v>
      </c>
      <c r="X31" s="22">
        <f>IFERROR(X29/W29-1,"")</f>
        <v>9.4775212636694972E-2</v>
      </c>
      <c r="Y31" s="22">
        <f>IFERROR(Y29/X29-1,"")</f>
        <v>0.10432852386237523</v>
      </c>
      <c r="Z31" s="35">
        <f>IFERROR(Z29/Y29-1,"")</f>
        <v>-2.0100502512543361E-4</v>
      </c>
      <c r="AA31" s="35">
        <f>IFERROR(AA29/Z29-1,"")</f>
        <v>5.0000000000000044E-2</v>
      </c>
    </row>
    <row r="32" spans="1:29" x14ac:dyDescent="0.3">
      <c r="A32" s="30" t="s">
        <v>146</v>
      </c>
      <c r="B32" s="45">
        <f t="shared" ref="B32:U32" si="10">B8+B15+B21+B24+B29</f>
        <v>1579</v>
      </c>
      <c r="C32" s="45">
        <f t="shared" si="10"/>
        <v>1659</v>
      </c>
      <c r="D32" s="45">
        <f t="shared" si="10"/>
        <v>1574</v>
      </c>
      <c r="E32" s="45">
        <f t="shared" si="10"/>
        <v>1493</v>
      </c>
      <c r="F32" s="45">
        <f t="shared" si="10"/>
        <v>1738</v>
      </c>
      <c r="G32" s="45">
        <f t="shared" si="10"/>
        <v>1869</v>
      </c>
      <c r="H32" s="45">
        <f t="shared" si="10"/>
        <v>1787</v>
      </c>
      <c r="I32" s="45">
        <f t="shared" si="10"/>
        <v>1725</v>
      </c>
      <c r="J32" s="45">
        <f t="shared" si="10"/>
        <v>1880</v>
      </c>
      <c r="K32" s="45">
        <f t="shared" si="10"/>
        <v>2067</v>
      </c>
      <c r="L32" s="45">
        <f t="shared" si="10"/>
        <v>2067</v>
      </c>
      <c r="M32" s="45">
        <f t="shared" si="10"/>
        <v>2017</v>
      </c>
      <c r="N32" s="45">
        <f t="shared" si="10"/>
        <v>2179</v>
      </c>
      <c r="O32" s="45">
        <f t="shared" si="10"/>
        <v>2365</v>
      </c>
      <c r="P32" s="40">
        <f t="shared" si="10"/>
        <v>2405.0269705999076</v>
      </c>
      <c r="Q32" s="40">
        <f t="shared" si="10"/>
        <v>2299.8701292746368</v>
      </c>
      <c r="R32" s="40">
        <f t="shared" si="10"/>
        <v>2517.7125008010617</v>
      </c>
      <c r="S32" s="40">
        <f t="shared" si="10"/>
        <v>2675.7808728477248</v>
      </c>
      <c r="T32" s="40">
        <f t="shared" si="10"/>
        <v>2557.3413142838926</v>
      </c>
      <c r="U32" s="40">
        <f t="shared" si="10"/>
        <v>2516.1035591752388</v>
      </c>
      <c r="W32" s="45">
        <f>W8+W15+W21+W24+W29</f>
        <v>6305</v>
      </c>
      <c r="X32" s="45">
        <f>X8+X15+X21+X24+X29</f>
        <v>7119</v>
      </c>
      <c r="Y32" s="45">
        <f>Y8+Y15+Y21+Y24+Y29</f>
        <v>8031</v>
      </c>
      <c r="Z32" s="40">
        <f>Z8+Z15+Z21+Z24+Z29</f>
        <v>9248.8970998745463</v>
      </c>
      <c r="AA32" s="40">
        <f>AA8+AA15+AA21+AA24+AA29</f>
        <v>10266.938247107917</v>
      </c>
    </row>
    <row r="33" spans="1:29" x14ac:dyDescent="0.3">
      <c r="A33" s="30" t="s">
        <v>147</v>
      </c>
      <c r="B33" s="47">
        <f t="shared" ref="B33:U33" si="11">IFERROR(B32/B7,"")</f>
        <v>0.86853685368536848</v>
      </c>
      <c r="C33" s="47">
        <f t="shared" si="11"/>
        <v>0.66787439613526567</v>
      </c>
      <c r="D33" s="47">
        <f t="shared" si="11"/>
        <v>0.46335001471886961</v>
      </c>
      <c r="E33" s="47">
        <f t="shared" si="11"/>
        <v>0.67312894499549147</v>
      </c>
      <c r="F33" s="47">
        <f t="shared" si="11"/>
        <v>0.81139122315592904</v>
      </c>
      <c r="G33" s="47">
        <f t="shared" si="11"/>
        <v>0.68013100436681218</v>
      </c>
      <c r="H33" s="47">
        <f t="shared" si="11"/>
        <v>0.47883172561629156</v>
      </c>
      <c r="I33" s="47">
        <f t="shared" si="11"/>
        <v>0.69556451612903225</v>
      </c>
      <c r="J33" s="47">
        <f t="shared" si="11"/>
        <v>0.82746478873239437</v>
      </c>
      <c r="K33" s="47">
        <f t="shared" si="11"/>
        <v>0.66763565891472865</v>
      </c>
      <c r="L33" s="47">
        <f t="shared" si="11"/>
        <v>0.50476190476190474</v>
      </c>
      <c r="M33" s="47">
        <f t="shared" si="11"/>
        <v>0.72606191504679629</v>
      </c>
      <c r="N33" s="47">
        <f t="shared" si="11"/>
        <v>0.81366691560866322</v>
      </c>
      <c r="O33" s="47">
        <f t="shared" si="11"/>
        <v>0.65548780487804881</v>
      </c>
      <c r="P33" s="48">
        <f t="shared" si="11"/>
        <v>0.50062639433033074</v>
      </c>
      <c r="Q33" s="48">
        <f t="shared" si="11"/>
        <v>0.72366020097702055</v>
      </c>
      <c r="R33" s="48">
        <f t="shared" si="11"/>
        <v>0.82463343455551052</v>
      </c>
      <c r="S33" s="48">
        <f t="shared" si="11"/>
        <v>0.66413345510633115</v>
      </c>
      <c r="T33" s="48">
        <f t="shared" si="11"/>
        <v>0.48427776151961732</v>
      </c>
      <c r="U33" s="48">
        <f t="shared" si="11"/>
        <v>0.72598811880336545</v>
      </c>
      <c r="W33" s="47">
        <f>IFERROR(W32/W7,"")</f>
        <v>0.63577694867399415</v>
      </c>
      <c r="X33" s="47">
        <f>IFERROR(X32/X7,"")</f>
        <v>0.64123581336696089</v>
      </c>
      <c r="Y33" s="47">
        <f>IFERROR(Y32/Y7,"")</f>
        <v>0.65607385017563924</v>
      </c>
      <c r="Z33" s="48">
        <f>IFERROR(Z32/Z7,"")</f>
        <v>0.64822008760414862</v>
      </c>
      <c r="AA33" s="48">
        <f>IFERROR(AA32/AA7,"")</f>
        <v>0.64863184148552389</v>
      </c>
    </row>
    <row r="34" spans="1:29" x14ac:dyDescent="0.3">
      <c r="A34" s="7" t="s">
        <v>135</v>
      </c>
      <c r="F34" s="22">
        <f t="shared" ref="F34:U34" si="12">IFERROR(F32/B32-1,"")</f>
        <v>0.10069664344521856</v>
      </c>
      <c r="G34" s="22">
        <f t="shared" si="12"/>
        <v>0.12658227848101267</v>
      </c>
      <c r="H34" s="22">
        <f t="shared" si="12"/>
        <v>0.13532401524777637</v>
      </c>
      <c r="I34" s="22">
        <f t="shared" si="12"/>
        <v>0.15539182853315481</v>
      </c>
      <c r="J34" s="22">
        <f t="shared" si="12"/>
        <v>8.1703107019562626E-2</v>
      </c>
      <c r="K34" s="22">
        <f t="shared" si="12"/>
        <v>0.10593900481540941</v>
      </c>
      <c r="L34" s="22">
        <f t="shared" si="12"/>
        <v>0.15668718522663672</v>
      </c>
      <c r="M34" s="22">
        <f t="shared" si="12"/>
        <v>0.16927536231884055</v>
      </c>
      <c r="N34" s="22">
        <f t="shared" si="12"/>
        <v>0.15904255319148941</v>
      </c>
      <c r="O34" s="22">
        <f t="shared" si="12"/>
        <v>0.14417029511369139</v>
      </c>
      <c r="P34" s="35">
        <f t="shared" si="12"/>
        <v>0.16353506076434821</v>
      </c>
      <c r="Q34" s="35">
        <f t="shared" si="12"/>
        <v>0.14024299914458949</v>
      </c>
      <c r="R34" s="35">
        <f t="shared" si="12"/>
        <v>0.15544401138185493</v>
      </c>
      <c r="S34" s="35">
        <f t="shared" si="12"/>
        <v>0.13140840289544387</v>
      </c>
      <c r="T34" s="35">
        <f t="shared" si="12"/>
        <v>6.3331657210476955E-2</v>
      </c>
      <c r="U34" s="35">
        <f t="shared" si="12"/>
        <v>9.4019843619952859E-2</v>
      </c>
      <c r="X34" s="22">
        <f>IFERROR(X32/W32-1,"")</f>
        <v>0.12910388580491672</v>
      </c>
      <c r="Y34" s="22">
        <f>IFERROR(Y32/X32-1,"")</f>
        <v>0.12810788032026976</v>
      </c>
      <c r="Z34" s="35">
        <f>IFERROR(Z32/Y32-1,"")</f>
        <v>0.15164949568852526</v>
      </c>
      <c r="AA34" s="35">
        <f>IFERROR(AA32/Z32-1,"")</f>
        <v>0.11007162651287139</v>
      </c>
    </row>
    <row r="35" spans="1:29" x14ac:dyDescent="0.3">
      <c r="A35" s="7" t="s">
        <v>413</v>
      </c>
      <c r="B35" s="42">
        <v>11</v>
      </c>
      <c r="C35" s="42">
        <v>9</v>
      </c>
      <c r="D35" s="42">
        <v>8</v>
      </c>
      <c r="E35" s="42">
        <v>16</v>
      </c>
      <c r="F35" s="42">
        <v>14</v>
      </c>
      <c r="G35" s="42">
        <v>14</v>
      </c>
      <c r="H35" s="42">
        <v>15</v>
      </c>
      <c r="I35" s="42">
        <v>22</v>
      </c>
      <c r="J35" s="42">
        <v>25</v>
      </c>
      <c r="K35" s="42">
        <v>21</v>
      </c>
      <c r="L35" s="42">
        <v>22</v>
      </c>
      <c r="M35" s="42">
        <v>23</v>
      </c>
      <c r="N35" s="42">
        <v>22</v>
      </c>
      <c r="O35" s="42">
        <v>17</v>
      </c>
      <c r="P35" s="43">
        <f>INDEX('Scenario Data'!$D$5:$I$345,MATCH('Income Statement'!$G$3&amp;"|da",'Scenario Data'!$A$5:$A$345,0),MATCH(P$4,'Scenario Data'!$D$4:$I$4,0))</f>
        <v>20.633970599907521</v>
      </c>
      <c r="Q35" s="43">
        <f>INDEX('Scenario Data'!$D$5:$I$345,MATCH('Income Statement'!$G$3&amp;"|da",'Scenario Data'!$A$5:$A$345,0),MATCH(Q$4,'Scenario Data'!$D$4:$I$4,0))</f>
        <v>20.633970599907521</v>
      </c>
      <c r="R35" s="43">
        <f>INDEX('Scenario Data'!$D$5:$I$345,MATCH('Income Statement'!$G$3&amp;"|da",'Scenario Data'!$A$5:$A$345,0),MATCH(R$4,'Scenario Data'!$D$4:$I$4,0))</f>
        <v>20.633970599907521</v>
      </c>
      <c r="S35" s="43">
        <f>INDEX('Scenario Data'!$D$5:$I$345,MATCH('Income Statement'!$G$3&amp;"|da",'Scenario Data'!$A$5:$A$345,0),MATCH(S$4,'Scenario Data'!$D$4:$I$4,0))</f>
        <v>20.633970599907521</v>
      </c>
      <c r="T35" s="43">
        <f>INDEX('Scenario Data'!$D$5:$I$345,MATCH('Income Statement'!$G$3&amp;"|da",'Scenario Data'!$A$5:$A$345,0),MATCH(T$4,'Scenario Data'!$D$4:$I$4,0))</f>
        <v>20.633970599907521</v>
      </c>
      <c r="U35" s="43">
        <f>INDEX('Scenario Data'!$D$5:$I$345,MATCH('Income Statement'!$G$3&amp;"|da",'Scenario Data'!$A$5:$A$345,0),MATCH(U$4,'Scenario Data'!$D$4:$I$4,0))</f>
        <v>20.633970599907521</v>
      </c>
      <c r="W35" s="42">
        <v>44</v>
      </c>
      <c r="X35" s="42">
        <v>65</v>
      </c>
      <c r="Y35" s="42">
        <v>91</v>
      </c>
      <c r="Z35" s="44">
        <f>SUM(N35:O35,P35:Q35)</f>
        <v>80.267941199815041</v>
      </c>
      <c r="AA35" s="44">
        <f>SUM(R35:U35)</f>
        <v>82.535882399630083</v>
      </c>
    </row>
    <row r="36" spans="1:29" x14ac:dyDescent="0.3">
      <c r="A36" s="7" t="s">
        <v>414</v>
      </c>
      <c r="B36" s="42">
        <v>12</v>
      </c>
      <c r="C36" s="42">
        <v>-15</v>
      </c>
      <c r="D36" s="42">
        <v>3</v>
      </c>
      <c r="E36" s="42">
        <v>-3</v>
      </c>
      <c r="F36" s="42">
        <v>6</v>
      </c>
      <c r="G36" s="42">
        <v>1</v>
      </c>
      <c r="H36" s="42">
        <v>-2</v>
      </c>
      <c r="I36" s="42">
        <v>-12</v>
      </c>
      <c r="J36" s="42">
        <v>0</v>
      </c>
      <c r="K36" s="42">
        <v>-7</v>
      </c>
      <c r="L36" s="42">
        <v>1</v>
      </c>
      <c r="M36" s="42">
        <v>2</v>
      </c>
      <c r="N36" s="42">
        <v>-2</v>
      </c>
      <c r="O36" s="42">
        <v>1</v>
      </c>
      <c r="W36" s="42">
        <v>-3</v>
      </c>
      <c r="X36" s="42">
        <v>-7</v>
      </c>
      <c r="Y36" s="42">
        <v>-4</v>
      </c>
      <c r="Z36" s="44">
        <f>SUM(N36:O36,P36:Q36)</f>
        <v>-1</v>
      </c>
      <c r="AA36" s="44">
        <f>SUM(R36:U36)</f>
        <v>0</v>
      </c>
      <c r="AC36" s="46" t="s">
        <v>415</v>
      </c>
    </row>
    <row r="37" spans="1:29" x14ac:dyDescent="0.3">
      <c r="A37" s="30" t="s">
        <v>151</v>
      </c>
      <c r="B37" s="45">
        <f t="shared" ref="B37:O37" si="13">B7-B32+B35+B36</f>
        <v>262</v>
      </c>
      <c r="C37" s="45">
        <f t="shared" si="13"/>
        <v>819</v>
      </c>
      <c r="D37" s="45">
        <f t="shared" si="13"/>
        <v>1834</v>
      </c>
      <c r="E37" s="45">
        <f t="shared" si="13"/>
        <v>738</v>
      </c>
      <c r="F37" s="45">
        <f t="shared" si="13"/>
        <v>424</v>
      </c>
      <c r="G37" s="45">
        <f t="shared" si="13"/>
        <v>894</v>
      </c>
      <c r="H37" s="45">
        <f t="shared" si="13"/>
        <v>1958</v>
      </c>
      <c r="I37" s="45">
        <f t="shared" si="13"/>
        <v>765</v>
      </c>
      <c r="J37" s="45">
        <f t="shared" si="13"/>
        <v>417</v>
      </c>
      <c r="K37" s="45">
        <f t="shared" si="13"/>
        <v>1043</v>
      </c>
      <c r="L37" s="45">
        <f t="shared" si="13"/>
        <v>2051</v>
      </c>
      <c r="M37" s="45">
        <f t="shared" si="13"/>
        <v>786</v>
      </c>
      <c r="N37" s="45">
        <f t="shared" si="13"/>
        <v>519</v>
      </c>
      <c r="O37" s="45">
        <f t="shared" si="13"/>
        <v>1261</v>
      </c>
      <c r="P37" s="40">
        <f t="shared" ref="P37:U37" si="14">P7-P32+P35</f>
        <v>2419.6424999999999</v>
      </c>
      <c r="Q37" s="40">
        <f t="shared" si="14"/>
        <v>898.87164132527096</v>
      </c>
      <c r="R37" s="40">
        <f t="shared" si="14"/>
        <v>556.05076979884598</v>
      </c>
      <c r="S37" s="40">
        <f t="shared" si="14"/>
        <v>1373.8337977521828</v>
      </c>
      <c r="T37" s="40">
        <f t="shared" si="14"/>
        <v>2744.025156316015</v>
      </c>
      <c r="U37" s="40">
        <f t="shared" si="14"/>
        <v>970.2945114246686</v>
      </c>
      <c r="W37" s="45">
        <f>W7-W32+W35+IF(ISNUMBER(W36),W36,0)</f>
        <v>3653</v>
      </c>
      <c r="X37" s="45">
        <f>X7-X32+X35+IF(ISNUMBER(X36),X36,0)</f>
        <v>4041</v>
      </c>
      <c r="Y37" s="45">
        <f>Y7-Y32+Y35+IF(ISNUMBER(Y36),Y36,0)</f>
        <v>4297</v>
      </c>
      <c r="Z37" s="40">
        <f>Z7-Z32+Z35+IF(ISNUMBER(Z36),Z36,0)</f>
        <v>5098.5141413252686</v>
      </c>
      <c r="AA37" s="40">
        <f>AA7-AA32+AA35+IF(ISNUMBER(AA36),AA36,0)</f>
        <v>5644.2042352917142</v>
      </c>
    </row>
    <row r="38" spans="1:29" x14ac:dyDescent="0.3">
      <c r="A38" s="30" t="s">
        <v>416</v>
      </c>
      <c r="B38" s="85">
        <f t="shared" ref="B38:U38" si="15">IFERROR(B37/B7,"")</f>
        <v>0.14411441144114412</v>
      </c>
      <c r="C38" s="85">
        <f t="shared" si="15"/>
        <v>0.32971014492753625</v>
      </c>
      <c r="D38" s="85">
        <f t="shared" si="15"/>
        <v>0.53988813659110979</v>
      </c>
      <c r="E38" s="85">
        <f t="shared" si="15"/>
        <v>0.33273219116321012</v>
      </c>
      <c r="F38" s="85">
        <f t="shared" si="15"/>
        <v>0.19794584500466852</v>
      </c>
      <c r="G38" s="85">
        <f t="shared" si="15"/>
        <v>0.32532751091703055</v>
      </c>
      <c r="H38" s="85">
        <f t="shared" si="15"/>
        <v>0.52465166130760987</v>
      </c>
      <c r="I38" s="85">
        <f t="shared" si="15"/>
        <v>0.30846774193548387</v>
      </c>
      <c r="J38" s="85">
        <f t="shared" si="15"/>
        <v>0.18353873239436619</v>
      </c>
      <c r="K38" s="85">
        <f t="shared" si="15"/>
        <v>0.33688630490956073</v>
      </c>
      <c r="L38" s="85">
        <f t="shared" si="15"/>
        <v>0.50085470085470085</v>
      </c>
      <c r="M38" s="85">
        <f t="shared" si="15"/>
        <v>0.28293736501079914</v>
      </c>
      <c r="N38" s="85">
        <f t="shared" si="15"/>
        <v>0.19380134428678117</v>
      </c>
      <c r="O38" s="85">
        <f t="shared" si="15"/>
        <v>0.3495011086474501</v>
      </c>
      <c r="P38" s="85">
        <f t="shared" si="15"/>
        <v>0.50366873850120386</v>
      </c>
      <c r="Q38" s="85">
        <f t="shared" si="15"/>
        <v>0.28283233228440863</v>
      </c>
      <c r="R38" s="85">
        <f t="shared" si="15"/>
        <v>0.18212486768865177</v>
      </c>
      <c r="S38" s="85">
        <f t="shared" si="15"/>
        <v>0.34098793219639467</v>
      </c>
      <c r="T38" s="85">
        <f t="shared" si="15"/>
        <v>0.51962964537893463</v>
      </c>
      <c r="U38" s="85">
        <f t="shared" si="15"/>
        <v>0.2799655381693949</v>
      </c>
      <c r="W38" s="85">
        <f>IFERROR(W37/W7,"")</f>
        <v>0.36835736613895331</v>
      </c>
      <c r="X38" s="85">
        <f>IFERROR(X37/X7,"")</f>
        <v>0.3639884705458476</v>
      </c>
      <c r="Y38" s="85">
        <f>IFERROR(Y37/Y7,"")</f>
        <v>0.3510334123029164</v>
      </c>
      <c r="Z38" s="85">
        <f>IFERROR(Z37/Z7,"")</f>
        <v>0.35733550148219134</v>
      </c>
      <c r="AA38" s="85">
        <f>IFERROR(AA37/AA7,"")</f>
        <v>0.35658250772949995</v>
      </c>
    </row>
    <row r="39" spans="1:29" x14ac:dyDescent="0.3">
      <c r="A39" s="7" t="s">
        <v>417</v>
      </c>
      <c r="F39" s="22">
        <f t="shared" ref="F39:U39" si="16">IFERROR(F37/B37-1,"")</f>
        <v>0.61832061068702293</v>
      </c>
      <c r="G39" s="22">
        <f t="shared" si="16"/>
        <v>9.1575091575091472E-2</v>
      </c>
      <c r="H39" s="22">
        <f t="shared" si="16"/>
        <v>6.7611777535441675E-2</v>
      </c>
      <c r="I39" s="22">
        <f t="shared" si="16"/>
        <v>3.6585365853658569E-2</v>
      </c>
      <c r="J39" s="22">
        <f t="shared" si="16"/>
        <v>-1.650943396226412E-2</v>
      </c>
      <c r="K39" s="22">
        <f t="shared" si="16"/>
        <v>0.16666666666666674</v>
      </c>
      <c r="L39" s="22">
        <f t="shared" si="16"/>
        <v>4.7497446373850893E-2</v>
      </c>
      <c r="M39" s="22">
        <f t="shared" si="16"/>
        <v>2.7450980392156765E-2</v>
      </c>
      <c r="N39" s="22">
        <f t="shared" si="16"/>
        <v>0.24460431654676262</v>
      </c>
      <c r="O39" s="22">
        <f t="shared" si="16"/>
        <v>0.20901246404602114</v>
      </c>
      <c r="P39" s="35">
        <f t="shared" si="16"/>
        <v>0.17973793271574845</v>
      </c>
      <c r="Q39" s="35">
        <f t="shared" si="16"/>
        <v>0.1436025971059427</v>
      </c>
      <c r="R39" s="35">
        <f t="shared" si="16"/>
        <v>7.1388766471764953E-2</v>
      </c>
      <c r="S39" s="35">
        <f t="shared" si="16"/>
        <v>8.9479617567155278E-2</v>
      </c>
      <c r="T39" s="35">
        <f t="shared" si="16"/>
        <v>0.13406222461211326</v>
      </c>
      <c r="U39" s="35">
        <f t="shared" si="16"/>
        <v>7.9458364037487961E-2</v>
      </c>
      <c r="X39" s="22">
        <f>IFERROR(X37/W37-1,"")</f>
        <v>0.10621407062688193</v>
      </c>
      <c r="Y39" s="22">
        <f>IFERROR(Y37/X37-1,"")</f>
        <v>6.3350655778272813E-2</v>
      </c>
      <c r="Z39" s="35">
        <f>IFERROR(Z37/Y37-1,"")</f>
        <v>0.18652877387136813</v>
      </c>
      <c r="AA39" s="35">
        <f>IFERROR(AA37/Z37-1,"")</f>
        <v>0.10702924005710468</v>
      </c>
    </row>
    <row r="40" spans="1:29" x14ac:dyDescent="0.3">
      <c r="A40" s="7" t="s">
        <v>418</v>
      </c>
      <c r="F40" s="22">
        <f t="shared" ref="F40:U40" si="17">IFERROR((F37-B37)/(F7-B7),"")</f>
        <v>0.5</v>
      </c>
      <c r="G40" s="22">
        <f t="shared" si="17"/>
        <v>0.28409090909090912</v>
      </c>
      <c r="H40" s="22">
        <f t="shared" si="17"/>
        <v>0.37014925373134328</v>
      </c>
      <c r="I40" s="22">
        <f t="shared" si="17"/>
        <v>0.10305343511450382</v>
      </c>
      <c r="J40" s="22">
        <f t="shared" si="17"/>
        <v>-5.3846153846153849E-2</v>
      </c>
      <c r="K40" s="22">
        <f t="shared" si="17"/>
        <v>0.42816091954022989</v>
      </c>
      <c r="L40" s="22">
        <f t="shared" si="17"/>
        <v>0.256198347107438</v>
      </c>
      <c r="M40" s="22">
        <f t="shared" si="17"/>
        <v>7.0469798657718116E-2</v>
      </c>
      <c r="N40" s="22">
        <f t="shared" si="17"/>
        <v>0.25123152709359609</v>
      </c>
      <c r="O40" s="22">
        <f t="shared" si="17"/>
        <v>0.42578125</v>
      </c>
      <c r="P40" s="35">
        <f t="shared" si="17"/>
        <v>0.51992107588407066</v>
      </c>
      <c r="Q40" s="35">
        <f t="shared" si="17"/>
        <v>0.28210307653405131</v>
      </c>
      <c r="R40" s="35">
        <f t="shared" si="17"/>
        <v>9.8767997591353088E-2</v>
      </c>
      <c r="S40" s="35">
        <f t="shared" si="17"/>
        <v>0.26802605856321393</v>
      </c>
      <c r="T40" s="35">
        <f t="shared" si="17"/>
        <v>0.68047975195148069</v>
      </c>
      <c r="U40" s="35">
        <f t="shared" si="17"/>
        <v>0.24829238956142358</v>
      </c>
      <c r="X40" s="22">
        <f>IFERROR((X37-W37)/(X7-W7),"")</f>
        <v>0.32742616033755273</v>
      </c>
      <c r="Y40" s="22">
        <f>IFERROR((Y37-X37)/(Y7-X7),"")</f>
        <v>0.2247585601404741</v>
      </c>
      <c r="Z40" s="35">
        <f>IFERROR((Z37-Y37)/(Z7-Y7),"")</f>
        <v>0.3953909629009793</v>
      </c>
      <c r="AA40" s="35">
        <f>IFERROR((AA37-Z37)/(AA7-Z7),"")</f>
        <v>0.34969748661595895</v>
      </c>
      <c r="AC40" s="46" t="s">
        <v>419</v>
      </c>
    </row>
    <row r="41" spans="1:29" x14ac:dyDescent="0.3">
      <c r="A41" s="7" t="s">
        <v>420</v>
      </c>
      <c r="B41" s="42">
        <v>240</v>
      </c>
      <c r="C41" s="42">
        <v>304</v>
      </c>
      <c r="D41" s="42">
        <v>286</v>
      </c>
      <c r="E41" s="42">
        <v>290</v>
      </c>
      <c r="F41" s="42">
        <v>295</v>
      </c>
      <c r="G41" s="42">
        <v>382</v>
      </c>
      <c r="H41" s="42">
        <v>362</v>
      </c>
      <c r="I41" s="42">
        <v>368</v>
      </c>
      <c r="J41" s="42">
        <v>358</v>
      </c>
      <c r="K41" s="42">
        <v>424</v>
      </c>
      <c r="L41" s="42">
        <v>399</v>
      </c>
      <c r="M41" s="42">
        <v>411</v>
      </c>
      <c r="N41" s="42">
        <v>410</v>
      </c>
      <c r="O41" s="42">
        <v>487</v>
      </c>
      <c r="P41" s="43">
        <f>INDEX('Scenario Data'!$D$5:$I$345,MATCH('Income Statement'!$G$3&amp;"|sbc",'Scenario Data'!$A$5:$A$345,0),MATCH(P$4,'Scenario Data'!$D$4:$I$4,0))</f>
        <v>451.57918566107082</v>
      </c>
      <c r="Q41" s="43">
        <f>INDEX('Scenario Data'!$D$5:$I$345,MATCH('Income Statement'!$G$3&amp;"|sbc",'Scenario Data'!$A$5:$A$345,0),MATCH(Q$4,'Scenario Data'!$D$4:$I$4,0))</f>
        <v>465.16051455313311</v>
      </c>
      <c r="R41" s="43">
        <f>INDEX('Scenario Data'!$D$5:$I$345,MATCH('Income Statement'!$G$3&amp;"|sbc",'Scenario Data'!$A$5:$A$345,0),MATCH(R$4,'Scenario Data'!$D$4:$I$4,0))</f>
        <v>464.02873714546132</v>
      </c>
      <c r="S41" s="43">
        <f>INDEX('Scenario Data'!$D$5:$I$345,MATCH('Income Statement'!$G$3&amp;"|sbc",'Scenario Data'!$A$5:$A$345,0),MATCH(S$4,'Scenario Data'!$D$4:$I$4,0))</f>
        <v>551.17559753619423</v>
      </c>
      <c r="T41" s="43">
        <f>INDEX('Scenario Data'!$D$5:$I$345,MATCH('Income Statement'!$G$3&amp;"|sbc",'Scenario Data'!$A$5:$A$345,0),MATCH(T$4,'Scenario Data'!$D$4:$I$4,0))</f>
        <v>511.0871201060549</v>
      </c>
      <c r="U41" s="43">
        <f>INDEX('Scenario Data'!$D$5:$I$345,MATCH('Income Statement'!$G$3&amp;"|sbc",'Scenario Data'!$A$5:$A$345,0),MATCH(U$4,'Scenario Data'!$D$4:$I$4,0))</f>
        <v>526.45816131225195</v>
      </c>
      <c r="W41" s="42">
        <v>1120</v>
      </c>
      <c r="X41" s="42">
        <v>1407</v>
      </c>
      <c r="Y41" s="42">
        <v>1592</v>
      </c>
      <c r="Z41" s="44">
        <f>SUM(N41:O41,P41:Q41)</f>
        <v>1813.7397002142038</v>
      </c>
      <c r="AA41" s="44">
        <f>SUM(R41:U41)</f>
        <v>2052.7496160999626</v>
      </c>
      <c r="AC41" s="46" t="s">
        <v>421</v>
      </c>
    </row>
    <row r="42" spans="1:29" x14ac:dyDescent="0.3">
      <c r="A42" s="7" t="s">
        <v>154</v>
      </c>
      <c r="B42" s="22">
        <f t="shared" ref="B42:U42" si="18">IFERROR(B41/B7,"")</f>
        <v>0.132013201320132</v>
      </c>
      <c r="C42" s="22">
        <f t="shared" si="18"/>
        <v>0.12238325281803543</v>
      </c>
      <c r="D42" s="22">
        <f t="shared" si="18"/>
        <v>8.4191934059464235E-2</v>
      </c>
      <c r="E42" s="22">
        <f t="shared" si="18"/>
        <v>0.13074842200180342</v>
      </c>
      <c r="F42" s="22">
        <f t="shared" si="18"/>
        <v>0.1377217553688142</v>
      </c>
      <c r="G42" s="22">
        <f t="shared" si="18"/>
        <v>0.13901018922852984</v>
      </c>
      <c r="H42" s="22">
        <f t="shared" si="18"/>
        <v>9.6998928188638797E-2</v>
      </c>
      <c r="I42" s="22">
        <f t="shared" si="18"/>
        <v>0.14838709677419354</v>
      </c>
      <c r="J42" s="22">
        <f t="shared" si="18"/>
        <v>0.15757042253521128</v>
      </c>
      <c r="K42" s="22">
        <f t="shared" si="18"/>
        <v>0.13695090439276486</v>
      </c>
      <c r="L42" s="22">
        <f t="shared" si="18"/>
        <v>9.7435897435897437E-2</v>
      </c>
      <c r="M42" s="22">
        <f t="shared" si="18"/>
        <v>0.14794816414686826</v>
      </c>
      <c r="N42" s="22">
        <f t="shared" si="18"/>
        <v>0.1530993278566094</v>
      </c>
      <c r="O42" s="22">
        <f t="shared" si="18"/>
        <v>0.13497782705099778</v>
      </c>
      <c r="P42" s="35">
        <f t="shared" si="18"/>
        <v>9.3999968497541456E-2</v>
      </c>
      <c r="Q42" s="35">
        <f t="shared" si="18"/>
        <v>0.14636398254116273</v>
      </c>
      <c r="R42" s="35">
        <f t="shared" si="18"/>
        <v>0.15198463332210049</v>
      </c>
      <c r="S42" s="35">
        <f t="shared" si="18"/>
        <v>0.13680273959520189</v>
      </c>
      <c r="T42" s="35">
        <f t="shared" si="18"/>
        <v>9.6783376189961315E-2</v>
      </c>
      <c r="U42" s="35">
        <f t="shared" si="18"/>
        <v>0.15190247983475041</v>
      </c>
      <c r="W42" s="22">
        <f>IFERROR(W41/W7,"")</f>
        <v>0.11293738025612585</v>
      </c>
      <c r="X42" s="22">
        <f>IFERROR(X41/X7,"")</f>
        <v>0.12673392181588902</v>
      </c>
      <c r="Y42" s="22">
        <f>IFERROR(Y41/Y7,"")</f>
        <v>0.13005473409035209</v>
      </c>
      <c r="Z42" s="35">
        <f>IFERROR(Z41/Z7,"")</f>
        <v>0.12711813037469311</v>
      </c>
      <c r="AA42" s="35">
        <f>IFERROR(AA41/AA7,"")</f>
        <v>0.12968605942230962</v>
      </c>
    </row>
    <row r="44" spans="1:29" x14ac:dyDescent="0.3">
      <c r="A44" s="3" t="s">
        <v>422</v>
      </c>
      <c r="B44" s="56" t="s">
        <v>423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9" ht="18" customHeight="1" x14ac:dyDescent="0.3">
      <c r="A45" s="17" t="s">
        <v>424</v>
      </c>
      <c r="B45" s="18" t="s">
        <v>99</v>
      </c>
      <c r="C45" s="18" t="s">
        <v>100</v>
      </c>
      <c r="D45" s="18" t="s">
        <v>108</v>
      </c>
      <c r="E45" s="18" t="s">
        <v>109</v>
      </c>
      <c r="F45" s="18" t="s">
        <v>425</v>
      </c>
    </row>
    <row r="46" spans="1:29" x14ac:dyDescent="0.3">
      <c r="A46" s="7" t="s">
        <v>426</v>
      </c>
      <c r="B46" s="19">
        <v>2361.5217899999998</v>
      </c>
      <c r="C46" s="19">
        <v>913.68388000000004</v>
      </c>
      <c r="D46" s="19">
        <v>5053.7221399999999</v>
      </c>
      <c r="E46" s="19">
        <v>5766.0991700000004</v>
      </c>
      <c r="F46" s="19">
        <v>6602.7173499999999</v>
      </c>
    </row>
    <row r="47" spans="1:29" x14ac:dyDescent="0.3">
      <c r="A47" s="7" t="s">
        <v>427</v>
      </c>
      <c r="B47" s="20">
        <v>2419.6424999999999</v>
      </c>
      <c r="C47" s="20">
        <v>898.87164132527096</v>
      </c>
      <c r="D47" s="20">
        <v>5098.5141413252713</v>
      </c>
      <c r="E47" s="20">
        <v>5644.2042352917124</v>
      </c>
      <c r="F47" s="20">
        <v>6110.9116878463456</v>
      </c>
    </row>
    <row r="48" spans="1:29" x14ac:dyDescent="0.3">
      <c r="A48" s="7" t="s">
        <v>428</v>
      </c>
      <c r="B48" s="42">
        <v>2399.1324023884422</v>
      </c>
      <c r="C48" s="42">
        <v>918.39169929708601</v>
      </c>
      <c r="D48" s="42">
        <v>5097.5241016855289</v>
      </c>
      <c r="E48" s="42">
        <v>5483.329804795625</v>
      </c>
      <c r="F48" s="42">
        <v>5936.7348493930631</v>
      </c>
    </row>
    <row r="49" spans="1:28" x14ac:dyDescent="0.3">
      <c r="A49" s="7" t="s">
        <v>429</v>
      </c>
      <c r="B49" s="21">
        <v>2289.815228356711</v>
      </c>
      <c r="C49" s="21">
        <v>699.60783868535009</v>
      </c>
      <c r="D49" s="21">
        <v>4769.4230670420611</v>
      </c>
      <c r="E49" s="21">
        <v>4761.4353900764636</v>
      </c>
    </row>
    <row r="50" spans="1:28" x14ac:dyDescent="0.3">
      <c r="A50" s="7" t="s">
        <v>430</v>
      </c>
      <c r="B50" s="23">
        <v>0.49775747309501822</v>
      </c>
      <c r="C50" s="23">
        <v>0.2889743748456326</v>
      </c>
      <c r="D50" s="23">
        <v>0.35615785060746491</v>
      </c>
      <c r="E50" s="23">
        <v>0.36449684038762681</v>
      </c>
      <c r="F50" s="23">
        <v>0.37654299194674989</v>
      </c>
    </row>
    <row r="51" spans="1:28" x14ac:dyDescent="0.3">
      <c r="A51" s="7" t="s">
        <v>431</v>
      </c>
      <c r="B51" s="24">
        <v>0.50366873850120397</v>
      </c>
      <c r="C51" s="24">
        <v>0.28283233228440863</v>
      </c>
      <c r="D51" s="24">
        <v>0.35733550148219162</v>
      </c>
      <c r="E51" s="24">
        <v>0.35658250772949979</v>
      </c>
      <c r="F51" s="24">
        <v>0.35658250772949979</v>
      </c>
    </row>
    <row r="52" spans="1:28" x14ac:dyDescent="0.3">
      <c r="A52" s="7" t="s">
        <v>432</v>
      </c>
      <c r="B52" s="59">
        <v>0.4993993908638773</v>
      </c>
      <c r="C52" s="59">
        <v>0.28897436999999998</v>
      </c>
      <c r="D52" s="59">
        <v>0.3572661108582304</v>
      </c>
      <c r="E52" s="59">
        <v>0.34641898107150682</v>
      </c>
      <c r="F52" s="59">
        <v>0.34641898107150682</v>
      </c>
    </row>
    <row r="53" spans="1:28" x14ac:dyDescent="0.3">
      <c r="A53" s="7" t="s">
        <v>433</v>
      </c>
      <c r="B53" s="25">
        <v>0.48918268495491118</v>
      </c>
      <c r="C53" s="25">
        <v>0.23588639640924999</v>
      </c>
      <c r="D53" s="25">
        <v>0.34231698816587403</v>
      </c>
      <c r="E53" s="25">
        <v>0.31926990384342258</v>
      </c>
    </row>
    <row r="54" spans="1:28" x14ac:dyDescent="0.3">
      <c r="A54" s="7" t="s">
        <v>434</v>
      </c>
      <c r="B54" s="27">
        <v>2.8453900000000001</v>
      </c>
      <c r="C54" s="27">
        <v>0.86153999999999997</v>
      </c>
      <c r="D54" s="27">
        <v>5.3125900000000001</v>
      </c>
      <c r="E54" s="27">
        <v>6.2275299999999998</v>
      </c>
      <c r="F54" s="27">
        <v>7.5197700000000003</v>
      </c>
    </row>
    <row r="55" spans="1:28" x14ac:dyDescent="0.3">
      <c r="A55" s="7" t="s">
        <v>435</v>
      </c>
      <c r="B55" s="28">
        <v>2.9071598815524831</v>
      </c>
      <c r="C55" s="28">
        <v>0.76255190434528963</v>
      </c>
      <c r="D55" s="28">
        <v>5.2760109836776561</v>
      </c>
      <c r="E55" s="28">
        <v>5.933136286313955</v>
      </c>
      <c r="F55" s="28">
        <v>6.4237349263367562</v>
      </c>
    </row>
    <row r="56" spans="1:28" x14ac:dyDescent="0.3">
      <c r="A56" s="7" t="s">
        <v>436</v>
      </c>
      <c r="D56" s="55">
        <v>5.2808868667783004</v>
      </c>
      <c r="E56" s="55">
        <v>5.7301115383632144</v>
      </c>
      <c r="F56" s="55">
        <v>6.2685428333087394</v>
      </c>
    </row>
    <row r="57" spans="1:28" x14ac:dyDescent="0.3">
      <c r="A57" s="7" t="s">
        <v>437</v>
      </c>
      <c r="B57" s="29">
        <v>2.7144969286287441</v>
      </c>
      <c r="C57" s="29">
        <v>0.4708435412086483</v>
      </c>
      <c r="E57" s="29">
        <v>4.5839263945318729</v>
      </c>
    </row>
    <row r="58" spans="1:28" x14ac:dyDescent="0.3">
      <c r="A58" s="30" t="s">
        <v>438</v>
      </c>
      <c r="B58" s="45">
        <f>B47-B46</f>
        <v>58.120710000000145</v>
      </c>
      <c r="C58" s="45">
        <f>C47-C46</f>
        <v>-14.812238674729088</v>
      </c>
      <c r="D58" s="45">
        <f>D47-D46</f>
        <v>44.792001325271485</v>
      </c>
      <c r="E58" s="45">
        <f>E47-E46</f>
        <v>-121.89493470828802</v>
      </c>
      <c r="F58" s="45">
        <f>F47-F46</f>
        <v>-491.80566215365434</v>
      </c>
    </row>
    <row r="59" spans="1:28" x14ac:dyDescent="0.3">
      <c r="A59" s="30" t="s">
        <v>439</v>
      </c>
      <c r="B59" s="45">
        <f>IF(ISNUMBER(B49),B49-B46,"")</f>
        <v>-71.706561643288751</v>
      </c>
      <c r="C59" s="45">
        <f>IF(ISNUMBER(C49),C49-C46,"")</f>
        <v>-214.07604131464996</v>
      </c>
      <c r="D59" s="45">
        <f>IF(ISNUMBER(D49),D49-D46,"")</f>
        <v>-284.29907295793873</v>
      </c>
      <c r="E59" s="45">
        <f>IF(ISNUMBER(E49),E49-E46,"")</f>
        <v>-1004.6637799235368</v>
      </c>
      <c r="F59" s="45" t="str">
        <f>IF(ISNUMBER(F49),F49-F46,"")</f>
        <v/>
      </c>
    </row>
    <row r="60" spans="1:28" ht="43.95" customHeight="1" x14ac:dyDescent="0.3">
      <c r="A60" s="158" t="s">
        <v>440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</row>
    <row r="62" spans="1:28" x14ac:dyDescent="0.3">
      <c r="A62" s="3" t="s">
        <v>441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3">
      <c r="A63" s="7" t="s">
        <v>442</v>
      </c>
      <c r="B63" s="59">
        <v>0.50090000000000001</v>
      </c>
    </row>
    <row r="64" spans="1:28" x14ac:dyDescent="0.3">
      <c r="A64" s="7" t="s">
        <v>443</v>
      </c>
      <c r="B64" s="42">
        <v>49.59</v>
      </c>
    </row>
    <row r="65" spans="1:28" x14ac:dyDescent="0.3">
      <c r="A65" s="7" t="s">
        <v>444</v>
      </c>
      <c r="B65" s="59">
        <v>0.52393498650623027</v>
      </c>
    </row>
    <row r="66" spans="1:28" x14ac:dyDescent="0.3">
      <c r="A66" s="7" t="s">
        <v>445</v>
      </c>
      <c r="B66" s="59">
        <v>0.1142767724442089</v>
      </c>
    </row>
    <row r="67" spans="1:28" x14ac:dyDescent="0.3">
      <c r="A67" s="7" t="s">
        <v>446</v>
      </c>
      <c r="B67" s="59">
        <v>0.49590000000000001</v>
      </c>
    </row>
    <row r="68" spans="1:28" x14ac:dyDescent="0.3">
      <c r="A68" s="7" t="s">
        <v>447</v>
      </c>
      <c r="B68" s="59">
        <v>0.50366873850120397</v>
      </c>
    </row>
    <row r="69" spans="1:28" x14ac:dyDescent="0.3">
      <c r="A69" s="7" t="s">
        <v>448</v>
      </c>
      <c r="B69" s="59">
        <v>0.16128776948329679</v>
      </c>
    </row>
    <row r="70" spans="1:28" x14ac:dyDescent="0.3">
      <c r="A70" s="7" t="s">
        <v>449</v>
      </c>
      <c r="B70" s="42">
        <v>97.359774867951273</v>
      </c>
    </row>
    <row r="71" spans="1:28" x14ac:dyDescent="0.3">
      <c r="A71" s="7" t="s">
        <v>450</v>
      </c>
      <c r="B71" s="59">
        <v>0.60628498979657153</v>
      </c>
    </row>
    <row r="72" spans="1:28" x14ac:dyDescent="0.3">
      <c r="A72" s="7" t="s">
        <v>451</v>
      </c>
      <c r="B72" s="42">
        <v>844.8450408261142</v>
      </c>
    </row>
    <row r="73" spans="1:28" x14ac:dyDescent="0.3">
      <c r="A73" s="7" t="s">
        <v>452</v>
      </c>
      <c r="B73" s="59">
        <v>0.44417955696771649</v>
      </c>
    </row>
    <row r="74" spans="1:28" x14ac:dyDescent="0.3">
      <c r="A74" s="7" t="s">
        <v>453</v>
      </c>
      <c r="B74" s="59">
        <v>0.17930867510859819</v>
      </c>
    </row>
    <row r="75" spans="1:28" x14ac:dyDescent="0.3">
      <c r="A75" s="7" t="s">
        <v>454</v>
      </c>
      <c r="B75" s="59">
        <v>0.34669033040045921</v>
      </c>
    </row>
    <row r="76" spans="1:28" ht="43.95" customHeight="1" x14ac:dyDescent="0.3">
      <c r="A76" s="158" t="s">
        <v>455</v>
      </c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</row>
    <row r="78" spans="1:28" x14ac:dyDescent="0.3">
      <c r="A78" s="3" t="s">
        <v>456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8" customHeight="1" x14ac:dyDescent="0.3">
      <c r="A79" s="17" t="s">
        <v>48</v>
      </c>
      <c r="B79" s="18" t="s">
        <v>457</v>
      </c>
      <c r="C79" s="18" t="s">
        <v>458</v>
      </c>
      <c r="D79" s="18" t="s">
        <v>459</v>
      </c>
      <c r="E79" s="18" t="s">
        <v>460</v>
      </c>
      <c r="F79" s="18" t="s">
        <v>461</v>
      </c>
    </row>
    <row r="80" spans="1:28" x14ac:dyDescent="0.3">
      <c r="A80" s="30" t="s">
        <v>462</v>
      </c>
      <c r="B80" s="86">
        <v>0.4993993908638773</v>
      </c>
      <c r="C80" s="10" t="s">
        <v>463</v>
      </c>
      <c r="D80" s="7" t="s">
        <v>464</v>
      </c>
      <c r="E80" s="7" t="s">
        <v>465</v>
      </c>
      <c r="F80" s="10" t="s">
        <v>466</v>
      </c>
    </row>
    <row r="81" spans="1:28" x14ac:dyDescent="0.3">
      <c r="A81" s="30" t="s">
        <v>467</v>
      </c>
      <c r="B81" s="87">
        <v>2399.1324023884422</v>
      </c>
      <c r="C81" s="10" t="s">
        <v>468</v>
      </c>
      <c r="D81" s="7" t="s">
        <v>469</v>
      </c>
      <c r="E81" s="7" t="s">
        <v>470</v>
      </c>
      <c r="F81" s="10" t="s">
        <v>471</v>
      </c>
    </row>
    <row r="82" spans="1:28" x14ac:dyDescent="0.3">
      <c r="A82" s="30" t="s">
        <v>472</v>
      </c>
      <c r="B82" s="87">
        <v>37.610612388442412</v>
      </c>
      <c r="C82" s="10" t="s">
        <v>468</v>
      </c>
      <c r="D82" s="7"/>
      <c r="E82" s="7"/>
      <c r="F82" s="10" t="s">
        <v>473</v>
      </c>
    </row>
    <row r="83" spans="1:28" x14ac:dyDescent="0.3">
      <c r="A83" s="30" t="s">
        <v>474</v>
      </c>
      <c r="B83" s="88">
        <v>0.77940808690361185</v>
      </c>
      <c r="C83" s="10" t="s">
        <v>475</v>
      </c>
      <c r="D83" s="7"/>
      <c r="E83" s="7"/>
      <c r="F83" s="10" t="s">
        <v>476</v>
      </c>
    </row>
    <row r="84" spans="1:28" x14ac:dyDescent="0.3">
      <c r="A84" s="30" t="s">
        <v>477</v>
      </c>
      <c r="B84" s="88">
        <v>0.54028617655893818</v>
      </c>
      <c r="C84" s="10" t="s">
        <v>475</v>
      </c>
      <c r="D84" s="7"/>
      <c r="E84" s="7"/>
      <c r="F84" s="10" t="s">
        <v>478</v>
      </c>
    </row>
    <row r="85" spans="1:28" x14ac:dyDescent="0.3">
      <c r="A85" s="30" t="s">
        <v>479</v>
      </c>
      <c r="B85" s="89">
        <v>2.87890641250624</v>
      </c>
      <c r="C85" s="10" t="s">
        <v>480</v>
      </c>
      <c r="D85" s="7" t="s">
        <v>481</v>
      </c>
      <c r="E85" s="7" t="s">
        <v>482</v>
      </c>
      <c r="F85" s="10" t="s">
        <v>483</v>
      </c>
    </row>
    <row r="86" spans="1:28" x14ac:dyDescent="0.3">
      <c r="A86" s="30" t="s">
        <v>484</v>
      </c>
      <c r="B86" s="86">
        <v>0.28897436999999998</v>
      </c>
      <c r="C86" s="10" t="s">
        <v>463</v>
      </c>
      <c r="D86" s="7"/>
      <c r="E86" s="7" t="s">
        <v>485</v>
      </c>
      <c r="F86" s="10" t="s">
        <v>486</v>
      </c>
    </row>
    <row r="87" spans="1:28" x14ac:dyDescent="0.3">
      <c r="A87" s="30" t="s">
        <v>487</v>
      </c>
      <c r="B87" s="86">
        <v>0.3572661108582304</v>
      </c>
      <c r="C87" s="10" t="s">
        <v>463</v>
      </c>
      <c r="D87" s="7"/>
      <c r="E87" s="7" t="s">
        <v>488</v>
      </c>
      <c r="F87" s="10" t="s">
        <v>489</v>
      </c>
    </row>
    <row r="88" spans="1:28" x14ac:dyDescent="0.3">
      <c r="A88" s="30" t="s">
        <v>490</v>
      </c>
      <c r="B88" s="87">
        <v>5097.5241016855289</v>
      </c>
      <c r="C88" s="10" t="s">
        <v>468</v>
      </c>
      <c r="D88" s="7"/>
      <c r="E88" s="7" t="s">
        <v>491</v>
      </c>
      <c r="F88" s="10"/>
    </row>
    <row r="89" spans="1:28" x14ac:dyDescent="0.3">
      <c r="A89" s="30" t="s">
        <v>492</v>
      </c>
      <c r="B89" s="86">
        <v>0.36</v>
      </c>
      <c r="C89" s="10" t="s">
        <v>463</v>
      </c>
      <c r="D89" s="7"/>
      <c r="E89" s="7"/>
      <c r="F89" s="10" t="s">
        <v>493</v>
      </c>
    </row>
    <row r="90" spans="1:28" x14ac:dyDescent="0.3">
      <c r="A90" s="30" t="s">
        <v>494</v>
      </c>
      <c r="B90" s="86">
        <v>0.3012481897598181</v>
      </c>
      <c r="C90" s="10" t="s">
        <v>463</v>
      </c>
      <c r="D90" s="7"/>
      <c r="E90" s="7" t="s">
        <v>485</v>
      </c>
      <c r="F90" s="10" t="s">
        <v>495</v>
      </c>
    </row>
    <row r="91" spans="1:28" x14ac:dyDescent="0.3">
      <c r="A91" s="30" t="s">
        <v>496</v>
      </c>
      <c r="B91" s="86">
        <v>0.34641898107150682</v>
      </c>
      <c r="C91" s="10" t="s">
        <v>463</v>
      </c>
      <c r="D91" s="7"/>
      <c r="E91" s="7" t="s">
        <v>497</v>
      </c>
      <c r="F91" s="10" t="s">
        <v>498</v>
      </c>
    </row>
    <row r="92" spans="1:28" ht="43.95" customHeight="1" x14ac:dyDescent="0.3">
      <c r="A92" s="158" t="s">
        <v>499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</row>
    <row r="94" spans="1:28" x14ac:dyDescent="0.3">
      <c r="A94" s="3" t="s">
        <v>500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30" customHeight="1" x14ac:dyDescent="0.3">
      <c r="A95" s="18" t="s">
        <v>501</v>
      </c>
      <c r="B95" s="18" t="s">
        <v>502</v>
      </c>
      <c r="C95" s="18" t="s">
        <v>503</v>
      </c>
      <c r="D95" s="18" t="s">
        <v>504</v>
      </c>
      <c r="E95" s="18" t="s">
        <v>505</v>
      </c>
      <c r="F95" s="18" t="s">
        <v>506</v>
      </c>
      <c r="G95" s="18" t="s">
        <v>507</v>
      </c>
      <c r="H95" s="18" t="s">
        <v>508</v>
      </c>
    </row>
    <row r="96" spans="1:28" x14ac:dyDescent="0.3">
      <c r="A96" s="76">
        <v>2022</v>
      </c>
      <c r="B96" s="7" t="s">
        <v>509</v>
      </c>
      <c r="C96" s="7" t="s">
        <v>510</v>
      </c>
      <c r="D96" s="7" t="s">
        <v>511</v>
      </c>
      <c r="E96" s="59">
        <v>0.2659212283044059</v>
      </c>
      <c r="F96" s="59">
        <v>0.34561770324594909</v>
      </c>
      <c r="G96" s="59">
        <v>7.9696474941543236E-2</v>
      </c>
      <c r="H96" s="125" t="s">
        <v>512</v>
      </c>
    </row>
    <row r="97" spans="1:8" x14ac:dyDescent="0.3">
      <c r="A97" s="76">
        <v>2022</v>
      </c>
      <c r="B97" s="7" t="s">
        <v>513</v>
      </c>
      <c r="C97" s="7" t="s">
        <v>514</v>
      </c>
      <c r="D97" s="7" t="s">
        <v>515</v>
      </c>
      <c r="E97" s="59">
        <v>0.2659212283044059</v>
      </c>
      <c r="F97" s="59">
        <v>0.34561770324594909</v>
      </c>
      <c r="G97" s="59">
        <v>7.9696474941543236E-2</v>
      </c>
      <c r="H97" s="125" t="s">
        <v>516</v>
      </c>
    </row>
    <row r="98" spans="1:8" x14ac:dyDescent="0.3">
      <c r="A98" s="76">
        <v>2022</v>
      </c>
      <c r="B98" s="7" t="s">
        <v>517</v>
      </c>
      <c r="C98" s="7" t="s">
        <v>518</v>
      </c>
      <c r="D98" s="7" t="s">
        <v>515</v>
      </c>
      <c r="E98" s="59">
        <v>0.2659212283044059</v>
      </c>
      <c r="F98" s="59">
        <v>0.34561770324594909</v>
      </c>
      <c r="G98" s="59">
        <v>7.9696474941543236E-2</v>
      </c>
      <c r="H98" s="125" t="s">
        <v>519</v>
      </c>
    </row>
    <row r="99" spans="1:8" x14ac:dyDescent="0.3">
      <c r="A99" s="76">
        <v>2023</v>
      </c>
      <c r="B99" s="7" t="s">
        <v>509</v>
      </c>
      <c r="C99" s="7" t="s">
        <v>520</v>
      </c>
      <c r="D99" s="7" t="s">
        <v>511</v>
      </c>
      <c r="E99" s="59">
        <v>0.34561770324594909</v>
      </c>
      <c r="F99" s="59">
        <v>0.36835736613895331</v>
      </c>
      <c r="G99" s="59">
        <v>2.2739662893004178E-2</v>
      </c>
      <c r="H99" s="125" t="s">
        <v>521</v>
      </c>
    </row>
    <row r="100" spans="1:8" x14ac:dyDescent="0.3">
      <c r="A100" s="76">
        <v>2023</v>
      </c>
      <c r="B100" s="7" t="s">
        <v>513</v>
      </c>
      <c r="C100" s="7" t="s">
        <v>522</v>
      </c>
      <c r="D100" s="7" t="s">
        <v>511</v>
      </c>
      <c r="E100" s="59">
        <v>0.34561770324594909</v>
      </c>
      <c r="F100" s="59">
        <v>0.36835736613895331</v>
      </c>
      <c r="G100" s="59">
        <v>2.2739662893004178E-2</v>
      </c>
      <c r="H100" s="125" t="s">
        <v>523</v>
      </c>
    </row>
    <row r="101" spans="1:8" x14ac:dyDescent="0.3">
      <c r="A101" s="76">
        <v>2023</v>
      </c>
      <c r="B101" s="7" t="s">
        <v>517</v>
      </c>
      <c r="C101" s="7" t="s">
        <v>524</v>
      </c>
      <c r="D101" s="7" t="s">
        <v>515</v>
      </c>
      <c r="E101" s="59">
        <v>0.34561770324594909</v>
      </c>
      <c r="F101" s="59">
        <v>0.36835736613895331</v>
      </c>
      <c r="G101" s="59">
        <v>2.2739662893004178E-2</v>
      </c>
      <c r="H101" s="125" t="s">
        <v>525</v>
      </c>
    </row>
    <row r="102" spans="1:8" x14ac:dyDescent="0.3">
      <c r="A102" s="76">
        <v>2023</v>
      </c>
      <c r="B102" s="7" t="s">
        <v>526</v>
      </c>
      <c r="C102" s="7" t="s">
        <v>527</v>
      </c>
      <c r="D102" s="7" t="s">
        <v>511</v>
      </c>
      <c r="E102" s="59">
        <v>0.36061770324594911</v>
      </c>
      <c r="F102" s="59">
        <v>0.36835736613895331</v>
      </c>
      <c r="G102" s="59">
        <v>7.7396628930041797E-3</v>
      </c>
      <c r="H102" s="125" t="s">
        <v>528</v>
      </c>
    </row>
    <row r="103" spans="1:8" x14ac:dyDescent="0.3">
      <c r="A103" s="76">
        <v>2024</v>
      </c>
      <c r="B103" s="7" t="s">
        <v>509</v>
      </c>
      <c r="C103" s="7" t="s">
        <v>529</v>
      </c>
      <c r="D103" s="7" t="s">
        <v>515</v>
      </c>
      <c r="E103" s="59">
        <v>0.35</v>
      </c>
      <c r="F103" s="59">
        <v>0.36398847054584771</v>
      </c>
      <c r="G103" s="59">
        <v>1.3988470545847559E-2</v>
      </c>
      <c r="H103" s="125" t="s">
        <v>530</v>
      </c>
    </row>
    <row r="104" spans="1:8" x14ac:dyDescent="0.3">
      <c r="A104" s="76">
        <v>2024</v>
      </c>
      <c r="B104" s="7" t="s">
        <v>513</v>
      </c>
      <c r="C104" s="7" t="s">
        <v>531</v>
      </c>
      <c r="D104" s="7" t="s">
        <v>515</v>
      </c>
      <c r="E104" s="59">
        <v>0.35</v>
      </c>
      <c r="F104" s="59">
        <v>0.36398847054584771</v>
      </c>
      <c r="G104" s="59">
        <v>1.3988470545847559E-2</v>
      </c>
      <c r="H104" s="125" t="s">
        <v>532</v>
      </c>
    </row>
    <row r="105" spans="1:8" x14ac:dyDescent="0.3">
      <c r="A105" s="76">
        <v>2024</v>
      </c>
      <c r="B105" s="7" t="s">
        <v>517</v>
      </c>
      <c r="C105" s="7" t="s">
        <v>533</v>
      </c>
      <c r="D105" s="7" t="s">
        <v>515</v>
      </c>
      <c r="E105" s="59">
        <v>0.35</v>
      </c>
      <c r="F105" s="59">
        <v>0.36398847054584771</v>
      </c>
      <c r="G105" s="59">
        <v>1.3988470545847559E-2</v>
      </c>
      <c r="H105" s="125" t="s">
        <v>532</v>
      </c>
    </row>
    <row r="106" spans="1:8" x14ac:dyDescent="0.3">
      <c r="A106" s="76">
        <v>2024</v>
      </c>
      <c r="B106" s="7" t="s">
        <v>526</v>
      </c>
      <c r="C106" s="7" t="s">
        <v>534</v>
      </c>
      <c r="D106" s="7" t="s">
        <v>511</v>
      </c>
      <c r="E106" s="59">
        <v>0.35499999999999998</v>
      </c>
      <c r="F106" s="59">
        <v>0.36398847054584771</v>
      </c>
      <c r="G106" s="59">
        <v>8.9884705458475617E-3</v>
      </c>
      <c r="H106" s="125" t="s">
        <v>535</v>
      </c>
    </row>
    <row r="107" spans="1:8" x14ac:dyDescent="0.3">
      <c r="A107" s="76">
        <v>2025</v>
      </c>
      <c r="B107" s="7" t="s">
        <v>509</v>
      </c>
      <c r="C107" s="7" t="s">
        <v>536</v>
      </c>
      <c r="D107" s="7" t="s">
        <v>515</v>
      </c>
      <c r="E107" s="59">
        <v>0.34499999999999997</v>
      </c>
      <c r="F107" s="59">
        <v>0.3510334123029164</v>
      </c>
      <c r="G107" s="59">
        <v>6.033412302916403E-3</v>
      </c>
      <c r="H107" s="125" t="s">
        <v>537</v>
      </c>
    </row>
    <row r="108" spans="1:8" x14ac:dyDescent="0.3">
      <c r="A108" s="76">
        <v>2025</v>
      </c>
      <c r="B108" s="7" t="s">
        <v>513</v>
      </c>
      <c r="C108" s="7" t="s">
        <v>538</v>
      </c>
      <c r="D108" s="7" t="s">
        <v>515</v>
      </c>
      <c r="E108" s="59">
        <v>0.34499999999999997</v>
      </c>
      <c r="F108" s="59">
        <v>0.3510334123029164</v>
      </c>
      <c r="G108" s="59">
        <v>6.033412302916403E-3</v>
      </c>
      <c r="H108" s="125" t="s">
        <v>539</v>
      </c>
    </row>
    <row r="109" spans="1:8" x14ac:dyDescent="0.3">
      <c r="A109" s="76">
        <v>2025</v>
      </c>
      <c r="B109" s="7" t="s">
        <v>517</v>
      </c>
      <c r="C109" s="7" t="s">
        <v>540</v>
      </c>
      <c r="D109" s="7" t="s">
        <v>515</v>
      </c>
      <c r="E109" s="59">
        <v>0.34499999999999997</v>
      </c>
      <c r="F109" s="59">
        <v>0.3510334123029164</v>
      </c>
      <c r="G109" s="59">
        <v>6.033412302916403E-3</v>
      </c>
      <c r="H109" s="125" t="s">
        <v>541</v>
      </c>
    </row>
    <row r="110" spans="1:8" x14ac:dyDescent="0.3">
      <c r="A110" s="76">
        <v>2025</v>
      </c>
      <c r="B110" s="7" t="s">
        <v>526</v>
      </c>
      <c r="C110" s="7" t="s">
        <v>542</v>
      </c>
      <c r="D110" s="7" t="s">
        <v>511</v>
      </c>
      <c r="E110" s="59">
        <v>0.35</v>
      </c>
      <c r="F110" s="59">
        <v>0.3510334123029164</v>
      </c>
      <c r="G110" s="59">
        <v>1.0334123029164029E-3</v>
      </c>
      <c r="H110" s="125" t="s">
        <v>543</v>
      </c>
    </row>
    <row r="111" spans="1:8" x14ac:dyDescent="0.3">
      <c r="A111" s="76">
        <v>2026</v>
      </c>
      <c r="B111" s="7" t="s">
        <v>509</v>
      </c>
      <c r="C111" s="7" t="s">
        <v>544</v>
      </c>
      <c r="D111" s="7" t="s">
        <v>511</v>
      </c>
      <c r="E111" s="59">
        <v>0.3510334123029164</v>
      </c>
      <c r="H111" s="125" t="s">
        <v>545</v>
      </c>
    </row>
    <row r="112" spans="1:8" x14ac:dyDescent="0.3">
      <c r="A112" s="76">
        <v>2026</v>
      </c>
      <c r="B112" s="7" t="s">
        <v>513</v>
      </c>
      <c r="C112" s="7" t="s">
        <v>546</v>
      </c>
      <c r="D112" s="7" t="s">
        <v>515</v>
      </c>
      <c r="E112" s="59">
        <v>0.35</v>
      </c>
      <c r="H112" s="125" t="s">
        <v>547</v>
      </c>
    </row>
    <row r="113" spans="1:12" x14ac:dyDescent="0.3">
      <c r="A113" s="76">
        <v>2026</v>
      </c>
      <c r="B113" s="7" t="s">
        <v>517</v>
      </c>
      <c r="C113" s="7" t="s">
        <v>548</v>
      </c>
      <c r="D113" s="7" t="s">
        <v>515</v>
      </c>
      <c r="E113" s="59">
        <v>0.35499999999999998</v>
      </c>
      <c r="H113" s="125" t="s">
        <v>549</v>
      </c>
    </row>
    <row r="114" spans="1:12" ht="31.95" customHeight="1" x14ac:dyDescent="0.3">
      <c r="A114" s="158" t="s">
        <v>550</v>
      </c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</row>
    <row r="116" spans="1:12" ht="31.95" customHeight="1" x14ac:dyDescent="0.3">
      <c r="A116" s="17" t="s">
        <v>551</v>
      </c>
      <c r="B116" s="18" t="s">
        <v>552</v>
      </c>
      <c r="C116" s="18" t="s">
        <v>553</v>
      </c>
      <c r="D116" s="18" t="s">
        <v>554</v>
      </c>
      <c r="E116" s="18" t="s">
        <v>555</v>
      </c>
      <c r="F116" s="18" t="s">
        <v>556</v>
      </c>
      <c r="G116" s="18" t="s">
        <v>557</v>
      </c>
      <c r="H116" s="18" t="s">
        <v>558</v>
      </c>
    </row>
    <row r="117" spans="1:12" x14ac:dyDescent="0.3">
      <c r="A117" s="7"/>
      <c r="B117" s="59">
        <v>0.35499999999999998</v>
      </c>
      <c r="C117" s="59">
        <v>0.49399999999999999</v>
      </c>
      <c r="D117" s="42">
        <v>5065.1909070000002</v>
      </c>
      <c r="E117" s="42">
        <v>2373.1935370000001</v>
      </c>
      <c r="F117" s="42">
        <v>911.99737000000005</v>
      </c>
      <c r="G117" s="59">
        <v>0.28696237742470537</v>
      </c>
      <c r="H117" s="90" t="s">
        <v>559</v>
      </c>
    </row>
    <row r="118" spans="1:12" x14ac:dyDescent="0.3">
      <c r="A118" s="7"/>
      <c r="B118" s="59">
        <v>0.35499999999999998</v>
      </c>
      <c r="C118" s="59">
        <v>0.49940000000000001</v>
      </c>
      <c r="D118" s="42">
        <v>5065.1909070000002</v>
      </c>
      <c r="E118" s="42">
        <v>2399.1353287000002</v>
      </c>
      <c r="F118" s="42">
        <v>886.05557830000043</v>
      </c>
      <c r="G118" s="59">
        <v>0.2787997242573082</v>
      </c>
      <c r="H118" s="90" t="s">
        <v>559</v>
      </c>
    </row>
    <row r="119" spans="1:12" x14ac:dyDescent="0.3">
      <c r="A119" s="7"/>
      <c r="B119" s="59">
        <v>0.35499999999999998</v>
      </c>
      <c r="C119" s="59">
        <v>0.50085000000000002</v>
      </c>
      <c r="D119" s="42">
        <v>5065.1909070000002</v>
      </c>
      <c r="E119" s="42">
        <v>2406.1011801750001</v>
      </c>
      <c r="F119" s="42">
        <v>879.08972682500007</v>
      </c>
      <c r="G119" s="59">
        <v>0.27660790072161812</v>
      </c>
      <c r="H119" s="90" t="s">
        <v>559</v>
      </c>
    </row>
    <row r="120" spans="1:12" x14ac:dyDescent="0.3">
      <c r="A120" s="7"/>
      <c r="B120" s="59">
        <v>0.35499999999999998</v>
      </c>
      <c r="C120" s="59">
        <v>0.505</v>
      </c>
      <c r="D120" s="42">
        <v>5065.1909070000002</v>
      </c>
      <c r="E120" s="42">
        <v>2426.0379275</v>
      </c>
      <c r="F120" s="42">
        <v>859.15297950000013</v>
      </c>
      <c r="G120" s="59">
        <v>0.27033475060222939</v>
      </c>
      <c r="H120" s="90" t="s">
        <v>559</v>
      </c>
    </row>
    <row r="121" spans="1:12" x14ac:dyDescent="0.3">
      <c r="A121" s="7"/>
      <c r="B121" s="59">
        <v>0.35749999999999998</v>
      </c>
      <c r="C121" s="59">
        <v>0.49399999999999999</v>
      </c>
      <c r="D121" s="42">
        <v>5100.8612654999997</v>
      </c>
      <c r="E121" s="42">
        <v>2373.1935370000001</v>
      </c>
      <c r="F121" s="42">
        <v>947.66772849999961</v>
      </c>
      <c r="G121" s="59">
        <v>0.29818614979013602</v>
      </c>
      <c r="H121" s="90" t="s">
        <v>560</v>
      </c>
    </row>
    <row r="122" spans="1:12" x14ac:dyDescent="0.3">
      <c r="A122" s="7"/>
      <c r="B122" s="59">
        <v>0.35749999999999998</v>
      </c>
      <c r="C122" s="59">
        <v>0.49940000000000001</v>
      </c>
      <c r="D122" s="42">
        <v>5100.8612654999997</v>
      </c>
      <c r="E122" s="42">
        <v>2399.1353287000002</v>
      </c>
      <c r="F122" s="42">
        <v>921.7259368</v>
      </c>
      <c r="G122" s="59">
        <v>0.29002349662273891</v>
      </c>
      <c r="H122" s="90" t="s">
        <v>560</v>
      </c>
    </row>
    <row r="123" spans="1:12" x14ac:dyDescent="0.3">
      <c r="A123" s="7"/>
      <c r="B123" s="59">
        <v>0.35749999999999998</v>
      </c>
      <c r="C123" s="59">
        <v>0.50085000000000002</v>
      </c>
      <c r="D123" s="42">
        <v>5100.8612654999997</v>
      </c>
      <c r="E123" s="42">
        <v>2406.1011801750001</v>
      </c>
      <c r="F123" s="42">
        <v>914.76008532499964</v>
      </c>
      <c r="G123" s="59">
        <v>0.28783167308704871</v>
      </c>
      <c r="H123" s="90" t="s">
        <v>560</v>
      </c>
    </row>
    <row r="124" spans="1:12" x14ac:dyDescent="0.3">
      <c r="A124" s="7"/>
      <c r="B124" s="59">
        <v>0.35749999999999998</v>
      </c>
      <c r="C124" s="59">
        <v>0.505</v>
      </c>
      <c r="D124" s="42">
        <v>5100.8612654999997</v>
      </c>
      <c r="E124" s="42">
        <v>2426.0379275</v>
      </c>
      <c r="F124" s="42">
        <v>894.82333799999969</v>
      </c>
      <c r="G124" s="59">
        <v>0.2815585229676601</v>
      </c>
      <c r="H124" s="90" t="s">
        <v>560</v>
      </c>
    </row>
    <row r="125" spans="1:12" x14ac:dyDescent="0.3">
      <c r="A125" s="7"/>
      <c r="B125" s="59">
        <v>0.36</v>
      </c>
      <c r="C125" s="59">
        <v>0.49399999999999999</v>
      </c>
      <c r="D125" s="42">
        <v>5136.5316240000002</v>
      </c>
      <c r="E125" s="42">
        <v>2373.1935370000001</v>
      </c>
      <c r="F125" s="42">
        <v>983.33808699999997</v>
      </c>
      <c r="G125" s="59">
        <v>0.3094099221555669</v>
      </c>
      <c r="H125" s="90" t="s">
        <v>560</v>
      </c>
    </row>
    <row r="126" spans="1:12" x14ac:dyDescent="0.3">
      <c r="A126" s="7"/>
      <c r="B126" s="24">
        <v>0.36</v>
      </c>
      <c r="C126" s="24">
        <v>0.49940000000000001</v>
      </c>
      <c r="D126" s="20">
        <v>5136.5316240000002</v>
      </c>
      <c r="E126" s="20">
        <v>2399.1353287000002</v>
      </c>
      <c r="F126" s="20">
        <v>957.39629530000036</v>
      </c>
      <c r="G126" s="24">
        <v>0.30124726898816978</v>
      </c>
      <c r="H126" s="91" t="s">
        <v>560</v>
      </c>
    </row>
    <row r="127" spans="1:12" x14ac:dyDescent="0.3">
      <c r="A127" s="7"/>
      <c r="B127" s="59">
        <v>0.36</v>
      </c>
      <c r="C127" s="59">
        <v>0.50085000000000002</v>
      </c>
      <c r="D127" s="42">
        <v>5136.5316240000002</v>
      </c>
      <c r="E127" s="42">
        <v>2406.1011801750001</v>
      </c>
      <c r="F127" s="42">
        <v>950.430443825</v>
      </c>
      <c r="G127" s="59">
        <v>0.29905544545247958</v>
      </c>
      <c r="H127" s="90" t="s">
        <v>560</v>
      </c>
    </row>
    <row r="128" spans="1:12" x14ac:dyDescent="0.3">
      <c r="A128" s="7"/>
      <c r="B128" s="59">
        <v>0.36</v>
      </c>
      <c r="C128" s="59">
        <v>0.505</v>
      </c>
      <c r="D128" s="42">
        <v>5136.5316240000002</v>
      </c>
      <c r="E128" s="42">
        <v>2426.0379275</v>
      </c>
      <c r="F128" s="42">
        <v>930.49369650000017</v>
      </c>
      <c r="G128" s="59">
        <v>0.29278229533309102</v>
      </c>
      <c r="H128" s="90" t="s">
        <v>560</v>
      </c>
    </row>
    <row r="129" spans="1:12" x14ac:dyDescent="0.3">
      <c r="A129" s="7"/>
      <c r="B129" s="59">
        <v>0.36249999999999999</v>
      </c>
      <c r="C129" s="59">
        <v>0.49399999999999999</v>
      </c>
      <c r="D129" s="42">
        <v>5172.2019824999998</v>
      </c>
      <c r="E129" s="42">
        <v>2373.1935370000001</v>
      </c>
      <c r="F129" s="42">
        <v>1019.0084455</v>
      </c>
      <c r="G129" s="59">
        <v>0.32063369452099749</v>
      </c>
      <c r="H129" s="90" t="s">
        <v>560</v>
      </c>
    </row>
    <row r="130" spans="1:12" x14ac:dyDescent="0.3">
      <c r="A130" s="7"/>
      <c r="B130" s="59">
        <v>0.36249999999999999</v>
      </c>
      <c r="C130" s="59">
        <v>0.49940000000000001</v>
      </c>
      <c r="D130" s="42">
        <v>5172.2019824999998</v>
      </c>
      <c r="E130" s="42">
        <v>2399.1353287000002</v>
      </c>
      <c r="F130" s="42">
        <v>993.06665380000004</v>
      </c>
      <c r="G130" s="59">
        <v>0.31247104135360038</v>
      </c>
      <c r="H130" s="90" t="s">
        <v>560</v>
      </c>
    </row>
    <row r="131" spans="1:12" x14ac:dyDescent="0.3">
      <c r="A131" s="7"/>
      <c r="B131" s="59">
        <v>0.36249999999999999</v>
      </c>
      <c r="C131" s="59">
        <v>0.50085000000000002</v>
      </c>
      <c r="D131" s="42">
        <v>5172.2019824999998</v>
      </c>
      <c r="E131" s="42">
        <v>2406.1011801750001</v>
      </c>
      <c r="F131" s="42">
        <v>986.10080232499956</v>
      </c>
      <c r="G131" s="59">
        <v>0.31027921781791029</v>
      </c>
      <c r="H131" s="90" t="s">
        <v>560</v>
      </c>
    </row>
    <row r="132" spans="1:12" x14ac:dyDescent="0.3">
      <c r="A132" s="7"/>
      <c r="B132" s="59">
        <v>0.36249999999999999</v>
      </c>
      <c r="C132" s="59">
        <v>0.505</v>
      </c>
      <c r="D132" s="42">
        <v>5172.2019824999998</v>
      </c>
      <c r="E132" s="42">
        <v>2426.0379275</v>
      </c>
      <c r="F132" s="42">
        <v>966.16405499999962</v>
      </c>
      <c r="G132" s="59">
        <v>0.30400606769852162</v>
      </c>
      <c r="H132" s="90" t="s">
        <v>560</v>
      </c>
    </row>
    <row r="133" spans="1:12" x14ac:dyDescent="0.3">
      <c r="A133" s="7"/>
      <c r="B133" s="59">
        <v>0.36499999999999999</v>
      </c>
      <c r="C133" s="59">
        <v>0.49399999999999999</v>
      </c>
      <c r="D133" s="42">
        <v>5207.8723410000002</v>
      </c>
      <c r="E133" s="42">
        <v>2373.1935370000001</v>
      </c>
      <c r="F133" s="42">
        <v>1054.6788039999999</v>
      </c>
      <c r="G133" s="59">
        <v>0.33185746688642848</v>
      </c>
      <c r="H133" s="90" t="s">
        <v>560</v>
      </c>
    </row>
    <row r="134" spans="1:12" x14ac:dyDescent="0.3">
      <c r="A134" s="7"/>
      <c r="B134" s="59">
        <v>0.36499999999999999</v>
      </c>
      <c r="C134" s="59">
        <v>0.49940000000000001</v>
      </c>
      <c r="D134" s="42">
        <v>5207.8723410000002</v>
      </c>
      <c r="E134" s="42">
        <v>2399.1353287000002</v>
      </c>
      <c r="F134" s="42">
        <v>1028.7370123000001</v>
      </c>
      <c r="G134" s="59">
        <v>0.32369481371903119</v>
      </c>
      <c r="H134" s="90" t="s">
        <v>560</v>
      </c>
    </row>
    <row r="135" spans="1:12" x14ac:dyDescent="0.3">
      <c r="A135" s="7"/>
      <c r="B135" s="59">
        <v>0.36499999999999999</v>
      </c>
      <c r="C135" s="59">
        <v>0.50085000000000002</v>
      </c>
      <c r="D135" s="42">
        <v>5207.8723410000002</v>
      </c>
      <c r="E135" s="42">
        <v>2406.1011801750001</v>
      </c>
      <c r="F135" s="42">
        <v>1021.771160825</v>
      </c>
      <c r="G135" s="59">
        <v>0.32150299018334122</v>
      </c>
      <c r="H135" s="90" t="s">
        <v>560</v>
      </c>
    </row>
    <row r="136" spans="1:12" x14ac:dyDescent="0.3">
      <c r="A136" s="7"/>
      <c r="B136" s="59">
        <v>0.36499999999999999</v>
      </c>
      <c r="C136" s="59">
        <v>0.505</v>
      </c>
      <c r="D136" s="42">
        <v>5207.8723410000002</v>
      </c>
      <c r="E136" s="42">
        <v>2426.0379275</v>
      </c>
      <c r="F136" s="42">
        <v>1001.8344135</v>
      </c>
      <c r="G136" s="59">
        <v>0.31522984006395249</v>
      </c>
      <c r="H136" s="90" t="s">
        <v>560</v>
      </c>
    </row>
    <row r="137" spans="1:12" x14ac:dyDescent="0.3">
      <c r="A137" s="30" t="s">
        <v>561</v>
      </c>
      <c r="B137" s="92">
        <v>4.4895089461723101</v>
      </c>
    </row>
    <row r="138" spans="1:12" x14ac:dyDescent="0.3">
      <c r="A138" s="30" t="s">
        <v>562</v>
      </c>
      <c r="B138" s="92">
        <v>-1.511602438406904</v>
      </c>
    </row>
    <row r="139" spans="1:12" ht="31.95" customHeight="1" x14ac:dyDescent="0.3">
      <c r="A139" s="158" t="s">
        <v>563</v>
      </c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</row>
    <row r="141" spans="1:12" ht="31.95" customHeight="1" x14ac:dyDescent="0.3">
      <c r="A141" s="18" t="s">
        <v>564</v>
      </c>
      <c r="B141" s="18" t="s">
        <v>565</v>
      </c>
      <c r="C141" s="18" t="s">
        <v>566</v>
      </c>
      <c r="D141" s="18" t="s">
        <v>567</v>
      </c>
      <c r="E141" s="18" t="s">
        <v>568</v>
      </c>
      <c r="F141" s="18" t="s">
        <v>569</v>
      </c>
      <c r="G141" s="18" t="s">
        <v>570</v>
      </c>
    </row>
    <row r="142" spans="1:12" x14ac:dyDescent="0.3">
      <c r="A142" s="7" t="s">
        <v>571</v>
      </c>
      <c r="B142" s="73">
        <v>0</v>
      </c>
      <c r="C142" s="59">
        <v>0.35499999999999998</v>
      </c>
      <c r="D142" s="59">
        <v>0.35726611336217279</v>
      </c>
      <c r="E142" s="81">
        <v>2.2661133621728171E-3</v>
      </c>
      <c r="F142" s="81">
        <v>6.2801477201403499E-3</v>
      </c>
      <c r="G142" s="42">
        <v>50.129039047328568</v>
      </c>
    </row>
    <row r="143" spans="1:12" x14ac:dyDescent="0.3">
      <c r="A143" s="7" t="s">
        <v>572</v>
      </c>
      <c r="B143" s="73">
        <v>0.36417300000000002</v>
      </c>
      <c r="C143" s="59">
        <v>0.35499999999999998</v>
      </c>
      <c r="D143" s="59">
        <v>0.35726611336217279</v>
      </c>
      <c r="E143" s="81">
        <v>2.2661133621728171E-3</v>
      </c>
      <c r="F143" s="81">
        <v>9.3726189206522759E-3</v>
      </c>
      <c r="G143" s="42">
        <v>74.813587320937799</v>
      </c>
    </row>
    <row r="144" spans="1:12" x14ac:dyDescent="0.3">
      <c r="A144" s="7" t="s">
        <v>573</v>
      </c>
      <c r="B144" s="73">
        <v>1</v>
      </c>
      <c r="C144" s="59">
        <v>0.35499999999999998</v>
      </c>
      <c r="D144" s="59">
        <v>0.35726611336217279</v>
      </c>
      <c r="E144" s="81">
        <v>2.2661133621728171E-3</v>
      </c>
      <c r="F144" s="81">
        <v>6.6823077614575579E-2</v>
      </c>
      <c r="G144" s="42">
        <v>533.39138126656439</v>
      </c>
    </row>
    <row r="146" spans="1:28" x14ac:dyDescent="0.3">
      <c r="A146" s="3" t="s">
        <v>574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8" customHeight="1" x14ac:dyDescent="0.3">
      <c r="A147" s="17" t="s">
        <v>575</v>
      </c>
      <c r="B147" s="18" t="s">
        <v>576</v>
      </c>
      <c r="C147" s="18" t="s">
        <v>577</v>
      </c>
      <c r="D147" s="18" t="s">
        <v>578</v>
      </c>
    </row>
    <row r="148" spans="1:28" x14ac:dyDescent="0.3">
      <c r="A148" s="7" t="s">
        <v>579</v>
      </c>
      <c r="B148" s="59">
        <v>0.40045777061054089</v>
      </c>
      <c r="C148" s="59">
        <v>0.37737262314523551</v>
      </c>
    </row>
    <row r="149" spans="1:28" x14ac:dyDescent="0.3">
      <c r="A149" s="7" t="s">
        <v>580</v>
      </c>
      <c r="B149" s="59">
        <v>0.38054278985684842</v>
      </c>
      <c r="C149" s="59">
        <v>0.35658250772949979</v>
      </c>
      <c r="D149" s="59">
        <v>0.32448409161480829</v>
      </c>
    </row>
    <row r="150" spans="1:28" x14ac:dyDescent="0.3">
      <c r="A150" s="7" t="s">
        <v>581</v>
      </c>
      <c r="C150" s="59">
        <v>0.32867630939523268</v>
      </c>
      <c r="D150" s="59">
        <v>0.29496104036183918</v>
      </c>
    </row>
    <row r="151" spans="1:28" ht="18" customHeight="1" x14ac:dyDescent="0.3">
      <c r="A151" s="17" t="s">
        <v>582</v>
      </c>
      <c r="B151" s="18" t="s">
        <v>576</v>
      </c>
      <c r="C151" s="18" t="s">
        <v>577</v>
      </c>
      <c r="D151" s="18" t="s">
        <v>578</v>
      </c>
    </row>
    <row r="152" spans="1:28" x14ac:dyDescent="0.3">
      <c r="A152" s="7" t="s">
        <v>583</v>
      </c>
      <c r="B152" s="59">
        <v>0.36803654020941767</v>
      </c>
      <c r="C152" s="59">
        <v>0.36134821704850001</v>
      </c>
    </row>
    <row r="153" spans="1:28" x14ac:dyDescent="0.3">
      <c r="A153" s="7" t="s">
        <v>584</v>
      </c>
      <c r="B153" s="59">
        <v>0.36404427961977209</v>
      </c>
      <c r="C153" s="59">
        <v>0.35733550148219162</v>
      </c>
      <c r="D153" s="59">
        <v>0.35037230357214499</v>
      </c>
    </row>
    <row r="154" spans="1:28" x14ac:dyDescent="0.3">
      <c r="A154" s="7" t="s">
        <v>585</v>
      </c>
      <c r="C154" s="59">
        <v>0.35406479581551459</v>
      </c>
      <c r="D154" s="59">
        <v>0.34709015161944939</v>
      </c>
    </row>
    <row r="155" spans="1:28" ht="31.95" customHeight="1" x14ac:dyDescent="0.3">
      <c r="A155" s="158" t="s">
        <v>586</v>
      </c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</row>
    <row r="157" spans="1:28" ht="30" customHeight="1" x14ac:dyDescent="0.3">
      <c r="A157" s="18" t="s">
        <v>587</v>
      </c>
      <c r="B157" s="18" t="s">
        <v>588</v>
      </c>
      <c r="C157" s="18" t="s">
        <v>589</v>
      </c>
      <c r="D157" s="18" t="s">
        <v>590</v>
      </c>
      <c r="E157" s="18" t="s">
        <v>591</v>
      </c>
    </row>
    <row r="158" spans="1:28" x14ac:dyDescent="0.3">
      <c r="A158" s="7" t="s">
        <v>592</v>
      </c>
      <c r="B158" s="7" t="s">
        <v>593</v>
      </c>
      <c r="C158" s="49">
        <v>0</v>
      </c>
      <c r="D158" s="81">
        <v>-6.6930823285720467E-3</v>
      </c>
      <c r="E158" s="55">
        <v>-0.15252357760998159</v>
      </c>
    </row>
    <row r="159" spans="1:28" x14ac:dyDescent="0.3">
      <c r="A159" s="7" t="s">
        <v>594</v>
      </c>
      <c r="B159" s="7" t="s">
        <v>595</v>
      </c>
      <c r="C159" s="49">
        <v>0</v>
      </c>
      <c r="D159" s="81">
        <v>5.2589978142547978E-3</v>
      </c>
      <c r="E159" s="55">
        <v>0.1198433131248144</v>
      </c>
    </row>
    <row r="160" spans="1:28" x14ac:dyDescent="0.3">
      <c r="A160" s="7" t="s">
        <v>596</v>
      </c>
      <c r="B160" s="7" t="s">
        <v>597</v>
      </c>
      <c r="C160" s="49">
        <v>0</v>
      </c>
      <c r="D160" s="81">
        <v>-3.8757200017846571E-3</v>
      </c>
      <c r="E160" s="55">
        <v>-8.8320844039711396E-2</v>
      </c>
    </row>
    <row r="161" spans="1:5" x14ac:dyDescent="0.3">
      <c r="A161" s="7" t="s">
        <v>598</v>
      </c>
      <c r="B161" s="7" t="s">
        <v>599</v>
      </c>
      <c r="C161" s="49">
        <v>0</v>
      </c>
      <c r="D161" s="81">
        <v>-3.1588377463370419E-3</v>
      </c>
      <c r="E161" s="55">
        <v>-7.1984357954786304E-2</v>
      </c>
    </row>
    <row r="162" spans="1:5" x14ac:dyDescent="0.3">
      <c r="A162" s="7" t="s">
        <v>600</v>
      </c>
      <c r="B162" s="7" t="s">
        <v>601</v>
      </c>
      <c r="C162" s="49">
        <v>-23.64999999999964</v>
      </c>
      <c r="D162" s="81">
        <v>-2.995731159304924E-3</v>
      </c>
      <c r="E162" s="55">
        <v>-6.8267445631788798E-2</v>
      </c>
    </row>
    <row r="163" spans="1:5" x14ac:dyDescent="0.3">
      <c r="A163" s="7" t="s">
        <v>602</v>
      </c>
      <c r="B163" s="7" t="s">
        <v>603</v>
      </c>
      <c r="C163" s="49">
        <v>-20.16399999999976</v>
      </c>
      <c r="D163" s="81">
        <v>-2.55416165311729E-3</v>
      </c>
      <c r="E163" s="55">
        <v>-5.8204853011391201E-2</v>
      </c>
    </row>
    <row r="164" spans="1:5" x14ac:dyDescent="0.3">
      <c r="A164" s="7" t="s">
        <v>604</v>
      </c>
      <c r="B164" s="7" t="s">
        <v>605</v>
      </c>
      <c r="C164" s="49">
        <v>0</v>
      </c>
      <c r="D164" s="81">
        <v>-2.3288973522153349E-3</v>
      </c>
      <c r="E164" s="55">
        <v>-5.3071475683175599E-2</v>
      </c>
    </row>
    <row r="165" spans="1:5" x14ac:dyDescent="0.3">
      <c r="A165" s="7" t="s">
        <v>606</v>
      </c>
      <c r="B165" s="7" t="s">
        <v>607</v>
      </c>
      <c r="C165" s="49">
        <v>0</v>
      </c>
      <c r="D165" s="81">
        <v>-1.954136913775102E-3</v>
      </c>
      <c r="E165" s="55">
        <v>-4.4531344244245603E-2</v>
      </c>
    </row>
    <row r="166" spans="1:5" x14ac:dyDescent="0.3">
      <c r="A166" s="7" t="s">
        <v>608</v>
      </c>
      <c r="B166" s="7" t="s">
        <v>609</v>
      </c>
      <c r="C166" s="49">
        <v>0</v>
      </c>
      <c r="D166" s="81">
        <v>-1.895302647802168E-3</v>
      </c>
      <c r="E166" s="55">
        <v>-4.3190614772869999E-2</v>
      </c>
    </row>
    <row r="167" spans="1:5" x14ac:dyDescent="0.3">
      <c r="A167" s="7" t="s">
        <v>610</v>
      </c>
      <c r="B167" s="7" t="s">
        <v>607</v>
      </c>
      <c r="C167" s="49">
        <v>0</v>
      </c>
      <c r="D167" s="81">
        <v>-1.885447074033734E-3</v>
      </c>
      <c r="E167" s="55">
        <v>-4.2966023576052899E-2</v>
      </c>
    </row>
    <row r="168" spans="1:5" x14ac:dyDescent="0.3">
      <c r="A168" s="7" t="s">
        <v>611</v>
      </c>
      <c r="B168" s="7" t="s">
        <v>612</v>
      </c>
      <c r="C168" s="49">
        <v>0</v>
      </c>
      <c r="D168" s="81">
        <v>-1.866392964747802E-3</v>
      </c>
      <c r="E168" s="55">
        <v>-4.2531813928868602E-2</v>
      </c>
    </row>
    <row r="169" spans="1:5" x14ac:dyDescent="0.3">
      <c r="A169" s="7" t="s">
        <v>613</v>
      </c>
      <c r="B169" s="7" t="s">
        <v>614</v>
      </c>
      <c r="C169" s="49">
        <v>0</v>
      </c>
      <c r="D169" s="81">
        <v>-1.163553197051925E-3</v>
      </c>
      <c r="E169" s="55">
        <v>-2.6515331448456001E-2</v>
      </c>
    </row>
    <row r="170" spans="1:5" x14ac:dyDescent="0.3">
      <c r="A170" s="7" t="s">
        <v>615</v>
      </c>
      <c r="B170" s="7" t="s">
        <v>616</v>
      </c>
      <c r="C170" s="49">
        <v>0</v>
      </c>
      <c r="D170" s="81">
        <v>9.5002045221093503E-4</v>
      </c>
      <c r="E170" s="55">
        <v>2.1649295654905001E-2</v>
      </c>
    </row>
    <row r="171" spans="1:5" x14ac:dyDescent="0.3">
      <c r="A171" s="7" t="s">
        <v>617</v>
      </c>
      <c r="B171" s="7" t="s">
        <v>618</v>
      </c>
      <c r="C171" s="49">
        <v>0</v>
      </c>
      <c r="D171" s="81">
        <v>9.0707854369846002E-4</v>
      </c>
      <c r="E171" s="55">
        <v>2.0670725066018698E-2</v>
      </c>
    </row>
    <row r="172" spans="1:5" x14ac:dyDescent="0.3">
      <c r="A172" s="7" t="s">
        <v>619</v>
      </c>
      <c r="B172" s="7" t="s">
        <v>620</v>
      </c>
      <c r="C172" s="49">
        <v>0</v>
      </c>
      <c r="D172" s="81">
        <v>-7.6534697484106505E-4</v>
      </c>
      <c r="E172" s="55">
        <v>-1.7440911822853299E-2</v>
      </c>
    </row>
    <row r="173" spans="1:5" x14ac:dyDescent="0.3">
      <c r="A173" s="7" t="s">
        <v>621</v>
      </c>
      <c r="B173" s="7" t="s">
        <v>593</v>
      </c>
      <c r="C173" s="49">
        <v>0</v>
      </c>
      <c r="D173" s="81">
        <v>-4.4496154513069499E-4</v>
      </c>
      <c r="E173" s="55">
        <v>-1.01398912235808E-2</v>
      </c>
    </row>
    <row r="174" spans="1:5" x14ac:dyDescent="0.3">
      <c r="A174" s="7" t="s">
        <v>622</v>
      </c>
      <c r="B174" s="7" t="s">
        <v>605</v>
      </c>
      <c r="C174" s="49">
        <v>4.5474735088646412E-13</v>
      </c>
      <c r="D174" s="81">
        <v>-2.7677305700009899E-4</v>
      </c>
      <c r="E174" s="55">
        <v>-6.3071713102189004E-3</v>
      </c>
    </row>
    <row r="175" spans="1:5" x14ac:dyDescent="0.3">
      <c r="A175" s="7" t="s">
        <v>623</v>
      </c>
      <c r="B175" s="7" t="s">
        <v>612</v>
      </c>
      <c r="C175" s="49">
        <v>0</v>
      </c>
      <c r="D175" s="81">
        <v>-7.6953185047655997E-5</v>
      </c>
      <c r="E175" s="55">
        <v>-1.7536277780205E-3</v>
      </c>
    </row>
    <row r="176" spans="1:5" x14ac:dyDescent="0.3">
      <c r="A176" s="7" t="s">
        <v>624</v>
      </c>
      <c r="B176" s="7" t="s">
        <v>607</v>
      </c>
      <c r="C176" s="49">
        <v>0</v>
      </c>
      <c r="D176" s="81">
        <v>-6.6398613187103995E-5</v>
      </c>
      <c r="E176" s="55">
        <v>-1.5131076437525999E-3</v>
      </c>
    </row>
    <row r="177" spans="1:8" x14ac:dyDescent="0.3">
      <c r="A177" s="7" t="s">
        <v>625</v>
      </c>
      <c r="B177" s="7" t="s">
        <v>605</v>
      </c>
      <c r="C177" s="49">
        <v>0</v>
      </c>
      <c r="D177" s="81">
        <v>6.4559262647630004E-6</v>
      </c>
      <c r="E177" s="55">
        <v>1.471192079138E-4</v>
      </c>
    </row>
    <row r="178" spans="1:8" x14ac:dyDescent="0.3">
      <c r="A178" s="7" t="s">
        <v>626</v>
      </c>
      <c r="B178" s="7" t="s">
        <v>612</v>
      </c>
      <c r="C178" s="49">
        <v>0</v>
      </c>
      <c r="D178" s="81">
        <v>0</v>
      </c>
      <c r="E178" s="55">
        <v>-0.14383360694094449</v>
      </c>
    </row>
    <row r="179" spans="1:8" x14ac:dyDescent="0.3">
      <c r="A179" s="7" t="s">
        <v>627</v>
      </c>
      <c r="B179" s="7" t="s">
        <v>628</v>
      </c>
      <c r="C179" s="49">
        <v>0</v>
      </c>
      <c r="D179" s="81">
        <v>0</v>
      </c>
      <c r="E179" s="55">
        <v>0.2854141936796521</v>
      </c>
    </row>
    <row r="180" spans="1:8" x14ac:dyDescent="0.3">
      <c r="A180" s="7" t="s">
        <v>629</v>
      </c>
      <c r="B180" s="7" t="s">
        <v>630</v>
      </c>
      <c r="C180" s="49">
        <v>0</v>
      </c>
      <c r="D180" s="81">
        <v>0</v>
      </c>
      <c r="E180" s="55">
        <v>-5.0052228996381801E-2</v>
      </c>
    </row>
    <row r="182" spans="1:8" ht="30" customHeight="1" x14ac:dyDescent="0.3">
      <c r="A182" s="18" t="s">
        <v>631</v>
      </c>
      <c r="B182" s="18" t="s">
        <v>564</v>
      </c>
      <c r="C182" s="18" t="s">
        <v>632</v>
      </c>
      <c r="D182" s="18" t="s">
        <v>633</v>
      </c>
      <c r="E182" s="18" t="s">
        <v>634</v>
      </c>
      <c r="F182" s="18" t="s">
        <v>635</v>
      </c>
      <c r="G182" s="18" t="s">
        <v>636</v>
      </c>
      <c r="H182" s="18" t="s">
        <v>637</v>
      </c>
    </row>
    <row r="183" spans="1:8" x14ac:dyDescent="0.3">
      <c r="A183" s="7" t="s">
        <v>638</v>
      </c>
      <c r="B183" s="7" t="s">
        <v>571</v>
      </c>
      <c r="C183" s="73">
        <v>0</v>
      </c>
      <c r="D183" s="59">
        <v>-0.03</v>
      </c>
      <c r="E183" s="59">
        <v>0.41561820891959272</v>
      </c>
      <c r="F183" s="59">
        <v>0.39754454527793059</v>
      </c>
      <c r="G183" s="81">
        <v>-1.807366364166214E-2</v>
      </c>
      <c r="H183" s="81">
        <v>6.024554547220712E-3</v>
      </c>
    </row>
    <row r="184" spans="1:8" x14ac:dyDescent="0.3">
      <c r="A184" s="7" t="s">
        <v>638</v>
      </c>
      <c r="B184" s="7" t="s">
        <v>571</v>
      </c>
      <c r="C184" s="73">
        <v>0</v>
      </c>
      <c r="D184" s="59">
        <v>-0.01</v>
      </c>
      <c r="E184" s="59">
        <v>0.41561820891959272</v>
      </c>
      <c r="F184" s="59">
        <v>0.4097153625450432</v>
      </c>
      <c r="G184" s="81">
        <v>-5.9028463745495682E-3</v>
      </c>
      <c r="H184" s="81">
        <v>5.9028463745495682E-3</v>
      </c>
    </row>
    <row r="185" spans="1:8" x14ac:dyDescent="0.3">
      <c r="A185" s="7" t="s">
        <v>638</v>
      </c>
      <c r="B185" s="7" t="s">
        <v>571</v>
      </c>
      <c r="C185" s="73">
        <v>0</v>
      </c>
      <c r="D185" s="59">
        <v>0.01</v>
      </c>
      <c r="E185" s="59">
        <v>0.41561820891959272</v>
      </c>
      <c r="F185" s="59">
        <v>0.42140416724712149</v>
      </c>
      <c r="G185" s="81">
        <v>5.7859583275287462E-3</v>
      </c>
      <c r="H185" s="81">
        <v>5.7859583275287462E-3</v>
      </c>
    </row>
    <row r="186" spans="1:8" x14ac:dyDescent="0.3">
      <c r="A186" s="7" t="s">
        <v>638</v>
      </c>
      <c r="B186" s="7" t="s">
        <v>572</v>
      </c>
      <c r="C186" s="73">
        <v>0.36417300000000002</v>
      </c>
      <c r="D186" s="59">
        <v>-0.03</v>
      </c>
      <c r="E186" s="59">
        <v>0.41561820891959272</v>
      </c>
      <c r="F186" s="59">
        <v>0.40412648558730557</v>
      </c>
      <c r="G186" s="81">
        <v>-1.1491723332287131E-2</v>
      </c>
      <c r="H186" s="81">
        <v>3.830574444095707E-3</v>
      </c>
    </row>
    <row r="187" spans="1:8" x14ac:dyDescent="0.3">
      <c r="A187" s="7" t="s">
        <v>638</v>
      </c>
      <c r="B187" s="7" t="s">
        <v>572</v>
      </c>
      <c r="C187" s="73">
        <v>0.36417300000000002</v>
      </c>
      <c r="D187" s="59">
        <v>-0.01</v>
      </c>
      <c r="E187" s="59">
        <v>0.41561820891959272</v>
      </c>
      <c r="F187" s="59">
        <v>0.41186501981780199</v>
      </c>
      <c r="G187" s="81">
        <v>-3.7531891017907521E-3</v>
      </c>
      <c r="H187" s="81">
        <v>3.7531891017907521E-3</v>
      </c>
    </row>
    <row r="188" spans="1:8" x14ac:dyDescent="0.3">
      <c r="A188" s="7" t="s">
        <v>638</v>
      </c>
      <c r="B188" s="7" t="s">
        <v>572</v>
      </c>
      <c r="C188" s="73">
        <v>0.36417300000000002</v>
      </c>
      <c r="D188" s="59">
        <v>0.01</v>
      </c>
      <c r="E188" s="59">
        <v>0.41561820891959272</v>
      </c>
      <c r="F188" s="59">
        <v>0.41929707744511041</v>
      </c>
      <c r="G188" s="81">
        <v>3.6788685255177002E-3</v>
      </c>
      <c r="H188" s="81">
        <v>3.6788685255177002E-3</v>
      </c>
    </row>
    <row r="189" spans="1:8" x14ac:dyDescent="0.3">
      <c r="A189" s="7" t="s">
        <v>108</v>
      </c>
      <c r="B189" s="7" t="s">
        <v>571</v>
      </c>
      <c r="C189" s="73">
        <v>0</v>
      </c>
      <c r="D189" s="59">
        <v>-0.03</v>
      </c>
      <c r="E189" s="59">
        <v>0.35726611336217279</v>
      </c>
      <c r="F189" s="59">
        <v>0.3462948865206219</v>
      </c>
      <c r="G189" s="81">
        <v>-1.097122684155089E-2</v>
      </c>
      <c r="H189" s="81">
        <v>3.6570756138502962E-3</v>
      </c>
    </row>
    <row r="190" spans="1:8" x14ac:dyDescent="0.3">
      <c r="A190" s="7" t="s">
        <v>108</v>
      </c>
      <c r="B190" s="7" t="s">
        <v>571</v>
      </c>
      <c r="C190" s="73">
        <v>0</v>
      </c>
      <c r="D190" s="59">
        <v>-0.01</v>
      </c>
      <c r="E190" s="59">
        <v>0.35726611336217279</v>
      </c>
      <c r="F190" s="59">
        <v>0.3536501860981871</v>
      </c>
      <c r="G190" s="81">
        <v>-3.6159272639856958E-3</v>
      </c>
      <c r="H190" s="81">
        <v>3.6159272639856958E-3</v>
      </c>
    </row>
    <row r="191" spans="1:8" x14ac:dyDescent="0.3">
      <c r="A191" s="7" t="s">
        <v>108</v>
      </c>
      <c r="B191" s="7" t="s">
        <v>571</v>
      </c>
      <c r="C191" s="73">
        <v>0</v>
      </c>
      <c r="D191" s="59">
        <v>0.01</v>
      </c>
      <c r="E191" s="59">
        <v>0.35726611336217279</v>
      </c>
      <c r="F191" s="59">
        <v>0.36084180795187959</v>
      </c>
      <c r="G191" s="81">
        <v>3.5756945897067278E-3</v>
      </c>
      <c r="H191" s="81">
        <v>3.5756945897067278E-3</v>
      </c>
    </row>
    <row r="192" spans="1:8" x14ac:dyDescent="0.3">
      <c r="A192" s="7" t="s">
        <v>108</v>
      </c>
      <c r="B192" s="7" t="s">
        <v>572</v>
      </c>
      <c r="C192" s="73">
        <v>0.36417300000000002</v>
      </c>
      <c r="D192" s="59">
        <v>-0.03</v>
      </c>
      <c r="E192" s="59">
        <v>0.35726611336217279</v>
      </c>
      <c r="F192" s="59">
        <v>0.34992757716922829</v>
      </c>
      <c r="G192" s="81">
        <v>-7.3385361929445029E-3</v>
      </c>
      <c r="H192" s="81">
        <v>2.4461787309815E-3</v>
      </c>
    </row>
    <row r="193" spans="1:28" x14ac:dyDescent="0.3">
      <c r="A193" s="7" t="s">
        <v>108</v>
      </c>
      <c r="B193" s="7" t="s">
        <v>572</v>
      </c>
      <c r="C193" s="73">
        <v>0.36417300000000002</v>
      </c>
      <c r="D193" s="59">
        <v>-0.01</v>
      </c>
      <c r="E193" s="59">
        <v>0.35726611336217279</v>
      </c>
      <c r="F193" s="59">
        <v>0.3548474583219437</v>
      </c>
      <c r="G193" s="81">
        <v>-2.4186550402291109E-3</v>
      </c>
      <c r="H193" s="81">
        <v>2.4186550402291109E-3</v>
      </c>
    </row>
    <row r="194" spans="1:28" x14ac:dyDescent="0.3">
      <c r="A194" s="7" t="s">
        <v>108</v>
      </c>
      <c r="B194" s="7" t="s">
        <v>572</v>
      </c>
      <c r="C194" s="73">
        <v>0.36417300000000002</v>
      </c>
      <c r="D194" s="59">
        <v>0.01</v>
      </c>
      <c r="E194" s="59">
        <v>0.35726611336217279</v>
      </c>
      <c r="F194" s="59">
        <v>0.35965785719724702</v>
      </c>
      <c r="G194" s="81">
        <v>2.3917438350741799E-3</v>
      </c>
      <c r="H194" s="81">
        <v>2.3917438350741799E-3</v>
      </c>
    </row>
    <row r="195" spans="1:28" x14ac:dyDescent="0.3">
      <c r="A195" s="7" t="s">
        <v>109</v>
      </c>
      <c r="B195" s="7" t="s">
        <v>571</v>
      </c>
      <c r="C195" s="73">
        <v>0</v>
      </c>
      <c r="D195" s="59">
        <v>-0.03</v>
      </c>
      <c r="E195" s="59">
        <v>0.34641898326006948</v>
      </c>
      <c r="F195" s="59">
        <v>0.32620513738151491</v>
      </c>
      <c r="G195" s="81">
        <v>-2.0213845878554581E-2</v>
      </c>
      <c r="H195" s="81">
        <v>6.7379486261848597E-3</v>
      </c>
    </row>
    <row r="196" spans="1:28" x14ac:dyDescent="0.3">
      <c r="A196" s="7" t="s">
        <v>109</v>
      </c>
      <c r="B196" s="7" t="s">
        <v>571</v>
      </c>
      <c r="C196" s="73">
        <v>0</v>
      </c>
      <c r="D196" s="59">
        <v>-0.01</v>
      </c>
      <c r="E196" s="59">
        <v>0.34641898326006948</v>
      </c>
      <c r="F196" s="59">
        <v>0.339817154808151</v>
      </c>
      <c r="G196" s="81">
        <v>-6.6018284519184789E-3</v>
      </c>
      <c r="H196" s="81">
        <v>6.6018284519184789E-3</v>
      </c>
    </row>
    <row r="197" spans="1:28" x14ac:dyDescent="0.3">
      <c r="A197" s="7" t="s">
        <v>109</v>
      </c>
      <c r="B197" s="7" t="s">
        <v>571</v>
      </c>
      <c r="C197" s="73">
        <v>0</v>
      </c>
      <c r="D197" s="59">
        <v>0.01</v>
      </c>
      <c r="E197" s="59">
        <v>0.34641898326006948</v>
      </c>
      <c r="F197" s="59">
        <v>0.35289008243571229</v>
      </c>
      <c r="G197" s="81">
        <v>6.4710991756428624E-3</v>
      </c>
      <c r="H197" s="81">
        <v>6.4710991756428624E-3</v>
      </c>
    </row>
    <row r="198" spans="1:28" x14ac:dyDescent="0.3">
      <c r="A198" s="7" t="s">
        <v>109</v>
      </c>
      <c r="B198" s="7" t="s">
        <v>572</v>
      </c>
      <c r="C198" s="73">
        <v>0.36417300000000002</v>
      </c>
      <c r="D198" s="59">
        <v>-0.03</v>
      </c>
      <c r="E198" s="59">
        <v>0.34641898326006948</v>
      </c>
      <c r="F198" s="59">
        <v>0.33356647427664582</v>
      </c>
      <c r="G198" s="81">
        <v>-1.2852508983423621E-2</v>
      </c>
      <c r="H198" s="81">
        <v>4.284169661141206E-3</v>
      </c>
    </row>
    <row r="199" spans="1:28" x14ac:dyDescent="0.3">
      <c r="A199" s="7" t="s">
        <v>109</v>
      </c>
      <c r="B199" s="7" t="s">
        <v>572</v>
      </c>
      <c r="C199" s="73">
        <v>0.36417300000000002</v>
      </c>
      <c r="D199" s="59">
        <v>-0.01</v>
      </c>
      <c r="E199" s="59">
        <v>0.34641898326006948</v>
      </c>
      <c r="F199" s="59">
        <v>0.34222136248097151</v>
      </c>
      <c r="G199" s="81">
        <v>-4.1976207790979459E-3</v>
      </c>
      <c r="H199" s="81">
        <v>4.1976207790979459E-3</v>
      </c>
    </row>
    <row r="200" spans="1:28" x14ac:dyDescent="0.3">
      <c r="A200" s="7" t="s">
        <v>109</v>
      </c>
      <c r="B200" s="7" t="s">
        <v>572</v>
      </c>
      <c r="C200" s="73">
        <v>0.36417300000000002</v>
      </c>
      <c r="D200" s="59">
        <v>0.01</v>
      </c>
      <c r="E200" s="59">
        <v>0.34641898326006948</v>
      </c>
      <c r="F200" s="59">
        <v>0.35053348283562102</v>
      </c>
      <c r="G200" s="81">
        <v>4.1144995755514916E-3</v>
      </c>
      <c r="H200" s="81">
        <v>4.1144995755514916E-3</v>
      </c>
    </row>
    <row r="202" spans="1:28" x14ac:dyDescent="0.3">
      <c r="A202" s="3" t="s">
        <v>639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31.95" customHeight="1" x14ac:dyDescent="0.3">
      <c r="A203" s="18" t="s">
        <v>110</v>
      </c>
      <c r="B203" s="18" t="s">
        <v>283</v>
      </c>
      <c r="C203" s="18" t="s">
        <v>640</v>
      </c>
      <c r="D203" s="18" t="s">
        <v>641</v>
      </c>
      <c r="E203" s="18" t="s">
        <v>642</v>
      </c>
      <c r="F203" s="18" t="s">
        <v>643</v>
      </c>
      <c r="G203" s="18" t="s">
        <v>644</v>
      </c>
      <c r="H203" s="18" t="s">
        <v>645</v>
      </c>
      <c r="I203" s="18" t="s">
        <v>646</v>
      </c>
      <c r="J203" s="18" t="s">
        <v>647</v>
      </c>
      <c r="K203" s="18" t="s">
        <v>648</v>
      </c>
      <c r="L203" s="18" t="s">
        <v>649</v>
      </c>
    </row>
    <row r="204" spans="1:28" x14ac:dyDescent="0.3">
      <c r="A204" s="7" t="s">
        <v>99</v>
      </c>
      <c r="B204" s="42">
        <v>4680.8999966296178</v>
      </c>
      <c r="C204" s="59">
        <v>-2.5631680567385962E-2</v>
      </c>
      <c r="D204" s="59">
        <v>8.5000000000000006E-2</v>
      </c>
      <c r="E204" s="42">
        <v>374.97146152219182</v>
      </c>
      <c r="F204" s="73">
        <v>9.4418018885454913</v>
      </c>
      <c r="G204" s="49">
        <v>34.551156164383563</v>
      </c>
      <c r="H204" s="42">
        <v>174.3591207934092</v>
      </c>
      <c r="I204" s="59">
        <v>0.1662748218026745</v>
      </c>
      <c r="J204" s="59">
        <v>0.515225435409712</v>
      </c>
      <c r="K204" s="59">
        <v>0.48918268495491118</v>
      </c>
      <c r="L204" s="81">
        <v>-1.448605354629265E-2</v>
      </c>
    </row>
    <row r="205" spans="1:28" x14ac:dyDescent="0.3">
      <c r="A205" s="7" t="s">
        <v>100</v>
      </c>
      <c r="B205" s="42">
        <v>2965.8676775559729</v>
      </c>
      <c r="C205" s="59">
        <v>-6.6781914208204896E-2</v>
      </c>
      <c r="D205" s="59">
        <v>0.05</v>
      </c>
      <c r="E205" s="42">
        <v>329.17577651506849</v>
      </c>
      <c r="F205" s="73">
        <v>9.3870196826438512</v>
      </c>
      <c r="G205" s="49">
        <v>30.508397260273981</v>
      </c>
      <c r="H205" s="42">
        <v>156.16942249076919</v>
      </c>
      <c r="I205" s="59">
        <v>0.2556107055377993</v>
      </c>
      <c r="J205" s="59">
        <v>0.77107074829280586</v>
      </c>
      <c r="K205" s="59">
        <v>0.23588639640924999</v>
      </c>
      <c r="L205" s="81">
        <v>-4.6945935875158613E-2</v>
      </c>
    </row>
    <row r="206" spans="1:28" x14ac:dyDescent="0.3">
      <c r="A206" s="7" t="s">
        <v>101</v>
      </c>
      <c r="B206" s="42">
        <v>2835.534611159138</v>
      </c>
      <c r="C206" s="59">
        <v>-7.1269398528539973E-2</v>
      </c>
      <c r="D206" s="59">
        <v>0.04</v>
      </c>
      <c r="E206" s="42">
        <v>329.26642840000011</v>
      </c>
      <c r="F206" s="73">
        <v>7.2968527912932153</v>
      </c>
      <c r="G206" s="49">
        <v>39.258266666666657</v>
      </c>
      <c r="H206" s="42">
        <v>167.12593631394671</v>
      </c>
      <c r="I206" s="59">
        <v>0.29245694415006962</v>
      </c>
      <c r="J206" s="59">
        <v>0.8800361523705843</v>
      </c>
      <c r="K206" s="59">
        <v>0.127240771888673</v>
      </c>
      <c r="L206" s="81">
        <v>-5.4884095799978709E-2</v>
      </c>
    </row>
    <row r="207" spans="1:28" x14ac:dyDescent="0.3">
      <c r="A207" s="7" t="s">
        <v>102</v>
      </c>
      <c r="B207" s="42">
        <v>3762.9715817637061</v>
      </c>
      <c r="C207" s="59">
        <v>-6.6023924670647771E-2</v>
      </c>
      <c r="D207" s="59">
        <v>0.02</v>
      </c>
      <c r="E207" s="42">
        <v>352.01434710000001</v>
      </c>
      <c r="F207" s="73">
        <v>8.3776370734996615</v>
      </c>
      <c r="G207" s="49">
        <v>36.555950000000003</v>
      </c>
      <c r="H207" s="42">
        <v>186.13280361823519</v>
      </c>
      <c r="I207" s="59">
        <v>0.24851005398036541</v>
      </c>
      <c r="J207" s="59">
        <v>0.70556668394465161</v>
      </c>
      <c r="K207" s="59">
        <v>0.29991674056482509</v>
      </c>
      <c r="L207" s="81">
        <v>-4.1071191631569588E-2</v>
      </c>
    </row>
    <row r="208" spans="1:28" x14ac:dyDescent="0.3">
      <c r="A208" s="7" t="s">
        <v>103</v>
      </c>
      <c r="B208" s="42">
        <v>4988.1742476277986</v>
      </c>
      <c r="C208" s="59">
        <v>-5.5401074069213137E-2</v>
      </c>
      <c r="D208" s="59">
        <v>0.03</v>
      </c>
      <c r="E208" s="42">
        <v>409.41935849788581</v>
      </c>
      <c r="F208" s="73">
        <v>9.8718251202332645</v>
      </c>
      <c r="G208" s="49">
        <v>36.081964333333332</v>
      </c>
      <c r="H208" s="42">
        <v>176.87691339193549</v>
      </c>
      <c r="I208" s="59">
        <v>0.1643749321634288</v>
      </c>
      <c r="J208" s="59">
        <v>0.51316842766290083</v>
      </c>
      <c r="K208" s="59">
        <v>0.49096815008590577</v>
      </c>
      <c r="L208" s="81">
        <v>-2.8661495293028881E-2</v>
      </c>
    </row>
    <row r="209" spans="1:28" x14ac:dyDescent="0.3">
      <c r="A209" s="7" t="s">
        <v>104</v>
      </c>
      <c r="B209" s="42">
        <v>3326.8310829520001</v>
      </c>
      <c r="C209" s="59">
        <v>-4.0087268792472042E-2</v>
      </c>
      <c r="D209" s="59">
        <v>0.04</v>
      </c>
      <c r="E209" s="42">
        <v>360.08814700635628</v>
      </c>
      <c r="F209" s="73">
        <v>9.7383411102513193</v>
      </c>
      <c r="G209" s="49">
        <v>32.169409999999999</v>
      </c>
      <c r="H209" s="42">
        <v>160.88839386154919</v>
      </c>
      <c r="I209" s="59">
        <v>0.26309865456012688</v>
      </c>
      <c r="J209" s="59">
        <v>0.75881163409744834</v>
      </c>
      <c r="K209" s="59">
        <v>0.24739065573495231</v>
      </c>
      <c r="L209" s="81">
        <v>-3.2574882434442641E-2</v>
      </c>
    </row>
    <row r="210" spans="1:28" ht="31.95" customHeight="1" x14ac:dyDescent="0.3">
      <c r="A210" s="18" t="s">
        <v>650</v>
      </c>
      <c r="B210" s="18" t="s">
        <v>651</v>
      </c>
      <c r="C210" s="18" t="s">
        <v>652</v>
      </c>
      <c r="D210" s="18" t="s">
        <v>553</v>
      </c>
      <c r="E210" s="18" t="s">
        <v>653</v>
      </c>
      <c r="F210" s="18" t="s">
        <v>654</v>
      </c>
      <c r="G210" s="18" t="s">
        <v>655</v>
      </c>
      <c r="H210" s="18" t="s">
        <v>656</v>
      </c>
      <c r="I210" s="18" t="s">
        <v>657</v>
      </c>
      <c r="J210" s="18" t="s">
        <v>658</v>
      </c>
      <c r="K210" s="18" t="s">
        <v>659</v>
      </c>
      <c r="L210" s="18" t="s">
        <v>660</v>
      </c>
      <c r="M210" s="18" t="s">
        <v>661</v>
      </c>
      <c r="N210" s="18" t="s">
        <v>662</v>
      </c>
      <c r="O210" s="18" t="s">
        <v>663</v>
      </c>
      <c r="P210" s="18" t="s">
        <v>664</v>
      </c>
    </row>
    <row r="211" spans="1:28" x14ac:dyDescent="0.3">
      <c r="A211" s="7" t="s">
        <v>665</v>
      </c>
      <c r="B211" s="42">
        <v>4680.8999966296178</v>
      </c>
      <c r="C211" s="42">
        <v>2289.815228356711</v>
      </c>
      <c r="D211" s="59">
        <v>0.48918268495491118</v>
      </c>
      <c r="E211" s="55">
        <v>2.7144969286287441</v>
      </c>
      <c r="F211" s="42">
        <v>2965.8676775559729</v>
      </c>
      <c r="G211" s="42">
        <v>699.60783868535009</v>
      </c>
      <c r="H211" s="59">
        <v>0.23588639640924999</v>
      </c>
      <c r="I211" s="42">
        <v>0</v>
      </c>
      <c r="J211" s="42">
        <v>13932.76767418559</v>
      </c>
      <c r="K211" s="42">
        <v>4769.4230670420611</v>
      </c>
      <c r="L211" s="59">
        <v>0.34231698816587403</v>
      </c>
      <c r="M211" s="42">
        <v>14913.511523502641</v>
      </c>
      <c r="N211" s="42">
        <v>4761.4353900764636</v>
      </c>
      <c r="O211" s="59">
        <v>0.31926990384342258</v>
      </c>
      <c r="P211" s="55">
        <v>4.5839263945318729</v>
      </c>
    </row>
    <row r="212" spans="1:28" x14ac:dyDescent="0.3">
      <c r="A212" s="7" t="s">
        <v>666</v>
      </c>
      <c r="B212" s="42">
        <v>4680.8999966296178</v>
      </c>
      <c r="C212" s="42">
        <v>2289.815228356711</v>
      </c>
      <c r="D212" s="59">
        <v>0.48918268495491118</v>
      </c>
      <c r="E212" s="55">
        <v>2.7144969286287441</v>
      </c>
      <c r="F212" s="42">
        <v>2965.8676775559729</v>
      </c>
      <c r="G212" s="42">
        <v>876.3172959791732</v>
      </c>
      <c r="H212" s="59">
        <v>0.29546742850689262</v>
      </c>
      <c r="I212" s="42">
        <v>176.70945729382311</v>
      </c>
      <c r="J212" s="42">
        <v>13932.76767418559</v>
      </c>
      <c r="K212" s="42">
        <v>4946.1325243358842</v>
      </c>
      <c r="L212" s="59">
        <v>0.35499999999999998</v>
      </c>
      <c r="M212" s="42">
        <v>14913.511523502641</v>
      </c>
      <c r="N212" s="42">
        <v>4761.4353900764636</v>
      </c>
      <c r="O212" s="59">
        <v>0.31926990384342258</v>
      </c>
      <c r="P212" s="55">
        <v>4.5839263945318729</v>
      </c>
    </row>
    <row r="213" spans="1:28" ht="43.95" customHeight="1" x14ac:dyDescent="0.3">
      <c r="A213" s="158" t="s">
        <v>667</v>
      </c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</row>
    <row r="215" spans="1:28" x14ac:dyDescent="0.3">
      <c r="A215" s="3" t="s">
        <v>668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31.95" customHeight="1" x14ac:dyDescent="0.3">
      <c r="A216" s="18" t="s">
        <v>110</v>
      </c>
      <c r="B216" s="18" t="s">
        <v>669</v>
      </c>
      <c r="C216" s="18" t="s">
        <v>648</v>
      </c>
      <c r="D216" s="18" t="s">
        <v>670</v>
      </c>
      <c r="E216" s="18" t="s">
        <v>671</v>
      </c>
      <c r="F216" s="18" t="s">
        <v>672</v>
      </c>
      <c r="G216" s="18" t="s">
        <v>673</v>
      </c>
    </row>
    <row r="217" spans="1:28" x14ac:dyDescent="0.3">
      <c r="A217" s="7" t="s">
        <v>357</v>
      </c>
      <c r="B217" s="42">
        <v>2142</v>
      </c>
      <c r="C217" s="59">
        <v>0.1979458450046685</v>
      </c>
      <c r="D217" s="59">
        <v>0.34827264239028938</v>
      </c>
      <c r="E217" s="59">
        <v>0.46311858076563961</v>
      </c>
    </row>
    <row r="218" spans="1:28" x14ac:dyDescent="0.3">
      <c r="A218" s="7" t="s">
        <v>358</v>
      </c>
      <c r="B218" s="42">
        <v>2748</v>
      </c>
      <c r="C218" s="59">
        <v>0.32532751091703049</v>
      </c>
      <c r="D218" s="59">
        <v>0.2983988355167394</v>
      </c>
      <c r="E218" s="59">
        <v>0.38173216885007277</v>
      </c>
    </row>
    <row r="219" spans="1:28" x14ac:dyDescent="0.3">
      <c r="A219" s="7" t="s">
        <v>359</v>
      </c>
      <c r="B219" s="42">
        <v>3732</v>
      </c>
      <c r="C219" s="59">
        <v>0.52465166130760976</v>
      </c>
      <c r="D219" s="59">
        <v>0.217577706323687</v>
      </c>
      <c r="E219" s="59">
        <v>0.2612540192926045</v>
      </c>
    </row>
    <row r="220" spans="1:28" x14ac:dyDescent="0.3">
      <c r="A220" s="7" t="s">
        <v>360</v>
      </c>
      <c r="B220" s="42">
        <v>2480</v>
      </c>
      <c r="C220" s="59">
        <v>0.30846774193548387</v>
      </c>
      <c r="D220" s="59">
        <v>0.27903225806451609</v>
      </c>
      <c r="E220" s="59">
        <v>0.4165322580645161</v>
      </c>
    </row>
    <row r="221" spans="1:28" x14ac:dyDescent="0.3">
      <c r="A221" s="7" t="s">
        <v>361</v>
      </c>
      <c r="B221" s="42">
        <v>2272</v>
      </c>
      <c r="C221" s="59">
        <v>0.18353873239436619</v>
      </c>
      <c r="D221" s="59">
        <v>0.34683098591549288</v>
      </c>
      <c r="E221" s="59">
        <v>0.48063380281690138</v>
      </c>
    </row>
    <row r="222" spans="1:28" x14ac:dyDescent="0.3">
      <c r="A222" s="7" t="s">
        <v>362</v>
      </c>
      <c r="B222" s="42">
        <v>3096</v>
      </c>
      <c r="C222" s="59">
        <v>0.33688630490956067</v>
      </c>
      <c r="D222" s="59">
        <v>0.2755167958656331</v>
      </c>
      <c r="E222" s="59">
        <v>0.3921188630490956</v>
      </c>
    </row>
    <row r="223" spans="1:28" x14ac:dyDescent="0.3">
      <c r="A223" s="7" t="s">
        <v>363</v>
      </c>
      <c r="B223" s="42">
        <v>4095</v>
      </c>
      <c r="C223" s="59">
        <v>0.50085470085470085</v>
      </c>
      <c r="D223" s="59">
        <v>0.2178266178266178</v>
      </c>
      <c r="E223" s="59">
        <v>0.28693528693528692</v>
      </c>
    </row>
    <row r="224" spans="1:28" x14ac:dyDescent="0.3">
      <c r="A224" s="7" t="s">
        <v>364</v>
      </c>
      <c r="B224" s="42">
        <v>2778</v>
      </c>
      <c r="C224" s="59">
        <v>0.28293736501079919</v>
      </c>
      <c r="D224" s="59">
        <v>0.28437724982001439</v>
      </c>
      <c r="E224" s="59">
        <v>0.44168466522678179</v>
      </c>
    </row>
    <row r="225" spans="1:28" x14ac:dyDescent="0.3">
      <c r="A225" s="7" t="s">
        <v>365</v>
      </c>
      <c r="B225" s="42">
        <v>2678</v>
      </c>
      <c r="C225" s="59">
        <v>0.1938013442867812</v>
      </c>
      <c r="D225" s="59">
        <v>0.32935026138909629</v>
      </c>
      <c r="E225" s="59">
        <v>0.48431665421956682</v>
      </c>
    </row>
    <row r="226" spans="1:28" x14ac:dyDescent="0.3">
      <c r="A226" s="7" t="s">
        <v>366</v>
      </c>
      <c r="B226" s="42">
        <v>3608</v>
      </c>
      <c r="C226" s="59">
        <v>0.34950110864745021</v>
      </c>
      <c r="D226" s="59">
        <v>0.26496674057649672</v>
      </c>
      <c r="E226" s="59">
        <v>0.39052106430155198</v>
      </c>
    </row>
    <row r="227" spans="1:28" x14ac:dyDescent="0.3">
      <c r="A227" s="7" t="s">
        <v>367</v>
      </c>
      <c r="B227" s="42">
        <v>4804.0355</v>
      </c>
      <c r="C227" s="59">
        <v>0.4993993908638773</v>
      </c>
      <c r="D227" s="59">
        <v>0.2044594139352468</v>
      </c>
      <c r="E227" s="59">
        <v>0.30043632803241038</v>
      </c>
      <c r="F227" s="59">
        <v>0.51763094932320242</v>
      </c>
      <c r="G227" s="81">
        <v>1.8096100563786421E-2</v>
      </c>
    </row>
    <row r="228" spans="1:28" x14ac:dyDescent="0.3">
      <c r="A228" s="7" t="s">
        <v>674</v>
      </c>
      <c r="B228" s="42">
        <v>3178.1078000000002</v>
      </c>
      <c r="C228" s="59">
        <v>0.28897436999999998</v>
      </c>
      <c r="D228" s="59">
        <v>0.27128512314303449</v>
      </c>
      <c r="E228" s="59">
        <v>0.44623304011839482</v>
      </c>
      <c r="F228" s="59">
        <v>0.29754326248741531</v>
      </c>
      <c r="G228" s="81">
        <v>2.9232746597182491E-2</v>
      </c>
    </row>
    <row r="229" spans="1:28" x14ac:dyDescent="0.3">
      <c r="A229" s="7" t="s">
        <v>675</v>
      </c>
      <c r="B229" s="42">
        <v>3053.1293000000001</v>
      </c>
      <c r="C229" s="59">
        <v>0.19470221603682389</v>
      </c>
      <c r="D229" s="59">
        <v>0.31455887443134312</v>
      </c>
      <c r="E229" s="59">
        <v>0.49749721177599537</v>
      </c>
      <c r="F229" s="59">
        <v>0.174232559804365</v>
      </c>
      <c r="G229" s="81">
        <v>2.4717757030704689E-2</v>
      </c>
    </row>
    <row r="230" spans="1:28" x14ac:dyDescent="0.3">
      <c r="A230" s="7" t="s">
        <v>676</v>
      </c>
      <c r="B230" s="42">
        <v>4028.9807000000001</v>
      </c>
      <c r="C230" s="59">
        <v>0.34035894837950509</v>
      </c>
      <c r="D230" s="59">
        <v>0.25371492436000009</v>
      </c>
      <c r="E230" s="59">
        <v>0.41104751456322081</v>
      </c>
      <c r="F230" s="59">
        <v>0.33586712828799542</v>
      </c>
      <c r="G230" s="81">
        <v>9.2207887707115802E-3</v>
      </c>
    </row>
    <row r="231" spans="1:28" x14ac:dyDescent="0.3">
      <c r="A231" s="7" t="s">
        <v>677</v>
      </c>
      <c r="B231" s="42">
        <v>5280.7325000000001</v>
      </c>
      <c r="C231" s="59">
        <v>0.48303223037642029</v>
      </c>
      <c r="D231" s="59">
        <v>0.1987807104342979</v>
      </c>
      <c r="E231" s="59">
        <v>0.32209446608783382</v>
      </c>
      <c r="F231" s="59">
        <v>0.51763094932320242</v>
      </c>
      <c r="G231" s="81">
        <v>1.8096100563786421E-2</v>
      </c>
    </row>
    <row r="232" spans="1:28" x14ac:dyDescent="0.3">
      <c r="A232" s="7" t="s">
        <v>678</v>
      </c>
      <c r="B232" s="42">
        <v>3465.7640999999999</v>
      </c>
      <c r="C232" s="59">
        <v>0.27896160983636931</v>
      </c>
      <c r="D232" s="59">
        <v>0.26443760629916963</v>
      </c>
      <c r="E232" s="59">
        <v>0.46255444083722141</v>
      </c>
      <c r="F232" s="59">
        <v>0.29754326248741531</v>
      </c>
      <c r="G232" s="81">
        <v>2.9232746597182491E-2</v>
      </c>
    </row>
    <row r="233" spans="1:28" ht="30" customHeight="1" x14ac:dyDescent="0.3">
      <c r="A233" s="158" t="s">
        <v>679</v>
      </c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</row>
    <row r="235" spans="1:28" x14ac:dyDescent="0.3">
      <c r="A235" s="3" t="s">
        <v>190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3">
      <c r="A236" s="7" t="s">
        <v>680</v>
      </c>
      <c r="B236" s="10" t="s">
        <v>192</v>
      </c>
    </row>
    <row r="237" spans="1:28" x14ac:dyDescent="0.3">
      <c r="A237" s="7" t="s">
        <v>681</v>
      </c>
      <c r="B237" s="10" t="s">
        <v>682</v>
      </c>
    </row>
    <row r="238" spans="1:28" x14ac:dyDescent="0.3">
      <c r="A238" s="7" t="s">
        <v>683</v>
      </c>
      <c r="B238" s="10" t="s">
        <v>684</v>
      </c>
    </row>
    <row r="239" spans="1:28" x14ac:dyDescent="0.3">
      <c r="A239" s="7" t="s">
        <v>685</v>
      </c>
      <c r="B239" s="10" t="s">
        <v>686</v>
      </c>
    </row>
    <row r="240" spans="1:28" x14ac:dyDescent="0.3">
      <c r="A240" s="7" t="s">
        <v>299</v>
      </c>
      <c r="B240" s="10" t="s">
        <v>687</v>
      </c>
    </row>
    <row r="241" spans="1:2" x14ac:dyDescent="0.3">
      <c r="A241" s="7" t="s">
        <v>49</v>
      </c>
      <c r="B241" s="10" t="s">
        <v>688</v>
      </c>
    </row>
  </sheetData>
  <mergeCells count="9">
    <mergeCell ref="B3:F3"/>
    <mergeCell ref="A233:L233"/>
    <mergeCell ref="A114:L114"/>
    <mergeCell ref="A92:L92"/>
    <mergeCell ref="A139:L139"/>
    <mergeCell ref="A213:L213"/>
    <mergeCell ref="A60:L60"/>
    <mergeCell ref="A76:L76"/>
    <mergeCell ref="A155:L1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45"/>
  <sheetViews>
    <sheetView showGridLines="0" zoomScale="59" workbookViewId="0">
      <pane xSplit="1" ySplit="5" topLeftCell="B116" activePane="bottomRight" state="frozen"/>
      <selection pane="topRight"/>
      <selection pane="bottomLeft"/>
      <selection pane="bottomRight" activeCell="N163" sqref="N163"/>
    </sheetView>
  </sheetViews>
  <sheetFormatPr defaultRowHeight="14.4" x14ac:dyDescent="0.3"/>
  <cols>
    <col min="1" max="1" width="48" customWidth="1"/>
    <col min="2" max="6" width="9.44140625" customWidth="1"/>
    <col min="7" max="7" width="12" customWidth="1"/>
    <col min="8" max="21" width="9.44140625" customWidth="1"/>
    <col min="23" max="23" width="70" customWidth="1"/>
  </cols>
  <sheetData>
    <row r="1" spans="1:23" ht="17.399999999999999" x14ac:dyDescent="0.3">
      <c r="A1" s="1" t="s">
        <v>689</v>
      </c>
    </row>
    <row r="2" spans="1:23" x14ac:dyDescent="0.3">
      <c r="A2" s="2" t="s">
        <v>690</v>
      </c>
    </row>
    <row r="4" spans="1:23" x14ac:dyDescent="0.3">
      <c r="B4" s="10" t="s">
        <v>85</v>
      </c>
      <c r="C4" s="10" t="s">
        <v>86</v>
      </c>
      <c r="D4" s="10" t="s">
        <v>87</v>
      </c>
      <c r="E4" s="10" t="s">
        <v>88</v>
      </c>
      <c r="F4" s="10" t="s">
        <v>89</v>
      </c>
      <c r="G4" s="10" t="s">
        <v>90</v>
      </c>
      <c r="H4" s="10" t="s">
        <v>91</v>
      </c>
      <c r="I4" s="10" t="s">
        <v>92</v>
      </c>
      <c r="J4" s="10" t="s">
        <v>93</v>
      </c>
      <c r="K4" s="10" t="s">
        <v>94</v>
      </c>
      <c r="L4" s="10" t="s">
        <v>95</v>
      </c>
      <c r="M4" s="10" t="s">
        <v>96</v>
      </c>
      <c r="N4" s="10" t="s">
        <v>97</v>
      </c>
      <c r="O4" s="10" t="s">
        <v>98</v>
      </c>
      <c r="P4" s="10" t="s">
        <v>99</v>
      </c>
      <c r="Q4" s="10" t="s">
        <v>100</v>
      </c>
      <c r="R4" s="10" t="s">
        <v>101</v>
      </c>
      <c r="S4" s="10" t="s">
        <v>102</v>
      </c>
      <c r="T4" s="10" t="s">
        <v>103</v>
      </c>
      <c r="U4" s="10" t="s">
        <v>104</v>
      </c>
    </row>
    <row r="5" spans="1:23" x14ac:dyDescent="0.3">
      <c r="A5" s="17" t="s">
        <v>110</v>
      </c>
      <c r="B5" s="18" t="s">
        <v>111</v>
      </c>
      <c r="C5" s="18" t="s">
        <v>112</v>
      </c>
      <c r="D5" s="18" t="s">
        <v>113</v>
      </c>
      <c r="E5" s="18" t="s">
        <v>114</v>
      </c>
      <c r="F5" s="18" t="s">
        <v>115</v>
      </c>
      <c r="G5" s="18" t="s">
        <v>116</v>
      </c>
      <c r="H5" s="18" t="s">
        <v>117</v>
      </c>
      <c r="I5" s="18" t="s">
        <v>118</v>
      </c>
      <c r="J5" s="18" t="s">
        <v>119</v>
      </c>
      <c r="K5" s="18" t="s">
        <v>120</v>
      </c>
      <c r="L5" s="18" t="s">
        <v>121</v>
      </c>
      <c r="M5" s="18" t="s">
        <v>122</v>
      </c>
      <c r="N5" s="18" t="s">
        <v>123</v>
      </c>
      <c r="O5" s="18" t="s">
        <v>124</v>
      </c>
      <c r="P5" s="18" t="s">
        <v>125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</row>
    <row r="6" spans="1:23" x14ac:dyDescent="0.3">
      <c r="A6" s="3" t="s">
        <v>691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3" x14ac:dyDescent="0.3">
      <c r="A7" s="30" t="s">
        <v>134</v>
      </c>
      <c r="B7" s="32">
        <v>121.1</v>
      </c>
      <c r="C7" s="32">
        <v>115.1</v>
      </c>
      <c r="D7" s="32">
        <v>113.2</v>
      </c>
      <c r="E7" s="32">
        <v>98.8</v>
      </c>
      <c r="F7" s="32">
        <v>132.6</v>
      </c>
      <c r="G7" s="32">
        <v>125.1</v>
      </c>
      <c r="H7" s="32">
        <v>122.8</v>
      </c>
      <c r="I7" s="32">
        <v>111</v>
      </c>
      <c r="J7" s="32">
        <v>143.1</v>
      </c>
      <c r="K7" s="32">
        <v>134.4</v>
      </c>
      <c r="L7" s="32">
        <v>133.6</v>
      </c>
      <c r="M7" s="32">
        <v>121.9</v>
      </c>
      <c r="N7" s="32">
        <v>156.19999999999999</v>
      </c>
      <c r="O7" s="32">
        <v>148.30000000000001</v>
      </c>
      <c r="P7" s="33">
        <f>INDEX('Scenario Data'!$D$5:$I$345,MATCH('Income Statement'!$G$3&amp;"|nights_m",'Scenario Data'!$A$5:$A$345,0),MATCH(P$4,'Scenario Data'!$D$4:$I$4,0))</f>
        <v>146.81299999999999</v>
      </c>
      <c r="Q7" s="33">
        <f>INDEX('Scenario Data'!$D$5:$I$345,MATCH('Income Statement'!$G$3&amp;"|nights_m",'Scenario Data'!$A$5:$A$345,0),MATCH(Q$4,'Scenario Data'!$D$4:$I$4,0))</f>
        <v>131.79830000000001</v>
      </c>
      <c r="R7" s="33">
        <f>INDEX('Scenario Data'!$D$5:$I$345,MATCH('Income Statement'!$G$3&amp;"|nights_m",'Scenario Data'!$A$5:$A$345,0),MATCH(R$4,'Scenario Data'!$D$4:$I$4,0))</f>
        <v>169.01779999999999</v>
      </c>
      <c r="S7" s="33">
        <f>INDEX('Scenario Data'!$D$5:$I$345,MATCH('Income Statement'!$G$3&amp;"|nights_m",'Scenario Data'!$A$5:$A$345,0),MATCH(S$4,'Scenario Data'!$D$4:$I$4,0))</f>
        <v>157.1001</v>
      </c>
      <c r="T7" s="33">
        <f>INDEX('Scenario Data'!$D$5:$I$345,MATCH('Income Statement'!$G$3&amp;"|nights_m",'Scenario Data'!$A$5:$A$345,0),MATCH(T$4,'Scenario Data'!$D$4:$I$4,0))</f>
        <v>155.958</v>
      </c>
      <c r="U7" s="33">
        <f>INDEX('Scenario Data'!$D$5:$I$345,MATCH('Income Statement'!$G$3&amp;"|nights_m",'Scenario Data'!$A$5:$A$345,0),MATCH(U$4,'Scenario Data'!$D$4:$I$4,0))</f>
        <v>139.7655</v>
      </c>
    </row>
    <row r="8" spans="1:23" x14ac:dyDescent="0.3">
      <c r="A8" s="7" t="s">
        <v>692</v>
      </c>
      <c r="P8" s="50">
        <f>INDEX('Scenario Data'!$D$5:$I$345,MATCH('Income Statement'!$G$3&amp;"|bookings_m",'Scenario Data'!$A$5:$A$345,0),MATCH(P$4,'Scenario Data'!$D$4:$I$4,0))</f>
        <v>40.222739726027392</v>
      </c>
      <c r="Q8" s="50">
        <f>INDEX('Scenario Data'!$D$5:$I$345,MATCH('Income Statement'!$G$3&amp;"|bookings_m",'Scenario Data'!$A$5:$A$345,0),MATCH(Q$4,'Scenario Data'!$D$4:$I$4,0))</f>
        <v>36.109123287671238</v>
      </c>
      <c r="R8" s="50">
        <f>INDEX('Scenario Data'!$D$5:$I$345,MATCH('Income Statement'!$G$3&amp;"|bookings_m",'Scenario Data'!$A$5:$A$345,0),MATCH(R$4,'Scenario Data'!$D$4:$I$4,0))</f>
        <v>46.949388888888883</v>
      </c>
      <c r="S8" s="50">
        <f>INDEX('Scenario Data'!$D$5:$I$345,MATCH('Income Statement'!$G$3&amp;"|bookings_m",'Scenario Data'!$A$5:$A$345,0),MATCH(S$4,'Scenario Data'!$D$4:$I$4,0))</f>
        <v>43.638916666666667</v>
      </c>
      <c r="T8" s="50">
        <f>INDEX('Scenario Data'!$D$5:$I$345,MATCH('Income Statement'!$G$3&amp;"|bookings_m",'Scenario Data'!$A$5:$A$345,0),MATCH(T$4,'Scenario Data'!$D$4:$I$4,0))</f>
        <v>43.321666666666673</v>
      </c>
      <c r="U8" s="50">
        <f>INDEX('Scenario Data'!$D$5:$I$345,MATCH('Income Statement'!$G$3&amp;"|bookings_m",'Scenario Data'!$A$5:$A$345,0),MATCH(U$4,'Scenario Data'!$D$4:$I$4,0))</f>
        <v>38.823749999999997</v>
      </c>
      <c r="W8" s="46" t="s">
        <v>693</v>
      </c>
    </row>
    <row r="9" spans="1:23" x14ac:dyDescent="0.3">
      <c r="A9" s="7" t="s">
        <v>694</v>
      </c>
      <c r="P9" s="79">
        <f t="shared" ref="P9:U9" si="0">IFERROR(P7/P8,"")</f>
        <v>3.6500000000000004</v>
      </c>
      <c r="Q9" s="79">
        <f t="shared" si="0"/>
        <v>3.65</v>
      </c>
      <c r="R9" s="79">
        <f t="shared" si="0"/>
        <v>3.6</v>
      </c>
      <c r="S9" s="79">
        <f t="shared" si="0"/>
        <v>3.6</v>
      </c>
      <c r="T9" s="79">
        <f t="shared" si="0"/>
        <v>3.5999999999999996</v>
      </c>
      <c r="U9" s="79">
        <f t="shared" si="0"/>
        <v>3.6000000000000005</v>
      </c>
    </row>
    <row r="10" spans="1:23" x14ac:dyDescent="0.3">
      <c r="A10" s="30" t="s">
        <v>136</v>
      </c>
      <c r="B10" s="32">
        <v>20.399999999999999</v>
      </c>
      <c r="C10" s="32">
        <v>19.100000000000001</v>
      </c>
      <c r="D10" s="32">
        <v>18.3</v>
      </c>
      <c r="E10" s="32">
        <v>15.5</v>
      </c>
      <c r="F10" s="32">
        <v>22.9</v>
      </c>
      <c r="G10" s="32">
        <v>21.2</v>
      </c>
      <c r="H10" s="32">
        <v>20.100000000000001</v>
      </c>
      <c r="I10" s="32">
        <v>17.600000000000001</v>
      </c>
      <c r="J10" s="32">
        <v>24.5</v>
      </c>
      <c r="K10" s="32">
        <v>23.5</v>
      </c>
      <c r="L10" s="32">
        <v>22.9</v>
      </c>
      <c r="M10" s="32">
        <v>20.399999999999999</v>
      </c>
      <c r="N10" s="32">
        <v>29.2</v>
      </c>
      <c r="O10" s="32">
        <v>27.2</v>
      </c>
      <c r="P10" s="33">
        <f>INDEX('Scenario Data'!$D$5:$I$345,MATCH('Income Statement'!$G$3&amp;"|gbv_busd",'Scenario Data'!$A$5:$A$345,0),MATCH(P$4,'Scenario Data'!$D$4:$I$4,0))</f>
        <v>26.027999999999999</v>
      </c>
      <c r="Q10" s="33">
        <f>INDEX('Scenario Data'!$D$5:$I$345,MATCH('Income Statement'!$G$3&amp;"|gbv_busd",'Scenario Data'!$A$5:$A$345,0),MATCH(Q$4,'Scenario Data'!$D$4:$I$4,0))</f>
        <v>22.987300000000001</v>
      </c>
      <c r="R10" s="33">
        <f>INDEX('Scenario Data'!$D$5:$I$345,MATCH('Income Statement'!$G$3&amp;"|gbv_busd",'Scenario Data'!$A$5:$A$345,0),MATCH(R$4,'Scenario Data'!$D$4:$I$4,0))</f>
        <v>32.599600000000002</v>
      </c>
      <c r="S10" s="33">
        <f>INDEX('Scenario Data'!$D$5:$I$345,MATCH('Income Statement'!$G$3&amp;"|gbv_busd",'Scenario Data'!$A$5:$A$345,0),MATCH(S$4,'Scenario Data'!$D$4:$I$4,0))</f>
        <v>29.6479</v>
      </c>
      <c r="T10" s="33">
        <f>INDEX('Scenario Data'!$D$5:$I$345,MATCH('Income Statement'!$G$3&amp;"|gbv_busd",'Scenario Data'!$A$5:$A$345,0),MATCH(T$4,'Scenario Data'!$D$4:$I$4,0))</f>
        <v>28.390799999999999</v>
      </c>
      <c r="U10" s="33">
        <f>INDEX('Scenario Data'!$D$5:$I$345,MATCH('Income Statement'!$G$3&amp;"|gbv_busd",'Scenario Data'!$A$5:$A$345,0),MATCH(U$4,'Scenario Data'!$D$4:$I$4,0))</f>
        <v>24.834199999999999</v>
      </c>
    </row>
    <row r="11" spans="1:23" x14ac:dyDescent="0.3">
      <c r="A11" s="7" t="s">
        <v>280</v>
      </c>
      <c r="B11" s="93">
        <v>168.43</v>
      </c>
      <c r="C11" s="93">
        <v>166.01</v>
      </c>
      <c r="D11" s="93">
        <v>161.38</v>
      </c>
      <c r="E11" s="93">
        <v>156.72999999999999</v>
      </c>
      <c r="F11" s="93">
        <v>172.88</v>
      </c>
      <c r="G11" s="93">
        <v>169.53</v>
      </c>
      <c r="H11" s="93">
        <v>163.63999999999999</v>
      </c>
      <c r="I11" s="93">
        <v>158.13</v>
      </c>
      <c r="J11" s="93">
        <v>171.34</v>
      </c>
      <c r="K11" s="93">
        <v>174.48</v>
      </c>
      <c r="L11" s="93">
        <v>171.29</v>
      </c>
      <c r="M11" s="93">
        <v>167.51</v>
      </c>
      <c r="N11" s="93">
        <v>186.82</v>
      </c>
      <c r="O11" s="93">
        <v>183.73</v>
      </c>
      <c r="P11" s="37">
        <f t="shared" ref="P11:U11" si="1">IFERROR(P10*1000/P7,"")</f>
        <v>177.28675253553843</v>
      </c>
      <c r="Q11" s="37">
        <f t="shared" si="1"/>
        <v>174.41272004267128</v>
      </c>
      <c r="R11" s="37">
        <f t="shared" si="1"/>
        <v>192.87672659329374</v>
      </c>
      <c r="S11" s="37">
        <f t="shared" si="1"/>
        <v>188.71980348834916</v>
      </c>
      <c r="T11" s="37">
        <f t="shared" si="1"/>
        <v>182.04131881660447</v>
      </c>
      <c r="U11" s="37">
        <f t="shared" si="1"/>
        <v>177.68476483824693</v>
      </c>
    </row>
    <row r="12" spans="1:23" x14ac:dyDescent="0.3">
      <c r="A12" s="30" t="s">
        <v>283</v>
      </c>
      <c r="B12" s="38">
        <v>1818</v>
      </c>
      <c r="C12" s="38">
        <v>2484</v>
      </c>
      <c r="D12" s="38">
        <v>3397</v>
      </c>
      <c r="E12" s="38">
        <v>2218</v>
      </c>
      <c r="F12" s="38">
        <v>2142</v>
      </c>
      <c r="G12" s="38">
        <v>2748</v>
      </c>
      <c r="H12" s="38">
        <v>3732</v>
      </c>
      <c r="I12" s="38">
        <v>2480</v>
      </c>
      <c r="J12" s="38">
        <v>2272</v>
      </c>
      <c r="K12" s="38">
        <v>3096</v>
      </c>
      <c r="L12" s="38">
        <v>4095</v>
      </c>
      <c r="M12" s="38">
        <v>2778</v>
      </c>
      <c r="N12" s="38">
        <v>2678</v>
      </c>
      <c r="O12" s="38">
        <v>3608</v>
      </c>
      <c r="P12" s="39">
        <f>INDEX('Scenario Data'!$D$5:$I$345,MATCH('Income Statement'!$G$3&amp;"|revenue",'Scenario Data'!$A$5:$A$345,0),MATCH(P$4,'Scenario Data'!$D$4:$I$4,0))</f>
        <v>4804.0355</v>
      </c>
      <c r="Q12" s="39">
        <f>INDEX('Scenario Data'!$D$5:$I$345,MATCH('Income Statement'!$G$3&amp;"|revenue",'Scenario Data'!$A$5:$A$345,0),MATCH(Q$4,'Scenario Data'!$D$4:$I$4,0))</f>
        <v>3178.1078000000002</v>
      </c>
      <c r="R12" s="39">
        <f>INDEX('Scenario Data'!$D$5:$I$345,MATCH('Income Statement'!$G$3&amp;"|revenue",'Scenario Data'!$A$5:$A$345,0),MATCH(R$4,'Scenario Data'!$D$4:$I$4,0))</f>
        <v>3053.1293000000001</v>
      </c>
      <c r="S12" s="39">
        <f>INDEX('Scenario Data'!$D$5:$I$345,MATCH('Income Statement'!$G$3&amp;"|revenue",'Scenario Data'!$A$5:$A$345,0),MATCH(S$4,'Scenario Data'!$D$4:$I$4,0))</f>
        <v>4028.9807000000001</v>
      </c>
      <c r="T12" s="39">
        <f>INDEX('Scenario Data'!$D$5:$I$345,MATCH('Income Statement'!$G$3&amp;"|revenue",'Scenario Data'!$A$5:$A$345,0),MATCH(T$4,'Scenario Data'!$D$4:$I$4,0))</f>
        <v>5280.7325000000001</v>
      </c>
      <c r="U12" s="39">
        <f>INDEX('Scenario Data'!$D$5:$I$345,MATCH('Income Statement'!$G$3&amp;"|revenue",'Scenario Data'!$A$5:$A$345,0),MATCH(U$4,'Scenario Data'!$D$4:$I$4,0))</f>
        <v>3465.7640999999999</v>
      </c>
    </row>
    <row r="13" spans="1:23" x14ac:dyDescent="0.3">
      <c r="A13" s="7" t="s">
        <v>695</v>
      </c>
      <c r="B13" s="36">
        <f t="shared" ref="B13:U13" si="2">B12/B7</f>
        <v>15.012386457473163</v>
      </c>
      <c r="C13" s="36">
        <f t="shared" si="2"/>
        <v>21.58123370981755</v>
      </c>
      <c r="D13" s="36">
        <f t="shared" si="2"/>
        <v>30.008833922261484</v>
      </c>
      <c r="E13" s="36">
        <f t="shared" si="2"/>
        <v>22.449392712550608</v>
      </c>
      <c r="F13" s="36">
        <f t="shared" si="2"/>
        <v>16.153846153846153</v>
      </c>
      <c r="G13" s="36">
        <f t="shared" si="2"/>
        <v>21.966426858513191</v>
      </c>
      <c r="H13" s="36">
        <f t="shared" si="2"/>
        <v>30.390879478827362</v>
      </c>
      <c r="I13" s="36">
        <f t="shared" si="2"/>
        <v>22.342342342342342</v>
      </c>
      <c r="J13" s="36">
        <f t="shared" si="2"/>
        <v>15.877009084556255</v>
      </c>
      <c r="K13" s="36">
        <f t="shared" si="2"/>
        <v>23.035714285714285</v>
      </c>
      <c r="L13" s="36">
        <f t="shared" si="2"/>
        <v>30.651197604790422</v>
      </c>
      <c r="M13" s="36">
        <f t="shared" si="2"/>
        <v>22.789171452009843</v>
      </c>
      <c r="N13" s="36">
        <f t="shared" si="2"/>
        <v>17.144686299615877</v>
      </c>
      <c r="O13" s="36">
        <f t="shared" si="2"/>
        <v>24.329062710721509</v>
      </c>
      <c r="P13" s="37">
        <f t="shared" si="2"/>
        <v>32.722139728770614</v>
      </c>
      <c r="Q13" s="37">
        <f t="shared" si="2"/>
        <v>24.113420279320749</v>
      </c>
      <c r="R13" s="37">
        <f t="shared" si="2"/>
        <v>18.063951252471636</v>
      </c>
      <c r="S13" s="37">
        <f t="shared" si="2"/>
        <v>25.645946119703297</v>
      </c>
      <c r="T13" s="37">
        <f t="shared" si="2"/>
        <v>33.859965503533004</v>
      </c>
      <c r="U13" s="37">
        <f t="shared" si="2"/>
        <v>24.79699282011655</v>
      </c>
    </row>
    <row r="14" spans="1:23" x14ac:dyDescent="0.3">
      <c r="A14" s="7" t="s">
        <v>140</v>
      </c>
      <c r="B14" s="26">
        <f t="shared" ref="B14:U14" si="3">B12/(B10*1000)</f>
        <v>8.9117647058823524E-2</v>
      </c>
      <c r="C14" s="26">
        <f t="shared" si="3"/>
        <v>0.13005235602094239</v>
      </c>
      <c r="D14" s="26">
        <f t="shared" si="3"/>
        <v>0.18562841530054644</v>
      </c>
      <c r="E14" s="26">
        <f t="shared" si="3"/>
        <v>0.14309677419354838</v>
      </c>
      <c r="F14" s="26">
        <f t="shared" si="3"/>
        <v>9.3537117903930128E-2</v>
      </c>
      <c r="G14" s="26">
        <f t="shared" si="3"/>
        <v>0.12962264150943395</v>
      </c>
      <c r="H14" s="26">
        <f t="shared" si="3"/>
        <v>0.18567164179104478</v>
      </c>
      <c r="I14" s="26">
        <f t="shared" si="3"/>
        <v>0.1409090909090909</v>
      </c>
      <c r="J14" s="26">
        <f t="shared" si="3"/>
        <v>9.2734693877551025E-2</v>
      </c>
      <c r="K14" s="26">
        <f t="shared" si="3"/>
        <v>0.13174468085106383</v>
      </c>
      <c r="L14" s="26">
        <f t="shared" si="3"/>
        <v>0.17882096069868997</v>
      </c>
      <c r="M14" s="26">
        <f t="shared" si="3"/>
        <v>0.13617647058823529</v>
      </c>
      <c r="N14" s="26">
        <f t="shared" si="3"/>
        <v>9.1712328767123291E-2</v>
      </c>
      <c r="O14" s="26">
        <f t="shared" si="3"/>
        <v>0.13264705882352942</v>
      </c>
      <c r="P14" s="41">
        <f t="shared" si="3"/>
        <v>0.18457182649454434</v>
      </c>
      <c r="Q14" s="41">
        <f t="shared" si="3"/>
        <v>0.13825494077164346</v>
      </c>
      <c r="R14" s="41">
        <f t="shared" si="3"/>
        <v>9.3655422152419038E-2</v>
      </c>
      <c r="S14" s="41">
        <f t="shared" si="3"/>
        <v>0.1358943028005356</v>
      </c>
      <c r="T14" s="41">
        <f t="shared" si="3"/>
        <v>0.1860015392310185</v>
      </c>
      <c r="U14" s="41">
        <f t="shared" si="3"/>
        <v>0.13955610005556851</v>
      </c>
    </row>
    <row r="15" spans="1:23" x14ac:dyDescent="0.3">
      <c r="A15" s="7" t="s">
        <v>696</v>
      </c>
      <c r="B15" s="36">
        <f>1579/B7</f>
        <v>13.038810900082577</v>
      </c>
      <c r="C15" s="36">
        <f>1659/C7</f>
        <v>14.413553431798437</v>
      </c>
      <c r="D15" s="36">
        <f>1574/D7</f>
        <v>13.904593639575971</v>
      </c>
      <c r="E15" s="36">
        <f>1493/E7</f>
        <v>15.111336032388664</v>
      </c>
      <c r="F15" s="36">
        <f>1738/F7</f>
        <v>13.107088989441932</v>
      </c>
      <c r="G15" s="36">
        <f>1869/G7</f>
        <v>14.940047961630697</v>
      </c>
      <c r="H15" s="36">
        <f>1787/H7</f>
        <v>14.552117263843648</v>
      </c>
      <c r="I15" s="36">
        <f>1725/I7</f>
        <v>15.54054054054054</v>
      </c>
      <c r="J15" s="36">
        <f>1880/J7</f>
        <v>13.137665967854648</v>
      </c>
      <c r="K15" s="36">
        <f>2067/K7</f>
        <v>15.379464285714285</v>
      </c>
      <c r="L15" s="36">
        <f>2067/L7</f>
        <v>15.471556886227546</v>
      </c>
      <c r="M15" s="36">
        <f>2017/M7</f>
        <v>16.546349466776046</v>
      </c>
      <c r="N15" s="36">
        <f>2179/N7</f>
        <v>13.950064020486558</v>
      </c>
      <c r="O15" s="36">
        <f>2365/O7</f>
        <v>15.947403910991232</v>
      </c>
      <c r="P15" s="37">
        <f>INDEX('Scenario Data'!$D$5:$I$345,MATCH('Income Statement'!$G$3&amp;"|total_cash_costs",'Scenario Data'!$A$5:$A$345,0),MATCH(P$4,'Scenario Data'!$D$4:$I$4,0))/P7</f>
        <v>16.381566827187704</v>
      </c>
      <c r="Q15" s="37">
        <f>INDEX('Scenario Data'!$D$5:$I$345,MATCH('Income Statement'!$G$3&amp;"|total_cash_costs",'Scenario Data'!$A$5:$A$345,0),MATCH(Q$4,'Scenario Data'!$D$4:$I$4,0))/Q7</f>
        <v>17.449922565576617</v>
      </c>
      <c r="R15" s="37">
        <f>INDEX('Scenario Data'!$D$5:$I$345,MATCH('Income Statement'!$G$3&amp;"|total_cash_costs",'Scenario Data'!$A$5:$A$345,0),MATCH(R$4,'Scenario Data'!$D$4:$I$4,0))/R7</f>
        <v>14.896138162969002</v>
      </c>
      <c r="S15" s="37">
        <f>INDEX('Scenario Data'!$D$5:$I$345,MATCH('Income Statement'!$G$3&amp;"|total_cash_costs",'Scenario Data'!$A$5:$A$345,0),MATCH(S$4,'Scenario Data'!$D$4:$I$4,0))/S7</f>
        <v>17.032330805949361</v>
      </c>
      <c r="T15" s="37">
        <f>INDEX('Scenario Data'!$D$5:$I$345,MATCH('Income Statement'!$G$3&amp;"|total_cash_costs",'Scenario Data'!$A$5:$A$345,0),MATCH(T$4,'Scenario Data'!$D$4:$I$4,0))/T7</f>
        <v>16.397628299182429</v>
      </c>
      <c r="U15" s="37">
        <f>INDEX('Scenario Data'!$D$5:$I$345,MATCH('Income Statement'!$G$3&amp;"|total_cash_costs",'Scenario Data'!$A$5:$A$345,0),MATCH(U$4,'Scenario Data'!$D$4:$I$4,0))/U7</f>
        <v>18.002322169456974</v>
      </c>
    </row>
    <row r="17" spans="1:22" x14ac:dyDescent="0.3">
      <c r="A17" s="3" t="s">
        <v>697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3">
      <c r="A18" s="7" t="s">
        <v>698</v>
      </c>
      <c r="B18" s="42">
        <v>925</v>
      </c>
      <c r="C18" s="42">
        <v>1192</v>
      </c>
      <c r="D18" s="42">
        <v>1478</v>
      </c>
      <c r="E18" s="42">
        <v>1043</v>
      </c>
      <c r="F18" s="42">
        <v>1015</v>
      </c>
      <c r="G18" s="42">
        <v>1308</v>
      </c>
      <c r="H18" s="42">
        <v>1572</v>
      </c>
      <c r="I18" s="42">
        <v>1111</v>
      </c>
      <c r="J18" s="42">
        <v>1054</v>
      </c>
      <c r="K18" s="42">
        <v>1377</v>
      </c>
      <c r="L18" s="42">
        <v>1619</v>
      </c>
      <c r="M18" s="42">
        <v>1146</v>
      </c>
      <c r="N18" s="42">
        <v>1138</v>
      </c>
      <c r="O18" s="42">
        <v>1594</v>
      </c>
    </row>
    <row r="19" spans="1:22" x14ac:dyDescent="0.3">
      <c r="A19" s="7" t="s">
        <v>699</v>
      </c>
      <c r="B19" s="42">
        <v>458</v>
      </c>
      <c r="C19" s="42">
        <v>941</v>
      </c>
      <c r="D19" s="42">
        <v>1533</v>
      </c>
      <c r="E19" s="42">
        <v>683</v>
      </c>
      <c r="F19" s="42">
        <v>567</v>
      </c>
      <c r="G19" s="42">
        <v>1048</v>
      </c>
      <c r="H19" s="42">
        <v>1726</v>
      </c>
      <c r="I19" s="42">
        <v>794</v>
      </c>
      <c r="J19" s="42">
        <v>597</v>
      </c>
      <c r="K19" s="42">
        <v>1233</v>
      </c>
      <c r="L19" s="42">
        <v>1969</v>
      </c>
      <c r="M19" s="42">
        <v>930</v>
      </c>
      <c r="N19" s="42">
        <v>747</v>
      </c>
      <c r="O19" s="42">
        <v>1425</v>
      </c>
    </row>
    <row r="20" spans="1:22" x14ac:dyDescent="0.3">
      <c r="A20" s="7" t="s">
        <v>700</v>
      </c>
      <c r="B20" s="42">
        <v>235</v>
      </c>
      <c r="C20" s="42">
        <v>163</v>
      </c>
      <c r="D20" s="42">
        <v>178</v>
      </c>
      <c r="E20" s="42">
        <v>248</v>
      </c>
      <c r="F20" s="42">
        <v>307</v>
      </c>
      <c r="G20" s="42">
        <v>185</v>
      </c>
      <c r="H20" s="42">
        <v>199</v>
      </c>
      <c r="I20" s="42">
        <v>278</v>
      </c>
      <c r="J20" s="42">
        <v>343</v>
      </c>
      <c r="K20" s="42">
        <v>231</v>
      </c>
      <c r="L20" s="42">
        <v>235</v>
      </c>
      <c r="M20" s="42">
        <v>351</v>
      </c>
      <c r="N20" s="42">
        <v>451</v>
      </c>
      <c r="O20" s="42">
        <v>291</v>
      </c>
    </row>
    <row r="21" spans="1:22" x14ac:dyDescent="0.3">
      <c r="A21" s="7" t="s">
        <v>701</v>
      </c>
      <c r="B21" s="42">
        <v>200</v>
      </c>
      <c r="C21" s="42">
        <v>188</v>
      </c>
      <c r="D21" s="42">
        <v>208</v>
      </c>
      <c r="E21" s="42">
        <v>244</v>
      </c>
      <c r="F21" s="42">
        <v>253</v>
      </c>
      <c r="G21" s="42">
        <v>207</v>
      </c>
      <c r="H21" s="42">
        <v>235</v>
      </c>
      <c r="I21" s="42">
        <v>297</v>
      </c>
      <c r="J21" s="42">
        <v>278</v>
      </c>
      <c r="K21" s="42">
        <v>255</v>
      </c>
      <c r="L21" s="42">
        <v>272</v>
      </c>
      <c r="M21" s="42">
        <v>351</v>
      </c>
      <c r="N21" s="42">
        <v>342</v>
      </c>
      <c r="O21" s="42">
        <v>298</v>
      </c>
    </row>
    <row r="22" spans="1:22" x14ac:dyDescent="0.3">
      <c r="A22" s="7" t="s">
        <v>702</v>
      </c>
      <c r="B22" s="22">
        <f t="shared" ref="B22:O22" si="4">IFERROR(B18/B12,"")</f>
        <v>0.50880088008800883</v>
      </c>
      <c r="C22" s="22">
        <f t="shared" si="4"/>
        <v>0.47987117552334946</v>
      </c>
      <c r="D22" s="22">
        <f t="shared" si="4"/>
        <v>0.43508978510450397</v>
      </c>
      <c r="E22" s="22">
        <f t="shared" si="4"/>
        <v>0.47024346257889993</v>
      </c>
      <c r="F22" s="22">
        <f t="shared" si="4"/>
        <v>0.47385620915032678</v>
      </c>
      <c r="G22" s="22">
        <f t="shared" si="4"/>
        <v>0.4759825327510917</v>
      </c>
      <c r="H22" s="22">
        <f t="shared" si="4"/>
        <v>0.4212218649517685</v>
      </c>
      <c r="I22" s="22">
        <f t="shared" si="4"/>
        <v>0.44798387096774195</v>
      </c>
      <c r="J22" s="22">
        <f t="shared" si="4"/>
        <v>0.46390845070422537</v>
      </c>
      <c r="K22" s="22">
        <f t="shared" si="4"/>
        <v>0.44476744186046513</v>
      </c>
      <c r="L22" s="22">
        <f t="shared" si="4"/>
        <v>0.39536019536019534</v>
      </c>
      <c r="M22" s="22">
        <f t="shared" si="4"/>
        <v>0.41252699784017277</v>
      </c>
      <c r="N22" s="22">
        <f t="shared" si="4"/>
        <v>0.42494398805078415</v>
      </c>
      <c r="O22" s="22">
        <f t="shared" si="4"/>
        <v>0.44179600886917958</v>
      </c>
    </row>
    <row r="23" spans="1:22" x14ac:dyDescent="0.3">
      <c r="A23" s="7" t="s">
        <v>703</v>
      </c>
      <c r="B23" s="22">
        <f t="shared" ref="B23:O23" si="5">IFERROR(B19/B12,"")</f>
        <v>0.25192519251925194</v>
      </c>
      <c r="C23" s="22">
        <f t="shared" si="5"/>
        <v>0.37882447665056362</v>
      </c>
      <c r="D23" s="22">
        <f t="shared" si="5"/>
        <v>0.45128054165440096</v>
      </c>
      <c r="E23" s="22">
        <f t="shared" si="5"/>
        <v>0.30793507664562669</v>
      </c>
      <c r="F23" s="22">
        <f t="shared" si="5"/>
        <v>0.26470588235294118</v>
      </c>
      <c r="G23" s="22">
        <f t="shared" si="5"/>
        <v>0.38136826783114991</v>
      </c>
      <c r="H23" s="22">
        <f t="shared" si="5"/>
        <v>0.462486602357985</v>
      </c>
      <c r="I23" s="22">
        <f t="shared" si="5"/>
        <v>0.32016129032258067</v>
      </c>
      <c r="J23" s="22">
        <f t="shared" si="5"/>
        <v>0.26276408450704225</v>
      </c>
      <c r="K23" s="22">
        <f t="shared" si="5"/>
        <v>0.39825581395348836</v>
      </c>
      <c r="L23" s="22">
        <f t="shared" si="5"/>
        <v>0.48083028083028084</v>
      </c>
      <c r="M23" s="22">
        <f t="shared" si="5"/>
        <v>0.33477321814254862</v>
      </c>
      <c r="N23" s="22">
        <f t="shared" si="5"/>
        <v>0.27893950709484688</v>
      </c>
      <c r="O23" s="22">
        <f t="shared" si="5"/>
        <v>0.39495565410199557</v>
      </c>
    </row>
    <row r="24" spans="1:22" x14ac:dyDescent="0.3">
      <c r="A24" s="7" t="s">
        <v>704</v>
      </c>
      <c r="B24" s="22">
        <f t="shared" ref="B24:O24" si="6">IFERROR(B20/B12,"")</f>
        <v>0.12926292629262925</v>
      </c>
      <c r="C24" s="22">
        <f t="shared" si="6"/>
        <v>6.5619967793880837E-2</v>
      </c>
      <c r="D24" s="22">
        <f t="shared" si="6"/>
        <v>5.2399175743302912E-2</v>
      </c>
      <c r="E24" s="22">
        <f t="shared" si="6"/>
        <v>0.11181244364292155</v>
      </c>
      <c r="F24" s="22">
        <f t="shared" si="6"/>
        <v>0.14332399626517273</v>
      </c>
      <c r="G24" s="22">
        <f t="shared" si="6"/>
        <v>6.7321688500727797E-2</v>
      </c>
      <c r="H24" s="22">
        <f t="shared" si="6"/>
        <v>5.3322615219721328E-2</v>
      </c>
      <c r="I24" s="22">
        <f t="shared" si="6"/>
        <v>0.11209677419354838</v>
      </c>
      <c r="J24" s="22">
        <f t="shared" si="6"/>
        <v>0.15096830985915494</v>
      </c>
      <c r="K24" s="22">
        <f t="shared" si="6"/>
        <v>7.4612403100775188E-2</v>
      </c>
      <c r="L24" s="22">
        <f t="shared" si="6"/>
        <v>5.7387057387057384E-2</v>
      </c>
      <c r="M24" s="22">
        <f t="shared" si="6"/>
        <v>0.1263498920086393</v>
      </c>
      <c r="N24" s="22">
        <f t="shared" si="6"/>
        <v>0.16840926064227035</v>
      </c>
      <c r="O24" s="22">
        <f t="shared" si="6"/>
        <v>8.0654101995565414E-2</v>
      </c>
    </row>
    <row r="25" spans="1:22" x14ac:dyDescent="0.3">
      <c r="A25" s="7" t="s">
        <v>705</v>
      </c>
      <c r="B25" s="22">
        <f t="shared" ref="B25:O25" si="7">IFERROR(B21/B12,"")</f>
        <v>0.11001100110011001</v>
      </c>
      <c r="C25" s="22">
        <f t="shared" si="7"/>
        <v>7.5684380032206122E-2</v>
      </c>
      <c r="D25" s="22">
        <f t="shared" si="7"/>
        <v>6.123049749779217E-2</v>
      </c>
      <c r="E25" s="22">
        <f t="shared" si="7"/>
        <v>0.11000901713255185</v>
      </c>
      <c r="F25" s="22">
        <f t="shared" si="7"/>
        <v>0.11811391223155929</v>
      </c>
      <c r="G25" s="22">
        <f t="shared" si="7"/>
        <v>7.5327510917030563E-2</v>
      </c>
      <c r="H25" s="22">
        <f t="shared" si="7"/>
        <v>6.2968917470525188E-2</v>
      </c>
      <c r="I25" s="22">
        <f t="shared" si="7"/>
        <v>0.11975806451612903</v>
      </c>
      <c r="J25" s="22">
        <f t="shared" si="7"/>
        <v>0.12235915492957747</v>
      </c>
      <c r="K25" s="22">
        <f t="shared" si="7"/>
        <v>8.2364341085271311E-2</v>
      </c>
      <c r="L25" s="22">
        <f t="shared" si="7"/>
        <v>6.6422466422466422E-2</v>
      </c>
      <c r="M25" s="22">
        <f t="shared" si="7"/>
        <v>0.1263498920086393</v>
      </c>
      <c r="N25" s="22">
        <f t="shared" si="7"/>
        <v>0.12770724421209859</v>
      </c>
      <c r="O25" s="22">
        <f t="shared" si="7"/>
        <v>8.2594235033259425E-2</v>
      </c>
    </row>
    <row r="26" spans="1:22" x14ac:dyDescent="0.3">
      <c r="A26" s="7" t="s">
        <v>706</v>
      </c>
      <c r="F26" s="22">
        <f t="shared" ref="F26:O29" si="8">IFERROR(F18/B18-1,"")</f>
        <v>9.7297297297297192E-2</v>
      </c>
      <c r="G26" s="22">
        <f t="shared" si="8"/>
        <v>9.7315436241610653E-2</v>
      </c>
      <c r="H26" s="22">
        <f t="shared" si="8"/>
        <v>6.3599458728010871E-2</v>
      </c>
      <c r="I26" s="22">
        <f t="shared" si="8"/>
        <v>6.5196548418025024E-2</v>
      </c>
      <c r="J26" s="22">
        <f t="shared" si="8"/>
        <v>3.8423645320197153E-2</v>
      </c>
      <c r="K26" s="22">
        <f t="shared" si="8"/>
        <v>5.2752293577981613E-2</v>
      </c>
      <c r="L26" s="22">
        <f t="shared" si="8"/>
        <v>2.9898218829516487E-2</v>
      </c>
      <c r="M26" s="22">
        <f t="shared" si="8"/>
        <v>3.1503150315031592E-2</v>
      </c>
      <c r="N26" s="22">
        <f t="shared" si="8"/>
        <v>7.9696394686906924E-2</v>
      </c>
      <c r="O26" s="22">
        <f t="shared" si="8"/>
        <v>0.15758896151053015</v>
      </c>
    </row>
    <row r="27" spans="1:22" x14ac:dyDescent="0.3">
      <c r="A27" s="7" t="s">
        <v>707</v>
      </c>
      <c r="F27" s="22">
        <f t="shared" si="8"/>
        <v>0.23799126637554591</v>
      </c>
      <c r="G27" s="22">
        <f t="shared" si="8"/>
        <v>0.11370882040382568</v>
      </c>
      <c r="H27" s="22">
        <f t="shared" si="8"/>
        <v>0.12589693411611225</v>
      </c>
      <c r="I27" s="22">
        <f t="shared" si="8"/>
        <v>0.16251830161054182</v>
      </c>
      <c r="J27" s="22">
        <f t="shared" si="8"/>
        <v>5.2910052910053018E-2</v>
      </c>
      <c r="K27" s="22">
        <f t="shared" si="8"/>
        <v>0.1765267175572518</v>
      </c>
      <c r="L27" s="22">
        <f t="shared" si="8"/>
        <v>0.14078794901506364</v>
      </c>
      <c r="M27" s="22">
        <f t="shared" si="8"/>
        <v>0.17128463476070532</v>
      </c>
      <c r="N27" s="22">
        <f t="shared" si="8"/>
        <v>0.25125628140703515</v>
      </c>
      <c r="O27" s="22">
        <f t="shared" si="8"/>
        <v>0.15571776155717765</v>
      </c>
    </row>
    <row r="28" spans="1:22" x14ac:dyDescent="0.3">
      <c r="A28" s="7" t="s">
        <v>708</v>
      </c>
      <c r="F28" s="22">
        <f t="shared" si="8"/>
        <v>0.30638297872340425</v>
      </c>
      <c r="G28" s="22">
        <f t="shared" si="8"/>
        <v>0.13496932515337434</v>
      </c>
      <c r="H28" s="22">
        <f t="shared" si="8"/>
        <v>0.1179775280898876</v>
      </c>
      <c r="I28" s="22">
        <f t="shared" si="8"/>
        <v>0.12096774193548376</v>
      </c>
      <c r="J28" s="22">
        <f t="shared" si="8"/>
        <v>0.11726384364820852</v>
      </c>
      <c r="K28" s="22">
        <f t="shared" si="8"/>
        <v>0.24864864864864855</v>
      </c>
      <c r="L28" s="22">
        <f t="shared" si="8"/>
        <v>0.18090452261306522</v>
      </c>
      <c r="M28" s="22">
        <f t="shared" si="8"/>
        <v>0.26258992805755388</v>
      </c>
      <c r="N28" s="22">
        <f t="shared" si="8"/>
        <v>0.314868804664723</v>
      </c>
      <c r="O28" s="22">
        <f t="shared" si="8"/>
        <v>0.25974025974025983</v>
      </c>
    </row>
    <row r="29" spans="1:22" x14ac:dyDescent="0.3">
      <c r="A29" s="7" t="s">
        <v>709</v>
      </c>
      <c r="F29" s="22">
        <f t="shared" si="8"/>
        <v>0.2649999999999999</v>
      </c>
      <c r="G29" s="22">
        <f t="shared" si="8"/>
        <v>0.10106382978723394</v>
      </c>
      <c r="H29" s="22">
        <f t="shared" si="8"/>
        <v>0.12980769230769229</v>
      </c>
      <c r="I29" s="22">
        <f t="shared" si="8"/>
        <v>0.21721311475409832</v>
      </c>
      <c r="J29" s="22">
        <f t="shared" si="8"/>
        <v>9.8814229249011953E-2</v>
      </c>
      <c r="K29" s="22">
        <f t="shared" si="8"/>
        <v>0.23188405797101441</v>
      </c>
      <c r="L29" s="22">
        <f t="shared" si="8"/>
        <v>0.15744680851063819</v>
      </c>
      <c r="M29" s="22">
        <f t="shared" si="8"/>
        <v>0.18181818181818188</v>
      </c>
      <c r="N29" s="22">
        <f t="shared" si="8"/>
        <v>0.2302158273381294</v>
      </c>
      <c r="O29" s="22">
        <f t="shared" si="8"/>
        <v>0.16862745098039222</v>
      </c>
    </row>
    <row r="30" spans="1:22" ht="31.95" customHeight="1" x14ac:dyDescent="0.3">
      <c r="A30" s="158" t="s">
        <v>710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</row>
    <row r="32" spans="1:22" x14ac:dyDescent="0.3">
      <c r="A32" s="3" t="s">
        <v>711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3" x14ac:dyDescent="0.3">
      <c r="A33" s="7" t="s">
        <v>712</v>
      </c>
      <c r="R33" s="60">
        <v>0.29099999999999998</v>
      </c>
      <c r="S33" s="60">
        <v>0.29099999999999998</v>
      </c>
      <c r="T33" s="60">
        <v>0.28799999999999998</v>
      </c>
      <c r="U33" s="60">
        <v>0.28199999999999997</v>
      </c>
    </row>
    <row r="34" spans="1:23" x14ac:dyDescent="0.3">
      <c r="A34" s="7" t="s">
        <v>713</v>
      </c>
      <c r="R34" s="60">
        <v>2.3099999999999999E-2</v>
      </c>
      <c r="S34" s="60">
        <v>2.3099999999999999E-2</v>
      </c>
      <c r="T34" s="60">
        <v>2.3099999999999999E-2</v>
      </c>
      <c r="U34" s="60">
        <v>2.3099999999999999E-2</v>
      </c>
      <c r="W34" s="46" t="s">
        <v>714</v>
      </c>
    </row>
    <row r="35" spans="1:23" x14ac:dyDescent="0.3">
      <c r="A35" s="7" t="s">
        <v>715</v>
      </c>
      <c r="R35" s="60">
        <v>0.10773000000000001</v>
      </c>
      <c r="S35" s="60">
        <v>0.10452</v>
      </c>
      <c r="T35" s="60">
        <v>0.10131</v>
      </c>
      <c r="U35" s="60">
        <v>9.8100000000000007E-2</v>
      </c>
    </row>
    <row r="36" spans="1:23" x14ac:dyDescent="0.3">
      <c r="A36" s="7" t="s">
        <v>716</v>
      </c>
      <c r="R36" s="64">
        <v>6.7200000000000003E-3</v>
      </c>
      <c r="S36" s="64">
        <v>6.7200000000000003E-3</v>
      </c>
      <c r="T36" s="64">
        <v>6.6500000000000014E-3</v>
      </c>
      <c r="U36" s="64">
        <v>6.5100000000000002E-3</v>
      </c>
    </row>
    <row r="37" spans="1:23" x14ac:dyDescent="0.3">
      <c r="A37" s="7" t="s">
        <v>717</v>
      </c>
      <c r="R37" s="64">
        <v>7.6380000000000003E-2</v>
      </c>
      <c r="S37" s="64">
        <v>7.4109999999999995E-2</v>
      </c>
      <c r="T37" s="64">
        <v>7.213E-2</v>
      </c>
      <c r="U37" s="64">
        <v>7.0430000000000006E-2</v>
      </c>
    </row>
    <row r="38" spans="1:23" x14ac:dyDescent="0.3">
      <c r="A38" s="7" t="s">
        <v>718</v>
      </c>
      <c r="R38" s="64">
        <v>-7.4200000000000004E-3</v>
      </c>
      <c r="S38" s="64">
        <v>-7.4200000000000004E-3</v>
      </c>
      <c r="T38" s="64">
        <v>-7.4200000000000004E-3</v>
      </c>
      <c r="U38" s="64">
        <v>-7.4200000000000004E-3</v>
      </c>
    </row>
    <row r="39" spans="1:23" x14ac:dyDescent="0.3">
      <c r="A39" s="7" t="s">
        <v>719</v>
      </c>
      <c r="R39" s="64">
        <v>-3.63E-3</v>
      </c>
      <c r="S39" s="64">
        <v>-9.0699999999999999E-3</v>
      </c>
      <c r="T39" s="64">
        <v>-9.0699999999999999E-3</v>
      </c>
      <c r="U39" s="64">
        <v>-9.0699999999999999E-3</v>
      </c>
    </row>
    <row r="40" spans="1:23" x14ac:dyDescent="0.3">
      <c r="A40" s="7" t="s">
        <v>720</v>
      </c>
      <c r="R40" s="64">
        <v>0.01</v>
      </c>
      <c r="S40" s="64">
        <v>-5.0000000000000001E-3</v>
      </c>
      <c r="T40" s="64">
        <v>0</v>
      </c>
      <c r="U40" s="64">
        <v>0</v>
      </c>
    </row>
    <row r="41" spans="1:23" x14ac:dyDescent="0.3">
      <c r="A41" s="7" t="s">
        <v>721</v>
      </c>
      <c r="R41" s="24">
        <v>8.2059999999999994E-2</v>
      </c>
      <c r="S41" s="24">
        <v>5.9339999999999997E-2</v>
      </c>
      <c r="T41" s="24">
        <v>6.2289999999999998E-2</v>
      </c>
      <c r="U41" s="24">
        <v>6.0449999999999997E-2</v>
      </c>
      <c r="W41" s="46" t="s">
        <v>722</v>
      </c>
    </row>
    <row r="43" spans="1:23" x14ac:dyDescent="0.3">
      <c r="A43" s="3" t="s">
        <v>723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3" x14ac:dyDescent="0.3">
      <c r="A44" s="7" t="s">
        <v>724</v>
      </c>
      <c r="R44" s="64">
        <v>4.3720000000000002E-2</v>
      </c>
      <c r="S44" s="64">
        <v>4.0160000000000001E-2</v>
      </c>
      <c r="T44" s="64">
        <v>3.7499999999999999E-2</v>
      </c>
      <c r="U44" s="64">
        <v>3.551E-2</v>
      </c>
      <c r="W44" s="46" t="s">
        <v>725</v>
      </c>
    </row>
    <row r="45" spans="1:23" x14ac:dyDescent="0.3">
      <c r="A45" s="7" t="s">
        <v>726</v>
      </c>
      <c r="R45" s="64">
        <v>3.4499999999999999E-3</v>
      </c>
      <c r="S45" s="64">
        <v>3.1099999999999999E-3</v>
      </c>
      <c r="T45" s="64">
        <v>1.3799999999999999E-3</v>
      </c>
      <c r="U45" s="64">
        <v>-1.5E-3</v>
      </c>
      <c r="W45" s="46" t="s">
        <v>727</v>
      </c>
    </row>
    <row r="46" spans="1:23" x14ac:dyDescent="0.3">
      <c r="A46" s="7" t="s">
        <v>728</v>
      </c>
      <c r="R46" s="64">
        <v>-1.4279999999999999E-2</v>
      </c>
      <c r="S46" s="64">
        <v>-1.4279999999999999E-2</v>
      </c>
      <c r="T46" s="64">
        <v>-1.4279999999999999E-2</v>
      </c>
      <c r="U46" s="64">
        <v>-1.4279999999999999E-2</v>
      </c>
      <c r="W46" s="46" t="s">
        <v>729</v>
      </c>
    </row>
    <row r="47" spans="1:23" x14ac:dyDescent="0.3">
      <c r="A47" s="7" t="s">
        <v>730</v>
      </c>
      <c r="R47" s="64">
        <v>7.9699999999999997E-3</v>
      </c>
      <c r="S47" s="64">
        <v>7.9699999999999997E-3</v>
      </c>
      <c r="T47" s="64">
        <v>7.9699999999999997E-3</v>
      </c>
      <c r="U47" s="64">
        <v>7.9699999999999997E-3</v>
      </c>
    </row>
    <row r="48" spans="1:23" x14ac:dyDescent="0.3">
      <c r="A48" s="7" t="s">
        <v>731</v>
      </c>
      <c r="R48" s="64">
        <v>5.6000000000000006E-4</v>
      </c>
      <c r="S48" s="64">
        <v>5.6000000000000006E-4</v>
      </c>
      <c r="T48" s="64">
        <v>5.6000000000000006E-4</v>
      </c>
      <c r="U48" s="64">
        <v>5.6000000000000006E-4</v>
      </c>
    </row>
    <row r="49" spans="1:23" x14ac:dyDescent="0.3">
      <c r="A49" s="7" t="s">
        <v>732</v>
      </c>
      <c r="R49" s="64">
        <v>-5.6499999999999996E-3</v>
      </c>
      <c r="S49" s="64">
        <v>-5.6499999999999996E-3</v>
      </c>
      <c r="T49" s="64">
        <v>-5.6499999999999996E-3</v>
      </c>
      <c r="U49" s="64">
        <v>-5.6499999999999996E-3</v>
      </c>
      <c r="W49" s="46" t="s">
        <v>733</v>
      </c>
    </row>
    <row r="50" spans="1:23" x14ac:dyDescent="0.3">
      <c r="A50" s="7" t="s">
        <v>734</v>
      </c>
      <c r="R50" s="64">
        <v>-1E-3</v>
      </c>
      <c r="S50" s="64">
        <v>-1E-3</v>
      </c>
      <c r="T50" s="64">
        <v>-1E-3</v>
      </c>
      <c r="U50" s="64">
        <v>-1E-3</v>
      </c>
    </row>
    <row r="51" spans="1:23" x14ac:dyDescent="0.3">
      <c r="A51" s="7" t="s">
        <v>210</v>
      </c>
      <c r="R51" s="60">
        <v>3.4780000000000012E-2</v>
      </c>
      <c r="S51" s="60">
        <v>3.0870000000000002E-2</v>
      </c>
      <c r="T51" s="60">
        <v>2.648E-2</v>
      </c>
      <c r="U51" s="60">
        <v>2.1610000000000001E-2</v>
      </c>
    </row>
    <row r="52" spans="1:23" x14ac:dyDescent="0.3">
      <c r="A52" s="7" t="s">
        <v>735</v>
      </c>
      <c r="R52" s="64">
        <v>-3.0100000000000001E-3</v>
      </c>
      <c r="S52" s="64">
        <v>-1.9300000000000001E-3</v>
      </c>
      <c r="T52" s="64">
        <v>3.4000000000000002E-4</v>
      </c>
      <c r="U52" s="64">
        <v>-2.8500000000000001E-3</v>
      </c>
    </row>
    <row r="53" spans="1:23" x14ac:dyDescent="0.3">
      <c r="A53" s="7" t="s">
        <v>209</v>
      </c>
      <c r="R53" s="24">
        <v>3.1759999999999997E-2</v>
      </c>
      <c r="S53" s="24">
        <v>2.894E-2</v>
      </c>
      <c r="T53" s="24">
        <v>2.682E-2</v>
      </c>
      <c r="U53" s="24">
        <v>1.8759999999999999E-2</v>
      </c>
    </row>
    <row r="55" spans="1:23" x14ac:dyDescent="0.3">
      <c r="A55" s="3" t="s">
        <v>736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3" x14ac:dyDescent="0.3">
      <c r="A56" s="30" t="s">
        <v>737</v>
      </c>
      <c r="L56" s="92">
        <v>1.17</v>
      </c>
      <c r="M56" s="92">
        <v>1.1599999999999999</v>
      </c>
      <c r="N56" s="92">
        <v>1.17</v>
      </c>
      <c r="O56" s="92">
        <v>1.1599999999999999</v>
      </c>
      <c r="P56" s="94">
        <v>1.1499999999999999</v>
      </c>
      <c r="Q56" s="94">
        <v>1.1599999999999999</v>
      </c>
      <c r="R56" s="94">
        <v>1.1599999999999999</v>
      </c>
      <c r="S56" s="94">
        <v>1.17</v>
      </c>
      <c r="T56" s="94">
        <v>1.18</v>
      </c>
      <c r="U56" s="94">
        <v>1.18</v>
      </c>
    </row>
    <row r="57" spans="1:23" x14ac:dyDescent="0.3">
      <c r="A57" s="7" t="s">
        <v>738</v>
      </c>
      <c r="L57" s="59">
        <v>6.3600000000000004E-2</v>
      </c>
      <c r="M57" s="59">
        <v>9.1300000000000006E-2</v>
      </c>
      <c r="N57" s="59">
        <v>0.1111</v>
      </c>
      <c r="O57" s="59">
        <v>2.5600000000000001E-2</v>
      </c>
      <c r="P57" s="60">
        <v>-1.5599999999999999E-2</v>
      </c>
      <c r="Q57" s="60">
        <v>-3.5999999999999999E-3</v>
      </c>
      <c r="R57" s="60">
        <v>-4.4000000000000003E-3</v>
      </c>
      <c r="S57" s="60">
        <v>5.8999999999999999E-3</v>
      </c>
      <c r="T57" s="60">
        <v>2.1399999999999999E-2</v>
      </c>
      <c r="U57" s="60">
        <v>1.72E-2</v>
      </c>
    </row>
    <row r="58" spans="1:23" x14ac:dyDescent="0.3">
      <c r="A58" s="7" t="s">
        <v>739</v>
      </c>
      <c r="L58" s="81">
        <v>2.7E-2</v>
      </c>
      <c r="M58" s="81">
        <v>2.9000000000000001E-2</v>
      </c>
      <c r="N58" s="81">
        <v>0.05</v>
      </c>
      <c r="O58" s="81">
        <v>1.2999999999999999E-2</v>
      </c>
      <c r="P58" s="64">
        <v>-1.2699999999999999E-2</v>
      </c>
      <c r="Q58" s="64">
        <v>-7.3000000000000001E-3</v>
      </c>
      <c r="R58" s="64">
        <v>-7.7000000000000002E-3</v>
      </c>
      <c r="S58" s="64">
        <v>-3.0000000000000001E-3</v>
      </c>
      <c r="T58" s="64">
        <v>4.0000000000000001E-3</v>
      </c>
      <c r="U58" s="64">
        <v>2.0999999999999999E-3</v>
      </c>
    </row>
    <row r="59" spans="1:23" x14ac:dyDescent="0.3">
      <c r="A59" s="7" t="s">
        <v>740</v>
      </c>
      <c r="L59" s="81">
        <v>0</v>
      </c>
      <c r="M59" s="81">
        <v>0.01</v>
      </c>
      <c r="N59" s="81">
        <v>0.03</v>
      </c>
      <c r="O59" s="81">
        <v>0.04</v>
      </c>
      <c r="P59" s="64">
        <v>2.1899999999999999E-2</v>
      </c>
      <c r="Q59" s="64">
        <v>-4.3E-3</v>
      </c>
      <c r="R59" s="64">
        <v>-1.03E-2</v>
      </c>
      <c r="S59" s="64">
        <v>-8.0000000000000002E-3</v>
      </c>
      <c r="T59" s="64">
        <v>-6.1000000000000004E-3</v>
      </c>
      <c r="U59" s="64">
        <v>-7.000000000000001E-4</v>
      </c>
    </row>
    <row r="60" spans="1:23" x14ac:dyDescent="0.3">
      <c r="A60" s="30" t="s">
        <v>741</v>
      </c>
      <c r="L60" s="92">
        <v>1.17</v>
      </c>
      <c r="M60" s="92">
        <v>1.1599999999999999</v>
      </c>
      <c r="N60" s="92">
        <v>1.17</v>
      </c>
      <c r="O60" s="92">
        <v>1.1599999999999999</v>
      </c>
      <c r="P60" s="94">
        <v>1.1499999999999999</v>
      </c>
      <c r="Q60" s="94">
        <v>1.1299999999999999</v>
      </c>
      <c r="R60" s="94">
        <v>1.1000000000000001</v>
      </c>
      <c r="S60" s="94">
        <v>1.0900000000000001</v>
      </c>
      <c r="T60" s="94">
        <v>1.0900000000000001</v>
      </c>
      <c r="U60" s="94">
        <v>1.1000000000000001</v>
      </c>
    </row>
    <row r="61" spans="1:23" x14ac:dyDescent="0.3">
      <c r="A61" s="7" t="s">
        <v>738</v>
      </c>
      <c r="L61" s="59">
        <v>6.3600000000000004E-2</v>
      </c>
      <c r="M61" s="59">
        <v>9.1300000000000006E-2</v>
      </c>
      <c r="N61" s="59">
        <v>0.1111</v>
      </c>
      <c r="O61" s="59">
        <v>2.5600000000000001E-2</v>
      </c>
      <c r="P61" s="60">
        <v>-1.5599999999999999E-2</v>
      </c>
      <c r="Q61" s="60">
        <v>-2.93E-2</v>
      </c>
      <c r="R61" s="60">
        <v>-5.9900000000000002E-2</v>
      </c>
      <c r="S61" s="60">
        <v>-6.2899999999999998E-2</v>
      </c>
      <c r="T61" s="60">
        <v>-5.2499999999999998E-2</v>
      </c>
      <c r="U61" s="60">
        <v>-2.6499999999999999E-2</v>
      </c>
    </row>
    <row r="62" spans="1:23" x14ac:dyDescent="0.3">
      <c r="A62" s="7" t="s">
        <v>739</v>
      </c>
      <c r="L62" s="81">
        <v>2.7E-2</v>
      </c>
      <c r="M62" s="81">
        <v>2.9000000000000001E-2</v>
      </c>
      <c r="N62" s="81">
        <v>0.05</v>
      </c>
      <c r="O62" s="81">
        <v>1.2999999999999999E-2</v>
      </c>
      <c r="P62" s="64">
        <v>-1.2699999999999999E-2</v>
      </c>
      <c r="Q62" s="64">
        <v>-1.89E-2</v>
      </c>
      <c r="R62" s="64">
        <v>-3.27E-2</v>
      </c>
      <c r="S62" s="64">
        <v>-3.4099999999999998E-2</v>
      </c>
      <c r="T62" s="64">
        <v>-2.9399999999999999E-2</v>
      </c>
      <c r="U62" s="64">
        <v>-1.77E-2</v>
      </c>
    </row>
    <row r="63" spans="1:23" x14ac:dyDescent="0.3">
      <c r="A63" s="7" t="s">
        <v>740</v>
      </c>
      <c r="L63" s="81">
        <v>0</v>
      </c>
      <c r="M63" s="81">
        <v>0.01</v>
      </c>
      <c r="N63" s="81">
        <v>0.03</v>
      </c>
      <c r="O63" s="81">
        <v>0.04</v>
      </c>
      <c r="P63" s="64">
        <v>2.1899999999999999E-2</v>
      </c>
      <c r="Q63" s="64">
        <v>-4.3E-3</v>
      </c>
      <c r="R63" s="64">
        <v>-1.5599999999999999E-2</v>
      </c>
      <c r="S63" s="64">
        <v>-2.4799999999999999E-2</v>
      </c>
      <c r="T63" s="64">
        <v>-3.1800000000000002E-2</v>
      </c>
      <c r="U63" s="64">
        <v>-3.0200000000000001E-2</v>
      </c>
    </row>
    <row r="64" spans="1:23" x14ac:dyDescent="0.3">
      <c r="A64" s="30" t="s">
        <v>742</v>
      </c>
      <c r="L64" s="92">
        <v>1.17</v>
      </c>
      <c r="M64" s="92">
        <v>1.1599999999999999</v>
      </c>
      <c r="N64" s="92">
        <v>1.17</v>
      </c>
      <c r="O64" s="92">
        <v>1.1599999999999999</v>
      </c>
      <c r="P64" s="94">
        <v>1.1499999999999999</v>
      </c>
      <c r="Q64" s="94">
        <v>1.19</v>
      </c>
      <c r="R64" s="94">
        <v>1.21</v>
      </c>
      <c r="S64" s="94">
        <v>1.23</v>
      </c>
      <c r="T64" s="94">
        <v>1.24</v>
      </c>
      <c r="U64" s="94">
        <v>1.25</v>
      </c>
    </row>
    <row r="65" spans="1:23" x14ac:dyDescent="0.3">
      <c r="A65" s="7" t="s">
        <v>738</v>
      </c>
      <c r="L65" s="59">
        <v>6.3600000000000004E-2</v>
      </c>
      <c r="M65" s="59">
        <v>9.1300000000000006E-2</v>
      </c>
      <c r="N65" s="59">
        <v>0.1111</v>
      </c>
      <c r="O65" s="59">
        <v>2.5600000000000001E-2</v>
      </c>
      <c r="P65" s="60">
        <v>-1.5599999999999999E-2</v>
      </c>
      <c r="Q65" s="60">
        <v>2.2200000000000001E-2</v>
      </c>
      <c r="R65" s="60">
        <v>3.4099999999999998E-2</v>
      </c>
      <c r="S65" s="60">
        <v>5.74E-2</v>
      </c>
      <c r="T65" s="60">
        <v>7.7899999999999997E-2</v>
      </c>
      <c r="U65" s="60">
        <v>5.04E-2</v>
      </c>
    </row>
    <row r="66" spans="1:23" x14ac:dyDescent="0.3">
      <c r="A66" s="7" t="s">
        <v>739</v>
      </c>
      <c r="L66" s="81">
        <v>2.7E-2</v>
      </c>
      <c r="M66" s="81">
        <v>2.9000000000000001E-2</v>
      </c>
      <c r="N66" s="81">
        <v>0.05</v>
      </c>
      <c r="O66" s="81">
        <v>1.2999999999999999E-2</v>
      </c>
      <c r="P66" s="64">
        <v>-1.2699999999999999E-2</v>
      </c>
      <c r="Q66" s="64">
        <v>4.3E-3</v>
      </c>
      <c r="R66" s="64">
        <v>9.7000000000000003E-3</v>
      </c>
      <c r="S66" s="64">
        <v>2.0199999999999999E-2</v>
      </c>
      <c r="T66" s="64">
        <v>2.9499999999999998E-2</v>
      </c>
      <c r="U66" s="64">
        <v>1.7100000000000001E-2</v>
      </c>
    </row>
    <row r="67" spans="1:23" x14ac:dyDescent="0.3">
      <c r="A67" s="7" t="s">
        <v>740</v>
      </c>
      <c r="L67" s="81">
        <v>0</v>
      </c>
      <c r="M67" s="81">
        <v>0.01</v>
      </c>
      <c r="N67" s="81">
        <v>0.03</v>
      </c>
      <c r="O67" s="81">
        <v>0.04</v>
      </c>
      <c r="P67" s="64">
        <v>2.1899999999999999E-2</v>
      </c>
      <c r="Q67" s="64">
        <v>-4.3E-3</v>
      </c>
      <c r="R67" s="64">
        <v>-5.0000000000000001E-3</v>
      </c>
      <c r="S67" s="64">
        <v>5.3E-3</v>
      </c>
      <c r="T67" s="64">
        <v>1.2500000000000001E-2</v>
      </c>
      <c r="U67" s="64">
        <v>2.1600000000000001E-2</v>
      </c>
    </row>
    <row r="68" spans="1:23" ht="31.95" customHeight="1" x14ac:dyDescent="0.3">
      <c r="A68" s="158" t="s">
        <v>743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</row>
    <row r="70" spans="1:23" x14ac:dyDescent="0.3">
      <c r="A70" s="3" t="s">
        <v>744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3" x14ac:dyDescent="0.3">
      <c r="A71" s="7" t="s">
        <v>745</v>
      </c>
      <c r="P71" s="95">
        <f>INDEX('Scenario Data'!$D$5:$I$345,MATCH('Income Statement'!$G$3&amp;"|merchant_fee_rate_q_pct",'Scenario Data'!$A$5:$A$345,0),MATCH(P$4,'Scenario Data'!$D$4:$I$4,0))</f>
        <v>1.7625754331459801E-2</v>
      </c>
      <c r="Q71" s="95">
        <f>INDEX('Scenario Data'!$D$5:$I$345,MATCH('Income Statement'!$G$3&amp;"|merchant_fee_rate_q_pct",'Scenario Data'!$A$5:$A$345,0),MATCH(Q$4,'Scenario Data'!$D$4:$I$4,0))</f>
        <v>1.7591694902799979E-2</v>
      </c>
      <c r="R71" s="95">
        <f>INDEX('Scenario Data'!$D$5:$I$345,MATCH('Income Statement'!$G$3&amp;"|merchant_fee_rate_q_pct",'Scenario Data'!$A$5:$A$345,0),MATCH(R$4,'Scenario Data'!$D$4:$I$4,0))</f>
        <v>1.5326742896921571E-2</v>
      </c>
      <c r="S71" s="95">
        <f>INDEX('Scenario Data'!$D$5:$I$345,MATCH('Income Statement'!$G$3&amp;"|merchant_fee_rate_q_pct",'Scenario Data'!$A$5:$A$345,0),MATCH(S$4,'Scenario Data'!$D$4:$I$4,0))</f>
        <v>1.779605147475893E-2</v>
      </c>
      <c r="T71" s="95">
        <f>INDEX('Scenario Data'!$D$5:$I$345,MATCH('Income Statement'!$G$3&amp;"|merchant_fee_rate_q_pct",'Scenario Data'!$A$5:$A$345,0),MATCH(T$4,'Scenario Data'!$D$4:$I$4,0))</f>
        <v>1.7625754331459801E-2</v>
      </c>
      <c r="U71" s="95">
        <f>INDEX('Scenario Data'!$D$5:$I$345,MATCH('Income Statement'!$G$3&amp;"|merchant_fee_rate_q_pct",'Scenario Data'!$A$5:$A$345,0),MATCH(U$4,'Scenario Data'!$D$4:$I$4,0))</f>
        <v>1.7591694902799979E-2</v>
      </c>
      <c r="W71" s="46" t="s">
        <v>746</v>
      </c>
    </row>
    <row r="72" spans="1:23" x14ac:dyDescent="0.3">
      <c r="A72" s="7" t="s">
        <v>747</v>
      </c>
      <c r="P72" s="43">
        <f>INDEX('Scenario Data'!$D$5:$I$345,MATCH('Income Statement'!$G$3&amp;"|cor_fees",'Scenario Data'!$A$5:$A$345,0),MATCH(P$4,'Scenario Data'!$D$4:$I$4,0))</f>
        <v>458.7631337392358</v>
      </c>
      <c r="Q72" s="43">
        <f>INDEX('Scenario Data'!$D$5:$I$345,MATCH('Income Statement'!$G$3&amp;"|cor_fees",'Scenario Data'!$A$5:$A$345,0),MATCH(Q$4,'Scenario Data'!$D$4:$I$4,0))</f>
        <v>404.38556823913399</v>
      </c>
      <c r="R72" s="43">
        <f>INDEX('Scenario Data'!$D$5:$I$345,MATCH('Income Statement'!$G$3&amp;"|cor_fees",'Scenario Data'!$A$5:$A$345,0),MATCH(R$4,'Scenario Data'!$D$4:$I$4,0))</f>
        <v>499.64568774248448</v>
      </c>
      <c r="S72" s="43">
        <f>INDEX('Scenario Data'!$D$5:$I$345,MATCH('Income Statement'!$G$3&amp;"|cor_fees",'Scenario Data'!$A$5:$A$345,0),MATCH(S$4,'Scenario Data'!$D$4:$I$4,0))</f>
        <v>527.61555451850529</v>
      </c>
      <c r="T72" s="43">
        <f>INDEX('Scenario Data'!$D$5:$I$345,MATCH('Income Statement'!$G$3&amp;"|cor_fees",'Scenario Data'!$A$5:$A$345,0),MATCH(T$4,'Scenario Data'!$D$4:$I$4,0))</f>
        <v>500.40926607360899</v>
      </c>
      <c r="U72" s="43">
        <f>INDEX('Scenario Data'!$D$5:$I$345,MATCH('Income Statement'!$G$3&amp;"|cor_fees",'Scenario Data'!$A$5:$A$345,0),MATCH(U$4,'Scenario Data'!$D$4:$I$4,0))</f>
        <v>436.87566955511522</v>
      </c>
    </row>
    <row r="73" spans="1:23" x14ac:dyDescent="0.3">
      <c r="A73" s="7" t="s">
        <v>748</v>
      </c>
      <c r="P73" s="43">
        <f>INDEX('Scenario Data'!$D$5:$I$345,MATCH('Income Statement'!$G$3&amp;"|cor_chargebacks",'Scenario Data'!$A$5:$A$345,0),MATCH(P$4,'Scenario Data'!$D$4:$I$4,0))</f>
        <v>28.960372602739721</v>
      </c>
      <c r="Q73" s="43">
        <f>INDEX('Scenario Data'!$D$5:$I$345,MATCH('Income Statement'!$G$3&amp;"|cor_chargebacks",'Scenario Data'!$A$5:$A$345,0),MATCH(Q$4,'Scenario Data'!$D$4:$I$4,0))</f>
        <v>25.998568767123292</v>
      </c>
      <c r="R73" s="43">
        <f>INDEX('Scenario Data'!$D$5:$I$345,MATCH('Income Statement'!$G$3&amp;"|cor_chargebacks",'Scenario Data'!$A$5:$A$345,0),MATCH(R$4,'Scenario Data'!$D$4:$I$4,0))</f>
        <v>33.803559999999997</v>
      </c>
      <c r="S73" s="43">
        <f>INDEX('Scenario Data'!$D$5:$I$345,MATCH('Income Statement'!$G$3&amp;"|cor_chargebacks",'Scenario Data'!$A$5:$A$345,0),MATCH(S$4,'Scenario Data'!$D$4:$I$4,0))</f>
        <v>31.420020000000001</v>
      </c>
      <c r="T73" s="43">
        <f>INDEX('Scenario Data'!$D$5:$I$345,MATCH('Income Statement'!$G$3&amp;"|cor_chargebacks",'Scenario Data'!$A$5:$A$345,0),MATCH(T$4,'Scenario Data'!$D$4:$I$4,0))</f>
        <v>31.191600000000001</v>
      </c>
      <c r="U73" s="43">
        <f>INDEX('Scenario Data'!$D$5:$I$345,MATCH('Income Statement'!$G$3&amp;"|cor_chargebacks",'Scenario Data'!$A$5:$A$345,0),MATCH(U$4,'Scenario Data'!$D$4:$I$4,0))</f>
        <v>27.953099999999999</v>
      </c>
    </row>
    <row r="74" spans="1:23" x14ac:dyDescent="0.3">
      <c r="A74" s="7" t="s">
        <v>749</v>
      </c>
      <c r="P74" s="79">
        <f t="shared" ref="P74:U74" si="9">IFERROR(P73/P8,"")</f>
        <v>0.72</v>
      </c>
      <c r="Q74" s="79">
        <f t="shared" si="9"/>
        <v>0.72</v>
      </c>
      <c r="R74" s="79">
        <f t="shared" si="9"/>
        <v>0.72000000000000008</v>
      </c>
      <c r="S74" s="79">
        <f t="shared" si="9"/>
        <v>0.72</v>
      </c>
      <c r="T74" s="79">
        <f t="shared" si="9"/>
        <v>0.72</v>
      </c>
      <c r="U74" s="79">
        <f t="shared" si="9"/>
        <v>0.72000000000000008</v>
      </c>
    </row>
    <row r="75" spans="1:23" x14ac:dyDescent="0.3">
      <c r="A75" s="7" t="s">
        <v>750</v>
      </c>
      <c r="P75" s="43">
        <f>INDEX('Scenario Data'!$D$5:$I$345,MATCH('Income Statement'!$G$3&amp;"|cor_hosting",'Scenario Data'!$A$5:$A$345,0),MATCH(P$4,'Scenario Data'!$D$4:$I$4,0))</f>
        <v>100.20793246038539</v>
      </c>
      <c r="Q75" s="43">
        <f>INDEX('Scenario Data'!$D$5:$I$345,MATCH('Income Statement'!$G$3&amp;"|cor_hosting",'Scenario Data'!$A$5:$A$345,0),MATCH(Q$4,'Scenario Data'!$D$4:$I$4,0))</f>
        <v>100.20793246038539</v>
      </c>
      <c r="R75" s="43">
        <f>INDEX('Scenario Data'!$D$5:$I$345,MATCH('Income Statement'!$G$3&amp;"|cor_hosting",'Scenario Data'!$A$5:$A$345,0),MATCH(R$4,'Scenario Data'!$D$4:$I$4,0))</f>
        <v>111.70793246038539</v>
      </c>
      <c r="S75" s="43">
        <f>INDEX('Scenario Data'!$D$5:$I$345,MATCH('Income Statement'!$G$3&amp;"|cor_hosting",'Scenario Data'!$A$5:$A$345,0),MATCH(S$4,'Scenario Data'!$D$4:$I$4,0))</f>
        <v>111.70793246038539</v>
      </c>
      <c r="T75" s="43">
        <f>INDEX('Scenario Data'!$D$5:$I$345,MATCH('Income Statement'!$G$3&amp;"|cor_hosting",'Scenario Data'!$A$5:$A$345,0),MATCH(T$4,'Scenario Data'!$D$4:$I$4,0))</f>
        <v>111.70793246038539</v>
      </c>
      <c r="U75" s="43">
        <f>INDEX('Scenario Data'!$D$5:$I$345,MATCH('Income Statement'!$G$3&amp;"|cor_hosting",'Scenario Data'!$A$5:$A$345,0),MATCH(U$4,'Scenario Data'!$D$4:$I$4,0))</f>
        <v>111.70793246038539</v>
      </c>
      <c r="W75" s="46" t="s">
        <v>751</v>
      </c>
    </row>
    <row r="76" spans="1:23" x14ac:dyDescent="0.3">
      <c r="A76" s="7" t="s">
        <v>402</v>
      </c>
      <c r="P76" s="84">
        <f>INDEX('Scenario Data'!$D$5:$I$345,MATCH('Income Statement'!$G$3&amp;"|ops_per_booking",'Scenario Data'!$A$5:$A$345,0),MATCH(P$4,'Scenario Data'!$D$4:$I$4,0))</f>
        <v>8.9860384740761123</v>
      </c>
      <c r="Q76" s="84">
        <f>INDEX('Scenario Data'!$D$5:$I$345,MATCH('Income Statement'!$G$3&amp;"|ops_per_booking",'Scenario Data'!$A$5:$A$345,0),MATCH(Q$4,'Scenario Data'!$D$4:$I$4,0))</f>
        <v>8.8145893754173787</v>
      </c>
      <c r="R76" s="84">
        <f>INDEX('Scenario Data'!$D$5:$I$345,MATCH('Income Statement'!$G$3&amp;"|ops_per_booking",'Scenario Data'!$A$5:$A$345,0),MATCH(R$4,'Scenario Data'!$D$4:$I$4,0))</f>
        <v>6.7963843333933056</v>
      </c>
      <c r="S76" s="84">
        <f>INDEX('Scenario Data'!$D$5:$I$345,MATCH('Income Statement'!$G$3&amp;"|ops_per_booking",'Scenario Data'!$A$5:$A$345,0),MATCH(S$4,'Scenario Data'!$D$4:$I$4,0))</f>
        <v>7.813398444388989</v>
      </c>
      <c r="T76" s="84">
        <f>INDEX('Scenario Data'!$D$5:$I$345,MATCH('Income Statement'!$G$3&amp;"|ops_per_booking",'Scenario Data'!$A$5:$A$345,0),MATCH(T$4,'Scenario Data'!$D$4:$I$4,0))</f>
        <v>8.8121977964078688</v>
      </c>
      <c r="U76" s="84">
        <f>INDEX('Scenario Data'!$D$5:$I$345,MATCH('Income Statement'!$G$3&amp;"|ops_per_booking",'Scenario Data'!$A$5:$A$345,0),MATCH(U$4,'Scenario Data'!$D$4:$I$4,0))</f>
        <v>8.6561056406518411</v>
      </c>
      <c r="W76" s="46" t="s">
        <v>752</v>
      </c>
    </row>
    <row r="77" spans="1:23" x14ac:dyDescent="0.3">
      <c r="A77" s="7" t="s">
        <v>753</v>
      </c>
      <c r="P77" s="43">
        <f>INDEX('Scenario Data'!$D$5:$I$345,MATCH('Income Statement'!$G$3&amp;"|sm_marketing",'Scenario Data'!$A$5:$A$345,0),MATCH(P$4,'Scenario Data'!$D$4:$I$4,0))</f>
        <v>540.67059240756589</v>
      </c>
      <c r="Q77" s="43">
        <f>INDEX('Scenario Data'!$D$5:$I$345,MATCH('Income Statement'!$G$3&amp;"|sm_marketing",'Scenario Data'!$A$5:$A$345,0),MATCH(Q$4,'Scenario Data'!$D$4:$I$4,0))</f>
        <v>504.41874999999999</v>
      </c>
      <c r="R77" s="43">
        <f>INDEX('Scenario Data'!$D$5:$I$345,MATCH('Income Statement'!$G$3&amp;"|sm_marketing",'Scenario Data'!$A$5:$A$345,0),MATCH(R$4,'Scenario Data'!$D$4:$I$4,0))</f>
        <v>584.06976155135737</v>
      </c>
      <c r="S77" s="43">
        <f>INDEX('Scenario Data'!$D$5:$I$345,MATCH('Income Statement'!$G$3&amp;"|sm_marketing",'Scenario Data'!$A$5:$A$345,0),MATCH(S$4,'Scenario Data'!$D$4:$I$4,0))</f>
        <v>658.63185877067963</v>
      </c>
      <c r="T77" s="43">
        <f>INDEX('Scenario Data'!$D$5:$I$345,MATCH('Income Statement'!$G$3&amp;"|sm_marketing",'Scenario Data'!$A$5:$A$345,0),MATCH(T$4,'Scenario Data'!$D$4:$I$4,0))</f>
        <v>577.49075297318188</v>
      </c>
      <c r="U77" s="43">
        <f>INDEX('Scenario Data'!$D$5:$I$345,MATCH('Income Statement'!$G$3&amp;"|sm_marketing",'Scenario Data'!$A$5:$A$345,0),MATCH(U$4,'Scenario Data'!$D$4:$I$4,0))</f>
        <v>616.47747047348116</v>
      </c>
    </row>
    <row r="78" spans="1:23" x14ac:dyDescent="0.3">
      <c r="A78" s="7" t="s">
        <v>754</v>
      </c>
      <c r="P78" s="79">
        <f t="shared" ref="P78:U78" si="10">IFERROR(P77/P7,"")</f>
        <v>3.6827160565315467</v>
      </c>
      <c r="Q78" s="79">
        <f t="shared" si="10"/>
        <v>3.8272022476769423</v>
      </c>
      <c r="R78" s="79">
        <f t="shared" si="10"/>
        <v>3.455670122030682</v>
      </c>
      <c r="S78" s="79">
        <f t="shared" si="10"/>
        <v>4.1924343700015445</v>
      </c>
      <c r="T78" s="79">
        <f t="shared" si="10"/>
        <v>3.7028607251515271</v>
      </c>
      <c r="U78" s="79">
        <f t="shared" si="10"/>
        <v>4.4107985910219698</v>
      </c>
    </row>
    <row r="79" spans="1:23" x14ac:dyDescent="0.3">
      <c r="A79" s="7" t="s">
        <v>755</v>
      </c>
      <c r="P79" s="43">
        <f>INDEX('Scenario Data'!$D$5:$I$345,MATCH('Income Statement'!$G$3&amp;"|sm_field",'Scenario Data'!$A$5:$A$345,0),MATCH(P$4,'Scenario Data'!$D$4:$I$4,0))</f>
        <v>237.64522040816331</v>
      </c>
      <c r="Q79" s="43">
        <f>INDEX('Scenario Data'!$D$5:$I$345,MATCH('Income Statement'!$G$3&amp;"|sm_field",'Scenario Data'!$A$5:$A$345,0),MATCH(Q$4,'Scenario Data'!$D$4:$I$4,0))</f>
        <v>253.68877959183681</v>
      </c>
      <c r="R79" s="43">
        <f>INDEX('Scenario Data'!$D$5:$I$345,MATCH('Income Statement'!$G$3&amp;"|sm_field",'Scenario Data'!$A$5:$A$345,0),MATCH(R$4,'Scenario Data'!$D$4:$I$4,0))</f>
        <v>245.20202585999999</v>
      </c>
      <c r="S79" s="43">
        <f>INDEX('Scenario Data'!$D$5:$I$345,MATCH('Income Statement'!$G$3&amp;"|sm_field",'Scenario Data'!$A$5:$A$345,0),MATCH(S$4,'Scenario Data'!$D$4:$I$4,0))</f>
        <v>276.50441214</v>
      </c>
      <c r="T79" s="43">
        <f>INDEX('Scenario Data'!$D$5:$I$345,MATCH('Income Statement'!$G$3&amp;"|sm_field",'Scenario Data'!$A$5:$A$345,0),MATCH(T$4,'Scenario Data'!$D$4:$I$4,0))</f>
        <v>242.44005060000001</v>
      </c>
      <c r="U79" s="43">
        <f>INDEX('Scenario Data'!$D$5:$I$345,MATCH('Income Statement'!$G$3&amp;"|sm_field",'Scenario Data'!$A$5:$A$345,0),MATCH(U$4,'Scenario Data'!$D$4:$I$4,0))</f>
        <v>258.8073114</v>
      </c>
    </row>
    <row r="81" spans="1:23" x14ac:dyDescent="0.3">
      <c r="A81" s="3" t="s">
        <v>756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3" x14ac:dyDescent="0.3">
      <c r="A82" s="7" t="s">
        <v>757</v>
      </c>
      <c r="B82" s="42">
        <v>240</v>
      </c>
      <c r="C82" s="42">
        <v>304</v>
      </c>
      <c r="D82" s="42">
        <v>286</v>
      </c>
      <c r="E82" s="42">
        <v>290</v>
      </c>
      <c r="F82" s="42">
        <v>295</v>
      </c>
      <c r="G82" s="42">
        <v>382</v>
      </c>
      <c r="H82" s="42">
        <v>362</v>
      </c>
      <c r="I82" s="42">
        <v>368</v>
      </c>
      <c r="J82" s="42">
        <v>358</v>
      </c>
      <c r="K82" s="42">
        <v>424</v>
      </c>
      <c r="L82" s="42">
        <v>399</v>
      </c>
      <c r="M82" s="42">
        <v>411</v>
      </c>
      <c r="N82" s="42">
        <v>410</v>
      </c>
      <c r="O82" s="42">
        <v>487</v>
      </c>
      <c r="P82" s="43">
        <f>INDEX('Scenario Data'!$D$5:$I$345,MATCH('Income Statement'!$G$3&amp;"|sbc",'Scenario Data'!$A$5:$A$345,0),MATCH(P$4,'Scenario Data'!$D$4:$I$4,0))</f>
        <v>451.57918566107082</v>
      </c>
      <c r="Q82" s="43">
        <f>INDEX('Scenario Data'!$D$5:$I$345,MATCH('Income Statement'!$G$3&amp;"|sbc",'Scenario Data'!$A$5:$A$345,0),MATCH(Q$4,'Scenario Data'!$D$4:$I$4,0))</f>
        <v>465.16051455313311</v>
      </c>
      <c r="R82" s="43">
        <f>INDEX('Scenario Data'!$D$5:$I$345,MATCH('Income Statement'!$G$3&amp;"|sbc",'Scenario Data'!$A$5:$A$345,0),MATCH(R$4,'Scenario Data'!$D$4:$I$4,0))</f>
        <v>464.02873714546132</v>
      </c>
      <c r="S82" s="43">
        <f>INDEX('Scenario Data'!$D$5:$I$345,MATCH('Income Statement'!$G$3&amp;"|sbc",'Scenario Data'!$A$5:$A$345,0),MATCH(S$4,'Scenario Data'!$D$4:$I$4,0))</f>
        <v>551.17559753619423</v>
      </c>
      <c r="T82" s="43">
        <f>INDEX('Scenario Data'!$D$5:$I$345,MATCH('Income Statement'!$G$3&amp;"|sbc",'Scenario Data'!$A$5:$A$345,0),MATCH(T$4,'Scenario Data'!$D$4:$I$4,0))</f>
        <v>511.0871201060549</v>
      </c>
      <c r="U82" s="43">
        <f>INDEX('Scenario Data'!$D$5:$I$345,MATCH('Income Statement'!$G$3&amp;"|sbc",'Scenario Data'!$A$5:$A$345,0),MATCH(U$4,'Scenario Data'!$D$4:$I$4,0))</f>
        <v>526.45816131225195</v>
      </c>
      <c r="W82" s="46" t="s">
        <v>758</v>
      </c>
    </row>
    <row r="83" spans="1:23" x14ac:dyDescent="0.3">
      <c r="A83" s="7" t="s">
        <v>759</v>
      </c>
      <c r="B83" s="42">
        <v>11</v>
      </c>
      <c r="C83" s="42">
        <v>9</v>
      </c>
      <c r="D83" s="42">
        <v>8</v>
      </c>
      <c r="E83" s="42">
        <v>16</v>
      </c>
      <c r="F83" s="42">
        <v>14</v>
      </c>
      <c r="G83" s="42">
        <v>14</v>
      </c>
      <c r="H83" s="42">
        <v>15</v>
      </c>
      <c r="I83" s="42">
        <v>22</v>
      </c>
      <c r="J83" s="42">
        <v>25</v>
      </c>
      <c r="K83" s="42">
        <v>21</v>
      </c>
      <c r="L83" s="42">
        <v>22</v>
      </c>
      <c r="M83" s="42">
        <v>23</v>
      </c>
      <c r="N83" s="42">
        <v>22</v>
      </c>
      <c r="O83" s="42">
        <v>17</v>
      </c>
      <c r="P83" s="43">
        <f>INDEX('Scenario Data'!$D$5:$I$345,MATCH('Income Statement'!$G$3&amp;"|da",'Scenario Data'!$A$5:$A$345,0),MATCH(P$4,'Scenario Data'!$D$4:$I$4,0))</f>
        <v>20.633970599907521</v>
      </c>
      <c r="Q83" s="43">
        <f>INDEX('Scenario Data'!$D$5:$I$345,MATCH('Income Statement'!$G$3&amp;"|da",'Scenario Data'!$A$5:$A$345,0),MATCH(Q$4,'Scenario Data'!$D$4:$I$4,0))</f>
        <v>20.633970599907521</v>
      </c>
      <c r="R83" s="43">
        <f>INDEX('Scenario Data'!$D$5:$I$345,MATCH('Income Statement'!$G$3&amp;"|da",'Scenario Data'!$A$5:$A$345,0),MATCH(R$4,'Scenario Data'!$D$4:$I$4,0))</f>
        <v>20.633970599907521</v>
      </c>
      <c r="S83" s="43">
        <f>INDEX('Scenario Data'!$D$5:$I$345,MATCH('Income Statement'!$G$3&amp;"|da",'Scenario Data'!$A$5:$A$345,0),MATCH(S$4,'Scenario Data'!$D$4:$I$4,0))</f>
        <v>20.633970599907521</v>
      </c>
      <c r="T83" s="43">
        <f>INDEX('Scenario Data'!$D$5:$I$345,MATCH('Income Statement'!$G$3&amp;"|da",'Scenario Data'!$A$5:$A$345,0),MATCH(T$4,'Scenario Data'!$D$4:$I$4,0))</f>
        <v>20.633970599907521</v>
      </c>
      <c r="U83" s="43">
        <f>INDEX('Scenario Data'!$D$5:$I$345,MATCH('Income Statement'!$G$3&amp;"|da",'Scenario Data'!$A$5:$A$345,0),MATCH(U$4,'Scenario Data'!$D$4:$I$4,0))</f>
        <v>20.633970599907521</v>
      </c>
      <c r="W83" s="46" t="s">
        <v>760</v>
      </c>
    </row>
    <row r="84" spans="1:23" x14ac:dyDescent="0.3">
      <c r="A84" s="7" t="s">
        <v>761</v>
      </c>
      <c r="B84" s="42">
        <v>146</v>
      </c>
      <c r="C84" s="42">
        <v>191</v>
      </c>
      <c r="D84" s="42">
        <v>192</v>
      </c>
      <c r="E84" s="42">
        <v>192</v>
      </c>
      <c r="F84" s="42">
        <v>202</v>
      </c>
      <c r="G84" s="42">
        <v>226</v>
      </c>
      <c r="H84" s="42">
        <v>207</v>
      </c>
      <c r="I84" s="42">
        <v>183</v>
      </c>
      <c r="J84" s="42">
        <v>173</v>
      </c>
      <c r="K84" s="42">
        <v>190</v>
      </c>
      <c r="L84" s="42">
        <v>180</v>
      </c>
      <c r="M84" s="42">
        <v>162</v>
      </c>
      <c r="N84" s="42">
        <v>155</v>
      </c>
      <c r="O84" s="42">
        <v>183</v>
      </c>
      <c r="P84" s="43">
        <f>INDEX('Scenario Data'!$D$5:$I$345,MATCH('Income Statement'!$G$3&amp;"|interest_income",'Scenario Data'!$A$5:$A$345,0),MATCH(P$4,'Scenario Data'!$D$4:$I$4,0))</f>
        <v>183.54893375952639</v>
      </c>
      <c r="Q84" s="43">
        <f>INDEX('Scenario Data'!$D$5:$I$345,MATCH('Income Statement'!$G$3&amp;"|interest_income",'Scenario Data'!$A$5:$A$345,0),MATCH(Q$4,'Scenario Data'!$D$4:$I$4,0))</f>
        <v>165.49546529691921</v>
      </c>
      <c r="R84" s="43">
        <f>INDEX('Scenario Data'!$D$5:$I$345,MATCH('Income Statement'!$G$3&amp;"|interest_income",'Scenario Data'!$A$5:$A$345,0),MATCH(R$4,'Scenario Data'!$D$4:$I$4,0))</f>
        <v>180.26225844774419</v>
      </c>
      <c r="S84" s="43">
        <f>INDEX('Scenario Data'!$D$5:$I$345,MATCH('Income Statement'!$G$3&amp;"|interest_income",'Scenario Data'!$A$5:$A$345,0),MATCH(S$4,'Scenario Data'!$D$4:$I$4,0))</f>
        <v>202.84769300931859</v>
      </c>
      <c r="T84" s="43">
        <f>INDEX('Scenario Data'!$D$5:$I$345,MATCH('Income Statement'!$G$3&amp;"|interest_income",'Scenario Data'!$A$5:$A$345,0),MATCH(T$4,'Scenario Data'!$D$4:$I$4,0))</f>
        <v>191.14508532477521</v>
      </c>
      <c r="U84" s="43">
        <f>INDEX('Scenario Data'!$D$5:$I$345,MATCH('Income Statement'!$G$3&amp;"|interest_income",'Scenario Data'!$A$5:$A$345,0),MATCH(U$4,'Scenario Data'!$D$4:$I$4,0))</f>
        <v>171.15507641910381</v>
      </c>
      <c r="W84" s="46" t="s">
        <v>762</v>
      </c>
    </row>
    <row r="85" spans="1:23" x14ac:dyDescent="0.3">
      <c r="A85" s="7" t="s">
        <v>763</v>
      </c>
      <c r="B85" s="42">
        <v>4</v>
      </c>
      <c r="C85" s="42">
        <v>2</v>
      </c>
      <c r="D85" s="42">
        <v>6</v>
      </c>
      <c r="E85" s="42">
        <v>71</v>
      </c>
      <c r="G85" s="42">
        <v>9</v>
      </c>
      <c r="H85" s="42">
        <v>2</v>
      </c>
      <c r="I85" s="42">
        <v>10</v>
      </c>
      <c r="J85" s="42">
        <v>5</v>
      </c>
      <c r="K85" s="42">
        <v>6</v>
      </c>
      <c r="L85" s="42">
        <v>6</v>
      </c>
      <c r="M85" s="42">
        <v>26</v>
      </c>
      <c r="N85" s="42">
        <v>21</v>
      </c>
      <c r="O85" s="42">
        <v>37</v>
      </c>
      <c r="P85" s="43">
        <f>INDEX('Scenario Data'!$D$5:$I$345,MATCH('Income Statement'!$G$3&amp;"|interest_expense",'Scenario Data'!$A$5:$A$345,0),MATCH(P$4,'Scenario Data'!$D$4:$I$4,0))</f>
        <v>37</v>
      </c>
      <c r="Q85" s="43">
        <f>INDEX('Scenario Data'!$D$5:$I$345,MATCH('Income Statement'!$G$3&amp;"|interest_expense",'Scenario Data'!$A$5:$A$345,0),MATCH(Q$4,'Scenario Data'!$D$4:$I$4,0))</f>
        <v>37</v>
      </c>
      <c r="R85" s="43">
        <f>INDEX('Scenario Data'!$D$5:$I$345,MATCH('Income Statement'!$G$3&amp;"|interest_expense",'Scenario Data'!$A$5:$A$345,0),MATCH(R$4,'Scenario Data'!$D$4:$I$4,0))</f>
        <v>37</v>
      </c>
      <c r="S85" s="43">
        <f>INDEX('Scenario Data'!$D$5:$I$345,MATCH('Income Statement'!$G$3&amp;"|interest_expense",'Scenario Data'!$A$5:$A$345,0),MATCH(S$4,'Scenario Data'!$D$4:$I$4,0))</f>
        <v>37</v>
      </c>
      <c r="T85" s="43">
        <f>INDEX('Scenario Data'!$D$5:$I$345,MATCH('Income Statement'!$G$3&amp;"|interest_expense",'Scenario Data'!$A$5:$A$345,0),MATCH(T$4,'Scenario Data'!$D$4:$I$4,0))</f>
        <v>37</v>
      </c>
      <c r="U85" s="43">
        <f>INDEX('Scenario Data'!$D$5:$I$345,MATCH('Income Statement'!$G$3&amp;"|interest_expense",'Scenario Data'!$A$5:$A$345,0),MATCH(U$4,'Scenario Data'!$D$4:$I$4,0))</f>
        <v>37</v>
      </c>
      <c r="W85" s="46" t="s">
        <v>764</v>
      </c>
    </row>
    <row r="86" spans="1:23" x14ac:dyDescent="0.3">
      <c r="A86" s="7" t="s">
        <v>765</v>
      </c>
      <c r="B86" s="22">
        <f>IFERROR(13.4/130,"")</f>
        <v>0.10307692307692308</v>
      </c>
      <c r="C86" s="22">
        <f>IFERROR(26/676,"")</f>
        <v>3.8461538461538464E-2</v>
      </c>
      <c r="D86" s="22">
        <f>IFERROR(-2695/1679,"")</f>
        <v>-1.6051220964860036</v>
      </c>
      <c r="E86" s="22">
        <f>IFERROR(-34/-383,"")</f>
        <v>8.877284595300261E-2</v>
      </c>
      <c r="F86" s="22">
        <f>IFERROR(29/293,"")</f>
        <v>9.8976109215017066E-2</v>
      </c>
      <c r="G86" s="22">
        <f>IFERROR(126/681,"")</f>
        <v>0.18502202643171806</v>
      </c>
      <c r="H86" s="22">
        <f>IFERROR(367/1735,"")</f>
        <v>0.21152737752161382</v>
      </c>
      <c r="I86" s="22">
        <f>IFERROR(161/622,"")</f>
        <v>0.25884244372990356</v>
      </c>
      <c r="J86" s="22">
        <f>IFERROR(19/173,"")</f>
        <v>0.10982658959537572</v>
      </c>
      <c r="K86" s="22">
        <f>IFERROR(137/779,"")</f>
        <v>0.17586649550706032</v>
      </c>
      <c r="L86" s="22">
        <f>IFERROR(418/1792,"")</f>
        <v>0.23325892857142858</v>
      </c>
      <c r="M86" s="22">
        <f>IFERROR(52/393,"")</f>
        <v>0.13231552162849872</v>
      </c>
      <c r="N86" s="22">
        <f>IFERROR(121/281,"")</f>
        <v>0.4306049822064057</v>
      </c>
      <c r="O86" s="22">
        <f>IFERROR(81/897,"")</f>
        <v>9.0301003344481601E-2</v>
      </c>
      <c r="P86" s="96">
        <f>INDEX('Scenario Data'!$D$5:$I$345,MATCH('Income Statement'!$G$3&amp;"|etr_pct",'Scenario Data'!$A$5:$A$345,0),MATCH(P$4,'Scenario Data'!$D$4:$I$4,0))</f>
        <v>0.18</v>
      </c>
      <c r="Q86" s="96">
        <f>INDEX('Scenario Data'!$D$5:$I$345,MATCH('Income Statement'!$G$3&amp;"|etr_pct",'Scenario Data'!$A$5:$A$345,0),MATCH(Q$4,'Scenario Data'!$D$4:$I$4,0))</f>
        <v>0.18</v>
      </c>
      <c r="R86" s="96">
        <f>INDEX('Scenario Data'!$D$5:$I$345,MATCH('Income Statement'!$G$3&amp;"|etr_pct",'Scenario Data'!$A$5:$A$345,0),MATCH(R$4,'Scenario Data'!$D$4:$I$4,0))</f>
        <v>0.17499999999999999</v>
      </c>
      <c r="S86" s="96">
        <f>INDEX('Scenario Data'!$D$5:$I$345,MATCH('Income Statement'!$G$3&amp;"|etr_pct",'Scenario Data'!$A$5:$A$345,0),MATCH(S$4,'Scenario Data'!$D$4:$I$4,0))</f>
        <v>0.17499999999999999</v>
      </c>
      <c r="T86" s="96">
        <f>INDEX('Scenario Data'!$D$5:$I$345,MATCH('Income Statement'!$G$3&amp;"|etr_pct",'Scenario Data'!$A$5:$A$345,0),MATCH(T$4,'Scenario Data'!$D$4:$I$4,0))</f>
        <v>0.17499999999999999</v>
      </c>
      <c r="U86" s="96">
        <f>INDEX('Scenario Data'!$D$5:$I$345,MATCH('Income Statement'!$G$3&amp;"|etr_pct",'Scenario Data'!$A$5:$A$345,0),MATCH(U$4,'Scenario Data'!$D$4:$I$4,0))</f>
        <v>0.17499999999999999</v>
      </c>
      <c r="W86" s="46" t="s">
        <v>766</v>
      </c>
    </row>
    <row r="87" spans="1:23" x14ac:dyDescent="0.3">
      <c r="A87" s="7" t="s">
        <v>767</v>
      </c>
      <c r="B87" s="49">
        <v>670</v>
      </c>
      <c r="C87" s="49">
        <v>665</v>
      </c>
      <c r="D87" s="49">
        <v>660</v>
      </c>
      <c r="E87" s="49">
        <v>640</v>
      </c>
      <c r="F87" s="49">
        <v>654</v>
      </c>
      <c r="G87" s="49">
        <v>649</v>
      </c>
      <c r="H87" s="49">
        <v>642</v>
      </c>
      <c r="I87" s="49">
        <v>636</v>
      </c>
      <c r="J87" s="49">
        <v>632</v>
      </c>
      <c r="K87" s="49">
        <v>626</v>
      </c>
      <c r="L87" s="49">
        <v>621</v>
      </c>
      <c r="M87" s="49">
        <v>614</v>
      </c>
      <c r="N87" s="49">
        <v>608</v>
      </c>
      <c r="O87" s="49">
        <v>597</v>
      </c>
      <c r="P87" s="50">
        <f>INDEX('Scenario Data'!$D$5:$I$345,MATCH('Income Statement'!$G$3&amp;"|diluted_shares_m",'Scenario Data'!$A$5:$A$345,0),MATCH(P$4,'Scenario Data'!$D$4:$I$4,0))</f>
        <v>591.67581338190553</v>
      </c>
      <c r="Q87" s="50">
        <f>INDEX('Scenario Data'!$D$5:$I$345,MATCH('Income Statement'!$G$3&amp;"|diluted_shares_m",'Scenario Data'!$A$5:$A$345,0),MATCH(Q$4,'Scenario Data'!$D$4:$I$4,0))</f>
        <v>586.35162676381105</v>
      </c>
      <c r="R87" s="50">
        <f>INDEX('Scenario Data'!$D$5:$I$345,MATCH('Income Statement'!$G$3&amp;"|diluted_shares_m",'Scenario Data'!$A$5:$A$345,0),MATCH(R$4,'Scenario Data'!$D$4:$I$4,0))</f>
        <v>581.02744014571658</v>
      </c>
      <c r="S87" s="50">
        <f>INDEX('Scenario Data'!$D$5:$I$345,MATCH('Income Statement'!$G$3&amp;"|diluted_shares_m",'Scenario Data'!$A$5:$A$345,0),MATCH(S$4,'Scenario Data'!$D$4:$I$4,0))</f>
        <v>575.70325352762211</v>
      </c>
      <c r="T87" s="50">
        <f>INDEX('Scenario Data'!$D$5:$I$345,MATCH('Income Statement'!$G$3&amp;"|diluted_shares_m",'Scenario Data'!$A$5:$A$345,0),MATCH(T$4,'Scenario Data'!$D$4:$I$4,0))</f>
        <v>570.37906690952764</v>
      </c>
      <c r="U87" s="50">
        <f>INDEX('Scenario Data'!$D$5:$I$345,MATCH('Income Statement'!$G$3&amp;"|diluted_shares_m",'Scenario Data'!$A$5:$A$345,0),MATCH(U$4,'Scenario Data'!$D$4:$I$4,0))</f>
        <v>565.05488029143316</v>
      </c>
      <c r="W87" s="46" t="s">
        <v>768</v>
      </c>
    </row>
    <row r="88" spans="1:23" x14ac:dyDescent="0.3">
      <c r="A88" s="7" t="s">
        <v>769</v>
      </c>
      <c r="B88" s="42">
        <v>493</v>
      </c>
      <c r="C88" s="42">
        <v>507</v>
      </c>
      <c r="D88" s="42">
        <v>500</v>
      </c>
      <c r="E88" s="42">
        <v>752</v>
      </c>
      <c r="F88" s="42">
        <v>750</v>
      </c>
      <c r="G88" s="42">
        <v>749</v>
      </c>
      <c r="H88" s="42">
        <v>1093</v>
      </c>
      <c r="I88" s="42">
        <v>838</v>
      </c>
      <c r="J88" s="42">
        <v>807</v>
      </c>
      <c r="K88" s="42">
        <v>1010</v>
      </c>
      <c r="L88" s="42">
        <v>877</v>
      </c>
      <c r="M88" s="42">
        <v>1095</v>
      </c>
      <c r="N88" s="42">
        <v>1088</v>
      </c>
      <c r="O88" s="42">
        <v>1051</v>
      </c>
      <c r="W88" s="46" t="s">
        <v>770</v>
      </c>
    </row>
    <row r="89" spans="1:23" x14ac:dyDescent="0.3">
      <c r="A89" s="7" t="s">
        <v>771</v>
      </c>
      <c r="B89" s="42">
        <v>1581</v>
      </c>
      <c r="C89" s="42">
        <v>900</v>
      </c>
      <c r="D89" s="42">
        <v>1310</v>
      </c>
      <c r="E89" s="42">
        <v>46</v>
      </c>
      <c r="F89" s="42">
        <v>1909</v>
      </c>
      <c r="G89" s="42">
        <v>1043</v>
      </c>
      <c r="H89" s="42">
        <v>1074</v>
      </c>
      <c r="I89" s="42">
        <v>458</v>
      </c>
      <c r="J89" s="42">
        <v>1781</v>
      </c>
      <c r="K89" s="42">
        <v>962</v>
      </c>
      <c r="L89" s="42">
        <v>1349</v>
      </c>
      <c r="M89" s="42">
        <v>521</v>
      </c>
      <c r="N89" s="42">
        <v>1704</v>
      </c>
      <c r="O89" s="42">
        <v>1253</v>
      </c>
      <c r="W89" s="46" t="s">
        <v>772</v>
      </c>
    </row>
    <row r="91" spans="1:23" x14ac:dyDescent="0.3">
      <c r="A91" s="3" t="s">
        <v>773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3" ht="18" customHeight="1" x14ac:dyDescent="0.3">
      <c r="A92" s="18" t="s">
        <v>774</v>
      </c>
      <c r="B92" s="18" t="s">
        <v>587</v>
      </c>
      <c r="C92" s="18" t="s">
        <v>775</v>
      </c>
      <c r="D92" s="18" t="s">
        <v>776</v>
      </c>
      <c r="E92" s="18" t="s">
        <v>777</v>
      </c>
      <c r="F92" s="163" t="s">
        <v>458</v>
      </c>
      <c r="G92" s="163" t="s">
        <v>778</v>
      </c>
    </row>
    <row r="93" spans="1:23" x14ac:dyDescent="0.3">
      <c r="A93" s="7" t="s">
        <v>779</v>
      </c>
      <c r="B93" s="7" t="s">
        <v>780</v>
      </c>
      <c r="C93" s="73">
        <v>3.65</v>
      </c>
      <c r="D93" s="73">
        <v>3.65</v>
      </c>
      <c r="E93" s="73">
        <v>3.65</v>
      </c>
      <c r="F93" s="125" t="s">
        <v>781</v>
      </c>
      <c r="G93" s="125" t="s">
        <v>782</v>
      </c>
    </row>
    <row r="94" spans="1:23" x14ac:dyDescent="0.3">
      <c r="A94" s="7" t="s">
        <v>779</v>
      </c>
      <c r="B94" s="7" t="s">
        <v>783</v>
      </c>
      <c r="C94" s="73">
        <v>3.6</v>
      </c>
      <c r="D94" s="73">
        <v>3.6</v>
      </c>
      <c r="E94" s="73">
        <v>3.6</v>
      </c>
      <c r="F94" s="125" t="s">
        <v>781</v>
      </c>
      <c r="G94" s="125" t="s">
        <v>784</v>
      </c>
    </row>
    <row r="95" spans="1:23" x14ac:dyDescent="0.3">
      <c r="A95" s="7" t="s">
        <v>785</v>
      </c>
      <c r="B95" s="7" t="s">
        <v>596</v>
      </c>
      <c r="C95" s="73">
        <v>1.7</v>
      </c>
      <c r="D95" s="73">
        <v>1.76</v>
      </c>
      <c r="E95" s="73">
        <v>1.64</v>
      </c>
      <c r="F95" s="125" t="s">
        <v>786</v>
      </c>
      <c r="G95" s="125" t="s">
        <v>787</v>
      </c>
    </row>
    <row r="96" spans="1:23" x14ac:dyDescent="0.3">
      <c r="A96" s="7" t="s">
        <v>785</v>
      </c>
      <c r="B96" s="7" t="s">
        <v>613</v>
      </c>
      <c r="C96" s="73">
        <v>0.72</v>
      </c>
      <c r="D96" s="73">
        <v>0.85</v>
      </c>
      <c r="E96" s="73">
        <v>0.6</v>
      </c>
      <c r="F96" s="125" t="s">
        <v>788</v>
      </c>
      <c r="G96" s="125" t="s">
        <v>789</v>
      </c>
    </row>
    <row r="97" spans="1:7" x14ac:dyDescent="0.3">
      <c r="A97" s="7" t="s">
        <v>785</v>
      </c>
      <c r="B97" s="7" t="s">
        <v>790</v>
      </c>
      <c r="C97" s="73">
        <v>224</v>
      </c>
      <c r="D97" s="73">
        <v>224</v>
      </c>
      <c r="E97" s="73">
        <v>224</v>
      </c>
      <c r="F97" s="125" t="s">
        <v>791</v>
      </c>
      <c r="G97" s="125" t="s">
        <v>792</v>
      </c>
    </row>
    <row r="98" spans="1:7" x14ac:dyDescent="0.3">
      <c r="A98" s="7" t="s">
        <v>785</v>
      </c>
      <c r="B98" s="7" t="s">
        <v>615</v>
      </c>
      <c r="C98" s="73">
        <v>30</v>
      </c>
      <c r="D98" s="73">
        <v>45</v>
      </c>
      <c r="E98" s="73">
        <v>20</v>
      </c>
      <c r="F98" s="125" t="s">
        <v>793</v>
      </c>
      <c r="G98" s="125" t="s">
        <v>794</v>
      </c>
    </row>
    <row r="99" spans="1:7" x14ac:dyDescent="0.3">
      <c r="A99" s="7" t="s">
        <v>785</v>
      </c>
      <c r="B99" s="7" t="s">
        <v>598</v>
      </c>
      <c r="C99" s="73">
        <v>330</v>
      </c>
      <c r="D99" s="73">
        <v>400</v>
      </c>
      <c r="E99" s="73">
        <v>290</v>
      </c>
      <c r="F99" s="125" t="s">
        <v>791</v>
      </c>
      <c r="G99" s="125" t="s">
        <v>795</v>
      </c>
    </row>
    <row r="100" spans="1:7" x14ac:dyDescent="0.3">
      <c r="A100" s="7" t="s">
        <v>785</v>
      </c>
      <c r="B100" s="7" t="s">
        <v>796</v>
      </c>
      <c r="C100" s="73">
        <v>0.36</v>
      </c>
      <c r="D100" s="73">
        <v>0.36</v>
      </c>
      <c r="E100" s="73">
        <v>0.36</v>
      </c>
      <c r="F100" s="125" t="s">
        <v>797</v>
      </c>
      <c r="G100" s="125" t="s">
        <v>798</v>
      </c>
    </row>
    <row r="101" spans="1:7" x14ac:dyDescent="0.3">
      <c r="A101" s="7" t="s">
        <v>785</v>
      </c>
      <c r="B101" s="7" t="s">
        <v>799</v>
      </c>
      <c r="C101" s="73">
        <v>1</v>
      </c>
      <c r="D101" s="73">
        <v>1</v>
      </c>
      <c r="E101" s="73">
        <v>1</v>
      </c>
      <c r="F101" s="125" t="s">
        <v>800</v>
      </c>
      <c r="G101" s="125" t="s">
        <v>801</v>
      </c>
    </row>
    <row r="102" spans="1:7" x14ac:dyDescent="0.3">
      <c r="A102" s="7" t="s">
        <v>802</v>
      </c>
      <c r="B102" s="7" t="s">
        <v>617</v>
      </c>
      <c r="C102" s="73">
        <v>0.215</v>
      </c>
      <c r="D102" s="73">
        <v>0.17</v>
      </c>
      <c r="E102" s="73">
        <v>0.27</v>
      </c>
      <c r="F102" s="125" t="s">
        <v>803</v>
      </c>
      <c r="G102" s="125" t="s">
        <v>804</v>
      </c>
    </row>
    <row r="103" spans="1:7" x14ac:dyDescent="0.3">
      <c r="A103" s="7" t="s">
        <v>802</v>
      </c>
      <c r="B103" s="7" t="s">
        <v>625</v>
      </c>
      <c r="C103" s="73">
        <v>-14</v>
      </c>
      <c r="D103" s="73">
        <v>-8</v>
      </c>
      <c r="E103" s="73">
        <v>-18</v>
      </c>
      <c r="F103" s="125" t="s">
        <v>805</v>
      </c>
      <c r="G103" s="125" t="s">
        <v>806</v>
      </c>
    </row>
    <row r="104" spans="1:7" x14ac:dyDescent="0.3">
      <c r="A104" s="7" t="s">
        <v>802</v>
      </c>
      <c r="B104" s="7" t="s">
        <v>619</v>
      </c>
      <c r="C104" s="73">
        <v>-10</v>
      </c>
      <c r="D104" s="73">
        <v>-4</v>
      </c>
      <c r="E104" s="73">
        <v>-14</v>
      </c>
      <c r="F104" s="125" t="s">
        <v>807</v>
      </c>
      <c r="G104" s="125" t="s">
        <v>808</v>
      </c>
    </row>
    <row r="105" spans="1:7" x14ac:dyDescent="0.3">
      <c r="A105" s="7" t="s">
        <v>802</v>
      </c>
      <c r="B105" s="7" t="s">
        <v>606</v>
      </c>
      <c r="C105" s="73">
        <v>8</v>
      </c>
      <c r="D105" s="73">
        <v>11</v>
      </c>
      <c r="E105" s="73">
        <v>6</v>
      </c>
      <c r="F105" s="125" t="s">
        <v>809</v>
      </c>
      <c r="G105" s="125" t="s">
        <v>810</v>
      </c>
    </row>
    <row r="106" spans="1:7" x14ac:dyDescent="0.3">
      <c r="A106" s="7" t="s">
        <v>811</v>
      </c>
      <c r="B106" s="7" t="s">
        <v>623</v>
      </c>
      <c r="C106" s="73">
        <v>9</v>
      </c>
      <c r="D106" s="73">
        <v>11</v>
      </c>
      <c r="E106" s="73">
        <v>7</v>
      </c>
      <c r="F106" s="125" t="s">
        <v>812</v>
      </c>
      <c r="G106" s="125" t="s">
        <v>813</v>
      </c>
    </row>
    <row r="107" spans="1:7" x14ac:dyDescent="0.3">
      <c r="A107" s="7" t="s">
        <v>811</v>
      </c>
      <c r="B107" s="7" t="s">
        <v>611</v>
      </c>
      <c r="C107" s="73">
        <v>8</v>
      </c>
      <c r="D107" s="73">
        <v>10</v>
      </c>
      <c r="E107" s="73">
        <v>6</v>
      </c>
      <c r="F107" s="125" t="s">
        <v>814</v>
      </c>
      <c r="G107" s="125" t="s">
        <v>815</v>
      </c>
    </row>
    <row r="108" spans="1:7" x14ac:dyDescent="0.3">
      <c r="A108" s="7" t="s">
        <v>811</v>
      </c>
      <c r="B108" s="7" t="s">
        <v>608</v>
      </c>
      <c r="C108" s="73">
        <v>30</v>
      </c>
      <c r="D108" s="73">
        <v>60</v>
      </c>
      <c r="E108" s="73">
        <v>15</v>
      </c>
      <c r="F108" s="125" t="s">
        <v>816</v>
      </c>
      <c r="G108" s="125" t="s">
        <v>817</v>
      </c>
    </row>
    <row r="109" spans="1:7" x14ac:dyDescent="0.3">
      <c r="A109" s="7" t="s">
        <v>818</v>
      </c>
      <c r="B109" s="7" t="s">
        <v>819</v>
      </c>
      <c r="C109" s="73">
        <v>1595</v>
      </c>
      <c r="D109" s="73">
        <v>1595</v>
      </c>
      <c r="E109" s="73">
        <v>1595</v>
      </c>
      <c r="F109" s="125" t="s">
        <v>468</v>
      </c>
      <c r="G109" s="125" t="s">
        <v>820</v>
      </c>
    </row>
    <row r="110" spans="1:7" x14ac:dyDescent="0.3">
      <c r="A110" s="7" t="s">
        <v>818</v>
      </c>
      <c r="B110" s="7" t="s">
        <v>821</v>
      </c>
      <c r="C110" s="73">
        <v>0.51</v>
      </c>
      <c r="D110" s="73">
        <v>0.51</v>
      </c>
      <c r="E110" s="73">
        <v>0.51</v>
      </c>
      <c r="F110" s="125" t="s">
        <v>822</v>
      </c>
      <c r="G110" s="125" t="s">
        <v>823</v>
      </c>
    </row>
    <row r="111" spans="1:7" x14ac:dyDescent="0.3">
      <c r="A111" s="7" t="s">
        <v>818</v>
      </c>
      <c r="B111" s="7" t="s">
        <v>824</v>
      </c>
      <c r="C111" s="73">
        <v>32</v>
      </c>
      <c r="D111" s="73">
        <v>32</v>
      </c>
      <c r="E111" s="73">
        <v>32</v>
      </c>
      <c r="F111" s="125" t="s">
        <v>825</v>
      </c>
      <c r="G111" s="125" t="s">
        <v>826</v>
      </c>
    </row>
    <row r="112" spans="1:7" x14ac:dyDescent="0.3">
      <c r="A112" s="7" t="s">
        <v>818</v>
      </c>
      <c r="B112" s="7" t="s">
        <v>621</v>
      </c>
      <c r="C112" s="73">
        <v>25</v>
      </c>
      <c r="D112" s="73">
        <v>32</v>
      </c>
      <c r="E112" s="73">
        <v>18</v>
      </c>
      <c r="F112" s="125" t="s">
        <v>812</v>
      </c>
      <c r="G112" s="125" t="s">
        <v>827</v>
      </c>
    </row>
    <row r="113" spans="1:7" x14ac:dyDescent="0.3">
      <c r="A113" s="7" t="s">
        <v>818</v>
      </c>
      <c r="B113" s="7" t="s">
        <v>592</v>
      </c>
      <c r="C113" s="73">
        <v>15</v>
      </c>
      <c r="D113" s="73">
        <v>22</v>
      </c>
      <c r="E113" s="73">
        <v>10</v>
      </c>
      <c r="F113" s="125" t="s">
        <v>814</v>
      </c>
      <c r="G113" s="125" t="s">
        <v>828</v>
      </c>
    </row>
    <row r="114" spans="1:7" x14ac:dyDescent="0.3">
      <c r="A114" s="7" t="s">
        <v>818</v>
      </c>
      <c r="B114" s="7" t="s">
        <v>829</v>
      </c>
      <c r="C114" s="73">
        <v>781</v>
      </c>
      <c r="D114" s="73">
        <v>781</v>
      </c>
      <c r="E114" s="73">
        <v>781</v>
      </c>
      <c r="F114" s="125" t="s">
        <v>468</v>
      </c>
      <c r="G114" s="125" t="s">
        <v>830</v>
      </c>
    </row>
    <row r="115" spans="1:7" x14ac:dyDescent="0.3">
      <c r="A115" s="7" t="s">
        <v>818</v>
      </c>
      <c r="B115" s="7" t="s">
        <v>622</v>
      </c>
      <c r="C115" s="73">
        <v>18</v>
      </c>
      <c r="D115" s="73">
        <v>22</v>
      </c>
      <c r="E115" s="73">
        <v>14</v>
      </c>
      <c r="F115" s="125" t="s">
        <v>831</v>
      </c>
      <c r="G115" s="125" t="s">
        <v>832</v>
      </c>
    </row>
    <row r="116" spans="1:7" x14ac:dyDescent="0.3">
      <c r="A116" s="7" t="s">
        <v>818</v>
      </c>
      <c r="B116" s="7" t="s">
        <v>604</v>
      </c>
      <c r="C116" s="73">
        <v>11</v>
      </c>
      <c r="D116" s="73">
        <v>16</v>
      </c>
      <c r="E116" s="73">
        <v>8</v>
      </c>
      <c r="F116" s="125" t="s">
        <v>831</v>
      </c>
      <c r="G116" s="125" t="s">
        <v>833</v>
      </c>
    </row>
    <row r="117" spans="1:7" x14ac:dyDescent="0.3">
      <c r="A117" s="7" t="s">
        <v>834</v>
      </c>
      <c r="B117" s="7" t="s">
        <v>835</v>
      </c>
      <c r="C117" s="73">
        <v>1</v>
      </c>
      <c r="D117" s="73">
        <v>1</v>
      </c>
      <c r="E117" s="73">
        <v>1</v>
      </c>
      <c r="F117" s="125" t="s">
        <v>836</v>
      </c>
      <c r="G117" s="125" t="s">
        <v>837</v>
      </c>
    </row>
    <row r="118" spans="1:7" x14ac:dyDescent="0.3">
      <c r="A118" s="7" t="s">
        <v>834</v>
      </c>
      <c r="B118" s="7" t="s">
        <v>602</v>
      </c>
      <c r="C118" s="73">
        <v>4730</v>
      </c>
      <c r="D118" s="73">
        <v>4730</v>
      </c>
      <c r="E118" s="73">
        <v>4730</v>
      </c>
      <c r="F118" s="125" t="s">
        <v>468</v>
      </c>
      <c r="G118" s="125" t="s">
        <v>838</v>
      </c>
    </row>
    <row r="119" spans="1:7" x14ac:dyDescent="0.3">
      <c r="A119" s="7" t="s">
        <v>834</v>
      </c>
      <c r="B119" s="7" t="s">
        <v>600</v>
      </c>
      <c r="C119" s="73">
        <v>-0.5</v>
      </c>
      <c r="D119" s="73">
        <v>-1</v>
      </c>
      <c r="E119" s="73">
        <v>0</v>
      </c>
      <c r="F119" s="125" t="s">
        <v>839</v>
      </c>
      <c r="G119" s="125" t="s">
        <v>840</v>
      </c>
    </row>
    <row r="120" spans="1:7" x14ac:dyDescent="0.3">
      <c r="A120" s="7" t="s">
        <v>834</v>
      </c>
      <c r="B120" s="7" t="s">
        <v>594</v>
      </c>
      <c r="C120" s="73">
        <v>0.7</v>
      </c>
      <c r="D120" s="73">
        <v>0.7</v>
      </c>
      <c r="E120" s="73">
        <v>0.7</v>
      </c>
      <c r="F120" s="125" t="s">
        <v>841</v>
      </c>
      <c r="G120" s="125" t="s">
        <v>842</v>
      </c>
    </row>
    <row r="121" spans="1:7" x14ac:dyDescent="0.3">
      <c r="A121" s="7" t="s">
        <v>843</v>
      </c>
      <c r="B121" s="7" t="s">
        <v>624</v>
      </c>
      <c r="C121" s="73">
        <v>5</v>
      </c>
      <c r="D121" s="73">
        <v>8</v>
      </c>
      <c r="E121" s="73">
        <v>2</v>
      </c>
      <c r="F121" s="125" t="s">
        <v>844</v>
      </c>
      <c r="G121" s="125" t="s">
        <v>845</v>
      </c>
    </row>
    <row r="122" spans="1:7" x14ac:dyDescent="0.3">
      <c r="A122" s="7" t="s">
        <v>843</v>
      </c>
      <c r="B122" s="7" t="s">
        <v>610</v>
      </c>
      <c r="C122" s="73">
        <v>5</v>
      </c>
      <c r="D122" s="73">
        <v>8</v>
      </c>
      <c r="E122" s="73">
        <v>3</v>
      </c>
      <c r="F122" s="125" t="s">
        <v>814</v>
      </c>
      <c r="G122" s="125" t="s">
        <v>846</v>
      </c>
    </row>
    <row r="123" spans="1:7" x14ac:dyDescent="0.3">
      <c r="A123" s="7" t="s">
        <v>843</v>
      </c>
      <c r="B123" s="7" t="s">
        <v>847</v>
      </c>
      <c r="C123" s="73">
        <v>0</v>
      </c>
      <c r="D123" s="73">
        <v>0</v>
      </c>
      <c r="E123" s="73">
        <v>0</v>
      </c>
      <c r="F123" s="125" t="s">
        <v>848</v>
      </c>
      <c r="G123" s="125" t="s">
        <v>849</v>
      </c>
    </row>
    <row r="124" spans="1:7" x14ac:dyDescent="0.3">
      <c r="A124" s="7" t="s">
        <v>850</v>
      </c>
      <c r="B124" s="7" t="s">
        <v>851</v>
      </c>
      <c r="C124" s="73">
        <v>0</v>
      </c>
      <c r="D124" s="73">
        <v>0</v>
      </c>
      <c r="E124" s="73">
        <v>0</v>
      </c>
      <c r="F124" s="125" t="s">
        <v>852</v>
      </c>
      <c r="G124" s="125" t="s">
        <v>853</v>
      </c>
    </row>
    <row r="125" spans="1:7" x14ac:dyDescent="0.3">
      <c r="A125" s="7" t="s">
        <v>850</v>
      </c>
      <c r="B125" s="7" t="s">
        <v>854</v>
      </c>
      <c r="C125" s="73">
        <v>0</v>
      </c>
      <c r="D125" s="73">
        <v>0</v>
      </c>
      <c r="E125" s="73">
        <v>0</v>
      </c>
      <c r="F125" s="125" t="s">
        <v>855</v>
      </c>
      <c r="G125" s="125" t="s">
        <v>856</v>
      </c>
    </row>
    <row r="126" spans="1:7" x14ac:dyDescent="0.3">
      <c r="A126" s="7" t="s">
        <v>850</v>
      </c>
      <c r="B126" s="7" t="s">
        <v>857</v>
      </c>
      <c r="C126" s="73">
        <v>0</v>
      </c>
      <c r="D126" s="73">
        <v>0</v>
      </c>
      <c r="E126" s="73">
        <v>0</v>
      </c>
      <c r="F126" s="125" t="s">
        <v>858</v>
      </c>
      <c r="G126" s="125" t="s">
        <v>859</v>
      </c>
    </row>
    <row r="127" spans="1:7" x14ac:dyDescent="0.3">
      <c r="A127" s="7" t="s">
        <v>257</v>
      </c>
      <c r="B127" s="7" t="s">
        <v>860</v>
      </c>
      <c r="C127" s="73">
        <v>20.633970599907521</v>
      </c>
      <c r="D127" s="73">
        <v>20.633970599907521</v>
      </c>
      <c r="E127" s="73">
        <v>20.633970599907521</v>
      </c>
      <c r="F127" s="125" t="s">
        <v>861</v>
      </c>
      <c r="G127" s="125" t="s">
        <v>862</v>
      </c>
    </row>
    <row r="128" spans="1:7" x14ac:dyDescent="0.3">
      <c r="A128" s="7" t="s">
        <v>257</v>
      </c>
      <c r="B128" s="7" t="s">
        <v>863</v>
      </c>
      <c r="C128" s="73">
        <v>13.17774076718568</v>
      </c>
      <c r="D128" s="73">
        <v>13.17774076718568</v>
      </c>
      <c r="E128" s="73">
        <v>13.17774076718568</v>
      </c>
      <c r="F128" s="125" t="s">
        <v>864</v>
      </c>
      <c r="G128" s="125" t="s">
        <v>865</v>
      </c>
    </row>
    <row r="129" spans="1:22" x14ac:dyDescent="0.3">
      <c r="A129" s="7" t="s">
        <v>257</v>
      </c>
      <c r="B129" s="7" t="s">
        <v>866</v>
      </c>
      <c r="C129" s="73">
        <v>0.8764975067193741</v>
      </c>
      <c r="D129" s="73">
        <v>0.8764975067193741</v>
      </c>
      <c r="E129" s="73">
        <v>0.8764975067193741</v>
      </c>
      <c r="F129" s="125" t="s">
        <v>867</v>
      </c>
      <c r="G129" s="125" t="s">
        <v>868</v>
      </c>
    </row>
    <row r="130" spans="1:22" x14ac:dyDescent="0.3">
      <c r="A130" s="7" t="s">
        <v>257</v>
      </c>
      <c r="B130" s="7" t="s">
        <v>627</v>
      </c>
      <c r="C130" s="73">
        <v>3.76</v>
      </c>
      <c r="D130" s="73">
        <v>3.76</v>
      </c>
      <c r="E130" s="73">
        <v>3.76</v>
      </c>
      <c r="F130" s="125" t="s">
        <v>869</v>
      </c>
      <c r="G130" s="125" t="s">
        <v>870</v>
      </c>
    </row>
    <row r="131" spans="1:22" x14ac:dyDescent="0.3">
      <c r="A131" s="7" t="s">
        <v>257</v>
      </c>
      <c r="B131" s="7" t="s">
        <v>871</v>
      </c>
      <c r="C131" s="73">
        <v>12069</v>
      </c>
      <c r="D131" s="73">
        <v>12069</v>
      </c>
      <c r="E131" s="73">
        <v>12069</v>
      </c>
      <c r="F131" s="125" t="s">
        <v>872</v>
      </c>
      <c r="G131" s="125" t="s">
        <v>873</v>
      </c>
    </row>
    <row r="132" spans="1:22" x14ac:dyDescent="0.3">
      <c r="A132" s="7" t="s">
        <v>257</v>
      </c>
      <c r="B132" s="7" t="s">
        <v>629</v>
      </c>
      <c r="C132" s="73">
        <v>0</v>
      </c>
      <c r="D132" s="73">
        <v>10</v>
      </c>
      <c r="E132" s="73">
        <v>0</v>
      </c>
      <c r="F132" s="125" t="s">
        <v>874</v>
      </c>
      <c r="G132" s="125" t="s">
        <v>875</v>
      </c>
    </row>
    <row r="133" spans="1:22" x14ac:dyDescent="0.3">
      <c r="A133" s="7" t="s">
        <v>257</v>
      </c>
      <c r="B133" s="7" t="s">
        <v>876</v>
      </c>
      <c r="C133" s="73">
        <v>37</v>
      </c>
      <c r="D133" s="73">
        <v>37</v>
      </c>
      <c r="E133" s="73">
        <v>37</v>
      </c>
      <c r="F133" s="125" t="s">
        <v>861</v>
      </c>
      <c r="G133" s="125" t="s">
        <v>877</v>
      </c>
    </row>
    <row r="134" spans="1:22" x14ac:dyDescent="0.3">
      <c r="A134" s="7" t="s">
        <v>257</v>
      </c>
      <c r="B134" s="7" t="s">
        <v>878</v>
      </c>
      <c r="C134" s="73">
        <v>3.7</v>
      </c>
      <c r="D134" s="73">
        <v>3.7</v>
      </c>
      <c r="E134" s="73">
        <v>3.7</v>
      </c>
      <c r="F134" s="125" t="s">
        <v>861</v>
      </c>
      <c r="G134" s="125" t="s">
        <v>879</v>
      </c>
    </row>
    <row r="135" spans="1:22" x14ac:dyDescent="0.3">
      <c r="A135" s="7" t="s">
        <v>257</v>
      </c>
      <c r="B135" s="7" t="s">
        <v>880</v>
      </c>
      <c r="C135" s="73">
        <v>18</v>
      </c>
      <c r="D135" s="73">
        <v>18</v>
      </c>
      <c r="E135" s="73">
        <v>18</v>
      </c>
      <c r="F135" s="125" t="s">
        <v>881</v>
      </c>
      <c r="G135" s="125" t="s">
        <v>882</v>
      </c>
    </row>
    <row r="136" spans="1:22" x14ac:dyDescent="0.3">
      <c r="A136" s="7" t="s">
        <v>257</v>
      </c>
      <c r="B136" s="7" t="s">
        <v>626</v>
      </c>
      <c r="C136" s="73">
        <v>17.5</v>
      </c>
      <c r="D136" s="73">
        <v>17.5</v>
      </c>
      <c r="E136" s="73">
        <v>17.5</v>
      </c>
      <c r="F136" s="125" t="s">
        <v>463</v>
      </c>
      <c r="G136" s="125" t="s">
        <v>883</v>
      </c>
    </row>
    <row r="137" spans="1:22" x14ac:dyDescent="0.3">
      <c r="A137" s="7" t="s">
        <v>257</v>
      </c>
      <c r="B137" s="7" t="s">
        <v>884</v>
      </c>
      <c r="C137" s="73">
        <v>597</v>
      </c>
      <c r="D137" s="73">
        <v>597</v>
      </c>
      <c r="E137" s="73">
        <v>597</v>
      </c>
      <c r="F137" s="125" t="s">
        <v>885</v>
      </c>
      <c r="G137" s="125" t="s">
        <v>873</v>
      </c>
    </row>
    <row r="138" spans="1:22" x14ac:dyDescent="0.3">
      <c r="A138" s="7" t="s">
        <v>257</v>
      </c>
      <c r="B138" s="7" t="s">
        <v>886</v>
      </c>
      <c r="C138" s="73">
        <v>-5.324186618094461</v>
      </c>
      <c r="D138" s="73">
        <v>-5.324186618094461</v>
      </c>
      <c r="E138" s="73">
        <v>-5.324186618094461</v>
      </c>
      <c r="F138" s="125" t="s">
        <v>887</v>
      </c>
      <c r="G138" s="125" t="s">
        <v>888</v>
      </c>
    </row>
    <row r="140" spans="1:22" x14ac:dyDescent="0.3">
      <c r="A140" s="3" t="s">
        <v>190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3">
      <c r="A141" s="7" t="s">
        <v>889</v>
      </c>
      <c r="B141" s="10" t="s">
        <v>890</v>
      </c>
    </row>
    <row r="142" spans="1:22" x14ac:dyDescent="0.3">
      <c r="A142" s="7" t="s">
        <v>891</v>
      </c>
      <c r="B142" s="10" t="s">
        <v>892</v>
      </c>
    </row>
    <row r="143" spans="1:22" x14ac:dyDescent="0.3">
      <c r="A143" s="7" t="s">
        <v>893</v>
      </c>
      <c r="B143" s="10" t="s">
        <v>894</v>
      </c>
    </row>
    <row r="144" spans="1:22" x14ac:dyDescent="0.3">
      <c r="A144" s="7" t="s">
        <v>895</v>
      </c>
      <c r="B144" s="10" t="s">
        <v>896</v>
      </c>
    </row>
    <row r="145" spans="1:2" x14ac:dyDescent="0.3">
      <c r="A145" s="7" t="s">
        <v>897</v>
      </c>
      <c r="B145" s="10" t="s">
        <v>898</v>
      </c>
    </row>
  </sheetData>
  <mergeCells count="2">
    <mergeCell ref="A30:L30"/>
    <mergeCell ref="A68:L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0"/>
  <sheetViews>
    <sheetView showGridLines="0" zoomScale="6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" customWidth="1"/>
    <col min="2" max="4" width="16" customWidth="1"/>
    <col min="5" max="5" width="13" customWidth="1"/>
    <col min="6" max="6" width="12" customWidth="1"/>
    <col min="7" max="7" width="14" customWidth="1"/>
    <col min="8" max="8" width="12" customWidth="1"/>
    <col min="9" max="9" width="60" customWidth="1"/>
  </cols>
  <sheetData>
    <row r="1" spans="1:9" ht="17.399999999999999" x14ac:dyDescent="0.3">
      <c r="A1" s="1" t="s">
        <v>899</v>
      </c>
    </row>
    <row r="2" spans="1:9" x14ac:dyDescent="0.3">
      <c r="A2" s="2" t="s">
        <v>900</v>
      </c>
    </row>
    <row r="4" spans="1:9" x14ac:dyDescent="0.3">
      <c r="A4" s="3" t="s">
        <v>901</v>
      </c>
      <c r="B4" s="4"/>
      <c r="C4" s="4"/>
      <c r="D4" s="4"/>
      <c r="E4" s="4"/>
      <c r="F4" s="4"/>
      <c r="G4" s="4"/>
      <c r="H4" s="4"/>
      <c r="I4" s="4"/>
    </row>
    <row r="5" spans="1:9" ht="18" customHeight="1" x14ac:dyDescent="0.3">
      <c r="A5" s="17" t="s">
        <v>48</v>
      </c>
      <c r="B5" s="18" t="s">
        <v>49</v>
      </c>
      <c r="C5" s="18" t="s">
        <v>268</v>
      </c>
      <c r="D5" s="18" t="s">
        <v>50</v>
      </c>
      <c r="E5" s="18" t="s">
        <v>52</v>
      </c>
      <c r="F5" s="18" t="s">
        <v>51</v>
      </c>
      <c r="G5" s="18" t="s">
        <v>53</v>
      </c>
      <c r="H5" s="18" t="s">
        <v>902</v>
      </c>
      <c r="I5" s="18" t="s">
        <v>903</v>
      </c>
    </row>
    <row r="6" spans="1:9" x14ac:dyDescent="0.3">
      <c r="A6" s="30" t="s">
        <v>904</v>
      </c>
    </row>
    <row r="7" spans="1:9" x14ac:dyDescent="0.3">
      <c r="A7" s="7" t="s">
        <v>283</v>
      </c>
      <c r="B7" s="19">
        <v>4744.3221199999998</v>
      </c>
      <c r="C7" s="76">
        <v>37</v>
      </c>
      <c r="D7" s="20">
        <v>4804.0355</v>
      </c>
      <c r="E7" s="22">
        <f>IFERROR(D7/B7-1,"")</f>
        <v>1.2586282821791306E-2</v>
      </c>
      <c r="F7" s="21">
        <v>4680.8999966296178</v>
      </c>
      <c r="G7" s="22">
        <f>IFERROR(F7/B7-1,"")</f>
        <v>-1.3368005326413579E-2</v>
      </c>
      <c r="I7" s="97" t="s">
        <v>905</v>
      </c>
    </row>
    <row r="8" spans="1:9" x14ac:dyDescent="0.3">
      <c r="A8" s="7" t="s">
        <v>302</v>
      </c>
      <c r="B8" s="23">
        <v>0.11527</v>
      </c>
      <c r="C8" s="76">
        <v>28</v>
      </c>
      <c r="D8" s="24">
        <v>9.8900000000000002E-2</v>
      </c>
      <c r="E8" s="26">
        <f>IFERROR(D8-B8,"")</f>
        <v>-1.6369999999999996E-2</v>
      </c>
      <c r="F8" s="25">
        <v>8.5000000000000006E-2</v>
      </c>
      <c r="G8" s="26">
        <f>IFERROR(F8-B8,"")</f>
        <v>-3.0269999999999991E-2</v>
      </c>
      <c r="H8" s="59">
        <v>0.115</v>
      </c>
      <c r="I8" s="97" t="s">
        <v>906</v>
      </c>
    </row>
    <row r="9" spans="1:9" x14ac:dyDescent="0.3">
      <c r="A9" s="7" t="s">
        <v>907</v>
      </c>
      <c r="B9" s="23">
        <v>3.3689999999999998E-2</v>
      </c>
      <c r="C9" s="76">
        <v>26</v>
      </c>
      <c r="D9" s="24">
        <v>3.4299999999999997E-2</v>
      </c>
      <c r="E9" s="26">
        <f>IFERROR(D9-B9,"")</f>
        <v>6.0999999999999943E-4</v>
      </c>
      <c r="F9" s="25">
        <v>2.07E-2</v>
      </c>
      <c r="G9" s="26">
        <f>IFERROR(F9-B9,"")</f>
        <v>-1.2989999999999998E-2</v>
      </c>
      <c r="I9" s="97" t="s">
        <v>908</v>
      </c>
    </row>
    <row r="10" spans="1:9" x14ac:dyDescent="0.3">
      <c r="A10" s="7" t="s">
        <v>304</v>
      </c>
      <c r="B10" s="23">
        <v>0.15215000000000001</v>
      </c>
      <c r="C10" s="76">
        <v>28</v>
      </c>
      <c r="D10" s="24">
        <v>0.13659199999999999</v>
      </c>
      <c r="E10" s="26">
        <f>IFERROR(D10-B10,"")</f>
        <v>-1.5558000000000016E-2</v>
      </c>
      <c r="F10" s="98"/>
      <c r="I10" s="97" t="s">
        <v>909</v>
      </c>
    </row>
    <row r="11" spans="1:9" x14ac:dyDescent="0.3">
      <c r="A11" s="7" t="s">
        <v>910</v>
      </c>
      <c r="B11" s="19">
        <v>2361.5217899999998</v>
      </c>
      <c r="C11" s="76">
        <v>36</v>
      </c>
      <c r="D11" s="20">
        <v>2419.6424999999999</v>
      </c>
      <c r="E11" s="22">
        <f>IFERROR(D11/B11-1,"")</f>
        <v>2.4611549317950621E-2</v>
      </c>
      <c r="F11" s="21">
        <v>2289.815228356711</v>
      </c>
      <c r="G11" s="22">
        <f>IFERROR(F11/B11-1,"")</f>
        <v>-3.03645564258328E-2</v>
      </c>
      <c r="I11" s="97" t="s">
        <v>911</v>
      </c>
    </row>
    <row r="12" spans="1:9" x14ac:dyDescent="0.3">
      <c r="A12" s="7" t="s">
        <v>310</v>
      </c>
      <c r="B12" s="23">
        <v>0.49775747309501822</v>
      </c>
      <c r="C12" s="76">
        <v>36</v>
      </c>
      <c r="D12" s="24">
        <v>0.50366873850120397</v>
      </c>
      <c r="E12" s="26">
        <f>IFERROR(D12-B12,"")</f>
        <v>5.9112654061857506E-3</v>
      </c>
      <c r="F12" s="25">
        <v>0.48918268495491118</v>
      </c>
      <c r="G12" s="26">
        <f>IFERROR(F12-B12,"")</f>
        <v>-8.5747881401070369E-3</v>
      </c>
      <c r="I12" s="97" t="s">
        <v>912</v>
      </c>
    </row>
    <row r="13" spans="1:9" x14ac:dyDescent="0.3">
      <c r="A13" s="7" t="s">
        <v>169</v>
      </c>
      <c r="B13" s="27">
        <v>2.8453900000000001</v>
      </c>
      <c r="C13" s="76">
        <v>34</v>
      </c>
      <c r="D13" s="28">
        <v>2.9071598815524831</v>
      </c>
      <c r="E13" s="22">
        <f>IFERROR(D13/B13-1,"")</f>
        <v>2.1708757517416855E-2</v>
      </c>
      <c r="F13" s="29">
        <v>2.7144969286287441</v>
      </c>
      <c r="G13" s="22">
        <f>IFERROR(F13/B13-1,"")</f>
        <v>-4.6001803398218133E-2</v>
      </c>
      <c r="I13" s="97" t="s">
        <v>913</v>
      </c>
    </row>
    <row r="14" spans="1:9" x14ac:dyDescent="0.3">
      <c r="A14" s="30" t="s">
        <v>914</v>
      </c>
    </row>
    <row r="15" spans="1:9" x14ac:dyDescent="0.3">
      <c r="A15" s="7" t="s">
        <v>283</v>
      </c>
      <c r="B15" s="19">
        <v>3161.8162699999998</v>
      </c>
      <c r="C15" s="76">
        <v>37</v>
      </c>
      <c r="D15" s="20">
        <v>3178.1078000000002</v>
      </c>
      <c r="E15" s="22">
        <f>IFERROR(D15/B15-1,"")</f>
        <v>5.1525859217620429E-3</v>
      </c>
      <c r="F15" s="21">
        <v>2965.8676775559729</v>
      </c>
      <c r="G15" s="22">
        <f>IFERROR(F15/B15-1,"")</f>
        <v>-6.1973427837420436E-2</v>
      </c>
      <c r="I15" s="97" t="s">
        <v>915</v>
      </c>
    </row>
    <row r="16" spans="1:9" x14ac:dyDescent="0.3">
      <c r="A16" s="7" t="s">
        <v>302</v>
      </c>
      <c r="B16" s="23">
        <v>9.9260000000000001E-2</v>
      </c>
      <c r="C16" s="76">
        <v>28</v>
      </c>
      <c r="D16" s="24">
        <v>8.1199999999999994E-2</v>
      </c>
      <c r="E16" s="26">
        <f>IFERROR(D16-B16,"")</f>
        <v>-1.8060000000000007E-2</v>
      </c>
      <c r="F16" s="25">
        <v>0.05</v>
      </c>
      <c r="G16" s="26">
        <f>IFERROR(F16-B16,"")</f>
        <v>-4.9259999999999998E-2</v>
      </c>
      <c r="I16" s="97" t="s">
        <v>916</v>
      </c>
    </row>
    <row r="17" spans="1:9" x14ac:dyDescent="0.3">
      <c r="A17" s="7" t="s">
        <v>907</v>
      </c>
      <c r="B17" s="23">
        <v>2.2800000000000001E-2</v>
      </c>
      <c r="C17" s="76">
        <v>25</v>
      </c>
      <c r="D17" s="24">
        <v>4.2199999999999988E-2</v>
      </c>
      <c r="E17" s="26">
        <f>IFERROR(D17-B17,"")</f>
        <v>1.9399999999999987E-2</v>
      </c>
      <c r="F17" s="25">
        <v>1.499999999999994E-3</v>
      </c>
      <c r="G17" s="26">
        <f>IFERROR(F17-B17,"")</f>
        <v>-2.1300000000000006E-2</v>
      </c>
      <c r="I17" s="97"/>
    </row>
    <row r="18" spans="1:9" x14ac:dyDescent="0.3">
      <c r="A18" s="7" t="s">
        <v>910</v>
      </c>
      <c r="B18" s="19">
        <v>913.68388000000004</v>
      </c>
      <c r="C18" s="76">
        <v>36</v>
      </c>
      <c r="D18" s="20">
        <v>898.87164132527096</v>
      </c>
      <c r="E18" s="22">
        <f>IFERROR(D18/B18-1,"")</f>
        <v>-1.6211557409471999E-2</v>
      </c>
      <c r="F18" s="21">
        <v>699.60783868535009</v>
      </c>
      <c r="G18" s="22">
        <f>IFERROR(F18/B18-1,"")</f>
        <v>-0.23429989956115893</v>
      </c>
      <c r="I18" s="97" t="s">
        <v>917</v>
      </c>
    </row>
    <row r="19" spans="1:9" x14ac:dyDescent="0.3">
      <c r="A19" s="7" t="s">
        <v>310</v>
      </c>
      <c r="B19" s="23">
        <v>0.2889743748456326</v>
      </c>
      <c r="C19" s="76">
        <v>36</v>
      </c>
      <c r="D19" s="24">
        <v>0.28283233228440863</v>
      </c>
      <c r="E19" s="26">
        <f>IFERROR(D19-B19,"")</f>
        <v>-6.1420425612239704E-3</v>
      </c>
      <c r="F19" s="25">
        <v>0.23588639640924999</v>
      </c>
      <c r="G19" s="26">
        <f>IFERROR(F19-B19,"")</f>
        <v>-5.3087978436382605E-2</v>
      </c>
      <c r="I19" s="97" t="s">
        <v>918</v>
      </c>
    </row>
    <row r="20" spans="1:9" x14ac:dyDescent="0.3">
      <c r="A20" s="7" t="s">
        <v>169</v>
      </c>
      <c r="B20" s="27">
        <v>0.86153999999999997</v>
      </c>
      <c r="C20" s="76">
        <v>34</v>
      </c>
      <c r="D20" s="28">
        <v>0.76255190434528963</v>
      </c>
      <c r="E20" s="22">
        <f>IFERROR(D20/B20-1,"")</f>
        <v>-0.11489669156941096</v>
      </c>
      <c r="F20" s="29">
        <v>0.4708435412086483</v>
      </c>
      <c r="G20" s="22">
        <f>IFERROR(F20/B20-1,"")</f>
        <v>-0.45348615130040593</v>
      </c>
      <c r="I20" s="97"/>
    </row>
    <row r="21" spans="1:9" x14ac:dyDescent="0.3">
      <c r="A21" s="30" t="s">
        <v>108</v>
      </c>
    </row>
    <row r="22" spans="1:9" x14ac:dyDescent="0.3">
      <c r="A22" s="7" t="s">
        <v>283</v>
      </c>
      <c r="B22" s="19">
        <v>14189.557049999999</v>
      </c>
      <c r="C22" s="76">
        <v>44</v>
      </c>
      <c r="D22" s="20">
        <v>14268.1433</v>
      </c>
      <c r="E22" s="22">
        <f>IFERROR(D22/B22-1,"")</f>
        <v>5.5383159405952842E-3</v>
      </c>
      <c r="F22" s="21">
        <v>13932.76767418559</v>
      </c>
      <c r="G22" s="22">
        <f>IFERROR(F22/B22-1,"")</f>
        <v>-1.8097067787920085E-2</v>
      </c>
      <c r="H22" s="42">
        <v>14231.303</v>
      </c>
      <c r="I22" s="97"/>
    </row>
    <row r="23" spans="1:9" x14ac:dyDescent="0.3">
      <c r="A23" s="7" t="s">
        <v>910</v>
      </c>
      <c r="B23" s="19">
        <v>5053.7221399999999</v>
      </c>
      <c r="C23" s="76">
        <v>44</v>
      </c>
      <c r="D23" s="20">
        <v>5098.5141413252713</v>
      </c>
      <c r="E23" s="22">
        <f>IFERROR(D23/B23-1,"")</f>
        <v>8.8631705670449978E-3</v>
      </c>
      <c r="F23" s="21">
        <v>4769.4230670420611</v>
      </c>
      <c r="G23" s="22">
        <f>IFERROR(F23/B23-1,"")</f>
        <v>-5.6255382682740551E-2</v>
      </c>
      <c r="H23" s="42">
        <v>5151.732</v>
      </c>
      <c r="I23" s="97" t="s">
        <v>919</v>
      </c>
    </row>
    <row r="24" spans="1:9" x14ac:dyDescent="0.3">
      <c r="A24" s="7" t="s">
        <v>310</v>
      </c>
      <c r="B24" s="23">
        <v>0.35615785060746491</v>
      </c>
      <c r="C24" s="76">
        <v>44</v>
      </c>
      <c r="D24" s="24">
        <v>0.35733550148219162</v>
      </c>
      <c r="E24" s="26">
        <f>IFERROR(D24-B24,"")</f>
        <v>1.17765087472671E-3</v>
      </c>
      <c r="F24" s="25">
        <v>0.34231698816587403</v>
      </c>
      <c r="G24" s="26">
        <f>IFERROR(F24-B24,"")</f>
        <v>-1.3840862441590884E-2</v>
      </c>
      <c r="H24" s="59">
        <v>0.36199999999999999</v>
      </c>
      <c r="I24" s="97" t="s">
        <v>920</v>
      </c>
    </row>
    <row r="25" spans="1:9" x14ac:dyDescent="0.3">
      <c r="A25" s="7" t="s">
        <v>169</v>
      </c>
      <c r="B25" s="27">
        <v>5.3125900000000001</v>
      </c>
      <c r="C25" s="76">
        <v>43</v>
      </c>
      <c r="D25" s="28">
        <v>5.2760109836776561</v>
      </c>
      <c r="E25" s="22">
        <f>IFERROR(D25/B25-1,"")</f>
        <v>-6.8853452501217438E-3</v>
      </c>
      <c r="F25" s="98"/>
      <c r="H25" s="55">
        <v>5.3689999999999998</v>
      </c>
      <c r="I25" s="97"/>
    </row>
    <row r="26" spans="1:9" x14ac:dyDescent="0.3">
      <c r="A26" s="30" t="s">
        <v>921</v>
      </c>
    </row>
    <row r="27" spans="1:9" x14ac:dyDescent="0.3">
      <c r="A27" s="7" t="s">
        <v>283</v>
      </c>
      <c r="B27" s="19">
        <v>15819.339239999999</v>
      </c>
      <c r="C27" s="76">
        <v>44</v>
      </c>
      <c r="D27" s="20">
        <v>15828.606599999999</v>
      </c>
      <c r="E27" s="22">
        <f>IFERROR(D27/B27-1,"")</f>
        <v>5.8582472121004869E-4</v>
      </c>
      <c r="F27" s="21">
        <v>14913.511523502641</v>
      </c>
      <c r="G27" s="22">
        <f>IFERROR(F27/B27-1,"")</f>
        <v>-5.7260780792090737E-2</v>
      </c>
      <c r="H27" s="42">
        <v>16024.742</v>
      </c>
      <c r="I27" s="97" t="s">
        <v>922</v>
      </c>
    </row>
    <row r="28" spans="1:9" x14ac:dyDescent="0.3">
      <c r="A28" s="7" t="s">
        <v>923</v>
      </c>
      <c r="B28" s="23">
        <v>0.11485786231783759</v>
      </c>
      <c r="C28" s="76">
        <v>44</v>
      </c>
      <c r="D28" s="24">
        <v>0.10936700000000001</v>
      </c>
      <c r="E28" s="26">
        <f>IFERROR(D28-B28,"")</f>
        <v>-5.4908623178375887E-3</v>
      </c>
      <c r="F28" s="25">
        <v>7.0391172253174039E-2</v>
      </c>
      <c r="G28" s="26">
        <f>IFERROR(F28-B28,"")</f>
        <v>-4.4466690064663555E-2</v>
      </c>
      <c r="H28" s="59">
        <v>0.12602071644458701</v>
      </c>
      <c r="I28" s="97"/>
    </row>
    <row r="29" spans="1:9" x14ac:dyDescent="0.3">
      <c r="A29" s="7" t="s">
        <v>924</v>
      </c>
      <c r="B29" s="99"/>
      <c r="D29" s="24">
        <v>6.6420000000000007E-2</v>
      </c>
      <c r="F29" s="25">
        <v>3.235335985217791E-2</v>
      </c>
      <c r="H29" s="59">
        <v>9.9999319917574159E-2</v>
      </c>
      <c r="I29" s="97" t="s">
        <v>925</v>
      </c>
    </row>
    <row r="30" spans="1:9" x14ac:dyDescent="0.3">
      <c r="A30" s="7" t="s">
        <v>910</v>
      </c>
      <c r="B30" s="19">
        <v>5766.0991700000004</v>
      </c>
      <c r="C30" s="76">
        <v>44</v>
      </c>
      <c r="D30" s="20">
        <v>5644.2042352917124</v>
      </c>
      <c r="E30" s="22">
        <f>IFERROR(D30/B30-1,"")</f>
        <v>-2.1139930326291578E-2</v>
      </c>
      <c r="F30" s="21">
        <v>4761.4353900764636</v>
      </c>
      <c r="G30" s="22">
        <f>IFERROR(F30/B30-1,"")</f>
        <v>-0.17423629915188166</v>
      </c>
      <c r="H30" s="42">
        <v>5800.9570000000003</v>
      </c>
      <c r="I30" s="97" t="s">
        <v>926</v>
      </c>
    </row>
    <row r="31" spans="1:9" x14ac:dyDescent="0.3">
      <c r="A31" s="7" t="s">
        <v>310</v>
      </c>
      <c r="B31" s="23">
        <v>0.36449684038762681</v>
      </c>
      <c r="C31" s="76">
        <v>44</v>
      </c>
      <c r="D31" s="24">
        <v>0.35658250772949979</v>
      </c>
      <c r="E31" s="26">
        <f>IFERROR(D31-B31,"")</f>
        <v>-7.9143326581270212E-3</v>
      </c>
      <c r="F31" s="25">
        <v>0.31926990384342258</v>
      </c>
      <c r="G31" s="26">
        <f>IFERROR(F31-B31,"")</f>
        <v>-4.5226936544204233E-2</v>
      </c>
      <c r="H31" s="59">
        <v>0.36199999999999999</v>
      </c>
      <c r="I31" s="97" t="s">
        <v>927</v>
      </c>
    </row>
    <row r="32" spans="1:9" x14ac:dyDescent="0.3">
      <c r="A32" s="7" t="s">
        <v>169</v>
      </c>
      <c r="B32" s="27">
        <v>6.2275299999999998</v>
      </c>
      <c r="C32" s="76">
        <v>43</v>
      </c>
      <c r="D32" s="28">
        <v>5.933136286313955</v>
      </c>
      <c r="E32" s="22">
        <f>IFERROR(D32/B32-1,"")</f>
        <v>-4.7272949899244909E-2</v>
      </c>
      <c r="F32" s="29">
        <v>4.5839263945318729</v>
      </c>
      <c r="G32" s="22">
        <f>IFERROR(F32/B32-1,"")</f>
        <v>-0.26392544162262199</v>
      </c>
      <c r="H32" s="55">
        <v>6.0780000000000003</v>
      </c>
      <c r="I32" s="97"/>
    </row>
    <row r="34" spans="1:9" x14ac:dyDescent="0.3">
      <c r="A34" s="3" t="s">
        <v>928</v>
      </c>
      <c r="B34" s="4"/>
      <c r="C34" s="4"/>
      <c r="D34" s="4"/>
      <c r="E34" s="4"/>
      <c r="F34" s="4"/>
      <c r="G34" s="4"/>
      <c r="H34" s="4"/>
      <c r="I34" s="4"/>
    </row>
    <row r="35" spans="1:9" ht="18" customHeight="1" x14ac:dyDescent="0.3">
      <c r="A35" s="17" t="s">
        <v>48</v>
      </c>
      <c r="B35" s="18" t="s">
        <v>929</v>
      </c>
      <c r="C35" s="18" t="s">
        <v>930</v>
      </c>
      <c r="D35" s="18" t="s">
        <v>931</v>
      </c>
      <c r="E35" s="18" t="s">
        <v>932</v>
      </c>
    </row>
    <row r="36" spans="1:9" x14ac:dyDescent="0.3">
      <c r="A36" s="7" t="s">
        <v>933</v>
      </c>
      <c r="B36" s="100">
        <f>'Revenue Model'!P26/4730-1</f>
        <v>1.5652325581395399E-2</v>
      </c>
      <c r="C36" s="101">
        <f>'Revenue Model'!P48/4730-1</f>
        <v>-1.0380550395429622E-2</v>
      </c>
      <c r="D36" s="23">
        <v>1.2500000000000001E-2</v>
      </c>
      <c r="E36" s="97" t="s">
        <v>934</v>
      </c>
    </row>
    <row r="37" spans="1:9" x14ac:dyDescent="0.3">
      <c r="A37" s="7" t="s">
        <v>935</v>
      </c>
      <c r="B37" s="100">
        <f>'Revenue Model'!P8</f>
        <v>9.8899700598802376E-2</v>
      </c>
      <c r="C37" s="101">
        <f>'Revenue Model'!P38</f>
        <v>8.5000000000000006E-2</v>
      </c>
      <c r="D37" s="23">
        <v>0.11527</v>
      </c>
      <c r="E37" s="97" t="s">
        <v>936</v>
      </c>
    </row>
    <row r="38" spans="1:9" x14ac:dyDescent="0.3">
      <c r="A38" s="7" t="s">
        <v>57</v>
      </c>
      <c r="B38" s="100">
        <f>Margins!P38</f>
        <v>0.50366873850120386</v>
      </c>
      <c r="C38" s="25">
        <v>0.48918268495491118</v>
      </c>
      <c r="D38" s="23">
        <v>0.49775747309501822</v>
      </c>
      <c r="E38" s="97" t="s">
        <v>937</v>
      </c>
    </row>
    <row r="39" spans="1:9" x14ac:dyDescent="0.3">
      <c r="A39" s="7" t="s">
        <v>938</v>
      </c>
      <c r="B39" s="102">
        <f>'Revenue Model'!B101</f>
        <v>3059.4029649595691</v>
      </c>
      <c r="C39" s="103">
        <f>'Revenue Model'!B107</f>
        <v>2855.0901786253112</v>
      </c>
      <c r="D39" s="19">
        <v>3161.8162699999998</v>
      </c>
      <c r="E39" s="97" t="s">
        <v>939</v>
      </c>
    </row>
    <row r="40" spans="1:9" x14ac:dyDescent="0.3">
      <c r="A40" s="7" t="s">
        <v>940</v>
      </c>
      <c r="B40" s="100">
        <f>B39/D39-1</f>
        <v>-3.2390656602077184E-2</v>
      </c>
      <c r="C40" s="101">
        <f>C39/D39-1</f>
        <v>-9.7009460759934885E-2</v>
      </c>
      <c r="D40" s="99"/>
      <c r="E40" s="97" t="s">
        <v>941</v>
      </c>
    </row>
    <row r="41" spans="1:9" ht="40.049999999999997" customHeight="1" x14ac:dyDescent="0.3">
      <c r="A41" s="7" t="s">
        <v>942</v>
      </c>
      <c r="B41" s="104" t="s">
        <v>943</v>
      </c>
      <c r="C41" s="105" t="s">
        <v>944</v>
      </c>
      <c r="D41" s="106" t="s">
        <v>945</v>
      </c>
      <c r="E41" s="97" t="s">
        <v>946</v>
      </c>
    </row>
    <row r="42" spans="1:9" ht="40.049999999999997" customHeight="1" x14ac:dyDescent="0.3">
      <c r="A42" s="7" t="s">
        <v>947</v>
      </c>
      <c r="B42" s="104" t="s">
        <v>948</v>
      </c>
      <c r="C42" s="105" t="s">
        <v>949</v>
      </c>
      <c r="D42" s="106" t="s">
        <v>950</v>
      </c>
      <c r="E42" s="97" t="s">
        <v>951</v>
      </c>
    </row>
    <row r="43" spans="1:9" x14ac:dyDescent="0.3">
      <c r="A43" s="7" t="s">
        <v>952</v>
      </c>
      <c r="B43" s="24">
        <v>0.30125000000000002</v>
      </c>
      <c r="C43" s="25">
        <v>0.23588639640924999</v>
      </c>
      <c r="D43" s="23">
        <v>0.2889743748456326</v>
      </c>
      <c r="E43" s="97" t="s">
        <v>953</v>
      </c>
    </row>
    <row r="45" spans="1:9" x14ac:dyDescent="0.3">
      <c r="A45" s="3" t="s">
        <v>954</v>
      </c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30" t="s">
        <v>955</v>
      </c>
      <c r="B46" s="61">
        <v>170.19</v>
      </c>
    </row>
    <row r="47" spans="1:9" x14ac:dyDescent="0.3">
      <c r="A47" s="7" t="s">
        <v>956</v>
      </c>
      <c r="B47" s="49">
        <v>597</v>
      </c>
    </row>
    <row r="48" spans="1:9" x14ac:dyDescent="0.3">
      <c r="A48" s="7" t="s">
        <v>957</v>
      </c>
      <c r="B48" s="42">
        <v>9593</v>
      </c>
    </row>
    <row r="49" spans="1:9" x14ac:dyDescent="0.3">
      <c r="A49" s="7" t="s">
        <v>958</v>
      </c>
      <c r="B49" s="107">
        <v>16.5</v>
      </c>
    </row>
    <row r="50" spans="1:9" x14ac:dyDescent="0.3">
      <c r="A50" s="7" t="s">
        <v>959</v>
      </c>
      <c r="B50" s="73">
        <v>12.532999999999999</v>
      </c>
      <c r="C50" s="73">
        <v>0.39550000000000002</v>
      </c>
      <c r="D50" s="46" t="s">
        <v>960</v>
      </c>
    </row>
    <row r="52" spans="1:9" ht="30" customHeight="1" x14ac:dyDescent="0.3">
      <c r="A52" s="17" t="s">
        <v>650</v>
      </c>
      <c r="B52" s="18" t="s">
        <v>64</v>
      </c>
      <c r="C52" s="18" t="s">
        <v>961</v>
      </c>
      <c r="D52" s="18" t="s">
        <v>962</v>
      </c>
      <c r="E52" s="18" t="s">
        <v>963</v>
      </c>
      <c r="F52" s="18" t="s">
        <v>964</v>
      </c>
      <c r="G52" s="18" t="s">
        <v>965</v>
      </c>
      <c r="H52" s="18" t="s">
        <v>964</v>
      </c>
      <c r="I52" s="18" t="s">
        <v>966</v>
      </c>
    </row>
    <row r="53" spans="1:9" x14ac:dyDescent="0.3">
      <c r="A53" s="7" t="s">
        <v>967</v>
      </c>
      <c r="B53" s="42">
        <v>15630.396629233001</v>
      </c>
      <c r="C53" s="59">
        <v>9.8310999999999996E-2</v>
      </c>
      <c r="D53" s="42">
        <v>5548.7920000000004</v>
      </c>
      <c r="E53" s="93">
        <v>162.1901</v>
      </c>
      <c r="F53" s="22">
        <f t="shared" ref="F53:F60" si="0">E53/$B$46-1</f>
        <v>-4.7005699512309707E-2</v>
      </c>
      <c r="G53" s="93">
        <v>169.4272</v>
      </c>
      <c r="H53" s="22">
        <f t="shared" ref="H53:H60" si="1">G53/$B$46-1</f>
        <v>-4.4820494741171224E-3</v>
      </c>
      <c r="I53" s="108">
        <v>0.51029999999999998</v>
      </c>
    </row>
    <row r="54" spans="1:9" x14ac:dyDescent="0.3">
      <c r="A54" s="7" t="s">
        <v>968</v>
      </c>
      <c r="B54" s="42">
        <v>16024.746035362999</v>
      </c>
      <c r="C54" s="59">
        <v>0.12602099999999999</v>
      </c>
      <c r="D54" s="42">
        <v>5800.9570000000003</v>
      </c>
      <c r="E54" s="93">
        <v>175.49340000000001</v>
      </c>
      <c r="F54" s="22">
        <f t="shared" si="0"/>
        <v>3.1161642869733885E-2</v>
      </c>
      <c r="G54" s="93">
        <v>176.39660000000001</v>
      </c>
      <c r="H54" s="22">
        <f t="shared" si="1"/>
        <v>3.6468652682296376E-2</v>
      </c>
      <c r="I54" s="108">
        <v>0.43180000000000002</v>
      </c>
    </row>
    <row r="55" spans="1:9" x14ac:dyDescent="0.3">
      <c r="A55" s="7" t="s">
        <v>969</v>
      </c>
      <c r="B55" s="42">
        <v>16790.632068914001</v>
      </c>
      <c r="C55" s="59">
        <v>0.179838</v>
      </c>
      <c r="D55" s="42">
        <v>6212.5360000000001</v>
      </c>
      <c r="E55" s="93">
        <v>202.67339999999999</v>
      </c>
      <c r="F55" s="22">
        <f t="shared" si="0"/>
        <v>0.19086550326106111</v>
      </c>
      <c r="G55" s="93">
        <v>187.77189999999999</v>
      </c>
      <c r="H55" s="22">
        <f t="shared" si="1"/>
        <v>0.10330747987543321</v>
      </c>
      <c r="I55" s="108">
        <v>0.29649999999999999</v>
      </c>
    </row>
    <row r="56" spans="1:9" x14ac:dyDescent="0.3">
      <c r="A56" s="14" t="s">
        <v>970</v>
      </c>
      <c r="B56" s="19">
        <v>15745.001312292001</v>
      </c>
      <c r="C56" s="23">
        <v>0.106364</v>
      </c>
      <c r="D56" s="19">
        <v>5699.69</v>
      </c>
      <c r="E56" s="109">
        <v>166.0077</v>
      </c>
      <c r="F56" s="110">
        <f t="shared" si="0"/>
        <v>-2.4574299312533077E-2</v>
      </c>
      <c r="G56" s="109">
        <v>173.59780000000001</v>
      </c>
      <c r="H56" s="110">
        <f t="shared" si="1"/>
        <v>2.0023503143545396E-2</v>
      </c>
      <c r="I56" s="111">
        <v>0.48680000000000001</v>
      </c>
    </row>
    <row r="57" spans="1:9" x14ac:dyDescent="0.3">
      <c r="A57" s="12" t="s">
        <v>971</v>
      </c>
      <c r="B57" s="20">
        <v>15803.691205863999</v>
      </c>
      <c r="C57" s="24">
        <v>0.110488</v>
      </c>
      <c r="D57" s="20">
        <v>5757.93</v>
      </c>
      <c r="E57" s="112">
        <v>167.97819999999999</v>
      </c>
      <c r="F57" s="113">
        <f t="shared" si="0"/>
        <v>-1.2996063223456256E-2</v>
      </c>
      <c r="G57" s="112">
        <v>175.20740000000001</v>
      </c>
      <c r="H57" s="113">
        <f t="shared" si="1"/>
        <v>2.9481168106234357E-2</v>
      </c>
      <c r="I57" s="114">
        <v>0.47499999999999998</v>
      </c>
    </row>
    <row r="58" spans="1:9" x14ac:dyDescent="0.3">
      <c r="A58" s="15" t="s">
        <v>972</v>
      </c>
      <c r="B58" s="71">
        <v>14318.327417844999</v>
      </c>
      <c r="C58" s="70">
        <v>6.1150000000000006E-3</v>
      </c>
      <c r="D58" s="71">
        <v>4375</v>
      </c>
      <c r="E58" s="115">
        <v>121.3079</v>
      </c>
      <c r="F58" s="116">
        <f t="shared" si="0"/>
        <v>-0.28722075327575058</v>
      </c>
      <c r="G58" s="115">
        <v>136.98580000000001</v>
      </c>
      <c r="H58" s="116">
        <f t="shared" si="1"/>
        <v>-0.19510076972795098</v>
      </c>
      <c r="I58" s="117">
        <v>0.76100000000000001</v>
      </c>
    </row>
    <row r="59" spans="1:9" x14ac:dyDescent="0.3">
      <c r="A59" s="7" t="s">
        <v>973</v>
      </c>
      <c r="B59" s="42">
        <v>16909.762306327</v>
      </c>
      <c r="C59" s="59">
        <v>0.18820899999999999</v>
      </c>
      <c r="D59" s="42">
        <v>6977.35</v>
      </c>
      <c r="E59" s="93">
        <v>207.06</v>
      </c>
      <c r="F59" s="22">
        <f t="shared" si="0"/>
        <v>0.21664022563017804</v>
      </c>
      <c r="G59" s="93">
        <v>208.91</v>
      </c>
      <c r="H59" s="22">
        <f t="shared" si="1"/>
        <v>0.22751042951994838</v>
      </c>
      <c r="I59" s="108">
        <v>0.27839999999999998</v>
      </c>
    </row>
    <row r="60" spans="1:9" x14ac:dyDescent="0.3">
      <c r="A60" s="13" t="s">
        <v>974</v>
      </c>
      <c r="B60" s="21">
        <v>14913.511523502641</v>
      </c>
      <c r="C60" s="72">
        <f>B60/13932.7676741855-1</f>
        <v>7.0391172253180923E-2</v>
      </c>
      <c r="D60" s="21">
        <v>4761.4353900764636</v>
      </c>
      <c r="E60" s="118">
        <f>E58+(B60-B58)/(B56-B58)*(E56-E58)</f>
        <v>139.95589698769825</v>
      </c>
      <c r="F60" s="72">
        <f t="shared" si="0"/>
        <v>-0.17764911576650655</v>
      </c>
      <c r="G60" s="118">
        <f>($B$49*D60+$B$48)/$B$47</f>
        <v>147.66613724666942</v>
      </c>
      <c r="H60" s="72">
        <f t="shared" si="1"/>
        <v>-0.13234539487238128</v>
      </c>
      <c r="I60" s="98"/>
    </row>
    <row r="61" spans="1:9" ht="31.95" customHeight="1" x14ac:dyDescent="0.3">
      <c r="A61" s="158" t="s">
        <v>975</v>
      </c>
      <c r="B61" s="156"/>
      <c r="C61" s="156"/>
      <c r="D61" s="156"/>
      <c r="E61" s="156"/>
      <c r="F61" s="156"/>
      <c r="G61" s="156"/>
      <c r="H61" s="156"/>
      <c r="I61" s="156"/>
    </row>
    <row r="63" spans="1:9" ht="30" customHeight="1" x14ac:dyDescent="0.3">
      <c r="A63" s="17" t="s">
        <v>976</v>
      </c>
      <c r="B63" s="18" t="s">
        <v>55</v>
      </c>
      <c r="C63" s="18" t="s">
        <v>977</v>
      </c>
      <c r="D63" s="18" t="s">
        <v>54</v>
      </c>
      <c r="E63" s="18" t="s">
        <v>978</v>
      </c>
      <c r="F63" s="18" t="s">
        <v>979</v>
      </c>
      <c r="G63" s="18" t="s">
        <v>980</v>
      </c>
      <c r="H63" s="18" t="s">
        <v>981</v>
      </c>
    </row>
    <row r="64" spans="1:9" x14ac:dyDescent="0.3">
      <c r="A64" s="12" t="s">
        <v>982</v>
      </c>
      <c r="B64" s="24">
        <v>9.9000000000000005E-2</v>
      </c>
      <c r="C64" s="20">
        <v>-1</v>
      </c>
      <c r="D64" s="20">
        <v>4771</v>
      </c>
      <c r="E64" s="20">
        <v>3111</v>
      </c>
      <c r="F64" s="24">
        <v>-1.3599999999999999E-2</v>
      </c>
      <c r="G64" s="24">
        <v>-6.1100000000000002E-2</v>
      </c>
      <c r="H64" s="24">
        <v>-8.2299999999999998E-2</v>
      </c>
    </row>
    <row r="65" spans="1:8" x14ac:dyDescent="0.3">
      <c r="A65" s="12" t="s">
        <v>983</v>
      </c>
      <c r="B65" s="24">
        <v>9.9000000000000005E-2</v>
      </c>
      <c r="C65" s="20">
        <v>-1</v>
      </c>
      <c r="D65" s="20">
        <v>4771</v>
      </c>
      <c r="E65" s="20">
        <v>3102</v>
      </c>
      <c r="F65" s="24">
        <v>-1.66E-2</v>
      </c>
      <c r="G65" s="24">
        <v>-6.1100000000000002E-2</v>
      </c>
      <c r="H65" s="24">
        <v>-8.6300000000000002E-2</v>
      </c>
    </row>
    <row r="66" spans="1:8" x14ac:dyDescent="0.3">
      <c r="A66" s="14" t="s">
        <v>984</v>
      </c>
      <c r="B66" s="23">
        <v>0.111</v>
      </c>
      <c r="C66" s="19">
        <v>1</v>
      </c>
      <c r="D66" s="19">
        <v>4744</v>
      </c>
      <c r="E66" s="19">
        <v>3154</v>
      </c>
      <c r="F66" s="23">
        <v>0</v>
      </c>
      <c r="G66" s="23">
        <v>5.21E-2</v>
      </c>
      <c r="H66" s="23">
        <v>4.4999999999999998E-2</v>
      </c>
    </row>
    <row r="67" spans="1:8" x14ac:dyDescent="0.3">
      <c r="A67" s="7" t="s">
        <v>968</v>
      </c>
      <c r="B67" s="59">
        <v>0.115</v>
      </c>
      <c r="C67" s="42">
        <v>1</v>
      </c>
      <c r="D67" s="42">
        <v>4815</v>
      </c>
      <c r="E67" s="42">
        <v>3130</v>
      </c>
      <c r="F67" s="59">
        <v>-7.6E-3</v>
      </c>
      <c r="G67" s="59">
        <v>5.21E-2</v>
      </c>
      <c r="H67" s="59">
        <v>3.49E-2</v>
      </c>
    </row>
    <row r="68" spans="1:8" x14ac:dyDescent="0.3">
      <c r="A68" s="7" t="s">
        <v>985</v>
      </c>
      <c r="B68" s="59">
        <v>9.7500000000000003E-2</v>
      </c>
      <c r="C68" s="42">
        <v>-1</v>
      </c>
      <c r="D68" s="42">
        <v>4815</v>
      </c>
      <c r="E68" s="42">
        <v>3121</v>
      </c>
      <c r="F68" s="59">
        <v>-1.04E-2</v>
      </c>
      <c r="G68" s="59">
        <v>-6.1100000000000002E-2</v>
      </c>
      <c r="H68" s="59">
        <v>-7.8100000000000003E-2</v>
      </c>
    </row>
    <row r="69" spans="1:8" x14ac:dyDescent="0.3">
      <c r="A69" s="7" t="s">
        <v>986</v>
      </c>
      <c r="B69" s="59">
        <v>0.10340000000000001</v>
      </c>
      <c r="C69" s="42">
        <v>0</v>
      </c>
      <c r="D69" s="42">
        <v>4744</v>
      </c>
      <c r="E69" s="42">
        <v>3154</v>
      </c>
      <c r="F69" s="59">
        <v>0</v>
      </c>
      <c r="G69" s="59">
        <v>-4.5000000000000014E-3</v>
      </c>
      <c r="H69" s="59">
        <v>-9.5999999999999992E-3</v>
      </c>
    </row>
    <row r="70" spans="1:8" x14ac:dyDescent="0.3">
      <c r="A70" s="7" t="s">
        <v>987</v>
      </c>
      <c r="B70" s="59">
        <v>0.11</v>
      </c>
      <c r="C70" s="42">
        <v>1</v>
      </c>
      <c r="D70" s="42">
        <v>4815</v>
      </c>
      <c r="E70" s="42">
        <v>3154</v>
      </c>
      <c r="F70" s="59">
        <v>0</v>
      </c>
      <c r="G70" s="59">
        <v>5.21E-2</v>
      </c>
      <c r="H70" s="59">
        <v>4.4999999999999998E-2</v>
      </c>
    </row>
    <row r="71" spans="1:8" x14ac:dyDescent="0.3">
      <c r="A71" s="12" t="s">
        <v>988</v>
      </c>
      <c r="B71" s="24">
        <v>9.9000000000000005E-2</v>
      </c>
      <c r="C71" s="119"/>
      <c r="D71" s="20">
        <v>4771</v>
      </c>
      <c r="E71" s="20">
        <v>3111</v>
      </c>
      <c r="F71" s="24">
        <v>-1.3599999999999999E-2</v>
      </c>
      <c r="G71" s="24">
        <v>-2.5999999999999999E-2</v>
      </c>
      <c r="H71" s="24">
        <v>-4.8399999999999999E-2</v>
      </c>
    </row>
    <row r="72" spans="1:8" x14ac:dyDescent="0.3">
      <c r="A72" s="7" t="s">
        <v>989</v>
      </c>
      <c r="B72" s="83" t="s">
        <v>990</v>
      </c>
      <c r="C72" s="46" t="s">
        <v>991</v>
      </c>
    </row>
    <row r="73" spans="1:8" x14ac:dyDescent="0.3">
      <c r="A73" s="7" t="s">
        <v>992</v>
      </c>
      <c r="B73" s="83" t="s">
        <v>993</v>
      </c>
    </row>
    <row r="74" spans="1:8" x14ac:dyDescent="0.3">
      <c r="A74" s="7" t="s">
        <v>994</v>
      </c>
      <c r="B74" s="93">
        <v>125.5</v>
      </c>
      <c r="C74" s="93">
        <v>163.80000000000001</v>
      </c>
      <c r="D74" s="93">
        <v>213.9</v>
      </c>
      <c r="E74" s="46" t="s">
        <v>995</v>
      </c>
    </row>
    <row r="76" spans="1:8" ht="30" customHeight="1" x14ac:dyDescent="0.3">
      <c r="A76" s="18" t="s">
        <v>996</v>
      </c>
      <c r="B76" s="18" t="s">
        <v>997</v>
      </c>
      <c r="C76" s="18" t="s">
        <v>998</v>
      </c>
      <c r="D76" s="18" t="s">
        <v>963</v>
      </c>
      <c r="E76" s="18" t="s">
        <v>999</v>
      </c>
      <c r="F76" s="18" t="s">
        <v>1000</v>
      </c>
      <c r="G76" s="18" t="s">
        <v>1001</v>
      </c>
    </row>
    <row r="77" spans="1:8" ht="26.4" x14ac:dyDescent="0.3">
      <c r="A77" s="5" t="s">
        <v>1002</v>
      </c>
      <c r="B77" s="42">
        <v>14875.605</v>
      </c>
      <c r="C77" s="59">
        <v>0.13045000000000001</v>
      </c>
      <c r="D77" s="93">
        <v>170.745</v>
      </c>
      <c r="E77" s="59">
        <v>3.2599999999999999E-3</v>
      </c>
      <c r="F77" s="76">
        <v>1</v>
      </c>
      <c r="G77" s="59">
        <v>5.2049999999999999E-2</v>
      </c>
    </row>
    <row r="78" spans="1:8" x14ac:dyDescent="0.3">
      <c r="A78" s="5" t="s">
        <v>1003</v>
      </c>
      <c r="B78" s="42">
        <v>14925.464</v>
      </c>
      <c r="C78" s="59">
        <v>0.13424</v>
      </c>
      <c r="D78" s="93">
        <v>172.577</v>
      </c>
      <c r="E78" s="59">
        <v>1.4030000000000001E-2</v>
      </c>
      <c r="F78" s="76">
        <v>1</v>
      </c>
      <c r="G78" s="59">
        <v>5.2049999999999999E-2</v>
      </c>
    </row>
    <row r="79" spans="1:8" ht="26.4" x14ac:dyDescent="0.3">
      <c r="A79" s="5" t="s">
        <v>1004</v>
      </c>
      <c r="B79" s="42">
        <v>15004.296</v>
      </c>
      <c r="C79" s="59">
        <v>0.14022999999999999</v>
      </c>
      <c r="D79" s="93">
        <v>175.49299999999999</v>
      </c>
      <c r="E79" s="59">
        <v>3.116E-2</v>
      </c>
      <c r="F79" s="76">
        <v>1</v>
      </c>
      <c r="G79" s="59">
        <v>5.2049999999999999E-2</v>
      </c>
    </row>
    <row r="80" spans="1:8" ht="26.4" x14ac:dyDescent="0.3">
      <c r="A80" s="5" t="s">
        <v>1005</v>
      </c>
      <c r="B80" s="42">
        <v>14818.353999999999</v>
      </c>
      <c r="C80" s="59">
        <v>0.12609999999999999</v>
      </c>
      <c r="D80" s="93">
        <v>168.65100000000001</v>
      </c>
      <c r="E80" s="59">
        <v>-9.0399999999999994E-3</v>
      </c>
      <c r="F80" s="76">
        <v>-1</v>
      </c>
      <c r="G80" s="59">
        <v>-6.1089999999999998E-2</v>
      </c>
    </row>
    <row r="81" spans="1:9" ht="26.4" x14ac:dyDescent="0.3">
      <c r="A81" s="5" t="s">
        <v>1006</v>
      </c>
      <c r="B81" s="42">
        <v>14773.492</v>
      </c>
      <c r="C81" s="59">
        <v>0.12268999999999999</v>
      </c>
      <c r="D81" s="93">
        <v>167.018</v>
      </c>
      <c r="E81" s="59">
        <v>-1.864E-2</v>
      </c>
      <c r="F81" s="76">
        <v>-1</v>
      </c>
      <c r="G81" s="59">
        <v>-6.1089999999999998E-2</v>
      </c>
    </row>
    <row r="82" spans="1:9" ht="26.4" x14ac:dyDescent="0.3">
      <c r="A82" s="5" t="s">
        <v>1007</v>
      </c>
      <c r="B82" s="42">
        <v>14751.268</v>
      </c>
      <c r="C82" s="59">
        <v>0.121</v>
      </c>
      <c r="D82" s="93">
        <v>166.21199999999999</v>
      </c>
      <c r="E82" s="59">
        <v>-2.3369999999999998E-2</v>
      </c>
      <c r="F82" s="76">
        <v>-1</v>
      </c>
      <c r="G82" s="59">
        <v>-6.1089999999999998E-2</v>
      </c>
    </row>
    <row r="83" spans="1:9" ht="26.4" x14ac:dyDescent="0.3">
      <c r="A83" s="5" t="s">
        <v>1008</v>
      </c>
      <c r="B83" s="42">
        <v>14700.98</v>
      </c>
      <c r="C83" s="59">
        <v>0.11718000000000001</v>
      </c>
      <c r="D83" s="93">
        <v>164.39400000000001</v>
      </c>
      <c r="E83" s="59">
        <v>-3.4049999999999997E-2</v>
      </c>
      <c r="F83" s="76">
        <v>-1</v>
      </c>
      <c r="G83" s="59">
        <v>-6.1089999999999998E-2</v>
      </c>
    </row>
    <row r="84" spans="1:9" ht="55.95" customHeight="1" x14ac:dyDescent="0.3">
      <c r="A84" s="158" t="s">
        <v>1009</v>
      </c>
      <c r="B84" s="156"/>
      <c r="C84" s="156"/>
      <c r="D84" s="156"/>
      <c r="E84" s="156"/>
      <c r="F84" s="156"/>
      <c r="G84" s="156"/>
      <c r="H84" s="156"/>
      <c r="I84" s="156"/>
    </row>
    <row r="86" spans="1:9" x14ac:dyDescent="0.3">
      <c r="A86" s="3" t="s">
        <v>190</v>
      </c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7" t="s">
        <v>49</v>
      </c>
      <c r="B87" s="10" t="s">
        <v>1010</v>
      </c>
    </row>
    <row r="88" spans="1:9" x14ac:dyDescent="0.3">
      <c r="A88" s="7" t="s">
        <v>1011</v>
      </c>
      <c r="B88" s="10" t="s">
        <v>1012</v>
      </c>
    </row>
    <row r="89" spans="1:9" x14ac:dyDescent="0.3">
      <c r="A89" s="7" t="s">
        <v>968</v>
      </c>
      <c r="B89" s="10" t="s">
        <v>1013</v>
      </c>
    </row>
    <row r="90" spans="1:9" x14ac:dyDescent="0.3">
      <c r="A90" s="7" t="s">
        <v>1014</v>
      </c>
      <c r="B90" s="10" t="s">
        <v>1015</v>
      </c>
    </row>
  </sheetData>
  <mergeCells count="2">
    <mergeCell ref="A84:I84"/>
    <mergeCell ref="A61:I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55"/>
  <sheetViews>
    <sheetView showGridLines="0" zoomScale="57" workbookViewId="0">
      <selection activeCell="N42" sqref="N42"/>
    </sheetView>
  </sheetViews>
  <sheetFormatPr defaultRowHeight="14.4" x14ac:dyDescent="0.3"/>
  <cols>
    <col min="1" max="1" width="20" customWidth="1"/>
    <col min="2" max="18" width="11.44140625" customWidth="1"/>
  </cols>
  <sheetData>
    <row r="1" spans="1:18" ht="17.399999999999999" x14ac:dyDescent="0.3">
      <c r="A1" s="1" t="s">
        <v>1016</v>
      </c>
    </row>
    <row r="2" spans="1:18" ht="28.05" customHeight="1" x14ac:dyDescent="0.3">
      <c r="A2" s="161" t="s">
        <v>1017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</row>
    <row r="36" spans="1:18" x14ac:dyDescent="0.3">
      <c r="A36" s="3" t="s">
        <v>1018</v>
      </c>
      <c r="B36" s="56" t="s">
        <v>1019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s="30" t="s">
        <v>1020</v>
      </c>
      <c r="B37" s="47">
        <f>SUMPRODUCT(ABS(C43:C65))/COUNT(C43:C65)</f>
        <v>7.0608695652173897E-2</v>
      </c>
    </row>
    <row r="38" spans="1:18" x14ac:dyDescent="0.3">
      <c r="A38" s="7" t="s">
        <v>1021</v>
      </c>
      <c r="B38" s="22">
        <f>SUMPRODUCT(--(ABS(C43:C65)&gt;=0.07))/COUNT(C43:C65)</f>
        <v>0.47826086956521741</v>
      </c>
    </row>
    <row r="39" spans="1:18" x14ac:dyDescent="0.3">
      <c r="A39" s="7" t="s">
        <v>1022</v>
      </c>
      <c r="B39" s="120">
        <f>COUNTIF(C43:C65,"&gt;0")</f>
        <v>13</v>
      </c>
      <c r="C39" s="120">
        <f>COUNTIF(C43:C65,"&lt;0")</f>
        <v>10</v>
      </c>
    </row>
    <row r="40" spans="1:18" x14ac:dyDescent="0.3">
      <c r="A40" s="7" t="s">
        <v>1023</v>
      </c>
      <c r="B40" s="22">
        <f>AVERAGE(E43:E65)</f>
        <v>5.0869565217391355E-3</v>
      </c>
    </row>
    <row r="42" spans="1:18" ht="30" customHeight="1" x14ac:dyDescent="0.3">
      <c r="A42" s="18" t="s">
        <v>1024</v>
      </c>
      <c r="B42" s="18" t="s">
        <v>1025</v>
      </c>
      <c r="C42" s="18" t="s">
        <v>1026</v>
      </c>
      <c r="D42" s="18" t="s">
        <v>1027</v>
      </c>
      <c r="E42" s="18" t="s">
        <v>1028</v>
      </c>
      <c r="F42" s="18" t="s">
        <v>1029</v>
      </c>
      <c r="G42" s="18" t="s">
        <v>1030</v>
      </c>
      <c r="H42" s="18" t="s">
        <v>1031</v>
      </c>
      <c r="I42" s="18" t="s">
        <v>1032</v>
      </c>
    </row>
    <row r="43" spans="1:18" x14ac:dyDescent="0.3">
      <c r="A43" s="7" t="s">
        <v>1033</v>
      </c>
      <c r="B43" s="121">
        <v>44253</v>
      </c>
      <c r="C43" s="59">
        <v>0.13300000000000001</v>
      </c>
      <c r="D43" s="59">
        <v>4.0000000000000001E-3</v>
      </c>
      <c r="E43" s="59">
        <v>0.129</v>
      </c>
      <c r="F43" s="59">
        <v>-0.01</v>
      </c>
      <c r="G43" s="59">
        <v>1.7999999999999999E-2</v>
      </c>
      <c r="H43" s="59">
        <v>-3.2000000000000001E-2</v>
      </c>
      <c r="I43" s="59">
        <v>-2.8000000000000001E-2</v>
      </c>
    </row>
    <row r="44" spans="1:18" x14ac:dyDescent="0.3">
      <c r="A44" s="7" t="s">
        <v>1034</v>
      </c>
      <c r="B44" s="121">
        <v>44330</v>
      </c>
      <c r="C44" s="59">
        <v>0.04</v>
      </c>
      <c r="D44" s="59">
        <v>2.1999999999999999E-2</v>
      </c>
      <c r="E44" s="59">
        <v>1.7999999999999999E-2</v>
      </c>
      <c r="F44" s="59">
        <v>3.0000000000000001E-3</v>
      </c>
      <c r="G44" s="59">
        <v>-2.5999999999999999E-2</v>
      </c>
      <c r="H44" s="59">
        <v>9.3000000000000013E-2</v>
      </c>
      <c r="I44" s="59">
        <v>2.5000000000000001E-2</v>
      </c>
    </row>
    <row r="45" spans="1:18" x14ac:dyDescent="0.3">
      <c r="A45" s="7" t="s">
        <v>1035</v>
      </c>
      <c r="B45" s="121">
        <v>44421</v>
      </c>
      <c r="C45" s="59">
        <v>1.0999999999999999E-2</v>
      </c>
      <c r="D45" s="59">
        <v>4.0000000000000001E-3</v>
      </c>
      <c r="E45" s="59">
        <v>6.9999999999999993E-3</v>
      </c>
      <c r="F45" s="59">
        <v>-5.5999999999999987E-2</v>
      </c>
      <c r="G45" s="59">
        <v>-4.7E-2</v>
      </c>
      <c r="H45" s="59">
        <v>9.3000000000000013E-2</v>
      </c>
      <c r="I45" s="59">
        <v>6.8000000000000005E-2</v>
      </c>
    </row>
    <row r="46" spans="1:18" x14ac:dyDescent="0.3">
      <c r="A46" s="7" t="s">
        <v>348</v>
      </c>
      <c r="B46" s="121">
        <v>44505</v>
      </c>
      <c r="C46" s="59">
        <v>0.13</v>
      </c>
      <c r="D46" s="59">
        <v>1E-3</v>
      </c>
      <c r="E46" s="59">
        <v>0.129</v>
      </c>
      <c r="F46" s="59">
        <v>7.400000000000001E-2</v>
      </c>
      <c r="G46" s="59">
        <v>9.3000000000000013E-2</v>
      </c>
      <c r="H46" s="59">
        <v>-6.6000000000000003E-2</v>
      </c>
      <c r="I46" s="59">
        <v>-2.8000000000000001E-2</v>
      </c>
    </row>
    <row r="47" spans="1:18" x14ac:dyDescent="0.3">
      <c r="A47" s="7" t="s">
        <v>347</v>
      </c>
      <c r="B47" s="121">
        <v>44608</v>
      </c>
      <c r="C47" s="59">
        <v>3.5999999999999997E-2</v>
      </c>
      <c r="D47" s="59">
        <v>0</v>
      </c>
      <c r="E47" s="59">
        <v>3.7000000000000012E-2</v>
      </c>
      <c r="F47" s="59">
        <v>-0.16700000000000001</v>
      </c>
      <c r="G47" s="59">
        <v>-9.1999999999999998E-2</v>
      </c>
      <c r="H47" s="59">
        <v>-0.13500000000000001</v>
      </c>
      <c r="I47" s="59">
        <v>-9.0999999999999998E-2</v>
      </c>
    </row>
    <row r="48" spans="1:18" x14ac:dyDescent="0.3">
      <c r="A48" s="7" t="s">
        <v>349</v>
      </c>
      <c r="B48" s="121">
        <v>44685</v>
      </c>
      <c r="C48" s="59">
        <v>7.6999999999999999E-2</v>
      </c>
      <c r="D48" s="59">
        <v>3.4000000000000002E-2</v>
      </c>
      <c r="E48" s="59">
        <v>4.2999999999999997E-2</v>
      </c>
      <c r="F48" s="59">
        <v>-0.19900000000000001</v>
      </c>
      <c r="G48" s="59">
        <v>-0.14199999999999999</v>
      </c>
      <c r="H48" s="59">
        <v>-0.19500000000000001</v>
      </c>
      <c r="I48" s="59">
        <v>-0.155</v>
      </c>
    </row>
    <row r="49" spans="1:9" x14ac:dyDescent="0.3">
      <c r="A49" s="7" t="s">
        <v>350</v>
      </c>
      <c r="B49" s="121">
        <v>44776</v>
      </c>
      <c r="C49" s="59">
        <v>-1.0999999999999999E-2</v>
      </c>
      <c r="D49" s="59">
        <v>2.7E-2</v>
      </c>
      <c r="E49" s="59">
        <v>-3.9E-2</v>
      </c>
      <c r="F49" s="59">
        <v>-1.6E-2</v>
      </c>
      <c r="G49" s="59">
        <v>-2.5000000000000001E-2</v>
      </c>
      <c r="H49" s="59">
        <v>-3.2000000000000001E-2</v>
      </c>
      <c r="I49" s="59">
        <v>0.01</v>
      </c>
    </row>
    <row r="50" spans="1:9" x14ac:dyDescent="0.3">
      <c r="A50" s="7" t="s">
        <v>351</v>
      </c>
      <c r="B50" s="121">
        <v>44867</v>
      </c>
      <c r="C50" s="59">
        <v>-0.13400000000000001</v>
      </c>
      <c r="D50" s="59">
        <v>-3.4000000000000002E-2</v>
      </c>
      <c r="E50" s="59">
        <v>-0.1</v>
      </c>
      <c r="F50" s="59">
        <v>-9.3000000000000013E-2</v>
      </c>
      <c r="G50" s="59">
        <v>-7.2999999999999995E-2</v>
      </c>
      <c r="H50" s="59">
        <v>-6.3E-2</v>
      </c>
      <c r="I50" s="59">
        <v>-0.13</v>
      </c>
    </row>
    <row r="51" spans="1:9" x14ac:dyDescent="0.3">
      <c r="A51" s="7" t="s">
        <v>352</v>
      </c>
      <c r="B51" s="121">
        <v>44972</v>
      </c>
      <c r="C51" s="59">
        <v>0.13400000000000001</v>
      </c>
      <c r="D51" s="59">
        <v>8.0000000000000002E-3</v>
      </c>
      <c r="E51" s="59">
        <v>0.126</v>
      </c>
      <c r="F51" s="59">
        <v>5.1999999999999998E-2</v>
      </c>
      <c r="G51" s="59">
        <v>9.3000000000000013E-2</v>
      </c>
      <c r="H51" s="59">
        <v>-0.06</v>
      </c>
      <c r="I51" s="59">
        <v>-3.5000000000000003E-2</v>
      </c>
    </row>
    <row r="52" spans="1:9" x14ac:dyDescent="0.3">
      <c r="A52" s="7" t="s">
        <v>353</v>
      </c>
      <c r="B52" s="121">
        <v>45056</v>
      </c>
      <c r="C52" s="59">
        <v>-0.109</v>
      </c>
      <c r="D52" s="59">
        <v>1.0999999999999999E-2</v>
      </c>
      <c r="E52" s="59">
        <v>-0.12</v>
      </c>
      <c r="F52" s="59">
        <v>-0.17</v>
      </c>
      <c r="G52" s="59">
        <v>-0.188</v>
      </c>
      <c r="H52" s="59">
        <v>-8.3000000000000004E-2</v>
      </c>
      <c r="I52" s="59">
        <v>-0.16700000000000001</v>
      </c>
    </row>
    <row r="53" spans="1:9" x14ac:dyDescent="0.3">
      <c r="A53" s="7" t="s">
        <v>354</v>
      </c>
      <c r="B53" s="121">
        <v>45142</v>
      </c>
      <c r="C53" s="59">
        <v>-5.0000000000000001E-3</v>
      </c>
      <c r="D53" s="59">
        <v>-5.0000000000000001E-3</v>
      </c>
      <c r="E53" s="59">
        <v>0</v>
      </c>
      <c r="F53" s="59">
        <v>-3.5000000000000003E-2</v>
      </c>
      <c r="G53" s="59">
        <v>-2.1000000000000001E-2</v>
      </c>
      <c r="H53" s="59">
        <v>-6.6000000000000003E-2</v>
      </c>
      <c r="I53" s="59">
        <v>-7.6999999999999999E-2</v>
      </c>
    </row>
    <row r="54" spans="1:9" x14ac:dyDescent="0.3">
      <c r="A54" s="7" t="s">
        <v>355</v>
      </c>
      <c r="B54" s="121">
        <v>45232</v>
      </c>
      <c r="C54" s="59">
        <v>-3.3000000000000002E-2</v>
      </c>
      <c r="D54" s="59">
        <v>1.7999999999999999E-2</v>
      </c>
      <c r="E54" s="59">
        <v>-5.0999999999999997E-2</v>
      </c>
      <c r="F54" s="59">
        <v>-1.4999999999999999E-2</v>
      </c>
      <c r="G54" s="59">
        <v>-0.06</v>
      </c>
      <c r="H54" s="59">
        <v>5.8000000000000003E-2</v>
      </c>
      <c r="I54" s="59">
        <v>-3.2000000000000001E-2</v>
      </c>
    </row>
    <row r="55" spans="1:9" x14ac:dyDescent="0.3">
      <c r="A55" s="7" t="s">
        <v>356</v>
      </c>
      <c r="B55" s="121">
        <v>45336</v>
      </c>
      <c r="C55" s="59">
        <v>-1.7000000000000001E-2</v>
      </c>
      <c r="D55" s="59">
        <v>1.0999999999999999E-2</v>
      </c>
      <c r="E55" s="59">
        <v>-2.8000000000000001E-2</v>
      </c>
      <c r="F55" s="59">
        <v>-0.01</v>
      </c>
      <c r="G55" s="59">
        <v>-4.0000000000000001E-3</v>
      </c>
      <c r="H55" s="59">
        <v>9.1999999999999998E-2</v>
      </c>
      <c r="I55" s="59">
        <v>6.5000000000000002E-2</v>
      </c>
    </row>
    <row r="56" spans="1:9" x14ac:dyDescent="0.3">
      <c r="A56" s="7" t="s">
        <v>357</v>
      </c>
      <c r="B56" s="121">
        <v>45421</v>
      </c>
      <c r="C56" s="59">
        <v>-6.9000000000000006E-2</v>
      </c>
      <c r="D56" s="59">
        <v>2E-3</v>
      </c>
      <c r="E56" s="59">
        <v>-7.0999999999999994E-2</v>
      </c>
      <c r="F56" s="59">
        <v>-7.6999999999999999E-2</v>
      </c>
      <c r="G56" s="59">
        <v>-0.106</v>
      </c>
      <c r="H56" s="59">
        <v>-6.9000000000000006E-2</v>
      </c>
      <c r="I56" s="59">
        <v>-0.122</v>
      </c>
    </row>
    <row r="57" spans="1:9" x14ac:dyDescent="0.3">
      <c r="A57" s="7" t="s">
        <v>358</v>
      </c>
      <c r="B57" s="121">
        <v>45511</v>
      </c>
      <c r="C57" s="59">
        <v>-0.13400000000000001</v>
      </c>
      <c r="D57" s="59">
        <v>-1.0999999999999999E-2</v>
      </c>
      <c r="E57" s="59">
        <v>-0.123</v>
      </c>
      <c r="F57" s="59">
        <v>-0.104</v>
      </c>
      <c r="G57" s="59">
        <v>-0.156</v>
      </c>
      <c r="H57" s="59">
        <v>-0.11700000000000001</v>
      </c>
      <c r="I57" s="59">
        <v>-0.16500000000000001</v>
      </c>
    </row>
    <row r="58" spans="1:9" x14ac:dyDescent="0.3">
      <c r="A58" s="7" t="s">
        <v>359</v>
      </c>
      <c r="B58" s="121">
        <v>45604</v>
      </c>
      <c r="C58" s="59">
        <v>-8.6999999999999994E-2</v>
      </c>
      <c r="D58" s="59">
        <v>1E-3</v>
      </c>
      <c r="E58" s="59">
        <v>-8.8000000000000009E-2</v>
      </c>
      <c r="F58" s="59">
        <v>-8.6999999999999994E-2</v>
      </c>
      <c r="G58" s="59">
        <v>-7.6999999999999999E-2</v>
      </c>
      <c r="H58" s="59">
        <v>-7.0999999999999994E-2</v>
      </c>
      <c r="I58" s="59">
        <v>-9.6000000000000002E-2</v>
      </c>
    </row>
    <row r="59" spans="1:9" x14ac:dyDescent="0.3">
      <c r="A59" s="7" t="s">
        <v>360</v>
      </c>
      <c r="B59" s="121">
        <v>45702</v>
      </c>
      <c r="C59" s="59">
        <v>0.14399999999999999</v>
      </c>
      <c r="D59" s="59">
        <v>4.0000000000000001E-3</v>
      </c>
      <c r="E59" s="59">
        <v>0.14000000000000001</v>
      </c>
      <c r="F59" s="59">
        <v>3.5999999999999997E-2</v>
      </c>
      <c r="G59" s="59">
        <v>5.4000000000000013E-2</v>
      </c>
      <c r="H59" s="59">
        <v>-0.129</v>
      </c>
      <c r="I59" s="59">
        <v>-2.4E-2</v>
      </c>
    </row>
    <row r="60" spans="1:9" x14ac:dyDescent="0.3">
      <c r="A60" s="7" t="s">
        <v>361</v>
      </c>
      <c r="B60" s="121">
        <v>45779</v>
      </c>
      <c r="C60" s="59">
        <v>0.01</v>
      </c>
      <c r="D60" s="59">
        <v>1.4999999999999999E-2</v>
      </c>
      <c r="E60" s="59">
        <v>-5.0000000000000001E-3</v>
      </c>
      <c r="F60" s="59">
        <v>1.9E-2</v>
      </c>
      <c r="G60" s="59">
        <v>5.0000000000000001E-3</v>
      </c>
      <c r="H60" s="59">
        <v>0.04</v>
      </c>
      <c r="I60" s="59">
        <v>-3.7000000000000012E-2</v>
      </c>
    </row>
    <row r="61" spans="1:9" x14ac:dyDescent="0.3">
      <c r="A61" s="7" t="s">
        <v>362</v>
      </c>
      <c r="B61" s="121">
        <v>45876</v>
      </c>
      <c r="C61" s="59">
        <v>-0.08</v>
      </c>
      <c r="D61" s="59">
        <v>3.0000000000000001E-3</v>
      </c>
      <c r="E61" s="59">
        <v>-8.4000000000000005E-2</v>
      </c>
      <c r="F61" s="59">
        <v>-4.5999999999999999E-2</v>
      </c>
      <c r="G61" s="59">
        <v>-6.9000000000000006E-2</v>
      </c>
      <c r="H61" s="59">
        <v>-3.9E-2</v>
      </c>
      <c r="I61" s="59">
        <v>-5.2999999999999999E-2</v>
      </c>
    </row>
    <row r="62" spans="1:9" x14ac:dyDescent="0.3">
      <c r="A62" s="7" t="s">
        <v>363</v>
      </c>
      <c r="B62" s="121">
        <v>45968</v>
      </c>
      <c r="C62" s="59">
        <v>3.0000000000000001E-3</v>
      </c>
      <c r="D62" s="59">
        <v>-3.0000000000000001E-3</v>
      </c>
      <c r="E62" s="59">
        <v>6.0000000000000001E-3</v>
      </c>
      <c r="F62" s="59">
        <v>5.0000000000000001E-3</v>
      </c>
      <c r="G62" s="59">
        <v>1.0999999999999999E-2</v>
      </c>
      <c r="H62" s="59">
        <v>3.1E-2</v>
      </c>
      <c r="I62" s="59">
        <v>9.0000000000000011E-3</v>
      </c>
    </row>
    <row r="63" spans="1:9" x14ac:dyDescent="0.3">
      <c r="A63" s="7" t="s">
        <v>364</v>
      </c>
      <c r="B63" s="121">
        <v>46066</v>
      </c>
      <c r="C63" s="59">
        <v>4.5999999999999999E-2</v>
      </c>
      <c r="D63" s="59">
        <v>2E-3</v>
      </c>
      <c r="E63" s="59">
        <v>4.3999999999999997E-2</v>
      </c>
      <c r="F63" s="59">
        <v>0.10299999999999999</v>
      </c>
      <c r="G63" s="59">
        <v>8.900000000000001E-2</v>
      </c>
      <c r="H63" s="59">
        <v>8.900000000000001E-2</v>
      </c>
      <c r="I63" s="59">
        <v>0.10100000000000001</v>
      </c>
    </row>
    <row r="64" spans="1:9" x14ac:dyDescent="0.3">
      <c r="A64" s="7" t="s">
        <v>365</v>
      </c>
      <c r="B64" s="121">
        <v>46150</v>
      </c>
      <c r="C64" s="59">
        <v>6.9999999999999993E-3</v>
      </c>
      <c r="D64" s="59">
        <v>2.3E-2</v>
      </c>
      <c r="E64" s="59">
        <v>-1.6E-2</v>
      </c>
      <c r="F64" s="59">
        <v>-4.8000000000000001E-2</v>
      </c>
      <c r="G64" s="59">
        <v>-8.4000000000000005E-2</v>
      </c>
      <c r="H64" s="59">
        <v>-4.9000000000000002E-2</v>
      </c>
      <c r="I64" s="59">
        <v>-6.4000000000000001E-2</v>
      </c>
    </row>
    <row r="65" spans="1:18" x14ac:dyDescent="0.3">
      <c r="A65" s="7" t="s">
        <v>366</v>
      </c>
      <c r="B65" s="121">
        <v>46241</v>
      </c>
      <c r="C65" s="59">
        <v>0.17399999999999999</v>
      </c>
      <c r="D65" s="59">
        <v>1.2E-2</v>
      </c>
      <c r="E65" s="59">
        <v>0.16300000000000001</v>
      </c>
      <c r="F65" s="59">
        <v>0.221</v>
      </c>
      <c r="G65" s="59">
        <v>0.19600000000000001</v>
      </c>
    </row>
    <row r="66" spans="1:18" x14ac:dyDescent="0.3">
      <c r="A66" s="158" t="s">
        <v>1036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</row>
    <row r="68" spans="1:18" x14ac:dyDescent="0.3">
      <c r="A68" s="3" t="s">
        <v>1037</v>
      </c>
      <c r="B68" s="56" t="s">
        <v>1038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30" customHeight="1" x14ac:dyDescent="0.3">
      <c r="A69" s="18" t="s">
        <v>1039</v>
      </c>
      <c r="B69" s="18" t="s">
        <v>1040</v>
      </c>
      <c r="C69" s="18" t="s">
        <v>1041</v>
      </c>
      <c r="D69" s="18" t="s">
        <v>1042</v>
      </c>
      <c r="E69" s="18" t="s">
        <v>1043</v>
      </c>
      <c r="F69" s="160" t="s">
        <v>1044</v>
      </c>
      <c r="G69" s="156"/>
      <c r="H69" s="156"/>
      <c r="I69" s="156"/>
      <c r="J69" s="160" t="s">
        <v>1045</v>
      </c>
      <c r="K69" s="156"/>
      <c r="L69" s="156"/>
      <c r="M69" s="156"/>
      <c r="N69" s="156"/>
      <c r="O69" s="156"/>
      <c r="P69" s="156"/>
      <c r="Q69" s="156"/>
      <c r="R69" s="156"/>
    </row>
    <row r="70" spans="1:18" ht="28.95" customHeight="1" x14ac:dyDescent="0.3">
      <c r="A70" s="122">
        <v>44253</v>
      </c>
      <c r="B70" s="123">
        <v>0.13300000000000001</v>
      </c>
      <c r="C70" s="123">
        <v>4.0000000000000001E-3</v>
      </c>
      <c r="D70" s="123">
        <v>2.4E-2</v>
      </c>
      <c r="E70" s="123">
        <v>2.4E-2</v>
      </c>
      <c r="F70" s="155" t="s">
        <v>1046</v>
      </c>
      <c r="G70" s="156"/>
      <c r="H70" s="156"/>
      <c r="I70" s="156"/>
      <c r="J70" s="155" t="s">
        <v>1047</v>
      </c>
      <c r="K70" s="156"/>
      <c r="L70" s="156"/>
      <c r="M70" s="156"/>
      <c r="N70" s="156"/>
      <c r="O70" s="156"/>
      <c r="P70" s="156"/>
      <c r="Q70" s="156"/>
      <c r="R70" s="156"/>
    </row>
    <row r="71" spans="1:18" ht="28.95" customHeight="1" x14ac:dyDescent="0.3">
      <c r="A71" s="122">
        <v>44505</v>
      </c>
      <c r="B71" s="123">
        <v>0.13</v>
      </c>
      <c r="C71" s="123">
        <v>1E-3</v>
      </c>
      <c r="D71" s="123">
        <v>7.4999999999999997E-2</v>
      </c>
      <c r="E71" s="123">
        <v>0.156</v>
      </c>
      <c r="F71" s="155" t="s">
        <v>1048</v>
      </c>
      <c r="G71" s="156"/>
      <c r="H71" s="156"/>
      <c r="I71" s="156"/>
      <c r="J71" s="155" t="s">
        <v>1049</v>
      </c>
      <c r="K71" s="156"/>
      <c r="L71" s="156"/>
      <c r="M71" s="156"/>
      <c r="N71" s="156"/>
      <c r="O71" s="156"/>
      <c r="P71" s="156"/>
      <c r="Q71" s="156"/>
      <c r="R71" s="156"/>
    </row>
    <row r="72" spans="1:18" ht="28.95" customHeight="1" x14ac:dyDescent="0.3">
      <c r="A72" s="122">
        <v>44685</v>
      </c>
      <c r="B72" s="123">
        <v>7.6999999999999999E-2</v>
      </c>
      <c r="C72" s="123">
        <v>3.4000000000000002E-2</v>
      </c>
      <c r="D72" s="123">
        <v>-1E-3</v>
      </c>
      <c r="E72" s="123">
        <v>-5.0000000000000001E-3</v>
      </c>
      <c r="F72" s="155" t="s">
        <v>1050</v>
      </c>
      <c r="G72" s="156"/>
      <c r="H72" s="156"/>
      <c r="I72" s="156"/>
      <c r="J72" s="155" t="s">
        <v>1051</v>
      </c>
      <c r="K72" s="156"/>
      <c r="L72" s="156"/>
      <c r="M72" s="156"/>
      <c r="N72" s="156"/>
      <c r="O72" s="156"/>
      <c r="P72" s="156"/>
      <c r="Q72" s="156"/>
      <c r="R72" s="156"/>
    </row>
    <row r="73" spans="1:18" ht="28.95" customHeight="1" x14ac:dyDescent="0.3">
      <c r="A73" s="122">
        <v>44867</v>
      </c>
      <c r="B73" s="123">
        <v>-0.13400000000000001</v>
      </c>
      <c r="C73" s="123">
        <v>-3.4000000000000002E-2</v>
      </c>
      <c r="D73" s="123">
        <v>-5.8999999999999997E-2</v>
      </c>
      <c r="E73" s="123">
        <v>-5.5999999999999987E-2</v>
      </c>
      <c r="F73" s="155" t="s">
        <v>1052</v>
      </c>
      <c r="G73" s="156"/>
      <c r="H73" s="156"/>
      <c r="I73" s="156"/>
      <c r="J73" s="155" t="s">
        <v>1053</v>
      </c>
      <c r="K73" s="156"/>
      <c r="L73" s="156"/>
      <c r="M73" s="156"/>
      <c r="N73" s="156"/>
      <c r="O73" s="156"/>
      <c r="P73" s="156"/>
      <c r="Q73" s="156"/>
      <c r="R73" s="156"/>
    </row>
    <row r="74" spans="1:18" ht="28.95" customHeight="1" x14ac:dyDescent="0.3">
      <c r="A74" s="122">
        <v>44972</v>
      </c>
      <c r="B74" s="123">
        <v>0.13400000000000001</v>
      </c>
      <c r="C74" s="123">
        <v>8.0000000000000002E-3</v>
      </c>
      <c r="D74" s="123">
        <v>1.7999999999999999E-2</v>
      </c>
      <c r="E74" s="123">
        <v>9.0000000000000011E-3</v>
      </c>
      <c r="F74" s="155" t="s">
        <v>1054</v>
      </c>
      <c r="G74" s="156"/>
      <c r="H74" s="156"/>
      <c r="I74" s="156"/>
      <c r="J74" s="155" t="s">
        <v>1055</v>
      </c>
      <c r="K74" s="156"/>
      <c r="L74" s="156"/>
      <c r="M74" s="156"/>
      <c r="N74" s="156"/>
      <c r="O74" s="156"/>
      <c r="P74" s="156"/>
      <c r="Q74" s="156"/>
      <c r="R74" s="156"/>
    </row>
    <row r="75" spans="1:18" ht="28.95" customHeight="1" x14ac:dyDescent="0.3">
      <c r="A75" s="122">
        <v>45056</v>
      </c>
      <c r="B75" s="123">
        <v>-0.109</v>
      </c>
      <c r="C75" s="123">
        <v>1.0999999999999999E-2</v>
      </c>
      <c r="D75" s="123">
        <v>4.0000000000000001E-3</v>
      </c>
      <c r="E75" s="123">
        <v>-2.4E-2</v>
      </c>
      <c r="F75" s="155" t="s">
        <v>1056</v>
      </c>
      <c r="G75" s="156"/>
      <c r="H75" s="156"/>
      <c r="I75" s="156"/>
      <c r="J75" s="155" t="s">
        <v>1057</v>
      </c>
      <c r="K75" s="156"/>
      <c r="L75" s="156"/>
      <c r="M75" s="156"/>
      <c r="N75" s="156"/>
      <c r="O75" s="156"/>
      <c r="P75" s="156"/>
      <c r="Q75" s="156"/>
      <c r="R75" s="156"/>
    </row>
    <row r="76" spans="1:18" ht="28.95" customHeight="1" x14ac:dyDescent="0.3">
      <c r="A76" s="122">
        <v>45511</v>
      </c>
      <c r="B76" s="123">
        <v>-0.13400000000000001</v>
      </c>
      <c r="C76" s="123">
        <v>-1.0999999999999999E-2</v>
      </c>
      <c r="D76" s="123">
        <v>-3.3000000000000002E-2</v>
      </c>
      <c r="E76" s="123">
        <v>-3.7000000000000012E-2</v>
      </c>
      <c r="F76" s="155" t="s">
        <v>1058</v>
      </c>
      <c r="G76" s="156"/>
      <c r="H76" s="156"/>
      <c r="I76" s="156"/>
      <c r="J76" s="155" t="s">
        <v>1059</v>
      </c>
      <c r="K76" s="156"/>
      <c r="L76" s="156"/>
      <c r="M76" s="156"/>
      <c r="N76" s="156"/>
      <c r="O76" s="156"/>
      <c r="P76" s="156"/>
      <c r="Q76" s="156"/>
      <c r="R76" s="156"/>
    </row>
    <row r="77" spans="1:18" ht="28.95" customHeight="1" x14ac:dyDescent="0.3">
      <c r="A77" s="122">
        <v>45604</v>
      </c>
      <c r="B77" s="123">
        <v>-8.6999999999999994E-2</v>
      </c>
      <c r="C77" s="123">
        <v>1E-3</v>
      </c>
      <c r="D77" s="123">
        <v>5.0000000000000001E-3</v>
      </c>
      <c r="E77" s="123">
        <v>3.7999999999999999E-2</v>
      </c>
      <c r="F77" s="155" t="s">
        <v>1060</v>
      </c>
      <c r="G77" s="156"/>
      <c r="H77" s="156"/>
      <c r="I77" s="156"/>
      <c r="J77" s="155" t="s">
        <v>1061</v>
      </c>
      <c r="K77" s="156"/>
      <c r="L77" s="156"/>
      <c r="M77" s="156"/>
      <c r="N77" s="156"/>
      <c r="O77" s="156"/>
      <c r="P77" s="156"/>
      <c r="Q77" s="156"/>
      <c r="R77" s="156"/>
    </row>
    <row r="78" spans="1:18" ht="28.95" customHeight="1" x14ac:dyDescent="0.3">
      <c r="A78" s="122">
        <v>45702</v>
      </c>
      <c r="B78" s="123">
        <v>0.14399999999999999</v>
      </c>
      <c r="C78" s="123">
        <v>4.0000000000000001E-3</v>
      </c>
      <c r="D78" s="123">
        <v>6.9999999999999993E-3</v>
      </c>
      <c r="E78" s="123">
        <v>-4.0000000000000001E-3</v>
      </c>
      <c r="F78" s="155" t="s">
        <v>1062</v>
      </c>
      <c r="G78" s="156"/>
      <c r="H78" s="156"/>
      <c r="I78" s="156"/>
      <c r="J78" s="155" t="s">
        <v>1063</v>
      </c>
      <c r="K78" s="156"/>
      <c r="L78" s="156"/>
      <c r="M78" s="156"/>
      <c r="N78" s="156"/>
      <c r="O78" s="156"/>
      <c r="P78" s="156"/>
      <c r="Q78" s="156"/>
      <c r="R78" s="156"/>
    </row>
    <row r="79" spans="1:18" ht="28.95" customHeight="1" x14ac:dyDescent="0.3">
      <c r="A79" s="122">
        <v>45876</v>
      </c>
      <c r="B79" s="123">
        <v>-0.08</v>
      </c>
      <c r="C79" s="123">
        <v>3.0000000000000001E-3</v>
      </c>
      <c r="D79" s="123">
        <v>-1.9E-2</v>
      </c>
      <c r="E79" s="123">
        <v>1.2999999999999999E-2</v>
      </c>
      <c r="F79" s="155" t="s">
        <v>1064</v>
      </c>
      <c r="G79" s="156"/>
      <c r="H79" s="156"/>
      <c r="I79" s="156"/>
      <c r="J79" s="155" t="s">
        <v>1065</v>
      </c>
      <c r="K79" s="156"/>
      <c r="L79" s="156"/>
      <c r="M79" s="156"/>
      <c r="N79" s="156"/>
      <c r="O79" s="156"/>
      <c r="P79" s="156"/>
      <c r="Q79" s="156"/>
      <c r="R79" s="156"/>
    </row>
    <row r="80" spans="1:18" ht="42.45" customHeight="1" x14ac:dyDescent="0.3">
      <c r="A80" s="122">
        <v>46241</v>
      </c>
      <c r="B80" s="123">
        <v>0.17399999999999999</v>
      </c>
      <c r="C80" s="123">
        <v>1.2E-2</v>
      </c>
      <c r="D80" s="123">
        <v>3.4000000000000002E-2</v>
      </c>
      <c r="E80" s="123">
        <v>1.2999999999999999E-2</v>
      </c>
      <c r="F80" s="155" t="s">
        <v>1066</v>
      </c>
      <c r="G80" s="156"/>
      <c r="H80" s="156"/>
      <c r="I80" s="156"/>
      <c r="J80" s="155" t="s">
        <v>1067</v>
      </c>
      <c r="K80" s="156"/>
      <c r="L80" s="156"/>
      <c r="M80" s="156"/>
      <c r="N80" s="156"/>
      <c r="O80" s="156"/>
      <c r="P80" s="156"/>
      <c r="Q80" s="156"/>
      <c r="R80" s="156"/>
    </row>
    <row r="82" spans="1:18" x14ac:dyDescent="0.3">
      <c r="A82" s="3" t="s">
        <v>1068</v>
      </c>
      <c r="B82" s="56" t="s">
        <v>1069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42" customHeight="1" x14ac:dyDescent="0.3">
      <c r="A83" s="18" t="s">
        <v>1070</v>
      </c>
      <c r="B83" s="18" t="s">
        <v>268</v>
      </c>
      <c r="C83" s="18" t="s">
        <v>1071</v>
      </c>
      <c r="D83" s="18" t="s">
        <v>1072</v>
      </c>
      <c r="E83" s="18" t="s">
        <v>1073</v>
      </c>
      <c r="F83" s="18" t="s">
        <v>1074</v>
      </c>
      <c r="G83" s="18" t="s">
        <v>1075</v>
      </c>
      <c r="H83" s="18" t="s">
        <v>1076</v>
      </c>
      <c r="I83" s="18" t="s">
        <v>1077</v>
      </c>
      <c r="J83" s="18" t="s">
        <v>1078</v>
      </c>
      <c r="K83" s="18" t="s">
        <v>1079</v>
      </c>
      <c r="L83" s="18" t="s">
        <v>1080</v>
      </c>
      <c r="M83" s="18" t="s">
        <v>1081</v>
      </c>
    </row>
    <row r="84" spans="1:18" x14ac:dyDescent="0.3">
      <c r="A84" s="7" t="s">
        <v>1082</v>
      </c>
      <c r="B84" s="76">
        <v>9</v>
      </c>
      <c r="C84" s="76">
        <v>8</v>
      </c>
      <c r="D84" s="76">
        <v>1</v>
      </c>
      <c r="E84" s="59">
        <v>8.8000000000000009E-2</v>
      </c>
      <c r="F84" s="59">
        <v>8.5999999999999993E-2</v>
      </c>
      <c r="G84" s="59">
        <v>0.115</v>
      </c>
      <c r="H84" s="59">
        <v>-7.2000000000000008E-2</v>
      </c>
      <c r="I84" s="59">
        <v>6.9999999999999993E-3</v>
      </c>
      <c r="J84" s="59">
        <v>8.1000000000000003E-2</v>
      </c>
      <c r="K84" s="59">
        <v>8.4000000000000005E-2</v>
      </c>
      <c r="L84" s="59">
        <v>8.5000000000000006E-2</v>
      </c>
      <c r="M84" s="76">
        <v>1</v>
      </c>
    </row>
    <row r="85" spans="1:18" x14ac:dyDescent="0.3">
      <c r="A85" s="7" t="s">
        <v>1083</v>
      </c>
      <c r="B85" s="76">
        <v>1</v>
      </c>
      <c r="C85" s="76">
        <v>0</v>
      </c>
      <c r="D85" s="76">
        <v>1</v>
      </c>
      <c r="E85" s="59">
        <v>7.0000000000000007E-2</v>
      </c>
      <c r="F85" s="59">
        <v>7.0000000000000007E-2</v>
      </c>
      <c r="G85" s="59">
        <v>-7.0000000000000007E-2</v>
      </c>
      <c r="H85" s="59">
        <v>-7.0000000000000007E-2</v>
      </c>
      <c r="I85" s="59">
        <v>1.4999999999999999E-2</v>
      </c>
      <c r="J85" s="59">
        <v>5.5E-2</v>
      </c>
      <c r="K85" s="59">
        <v>2.3E-2</v>
      </c>
      <c r="L85" s="59">
        <v>8.3000000000000004E-2</v>
      </c>
      <c r="M85" s="76">
        <v>1</v>
      </c>
    </row>
    <row r="86" spans="1:18" x14ac:dyDescent="0.3">
      <c r="A86" s="7" t="s">
        <v>1084</v>
      </c>
      <c r="B86" s="76">
        <v>11</v>
      </c>
      <c r="C86" s="76">
        <v>6</v>
      </c>
      <c r="D86" s="76">
        <v>5</v>
      </c>
      <c r="E86" s="59">
        <v>0.121</v>
      </c>
      <c r="F86" s="59">
        <v>0.13300000000000001</v>
      </c>
      <c r="G86" s="59">
        <v>0.17399999999999999</v>
      </c>
      <c r="H86" s="59">
        <v>-0.13400000000000001</v>
      </c>
      <c r="I86" s="59">
        <v>1.0999999999999999E-2</v>
      </c>
      <c r="J86" s="59">
        <v>0.113</v>
      </c>
      <c r="K86" s="59">
        <v>9.8000000000000004E-2</v>
      </c>
      <c r="L86" s="59">
        <v>0.10299999999999999</v>
      </c>
      <c r="M86" s="76">
        <v>7</v>
      </c>
    </row>
    <row r="87" spans="1:18" x14ac:dyDescent="0.3">
      <c r="A87" s="7" t="s">
        <v>1085</v>
      </c>
      <c r="B87" s="76">
        <v>20</v>
      </c>
      <c r="C87" s="76">
        <v>9</v>
      </c>
      <c r="D87" s="76">
        <v>11</v>
      </c>
      <c r="E87" s="59">
        <v>8.5999999999999993E-2</v>
      </c>
      <c r="F87" s="59">
        <v>8.1000000000000003E-2</v>
      </c>
      <c r="G87" s="59">
        <v>0.14799999999999999</v>
      </c>
      <c r="H87" s="59">
        <v>-0.121</v>
      </c>
      <c r="I87" s="59">
        <v>3.5999999999999997E-2</v>
      </c>
      <c r="J87" s="59">
        <v>5.0999999999999997E-2</v>
      </c>
      <c r="K87" s="59">
        <v>4.2000000000000003E-2</v>
      </c>
      <c r="L87" s="59">
        <v>3.5999999999999997E-2</v>
      </c>
      <c r="M87" s="76">
        <v>2</v>
      </c>
    </row>
    <row r="88" spans="1:18" x14ac:dyDescent="0.3">
      <c r="A88" s="7" t="s">
        <v>1086</v>
      </c>
      <c r="B88" s="76">
        <v>41</v>
      </c>
      <c r="C88" s="76">
        <v>23</v>
      </c>
      <c r="D88" s="76">
        <v>18</v>
      </c>
      <c r="E88" s="59">
        <v>9.6000000000000002E-2</v>
      </c>
      <c r="F88" s="59">
        <v>8.5000000000000006E-2</v>
      </c>
      <c r="G88" s="59">
        <v>0.17399999999999999</v>
      </c>
      <c r="H88" s="59">
        <v>-0.13400000000000001</v>
      </c>
      <c r="I88" s="59">
        <v>2.3E-2</v>
      </c>
      <c r="J88" s="59">
        <v>7.400000000000001E-2</v>
      </c>
      <c r="K88" s="59">
        <v>6.6000000000000003E-2</v>
      </c>
      <c r="L88" s="59">
        <v>6.6000000000000003E-2</v>
      </c>
      <c r="M88" s="76">
        <v>11</v>
      </c>
    </row>
    <row r="89" spans="1:18" x14ac:dyDescent="0.3">
      <c r="A89" s="158" t="s">
        <v>1087</v>
      </c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</row>
    <row r="91" spans="1:18" x14ac:dyDescent="0.3">
      <c r="A91" s="124" t="s">
        <v>1088</v>
      </c>
    </row>
    <row r="92" spans="1:18" ht="30" customHeight="1" x14ac:dyDescent="0.3">
      <c r="A92" s="18" t="s">
        <v>1039</v>
      </c>
      <c r="B92" s="18" t="s">
        <v>1040</v>
      </c>
      <c r="C92" s="18" t="s">
        <v>1070</v>
      </c>
      <c r="D92" s="18" t="s">
        <v>1041</v>
      </c>
      <c r="E92" s="18" t="s">
        <v>1042</v>
      </c>
      <c r="F92" s="18" t="s">
        <v>1043</v>
      </c>
      <c r="G92" s="160" t="s">
        <v>1044</v>
      </c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</row>
    <row r="93" spans="1:18" ht="15.45" customHeight="1" x14ac:dyDescent="0.3">
      <c r="A93" s="122">
        <v>44181</v>
      </c>
      <c r="B93" s="123">
        <v>0.106</v>
      </c>
      <c r="C93" s="125" t="s">
        <v>1082</v>
      </c>
      <c r="D93" s="123">
        <v>5.0000000000000001E-3</v>
      </c>
      <c r="E93" s="123">
        <v>0</v>
      </c>
      <c r="F93" s="123">
        <v>-8.0000000000000002E-3</v>
      </c>
      <c r="G93" s="155" t="s">
        <v>1089</v>
      </c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</row>
    <row r="94" spans="1:18" ht="15.45" customHeight="1" x14ac:dyDescent="0.3">
      <c r="A94" s="122">
        <v>44208</v>
      </c>
      <c r="B94" s="123">
        <v>8.5999999999999993E-2</v>
      </c>
      <c r="C94" s="125" t="s">
        <v>1082</v>
      </c>
      <c r="D94" s="123">
        <v>-2E-3</v>
      </c>
      <c r="E94" s="123">
        <v>-1.0999999999999999E-2</v>
      </c>
      <c r="F94" s="123">
        <v>-1.4E-2</v>
      </c>
      <c r="G94" s="155" t="s">
        <v>1090</v>
      </c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</row>
    <row r="95" spans="1:18" ht="15.45" customHeight="1" x14ac:dyDescent="0.3">
      <c r="A95" s="122">
        <v>44217</v>
      </c>
      <c r="B95" s="123">
        <v>0.115</v>
      </c>
      <c r="C95" s="125" t="s">
        <v>1082</v>
      </c>
      <c r="D95" s="123">
        <v>8.0000000000000002E-3</v>
      </c>
      <c r="E95" s="123">
        <v>-2.3E-2</v>
      </c>
      <c r="F95" s="123">
        <v>-0.02</v>
      </c>
      <c r="G95" s="155" t="s">
        <v>1091</v>
      </c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</row>
    <row r="96" spans="1:18" ht="15.45" customHeight="1" x14ac:dyDescent="0.3">
      <c r="A96" s="122">
        <v>44222</v>
      </c>
      <c r="B96" s="123">
        <v>8.5999999999999993E-2</v>
      </c>
      <c r="C96" s="125" t="s">
        <v>1082</v>
      </c>
      <c r="D96" s="123">
        <v>1E-3</v>
      </c>
      <c r="E96" s="123">
        <v>-1.7000000000000001E-2</v>
      </c>
      <c r="F96" s="123">
        <v>-3.3000000000000002E-2</v>
      </c>
      <c r="G96" s="155" t="s">
        <v>1092</v>
      </c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</row>
    <row r="97" spans="1:18" ht="15.45" customHeight="1" x14ac:dyDescent="0.3">
      <c r="A97" s="122">
        <v>44252</v>
      </c>
      <c r="B97" s="123">
        <v>-9.0999999999999998E-2</v>
      </c>
      <c r="C97" s="125" t="s">
        <v>1085</v>
      </c>
      <c r="D97" s="123">
        <v>-3.5000000000000003E-2</v>
      </c>
      <c r="E97" s="123">
        <v>-7.0000000000000007E-2</v>
      </c>
      <c r="F97" s="123">
        <v>-3.4000000000000002E-2</v>
      </c>
      <c r="G97" s="155" t="s">
        <v>1093</v>
      </c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</row>
    <row r="98" spans="1:18" ht="15.45" customHeight="1" x14ac:dyDescent="0.3">
      <c r="A98" s="122">
        <v>44253</v>
      </c>
      <c r="B98" s="123">
        <v>0.13300000000000001</v>
      </c>
      <c r="C98" s="125" t="s">
        <v>1084</v>
      </c>
      <c r="D98" s="123">
        <v>4.0000000000000001E-3</v>
      </c>
      <c r="E98" s="123">
        <v>2.4E-2</v>
      </c>
      <c r="F98" s="123">
        <v>2.4E-2</v>
      </c>
      <c r="G98" s="155" t="s">
        <v>1046</v>
      </c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</row>
    <row r="99" spans="1:18" ht="15.45" customHeight="1" x14ac:dyDescent="0.3">
      <c r="A99" s="122">
        <v>44266</v>
      </c>
      <c r="B99" s="123">
        <v>7.6999999999999999E-2</v>
      </c>
      <c r="C99" s="125" t="s">
        <v>1085</v>
      </c>
      <c r="D99" s="123">
        <v>2.3E-2</v>
      </c>
      <c r="E99" s="123">
        <v>-3.0000000000000001E-3</v>
      </c>
      <c r="F99" s="123">
        <v>2.1000000000000001E-2</v>
      </c>
      <c r="G99" s="155" t="s">
        <v>1094</v>
      </c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</row>
    <row r="100" spans="1:18" ht="15.45" customHeight="1" x14ac:dyDescent="0.3">
      <c r="A100" s="122">
        <v>44432</v>
      </c>
      <c r="B100" s="123">
        <v>0.1</v>
      </c>
      <c r="C100" s="125" t="s">
        <v>1082</v>
      </c>
      <c r="D100" s="123">
        <v>3.0000000000000001E-3</v>
      </c>
      <c r="E100" s="123">
        <v>4.4999999999999998E-2</v>
      </c>
      <c r="F100" s="123">
        <v>2.7E-2</v>
      </c>
      <c r="G100" s="155" t="s">
        <v>1095</v>
      </c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</row>
    <row r="101" spans="1:18" ht="15.45" customHeight="1" x14ac:dyDescent="0.3">
      <c r="A101" s="122">
        <v>44505</v>
      </c>
      <c r="B101" s="123">
        <v>0.13</v>
      </c>
      <c r="C101" s="125" t="s">
        <v>1084</v>
      </c>
      <c r="D101" s="123">
        <v>1E-3</v>
      </c>
      <c r="E101" s="123">
        <v>7.4999999999999997E-2</v>
      </c>
      <c r="F101" s="123">
        <v>0.156</v>
      </c>
      <c r="G101" s="155" t="s">
        <v>1048</v>
      </c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</row>
    <row r="102" spans="1:18" ht="15.45" customHeight="1" x14ac:dyDescent="0.3">
      <c r="A102" s="122">
        <v>44512</v>
      </c>
      <c r="B102" s="123">
        <v>7.8E-2</v>
      </c>
      <c r="C102" s="125" t="s">
        <v>1082</v>
      </c>
      <c r="D102" s="123">
        <v>1.0999999999999999E-2</v>
      </c>
      <c r="E102" s="123">
        <v>-1.0999999999999999E-2</v>
      </c>
      <c r="F102" s="123">
        <v>-0.02</v>
      </c>
      <c r="G102" s="155" t="s">
        <v>1096</v>
      </c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</row>
    <row r="103" spans="1:18" ht="15.45" customHeight="1" x14ac:dyDescent="0.3">
      <c r="A103" s="122">
        <v>44522</v>
      </c>
      <c r="B103" s="123">
        <v>-7.4999999999999997E-2</v>
      </c>
      <c r="C103" s="125" t="s">
        <v>1085</v>
      </c>
      <c r="D103" s="123">
        <v>-1.2E-2</v>
      </c>
      <c r="E103" s="123">
        <v>-1.7999999999999999E-2</v>
      </c>
      <c r="F103" s="123">
        <v>-1.0999999999999999E-2</v>
      </c>
      <c r="G103" s="155" t="s">
        <v>1097</v>
      </c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</row>
    <row r="104" spans="1:18" ht="15.45" customHeight="1" x14ac:dyDescent="0.3">
      <c r="A104" s="122">
        <v>44536</v>
      </c>
      <c r="B104" s="123">
        <v>8.5000000000000006E-2</v>
      </c>
      <c r="C104" s="125" t="s">
        <v>1085</v>
      </c>
      <c r="D104" s="123">
        <v>8.0000000000000002E-3</v>
      </c>
      <c r="E104" s="123">
        <v>5.2999999999999999E-2</v>
      </c>
      <c r="F104" s="123">
        <v>6.7000000000000004E-2</v>
      </c>
      <c r="G104" s="155" t="s">
        <v>1098</v>
      </c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</row>
    <row r="105" spans="1:18" ht="15.45" customHeight="1" x14ac:dyDescent="0.3">
      <c r="A105" s="122">
        <v>44592</v>
      </c>
      <c r="B105" s="123">
        <v>7.8E-2</v>
      </c>
      <c r="C105" s="125" t="s">
        <v>1085</v>
      </c>
      <c r="D105" s="123">
        <v>3.2000000000000001E-2</v>
      </c>
      <c r="E105" s="123">
        <v>1.7999999999999999E-2</v>
      </c>
      <c r="F105" s="123">
        <v>5.0999999999999997E-2</v>
      </c>
      <c r="G105" s="155" t="s">
        <v>1099</v>
      </c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</row>
    <row r="106" spans="1:18" ht="15.45" customHeight="1" x14ac:dyDescent="0.3">
      <c r="A106" s="122">
        <v>44615</v>
      </c>
      <c r="B106" s="123">
        <v>-9.1999999999999998E-2</v>
      </c>
      <c r="C106" s="125" t="s">
        <v>1085</v>
      </c>
      <c r="D106" s="123">
        <v>-2.5999999999999999E-2</v>
      </c>
      <c r="E106" s="123">
        <v>-1.9E-2</v>
      </c>
      <c r="F106" s="123">
        <v>-0.03</v>
      </c>
      <c r="G106" s="155" t="s">
        <v>1100</v>
      </c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</row>
    <row r="107" spans="1:18" ht="15.45" customHeight="1" x14ac:dyDescent="0.3">
      <c r="A107" s="122">
        <v>44627</v>
      </c>
      <c r="B107" s="123">
        <v>-7.8E-2</v>
      </c>
      <c r="C107" s="125" t="s">
        <v>1085</v>
      </c>
      <c r="D107" s="123">
        <v>-3.7000000000000012E-2</v>
      </c>
      <c r="E107" s="123">
        <v>-8.5000000000000006E-2</v>
      </c>
      <c r="F107" s="123">
        <v>-0.109</v>
      </c>
      <c r="G107" s="155" t="s">
        <v>1101</v>
      </c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</row>
    <row r="108" spans="1:18" ht="15.45" customHeight="1" x14ac:dyDescent="0.3">
      <c r="A108" s="122">
        <v>44628</v>
      </c>
      <c r="B108" s="123">
        <v>0.08</v>
      </c>
      <c r="C108" s="125" t="s">
        <v>1085</v>
      </c>
      <c r="D108" s="123">
        <v>-5.0000000000000001E-3</v>
      </c>
      <c r="E108" s="123">
        <v>4.4999999999999998E-2</v>
      </c>
      <c r="F108" s="123">
        <v>5.5E-2</v>
      </c>
      <c r="G108" s="155" t="s">
        <v>1102</v>
      </c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</row>
    <row r="109" spans="1:18" ht="15.45" customHeight="1" x14ac:dyDescent="0.3">
      <c r="A109" s="122">
        <v>44636</v>
      </c>
      <c r="B109" s="123">
        <v>8.199999999999999E-2</v>
      </c>
      <c r="C109" s="125" t="s">
        <v>1085</v>
      </c>
      <c r="D109" s="123">
        <v>3.7000000000000012E-2</v>
      </c>
      <c r="E109" s="123">
        <v>5.8999999999999997E-2</v>
      </c>
      <c r="F109" s="123">
        <v>2.3E-2</v>
      </c>
      <c r="G109" s="155" t="s">
        <v>1103</v>
      </c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</row>
    <row r="110" spans="1:18" ht="15.45" customHeight="1" x14ac:dyDescent="0.3">
      <c r="A110" s="122">
        <v>44664</v>
      </c>
      <c r="B110" s="123">
        <v>7.2999999999999995E-2</v>
      </c>
      <c r="C110" s="125" t="s">
        <v>1082</v>
      </c>
      <c r="D110" s="123">
        <v>0.02</v>
      </c>
      <c r="E110" s="123">
        <v>3.5999999999999997E-2</v>
      </c>
      <c r="F110" s="123">
        <v>4.9000000000000002E-2</v>
      </c>
      <c r="G110" s="155" t="s">
        <v>1104</v>
      </c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</row>
    <row r="111" spans="1:18" ht="15.45" customHeight="1" x14ac:dyDescent="0.3">
      <c r="A111" s="122">
        <v>44685</v>
      </c>
      <c r="B111" s="123">
        <v>7.6999999999999999E-2</v>
      </c>
      <c r="C111" s="125" t="s">
        <v>1084</v>
      </c>
      <c r="D111" s="123">
        <v>3.4000000000000002E-2</v>
      </c>
      <c r="E111" s="123">
        <v>-1E-3</v>
      </c>
      <c r="F111" s="123">
        <v>-5.0000000000000001E-3</v>
      </c>
      <c r="G111" s="155" t="s">
        <v>1050</v>
      </c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</row>
    <row r="112" spans="1:18" ht="15.45" customHeight="1" x14ac:dyDescent="0.3">
      <c r="A112" s="122">
        <v>44686</v>
      </c>
      <c r="B112" s="123">
        <v>-8.4000000000000005E-2</v>
      </c>
      <c r="C112" s="125" t="s">
        <v>1085</v>
      </c>
      <c r="D112" s="123">
        <v>-0.05</v>
      </c>
      <c r="E112" s="123">
        <v>3.3000000000000002E-2</v>
      </c>
      <c r="F112" s="123">
        <v>-6.7000000000000004E-2</v>
      </c>
      <c r="G112" s="155" t="s">
        <v>1105</v>
      </c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</row>
    <row r="113" spans="1:18" ht="15.45" customHeight="1" x14ac:dyDescent="0.3">
      <c r="A113" s="122">
        <v>44690</v>
      </c>
      <c r="B113" s="123">
        <v>-0.121</v>
      </c>
      <c r="C113" s="125" t="s">
        <v>1085</v>
      </c>
      <c r="D113" s="123">
        <v>-3.9E-2</v>
      </c>
      <c r="E113" s="123">
        <v>-7.8E-2</v>
      </c>
      <c r="F113" s="123">
        <v>-3.4000000000000002E-2</v>
      </c>
      <c r="G113" s="155" t="s">
        <v>1106</v>
      </c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</row>
    <row r="114" spans="1:18" ht="15.45" customHeight="1" x14ac:dyDescent="0.3">
      <c r="A114" s="122">
        <v>44699</v>
      </c>
      <c r="B114" s="123">
        <v>-8.1000000000000003E-2</v>
      </c>
      <c r="C114" s="125" t="s">
        <v>1085</v>
      </c>
      <c r="D114" s="123">
        <v>-4.9000000000000002E-2</v>
      </c>
      <c r="E114" s="123">
        <v>-4.4999999999999998E-2</v>
      </c>
      <c r="F114" s="123">
        <v>-2.1999999999999999E-2</v>
      </c>
      <c r="G114" s="155" t="s">
        <v>1107</v>
      </c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</row>
    <row r="115" spans="1:18" ht="15.45" customHeight="1" x14ac:dyDescent="0.3">
      <c r="A115" s="122">
        <v>44725</v>
      </c>
      <c r="B115" s="123">
        <v>-9.1999999999999998E-2</v>
      </c>
      <c r="C115" s="125" t="s">
        <v>1085</v>
      </c>
      <c r="D115" s="123">
        <v>-4.5999999999999999E-2</v>
      </c>
      <c r="E115" s="123">
        <v>-0.06</v>
      </c>
      <c r="F115" s="123">
        <v>-7.6999999999999999E-2</v>
      </c>
      <c r="G115" s="155" t="s">
        <v>1108</v>
      </c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</row>
    <row r="116" spans="1:18" ht="15.45" customHeight="1" x14ac:dyDescent="0.3">
      <c r="A116" s="122">
        <v>44728</v>
      </c>
      <c r="B116" s="123">
        <v>-8.1000000000000003E-2</v>
      </c>
      <c r="C116" s="125" t="s">
        <v>1085</v>
      </c>
      <c r="D116" s="123">
        <v>-0.04</v>
      </c>
      <c r="E116" s="123">
        <v>-6.4000000000000001E-2</v>
      </c>
      <c r="F116" s="123">
        <v>-7.6999999999999999E-2</v>
      </c>
      <c r="G116" s="155" t="s">
        <v>1109</v>
      </c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</row>
    <row r="117" spans="1:18" ht="15.45" customHeight="1" x14ac:dyDescent="0.3">
      <c r="A117" s="122">
        <v>44736</v>
      </c>
      <c r="B117" s="123">
        <v>8.1000000000000003E-2</v>
      </c>
      <c r="C117" s="125" t="s">
        <v>1085</v>
      </c>
      <c r="D117" s="123">
        <v>3.4000000000000002E-2</v>
      </c>
      <c r="E117" s="123">
        <v>5.1999999999999998E-2</v>
      </c>
      <c r="F117" s="123">
        <v>8.8000000000000009E-2</v>
      </c>
      <c r="G117" s="155" t="s">
        <v>1110</v>
      </c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</row>
    <row r="118" spans="1:18" ht="15.45" customHeight="1" x14ac:dyDescent="0.3">
      <c r="A118" s="122">
        <v>44826</v>
      </c>
      <c r="B118" s="123">
        <v>-0.09</v>
      </c>
      <c r="C118" s="125" t="s">
        <v>1085</v>
      </c>
      <c r="D118" s="123">
        <v>-1.2E-2</v>
      </c>
      <c r="E118" s="123">
        <v>-4.8000000000000001E-2</v>
      </c>
      <c r="F118" s="123">
        <v>-7.0999999999999994E-2</v>
      </c>
      <c r="G118" s="155" t="s">
        <v>1111</v>
      </c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</row>
    <row r="119" spans="1:18" ht="15.45" customHeight="1" x14ac:dyDescent="0.3">
      <c r="A119" s="122">
        <v>44865</v>
      </c>
      <c r="B119" s="123">
        <v>-7.2000000000000008E-2</v>
      </c>
      <c r="C119" s="125" t="s">
        <v>1082</v>
      </c>
      <c r="D119" s="123">
        <v>-1.2E-2</v>
      </c>
      <c r="E119" s="123">
        <v>-1E-3</v>
      </c>
      <c r="F119" s="123">
        <v>-3.4000000000000002E-2</v>
      </c>
      <c r="G119" s="155" t="s">
        <v>1112</v>
      </c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</row>
    <row r="120" spans="1:18" ht="15.45" customHeight="1" x14ac:dyDescent="0.3">
      <c r="A120" s="122">
        <v>44867</v>
      </c>
      <c r="B120" s="123">
        <v>-0.13400000000000001</v>
      </c>
      <c r="C120" s="125" t="s">
        <v>1084</v>
      </c>
      <c r="D120" s="123">
        <v>-3.4000000000000002E-2</v>
      </c>
      <c r="E120" s="123">
        <v>-5.8999999999999997E-2</v>
      </c>
      <c r="F120" s="123">
        <v>-5.5999999999999987E-2</v>
      </c>
      <c r="G120" s="155" t="s">
        <v>1052</v>
      </c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</row>
    <row r="121" spans="1:18" ht="15.45" customHeight="1" x14ac:dyDescent="0.3">
      <c r="A121" s="122">
        <v>44876</v>
      </c>
      <c r="B121" s="123">
        <v>7.0000000000000007E-2</v>
      </c>
      <c r="C121" s="125" t="s">
        <v>1085</v>
      </c>
      <c r="D121" s="123">
        <v>1.7999999999999999E-2</v>
      </c>
      <c r="E121" s="123">
        <v>3.5999999999999997E-2</v>
      </c>
      <c r="F121" s="123">
        <v>3.7999999999999999E-2</v>
      </c>
      <c r="G121" s="155" t="s">
        <v>1113</v>
      </c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</row>
    <row r="122" spans="1:18" ht="15.45" customHeight="1" x14ac:dyDescent="0.3">
      <c r="A122" s="122">
        <v>44895</v>
      </c>
      <c r="B122" s="123">
        <v>7.0999999999999994E-2</v>
      </c>
      <c r="C122" s="125" t="s">
        <v>1085</v>
      </c>
      <c r="D122" s="123">
        <v>4.5999999999999999E-2</v>
      </c>
      <c r="E122" s="123">
        <v>3.1E-2</v>
      </c>
      <c r="F122" s="123">
        <v>4.2999999999999997E-2</v>
      </c>
      <c r="G122" s="155" t="s">
        <v>1114</v>
      </c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</row>
    <row r="123" spans="1:18" ht="15.45" customHeight="1" x14ac:dyDescent="0.3">
      <c r="A123" s="122">
        <v>44972</v>
      </c>
      <c r="B123" s="123">
        <v>0.13400000000000001</v>
      </c>
      <c r="C123" s="125" t="s">
        <v>1084</v>
      </c>
      <c r="D123" s="123">
        <v>8.0000000000000002E-3</v>
      </c>
      <c r="E123" s="123">
        <v>1.7999999999999999E-2</v>
      </c>
      <c r="F123" s="123">
        <v>9.0000000000000011E-3</v>
      </c>
      <c r="G123" s="155" t="s">
        <v>1054</v>
      </c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</row>
    <row r="124" spans="1:18" ht="15.45" customHeight="1" x14ac:dyDescent="0.3">
      <c r="A124" s="122">
        <v>45056</v>
      </c>
      <c r="B124" s="123">
        <v>-0.109</v>
      </c>
      <c r="C124" s="125" t="s">
        <v>1084</v>
      </c>
      <c r="D124" s="123">
        <v>1.0999999999999999E-2</v>
      </c>
      <c r="E124" s="123">
        <v>4.0000000000000001E-3</v>
      </c>
      <c r="F124" s="123">
        <v>-2.4E-2</v>
      </c>
      <c r="G124" s="155" t="s">
        <v>1056</v>
      </c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</row>
    <row r="125" spans="1:18" ht="15.45" customHeight="1" x14ac:dyDescent="0.3">
      <c r="A125" s="122">
        <v>45174</v>
      </c>
      <c r="B125" s="123">
        <v>7.2000000000000008E-2</v>
      </c>
      <c r="C125" s="125" t="s">
        <v>1082</v>
      </c>
      <c r="D125" s="123">
        <v>1E-3</v>
      </c>
      <c r="E125" s="123">
        <v>0.01</v>
      </c>
      <c r="F125" s="123">
        <v>6.0000000000000001E-3</v>
      </c>
      <c r="G125" s="155" t="s">
        <v>1115</v>
      </c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</row>
    <row r="126" spans="1:18" ht="15.45" customHeight="1" x14ac:dyDescent="0.3">
      <c r="A126" s="122">
        <v>45511</v>
      </c>
      <c r="B126" s="123">
        <v>-0.13400000000000001</v>
      </c>
      <c r="C126" s="125" t="s">
        <v>1084</v>
      </c>
      <c r="D126" s="123">
        <v>-1.0999999999999999E-2</v>
      </c>
      <c r="E126" s="123">
        <v>-3.3000000000000002E-2</v>
      </c>
      <c r="F126" s="123">
        <v>-3.7000000000000012E-2</v>
      </c>
      <c r="G126" s="155" t="s">
        <v>1058</v>
      </c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</row>
    <row r="127" spans="1:18" ht="15.45" customHeight="1" x14ac:dyDescent="0.3">
      <c r="A127" s="122">
        <v>45604</v>
      </c>
      <c r="B127" s="123">
        <v>-8.6999999999999994E-2</v>
      </c>
      <c r="C127" s="125" t="s">
        <v>1084</v>
      </c>
      <c r="D127" s="123">
        <v>1E-3</v>
      </c>
      <c r="E127" s="123">
        <v>5.0000000000000001E-3</v>
      </c>
      <c r="F127" s="123">
        <v>3.7999999999999999E-2</v>
      </c>
      <c r="G127" s="155" t="s">
        <v>1060</v>
      </c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</row>
    <row r="128" spans="1:18" ht="15.45" customHeight="1" x14ac:dyDescent="0.3">
      <c r="A128" s="122">
        <v>45702</v>
      </c>
      <c r="B128" s="123">
        <v>0.14399999999999999</v>
      </c>
      <c r="C128" s="125" t="s">
        <v>1084</v>
      </c>
      <c r="D128" s="123">
        <v>4.0000000000000001E-3</v>
      </c>
      <c r="E128" s="123">
        <v>6.9999999999999993E-3</v>
      </c>
      <c r="F128" s="123">
        <v>-4.0000000000000001E-3</v>
      </c>
      <c r="G128" s="155" t="s">
        <v>1062</v>
      </c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</row>
    <row r="129" spans="1:18" ht="15.45" customHeight="1" x14ac:dyDescent="0.3">
      <c r="A129" s="122">
        <v>45750</v>
      </c>
      <c r="B129" s="123">
        <v>-7.2000000000000008E-2</v>
      </c>
      <c r="C129" s="125" t="s">
        <v>1085</v>
      </c>
      <c r="D129" s="123">
        <v>-5.4000000000000013E-2</v>
      </c>
      <c r="E129" s="123">
        <v>-5.0999999999999997E-2</v>
      </c>
      <c r="F129" s="123">
        <v>-9.1999999999999998E-2</v>
      </c>
      <c r="G129" s="155" t="s">
        <v>1116</v>
      </c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</row>
    <row r="130" spans="1:18" ht="15.45" customHeight="1" x14ac:dyDescent="0.3">
      <c r="A130" s="122">
        <v>45756</v>
      </c>
      <c r="B130" s="123">
        <v>0.14799999999999999</v>
      </c>
      <c r="C130" s="125" t="s">
        <v>1085</v>
      </c>
      <c r="D130" s="123">
        <v>0.12</v>
      </c>
      <c r="E130" s="123">
        <v>0.109</v>
      </c>
      <c r="F130" s="123">
        <v>0.183</v>
      </c>
      <c r="G130" s="155" t="s">
        <v>1117</v>
      </c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</row>
    <row r="131" spans="1:18" ht="15.45" customHeight="1" x14ac:dyDescent="0.3">
      <c r="A131" s="122">
        <v>45876</v>
      </c>
      <c r="B131" s="123">
        <v>-0.08</v>
      </c>
      <c r="C131" s="125" t="s">
        <v>1084</v>
      </c>
      <c r="D131" s="123">
        <v>3.0000000000000001E-3</v>
      </c>
      <c r="E131" s="123">
        <v>-1.9E-2</v>
      </c>
      <c r="F131" s="123">
        <v>1.2999999999999999E-2</v>
      </c>
      <c r="G131" s="155" t="s">
        <v>1064</v>
      </c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</row>
    <row r="132" spans="1:18" ht="15.45" customHeight="1" x14ac:dyDescent="0.3">
      <c r="A132" s="122">
        <v>46056</v>
      </c>
      <c r="B132" s="123">
        <v>-7.0000000000000007E-2</v>
      </c>
      <c r="C132" s="125" t="s">
        <v>1083</v>
      </c>
      <c r="D132" s="123">
        <v>-1.4999999999999999E-2</v>
      </c>
      <c r="E132" s="123">
        <v>-9.3000000000000013E-2</v>
      </c>
      <c r="F132" s="123">
        <v>-0.153</v>
      </c>
      <c r="G132" s="155" t="s">
        <v>1118</v>
      </c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</row>
    <row r="133" spans="1:18" ht="15.45" customHeight="1" x14ac:dyDescent="0.3">
      <c r="A133" s="122">
        <v>46241</v>
      </c>
      <c r="B133" s="123">
        <v>0.17399999999999999</v>
      </c>
      <c r="C133" s="125" t="s">
        <v>1084</v>
      </c>
      <c r="D133" s="123">
        <v>1.2E-2</v>
      </c>
      <c r="E133" s="123">
        <v>3.4000000000000002E-2</v>
      </c>
      <c r="F133" s="123">
        <v>1.2999999999999999E-2</v>
      </c>
      <c r="G133" s="155" t="s">
        <v>1066</v>
      </c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</row>
    <row r="135" spans="1:18" x14ac:dyDescent="0.3">
      <c r="A135" s="3" t="s">
        <v>1119</v>
      </c>
      <c r="B135" s="56" t="s">
        <v>1120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30" customHeight="1" x14ac:dyDescent="0.3">
      <c r="A136" s="155" t="s">
        <v>1121</v>
      </c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</row>
    <row r="137" spans="1:18" ht="30" customHeight="1" x14ac:dyDescent="0.3">
      <c r="A137" s="155" t="s">
        <v>1122</v>
      </c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</row>
    <row r="138" spans="1:18" ht="30" customHeight="1" x14ac:dyDescent="0.3">
      <c r="A138" s="155" t="s">
        <v>1123</v>
      </c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</row>
    <row r="139" spans="1:18" ht="30" customHeight="1" x14ac:dyDescent="0.3">
      <c r="A139" s="155" t="s">
        <v>1124</v>
      </c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</row>
    <row r="140" spans="1:18" ht="30" customHeight="1" x14ac:dyDescent="0.3">
      <c r="A140" s="155" t="s">
        <v>1125</v>
      </c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</row>
    <row r="141" spans="1:18" ht="30" customHeight="1" x14ac:dyDescent="0.3">
      <c r="A141" s="155" t="s">
        <v>1126</v>
      </c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</row>
    <row r="143" spans="1:18" x14ac:dyDescent="0.3">
      <c r="A143" s="3" t="s">
        <v>190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3">
      <c r="A144" s="7" t="s">
        <v>1127</v>
      </c>
      <c r="B144" s="10" t="s">
        <v>1128</v>
      </c>
    </row>
    <row r="145" spans="1:2" x14ac:dyDescent="0.3">
      <c r="A145" s="7" t="s">
        <v>1129</v>
      </c>
      <c r="B145" s="10" t="s">
        <v>1130</v>
      </c>
    </row>
    <row r="146" spans="1:2" x14ac:dyDescent="0.3">
      <c r="A146" s="7" t="s">
        <v>1131</v>
      </c>
      <c r="B146" s="10" t="s">
        <v>1132</v>
      </c>
    </row>
    <row r="147" spans="1:2" x14ac:dyDescent="0.3">
      <c r="A147" s="7" t="s">
        <v>1133</v>
      </c>
      <c r="B147" s="10" t="s">
        <v>1134</v>
      </c>
    </row>
    <row r="148" spans="1:2" x14ac:dyDescent="0.3">
      <c r="A148" s="7" t="s">
        <v>1135</v>
      </c>
      <c r="B148" s="10" t="s">
        <v>1136</v>
      </c>
    </row>
    <row r="149" spans="1:2" x14ac:dyDescent="0.3">
      <c r="A149" s="7" t="s">
        <v>1137</v>
      </c>
      <c r="B149" s="10" t="s">
        <v>1138</v>
      </c>
    </row>
    <row r="150" spans="1:2" x14ac:dyDescent="0.3">
      <c r="A150" s="7" t="s">
        <v>1139</v>
      </c>
      <c r="B150" s="10" t="s">
        <v>1140</v>
      </c>
    </row>
    <row r="151" spans="1:2" x14ac:dyDescent="0.3">
      <c r="A151" s="7" t="s">
        <v>1141</v>
      </c>
      <c r="B151" s="10" t="s">
        <v>1142</v>
      </c>
    </row>
    <row r="152" spans="1:2" x14ac:dyDescent="0.3">
      <c r="A152" s="7" t="s">
        <v>1143</v>
      </c>
      <c r="B152" s="10" t="s">
        <v>1144</v>
      </c>
    </row>
    <row r="153" spans="1:2" x14ac:dyDescent="0.3">
      <c r="A153" s="7" t="s">
        <v>1145</v>
      </c>
      <c r="B153" s="10" t="s">
        <v>1146</v>
      </c>
    </row>
    <row r="154" spans="1:2" x14ac:dyDescent="0.3">
      <c r="A154" s="7" t="s">
        <v>1147</v>
      </c>
      <c r="B154" s="10" t="s">
        <v>1148</v>
      </c>
    </row>
    <row r="155" spans="1:2" x14ac:dyDescent="0.3">
      <c r="A155" s="7" t="s">
        <v>1149</v>
      </c>
      <c r="B155" s="10" t="s">
        <v>1150</v>
      </c>
    </row>
  </sheetData>
  <mergeCells count="75">
    <mergeCell ref="G125:R125"/>
    <mergeCell ref="F71:I71"/>
    <mergeCell ref="G101:R101"/>
    <mergeCell ref="G103:R103"/>
    <mergeCell ref="G116:R116"/>
    <mergeCell ref="G112:R112"/>
    <mergeCell ref="J80:R80"/>
    <mergeCell ref="F77:I77"/>
    <mergeCell ref="G99:R99"/>
    <mergeCell ref="G106:R106"/>
    <mergeCell ref="G102:R102"/>
    <mergeCell ref="F80:I80"/>
    <mergeCell ref="G96:R96"/>
    <mergeCell ref="G105:R105"/>
    <mergeCell ref="J73:R73"/>
    <mergeCell ref="F76:I76"/>
    <mergeCell ref="A66:L66"/>
    <mergeCell ref="A89:L89"/>
    <mergeCell ref="J74:R74"/>
    <mergeCell ref="G93:R93"/>
    <mergeCell ref="G118:R118"/>
    <mergeCell ref="J70:R70"/>
    <mergeCell ref="J79:R79"/>
    <mergeCell ref="G92:R92"/>
    <mergeCell ref="J76:R76"/>
    <mergeCell ref="J71:R71"/>
    <mergeCell ref="F74:I74"/>
    <mergeCell ref="G108:R108"/>
    <mergeCell ref="G95:R95"/>
    <mergeCell ref="G133:R133"/>
    <mergeCell ref="A2:R2"/>
    <mergeCell ref="G124:R124"/>
    <mergeCell ref="F73:I73"/>
    <mergeCell ref="G104:R104"/>
    <mergeCell ref="F69:I69"/>
    <mergeCell ref="G114:R114"/>
    <mergeCell ref="J75:R75"/>
    <mergeCell ref="F78:I78"/>
    <mergeCell ref="G123:R123"/>
    <mergeCell ref="G109:R109"/>
    <mergeCell ref="G100:R100"/>
    <mergeCell ref="G94:R94"/>
    <mergeCell ref="G128:R128"/>
    <mergeCell ref="A141:R141"/>
    <mergeCell ref="G110:R110"/>
    <mergeCell ref="G113:R113"/>
    <mergeCell ref="A140:R140"/>
    <mergeCell ref="G129:R129"/>
    <mergeCell ref="G119:R119"/>
    <mergeCell ref="G131:R131"/>
    <mergeCell ref="G111:R111"/>
    <mergeCell ref="G130:R130"/>
    <mergeCell ref="G120:R120"/>
    <mergeCell ref="A138:R138"/>
    <mergeCell ref="A139:R139"/>
    <mergeCell ref="A137:R137"/>
    <mergeCell ref="G127:R127"/>
    <mergeCell ref="A136:R136"/>
    <mergeCell ref="G121:R121"/>
    <mergeCell ref="J69:R69"/>
    <mergeCell ref="F72:I72"/>
    <mergeCell ref="G97:R97"/>
    <mergeCell ref="G132:R132"/>
    <mergeCell ref="J78:R78"/>
    <mergeCell ref="G126:R126"/>
    <mergeCell ref="J77:R77"/>
    <mergeCell ref="G122:R122"/>
    <mergeCell ref="F70:I70"/>
    <mergeCell ref="J72:R72"/>
    <mergeCell ref="F79:I79"/>
    <mergeCell ref="G115:R115"/>
    <mergeCell ref="G117:R117"/>
    <mergeCell ref="F75:I75"/>
    <mergeCell ref="G98:R98"/>
    <mergeCell ref="G107:R10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2"/>
  <sheetViews>
    <sheetView showGridLines="0" zoomScale="46" workbookViewId="0">
      <pane xSplit="1" ySplit="3" topLeftCell="B1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4" width="48" customWidth="1"/>
    <col min="5" max="5" width="38" customWidth="1"/>
    <col min="6" max="6" width="30" customWidth="1"/>
    <col min="7" max="20" width="13" customWidth="1"/>
  </cols>
  <sheetData>
    <row r="1" spans="1:20" ht="17.399999999999999" x14ac:dyDescent="0.3">
      <c r="A1" s="1" t="s">
        <v>1151</v>
      </c>
    </row>
    <row r="2" spans="1:20" x14ac:dyDescent="0.3">
      <c r="A2" s="2" t="s">
        <v>1152</v>
      </c>
    </row>
    <row r="4" spans="1:20" x14ac:dyDescent="0.3">
      <c r="A4" s="3" t="s">
        <v>1153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27" customHeight="1" x14ac:dyDescent="0.3">
      <c r="A5" s="155" t="s">
        <v>1154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</row>
    <row r="6" spans="1:20" ht="27" customHeight="1" x14ac:dyDescent="0.3">
      <c r="A6" s="155" t="s">
        <v>1155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</row>
    <row r="7" spans="1:20" ht="27" customHeight="1" x14ac:dyDescent="0.3">
      <c r="A7" s="155" t="s">
        <v>1156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</row>
    <row r="8" spans="1:20" ht="27" customHeight="1" x14ac:dyDescent="0.3">
      <c r="A8" s="155" t="s">
        <v>1157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</row>
    <row r="9" spans="1:20" ht="27" customHeight="1" x14ac:dyDescent="0.3">
      <c r="A9" s="155" t="s">
        <v>1158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</row>
    <row r="10" spans="1:20" ht="27" customHeight="1" x14ac:dyDescent="0.3">
      <c r="A10" s="155" t="s">
        <v>1159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</row>
    <row r="12" spans="1:20" x14ac:dyDescent="0.3">
      <c r="A12" s="3" t="s">
        <v>1160</v>
      </c>
      <c r="B12" s="56" t="s">
        <v>1161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3">
      <c r="B13" s="126" t="s">
        <v>344</v>
      </c>
      <c r="C13" s="162" t="s">
        <v>1162</v>
      </c>
      <c r="D13" s="156"/>
      <c r="E13" s="162" t="s">
        <v>1163</v>
      </c>
      <c r="F13" s="156"/>
      <c r="G13" s="162" t="s">
        <v>1164</v>
      </c>
      <c r="H13" s="156"/>
    </row>
    <row r="14" spans="1:20" x14ac:dyDescent="0.3">
      <c r="A14" s="17" t="s">
        <v>267</v>
      </c>
      <c r="B14" s="18" t="s">
        <v>1165</v>
      </c>
      <c r="C14" s="18" t="s">
        <v>131</v>
      </c>
      <c r="D14" s="18" t="s">
        <v>132</v>
      </c>
      <c r="E14" s="18" t="s">
        <v>131</v>
      </c>
      <c r="F14" s="18" t="s">
        <v>132</v>
      </c>
      <c r="G14" s="18" t="s">
        <v>131</v>
      </c>
      <c r="H14" s="18" t="s">
        <v>132</v>
      </c>
    </row>
    <row r="15" spans="1:20" x14ac:dyDescent="0.3">
      <c r="A15" s="7" t="s">
        <v>134</v>
      </c>
      <c r="B15" s="49">
        <v>533</v>
      </c>
      <c r="C15" s="65">
        <v>583.72199999999998</v>
      </c>
      <c r="D15" s="65">
        <v>636.25599999999997</v>
      </c>
      <c r="E15" s="65">
        <v>588.16399999999999</v>
      </c>
      <c r="F15" s="65">
        <v>646.98</v>
      </c>
      <c r="G15" s="65">
        <v>591.32799999999997</v>
      </c>
      <c r="H15" s="65">
        <v>662.28700000000003</v>
      </c>
    </row>
    <row r="16" spans="1:20" x14ac:dyDescent="0.3">
      <c r="A16" s="7" t="s">
        <v>1166</v>
      </c>
      <c r="B16" s="42">
        <v>91292</v>
      </c>
      <c r="C16" s="69">
        <v>105045.04700000001</v>
      </c>
      <c r="D16" s="69">
        <v>117434.594</v>
      </c>
      <c r="E16" s="69">
        <v>106056.58100000001</v>
      </c>
      <c r="F16" s="69">
        <v>120239.98</v>
      </c>
      <c r="G16" s="69">
        <v>106851.08</v>
      </c>
      <c r="H16" s="69">
        <v>123345.658</v>
      </c>
    </row>
    <row r="17" spans="1:8" x14ac:dyDescent="0.3">
      <c r="A17" s="7" t="s">
        <v>280</v>
      </c>
      <c r="B17" s="93">
        <v>171.28</v>
      </c>
      <c r="C17" s="127">
        <v>179.95699999999999</v>
      </c>
      <c r="D17" s="127">
        <v>184.571</v>
      </c>
      <c r="E17" s="127">
        <v>180.31800000000001</v>
      </c>
      <c r="F17" s="127">
        <v>185.84800000000001</v>
      </c>
      <c r="G17" s="127">
        <v>180.697</v>
      </c>
      <c r="H17" s="127">
        <v>186.24199999999999</v>
      </c>
    </row>
    <row r="18" spans="1:8" x14ac:dyDescent="0.3">
      <c r="A18" s="30" t="s">
        <v>283</v>
      </c>
      <c r="B18" s="38">
        <v>12241</v>
      </c>
      <c r="C18" s="66">
        <v>14077.15</v>
      </c>
      <c r="D18" s="66">
        <v>15630.4</v>
      </c>
      <c r="E18" s="66">
        <v>14231.303</v>
      </c>
      <c r="F18" s="66">
        <v>16024.742</v>
      </c>
      <c r="G18" s="66">
        <v>14356.236999999999</v>
      </c>
      <c r="H18" s="66">
        <v>16790.637999999999</v>
      </c>
    </row>
    <row r="19" spans="1:8" x14ac:dyDescent="0.3">
      <c r="A19" s="7" t="s">
        <v>1167</v>
      </c>
      <c r="B19" s="81">
        <v>0.13408999999999999</v>
      </c>
      <c r="C19" s="64">
        <v>0.13400999999999999</v>
      </c>
      <c r="D19" s="64">
        <v>0.1331</v>
      </c>
      <c r="E19" s="64">
        <v>0.13419</v>
      </c>
      <c r="F19" s="64">
        <v>0.13327</v>
      </c>
      <c r="G19" s="64">
        <v>0.13436000000000001</v>
      </c>
      <c r="H19" s="64">
        <v>0.13613</v>
      </c>
    </row>
    <row r="20" spans="1:8" x14ac:dyDescent="0.3">
      <c r="A20" s="7" t="s">
        <v>910</v>
      </c>
      <c r="B20" s="42">
        <v>4297</v>
      </c>
      <c r="C20" s="69">
        <v>4997.3879999999999</v>
      </c>
      <c r="D20" s="69">
        <v>5548.7920000000004</v>
      </c>
      <c r="E20" s="69">
        <v>5151.732</v>
      </c>
      <c r="F20" s="69">
        <v>5800.9570000000003</v>
      </c>
      <c r="G20" s="69">
        <v>5240.0259999999998</v>
      </c>
      <c r="H20" s="69">
        <v>6212.5360000000001</v>
      </c>
    </row>
    <row r="21" spans="1:8" x14ac:dyDescent="0.3">
      <c r="A21" s="7" t="s">
        <v>310</v>
      </c>
      <c r="B21" s="59">
        <v>0.35103000000000001</v>
      </c>
      <c r="C21" s="60">
        <v>0.35499999999999998</v>
      </c>
      <c r="D21" s="60">
        <v>0.35499999999999998</v>
      </c>
      <c r="E21" s="60">
        <v>0.36199999999999999</v>
      </c>
      <c r="F21" s="60">
        <v>0.36199999999999999</v>
      </c>
      <c r="G21" s="60">
        <v>0.36499999999999999</v>
      </c>
      <c r="H21" s="60">
        <v>0.37</v>
      </c>
    </row>
    <row r="22" spans="1:8" x14ac:dyDescent="0.3">
      <c r="A22" s="7" t="s">
        <v>1168</v>
      </c>
      <c r="B22" s="42">
        <v>1581</v>
      </c>
      <c r="C22" s="69">
        <v>1775.9</v>
      </c>
      <c r="D22" s="69">
        <v>1935.731</v>
      </c>
      <c r="E22" s="69">
        <v>1775.9</v>
      </c>
      <c r="F22" s="69">
        <v>1935.731</v>
      </c>
      <c r="G22" s="69">
        <v>1775.9</v>
      </c>
      <c r="H22" s="69">
        <v>1917.972</v>
      </c>
    </row>
    <row r="23" spans="1:8" x14ac:dyDescent="0.3">
      <c r="A23" s="7" t="s">
        <v>1169</v>
      </c>
      <c r="B23" s="42">
        <v>2511</v>
      </c>
      <c r="C23" s="69">
        <v>3075.8939999999998</v>
      </c>
      <c r="D23" s="69">
        <v>3302.52</v>
      </c>
      <c r="E23" s="69">
        <v>3201.6329999999998</v>
      </c>
      <c r="F23" s="69">
        <v>3507.1930000000002</v>
      </c>
      <c r="G23" s="69">
        <v>3273.3690000000001</v>
      </c>
      <c r="H23" s="69">
        <v>3855.1680000000001</v>
      </c>
    </row>
    <row r="24" spans="1:8" x14ac:dyDescent="0.3">
      <c r="A24" s="7" t="s">
        <v>956</v>
      </c>
      <c r="B24" s="49">
        <v>623</v>
      </c>
      <c r="C24" s="65">
        <v>596.34100000000001</v>
      </c>
      <c r="D24" s="65">
        <v>577.05100000000004</v>
      </c>
      <c r="E24" s="65">
        <v>596.34100000000001</v>
      </c>
      <c r="F24" s="65">
        <v>577.05100000000004</v>
      </c>
      <c r="G24" s="65">
        <v>596.34100000000001</v>
      </c>
      <c r="H24" s="65">
        <v>577.05100000000004</v>
      </c>
    </row>
    <row r="25" spans="1:8" x14ac:dyDescent="0.3">
      <c r="A25" s="30" t="s">
        <v>1170</v>
      </c>
      <c r="B25" s="128">
        <v>4.03</v>
      </c>
      <c r="C25" s="129">
        <v>5.1580000000000004</v>
      </c>
      <c r="D25" s="129">
        <v>5.7229999999999999</v>
      </c>
      <c r="E25" s="129">
        <v>5.3689999999999998</v>
      </c>
      <c r="F25" s="129">
        <v>6.0780000000000003</v>
      </c>
      <c r="G25" s="129">
        <v>5.4889999999999999</v>
      </c>
      <c r="H25" s="129">
        <v>6.681</v>
      </c>
    </row>
    <row r="26" spans="1:8" x14ac:dyDescent="0.3">
      <c r="A26" s="7" t="s">
        <v>1171</v>
      </c>
      <c r="B26" s="42">
        <v>4613</v>
      </c>
      <c r="C26" s="69">
        <v>5209.1719999999996</v>
      </c>
      <c r="D26" s="69">
        <v>5738.1239999999998</v>
      </c>
      <c r="E26" s="69">
        <v>5317.2120000000004</v>
      </c>
      <c r="F26" s="69">
        <v>5940.5730000000003</v>
      </c>
      <c r="G26" s="69">
        <v>5379.0190000000002</v>
      </c>
      <c r="H26" s="69">
        <v>6346.6559999999999</v>
      </c>
    </row>
    <row r="27" spans="1:8" x14ac:dyDescent="0.3">
      <c r="A27" s="7" t="s">
        <v>1172</v>
      </c>
      <c r="B27" s="42">
        <v>11014</v>
      </c>
      <c r="C27" s="69">
        <v>9437.5570000000007</v>
      </c>
      <c r="D27" s="69">
        <v>10298.174999999999</v>
      </c>
      <c r="E27" s="69">
        <v>9545.5969999999998</v>
      </c>
      <c r="F27" s="69">
        <v>10608.664000000001</v>
      </c>
      <c r="G27" s="69">
        <v>9607.4040000000005</v>
      </c>
      <c r="H27" s="69">
        <v>11082.769</v>
      </c>
    </row>
    <row r="28" spans="1:8" x14ac:dyDescent="0.3">
      <c r="A28" s="7" t="s">
        <v>1173</v>
      </c>
      <c r="C28" s="35">
        <f>C18/$B$18-1</f>
        <v>0.14999999999999991</v>
      </c>
      <c r="D28" s="35">
        <f>D18/C18-1</f>
        <v>0.11033838525553818</v>
      </c>
      <c r="E28" s="35">
        <f>E18/$B$18-1</f>
        <v>0.16259317049260691</v>
      </c>
      <c r="F28" s="35">
        <f>F18/E18-1</f>
        <v>0.12602071644458701</v>
      </c>
      <c r="G28" s="35">
        <f>G18/$B$18-1</f>
        <v>0.17279936279715713</v>
      </c>
      <c r="H28" s="35">
        <f>H18/G18-1</f>
        <v>0.16957096765677515</v>
      </c>
    </row>
    <row r="29" spans="1:8" x14ac:dyDescent="0.3">
      <c r="A29" s="7" t="s">
        <v>1174</v>
      </c>
      <c r="C29" s="35">
        <f>C15/$B$15-1</f>
        <v>9.5163227016885621E-2</v>
      </c>
      <c r="D29" s="35">
        <f>D15/C15-1</f>
        <v>8.999832111861461E-2</v>
      </c>
      <c r="E29" s="35">
        <f>E15/$B$15-1</f>
        <v>0.10349718574108824</v>
      </c>
      <c r="F29" s="35">
        <f>F15/E15-1</f>
        <v>9.9999319917574159E-2</v>
      </c>
      <c r="G29" s="35">
        <f>G15/$B$15-1</f>
        <v>0.10943339587242029</v>
      </c>
      <c r="H29" s="35">
        <f>H15/G15-1</f>
        <v>0.11999939120082259</v>
      </c>
    </row>
    <row r="30" spans="1:8" x14ac:dyDescent="0.3">
      <c r="A30" s="7" t="s">
        <v>1175</v>
      </c>
      <c r="C30" s="35">
        <f>C20/$B$20-1</f>
        <v>0.1629946474284385</v>
      </c>
      <c r="D30" s="35">
        <f>D20/C20-1</f>
        <v>0.1103384408014747</v>
      </c>
      <c r="E30" s="35">
        <f>E20/$B$20-1</f>
        <v>0.19891366069350713</v>
      </c>
      <c r="F30" s="35">
        <f>F20/E20-1</f>
        <v>0.12602072468055403</v>
      </c>
      <c r="G30" s="35">
        <f>G20/$B$20-1</f>
        <v>0.21946148475680705</v>
      </c>
      <c r="H30" s="35">
        <f>H20/G20-1</f>
        <v>0.18559259057111555</v>
      </c>
    </row>
    <row r="31" spans="1:8" x14ac:dyDescent="0.3">
      <c r="A31" s="7" t="s">
        <v>1176</v>
      </c>
      <c r="C31" s="35">
        <f>C25/$B$25-1</f>
        <v>0.27990074441687351</v>
      </c>
      <c r="D31" s="35">
        <f>D25/C25-1</f>
        <v>0.10953858084528867</v>
      </c>
      <c r="E31" s="35">
        <f>E25/$B$25-1</f>
        <v>0.33225806451612883</v>
      </c>
      <c r="F31" s="35">
        <f>F25/E25-1</f>
        <v>0.13205438629167454</v>
      </c>
      <c r="G31" s="35">
        <f>G25/$B$25-1</f>
        <v>0.36203473945409415</v>
      </c>
      <c r="H31" s="35">
        <f>H25/G25-1</f>
        <v>0.21716159591911088</v>
      </c>
    </row>
    <row r="33" spans="1:20" x14ac:dyDescent="0.3">
      <c r="A33" s="3" t="s">
        <v>1177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3">
      <c r="B34" s="162" t="s">
        <v>1162</v>
      </c>
      <c r="C34" s="156"/>
      <c r="D34" s="156"/>
      <c r="E34" s="156"/>
      <c r="F34" s="156"/>
      <c r="G34" s="156"/>
      <c r="H34" s="162" t="s">
        <v>1163</v>
      </c>
      <c r="I34" s="156"/>
      <c r="J34" s="156"/>
      <c r="K34" s="156"/>
      <c r="L34" s="156"/>
      <c r="M34" s="156"/>
      <c r="N34" s="162" t="s">
        <v>1164</v>
      </c>
      <c r="O34" s="156"/>
      <c r="P34" s="156"/>
      <c r="Q34" s="156"/>
      <c r="R34" s="156"/>
      <c r="S34" s="156"/>
    </row>
    <row r="35" spans="1:20" x14ac:dyDescent="0.3">
      <c r="A35" s="17" t="s">
        <v>267</v>
      </c>
      <c r="B35" s="18" t="s">
        <v>99</v>
      </c>
      <c r="C35" s="18" t="s">
        <v>100</v>
      </c>
      <c r="D35" s="18" t="s">
        <v>101</v>
      </c>
      <c r="E35" s="18" t="s">
        <v>102</v>
      </c>
      <c r="F35" s="18" t="s">
        <v>103</v>
      </c>
      <c r="G35" s="18" t="s">
        <v>104</v>
      </c>
      <c r="H35" s="18" t="s">
        <v>99</v>
      </c>
      <c r="I35" s="18" t="s">
        <v>100</v>
      </c>
      <c r="J35" s="18" t="s">
        <v>101</v>
      </c>
      <c r="K35" s="18" t="s">
        <v>102</v>
      </c>
      <c r="L35" s="18" t="s">
        <v>103</v>
      </c>
      <c r="M35" s="18" t="s">
        <v>104</v>
      </c>
      <c r="N35" s="18" t="s">
        <v>99</v>
      </c>
      <c r="O35" s="18" t="s">
        <v>100</v>
      </c>
      <c r="P35" s="18" t="s">
        <v>101</v>
      </c>
      <c r="Q35" s="18" t="s">
        <v>102</v>
      </c>
      <c r="R35" s="18" t="s">
        <v>103</v>
      </c>
      <c r="S35" s="18" t="s">
        <v>104</v>
      </c>
    </row>
    <row r="36" spans="1:20" x14ac:dyDescent="0.3">
      <c r="A36" s="7" t="s">
        <v>134</v>
      </c>
      <c r="B36" s="65">
        <v>146.96</v>
      </c>
      <c r="C36" s="65">
        <v>132.262</v>
      </c>
      <c r="D36" s="65">
        <v>170.25800000000001</v>
      </c>
      <c r="E36" s="65">
        <v>161.64699999999999</v>
      </c>
      <c r="F36" s="65">
        <v>160.18600000000001</v>
      </c>
      <c r="G36" s="65">
        <v>144.16499999999999</v>
      </c>
      <c r="H36" s="65">
        <v>148.964</v>
      </c>
      <c r="I36" s="65">
        <v>134.69999999999999</v>
      </c>
      <c r="J36" s="65">
        <v>171.82</v>
      </c>
      <c r="K36" s="65">
        <v>163.13</v>
      </c>
      <c r="L36" s="65">
        <v>163.86</v>
      </c>
      <c r="M36" s="65">
        <v>148.16900000000001</v>
      </c>
      <c r="N36" s="65">
        <v>150.30000000000001</v>
      </c>
      <c r="O36" s="65">
        <v>136.52799999999999</v>
      </c>
      <c r="P36" s="65">
        <v>174.94399999999999</v>
      </c>
      <c r="Q36" s="65">
        <v>166.096</v>
      </c>
      <c r="R36" s="65">
        <v>168.33600000000001</v>
      </c>
      <c r="S36" s="65">
        <v>152.911</v>
      </c>
    </row>
    <row r="37" spans="1:20" x14ac:dyDescent="0.3">
      <c r="A37" s="7" t="s">
        <v>1166</v>
      </c>
      <c r="B37" s="69">
        <v>26014.446</v>
      </c>
      <c r="C37" s="69">
        <v>22596.600999999999</v>
      </c>
      <c r="D37" s="69">
        <v>32478.739000000001</v>
      </c>
      <c r="E37" s="69">
        <v>30441.710999999999</v>
      </c>
      <c r="F37" s="69">
        <v>29268.092000000001</v>
      </c>
      <c r="G37" s="69">
        <v>25246.052</v>
      </c>
      <c r="H37" s="69">
        <v>26497.194</v>
      </c>
      <c r="I37" s="69">
        <v>23125.386999999999</v>
      </c>
      <c r="J37" s="69">
        <v>32936.595999999998</v>
      </c>
      <c r="K37" s="69">
        <v>30870.850999999999</v>
      </c>
      <c r="L37" s="69">
        <v>30231.47</v>
      </c>
      <c r="M37" s="69">
        <v>26201.062999999998</v>
      </c>
      <c r="N37" s="69">
        <v>26863.991000000002</v>
      </c>
      <c r="O37" s="69">
        <v>23553.089</v>
      </c>
      <c r="P37" s="69">
        <v>33535.442999999999</v>
      </c>
      <c r="Q37" s="69">
        <v>31432.138999999999</v>
      </c>
      <c r="R37" s="69">
        <v>31207.232</v>
      </c>
      <c r="S37" s="69">
        <v>27170.844000000001</v>
      </c>
    </row>
    <row r="38" spans="1:20" x14ac:dyDescent="0.3">
      <c r="A38" s="7" t="s">
        <v>280</v>
      </c>
      <c r="B38" s="127">
        <v>177.017</v>
      </c>
      <c r="C38" s="127">
        <v>170.84800000000001</v>
      </c>
      <c r="D38" s="127">
        <v>190.762</v>
      </c>
      <c r="E38" s="127">
        <v>188.322</v>
      </c>
      <c r="F38" s="127">
        <v>182.71299999999999</v>
      </c>
      <c r="G38" s="127">
        <v>175.119</v>
      </c>
      <c r="H38" s="127">
        <v>177.876</v>
      </c>
      <c r="I38" s="127">
        <v>171.68100000000001</v>
      </c>
      <c r="J38" s="127">
        <v>191.69200000000001</v>
      </c>
      <c r="K38" s="127">
        <v>189.24100000000001</v>
      </c>
      <c r="L38" s="127">
        <v>184.495</v>
      </c>
      <c r="M38" s="127">
        <v>176.83199999999999</v>
      </c>
      <c r="N38" s="127">
        <v>178.73599999999999</v>
      </c>
      <c r="O38" s="127">
        <v>172.51499999999999</v>
      </c>
      <c r="P38" s="127">
        <v>191.69200000000001</v>
      </c>
      <c r="Q38" s="127">
        <v>189.24100000000001</v>
      </c>
      <c r="R38" s="127">
        <v>185.387</v>
      </c>
      <c r="S38" s="127">
        <v>177.69</v>
      </c>
    </row>
    <row r="39" spans="1:20" x14ac:dyDescent="0.3">
      <c r="A39" s="30" t="s">
        <v>283</v>
      </c>
      <c r="B39" s="66">
        <v>4730</v>
      </c>
      <c r="C39" s="66">
        <v>3061.15</v>
      </c>
      <c r="D39" s="66">
        <v>2962.076</v>
      </c>
      <c r="E39" s="66">
        <v>3998.79</v>
      </c>
      <c r="F39" s="66">
        <v>5252.8850000000002</v>
      </c>
      <c r="G39" s="66">
        <v>3416.65</v>
      </c>
      <c r="H39" s="66">
        <v>4815.1400000000003</v>
      </c>
      <c r="I39" s="66">
        <v>3130.163</v>
      </c>
      <c r="J39" s="66">
        <v>3003.8319999999999</v>
      </c>
      <c r="K39" s="66">
        <v>4055.1610000000001</v>
      </c>
      <c r="L39" s="66">
        <v>5422.82</v>
      </c>
      <c r="M39" s="66">
        <v>3542.9279999999999</v>
      </c>
      <c r="N39" s="66">
        <v>4882.1819999999998</v>
      </c>
      <c r="O39" s="66">
        <v>3188.0549999999998</v>
      </c>
      <c r="P39" s="66">
        <v>3120.0030000000002</v>
      </c>
      <c r="Q39" s="66">
        <v>4211.9480000000003</v>
      </c>
      <c r="R39" s="66">
        <v>5710.85</v>
      </c>
      <c r="S39" s="66">
        <v>3747.8380000000002</v>
      </c>
    </row>
    <row r="40" spans="1:20" x14ac:dyDescent="0.3">
      <c r="A40" s="7" t="s">
        <v>1167</v>
      </c>
      <c r="B40" s="64">
        <v>0.18182000000000001</v>
      </c>
      <c r="C40" s="64">
        <v>0.13547000000000001</v>
      </c>
      <c r="D40" s="64">
        <v>9.1199999999999989E-2</v>
      </c>
      <c r="E40" s="64">
        <v>0.13136</v>
      </c>
      <c r="F40" s="64">
        <v>0.17946999999999999</v>
      </c>
      <c r="G40" s="64">
        <v>0.13533000000000001</v>
      </c>
      <c r="H40" s="64">
        <v>0.18171999999999999</v>
      </c>
      <c r="I40" s="64">
        <v>0.13536000000000001</v>
      </c>
      <c r="J40" s="64">
        <v>9.1199999999999989E-2</v>
      </c>
      <c r="K40" s="64">
        <v>0.13136</v>
      </c>
      <c r="L40" s="64">
        <v>0.17938000000000001</v>
      </c>
      <c r="M40" s="64">
        <v>0.13522000000000001</v>
      </c>
      <c r="N40" s="64">
        <v>0.18174000000000001</v>
      </c>
      <c r="O40" s="64">
        <v>0.13536000000000001</v>
      </c>
      <c r="P40" s="64">
        <v>9.3039999999999998E-2</v>
      </c>
      <c r="Q40" s="64">
        <v>0.13400000000000001</v>
      </c>
      <c r="R40" s="64">
        <v>0.183</v>
      </c>
      <c r="S40" s="64">
        <v>0.13794000000000001</v>
      </c>
    </row>
    <row r="41" spans="1:20" x14ac:dyDescent="0.3">
      <c r="A41" s="7" t="s">
        <v>910</v>
      </c>
      <c r="B41" s="69">
        <v>2340.663</v>
      </c>
      <c r="C41" s="69">
        <v>876.726</v>
      </c>
      <c r="D41" s="69">
        <v>573.90300000000002</v>
      </c>
      <c r="E41" s="69">
        <v>1397.377</v>
      </c>
      <c r="F41" s="69">
        <v>2599.1460000000002</v>
      </c>
      <c r="G41" s="69">
        <v>978.36699999999996</v>
      </c>
      <c r="H41" s="69">
        <v>2406.87</v>
      </c>
      <c r="I41" s="69">
        <v>964.86099999999999</v>
      </c>
      <c r="J41" s="69">
        <v>581.92399999999998</v>
      </c>
      <c r="K41" s="69">
        <v>1416.982</v>
      </c>
      <c r="L41" s="69">
        <v>2710.2190000000001</v>
      </c>
      <c r="M41" s="69">
        <v>1091.8309999999999</v>
      </c>
      <c r="N41" s="69">
        <v>2459.91</v>
      </c>
      <c r="O41" s="69">
        <v>1000.116</v>
      </c>
      <c r="P41" s="69">
        <v>620.01499999999999</v>
      </c>
      <c r="Q41" s="69">
        <v>1492.809</v>
      </c>
      <c r="R41" s="69">
        <v>2905.5430000000001</v>
      </c>
      <c r="S41" s="69">
        <v>1194.1690000000001</v>
      </c>
    </row>
    <row r="42" spans="1:20" x14ac:dyDescent="0.3">
      <c r="A42" s="7" t="s">
        <v>310</v>
      </c>
      <c r="B42" s="60">
        <v>0.49485000000000001</v>
      </c>
      <c r="C42" s="60">
        <v>0.28639999999999999</v>
      </c>
      <c r="D42" s="60">
        <v>0.19375000000000001</v>
      </c>
      <c r="E42" s="60">
        <v>0.34944999999999998</v>
      </c>
      <c r="F42" s="60">
        <v>0.49480000000000002</v>
      </c>
      <c r="G42" s="60">
        <v>0.28634999999999999</v>
      </c>
      <c r="H42" s="60">
        <v>0.49985000000000002</v>
      </c>
      <c r="I42" s="60">
        <v>0.30825000000000002</v>
      </c>
      <c r="J42" s="60">
        <v>0.19373000000000001</v>
      </c>
      <c r="K42" s="60">
        <v>0.34943000000000002</v>
      </c>
      <c r="L42" s="60">
        <v>0.49978</v>
      </c>
      <c r="M42" s="60">
        <v>0.30817</v>
      </c>
      <c r="N42" s="60">
        <v>0.50385000000000002</v>
      </c>
      <c r="O42" s="60">
        <v>0.31370999999999999</v>
      </c>
      <c r="P42" s="60">
        <v>0.19872000000000001</v>
      </c>
      <c r="Q42" s="60">
        <v>0.35442000000000001</v>
      </c>
      <c r="R42" s="60">
        <v>0.50878000000000001</v>
      </c>
      <c r="S42" s="60">
        <v>0.31863000000000002</v>
      </c>
    </row>
    <row r="43" spans="1:20" x14ac:dyDescent="0.3">
      <c r="A43" s="7" t="s">
        <v>1168</v>
      </c>
      <c r="B43" s="69">
        <v>438.9</v>
      </c>
      <c r="C43" s="69">
        <v>440</v>
      </c>
      <c r="D43" s="69">
        <v>446.9</v>
      </c>
      <c r="E43" s="69">
        <v>530.83000000000004</v>
      </c>
      <c r="F43" s="69">
        <v>478.40100000000001</v>
      </c>
      <c r="G43" s="69">
        <v>479.6</v>
      </c>
      <c r="H43" s="69">
        <v>438.9</v>
      </c>
      <c r="I43" s="69">
        <v>440</v>
      </c>
      <c r="J43" s="69">
        <v>446.9</v>
      </c>
      <c r="K43" s="69">
        <v>530.83000000000004</v>
      </c>
      <c r="L43" s="69">
        <v>478.40100000000001</v>
      </c>
      <c r="M43" s="69">
        <v>479.6</v>
      </c>
      <c r="N43" s="69">
        <v>438.9</v>
      </c>
      <c r="O43" s="69">
        <v>440</v>
      </c>
      <c r="P43" s="69">
        <v>442.8</v>
      </c>
      <c r="Q43" s="69">
        <v>525.96</v>
      </c>
      <c r="R43" s="69">
        <v>474.012</v>
      </c>
      <c r="S43" s="69">
        <v>475.2</v>
      </c>
    </row>
    <row r="44" spans="1:20" x14ac:dyDescent="0.3">
      <c r="A44" s="7" t="s">
        <v>1169</v>
      </c>
      <c r="B44" s="69">
        <v>1648.2149999999999</v>
      </c>
      <c r="C44" s="69">
        <v>451.67899999999997</v>
      </c>
      <c r="D44" s="69">
        <v>194.13399999999999</v>
      </c>
      <c r="E44" s="69">
        <v>795.03499999999997</v>
      </c>
      <c r="F44" s="69">
        <v>1816.7929999999999</v>
      </c>
      <c r="G44" s="69">
        <v>496.55799999999999</v>
      </c>
      <c r="H44" s="69">
        <v>1702.0509999999999</v>
      </c>
      <c r="I44" s="69">
        <v>523.58199999999999</v>
      </c>
      <c r="J44" s="69">
        <v>200.489</v>
      </c>
      <c r="K44" s="69">
        <v>810.81100000000004</v>
      </c>
      <c r="L44" s="69">
        <v>1906.9670000000001</v>
      </c>
      <c r="M44" s="69">
        <v>588.92600000000004</v>
      </c>
      <c r="N44" s="69">
        <v>1745.1859999999999</v>
      </c>
      <c r="O44" s="69">
        <v>552.18299999999999</v>
      </c>
      <c r="P44" s="69">
        <v>234.46700000000001</v>
      </c>
      <c r="Q44" s="69">
        <v>876.14599999999996</v>
      </c>
      <c r="R44" s="69">
        <v>2069.1970000000001</v>
      </c>
      <c r="S44" s="69">
        <v>675.35799999999995</v>
      </c>
    </row>
    <row r="45" spans="1:20" x14ac:dyDescent="0.3">
      <c r="A45" s="7" t="s">
        <v>956</v>
      </c>
      <c r="B45" s="65">
        <v>592.42999999999995</v>
      </c>
      <c r="C45" s="65">
        <v>587.93399999999997</v>
      </c>
      <c r="D45" s="65">
        <v>583.51</v>
      </c>
      <c r="E45" s="65">
        <v>579.15700000000004</v>
      </c>
      <c r="F45" s="65">
        <v>574.875</v>
      </c>
      <c r="G45" s="65">
        <v>570.66300000000001</v>
      </c>
      <c r="H45" s="65">
        <v>592.42999999999995</v>
      </c>
      <c r="I45" s="65">
        <v>587.93399999999997</v>
      </c>
      <c r="J45" s="65">
        <v>583.51</v>
      </c>
      <c r="K45" s="65">
        <v>579.15700000000004</v>
      </c>
      <c r="L45" s="65">
        <v>574.875</v>
      </c>
      <c r="M45" s="65">
        <v>570.66300000000001</v>
      </c>
      <c r="N45" s="65">
        <v>592.42999999999995</v>
      </c>
      <c r="O45" s="65">
        <v>587.93399999999997</v>
      </c>
      <c r="P45" s="65">
        <v>583.51</v>
      </c>
      <c r="Q45" s="65">
        <v>579.15700000000004</v>
      </c>
      <c r="R45" s="65">
        <v>574.875</v>
      </c>
      <c r="S45" s="65">
        <v>570.66300000000001</v>
      </c>
    </row>
    <row r="46" spans="1:20" x14ac:dyDescent="0.3">
      <c r="A46" s="30" t="s">
        <v>1170</v>
      </c>
      <c r="B46" s="129">
        <v>2.782</v>
      </c>
      <c r="C46" s="129">
        <v>0.76800000000000002</v>
      </c>
      <c r="D46" s="129">
        <v>0.33300000000000002</v>
      </c>
      <c r="E46" s="129">
        <v>1.373</v>
      </c>
      <c r="F46" s="129">
        <v>3.16</v>
      </c>
      <c r="G46" s="129">
        <v>0.87</v>
      </c>
      <c r="H46" s="129">
        <v>2.8730000000000002</v>
      </c>
      <c r="I46" s="129">
        <v>0.89100000000000001</v>
      </c>
      <c r="J46" s="129">
        <v>0.34399999999999997</v>
      </c>
      <c r="K46" s="129">
        <v>1.4</v>
      </c>
      <c r="L46" s="129">
        <v>3.3170000000000002</v>
      </c>
      <c r="M46" s="129">
        <v>1.032</v>
      </c>
      <c r="N46" s="129">
        <v>2.9460000000000002</v>
      </c>
      <c r="O46" s="129">
        <v>0.93899999999999995</v>
      </c>
      <c r="P46" s="129">
        <v>0.40200000000000002</v>
      </c>
      <c r="Q46" s="129">
        <v>1.5129999999999999</v>
      </c>
      <c r="R46" s="129">
        <v>3.5990000000000002</v>
      </c>
      <c r="S46" s="129">
        <v>1.1830000000000001</v>
      </c>
    </row>
    <row r="47" spans="1:20" x14ac:dyDescent="0.3">
      <c r="A47" s="7" t="s">
        <v>1171</v>
      </c>
      <c r="B47" s="69">
        <v>1638.4639999999999</v>
      </c>
      <c r="C47" s="69">
        <v>613.70799999999997</v>
      </c>
      <c r="D47" s="69">
        <v>1836.4880000000001</v>
      </c>
      <c r="E47" s="69">
        <v>1397.377</v>
      </c>
      <c r="F47" s="69">
        <v>1819.402</v>
      </c>
      <c r="G47" s="69">
        <v>684.85699999999997</v>
      </c>
      <c r="H47" s="69">
        <v>1684.809</v>
      </c>
      <c r="I47" s="69">
        <v>675.40300000000002</v>
      </c>
      <c r="J47" s="69">
        <v>1862.155</v>
      </c>
      <c r="K47" s="69">
        <v>1416.982</v>
      </c>
      <c r="L47" s="69">
        <v>1897.154</v>
      </c>
      <c r="M47" s="69">
        <v>764.28200000000004</v>
      </c>
      <c r="N47" s="69">
        <v>1721.9369999999999</v>
      </c>
      <c r="O47" s="69">
        <v>700.08100000000002</v>
      </c>
      <c r="P47" s="69">
        <v>1984.049</v>
      </c>
      <c r="Q47" s="69">
        <v>1492.809</v>
      </c>
      <c r="R47" s="69">
        <v>2033.88</v>
      </c>
      <c r="S47" s="69">
        <v>835.91800000000001</v>
      </c>
    </row>
    <row r="48" spans="1:20" x14ac:dyDescent="0.3">
      <c r="A48" s="7" t="s">
        <v>1172</v>
      </c>
      <c r="B48" s="69">
        <v>10027.849</v>
      </c>
      <c r="C48" s="69">
        <v>9437.5570000000007</v>
      </c>
      <c r="D48" s="69">
        <v>10067.629999999999</v>
      </c>
      <c r="E48" s="69">
        <v>10229.216</v>
      </c>
      <c r="F48" s="69">
        <v>10831.178</v>
      </c>
      <c r="G48" s="69">
        <v>10298.174999999999</v>
      </c>
      <c r="H48" s="69">
        <v>10074.194</v>
      </c>
      <c r="I48" s="69">
        <v>9545.5969999999998</v>
      </c>
      <c r="J48" s="69">
        <v>10201.338</v>
      </c>
      <c r="K48" s="69">
        <v>10382.529</v>
      </c>
      <c r="L48" s="69">
        <v>11062.242</v>
      </c>
      <c r="M48" s="69">
        <v>10608.664000000001</v>
      </c>
      <c r="N48" s="69">
        <v>10111.322</v>
      </c>
      <c r="O48" s="69">
        <v>9607.4040000000005</v>
      </c>
      <c r="P48" s="69">
        <v>10386.472</v>
      </c>
      <c r="Q48" s="69">
        <v>10645.195</v>
      </c>
      <c r="R48" s="69">
        <v>11463.171</v>
      </c>
      <c r="S48" s="69">
        <v>11082.769</v>
      </c>
    </row>
    <row r="50" spans="1:20" x14ac:dyDescent="0.3">
      <c r="A50" s="3" t="s">
        <v>1178</v>
      </c>
      <c r="B50" s="56" t="s">
        <v>1179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3">
      <c r="B51" s="162" t="s">
        <v>1162</v>
      </c>
      <c r="C51" s="156"/>
      <c r="D51" s="156"/>
      <c r="E51" s="156"/>
      <c r="F51" s="156"/>
      <c r="G51" s="156"/>
      <c r="H51" s="162" t="s">
        <v>1163</v>
      </c>
      <c r="I51" s="156"/>
      <c r="J51" s="156"/>
      <c r="K51" s="156"/>
      <c r="L51" s="156"/>
      <c r="M51" s="156"/>
      <c r="N51" s="162" t="s">
        <v>1164</v>
      </c>
      <c r="O51" s="156"/>
      <c r="P51" s="156"/>
      <c r="Q51" s="156"/>
      <c r="R51" s="156"/>
      <c r="S51" s="156"/>
    </row>
    <row r="52" spans="1:20" x14ac:dyDescent="0.3">
      <c r="A52" s="17" t="s">
        <v>1180</v>
      </c>
      <c r="B52" s="18" t="s">
        <v>99</v>
      </c>
      <c r="C52" s="18" t="s">
        <v>100</v>
      </c>
      <c r="D52" s="18" t="s">
        <v>101</v>
      </c>
      <c r="E52" s="18" t="s">
        <v>102</v>
      </c>
      <c r="F52" s="18" t="s">
        <v>103</v>
      </c>
      <c r="G52" s="18" t="s">
        <v>104</v>
      </c>
      <c r="H52" s="18" t="s">
        <v>99</v>
      </c>
      <c r="I52" s="18" t="s">
        <v>100</v>
      </c>
      <c r="J52" s="18" t="s">
        <v>101</v>
      </c>
      <c r="K52" s="18" t="s">
        <v>102</v>
      </c>
      <c r="L52" s="18" t="s">
        <v>103</v>
      </c>
      <c r="M52" s="18" t="s">
        <v>104</v>
      </c>
      <c r="N52" s="18" t="s">
        <v>99</v>
      </c>
      <c r="O52" s="18" t="s">
        <v>100</v>
      </c>
      <c r="P52" s="18" t="s">
        <v>101</v>
      </c>
      <c r="Q52" s="18" t="s">
        <v>102</v>
      </c>
      <c r="R52" s="18" t="s">
        <v>103</v>
      </c>
      <c r="S52" s="18" t="s">
        <v>104</v>
      </c>
    </row>
    <row r="53" spans="1:20" x14ac:dyDescent="0.3">
      <c r="A53" s="7" t="s">
        <v>1181</v>
      </c>
      <c r="B53" s="60">
        <v>0.1</v>
      </c>
      <c r="C53" s="60">
        <v>8.5000000000000006E-2</v>
      </c>
      <c r="D53" s="60">
        <v>0.09</v>
      </c>
      <c r="E53" s="60">
        <v>0.09</v>
      </c>
      <c r="F53" s="60">
        <v>0.09</v>
      </c>
      <c r="G53" s="60">
        <v>0.09</v>
      </c>
      <c r="H53" s="60">
        <v>0.115</v>
      </c>
      <c r="I53" s="60">
        <v>0.105</v>
      </c>
      <c r="J53" s="60">
        <v>0.1</v>
      </c>
      <c r="K53" s="60">
        <v>0.1</v>
      </c>
      <c r="L53" s="60">
        <v>0.1</v>
      </c>
      <c r="M53" s="60">
        <v>0.1</v>
      </c>
      <c r="N53" s="60">
        <v>0.125</v>
      </c>
      <c r="O53" s="60">
        <v>0.12</v>
      </c>
      <c r="P53" s="60">
        <v>0.12</v>
      </c>
      <c r="Q53" s="60">
        <v>0.12</v>
      </c>
      <c r="R53" s="60">
        <v>0.12</v>
      </c>
      <c r="S53" s="60">
        <v>0.12</v>
      </c>
    </row>
    <row r="54" spans="1:20" x14ac:dyDescent="0.3">
      <c r="A54" s="7" t="s">
        <v>1182</v>
      </c>
      <c r="B54" s="60">
        <v>0.03</v>
      </c>
      <c r="C54" s="60">
        <v>2.5000000000000001E-2</v>
      </c>
      <c r="D54" s="60">
        <v>2.5000000000000001E-2</v>
      </c>
      <c r="E54" s="60">
        <v>2.5000000000000001E-2</v>
      </c>
      <c r="F54" s="60">
        <v>2.5000000000000001E-2</v>
      </c>
      <c r="G54" s="60">
        <v>2.5000000000000001E-2</v>
      </c>
      <c r="H54" s="60">
        <v>3.5000000000000003E-2</v>
      </c>
      <c r="I54" s="60">
        <v>0.03</v>
      </c>
      <c r="J54" s="60">
        <v>0.03</v>
      </c>
      <c r="K54" s="60">
        <v>0.03</v>
      </c>
      <c r="L54" s="60">
        <v>0.03</v>
      </c>
      <c r="M54" s="60">
        <v>0.03</v>
      </c>
      <c r="N54" s="60">
        <v>0.04</v>
      </c>
      <c r="O54" s="60">
        <v>3.5000000000000003E-2</v>
      </c>
      <c r="P54" s="60">
        <v>0.03</v>
      </c>
      <c r="Q54" s="60">
        <v>0.03</v>
      </c>
      <c r="R54" s="60">
        <v>0.03</v>
      </c>
      <c r="S54" s="60">
        <v>0.03</v>
      </c>
    </row>
    <row r="55" spans="1:20" x14ac:dyDescent="0.3">
      <c r="A55" s="7" t="s">
        <v>1183</v>
      </c>
      <c r="B55" s="130">
        <v>0.3</v>
      </c>
      <c r="C55" s="130">
        <v>-0.4</v>
      </c>
      <c r="D55" s="130">
        <v>-0.4</v>
      </c>
      <c r="E55" s="130">
        <v>0</v>
      </c>
      <c r="F55" s="130">
        <v>0.7</v>
      </c>
      <c r="G55" s="130">
        <v>0</v>
      </c>
      <c r="H55" s="130">
        <v>0.3</v>
      </c>
      <c r="I55" s="130">
        <v>-0.4</v>
      </c>
      <c r="J55" s="130">
        <v>-0.4</v>
      </c>
      <c r="K55" s="130">
        <v>0</v>
      </c>
      <c r="L55" s="130">
        <v>0.7</v>
      </c>
      <c r="M55" s="130">
        <v>0</v>
      </c>
      <c r="N55" s="130">
        <v>0.3</v>
      </c>
      <c r="O55" s="130">
        <v>-0.4</v>
      </c>
      <c r="P55" s="130">
        <v>-0.4</v>
      </c>
      <c r="Q55" s="130">
        <v>0</v>
      </c>
      <c r="R55" s="130">
        <v>0.7</v>
      </c>
      <c r="S55" s="130">
        <v>0</v>
      </c>
    </row>
    <row r="56" spans="1:20" x14ac:dyDescent="0.3">
      <c r="A56" s="7" t="s">
        <v>1184</v>
      </c>
      <c r="B56" s="130">
        <v>0</v>
      </c>
      <c r="C56" s="130">
        <v>0</v>
      </c>
      <c r="D56" s="130">
        <v>0</v>
      </c>
      <c r="E56" s="130">
        <v>0</v>
      </c>
      <c r="F56" s="130">
        <v>0</v>
      </c>
      <c r="G56" s="130">
        <v>0</v>
      </c>
      <c r="H56" s="130">
        <v>0</v>
      </c>
      <c r="I56" s="130">
        <v>0</v>
      </c>
      <c r="J56" s="130">
        <v>0</v>
      </c>
      <c r="K56" s="130">
        <v>0</v>
      </c>
      <c r="L56" s="130">
        <v>0</v>
      </c>
      <c r="M56" s="130">
        <v>0</v>
      </c>
      <c r="N56" s="130">
        <v>0</v>
      </c>
      <c r="O56" s="130">
        <v>0</v>
      </c>
      <c r="P56" s="130">
        <v>1.5</v>
      </c>
      <c r="Q56" s="130">
        <v>1.5</v>
      </c>
      <c r="R56" s="130">
        <v>1.5</v>
      </c>
      <c r="S56" s="130">
        <v>1.5</v>
      </c>
    </row>
    <row r="57" spans="1:20" x14ac:dyDescent="0.3">
      <c r="A57" s="7" t="s">
        <v>1185</v>
      </c>
      <c r="B57" s="130">
        <v>3</v>
      </c>
      <c r="C57" s="130">
        <v>-0.4</v>
      </c>
      <c r="D57" s="130">
        <v>-1</v>
      </c>
      <c r="E57" s="130">
        <v>-0.8</v>
      </c>
      <c r="F57" s="130">
        <v>-0.6</v>
      </c>
      <c r="G57" s="130">
        <v>-0.1</v>
      </c>
      <c r="H57" s="130">
        <v>3</v>
      </c>
      <c r="I57" s="130">
        <v>-0.4</v>
      </c>
      <c r="J57" s="130">
        <v>-1</v>
      </c>
      <c r="K57" s="130">
        <v>-0.8</v>
      </c>
      <c r="L57" s="130">
        <v>-0.6</v>
      </c>
      <c r="M57" s="130">
        <v>-0.1</v>
      </c>
      <c r="N57" s="130">
        <v>3</v>
      </c>
      <c r="O57" s="130">
        <v>-0.4</v>
      </c>
      <c r="P57" s="130">
        <v>-1</v>
      </c>
      <c r="Q57" s="130">
        <v>-0.8</v>
      </c>
      <c r="R57" s="130">
        <v>-0.6</v>
      </c>
      <c r="S57" s="130">
        <v>-0.1</v>
      </c>
    </row>
    <row r="58" spans="1:20" x14ac:dyDescent="0.3">
      <c r="A58" s="7" t="s">
        <v>1186</v>
      </c>
      <c r="B58" s="130">
        <v>-1.0523</v>
      </c>
      <c r="C58" s="130">
        <v>-0.5171</v>
      </c>
      <c r="D58" s="130">
        <v>0</v>
      </c>
      <c r="E58" s="130">
        <v>0</v>
      </c>
      <c r="F58" s="130">
        <v>0</v>
      </c>
      <c r="G58" s="130">
        <v>0</v>
      </c>
      <c r="H58" s="130">
        <v>-1.1081000000000001</v>
      </c>
      <c r="I58" s="130">
        <v>-0.6</v>
      </c>
      <c r="J58" s="130">
        <v>0</v>
      </c>
      <c r="K58" s="130">
        <v>0</v>
      </c>
      <c r="L58" s="130">
        <v>0</v>
      </c>
      <c r="M58" s="130">
        <v>0</v>
      </c>
      <c r="N58" s="130">
        <v>-1.1000000000000001</v>
      </c>
      <c r="O58" s="130">
        <v>-0.6</v>
      </c>
      <c r="P58" s="130">
        <v>0.5</v>
      </c>
      <c r="Q58" s="130">
        <v>0.5</v>
      </c>
      <c r="R58" s="130">
        <v>0.5</v>
      </c>
      <c r="S58" s="130">
        <v>0.5</v>
      </c>
    </row>
    <row r="59" spans="1:20" x14ac:dyDescent="0.3">
      <c r="A59" s="7" t="s">
        <v>1187</v>
      </c>
      <c r="B59" s="60">
        <v>0.1</v>
      </c>
      <c r="C59" s="60">
        <v>0.1</v>
      </c>
      <c r="D59" s="60">
        <v>0.09</v>
      </c>
      <c r="E59" s="60">
        <v>0.09</v>
      </c>
      <c r="F59" s="60">
        <v>0.09</v>
      </c>
      <c r="G59" s="60">
        <v>0.09</v>
      </c>
      <c r="H59" s="60">
        <v>0.1</v>
      </c>
      <c r="I59" s="60">
        <v>0.1</v>
      </c>
      <c r="J59" s="60">
        <v>0.09</v>
      </c>
      <c r="K59" s="60">
        <v>0.09</v>
      </c>
      <c r="L59" s="60">
        <v>0.09</v>
      </c>
      <c r="M59" s="60">
        <v>0.09</v>
      </c>
      <c r="N59" s="60">
        <v>0.1</v>
      </c>
      <c r="O59" s="60">
        <v>0.1</v>
      </c>
      <c r="P59" s="60">
        <v>0.08</v>
      </c>
      <c r="Q59" s="60">
        <v>0.08</v>
      </c>
      <c r="R59" s="60">
        <v>0.08</v>
      </c>
      <c r="S59" s="60">
        <v>0.08</v>
      </c>
    </row>
    <row r="60" spans="1:20" x14ac:dyDescent="0.3">
      <c r="A60" s="7" t="s">
        <v>1188</v>
      </c>
      <c r="B60" s="60">
        <v>6.5000000000000006E-3</v>
      </c>
      <c r="C60" s="60">
        <v>6.5000000000000006E-3</v>
      </c>
      <c r="D60" s="60">
        <v>6.5000000000000006E-3</v>
      </c>
      <c r="E60" s="60">
        <v>6.5000000000000006E-3</v>
      </c>
      <c r="F60" s="60">
        <v>6.5000000000000006E-3</v>
      </c>
      <c r="G60" s="60">
        <v>6.5000000000000006E-3</v>
      </c>
      <c r="H60" s="60">
        <v>6.5000000000000006E-3</v>
      </c>
      <c r="I60" s="60">
        <v>6.5000000000000006E-3</v>
      </c>
      <c r="J60" s="60">
        <v>6.5000000000000006E-3</v>
      </c>
      <c r="K60" s="60">
        <v>6.5000000000000006E-3</v>
      </c>
      <c r="L60" s="60">
        <v>6.5000000000000006E-3</v>
      </c>
      <c r="M60" s="60">
        <v>6.5000000000000006E-3</v>
      </c>
      <c r="N60" s="60">
        <v>6.5000000000000006E-3</v>
      </c>
      <c r="O60" s="60">
        <v>6.5000000000000006E-3</v>
      </c>
      <c r="P60" s="60">
        <v>6.5000000000000006E-3</v>
      </c>
      <c r="Q60" s="60">
        <v>6.5000000000000006E-3</v>
      </c>
      <c r="R60" s="60">
        <v>6.5000000000000006E-3</v>
      </c>
      <c r="S60" s="60">
        <v>6.5000000000000006E-3</v>
      </c>
    </row>
    <row r="61" spans="1:20" x14ac:dyDescent="0.3">
      <c r="A61" s="7" t="s">
        <v>645</v>
      </c>
      <c r="B61" s="69">
        <v>170</v>
      </c>
      <c r="C61" s="69">
        <v>165</v>
      </c>
      <c r="D61" s="69">
        <v>160</v>
      </c>
      <c r="E61" s="69">
        <v>160</v>
      </c>
      <c r="F61" s="69">
        <v>160</v>
      </c>
      <c r="G61" s="69">
        <v>160</v>
      </c>
      <c r="H61" s="69">
        <v>170</v>
      </c>
      <c r="I61" s="69">
        <v>165</v>
      </c>
      <c r="J61" s="69">
        <v>160</v>
      </c>
      <c r="K61" s="69">
        <v>160</v>
      </c>
      <c r="L61" s="69">
        <v>160</v>
      </c>
      <c r="M61" s="69">
        <v>160</v>
      </c>
      <c r="N61" s="69">
        <v>170</v>
      </c>
      <c r="O61" s="69">
        <v>165</v>
      </c>
      <c r="P61" s="69">
        <v>160</v>
      </c>
      <c r="Q61" s="69">
        <v>160</v>
      </c>
      <c r="R61" s="69">
        <v>160</v>
      </c>
      <c r="S61" s="69">
        <v>160</v>
      </c>
    </row>
    <row r="62" spans="1:20" x14ac:dyDescent="0.3">
      <c r="A62" s="7" t="s">
        <v>1189</v>
      </c>
      <c r="B62" s="69">
        <v>31</v>
      </c>
      <c r="C62" s="69">
        <v>31</v>
      </c>
      <c r="D62" s="69">
        <v>31</v>
      </c>
      <c r="E62" s="69">
        <v>31</v>
      </c>
      <c r="F62" s="69">
        <v>31</v>
      </c>
      <c r="G62" s="69">
        <v>31</v>
      </c>
      <c r="H62" s="69">
        <v>31</v>
      </c>
      <c r="I62" s="69">
        <v>31</v>
      </c>
      <c r="J62" s="69">
        <v>31</v>
      </c>
      <c r="K62" s="69">
        <v>31</v>
      </c>
      <c r="L62" s="69">
        <v>31</v>
      </c>
      <c r="M62" s="69">
        <v>31</v>
      </c>
      <c r="N62" s="69">
        <v>31</v>
      </c>
      <c r="O62" s="69">
        <v>31</v>
      </c>
      <c r="P62" s="69">
        <v>31</v>
      </c>
      <c r="Q62" s="69">
        <v>31</v>
      </c>
      <c r="R62" s="69">
        <v>31</v>
      </c>
      <c r="S62" s="69">
        <v>31</v>
      </c>
    </row>
    <row r="63" spans="1:20" x14ac:dyDescent="0.3">
      <c r="A63" s="7" t="s">
        <v>1190</v>
      </c>
      <c r="B63" s="60">
        <v>0.18</v>
      </c>
      <c r="C63" s="60">
        <v>0.18</v>
      </c>
      <c r="D63" s="60">
        <v>0.18</v>
      </c>
      <c r="E63" s="60">
        <v>0.18</v>
      </c>
      <c r="F63" s="60">
        <v>0.18</v>
      </c>
      <c r="G63" s="60">
        <v>0.18</v>
      </c>
      <c r="H63" s="60">
        <v>0.18</v>
      </c>
      <c r="I63" s="60">
        <v>0.18</v>
      </c>
      <c r="J63" s="60">
        <v>0.18</v>
      </c>
      <c r="K63" s="60">
        <v>0.18</v>
      </c>
      <c r="L63" s="60">
        <v>0.18</v>
      </c>
      <c r="M63" s="60">
        <v>0.18</v>
      </c>
      <c r="N63" s="60">
        <v>0.18</v>
      </c>
      <c r="O63" s="60">
        <v>0.18</v>
      </c>
      <c r="P63" s="60">
        <v>0.18</v>
      </c>
      <c r="Q63" s="60">
        <v>0.18</v>
      </c>
      <c r="R63" s="60">
        <v>0.18</v>
      </c>
      <c r="S63" s="60">
        <v>0.18</v>
      </c>
    </row>
    <row r="64" spans="1:20" x14ac:dyDescent="0.3">
      <c r="A64" s="7" t="s">
        <v>1191</v>
      </c>
      <c r="B64" s="69">
        <v>1050</v>
      </c>
      <c r="C64" s="69">
        <v>1050</v>
      </c>
      <c r="D64" s="69">
        <v>1050</v>
      </c>
      <c r="E64" s="69">
        <v>1050</v>
      </c>
      <c r="F64" s="69">
        <v>1050</v>
      </c>
      <c r="G64" s="69">
        <v>1050</v>
      </c>
      <c r="H64" s="69">
        <v>1050</v>
      </c>
      <c r="I64" s="69">
        <v>1050</v>
      </c>
      <c r="J64" s="69">
        <v>1050</v>
      </c>
      <c r="K64" s="69">
        <v>1050</v>
      </c>
      <c r="L64" s="69">
        <v>1050</v>
      </c>
      <c r="M64" s="69">
        <v>1050</v>
      </c>
      <c r="N64" s="69">
        <v>1050</v>
      </c>
      <c r="O64" s="69">
        <v>1050</v>
      </c>
      <c r="P64" s="69">
        <v>1050</v>
      </c>
      <c r="Q64" s="69">
        <v>1050</v>
      </c>
      <c r="R64" s="69">
        <v>1050</v>
      </c>
      <c r="S64" s="69">
        <v>1050</v>
      </c>
    </row>
    <row r="65" spans="1:20" x14ac:dyDescent="0.3">
      <c r="A65" s="7" t="s">
        <v>1192</v>
      </c>
      <c r="B65" s="127">
        <v>170.19</v>
      </c>
      <c r="C65" s="127">
        <v>172.23230000000001</v>
      </c>
      <c r="D65" s="127">
        <v>174.29910000000001</v>
      </c>
      <c r="E65" s="127">
        <v>176.39070000000001</v>
      </c>
      <c r="F65" s="127">
        <v>178.50729999999999</v>
      </c>
      <c r="G65" s="127">
        <v>180.64940000000001</v>
      </c>
      <c r="H65" s="127">
        <v>170.19</v>
      </c>
      <c r="I65" s="127">
        <v>172.23230000000001</v>
      </c>
      <c r="J65" s="127">
        <v>174.29910000000001</v>
      </c>
      <c r="K65" s="127">
        <v>176.39070000000001</v>
      </c>
      <c r="L65" s="127">
        <v>178.50729999999999</v>
      </c>
      <c r="M65" s="127">
        <v>180.64940000000001</v>
      </c>
      <c r="N65" s="127">
        <v>170.19</v>
      </c>
      <c r="O65" s="127">
        <v>172.23230000000001</v>
      </c>
      <c r="P65" s="127">
        <v>174.29910000000001</v>
      </c>
      <c r="Q65" s="127">
        <v>176.39070000000001</v>
      </c>
      <c r="R65" s="127">
        <v>178.50729999999999</v>
      </c>
      <c r="S65" s="127">
        <v>180.64940000000001</v>
      </c>
    </row>
    <row r="66" spans="1:20" x14ac:dyDescent="0.3">
      <c r="A66" s="7" t="s">
        <v>1193</v>
      </c>
      <c r="B66" s="65">
        <v>1.6</v>
      </c>
      <c r="C66" s="65">
        <v>1.6</v>
      </c>
      <c r="D66" s="65">
        <v>1.6</v>
      </c>
      <c r="E66" s="65">
        <v>1.6</v>
      </c>
      <c r="F66" s="65">
        <v>1.6</v>
      </c>
      <c r="G66" s="65">
        <v>1.6</v>
      </c>
      <c r="H66" s="65">
        <v>1.6</v>
      </c>
      <c r="I66" s="65">
        <v>1.6</v>
      </c>
      <c r="J66" s="65">
        <v>1.6</v>
      </c>
      <c r="K66" s="65">
        <v>1.6</v>
      </c>
      <c r="L66" s="65">
        <v>1.6</v>
      </c>
      <c r="M66" s="65">
        <v>1.6</v>
      </c>
      <c r="N66" s="65">
        <v>1.6</v>
      </c>
      <c r="O66" s="65">
        <v>1.6</v>
      </c>
      <c r="P66" s="65">
        <v>1.6</v>
      </c>
      <c r="Q66" s="65">
        <v>1.6</v>
      </c>
      <c r="R66" s="65">
        <v>1.6</v>
      </c>
      <c r="S66" s="65">
        <v>1.6</v>
      </c>
    </row>
    <row r="67" spans="1:20" x14ac:dyDescent="0.3">
      <c r="A67" s="7" t="s">
        <v>1194</v>
      </c>
      <c r="B67" s="131">
        <v>0.7</v>
      </c>
      <c r="C67" s="131">
        <v>0.7</v>
      </c>
      <c r="D67" s="131">
        <v>3.2</v>
      </c>
      <c r="E67" s="131">
        <v>1</v>
      </c>
      <c r="F67" s="131">
        <v>0.7</v>
      </c>
      <c r="G67" s="131">
        <v>0.7</v>
      </c>
      <c r="H67" s="131">
        <v>0.7</v>
      </c>
      <c r="I67" s="131">
        <v>0.7</v>
      </c>
      <c r="J67" s="131">
        <v>3.2</v>
      </c>
      <c r="K67" s="131">
        <v>1</v>
      </c>
      <c r="L67" s="131">
        <v>0.7</v>
      </c>
      <c r="M67" s="131">
        <v>0.7</v>
      </c>
      <c r="N67" s="131">
        <v>0.7</v>
      </c>
      <c r="O67" s="131">
        <v>0.7</v>
      </c>
      <c r="P67" s="131">
        <v>3.2</v>
      </c>
      <c r="Q67" s="131">
        <v>1</v>
      </c>
      <c r="R67" s="131">
        <v>0.7</v>
      </c>
      <c r="S67" s="131">
        <v>0.7</v>
      </c>
    </row>
    <row r="68" spans="1:20" x14ac:dyDescent="0.3">
      <c r="A68" s="7" t="s">
        <v>1195</v>
      </c>
      <c r="B68" s="130">
        <v>-0.6</v>
      </c>
      <c r="C68" s="130">
        <v>0.34670000000000001</v>
      </c>
      <c r="D68" s="130">
        <v>-5.1000000000000004E-3</v>
      </c>
      <c r="E68" s="130">
        <v>-5.1000000000000004E-3</v>
      </c>
      <c r="F68" s="130">
        <v>-5.1000000000000004E-3</v>
      </c>
      <c r="G68" s="130">
        <v>-5.1000000000000004E-3</v>
      </c>
      <c r="H68" s="130">
        <v>-0.1</v>
      </c>
      <c r="I68" s="130">
        <v>2.5308999999999999</v>
      </c>
      <c r="J68" s="130">
        <v>-7.4000000000000003E-3</v>
      </c>
      <c r="K68" s="130">
        <v>-7.4000000000000003E-3</v>
      </c>
      <c r="L68" s="130">
        <v>-7.4000000000000003E-3</v>
      </c>
      <c r="M68" s="130">
        <v>-7.4000000000000003E-3</v>
      </c>
      <c r="N68" s="130">
        <v>0.3</v>
      </c>
      <c r="O68" s="130">
        <v>3.077</v>
      </c>
      <c r="P68" s="130">
        <v>0.49209999999999998</v>
      </c>
      <c r="Q68" s="130">
        <v>0.49209999999999998</v>
      </c>
      <c r="R68" s="130">
        <v>0.49209999999999998</v>
      </c>
      <c r="S68" s="130">
        <v>0.49209999999999998</v>
      </c>
    </row>
    <row r="70" spans="1:20" x14ac:dyDescent="0.3">
      <c r="A70" s="3" t="s">
        <v>1196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3">
      <c r="A71" s="30" t="s">
        <v>1197</v>
      </c>
      <c r="B71" s="61">
        <v>170.19</v>
      </c>
      <c r="D71" s="46" t="s">
        <v>1198</v>
      </c>
    </row>
    <row r="72" spans="1:20" ht="30" customHeight="1" x14ac:dyDescent="0.3">
      <c r="A72" s="17" t="s">
        <v>1199</v>
      </c>
      <c r="B72" s="18" t="s">
        <v>1162</v>
      </c>
      <c r="C72" s="18" t="s">
        <v>1163</v>
      </c>
      <c r="D72" s="18" t="s">
        <v>1164</v>
      </c>
      <c r="E72" s="18" t="s">
        <v>1200</v>
      </c>
      <c r="F72" s="18" t="s">
        <v>1201</v>
      </c>
      <c r="G72" s="18" t="s">
        <v>1202</v>
      </c>
    </row>
    <row r="73" spans="1:20" x14ac:dyDescent="0.3">
      <c r="A73" s="7" t="s">
        <v>1203</v>
      </c>
      <c r="B73" s="132">
        <v>149.31226906877501</v>
      </c>
      <c r="C73" s="132">
        <v>155.82169885685391</v>
      </c>
      <c r="D73" s="132">
        <v>166.38887596333069</v>
      </c>
      <c r="E73" s="22">
        <f t="shared" ref="E73:E83" si="0">B73/$B$71-1</f>
        <v>-0.12267307674496142</v>
      </c>
      <c r="F73" s="22">
        <f t="shared" ref="F73:F83" si="1">C73/$B$71-1</f>
        <v>-8.4425061067901042E-2</v>
      </c>
      <c r="G73" s="22">
        <f t="shared" ref="G73:G83" si="2">D73/$B$71-1</f>
        <v>-2.2334590966973988E-2</v>
      </c>
    </row>
    <row r="74" spans="1:20" x14ac:dyDescent="0.3">
      <c r="A74" s="7" t="s">
        <v>1204</v>
      </c>
      <c r="B74" s="132">
        <v>178.48255028540859</v>
      </c>
      <c r="C74" s="132">
        <v>186.3176127277973</v>
      </c>
      <c r="D74" s="132">
        <v>199.04843425822639</v>
      </c>
      <c r="E74" s="22">
        <f t="shared" si="0"/>
        <v>4.872524992895344E-2</v>
      </c>
      <c r="F74" s="22">
        <f t="shared" si="1"/>
        <v>9.4762399246708373E-2</v>
      </c>
      <c r="G74" s="22">
        <f t="shared" si="2"/>
        <v>0.16956598071700091</v>
      </c>
    </row>
    <row r="75" spans="1:20" x14ac:dyDescent="0.3">
      <c r="A75" s="7" t="s">
        <v>1205</v>
      </c>
      <c r="B75" s="132">
        <v>197.9294044298309</v>
      </c>
      <c r="C75" s="132">
        <v>206.64822197509281</v>
      </c>
      <c r="D75" s="132">
        <v>220.82147312149019</v>
      </c>
      <c r="E75" s="22">
        <f t="shared" si="0"/>
        <v>0.16299080104489638</v>
      </c>
      <c r="F75" s="22">
        <f t="shared" si="1"/>
        <v>0.21422070612311428</v>
      </c>
      <c r="G75" s="22">
        <f t="shared" si="2"/>
        <v>0.29749969517298425</v>
      </c>
    </row>
    <row r="76" spans="1:20" x14ac:dyDescent="0.3">
      <c r="A76" s="7" t="s">
        <v>1206</v>
      </c>
      <c r="B76" s="132">
        <v>125.9082947971846</v>
      </c>
      <c r="C76" s="132">
        <v>133.71138218647309</v>
      </c>
      <c r="D76" s="132">
        <v>146.97761048837489</v>
      </c>
      <c r="E76" s="22">
        <f t="shared" si="0"/>
        <v>-0.26018981845475886</v>
      </c>
      <c r="F76" s="22">
        <f t="shared" si="1"/>
        <v>-0.21434054770272581</v>
      </c>
      <c r="G76" s="22">
        <f t="shared" si="2"/>
        <v>-0.1363910306811511</v>
      </c>
    </row>
    <row r="77" spans="1:20" x14ac:dyDescent="0.3">
      <c r="A77" s="7" t="s">
        <v>1207</v>
      </c>
      <c r="B77" s="132">
        <v>154.52381634199929</v>
      </c>
      <c r="C77" s="132">
        <v>164.10033268339879</v>
      </c>
      <c r="D77" s="132">
        <v>180.3816128720965</v>
      </c>
      <c r="E77" s="22">
        <f t="shared" si="0"/>
        <v>-9.2051140830840317E-2</v>
      </c>
      <c r="F77" s="22">
        <f t="shared" si="1"/>
        <v>-3.5781581271527196E-2</v>
      </c>
      <c r="G77" s="22">
        <f t="shared" si="2"/>
        <v>5.9883735073132938E-2</v>
      </c>
    </row>
    <row r="78" spans="1:20" x14ac:dyDescent="0.3">
      <c r="A78" s="7" t="s">
        <v>1208</v>
      </c>
      <c r="B78" s="132">
        <v>171.6931292688881</v>
      </c>
      <c r="C78" s="132">
        <v>182.33370298155421</v>
      </c>
      <c r="D78" s="132">
        <v>200.42401430232951</v>
      </c>
      <c r="E78" s="22">
        <f t="shared" si="0"/>
        <v>8.8320657435108085E-3</v>
      </c>
      <c r="F78" s="22">
        <f t="shared" si="1"/>
        <v>7.135379858719193E-2</v>
      </c>
      <c r="G78" s="22">
        <f t="shared" si="2"/>
        <v>0.17764859452570381</v>
      </c>
    </row>
    <row r="79" spans="1:20" x14ac:dyDescent="0.3">
      <c r="A79" s="7" t="s">
        <v>1209</v>
      </c>
      <c r="B79" s="132">
        <v>158.8188411677495</v>
      </c>
      <c r="C79" s="132">
        <v>164.3295828098924</v>
      </c>
      <c r="D79" s="132">
        <v>175.12245008851241</v>
      </c>
      <c r="E79" s="22">
        <f t="shared" si="0"/>
        <v>-6.6814494578121497E-2</v>
      </c>
      <c r="F79" s="22">
        <f t="shared" si="1"/>
        <v>-3.4434556613829215E-2</v>
      </c>
      <c r="G79" s="22">
        <f t="shared" si="2"/>
        <v>2.8982020615267778E-2</v>
      </c>
    </row>
    <row r="80" spans="1:20" x14ac:dyDescent="0.3">
      <c r="A80" s="7" t="s">
        <v>1210</v>
      </c>
      <c r="B80" s="132">
        <v>188.9844492192835</v>
      </c>
      <c r="C80" s="132">
        <v>195.5594748896676</v>
      </c>
      <c r="D80" s="132">
        <v>208.48707575684361</v>
      </c>
      <c r="E80" s="22">
        <f t="shared" si="0"/>
        <v>0.11043215946461893</v>
      </c>
      <c r="F80" s="22">
        <f t="shared" si="1"/>
        <v>0.14906560250113166</v>
      </c>
      <c r="G80" s="22">
        <f t="shared" si="2"/>
        <v>0.22502541722100955</v>
      </c>
    </row>
    <row r="81" spans="1:20" x14ac:dyDescent="0.3">
      <c r="A81" s="7" t="s">
        <v>1211</v>
      </c>
      <c r="B81" s="132">
        <v>219.15005727081751</v>
      </c>
      <c r="C81" s="132">
        <v>226.78936696944271</v>
      </c>
      <c r="D81" s="132">
        <v>241.85170142517489</v>
      </c>
      <c r="E81" s="22">
        <f t="shared" si="0"/>
        <v>0.28767881350735958</v>
      </c>
      <c r="F81" s="22">
        <f t="shared" si="1"/>
        <v>0.33256576161609219</v>
      </c>
      <c r="G81" s="22">
        <f t="shared" si="2"/>
        <v>0.42106881382675176</v>
      </c>
    </row>
    <row r="82" spans="1:20" x14ac:dyDescent="0.3">
      <c r="A82" s="30" t="s">
        <v>1212</v>
      </c>
      <c r="B82" s="133">
        <v>173.99693861556381</v>
      </c>
      <c r="C82" s="133">
        <v>181.9924734336212</v>
      </c>
      <c r="D82" s="133">
        <v>195.97237429572209</v>
      </c>
      <c r="E82" s="85">
        <f t="shared" si="0"/>
        <v>2.2368756187577388E-2</v>
      </c>
      <c r="F82" s="85">
        <f t="shared" si="1"/>
        <v>6.9348806825437537E-2</v>
      </c>
      <c r="G82" s="85">
        <f t="shared" si="2"/>
        <v>0.15149171100371395</v>
      </c>
    </row>
    <row r="83" spans="1:20" x14ac:dyDescent="0.3">
      <c r="A83" s="30" t="s">
        <v>1213</v>
      </c>
      <c r="B83" s="133">
        <v>171.64475687221531</v>
      </c>
      <c r="C83" s="133">
        <v>179.51237512001919</v>
      </c>
      <c r="D83" s="133">
        <v>193.27813869737551</v>
      </c>
      <c r="E83" s="85">
        <f t="shared" si="0"/>
        <v>8.5478398978513503E-3</v>
      </c>
      <c r="F83" s="85">
        <f t="shared" si="1"/>
        <v>5.4776280157583734E-2</v>
      </c>
      <c r="G83" s="85">
        <f t="shared" si="2"/>
        <v>0.13566095950041435</v>
      </c>
    </row>
    <row r="85" spans="1:20" x14ac:dyDescent="0.3">
      <c r="A85" s="3" t="s">
        <v>1214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3">
      <c r="A86" s="17" t="s">
        <v>48</v>
      </c>
      <c r="B86" s="18" t="s">
        <v>1162</v>
      </c>
      <c r="C86" s="18" t="s">
        <v>1163</v>
      </c>
      <c r="D86" s="18" t="s">
        <v>1164</v>
      </c>
    </row>
    <row r="87" spans="1:20" x14ac:dyDescent="0.3">
      <c r="A87" s="7" t="s">
        <v>1215</v>
      </c>
      <c r="B87" s="42">
        <v>5738.1239999999998</v>
      </c>
      <c r="C87" s="42">
        <v>5940.5730000000003</v>
      </c>
      <c r="D87" s="42">
        <v>6346.6559999999999</v>
      </c>
    </row>
    <row r="88" spans="1:20" x14ac:dyDescent="0.3">
      <c r="A88" s="7" t="s">
        <v>1216</v>
      </c>
      <c r="B88" s="42">
        <v>3802.393</v>
      </c>
      <c r="C88" s="42">
        <v>4004.8420000000001</v>
      </c>
      <c r="D88" s="42">
        <v>4428.6840000000002</v>
      </c>
    </row>
    <row r="89" spans="1:20" x14ac:dyDescent="0.3">
      <c r="A89" s="7" t="s">
        <v>1217</v>
      </c>
      <c r="B89" s="59">
        <v>0.10154000000000001</v>
      </c>
      <c r="C89" s="59">
        <v>0.11723</v>
      </c>
      <c r="D89" s="59">
        <v>0.17988999999999999</v>
      </c>
    </row>
    <row r="90" spans="1:20" x14ac:dyDescent="0.3">
      <c r="A90" s="30" t="s">
        <v>1218</v>
      </c>
      <c r="B90" s="134">
        <v>5.5980000000000002E-2</v>
      </c>
      <c r="C90" s="134">
        <v>4.614E-2</v>
      </c>
      <c r="D90" s="134">
        <v>2.742E-2</v>
      </c>
    </row>
    <row r="91" spans="1:20" x14ac:dyDescent="0.3">
      <c r="A91" s="30" t="s">
        <v>1219</v>
      </c>
      <c r="B91" s="134">
        <v>0.17465</v>
      </c>
      <c r="C91" s="134">
        <v>0.15948000000000001</v>
      </c>
      <c r="D91" s="134">
        <v>0.13023999999999999</v>
      </c>
    </row>
    <row r="92" spans="1:20" x14ac:dyDescent="0.3">
      <c r="A92" s="7" t="s">
        <v>1220</v>
      </c>
      <c r="B92" s="93">
        <v>196.839</v>
      </c>
      <c r="C92" s="93">
        <v>213.703</v>
      </c>
      <c r="D92" s="93">
        <v>277.95499999999998</v>
      </c>
    </row>
    <row r="93" spans="1:20" ht="15" customHeight="1" x14ac:dyDescent="0.3">
      <c r="A93" s="158" t="s">
        <v>1221</v>
      </c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</row>
    <row r="95" spans="1:20" x14ac:dyDescent="0.3">
      <c r="A95" s="3" t="s">
        <v>1222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30" customHeight="1" x14ac:dyDescent="0.3">
      <c r="A96" s="18" t="s">
        <v>1223</v>
      </c>
      <c r="B96" s="18" t="s">
        <v>1224</v>
      </c>
      <c r="C96" s="18" t="s">
        <v>1225</v>
      </c>
      <c r="D96" s="18" t="s">
        <v>1226</v>
      </c>
      <c r="E96" s="18" t="s">
        <v>1227</v>
      </c>
      <c r="F96" s="18" t="s">
        <v>778</v>
      </c>
    </row>
    <row r="97" spans="1:6" ht="52.05" customHeight="1" x14ac:dyDescent="0.3">
      <c r="A97" s="5" t="s">
        <v>1228</v>
      </c>
      <c r="B97" s="5" t="s">
        <v>1229</v>
      </c>
      <c r="C97" s="5" t="s">
        <v>1230</v>
      </c>
      <c r="D97" s="5" t="s">
        <v>1231</v>
      </c>
      <c r="E97" s="5" t="s">
        <v>1232</v>
      </c>
      <c r="F97" s="5" t="s">
        <v>1233</v>
      </c>
    </row>
    <row r="98" spans="1:6" ht="52.05" customHeight="1" x14ac:dyDescent="0.3">
      <c r="A98" s="5" t="s">
        <v>1234</v>
      </c>
      <c r="B98" s="5" t="s">
        <v>1235</v>
      </c>
      <c r="C98" s="5" t="s">
        <v>1236</v>
      </c>
      <c r="D98" s="5" t="s">
        <v>1237</v>
      </c>
      <c r="E98" s="5" t="s">
        <v>1238</v>
      </c>
      <c r="F98" s="5" t="s">
        <v>1239</v>
      </c>
    </row>
    <row r="99" spans="1:6" ht="39" customHeight="1" x14ac:dyDescent="0.3">
      <c r="A99" s="5" t="s">
        <v>1240</v>
      </c>
      <c r="B99" s="5" t="s">
        <v>1241</v>
      </c>
      <c r="C99" s="5" t="s">
        <v>1242</v>
      </c>
      <c r="D99" s="5" t="s">
        <v>1243</v>
      </c>
      <c r="E99" s="5" t="s">
        <v>1244</v>
      </c>
      <c r="F99" s="5" t="s">
        <v>1245</v>
      </c>
    </row>
    <row r="100" spans="1:6" ht="64.95" customHeight="1" x14ac:dyDescent="0.3">
      <c r="A100" s="5" t="s">
        <v>1246</v>
      </c>
      <c r="B100" s="5" t="s">
        <v>1247</v>
      </c>
      <c r="C100" s="5" t="s">
        <v>1248</v>
      </c>
      <c r="D100" s="5" t="s">
        <v>1249</v>
      </c>
      <c r="E100" s="5" t="s">
        <v>1250</v>
      </c>
      <c r="F100" s="5" t="s">
        <v>1251</v>
      </c>
    </row>
    <row r="101" spans="1:6" ht="64.95" customHeight="1" x14ac:dyDescent="0.3">
      <c r="A101" s="5" t="s">
        <v>1252</v>
      </c>
      <c r="B101" s="5" t="s">
        <v>1253</v>
      </c>
      <c r="C101" s="5" t="s">
        <v>1254</v>
      </c>
      <c r="D101" s="5" t="s">
        <v>1255</v>
      </c>
      <c r="E101" s="5" t="s">
        <v>1256</v>
      </c>
      <c r="F101" s="5" t="s">
        <v>1257</v>
      </c>
    </row>
    <row r="102" spans="1:6" ht="39" customHeight="1" x14ac:dyDescent="0.3">
      <c r="A102" s="5" t="s">
        <v>139</v>
      </c>
      <c r="B102" s="5" t="s">
        <v>1258</v>
      </c>
      <c r="C102" s="5" t="s">
        <v>1259</v>
      </c>
      <c r="D102" s="5" t="s">
        <v>1260</v>
      </c>
      <c r="E102" s="5" t="s">
        <v>1261</v>
      </c>
      <c r="F102" s="5" t="s">
        <v>1262</v>
      </c>
    </row>
    <row r="103" spans="1:6" ht="30" customHeight="1" x14ac:dyDescent="0.3">
      <c r="A103" s="5" t="s">
        <v>1263</v>
      </c>
      <c r="B103" s="5" t="s">
        <v>1264</v>
      </c>
      <c r="C103" s="5" t="s">
        <v>1265</v>
      </c>
      <c r="D103" s="5" t="s">
        <v>1266</v>
      </c>
      <c r="E103" s="5" t="s">
        <v>1267</v>
      </c>
      <c r="F103" s="5" t="s">
        <v>1268</v>
      </c>
    </row>
    <row r="104" spans="1:6" ht="52.05" customHeight="1" x14ac:dyDescent="0.3">
      <c r="A104" s="5" t="s">
        <v>310</v>
      </c>
      <c r="B104" s="5" t="s">
        <v>1269</v>
      </c>
      <c r="C104" s="5" t="s">
        <v>1270</v>
      </c>
      <c r="D104" s="5" t="s">
        <v>1271</v>
      </c>
      <c r="E104" s="5" t="s">
        <v>1272</v>
      </c>
      <c r="F104" s="5" t="s">
        <v>1273</v>
      </c>
    </row>
    <row r="105" spans="1:6" ht="78" customHeight="1" x14ac:dyDescent="0.3">
      <c r="A105" s="5" t="s">
        <v>1274</v>
      </c>
      <c r="B105" s="5" t="s">
        <v>1275</v>
      </c>
      <c r="C105" s="5" t="s">
        <v>1276</v>
      </c>
      <c r="D105" s="5" t="s">
        <v>1277</v>
      </c>
      <c r="E105" s="5" t="s">
        <v>1278</v>
      </c>
      <c r="F105" s="5" t="s">
        <v>1279</v>
      </c>
    </row>
    <row r="106" spans="1:6" ht="39" customHeight="1" x14ac:dyDescent="0.3">
      <c r="A106" s="5" t="s">
        <v>1280</v>
      </c>
      <c r="B106" s="5" t="s">
        <v>1281</v>
      </c>
      <c r="C106" s="5" t="s">
        <v>1282</v>
      </c>
      <c r="D106" s="5" t="s">
        <v>1283</v>
      </c>
      <c r="E106" s="5" t="s">
        <v>1284</v>
      </c>
      <c r="F106" s="5" t="s">
        <v>1285</v>
      </c>
    </row>
    <row r="107" spans="1:6" ht="39" customHeight="1" x14ac:dyDescent="0.3">
      <c r="A107" s="5" t="s">
        <v>1286</v>
      </c>
      <c r="B107" s="5" t="s">
        <v>1287</v>
      </c>
      <c r="C107" s="5" t="s">
        <v>1288</v>
      </c>
      <c r="D107" s="5" t="s">
        <v>1289</v>
      </c>
      <c r="E107" s="5" t="s">
        <v>1290</v>
      </c>
      <c r="F107" s="5" t="s">
        <v>1291</v>
      </c>
    </row>
    <row r="108" spans="1:6" ht="30" customHeight="1" x14ac:dyDescent="0.3">
      <c r="A108" s="5" t="s">
        <v>1292</v>
      </c>
      <c r="B108" s="5" t="s">
        <v>1293</v>
      </c>
      <c r="C108" s="5" t="s">
        <v>1294</v>
      </c>
      <c r="D108" s="5" t="s">
        <v>1295</v>
      </c>
      <c r="E108" s="5" t="s">
        <v>1296</v>
      </c>
      <c r="F108" s="5" t="s">
        <v>1297</v>
      </c>
    </row>
    <row r="109" spans="1:6" ht="52.05" customHeight="1" x14ac:dyDescent="0.3">
      <c r="A109" s="5" t="s">
        <v>1298</v>
      </c>
      <c r="B109" s="5" t="s">
        <v>1299</v>
      </c>
      <c r="C109" s="5" t="s">
        <v>1300</v>
      </c>
      <c r="D109" s="5" t="s">
        <v>1301</v>
      </c>
      <c r="E109" s="5" t="s">
        <v>1302</v>
      </c>
      <c r="F109" s="5" t="s">
        <v>1303</v>
      </c>
    </row>
    <row r="110" spans="1:6" ht="52.05" customHeight="1" x14ac:dyDescent="0.3">
      <c r="A110" s="5" t="s">
        <v>1304</v>
      </c>
      <c r="B110" s="5" t="s">
        <v>1305</v>
      </c>
      <c r="C110" s="5" t="s">
        <v>1306</v>
      </c>
      <c r="D110" s="5" t="s">
        <v>1307</v>
      </c>
      <c r="E110" s="5" t="s">
        <v>1308</v>
      </c>
      <c r="F110" s="5" t="s">
        <v>1303</v>
      </c>
    </row>
    <row r="111" spans="1:6" ht="64.95" customHeight="1" x14ac:dyDescent="0.3">
      <c r="A111" s="5" t="s">
        <v>1309</v>
      </c>
      <c r="B111" s="5" t="s">
        <v>1310</v>
      </c>
      <c r="C111" s="5" t="s">
        <v>1311</v>
      </c>
      <c r="D111" s="5" t="s">
        <v>1312</v>
      </c>
      <c r="E111" s="5" t="s">
        <v>1313</v>
      </c>
      <c r="F111" s="5" t="s">
        <v>1314</v>
      </c>
    </row>
    <row r="112" spans="1:6" ht="30" customHeight="1" x14ac:dyDescent="0.3">
      <c r="A112" s="5" t="s">
        <v>1315</v>
      </c>
      <c r="B112" s="5" t="s">
        <v>1316</v>
      </c>
      <c r="C112" s="5" t="s">
        <v>1317</v>
      </c>
      <c r="D112" s="5" t="s">
        <v>1318</v>
      </c>
      <c r="E112" s="5" t="s">
        <v>1319</v>
      </c>
      <c r="F112" s="5" t="s">
        <v>1320</v>
      </c>
    </row>
    <row r="114" spans="1:20" x14ac:dyDescent="0.3">
      <c r="A114" s="3" t="s">
        <v>190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x14ac:dyDescent="0.3">
      <c r="A115" s="7" t="s">
        <v>1321</v>
      </c>
      <c r="B115" s="10" t="s">
        <v>1013</v>
      </c>
    </row>
    <row r="116" spans="1:20" x14ac:dyDescent="0.3">
      <c r="A116" s="7" t="s">
        <v>1322</v>
      </c>
      <c r="B116" s="10" t="s">
        <v>1323</v>
      </c>
    </row>
    <row r="117" spans="1:20" x14ac:dyDescent="0.3">
      <c r="A117" s="7" t="s">
        <v>1324</v>
      </c>
      <c r="B117" s="10" t="s">
        <v>1325</v>
      </c>
    </row>
    <row r="118" spans="1:20" x14ac:dyDescent="0.3">
      <c r="A118" s="7" t="s">
        <v>1326</v>
      </c>
      <c r="B118" s="10" t="s">
        <v>1327</v>
      </c>
    </row>
    <row r="119" spans="1:20" x14ac:dyDescent="0.3">
      <c r="A119" s="7" t="s">
        <v>1328</v>
      </c>
      <c r="B119" s="10" t="s">
        <v>1329</v>
      </c>
    </row>
    <row r="120" spans="1:20" x14ac:dyDescent="0.3">
      <c r="A120" s="7" t="s">
        <v>1330</v>
      </c>
      <c r="B120" s="10" t="s">
        <v>1331</v>
      </c>
    </row>
    <row r="121" spans="1:20" x14ac:dyDescent="0.3">
      <c r="A121" s="7" t="s">
        <v>1332</v>
      </c>
      <c r="B121" s="10" t="s">
        <v>1333</v>
      </c>
    </row>
    <row r="122" spans="1:20" x14ac:dyDescent="0.3">
      <c r="A122" s="7" t="s">
        <v>1334</v>
      </c>
      <c r="B122" s="10" t="s">
        <v>1148</v>
      </c>
    </row>
  </sheetData>
  <mergeCells count="16">
    <mergeCell ref="A5:T5"/>
    <mergeCell ref="B51:G51"/>
    <mergeCell ref="B34:G34"/>
    <mergeCell ref="A93:T93"/>
    <mergeCell ref="A8:T8"/>
    <mergeCell ref="A6:T6"/>
    <mergeCell ref="H51:M51"/>
    <mergeCell ref="A9:T9"/>
    <mergeCell ref="N51:S51"/>
    <mergeCell ref="H34:M34"/>
    <mergeCell ref="A7:T7"/>
    <mergeCell ref="E13:F13"/>
    <mergeCell ref="C13:D13"/>
    <mergeCell ref="G13:H13"/>
    <mergeCell ref="A10:T10"/>
    <mergeCell ref="N34:S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9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8" customWidth="1"/>
    <col min="2" max="22" width="14" customWidth="1"/>
  </cols>
  <sheetData>
    <row r="1" spans="1:22" ht="17.399999999999999" x14ac:dyDescent="0.3">
      <c r="A1" s="1" t="s">
        <v>1335</v>
      </c>
    </row>
    <row r="2" spans="1:22" x14ac:dyDescent="0.3">
      <c r="A2" s="2" t="s">
        <v>1336</v>
      </c>
    </row>
    <row r="4" spans="1:22" x14ac:dyDescent="0.3">
      <c r="A4" s="3" t="s">
        <v>1153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40.5" customHeight="1" x14ac:dyDescent="0.3">
      <c r="A5" s="155" t="s">
        <v>1337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</row>
    <row r="6" spans="1:22" ht="27" customHeight="1" x14ac:dyDescent="0.3">
      <c r="A6" s="155" t="s">
        <v>1338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</row>
    <row r="7" spans="1:22" ht="40.5" customHeight="1" x14ac:dyDescent="0.3">
      <c r="A7" s="155" t="s">
        <v>1339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</row>
    <row r="8" spans="1:22" ht="54" customHeight="1" x14ac:dyDescent="0.3">
      <c r="A8" s="155" t="s">
        <v>1340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</row>
    <row r="9" spans="1:22" ht="27" customHeight="1" x14ac:dyDescent="0.3">
      <c r="A9" s="155" t="s">
        <v>1341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</row>
    <row r="11" spans="1:22" x14ac:dyDescent="0.3">
      <c r="A11" s="3" t="s">
        <v>1342</v>
      </c>
      <c r="B11" s="56" t="s">
        <v>1343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42" customHeight="1" x14ac:dyDescent="0.3">
      <c r="A12" s="18" t="s">
        <v>1344</v>
      </c>
      <c r="B12" s="18" t="s">
        <v>1345</v>
      </c>
      <c r="C12" s="18" t="s">
        <v>1346</v>
      </c>
      <c r="D12" s="18" t="s">
        <v>64</v>
      </c>
      <c r="E12" s="18" t="s">
        <v>65</v>
      </c>
      <c r="F12" s="18" t="s">
        <v>1347</v>
      </c>
      <c r="G12" s="18" t="s">
        <v>1348</v>
      </c>
      <c r="H12" s="18" t="s">
        <v>1349</v>
      </c>
      <c r="I12" s="18" t="s">
        <v>1350</v>
      </c>
    </row>
    <row r="13" spans="1:22" x14ac:dyDescent="0.3">
      <c r="A13" s="11" t="s">
        <v>1351</v>
      </c>
      <c r="B13" s="127">
        <v>170.19</v>
      </c>
      <c r="C13" s="60">
        <v>0.11509112275941211</v>
      </c>
      <c r="D13" s="69">
        <v>15869.19964059939</v>
      </c>
      <c r="E13" s="69">
        <v>5744.6502698969798</v>
      </c>
      <c r="F13" s="60">
        <v>8.9147626300924099E-2</v>
      </c>
      <c r="G13" s="135">
        <v>16.01671567060427</v>
      </c>
      <c r="H13" s="136">
        <v>0.46200000000000002</v>
      </c>
      <c r="I13" s="137"/>
    </row>
    <row r="14" spans="1:22" x14ac:dyDescent="0.3">
      <c r="A14" s="11" t="s">
        <v>1352</v>
      </c>
      <c r="B14" s="127">
        <v>170.19</v>
      </c>
      <c r="C14" s="60">
        <v>0.10395696415793571</v>
      </c>
      <c r="D14" s="69">
        <v>15710.746055891719</v>
      </c>
      <c r="E14" s="69">
        <v>5687.2900722328041</v>
      </c>
      <c r="F14" s="60">
        <v>7.8272512900642299E-2</v>
      </c>
      <c r="G14" s="135">
        <v>16.178255167469789</v>
      </c>
      <c r="H14" s="136">
        <v>0.46200000000000002</v>
      </c>
      <c r="I14" s="137"/>
    </row>
    <row r="15" spans="1:22" x14ac:dyDescent="0.3">
      <c r="A15" s="11" t="s">
        <v>1353</v>
      </c>
      <c r="B15" s="127">
        <v>170.19</v>
      </c>
      <c r="C15" s="60">
        <v>8.2430149094083749E-2</v>
      </c>
      <c r="D15" s="69">
        <v>15404.39142809308</v>
      </c>
      <c r="E15" s="69">
        <v>5576.3896969696962</v>
      </c>
      <c r="F15" s="60">
        <v>5.7246536592451491E-2</v>
      </c>
      <c r="G15" s="135">
        <v>16.5</v>
      </c>
      <c r="H15" s="136">
        <v>0.46200000000000002</v>
      </c>
      <c r="I15" s="137"/>
    </row>
    <row r="16" spans="1:22" x14ac:dyDescent="0.3">
      <c r="A16" s="7" t="s">
        <v>1354</v>
      </c>
      <c r="B16" s="93">
        <v>125.5</v>
      </c>
      <c r="C16" s="59">
        <v>1.6137058122872701E-2</v>
      </c>
      <c r="D16" s="42">
        <v>14460.95436367521</v>
      </c>
      <c r="E16" s="42">
        <v>5234.8654796504279</v>
      </c>
      <c r="F16" s="59">
        <v>-7.5041920231361248E-3</v>
      </c>
      <c r="G16" s="107">
        <v>12.47988133677174</v>
      </c>
      <c r="H16" s="108">
        <v>0.75</v>
      </c>
    </row>
    <row r="17" spans="1:22" x14ac:dyDescent="0.3">
      <c r="A17" s="7" t="s">
        <v>1355</v>
      </c>
      <c r="B17" s="93">
        <v>163.80000000000001</v>
      </c>
      <c r="C17" s="59">
        <v>0.1017173215635153</v>
      </c>
      <c r="D17" s="42">
        <v>15678.87302351882</v>
      </c>
      <c r="E17" s="42">
        <v>5675.7520345138128</v>
      </c>
      <c r="F17" s="59">
        <v>7.6084977401804199E-2</v>
      </c>
      <c r="G17" s="107">
        <v>15.53901570464836</v>
      </c>
      <c r="H17" s="108">
        <v>0.5</v>
      </c>
    </row>
    <row r="18" spans="1:22" x14ac:dyDescent="0.3">
      <c r="A18" s="7" t="s">
        <v>1356</v>
      </c>
      <c r="B18" s="93">
        <v>213.9</v>
      </c>
      <c r="C18" s="59">
        <v>0.20110091405186889</v>
      </c>
      <c r="D18" s="42">
        <v>17093.2310414491</v>
      </c>
      <c r="E18" s="42">
        <v>6187.7496370045756</v>
      </c>
      <c r="F18" s="59">
        <v>0.17315633026495769</v>
      </c>
      <c r="G18" s="107">
        <v>19.086955182170801</v>
      </c>
      <c r="H18" s="108">
        <v>0.25</v>
      </c>
    </row>
    <row r="19" spans="1:22" x14ac:dyDescent="0.3">
      <c r="A19" s="7" t="s">
        <v>1357</v>
      </c>
      <c r="B19" s="93">
        <v>165</v>
      </c>
      <c r="C19" s="59">
        <v>0.1042463911442711</v>
      </c>
      <c r="D19" s="42">
        <v>15714.864979030641</v>
      </c>
      <c r="E19" s="42">
        <v>5688.781122409091</v>
      </c>
      <c r="F19" s="59">
        <v>7.8555206134155453E-2</v>
      </c>
      <c r="G19" s="107">
        <v>15.62935857204284</v>
      </c>
      <c r="H19" s="108">
        <v>0.49299999999999999</v>
      </c>
    </row>
    <row r="20" spans="1:22" x14ac:dyDescent="0.3">
      <c r="A20" s="7" t="s">
        <v>1358</v>
      </c>
      <c r="B20" s="93">
        <v>179.5</v>
      </c>
      <c r="C20" s="59">
        <v>0.1341795935808158</v>
      </c>
      <c r="D20" s="42">
        <v>16140.85345266544</v>
      </c>
      <c r="E20" s="42">
        <v>5842.9889498648909</v>
      </c>
      <c r="F20" s="59">
        <v>0.1077919884167291</v>
      </c>
      <c r="G20" s="107">
        <v>16.698388587959951</v>
      </c>
      <c r="H20" s="108">
        <v>0.40899999999999997</v>
      </c>
    </row>
    <row r="21" spans="1:22" x14ac:dyDescent="0.3">
      <c r="A21" s="7" t="s">
        <v>1359</v>
      </c>
      <c r="B21" s="93">
        <v>197.5</v>
      </c>
      <c r="C21" s="59">
        <v>0.16985983595338541</v>
      </c>
      <c r="D21" s="42">
        <v>16648.62979298292</v>
      </c>
      <c r="E21" s="42">
        <v>6026.8039850598179</v>
      </c>
      <c r="F21" s="59">
        <v>0.1426421011050627</v>
      </c>
      <c r="G21" s="107">
        <v>17.972129219484639</v>
      </c>
      <c r="H21" s="108">
        <v>0.318</v>
      </c>
    </row>
    <row r="22" spans="1:22" x14ac:dyDescent="0.3">
      <c r="A22" s="7" t="s">
        <v>1360</v>
      </c>
      <c r="B22" s="93">
        <v>220</v>
      </c>
      <c r="C22" s="59">
        <v>0.21243975937967241</v>
      </c>
      <c r="D22" s="42">
        <v>17254.597584979208</v>
      </c>
      <c r="E22" s="42">
        <v>6246.1643257624737</v>
      </c>
      <c r="F22" s="59">
        <v>0.18423136818940081</v>
      </c>
      <c r="G22" s="107">
        <v>19.491482076104081</v>
      </c>
      <c r="H22" s="108">
        <v>0.22800000000000001</v>
      </c>
    </row>
    <row r="23" spans="1:22" x14ac:dyDescent="0.3">
      <c r="A23" s="7" t="s">
        <v>967</v>
      </c>
      <c r="B23" s="93">
        <v>162.18994299344061</v>
      </c>
      <c r="C23" s="59">
        <v>9.8310999999999996E-2</v>
      </c>
      <c r="D23" s="42">
        <v>15630.396629233001</v>
      </c>
      <c r="E23" s="42">
        <v>5548.8</v>
      </c>
      <c r="F23" s="59">
        <v>7.2757906663280636E-2</v>
      </c>
      <c r="G23" s="107">
        <v>15.72130838507138</v>
      </c>
      <c r="H23" s="108">
        <v>0.51</v>
      </c>
    </row>
    <row r="24" spans="1:22" x14ac:dyDescent="0.3">
      <c r="A24" s="7" t="s">
        <v>968</v>
      </c>
      <c r="B24" s="93">
        <v>175.49354278172589</v>
      </c>
      <c r="C24" s="59">
        <v>0.12602099999999999</v>
      </c>
      <c r="D24" s="42">
        <v>16024.746035362999</v>
      </c>
      <c r="E24" s="42">
        <v>5801</v>
      </c>
      <c r="F24" s="59">
        <v>9.9823211111328192E-2</v>
      </c>
      <c r="G24" s="107">
        <v>16.40693760398041</v>
      </c>
      <c r="H24" s="108">
        <v>0.432</v>
      </c>
      <c r="I24" s="59">
        <v>5.2053000000000002E-2</v>
      </c>
    </row>
    <row r="25" spans="1:22" x14ac:dyDescent="0.3">
      <c r="A25" s="7" t="s">
        <v>969</v>
      </c>
      <c r="B25" s="93">
        <v>202.67314181936561</v>
      </c>
      <c r="C25" s="59">
        <v>0.179838</v>
      </c>
      <c r="D25" s="42">
        <v>16790.632068914001</v>
      </c>
      <c r="E25" s="42">
        <v>6212.5</v>
      </c>
      <c r="F25" s="59">
        <v>0.15238811509835701</v>
      </c>
      <c r="G25" s="107">
        <v>17.932050811454531</v>
      </c>
      <c r="H25" s="108">
        <v>0.29699999999999999</v>
      </c>
    </row>
    <row r="26" spans="1:22" x14ac:dyDescent="0.3">
      <c r="A26" s="14" t="s">
        <v>970</v>
      </c>
      <c r="B26" s="109">
        <v>166.00777864621671</v>
      </c>
      <c r="C26" s="23">
        <v>0.106364</v>
      </c>
      <c r="D26" s="19">
        <v>15745.001312292001</v>
      </c>
      <c r="E26" s="19">
        <v>5699.7</v>
      </c>
      <c r="F26" s="23">
        <v>8.0623547107889978E-2</v>
      </c>
      <c r="G26" s="138">
        <v>15.704974621785601</v>
      </c>
      <c r="H26" s="111">
        <v>0.48699999999999999</v>
      </c>
      <c r="I26" s="23">
        <v>5.2053000000000002E-2</v>
      </c>
    </row>
    <row r="27" spans="1:22" x14ac:dyDescent="0.3">
      <c r="A27" s="12" t="s">
        <v>971</v>
      </c>
      <c r="B27" s="112">
        <v>167.97828010516099</v>
      </c>
      <c r="C27" s="24">
        <v>0.110488</v>
      </c>
      <c r="D27" s="20">
        <v>15803.691205863999</v>
      </c>
      <c r="E27" s="20">
        <v>5757.9</v>
      </c>
      <c r="F27" s="24">
        <v>8.4651598913871418E-2</v>
      </c>
      <c r="G27" s="139">
        <v>15.75053981881956</v>
      </c>
      <c r="H27" s="114">
        <v>0.47499999999999998</v>
      </c>
      <c r="I27" s="24">
        <v>-6.1093000000000001E-2</v>
      </c>
    </row>
    <row r="28" spans="1:22" x14ac:dyDescent="0.3">
      <c r="A28" s="12" t="s">
        <v>972</v>
      </c>
      <c r="B28" s="112">
        <v>121.30785789770979</v>
      </c>
      <c r="C28" s="24">
        <v>6.1150000000000006E-3</v>
      </c>
      <c r="D28" s="20">
        <v>14318.327417844999</v>
      </c>
      <c r="E28" s="20">
        <v>4375</v>
      </c>
      <c r="F28" s="24">
        <v>-1.729307886151854E-2</v>
      </c>
      <c r="G28" s="139">
        <v>14.36063798055606</v>
      </c>
      <c r="H28" s="114">
        <v>0.76100000000000001</v>
      </c>
      <c r="I28" s="119"/>
    </row>
    <row r="29" spans="1:22" x14ac:dyDescent="0.3">
      <c r="A29" s="12" t="s">
        <v>973</v>
      </c>
      <c r="B29" s="112">
        <v>207.0600368193393</v>
      </c>
      <c r="C29" s="24">
        <v>0.18820899999999999</v>
      </c>
      <c r="D29" s="20">
        <v>16909.762306327</v>
      </c>
      <c r="E29" s="20">
        <v>6977.4</v>
      </c>
      <c r="F29" s="24">
        <v>0.1605643570158817</v>
      </c>
      <c r="G29" s="139">
        <v>16.341594574074229</v>
      </c>
      <c r="H29" s="114">
        <v>0.27800000000000002</v>
      </c>
      <c r="I29" s="119"/>
    </row>
    <row r="31" spans="1:22" x14ac:dyDescent="0.3">
      <c r="A31" s="3" t="s">
        <v>1361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42" customHeight="1" x14ac:dyDescent="0.3">
      <c r="A32" s="18" t="s">
        <v>650</v>
      </c>
      <c r="B32" s="18" t="s">
        <v>1346</v>
      </c>
      <c r="C32" s="18" t="s">
        <v>1362</v>
      </c>
      <c r="D32" s="18" t="s">
        <v>1347</v>
      </c>
      <c r="E32" s="18" t="s">
        <v>1363</v>
      </c>
      <c r="F32" s="18" t="s">
        <v>1364</v>
      </c>
      <c r="G32" s="18" t="s">
        <v>1365</v>
      </c>
      <c r="H32" s="18" t="s">
        <v>1366</v>
      </c>
      <c r="I32" s="18" t="s">
        <v>1349</v>
      </c>
    </row>
    <row r="33" spans="1:22" x14ac:dyDescent="0.3">
      <c r="A33" s="7" t="s">
        <v>967</v>
      </c>
      <c r="B33" s="59">
        <v>9.8310999999999996E-2</v>
      </c>
      <c r="C33" s="42">
        <v>5548.7920000000004</v>
      </c>
      <c r="D33" s="59">
        <v>7.2758000000000003E-2</v>
      </c>
      <c r="E33" s="93">
        <v>162.1901</v>
      </c>
      <c r="F33" s="59">
        <v>-4.7005999999999999E-2</v>
      </c>
      <c r="G33" s="93">
        <v>172.4512</v>
      </c>
      <c r="H33" s="93">
        <v>169.4272</v>
      </c>
      <c r="I33" s="108">
        <v>0.51029999999999998</v>
      </c>
    </row>
    <row r="34" spans="1:22" x14ac:dyDescent="0.3">
      <c r="A34" s="7" t="s">
        <v>968</v>
      </c>
      <c r="B34" s="59">
        <v>0.12602099999999999</v>
      </c>
      <c r="C34" s="42">
        <v>5800.9570000000003</v>
      </c>
      <c r="D34" s="59">
        <v>9.9823000000000009E-2</v>
      </c>
      <c r="E34" s="93">
        <v>175.49340000000001</v>
      </c>
      <c r="F34" s="59">
        <v>3.1161999999999999E-2</v>
      </c>
      <c r="G34" s="93">
        <v>176.39660000000001</v>
      </c>
      <c r="H34" s="93">
        <v>176.39660000000001</v>
      </c>
      <c r="I34" s="108">
        <v>0.43180000000000002</v>
      </c>
    </row>
    <row r="35" spans="1:22" x14ac:dyDescent="0.3">
      <c r="A35" s="7" t="s">
        <v>969</v>
      </c>
      <c r="B35" s="59">
        <v>0.179838</v>
      </c>
      <c r="C35" s="42">
        <v>6212.5360000000001</v>
      </c>
      <c r="D35" s="59">
        <v>0.152389</v>
      </c>
      <c r="E35" s="93">
        <v>202.67339999999999</v>
      </c>
      <c r="F35" s="59">
        <v>0.19086500000000001</v>
      </c>
      <c r="G35" s="93">
        <v>184.05940000000001</v>
      </c>
      <c r="H35" s="93">
        <v>187.77189999999999</v>
      </c>
      <c r="I35" s="108">
        <v>0.29649999999999999</v>
      </c>
    </row>
    <row r="36" spans="1:22" x14ac:dyDescent="0.3">
      <c r="A36" s="14" t="s">
        <v>970</v>
      </c>
      <c r="B36" s="23">
        <v>0.106364</v>
      </c>
      <c r="C36" s="19">
        <v>5699.69</v>
      </c>
      <c r="D36" s="23">
        <v>8.0623E-2</v>
      </c>
      <c r="E36" s="109">
        <v>166.0077</v>
      </c>
      <c r="F36" s="23">
        <v>-2.4573999999999999E-2</v>
      </c>
      <c r="G36" s="109">
        <v>173.59780000000001</v>
      </c>
      <c r="H36" s="109">
        <v>173.59780000000001</v>
      </c>
      <c r="I36" s="111">
        <v>0.48680000000000001</v>
      </c>
    </row>
    <row r="37" spans="1:22" x14ac:dyDescent="0.3">
      <c r="A37" s="12" t="s">
        <v>971</v>
      </c>
      <c r="B37" s="24">
        <v>0.110488</v>
      </c>
      <c r="C37" s="20">
        <v>5757.93</v>
      </c>
      <c r="D37" s="24">
        <v>8.4651999999999991E-2</v>
      </c>
      <c r="E37" s="112">
        <v>167.97819999999999</v>
      </c>
      <c r="F37" s="24">
        <v>-1.2996000000000001E-2</v>
      </c>
      <c r="G37" s="112">
        <v>174.185</v>
      </c>
      <c r="H37" s="112">
        <v>175.20740000000001</v>
      </c>
      <c r="I37" s="114">
        <v>0.47499999999999998</v>
      </c>
    </row>
    <row r="38" spans="1:22" x14ac:dyDescent="0.3">
      <c r="A38" s="12" t="s">
        <v>972</v>
      </c>
      <c r="B38" s="24">
        <v>6.1150000000000006E-3</v>
      </c>
      <c r="C38" s="20">
        <v>4375</v>
      </c>
      <c r="D38" s="24">
        <v>-1.7292999999999999E-2</v>
      </c>
      <c r="E38" s="112">
        <v>121.3079</v>
      </c>
      <c r="F38" s="24">
        <v>-0.287221</v>
      </c>
      <c r="G38" s="112">
        <v>159.32390000000001</v>
      </c>
      <c r="H38" s="112">
        <v>136.98580000000001</v>
      </c>
      <c r="I38" s="114">
        <v>0.76100000000000001</v>
      </c>
    </row>
    <row r="39" spans="1:22" x14ac:dyDescent="0.3">
      <c r="A39" s="12" t="s">
        <v>973</v>
      </c>
      <c r="B39" s="24">
        <v>0.18820899999999999</v>
      </c>
      <c r="C39" s="20">
        <v>6977.35</v>
      </c>
      <c r="D39" s="24">
        <v>0.16056400000000001</v>
      </c>
      <c r="E39" s="112">
        <v>207.06</v>
      </c>
      <c r="F39" s="24">
        <v>0.21664</v>
      </c>
      <c r="G39" s="112">
        <v>185.25129999999999</v>
      </c>
      <c r="H39" s="112">
        <v>208.91</v>
      </c>
      <c r="I39" s="114">
        <v>0.27839999999999998</v>
      </c>
    </row>
    <row r="41" spans="1:22" x14ac:dyDescent="0.3">
      <c r="A41" s="3" t="s">
        <v>1367</v>
      </c>
      <c r="B41" s="56" t="s">
        <v>1368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42" customHeight="1" x14ac:dyDescent="0.3">
      <c r="A42" s="18" t="s">
        <v>1369</v>
      </c>
      <c r="B42" s="18" t="s">
        <v>1370</v>
      </c>
      <c r="C42" s="18" t="s">
        <v>1371</v>
      </c>
      <c r="D42" s="18" t="s">
        <v>1372</v>
      </c>
      <c r="E42" s="18" t="s">
        <v>1373</v>
      </c>
      <c r="F42" s="18" t="s">
        <v>1374</v>
      </c>
      <c r="G42" s="18" t="s">
        <v>1375</v>
      </c>
      <c r="H42" s="18" t="s">
        <v>1376</v>
      </c>
      <c r="I42" s="18" t="s">
        <v>64</v>
      </c>
      <c r="J42" s="18" t="s">
        <v>65</v>
      </c>
      <c r="K42" s="18" t="s">
        <v>664</v>
      </c>
      <c r="L42" s="18" t="s">
        <v>1348</v>
      </c>
      <c r="M42" s="18" t="s">
        <v>1377</v>
      </c>
      <c r="N42" s="18" t="s">
        <v>1378</v>
      </c>
      <c r="O42" s="18" t="s">
        <v>1379</v>
      </c>
      <c r="P42" s="18" t="s">
        <v>1380</v>
      </c>
      <c r="Q42" s="18" t="s">
        <v>1381</v>
      </c>
      <c r="R42" s="18" t="s">
        <v>1382</v>
      </c>
      <c r="S42" s="18" t="s">
        <v>1383</v>
      </c>
    </row>
    <row r="43" spans="1:22" x14ac:dyDescent="0.3">
      <c r="A43" s="7" t="s">
        <v>1384</v>
      </c>
      <c r="B43" s="93">
        <v>125.5</v>
      </c>
      <c r="C43" s="42">
        <v>65330.5</v>
      </c>
      <c r="D43" s="59">
        <v>3.0346999999999999E-2</v>
      </c>
      <c r="E43" s="59">
        <v>-6.803E-3</v>
      </c>
      <c r="F43" s="59">
        <v>5.3266000000000001E-2</v>
      </c>
      <c r="G43" s="107">
        <v>13.7332</v>
      </c>
      <c r="H43" s="59">
        <v>1.6136999999999999E-2</v>
      </c>
      <c r="I43" s="42">
        <v>14460.954400000001</v>
      </c>
      <c r="J43" s="42">
        <v>5234.8654999999999</v>
      </c>
      <c r="K43" s="55">
        <v>5.2877999999999998</v>
      </c>
      <c r="L43" s="107">
        <v>12.479900000000001</v>
      </c>
      <c r="M43" s="59">
        <v>-7.5039999999999994E-3</v>
      </c>
      <c r="N43" s="59">
        <v>-0.124057</v>
      </c>
      <c r="O43" s="59">
        <v>-0.231438</v>
      </c>
      <c r="P43" s="108">
        <v>0.75</v>
      </c>
      <c r="Q43" s="108">
        <v>0.95099999999999996</v>
      </c>
    </row>
    <row r="44" spans="1:22" x14ac:dyDescent="0.3">
      <c r="A44" s="7" t="s">
        <v>1385</v>
      </c>
      <c r="B44" s="93">
        <v>150</v>
      </c>
      <c r="C44" s="42">
        <v>79957</v>
      </c>
      <c r="D44" s="59">
        <v>8.6225999999999997E-2</v>
      </c>
      <c r="E44" s="59">
        <v>7.2599999999999998E-2</v>
      </c>
      <c r="F44" s="59">
        <v>9.9900000000000003E-2</v>
      </c>
      <c r="G44" s="107">
        <v>15.943199999999999</v>
      </c>
      <c r="H44" s="59">
        <v>7.2015999999999997E-2</v>
      </c>
      <c r="I44" s="42">
        <v>15256.1834</v>
      </c>
      <c r="J44" s="42">
        <v>5522.7384000000002</v>
      </c>
      <c r="K44" s="55">
        <v>5.6894999999999998</v>
      </c>
      <c r="L44" s="107">
        <v>14.4778</v>
      </c>
      <c r="M44" s="59">
        <v>4.7074999999999999E-2</v>
      </c>
      <c r="N44" s="59">
        <v>-9.8019999999999999E-3</v>
      </c>
      <c r="O44" s="59">
        <v>-5.9368999999999998E-2</v>
      </c>
      <c r="P44" s="108">
        <v>0.58799999999999997</v>
      </c>
      <c r="Q44" s="108">
        <v>0.75</v>
      </c>
      <c r="R44" s="59">
        <v>6.5000000000000006E-3</v>
      </c>
      <c r="S44" s="59">
        <v>0.1187</v>
      </c>
    </row>
    <row r="45" spans="1:22" x14ac:dyDescent="0.3">
      <c r="A45" s="7" t="s">
        <v>1386</v>
      </c>
      <c r="B45" s="93">
        <v>163.80000000000001</v>
      </c>
      <c r="C45" s="42">
        <v>88195.6</v>
      </c>
      <c r="D45" s="59">
        <v>0.115927</v>
      </c>
      <c r="E45" s="59">
        <v>0.106518</v>
      </c>
      <c r="F45" s="59">
        <v>0.12175900000000001</v>
      </c>
      <c r="G45" s="107">
        <v>17.117899999999999</v>
      </c>
      <c r="H45" s="59">
        <v>0.101717</v>
      </c>
      <c r="I45" s="42">
        <v>15678.873</v>
      </c>
      <c r="J45" s="42">
        <v>5675.7520000000004</v>
      </c>
      <c r="K45" s="55">
        <v>5.9031000000000002</v>
      </c>
      <c r="L45" s="107">
        <v>15.539</v>
      </c>
      <c r="M45" s="59">
        <v>7.6085E-2</v>
      </c>
      <c r="N45" s="59">
        <v>5.0927E-2</v>
      </c>
      <c r="O45" s="59">
        <v>3.7552000000000002E-2</v>
      </c>
      <c r="P45" s="108">
        <v>0.5</v>
      </c>
      <c r="Q45" s="108">
        <v>0.58199999999999996</v>
      </c>
    </row>
    <row r="46" spans="1:22" x14ac:dyDescent="0.3">
      <c r="A46" s="7" t="s">
        <v>1387</v>
      </c>
      <c r="B46" s="93">
        <v>165</v>
      </c>
      <c r="C46" s="42">
        <v>88912</v>
      </c>
      <c r="D46" s="59">
        <v>0.11845600000000001</v>
      </c>
      <c r="E46" s="59">
        <v>0.1052</v>
      </c>
      <c r="F46" s="59">
        <v>0.13170000000000001</v>
      </c>
      <c r="G46" s="107">
        <v>17.218</v>
      </c>
      <c r="H46" s="59">
        <v>0.10424600000000001</v>
      </c>
      <c r="I46" s="42">
        <v>15714.865</v>
      </c>
      <c r="J46" s="42">
        <v>5688.7811000000002</v>
      </c>
      <c r="K46" s="55">
        <v>5.9211999999999998</v>
      </c>
      <c r="L46" s="107">
        <v>15.6294</v>
      </c>
      <c r="M46" s="59">
        <v>7.8555E-2</v>
      </c>
      <c r="N46" s="59">
        <v>5.6099000000000003E-2</v>
      </c>
      <c r="O46" s="59">
        <v>4.598E-2</v>
      </c>
      <c r="P46" s="108">
        <v>0.49299999999999999</v>
      </c>
      <c r="Q46" s="108">
        <v>0.56499999999999995</v>
      </c>
      <c r="R46" s="59">
        <v>3.6400000000000002E-2</v>
      </c>
      <c r="S46" s="59">
        <v>0.14949999999999999</v>
      </c>
    </row>
    <row r="47" spans="1:22" x14ac:dyDescent="0.3">
      <c r="A47" s="11" t="s">
        <v>1388</v>
      </c>
      <c r="B47" s="127">
        <v>170.19</v>
      </c>
      <c r="C47" s="69">
        <v>92010.43</v>
      </c>
      <c r="D47" s="60">
        <v>0.129301</v>
      </c>
      <c r="E47" s="60">
        <v>0.1153</v>
      </c>
      <c r="F47" s="60">
        <v>0.1434</v>
      </c>
      <c r="G47" s="135">
        <v>17.646899999999999</v>
      </c>
      <c r="H47" s="60">
        <v>0.115091</v>
      </c>
      <c r="I47" s="69">
        <v>15869.1996</v>
      </c>
      <c r="J47" s="69">
        <v>5744.6503000000002</v>
      </c>
      <c r="K47" s="140">
        <v>5.9992000000000001</v>
      </c>
      <c r="L47" s="135">
        <v>16.0167</v>
      </c>
      <c r="M47" s="60">
        <v>8.9147999999999991E-2</v>
      </c>
      <c r="N47" s="60">
        <v>7.8272999999999995E-2</v>
      </c>
      <c r="O47" s="60">
        <v>8.2430000000000003E-2</v>
      </c>
      <c r="P47" s="136">
        <v>0.46200000000000002</v>
      </c>
      <c r="Q47" s="136">
        <v>0.49299999999999999</v>
      </c>
      <c r="R47" s="60">
        <v>4.6100000000000002E-2</v>
      </c>
      <c r="S47" s="60">
        <v>0.1595</v>
      </c>
    </row>
    <row r="48" spans="1:22" x14ac:dyDescent="0.3">
      <c r="A48" s="7" t="s">
        <v>1389</v>
      </c>
      <c r="B48" s="93">
        <v>179.5</v>
      </c>
      <c r="C48" s="42">
        <v>97568.5</v>
      </c>
      <c r="D48" s="59">
        <v>0.14838999999999999</v>
      </c>
      <c r="E48" s="59">
        <v>0.1321</v>
      </c>
      <c r="F48" s="59">
        <v>0.1648</v>
      </c>
      <c r="G48" s="107">
        <v>18.401800000000001</v>
      </c>
      <c r="H48" s="59">
        <v>0.13417999999999999</v>
      </c>
      <c r="I48" s="42">
        <v>16140.853499999999</v>
      </c>
      <c r="J48" s="42">
        <v>5842.9889000000003</v>
      </c>
      <c r="K48" s="55">
        <v>6.1364000000000001</v>
      </c>
      <c r="L48" s="107">
        <v>16.698399999999999</v>
      </c>
      <c r="M48" s="59">
        <v>0.107792</v>
      </c>
      <c r="N48" s="59">
        <v>0.117302</v>
      </c>
      <c r="O48" s="59">
        <v>0.147816</v>
      </c>
      <c r="P48" s="108">
        <v>0.40899999999999997</v>
      </c>
      <c r="Q48" s="108">
        <v>0.36599999999999999</v>
      </c>
      <c r="R48" s="59">
        <v>6.2800000000000009E-2</v>
      </c>
      <c r="S48" s="59">
        <v>0.17660000000000001</v>
      </c>
    </row>
    <row r="49" spans="1:22" x14ac:dyDescent="0.3">
      <c r="A49" s="7" t="s">
        <v>1390</v>
      </c>
      <c r="B49" s="93">
        <v>185</v>
      </c>
      <c r="C49" s="42">
        <v>100852</v>
      </c>
      <c r="D49" s="59">
        <v>0.15945699999999999</v>
      </c>
      <c r="E49" s="59">
        <v>0.14149999999999999</v>
      </c>
      <c r="F49" s="59">
        <v>0.17760000000000001</v>
      </c>
      <c r="G49" s="107">
        <v>18.839500000000001</v>
      </c>
      <c r="H49" s="59">
        <v>0.14524699999999999</v>
      </c>
      <c r="I49" s="42">
        <v>16298.3577</v>
      </c>
      <c r="J49" s="42">
        <v>5900.0055000000002</v>
      </c>
      <c r="K49" s="55">
        <v>6.2160000000000002</v>
      </c>
      <c r="L49" s="107">
        <v>17.093499999999999</v>
      </c>
      <c r="M49" s="59">
        <v>0.118602</v>
      </c>
      <c r="N49" s="59">
        <v>0.139932</v>
      </c>
      <c r="O49" s="59">
        <v>0.186444</v>
      </c>
      <c r="P49" s="108">
        <v>0.379</v>
      </c>
      <c r="Q49" s="108">
        <v>0.29699999999999999</v>
      </c>
      <c r="R49" s="59">
        <v>7.22E-2</v>
      </c>
      <c r="S49" s="59">
        <v>0.18640000000000001</v>
      </c>
    </row>
    <row r="50" spans="1:22" x14ac:dyDescent="0.3">
      <c r="A50" s="7" t="s">
        <v>1391</v>
      </c>
      <c r="B50" s="93">
        <v>197.5</v>
      </c>
      <c r="C50" s="42">
        <v>108314.5</v>
      </c>
      <c r="D50" s="59">
        <v>0.18407000000000001</v>
      </c>
      <c r="E50" s="59">
        <v>0.16189999999999999</v>
      </c>
      <c r="F50" s="59">
        <v>0.20649999999999999</v>
      </c>
      <c r="G50" s="107">
        <v>19.812999999999999</v>
      </c>
      <c r="H50" s="59">
        <v>0.16986000000000001</v>
      </c>
      <c r="I50" s="42">
        <v>16648.629799999999</v>
      </c>
      <c r="J50" s="42">
        <v>6026.8040000000001</v>
      </c>
      <c r="K50" s="55">
        <v>6.3929999999999998</v>
      </c>
      <c r="L50" s="107">
        <v>17.972100000000001</v>
      </c>
      <c r="M50" s="59">
        <v>0.14264199999999999</v>
      </c>
      <c r="N50" s="59">
        <v>0.19025700000000001</v>
      </c>
      <c r="O50" s="59">
        <v>0.27423500000000001</v>
      </c>
      <c r="P50" s="108">
        <v>0.318</v>
      </c>
      <c r="Q50" s="108">
        <v>0.17</v>
      </c>
      <c r="R50" s="59">
        <v>9.2600000000000002E-2</v>
      </c>
      <c r="S50" s="59">
        <v>0.2074</v>
      </c>
    </row>
    <row r="51" spans="1:22" x14ac:dyDescent="0.3">
      <c r="A51" s="7" t="s">
        <v>1392</v>
      </c>
      <c r="B51" s="93">
        <v>213.9</v>
      </c>
      <c r="C51" s="42">
        <v>118105.3</v>
      </c>
      <c r="D51" s="59">
        <v>0.215311</v>
      </c>
      <c r="E51" s="59">
        <v>0.202594</v>
      </c>
      <c r="F51" s="59">
        <v>0.235675</v>
      </c>
      <c r="G51" s="107">
        <v>21.048500000000001</v>
      </c>
      <c r="H51" s="59">
        <v>0.201101</v>
      </c>
      <c r="I51" s="42">
        <v>17093.231</v>
      </c>
      <c r="J51" s="42">
        <v>6187.7496000000001</v>
      </c>
      <c r="K51" s="55">
        <v>6.6176000000000004</v>
      </c>
      <c r="L51" s="107">
        <v>19.087</v>
      </c>
      <c r="M51" s="59">
        <v>0.173156</v>
      </c>
      <c r="N51" s="59">
        <v>0.254135</v>
      </c>
      <c r="O51" s="59">
        <v>0.38941599999999998</v>
      </c>
      <c r="P51" s="108">
        <v>0.25</v>
      </c>
      <c r="Q51" s="108">
        <v>6.9000000000000006E-2</v>
      </c>
    </row>
    <row r="52" spans="1:22" x14ac:dyDescent="0.3">
      <c r="A52" s="7" t="s">
        <v>1393</v>
      </c>
      <c r="B52" s="93">
        <v>220</v>
      </c>
      <c r="C52" s="42">
        <v>121747</v>
      </c>
      <c r="D52" s="59">
        <v>0.22664999999999999</v>
      </c>
      <c r="E52" s="59">
        <v>0.19639999999999999</v>
      </c>
      <c r="F52" s="59">
        <v>0.25729999999999997</v>
      </c>
      <c r="G52" s="107">
        <v>21.497</v>
      </c>
      <c r="H52" s="59">
        <v>0.21243999999999999</v>
      </c>
      <c r="I52" s="42">
        <v>17254.597600000001</v>
      </c>
      <c r="J52" s="42">
        <v>6246.1643000000004</v>
      </c>
      <c r="K52" s="55">
        <v>6.6990999999999996</v>
      </c>
      <c r="L52" s="107">
        <v>19.491499999999998</v>
      </c>
      <c r="M52" s="59">
        <v>0.18423100000000001</v>
      </c>
      <c r="N52" s="59">
        <v>0.27731899999999998</v>
      </c>
      <c r="O52" s="59">
        <v>0.43225700000000011</v>
      </c>
      <c r="P52" s="108">
        <v>0.22800000000000001</v>
      </c>
      <c r="Q52" s="108">
        <v>4.7E-2</v>
      </c>
      <c r="R52" s="59">
        <v>0.1263</v>
      </c>
      <c r="S52" s="59">
        <v>0.2422</v>
      </c>
    </row>
    <row r="54" spans="1:22" x14ac:dyDescent="0.3">
      <c r="A54" s="3" t="s">
        <v>1394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8" customHeight="1" x14ac:dyDescent="0.3">
      <c r="A55" s="17" t="s">
        <v>48</v>
      </c>
      <c r="B55" s="18" t="s">
        <v>457</v>
      </c>
      <c r="C55" s="18" t="s">
        <v>1395</v>
      </c>
      <c r="D55" s="18" t="s">
        <v>461</v>
      </c>
    </row>
    <row r="56" spans="1:22" x14ac:dyDescent="0.3">
      <c r="A56" s="7" t="s">
        <v>1396</v>
      </c>
      <c r="B56" s="93">
        <v>170.19000244140619</v>
      </c>
      <c r="C56" s="90" t="s">
        <v>1397</v>
      </c>
      <c r="D56" s="97" t="s">
        <v>1398</v>
      </c>
    </row>
    <row r="57" spans="1:22" x14ac:dyDescent="0.3">
      <c r="A57" s="7" t="s">
        <v>1399</v>
      </c>
      <c r="B57" s="141" t="s">
        <v>1400</v>
      </c>
      <c r="C57" s="90" t="s">
        <v>1401</v>
      </c>
      <c r="D57" s="97" t="s">
        <v>1402</v>
      </c>
    </row>
    <row r="58" spans="1:22" x14ac:dyDescent="0.3">
      <c r="A58" s="7" t="s">
        <v>1403</v>
      </c>
      <c r="B58" s="59">
        <v>7.7270000000000005E-2</v>
      </c>
      <c r="C58" s="90" t="s">
        <v>1401</v>
      </c>
      <c r="D58" s="97" t="s">
        <v>1404</v>
      </c>
    </row>
    <row r="59" spans="1:22" x14ac:dyDescent="0.3">
      <c r="A59" s="7" t="s">
        <v>1405</v>
      </c>
      <c r="B59" s="59">
        <v>0.13544</v>
      </c>
      <c r="C59" s="90" t="s">
        <v>1401</v>
      </c>
      <c r="D59" s="97" t="s">
        <v>1406</v>
      </c>
    </row>
    <row r="60" spans="1:22" x14ac:dyDescent="0.3">
      <c r="A60" s="7" t="s">
        <v>1407</v>
      </c>
      <c r="B60" s="59">
        <v>0.31109999999999999</v>
      </c>
      <c r="C60" s="90" t="s">
        <v>1401</v>
      </c>
      <c r="D60" s="97" t="s">
        <v>1408</v>
      </c>
    </row>
    <row r="61" spans="1:22" x14ac:dyDescent="0.3">
      <c r="A61" s="7" t="s">
        <v>1409</v>
      </c>
      <c r="B61" s="59">
        <v>0.38419999999999999</v>
      </c>
      <c r="C61" s="90" t="s">
        <v>1401</v>
      </c>
      <c r="D61" s="97" t="s">
        <v>1410</v>
      </c>
    </row>
    <row r="62" spans="1:22" x14ac:dyDescent="0.3">
      <c r="A62" s="7" t="s">
        <v>1411</v>
      </c>
      <c r="B62" s="59">
        <v>0.39520000000000011</v>
      </c>
      <c r="C62" s="90" t="s">
        <v>1401</v>
      </c>
      <c r="D62" s="97" t="s">
        <v>1412</v>
      </c>
    </row>
    <row r="63" spans="1:22" x14ac:dyDescent="0.3">
      <c r="A63" s="7" t="s">
        <v>1413</v>
      </c>
      <c r="B63" s="59">
        <v>9.8800000000000013E-2</v>
      </c>
      <c r="C63" s="90" t="s">
        <v>1401</v>
      </c>
      <c r="D63" s="97" t="s">
        <v>1414</v>
      </c>
    </row>
    <row r="64" spans="1:22" x14ac:dyDescent="0.3">
      <c r="A64" s="7" t="s">
        <v>1415</v>
      </c>
      <c r="B64" s="59">
        <v>9.1600000000000001E-2</v>
      </c>
      <c r="C64" s="90" t="s">
        <v>1401</v>
      </c>
      <c r="D64" s="97" t="s">
        <v>1416</v>
      </c>
    </row>
    <row r="65" spans="1:4" x14ac:dyDescent="0.3">
      <c r="A65" s="7" t="s">
        <v>1417</v>
      </c>
      <c r="B65" s="59">
        <v>9.7299999999999998E-2</v>
      </c>
      <c r="C65" s="90" t="s">
        <v>1401</v>
      </c>
      <c r="D65" s="97" t="s">
        <v>1418</v>
      </c>
    </row>
    <row r="66" spans="1:4" x14ac:dyDescent="0.3">
      <c r="A66" s="7" t="s">
        <v>1419</v>
      </c>
      <c r="B66" s="59">
        <v>8.3000000000000004E-2</v>
      </c>
      <c r="C66" s="90" t="s">
        <v>1401</v>
      </c>
      <c r="D66" s="97" t="s">
        <v>1420</v>
      </c>
    </row>
    <row r="67" spans="1:4" x14ac:dyDescent="0.3">
      <c r="A67" s="7" t="s">
        <v>1421</v>
      </c>
      <c r="B67" s="59">
        <v>9.7699999999999995E-2</v>
      </c>
      <c r="C67" s="90" t="s">
        <v>1401</v>
      </c>
      <c r="D67" s="97" t="s">
        <v>1422</v>
      </c>
    </row>
    <row r="68" spans="1:4" x14ac:dyDescent="0.3">
      <c r="A68" s="30" t="s">
        <v>1423</v>
      </c>
      <c r="B68" s="142" t="s">
        <v>1424</v>
      </c>
      <c r="C68" s="143" t="s">
        <v>1425</v>
      </c>
      <c r="D68" s="97" t="s">
        <v>1426</v>
      </c>
    </row>
    <row r="69" spans="1:4" x14ac:dyDescent="0.3">
      <c r="A69" s="30" t="s">
        <v>1427</v>
      </c>
      <c r="B69" s="142" t="s">
        <v>1428</v>
      </c>
      <c r="C69" s="143" t="s">
        <v>1425</v>
      </c>
      <c r="D69" s="97" t="s">
        <v>1429</v>
      </c>
    </row>
    <row r="70" spans="1:4" x14ac:dyDescent="0.3">
      <c r="A70" s="7" t="s">
        <v>1430</v>
      </c>
      <c r="B70" s="59">
        <v>0.1047</v>
      </c>
      <c r="C70" s="90" t="s">
        <v>1401</v>
      </c>
      <c r="D70" s="97" t="s">
        <v>1431</v>
      </c>
    </row>
    <row r="71" spans="1:4" x14ac:dyDescent="0.3">
      <c r="A71" s="7" t="s">
        <v>1432</v>
      </c>
      <c r="B71" s="59">
        <v>8.9200000000000002E-2</v>
      </c>
      <c r="C71" s="90" t="s">
        <v>1401</v>
      </c>
      <c r="D71" s="97" t="s">
        <v>1433</v>
      </c>
    </row>
    <row r="72" spans="1:4" x14ac:dyDescent="0.3">
      <c r="A72" s="7" t="s">
        <v>1434</v>
      </c>
      <c r="B72" s="59">
        <v>8.48E-2</v>
      </c>
      <c r="C72" s="90" t="s">
        <v>1401</v>
      </c>
      <c r="D72" s="97" t="s">
        <v>1435</v>
      </c>
    </row>
    <row r="73" spans="1:4" x14ac:dyDescent="0.3">
      <c r="A73" s="7" t="s">
        <v>1436</v>
      </c>
      <c r="B73" s="141" t="s">
        <v>1437</v>
      </c>
      <c r="C73" s="90" t="s">
        <v>1401</v>
      </c>
      <c r="D73" s="97" t="s">
        <v>1438</v>
      </c>
    </row>
    <row r="74" spans="1:4" x14ac:dyDescent="0.3">
      <c r="A74" s="7" t="s">
        <v>1439</v>
      </c>
      <c r="B74" s="141" t="s">
        <v>1440</v>
      </c>
      <c r="C74" s="90" t="s">
        <v>1401</v>
      </c>
      <c r="D74" s="97" t="s">
        <v>1438</v>
      </c>
    </row>
    <row r="75" spans="1:4" x14ac:dyDescent="0.3">
      <c r="A75" s="7" t="s">
        <v>1441</v>
      </c>
      <c r="B75" s="141" t="s">
        <v>1442</v>
      </c>
      <c r="C75" s="90" t="s">
        <v>1401</v>
      </c>
      <c r="D75" s="97" t="s">
        <v>1443</v>
      </c>
    </row>
    <row r="76" spans="1:4" x14ac:dyDescent="0.3">
      <c r="A76" s="7" t="s">
        <v>1444</v>
      </c>
      <c r="B76" s="141" t="s">
        <v>1445</v>
      </c>
      <c r="C76" s="90" t="s">
        <v>1401</v>
      </c>
      <c r="D76" s="97" t="s">
        <v>1446</v>
      </c>
    </row>
    <row r="77" spans="1:4" x14ac:dyDescent="0.3">
      <c r="A77" s="7" t="s">
        <v>1447</v>
      </c>
      <c r="B77" s="108">
        <v>-3.47</v>
      </c>
      <c r="C77" s="90" t="s">
        <v>1401</v>
      </c>
      <c r="D77" s="97" t="s">
        <v>1448</v>
      </c>
    </row>
    <row r="78" spans="1:4" x14ac:dyDescent="0.3">
      <c r="A78" s="7" t="s">
        <v>1449</v>
      </c>
      <c r="B78" s="108">
        <v>3.31</v>
      </c>
      <c r="C78" s="90" t="s">
        <v>1401</v>
      </c>
      <c r="D78" s="97" t="s">
        <v>1450</v>
      </c>
    </row>
    <row r="79" spans="1:4" x14ac:dyDescent="0.3">
      <c r="A79" s="7" t="s">
        <v>1451</v>
      </c>
      <c r="B79" s="144">
        <v>0.84499999999999997</v>
      </c>
      <c r="C79" s="90" t="s">
        <v>1401</v>
      </c>
      <c r="D79" s="97" t="s">
        <v>1452</v>
      </c>
    </row>
    <row r="80" spans="1:4" x14ac:dyDescent="0.3">
      <c r="A80" s="7" t="s">
        <v>1453</v>
      </c>
      <c r="B80" s="108">
        <v>0.49299999999999999</v>
      </c>
      <c r="C80" s="90" t="s">
        <v>1401</v>
      </c>
      <c r="D80" s="97" t="s">
        <v>1454</v>
      </c>
    </row>
    <row r="81" spans="1:7" x14ac:dyDescent="0.3">
      <c r="A81" s="7" t="s">
        <v>1455</v>
      </c>
      <c r="B81" s="93">
        <v>98.7</v>
      </c>
      <c r="C81" s="90" t="s">
        <v>1401</v>
      </c>
      <c r="D81" s="97" t="s">
        <v>1456</v>
      </c>
    </row>
    <row r="82" spans="1:7" x14ac:dyDescent="0.3">
      <c r="A82" s="30" t="s">
        <v>1457</v>
      </c>
      <c r="B82" s="61">
        <v>125.5</v>
      </c>
      <c r="C82" s="143" t="s">
        <v>1401</v>
      </c>
      <c r="D82" s="10"/>
    </row>
    <row r="83" spans="1:7" x14ac:dyDescent="0.3">
      <c r="A83" s="30" t="s">
        <v>1458</v>
      </c>
      <c r="B83" s="61">
        <v>163.80000000000001</v>
      </c>
      <c r="C83" s="143" t="s">
        <v>1401</v>
      </c>
      <c r="D83" s="97" t="s">
        <v>1459</v>
      </c>
    </row>
    <row r="84" spans="1:7" x14ac:dyDescent="0.3">
      <c r="A84" s="30" t="s">
        <v>1460</v>
      </c>
      <c r="B84" s="61">
        <v>213.9</v>
      </c>
      <c r="C84" s="143" t="s">
        <v>1401</v>
      </c>
      <c r="D84" s="10"/>
    </row>
    <row r="85" spans="1:7" x14ac:dyDescent="0.3">
      <c r="A85" s="7" t="s">
        <v>1461</v>
      </c>
      <c r="B85" s="93">
        <v>271.89999999999998</v>
      </c>
      <c r="C85" s="90" t="s">
        <v>1401</v>
      </c>
      <c r="D85" s="10"/>
    </row>
    <row r="86" spans="1:7" x14ac:dyDescent="0.3">
      <c r="A86" s="7" t="s">
        <v>1462</v>
      </c>
      <c r="B86" s="93">
        <v>123.8</v>
      </c>
      <c r="C86" s="90" t="s">
        <v>1401</v>
      </c>
      <c r="D86" s="97" t="s">
        <v>1463</v>
      </c>
    </row>
    <row r="87" spans="1:7" x14ac:dyDescent="0.3">
      <c r="A87" s="7" t="s">
        <v>1464</v>
      </c>
      <c r="B87" s="93">
        <v>166.8</v>
      </c>
      <c r="C87" s="90" t="s">
        <v>1401</v>
      </c>
      <c r="D87" s="97" t="s">
        <v>1465</v>
      </c>
    </row>
    <row r="88" spans="1:7" x14ac:dyDescent="0.3">
      <c r="A88" s="7" t="s">
        <v>1466</v>
      </c>
      <c r="B88" s="93">
        <v>217.2</v>
      </c>
      <c r="C88" s="90" t="s">
        <v>1401</v>
      </c>
      <c r="D88" s="97" t="s">
        <v>1465</v>
      </c>
    </row>
    <row r="89" spans="1:7" x14ac:dyDescent="0.3">
      <c r="A89" s="30" t="s">
        <v>1467</v>
      </c>
      <c r="B89" s="142" t="s">
        <v>1468</v>
      </c>
      <c r="C89" s="143" t="s">
        <v>1401</v>
      </c>
      <c r="D89" s="97" t="s">
        <v>1469</v>
      </c>
    </row>
    <row r="90" spans="1:7" x14ac:dyDescent="0.3">
      <c r="A90" s="7" t="s">
        <v>1470</v>
      </c>
      <c r="B90" s="141" t="s">
        <v>1471</v>
      </c>
      <c r="C90" s="90" t="s">
        <v>1401</v>
      </c>
      <c r="D90" s="97" t="s">
        <v>1472</v>
      </c>
    </row>
    <row r="91" spans="1:7" x14ac:dyDescent="0.3">
      <c r="A91" s="7" t="s">
        <v>1473</v>
      </c>
      <c r="B91" s="141" t="s">
        <v>1474</v>
      </c>
      <c r="C91" s="90" t="s">
        <v>1401</v>
      </c>
      <c r="D91" s="97" t="s">
        <v>1385</v>
      </c>
    </row>
    <row r="92" spans="1:7" x14ac:dyDescent="0.3">
      <c r="A92" s="7" t="s">
        <v>1475</v>
      </c>
      <c r="B92" s="141" t="s">
        <v>1476</v>
      </c>
      <c r="C92" s="90" t="s">
        <v>1401</v>
      </c>
      <c r="D92" s="97" t="s">
        <v>1477</v>
      </c>
    </row>
    <row r="94" spans="1:7" x14ac:dyDescent="0.3">
      <c r="A94" s="124" t="s">
        <v>1478</v>
      </c>
    </row>
    <row r="95" spans="1:7" ht="42" customHeight="1" x14ac:dyDescent="0.3">
      <c r="A95" s="18" t="s">
        <v>1479</v>
      </c>
      <c r="B95" s="18" t="s">
        <v>1480</v>
      </c>
      <c r="C95" s="18" t="s">
        <v>1481</v>
      </c>
      <c r="D95" s="18" t="s">
        <v>1482</v>
      </c>
      <c r="E95" s="18" t="s">
        <v>1483</v>
      </c>
      <c r="F95" s="18" t="s">
        <v>1484</v>
      </c>
      <c r="G95" s="18" t="s">
        <v>1485</v>
      </c>
    </row>
    <row r="96" spans="1:7" x14ac:dyDescent="0.3">
      <c r="A96" s="7" t="s">
        <v>1486</v>
      </c>
      <c r="B96" s="93">
        <v>125</v>
      </c>
      <c r="C96" s="59">
        <v>-0.26600000000000001</v>
      </c>
      <c r="D96" s="108">
        <v>0.753</v>
      </c>
      <c r="E96" s="108">
        <v>0.75700000000000001</v>
      </c>
      <c r="F96" s="108">
        <v>0.747</v>
      </c>
      <c r="G96" s="108">
        <v>0.74299999999999999</v>
      </c>
    </row>
    <row r="97" spans="1:19" x14ac:dyDescent="0.3">
      <c r="A97" s="7" t="s">
        <v>1385</v>
      </c>
      <c r="B97" s="93">
        <v>150</v>
      </c>
      <c r="C97" s="59">
        <v>-0.11899999999999999</v>
      </c>
      <c r="D97" s="108">
        <v>0.58799999999999997</v>
      </c>
      <c r="E97" s="108">
        <v>0.59199999999999997</v>
      </c>
      <c r="F97" s="108">
        <v>0.58399999999999996</v>
      </c>
      <c r="G97" s="108">
        <v>0.59899999999999998</v>
      </c>
    </row>
    <row r="98" spans="1:19" x14ac:dyDescent="0.3">
      <c r="A98" s="7" t="s">
        <v>1487</v>
      </c>
      <c r="B98" s="93">
        <v>165</v>
      </c>
      <c r="C98" s="59">
        <v>-0.03</v>
      </c>
      <c r="D98" s="108">
        <v>0.49299999999999999</v>
      </c>
      <c r="E98" s="108">
        <v>0.497</v>
      </c>
      <c r="F98" s="108">
        <v>0.49</v>
      </c>
      <c r="G98" s="108">
        <v>0.51</v>
      </c>
    </row>
    <row r="99" spans="1:19" x14ac:dyDescent="0.3">
      <c r="A99" s="11" t="s">
        <v>1488</v>
      </c>
      <c r="B99" s="127">
        <v>170.19</v>
      </c>
      <c r="C99" s="60">
        <v>0</v>
      </c>
      <c r="D99" s="136">
        <v>0.46200000000000002</v>
      </c>
      <c r="E99" s="136">
        <v>0.46500000000000002</v>
      </c>
      <c r="F99" s="136">
        <v>0.45900000000000002</v>
      </c>
      <c r="G99" s="136">
        <v>0.48</v>
      </c>
    </row>
    <row r="100" spans="1:19" x14ac:dyDescent="0.3">
      <c r="A100" s="7" t="s">
        <v>1489</v>
      </c>
      <c r="B100" s="93">
        <v>179.5</v>
      </c>
      <c r="C100" s="59">
        <v>5.5E-2</v>
      </c>
      <c r="D100" s="108">
        <v>0.40899999999999997</v>
      </c>
      <c r="E100" s="108">
        <v>0.41199999999999998</v>
      </c>
      <c r="F100" s="108">
        <v>0.41</v>
      </c>
      <c r="G100" s="108">
        <v>0.42799999999999999</v>
      </c>
    </row>
    <row r="101" spans="1:19" x14ac:dyDescent="0.3">
      <c r="A101" s="7" t="s">
        <v>1390</v>
      </c>
      <c r="B101" s="93">
        <v>185</v>
      </c>
      <c r="C101" s="59">
        <v>8.6999999999999994E-2</v>
      </c>
      <c r="D101" s="108">
        <v>0.379</v>
      </c>
      <c r="E101" s="108">
        <v>0.38200000000000001</v>
      </c>
      <c r="F101" s="108">
        <v>0.38</v>
      </c>
      <c r="G101" s="108">
        <v>0.39900000000000002</v>
      </c>
    </row>
    <row r="102" spans="1:19" x14ac:dyDescent="0.3">
      <c r="A102" s="7" t="s">
        <v>1490</v>
      </c>
      <c r="B102" s="93">
        <v>197.5</v>
      </c>
      <c r="C102" s="59">
        <v>0.16</v>
      </c>
      <c r="D102" s="108">
        <v>0.318</v>
      </c>
      <c r="E102" s="108">
        <v>0.32100000000000001</v>
      </c>
      <c r="F102" s="108">
        <v>0.318</v>
      </c>
      <c r="G102" s="108">
        <v>0.33600000000000002</v>
      </c>
    </row>
    <row r="103" spans="1:19" x14ac:dyDescent="0.3">
      <c r="A103" s="7" t="s">
        <v>1472</v>
      </c>
      <c r="B103" s="93">
        <v>220</v>
      </c>
      <c r="C103" s="59">
        <v>0.29299999999999998</v>
      </c>
      <c r="D103" s="108">
        <v>0.22800000000000001</v>
      </c>
      <c r="E103" s="108">
        <v>0.23</v>
      </c>
      <c r="F103" s="108">
        <v>0.22600000000000001</v>
      </c>
      <c r="G103" s="108">
        <v>0.23899999999999999</v>
      </c>
    </row>
    <row r="105" spans="1:19" x14ac:dyDescent="0.3">
      <c r="A105" s="124" t="s">
        <v>1491</v>
      </c>
    </row>
    <row r="106" spans="1:19" ht="42" customHeight="1" x14ac:dyDescent="0.3">
      <c r="A106" s="18" t="s">
        <v>1492</v>
      </c>
      <c r="B106" s="18" t="s">
        <v>1493</v>
      </c>
      <c r="C106" s="18" t="s">
        <v>268</v>
      </c>
      <c r="D106" s="18" t="s">
        <v>1494</v>
      </c>
      <c r="E106" s="18" t="s">
        <v>1495</v>
      </c>
      <c r="F106" s="18" t="s">
        <v>1496</v>
      </c>
      <c r="G106" s="18" t="s">
        <v>1497</v>
      </c>
      <c r="H106" s="18" t="s">
        <v>1498</v>
      </c>
      <c r="I106" s="18" t="s">
        <v>1499</v>
      </c>
      <c r="J106" s="18" t="s">
        <v>1500</v>
      </c>
      <c r="K106" s="18" t="s">
        <v>1501</v>
      </c>
      <c r="L106" s="18" t="s">
        <v>1502</v>
      </c>
      <c r="M106" s="18" t="s">
        <v>1503</v>
      </c>
      <c r="N106" s="18" t="s">
        <v>1504</v>
      </c>
      <c r="O106" s="18" t="s">
        <v>1505</v>
      </c>
      <c r="P106" s="18" t="s">
        <v>1506</v>
      </c>
      <c r="Q106" s="18" t="s">
        <v>1507</v>
      </c>
      <c r="R106" s="18" t="s">
        <v>1508</v>
      </c>
      <c r="S106" s="18" t="s">
        <v>1509</v>
      </c>
    </row>
    <row r="107" spans="1:19" x14ac:dyDescent="0.3">
      <c r="A107" s="7" t="s">
        <v>1510</v>
      </c>
      <c r="B107" s="7" t="s">
        <v>1511</v>
      </c>
      <c r="C107" s="76">
        <v>23</v>
      </c>
      <c r="D107" s="59">
        <v>7.0699999999999999E-2</v>
      </c>
      <c r="E107" s="59">
        <v>6.8699999999999997E-2</v>
      </c>
      <c r="F107" s="59">
        <v>8.9200000000000002E-2</v>
      </c>
      <c r="G107" s="59">
        <v>1.1599999999999999E-2</v>
      </c>
      <c r="H107" s="59">
        <v>0.48</v>
      </c>
      <c r="I107" s="59">
        <v>0.35</v>
      </c>
      <c r="J107" s="76">
        <v>13</v>
      </c>
      <c r="K107" s="76">
        <v>10</v>
      </c>
      <c r="L107" s="59">
        <v>7.2800000000000004E-2</v>
      </c>
      <c r="M107" s="59">
        <v>-6.8000000000000005E-2</v>
      </c>
      <c r="N107" s="59">
        <v>5.9499999999999997E-2</v>
      </c>
      <c r="O107" s="59">
        <v>3.2199999999999999E-2</v>
      </c>
      <c r="P107" s="59">
        <v>-0.1047</v>
      </c>
      <c r="Q107" s="59">
        <v>-5.0999999999999997E-2</v>
      </c>
      <c r="R107" s="59">
        <v>6.1799999999999987E-2</v>
      </c>
      <c r="S107" s="59">
        <v>0.13350000000000001</v>
      </c>
    </row>
    <row r="108" spans="1:19" x14ac:dyDescent="0.3">
      <c r="A108" s="7" t="s">
        <v>1510</v>
      </c>
      <c r="B108" s="7" t="s">
        <v>1512</v>
      </c>
      <c r="C108" s="76">
        <v>23</v>
      </c>
      <c r="D108" s="59">
        <v>6.8099999999999994E-2</v>
      </c>
      <c r="E108" s="59">
        <v>5.1399999999999987E-2</v>
      </c>
      <c r="F108" s="59">
        <v>8.48E-2</v>
      </c>
      <c r="G108" s="59">
        <v>5.1000000000000004E-3</v>
      </c>
      <c r="H108" s="59">
        <v>0.48</v>
      </c>
      <c r="I108" s="59">
        <v>0.3</v>
      </c>
      <c r="J108" s="76">
        <v>11</v>
      </c>
      <c r="K108" s="76">
        <v>12</v>
      </c>
      <c r="L108" s="59">
        <v>7.6600000000000001E-2</v>
      </c>
      <c r="M108" s="59">
        <v>-6.0400000000000002E-2</v>
      </c>
      <c r="N108" s="59">
        <v>5.9499999999999997E-2</v>
      </c>
      <c r="O108" s="59">
        <v>3.2199999999999999E-2</v>
      </c>
      <c r="P108" s="59">
        <v>-9.7500000000000003E-2</v>
      </c>
      <c r="Q108" s="59">
        <v>-6.1100000000000002E-2</v>
      </c>
      <c r="R108" s="59">
        <v>4.3799999999999999E-2</v>
      </c>
      <c r="S108" s="59">
        <v>0.12920000000000001</v>
      </c>
    </row>
    <row r="109" spans="1:19" x14ac:dyDescent="0.3">
      <c r="A109" s="7" t="s">
        <v>1513</v>
      </c>
      <c r="B109" s="7" t="s">
        <v>1511</v>
      </c>
      <c r="C109" s="76">
        <v>8</v>
      </c>
      <c r="D109" s="59">
        <v>6.9099999999999995E-2</v>
      </c>
      <c r="E109" s="59">
        <v>6.3399999999999998E-2</v>
      </c>
      <c r="F109" s="59">
        <v>9.1899999999999996E-2</v>
      </c>
      <c r="G109" s="59">
        <v>2.7300000000000001E-2</v>
      </c>
      <c r="H109" s="59">
        <v>0.5</v>
      </c>
      <c r="I109" s="59">
        <v>0.25</v>
      </c>
      <c r="J109" s="76">
        <v>6</v>
      </c>
      <c r="K109" s="76">
        <v>2</v>
      </c>
      <c r="L109" s="59">
        <v>6.4299999999999996E-2</v>
      </c>
      <c r="M109" s="59">
        <v>-8.3400000000000002E-2</v>
      </c>
      <c r="N109" s="59">
        <v>6.7900000000000002E-2</v>
      </c>
      <c r="O109" s="59">
        <v>2.7199999999999998E-2</v>
      </c>
      <c r="P109" s="59">
        <v>-8.2100000000000006E-2</v>
      </c>
      <c r="Q109" s="59">
        <v>-1.7899999999999999E-2</v>
      </c>
      <c r="R109" s="59">
        <v>7.0999999999999994E-2</v>
      </c>
      <c r="S109" s="59">
        <v>0.15340000000000001</v>
      </c>
    </row>
    <row r="110" spans="1:19" x14ac:dyDescent="0.3">
      <c r="A110" s="7" t="s">
        <v>1513</v>
      </c>
      <c r="B110" s="7" t="s">
        <v>1512</v>
      </c>
      <c r="C110" s="76">
        <v>8</v>
      </c>
      <c r="D110" s="59">
        <v>6.8199999999999997E-2</v>
      </c>
      <c r="E110" s="59">
        <v>6.4000000000000001E-2</v>
      </c>
      <c r="F110" s="59">
        <v>8.8800000000000004E-2</v>
      </c>
      <c r="G110" s="59">
        <v>2.01E-2</v>
      </c>
      <c r="H110" s="59">
        <v>0.5</v>
      </c>
      <c r="I110" s="59">
        <v>0.25</v>
      </c>
      <c r="J110" s="76">
        <v>4</v>
      </c>
      <c r="K110" s="76">
        <v>4</v>
      </c>
      <c r="L110" s="59">
        <v>8.8300000000000003E-2</v>
      </c>
      <c r="M110" s="59">
        <v>-4.8099999999999997E-2</v>
      </c>
      <c r="N110" s="59">
        <v>6.7900000000000002E-2</v>
      </c>
      <c r="O110" s="59">
        <v>2.7199999999999998E-2</v>
      </c>
      <c r="P110" s="59">
        <v>-8.4900000000000003E-2</v>
      </c>
      <c r="Q110" s="59">
        <v>-3.3000000000000002E-2</v>
      </c>
      <c r="R110" s="59">
        <v>6.83E-2</v>
      </c>
      <c r="S110" s="59">
        <v>0.14699999999999999</v>
      </c>
    </row>
    <row r="111" spans="1:19" x14ac:dyDescent="0.3">
      <c r="A111" s="7" t="s">
        <v>1514</v>
      </c>
      <c r="B111" s="7" t="s">
        <v>1511</v>
      </c>
      <c r="C111" s="76">
        <v>12</v>
      </c>
      <c r="D111" s="59">
        <v>6.7099999999999993E-2</v>
      </c>
      <c r="E111" s="59">
        <v>5.7599999999999998E-2</v>
      </c>
      <c r="F111" s="59">
        <v>8.7300000000000003E-2</v>
      </c>
      <c r="G111" s="59">
        <v>-2.8999999999999998E-3</v>
      </c>
      <c r="H111" s="59">
        <v>0.42</v>
      </c>
      <c r="I111" s="59">
        <v>0.25</v>
      </c>
      <c r="J111" s="76">
        <v>6</v>
      </c>
      <c r="K111" s="76">
        <v>6</v>
      </c>
      <c r="L111" s="59">
        <v>6.4299999999999996E-2</v>
      </c>
      <c r="M111" s="59">
        <v>-7.0000000000000007E-2</v>
      </c>
      <c r="N111" s="59">
        <v>6.7400000000000002E-2</v>
      </c>
      <c r="O111" s="59">
        <v>2.6800000000000001E-2</v>
      </c>
      <c r="P111" s="59">
        <v>-8.5900000000000004E-2</v>
      </c>
      <c r="Q111" s="59">
        <v>-7.1599999999999997E-2</v>
      </c>
      <c r="R111" s="59">
        <v>1.9199999999999998E-2</v>
      </c>
      <c r="S111" s="59">
        <v>0.13469999999999999</v>
      </c>
    </row>
    <row r="112" spans="1:19" x14ac:dyDescent="0.3">
      <c r="A112" s="7" t="s">
        <v>1514</v>
      </c>
      <c r="B112" s="7" t="s">
        <v>1512</v>
      </c>
      <c r="C112" s="76">
        <v>12</v>
      </c>
      <c r="D112" s="59">
        <v>6.83E-2</v>
      </c>
      <c r="E112" s="59">
        <v>6.1100000000000002E-2</v>
      </c>
      <c r="F112" s="59">
        <v>8.5000000000000006E-2</v>
      </c>
      <c r="G112" s="59">
        <v>-9.3999999999999986E-3</v>
      </c>
      <c r="H112" s="59">
        <v>0.5</v>
      </c>
      <c r="I112" s="59">
        <v>0.25</v>
      </c>
      <c r="J112" s="76">
        <v>4</v>
      </c>
      <c r="K112" s="76">
        <v>8</v>
      </c>
      <c r="L112" s="59">
        <v>8.8300000000000003E-2</v>
      </c>
      <c r="M112" s="59">
        <v>-5.8200000000000002E-2</v>
      </c>
      <c r="N112" s="59">
        <v>6.7400000000000002E-2</v>
      </c>
      <c r="O112" s="59">
        <v>2.6800000000000001E-2</v>
      </c>
      <c r="P112" s="59">
        <v>-8.7300000000000003E-2</v>
      </c>
      <c r="Q112" s="59">
        <v>-7.4099999999999999E-2</v>
      </c>
      <c r="R112" s="59">
        <v>1.5599999999999999E-2</v>
      </c>
      <c r="S112" s="59">
        <v>0.13070000000000001</v>
      </c>
    </row>
    <row r="113" spans="1:19" x14ac:dyDescent="0.3">
      <c r="A113" s="7" t="s">
        <v>1515</v>
      </c>
      <c r="B113" s="7" t="s">
        <v>1511</v>
      </c>
      <c r="C113" s="76">
        <v>11</v>
      </c>
      <c r="D113" s="59">
        <v>7.0199999999999999E-2</v>
      </c>
      <c r="E113" s="59">
        <v>6.8699999999999997E-2</v>
      </c>
      <c r="F113" s="59">
        <v>9.0700000000000003E-2</v>
      </c>
      <c r="G113" s="59">
        <v>-1E-4</v>
      </c>
      <c r="H113" s="59">
        <v>0.45</v>
      </c>
      <c r="I113" s="59">
        <v>0.27</v>
      </c>
      <c r="J113" s="76">
        <v>6</v>
      </c>
      <c r="K113" s="76">
        <v>5</v>
      </c>
      <c r="L113" s="59">
        <v>6.4299999999999996E-2</v>
      </c>
      <c r="M113" s="59">
        <v>-7.7300000000000008E-2</v>
      </c>
      <c r="N113" s="59">
        <v>7.1300000000000002E-2</v>
      </c>
      <c r="O113" s="59">
        <v>2.3599999999999999E-2</v>
      </c>
      <c r="P113" s="59">
        <v>-8.6599999999999996E-2</v>
      </c>
      <c r="Q113" s="59">
        <v>-7.4499999999999997E-2</v>
      </c>
      <c r="R113" s="59">
        <v>2.8299999999999999E-2</v>
      </c>
      <c r="S113" s="59">
        <v>0.14449999999999999</v>
      </c>
    </row>
    <row r="114" spans="1:19" x14ac:dyDescent="0.3">
      <c r="A114" s="7" t="s">
        <v>1515</v>
      </c>
      <c r="B114" s="7" t="s">
        <v>1512</v>
      </c>
      <c r="C114" s="76">
        <v>11</v>
      </c>
      <c r="D114" s="59">
        <v>6.9800000000000001E-2</v>
      </c>
      <c r="E114" s="59">
        <v>7.0900000000000005E-2</v>
      </c>
      <c r="F114" s="59">
        <v>8.7400000000000005E-2</v>
      </c>
      <c r="G114" s="59">
        <v>-5.6000000000000008E-3</v>
      </c>
      <c r="H114" s="59">
        <v>0.55000000000000004</v>
      </c>
      <c r="I114" s="59">
        <v>0.27</v>
      </c>
      <c r="J114" s="76">
        <v>4</v>
      </c>
      <c r="K114" s="76">
        <v>7</v>
      </c>
      <c r="L114" s="59">
        <v>8.8300000000000003E-2</v>
      </c>
      <c r="M114" s="59">
        <v>-5.9200000000000003E-2</v>
      </c>
      <c r="N114" s="59">
        <v>7.1300000000000002E-2</v>
      </c>
      <c r="O114" s="59">
        <v>2.3599999999999999E-2</v>
      </c>
      <c r="P114" s="59">
        <v>-8.7799999999999989E-2</v>
      </c>
      <c r="Q114" s="59">
        <v>-7.7300000000000008E-2</v>
      </c>
      <c r="R114" s="59">
        <v>2.52E-2</v>
      </c>
      <c r="S114" s="59">
        <v>0.14030000000000001</v>
      </c>
    </row>
    <row r="115" spans="1:19" x14ac:dyDescent="0.3">
      <c r="A115" s="7" t="s">
        <v>1516</v>
      </c>
      <c r="B115" s="7" t="s">
        <v>1511</v>
      </c>
      <c r="C115" s="76">
        <v>5</v>
      </c>
      <c r="D115" s="59">
        <v>7.7399999999999997E-2</v>
      </c>
      <c r="E115" s="59">
        <v>8.6599999999999996E-2</v>
      </c>
      <c r="F115" s="59">
        <v>9.3299999999999994E-2</v>
      </c>
      <c r="G115" s="59">
        <v>-2.4299999999999999E-2</v>
      </c>
      <c r="H115" s="59">
        <v>0.6</v>
      </c>
      <c r="I115" s="59">
        <v>0.4</v>
      </c>
      <c r="J115" s="76">
        <v>2</v>
      </c>
      <c r="K115" s="76">
        <v>3</v>
      </c>
      <c r="L115" s="59">
        <v>6.6400000000000001E-2</v>
      </c>
      <c r="M115" s="59">
        <v>-8.4700000000000011E-2</v>
      </c>
      <c r="N115" s="59">
        <v>5.0900000000000001E-2</v>
      </c>
      <c r="O115" s="59">
        <v>4.7399999999999998E-2</v>
      </c>
      <c r="P115" s="59">
        <v>-0.1152</v>
      </c>
      <c r="Q115" s="59">
        <v>-8.6599999999999996E-2</v>
      </c>
      <c r="R115" s="59">
        <v>2.8999999999999998E-3</v>
      </c>
      <c r="S115" s="59">
        <v>7.9100000000000004E-2</v>
      </c>
    </row>
    <row r="116" spans="1:19" x14ac:dyDescent="0.3">
      <c r="A116" s="7" t="s">
        <v>1516</v>
      </c>
      <c r="B116" s="7" t="s">
        <v>1512</v>
      </c>
      <c r="C116" s="76">
        <v>5</v>
      </c>
      <c r="D116" s="59">
        <v>7.4800000000000005E-2</v>
      </c>
      <c r="E116" s="59">
        <v>8.7799999999999989E-2</v>
      </c>
      <c r="F116" s="59">
        <v>8.5999999999999993E-2</v>
      </c>
      <c r="G116" s="59">
        <v>-2.0799999999999999E-2</v>
      </c>
      <c r="H116" s="59">
        <v>0.6</v>
      </c>
      <c r="I116" s="59">
        <v>0.2</v>
      </c>
      <c r="J116" s="76">
        <v>2</v>
      </c>
      <c r="K116" s="76">
        <v>3</v>
      </c>
      <c r="L116" s="59">
        <v>6.7500000000000004E-2</v>
      </c>
      <c r="M116" s="59">
        <v>-7.9699999999999993E-2</v>
      </c>
      <c r="N116" s="59">
        <v>5.0900000000000001E-2</v>
      </c>
      <c r="O116" s="59">
        <v>4.7399999999999998E-2</v>
      </c>
      <c r="P116" s="59">
        <v>-9.5100000000000004E-2</v>
      </c>
      <c r="Q116" s="59">
        <v>-8.7799999999999989E-2</v>
      </c>
      <c r="R116" s="59">
        <v>6.1000000000000004E-3</v>
      </c>
      <c r="S116" s="59">
        <v>7.980000000000001E-2</v>
      </c>
    </row>
    <row r="117" spans="1:19" x14ac:dyDescent="0.3">
      <c r="A117" s="7" t="s">
        <v>1517</v>
      </c>
      <c r="B117" s="7" t="s">
        <v>1511</v>
      </c>
      <c r="C117" s="76">
        <v>12</v>
      </c>
      <c r="D117" s="59">
        <v>7.6799999999999993E-2</v>
      </c>
      <c r="E117" s="59">
        <v>7.2900000000000006E-2</v>
      </c>
      <c r="F117" s="59">
        <v>9.3599999999999989E-2</v>
      </c>
      <c r="G117" s="59">
        <v>4.2099999999999999E-2</v>
      </c>
      <c r="H117" s="59">
        <v>0.5</v>
      </c>
      <c r="I117" s="59">
        <v>0.42</v>
      </c>
      <c r="J117" s="76">
        <v>9</v>
      </c>
      <c r="K117" s="76">
        <v>3</v>
      </c>
      <c r="L117" s="59">
        <v>7.9199999999999993E-2</v>
      </c>
      <c r="M117" s="59">
        <v>-6.93E-2</v>
      </c>
      <c r="N117" s="59">
        <v>4.6899999999999997E-2</v>
      </c>
      <c r="O117" s="59">
        <v>3.1399999999999997E-2</v>
      </c>
      <c r="P117" s="59">
        <v>-6.2300000000000001E-2</v>
      </c>
      <c r="Q117" s="59">
        <v>4.1999999999999997E-3</v>
      </c>
      <c r="R117" s="59">
        <v>0.13070000000000001</v>
      </c>
      <c r="S117" s="59">
        <v>0.13350000000000001</v>
      </c>
    </row>
    <row r="118" spans="1:19" x14ac:dyDescent="0.3">
      <c r="A118" s="7" t="s">
        <v>1517</v>
      </c>
      <c r="B118" s="7" t="s">
        <v>1512</v>
      </c>
      <c r="C118" s="76">
        <v>12</v>
      </c>
      <c r="D118" s="59">
        <v>6.8099999999999994E-2</v>
      </c>
      <c r="E118" s="59">
        <v>5.7099999999999998E-2</v>
      </c>
      <c r="F118" s="59">
        <v>8.5500000000000007E-2</v>
      </c>
      <c r="G118" s="59">
        <v>3.6799999999999999E-2</v>
      </c>
      <c r="H118" s="59">
        <v>0.5</v>
      </c>
      <c r="I118" s="59">
        <v>0.33</v>
      </c>
      <c r="J118" s="76">
        <v>8</v>
      </c>
      <c r="K118" s="76">
        <v>4</v>
      </c>
      <c r="L118" s="59">
        <v>7.8700000000000006E-2</v>
      </c>
      <c r="M118" s="59">
        <v>-4.6799999999999987E-2</v>
      </c>
      <c r="N118" s="59">
        <v>4.6899999999999997E-2</v>
      </c>
      <c r="O118" s="59">
        <v>3.1399999999999997E-2</v>
      </c>
      <c r="P118" s="59">
        <v>-6.54E-2</v>
      </c>
      <c r="Q118" s="59">
        <v>-4.3E-3</v>
      </c>
      <c r="R118" s="59">
        <v>0.12659999999999999</v>
      </c>
      <c r="S118" s="59">
        <v>0.12920000000000001</v>
      </c>
    </row>
    <row r="119" spans="1:19" x14ac:dyDescent="0.3">
      <c r="A119" s="7" t="s">
        <v>1518</v>
      </c>
      <c r="B119" s="7" t="s">
        <v>1511</v>
      </c>
      <c r="C119" s="76">
        <v>11</v>
      </c>
      <c r="D119" s="59">
        <v>6.4100000000000004E-2</v>
      </c>
      <c r="E119" s="59">
        <v>4.6500000000000007E-2</v>
      </c>
      <c r="F119" s="59">
        <v>8.4199999999999997E-2</v>
      </c>
      <c r="G119" s="59">
        <v>-2.1600000000000001E-2</v>
      </c>
      <c r="H119" s="59">
        <v>0.45</v>
      </c>
      <c r="I119" s="59">
        <v>0.27</v>
      </c>
      <c r="J119" s="76">
        <v>4</v>
      </c>
      <c r="K119" s="76">
        <v>7</v>
      </c>
      <c r="L119" s="59">
        <v>5.8400000000000001E-2</v>
      </c>
      <c r="M119" s="59">
        <v>-6.7400000000000002E-2</v>
      </c>
      <c r="N119" s="59">
        <v>7.3200000000000001E-2</v>
      </c>
      <c r="O119" s="59">
        <v>3.3099999999999997E-2</v>
      </c>
      <c r="P119" s="59">
        <v>-0.10920000000000001</v>
      </c>
      <c r="Q119" s="59">
        <v>-8.3400000000000002E-2</v>
      </c>
      <c r="R119" s="59">
        <v>6.5000000000000006E-3</v>
      </c>
      <c r="S119" s="59">
        <v>4.6500000000000007E-2</v>
      </c>
    </row>
    <row r="120" spans="1:19" x14ac:dyDescent="0.3">
      <c r="A120" s="7" t="s">
        <v>1518</v>
      </c>
      <c r="B120" s="7" t="s">
        <v>1512</v>
      </c>
      <c r="C120" s="76">
        <v>11</v>
      </c>
      <c r="D120" s="59">
        <v>6.8199999999999997E-2</v>
      </c>
      <c r="E120" s="59">
        <v>5.1399999999999987E-2</v>
      </c>
      <c r="F120" s="59">
        <v>8.4000000000000005E-2</v>
      </c>
      <c r="G120" s="59">
        <v>-2.9499999999999998E-2</v>
      </c>
      <c r="H120" s="59">
        <v>0.45</v>
      </c>
      <c r="I120" s="59">
        <v>0.27</v>
      </c>
      <c r="J120" s="76">
        <v>3</v>
      </c>
      <c r="K120" s="76">
        <v>8</v>
      </c>
      <c r="L120" s="59">
        <v>7.0999999999999994E-2</v>
      </c>
      <c r="M120" s="59">
        <v>-6.7199999999999996E-2</v>
      </c>
      <c r="N120" s="59">
        <v>7.3200000000000001E-2</v>
      </c>
      <c r="O120" s="59">
        <v>3.3099999999999997E-2</v>
      </c>
      <c r="P120" s="59">
        <v>-0.1201</v>
      </c>
      <c r="Q120" s="59">
        <v>-8.5699999999999998E-2</v>
      </c>
      <c r="R120" s="59">
        <v>5.9999999999999995E-4</v>
      </c>
      <c r="S120" s="59">
        <v>4.4400000000000002E-2</v>
      </c>
    </row>
    <row r="121" spans="1:19" x14ac:dyDescent="0.3">
      <c r="A121" s="7" t="s">
        <v>1519</v>
      </c>
      <c r="B121" s="7" t="s">
        <v>1511</v>
      </c>
      <c r="C121" s="76">
        <v>8</v>
      </c>
      <c r="D121" s="59">
        <v>8.1199999999999994E-2</v>
      </c>
      <c r="E121" s="59">
        <v>6.1799999999999987E-2</v>
      </c>
      <c r="F121" s="59">
        <v>9.9900000000000003E-2</v>
      </c>
      <c r="G121" s="59">
        <v>3.9300000000000002E-2</v>
      </c>
      <c r="H121" s="59">
        <v>0.5</v>
      </c>
      <c r="I121" s="59">
        <v>0.38</v>
      </c>
      <c r="J121" s="76">
        <v>6</v>
      </c>
      <c r="K121" s="76">
        <v>2</v>
      </c>
      <c r="L121" s="59">
        <v>8.0299999999999996E-2</v>
      </c>
      <c r="M121" s="59">
        <v>-8.3699999999999997E-2</v>
      </c>
      <c r="N121" s="59">
        <v>6.0699999999999997E-2</v>
      </c>
      <c r="O121" s="59">
        <v>4.1599999999999998E-2</v>
      </c>
      <c r="P121" s="59">
        <v>-6.3500000000000001E-2</v>
      </c>
      <c r="Q121" s="59">
        <v>-6.1000000000000004E-3</v>
      </c>
      <c r="R121" s="59">
        <v>9.4E-2</v>
      </c>
      <c r="S121" s="59">
        <v>0.15340000000000001</v>
      </c>
    </row>
    <row r="122" spans="1:19" x14ac:dyDescent="0.3">
      <c r="A122" s="7" t="s">
        <v>1519</v>
      </c>
      <c r="B122" s="7" t="s">
        <v>1512</v>
      </c>
      <c r="C122" s="76">
        <v>8</v>
      </c>
      <c r="D122" s="59">
        <v>7.3099999999999998E-2</v>
      </c>
      <c r="E122" s="59">
        <v>4.7899999999999998E-2</v>
      </c>
      <c r="F122" s="59">
        <v>8.9399999999999993E-2</v>
      </c>
      <c r="G122" s="59">
        <v>3.5200000000000002E-2</v>
      </c>
      <c r="H122" s="59">
        <v>0.38</v>
      </c>
      <c r="I122" s="59">
        <v>0.25</v>
      </c>
      <c r="J122" s="76">
        <v>6</v>
      </c>
      <c r="K122" s="76">
        <v>2</v>
      </c>
      <c r="L122" s="59">
        <v>7.22E-2</v>
      </c>
      <c r="M122" s="59">
        <v>-7.5700000000000003E-2</v>
      </c>
      <c r="N122" s="59">
        <v>6.0699999999999997E-2</v>
      </c>
      <c r="O122" s="59">
        <v>4.1599999999999998E-2</v>
      </c>
      <c r="P122" s="59">
        <v>-6.6000000000000003E-2</v>
      </c>
      <c r="Q122" s="59">
        <v>-8.3000000000000001E-3</v>
      </c>
      <c r="R122" s="59">
        <v>6.83E-2</v>
      </c>
      <c r="S122" s="59">
        <v>0.14699999999999999</v>
      </c>
    </row>
    <row r="123" spans="1:19" x14ac:dyDescent="0.3">
      <c r="A123" s="12" t="s">
        <v>1520</v>
      </c>
      <c r="B123" s="12" t="s">
        <v>1511</v>
      </c>
      <c r="C123" s="145">
        <v>11</v>
      </c>
      <c r="D123" s="24">
        <v>6.0299999999999999E-2</v>
      </c>
      <c r="E123" s="24">
        <v>6.8699999999999997E-2</v>
      </c>
      <c r="F123" s="24">
        <v>7.8E-2</v>
      </c>
      <c r="G123" s="24">
        <v>-3.2899999999999999E-2</v>
      </c>
      <c r="H123" s="24">
        <v>0.45</v>
      </c>
      <c r="I123" s="24">
        <v>0.27</v>
      </c>
      <c r="J123" s="145">
        <v>3</v>
      </c>
      <c r="K123" s="145">
        <v>8</v>
      </c>
      <c r="L123" s="24">
        <v>5.0299999999999997E-2</v>
      </c>
      <c r="M123" s="24">
        <v>-6.4000000000000001E-2</v>
      </c>
      <c r="N123" s="24">
        <v>6.6199999999999995E-2</v>
      </c>
      <c r="O123" s="24">
        <v>1.8200000000000001E-2</v>
      </c>
      <c r="P123" s="24">
        <v>-0.10920000000000001</v>
      </c>
      <c r="Q123" s="24">
        <v>-8.3400000000000002E-2</v>
      </c>
      <c r="R123" s="24">
        <v>1.1000000000000001E-3</v>
      </c>
      <c r="S123" s="24">
        <v>1.01E-2</v>
      </c>
    </row>
    <row r="124" spans="1:19" x14ac:dyDescent="0.3">
      <c r="A124" s="12" t="s">
        <v>1520</v>
      </c>
      <c r="B124" s="12" t="s">
        <v>1512</v>
      </c>
      <c r="C124" s="145">
        <v>11</v>
      </c>
      <c r="D124" s="24">
        <v>6.3600000000000004E-2</v>
      </c>
      <c r="E124" s="24">
        <v>7.0900000000000005E-2</v>
      </c>
      <c r="F124" s="24">
        <v>7.8399999999999997E-2</v>
      </c>
      <c r="G124" s="24">
        <v>-4.07E-2</v>
      </c>
      <c r="H124" s="24">
        <v>0.55000000000000004</v>
      </c>
      <c r="I124" s="24">
        <v>0.27</v>
      </c>
      <c r="J124" s="145">
        <v>1</v>
      </c>
      <c r="K124" s="145">
        <v>10</v>
      </c>
      <c r="L124" s="24">
        <v>0.12590000000000001</v>
      </c>
      <c r="M124" s="24">
        <v>-5.7299999999999997E-2</v>
      </c>
      <c r="N124" s="24">
        <v>6.6199999999999995E-2</v>
      </c>
      <c r="O124" s="24">
        <v>1.8200000000000001E-2</v>
      </c>
      <c r="P124" s="24">
        <v>-0.1201</v>
      </c>
      <c r="Q124" s="24">
        <v>-8.5699999999999998E-2</v>
      </c>
      <c r="R124" s="24">
        <v>-1.04E-2</v>
      </c>
      <c r="S124" s="24">
        <v>-4.0000000000000002E-4</v>
      </c>
    </row>
    <row r="125" spans="1:19" x14ac:dyDescent="0.3">
      <c r="A125" s="7" t="s">
        <v>1521</v>
      </c>
      <c r="B125" s="7" t="s">
        <v>1511</v>
      </c>
      <c r="C125" s="76">
        <v>7</v>
      </c>
      <c r="D125" s="59">
        <v>8.1699999999999995E-2</v>
      </c>
      <c r="E125" s="59">
        <v>4.6500000000000007E-2</v>
      </c>
      <c r="F125" s="59">
        <v>0.1027</v>
      </c>
      <c r="G125" s="59">
        <v>3.39E-2</v>
      </c>
      <c r="H125" s="59">
        <v>0.43</v>
      </c>
      <c r="I125" s="59">
        <v>0.43</v>
      </c>
      <c r="J125" s="76">
        <v>5</v>
      </c>
      <c r="K125" s="76">
        <v>2</v>
      </c>
      <c r="L125" s="59">
        <v>8.09E-2</v>
      </c>
      <c r="M125" s="59">
        <v>-8.3699999999999997E-2</v>
      </c>
      <c r="N125" s="59">
        <v>6.1899999999999997E-2</v>
      </c>
      <c r="O125" s="59">
        <v>4.6399999999999997E-2</v>
      </c>
      <c r="P125" s="59">
        <v>-7.3599999999999999E-2</v>
      </c>
      <c r="Q125" s="59">
        <v>-1.52E-2</v>
      </c>
      <c r="R125" s="59">
        <v>9.5500000000000002E-2</v>
      </c>
      <c r="S125" s="59">
        <v>0.15640000000000001</v>
      </c>
    </row>
    <row r="126" spans="1:19" x14ac:dyDescent="0.3">
      <c r="A126" s="7" t="s">
        <v>1521</v>
      </c>
      <c r="B126" s="7" t="s">
        <v>1512</v>
      </c>
      <c r="C126" s="76">
        <v>7</v>
      </c>
      <c r="D126" s="59">
        <v>7.7300000000000008E-2</v>
      </c>
      <c r="E126" s="59">
        <v>5.1399999999999987E-2</v>
      </c>
      <c r="F126" s="59">
        <v>9.4200000000000006E-2</v>
      </c>
      <c r="G126" s="59">
        <v>3.4099999999999998E-2</v>
      </c>
      <c r="H126" s="59">
        <v>0.43</v>
      </c>
      <c r="I126" s="59">
        <v>0.28999999999999998</v>
      </c>
      <c r="J126" s="76">
        <v>5</v>
      </c>
      <c r="K126" s="76">
        <v>2</v>
      </c>
      <c r="L126" s="59">
        <v>7.8E-2</v>
      </c>
      <c r="M126" s="59">
        <v>-7.5700000000000003E-2</v>
      </c>
      <c r="N126" s="59">
        <v>6.1899999999999997E-2</v>
      </c>
      <c r="O126" s="59">
        <v>4.6399999999999997E-2</v>
      </c>
      <c r="P126" s="59">
        <v>-7.0800000000000002E-2</v>
      </c>
      <c r="Q126" s="59">
        <v>-2.2700000000000001E-2</v>
      </c>
      <c r="R126" s="59">
        <v>9.2300000000000007E-2</v>
      </c>
      <c r="S126" s="59">
        <v>0.1492</v>
      </c>
    </row>
    <row r="127" spans="1:19" x14ac:dyDescent="0.3">
      <c r="A127" s="7" t="s">
        <v>1522</v>
      </c>
      <c r="B127" s="7" t="s">
        <v>1511</v>
      </c>
      <c r="C127" s="76">
        <v>2</v>
      </c>
      <c r="D127" s="59">
        <v>8.1799999999999998E-2</v>
      </c>
      <c r="E127" s="59">
        <v>8.1799999999999998E-2</v>
      </c>
      <c r="F127" s="59">
        <v>8.199999999999999E-2</v>
      </c>
      <c r="G127" s="59">
        <v>-4.6999999999999993E-3</v>
      </c>
      <c r="H127" s="59">
        <v>1</v>
      </c>
      <c r="I127" s="59">
        <v>0</v>
      </c>
      <c r="J127" s="76">
        <v>1</v>
      </c>
      <c r="K127" s="76">
        <v>1</v>
      </c>
      <c r="L127" s="59">
        <v>7.7100000000000002E-2</v>
      </c>
      <c r="M127" s="59">
        <v>-8.6599999999999996E-2</v>
      </c>
      <c r="N127" s="59">
        <v>6.9099999999999995E-2</v>
      </c>
      <c r="O127" s="59">
        <v>5.5000000000000014E-3</v>
      </c>
      <c r="P127" s="59">
        <v>-7.0199999999999999E-2</v>
      </c>
      <c r="Q127" s="59">
        <v>-4.5699999999999998E-2</v>
      </c>
      <c r="R127" s="59">
        <v>3.6200000000000003E-2</v>
      </c>
      <c r="S127" s="59">
        <v>6.0699999999999997E-2</v>
      </c>
    </row>
    <row r="128" spans="1:19" x14ac:dyDescent="0.3">
      <c r="A128" s="7" t="s">
        <v>1522</v>
      </c>
      <c r="B128" s="7" t="s">
        <v>1512</v>
      </c>
      <c r="C128" s="76">
        <v>2</v>
      </c>
      <c r="D128" s="59">
        <v>6.5500000000000003E-2</v>
      </c>
      <c r="E128" s="59">
        <v>6.5500000000000003E-2</v>
      </c>
      <c r="F128" s="59">
        <v>6.9199999999999998E-2</v>
      </c>
      <c r="G128" s="59">
        <v>-2.2200000000000001E-2</v>
      </c>
      <c r="H128" s="59">
        <v>0.5</v>
      </c>
      <c r="I128" s="59">
        <v>0</v>
      </c>
      <c r="J128" s="76">
        <v>1</v>
      </c>
      <c r="K128" s="76">
        <v>1</v>
      </c>
      <c r="L128" s="59">
        <v>4.3299999999999998E-2</v>
      </c>
      <c r="M128" s="59">
        <v>-8.7799999999999989E-2</v>
      </c>
      <c r="N128" s="59">
        <v>6.9099999999999995E-2</v>
      </c>
      <c r="O128" s="59">
        <v>5.5000000000000014E-3</v>
      </c>
      <c r="P128" s="59">
        <v>-7.46E-2</v>
      </c>
      <c r="Q128" s="59">
        <v>-5.5E-2</v>
      </c>
      <c r="R128" s="59">
        <v>1.0500000000000001E-2</v>
      </c>
      <c r="S128" s="59">
        <v>3.0200000000000001E-2</v>
      </c>
    </row>
    <row r="129" spans="1:22" x14ac:dyDescent="0.3">
      <c r="A129" s="12" t="s">
        <v>1523</v>
      </c>
      <c r="B129" s="12" t="s">
        <v>1511</v>
      </c>
      <c r="C129" s="145">
        <v>10</v>
      </c>
      <c r="D129" s="24">
        <v>5.7699999999999987E-2</v>
      </c>
      <c r="E129" s="24">
        <v>4.2999999999999997E-2</v>
      </c>
      <c r="F129" s="24">
        <v>7.7100000000000002E-2</v>
      </c>
      <c r="G129" s="24">
        <v>-2.75E-2</v>
      </c>
      <c r="H129" s="24">
        <v>0.4</v>
      </c>
      <c r="I129" s="24">
        <v>0.3</v>
      </c>
      <c r="J129" s="145">
        <v>3</v>
      </c>
      <c r="K129" s="145">
        <v>7</v>
      </c>
      <c r="L129" s="24">
        <v>5.0299999999999997E-2</v>
      </c>
      <c r="M129" s="24">
        <v>-6.08E-2</v>
      </c>
      <c r="N129" s="24">
        <v>6.4199999999999993E-2</v>
      </c>
      <c r="O129" s="24">
        <v>1.9800000000000002E-2</v>
      </c>
      <c r="P129" s="24">
        <v>-0.11169999999999999</v>
      </c>
      <c r="Q129" s="24">
        <v>-7.7399999999999997E-2</v>
      </c>
      <c r="R129" s="24">
        <v>4.1999999999999997E-3</v>
      </c>
      <c r="S129" s="24">
        <v>2.24E-2</v>
      </c>
    </row>
    <row r="130" spans="1:22" x14ac:dyDescent="0.3">
      <c r="A130" s="12" t="s">
        <v>1523</v>
      </c>
      <c r="B130" s="12" t="s">
        <v>1512</v>
      </c>
      <c r="C130" s="145">
        <v>10</v>
      </c>
      <c r="D130" s="24">
        <v>6.1199999999999997E-2</v>
      </c>
      <c r="E130" s="24">
        <v>5.4699999999999999E-2</v>
      </c>
      <c r="F130" s="24">
        <v>7.7499999999999999E-2</v>
      </c>
      <c r="G130" s="24">
        <v>-3.5999999999999997E-2</v>
      </c>
      <c r="H130" s="24">
        <v>0.5</v>
      </c>
      <c r="I130" s="24">
        <v>0.3</v>
      </c>
      <c r="J130" s="145">
        <v>1</v>
      </c>
      <c r="K130" s="145">
        <v>9</v>
      </c>
      <c r="L130" s="24">
        <v>0.12590000000000001</v>
      </c>
      <c r="M130" s="24">
        <v>-5.4000000000000013E-2</v>
      </c>
      <c r="N130" s="24">
        <v>6.4199999999999993E-2</v>
      </c>
      <c r="O130" s="24">
        <v>1.9800000000000002E-2</v>
      </c>
      <c r="P130" s="24">
        <v>-0.12039999999999999</v>
      </c>
      <c r="Q130" s="24">
        <v>-8.0399999999999985E-2</v>
      </c>
      <c r="R130" s="24">
        <v>-7.6E-3</v>
      </c>
      <c r="S130" s="24">
        <v>1.23E-2</v>
      </c>
    </row>
    <row r="131" spans="1:22" x14ac:dyDescent="0.3">
      <c r="A131" s="7" t="s">
        <v>1524</v>
      </c>
      <c r="B131" s="7" t="s">
        <v>1511</v>
      </c>
      <c r="C131" s="76">
        <v>11</v>
      </c>
      <c r="D131" s="59">
        <v>5.3800000000000001E-2</v>
      </c>
      <c r="E131" s="59">
        <v>3.6499999999999998E-2</v>
      </c>
      <c r="F131" s="59">
        <v>7.6600000000000001E-2</v>
      </c>
      <c r="G131" s="59">
        <v>3.3099999999999997E-2</v>
      </c>
      <c r="H131" s="59">
        <v>0.36</v>
      </c>
      <c r="I131" s="59">
        <v>0.18</v>
      </c>
      <c r="J131" s="76">
        <v>7</v>
      </c>
      <c r="K131" s="76">
        <v>4</v>
      </c>
      <c r="L131" s="59">
        <v>6.83E-2</v>
      </c>
      <c r="M131" s="59">
        <v>-2.8500000000000001E-2</v>
      </c>
      <c r="N131" s="59">
        <v>5.0299999999999997E-2</v>
      </c>
      <c r="O131" s="59">
        <v>2.87E-2</v>
      </c>
      <c r="P131" s="59">
        <v>-1.7399999999999999E-2</v>
      </c>
      <c r="Q131" s="59">
        <v>-8.199999999999999E-3</v>
      </c>
      <c r="R131" s="59">
        <v>6.1799999999999987E-2</v>
      </c>
      <c r="S131" s="59">
        <v>0.13350000000000001</v>
      </c>
    </row>
    <row r="132" spans="1:22" x14ac:dyDescent="0.3">
      <c r="A132" s="7" t="s">
        <v>1524</v>
      </c>
      <c r="B132" s="7" t="s">
        <v>1512</v>
      </c>
      <c r="C132" s="76">
        <v>11</v>
      </c>
      <c r="D132" s="59">
        <v>5.33E-2</v>
      </c>
      <c r="E132" s="59">
        <v>3.8600000000000002E-2</v>
      </c>
      <c r="F132" s="59">
        <v>7.2000000000000008E-2</v>
      </c>
      <c r="G132" s="59">
        <v>2.29E-2</v>
      </c>
      <c r="H132" s="59">
        <v>0.27</v>
      </c>
      <c r="I132" s="59">
        <v>0.18</v>
      </c>
      <c r="J132" s="76">
        <v>6</v>
      </c>
      <c r="K132" s="76">
        <v>5</v>
      </c>
      <c r="L132" s="59">
        <v>6.9800000000000001E-2</v>
      </c>
      <c r="M132" s="59">
        <v>-3.3399999999999999E-2</v>
      </c>
      <c r="N132" s="59">
        <v>5.0299999999999997E-2</v>
      </c>
      <c r="O132" s="59">
        <v>2.87E-2</v>
      </c>
      <c r="P132" s="59">
        <v>-3.8600000000000002E-2</v>
      </c>
      <c r="Q132" s="59">
        <v>-2.2200000000000001E-2</v>
      </c>
      <c r="R132" s="59">
        <v>4.3799999999999999E-2</v>
      </c>
      <c r="S132" s="59">
        <v>0.12590000000000001</v>
      </c>
    </row>
    <row r="133" spans="1:22" x14ac:dyDescent="0.3">
      <c r="A133" s="7" t="s">
        <v>1525</v>
      </c>
      <c r="B133" s="7" t="s">
        <v>1511</v>
      </c>
      <c r="C133" s="76">
        <v>8</v>
      </c>
      <c r="D133" s="59">
        <v>8.9600000000000013E-2</v>
      </c>
      <c r="E133" s="59">
        <v>9.7899999999999987E-2</v>
      </c>
      <c r="F133" s="59">
        <v>0.1007</v>
      </c>
      <c r="G133" s="59">
        <v>-1.84E-2</v>
      </c>
      <c r="H133" s="59">
        <v>0.62</v>
      </c>
      <c r="I133" s="59">
        <v>0.5</v>
      </c>
      <c r="J133" s="76">
        <v>3</v>
      </c>
      <c r="K133" s="76">
        <v>5</v>
      </c>
      <c r="L133" s="59">
        <v>9.4800000000000009E-2</v>
      </c>
      <c r="M133" s="59">
        <v>-8.6400000000000005E-2</v>
      </c>
      <c r="N133" s="59">
        <v>7.0699999999999999E-2</v>
      </c>
      <c r="O133" s="59">
        <v>3.4099999999999998E-2</v>
      </c>
      <c r="P133" s="59">
        <v>-0.1167</v>
      </c>
      <c r="Q133" s="59">
        <v>-9.2200000000000004E-2</v>
      </c>
      <c r="R133" s="59">
        <v>0.04</v>
      </c>
      <c r="S133" s="59">
        <v>0.13420000000000001</v>
      </c>
    </row>
    <row r="134" spans="1:22" x14ac:dyDescent="0.3">
      <c r="A134" s="7" t="s">
        <v>1525</v>
      </c>
      <c r="B134" s="7" t="s">
        <v>1512</v>
      </c>
      <c r="C134" s="76">
        <v>8</v>
      </c>
      <c r="D134" s="59">
        <v>8.8000000000000009E-2</v>
      </c>
      <c r="E134" s="59">
        <v>9.3900000000000011E-2</v>
      </c>
      <c r="F134" s="59">
        <v>9.7500000000000003E-2</v>
      </c>
      <c r="G134" s="59">
        <v>-2.07E-2</v>
      </c>
      <c r="H134" s="59">
        <v>0.75</v>
      </c>
      <c r="I134" s="59">
        <v>0.38</v>
      </c>
      <c r="J134" s="76">
        <v>2</v>
      </c>
      <c r="K134" s="76">
        <v>6</v>
      </c>
      <c r="L134" s="59">
        <v>0.1346</v>
      </c>
      <c r="M134" s="59">
        <v>-7.2499999999999995E-2</v>
      </c>
      <c r="N134" s="59">
        <v>7.0699999999999999E-2</v>
      </c>
      <c r="O134" s="59">
        <v>3.4099999999999998E-2</v>
      </c>
      <c r="P134" s="59">
        <v>-0.106</v>
      </c>
      <c r="Q134" s="59">
        <v>-9.0800000000000006E-2</v>
      </c>
      <c r="R134" s="59">
        <v>2.86E-2</v>
      </c>
      <c r="S134" s="59">
        <v>0.1323</v>
      </c>
    </row>
    <row r="135" spans="1:22" x14ac:dyDescent="0.3">
      <c r="A135" s="7" t="s">
        <v>1526</v>
      </c>
      <c r="B135" s="7" t="s">
        <v>1511</v>
      </c>
      <c r="C135" s="76">
        <v>12</v>
      </c>
      <c r="D135" s="59">
        <v>5.1299999999999998E-2</v>
      </c>
      <c r="E135" s="59">
        <v>4.3299999999999998E-2</v>
      </c>
      <c r="F135" s="59">
        <v>6.5099999999999991E-2</v>
      </c>
      <c r="G135" s="59">
        <v>3.5999999999999999E-3</v>
      </c>
      <c r="H135" s="59">
        <v>0.33</v>
      </c>
      <c r="I135" s="59">
        <v>0.08</v>
      </c>
      <c r="J135" s="76">
        <v>7</v>
      </c>
      <c r="K135" s="76">
        <v>5</v>
      </c>
      <c r="L135" s="59">
        <v>4.7E-2</v>
      </c>
      <c r="M135" s="59">
        <v>-5.7200000000000001E-2</v>
      </c>
      <c r="N135" s="59">
        <v>5.4800000000000001E-2</v>
      </c>
      <c r="O135" s="59">
        <v>2.0400000000000001E-2</v>
      </c>
      <c r="P135" s="59">
        <v>-7.9100000000000004E-2</v>
      </c>
      <c r="Q135" s="59">
        <v>-4.2099999999999999E-2</v>
      </c>
      <c r="R135" s="59">
        <v>4.1700000000000001E-2</v>
      </c>
      <c r="S135" s="59">
        <v>7.400000000000001E-2</v>
      </c>
    </row>
    <row r="136" spans="1:22" x14ac:dyDescent="0.3">
      <c r="A136" s="7" t="s">
        <v>1526</v>
      </c>
      <c r="B136" s="7" t="s">
        <v>1512</v>
      </c>
      <c r="C136" s="76">
        <v>12</v>
      </c>
      <c r="D136" s="59">
        <v>4.9799999999999997E-2</v>
      </c>
      <c r="E136" s="59">
        <v>4.3799999999999999E-2</v>
      </c>
      <c r="F136" s="59">
        <v>6.2800000000000009E-2</v>
      </c>
      <c r="G136" s="59">
        <v>-6.6E-3</v>
      </c>
      <c r="H136" s="59">
        <v>0.33</v>
      </c>
      <c r="I136" s="59">
        <v>0.08</v>
      </c>
      <c r="J136" s="76">
        <v>6</v>
      </c>
      <c r="K136" s="76">
        <v>6</v>
      </c>
      <c r="L136" s="59">
        <v>4.3200000000000002E-2</v>
      </c>
      <c r="M136" s="59">
        <v>-5.6300000000000003E-2</v>
      </c>
      <c r="N136" s="59">
        <v>5.4800000000000001E-2</v>
      </c>
      <c r="O136" s="59">
        <v>2.0400000000000001E-2</v>
      </c>
      <c r="P136" s="59">
        <v>-8.2299999999999998E-2</v>
      </c>
      <c r="Q136" s="59">
        <v>-5.6300000000000003E-2</v>
      </c>
      <c r="R136" s="59">
        <v>2.4400000000000002E-2</v>
      </c>
      <c r="S136" s="59">
        <v>4.4200000000000003E-2</v>
      </c>
    </row>
    <row r="137" spans="1:22" x14ac:dyDescent="0.3">
      <c r="A137" s="7" t="s">
        <v>1527</v>
      </c>
      <c r="B137" s="7" t="s">
        <v>1511</v>
      </c>
      <c r="C137" s="76">
        <v>6</v>
      </c>
      <c r="D137" s="59">
        <v>5.4399999999999997E-2</v>
      </c>
      <c r="E137" s="59">
        <v>2.3900000000000001E-2</v>
      </c>
      <c r="F137" s="59">
        <v>7.7800000000000008E-2</v>
      </c>
      <c r="G137" s="59">
        <v>4.8899999999999999E-2</v>
      </c>
      <c r="H137" s="59">
        <v>0.33</v>
      </c>
      <c r="I137" s="59">
        <v>0.33</v>
      </c>
      <c r="J137" s="76">
        <v>4</v>
      </c>
      <c r="K137" s="76">
        <v>2</v>
      </c>
      <c r="L137" s="59">
        <v>7.7499999999999999E-2</v>
      </c>
      <c r="M137" s="59">
        <v>-8.199999999999999E-3</v>
      </c>
      <c r="N137" s="59">
        <v>3.7400000000000003E-2</v>
      </c>
      <c r="O137" s="59">
        <v>4.0999999999999988E-2</v>
      </c>
      <c r="P137" s="59">
        <v>-8.199999999999999E-3</v>
      </c>
      <c r="Q137" s="59">
        <v>-1.2999999999999999E-3</v>
      </c>
      <c r="R137" s="59">
        <v>0.1065</v>
      </c>
      <c r="S137" s="59">
        <v>0.13170000000000001</v>
      </c>
    </row>
    <row r="138" spans="1:22" x14ac:dyDescent="0.3">
      <c r="A138" s="7" t="s">
        <v>1527</v>
      </c>
      <c r="B138" s="7" t="s">
        <v>1512</v>
      </c>
      <c r="C138" s="76">
        <v>6</v>
      </c>
      <c r="D138" s="59">
        <v>5.5899999999999998E-2</v>
      </c>
      <c r="E138" s="59">
        <v>3.7699999999999997E-2</v>
      </c>
      <c r="F138" s="59">
        <v>7.6700000000000004E-2</v>
      </c>
      <c r="G138" s="59">
        <v>4.1300000000000003E-2</v>
      </c>
      <c r="H138" s="59">
        <v>0.33</v>
      </c>
      <c r="I138" s="59">
        <v>0.33</v>
      </c>
      <c r="J138" s="76">
        <v>3</v>
      </c>
      <c r="K138" s="76">
        <v>3</v>
      </c>
      <c r="L138" s="59">
        <v>9.7200000000000009E-2</v>
      </c>
      <c r="M138" s="59">
        <v>-1.46E-2</v>
      </c>
      <c r="N138" s="59">
        <v>3.7400000000000003E-2</v>
      </c>
      <c r="O138" s="59">
        <v>4.0999999999999988E-2</v>
      </c>
      <c r="P138" s="59">
        <v>-2.1700000000000001E-2</v>
      </c>
      <c r="Q138" s="59">
        <v>-3.7000000000000002E-3</v>
      </c>
      <c r="R138" s="59">
        <v>0.1036</v>
      </c>
      <c r="S138" s="59">
        <v>0.12740000000000001</v>
      </c>
    </row>
    <row r="140" spans="1:22" x14ac:dyDescent="0.3">
      <c r="A140" s="3" t="s">
        <v>1528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3">
      <c r="A141" s="124" t="s">
        <v>1529</v>
      </c>
    </row>
    <row r="142" spans="1:22" ht="42" customHeight="1" x14ac:dyDescent="0.3">
      <c r="A142" s="18" t="s">
        <v>1530</v>
      </c>
      <c r="B142" s="18" t="s">
        <v>1531</v>
      </c>
      <c r="C142" s="18" t="s">
        <v>1532</v>
      </c>
      <c r="D142" s="18" t="s">
        <v>1533</v>
      </c>
      <c r="E142" s="18" t="s">
        <v>1534</v>
      </c>
      <c r="F142" s="18" t="s">
        <v>1535</v>
      </c>
      <c r="G142" s="18" t="s">
        <v>1536</v>
      </c>
      <c r="H142" s="18" t="s">
        <v>1537</v>
      </c>
      <c r="I142" s="18" t="s">
        <v>1538</v>
      </c>
      <c r="J142" s="18" t="s">
        <v>1539</v>
      </c>
      <c r="K142" s="18" t="s">
        <v>1540</v>
      </c>
      <c r="L142" s="18" t="s">
        <v>1541</v>
      </c>
    </row>
    <row r="143" spans="1:22" x14ac:dyDescent="0.3">
      <c r="A143" s="7" t="s">
        <v>1542</v>
      </c>
      <c r="B143" s="93">
        <v>125</v>
      </c>
      <c r="C143" s="107">
        <v>11.21056405003519</v>
      </c>
      <c r="D143" s="107">
        <v>10.46876161984996</v>
      </c>
      <c r="E143" s="42">
        <v>10887.661141804791</v>
      </c>
      <c r="F143" s="59">
        <v>-0.23494980453969749</v>
      </c>
      <c r="G143" s="42">
        <v>3941.333333333333</v>
      </c>
      <c r="H143" s="59">
        <v>-0.32057187575544288</v>
      </c>
      <c r="I143" s="59">
        <v>-0.25274931583647259</v>
      </c>
      <c r="J143" s="55">
        <v>3.3958702443441049</v>
      </c>
      <c r="K143" s="59">
        <v>-8.6693608244577836E-2</v>
      </c>
      <c r="L143" s="59">
        <v>-0.33353317358388102</v>
      </c>
    </row>
    <row r="144" spans="1:22" x14ac:dyDescent="0.3">
      <c r="A144" s="7" t="s">
        <v>1507</v>
      </c>
      <c r="B144" s="93">
        <v>165</v>
      </c>
      <c r="C144" s="107">
        <v>15.32712619659136</v>
      </c>
      <c r="D144" s="107">
        <v>14.40397437871027</v>
      </c>
      <c r="E144" s="42">
        <v>14885.652101121719</v>
      </c>
      <c r="F144" s="59">
        <v>4.5979563580489817E-2</v>
      </c>
      <c r="G144" s="42">
        <v>5388.606060606061</v>
      </c>
      <c r="H144" s="59">
        <v>-7.1083260812645155E-2</v>
      </c>
      <c r="I144" s="59">
        <v>2.1644003419048149E-2</v>
      </c>
      <c r="J144" s="55">
        <v>5.487826878681016</v>
      </c>
      <c r="K144" s="59">
        <v>0.24867600417883651</v>
      </c>
      <c r="L144" s="59">
        <v>-8.8803996950578709E-2</v>
      </c>
    </row>
    <row r="145" spans="1:12" x14ac:dyDescent="0.3">
      <c r="A145" s="7" t="s">
        <v>1543</v>
      </c>
      <c r="B145" s="93">
        <v>182.5</v>
      </c>
      <c r="C145" s="107">
        <v>17.128122135709681</v>
      </c>
      <c r="D145" s="107">
        <v>16.12562996071166</v>
      </c>
      <c r="E145" s="42">
        <v>16634.77314582287</v>
      </c>
      <c r="F145" s="59">
        <v>0.1688861621330717</v>
      </c>
      <c r="G145" s="42">
        <v>6021.787878787879</v>
      </c>
      <c r="H145" s="59">
        <v>3.8068008224828809E-2</v>
      </c>
      <c r="I145" s="59">
        <v>0.14169108059333849</v>
      </c>
      <c r="J145" s="55">
        <v>6.4030579062034132</v>
      </c>
      <c r="K145" s="59">
        <v>0.39540020961408029</v>
      </c>
      <c r="L145" s="59">
        <v>1.8265017826491151E-2</v>
      </c>
    </row>
    <row r="146" spans="1:12" x14ac:dyDescent="0.3">
      <c r="A146" s="7" t="s">
        <v>1544</v>
      </c>
      <c r="B146" s="93">
        <v>181.8125</v>
      </c>
      <c r="C146" s="107">
        <v>17.057368723815738</v>
      </c>
      <c r="D146" s="107">
        <v>16.057993491418738</v>
      </c>
      <c r="E146" s="42">
        <v>16566.05767620961</v>
      </c>
      <c r="F146" s="59">
        <v>0.16405768861850589</v>
      </c>
      <c r="G146" s="42">
        <v>5996.912878787879</v>
      </c>
      <c r="H146" s="59">
        <v>3.3779922655499561E-2</v>
      </c>
      <c r="I146" s="59">
        <v>0.136974945418634</v>
      </c>
      <c r="J146" s="55">
        <v>6.3671024015507491</v>
      </c>
      <c r="K146" s="59">
        <v>0.38963604440055288</v>
      </c>
      <c r="L146" s="59">
        <v>1.405873510310629E-2</v>
      </c>
    </row>
    <row r="147" spans="1:12" x14ac:dyDescent="0.3">
      <c r="A147" s="7" t="s">
        <v>1508</v>
      </c>
      <c r="B147" s="93">
        <v>200</v>
      </c>
      <c r="C147" s="107">
        <v>18.929118074828001</v>
      </c>
      <c r="D147" s="107">
        <v>17.847285542713038</v>
      </c>
      <c r="E147" s="42">
        <v>18383.894190524021</v>
      </c>
      <c r="F147" s="59">
        <v>0.29179276068565357</v>
      </c>
      <c r="G147" s="42">
        <v>6654.969696969697</v>
      </c>
      <c r="H147" s="59">
        <v>0.14721927726230291</v>
      </c>
      <c r="I147" s="59">
        <v>0.26173815776762882</v>
      </c>
      <c r="J147" s="55">
        <v>7.3182889337258121</v>
      </c>
      <c r="K147" s="59">
        <v>0.54212441504932407</v>
      </c>
      <c r="L147" s="59">
        <v>0.1253340326035608</v>
      </c>
    </row>
    <row r="148" spans="1:12" x14ac:dyDescent="0.3">
      <c r="A148" s="7" t="s">
        <v>1545</v>
      </c>
      <c r="B148" s="93">
        <v>220</v>
      </c>
      <c r="C148" s="107">
        <v>20.987399148106078</v>
      </c>
      <c r="D148" s="107">
        <v>19.8148919221432</v>
      </c>
      <c r="E148" s="42">
        <v>20382.889670182489</v>
      </c>
      <c r="F148" s="59">
        <v>0.43225744474574751</v>
      </c>
      <c r="G148" s="42">
        <v>7378.606060606061</v>
      </c>
      <c r="H148" s="59">
        <v>0.27196358473370191</v>
      </c>
      <c r="I148" s="59">
        <v>0.39893481739538927</v>
      </c>
      <c r="J148" s="55">
        <v>8.364267250894267</v>
      </c>
      <c r="K148" s="59">
        <v>0.70980922126103119</v>
      </c>
      <c r="L148" s="59">
        <v>0.24769862092021211</v>
      </c>
    </row>
    <row r="149" spans="1:12" x14ac:dyDescent="0.3">
      <c r="A149" s="11" t="s">
        <v>1546</v>
      </c>
      <c r="B149" s="127">
        <v>170.19</v>
      </c>
      <c r="C149" s="135">
        <v>15.861250135107021</v>
      </c>
      <c r="D149" s="135">
        <v>14.914568234172391</v>
      </c>
      <c r="E149" s="69">
        <v>15404.39142809308</v>
      </c>
      <c r="F149" s="60">
        <v>8.2430149094083985E-2</v>
      </c>
      <c r="G149" s="69">
        <v>5576.3896969696962</v>
      </c>
      <c r="H149" s="60">
        <v>-3.8712113023817281E-2</v>
      </c>
      <c r="I149" s="60">
        <v>5.7246536592451713E-2</v>
      </c>
      <c r="J149" s="140">
        <v>5.7592582519862283</v>
      </c>
      <c r="K149" s="60">
        <v>0.29219021139077472</v>
      </c>
      <c r="L149" s="60">
        <v>-5.7050386282407772E-2</v>
      </c>
    </row>
    <row r="151" spans="1:12" x14ac:dyDescent="0.3">
      <c r="A151" s="124" t="s">
        <v>1547</v>
      </c>
    </row>
    <row r="152" spans="1:12" ht="42" customHeight="1" x14ac:dyDescent="0.3">
      <c r="A152" s="18" t="s">
        <v>1548</v>
      </c>
      <c r="B152" s="18" t="s">
        <v>268</v>
      </c>
      <c r="C152" s="18" t="s">
        <v>1549</v>
      </c>
      <c r="D152" s="18" t="s">
        <v>1550</v>
      </c>
      <c r="E152" s="18" t="s">
        <v>1551</v>
      </c>
      <c r="F152" s="18" t="s">
        <v>1552</v>
      </c>
      <c r="G152" s="18" t="s">
        <v>1553</v>
      </c>
      <c r="H152" s="18" t="s">
        <v>1554</v>
      </c>
      <c r="I152" s="18" t="s">
        <v>1555</v>
      </c>
      <c r="J152" s="18" t="s">
        <v>1556</v>
      </c>
    </row>
    <row r="153" spans="1:12" x14ac:dyDescent="0.3">
      <c r="A153" s="7" t="s">
        <v>1557</v>
      </c>
      <c r="B153" s="76">
        <v>31</v>
      </c>
      <c r="C153" s="132">
        <v>125</v>
      </c>
      <c r="D153" s="132">
        <v>165</v>
      </c>
      <c r="E153" s="132">
        <v>175</v>
      </c>
      <c r="F153" s="132">
        <v>179.54838709677421</v>
      </c>
      <c r="G153" s="132">
        <v>197.5</v>
      </c>
      <c r="H153" s="132">
        <v>220</v>
      </c>
      <c r="I153" s="144">
        <v>0.1313026713874077</v>
      </c>
      <c r="J153" s="59">
        <v>0.35483870967741937</v>
      </c>
    </row>
    <row r="154" spans="1:12" x14ac:dyDescent="0.3">
      <c r="A154" s="7" t="s">
        <v>1558</v>
      </c>
      <c r="B154" s="76">
        <v>32</v>
      </c>
      <c r="C154" s="132">
        <v>125</v>
      </c>
      <c r="D154" s="132">
        <v>165</v>
      </c>
      <c r="E154" s="132">
        <v>182.5</v>
      </c>
      <c r="F154" s="132">
        <v>181.8125</v>
      </c>
      <c r="G154" s="132">
        <v>200</v>
      </c>
      <c r="H154" s="132">
        <v>220</v>
      </c>
      <c r="I154" s="144">
        <v>0.12336340940655249</v>
      </c>
      <c r="J154" s="59">
        <v>0.34375</v>
      </c>
    </row>
    <row r="155" spans="1:12" x14ac:dyDescent="0.3">
      <c r="A155" s="7" t="s">
        <v>1559</v>
      </c>
      <c r="B155" s="76">
        <v>32</v>
      </c>
      <c r="C155" s="132">
        <v>125</v>
      </c>
      <c r="D155" s="132">
        <v>165</v>
      </c>
      <c r="E155" s="132">
        <v>182.5</v>
      </c>
      <c r="F155" s="132">
        <v>182.125</v>
      </c>
      <c r="G155" s="132">
        <v>200</v>
      </c>
      <c r="H155" s="132">
        <v>220</v>
      </c>
      <c r="I155" s="144">
        <v>0.12140448269016969</v>
      </c>
      <c r="J155" s="59">
        <v>0.34375</v>
      </c>
    </row>
    <row r="157" spans="1:12" x14ac:dyDescent="0.3">
      <c r="A157" s="124" t="s">
        <v>1560</v>
      </c>
    </row>
    <row r="158" spans="1:12" ht="42" customHeight="1" x14ac:dyDescent="0.3">
      <c r="A158" s="18" t="s">
        <v>1561</v>
      </c>
      <c r="B158" s="18" t="s">
        <v>1562</v>
      </c>
      <c r="C158" s="18" t="s">
        <v>1563</v>
      </c>
      <c r="D158" s="18" t="s">
        <v>1531</v>
      </c>
      <c r="E158" s="18" t="s">
        <v>1364</v>
      </c>
      <c r="F158" s="18" t="s">
        <v>1532</v>
      </c>
      <c r="G158" s="18" t="s">
        <v>1533</v>
      </c>
      <c r="H158" s="18" t="s">
        <v>1564</v>
      </c>
      <c r="I158" s="18" t="s">
        <v>1535</v>
      </c>
      <c r="J158" s="18" t="s">
        <v>1538</v>
      </c>
    </row>
    <row r="159" spans="1:12" x14ac:dyDescent="0.3">
      <c r="A159" s="7" t="s">
        <v>1565</v>
      </c>
      <c r="B159" s="7" t="s">
        <v>1566</v>
      </c>
      <c r="C159" s="7" t="s">
        <v>1567</v>
      </c>
      <c r="D159" s="132">
        <v>220</v>
      </c>
      <c r="E159" s="59">
        <v>0.29267289499970622</v>
      </c>
      <c r="F159" s="107">
        <v>20.987399148106078</v>
      </c>
      <c r="G159" s="107">
        <v>19.8148919221432</v>
      </c>
      <c r="H159" s="107">
        <v>36.196117143797302</v>
      </c>
      <c r="I159" s="59">
        <v>0.43225744474574751</v>
      </c>
      <c r="J159" s="59">
        <v>0.39893481739538927</v>
      </c>
    </row>
    <row r="160" spans="1:12" x14ac:dyDescent="0.3">
      <c r="A160" s="7" t="s">
        <v>1568</v>
      </c>
      <c r="B160" s="7" t="s">
        <v>1569</v>
      </c>
      <c r="C160" s="7" t="s">
        <v>1567</v>
      </c>
      <c r="D160" s="132">
        <v>220</v>
      </c>
      <c r="E160" s="59">
        <v>0.29267289499970622</v>
      </c>
      <c r="F160" s="107">
        <v>20.987399148106078</v>
      </c>
      <c r="G160" s="107">
        <v>19.8148919221432</v>
      </c>
      <c r="H160" s="107">
        <v>36.196117143797302</v>
      </c>
      <c r="I160" s="59">
        <v>0.43225744474574751</v>
      </c>
      <c r="J160" s="59">
        <v>0.39893481739538927</v>
      </c>
    </row>
    <row r="161" spans="1:10" x14ac:dyDescent="0.3">
      <c r="A161" s="7" t="s">
        <v>1570</v>
      </c>
      <c r="B161" s="7" t="s">
        <v>1571</v>
      </c>
      <c r="C161" s="7" t="s">
        <v>1572</v>
      </c>
      <c r="D161" s="132">
        <v>217</v>
      </c>
      <c r="E161" s="59">
        <v>0.27504553734061932</v>
      </c>
      <c r="F161" s="107">
        <v>20.678656987114369</v>
      </c>
      <c r="G161" s="107">
        <v>19.51975096522867</v>
      </c>
      <c r="H161" s="107">
        <v>35.702533728200073</v>
      </c>
      <c r="I161" s="59">
        <v>0.41118774213673331</v>
      </c>
      <c r="J161" s="59">
        <v>0.37835531845122522</v>
      </c>
    </row>
    <row r="162" spans="1:10" x14ac:dyDescent="0.3">
      <c r="A162" s="7" t="s">
        <v>1573</v>
      </c>
      <c r="B162" s="7" t="s">
        <v>1574</v>
      </c>
      <c r="C162" s="7" t="s">
        <v>1567</v>
      </c>
      <c r="D162" s="132">
        <v>210</v>
      </c>
      <c r="E162" s="59">
        <v>0.23391503613608311</v>
      </c>
      <c r="F162" s="107">
        <v>19.958258611467041</v>
      </c>
      <c r="G162" s="107">
        <v>18.831088732428121</v>
      </c>
      <c r="H162" s="107">
        <v>34.550839091806523</v>
      </c>
      <c r="I162" s="59">
        <v>0.36202510271570038</v>
      </c>
      <c r="J162" s="59">
        <v>0.33033648758150891</v>
      </c>
    </row>
    <row r="163" spans="1:10" x14ac:dyDescent="0.3">
      <c r="A163" s="7" t="s">
        <v>1575</v>
      </c>
      <c r="B163" s="7" t="s">
        <v>1574</v>
      </c>
      <c r="C163" s="7" t="s">
        <v>1572</v>
      </c>
      <c r="D163" s="132">
        <v>200</v>
      </c>
      <c r="E163" s="59">
        <v>0.1751571772724603</v>
      </c>
      <c r="F163" s="107">
        <v>18.929118074828001</v>
      </c>
      <c r="G163" s="107">
        <v>17.847285542713038</v>
      </c>
      <c r="H163" s="107">
        <v>32.90556103981573</v>
      </c>
      <c r="I163" s="59">
        <v>0.29179276068565357</v>
      </c>
      <c r="J163" s="59">
        <v>0.26173815776762882</v>
      </c>
    </row>
    <row r="164" spans="1:10" x14ac:dyDescent="0.3">
      <c r="A164" s="7" t="s">
        <v>1576</v>
      </c>
      <c r="B164" s="7" t="s">
        <v>1574</v>
      </c>
      <c r="C164" s="7" t="s">
        <v>1567</v>
      </c>
      <c r="D164" s="132">
        <v>200</v>
      </c>
      <c r="E164" s="59">
        <v>0.1751571772724603</v>
      </c>
      <c r="F164" s="107">
        <v>18.929118074828001</v>
      </c>
      <c r="G164" s="107">
        <v>17.847285542713038</v>
      </c>
      <c r="H164" s="107">
        <v>32.90556103981573</v>
      </c>
      <c r="I164" s="59">
        <v>0.29179276068565357</v>
      </c>
      <c r="J164" s="59">
        <v>0.26173815776762882</v>
      </c>
    </row>
    <row r="165" spans="1:10" x14ac:dyDescent="0.3">
      <c r="A165" s="7" t="s">
        <v>1577</v>
      </c>
      <c r="B165" s="7" t="s">
        <v>1574</v>
      </c>
      <c r="C165" s="7" t="s">
        <v>1578</v>
      </c>
      <c r="D165" s="132">
        <v>200</v>
      </c>
      <c r="E165" s="59">
        <v>0.1751571772724603</v>
      </c>
      <c r="F165" s="107">
        <v>18.929118074828001</v>
      </c>
      <c r="G165" s="107">
        <v>17.847285542713038</v>
      </c>
      <c r="H165" s="107">
        <v>32.90556103981573</v>
      </c>
      <c r="I165" s="59">
        <v>0.29179276068565357</v>
      </c>
      <c r="J165" s="59">
        <v>0.26173815776762882</v>
      </c>
    </row>
    <row r="166" spans="1:10" x14ac:dyDescent="0.3">
      <c r="A166" s="7" t="s">
        <v>1579</v>
      </c>
      <c r="B166" s="7" t="s">
        <v>1571</v>
      </c>
      <c r="C166" s="7" t="s">
        <v>1572</v>
      </c>
      <c r="D166" s="132">
        <v>200</v>
      </c>
      <c r="E166" s="59">
        <v>0.1751571772724603</v>
      </c>
      <c r="F166" s="107">
        <v>18.929118074828001</v>
      </c>
      <c r="G166" s="107">
        <v>17.847285542713038</v>
      </c>
      <c r="H166" s="107">
        <v>32.90556103981573</v>
      </c>
      <c r="I166" s="59">
        <v>0.29179276068565357</v>
      </c>
      <c r="J166" s="59">
        <v>0.26173815776762882</v>
      </c>
    </row>
    <row r="167" spans="1:10" x14ac:dyDescent="0.3">
      <c r="A167" s="7" t="s">
        <v>1580</v>
      </c>
      <c r="B167" s="7" t="s">
        <v>1581</v>
      </c>
      <c r="C167" s="7" t="s">
        <v>1572</v>
      </c>
      <c r="D167" s="132">
        <v>200</v>
      </c>
      <c r="E167" s="59">
        <v>0.1751571772724603</v>
      </c>
      <c r="F167" s="107">
        <v>18.929118074828001</v>
      </c>
      <c r="G167" s="107">
        <v>17.847285542713038</v>
      </c>
      <c r="H167" s="107">
        <v>32.90556103981573</v>
      </c>
      <c r="I167" s="59">
        <v>0.29179276068565357</v>
      </c>
      <c r="J167" s="59">
        <v>0.26173815776762882</v>
      </c>
    </row>
    <row r="168" spans="1:10" x14ac:dyDescent="0.3">
      <c r="A168" s="7" t="s">
        <v>1582</v>
      </c>
      <c r="B168" s="7" t="s">
        <v>1581</v>
      </c>
      <c r="C168" s="7" t="s">
        <v>1572</v>
      </c>
      <c r="D168" s="132">
        <v>200</v>
      </c>
      <c r="E168" s="59">
        <v>0.1751571772724603</v>
      </c>
      <c r="F168" s="107">
        <v>18.929118074828001</v>
      </c>
      <c r="G168" s="107">
        <v>17.847285542713038</v>
      </c>
      <c r="H168" s="107">
        <v>32.90556103981573</v>
      </c>
      <c r="I168" s="59">
        <v>0.29179276068565357</v>
      </c>
      <c r="J168" s="59">
        <v>0.26173815776762882</v>
      </c>
    </row>
    <row r="169" spans="1:10" x14ac:dyDescent="0.3">
      <c r="A169" s="7" t="s">
        <v>1583</v>
      </c>
      <c r="B169" s="7" t="s">
        <v>1574</v>
      </c>
      <c r="C169" s="7" t="s">
        <v>1572</v>
      </c>
      <c r="D169" s="132">
        <v>195</v>
      </c>
      <c r="E169" s="59">
        <v>0.14577824784064861</v>
      </c>
      <c r="F169" s="107">
        <v>18.41454780650848</v>
      </c>
      <c r="G169" s="107">
        <v>17.355383947855501</v>
      </c>
      <c r="H169" s="107">
        <v>32.082922013820337</v>
      </c>
      <c r="I169" s="59">
        <v>0.25667658967063017</v>
      </c>
      <c r="J169" s="59">
        <v>0.22743899286068861</v>
      </c>
    </row>
    <row r="170" spans="1:10" x14ac:dyDescent="0.3">
      <c r="A170" s="7" t="s">
        <v>1584</v>
      </c>
      <c r="B170" s="7" t="s">
        <v>1574</v>
      </c>
      <c r="C170" s="7" t="s">
        <v>1567</v>
      </c>
      <c r="D170" s="132">
        <v>193</v>
      </c>
      <c r="E170" s="59">
        <v>0.13402667606792409</v>
      </c>
      <c r="F170" s="107">
        <v>18.208719699180669</v>
      </c>
      <c r="G170" s="107">
        <v>17.158623309912489</v>
      </c>
      <c r="H170" s="107">
        <v>31.75386640342218</v>
      </c>
      <c r="I170" s="59">
        <v>0.24263012126462091</v>
      </c>
      <c r="J170" s="59">
        <v>0.2137193268979127</v>
      </c>
    </row>
    <row r="171" spans="1:10" x14ac:dyDescent="0.3">
      <c r="A171" s="7" t="s">
        <v>1585</v>
      </c>
      <c r="B171" s="7" t="s">
        <v>1574</v>
      </c>
      <c r="C171" s="7" t="s">
        <v>1586</v>
      </c>
      <c r="D171" s="132">
        <v>190</v>
      </c>
      <c r="E171" s="59">
        <v>0.1163993184088372</v>
      </c>
      <c r="F171" s="107">
        <v>17.89997753818896</v>
      </c>
      <c r="G171" s="107">
        <v>16.863482352997959</v>
      </c>
      <c r="H171" s="107">
        <v>31.26028298782494</v>
      </c>
      <c r="I171" s="59">
        <v>0.2215604186556068</v>
      </c>
      <c r="J171" s="59">
        <v>0.19313982795374859</v>
      </c>
    </row>
    <row r="172" spans="1:10" x14ac:dyDescent="0.3">
      <c r="A172" s="7" t="s">
        <v>1587</v>
      </c>
      <c r="B172" s="7" t="s">
        <v>1574</v>
      </c>
      <c r="C172" s="7" t="s">
        <v>1572</v>
      </c>
      <c r="D172" s="132">
        <v>190</v>
      </c>
      <c r="E172" s="59">
        <v>0.1163993184088372</v>
      </c>
      <c r="F172" s="107">
        <v>17.89997753818896</v>
      </c>
      <c r="G172" s="107">
        <v>16.863482352997959</v>
      </c>
      <c r="H172" s="107">
        <v>31.26028298782494</v>
      </c>
      <c r="I172" s="59">
        <v>0.2215604186556068</v>
      </c>
      <c r="J172" s="59">
        <v>0.19313982795374859</v>
      </c>
    </row>
    <row r="173" spans="1:10" x14ac:dyDescent="0.3">
      <c r="A173" s="7" t="s">
        <v>1588</v>
      </c>
      <c r="B173" s="7" t="s">
        <v>1574</v>
      </c>
      <c r="C173" s="7" t="s">
        <v>1589</v>
      </c>
      <c r="D173" s="132">
        <v>186</v>
      </c>
      <c r="E173" s="59">
        <v>9.2896174863388067E-2</v>
      </c>
      <c r="F173" s="107">
        <v>17.488321323533341</v>
      </c>
      <c r="G173" s="107">
        <v>16.469961077111929</v>
      </c>
      <c r="H173" s="107">
        <v>30.602171767028629</v>
      </c>
      <c r="I173" s="59">
        <v>0.193467481843588</v>
      </c>
      <c r="J173" s="59">
        <v>0.1657004960281965</v>
      </c>
    </row>
    <row r="174" spans="1:10" x14ac:dyDescent="0.3">
      <c r="A174" s="7" t="s">
        <v>1590</v>
      </c>
      <c r="B174" s="7" t="s">
        <v>1591</v>
      </c>
      <c r="C174" s="7" t="s">
        <v>1567</v>
      </c>
      <c r="D174" s="132">
        <v>185</v>
      </c>
      <c r="E174" s="59">
        <v>8.7020388977025784E-2</v>
      </c>
      <c r="F174" s="107">
        <v>17.38540726986944</v>
      </c>
      <c r="G174" s="107">
        <v>16.371580758140421</v>
      </c>
      <c r="H174" s="107">
        <v>30.437643961829551</v>
      </c>
      <c r="I174" s="59">
        <v>0.1864442476405834</v>
      </c>
      <c r="J174" s="59">
        <v>0.15884066304680841</v>
      </c>
    </row>
    <row r="175" spans="1:10" x14ac:dyDescent="0.3">
      <c r="A175" s="7" t="s">
        <v>1592</v>
      </c>
      <c r="B175" s="7" t="s">
        <v>1574</v>
      </c>
      <c r="C175" s="7" t="s">
        <v>1567</v>
      </c>
      <c r="D175" s="132">
        <v>180</v>
      </c>
      <c r="E175" s="59">
        <v>5.7641459545214158E-2</v>
      </c>
      <c r="F175" s="107">
        <v>16.870837001549919</v>
      </c>
      <c r="G175" s="107">
        <v>15.879679163282891</v>
      </c>
      <c r="H175" s="107">
        <v>29.615004935834161</v>
      </c>
      <c r="I175" s="59">
        <v>0.1513280766255598</v>
      </c>
      <c r="J175" s="59">
        <v>0.1245414981398683</v>
      </c>
    </row>
    <row r="176" spans="1:10" x14ac:dyDescent="0.3">
      <c r="A176" s="7" t="s">
        <v>1593</v>
      </c>
      <c r="B176" s="7" t="s">
        <v>1594</v>
      </c>
      <c r="C176" s="7" t="s">
        <v>1572</v>
      </c>
      <c r="D176" s="132">
        <v>175</v>
      </c>
      <c r="E176" s="59">
        <v>2.826253011340274E-2</v>
      </c>
      <c r="F176" s="107">
        <v>16.356266733230399</v>
      </c>
      <c r="G176" s="107">
        <v>15.387777568425349</v>
      </c>
      <c r="H176" s="107">
        <v>28.792365909838761</v>
      </c>
      <c r="I176" s="59">
        <v>0.1162119056105366</v>
      </c>
      <c r="J176" s="59">
        <v>9.0242333232928296E-2</v>
      </c>
    </row>
    <row r="177" spans="1:22" x14ac:dyDescent="0.3">
      <c r="A177" s="7" t="s">
        <v>1595</v>
      </c>
      <c r="B177" s="7" t="s">
        <v>1574</v>
      </c>
      <c r="C177" s="7" t="s">
        <v>1596</v>
      </c>
      <c r="D177" s="132">
        <v>175</v>
      </c>
      <c r="E177" s="59">
        <v>2.826253011340274E-2</v>
      </c>
      <c r="F177" s="107">
        <v>16.356266733230399</v>
      </c>
      <c r="G177" s="107">
        <v>15.387777568425349</v>
      </c>
      <c r="H177" s="107">
        <v>28.792365909838761</v>
      </c>
      <c r="I177" s="59">
        <v>0.1162119056105366</v>
      </c>
      <c r="J177" s="59">
        <v>9.0242333232928296E-2</v>
      </c>
    </row>
    <row r="178" spans="1:22" x14ac:dyDescent="0.3">
      <c r="A178" s="7" t="s">
        <v>1597</v>
      </c>
      <c r="B178" s="7" t="s">
        <v>1598</v>
      </c>
      <c r="C178" s="7" t="s">
        <v>1567</v>
      </c>
      <c r="D178" s="132">
        <v>175</v>
      </c>
      <c r="E178" s="59">
        <v>2.826253011340274E-2</v>
      </c>
      <c r="F178" s="107">
        <v>16.356266733230399</v>
      </c>
      <c r="G178" s="107">
        <v>15.387777568425349</v>
      </c>
      <c r="H178" s="107">
        <v>28.792365909838761</v>
      </c>
      <c r="I178" s="59">
        <v>0.1162119056105366</v>
      </c>
      <c r="J178" s="59">
        <v>9.0242333232928296E-2</v>
      </c>
    </row>
    <row r="179" spans="1:22" x14ac:dyDescent="0.3">
      <c r="A179" s="7" t="s">
        <v>1599</v>
      </c>
      <c r="B179" s="7" t="s">
        <v>1574</v>
      </c>
      <c r="C179" s="7" t="s">
        <v>1596</v>
      </c>
      <c r="D179" s="132">
        <v>172</v>
      </c>
      <c r="E179" s="59">
        <v>1.063517245431589E-2</v>
      </c>
      <c r="F179" s="107">
        <v>16.047524572238679</v>
      </c>
      <c r="G179" s="107">
        <v>15.092636611510819</v>
      </c>
      <c r="H179" s="107">
        <v>28.298782494241529</v>
      </c>
      <c r="I179" s="59">
        <v>9.5142203001522513E-2</v>
      </c>
      <c r="J179" s="59">
        <v>6.9662834288764186E-2</v>
      </c>
    </row>
    <row r="180" spans="1:22" x14ac:dyDescent="0.3">
      <c r="A180" s="7" t="s">
        <v>1600</v>
      </c>
      <c r="B180" s="7" t="s">
        <v>1574</v>
      </c>
      <c r="C180" s="7" t="s">
        <v>1596</v>
      </c>
      <c r="D180" s="132">
        <v>170</v>
      </c>
      <c r="E180" s="59">
        <v>-1.116399318408789E-3</v>
      </c>
      <c r="F180" s="107">
        <v>15.84169646491088</v>
      </c>
      <c r="G180" s="107">
        <v>14.89587597356781</v>
      </c>
      <c r="H180" s="107">
        <v>27.969726883843371</v>
      </c>
      <c r="I180" s="59">
        <v>8.1095734595513225E-2</v>
      </c>
      <c r="J180" s="59">
        <v>5.5943168325988328E-2</v>
      </c>
    </row>
    <row r="181" spans="1:22" x14ac:dyDescent="0.3">
      <c r="A181" s="7" t="s">
        <v>1601</v>
      </c>
      <c r="B181" s="7" t="s">
        <v>1574</v>
      </c>
      <c r="C181" s="7" t="s">
        <v>1596</v>
      </c>
      <c r="D181" s="132">
        <v>170</v>
      </c>
      <c r="E181" s="59">
        <v>-1.116399318408789E-3</v>
      </c>
      <c r="F181" s="107">
        <v>15.84169646491088</v>
      </c>
      <c r="G181" s="107">
        <v>14.89587597356781</v>
      </c>
      <c r="H181" s="107">
        <v>27.969726883843371</v>
      </c>
      <c r="I181" s="59">
        <v>8.1095734595513225E-2</v>
      </c>
      <c r="J181" s="59">
        <v>5.5943168325988328E-2</v>
      </c>
    </row>
    <row r="182" spans="1:22" x14ac:dyDescent="0.3">
      <c r="A182" s="7" t="s">
        <v>1602</v>
      </c>
      <c r="B182" s="7" t="s">
        <v>1603</v>
      </c>
      <c r="C182" s="7" t="s">
        <v>1572</v>
      </c>
      <c r="D182" s="132">
        <v>165</v>
      </c>
      <c r="E182" s="59">
        <v>-3.0495328750220319E-2</v>
      </c>
      <c r="F182" s="107">
        <v>15.32712619659136</v>
      </c>
      <c r="G182" s="107">
        <v>14.40397437871027</v>
      </c>
      <c r="H182" s="107">
        <v>27.147087857847971</v>
      </c>
      <c r="I182" s="59">
        <v>4.5979563580489817E-2</v>
      </c>
      <c r="J182" s="59">
        <v>2.1644003419048149E-2</v>
      </c>
    </row>
    <row r="183" spans="1:22" x14ac:dyDescent="0.3">
      <c r="A183" s="7" t="s">
        <v>1604</v>
      </c>
      <c r="B183" s="7" t="s">
        <v>1605</v>
      </c>
      <c r="C183" s="7" t="s">
        <v>1606</v>
      </c>
      <c r="D183" s="132">
        <v>165</v>
      </c>
      <c r="E183" s="59">
        <v>-3.0495328750220319E-2</v>
      </c>
      <c r="F183" s="107">
        <v>15.32712619659136</v>
      </c>
      <c r="G183" s="107">
        <v>14.40397437871027</v>
      </c>
      <c r="H183" s="107">
        <v>27.147087857847971</v>
      </c>
      <c r="I183" s="59">
        <v>4.5979563580489817E-2</v>
      </c>
      <c r="J183" s="59">
        <v>2.1644003419048149E-2</v>
      </c>
    </row>
    <row r="184" spans="1:22" x14ac:dyDescent="0.3">
      <c r="A184" s="7" t="s">
        <v>1607</v>
      </c>
      <c r="B184" s="7" t="s">
        <v>1608</v>
      </c>
      <c r="C184" s="7" t="s">
        <v>1609</v>
      </c>
      <c r="D184" s="132">
        <v>161</v>
      </c>
      <c r="E184" s="59">
        <v>-5.3998472295669571E-2</v>
      </c>
      <c r="F184" s="107">
        <v>14.91546998193574</v>
      </c>
      <c r="G184" s="107">
        <v>14.01045310282424</v>
      </c>
      <c r="H184" s="107">
        <v>26.48897663705166</v>
      </c>
      <c r="I184" s="59">
        <v>1.7886626768471189E-2</v>
      </c>
      <c r="J184" s="59">
        <v>-5.7953285065038829E-3</v>
      </c>
    </row>
    <row r="185" spans="1:22" x14ac:dyDescent="0.3">
      <c r="A185" s="7" t="s">
        <v>1610</v>
      </c>
      <c r="B185" s="7" t="s">
        <v>1611</v>
      </c>
      <c r="C185" s="7" t="s">
        <v>1567</v>
      </c>
      <c r="D185" s="132">
        <v>160</v>
      </c>
      <c r="E185" s="59">
        <v>-5.9874258182031848E-2</v>
      </c>
      <c r="F185" s="107">
        <v>14.812555928271831</v>
      </c>
      <c r="G185" s="107">
        <v>13.91207278385273</v>
      </c>
      <c r="H185" s="107">
        <v>26.324448831852582</v>
      </c>
      <c r="I185" s="59">
        <v>1.086339256546642E-2</v>
      </c>
      <c r="J185" s="59">
        <v>-1.2655161487891919E-2</v>
      </c>
    </row>
    <row r="186" spans="1:22" x14ac:dyDescent="0.3">
      <c r="A186" s="7" t="s">
        <v>1612</v>
      </c>
      <c r="B186" s="7" t="s">
        <v>1574</v>
      </c>
      <c r="C186" s="7" t="s">
        <v>1596</v>
      </c>
      <c r="D186" s="132">
        <v>160</v>
      </c>
      <c r="E186" s="59">
        <v>-5.9874258182031848E-2</v>
      </c>
      <c r="F186" s="107">
        <v>14.812555928271831</v>
      </c>
      <c r="G186" s="107">
        <v>13.91207278385273</v>
      </c>
      <c r="H186" s="107">
        <v>26.324448831852582</v>
      </c>
      <c r="I186" s="59">
        <v>1.086339256546642E-2</v>
      </c>
      <c r="J186" s="59">
        <v>-1.2655161487891919E-2</v>
      </c>
    </row>
    <row r="187" spans="1:22" x14ac:dyDescent="0.3">
      <c r="A187" s="7" t="s">
        <v>1613</v>
      </c>
      <c r="B187" s="7" t="s">
        <v>1614</v>
      </c>
      <c r="C187" s="7" t="s">
        <v>1615</v>
      </c>
      <c r="D187" s="132">
        <v>155</v>
      </c>
      <c r="E187" s="59">
        <v>-8.9253187613843377E-2</v>
      </c>
      <c r="F187" s="107">
        <v>14.29798565995231</v>
      </c>
      <c r="G187" s="107">
        <v>13.420171188995189</v>
      </c>
      <c r="H187" s="107">
        <v>25.501809805857189</v>
      </c>
      <c r="I187" s="59">
        <v>-2.4252778449557089E-2</v>
      </c>
      <c r="J187" s="59">
        <v>-4.6954326394832102E-2</v>
      </c>
    </row>
    <row r="188" spans="1:22" x14ac:dyDescent="0.3">
      <c r="A188" s="7" t="s">
        <v>1616</v>
      </c>
      <c r="B188" s="7" t="s">
        <v>1611</v>
      </c>
      <c r="C188" s="7" t="s">
        <v>1567</v>
      </c>
      <c r="D188" s="132">
        <v>154</v>
      </c>
      <c r="E188" s="59">
        <v>-9.512897350020566E-2</v>
      </c>
      <c r="F188" s="107">
        <v>14.19507160628841</v>
      </c>
      <c r="G188" s="107">
        <v>13.32179087002369</v>
      </c>
      <c r="H188" s="107">
        <v>25.33728200065811</v>
      </c>
      <c r="I188" s="59">
        <v>-3.1276012652561642E-2</v>
      </c>
      <c r="J188" s="59">
        <v>-5.3814159376220028E-2</v>
      </c>
    </row>
    <row r="189" spans="1:22" x14ac:dyDescent="0.3">
      <c r="A189" s="7" t="s">
        <v>1617</v>
      </c>
      <c r="B189" s="7" t="s">
        <v>1574</v>
      </c>
      <c r="C189" s="7" t="s">
        <v>1618</v>
      </c>
      <c r="D189" s="132">
        <v>150</v>
      </c>
      <c r="E189" s="59">
        <v>-0.11863211704565479</v>
      </c>
      <c r="F189" s="107">
        <v>13.78341539163279</v>
      </c>
      <c r="G189" s="107">
        <v>12.92826959413766</v>
      </c>
      <c r="H189" s="107">
        <v>24.679170779861799</v>
      </c>
      <c r="I189" s="59">
        <v>-5.9368949464580482E-2</v>
      </c>
      <c r="J189" s="59">
        <v>-8.1253491301772285E-2</v>
      </c>
    </row>
    <row r="190" spans="1:22" x14ac:dyDescent="0.3">
      <c r="A190" s="7" t="s">
        <v>1619</v>
      </c>
      <c r="B190" s="7" t="s">
        <v>1620</v>
      </c>
      <c r="C190" s="7" t="s">
        <v>1621</v>
      </c>
      <c r="D190" s="132">
        <v>125</v>
      </c>
      <c r="E190" s="59">
        <v>-0.26552676420471238</v>
      </c>
      <c r="F190" s="107">
        <v>11.21056405003519</v>
      </c>
      <c r="G190" s="107">
        <v>10.46876161984996</v>
      </c>
      <c r="H190" s="107">
        <v>20.56597564988483</v>
      </c>
      <c r="I190" s="59">
        <v>-0.23494980453969749</v>
      </c>
      <c r="J190" s="59">
        <v>-0.25274931583647259</v>
      </c>
    </row>
    <row r="192" spans="1:22" x14ac:dyDescent="0.3">
      <c r="A192" s="3" t="s">
        <v>1622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18" x14ac:dyDescent="0.3">
      <c r="A193" s="124" t="s">
        <v>1623</v>
      </c>
    </row>
    <row r="194" spans="1:18" ht="42" customHeight="1" x14ac:dyDescent="0.3">
      <c r="A194" s="18" t="s">
        <v>1624</v>
      </c>
      <c r="B194" s="18" t="s">
        <v>1625</v>
      </c>
      <c r="C194" s="18" t="s">
        <v>1395</v>
      </c>
      <c r="D194" s="18" t="s">
        <v>1626</v>
      </c>
      <c r="E194" s="18" t="s">
        <v>1627</v>
      </c>
      <c r="F194" s="18" t="s">
        <v>1628</v>
      </c>
      <c r="G194" s="18" t="s">
        <v>1629</v>
      </c>
      <c r="H194" s="18" t="s">
        <v>1630</v>
      </c>
      <c r="I194" s="18" t="s">
        <v>268</v>
      </c>
      <c r="J194" s="18" t="s">
        <v>1631</v>
      </c>
      <c r="K194" s="18" t="s">
        <v>1632</v>
      </c>
      <c r="L194" s="18" t="s">
        <v>1633</v>
      </c>
      <c r="M194" s="18" t="s">
        <v>1634</v>
      </c>
      <c r="N194" s="18" t="s">
        <v>1635</v>
      </c>
      <c r="O194" s="18" t="s">
        <v>1636</v>
      </c>
    </row>
    <row r="195" spans="1:18" ht="52.8" x14ac:dyDescent="0.3">
      <c r="A195" s="7" t="s">
        <v>1637</v>
      </c>
      <c r="B195" s="5" t="s">
        <v>1638</v>
      </c>
      <c r="C195" s="5" t="s">
        <v>1639</v>
      </c>
      <c r="D195" s="73">
        <v>-0.66500000000000004</v>
      </c>
      <c r="E195" s="73">
        <v>3.3546999999999998</v>
      </c>
      <c r="F195" s="73">
        <v>0</v>
      </c>
      <c r="G195" s="73">
        <v>0</v>
      </c>
      <c r="H195" s="73">
        <v>0</v>
      </c>
      <c r="I195" s="76">
        <v>16</v>
      </c>
      <c r="J195" s="108">
        <v>0.1308</v>
      </c>
      <c r="K195" s="108">
        <v>-1.6899999999999998E-2</v>
      </c>
      <c r="L195" s="144">
        <v>0.15590000000000001</v>
      </c>
      <c r="M195" s="73">
        <v>8.7840000000000007</v>
      </c>
      <c r="N195" s="146">
        <f t="shared" ref="N195:N200" si="0">D195+E195</f>
        <v>2.6896999999999998</v>
      </c>
      <c r="O195" s="146">
        <f t="shared" ref="O195:O200" si="1">D195-E195</f>
        <v>-4.0197000000000003</v>
      </c>
    </row>
    <row r="196" spans="1:18" ht="66" x14ac:dyDescent="0.3">
      <c r="A196" s="7" t="s">
        <v>1640</v>
      </c>
      <c r="B196" s="5" t="s">
        <v>1641</v>
      </c>
      <c r="C196" s="5" t="s">
        <v>1642</v>
      </c>
      <c r="D196" s="73">
        <v>-1.8660000000000001</v>
      </c>
      <c r="E196" s="73">
        <v>3.859</v>
      </c>
      <c r="F196" s="73">
        <v>2.0596000000000001</v>
      </c>
      <c r="G196" s="73">
        <v>0</v>
      </c>
      <c r="H196" s="73">
        <v>0</v>
      </c>
      <c r="I196" s="76">
        <v>16</v>
      </c>
      <c r="J196" s="108">
        <v>0.44390000000000002</v>
      </c>
      <c r="K196" s="108">
        <v>0.2147</v>
      </c>
      <c r="L196" s="144">
        <v>1.9E-2</v>
      </c>
      <c r="M196" s="73">
        <v>7.2910000000000004</v>
      </c>
      <c r="N196" s="146">
        <f t="shared" si="0"/>
        <v>1.9929999999999999</v>
      </c>
      <c r="O196" s="146">
        <f t="shared" si="1"/>
        <v>-5.7249999999999996</v>
      </c>
    </row>
    <row r="197" spans="1:18" ht="105.6" x14ac:dyDescent="0.3">
      <c r="A197" s="7" t="s">
        <v>1643</v>
      </c>
      <c r="B197" s="5" t="s">
        <v>1644</v>
      </c>
      <c r="C197" s="5" t="s">
        <v>1645</v>
      </c>
      <c r="D197" s="73">
        <v>-1.7809999999999999</v>
      </c>
      <c r="E197" s="73">
        <v>3.85</v>
      </c>
      <c r="F197" s="73">
        <v>2.0647000000000002</v>
      </c>
      <c r="G197" s="73">
        <v>-5.1999999999999998E-2</v>
      </c>
      <c r="H197" s="73">
        <v>-0.28189999999999998</v>
      </c>
      <c r="I197" s="76">
        <v>16</v>
      </c>
      <c r="J197" s="108">
        <v>0.44390000000000002</v>
      </c>
      <c r="K197" s="108">
        <v>2.2700000000000001E-2</v>
      </c>
      <c r="L197" s="144">
        <v>5.7000000000000002E-2</v>
      </c>
      <c r="M197" s="73">
        <v>7.5880000000000001</v>
      </c>
      <c r="N197" s="146">
        <f t="shared" si="0"/>
        <v>2.069</v>
      </c>
      <c r="O197" s="146">
        <f t="shared" si="1"/>
        <v>-5.6310000000000002</v>
      </c>
    </row>
    <row r="198" spans="1:18" ht="52.8" x14ac:dyDescent="0.3">
      <c r="A198" s="7" t="s">
        <v>1646</v>
      </c>
      <c r="B198" s="5" t="s">
        <v>1638</v>
      </c>
      <c r="C198" s="5" t="s">
        <v>1639</v>
      </c>
      <c r="D198" s="73">
        <v>-0.45200000000000001</v>
      </c>
      <c r="E198" s="73">
        <v>5.6573000000000002</v>
      </c>
      <c r="F198" s="73">
        <v>0</v>
      </c>
      <c r="G198" s="73">
        <v>0</v>
      </c>
      <c r="H198" s="73">
        <v>0</v>
      </c>
      <c r="I198" s="76">
        <v>14</v>
      </c>
      <c r="J198" s="108">
        <v>0.40670000000000001</v>
      </c>
      <c r="K198" s="108">
        <v>0.27760000000000001</v>
      </c>
      <c r="L198" s="144">
        <v>1.7000000000000001E-2</v>
      </c>
      <c r="M198" s="73">
        <v>6.9329999999999998</v>
      </c>
      <c r="N198" s="146">
        <f t="shared" si="0"/>
        <v>5.2053000000000003</v>
      </c>
      <c r="O198" s="146">
        <f t="shared" si="1"/>
        <v>-6.1093000000000002</v>
      </c>
    </row>
    <row r="199" spans="1:18" ht="66" x14ac:dyDescent="0.3">
      <c r="A199" s="7" t="s">
        <v>1647</v>
      </c>
      <c r="B199" s="5" t="s">
        <v>1641</v>
      </c>
      <c r="C199" s="5" t="s">
        <v>1642</v>
      </c>
      <c r="D199" s="73">
        <v>-0.96399999999999997</v>
      </c>
      <c r="E199" s="73">
        <v>5.4638</v>
      </c>
      <c r="F199" s="73">
        <v>1.3225</v>
      </c>
      <c r="G199" s="73">
        <v>0</v>
      </c>
      <c r="H199" s="73">
        <v>0</v>
      </c>
      <c r="I199" s="76">
        <v>14</v>
      </c>
      <c r="J199" s="108">
        <v>0.52370000000000005</v>
      </c>
      <c r="K199" s="108">
        <v>0.29070000000000001</v>
      </c>
      <c r="L199" s="144">
        <v>8.9999999999999993E-3</v>
      </c>
      <c r="M199" s="73">
        <v>6.4889999999999999</v>
      </c>
      <c r="N199" s="146">
        <f t="shared" si="0"/>
        <v>4.4998000000000005</v>
      </c>
      <c r="O199" s="146">
        <f t="shared" si="1"/>
        <v>-6.4277999999999995</v>
      </c>
    </row>
    <row r="200" spans="1:18" ht="105.6" x14ac:dyDescent="0.3">
      <c r="A200" s="7" t="s">
        <v>1648</v>
      </c>
      <c r="B200" s="5" t="s">
        <v>1644</v>
      </c>
      <c r="C200" s="5" t="s">
        <v>1645</v>
      </c>
      <c r="D200" s="73">
        <v>-3.36</v>
      </c>
      <c r="E200" s="73">
        <v>6.0208000000000004</v>
      </c>
      <c r="F200" s="73">
        <v>1.1091</v>
      </c>
      <c r="G200" s="73">
        <v>1.6368</v>
      </c>
      <c r="H200" s="73">
        <v>0.26919999999999999</v>
      </c>
      <c r="I200" s="76">
        <v>14</v>
      </c>
      <c r="J200" s="108">
        <v>0.56100000000000005</v>
      </c>
      <c r="K200" s="108">
        <v>0.111</v>
      </c>
      <c r="L200" s="144">
        <v>4.2999999999999997E-2</v>
      </c>
      <c r="M200" s="73">
        <v>6.5330000000000004</v>
      </c>
      <c r="N200" s="146">
        <f t="shared" si="0"/>
        <v>2.6608000000000005</v>
      </c>
      <c r="O200" s="146">
        <f t="shared" si="1"/>
        <v>-9.3808000000000007</v>
      </c>
    </row>
    <row r="202" spans="1:18" x14ac:dyDescent="0.3">
      <c r="A202" s="124" t="s">
        <v>1649</v>
      </c>
    </row>
    <row r="203" spans="1:18" ht="42" customHeight="1" x14ac:dyDescent="0.3">
      <c r="A203" s="18" t="s">
        <v>249</v>
      </c>
      <c r="B203" s="18" t="s">
        <v>1650</v>
      </c>
      <c r="C203" s="18" t="s">
        <v>1651</v>
      </c>
      <c r="D203" s="18" t="s">
        <v>1652</v>
      </c>
      <c r="E203" s="18" t="s">
        <v>1653</v>
      </c>
      <c r="F203" s="18" t="s">
        <v>54</v>
      </c>
      <c r="G203" s="18" t="s">
        <v>1654</v>
      </c>
      <c r="H203" s="18" t="s">
        <v>1655</v>
      </c>
      <c r="I203" s="18" t="s">
        <v>978</v>
      </c>
      <c r="J203" s="18" t="s">
        <v>1656</v>
      </c>
      <c r="K203" s="18" t="s">
        <v>1657</v>
      </c>
      <c r="L203" s="18" t="s">
        <v>1658</v>
      </c>
      <c r="M203" s="18" t="s">
        <v>1659</v>
      </c>
      <c r="N203" s="18" t="s">
        <v>1660</v>
      </c>
      <c r="O203" s="18" t="s">
        <v>1661</v>
      </c>
      <c r="P203" s="18" t="s">
        <v>1662</v>
      </c>
      <c r="Q203" s="18" t="s">
        <v>1663</v>
      </c>
      <c r="R203" s="18" t="s">
        <v>1664</v>
      </c>
    </row>
    <row r="204" spans="1:18" ht="15" customHeight="1" x14ac:dyDescent="0.3">
      <c r="A204" s="147" t="s">
        <v>982</v>
      </c>
      <c r="B204" s="12" t="s">
        <v>1665</v>
      </c>
      <c r="C204" s="24">
        <v>9.9000000000000005E-2</v>
      </c>
      <c r="D204" s="148">
        <v>-0.44</v>
      </c>
      <c r="E204" s="12" t="s">
        <v>1666</v>
      </c>
      <c r="F204" s="20">
        <v>4771</v>
      </c>
      <c r="G204" s="24">
        <v>5.6999999999999993E-3</v>
      </c>
      <c r="H204" s="24">
        <v>8.900000000000001E-2</v>
      </c>
      <c r="I204" s="20">
        <v>3111</v>
      </c>
      <c r="J204" s="24">
        <v>-1.3599999999999999E-2</v>
      </c>
      <c r="K204" s="24">
        <v>-2.7799999999999998E-2</v>
      </c>
      <c r="L204" s="24">
        <v>-6.1100000000000002E-2</v>
      </c>
      <c r="M204" s="24">
        <v>-4.0199999999999993E-2</v>
      </c>
      <c r="N204" s="24">
        <v>-8.2299999999999998E-2</v>
      </c>
      <c r="O204" s="24">
        <v>-0.1011</v>
      </c>
      <c r="P204" s="24">
        <v>-8.5299999999999987E-2</v>
      </c>
      <c r="Q204" s="24">
        <v>-0.14990000000000001</v>
      </c>
      <c r="R204" s="24">
        <v>2.7799999999999998E-2</v>
      </c>
    </row>
    <row r="205" spans="1:18" ht="15" customHeight="1" x14ac:dyDescent="0.3">
      <c r="A205" s="147" t="s">
        <v>983</v>
      </c>
      <c r="B205" s="12" t="s">
        <v>1665</v>
      </c>
      <c r="C205" s="24">
        <v>9.9000000000000005E-2</v>
      </c>
      <c r="D205" s="148">
        <v>-0.44</v>
      </c>
      <c r="E205" s="12" t="s">
        <v>1666</v>
      </c>
      <c r="F205" s="20">
        <v>4771</v>
      </c>
      <c r="G205" s="24">
        <v>5.6999999999999993E-3</v>
      </c>
      <c r="H205" s="24">
        <v>8.1000000000000003E-2</v>
      </c>
      <c r="I205" s="20">
        <v>3102</v>
      </c>
      <c r="J205" s="24">
        <v>-1.66E-2</v>
      </c>
      <c r="K205" s="24">
        <v>-3.0800000000000001E-2</v>
      </c>
      <c r="L205" s="24">
        <v>-6.1100000000000002E-2</v>
      </c>
      <c r="M205" s="24">
        <v>-4.0199999999999993E-2</v>
      </c>
      <c r="N205" s="24">
        <v>-8.6300000000000002E-2</v>
      </c>
      <c r="O205" s="24">
        <v>-0.105</v>
      </c>
      <c r="P205" s="24">
        <v>-9.1499999999999998E-2</v>
      </c>
      <c r="Q205" s="24">
        <v>-0.14990000000000001</v>
      </c>
      <c r="R205" s="24">
        <v>2.7799999999999998E-2</v>
      </c>
    </row>
    <row r="206" spans="1:18" ht="15" customHeight="1" x14ac:dyDescent="0.3">
      <c r="A206" s="149" t="s">
        <v>984</v>
      </c>
      <c r="B206" s="14" t="s">
        <v>1667</v>
      </c>
      <c r="C206" s="23">
        <v>0.111</v>
      </c>
      <c r="D206" s="150">
        <v>0.76</v>
      </c>
      <c r="E206" s="14" t="s">
        <v>1668</v>
      </c>
      <c r="F206" s="19">
        <v>4744</v>
      </c>
      <c r="G206" s="23">
        <v>0</v>
      </c>
      <c r="H206" s="23">
        <v>0.10100000000000001</v>
      </c>
      <c r="I206" s="19">
        <v>3154</v>
      </c>
      <c r="J206" s="23">
        <v>0</v>
      </c>
      <c r="K206" s="23">
        <v>-1.44E-2</v>
      </c>
      <c r="L206" s="23">
        <v>5.21E-2</v>
      </c>
      <c r="M206" s="23">
        <v>2.69E-2</v>
      </c>
      <c r="N206" s="23">
        <v>4.4999999999999998E-2</v>
      </c>
      <c r="O206" s="23">
        <v>2.5999999999999999E-2</v>
      </c>
      <c r="P206" s="23">
        <v>1.9900000000000001E-2</v>
      </c>
      <c r="Q206" s="23">
        <v>-3.6799999999999999E-2</v>
      </c>
      <c r="R206" s="23">
        <v>0.1409</v>
      </c>
    </row>
    <row r="207" spans="1:18" ht="15" customHeight="1" x14ac:dyDescent="0.3">
      <c r="A207" s="5" t="s">
        <v>968</v>
      </c>
      <c r="B207" s="7" t="s">
        <v>1667</v>
      </c>
      <c r="C207" s="59">
        <v>0.115</v>
      </c>
      <c r="D207" s="151">
        <v>1.1599999999999999</v>
      </c>
      <c r="E207" s="7" t="s">
        <v>1668</v>
      </c>
      <c r="F207" s="42">
        <v>4815</v>
      </c>
      <c r="G207" s="59">
        <v>1.4999999999999999E-2</v>
      </c>
      <c r="H207" s="59">
        <v>0.105</v>
      </c>
      <c r="I207" s="42">
        <v>3130</v>
      </c>
      <c r="J207" s="59">
        <v>-7.6E-3</v>
      </c>
      <c r="K207" s="59">
        <v>-2.1899999999999999E-2</v>
      </c>
      <c r="L207" s="59">
        <v>5.21E-2</v>
      </c>
      <c r="M207" s="59">
        <v>2.69E-2</v>
      </c>
      <c r="N207" s="59">
        <v>3.49E-2</v>
      </c>
      <c r="O207" s="59">
        <v>1.61E-2</v>
      </c>
      <c r="P207" s="59">
        <v>4.3E-3</v>
      </c>
      <c r="Q207" s="59">
        <v>-3.6799999999999999E-2</v>
      </c>
      <c r="R207" s="59">
        <v>0.1409</v>
      </c>
    </row>
    <row r="208" spans="1:18" ht="25.95" customHeight="1" x14ac:dyDescent="0.3">
      <c r="A208" s="5" t="s">
        <v>985</v>
      </c>
      <c r="B208" s="7" t="s">
        <v>1665</v>
      </c>
      <c r="C208" s="59">
        <v>9.7500000000000003E-2</v>
      </c>
      <c r="D208" s="151">
        <v>-0.59</v>
      </c>
      <c r="E208" s="7" t="s">
        <v>1666</v>
      </c>
      <c r="F208" s="42">
        <v>4815</v>
      </c>
      <c r="G208" s="59">
        <v>1.4999999999999999E-2</v>
      </c>
      <c r="H208" s="59">
        <v>9.7500000000000003E-2</v>
      </c>
      <c r="I208" s="42">
        <v>3121</v>
      </c>
      <c r="J208" s="59">
        <v>-1.04E-2</v>
      </c>
      <c r="K208" s="59">
        <v>-2.47E-2</v>
      </c>
      <c r="L208" s="59">
        <v>-6.1100000000000002E-2</v>
      </c>
      <c r="M208" s="59">
        <v>-4.0199999999999993E-2</v>
      </c>
      <c r="N208" s="59">
        <v>-7.8100000000000003E-2</v>
      </c>
      <c r="O208" s="59">
        <v>-9.69E-2</v>
      </c>
      <c r="P208" s="59">
        <v>-7.8700000000000006E-2</v>
      </c>
      <c r="Q208" s="59">
        <v>-0.14990000000000001</v>
      </c>
      <c r="R208" s="59">
        <v>2.7799999999999998E-2</v>
      </c>
    </row>
    <row r="209" spans="1:18" ht="25.95" customHeight="1" x14ac:dyDescent="0.3">
      <c r="A209" s="5" t="s">
        <v>986</v>
      </c>
      <c r="B209" s="7" t="s">
        <v>1669</v>
      </c>
      <c r="C209" s="59">
        <v>0.10340000000000001</v>
      </c>
      <c r="D209" s="151">
        <v>0</v>
      </c>
      <c r="E209" s="7" t="s">
        <v>1670</v>
      </c>
      <c r="F209" s="42">
        <v>4744</v>
      </c>
      <c r="G209" s="59">
        <v>0</v>
      </c>
      <c r="H209" s="59">
        <v>0.10340000000000001</v>
      </c>
      <c r="I209" s="42">
        <v>3154</v>
      </c>
      <c r="J209" s="59">
        <v>0</v>
      </c>
      <c r="K209" s="59">
        <v>-1.44E-2</v>
      </c>
      <c r="L209" s="59">
        <v>-4.5000000000000014E-3</v>
      </c>
      <c r="M209" s="59">
        <v>-6.6E-3</v>
      </c>
      <c r="N209" s="59">
        <v>-9.5999999999999992E-3</v>
      </c>
      <c r="O209" s="59">
        <v>-2.87E-2</v>
      </c>
      <c r="P209" s="59">
        <v>-1.8700000000000001E-2</v>
      </c>
      <c r="Q209" s="59">
        <v>-9.3399999999999997E-2</v>
      </c>
      <c r="R209" s="59">
        <v>8.43E-2</v>
      </c>
    </row>
    <row r="210" spans="1:18" ht="25.95" customHeight="1" x14ac:dyDescent="0.3">
      <c r="A210" s="5" t="s">
        <v>987</v>
      </c>
      <c r="B210" s="7" t="s">
        <v>1667</v>
      </c>
      <c r="C210" s="59">
        <v>0.11</v>
      </c>
      <c r="D210" s="151">
        <v>0.66</v>
      </c>
      <c r="E210" s="7" t="s">
        <v>1668</v>
      </c>
      <c r="F210" s="42">
        <v>4815</v>
      </c>
      <c r="G210" s="59">
        <v>1.4999999999999999E-2</v>
      </c>
      <c r="H210" s="59">
        <v>0.10100000000000001</v>
      </c>
      <c r="I210" s="42">
        <v>3154</v>
      </c>
      <c r="J210" s="59">
        <v>0</v>
      </c>
      <c r="K210" s="59">
        <v>-1.44E-2</v>
      </c>
      <c r="L210" s="59">
        <v>5.21E-2</v>
      </c>
      <c r="M210" s="59">
        <v>2.69E-2</v>
      </c>
      <c r="N210" s="59">
        <v>4.4999999999999998E-2</v>
      </c>
      <c r="O210" s="59">
        <v>2.5999999999999999E-2</v>
      </c>
      <c r="P210" s="59">
        <v>1.9900000000000001E-2</v>
      </c>
      <c r="Q210" s="59">
        <v>-3.6799999999999999E-2</v>
      </c>
      <c r="R210" s="59">
        <v>0.1409</v>
      </c>
    </row>
    <row r="211" spans="1:18" ht="15" customHeight="1" x14ac:dyDescent="0.3">
      <c r="A211" s="5" t="s">
        <v>1671</v>
      </c>
      <c r="B211" s="7" t="s">
        <v>1667</v>
      </c>
      <c r="C211" s="59">
        <v>0.11</v>
      </c>
      <c r="D211" s="151">
        <v>0.66</v>
      </c>
      <c r="E211" s="7" t="s">
        <v>1668</v>
      </c>
      <c r="F211" s="42">
        <v>4815</v>
      </c>
      <c r="G211" s="59">
        <v>1.4999999999999999E-2</v>
      </c>
      <c r="H211" s="59">
        <v>9.2499999999999999E-2</v>
      </c>
      <c r="I211" s="42">
        <v>3091</v>
      </c>
      <c r="J211" s="59">
        <v>-0.02</v>
      </c>
      <c r="K211" s="59">
        <v>-3.4099999999999998E-2</v>
      </c>
      <c r="L211" s="59">
        <v>5.21E-2</v>
      </c>
      <c r="M211" s="59">
        <v>2.69E-2</v>
      </c>
      <c r="N211" s="59">
        <v>1.8499999999999999E-2</v>
      </c>
      <c r="O211" s="59">
        <v>-1E-4</v>
      </c>
      <c r="P211" s="59">
        <v>-2.1299999999999999E-2</v>
      </c>
      <c r="Q211" s="59">
        <v>-3.6799999999999999E-2</v>
      </c>
      <c r="R211" s="59">
        <v>0.1409</v>
      </c>
    </row>
    <row r="212" spans="1:18" ht="15" customHeight="1" x14ac:dyDescent="0.3">
      <c r="A212" s="5" t="s">
        <v>1672</v>
      </c>
      <c r="B212" s="7" t="s">
        <v>1665</v>
      </c>
      <c r="C212" s="59">
        <v>9.9000000000000005E-2</v>
      </c>
      <c r="D212" s="151">
        <v>-0.44</v>
      </c>
      <c r="E212" s="7" t="s">
        <v>1666</v>
      </c>
      <c r="F212" s="42">
        <v>4815</v>
      </c>
      <c r="G212" s="59">
        <v>1.4999999999999999E-2</v>
      </c>
      <c r="H212" s="59">
        <v>0.1429</v>
      </c>
      <c r="I212" s="42">
        <v>3249</v>
      </c>
      <c r="J212" s="59">
        <v>0.03</v>
      </c>
      <c r="K212" s="59">
        <v>1.52E-2</v>
      </c>
      <c r="L212" s="59">
        <v>-6.1100000000000002E-2</v>
      </c>
      <c r="M212" s="59">
        <v>-4.0199999999999993E-2</v>
      </c>
      <c r="N212" s="59">
        <v>-2.46E-2</v>
      </c>
      <c r="O212" s="59">
        <v>-4.4200000000000003E-2</v>
      </c>
      <c r="P212" s="59">
        <v>4.5000000000000014E-3</v>
      </c>
      <c r="Q212" s="59">
        <v>-0.14990000000000001</v>
      </c>
      <c r="R212" s="59">
        <v>2.7799999999999998E-2</v>
      </c>
    </row>
    <row r="213" spans="1:18" ht="25.95" customHeight="1" x14ac:dyDescent="0.3">
      <c r="A213" s="5" t="s">
        <v>1673</v>
      </c>
      <c r="B213" s="7" t="s">
        <v>1667</v>
      </c>
      <c r="C213" s="59">
        <v>0.11</v>
      </c>
      <c r="D213" s="151">
        <v>0.66</v>
      </c>
      <c r="E213" s="7" t="s">
        <v>1668</v>
      </c>
      <c r="F213" s="42">
        <v>4815</v>
      </c>
      <c r="G213" s="59">
        <v>1.4999999999999999E-2</v>
      </c>
      <c r="H213" s="59">
        <v>0.1389</v>
      </c>
      <c r="I213" s="42">
        <v>3236</v>
      </c>
      <c r="J213" s="59">
        <v>2.5999999999999999E-2</v>
      </c>
      <c r="K213" s="59">
        <v>1.1299999999999999E-2</v>
      </c>
      <c r="L213" s="59">
        <v>5.21E-2</v>
      </c>
      <c r="M213" s="59">
        <v>2.69E-2</v>
      </c>
      <c r="N213" s="59">
        <v>7.9399999999999998E-2</v>
      </c>
      <c r="O213" s="59">
        <v>5.9900000000000002E-2</v>
      </c>
      <c r="P213" s="59">
        <v>7.3499999999999996E-2</v>
      </c>
      <c r="Q213" s="59">
        <v>-3.6799999999999999E-2</v>
      </c>
      <c r="R213" s="59">
        <v>0.1409</v>
      </c>
    </row>
    <row r="214" spans="1:18" ht="52.05" customHeight="1" x14ac:dyDescent="0.3">
      <c r="A214" s="147" t="s">
        <v>1674</v>
      </c>
      <c r="B214" s="12" t="s">
        <v>1675</v>
      </c>
      <c r="C214" s="24">
        <v>9.9000000000000005E-2</v>
      </c>
      <c r="D214" s="119"/>
      <c r="E214" s="12" t="s">
        <v>1670</v>
      </c>
      <c r="F214" s="20">
        <v>4771</v>
      </c>
      <c r="G214" s="24">
        <v>5.6999999999999993E-3</v>
      </c>
      <c r="H214" s="24">
        <v>8.900000000000001E-2</v>
      </c>
      <c r="I214" s="20">
        <v>3111</v>
      </c>
      <c r="J214" s="24">
        <v>-1.3599999999999999E-2</v>
      </c>
      <c r="K214" s="24">
        <v>-2.7799999999999998E-2</v>
      </c>
      <c r="L214" s="24">
        <v>-2.5999999999999999E-2</v>
      </c>
      <c r="M214" s="24">
        <v>-1.9400000000000001E-2</v>
      </c>
      <c r="N214" s="24">
        <v>-4.8399999999999999E-2</v>
      </c>
      <c r="O214" s="24">
        <v>-6.7199999999999996E-2</v>
      </c>
      <c r="P214" s="24">
        <v>-6.1400000000000003E-2</v>
      </c>
      <c r="Q214" s="119"/>
      <c r="R214" s="119"/>
    </row>
    <row r="215" spans="1:18" ht="39" customHeight="1" x14ac:dyDescent="0.3">
      <c r="A215" s="147" t="s">
        <v>1676</v>
      </c>
      <c r="B215" s="12" t="s">
        <v>1675</v>
      </c>
      <c r="C215" s="24">
        <v>9.7500000000000003E-2</v>
      </c>
      <c r="D215" s="119"/>
      <c r="E215" s="12" t="s">
        <v>1670</v>
      </c>
      <c r="F215" s="20">
        <v>4771</v>
      </c>
      <c r="G215" s="24">
        <v>5.6999999999999993E-3</v>
      </c>
      <c r="H215" s="24">
        <v>8.900000000000001E-2</v>
      </c>
      <c r="I215" s="20">
        <v>3111</v>
      </c>
      <c r="J215" s="24">
        <v>-1.3599999999999999E-2</v>
      </c>
      <c r="K215" s="24">
        <v>-2.7799999999999998E-2</v>
      </c>
      <c r="L215" s="24">
        <v>-3.5299999999999998E-2</v>
      </c>
      <c r="M215" s="24">
        <v>-2.4899999999999999E-2</v>
      </c>
      <c r="N215" s="24">
        <v>-5.74E-2</v>
      </c>
      <c r="O215" s="24">
        <v>-7.6100000000000001E-2</v>
      </c>
      <c r="P215" s="24">
        <v>-6.7699999999999996E-2</v>
      </c>
      <c r="Q215" s="119"/>
      <c r="R215" s="119"/>
    </row>
    <row r="217" spans="1:18" x14ac:dyDescent="0.3">
      <c r="A217" s="124" t="s">
        <v>1677</v>
      </c>
    </row>
    <row r="218" spans="1:18" ht="42" customHeight="1" x14ac:dyDescent="0.3">
      <c r="A218" s="18" t="s">
        <v>1492</v>
      </c>
      <c r="B218" s="18" t="s">
        <v>1493</v>
      </c>
      <c r="C218" s="18" t="s">
        <v>268</v>
      </c>
      <c r="D218" s="18" t="s">
        <v>1678</v>
      </c>
      <c r="E218" s="18" t="s">
        <v>1679</v>
      </c>
      <c r="F218" s="18" t="s">
        <v>673</v>
      </c>
      <c r="G218" s="18" t="s">
        <v>1494</v>
      </c>
      <c r="H218" s="18" t="s">
        <v>1680</v>
      </c>
      <c r="I218" s="18" t="s">
        <v>1498</v>
      </c>
    </row>
    <row r="219" spans="1:18" x14ac:dyDescent="0.3">
      <c r="A219" s="7" t="s">
        <v>1681</v>
      </c>
      <c r="B219" s="7" t="s">
        <v>1682</v>
      </c>
      <c r="C219" s="76">
        <v>23</v>
      </c>
      <c r="D219" s="81">
        <v>5.1000000000000004E-3</v>
      </c>
      <c r="E219" s="81">
        <v>-4.0000000000000002E-4</v>
      </c>
      <c r="F219" s="81">
        <v>8.6500000000000007E-2</v>
      </c>
      <c r="G219" s="81">
        <v>6.8099999999999994E-2</v>
      </c>
      <c r="H219" s="59">
        <v>0.48</v>
      </c>
      <c r="I219" s="59">
        <v>0.48</v>
      </c>
    </row>
    <row r="220" spans="1:18" x14ac:dyDescent="0.3">
      <c r="A220" s="7" t="s">
        <v>1681</v>
      </c>
      <c r="B220" s="7" t="s">
        <v>1683</v>
      </c>
      <c r="C220" s="76">
        <v>23</v>
      </c>
      <c r="D220" s="81">
        <v>1.1599999999999999E-2</v>
      </c>
      <c r="E220" s="81">
        <v>6.9999999999999993E-3</v>
      </c>
      <c r="F220" s="81">
        <v>9.0399999999999994E-2</v>
      </c>
      <c r="G220" s="81">
        <v>7.0599999999999996E-2</v>
      </c>
      <c r="H220" s="59">
        <v>0.56999999999999995</v>
      </c>
      <c r="I220" s="59">
        <v>0.48</v>
      </c>
    </row>
    <row r="221" spans="1:18" x14ac:dyDescent="0.3">
      <c r="A221" s="7" t="s">
        <v>1681</v>
      </c>
      <c r="B221" s="7" t="s">
        <v>1684</v>
      </c>
      <c r="C221" s="76">
        <v>23</v>
      </c>
      <c r="D221" s="81">
        <v>-9.8999999999999991E-3</v>
      </c>
      <c r="E221" s="81">
        <v>-8.199999999999999E-3</v>
      </c>
      <c r="F221" s="81">
        <v>7.400000000000001E-2</v>
      </c>
      <c r="G221" s="81">
        <v>6.0499999999999998E-2</v>
      </c>
      <c r="H221" s="59">
        <v>0.43</v>
      </c>
      <c r="I221" s="59">
        <v>0.43</v>
      </c>
    </row>
    <row r="222" spans="1:18" x14ac:dyDescent="0.3">
      <c r="A222" s="7" t="s">
        <v>1681</v>
      </c>
      <c r="B222" s="7" t="s">
        <v>1685</v>
      </c>
      <c r="C222" s="76">
        <v>23</v>
      </c>
      <c r="D222" s="81">
        <v>1.5100000000000001E-2</v>
      </c>
      <c r="E222" s="81">
        <v>1.41E-2</v>
      </c>
      <c r="F222" s="81">
        <v>3.95E-2</v>
      </c>
      <c r="G222" s="81">
        <v>3.27E-2</v>
      </c>
      <c r="H222" s="59">
        <v>0.74</v>
      </c>
      <c r="I222" s="59">
        <v>0.13</v>
      </c>
    </row>
    <row r="223" spans="1:18" x14ac:dyDescent="0.3">
      <c r="A223" s="7" t="s">
        <v>1681</v>
      </c>
      <c r="B223" s="7" t="s">
        <v>1686</v>
      </c>
      <c r="C223" s="76">
        <v>23</v>
      </c>
      <c r="D223" s="81">
        <v>1.47E-2</v>
      </c>
      <c r="E223" s="81">
        <v>1.38E-2</v>
      </c>
      <c r="F223" s="81">
        <v>3.8399999999999997E-2</v>
      </c>
      <c r="G223" s="81">
        <v>3.2199999999999999E-2</v>
      </c>
      <c r="H223" s="59">
        <v>0.74</v>
      </c>
      <c r="I223" s="59">
        <v>0.09</v>
      </c>
    </row>
    <row r="224" spans="1:18" x14ac:dyDescent="0.3">
      <c r="A224" s="7" t="s">
        <v>1681</v>
      </c>
      <c r="B224" s="7" t="s">
        <v>1687</v>
      </c>
      <c r="C224" s="76">
        <v>19</v>
      </c>
      <c r="D224" s="81">
        <v>1.66E-2</v>
      </c>
      <c r="E224" s="81">
        <v>-9.7000000000000003E-3</v>
      </c>
      <c r="F224" s="81">
        <v>0.1152</v>
      </c>
      <c r="G224" s="81">
        <v>8.4499999999999992E-2</v>
      </c>
      <c r="H224" s="59">
        <v>0.37</v>
      </c>
      <c r="I224" s="59">
        <v>0.53</v>
      </c>
    </row>
    <row r="225" spans="1:9" x14ac:dyDescent="0.3">
      <c r="A225" s="7" t="s">
        <v>1681</v>
      </c>
      <c r="B225" s="7" t="s">
        <v>1688</v>
      </c>
      <c r="C225" s="76">
        <v>23</v>
      </c>
      <c r="D225" s="81">
        <v>-3.5099999999999999E-2</v>
      </c>
      <c r="E225" s="81">
        <v>-3.4799999999999998E-2</v>
      </c>
      <c r="F225" s="81">
        <v>9.1899999999999996E-2</v>
      </c>
      <c r="G225" s="81">
        <v>7.8200000000000006E-2</v>
      </c>
      <c r="H225" s="59">
        <v>0.3</v>
      </c>
      <c r="I225" s="59">
        <v>0.43</v>
      </c>
    </row>
    <row r="226" spans="1:9" x14ac:dyDescent="0.3">
      <c r="A226" s="7" t="s">
        <v>1689</v>
      </c>
      <c r="B226" s="7" t="s">
        <v>1682</v>
      </c>
      <c r="C226" s="76">
        <v>16</v>
      </c>
      <c r="D226" s="81">
        <v>-1.29E-2</v>
      </c>
      <c r="E226" s="81">
        <v>-2.2200000000000001E-2</v>
      </c>
      <c r="F226" s="81">
        <v>9.0999999999999998E-2</v>
      </c>
      <c r="G226" s="81">
        <v>7.2800000000000004E-2</v>
      </c>
      <c r="H226" s="59">
        <v>0.31</v>
      </c>
      <c r="I226" s="59">
        <v>0.56000000000000005</v>
      </c>
    </row>
    <row r="227" spans="1:9" x14ac:dyDescent="0.3">
      <c r="A227" s="7" t="s">
        <v>1689</v>
      </c>
      <c r="B227" s="7" t="s">
        <v>1683</v>
      </c>
      <c r="C227" s="76">
        <v>16</v>
      </c>
      <c r="D227" s="81">
        <v>-9.3999999999999986E-3</v>
      </c>
      <c r="E227" s="81">
        <v>-1.0999999999999999E-2</v>
      </c>
      <c r="F227" s="81">
        <v>9.5799999999999996E-2</v>
      </c>
      <c r="G227" s="81">
        <v>7.4099999999999999E-2</v>
      </c>
      <c r="H227" s="59">
        <v>0.44</v>
      </c>
      <c r="I227" s="59">
        <v>0.5</v>
      </c>
    </row>
    <row r="228" spans="1:9" x14ac:dyDescent="0.3">
      <c r="A228" s="7" t="s">
        <v>1689</v>
      </c>
      <c r="B228" s="7" t="s">
        <v>1684</v>
      </c>
      <c r="C228" s="76">
        <v>16</v>
      </c>
      <c r="D228" s="81">
        <v>-1.6899999999999998E-2</v>
      </c>
      <c r="E228" s="81">
        <v>-2.87E-2</v>
      </c>
      <c r="F228" s="81">
        <v>8.3299999999999999E-2</v>
      </c>
      <c r="G228" s="81">
        <v>7.0800000000000002E-2</v>
      </c>
      <c r="H228" s="59">
        <v>0.38</v>
      </c>
      <c r="I228" s="59">
        <v>0.56000000000000005</v>
      </c>
    </row>
    <row r="229" spans="1:9" x14ac:dyDescent="0.3">
      <c r="A229" s="7" t="s">
        <v>1689</v>
      </c>
      <c r="B229" s="7" t="s">
        <v>1685</v>
      </c>
      <c r="C229" s="76">
        <v>16</v>
      </c>
      <c r="D229" s="81">
        <v>3.8999999999999998E-3</v>
      </c>
      <c r="E229" s="81">
        <v>7.7000000000000002E-3</v>
      </c>
      <c r="F229" s="81">
        <v>3.7699999999999997E-2</v>
      </c>
      <c r="G229" s="81">
        <v>2.8299999999999999E-2</v>
      </c>
      <c r="H229" s="59">
        <v>0.69</v>
      </c>
      <c r="I229" s="59">
        <v>0.06</v>
      </c>
    </row>
    <row r="230" spans="1:9" x14ac:dyDescent="0.3">
      <c r="A230" s="7" t="s">
        <v>1689</v>
      </c>
      <c r="B230" s="7" t="s">
        <v>1686</v>
      </c>
      <c r="C230" s="76">
        <v>16</v>
      </c>
      <c r="D230" s="81">
        <v>3.5999999999999999E-3</v>
      </c>
      <c r="E230" s="81">
        <v>8.0000000000000002E-3</v>
      </c>
      <c r="F230" s="81">
        <v>3.6400000000000002E-2</v>
      </c>
      <c r="G230" s="81">
        <v>2.7699999999999999E-2</v>
      </c>
      <c r="H230" s="59">
        <v>0.69</v>
      </c>
      <c r="I230" s="59">
        <v>0.06</v>
      </c>
    </row>
    <row r="231" spans="1:9" x14ac:dyDescent="0.3">
      <c r="A231" s="7" t="s">
        <v>1689</v>
      </c>
      <c r="B231" s="7" t="s">
        <v>1687</v>
      </c>
      <c r="C231" s="76">
        <v>16</v>
      </c>
      <c r="D231" s="81">
        <v>-3.8999999999999998E-3</v>
      </c>
      <c r="E231" s="81">
        <v>-2.0500000000000001E-2</v>
      </c>
      <c r="F231" s="81">
        <v>0.10589999999999999</v>
      </c>
      <c r="G231" s="81">
        <v>7.6499999999999999E-2</v>
      </c>
      <c r="H231" s="59">
        <v>0.31</v>
      </c>
      <c r="I231" s="59">
        <v>0.5</v>
      </c>
    </row>
    <row r="232" spans="1:9" x14ac:dyDescent="0.3">
      <c r="A232" s="7" t="s">
        <v>1689</v>
      </c>
      <c r="B232" s="7" t="s">
        <v>1688</v>
      </c>
      <c r="C232" s="76">
        <v>16</v>
      </c>
      <c r="D232" s="81">
        <v>-3.8199999999999998E-2</v>
      </c>
      <c r="E232" s="81">
        <v>-4.5400000000000003E-2</v>
      </c>
      <c r="F232" s="81">
        <v>0.10059999999999999</v>
      </c>
      <c r="G232" s="81">
        <v>8.72E-2</v>
      </c>
      <c r="H232" s="59">
        <v>0.25</v>
      </c>
      <c r="I232" s="59">
        <v>0.5</v>
      </c>
    </row>
    <row r="233" spans="1:9" x14ac:dyDescent="0.3">
      <c r="A233" s="7" t="s">
        <v>1690</v>
      </c>
      <c r="B233" s="7" t="s">
        <v>1682</v>
      </c>
      <c r="C233" s="76">
        <v>14</v>
      </c>
      <c r="D233" s="81">
        <v>-1.66E-2</v>
      </c>
      <c r="E233" s="81">
        <v>-2.2200000000000001E-2</v>
      </c>
      <c r="F233" s="81">
        <v>8.6500000000000007E-2</v>
      </c>
      <c r="G233" s="81">
        <v>6.7099999999999993E-2</v>
      </c>
      <c r="H233" s="59">
        <v>0.28999999999999998</v>
      </c>
      <c r="I233" s="59">
        <v>0.5</v>
      </c>
    </row>
    <row r="234" spans="1:9" x14ac:dyDescent="0.3">
      <c r="A234" s="7" t="s">
        <v>1690</v>
      </c>
      <c r="B234" s="7" t="s">
        <v>1683</v>
      </c>
      <c r="C234" s="76">
        <v>14</v>
      </c>
      <c r="D234" s="81">
        <v>-1.0699999999999999E-2</v>
      </c>
      <c r="E234" s="81">
        <v>-1.0999999999999999E-2</v>
      </c>
      <c r="F234" s="81">
        <v>8.8399999999999992E-2</v>
      </c>
      <c r="G234" s="81">
        <v>6.5599999999999992E-2</v>
      </c>
      <c r="H234" s="59">
        <v>0.43</v>
      </c>
      <c r="I234" s="59">
        <v>0.43</v>
      </c>
    </row>
    <row r="235" spans="1:9" x14ac:dyDescent="0.3">
      <c r="A235" s="7" t="s">
        <v>1690</v>
      </c>
      <c r="B235" s="7" t="s">
        <v>1684</v>
      </c>
      <c r="C235" s="76">
        <v>14</v>
      </c>
      <c r="D235" s="81">
        <v>-2.0899999999999998E-2</v>
      </c>
      <c r="E235" s="81">
        <v>-2.87E-2</v>
      </c>
      <c r="F235" s="81">
        <v>8.43E-2</v>
      </c>
      <c r="G235" s="81">
        <v>7.0900000000000005E-2</v>
      </c>
      <c r="H235" s="59">
        <v>0.36</v>
      </c>
      <c r="I235" s="59">
        <v>0.56999999999999995</v>
      </c>
    </row>
    <row r="236" spans="1:9" x14ac:dyDescent="0.3">
      <c r="A236" s="7" t="s">
        <v>1690</v>
      </c>
      <c r="B236" s="7" t="s">
        <v>1685</v>
      </c>
      <c r="C236" s="76">
        <v>14</v>
      </c>
      <c r="D236" s="81">
        <v>4.3E-3</v>
      </c>
      <c r="E236" s="81">
        <v>7.7000000000000002E-3</v>
      </c>
      <c r="F236" s="81">
        <v>3.6799999999999999E-2</v>
      </c>
      <c r="G236" s="81">
        <v>2.6200000000000001E-2</v>
      </c>
      <c r="H236" s="59">
        <v>0.71</v>
      </c>
      <c r="I236" s="59">
        <v>7.0000000000000007E-2</v>
      </c>
    </row>
    <row r="237" spans="1:9" x14ac:dyDescent="0.3">
      <c r="A237" s="7" t="s">
        <v>1690</v>
      </c>
      <c r="B237" s="7" t="s">
        <v>1686</v>
      </c>
      <c r="C237" s="76">
        <v>14</v>
      </c>
      <c r="D237" s="81">
        <v>4.5000000000000014E-3</v>
      </c>
      <c r="E237" s="81">
        <v>8.0000000000000002E-3</v>
      </c>
      <c r="F237" s="81">
        <v>3.5099999999999999E-2</v>
      </c>
      <c r="G237" s="81">
        <v>2.5499999999999998E-2</v>
      </c>
      <c r="H237" s="59">
        <v>0.71</v>
      </c>
      <c r="I237" s="59">
        <v>7.0000000000000007E-2</v>
      </c>
    </row>
    <row r="238" spans="1:9" x14ac:dyDescent="0.3">
      <c r="A238" s="7" t="s">
        <v>1690</v>
      </c>
      <c r="B238" s="7" t="s">
        <v>1687</v>
      </c>
      <c r="C238" s="76">
        <v>14</v>
      </c>
      <c r="D238" s="81">
        <v>-9.7000000000000003E-3</v>
      </c>
      <c r="E238" s="81">
        <v>-2.0500000000000001E-2</v>
      </c>
      <c r="F238" s="81">
        <v>9.8900000000000002E-2</v>
      </c>
      <c r="G238" s="81">
        <v>6.7900000000000002E-2</v>
      </c>
      <c r="H238" s="59">
        <v>0.28999999999999998</v>
      </c>
      <c r="I238" s="59">
        <v>0.43</v>
      </c>
    </row>
    <row r="239" spans="1:9" x14ac:dyDescent="0.3">
      <c r="A239" s="7" t="s">
        <v>1690</v>
      </c>
      <c r="B239" s="7" t="s">
        <v>1688</v>
      </c>
      <c r="C239" s="76">
        <v>14</v>
      </c>
      <c r="D239" s="81">
        <v>-3.1899999999999998E-2</v>
      </c>
      <c r="E239" s="81">
        <v>-4.5400000000000003E-2</v>
      </c>
      <c r="F239" s="81">
        <v>0.1048</v>
      </c>
      <c r="G239" s="81">
        <v>8.7899999999999992E-2</v>
      </c>
      <c r="H239" s="59">
        <v>0.28999999999999998</v>
      </c>
      <c r="I239" s="59">
        <v>0.5</v>
      </c>
    </row>
    <row r="241" spans="1:22" x14ac:dyDescent="0.3">
      <c r="A241" s="3" t="s">
        <v>1691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3">
      <c r="A242" s="124" t="s">
        <v>1692</v>
      </c>
    </row>
    <row r="243" spans="1:22" ht="42" customHeight="1" x14ac:dyDescent="0.3">
      <c r="A243" s="17" t="s">
        <v>1693</v>
      </c>
      <c r="B243" s="18" t="s">
        <v>268</v>
      </c>
      <c r="C243" s="18" t="s">
        <v>269</v>
      </c>
      <c r="D243" s="18" t="s">
        <v>270</v>
      </c>
      <c r="E243" s="18" t="s">
        <v>271</v>
      </c>
      <c r="F243" s="18" t="s">
        <v>272</v>
      </c>
      <c r="G243" s="18" t="s">
        <v>1694</v>
      </c>
      <c r="H243" s="18" t="s">
        <v>1695</v>
      </c>
      <c r="I243" s="18" t="s">
        <v>1696</v>
      </c>
      <c r="J243" s="18" t="s">
        <v>274</v>
      </c>
      <c r="K243" s="18" t="s">
        <v>1697</v>
      </c>
      <c r="L243" s="18" t="s">
        <v>1698</v>
      </c>
      <c r="M243" s="18" t="s">
        <v>1699</v>
      </c>
      <c r="N243" s="18" t="s">
        <v>1700</v>
      </c>
    </row>
    <row r="244" spans="1:22" x14ac:dyDescent="0.3">
      <c r="A244" s="7" t="s">
        <v>1701</v>
      </c>
      <c r="B244" s="145">
        <v>28</v>
      </c>
      <c r="C244" s="152">
        <v>147</v>
      </c>
      <c r="D244" s="152">
        <v>149</v>
      </c>
      <c r="E244" s="152">
        <v>151</v>
      </c>
      <c r="F244" s="152">
        <v>133.6</v>
      </c>
      <c r="G244" s="24">
        <v>0.1003</v>
      </c>
      <c r="H244" s="24">
        <v>0.11527</v>
      </c>
      <c r="I244" s="24">
        <v>0.13023999999999999</v>
      </c>
      <c r="J244" s="152">
        <v>146.80000000000001</v>
      </c>
      <c r="K244" s="24">
        <v>9.8800000000000013E-2</v>
      </c>
      <c r="L244" s="91" t="s">
        <v>278</v>
      </c>
      <c r="M244" s="24">
        <v>-0.05</v>
      </c>
      <c r="N244" s="153" t="s">
        <v>1702</v>
      </c>
    </row>
    <row r="245" spans="1:22" x14ac:dyDescent="0.3">
      <c r="A245" s="7" t="s">
        <v>1703</v>
      </c>
      <c r="B245" s="145">
        <v>28</v>
      </c>
      <c r="C245" s="20">
        <v>25992</v>
      </c>
      <c r="D245" s="20">
        <v>26375</v>
      </c>
      <c r="E245" s="20">
        <v>26723</v>
      </c>
      <c r="F245" s="20">
        <v>22892</v>
      </c>
      <c r="G245" s="24">
        <v>0.13542000000000001</v>
      </c>
      <c r="H245" s="24">
        <v>0.15215000000000001</v>
      </c>
      <c r="I245" s="24">
        <v>0.16735</v>
      </c>
      <c r="J245" s="20">
        <v>25900</v>
      </c>
      <c r="K245" s="24">
        <v>0.13139999999999999</v>
      </c>
      <c r="L245" s="91" t="s">
        <v>278</v>
      </c>
      <c r="M245" s="24">
        <v>-0.12584999999999999</v>
      </c>
      <c r="N245" s="153" t="s">
        <v>1704</v>
      </c>
    </row>
    <row r="246" spans="1:22" x14ac:dyDescent="0.3">
      <c r="A246" s="7" t="s">
        <v>1705</v>
      </c>
      <c r="B246" s="76">
        <v>26</v>
      </c>
      <c r="C246" s="93">
        <v>173.71</v>
      </c>
      <c r="D246" s="93">
        <v>177.06</v>
      </c>
      <c r="E246" s="93">
        <v>179.12</v>
      </c>
      <c r="F246" s="93">
        <v>171.29</v>
      </c>
      <c r="G246" s="59">
        <v>1.413E-2</v>
      </c>
      <c r="H246" s="59">
        <v>3.3689999999999998E-2</v>
      </c>
      <c r="I246" s="59">
        <v>4.5710000000000001E-2</v>
      </c>
      <c r="J246" s="93">
        <v>176.9</v>
      </c>
      <c r="K246" s="59">
        <v>3.2750000000000001E-2</v>
      </c>
      <c r="L246" s="90" t="s">
        <v>281</v>
      </c>
      <c r="M246" s="59">
        <v>0.58965000000000001</v>
      </c>
      <c r="N246" s="97" t="s">
        <v>1706</v>
      </c>
    </row>
    <row r="247" spans="1:22" x14ac:dyDescent="0.3">
      <c r="A247" s="7" t="s">
        <v>1707</v>
      </c>
      <c r="B247" s="76">
        <v>28</v>
      </c>
      <c r="C247" s="81">
        <v>0.1782</v>
      </c>
      <c r="D247" s="81">
        <v>0.18</v>
      </c>
      <c r="E247" s="81">
        <v>0.18440000000000001</v>
      </c>
      <c r="F247" s="81">
        <v>0.17879999999999999</v>
      </c>
      <c r="G247" s="59">
        <v>-5.9999999999999995E-4</v>
      </c>
      <c r="H247" s="59">
        <v>1.1999999999999999E-3</v>
      </c>
      <c r="I247" s="59">
        <v>5.6000000000000008E-3</v>
      </c>
      <c r="J247" s="81">
        <v>0.184</v>
      </c>
      <c r="K247" s="59">
        <v>5.1999999999999998E-3</v>
      </c>
      <c r="L247" s="90" t="s">
        <v>281</v>
      </c>
      <c r="M247" s="59">
        <v>0.93547999999999998</v>
      </c>
      <c r="N247" s="97" t="s">
        <v>1708</v>
      </c>
    </row>
    <row r="248" spans="1:22" x14ac:dyDescent="0.3">
      <c r="A248" s="7" t="s">
        <v>1709</v>
      </c>
      <c r="B248" s="76">
        <v>28</v>
      </c>
      <c r="C248" s="49">
        <v>130</v>
      </c>
      <c r="D248" s="49">
        <v>134</v>
      </c>
      <c r="E248" s="49">
        <v>136</v>
      </c>
      <c r="F248" s="49">
        <v>121.9</v>
      </c>
      <c r="G248" s="59">
        <v>6.6449999999999995E-2</v>
      </c>
      <c r="H248" s="59">
        <v>9.9260000000000001E-2</v>
      </c>
      <c r="I248" s="59">
        <v>0.11567</v>
      </c>
      <c r="J248" s="49">
        <v>132.69999999999999</v>
      </c>
      <c r="K248" s="59">
        <v>8.8599999999999998E-2</v>
      </c>
      <c r="L248" s="90" t="s">
        <v>281</v>
      </c>
      <c r="M248" s="59">
        <v>0.45</v>
      </c>
      <c r="N248" s="97" t="s">
        <v>1710</v>
      </c>
    </row>
    <row r="249" spans="1:22" x14ac:dyDescent="0.3">
      <c r="A249" s="7" t="s">
        <v>1711</v>
      </c>
      <c r="B249" s="76">
        <v>28</v>
      </c>
      <c r="C249" s="42">
        <v>22177</v>
      </c>
      <c r="D249" s="42">
        <v>23003</v>
      </c>
      <c r="E249" s="42">
        <v>23565</v>
      </c>
      <c r="F249" s="42">
        <v>20400</v>
      </c>
      <c r="G249" s="59">
        <v>8.7110000000000007E-2</v>
      </c>
      <c r="H249" s="59">
        <v>0.12759999999999999</v>
      </c>
      <c r="I249" s="59">
        <v>0.15515000000000001</v>
      </c>
      <c r="J249" s="42">
        <v>23100</v>
      </c>
      <c r="K249" s="59">
        <v>0.13235</v>
      </c>
      <c r="L249" s="90" t="s">
        <v>281</v>
      </c>
      <c r="M249" s="59">
        <v>0.66498999999999997</v>
      </c>
      <c r="N249" s="97" t="s">
        <v>1712</v>
      </c>
    </row>
    <row r="250" spans="1:22" x14ac:dyDescent="0.3">
      <c r="A250" s="7" t="s">
        <v>1713</v>
      </c>
      <c r="B250" s="76">
        <v>25</v>
      </c>
      <c r="C250" s="93">
        <v>167.79</v>
      </c>
      <c r="D250" s="93">
        <v>171.33</v>
      </c>
      <c r="E250" s="93">
        <v>174.21</v>
      </c>
      <c r="F250" s="93">
        <v>167.51</v>
      </c>
      <c r="G250" s="59">
        <v>1.67E-3</v>
      </c>
      <c r="H250" s="59">
        <v>2.2800000000000001E-2</v>
      </c>
      <c r="I250" s="59">
        <v>0.04</v>
      </c>
      <c r="J250" s="93">
        <v>174.1</v>
      </c>
      <c r="K250" s="59">
        <v>3.934E-2</v>
      </c>
      <c r="L250" s="90" t="s">
        <v>281</v>
      </c>
      <c r="M250" s="59">
        <v>0.98287000000000002</v>
      </c>
      <c r="N250" s="97" t="s">
        <v>1714</v>
      </c>
    </row>
    <row r="251" spans="1:22" x14ac:dyDescent="0.3">
      <c r="A251" s="7" t="s">
        <v>1715</v>
      </c>
      <c r="B251" s="145">
        <v>28</v>
      </c>
      <c r="C251" s="154">
        <v>0.13600000000000001</v>
      </c>
      <c r="D251" s="154">
        <v>0.1376</v>
      </c>
      <c r="E251" s="154">
        <v>0.14000000000000001</v>
      </c>
      <c r="F251" s="154">
        <v>0.13619999999999999</v>
      </c>
      <c r="G251" s="24">
        <v>-2.0000000000000001E-4</v>
      </c>
      <c r="H251" s="24">
        <v>1.4E-3</v>
      </c>
      <c r="I251" s="24">
        <v>3.8E-3</v>
      </c>
      <c r="J251" s="154">
        <v>0.13500000000000001</v>
      </c>
      <c r="K251" s="24">
        <v>-1.1999999999999999E-3</v>
      </c>
      <c r="L251" s="91" t="s">
        <v>278</v>
      </c>
      <c r="M251" s="24">
        <v>-0.25</v>
      </c>
      <c r="N251" s="153" t="s">
        <v>1716</v>
      </c>
    </row>
    <row r="252" spans="1:22" x14ac:dyDescent="0.3">
      <c r="A252" s="7" t="s">
        <v>1717</v>
      </c>
      <c r="B252" s="76">
        <v>37</v>
      </c>
      <c r="C252" s="42">
        <v>3052</v>
      </c>
      <c r="D252" s="42">
        <v>3157</v>
      </c>
      <c r="E252" s="42">
        <v>3223</v>
      </c>
      <c r="F252" s="42">
        <v>2778</v>
      </c>
      <c r="G252" s="59">
        <v>9.8629999999999995E-2</v>
      </c>
      <c r="H252" s="59">
        <v>0.13643</v>
      </c>
      <c r="I252" s="59">
        <v>0.16019</v>
      </c>
      <c r="J252" s="42">
        <v>3111</v>
      </c>
      <c r="K252" s="59">
        <v>0.11987</v>
      </c>
      <c r="L252" s="90" t="s">
        <v>281</v>
      </c>
      <c r="M252" s="59">
        <v>0.34503</v>
      </c>
      <c r="N252" s="97" t="s">
        <v>1718</v>
      </c>
    </row>
    <row r="253" spans="1:22" x14ac:dyDescent="0.3">
      <c r="A253" s="7" t="s">
        <v>1719</v>
      </c>
      <c r="B253" s="76">
        <v>29</v>
      </c>
      <c r="C253" s="55">
        <v>0.67</v>
      </c>
      <c r="D253" s="55">
        <v>0.87</v>
      </c>
      <c r="E253" s="55">
        <v>1.36</v>
      </c>
      <c r="F253" s="55">
        <v>0.56000000000000005</v>
      </c>
      <c r="G253" s="59">
        <v>0.19642999999999999</v>
      </c>
      <c r="H253" s="59">
        <v>0.55357000000000001</v>
      </c>
      <c r="I253" s="59">
        <v>1.4285699999999999</v>
      </c>
      <c r="J253" s="55">
        <v>0.81</v>
      </c>
      <c r="K253" s="59">
        <v>0.44642999999999999</v>
      </c>
      <c r="L253" s="90" t="s">
        <v>281</v>
      </c>
      <c r="M253" s="59">
        <v>0.2029</v>
      </c>
      <c r="N253" s="97" t="s">
        <v>1720</v>
      </c>
    </row>
    <row r="254" spans="1:22" x14ac:dyDescent="0.3">
      <c r="A254" s="158" t="s">
        <v>1721</v>
      </c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</row>
    <row r="256" spans="1:22" x14ac:dyDescent="0.3">
      <c r="A256" s="124" t="s">
        <v>1722</v>
      </c>
    </row>
    <row r="257" spans="1:22" ht="42" customHeight="1" x14ac:dyDescent="0.3">
      <c r="A257" s="18" t="s">
        <v>1723</v>
      </c>
      <c r="B257" s="18" t="s">
        <v>1724</v>
      </c>
      <c r="C257" s="18" t="s">
        <v>1725</v>
      </c>
      <c r="D257" s="18" t="s">
        <v>1726</v>
      </c>
      <c r="E257" s="18" t="s">
        <v>1727</v>
      </c>
      <c r="F257" s="18" t="s">
        <v>1728</v>
      </c>
    </row>
    <row r="258" spans="1:22" x14ac:dyDescent="0.3">
      <c r="A258" s="7" t="s">
        <v>1729</v>
      </c>
      <c r="B258" s="76">
        <v>3</v>
      </c>
      <c r="C258" s="76">
        <v>3</v>
      </c>
      <c r="D258" s="76">
        <v>0</v>
      </c>
      <c r="E258" s="59">
        <v>4.2000000000000003E-2</v>
      </c>
      <c r="F258" s="59">
        <v>1E-3</v>
      </c>
    </row>
    <row r="259" spans="1:22" x14ac:dyDescent="0.3">
      <c r="A259" s="7" t="s">
        <v>1730</v>
      </c>
      <c r="B259" s="76">
        <v>12</v>
      </c>
      <c r="C259" s="76">
        <v>2</v>
      </c>
      <c r="D259" s="76">
        <v>8</v>
      </c>
      <c r="E259" s="59">
        <v>3.8E-3</v>
      </c>
      <c r="F259" s="59">
        <v>3.0999999999999999E-3</v>
      </c>
    </row>
    <row r="260" spans="1:22" x14ac:dyDescent="0.3">
      <c r="A260" s="7" t="s">
        <v>1670</v>
      </c>
      <c r="B260" s="76">
        <v>1</v>
      </c>
      <c r="C260" s="76">
        <v>1</v>
      </c>
      <c r="D260" s="76">
        <v>0</v>
      </c>
      <c r="E260" s="59">
        <v>6.0000000000000001E-3</v>
      </c>
      <c r="F260" s="59">
        <v>1.4E-2</v>
      </c>
    </row>
    <row r="261" spans="1:22" x14ac:dyDescent="0.3">
      <c r="A261" s="7" t="s">
        <v>1731</v>
      </c>
      <c r="B261" s="76">
        <v>13</v>
      </c>
    </row>
    <row r="262" spans="1:22" x14ac:dyDescent="0.3">
      <c r="A262" s="7" t="s">
        <v>1732</v>
      </c>
      <c r="B262" s="76">
        <v>12</v>
      </c>
    </row>
    <row r="263" spans="1:22" x14ac:dyDescent="0.3">
      <c r="A263" s="7" t="s">
        <v>1733</v>
      </c>
      <c r="B263" s="76">
        <v>1</v>
      </c>
    </row>
    <row r="264" spans="1:22" x14ac:dyDescent="0.3">
      <c r="A264" s="7" t="s">
        <v>1734</v>
      </c>
      <c r="B264" s="76">
        <v>2</v>
      </c>
      <c r="C264" s="76">
        <v>2</v>
      </c>
    </row>
    <row r="265" spans="1:22" x14ac:dyDescent="0.3">
      <c r="A265" s="158" t="s">
        <v>1735</v>
      </c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</row>
    <row r="267" spans="1:22" x14ac:dyDescent="0.3">
      <c r="A267" s="124" t="s">
        <v>1736</v>
      </c>
    </row>
    <row r="268" spans="1:22" ht="42" customHeight="1" x14ac:dyDescent="0.3">
      <c r="A268" s="18" t="s">
        <v>1737</v>
      </c>
      <c r="B268" s="18" t="s">
        <v>997</v>
      </c>
      <c r="C268" s="18" t="s">
        <v>998</v>
      </c>
      <c r="D268" s="18" t="s">
        <v>1363</v>
      </c>
      <c r="E268" s="18" t="s">
        <v>999</v>
      </c>
      <c r="F268" s="18" t="s">
        <v>1738</v>
      </c>
      <c r="G268" s="18" t="s">
        <v>1739</v>
      </c>
      <c r="H268" s="18" t="s">
        <v>1740</v>
      </c>
      <c r="I268" s="18" t="s">
        <v>1741</v>
      </c>
      <c r="J268" s="18" t="s">
        <v>1742</v>
      </c>
      <c r="K268" s="18" t="s">
        <v>1743</v>
      </c>
    </row>
    <row r="269" spans="1:22" ht="39" customHeight="1" x14ac:dyDescent="0.3">
      <c r="A269" s="149" t="s">
        <v>1002</v>
      </c>
      <c r="B269" s="19">
        <v>14875.605</v>
      </c>
      <c r="C269" s="23">
        <v>0.13045000000000001</v>
      </c>
      <c r="D269" s="109">
        <v>170.745</v>
      </c>
      <c r="E269" s="23">
        <v>3.2599999999999999E-3</v>
      </c>
      <c r="F269" s="109">
        <v>177.41300000000001</v>
      </c>
      <c r="G269" s="23">
        <v>4.2439999999999999E-2</v>
      </c>
      <c r="H269" s="14" t="s">
        <v>1668</v>
      </c>
      <c r="I269" s="23">
        <v>5.2049999999999999E-2</v>
      </c>
      <c r="J269" s="23">
        <v>2.69E-2</v>
      </c>
      <c r="K269" s="23">
        <v>9.5000000000000001E-2</v>
      </c>
    </row>
    <row r="270" spans="1:22" ht="25.95" customHeight="1" x14ac:dyDescent="0.3">
      <c r="A270" s="149" t="s">
        <v>1003</v>
      </c>
      <c r="B270" s="19">
        <v>14925.464</v>
      </c>
      <c r="C270" s="23">
        <v>0.13424</v>
      </c>
      <c r="D270" s="109">
        <v>172.577</v>
      </c>
      <c r="E270" s="23">
        <v>1.4030000000000001E-2</v>
      </c>
      <c r="F270" s="109">
        <v>179.27799999999999</v>
      </c>
      <c r="G270" s="23">
        <v>5.3400000000000003E-2</v>
      </c>
      <c r="H270" s="14" t="s">
        <v>1668</v>
      </c>
      <c r="I270" s="23">
        <v>5.2049999999999999E-2</v>
      </c>
      <c r="J270" s="23">
        <v>2.69E-2</v>
      </c>
      <c r="K270" s="23">
        <v>9.5000000000000001E-2</v>
      </c>
    </row>
    <row r="271" spans="1:22" ht="25.95" customHeight="1" x14ac:dyDescent="0.3">
      <c r="A271" s="5" t="s">
        <v>1004</v>
      </c>
      <c r="B271" s="42">
        <v>15004.296</v>
      </c>
      <c r="C271" s="59">
        <v>0.14022999999999999</v>
      </c>
      <c r="D271" s="93">
        <v>175.49299999999999</v>
      </c>
      <c r="E271" s="59">
        <v>3.116E-2</v>
      </c>
      <c r="F271" s="93">
        <v>182.244</v>
      </c>
      <c r="G271" s="59">
        <v>7.0830000000000004E-2</v>
      </c>
      <c r="H271" s="7" t="s">
        <v>1668</v>
      </c>
      <c r="I271" s="59">
        <v>5.2049999999999999E-2</v>
      </c>
      <c r="J271" s="59">
        <v>2.69E-2</v>
      </c>
      <c r="K271" s="59">
        <v>9.5000000000000001E-2</v>
      </c>
    </row>
    <row r="272" spans="1:22" ht="25.95" customHeight="1" x14ac:dyDescent="0.3">
      <c r="A272" s="147" t="s">
        <v>1005</v>
      </c>
      <c r="B272" s="20">
        <v>14818.353999999999</v>
      </c>
      <c r="C272" s="24">
        <v>0.12609999999999999</v>
      </c>
      <c r="D272" s="112">
        <v>168.65100000000001</v>
      </c>
      <c r="E272" s="24">
        <v>-9.0399999999999994E-3</v>
      </c>
      <c r="F272" s="112">
        <v>175.28299999999999</v>
      </c>
      <c r="G272" s="24">
        <v>2.9929999999999998E-2</v>
      </c>
      <c r="H272" s="12" t="s">
        <v>1666</v>
      </c>
      <c r="I272" s="24">
        <v>-6.1089999999999998E-2</v>
      </c>
      <c r="J272" s="24">
        <v>-4.0199999999999993E-2</v>
      </c>
      <c r="K272" s="24">
        <v>9.5000000000000001E-2</v>
      </c>
    </row>
    <row r="273" spans="1:22" ht="25.95" customHeight="1" x14ac:dyDescent="0.3">
      <c r="A273" s="147" t="s">
        <v>1006</v>
      </c>
      <c r="B273" s="20">
        <v>14773.492</v>
      </c>
      <c r="C273" s="24">
        <v>0.12268999999999999</v>
      </c>
      <c r="D273" s="112">
        <v>167.018</v>
      </c>
      <c r="E273" s="24">
        <v>-1.864E-2</v>
      </c>
      <c r="F273" s="112">
        <v>173.62200000000001</v>
      </c>
      <c r="G273" s="24">
        <v>2.017E-2</v>
      </c>
      <c r="H273" s="12" t="s">
        <v>1666</v>
      </c>
      <c r="I273" s="24">
        <v>-6.1089999999999998E-2</v>
      </c>
      <c r="J273" s="24">
        <v>-4.0199999999999993E-2</v>
      </c>
      <c r="K273" s="24">
        <v>9.5000000000000001E-2</v>
      </c>
    </row>
    <row r="274" spans="1:22" ht="25.95" customHeight="1" x14ac:dyDescent="0.3">
      <c r="A274" s="147" t="s">
        <v>1007</v>
      </c>
      <c r="B274" s="20">
        <v>14751.268</v>
      </c>
      <c r="C274" s="24">
        <v>0.121</v>
      </c>
      <c r="D274" s="112">
        <v>166.21199999999999</v>
      </c>
      <c r="E274" s="24">
        <v>-2.3369999999999998E-2</v>
      </c>
      <c r="F274" s="112">
        <v>172.80199999999999</v>
      </c>
      <c r="G274" s="24">
        <v>1.5350000000000001E-2</v>
      </c>
      <c r="H274" s="12" t="s">
        <v>1666</v>
      </c>
      <c r="I274" s="24">
        <v>-6.1089999999999998E-2</v>
      </c>
      <c r="J274" s="24">
        <v>-4.0199999999999993E-2</v>
      </c>
      <c r="K274" s="24">
        <v>9.5000000000000001E-2</v>
      </c>
    </row>
    <row r="275" spans="1:22" ht="25.95" customHeight="1" x14ac:dyDescent="0.3">
      <c r="A275" s="147" t="s">
        <v>1008</v>
      </c>
      <c r="B275" s="20">
        <v>14700.98</v>
      </c>
      <c r="C275" s="24">
        <v>0.11718000000000001</v>
      </c>
      <c r="D275" s="112">
        <v>164.39400000000001</v>
      </c>
      <c r="E275" s="24">
        <v>-3.4049999999999997E-2</v>
      </c>
      <c r="F275" s="112">
        <v>170.952</v>
      </c>
      <c r="G275" s="24">
        <v>4.4799999999999996E-3</v>
      </c>
      <c r="H275" s="12" t="s">
        <v>1666</v>
      </c>
      <c r="I275" s="24">
        <v>-6.1089999999999998E-2</v>
      </c>
      <c r="J275" s="24">
        <v>-4.0199999999999993E-2</v>
      </c>
      <c r="K275" s="24">
        <v>9.5000000000000001E-2</v>
      </c>
    </row>
    <row r="277" spans="1:22" x14ac:dyDescent="0.3">
      <c r="A277" s="3" t="s">
        <v>1744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27" customHeight="1" x14ac:dyDescent="0.3">
      <c r="A278" s="155" t="s">
        <v>1745</v>
      </c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</row>
    <row r="279" spans="1:22" ht="27" customHeight="1" x14ac:dyDescent="0.3">
      <c r="A279" s="155" t="s">
        <v>1746</v>
      </c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</row>
    <row r="280" spans="1:22" ht="27" customHeight="1" x14ac:dyDescent="0.3">
      <c r="A280" s="155" t="s">
        <v>1747</v>
      </c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</row>
    <row r="281" spans="1:22" ht="27" customHeight="1" x14ac:dyDescent="0.3">
      <c r="A281" s="155" t="s">
        <v>1748</v>
      </c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</row>
    <row r="282" spans="1:22" ht="27" customHeight="1" x14ac:dyDescent="0.3">
      <c r="A282" s="155" t="s">
        <v>1749</v>
      </c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</row>
    <row r="284" spans="1:22" x14ac:dyDescent="0.3">
      <c r="A284" s="3" t="s">
        <v>190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x14ac:dyDescent="0.3">
      <c r="A285" s="7" t="s">
        <v>1750</v>
      </c>
      <c r="B285" s="10" t="s">
        <v>1751</v>
      </c>
    </row>
    <row r="286" spans="1:22" x14ac:dyDescent="0.3">
      <c r="A286" s="7" t="s">
        <v>1752</v>
      </c>
      <c r="B286" s="10" t="s">
        <v>1753</v>
      </c>
    </row>
    <row r="287" spans="1:22" x14ac:dyDescent="0.3">
      <c r="A287" s="7" t="s">
        <v>1754</v>
      </c>
      <c r="B287" s="10" t="s">
        <v>1755</v>
      </c>
    </row>
    <row r="288" spans="1:22" x14ac:dyDescent="0.3">
      <c r="A288" s="7" t="s">
        <v>1756</v>
      </c>
      <c r="B288" s="10" t="s">
        <v>1757</v>
      </c>
    </row>
    <row r="289" spans="1:2" x14ac:dyDescent="0.3">
      <c r="A289" s="7" t="s">
        <v>1758</v>
      </c>
      <c r="B289" s="10" t="s">
        <v>1759</v>
      </c>
    </row>
    <row r="290" spans="1:2" x14ac:dyDescent="0.3">
      <c r="A290" s="7" t="s">
        <v>1760</v>
      </c>
      <c r="B290" s="10" t="s">
        <v>1761</v>
      </c>
    </row>
    <row r="291" spans="1:2" x14ac:dyDescent="0.3">
      <c r="A291" s="7" t="s">
        <v>1762</v>
      </c>
      <c r="B291" s="10" t="s">
        <v>1763</v>
      </c>
    </row>
    <row r="292" spans="1:2" x14ac:dyDescent="0.3">
      <c r="A292" s="7" t="s">
        <v>1334</v>
      </c>
      <c r="B292" s="10" t="s">
        <v>1148</v>
      </c>
    </row>
    <row r="293" spans="1:2" x14ac:dyDescent="0.3">
      <c r="A293" s="7" t="s">
        <v>1764</v>
      </c>
      <c r="B293" s="10" t="s">
        <v>1765</v>
      </c>
    </row>
  </sheetData>
  <mergeCells count="12">
    <mergeCell ref="A5:V5"/>
    <mergeCell ref="A8:V8"/>
    <mergeCell ref="A254:V254"/>
    <mergeCell ref="A6:V6"/>
    <mergeCell ref="A281:V281"/>
    <mergeCell ref="A282:V282"/>
    <mergeCell ref="A9:V9"/>
    <mergeCell ref="A279:V279"/>
    <mergeCell ref="A7:V7"/>
    <mergeCell ref="A265:V265"/>
    <mergeCell ref="A280:V280"/>
    <mergeCell ref="A278:V27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3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8" customWidth="1"/>
    <col min="2" max="2" width="34" customWidth="1"/>
    <col min="3" max="3" width="36" customWidth="1"/>
    <col min="4" max="9" width="11" customWidth="1"/>
    <col min="12" max="12" width="36" customWidth="1"/>
    <col min="13" max="13" width="28" customWidth="1"/>
  </cols>
  <sheetData>
    <row r="1" spans="1:13" ht="17.399999999999999" x14ac:dyDescent="0.3">
      <c r="A1" s="1" t="s">
        <v>1766</v>
      </c>
    </row>
    <row r="2" spans="1:13" x14ac:dyDescent="0.3">
      <c r="A2" s="2" t="s">
        <v>1767</v>
      </c>
    </row>
    <row r="4" spans="1:13" x14ac:dyDescent="0.3">
      <c r="A4" s="17" t="s">
        <v>1768</v>
      </c>
      <c r="B4" s="18" t="s">
        <v>249</v>
      </c>
      <c r="C4" s="18" t="s">
        <v>774</v>
      </c>
      <c r="D4" s="18" t="s">
        <v>99</v>
      </c>
      <c r="E4" s="18" t="s">
        <v>100</v>
      </c>
      <c r="F4" s="18" t="s">
        <v>101</v>
      </c>
      <c r="G4" s="18" t="s">
        <v>102</v>
      </c>
      <c r="H4" s="18" t="s">
        <v>103</v>
      </c>
      <c r="I4" s="18" t="s">
        <v>104</v>
      </c>
      <c r="L4" s="17" t="s">
        <v>1769</v>
      </c>
      <c r="M4" s="17" t="s">
        <v>1768</v>
      </c>
    </row>
    <row r="5" spans="1:13" x14ac:dyDescent="0.3">
      <c r="A5" s="10" t="s">
        <v>1770</v>
      </c>
      <c r="B5" s="7" t="s">
        <v>83</v>
      </c>
      <c r="C5" s="7" t="s">
        <v>134</v>
      </c>
      <c r="D5" s="49">
        <v>146.81299999999999</v>
      </c>
      <c r="E5" s="49">
        <v>131.79830000000001</v>
      </c>
      <c r="F5" s="49">
        <v>169.01779999999999</v>
      </c>
      <c r="G5" s="49">
        <v>157.1001</v>
      </c>
      <c r="H5" s="49">
        <v>155.958</v>
      </c>
      <c r="I5" s="49">
        <v>139.7655</v>
      </c>
      <c r="L5" s="7" t="s">
        <v>83</v>
      </c>
      <c r="M5" s="10" t="s">
        <v>1771</v>
      </c>
    </row>
    <row r="6" spans="1:13" x14ac:dyDescent="0.3">
      <c r="A6" s="10" t="s">
        <v>1772</v>
      </c>
      <c r="B6" s="7" t="s">
        <v>83</v>
      </c>
      <c r="C6" s="7" t="s">
        <v>136</v>
      </c>
      <c r="D6" s="49">
        <v>26.027999999999999</v>
      </c>
      <c r="E6" s="49">
        <v>22.987300000000001</v>
      </c>
      <c r="F6" s="49">
        <v>32.599600000000002</v>
      </c>
      <c r="G6" s="49">
        <v>29.6479</v>
      </c>
      <c r="H6" s="49">
        <v>28.390799999999999</v>
      </c>
      <c r="I6" s="49">
        <v>24.834199999999999</v>
      </c>
      <c r="L6" s="7" t="s">
        <v>1773</v>
      </c>
      <c r="M6" s="10" t="s">
        <v>665</v>
      </c>
    </row>
    <row r="7" spans="1:13" x14ac:dyDescent="0.3">
      <c r="A7" s="10" t="s">
        <v>1774</v>
      </c>
      <c r="B7" s="7" t="s">
        <v>83</v>
      </c>
      <c r="C7" s="7" t="s">
        <v>692</v>
      </c>
      <c r="D7" s="49">
        <v>40.222739726027392</v>
      </c>
      <c r="E7" s="49">
        <v>36.109123287671238</v>
      </c>
      <c r="F7" s="49">
        <v>46.949388888888883</v>
      </c>
      <c r="G7" s="49">
        <v>43.638916666666667</v>
      </c>
      <c r="H7" s="49">
        <v>43.321666666666673</v>
      </c>
      <c r="I7" s="49">
        <v>38.823749999999997</v>
      </c>
      <c r="L7" s="7" t="s">
        <v>1775</v>
      </c>
      <c r="M7" s="10" t="s">
        <v>666</v>
      </c>
    </row>
    <row r="8" spans="1:13" x14ac:dyDescent="0.3">
      <c r="A8" s="10" t="s">
        <v>1776</v>
      </c>
      <c r="B8" s="7" t="s">
        <v>83</v>
      </c>
      <c r="C8" s="7" t="s">
        <v>139</v>
      </c>
      <c r="D8" s="49">
        <v>4804.0355</v>
      </c>
      <c r="E8" s="49">
        <v>3178.1078000000002</v>
      </c>
      <c r="F8" s="49">
        <v>3053.1293000000001</v>
      </c>
      <c r="G8" s="49">
        <v>4028.9807000000001</v>
      </c>
      <c r="H8" s="49">
        <v>5280.7325000000001</v>
      </c>
      <c r="I8" s="49">
        <v>3465.7640999999999</v>
      </c>
      <c r="L8" s="7" t="s">
        <v>1777</v>
      </c>
      <c r="M8" s="10" t="s">
        <v>1778</v>
      </c>
    </row>
    <row r="9" spans="1:13" x14ac:dyDescent="0.3">
      <c r="A9" s="10" t="s">
        <v>1779</v>
      </c>
      <c r="B9" s="7" t="s">
        <v>83</v>
      </c>
      <c r="C9" s="7" t="s">
        <v>1780</v>
      </c>
      <c r="D9" s="49">
        <v>640.78411880236081</v>
      </c>
      <c r="E9" s="49">
        <v>578.03945746664272</v>
      </c>
      <c r="F9" s="49">
        <v>706.00358820286976</v>
      </c>
      <c r="G9" s="49">
        <v>727.29954297889071</v>
      </c>
      <c r="H9" s="49">
        <v>699.45367853399443</v>
      </c>
      <c r="I9" s="49">
        <v>626.85228201550058</v>
      </c>
      <c r="L9" s="7" t="s">
        <v>1781</v>
      </c>
      <c r="M9" s="10" t="s">
        <v>1782</v>
      </c>
    </row>
    <row r="10" spans="1:13" x14ac:dyDescent="0.3">
      <c r="A10" s="10" t="s">
        <v>1783</v>
      </c>
      <c r="B10" s="7" t="s">
        <v>83</v>
      </c>
      <c r="C10" s="7" t="s">
        <v>1784</v>
      </c>
      <c r="D10" s="49">
        <v>361.44308671083178</v>
      </c>
      <c r="E10" s="49">
        <v>318.28709448714312</v>
      </c>
      <c r="F10" s="49">
        <v>319.0860911068342</v>
      </c>
      <c r="G10" s="49">
        <v>340.96824359815412</v>
      </c>
      <c r="H10" s="49">
        <v>381.75909553671619</v>
      </c>
      <c r="I10" s="49">
        <v>336.06248136625692</v>
      </c>
      <c r="L10" s="7" t="s">
        <v>1785</v>
      </c>
      <c r="M10" s="10" t="s">
        <v>1786</v>
      </c>
    </row>
    <row r="11" spans="1:13" x14ac:dyDescent="0.3">
      <c r="A11" s="10" t="s">
        <v>1787</v>
      </c>
      <c r="B11" s="7" t="s">
        <v>83</v>
      </c>
      <c r="C11" s="7" t="s">
        <v>1788</v>
      </c>
      <c r="D11" s="49">
        <v>359.09488166867231</v>
      </c>
      <c r="E11" s="49">
        <v>369.02511833132769</v>
      </c>
      <c r="F11" s="49">
        <v>414.12379008000011</v>
      </c>
      <c r="G11" s="49">
        <v>400.79641536000003</v>
      </c>
      <c r="H11" s="49">
        <v>399.65871263999998</v>
      </c>
      <c r="I11" s="49">
        <v>410.71068192000001</v>
      </c>
      <c r="L11" s="7" t="s">
        <v>578</v>
      </c>
      <c r="M11" s="10" t="s">
        <v>1789</v>
      </c>
    </row>
    <row r="12" spans="1:13" x14ac:dyDescent="0.3">
      <c r="A12" s="10" t="s">
        <v>1790</v>
      </c>
      <c r="B12" s="7" t="s">
        <v>83</v>
      </c>
      <c r="C12" s="7" t="s">
        <v>1791</v>
      </c>
      <c r="D12" s="49">
        <v>778.31581281572915</v>
      </c>
      <c r="E12" s="49">
        <v>758.10752959183674</v>
      </c>
      <c r="F12" s="49">
        <v>829.27178741135731</v>
      </c>
      <c r="G12" s="49">
        <v>935.13627091067963</v>
      </c>
      <c r="H12" s="49">
        <v>819.93080357318183</v>
      </c>
      <c r="I12" s="49">
        <v>875.28478187348117</v>
      </c>
      <c r="L12" s="7" t="s">
        <v>576</v>
      </c>
      <c r="M12" s="10" t="s">
        <v>1792</v>
      </c>
    </row>
    <row r="13" spans="1:13" x14ac:dyDescent="0.3">
      <c r="A13" s="10" t="s">
        <v>1793</v>
      </c>
      <c r="B13" s="7" t="s">
        <v>83</v>
      </c>
      <c r="C13" s="7" t="s">
        <v>1794</v>
      </c>
      <c r="D13" s="49">
        <v>265.38907060231361</v>
      </c>
      <c r="E13" s="49">
        <v>276.41092939768652</v>
      </c>
      <c r="F13" s="49">
        <v>249.22724400000001</v>
      </c>
      <c r="G13" s="49">
        <v>271.58040000000011</v>
      </c>
      <c r="H13" s="49">
        <v>256.53902399999998</v>
      </c>
      <c r="I13" s="49">
        <v>267.19333200000011</v>
      </c>
      <c r="L13" s="7" t="s">
        <v>1795</v>
      </c>
      <c r="M13" s="10" t="s">
        <v>1796</v>
      </c>
    </row>
    <row r="14" spans="1:13" x14ac:dyDescent="0.3">
      <c r="A14" s="10" t="s">
        <v>1797</v>
      </c>
      <c r="B14" s="7" t="s">
        <v>83</v>
      </c>
      <c r="C14" s="7" t="s">
        <v>146</v>
      </c>
      <c r="D14" s="49">
        <v>2405.0269705999081</v>
      </c>
      <c r="E14" s="49">
        <v>2299.8701292746368</v>
      </c>
      <c r="F14" s="49">
        <v>2517.7125008010621</v>
      </c>
      <c r="G14" s="49">
        <v>2675.7808728477248</v>
      </c>
      <c r="H14" s="49">
        <v>2557.3413142838931</v>
      </c>
      <c r="I14" s="49">
        <v>2516.1035591752388</v>
      </c>
      <c r="L14" s="7" t="s">
        <v>1798</v>
      </c>
      <c r="M14" s="10" t="s">
        <v>1799</v>
      </c>
    </row>
    <row r="15" spans="1:13" x14ac:dyDescent="0.3">
      <c r="A15" s="10" t="s">
        <v>1800</v>
      </c>
      <c r="B15" s="7" t="s">
        <v>83</v>
      </c>
      <c r="C15" s="7" t="s">
        <v>1801</v>
      </c>
      <c r="D15" s="49">
        <v>20.633970599907521</v>
      </c>
      <c r="E15" s="49">
        <v>20.633970599907521</v>
      </c>
      <c r="F15" s="49">
        <v>20.633970599907521</v>
      </c>
      <c r="G15" s="49">
        <v>20.633970599907521</v>
      </c>
      <c r="H15" s="49">
        <v>20.633970599907521</v>
      </c>
      <c r="I15" s="49">
        <v>20.633970599907521</v>
      </c>
    </row>
    <row r="16" spans="1:13" x14ac:dyDescent="0.3">
      <c r="A16" s="10" t="s">
        <v>1802</v>
      </c>
      <c r="B16" s="7" t="s">
        <v>83</v>
      </c>
      <c r="C16" s="7" t="s">
        <v>151</v>
      </c>
      <c r="D16" s="49">
        <v>2419.6424999999999</v>
      </c>
      <c r="E16" s="49">
        <v>898.87164132527096</v>
      </c>
      <c r="F16" s="49">
        <v>556.05076979884598</v>
      </c>
      <c r="G16" s="49">
        <v>1373.833797752183</v>
      </c>
      <c r="H16" s="49">
        <v>2744.025156316015</v>
      </c>
      <c r="I16" s="49">
        <v>970.2945114246686</v>
      </c>
    </row>
    <row r="17" spans="1:9" x14ac:dyDescent="0.3">
      <c r="A17" s="10" t="s">
        <v>1803</v>
      </c>
      <c r="B17" s="7" t="s">
        <v>83</v>
      </c>
      <c r="C17" s="7" t="s">
        <v>1804</v>
      </c>
      <c r="D17" s="49">
        <v>451.57918566107082</v>
      </c>
      <c r="E17" s="49">
        <v>465.16051455313311</v>
      </c>
      <c r="F17" s="49">
        <v>464.02873714546132</v>
      </c>
      <c r="G17" s="49">
        <v>551.17559753619423</v>
      </c>
      <c r="H17" s="49">
        <v>511.0871201060549</v>
      </c>
      <c r="I17" s="49">
        <v>526.45816131225195</v>
      </c>
    </row>
    <row r="18" spans="1:9" x14ac:dyDescent="0.3">
      <c r="A18" s="10" t="s">
        <v>1805</v>
      </c>
      <c r="B18" s="7" t="s">
        <v>83</v>
      </c>
      <c r="C18" s="7" t="s">
        <v>157</v>
      </c>
      <c r="D18" s="49">
        <v>1947.4293437390211</v>
      </c>
      <c r="E18" s="49">
        <v>413.07715617223027</v>
      </c>
      <c r="F18" s="49">
        <v>71.388062053477142</v>
      </c>
      <c r="G18" s="49">
        <v>802.02422961608102</v>
      </c>
      <c r="H18" s="49">
        <v>2212.304065610052</v>
      </c>
      <c r="I18" s="49">
        <v>423.20237951250908</v>
      </c>
    </row>
    <row r="19" spans="1:9" x14ac:dyDescent="0.3">
      <c r="A19" s="10" t="s">
        <v>1806</v>
      </c>
      <c r="B19" s="7" t="s">
        <v>83</v>
      </c>
      <c r="C19" s="7" t="s">
        <v>1807</v>
      </c>
      <c r="D19" s="49">
        <v>183.54893375952639</v>
      </c>
      <c r="E19" s="49">
        <v>165.49546529691921</v>
      </c>
      <c r="F19" s="49">
        <v>180.26225844774419</v>
      </c>
      <c r="G19" s="49">
        <v>202.84769300931859</v>
      </c>
      <c r="H19" s="49">
        <v>191.14508532477521</v>
      </c>
      <c r="I19" s="49">
        <v>171.15507641910381</v>
      </c>
    </row>
    <row r="20" spans="1:9" x14ac:dyDescent="0.3">
      <c r="A20" s="10" t="s">
        <v>1808</v>
      </c>
      <c r="B20" s="7" t="s">
        <v>83</v>
      </c>
      <c r="C20" s="7" t="s">
        <v>1809</v>
      </c>
      <c r="D20" s="49">
        <v>37</v>
      </c>
      <c r="E20" s="49">
        <v>37</v>
      </c>
      <c r="F20" s="49">
        <v>37</v>
      </c>
      <c r="G20" s="49">
        <v>37</v>
      </c>
      <c r="H20" s="49">
        <v>37</v>
      </c>
      <c r="I20" s="49">
        <v>37</v>
      </c>
    </row>
    <row r="21" spans="1:9" x14ac:dyDescent="0.3">
      <c r="A21" s="10" t="s">
        <v>1810</v>
      </c>
      <c r="B21" s="7" t="s">
        <v>83</v>
      </c>
      <c r="C21" s="7" t="s">
        <v>1811</v>
      </c>
      <c r="D21" s="49">
        <v>3.7</v>
      </c>
      <c r="E21" s="49">
        <v>3.7</v>
      </c>
      <c r="F21" s="49">
        <v>3.7</v>
      </c>
      <c r="G21" s="49">
        <v>3.7</v>
      </c>
      <c r="H21" s="49">
        <v>3.7</v>
      </c>
      <c r="I21" s="49">
        <v>3.7</v>
      </c>
    </row>
    <row r="22" spans="1:9" x14ac:dyDescent="0.3">
      <c r="A22" s="10" t="s">
        <v>1812</v>
      </c>
      <c r="B22" s="7" t="s">
        <v>83</v>
      </c>
      <c r="C22" s="7" t="s">
        <v>162</v>
      </c>
      <c r="D22" s="49">
        <v>2097.6782774985481</v>
      </c>
      <c r="E22" s="49">
        <v>545.2726214691495</v>
      </c>
      <c r="F22" s="49">
        <v>218.35032050122129</v>
      </c>
      <c r="G22" s="49">
        <v>971.57192262539957</v>
      </c>
      <c r="H22" s="49">
        <v>2370.149150934828</v>
      </c>
      <c r="I22" s="49">
        <v>561.05745593161294</v>
      </c>
    </row>
    <row r="23" spans="1:9" x14ac:dyDescent="0.3">
      <c r="A23" s="10" t="s">
        <v>1813</v>
      </c>
      <c r="B23" s="7" t="s">
        <v>83</v>
      </c>
      <c r="C23" s="7" t="s">
        <v>1814</v>
      </c>
      <c r="D23" s="49">
        <v>377.58208994973847</v>
      </c>
      <c r="E23" s="49">
        <v>98.149071864446839</v>
      </c>
      <c r="F23" s="49">
        <v>38.211306087713751</v>
      </c>
      <c r="G23" s="49">
        <v>170.02508645944499</v>
      </c>
      <c r="H23" s="49">
        <v>414.77610141359492</v>
      </c>
      <c r="I23" s="49">
        <v>98.185054788032275</v>
      </c>
    </row>
    <row r="24" spans="1:9" x14ac:dyDescent="0.3">
      <c r="A24" s="10" t="s">
        <v>1815</v>
      </c>
      <c r="B24" s="7" t="s">
        <v>83</v>
      </c>
      <c r="C24" s="7" t="s">
        <v>166</v>
      </c>
      <c r="D24" s="49">
        <v>1720.096187548809</v>
      </c>
      <c r="E24" s="49">
        <v>447.12354960470259</v>
      </c>
      <c r="F24" s="49">
        <v>180.1390144135076</v>
      </c>
      <c r="G24" s="49">
        <v>801.54683616595469</v>
      </c>
      <c r="H24" s="49">
        <v>1955.373049521233</v>
      </c>
      <c r="I24" s="49">
        <v>462.8724011435807</v>
      </c>
    </row>
    <row r="25" spans="1:9" x14ac:dyDescent="0.3">
      <c r="A25" s="10" t="s">
        <v>1816</v>
      </c>
      <c r="B25" s="7" t="s">
        <v>83</v>
      </c>
      <c r="C25" s="7" t="s">
        <v>956</v>
      </c>
      <c r="D25" s="49">
        <v>591.67581338190553</v>
      </c>
      <c r="E25" s="49">
        <v>586.35162676381105</v>
      </c>
      <c r="F25" s="49">
        <v>581.02744014571658</v>
      </c>
      <c r="G25" s="49">
        <v>575.70325352762211</v>
      </c>
      <c r="H25" s="49">
        <v>570.37906690952764</v>
      </c>
      <c r="I25" s="49">
        <v>565.05488029143316</v>
      </c>
    </row>
    <row r="26" spans="1:9" x14ac:dyDescent="0.3">
      <c r="A26" s="10" t="s">
        <v>1817</v>
      </c>
      <c r="B26" s="7" t="s">
        <v>83</v>
      </c>
      <c r="C26" s="7" t="s">
        <v>169</v>
      </c>
      <c r="D26" s="73">
        <v>2.9071598815524831</v>
      </c>
      <c r="E26" s="73">
        <v>0.76255190434528963</v>
      </c>
      <c r="F26" s="73">
        <v>0.31003529604097568</v>
      </c>
      <c r="G26" s="73">
        <v>1.3922916559086229</v>
      </c>
      <c r="H26" s="73">
        <v>3.428199180092613</v>
      </c>
      <c r="I26" s="73">
        <v>0.81916361983255359</v>
      </c>
    </row>
    <row r="27" spans="1:9" x14ac:dyDescent="0.3">
      <c r="A27" s="10" t="s">
        <v>1818</v>
      </c>
      <c r="B27" s="7" t="s">
        <v>83</v>
      </c>
      <c r="C27" s="7" t="s">
        <v>1819</v>
      </c>
      <c r="D27" s="49">
        <v>458.7631337392358</v>
      </c>
      <c r="E27" s="49">
        <v>404.38556823913399</v>
      </c>
      <c r="F27" s="49">
        <v>499.64568774248448</v>
      </c>
      <c r="G27" s="49">
        <v>527.61555451850529</v>
      </c>
      <c r="H27" s="49">
        <v>500.40926607360899</v>
      </c>
      <c r="I27" s="49">
        <v>436.87566955511522</v>
      </c>
    </row>
    <row r="28" spans="1:9" x14ac:dyDescent="0.3">
      <c r="A28" s="10" t="s">
        <v>1820</v>
      </c>
      <c r="B28" s="7" t="s">
        <v>83</v>
      </c>
      <c r="C28" s="7" t="s">
        <v>1821</v>
      </c>
      <c r="D28" s="49">
        <v>28.960372602739721</v>
      </c>
      <c r="E28" s="49">
        <v>25.998568767123292</v>
      </c>
      <c r="F28" s="49">
        <v>33.803559999999997</v>
      </c>
      <c r="G28" s="49">
        <v>31.420020000000001</v>
      </c>
      <c r="H28" s="49">
        <v>31.191600000000001</v>
      </c>
      <c r="I28" s="49">
        <v>27.953099999999999</v>
      </c>
    </row>
    <row r="29" spans="1:9" x14ac:dyDescent="0.3">
      <c r="A29" s="10" t="s">
        <v>1822</v>
      </c>
      <c r="B29" s="7" t="s">
        <v>83</v>
      </c>
      <c r="C29" s="7" t="s">
        <v>1823</v>
      </c>
      <c r="D29" s="49">
        <v>100.20793246038539</v>
      </c>
      <c r="E29" s="49">
        <v>100.20793246038539</v>
      </c>
      <c r="F29" s="49">
        <v>111.70793246038539</v>
      </c>
      <c r="G29" s="49">
        <v>111.70793246038539</v>
      </c>
      <c r="H29" s="49">
        <v>111.70793246038539</v>
      </c>
      <c r="I29" s="49">
        <v>111.70793246038539</v>
      </c>
    </row>
    <row r="30" spans="1:9" x14ac:dyDescent="0.3">
      <c r="A30" s="10" t="s">
        <v>1824</v>
      </c>
      <c r="B30" s="7" t="s">
        <v>83</v>
      </c>
      <c r="C30" s="7" t="s">
        <v>1825</v>
      </c>
      <c r="D30" s="49">
        <v>52.852679999999992</v>
      </c>
      <c r="E30" s="49">
        <v>47.447387999999997</v>
      </c>
      <c r="F30" s="49">
        <v>60.846407999999997</v>
      </c>
      <c r="G30" s="49">
        <v>56.556035999999999</v>
      </c>
      <c r="H30" s="49">
        <v>56.144880000000001</v>
      </c>
      <c r="I30" s="49">
        <v>50.315579999999997</v>
      </c>
    </row>
    <row r="31" spans="1:9" x14ac:dyDescent="0.3">
      <c r="A31" s="10" t="s">
        <v>1826</v>
      </c>
      <c r="B31" s="7" t="s">
        <v>83</v>
      </c>
      <c r="C31" s="7" t="s">
        <v>1827</v>
      </c>
      <c r="D31" s="49">
        <v>70.647686710831763</v>
      </c>
      <c r="E31" s="49">
        <v>61.403694487143078</v>
      </c>
      <c r="F31" s="49">
        <v>63.898291106834193</v>
      </c>
      <c r="G31" s="49">
        <v>67.128843598154063</v>
      </c>
      <c r="H31" s="49">
        <v>75.327646623272983</v>
      </c>
      <c r="I31" s="49">
        <v>66.218682660056984</v>
      </c>
    </row>
    <row r="32" spans="1:9" x14ac:dyDescent="0.3">
      <c r="A32" s="10" t="s">
        <v>1828</v>
      </c>
      <c r="B32" s="7" t="s">
        <v>83</v>
      </c>
      <c r="C32" s="7" t="s">
        <v>1829</v>
      </c>
      <c r="D32" s="49">
        <v>290.79539999999997</v>
      </c>
      <c r="E32" s="49">
        <v>256.88340000000011</v>
      </c>
      <c r="F32" s="49">
        <v>255.18780000000001</v>
      </c>
      <c r="G32" s="49">
        <v>273.83940000000001</v>
      </c>
      <c r="H32" s="49">
        <v>306.43144891344321</v>
      </c>
      <c r="I32" s="49">
        <v>269.84379870619989</v>
      </c>
    </row>
    <row r="33" spans="1:9" x14ac:dyDescent="0.3">
      <c r="A33" s="10" t="s">
        <v>1830</v>
      </c>
      <c r="B33" s="7" t="s">
        <v>83</v>
      </c>
      <c r="C33" s="7" t="s">
        <v>1831</v>
      </c>
      <c r="D33" s="49">
        <v>540.67059240756589</v>
      </c>
      <c r="E33" s="49">
        <v>504.41874999999999</v>
      </c>
      <c r="F33" s="49">
        <v>584.06976155135737</v>
      </c>
      <c r="G33" s="49">
        <v>658.63185877067963</v>
      </c>
      <c r="H33" s="49">
        <v>577.49075297318188</v>
      </c>
      <c r="I33" s="49">
        <v>616.47747047348116</v>
      </c>
    </row>
    <row r="34" spans="1:9" x14ac:dyDescent="0.3">
      <c r="A34" s="10" t="s">
        <v>1832</v>
      </c>
      <c r="B34" s="7" t="s">
        <v>83</v>
      </c>
      <c r="C34" s="7" t="s">
        <v>1833</v>
      </c>
      <c r="D34" s="49">
        <v>237.64522040816331</v>
      </c>
      <c r="E34" s="49">
        <v>253.68877959183681</v>
      </c>
      <c r="F34" s="49">
        <v>245.20202585999999</v>
      </c>
      <c r="G34" s="49">
        <v>276.50441214</v>
      </c>
      <c r="H34" s="49">
        <v>242.44005060000001</v>
      </c>
      <c r="I34" s="49">
        <v>258.8073114</v>
      </c>
    </row>
    <row r="35" spans="1:9" x14ac:dyDescent="0.3">
      <c r="A35" s="10" t="s">
        <v>1834</v>
      </c>
      <c r="B35" s="7" t="s">
        <v>83</v>
      </c>
      <c r="C35" s="7" t="s">
        <v>1835</v>
      </c>
      <c r="D35" s="73">
        <v>8.9860384740761123</v>
      </c>
      <c r="E35" s="73">
        <v>8.8145893754173787</v>
      </c>
      <c r="F35" s="73">
        <v>6.7963843333933056</v>
      </c>
      <c r="G35" s="73">
        <v>7.813398444388989</v>
      </c>
      <c r="H35" s="73">
        <v>8.8121977964078688</v>
      </c>
      <c r="I35" s="73">
        <v>8.6561056406518411</v>
      </c>
    </row>
    <row r="36" spans="1:9" x14ac:dyDescent="0.3">
      <c r="A36" s="10" t="s">
        <v>1836</v>
      </c>
      <c r="B36" s="7" t="s">
        <v>83</v>
      </c>
      <c r="C36" s="7" t="s">
        <v>1837</v>
      </c>
      <c r="D36" s="81">
        <v>1.7625754331459801E-2</v>
      </c>
      <c r="E36" s="81">
        <v>1.7591694902799979E-2</v>
      </c>
      <c r="F36" s="81">
        <v>1.5326742896921571E-2</v>
      </c>
      <c r="G36" s="81">
        <v>1.779605147475893E-2</v>
      </c>
      <c r="H36" s="81">
        <v>1.7625754331459801E-2</v>
      </c>
      <c r="I36" s="81">
        <v>1.7591694902799979E-2</v>
      </c>
    </row>
    <row r="37" spans="1:9" x14ac:dyDescent="0.3">
      <c r="A37" s="10" t="s">
        <v>1838</v>
      </c>
      <c r="B37" s="7" t="s">
        <v>83</v>
      </c>
      <c r="C37" s="7" t="s">
        <v>1839</v>
      </c>
      <c r="D37" s="81">
        <v>0.18</v>
      </c>
      <c r="E37" s="81">
        <v>0.18</v>
      </c>
      <c r="F37" s="81">
        <v>0.17499999999999999</v>
      </c>
      <c r="G37" s="81">
        <v>0.17499999999999999</v>
      </c>
      <c r="H37" s="81">
        <v>0.17499999999999999</v>
      </c>
      <c r="I37" s="81">
        <v>0.17499999999999999</v>
      </c>
    </row>
    <row r="39" spans="1:9" x14ac:dyDescent="0.3">
      <c r="A39" s="10" t="s">
        <v>1840</v>
      </c>
      <c r="B39" s="7" t="s">
        <v>1773</v>
      </c>
      <c r="C39" s="7" t="s">
        <v>134</v>
      </c>
      <c r="D39" s="49">
        <v>144.95599999999999</v>
      </c>
      <c r="E39" s="49">
        <v>127.995</v>
      </c>
      <c r="F39" s="49">
        <v>162.44800000000001</v>
      </c>
      <c r="G39" s="49">
        <v>151.26599999999999</v>
      </c>
      <c r="H39" s="49">
        <v>149.30467999999999</v>
      </c>
      <c r="I39" s="49">
        <v>133.1148</v>
      </c>
    </row>
    <row r="40" spans="1:9" x14ac:dyDescent="0.3">
      <c r="A40" s="10" t="s">
        <v>1841</v>
      </c>
      <c r="B40" s="7" t="s">
        <v>1773</v>
      </c>
      <c r="C40" s="7" t="s">
        <v>136</v>
      </c>
      <c r="D40" s="49">
        <v>25.360858618192079</v>
      </c>
      <c r="E40" s="49">
        <v>21.452164103521731</v>
      </c>
      <c r="F40" s="49">
        <v>30.276246115729009</v>
      </c>
      <c r="G40" s="49">
        <v>27.690429283757101</v>
      </c>
      <c r="H40" s="49">
        <v>26.81791918631578</v>
      </c>
      <c r="I40" s="49">
        <v>23.838664749353988</v>
      </c>
    </row>
    <row r="41" spans="1:9" x14ac:dyDescent="0.3">
      <c r="A41" s="10" t="s">
        <v>1842</v>
      </c>
      <c r="B41" s="7" t="s">
        <v>1773</v>
      </c>
      <c r="C41" s="7" t="s">
        <v>692</v>
      </c>
      <c r="D41" s="49">
        <v>39.713972602739723</v>
      </c>
      <c r="E41" s="49">
        <v>35.067123287671237</v>
      </c>
      <c r="F41" s="49">
        <v>45.124444444444443</v>
      </c>
      <c r="G41" s="49">
        <v>42.018333333333338</v>
      </c>
      <c r="H41" s="49">
        <v>41.473522222222222</v>
      </c>
      <c r="I41" s="49">
        <v>36.976333333333343</v>
      </c>
    </row>
    <row r="42" spans="1:9" x14ac:dyDescent="0.3">
      <c r="A42" s="10" t="s">
        <v>1843</v>
      </c>
      <c r="B42" s="7" t="s">
        <v>1773</v>
      </c>
      <c r="C42" s="7" t="s">
        <v>139</v>
      </c>
      <c r="D42" s="49">
        <v>4680.8999966296178</v>
      </c>
      <c r="E42" s="49">
        <v>2965.8676775559729</v>
      </c>
      <c r="F42" s="49">
        <v>2835.534611159138</v>
      </c>
      <c r="G42" s="49">
        <v>3762.9715817637061</v>
      </c>
      <c r="H42" s="49">
        <v>4988.1742476277986</v>
      </c>
      <c r="I42" s="49">
        <v>3326.8310829520001</v>
      </c>
    </row>
    <row r="43" spans="1:9" x14ac:dyDescent="0.3">
      <c r="A43" s="10" t="s">
        <v>1844</v>
      </c>
      <c r="B43" s="7" t="s">
        <v>1773</v>
      </c>
      <c r="C43" s="7" t="s">
        <v>1780</v>
      </c>
      <c r="D43" s="49">
        <v>633.94751226390758</v>
      </c>
      <c r="E43" s="49">
        <v>554.17445563461126</v>
      </c>
      <c r="F43" s="49">
        <v>673.48371922675096</v>
      </c>
      <c r="G43" s="49">
        <v>695.49994735229893</v>
      </c>
      <c r="H43" s="49">
        <v>674.22563685266311</v>
      </c>
      <c r="I43" s="49">
        <v>611.16118762115354</v>
      </c>
    </row>
    <row r="44" spans="1:9" x14ac:dyDescent="0.3">
      <c r="A44" s="10" t="s">
        <v>1845</v>
      </c>
      <c r="B44" s="7" t="s">
        <v>1773</v>
      </c>
      <c r="C44" s="7" t="s">
        <v>1784</v>
      </c>
      <c r="D44" s="49">
        <v>374.97146152219182</v>
      </c>
      <c r="E44" s="49">
        <v>329.17577651506849</v>
      </c>
      <c r="F44" s="49">
        <v>329.26642840000011</v>
      </c>
      <c r="G44" s="49">
        <v>352.01434710000001</v>
      </c>
      <c r="H44" s="49">
        <v>409.41935849788581</v>
      </c>
      <c r="I44" s="49">
        <v>360.08814700635628</v>
      </c>
    </row>
    <row r="45" spans="1:9" x14ac:dyDescent="0.3">
      <c r="A45" s="10" t="s">
        <v>1846</v>
      </c>
      <c r="B45" s="7" t="s">
        <v>1773</v>
      </c>
      <c r="C45" s="7" t="s">
        <v>1788</v>
      </c>
      <c r="D45" s="49">
        <v>359.09488166867231</v>
      </c>
      <c r="E45" s="49">
        <v>369.02511833132769</v>
      </c>
      <c r="F45" s="49">
        <v>414.12379008000011</v>
      </c>
      <c r="G45" s="49">
        <v>400.79641536000003</v>
      </c>
      <c r="H45" s="49">
        <v>399.65871263999998</v>
      </c>
      <c r="I45" s="49">
        <v>410.71068192000001</v>
      </c>
    </row>
    <row r="46" spans="1:9" x14ac:dyDescent="0.3">
      <c r="A46" s="10" t="s">
        <v>1847</v>
      </c>
      <c r="B46" s="7" t="s">
        <v>1773</v>
      </c>
      <c r="C46" s="7" t="s">
        <v>1791</v>
      </c>
      <c r="D46" s="49">
        <v>778.31581281572915</v>
      </c>
      <c r="E46" s="49">
        <v>758.10752959183674</v>
      </c>
      <c r="F46" s="49">
        <v>829.27178741135731</v>
      </c>
      <c r="G46" s="49">
        <v>935.13627091067963</v>
      </c>
      <c r="H46" s="49">
        <v>819.93080357318183</v>
      </c>
      <c r="I46" s="49">
        <v>875.28478187348117</v>
      </c>
    </row>
    <row r="47" spans="1:9" x14ac:dyDescent="0.3">
      <c r="A47" s="10" t="s">
        <v>1848</v>
      </c>
      <c r="B47" s="7" t="s">
        <v>1773</v>
      </c>
      <c r="C47" s="7" t="s">
        <v>1794</v>
      </c>
      <c r="D47" s="49">
        <v>265.38907060231361</v>
      </c>
      <c r="E47" s="49">
        <v>276.41092939768652</v>
      </c>
      <c r="F47" s="49">
        <v>249.22724400000001</v>
      </c>
      <c r="G47" s="49">
        <v>271.58040000000011</v>
      </c>
      <c r="H47" s="49">
        <v>256.53902399999998</v>
      </c>
      <c r="I47" s="49">
        <v>267.19333200000011</v>
      </c>
    </row>
    <row r="48" spans="1:9" x14ac:dyDescent="0.3">
      <c r="A48" s="10" t="s">
        <v>1849</v>
      </c>
      <c r="B48" s="7" t="s">
        <v>1773</v>
      </c>
      <c r="C48" s="7" t="s">
        <v>146</v>
      </c>
      <c r="D48" s="49">
        <v>2411.7187388728139</v>
      </c>
      <c r="E48" s="49">
        <v>2286.8938094705309</v>
      </c>
      <c r="F48" s="49">
        <v>2495.3729691181079</v>
      </c>
      <c r="G48" s="49">
        <v>2655.0273807229792</v>
      </c>
      <c r="H48" s="49">
        <v>2559.773535563731</v>
      </c>
      <c r="I48" s="49">
        <v>2524.438130420991</v>
      </c>
    </row>
    <row r="49" spans="1:9" x14ac:dyDescent="0.3">
      <c r="A49" s="10" t="s">
        <v>1850</v>
      </c>
      <c r="B49" s="7" t="s">
        <v>1773</v>
      </c>
      <c r="C49" s="7" t="s">
        <v>1801</v>
      </c>
      <c r="D49" s="49">
        <v>20.633970599907521</v>
      </c>
      <c r="E49" s="49">
        <v>20.633970599907521</v>
      </c>
      <c r="F49" s="49">
        <v>20.633970599907521</v>
      </c>
      <c r="G49" s="49">
        <v>20.633970599907521</v>
      </c>
      <c r="H49" s="49">
        <v>20.633970599907521</v>
      </c>
      <c r="I49" s="49">
        <v>20.633970599907521</v>
      </c>
    </row>
    <row r="50" spans="1:9" x14ac:dyDescent="0.3">
      <c r="A50" s="10" t="s">
        <v>1851</v>
      </c>
      <c r="B50" s="7" t="s">
        <v>1773</v>
      </c>
      <c r="C50" s="7" t="s">
        <v>151</v>
      </c>
      <c r="D50" s="49">
        <v>2289.815228356711</v>
      </c>
      <c r="E50" s="49">
        <v>699.60783868535009</v>
      </c>
      <c r="F50" s="49">
        <v>360.79561264093712</v>
      </c>
      <c r="G50" s="49">
        <v>1128.578171640635</v>
      </c>
      <c r="H50" s="49">
        <v>2449.0346826639752</v>
      </c>
      <c r="I50" s="49">
        <v>823.02692313091666</v>
      </c>
    </row>
    <row r="51" spans="1:9" x14ac:dyDescent="0.3">
      <c r="A51" s="10" t="s">
        <v>1852</v>
      </c>
      <c r="B51" s="7" t="s">
        <v>1773</v>
      </c>
      <c r="C51" s="7" t="s">
        <v>1804</v>
      </c>
      <c r="D51" s="49">
        <v>451.57918566107082</v>
      </c>
      <c r="E51" s="49">
        <v>465.16051455313311</v>
      </c>
      <c r="F51" s="49">
        <v>464.02873714546132</v>
      </c>
      <c r="G51" s="49">
        <v>551.17559753619423</v>
      </c>
      <c r="H51" s="49">
        <v>511.0871201060549</v>
      </c>
      <c r="I51" s="49">
        <v>526.45816131225195</v>
      </c>
    </row>
    <row r="52" spans="1:9" x14ac:dyDescent="0.3">
      <c r="A52" s="10" t="s">
        <v>1853</v>
      </c>
      <c r="B52" s="7" t="s">
        <v>1773</v>
      </c>
      <c r="C52" s="7" t="s">
        <v>157</v>
      </c>
      <c r="D52" s="49">
        <v>1817.6020720957331</v>
      </c>
      <c r="E52" s="49">
        <v>213.81335353230941</v>
      </c>
      <c r="F52" s="49">
        <v>-123.8670951044317</v>
      </c>
      <c r="G52" s="49">
        <v>556.76860350453319</v>
      </c>
      <c r="H52" s="49">
        <v>1917.3135919580129</v>
      </c>
      <c r="I52" s="49">
        <v>275.93479121875708</v>
      </c>
    </row>
    <row r="53" spans="1:9" x14ac:dyDescent="0.3">
      <c r="A53" s="10" t="s">
        <v>1854</v>
      </c>
      <c r="B53" s="7" t="s">
        <v>1773</v>
      </c>
      <c r="C53" s="7" t="s">
        <v>1807</v>
      </c>
      <c r="D53" s="49">
        <v>174.3591207934092</v>
      </c>
      <c r="E53" s="49">
        <v>156.16942249076919</v>
      </c>
      <c r="F53" s="49">
        <v>167.12593631394671</v>
      </c>
      <c r="G53" s="49">
        <v>186.13280361823519</v>
      </c>
      <c r="H53" s="49">
        <v>176.87691339193549</v>
      </c>
      <c r="I53" s="49">
        <v>160.88839386154919</v>
      </c>
    </row>
    <row r="54" spans="1:9" x14ac:dyDescent="0.3">
      <c r="A54" s="10" t="s">
        <v>1855</v>
      </c>
      <c r="B54" s="7" t="s">
        <v>1773</v>
      </c>
      <c r="C54" s="7" t="s">
        <v>1809</v>
      </c>
      <c r="D54" s="49">
        <v>37</v>
      </c>
      <c r="E54" s="49">
        <v>37</v>
      </c>
      <c r="F54" s="49">
        <v>37</v>
      </c>
      <c r="G54" s="49">
        <v>37</v>
      </c>
      <c r="H54" s="49">
        <v>37</v>
      </c>
      <c r="I54" s="49">
        <v>37</v>
      </c>
    </row>
    <row r="55" spans="1:9" x14ac:dyDescent="0.3">
      <c r="A55" s="10" t="s">
        <v>1856</v>
      </c>
      <c r="B55" s="7" t="s">
        <v>1773</v>
      </c>
      <c r="C55" s="7" t="s">
        <v>1811</v>
      </c>
      <c r="D55" s="49">
        <v>3.7</v>
      </c>
      <c r="E55" s="49">
        <v>3.7</v>
      </c>
      <c r="F55" s="49">
        <v>3.7</v>
      </c>
      <c r="G55" s="49">
        <v>3.7</v>
      </c>
      <c r="H55" s="49">
        <v>3.7</v>
      </c>
      <c r="I55" s="49">
        <v>3.7</v>
      </c>
    </row>
    <row r="56" spans="1:9" x14ac:dyDescent="0.3">
      <c r="A56" s="10" t="s">
        <v>1857</v>
      </c>
      <c r="B56" s="7" t="s">
        <v>1773</v>
      </c>
      <c r="C56" s="7" t="s">
        <v>162</v>
      </c>
      <c r="D56" s="49">
        <v>1958.6611928891421</v>
      </c>
      <c r="E56" s="49">
        <v>336.68277602307859</v>
      </c>
      <c r="F56" s="49">
        <v>9.9588412095150236</v>
      </c>
      <c r="G56" s="49">
        <v>709.60140712276836</v>
      </c>
      <c r="H56" s="49">
        <v>2060.8905053499479</v>
      </c>
      <c r="I56" s="49">
        <v>403.5231850803064</v>
      </c>
    </row>
    <row r="57" spans="1:9" x14ac:dyDescent="0.3">
      <c r="A57" s="10" t="s">
        <v>1858</v>
      </c>
      <c r="B57" s="7" t="s">
        <v>1773</v>
      </c>
      <c r="C57" s="7" t="s">
        <v>1814</v>
      </c>
      <c r="D57" s="49">
        <v>352.5590147200453</v>
      </c>
      <c r="E57" s="49">
        <v>60.602899684154131</v>
      </c>
      <c r="F57" s="49">
        <v>1.7427972116651289</v>
      </c>
      <c r="G57" s="49">
        <v>124.1802462464844</v>
      </c>
      <c r="H57" s="49">
        <v>360.65583843624108</v>
      </c>
      <c r="I57" s="49">
        <v>70.616557389053639</v>
      </c>
    </row>
    <row r="58" spans="1:9" x14ac:dyDescent="0.3">
      <c r="A58" s="10" t="s">
        <v>1859</v>
      </c>
      <c r="B58" s="7" t="s">
        <v>1773</v>
      </c>
      <c r="C58" s="7" t="s">
        <v>166</v>
      </c>
      <c r="D58" s="49">
        <v>1606.1021781690961</v>
      </c>
      <c r="E58" s="49">
        <v>276.07987633892452</v>
      </c>
      <c r="F58" s="49">
        <v>8.216043997849896</v>
      </c>
      <c r="G58" s="49">
        <v>585.42116087628392</v>
      </c>
      <c r="H58" s="49">
        <v>1700.2346669137071</v>
      </c>
      <c r="I58" s="49">
        <v>332.90662769125271</v>
      </c>
    </row>
    <row r="59" spans="1:9" x14ac:dyDescent="0.3">
      <c r="A59" s="10" t="s">
        <v>1860</v>
      </c>
      <c r="B59" s="7" t="s">
        <v>1773</v>
      </c>
      <c r="C59" s="7" t="s">
        <v>956</v>
      </c>
      <c r="D59" s="49">
        <v>591.67581338190553</v>
      </c>
      <c r="E59" s="49">
        <v>586.35162676381105</v>
      </c>
      <c r="F59" s="49">
        <v>581.02744014571658</v>
      </c>
      <c r="G59" s="49">
        <v>575.70325352762211</v>
      </c>
      <c r="H59" s="49">
        <v>570.37906690952764</v>
      </c>
      <c r="I59" s="49">
        <v>565.05488029143316</v>
      </c>
    </row>
    <row r="60" spans="1:9" x14ac:dyDescent="0.3">
      <c r="A60" s="10" t="s">
        <v>1861</v>
      </c>
      <c r="B60" s="7" t="s">
        <v>1773</v>
      </c>
      <c r="C60" s="7" t="s">
        <v>169</v>
      </c>
      <c r="D60" s="73">
        <v>2.7144969286287441</v>
      </c>
      <c r="E60" s="73">
        <v>0.4708435412086483</v>
      </c>
      <c r="F60" s="73">
        <v>1.41405438541583E-2</v>
      </c>
      <c r="G60" s="73">
        <v>1.0168800632775921</v>
      </c>
      <c r="H60" s="73">
        <v>2.9808854594297278</v>
      </c>
      <c r="I60" s="73">
        <v>0.58915804340908007</v>
      </c>
    </row>
    <row r="61" spans="1:9" x14ac:dyDescent="0.3">
      <c r="A61" s="10" t="s">
        <v>1862</v>
      </c>
      <c r="B61" s="7" t="s">
        <v>1773</v>
      </c>
      <c r="C61" s="7" t="s">
        <v>1819</v>
      </c>
      <c r="D61" s="49">
        <v>447.00426363913868</v>
      </c>
      <c r="E61" s="49">
        <v>377.37992591395192</v>
      </c>
      <c r="F61" s="49">
        <v>464.03624009969889</v>
      </c>
      <c r="G61" s="49">
        <v>492.78030489191337</v>
      </c>
      <c r="H61" s="49">
        <v>472.68605525894441</v>
      </c>
      <c r="I61" s="49">
        <v>419.36251716076811</v>
      </c>
    </row>
    <row r="62" spans="1:9" x14ac:dyDescent="0.3">
      <c r="A62" s="10" t="s">
        <v>1863</v>
      </c>
      <c r="B62" s="7" t="s">
        <v>1773</v>
      </c>
      <c r="C62" s="7" t="s">
        <v>1821</v>
      </c>
      <c r="D62" s="49">
        <v>34.551156164383563</v>
      </c>
      <c r="E62" s="49">
        <v>30.508397260273981</v>
      </c>
      <c r="F62" s="49">
        <v>39.258266666666657</v>
      </c>
      <c r="G62" s="49">
        <v>36.555950000000003</v>
      </c>
      <c r="H62" s="49">
        <v>36.081964333333332</v>
      </c>
      <c r="I62" s="49">
        <v>32.169409999999999</v>
      </c>
    </row>
    <row r="63" spans="1:9" x14ac:dyDescent="0.3">
      <c r="A63" s="10" t="s">
        <v>1864</v>
      </c>
      <c r="B63" s="7" t="s">
        <v>1773</v>
      </c>
      <c r="C63" s="7" t="s">
        <v>1823</v>
      </c>
      <c r="D63" s="49">
        <v>100.20793246038539</v>
      </c>
      <c r="E63" s="49">
        <v>100.20793246038539</v>
      </c>
      <c r="F63" s="49">
        <v>111.70793246038539</v>
      </c>
      <c r="G63" s="49">
        <v>111.70793246038539</v>
      </c>
      <c r="H63" s="49">
        <v>111.70793246038539</v>
      </c>
      <c r="I63" s="49">
        <v>111.70793246038539</v>
      </c>
    </row>
    <row r="64" spans="1:9" x14ac:dyDescent="0.3">
      <c r="A64" s="10" t="s">
        <v>1865</v>
      </c>
      <c r="B64" s="7" t="s">
        <v>1773</v>
      </c>
      <c r="C64" s="7" t="s">
        <v>1825</v>
      </c>
      <c r="D64" s="49">
        <v>52.184159999999991</v>
      </c>
      <c r="E64" s="49">
        <v>46.078200000000002</v>
      </c>
      <c r="F64" s="49">
        <v>58.481279999999998</v>
      </c>
      <c r="G64" s="49">
        <v>54.455760000000012</v>
      </c>
      <c r="H64" s="49">
        <v>53.749684799999997</v>
      </c>
      <c r="I64" s="49">
        <v>47.921328000000003</v>
      </c>
    </row>
    <row r="65" spans="1:9" x14ac:dyDescent="0.3">
      <c r="A65" s="10" t="s">
        <v>1866</v>
      </c>
      <c r="B65" s="7" t="s">
        <v>1773</v>
      </c>
      <c r="C65" s="7" t="s">
        <v>1827</v>
      </c>
      <c r="D65" s="49">
        <v>69.754082232876726</v>
      </c>
      <c r="E65" s="49">
        <v>59.631769726027407</v>
      </c>
      <c r="F65" s="49">
        <v>61.414535000000008</v>
      </c>
      <c r="G65" s="49">
        <v>64.635933750000007</v>
      </c>
      <c r="H65" s="49">
        <v>75.771655015606569</v>
      </c>
      <c r="I65" s="49">
        <v>67.163379561252</v>
      </c>
    </row>
    <row r="66" spans="1:9" x14ac:dyDescent="0.3">
      <c r="A66" s="10" t="s">
        <v>1867</v>
      </c>
      <c r="B66" s="7" t="s">
        <v>1773</v>
      </c>
      <c r="C66" s="7" t="s">
        <v>1829</v>
      </c>
      <c r="D66" s="49">
        <v>290.79539999999997</v>
      </c>
      <c r="E66" s="49">
        <v>256.88340000000011</v>
      </c>
      <c r="F66" s="49">
        <v>255.18780000000001</v>
      </c>
      <c r="G66" s="49">
        <v>273.83940000000001</v>
      </c>
      <c r="H66" s="49">
        <v>317.90080507851428</v>
      </c>
      <c r="I66" s="49">
        <v>279.07522332947519</v>
      </c>
    </row>
    <row r="67" spans="1:9" x14ac:dyDescent="0.3">
      <c r="A67" s="10" t="s">
        <v>1868</v>
      </c>
      <c r="B67" s="7" t="s">
        <v>1773</v>
      </c>
      <c r="C67" s="7" t="s">
        <v>1831</v>
      </c>
      <c r="D67" s="49">
        <v>540.67059240756589</v>
      </c>
      <c r="E67" s="49">
        <v>504.41874999999999</v>
      </c>
      <c r="F67" s="49">
        <v>584.06976155135737</v>
      </c>
      <c r="G67" s="49">
        <v>658.63185877067963</v>
      </c>
      <c r="H67" s="49">
        <v>577.49075297318188</v>
      </c>
      <c r="I67" s="49">
        <v>616.47747047348116</v>
      </c>
    </row>
    <row r="68" spans="1:9" x14ac:dyDescent="0.3">
      <c r="A68" s="10" t="s">
        <v>1869</v>
      </c>
      <c r="B68" s="7" t="s">
        <v>1773</v>
      </c>
      <c r="C68" s="7" t="s">
        <v>1833</v>
      </c>
      <c r="D68" s="49">
        <v>237.64522040816331</v>
      </c>
      <c r="E68" s="49">
        <v>253.68877959183681</v>
      </c>
      <c r="F68" s="49">
        <v>245.20202585999999</v>
      </c>
      <c r="G68" s="49">
        <v>276.50441214</v>
      </c>
      <c r="H68" s="49">
        <v>242.44005060000001</v>
      </c>
      <c r="I68" s="49">
        <v>258.8073114</v>
      </c>
    </row>
    <row r="69" spans="1:9" x14ac:dyDescent="0.3">
      <c r="A69" s="10" t="s">
        <v>1870</v>
      </c>
      <c r="B69" s="7" t="s">
        <v>1773</v>
      </c>
      <c r="C69" s="7" t="s">
        <v>1835</v>
      </c>
      <c r="D69" s="73">
        <v>9.4418018885454913</v>
      </c>
      <c r="E69" s="73">
        <v>9.3870196826438512</v>
      </c>
      <c r="F69" s="73">
        <v>7.2968527912932153</v>
      </c>
      <c r="G69" s="73">
        <v>8.3776370734996615</v>
      </c>
      <c r="H69" s="73">
        <v>9.8718251202332645</v>
      </c>
      <c r="I69" s="73">
        <v>9.7383411102513193</v>
      </c>
    </row>
    <row r="70" spans="1:9" x14ac:dyDescent="0.3">
      <c r="A70" s="10" t="s">
        <v>1871</v>
      </c>
      <c r="B70" s="7" t="s">
        <v>1773</v>
      </c>
      <c r="C70" s="7" t="s">
        <v>1837</v>
      </c>
      <c r="D70" s="81">
        <v>1.7625754331459801E-2</v>
      </c>
      <c r="E70" s="81">
        <v>1.7591694902799979E-2</v>
      </c>
      <c r="F70" s="81">
        <v>1.5326742896921571E-2</v>
      </c>
      <c r="G70" s="81">
        <v>1.779605147475893E-2</v>
      </c>
      <c r="H70" s="81">
        <v>1.7625754331459801E-2</v>
      </c>
      <c r="I70" s="81">
        <v>1.7591694902799979E-2</v>
      </c>
    </row>
    <row r="71" spans="1:9" x14ac:dyDescent="0.3">
      <c r="A71" s="10" t="s">
        <v>1872</v>
      </c>
      <c r="B71" s="7" t="s">
        <v>1773</v>
      </c>
      <c r="C71" s="7" t="s">
        <v>1839</v>
      </c>
      <c r="D71" s="81">
        <v>0.18</v>
      </c>
      <c r="E71" s="81">
        <v>0.18</v>
      </c>
      <c r="F71" s="81">
        <v>0.17499999999999999</v>
      </c>
      <c r="G71" s="81">
        <v>0.17499999999999999</v>
      </c>
      <c r="H71" s="81">
        <v>0.17499999999999999</v>
      </c>
      <c r="I71" s="81">
        <v>0.17499999999999999</v>
      </c>
    </row>
    <row r="73" spans="1:9" x14ac:dyDescent="0.3">
      <c r="A73" s="10" t="s">
        <v>1873</v>
      </c>
      <c r="B73" s="7" t="s">
        <v>1775</v>
      </c>
      <c r="C73" s="7" t="s">
        <v>134</v>
      </c>
      <c r="D73" s="49">
        <v>144.95599999999999</v>
      </c>
      <c r="E73" s="49">
        <v>127.995</v>
      </c>
      <c r="F73" s="49">
        <v>162.44800000000001</v>
      </c>
      <c r="G73" s="49">
        <v>151.26599999999999</v>
      </c>
      <c r="H73" s="49">
        <v>149.30467999999999</v>
      </c>
      <c r="I73" s="49">
        <v>133.1148</v>
      </c>
    </row>
    <row r="74" spans="1:9" x14ac:dyDescent="0.3">
      <c r="A74" s="10" t="s">
        <v>1874</v>
      </c>
      <c r="B74" s="7" t="s">
        <v>1775</v>
      </c>
      <c r="C74" s="7" t="s">
        <v>136</v>
      </c>
      <c r="D74" s="49">
        <v>25.360858618192079</v>
      </c>
      <c r="E74" s="49">
        <v>21.452164103521731</v>
      </c>
      <c r="F74" s="49">
        <v>30.276246115729009</v>
      </c>
      <c r="G74" s="49">
        <v>27.690429283757101</v>
      </c>
      <c r="H74" s="49">
        <v>26.81791918631578</v>
      </c>
      <c r="I74" s="49">
        <v>23.838664749353988</v>
      </c>
    </row>
    <row r="75" spans="1:9" x14ac:dyDescent="0.3">
      <c r="A75" s="10" t="s">
        <v>1875</v>
      </c>
      <c r="B75" s="7" t="s">
        <v>1775</v>
      </c>
      <c r="C75" s="7" t="s">
        <v>692</v>
      </c>
      <c r="D75" s="49">
        <v>39.713972602739723</v>
      </c>
      <c r="E75" s="49">
        <v>35.067123287671237</v>
      </c>
      <c r="F75" s="49">
        <v>45.124444444444443</v>
      </c>
      <c r="G75" s="49">
        <v>42.018333333333338</v>
      </c>
      <c r="H75" s="49">
        <v>41.473522222222222</v>
      </c>
      <c r="I75" s="49">
        <v>36.976333333333343</v>
      </c>
    </row>
    <row r="76" spans="1:9" x14ac:dyDescent="0.3">
      <c r="A76" s="10" t="s">
        <v>1876</v>
      </c>
      <c r="B76" s="7" t="s">
        <v>1775</v>
      </c>
      <c r="C76" s="7" t="s">
        <v>139</v>
      </c>
      <c r="D76" s="49">
        <v>4680.8999966296178</v>
      </c>
      <c r="E76" s="49">
        <v>2965.8676775559729</v>
      </c>
      <c r="F76" s="49">
        <v>2835.534611159138</v>
      </c>
      <c r="G76" s="49">
        <v>3762.9715817637061</v>
      </c>
      <c r="H76" s="49">
        <v>4988.1742476277986</v>
      </c>
      <c r="I76" s="49">
        <v>3326.8310829520001</v>
      </c>
    </row>
    <row r="77" spans="1:9" x14ac:dyDescent="0.3">
      <c r="A77" s="10" t="s">
        <v>1877</v>
      </c>
      <c r="B77" s="7" t="s">
        <v>1775</v>
      </c>
      <c r="C77" s="7" t="s">
        <v>1780</v>
      </c>
      <c r="D77" s="49">
        <v>633.94751226390758</v>
      </c>
      <c r="E77" s="49">
        <v>554.17445563461126</v>
      </c>
      <c r="F77" s="49">
        <v>673.48371922675096</v>
      </c>
      <c r="G77" s="49">
        <v>695.49994735229893</v>
      </c>
      <c r="H77" s="49">
        <v>674.22563685266311</v>
      </c>
      <c r="I77" s="49">
        <v>611.16118762115354</v>
      </c>
    </row>
    <row r="78" spans="1:9" x14ac:dyDescent="0.3">
      <c r="A78" s="10" t="s">
        <v>1878</v>
      </c>
      <c r="B78" s="7" t="s">
        <v>1775</v>
      </c>
      <c r="C78" s="7" t="s">
        <v>1784</v>
      </c>
      <c r="D78" s="49">
        <v>374.97146152219182</v>
      </c>
      <c r="E78" s="49">
        <v>329.17577651506849</v>
      </c>
      <c r="F78" s="49">
        <v>329.26642840000011</v>
      </c>
      <c r="G78" s="49">
        <v>352.01434710000001</v>
      </c>
      <c r="H78" s="49">
        <v>409.41935849788581</v>
      </c>
      <c r="I78" s="49">
        <v>360.08814700635628</v>
      </c>
    </row>
    <row r="79" spans="1:9" x14ac:dyDescent="0.3">
      <c r="A79" s="10" t="s">
        <v>1879</v>
      </c>
      <c r="B79" s="7" t="s">
        <v>1775</v>
      </c>
      <c r="C79" s="7" t="s">
        <v>1788</v>
      </c>
      <c r="D79" s="49">
        <v>359.09488166867231</v>
      </c>
      <c r="E79" s="49">
        <v>369.02511833132769</v>
      </c>
      <c r="F79" s="49">
        <v>414.12379008000011</v>
      </c>
      <c r="G79" s="49">
        <v>400.79641536000003</v>
      </c>
      <c r="H79" s="49">
        <v>399.65871263999998</v>
      </c>
      <c r="I79" s="49">
        <v>410.71068192000001</v>
      </c>
    </row>
    <row r="80" spans="1:9" x14ac:dyDescent="0.3">
      <c r="A80" s="10" t="s">
        <v>1880</v>
      </c>
      <c r="B80" s="7" t="s">
        <v>1775</v>
      </c>
      <c r="C80" s="7" t="s">
        <v>1791</v>
      </c>
      <c r="D80" s="49">
        <v>778.31581281572915</v>
      </c>
      <c r="E80" s="49">
        <v>581.39807229801363</v>
      </c>
      <c r="F80" s="49">
        <v>829.27178741135731</v>
      </c>
      <c r="G80" s="49">
        <v>935.13627091067963</v>
      </c>
      <c r="H80" s="49">
        <v>819.93080357318183</v>
      </c>
      <c r="I80" s="49">
        <v>875.28478187348117</v>
      </c>
    </row>
    <row r="81" spans="1:9" x14ac:dyDescent="0.3">
      <c r="A81" s="10" t="s">
        <v>1881</v>
      </c>
      <c r="B81" s="7" t="s">
        <v>1775</v>
      </c>
      <c r="C81" s="7" t="s">
        <v>1794</v>
      </c>
      <c r="D81" s="49">
        <v>265.38907060231361</v>
      </c>
      <c r="E81" s="49">
        <v>276.41092939768652</v>
      </c>
      <c r="F81" s="49">
        <v>249.22724400000001</v>
      </c>
      <c r="G81" s="49">
        <v>271.58040000000011</v>
      </c>
      <c r="H81" s="49">
        <v>256.53902399999998</v>
      </c>
      <c r="I81" s="49">
        <v>267.19333200000011</v>
      </c>
    </row>
    <row r="82" spans="1:9" x14ac:dyDescent="0.3">
      <c r="A82" s="10" t="s">
        <v>1882</v>
      </c>
      <c r="B82" s="7" t="s">
        <v>1775</v>
      </c>
      <c r="C82" s="7" t="s">
        <v>146</v>
      </c>
      <c r="D82" s="49">
        <v>2411.7187388728139</v>
      </c>
      <c r="E82" s="49">
        <v>2110.1843521767082</v>
      </c>
      <c r="F82" s="49">
        <v>2495.3729691181079</v>
      </c>
      <c r="G82" s="49">
        <v>2655.0273807229792</v>
      </c>
      <c r="H82" s="49">
        <v>2559.773535563731</v>
      </c>
      <c r="I82" s="49">
        <v>2524.438130420991</v>
      </c>
    </row>
    <row r="83" spans="1:9" x14ac:dyDescent="0.3">
      <c r="A83" s="10" t="s">
        <v>1883</v>
      </c>
      <c r="B83" s="7" t="s">
        <v>1775</v>
      </c>
      <c r="C83" s="7" t="s">
        <v>1801</v>
      </c>
      <c r="D83" s="49">
        <v>20.633970599907521</v>
      </c>
      <c r="E83" s="49">
        <v>20.633970599907521</v>
      </c>
      <c r="F83" s="49">
        <v>20.633970599907521</v>
      </c>
      <c r="G83" s="49">
        <v>20.633970599907521</v>
      </c>
      <c r="H83" s="49">
        <v>20.633970599907521</v>
      </c>
      <c r="I83" s="49">
        <v>20.633970599907521</v>
      </c>
    </row>
    <row r="84" spans="1:9" x14ac:dyDescent="0.3">
      <c r="A84" s="10" t="s">
        <v>1884</v>
      </c>
      <c r="B84" s="7" t="s">
        <v>1775</v>
      </c>
      <c r="C84" s="7" t="s">
        <v>151</v>
      </c>
      <c r="D84" s="49">
        <v>2289.815228356711</v>
      </c>
      <c r="E84" s="49">
        <v>876.3172959791732</v>
      </c>
      <c r="F84" s="49">
        <v>360.79561264093712</v>
      </c>
      <c r="G84" s="49">
        <v>1128.578171640635</v>
      </c>
      <c r="H84" s="49">
        <v>2449.0346826639752</v>
      </c>
      <c r="I84" s="49">
        <v>823.02692313091666</v>
      </c>
    </row>
    <row r="85" spans="1:9" x14ac:dyDescent="0.3">
      <c r="A85" s="10" t="s">
        <v>1885</v>
      </c>
      <c r="B85" s="7" t="s">
        <v>1775</v>
      </c>
      <c r="C85" s="7" t="s">
        <v>1804</v>
      </c>
      <c r="D85" s="49">
        <v>451.57918566107082</v>
      </c>
      <c r="E85" s="49">
        <v>465.16051455313311</v>
      </c>
      <c r="F85" s="49">
        <v>464.02873714546132</v>
      </c>
      <c r="G85" s="49">
        <v>551.17559753619423</v>
      </c>
      <c r="H85" s="49">
        <v>511.0871201060549</v>
      </c>
      <c r="I85" s="49">
        <v>526.45816131225195</v>
      </c>
    </row>
    <row r="86" spans="1:9" x14ac:dyDescent="0.3">
      <c r="A86" s="10" t="s">
        <v>1886</v>
      </c>
      <c r="B86" s="7" t="s">
        <v>1775</v>
      </c>
      <c r="C86" s="7" t="s">
        <v>157</v>
      </c>
      <c r="D86" s="49">
        <v>1817.6020720957331</v>
      </c>
      <c r="E86" s="49">
        <v>390.52281082613251</v>
      </c>
      <c r="F86" s="49">
        <v>-123.8670951044317</v>
      </c>
      <c r="G86" s="49">
        <v>556.76860350453319</v>
      </c>
      <c r="H86" s="49">
        <v>1917.3135919580129</v>
      </c>
      <c r="I86" s="49">
        <v>275.93479121875708</v>
      </c>
    </row>
    <row r="87" spans="1:9" x14ac:dyDescent="0.3">
      <c r="A87" s="10" t="s">
        <v>1887</v>
      </c>
      <c r="B87" s="7" t="s">
        <v>1775</v>
      </c>
      <c r="C87" s="7" t="s">
        <v>1807</v>
      </c>
      <c r="D87" s="49">
        <v>174.3591207934092</v>
      </c>
      <c r="E87" s="49">
        <v>156.16942249076919</v>
      </c>
      <c r="F87" s="49">
        <v>167.12593631394671</v>
      </c>
      <c r="G87" s="49">
        <v>186.13280361823519</v>
      </c>
      <c r="H87" s="49">
        <v>176.87691339193549</v>
      </c>
      <c r="I87" s="49">
        <v>160.88839386154919</v>
      </c>
    </row>
    <row r="88" spans="1:9" x14ac:dyDescent="0.3">
      <c r="A88" s="10" t="s">
        <v>1888</v>
      </c>
      <c r="B88" s="7" t="s">
        <v>1775</v>
      </c>
      <c r="C88" s="7" t="s">
        <v>1809</v>
      </c>
      <c r="D88" s="49">
        <v>37</v>
      </c>
      <c r="E88" s="49">
        <v>37</v>
      </c>
      <c r="F88" s="49">
        <v>37</v>
      </c>
      <c r="G88" s="49">
        <v>37</v>
      </c>
      <c r="H88" s="49">
        <v>37</v>
      </c>
      <c r="I88" s="49">
        <v>37</v>
      </c>
    </row>
    <row r="89" spans="1:9" x14ac:dyDescent="0.3">
      <c r="A89" s="10" t="s">
        <v>1889</v>
      </c>
      <c r="B89" s="7" t="s">
        <v>1775</v>
      </c>
      <c r="C89" s="7" t="s">
        <v>1811</v>
      </c>
      <c r="D89" s="49">
        <v>3.7</v>
      </c>
      <c r="E89" s="49">
        <v>3.7</v>
      </c>
      <c r="F89" s="49">
        <v>3.7</v>
      </c>
      <c r="G89" s="49">
        <v>3.7</v>
      </c>
      <c r="H89" s="49">
        <v>3.7</v>
      </c>
      <c r="I89" s="49">
        <v>3.7</v>
      </c>
    </row>
    <row r="90" spans="1:9" x14ac:dyDescent="0.3">
      <c r="A90" s="10" t="s">
        <v>1890</v>
      </c>
      <c r="B90" s="7" t="s">
        <v>1775</v>
      </c>
      <c r="C90" s="7" t="s">
        <v>162</v>
      </c>
      <c r="D90" s="49">
        <v>1958.6611928891421</v>
      </c>
      <c r="E90" s="49">
        <v>513.39223331690164</v>
      </c>
      <c r="F90" s="49">
        <v>9.9588412095150236</v>
      </c>
      <c r="G90" s="49">
        <v>709.60140712276836</v>
      </c>
      <c r="H90" s="49">
        <v>2060.8905053499479</v>
      </c>
      <c r="I90" s="49">
        <v>403.5231850803064</v>
      </c>
    </row>
    <row r="91" spans="1:9" x14ac:dyDescent="0.3">
      <c r="A91" s="10" t="s">
        <v>1891</v>
      </c>
      <c r="B91" s="7" t="s">
        <v>1775</v>
      </c>
      <c r="C91" s="7" t="s">
        <v>1814</v>
      </c>
      <c r="D91" s="49">
        <v>352.5590147200453</v>
      </c>
      <c r="E91" s="49">
        <v>92.410601997042292</v>
      </c>
      <c r="F91" s="49">
        <v>1.7427972116651289</v>
      </c>
      <c r="G91" s="49">
        <v>124.1802462464844</v>
      </c>
      <c r="H91" s="49">
        <v>360.65583843624108</v>
      </c>
      <c r="I91" s="49">
        <v>70.616557389053639</v>
      </c>
    </row>
    <row r="92" spans="1:9" x14ac:dyDescent="0.3">
      <c r="A92" s="10" t="s">
        <v>1892</v>
      </c>
      <c r="B92" s="7" t="s">
        <v>1775</v>
      </c>
      <c r="C92" s="7" t="s">
        <v>166</v>
      </c>
      <c r="D92" s="49">
        <v>1606.1021781690961</v>
      </c>
      <c r="E92" s="49">
        <v>420.98163131985928</v>
      </c>
      <c r="F92" s="49">
        <v>8.216043997849896</v>
      </c>
      <c r="G92" s="49">
        <v>585.42116087628392</v>
      </c>
      <c r="H92" s="49">
        <v>1700.2346669137071</v>
      </c>
      <c r="I92" s="49">
        <v>332.90662769125271</v>
      </c>
    </row>
    <row r="93" spans="1:9" x14ac:dyDescent="0.3">
      <c r="A93" s="10" t="s">
        <v>1893</v>
      </c>
      <c r="B93" s="7" t="s">
        <v>1775</v>
      </c>
      <c r="C93" s="7" t="s">
        <v>956</v>
      </c>
      <c r="D93" s="49">
        <v>591.67581338190553</v>
      </c>
      <c r="E93" s="49">
        <v>586.35162676381105</v>
      </c>
      <c r="F93" s="49">
        <v>581.02744014571658</v>
      </c>
      <c r="G93" s="49">
        <v>575.70325352762211</v>
      </c>
      <c r="H93" s="49">
        <v>570.37906690952764</v>
      </c>
      <c r="I93" s="49">
        <v>565.05488029143316</v>
      </c>
    </row>
    <row r="94" spans="1:9" x14ac:dyDescent="0.3">
      <c r="A94" s="10" t="s">
        <v>1894</v>
      </c>
      <c r="B94" s="7" t="s">
        <v>1775</v>
      </c>
      <c r="C94" s="7" t="s">
        <v>169</v>
      </c>
      <c r="D94" s="73">
        <v>2.7144969286287441</v>
      </c>
      <c r="E94" s="73">
        <v>0.71796787474324752</v>
      </c>
      <c r="F94" s="73">
        <v>1.41405438541583E-2</v>
      </c>
      <c r="G94" s="73">
        <v>1.0168800632775921</v>
      </c>
      <c r="H94" s="73">
        <v>2.9808854594297278</v>
      </c>
      <c r="I94" s="73">
        <v>0.58915804340908007</v>
      </c>
    </row>
    <row r="95" spans="1:9" x14ac:dyDescent="0.3">
      <c r="A95" s="10" t="s">
        <v>1895</v>
      </c>
      <c r="B95" s="7" t="s">
        <v>1775</v>
      </c>
      <c r="C95" s="7" t="s">
        <v>1819</v>
      </c>
      <c r="D95" s="49">
        <v>447.00426363913868</v>
      </c>
      <c r="E95" s="49">
        <v>377.37992591395192</v>
      </c>
      <c r="F95" s="49">
        <v>464.03624009969889</v>
      </c>
      <c r="G95" s="49">
        <v>492.78030489191337</v>
      </c>
      <c r="H95" s="49">
        <v>472.68605525894441</v>
      </c>
      <c r="I95" s="49">
        <v>419.36251716076811</v>
      </c>
    </row>
    <row r="96" spans="1:9" x14ac:dyDescent="0.3">
      <c r="A96" s="10" t="s">
        <v>1896</v>
      </c>
      <c r="B96" s="7" t="s">
        <v>1775</v>
      </c>
      <c r="C96" s="7" t="s">
        <v>1821</v>
      </c>
      <c r="D96" s="49">
        <v>34.551156164383563</v>
      </c>
      <c r="E96" s="49">
        <v>30.508397260273981</v>
      </c>
      <c r="F96" s="49">
        <v>39.258266666666657</v>
      </c>
      <c r="G96" s="49">
        <v>36.555950000000003</v>
      </c>
      <c r="H96" s="49">
        <v>36.081964333333332</v>
      </c>
      <c r="I96" s="49">
        <v>32.169409999999999</v>
      </c>
    </row>
    <row r="97" spans="1:9" x14ac:dyDescent="0.3">
      <c r="A97" s="10" t="s">
        <v>1897</v>
      </c>
      <c r="B97" s="7" t="s">
        <v>1775</v>
      </c>
      <c r="C97" s="7" t="s">
        <v>1823</v>
      </c>
      <c r="D97" s="49">
        <v>100.20793246038539</v>
      </c>
      <c r="E97" s="49">
        <v>100.20793246038539</v>
      </c>
      <c r="F97" s="49">
        <v>111.70793246038539</v>
      </c>
      <c r="G97" s="49">
        <v>111.70793246038539</v>
      </c>
      <c r="H97" s="49">
        <v>111.70793246038539</v>
      </c>
      <c r="I97" s="49">
        <v>111.70793246038539</v>
      </c>
    </row>
    <row r="98" spans="1:9" x14ac:dyDescent="0.3">
      <c r="A98" s="10" t="s">
        <v>1898</v>
      </c>
      <c r="B98" s="7" t="s">
        <v>1775</v>
      </c>
      <c r="C98" s="7" t="s">
        <v>1825</v>
      </c>
      <c r="D98" s="49">
        <v>52.184159999999991</v>
      </c>
      <c r="E98" s="49">
        <v>46.078200000000002</v>
      </c>
      <c r="F98" s="49">
        <v>58.481279999999998</v>
      </c>
      <c r="G98" s="49">
        <v>54.455760000000012</v>
      </c>
      <c r="H98" s="49">
        <v>53.749684799999997</v>
      </c>
      <c r="I98" s="49">
        <v>47.921328000000003</v>
      </c>
    </row>
    <row r="99" spans="1:9" x14ac:dyDescent="0.3">
      <c r="A99" s="10" t="s">
        <v>1899</v>
      </c>
      <c r="B99" s="7" t="s">
        <v>1775</v>
      </c>
      <c r="C99" s="7" t="s">
        <v>1827</v>
      </c>
      <c r="D99" s="49">
        <v>69.754082232876726</v>
      </c>
      <c r="E99" s="49">
        <v>59.631769726027407</v>
      </c>
      <c r="F99" s="49">
        <v>61.414535000000008</v>
      </c>
      <c r="G99" s="49">
        <v>64.635933750000007</v>
      </c>
      <c r="H99" s="49">
        <v>75.771655015606569</v>
      </c>
      <c r="I99" s="49">
        <v>67.163379561252</v>
      </c>
    </row>
    <row r="100" spans="1:9" x14ac:dyDescent="0.3">
      <c r="A100" s="10" t="s">
        <v>1900</v>
      </c>
      <c r="B100" s="7" t="s">
        <v>1775</v>
      </c>
      <c r="C100" s="7" t="s">
        <v>1829</v>
      </c>
      <c r="D100" s="49">
        <v>290.79539999999997</v>
      </c>
      <c r="E100" s="49">
        <v>256.88340000000011</v>
      </c>
      <c r="F100" s="49">
        <v>255.18780000000001</v>
      </c>
      <c r="G100" s="49">
        <v>273.83940000000001</v>
      </c>
      <c r="H100" s="49">
        <v>317.90080507851428</v>
      </c>
      <c r="I100" s="49">
        <v>279.07522332947519</v>
      </c>
    </row>
    <row r="101" spans="1:9" x14ac:dyDescent="0.3">
      <c r="A101" s="10" t="s">
        <v>1901</v>
      </c>
      <c r="B101" s="7" t="s">
        <v>1775</v>
      </c>
      <c r="C101" s="7" t="s">
        <v>1831</v>
      </c>
      <c r="D101" s="49">
        <v>540.67059240756589</v>
      </c>
      <c r="E101" s="49">
        <v>327.70929270617688</v>
      </c>
      <c r="F101" s="49">
        <v>584.06976155135737</v>
      </c>
      <c r="G101" s="49">
        <v>658.63185877067963</v>
      </c>
      <c r="H101" s="49">
        <v>577.49075297318188</v>
      </c>
      <c r="I101" s="49">
        <v>616.47747047348116</v>
      </c>
    </row>
    <row r="102" spans="1:9" x14ac:dyDescent="0.3">
      <c r="A102" s="10" t="s">
        <v>1902</v>
      </c>
      <c r="B102" s="7" t="s">
        <v>1775</v>
      </c>
      <c r="C102" s="7" t="s">
        <v>1833</v>
      </c>
      <c r="D102" s="49">
        <v>237.64522040816331</v>
      </c>
      <c r="E102" s="49">
        <v>253.68877959183681</v>
      </c>
      <c r="F102" s="49">
        <v>245.20202585999999</v>
      </c>
      <c r="G102" s="49">
        <v>276.50441214</v>
      </c>
      <c r="H102" s="49">
        <v>242.44005060000001</v>
      </c>
      <c r="I102" s="49">
        <v>258.8073114</v>
      </c>
    </row>
    <row r="103" spans="1:9" x14ac:dyDescent="0.3">
      <c r="A103" s="10" t="s">
        <v>1903</v>
      </c>
      <c r="B103" s="7" t="s">
        <v>1775</v>
      </c>
      <c r="C103" s="7" t="s">
        <v>1835</v>
      </c>
      <c r="D103" s="73">
        <v>9.4418018885454913</v>
      </c>
      <c r="E103" s="73">
        <v>9.3870196826438512</v>
      </c>
      <c r="F103" s="73">
        <v>7.2968527912932153</v>
      </c>
      <c r="G103" s="73">
        <v>8.3776370734996615</v>
      </c>
      <c r="H103" s="73">
        <v>9.8718251202332645</v>
      </c>
      <c r="I103" s="73">
        <v>9.7383411102513193</v>
      </c>
    </row>
    <row r="104" spans="1:9" x14ac:dyDescent="0.3">
      <c r="A104" s="10" t="s">
        <v>1904</v>
      </c>
      <c r="B104" s="7" t="s">
        <v>1775</v>
      </c>
      <c r="C104" s="7" t="s">
        <v>1837</v>
      </c>
      <c r="D104" s="81">
        <v>1.7625754331459801E-2</v>
      </c>
      <c r="E104" s="81">
        <v>1.7591694902799979E-2</v>
      </c>
      <c r="F104" s="81">
        <v>1.5326742896921571E-2</v>
      </c>
      <c r="G104" s="81">
        <v>1.779605147475893E-2</v>
      </c>
      <c r="H104" s="81">
        <v>1.7625754331459801E-2</v>
      </c>
      <c r="I104" s="81">
        <v>1.7591694902799979E-2</v>
      </c>
    </row>
    <row r="105" spans="1:9" x14ac:dyDescent="0.3">
      <c r="A105" s="10" t="s">
        <v>1905</v>
      </c>
      <c r="B105" s="7" t="s">
        <v>1775</v>
      </c>
      <c r="C105" s="7" t="s">
        <v>1839</v>
      </c>
      <c r="D105" s="81">
        <v>0.18</v>
      </c>
      <c r="E105" s="81">
        <v>0.18</v>
      </c>
      <c r="F105" s="81">
        <v>0.17499999999999999</v>
      </c>
      <c r="G105" s="81">
        <v>0.17499999999999999</v>
      </c>
      <c r="H105" s="81">
        <v>0.17499999999999999</v>
      </c>
      <c r="I105" s="81">
        <v>0.17499999999999999</v>
      </c>
    </row>
    <row r="107" spans="1:9" x14ac:dyDescent="0.3">
      <c r="A107" s="10" t="s">
        <v>1906</v>
      </c>
      <c r="B107" s="7" t="s">
        <v>1777</v>
      </c>
      <c r="C107" s="7" t="s">
        <v>134</v>
      </c>
      <c r="D107" s="49">
        <v>146.81299999999999</v>
      </c>
      <c r="E107" s="49">
        <v>131.79830000000001</v>
      </c>
      <c r="F107" s="49">
        <v>169.01779999999999</v>
      </c>
      <c r="G107" s="49">
        <v>157.1001</v>
      </c>
      <c r="H107" s="49">
        <v>155.958</v>
      </c>
      <c r="I107" s="49">
        <v>139.7655</v>
      </c>
    </row>
    <row r="108" spans="1:9" x14ac:dyDescent="0.3">
      <c r="A108" s="10" t="s">
        <v>1907</v>
      </c>
      <c r="B108" s="7" t="s">
        <v>1777</v>
      </c>
      <c r="C108" s="7" t="s">
        <v>136</v>
      </c>
      <c r="D108" s="49">
        <v>26.027999999999999</v>
      </c>
      <c r="E108" s="49">
        <v>22.987300000000001</v>
      </c>
      <c r="F108" s="49">
        <v>32.599600000000002</v>
      </c>
      <c r="G108" s="49">
        <v>29.6479</v>
      </c>
      <c r="H108" s="49">
        <v>28.390799999999999</v>
      </c>
      <c r="I108" s="49">
        <v>24.834199999999999</v>
      </c>
    </row>
    <row r="109" spans="1:9" x14ac:dyDescent="0.3">
      <c r="A109" s="10" t="s">
        <v>1908</v>
      </c>
      <c r="B109" s="7" t="s">
        <v>1777</v>
      </c>
      <c r="C109" s="7" t="s">
        <v>692</v>
      </c>
      <c r="D109" s="49">
        <v>40.222739726027392</v>
      </c>
      <c r="E109" s="49">
        <v>36.109123287671238</v>
      </c>
      <c r="F109" s="49">
        <v>46.949388888888883</v>
      </c>
      <c r="G109" s="49">
        <v>43.638916666666667</v>
      </c>
      <c r="H109" s="49">
        <v>43.321666666666673</v>
      </c>
      <c r="I109" s="49">
        <v>38.823749999999997</v>
      </c>
    </row>
    <row r="110" spans="1:9" x14ac:dyDescent="0.3">
      <c r="A110" s="10" t="s">
        <v>1909</v>
      </c>
      <c r="B110" s="7" t="s">
        <v>1777</v>
      </c>
      <c r="C110" s="7" t="s">
        <v>139</v>
      </c>
      <c r="D110" s="49">
        <v>4804.0355</v>
      </c>
      <c r="E110" s="49">
        <v>3178.1078000000002</v>
      </c>
      <c r="F110" s="49">
        <v>3053.1293000000001</v>
      </c>
      <c r="G110" s="49">
        <v>4028.9807000000001</v>
      </c>
      <c r="H110" s="49">
        <v>5280.7325000000001</v>
      </c>
      <c r="I110" s="49">
        <v>3465.7640999999999</v>
      </c>
    </row>
    <row r="111" spans="1:9" x14ac:dyDescent="0.3">
      <c r="A111" s="10" t="s">
        <v>1910</v>
      </c>
      <c r="B111" s="7" t="s">
        <v>1777</v>
      </c>
      <c r="C111" s="7" t="s">
        <v>1780</v>
      </c>
      <c r="D111" s="49">
        <v>611.57618634197547</v>
      </c>
      <c r="E111" s="49">
        <v>548.83152500625727</v>
      </c>
      <c r="F111" s="49">
        <v>676.79565574248443</v>
      </c>
      <c r="G111" s="49">
        <v>698.09161051850526</v>
      </c>
      <c r="H111" s="49">
        <v>670.2457460736091</v>
      </c>
      <c r="I111" s="49">
        <v>597.64434955511524</v>
      </c>
    </row>
    <row r="112" spans="1:9" x14ac:dyDescent="0.3">
      <c r="A112" s="10" t="s">
        <v>1911</v>
      </c>
      <c r="B112" s="7" t="s">
        <v>1777</v>
      </c>
      <c r="C112" s="7" t="s">
        <v>1784</v>
      </c>
      <c r="D112" s="49">
        <v>361.44308671083178</v>
      </c>
      <c r="E112" s="49">
        <v>318.28709448714312</v>
      </c>
      <c r="F112" s="49">
        <v>319.0860911068342</v>
      </c>
      <c r="G112" s="49">
        <v>340.96824359815412</v>
      </c>
      <c r="H112" s="49">
        <v>381.75909553671619</v>
      </c>
      <c r="I112" s="49">
        <v>336.06248136625692</v>
      </c>
    </row>
    <row r="113" spans="1:9" x14ac:dyDescent="0.3">
      <c r="A113" s="10" t="s">
        <v>1912</v>
      </c>
      <c r="B113" s="7" t="s">
        <v>1777</v>
      </c>
      <c r="C113" s="7" t="s">
        <v>1788</v>
      </c>
      <c r="D113" s="49">
        <v>359.09488166867231</v>
      </c>
      <c r="E113" s="49">
        <v>369.02511833132769</v>
      </c>
      <c r="F113" s="49">
        <v>414.12379008000011</v>
      </c>
      <c r="G113" s="49">
        <v>400.79641536000003</v>
      </c>
      <c r="H113" s="49">
        <v>399.65871263999998</v>
      </c>
      <c r="I113" s="49">
        <v>410.71068192000001</v>
      </c>
    </row>
    <row r="114" spans="1:9" x14ac:dyDescent="0.3">
      <c r="A114" s="10" t="s">
        <v>1913</v>
      </c>
      <c r="B114" s="7" t="s">
        <v>1777</v>
      </c>
      <c r="C114" s="7" t="s">
        <v>1791</v>
      </c>
      <c r="D114" s="49">
        <v>710.16397040816332</v>
      </c>
      <c r="E114" s="49">
        <v>758.10752959183674</v>
      </c>
      <c r="F114" s="49">
        <v>810.48539129250003</v>
      </c>
      <c r="G114" s="49">
        <v>913.95161145750001</v>
      </c>
      <c r="H114" s="49">
        <v>801.35601892499983</v>
      </c>
      <c r="I114" s="49">
        <v>855.45600332499998</v>
      </c>
    </row>
    <row r="115" spans="1:9" x14ac:dyDescent="0.3">
      <c r="A115" s="10" t="s">
        <v>1914</v>
      </c>
      <c r="B115" s="7" t="s">
        <v>1777</v>
      </c>
      <c r="C115" s="7" t="s">
        <v>1794</v>
      </c>
      <c r="D115" s="49">
        <v>265.38907060231361</v>
      </c>
      <c r="E115" s="49">
        <v>276.41092939768652</v>
      </c>
      <c r="F115" s="49">
        <v>249.22724400000001</v>
      </c>
      <c r="G115" s="49">
        <v>271.58040000000011</v>
      </c>
      <c r="H115" s="49">
        <v>256.53902399999998</v>
      </c>
      <c r="I115" s="49">
        <v>267.19333200000011</v>
      </c>
    </row>
    <row r="116" spans="1:9" x14ac:dyDescent="0.3">
      <c r="A116" s="10" t="s">
        <v>1915</v>
      </c>
      <c r="B116" s="7" t="s">
        <v>1777</v>
      </c>
      <c r="C116" s="7" t="s">
        <v>146</v>
      </c>
      <c r="D116" s="49">
        <v>2307.6671957319559</v>
      </c>
      <c r="E116" s="49">
        <v>2270.6621968142522</v>
      </c>
      <c r="F116" s="49">
        <v>2469.7181722218188</v>
      </c>
      <c r="G116" s="49">
        <v>2625.388280934159</v>
      </c>
      <c r="H116" s="49">
        <v>2509.5585971753248</v>
      </c>
      <c r="I116" s="49">
        <v>2467.066848166372</v>
      </c>
    </row>
    <row r="117" spans="1:9" x14ac:dyDescent="0.3">
      <c r="A117" s="10" t="s">
        <v>1916</v>
      </c>
      <c r="B117" s="7" t="s">
        <v>1777</v>
      </c>
      <c r="C117" s="7" t="s">
        <v>1801</v>
      </c>
      <c r="D117" s="49">
        <v>20.633970599907521</v>
      </c>
      <c r="E117" s="49">
        <v>20.633970599907521</v>
      </c>
      <c r="F117" s="49">
        <v>20.633970599907521</v>
      </c>
      <c r="G117" s="49">
        <v>20.633970599907521</v>
      </c>
      <c r="H117" s="49">
        <v>20.633970599907521</v>
      </c>
      <c r="I117" s="49">
        <v>20.633970599907521</v>
      </c>
    </row>
    <row r="118" spans="1:9" x14ac:dyDescent="0.3">
      <c r="A118" s="10" t="s">
        <v>1917</v>
      </c>
      <c r="B118" s="7" t="s">
        <v>1777</v>
      </c>
      <c r="C118" s="7" t="s">
        <v>151</v>
      </c>
      <c r="D118" s="49">
        <v>2517.0022748679512</v>
      </c>
      <c r="E118" s="49">
        <v>928.07957378565641</v>
      </c>
      <c r="F118" s="49">
        <v>604.04509837808882</v>
      </c>
      <c r="G118" s="49">
        <v>1424.226389665748</v>
      </c>
      <c r="H118" s="49">
        <v>2791.8078734245819</v>
      </c>
      <c r="I118" s="49">
        <v>1019.331222433535</v>
      </c>
    </row>
    <row r="119" spans="1:9" x14ac:dyDescent="0.3">
      <c r="A119" s="10" t="s">
        <v>1918</v>
      </c>
      <c r="B119" s="7" t="s">
        <v>1777</v>
      </c>
      <c r="C119" s="7" t="s">
        <v>1804</v>
      </c>
      <c r="D119" s="49">
        <v>451.57918566107082</v>
      </c>
      <c r="E119" s="49">
        <v>465.16051455313311</v>
      </c>
      <c r="F119" s="49">
        <v>464.02873714546132</v>
      </c>
      <c r="G119" s="49">
        <v>551.17559753619423</v>
      </c>
      <c r="H119" s="49">
        <v>511.0871201060549</v>
      </c>
      <c r="I119" s="49">
        <v>526.45816131225195</v>
      </c>
    </row>
    <row r="120" spans="1:9" x14ac:dyDescent="0.3">
      <c r="A120" s="10" t="s">
        <v>1919</v>
      </c>
      <c r="B120" s="7" t="s">
        <v>1777</v>
      </c>
      <c r="C120" s="7" t="s">
        <v>157</v>
      </c>
      <c r="D120" s="49">
        <v>2044.789118606973</v>
      </c>
      <c r="E120" s="49">
        <v>442.28508863261578</v>
      </c>
      <c r="F120" s="49">
        <v>119.38239063272</v>
      </c>
      <c r="G120" s="49">
        <v>852.41682152964643</v>
      </c>
      <c r="H120" s="49">
        <v>2260.0867827186198</v>
      </c>
      <c r="I120" s="49">
        <v>472.23909052137549</v>
      </c>
    </row>
    <row r="121" spans="1:9" x14ac:dyDescent="0.3">
      <c r="A121" s="10" t="s">
        <v>1920</v>
      </c>
      <c r="B121" s="7" t="s">
        <v>1777</v>
      </c>
      <c r="C121" s="7" t="s">
        <v>1807</v>
      </c>
      <c r="D121" s="49">
        <v>183.54893375952639</v>
      </c>
      <c r="E121" s="49">
        <v>165.49546529691921</v>
      </c>
      <c r="F121" s="49">
        <v>180.26225844774419</v>
      </c>
      <c r="G121" s="49">
        <v>202.84769300931859</v>
      </c>
      <c r="H121" s="49">
        <v>191.14508532477521</v>
      </c>
      <c r="I121" s="49">
        <v>171.15507641910381</v>
      </c>
    </row>
    <row r="122" spans="1:9" x14ac:dyDescent="0.3">
      <c r="A122" s="10" t="s">
        <v>1921</v>
      </c>
      <c r="B122" s="7" t="s">
        <v>1777</v>
      </c>
      <c r="C122" s="7" t="s">
        <v>1809</v>
      </c>
      <c r="D122" s="49">
        <v>37</v>
      </c>
      <c r="E122" s="49">
        <v>37</v>
      </c>
      <c r="F122" s="49">
        <v>37</v>
      </c>
      <c r="G122" s="49">
        <v>37</v>
      </c>
      <c r="H122" s="49">
        <v>37</v>
      </c>
      <c r="I122" s="49">
        <v>37</v>
      </c>
    </row>
    <row r="123" spans="1:9" x14ac:dyDescent="0.3">
      <c r="A123" s="10" t="s">
        <v>1922</v>
      </c>
      <c r="B123" s="7" t="s">
        <v>1777</v>
      </c>
      <c r="C123" s="7" t="s">
        <v>1811</v>
      </c>
      <c r="D123" s="49">
        <v>3.7</v>
      </c>
      <c r="E123" s="49">
        <v>3.7</v>
      </c>
      <c r="F123" s="49">
        <v>3.7</v>
      </c>
      <c r="G123" s="49">
        <v>3.7</v>
      </c>
      <c r="H123" s="49">
        <v>3.7</v>
      </c>
      <c r="I123" s="49">
        <v>3.7</v>
      </c>
    </row>
    <row r="124" spans="1:9" x14ac:dyDescent="0.3">
      <c r="A124" s="10" t="s">
        <v>1923</v>
      </c>
      <c r="B124" s="7" t="s">
        <v>1777</v>
      </c>
      <c r="C124" s="7" t="s">
        <v>162</v>
      </c>
      <c r="D124" s="49">
        <v>2195.038052366499</v>
      </c>
      <c r="E124" s="49">
        <v>574.48055392953506</v>
      </c>
      <c r="F124" s="49">
        <v>266.34464908046419</v>
      </c>
      <c r="G124" s="49">
        <v>1021.964514538965</v>
      </c>
      <c r="H124" s="49">
        <v>2417.9318680433948</v>
      </c>
      <c r="I124" s="49">
        <v>610.09416694047934</v>
      </c>
    </row>
    <row r="125" spans="1:9" x14ac:dyDescent="0.3">
      <c r="A125" s="10" t="s">
        <v>1924</v>
      </c>
      <c r="B125" s="7" t="s">
        <v>1777</v>
      </c>
      <c r="C125" s="7" t="s">
        <v>1814</v>
      </c>
      <c r="D125" s="49">
        <v>395.10684942596959</v>
      </c>
      <c r="E125" s="49">
        <v>103.4064997073163</v>
      </c>
      <c r="F125" s="49">
        <v>46.610313589081251</v>
      </c>
      <c r="G125" s="49">
        <v>178.84379004431901</v>
      </c>
      <c r="H125" s="49">
        <v>423.13807690759432</v>
      </c>
      <c r="I125" s="49">
        <v>106.7664792145839</v>
      </c>
    </row>
    <row r="126" spans="1:9" x14ac:dyDescent="0.3">
      <c r="A126" s="10" t="s">
        <v>1925</v>
      </c>
      <c r="B126" s="7" t="s">
        <v>1777</v>
      </c>
      <c r="C126" s="7" t="s">
        <v>166</v>
      </c>
      <c r="D126" s="49">
        <v>1799.9312029405289</v>
      </c>
      <c r="E126" s="49">
        <v>471.07405422221882</v>
      </c>
      <c r="F126" s="49">
        <v>219.73433549138289</v>
      </c>
      <c r="G126" s="49">
        <v>843.1207244946462</v>
      </c>
      <c r="H126" s="49">
        <v>1994.793791135801</v>
      </c>
      <c r="I126" s="49">
        <v>503.32768772589537</v>
      </c>
    </row>
    <row r="127" spans="1:9" x14ac:dyDescent="0.3">
      <c r="A127" s="10" t="s">
        <v>1926</v>
      </c>
      <c r="B127" s="7" t="s">
        <v>1777</v>
      </c>
      <c r="C127" s="7" t="s">
        <v>956</v>
      </c>
      <c r="D127" s="49">
        <v>591.67581338190553</v>
      </c>
      <c r="E127" s="49">
        <v>586.35162676381105</v>
      </c>
      <c r="F127" s="49">
        <v>581.02744014571658</v>
      </c>
      <c r="G127" s="49">
        <v>575.70325352762211</v>
      </c>
      <c r="H127" s="49">
        <v>570.37906690952764</v>
      </c>
      <c r="I127" s="49">
        <v>565.05488029143316</v>
      </c>
    </row>
    <row r="128" spans="1:9" x14ac:dyDescent="0.3">
      <c r="A128" s="10" t="s">
        <v>1927</v>
      </c>
      <c r="B128" s="7" t="s">
        <v>1777</v>
      </c>
      <c r="C128" s="7" t="s">
        <v>169</v>
      </c>
      <c r="D128" s="73">
        <v>3.042090216012832</v>
      </c>
      <c r="E128" s="73">
        <v>0.80339856277395927</v>
      </c>
      <c r="F128" s="73">
        <v>0.37818237196555721</v>
      </c>
      <c r="G128" s="73">
        <v>1.464505748974708</v>
      </c>
      <c r="H128" s="73">
        <v>3.497312413557089</v>
      </c>
      <c r="I128" s="73">
        <v>0.8907589426823439</v>
      </c>
    </row>
    <row r="129" spans="1:9" x14ac:dyDescent="0.3">
      <c r="A129" s="10" t="s">
        <v>1928</v>
      </c>
      <c r="B129" s="7" t="s">
        <v>1777</v>
      </c>
      <c r="C129" s="7" t="s">
        <v>1819</v>
      </c>
      <c r="D129" s="49">
        <v>458.7631337392358</v>
      </c>
      <c r="E129" s="49">
        <v>404.38556823913399</v>
      </c>
      <c r="F129" s="49">
        <v>499.64568774248448</v>
      </c>
      <c r="G129" s="49">
        <v>527.61555451850529</v>
      </c>
      <c r="H129" s="49">
        <v>500.40926607360899</v>
      </c>
      <c r="I129" s="49">
        <v>436.87566955511522</v>
      </c>
    </row>
    <row r="130" spans="1:9" x14ac:dyDescent="0.3">
      <c r="A130" s="10" t="s">
        <v>1929</v>
      </c>
      <c r="B130" s="7" t="s">
        <v>1777</v>
      </c>
      <c r="C130" s="7" t="s">
        <v>1821</v>
      </c>
      <c r="D130" s="49">
        <v>28.960372602739721</v>
      </c>
      <c r="E130" s="49">
        <v>25.998568767123292</v>
      </c>
      <c r="F130" s="49">
        <v>33.803559999999997</v>
      </c>
      <c r="G130" s="49">
        <v>31.420020000000001</v>
      </c>
      <c r="H130" s="49">
        <v>31.191600000000001</v>
      </c>
      <c r="I130" s="49">
        <v>27.953099999999999</v>
      </c>
    </row>
    <row r="131" spans="1:9" x14ac:dyDescent="0.3">
      <c r="A131" s="10" t="s">
        <v>1930</v>
      </c>
      <c r="B131" s="7" t="s">
        <v>1777</v>
      </c>
      <c r="C131" s="7" t="s">
        <v>1823</v>
      </c>
      <c r="D131" s="49">
        <v>71</v>
      </c>
      <c r="E131" s="49">
        <v>71</v>
      </c>
      <c r="F131" s="49">
        <v>82.5</v>
      </c>
      <c r="G131" s="49">
        <v>82.5</v>
      </c>
      <c r="H131" s="49">
        <v>82.5</v>
      </c>
      <c r="I131" s="49">
        <v>82.5</v>
      </c>
    </row>
    <row r="132" spans="1:9" x14ac:dyDescent="0.3">
      <c r="A132" s="10" t="s">
        <v>1931</v>
      </c>
      <c r="B132" s="7" t="s">
        <v>1777</v>
      </c>
      <c r="C132" s="7" t="s">
        <v>1825</v>
      </c>
      <c r="D132" s="49">
        <v>52.852679999999992</v>
      </c>
      <c r="E132" s="49">
        <v>47.447387999999997</v>
      </c>
      <c r="F132" s="49">
        <v>60.846407999999997</v>
      </c>
      <c r="G132" s="49">
        <v>56.556035999999999</v>
      </c>
      <c r="H132" s="49">
        <v>56.144880000000001</v>
      </c>
      <c r="I132" s="49">
        <v>50.315579999999997</v>
      </c>
    </row>
    <row r="133" spans="1:9" x14ac:dyDescent="0.3">
      <c r="A133" s="10" t="s">
        <v>1932</v>
      </c>
      <c r="B133" s="7" t="s">
        <v>1777</v>
      </c>
      <c r="C133" s="7" t="s">
        <v>1827</v>
      </c>
      <c r="D133" s="49">
        <v>70.647686710831763</v>
      </c>
      <c r="E133" s="49">
        <v>61.403694487143078</v>
      </c>
      <c r="F133" s="49">
        <v>63.898291106834193</v>
      </c>
      <c r="G133" s="49">
        <v>67.128843598154063</v>
      </c>
      <c r="H133" s="49">
        <v>75.327646623272983</v>
      </c>
      <c r="I133" s="49">
        <v>66.218682660056984</v>
      </c>
    </row>
    <row r="134" spans="1:9" x14ac:dyDescent="0.3">
      <c r="A134" s="10" t="s">
        <v>1933</v>
      </c>
      <c r="B134" s="7" t="s">
        <v>1777</v>
      </c>
      <c r="C134" s="7" t="s">
        <v>1829</v>
      </c>
      <c r="D134" s="49">
        <v>290.79539999999997</v>
      </c>
      <c r="E134" s="49">
        <v>256.88340000000011</v>
      </c>
      <c r="F134" s="49">
        <v>255.18780000000001</v>
      </c>
      <c r="G134" s="49">
        <v>273.83940000000001</v>
      </c>
      <c r="H134" s="49">
        <v>306.43144891344321</v>
      </c>
      <c r="I134" s="49">
        <v>269.84379870619989</v>
      </c>
    </row>
    <row r="135" spans="1:9" x14ac:dyDescent="0.3">
      <c r="A135" s="10" t="s">
        <v>1934</v>
      </c>
      <c r="B135" s="7" t="s">
        <v>1777</v>
      </c>
      <c r="C135" s="7" t="s">
        <v>1831</v>
      </c>
      <c r="D135" s="49">
        <v>472.51875000000001</v>
      </c>
      <c r="E135" s="49">
        <v>504.41874999999999</v>
      </c>
      <c r="F135" s="49">
        <v>565.28336543249998</v>
      </c>
      <c r="G135" s="49">
        <v>637.44719931749989</v>
      </c>
      <c r="H135" s="49">
        <v>558.91596832499988</v>
      </c>
      <c r="I135" s="49">
        <v>596.64869192499998</v>
      </c>
    </row>
    <row r="136" spans="1:9" x14ac:dyDescent="0.3">
      <c r="A136" s="10" t="s">
        <v>1935</v>
      </c>
      <c r="B136" s="7" t="s">
        <v>1777</v>
      </c>
      <c r="C136" s="7" t="s">
        <v>1833</v>
      </c>
      <c r="D136" s="49">
        <v>237.64522040816331</v>
      </c>
      <c r="E136" s="49">
        <v>253.68877959183681</v>
      </c>
      <c r="F136" s="49">
        <v>245.20202585999999</v>
      </c>
      <c r="G136" s="49">
        <v>276.50441214</v>
      </c>
      <c r="H136" s="49">
        <v>242.44005060000001</v>
      </c>
      <c r="I136" s="49">
        <v>258.8073114</v>
      </c>
    </row>
    <row r="137" spans="1:9" x14ac:dyDescent="0.3">
      <c r="A137" s="10" t="s">
        <v>1936</v>
      </c>
      <c r="B137" s="7" t="s">
        <v>1777</v>
      </c>
      <c r="C137" s="7" t="s">
        <v>1835</v>
      </c>
      <c r="D137" s="73">
        <v>8.9860384740761123</v>
      </c>
      <c r="E137" s="73">
        <v>8.8145893754173787</v>
      </c>
      <c r="F137" s="73">
        <v>6.7963843333933056</v>
      </c>
      <c r="G137" s="73">
        <v>7.813398444388989</v>
      </c>
      <c r="H137" s="73">
        <v>8.8121977964078688</v>
      </c>
      <c r="I137" s="73">
        <v>8.6561056406518411</v>
      </c>
    </row>
    <row r="138" spans="1:9" x14ac:dyDescent="0.3">
      <c r="A138" s="10" t="s">
        <v>1937</v>
      </c>
      <c r="B138" s="7" t="s">
        <v>1777</v>
      </c>
      <c r="C138" s="7" t="s">
        <v>1837</v>
      </c>
      <c r="D138" s="81">
        <v>1.7625754331459801E-2</v>
      </c>
      <c r="E138" s="81">
        <v>1.7591694902799979E-2</v>
      </c>
      <c r="F138" s="81">
        <v>1.5326742896921571E-2</v>
      </c>
      <c r="G138" s="81">
        <v>1.779605147475893E-2</v>
      </c>
      <c r="H138" s="81">
        <v>1.7625754331459801E-2</v>
      </c>
      <c r="I138" s="81">
        <v>1.7591694902799979E-2</v>
      </c>
    </row>
    <row r="139" spans="1:9" x14ac:dyDescent="0.3">
      <c r="A139" s="10" t="s">
        <v>1938</v>
      </c>
      <c r="B139" s="7" t="s">
        <v>1777</v>
      </c>
      <c r="C139" s="7" t="s">
        <v>1839</v>
      </c>
      <c r="D139" s="81">
        <v>0.18</v>
      </c>
      <c r="E139" s="81">
        <v>0.18</v>
      </c>
      <c r="F139" s="81">
        <v>0.17499999999999999</v>
      </c>
      <c r="G139" s="81">
        <v>0.17499999999999999</v>
      </c>
      <c r="H139" s="81">
        <v>0.17499999999999999</v>
      </c>
      <c r="I139" s="81">
        <v>0.17499999999999999</v>
      </c>
    </row>
    <row r="141" spans="1:9" x14ac:dyDescent="0.3">
      <c r="A141" s="10" t="s">
        <v>1939</v>
      </c>
      <c r="B141" s="7" t="s">
        <v>1781</v>
      </c>
      <c r="C141" s="7" t="s">
        <v>134</v>
      </c>
      <c r="D141" s="49">
        <v>144.95599999999999</v>
      </c>
      <c r="E141" s="49">
        <v>131.65199999999999</v>
      </c>
      <c r="F141" s="49">
        <v>163.5523</v>
      </c>
      <c r="G141" s="49">
        <v>152.7876</v>
      </c>
      <c r="H141" s="49">
        <v>149.89179999999999</v>
      </c>
      <c r="I141" s="49">
        <v>136.03210000000001</v>
      </c>
    </row>
    <row r="142" spans="1:9" x14ac:dyDescent="0.3">
      <c r="A142" s="10" t="s">
        <v>1940</v>
      </c>
      <c r="B142" s="7" t="s">
        <v>1781</v>
      </c>
      <c r="C142" s="7" t="s">
        <v>136</v>
      </c>
      <c r="D142" s="49">
        <v>25.350899999999999</v>
      </c>
      <c r="E142" s="49">
        <v>22.642299999999999</v>
      </c>
      <c r="F142" s="49">
        <v>30.306899999999999</v>
      </c>
      <c r="G142" s="49">
        <v>27.799399999999999</v>
      </c>
      <c r="H142" s="49">
        <v>26.162199999999999</v>
      </c>
      <c r="I142" s="49">
        <v>23.564699999999998</v>
      </c>
    </row>
    <row r="143" spans="1:9" x14ac:dyDescent="0.3">
      <c r="A143" s="10" t="s">
        <v>1941</v>
      </c>
      <c r="B143" s="7" t="s">
        <v>1781</v>
      </c>
      <c r="C143" s="7" t="s">
        <v>692</v>
      </c>
      <c r="D143" s="49">
        <v>39.713972602739723</v>
      </c>
      <c r="E143" s="49">
        <v>36.069041095890412</v>
      </c>
      <c r="F143" s="49">
        <v>45.431194444444444</v>
      </c>
      <c r="G143" s="49">
        <v>42.441000000000003</v>
      </c>
      <c r="H143" s="49">
        <v>41.636611111111108</v>
      </c>
      <c r="I143" s="49">
        <v>37.78669444444445</v>
      </c>
    </row>
    <row r="144" spans="1:9" x14ac:dyDescent="0.3">
      <c r="A144" s="10" t="s">
        <v>1942</v>
      </c>
      <c r="B144" s="7" t="s">
        <v>1781</v>
      </c>
      <c r="C144" s="7" t="s">
        <v>139</v>
      </c>
      <c r="D144" s="49">
        <v>4755</v>
      </c>
      <c r="E144" s="49">
        <v>3123.8069999999998</v>
      </c>
      <c r="F144" s="49">
        <v>2995.1628999999998</v>
      </c>
      <c r="G144" s="49">
        <v>3803.7239</v>
      </c>
      <c r="H144" s="49">
        <v>4936.5379999999996</v>
      </c>
      <c r="I144" s="49">
        <v>3212.9090999999999</v>
      </c>
    </row>
    <row r="145" spans="1:9" x14ac:dyDescent="0.3">
      <c r="A145" s="10" t="s">
        <v>1943</v>
      </c>
      <c r="B145" s="7" t="s">
        <v>1781</v>
      </c>
      <c r="C145" s="7" t="s">
        <v>1780</v>
      </c>
      <c r="D145" s="49">
        <v>627.81488821576238</v>
      </c>
      <c r="E145" s="49">
        <v>571.88879554709445</v>
      </c>
      <c r="F145" s="49">
        <v>667.80328476309774</v>
      </c>
      <c r="G145" s="49">
        <v>691.9885418277986</v>
      </c>
      <c r="H145" s="49">
        <v>656.77585043090312</v>
      </c>
      <c r="I145" s="49">
        <v>602.428921336396</v>
      </c>
    </row>
    <row r="146" spans="1:9" x14ac:dyDescent="0.3">
      <c r="A146" s="10" t="s">
        <v>1944</v>
      </c>
      <c r="B146" s="7" t="s">
        <v>1781</v>
      </c>
      <c r="C146" s="7" t="s">
        <v>1784</v>
      </c>
      <c r="D146" s="49">
        <v>360.54948223287681</v>
      </c>
      <c r="E146" s="49">
        <v>318.21893457534247</v>
      </c>
      <c r="F146" s="49">
        <v>317.01982287920129</v>
      </c>
      <c r="G146" s="49">
        <v>339.12551314784218</v>
      </c>
      <c r="H146" s="49">
        <v>378.81771312074898</v>
      </c>
      <c r="I146" s="49">
        <v>334.29367326529541</v>
      </c>
    </row>
    <row r="147" spans="1:9" x14ac:dyDescent="0.3">
      <c r="A147" s="10" t="s">
        <v>1945</v>
      </c>
      <c r="B147" s="7" t="s">
        <v>1781</v>
      </c>
      <c r="C147" s="7" t="s">
        <v>1788</v>
      </c>
      <c r="D147" s="49">
        <v>359.09488166867231</v>
      </c>
      <c r="E147" s="49">
        <v>369.02511833132769</v>
      </c>
      <c r="F147" s="49">
        <v>414.12379008000011</v>
      </c>
      <c r="G147" s="49">
        <v>400.79641536000003</v>
      </c>
      <c r="H147" s="49">
        <v>399.65871263999998</v>
      </c>
      <c r="I147" s="49">
        <v>410.71068192000001</v>
      </c>
    </row>
    <row r="148" spans="1:9" x14ac:dyDescent="0.3">
      <c r="A148" s="10" t="s">
        <v>1946</v>
      </c>
      <c r="B148" s="7" t="s">
        <v>1781</v>
      </c>
      <c r="C148" s="7" t="s">
        <v>1791</v>
      </c>
      <c r="D148" s="49">
        <v>778.31581281572915</v>
      </c>
      <c r="E148" s="49">
        <v>758.10752959183674</v>
      </c>
      <c r="F148" s="49">
        <v>829.27178741135731</v>
      </c>
      <c r="G148" s="49">
        <v>935.13627091067963</v>
      </c>
      <c r="H148" s="49">
        <v>819.93080357318183</v>
      </c>
      <c r="I148" s="49">
        <v>875.28478187348117</v>
      </c>
    </row>
    <row r="149" spans="1:9" x14ac:dyDescent="0.3">
      <c r="A149" s="10" t="s">
        <v>1947</v>
      </c>
      <c r="B149" s="7" t="s">
        <v>1781</v>
      </c>
      <c r="C149" s="7" t="s">
        <v>1794</v>
      </c>
      <c r="D149" s="49">
        <v>265.38907060231361</v>
      </c>
      <c r="E149" s="49">
        <v>276.41092939768652</v>
      </c>
      <c r="F149" s="49">
        <v>249.22724400000001</v>
      </c>
      <c r="G149" s="49">
        <v>271.58040000000011</v>
      </c>
      <c r="H149" s="49">
        <v>256.53902399999998</v>
      </c>
      <c r="I149" s="49">
        <v>267.19333200000011</v>
      </c>
    </row>
    <row r="150" spans="1:9" x14ac:dyDescent="0.3">
      <c r="A150" s="10" t="s">
        <v>1948</v>
      </c>
      <c r="B150" s="7" t="s">
        <v>1781</v>
      </c>
      <c r="C150" s="7" t="s">
        <v>146</v>
      </c>
      <c r="D150" s="49">
        <v>2391.164135535354</v>
      </c>
      <c r="E150" s="49">
        <v>2293.6513074432878</v>
      </c>
      <c r="F150" s="49">
        <v>2477.445929133657</v>
      </c>
      <c r="G150" s="49">
        <v>2638.6271412463202</v>
      </c>
      <c r="H150" s="49">
        <v>2511.7221037648342</v>
      </c>
      <c r="I150" s="49">
        <v>2489.9113903951729</v>
      </c>
    </row>
    <row r="151" spans="1:9" x14ac:dyDescent="0.3">
      <c r="A151" s="10" t="s">
        <v>1949</v>
      </c>
      <c r="B151" s="7" t="s">
        <v>1781</v>
      </c>
      <c r="C151" s="7" t="s">
        <v>1801</v>
      </c>
      <c r="D151" s="49">
        <v>20.633970599907521</v>
      </c>
      <c r="E151" s="49">
        <v>20.633970599907521</v>
      </c>
      <c r="F151" s="49">
        <v>20.633970599907521</v>
      </c>
      <c r="G151" s="49">
        <v>20.633970599907521</v>
      </c>
      <c r="H151" s="49">
        <v>20.633970599907521</v>
      </c>
      <c r="I151" s="49">
        <v>20.633970599907521</v>
      </c>
    </row>
    <row r="152" spans="1:9" x14ac:dyDescent="0.3">
      <c r="A152" s="10" t="s">
        <v>1950</v>
      </c>
      <c r="B152" s="7" t="s">
        <v>1781</v>
      </c>
      <c r="C152" s="7" t="s">
        <v>151</v>
      </c>
      <c r="D152" s="49">
        <v>2384.4698350645531</v>
      </c>
      <c r="E152" s="49">
        <v>850.7896631566191</v>
      </c>
      <c r="F152" s="49">
        <v>538.35094146625079</v>
      </c>
      <c r="G152" s="49">
        <v>1185.7307293535871</v>
      </c>
      <c r="H152" s="49">
        <v>2445.449866835073</v>
      </c>
      <c r="I152" s="49">
        <v>743.63168020473449</v>
      </c>
    </row>
    <row r="153" spans="1:9" x14ac:dyDescent="0.3">
      <c r="A153" s="10" t="s">
        <v>1951</v>
      </c>
      <c r="B153" s="7" t="s">
        <v>1781</v>
      </c>
      <c r="C153" s="7" t="s">
        <v>1804</v>
      </c>
      <c r="D153" s="49">
        <v>451.57918566107082</v>
      </c>
      <c r="E153" s="49">
        <v>465.16051455313311</v>
      </c>
      <c r="F153" s="49">
        <v>464.02873714546132</v>
      </c>
      <c r="G153" s="49">
        <v>551.17559753619423</v>
      </c>
      <c r="H153" s="49">
        <v>511.0871201060549</v>
      </c>
      <c r="I153" s="49">
        <v>526.45816131225195</v>
      </c>
    </row>
    <row r="154" spans="1:9" x14ac:dyDescent="0.3">
      <c r="A154" s="10" t="s">
        <v>1952</v>
      </c>
      <c r="B154" s="7" t="s">
        <v>1781</v>
      </c>
      <c r="C154" s="7" t="s">
        <v>157</v>
      </c>
      <c r="D154" s="49">
        <v>1912.2566788035749</v>
      </c>
      <c r="E154" s="49">
        <v>364.99517800357842</v>
      </c>
      <c r="F154" s="49">
        <v>53.688233720881946</v>
      </c>
      <c r="G154" s="49">
        <v>613.92116121748552</v>
      </c>
      <c r="H154" s="49">
        <v>1913.72877612911</v>
      </c>
      <c r="I154" s="49">
        <v>196.53954829257489</v>
      </c>
    </row>
    <row r="155" spans="1:9" x14ac:dyDescent="0.3">
      <c r="A155" s="10" t="s">
        <v>1953</v>
      </c>
      <c r="B155" s="7" t="s">
        <v>1781</v>
      </c>
      <c r="C155" s="7" t="s">
        <v>1807</v>
      </c>
      <c r="D155" s="49">
        <v>182.67083998128899</v>
      </c>
      <c r="E155" s="49">
        <v>164.13254729902371</v>
      </c>
      <c r="F155" s="49">
        <v>176.36499141432549</v>
      </c>
      <c r="G155" s="49">
        <v>196.0129946565487</v>
      </c>
      <c r="H155" s="49">
        <v>184.83268092418001</v>
      </c>
      <c r="I155" s="49">
        <v>166.48091495793551</v>
      </c>
    </row>
    <row r="156" spans="1:9" x14ac:dyDescent="0.3">
      <c r="A156" s="10" t="s">
        <v>1954</v>
      </c>
      <c r="B156" s="7" t="s">
        <v>1781</v>
      </c>
      <c r="C156" s="7" t="s">
        <v>1809</v>
      </c>
      <c r="D156" s="49">
        <v>37</v>
      </c>
      <c r="E156" s="49">
        <v>37</v>
      </c>
      <c r="F156" s="49">
        <v>37</v>
      </c>
      <c r="G156" s="49">
        <v>37</v>
      </c>
      <c r="H156" s="49">
        <v>37</v>
      </c>
      <c r="I156" s="49">
        <v>37</v>
      </c>
    </row>
    <row r="157" spans="1:9" x14ac:dyDescent="0.3">
      <c r="A157" s="10" t="s">
        <v>1955</v>
      </c>
      <c r="B157" s="7" t="s">
        <v>1781</v>
      </c>
      <c r="C157" s="7" t="s">
        <v>1811</v>
      </c>
      <c r="D157" s="49">
        <v>3.7</v>
      </c>
      <c r="E157" s="49">
        <v>3.7</v>
      </c>
      <c r="F157" s="49">
        <v>3.7</v>
      </c>
      <c r="G157" s="49">
        <v>3.7</v>
      </c>
      <c r="H157" s="49">
        <v>3.7</v>
      </c>
      <c r="I157" s="49">
        <v>3.7</v>
      </c>
    </row>
    <row r="158" spans="1:9" x14ac:dyDescent="0.3">
      <c r="A158" s="10" t="s">
        <v>1956</v>
      </c>
      <c r="B158" s="7" t="s">
        <v>1781</v>
      </c>
      <c r="C158" s="7" t="s">
        <v>162</v>
      </c>
      <c r="D158" s="49">
        <v>2061.6275187848642</v>
      </c>
      <c r="E158" s="49">
        <v>495.82772530260212</v>
      </c>
      <c r="F158" s="49">
        <v>196.7532251352074</v>
      </c>
      <c r="G158" s="49">
        <v>776.63415587403426</v>
      </c>
      <c r="H158" s="49">
        <v>2065.2614570532901</v>
      </c>
      <c r="I158" s="49">
        <v>329.72046325051042</v>
      </c>
    </row>
    <row r="159" spans="1:9" x14ac:dyDescent="0.3">
      <c r="A159" s="10" t="s">
        <v>1957</v>
      </c>
      <c r="B159" s="7" t="s">
        <v>1781</v>
      </c>
      <c r="C159" s="7" t="s">
        <v>1814</v>
      </c>
      <c r="D159" s="49">
        <v>371.09295338127549</v>
      </c>
      <c r="E159" s="49">
        <v>89.248990554468378</v>
      </c>
      <c r="F159" s="49">
        <v>34.431814398661317</v>
      </c>
      <c r="G159" s="49">
        <v>135.91097727795599</v>
      </c>
      <c r="H159" s="49">
        <v>361.42075498432592</v>
      </c>
      <c r="I159" s="49">
        <v>57.701081068839358</v>
      </c>
    </row>
    <row r="160" spans="1:9" x14ac:dyDescent="0.3">
      <c r="A160" s="10" t="s">
        <v>1958</v>
      </c>
      <c r="B160" s="7" t="s">
        <v>1781</v>
      </c>
      <c r="C160" s="7" t="s">
        <v>166</v>
      </c>
      <c r="D160" s="49">
        <v>1690.5345654035891</v>
      </c>
      <c r="E160" s="49">
        <v>406.57873474813368</v>
      </c>
      <c r="F160" s="49">
        <v>162.32141073654611</v>
      </c>
      <c r="G160" s="49">
        <v>640.72317859607824</v>
      </c>
      <c r="H160" s="49">
        <v>1703.840702068964</v>
      </c>
      <c r="I160" s="49">
        <v>272.01938218167112</v>
      </c>
    </row>
    <row r="161" spans="1:9" x14ac:dyDescent="0.3">
      <c r="A161" s="10" t="s">
        <v>1959</v>
      </c>
      <c r="B161" s="7" t="s">
        <v>1781</v>
      </c>
      <c r="C161" s="7" t="s">
        <v>956</v>
      </c>
      <c r="D161" s="49">
        <v>591.67581338190553</v>
      </c>
      <c r="E161" s="49">
        <v>586.35162676381105</v>
      </c>
      <c r="F161" s="49">
        <v>581.02744014571658</v>
      </c>
      <c r="G161" s="49">
        <v>575.70325352762211</v>
      </c>
      <c r="H161" s="49">
        <v>570.37906690952764</v>
      </c>
      <c r="I161" s="49">
        <v>565.05488029143316</v>
      </c>
    </row>
    <row r="162" spans="1:9" x14ac:dyDescent="0.3">
      <c r="A162" s="10" t="s">
        <v>1960</v>
      </c>
      <c r="B162" s="7" t="s">
        <v>1781</v>
      </c>
      <c r="C162" s="7" t="s">
        <v>169</v>
      </c>
      <c r="D162" s="73">
        <v>2.8571973489009421</v>
      </c>
      <c r="E162" s="73">
        <v>0.69340429221987676</v>
      </c>
      <c r="F162" s="73">
        <v>0.27936961238153801</v>
      </c>
      <c r="G162" s="73">
        <v>1.1129399993313329</v>
      </c>
      <c r="H162" s="73">
        <v>2.9872076324624719</v>
      </c>
      <c r="I162" s="73">
        <v>0.481403473661486</v>
      </c>
    </row>
    <row r="163" spans="1:9" x14ac:dyDescent="0.3">
      <c r="A163" s="10" t="s">
        <v>1961</v>
      </c>
      <c r="B163" s="7" t="s">
        <v>1781</v>
      </c>
      <c r="C163" s="7" t="s">
        <v>1819</v>
      </c>
      <c r="D163" s="49">
        <v>446.82873548140441</v>
      </c>
      <c r="E163" s="49">
        <v>398.31643349766802</v>
      </c>
      <c r="F163" s="49">
        <v>464.50606430271228</v>
      </c>
      <c r="G163" s="49">
        <v>494.71955336741343</v>
      </c>
      <c r="H163" s="49">
        <v>461.12850997051771</v>
      </c>
      <c r="I163" s="49">
        <v>414.54301287601072</v>
      </c>
    </row>
    <row r="164" spans="1:9" x14ac:dyDescent="0.3">
      <c r="A164" s="10" t="s">
        <v>1962</v>
      </c>
      <c r="B164" s="7" t="s">
        <v>1781</v>
      </c>
      <c r="C164" s="7" t="s">
        <v>1821</v>
      </c>
      <c r="D164" s="49">
        <v>28.594060273972602</v>
      </c>
      <c r="E164" s="49">
        <v>25.969709589041091</v>
      </c>
      <c r="F164" s="49">
        <v>32.710459999999998</v>
      </c>
      <c r="G164" s="49">
        <v>30.55752</v>
      </c>
      <c r="H164" s="49">
        <v>29.978359999999999</v>
      </c>
      <c r="I164" s="49">
        <v>27.206420000000001</v>
      </c>
    </row>
    <row r="165" spans="1:9" x14ac:dyDescent="0.3">
      <c r="A165" s="10" t="s">
        <v>1963</v>
      </c>
      <c r="B165" s="7" t="s">
        <v>1781</v>
      </c>
      <c r="C165" s="7" t="s">
        <v>1823</v>
      </c>
      <c r="D165" s="49">
        <v>100.20793246038539</v>
      </c>
      <c r="E165" s="49">
        <v>100.20793246038539</v>
      </c>
      <c r="F165" s="49">
        <v>111.70793246038539</v>
      </c>
      <c r="G165" s="49">
        <v>111.70793246038539</v>
      </c>
      <c r="H165" s="49">
        <v>111.70793246038539</v>
      </c>
      <c r="I165" s="49">
        <v>111.70793246038539</v>
      </c>
    </row>
    <row r="166" spans="1:9" x14ac:dyDescent="0.3">
      <c r="A166" s="10" t="s">
        <v>1964</v>
      </c>
      <c r="B166" s="7" t="s">
        <v>1781</v>
      </c>
      <c r="C166" s="7" t="s">
        <v>1825</v>
      </c>
      <c r="D166" s="49">
        <v>52.184159999999991</v>
      </c>
      <c r="E166" s="49">
        <v>47.394719999999992</v>
      </c>
      <c r="F166" s="49">
        <v>58.878827999999999</v>
      </c>
      <c r="G166" s="49">
        <v>55.003535999999997</v>
      </c>
      <c r="H166" s="49">
        <v>53.961047999999991</v>
      </c>
      <c r="I166" s="49">
        <v>48.971556000000007</v>
      </c>
    </row>
    <row r="167" spans="1:9" x14ac:dyDescent="0.3">
      <c r="A167" s="10" t="s">
        <v>1965</v>
      </c>
      <c r="B167" s="7" t="s">
        <v>1781</v>
      </c>
      <c r="C167" s="7" t="s">
        <v>1827</v>
      </c>
      <c r="D167" s="49">
        <v>69.754082232876726</v>
      </c>
      <c r="E167" s="49">
        <v>61.335534575342457</v>
      </c>
      <c r="F167" s="49">
        <v>61.832022879201361</v>
      </c>
      <c r="G167" s="49">
        <v>65.286113147842187</v>
      </c>
      <c r="H167" s="49">
        <v>73.143862083716073</v>
      </c>
      <c r="I167" s="49">
        <v>64.507660532319989</v>
      </c>
    </row>
    <row r="168" spans="1:9" x14ac:dyDescent="0.3">
      <c r="A168" s="10" t="s">
        <v>1966</v>
      </c>
      <c r="B168" s="7" t="s">
        <v>1781</v>
      </c>
      <c r="C168" s="7" t="s">
        <v>1829</v>
      </c>
      <c r="D168" s="49">
        <v>290.79539999999997</v>
      </c>
      <c r="E168" s="49">
        <v>256.88340000000011</v>
      </c>
      <c r="F168" s="49">
        <v>255.18780000000001</v>
      </c>
      <c r="G168" s="49">
        <v>273.83940000000001</v>
      </c>
      <c r="H168" s="49">
        <v>305.67385103703288</v>
      </c>
      <c r="I168" s="49">
        <v>269.78601273297551</v>
      </c>
    </row>
    <row r="169" spans="1:9" x14ac:dyDescent="0.3">
      <c r="A169" s="10" t="s">
        <v>1967</v>
      </c>
      <c r="B169" s="7" t="s">
        <v>1781</v>
      </c>
      <c r="C169" s="7" t="s">
        <v>1831</v>
      </c>
      <c r="D169" s="49">
        <v>540.67059240756589</v>
      </c>
      <c r="E169" s="49">
        <v>504.41874999999999</v>
      </c>
      <c r="F169" s="49">
        <v>584.06976155135737</v>
      </c>
      <c r="G169" s="49">
        <v>658.63185877067963</v>
      </c>
      <c r="H169" s="49">
        <v>577.49075297318188</v>
      </c>
      <c r="I169" s="49">
        <v>616.47747047348116</v>
      </c>
    </row>
    <row r="170" spans="1:9" x14ac:dyDescent="0.3">
      <c r="A170" s="10" t="s">
        <v>1968</v>
      </c>
      <c r="B170" s="7" t="s">
        <v>1781</v>
      </c>
      <c r="C170" s="7" t="s">
        <v>1833</v>
      </c>
      <c r="D170" s="49">
        <v>237.64522040816331</v>
      </c>
      <c r="E170" s="49">
        <v>253.68877959183681</v>
      </c>
      <c r="F170" s="49">
        <v>245.20202585999999</v>
      </c>
      <c r="G170" s="49">
        <v>276.50441214</v>
      </c>
      <c r="H170" s="49">
        <v>242.44005060000001</v>
      </c>
      <c r="I170" s="49">
        <v>258.8073114</v>
      </c>
    </row>
    <row r="171" spans="1:9" x14ac:dyDescent="0.3">
      <c r="A171" s="10" t="s">
        <v>1969</v>
      </c>
      <c r="B171" s="7" t="s">
        <v>1781</v>
      </c>
      <c r="C171" s="7" t="s">
        <v>1835</v>
      </c>
      <c r="D171" s="73">
        <v>9.0786556620629728</v>
      </c>
      <c r="E171" s="73">
        <v>8.8224949958982801</v>
      </c>
      <c r="F171" s="73">
        <v>6.9780208677293123</v>
      </c>
      <c r="G171" s="73">
        <v>7.990516555873854</v>
      </c>
      <c r="H171" s="73">
        <v>9.0981879411328475</v>
      </c>
      <c r="I171" s="73">
        <v>8.8468620550227719</v>
      </c>
    </row>
    <row r="172" spans="1:9" x14ac:dyDescent="0.3">
      <c r="A172" s="10" t="s">
        <v>1970</v>
      </c>
      <c r="B172" s="7" t="s">
        <v>1781</v>
      </c>
      <c r="C172" s="7" t="s">
        <v>1837</v>
      </c>
      <c r="D172" s="81">
        <v>1.7625754331459801E-2</v>
      </c>
      <c r="E172" s="81">
        <v>1.7591694902799979E-2</v>
      </c>
      <c r="F172" s="81">
        <v>1.5326742896921571E-2</v>
      </c>
      <c r="G172" s="81">
        <v>1.779605147475893E-2</v>
      </c>
      <c r="H172" s="81">
        <v>1.7625754331459801E-2</v>
      </c>
      <c r="I172" s="81">
        <v>1.7591694902799979E-2</v>
      </c>
    </row>
    <row r="173" spans="1:9" x14ac:dyDescent="0.3">
      <c r="A173" s="10" t="s">
        <v>1971</v>
      </c>
      <c r="B173" s="7" t="s">
        <v>1781</v>
      </c>
      <c r="C173" s="7" t="s">
        <v>1839</v>
      </c>
      <c r="D173" s="81">
        <v>0.18</v>
      </c>
      <c r="E173" s="81">
        <v>0.18</v>
      </c>
      <c r="F173" s="81">
        <v>0.17499999999999999</v>
      </c>
      <c r="G173" s="81">
        <v>0.17499999999999999</v>
      </c>
      <c r="H173" s="81">
        <v>0.17499999999999999</v>
      </c>
      <c r="I173" s="81">
        <v>0.17499999999999999</v>
      </c>
    </row>
    <row r="175" spans="1:9" x14ac:dyDescent="0.3">
      <c r="A175" s="10" t="s">
        <v>1972</v>
      </c>
      <c r="B175" s="7" t="s">
        <v>1785</v>
      </c>
      <c r="C175" s="7" t="s">
        <v>134</v>
      </c>
      <c r="D175" s="49">
        <v>148.29599999999999</v>
      </c>
      <c r="E175" s="49">
        <v>132.7003</v>
      </c>
      <c r="F175" s="49">
        <v>172.63849999999999</v>
      </c>
      <c r="G175" s="49">
        <v>161.3801</v>
      </c>
      <c r="H175" s="49">
        <v>161.17400000000001</v>
      </c>
      <c r="I175" s="49">
        <v>144.07409999999999</v>
      </c>
    </row>
    <row r="176" spans="1:9" x14ac:dyDescent="0.3">
      <c r="A176" s="10" t="s">
        <v>1973</v>
      </c>
      <c r="B176" s="7" t="s">
        <v>1785</v>
      </c>
      <c r="C176" s="7" t="s">
        <v>136</v>
      </c>
      <c r="D176" s="49">
        <v>26.6493</v>
      </c>
      <c r="E176" s="49">
        <v>23.464400000000001</v>
      </c>
      <c r="F176" s="49">
        <v>34.122300000000003</v>
      </c>
      <c r="G176" s="49">
        <v>31.316099999999999</v>
      </c>
      <c r="H176" s="49">
        <v>30.4893</v>
      </c>
      <c r="I176" s="49">
        <v>26.284099999999999</v>
      </c>
    </row>
    <row r="177" spans="1:9" x14ac:dyDescent="0.3">
      <c r="A177" s="10" t="s">
        <v>1974</v>
      </c>
      <c r="B177" s="7" t="s">
        <v>1785</v>
      </c>
      <c r="C177" s="7" t="s">
        <v>692</v>
      </c>
      <c r="D177" s="49">
        <v>40.629041095890408</v>
      </c>
      <c r="E177" s="49">
        <v>36.356246575342468</v>
      </c>
      <c r="F177" s="49">
        <v>47.955138888888889</v>
      </c>
      <c r="G177" s="49">
        <v>44.827805555555557</v>
      </c>
      <c r="H177" s="49">
        <v>44.770555555555553</v>
      </c>
      <c r="I177" s="49">
        <v>40.020583333333327</v>
      </c>
    </row>
    <row r="178" spans="1:9" x14ac:dyDescent="0.3">
      <c r="A178" s="10" t="s">
        <v>1975</v>
      </c>
      <c r="B178" s="7" t="s">
        <v>1785</v>
      </c>
      <c r="C178" s="7" t="s">
        <v>139</v>
      </c>
      <c r="D178" s="49">
        <v>4878</v>
      </c>
      <c r="E178" s="49">
        <v>3227.9366</v>
      </c>
      <c r="F178" s="49">
        <v>3119.9376000000002</v>
      </c>
      <c r="G178" s="49">
        <v>4189.9053999999996</v>
      </c>
      <c r="H178" s="49">
        <v>5559.9476999999997</v>
      </c>
      <c r="I178" s="49">
        <v>3700.9529000000002</v>
      </c>
    </row>
    <row r="179" spans="1:9" x14ac:dyDescent="0.3">
      <c r="A179" s="10" t="s">
        <v>1976</v>
      </c>
      <c r="B179" s="7" t="s">
        <v>1785</v>
      </c>
      <c r="C179" s="7" t="s">
        <v>1780</v>
      </c>
      <c r="D179" s="49">
        <v>652.56141695479835</v>
      </c>
      <c r="E179" s="49">
        <v>586.93510387189178</v>
      </c>
      <c r="F179" s="49">
        <v>731.36921161201235</v>
      </c>
      <c r="G179" s="49">
        <v>759.38371604908343</v>
      </c>
      <c r="H179" s="49">
        <v>739.3622839985627</v>
      </c>
      <c r="I179" s="49">
        <v>654.77129645507023</v>
      </c>
    </row>
    <row r="180" spans="1:9" x14ac:dyDescent="0.3">
      <c r="A180" s="10" t="s">
        <v>1977</v>
      </c>
      <c r="B180" s="7" t="s">
        <v>1785</v>
      </c>
      <c r="C180" s="7" t="s">
        <v>1784</v>
      </c>
      <c r="D180" s="49">
        <v>362.15671915068498</v>
      </c>
      <c r="E180" s="49">
        <v>318.70732852982349</v>
      </c>
      <c r="F180" s="49">
        <v>320.45492055917902</v>
      </c>
      <c r="G180" s="49">
        <v>342.79708680449261</v>
      </c>
      <c r="H180" s="49">
        <v>384.25711198599271</v>
      </c>
      <c r="I180" s="49">
        <v>338.08563136741219</v>
      </c>
    </row>
    <row r="181" spans="1:9" x14ac:dyDescent="0.3">
      <c r="A181" s="10" t="s">
        <v>1978</v>
      </c>
      <c r="B181" s="7" t="s">
        <v>1785</v>
      </c>
      <c r="C181" s="7" t="s">
        <v>1788</v>
      </c>
      <c r="D181" s="49">
        <v>359.09488166867231</v>
      </c>
      <c r="E181" s="49">
        <v>369.02511833132769</v>
      </c>
      <c r="F181" s="49">
        <v>414.12379008000011</v>
      </c>
      <c r="G181" s="49">
        <v>400.79641536000003</v>
      </c>
      <c r="H181" s="49">
        <v>399.65871263999998</v>
      </c>
      <c r="I181" s="49">
        <v>410.71068192000001</v>
      </c>
    </row>
    <row r="182" spans="1:9" x14ac:dyDescent="0.3">
      <c r="A182" s="10" t="s">
        <v>1979</v>
      </c>
      <c r="B182" s="7" t="s">
        <v>1785</v>
      </c>
      <c r="C182" s="7" t="s">
        <v>1791</v>
      </c>
      <c r="D182" s="49">
        <v>778.31581281572915</v>
      </c>
      <c r="E182" s="49">
        <v>758.10752959183674</v>
      </c>
      <c r="F182" s="49">
        <v>829.27178741135731</v>
      </c>
      <c r="G182" s="49">
        <v>935.13627091067963</v>
      </c>
      <c r="H182" s="49">
        <v>819.93080357318183</v>
      </c>
      <c r="I182" s="49">
        <v>875.28478187348117</v>
      </c>
    </row>
    <row r="183" spans="1:9" x14ac:dyDescent="0.3">
      <c r="A183" s="10" t="s">
        <v>1980</v>
      </c>
      <c r="B183" s="7" t="s">
        <v>1785</v>
      </c>
      <c r="C183" s="7" t="s">
        <v>1794</v>
      </c>
      <c r="D183" s="49">
        <v>265.38907060231361</v>
      </c>
      <c r="E183" s="49">
        <v>276.41092939768652</v>
      </c>
      <c r="F183" s="49">
        <v>249.22724400000001</v>
      </c>
      <c r="G183" s="49">
        <v>271.58040000000011</v>
      </c>
      <c r="H183" s="49">
        <v>256.53902399999998</v>
      </c>
      <c r="I183" s="49">
        <v>267.19333200000011</v>
      </c>
    </row>
    <row r="184" spans="1:9" x14ac:dyDescent="0.3">
      <c r="A184" s="10" t="s">
        <v>1981</v>
      </c>
      <c r="B184" s="7" t="s">
        <v>1785</v>
      </c>
      <c r="C184" s="7" t="s">
        <v>146</v>
      </c>
      <c r="D184" s="49">
        <v>2417.5179011921982</v>
      </c>
      <c r="E184" s="49">
        <v>2309.1860097225658</v>
      </c>
      <c r="F184" s="49">
        <v>2544.4469536625488</v>
      </c>
      <c r="G184" s="49">
        <v>2709.6938891242562</v>
      </c>
      <c r="H184" s="49">
        <v>2599.7479361977371</v>
      </c>
      <c r="I184" s="49">
        <v>2546.0457236159641</v>
      </c>
    </row>
    <row r="185" spans="1:9" x14ac:dyDescent="0.3">
      <c r="A185" s="10" t="s">
        <v>1982</v>
      </c>
      <c r="B185" s="7" t="s">
        <v>1785</v>
      </c>
      <c r="C185" s="7" t="s">
        <v>1801</v>
      </c>
      <c r="D185" s="49">
        <v>20.633970599907521</v>
      </c>
      <c r="E185" s="49">
        <v>20.633970599907521</v>
      </c>
      <c r="F185" s="49">
        <v>20.633970599907521</v>
      </c>
      <c r="G185" s="49">
        <v>20.633970599907521</v>
      </c>
      <c r="H185" s="49">
        <v>20.633970599907521</v>
      </c>
      <c r="I185" s="49">
        <v>20.633970599907521</v>
      </c>
    </row>
    <row r="186" spans="1:9" x14ac:dyDescent="0.3">
      <c r="A186" s="10" t="s">
        <v>1983</v>
      </c>
      <c r="B186" s="7" t="s">
        <v>1785</v>
      </c>
      <c r="C186" s="7" t="s">
        <v>151</v>
      </c>
      <c r="D186" s="49">
        <v>2481.1160694077089</v>
      </c>
      <c r="E186" s="49">
        <v>939.38456087734119</v>
      </c>
      <c r="F186" s="49">
        <v>596.12461693735895</v>
      </c>
      <c r="G186" s="49">
        <v>1500.845481475651</v>
      </c>
      <c r="H186" s="49">
        <v>2980.8337344021702</v>
      </c>
      <c r="I186" s="49">
        <v>1175.5411469839439</v>
      </c>
    </row>
    <row r="187" spans="1:9" x14ac:dyDescent="0.3">
      <c r="A187" s="10" t="s">
        <v>1984</v>
      </c>
      <c r="B187" s="7" t="s">
        <v>1785</v>
      </c>
      <c r="C187" s="7" t="s">
        <v>1804</v>
      </c>
      <c r="D187" s="49">
        <v>451.57918566107082</v>
      </c>
      <c r="E187" s="49">
        <v>465.16051455313311</v>
      </c>
      <c r="F187" s="49">
        <v>464.02873714546132</v>
      </c>
      <c r="G187" s="49">
        <v>551.17559753619423</v>
      </c>
      <c r="H187" s="49">
        <v>511.0871201060549</v>
      </c>
      <c r="I187" s="49">
        <v>526.45816131225195</v>
      </c>
    </row>
    <row r="188" spans="1:9" x14ac:dyDescent="0.3">
      <c r="A188" s="10" t="s">
        <v>1985</v>
      </c>
      <c r="B188" s="7" t="s">
        <v>1785</v>
      </c>
      <c r="C188" s="7" t="s">
        <v>157</v>
      </c>
      <c r="D188" s="49">
        <v>2008.902913146731</v>
      </c>
      <c r="E188" s="49">
        <v>453.59007572430062</v>
      </c>
      <c r="F188" s="49">
        <v>111.4619091919901</v>
      </c>
      <c r="G188" s="49">
        <v>929.03591333954921</v>
      </c>
      <c r="H188" s="49">
        <v>2449.1126436962072</v>
      </c>
      <c r="I188" s="49">
        <v>628.44901507178463</v>
      </c>
    </row>
    <row r="189" spans="1:9" x14ac:dyDescent="0.3">
      <c r="A189" s="10" t="s">
        <v>1986</v>
      </c>
      <c r="B189" s="7" t="s">
        <v>1785</v>
      </c>
      <c r="C189" s="7" t="s">
        <v>1807</v>
      </c>
      <c r="D189" s="49">
        <v>184.35466358439541</v>
      </c>
      <c r="E189" s="49">
        <v>166.97165783250969</v>
      </c>
      <c r="F189" s="49">
        <v>183.1990999574856</v>
      </c>
      <c r="G189" s="49">
        <v>208.2025255222556</v>
      </c>
      <c r="H189" s="49">
        <v>196.9549683602564</v>
      </c>
      <c r="I189" s="49">
        <v>175.91403222206591</v>
      </c>
    </row>
    <row r="190" spans="1:9" x14ac:dyDescent="0.3">
      <c r="A190" s="10" t="s">
        <v>1987</v>
      </c>
      <c r="B190" s="7" t="s">
        <v>1785</v>
      </c>
      <c r="C190" s="7" t="s">
        <v>1809</v>
      </c>
      <c r="D190" s="49">
        <v>37</v>
      </c>
      <c r="E190" s="49">
        <v>37</v>
      </c>
      <c r="F190" s="49">
        <v>37</v>
      </c>
      <c r="G190" s="49">
        <v>37</v>
      </c>
      <c r="H190" s="49">
        <v>37</v>
      </c>
      <c r="I190" s="49">
        <v>37</v>
      </c>
    </row>
    <row r="191" spans="1:9" x14ac:dyDescent="0.3">
      <c r="A191" s="10" t="s">
        <v>1988</v>
      </c>
      <c r="B191" s="7" t="s">
        <v>1785</v>
      </c>
      <c r="C191" s="7" t="s">
        <v>1811</v>
      </c>
      <c r="D191" s="49">
        <v>3.7</v>
      </c>
      <c r="E191" s="49">
        <v>3.7</v>
      </c>
      <c r="F191" s="49">
        <v>3.7</v>
      </c>
      <c r="G191" s="49">
        <v>3.7</v>
      </c>
      <c r="H191" s="49">
        <v>3.7</v>
      </c>
      <c r="I191" s="49">
        <v>3.7</v>
      </c>
    </row>
    <row r="192" spans="1:9" x14ac:dyDescent="0.3">
      <c r="A192" s="10" t="s">
        <v>1989</v>
      </c>
      <c r="B192" s="7" t="s">
        <v>1785</v>
      </c>
      <c r="C192" s="7" t="s">
        <v>162</v>
      </c>
      <c r="D192" s="49">
        <v>2159.9575767311262</v>
      </c>
      <c r="E192" s="49">
        <v>587.26173355681033</v>
      </c>
      <c r="F192" s="49">
        <v>261.36100914947571</v>
      </c>
      <c r="G192" s="49">
        <v>1103.938438861805</v>
      </c>
      <c r="H192" s="49">
        <v>2612.7676120564638</v>
      </c>
      <c r="I192" s="49">
        <v>771.06304729385056</v>
      </c>
    </row>
    <row r="193" spans="1:9" x14ac:dyDescent="0.3">
      <c r="A193" s="10" t="s">
        <v>1990</v>
      </c>
      <c r="B193" s="7" t="s">
        <v>1785</v>
      </c>
      <c r="C193" s="7" t="s">
        <v>1814</v>
      </c>
      <c r="D193" s="49">
        <v>388.79236381160263</v>
      </c>
      <c r="E193" s="49">
        <v>105.70711204022579</v>
      </c>
      <c r="F193" s="49">
        <v>45.738176601158273</v>
      </c>
      <c r="G193" s="49">
        <v>193.18922680081579</v>
      </c>
      <c r="H193" s="49">
        <v>457.23433210988111</v>
      </c>
      <c r="I193" s="49">
        <v>134.9360332764239</v>
      </c>
    </row>
    <row r="194" spans="1:9" x14ac:dyDescent="0.3">
      <c r="A194" s="10" t="s">
        <v>1991</v>
      </c>
      <c r="B194" s="7" t="s">
        <v>1785</v>
      </c>
      <c r="C194" s="7" t="s">
        <v>166</v>
      </c>
      <c r="D194" s="49">
        <v>1771.165212919524</v>
      </c>
      <c r="E194" s="49">
        <v>481.55462151658452</v>
      </c>
      <c r="F194" s="49">
        <v>215.6228325483174</v>
      </c>
      <c r="G194" s="49">
        <v>910.74921206098895</v>
      </c>
      <c r="H194" s="49">
        <v>2155.5332799465818</v>
      </c>
      <c r="I194" s="49">
        <v>636.12701401742663</v>
      </c>
    </row>
    <row r="195" spans="1:9" x14ac:dyDescent="0.3">
      <c r="A195" s="10" t="s">
        <v>1992</v>
      </c>
      <c r="B195" s="7" t="s">
        <v>1785</v>
      </c>
      <c r="C195" s="7" t="s">
        <v>956</v>
      </c>
      <c r="D195" s="49">
        <v>591.67581338190553</v>
      </c>
      <c r="E195" s="49">
        <v>586.35162676381105</v>
      </c>
      <c r="F195" s="49">
        <v>581.02744014571658</v>
      </c>
      <c r="G195" s="49">
        <v>575.70325352762211</v>
      </c>
      <c r="H195" s="49">
        <v>570.37906690952764</v>
      </c>
      <c r="I195" s="49">
        <v>565.05488029143316</v>
      </c>
    </row>
    <row r="196" spans="1:9" x14ac:dyDescent="0.3">
      <c r="A196" s="10" t="s">
        <v>1993</v>
      </c>
      <c r="B196" s="7" t="s">
        <v>1785</v>
      </c>
      <c r="C196" s="7" t="s">
        <v>169</v>
      </c>
      <c r="D196" s="73">
        <v>2.9934723929238931</v>
      </c>
      <c r="E196" s="73">
        <v>0.82127276456002751</v>
      </c>
      <c r="F196" s="73">
        <v>0.37110610902342428</v>
      </c>
      <c r="G196" s="73">
        <v>1.5819768369908851</v>
      </c>
      <c r="H196" s="73">
        <v>3.7791241035998411</v>
      </c>
      <c r="I196" s="73">
        <v>1.1257791697849551</v>
      </c>
    </row>
    <row r="197" spans="1:9" x14ac:dyDescent="0.3">
      <c r="A197" s="10" t="s">
        <v>1994</v>
      </c>
      <c r="B197" s="7" t="s">
        <v>1785</v>
      </c>
      <c r="C197" s="7" t="s">
        <v>1819</v>
      </c>
      <c r="D197" s="49">
        <v>469.71401490537181</v>
      </c>
      <c r="E197" s="49">
        <v>412.77856587725978</v>
      </c>
      <c r="F197" s="49">
        <v>522.98371915162704</v>
      </c>
      <c r="G197" s="49">
        <v>557.30292758869814</v>
      </c>
      <c r="H197" s="49">
        <v>537.39691153817739</v>
      </c>
      <c r="I197" s="49">
        <v>462.38186799468491</v>
      </c>
    </row>
    <row r="198" spans="1:9" x14ac:dyDescent="0.3">
      <c r="A198" s="10" t="s">
        <v>1995</v>
      </c>
      <c r="B198" s="7" t="s">
        <v>1785</v>
      </c>
      <c r="C198" s="7" t="s">
        <v>1821</v>
      </c>
      <c r="D198" s="49">
        <v>29.252909589041089</v>
      </c>
      <c r="E198" s="49">
        <v>26.176497534246572</v>
      </c>
      <c r="F198" s="49">
        <v>34.527700000000003</v>
      </c>
      <c r="G198" s="49">
        <v>32.276020000000003</v>
      </c>
      <c r="H198" s="49">
        <v>32.2348</v>
      </c>
      <c r="I198" s="49">
        <v>28.814820000000001</v>
      </c>
    </row>
    <row r="199" spans="1:9" x14ac:dyDescent="0.3">
      <c r="A199" s="10" t="s">
        <v>1996</v>
      </c>
      <c r="B199" s="7" t="s">
        <v>1785</v>
      </c>
      <c r="C199" s="7" t="s">
        <v>1823</v>
      </c>
      <c r="D199" s="49">
        <v>100.20793246038539</v>
      </c>
      <c r="E199" s="49">
        <v>100.20793246038539</v>
      </c>
      <c r="F199" s="49">
        <v>111.70793246038539</v>
      </c>
      <c r="G199" s="49">
        <v>111.70793246038539</v>
      </c>
      <c r="H199" s="49">
        <v>111.70793246038539</v>
      </c>
      <c r="I199" s="49">
        <v>111.70793246038539</v>
      </c>
    </row>
    <row r="200" spans="1:9" x14ac:dyDescent="0.3">
      <c r="A200" s="10" t="s">
        <v>1997</v>
      </c>
      <c r="B200" s="7" t="s">
        <v>1785</v>
      </c>
      <c r="C200" s="7" t="s">
        <v>1825</v>
      </c>
      <c r="D200" s="49">
        <v>53.386560000000003</v>
      </c>
      <c r="E200" s="49">
        <v>47.772108000000003</v>
      </c>
      <c r="F200" s="49">
        <v>62.149859999999997</v>
      </c>
      <c r="G200" s="49">
        <v>58.096836000000003</v>
      </c>
      <c r="H200" s="49">
        <v>58.022640000000003</v>
      </c>
      <c r="I200" s="49">
        <v>51.866675999999991</v>
      </c>
    </row>
    <row r="201" spans="1:9" x14ac:dyDescent="0.3">
      <c r="A201" s="10" t="s">
        <v>1998</v>
      </c>
      <c r="B201" s="7" t="s">
        <v>1785</v>
      </c>
      <c r="C201" s="7" t="s">
        <v>1827</v>
      </c>
      <c r="D201" s="49">
        <v>71.361319150684935</v>
      </c>
      <c r="E201" s="49">
        <v>61.823928529823462</v>
      </c>
      <c r="F201" s="49">
        <v>65.267120559178949</v>
      </c>
      <c r="G201" s="49">
        <v>68.957686804492582</v>
      </c>
      <c r="H201" s="49">
        <v>77.220645490041917</v>
      </c>
      <c r="I201" s="49">
        <v>67.88555823982783</v>
      </c>
    </row>
    <row r="202" spans="1:9" x14ac:dyDescent="0.3">
      <c r="A202" s="10" t="s">
        <v>1999</v>
      </c>
      <c r="B202" s="7" t="s">
        <v>1785</v>
      </c>
      <c r="C202" s="7" t="s">
        <v>1829</v>
      </c>
      <c r="D202" s="49">
        <v>290.79539999999997</v>
      </c>
      <c r="E202" s="49">
        <v>256.88340000000011</v>
      </c>
      <c r="F202" s="49">
        <v>255.18780000000001</v>
      </c>
      <c r="G202" s="49">
        <v>273.83940000000001</v>
      </c>
      <c r="H202" s="49">
        <v>307.03646649595078</v>
      </c>
      <c r="I202" s="49">
        <v>270.2000731275844</v>
      </c>
    </row>
    <row r="203" spans="1:9" x14ac:dyDescent="0.3">
      <c r="A203" s="10" t="s">
        <v>2000</v>
      </c>
      <c r="B203" s="7" t="s">
        <v>1785</v>
      </c>
      <c r="C203" s="7" t="s">
        <v>1831</v>
      </c>
      <c r="D203" s="49">
        <v>540.67059240756589</v>
      </c>
      <c r="E203" s="49">
        <v>504.41874999999999</v>
      </c>
      <c r="F203" s="49">
        <v>584.06976155135737</v>
      </c>
      <c r="G203" s="49">
        <v>658.63185877067963</v>
      </c>
      <c r="H203" s="49">
        <v>577.49075297318188</v>
      </c>
      <c r="I203" s="49">
        <v>616.47747047348116</v>
      </c>
    </row>
    <row r="204" spans="1:9" x14ac:dyDescent="0.3">
      <c r="A204" s="10" t="s">
        <v>2001</v>
      </c>
      <c r="B204" s="7" t="s">
        <v>1785</v>
      </c>
      <c r="C204" s="7" t="s">
        <v>1833</v>
      </c>
      <c r="D204" s="49">
        <v>237.64522040816331</v>
      </c>
      <c r="E204" s="49">
        <v>253.68877959183681</v>
      </c>
      <c r="F204" s="49">
        <v>245.20202585999999</v>
      </c>
      <c r="G204" s="49">
        <v>276.50441214</v>
      </c>
      <c r="H204" s="49">
        <v>242.44005060000001</v>
      </c>
      <c r="I204" s="49">
        <v>258.8073114</v>
      </c>
    </row>
    <row r="205" spans="1:9" x14ac:dyDescent="0.3">
      <c r="A205" s="10" t="s">
        <v>2002</v>
      </c>
      <c r="B205" s="7" t="s">
        <v>1785</v>
      </c>
      <c r="C205" s="7" t="s">
        <v>1835</v>
      </c>
      <c r="D205" s="73">
        <v>8.9137402553002119</v>
      </c>
      <c r="E205" s="73">
        <v>8.7662330012355341</v>
      </c>
      <c r="F205" s="73">
        <v>6.6823895829322213</v>
      </c>
      <c r="G205" s="73">
        <v>7.6469745185197766</v>
      </c>
      <c r="H205" s="73">
        <v>8.5828086611337682</v>
      </c>
      <c r="I205" s="73">
        <v>8.4477936903488153</v>
      </c>
    </row>
    <row r="206" spans="1:9" x14ac:dyDescent="0.3">
      <c r="A206" s="10" t="s">
        <v>2003</v>
      </c>
      <c r="B206" s="7" t="s">
        <v>1785</v>
      </c>
      <c r="C206" s="7" t="s">
        <v>1837</v>
      </c>
      <c r="D206" s="81">
        <v>1.7625754331459801E-2</v>
      </c>
      <c r="E206" s="81">
        <v>1.7591694902799979E-2</v>
      </c>
      <c r="F206" s="81">
        <v>1.5326742896921571E-2</v>
      </c>
      <c r="G206" s="81">
        <v>1.779605147475893E-2</v>
      </c>
      <c r="H206" s="81">
        <v>1.7625754331459801E-2</v>
      </c>
      <c r="I206" s="81">
        <v>1.7591694902799979E-2</v>
      </c>
    </row>
    <row r="207" spans="1:9" x14ac:dyDescent="0.3">
      <c r="A207" s="10" t="s">
        <v>2004</v>
      </c>
      <c r="B207" s="7" t="s">
        <v>1785</v>
      </c>
      <c r="C207" s="7" t="s">
        <v>1839</v>
      </c>
      <c r="D207" s="81">
        <v>0.18</v>
      </c>
      <c r="E207" s="81">
        <v>0.18</v>
      </c>
      <c r="F207" s="81">
        <v>0.17499999999999999</v>
      </c>
      <c r="G207" s="81">
        <v>0.17499999999999999</v>
      </c>
      <c r="H207" s="81">
        <v>0.17499999999999999</v>
      </c>
      <c r="I207" s="81">
        <v>0.17499999999999999</v>
      </c>
    </row>
    <row r="209" spans="1:9" x14ac:dyDescent="0.3">
      <c r="A209" s="10" t="s">
        <v>2005</v>
      </c>
      <c r="B209" s="7" t="s">
        <v>578</v>
      </c>
      <c r="C209" s="7" t="s">
        <v>134</v>
      </c>
      <c r="D209" s="49">
        <v>146.81299999999999</v>
      </c>
      <c r="E209" s="49">
        <v>131.79830000000001</v>
      </c>
      <c r="F209" s="49">
        <v>169.01779999999999</v>
      </c>
      <c r="G209" s="49">
        <v>157.1001</v>
      </c>
      <c r="H209" s="49">
        <v>155.958</v>
      </c>
      <c r="I209" s="49">
        <v>139.7655</v>
      </c>
    </row>
    <row r="210" spans="1:9" x14ac:dyDescent="0.3">
      <c r="A210" s="10" t="s">
        <v>2006</v>
      </c>
      <c r="B210" s="7" t="s">
        <v>578</v>
      </c>
      <c r="C210" s="7" t="s">
        <v>136</v>
      </c>
      <c r="D210" s="49">
        <v>26.027999999999999</v>
      </c>
      <c r="E210" s="49">
        <v>22.987300000000001</v>
      </c>
      <c r="F210" s="49">
        <v>32.599600000000002</v>
      </c>
      <c r="G210" s="49">
        <v>29.6479</v>
      </c>
      <c r="H210" s="49">
        <v>28.390799999999999</v>
      </c>
      <c r="I210" s="49">
        <v>24.834199999999999</v>
      </c>
    </row>
    <row r="211" spans="1:9" x14ac:dyDescent="0.3">
      <c r="A211" s="10" t="s">
        <v>2007</v>
      </c>
      <c r="B211" s="7" t="s">
        <v>578</v>
      </c>
      <c r="C211" s="7" t="s">
        <v>692</v>
      </c>
      <c r="D211" s="49">
        <v>40.222739726027392</v>
      </c>
      <c r="E211" s="49">
        <v>36.109123287671238</v>
      </c>
      <c r="F211" s="49">
        <v>46.949388888888883</v>
      </c>
      <c r="G211" s="49">
        <v>43.638916666666667</v>
      </c>
      <c r="H211" s="49">
        <v>43.321666666666673</v>
      </c>
      <c r="I211" s="49">
        <v>38.823749999999997</v>
      </c>
    </row>
    <row r="212" spans="1:9" x14ac:dyDescent="0.3">
      <c r="A212" s="10" t="s">
        <v>2008</v>
      </c>
      <c r="B212" s="7" t="s">
        <v>578</v>
      </c>
      <c r="C212" s="7" t="s">
        <v>139</v>
      </c>
      <c r="D212" s="49">
        <v>4804.0355</v>
      </c>
      <c r="E212" s="49">
        <v>3178.1078000000002</v>
      </c>
      <c r="F212" s="49">
        <v>3053.1293000000001</v>
      </c>
      <c r="G212" s="49">
        <v>4028.9807000000001</v>
      </c>
      <c r="H212" s="49">
        <v>5280.7325000000001</v>
      </c>
      <c r="I212" s="49">
        <v>3465.7640999999999</v>
      </c>
    </row>
    <row r="213" spans="1:9" x14ac:dyDescent="0.3">
      <c r="A213" s="10" t="s">
        <v>2009</v>
      </c>
      <c r="B213" s="7" t="s">
        <v>578</v>
      </c>
      <c r="C213" s="7" t="s">
        <v>1780</v>
      </c>
      <c r="D213" s="49">
        <v>647.08470904737112</v>
      </c>
      <c r="E213" s="49">
        <v>581.88941811466668</v>
      </c>
      <c r="F213" s="49">
        <v>724.61903883905211</v>
      </c>
      <c r="G213" s="49">
        <v>746.47008152618412</v>
      </c>
      <c r="H213" s="49">
        <v>717.62442808128776</v>
      </c>
      <c r="I213" s="49">
        <v>642.19985275612726</v>
      </c>
    </row>
    <row r="214" spans="1:9" x14ac:dyDescent="0.3">
      <c r="A214" s="10" t="s">
        <v>2010</v>
      </c>
      <c r="B214" s="7" t="s">
        <v>578</v>
      </c>
      <c r="C214" s="7" t="s">
        <v>1784</v>
      </c>
      <c r="D214" s="49">
        <v>375.76413797498162</v>
      </c>
      <c r="E214" s="49">
        <v>331.09299041530119</v>
      </c>
      <c r="F214" s="49">
        <v>331.20381218932988</v>
      </c>
      <c r="G214" s="49">
        <v>354.19709522076869</v>
      </c>
      <c r="H214" s="49">
        <v>412.24091780844822</v>
      </c>
      <c r="I214" s="49">
        <v>363.13256693585851</v>
      </c>
    </row>
    <row r="215" spans="1:9" x14ac:dyDescent="0.3">
      <c r="A215" s="10" t="s">
        <v>2011</v>
      </c>
      <c r="B215" s="7" t="s">
        <v>578</v>
      </c>
      <c r="C215" s="7" t="s">
        <v>1788</v>
      </c>
      <c r="D215" s="49">
        <v>365.68377858002412</v>
      </c>
      <c r="E215" s="49">
        <v>375.79622141997601</v>
      </c>
      <c r="F215" s="49">
        <v>433.0397344000001</v>
      </c>
      <c r="G215" s="49">
        <v>419.10360480000008</v>
      </c>
      <c r="H215" s="49">
        <v>417.91393520000008</v>
      </c>
      <c r="I215" s="49">
        <v>429.47072559999998</v>
      </c>
    </row>
    <row r="216" spans="1:9" x14ac:dyDescent="0.3">
      <c r="A216" s="10" t="s">
        <v>2012</v>
      </c>
      <c r="B216" s="7" t="s">
        <v>578</v>
      </c>
      <c r="C216" s="7" t="s">
        <v>1791</v>
      </c>
      <c r="D216" s="49">
        <v>767.17272952086489</v>
      </c>
      <c r="E216" s="49">
        <v>802.48502040816334</v>
      </c>
      <c r="F216" s="49">
        <v>885.13857320274542</v>
      </c>
      <c r="G216" s="49">
        <v>998.13498680309579</v>
      </c>
      <c r="H216" s="49">
        <v>875.16830141447917</v>
      </c>
      <c r="I216" s="49">
        <v>934.25139349309381</v>
      </c>
    </row>
    <row r="217" spans="1:9" x14ac:dyDescent="0.3">
      <c r="A217" s="10" t="s">
        <v>2013</v>
      </c>
      <c r="B217" s="7" t="s">
        <v>578</v>
      </c>
      <c r="C217" s="7" t="s">
        <v>1794</v>
      </c>
      <c r="D217" s="49">
        <v>272.97161547666542</v>
      </c>
      <c r="E217" s="49">
        <v>284.30838452333472</v>
      </c>
      <c r="F217" s="49">
        <v>260.33703264000007</v>
      </c>
      <c r="G217" s="49">
        <v>283.68662400000011</v>
      </c>
      <c r="H217" s="49">
        <v>267.97474943999998</v>
      </c>
      <c r="I217" s="49">
        <v>279.10399392000011</v>
      </c>
    </row>
    <row r="218" spans="1:9" x14ac:dyDescent="0.3">
      <c r="A218" s="10" t="s">
        <v>2014</v>
      </c>
      <c r="B218" s="7" t="s">
        <v>578</v>
      </c>
      <c r="C218" s="7" t="s">
        <v>146</v>
      </c>
      <c r="D218" s="49">
        <v>2428.6769705999068</v>
      </c>
      <c r="E218" s="49">
        <v>2375.5720348814421</v>
      </c>
      <c r="F218" s="49">
        <v>2634.338191271127</v>
      </c>
      <c r="G218" s="49">
        <v>2801.5923923500491</v>
      </c>
      <c r="H218" s="49">
        <v>2690.9223319442158</v>
      </c>
      <c r="I218" s="49">
        <v>2648.1585327050798</v>
      </c>
    </row>
    <row r="219" spans="1:9" x14ac:dyDescent="0.3">
      <c r="A219" s="10" t="s">
        <v>2015</v>
      </c>
      <c r="B219" s="7" t="s">
        <v>578</v>
      </c>
      <c r="C219" s="7" t="s">
        <v>1801</v>
      </c>
      <c r="D219" s="49">
        <v>20.633970599907521</v>
      </c>
      <c r="E219" s="49">
        <v>20.633970599907521</v>
      </c>
      <c r="F219" s="49">
        <v>20.633970599907521</v>
      </c>
      <c r="G219" s="49">
        <v>20.633970599907521</v>
      </c>
      <c r="H219" s="49">
        <v>20.633970599907521</v>
      </c>
      <c r="I219" s="49">
        <v>20.633970599907521</v>
      </c>
    </row>
    <row r="220" spans="1:9" x14ac:dyDescent="0.3">
      <c r="A220" s="10" t="s">
        <v>2016</v>
      </c>
      <c r="B220" s="7" t="s">
        <v>578</v>
      </c>
      <c r="C220" s="7" t="s">
        <v>151</v>
      </c>
      <c r="D220" s="49">
        <v>2395.9925000000012</v>
      </c>
      <c r="E220" s="49">
        <v>823.1697357184662</v>
      </c>
      <c r="F220" s="49">
        <v>439.4250793287801</v>
      </c>
      <c r="G220" s="49">
        <v>1248.022278249859</v>
      </c>
      <c r="H220" s="49">
        <v>2610.4441386556919</v>
      </c>
      <c r="I220" s="49">
        <v>838.23953789482766</v>
      </c>
    </row>
    <row r="221" spans="1:9" x14ac:dyDescent="0.3">
      <c r="A221" s="10" t="s">
        <v>2017</v>
      </c>
      <c r="B221" s="7" t="s">
        <v>578</v>
      </c>
      <c r="C221" s="7" t="s">
        <v>1804</v>
      </c>
      <c r="D221" s="49">
        <v>451.57918566107082</v>
      </c>
      <c r="E221" s="49">
        <v>465.16051455313311</v>
      </c>
      <c r="F221" s="49">
        <v>464.02873714546132</v>
      </c>
      <c r="G221" s="49">
        <v>551.17559753619423</v>
      </c>
      <c r="H221" s="49">
        <v>511.0871201060549</v>
      </c>
      <c r="I221" s="49">
        <v>526.45816131225195</v>
      </c>
    </row>
    <row r="222" spans="1:9" x14ac:dyDescent="0.3">
      <c r="A222" s="10" t="s">
        <v>2018</v>
      </c>
      <c r="B222" s="7" t="s">
        <v>578</v>
      </c>
      <c r="C222" s="7" t="s">
        <v>157</v>
      </c>
      <c r="D222" s="49">
        <v>1923.7793437390219</v>
      </c>
      <c r="E222" s="49">
        <v>337.37525056542552</v>
      </c>
      <c r="F222" s="49">
        <v>-45.237628416588677</v>
      </c>
      <c r="G222" s="49">
        <v>676.21271011375723</v>
      </c>
      <c r="H222" s="49">
        <v>2078.7230479497298</v>
      </c>
      <c r="I222" s="49">
        <v>291.14740598266809</v>
      </c>
    </row>
    <row r="223" spans="1:9" x14ac:dyDescent="0.3">
      <c r="A223" s="10" t="s">
        <v>2019</v>
      </c>
      <c r="B223" s="7" t="s">
        <v>578</v>
      </c>
      <c r="C223" s="7" t="s">
        <v>1807</v>
      </c>
      <c r="D223" s="49">
        <v>175.13778188765411</v>
      </c>
      <c r="E223" s="49">
        <v>158.88966027130769</v>
      </c>
      <c r="F223" s="49">
        <v>172.17977410705009</v>
      </c>
      <c r="G223" s="49">
        <v>192.5066652124672</v>
      </c>
      <c r="H223" s="49">
        <v>181.9743182963781</v>
      </c>
      <c r="I223" s="49">
        <v>163.98331028127379</v>
      </c>
    </row>
    <row r="224" spans="1:9" x14ac:dyDescent="0.3">
      <c r="A224" s="10" t="s">
        <v>2020</v>
      </c>
      <c r="B224" s="7" t="s">
        <v>578</v>
      </c>
      <c r="C224" s="7" t="s">
        <v>1809</v>
      </c>
      <c r="D224" s="49">
        <v>37</v>
      </c>
      <c r="E224" s="49">
        <v>37</v>
      </c>
      <c r="F224" s="49">
        <v>37</v>
      </c>
      <c r="G224" s="49">
        <v>37</v>
      </c>
      <c r="H224" s="49">
        <v>37</v>
      </c>
      <c r="I224" s="49">
        <v>37</v>
      </c>
    </row>
    <row r="225" spans="1:9" x14ac:dyDescent="0.3">
      <c r="A225" s="10" t="s">
        <v>2021</v>
      </c>
      <c r="B225" s="7" t="s">
        <v>578</v>
      </c>
      <c r="C225" s="7" t="s">
        <v>1811</v>
      </c>
      <c r="D225" s="49">
        <v>3.7</v>
      </c>
      <c r="E225" s="49">
        <v>3.7</v>
      </c>
      <c r="F225" s="49">
        <v>3.7</v>
      </c>
      <c r="G225" s="49">
        <v>3.7</v>
      </c>
      <c r="H225" s="49">
        <v>3.7</v>
      </c>
      <c r="I225" s="49">
        <v>3.7</v>
      </c>
    </row>
    <row r="226" spans="1:9" x14ac:dyDescent="0.3">
      <c r="A226" s="10" t="s">
        <v>2022</v>
      </c>
      <c r="B226" s="7" t="s">
        <v>578</v>
      </c>
      <c r="C226" s="7" t="s">
        <v>162</v>
      </c>
      <c r="D226" s="49">
        <v>2065.6171256266762</v>
      </c>
      <c r="E226" s="49">
        <v>462.96491083673322</v>
      </c>
      <c r="F226" s="49">
        <v>93.642145690461433</v>
      </c>
      <c r="G226" s="49">
        <v>835.41937532622444</v>
      </c>
      <c r="H226" s="49">
        <v>2227.397366246108</v>
      </c>
      <c r="I226" s="49">
        <v>421.83071626394189</v>
      </c>
    </row>
    <row r="227" spans="1:9" x14ac:dyDescent="0.3">
      <c r="A227" s="10" t="s">
        <v>2023</v>
      </c>
      <c r="B227" s="7" t="s">
        <v>578</v>
      </c>
      <c r="C227" s="7" t="s">
        <v>1814</v>
      </c>
      <c r="D227" s="49">
        <v>371.81108261280161</v>
      </c>
      <c r="E227" s="49">
        <v>83.333683950611942</v>
      </c>
      <c r="F227" s="49">
        <v>16.387375495830749</v>
      </c>
      <c r="G227" s="49">
        <v>146.1983906820893</v>
      </c>
      <c r="H227" s="49">
        <v>389.79453909306898</v>
      </c>
      <c r="I227" s="49">
        <v>73.820375346189849</v>
      </c>
    </row>
    <row r="228" spans="1:9" x14ac:dyDescent="0.3">
      <c r="A228" s="10" t="s">
        <v>2024</v>
      </c>
      <c r="B228" s="7" t="s">
        <v>578</v>
      </c>
      <c r="C228" s="7" t="s">
        <v>166</v>
      </c>
      <c r="D228" s="49">
        <v>1693.8060430138751</v>
      </c>
      <c r="E228" s="49">
        <v>379.63122688612123</v>
      </c>
      <c r="F228" s="49">
        <v>77.254770194630694</v>
      </c>
      <c r="G228" s="49">
        <v>689.22098464413511</v>
      </c>
      <c r="H228" s="49">
        <v>1837.6028271530381</v>
      </c>
      <c r="I228" s="49">
        <v>348.01034091775199</v>
      </c>
    </row>
    <row r="229" spans="1:9" x14ac:dyDescent="0.3">
      <c r="A229" s="10" t="s">
        <v>2025</v>
      </c>
      <c r="B229" s="7" t="s">
        <v>578</v>
      </c>
      <c r="C229" s="7" t="s">
        <v>956</v>
      </c>
      <c r="D229" s="49">
        <v>591.67581338190553</v>
      </c>
      <c r="E229" s="49">
        <v>586.35162676381105</v>
      </c>
      <c r="F229" s="49">
        <v>581.02744014571658</v>
      </c>
      <c r="G229" s="49">
        <v>575.70325352762211</v>
      </c>
      <c r="H229" s="49">
        <v>570.37906690952764</v>
      </c>
      <c r="I229" s="49">
        <v>565.05488029143316</v>
      </c>
    </row>
    <row r="230" spans="1:9" x14ac:dyDescent="0.3">
      <c r="A230" s="10" t="s">
        <v>2026</v>
      </c>
      <c r="B230" s="7" t="s">
        <v>578</v>
      </c>
      <c r="C230" s="7" t="s">
        <v>169</v>
      </c>
      <c r="D230" s="73">
        <v>2.8627265213570321</v>
      </c>
      <c r="E230" s="73">
        <v>0.64744636078078266</v>
      </c>
      <c r="F230" s="73">
        <v>0.13296234369801169</v>
      </c>
      <c r="G230" s="73">
        <v>1.1971809789521479</v>
      </c>
      <c r="H230" s="73">
        <v>3.221722068289921</v>
      </c>
      <c r="I230" s="73">
        <v>0.61588768287119644</v>
      </c>
    </row>
    <row r="231" spans="1:9" x14ac:dyDescent="0.3">
      <c r="A231" s="10" t="s">
        <v>2027</v>
      </c>
      <c r="B231" s="7" t="s">
        <v>578</v>
      </c>
      <c r="C231" s="7" t="s">
        <v>1819</v>
      </c>
      <c r="D231" s="49">
        <v>474.9265217392358</v>
      </c>
      <c r="E231" s="49">
        <v>418.63309677913401</v>
      </c>
      <c r="F231" s="49">
        <v>517.2494717424845</v>
      </c>
      <c r="G231" s="49">
        <v>546.20478781850534</v>
      </c>
      <c r="H231" s="49">
        <v>518.03995287360908</v>
      </c>
      <c r="I231" s="49">
        <v>452.26790671511532</v>
      </c>
    </row>
    <row r="232" spans="1:9" x14ac:dyDescent="0.3">
      <c r="A232" s="10" t="s">
        <v>2028</v>
      </c>
      <c r="B232" s="7" t="s">
        <v>578</v>
      </c>
      <c r="C232" s="7" t="s">
        <v>1821</v>
      </c>
      <c r="D232" s="49">
        <v>34.189328767123293</v>
      </c>
      <c r="E232" s="49">
        <v>30.69275479452056</v>
      </c>
      <c r="F232" s="49">
        <v>39.906980555555549</v>
      </c>
      <c r="G232" s="49">
        <v>37.093079166666669</v>
      </c>
      <c r="H232" s="49">
        <v>36.823416666666667</v>
      </c>
      <c r="I232" s="49">
        <v>33.000187500000003</v>
      </c>
    </row>
    <row r="233" spans="1:9" x14ac:dyDescent="0.3">
      <c r="A233" s="10" t="s">
        <v>2029</v>
      </c>
      <c r="B233" s="7" t="s">
        <v>578</v>
      </c>
      <c r="C233" s="7" t="s">
        <v>1823</v>
      </c>
      <c r="D233" s="49">
        <v>85.11617854101209</v>
      </c>
      <c r="E233" s="49">
        <v>85.11617854101209</v>
      </c>
      <c r="F233" s="49">
        <v>106.6161785410121</v>
      </c>
      <c r="G233" s="49">
        <v>106.6161785410121</v>
      </c>
      <c r="H233" s="49">
        <v>106.6161785410121</v>
      </c>
      <c r="I233" s="49">
        <v>106.6161785410121</v>
      </c>
    </row>
    <row r="234" spans="1:9" x14ac:dyDescent="0.3">
      <c r="A234" s="10" t="s">
        <v>2030</v>
      </c>
      <c r="B234" s="7" t="s">
        <v>578</v>
      </c>
      <c r="C234" s="7" t="s">
        <v>1825</v>
      </c>
      <c r="D234" s="49">
        <v>52.852679999999992</v>
      </c>
      <c r="E234" s="49">
        <v>47.447387999999997</v>
      </c>
      <c r="F234" s="49">
        <v>60.846407999999997</v>
      </c>
      <c r="G234" s="49">
        <v>56.556035999999999</v>
      </c>
      <c r="H234" s="49">
        <v>56.144880000000001</v>
      </c>
      <c r="I234" s="49">
        <v>50.315579999999997</v>
      </c>
    </row>
    <row r="235" spans="1:9" x14ac:dyDescent="0.3">
      <c r="A235" s="10" t="s">
        <v>2031</v>
      </c>
      <c r="B235" s="7" t="s">
        <v>578</v>
      </c>
      <c r="C235" s="7" t="s">
        <v>1827</v>
      </c>
      <c r="D235" s="49">
        <v>59.758237974981547</v>
      </c>
      <c r="E235" s="49">
        <v>51.939090415301131</v>
      </c>
      <c r="F235" s="49">
        <v>53.892512189329913</v>
      </c>
      <c r="G235" s="49">
        <v>56.617195220768707</v>
      </c>
      <c r="H235" s="49">
        <v>66.049417492097675</v>
      </c>
      <c r="I235" s="49">
        <v>58.09659486624151</v>
      </c>
    </row>
    <row r="236" spans="1:9" x14ac:dyDescent="0.3">
      <c r="A236" s="10" t="s">
        <v>2032</v>
      </c>
      <c r="B236" s="7" t="s">
        <v>578</v>
      </c>
      <c r="C236" s="7" t="s">
        <v>1829</v>
      </c>
      <c r="D236" s="49">
        <v>316.0059</v>
      </c>
      <c r="E236" s="49">
        <v>279.15390000000002</v>
      </c>
      <c r="F236" s="49">
        <v>277.31130000000002</v>
      </c>
      <c r="G236" s="49">
        <v>297.57990000000001</v>
      </c>
      <c r="H236" s="49">
        <v>346.19150031635053</v>
      </c>
      <c r="I236" s="49">
        <v>305.03597206961689</v>
      </c>
    </row>
    <row r="237" spans="1:9" x14ac:dyDescent="0.3">
      <c r="A237" s="10" t="s">
        <v>2033</v>
      </c>
      <c r="B237" s="7" t="s">
        <v>578</v>
      </c>
      <c r="C237" s="7" t="s">
        <v>1831</v>
      </c>
      <c r="D237" s="49">
        <v>514.41754992902816</v>
      </c>
      <c r="E237" s="49">
        <v>532.6662</v>
      </c>
      <c r="F237" s="49">
        <v>620.2050665627454</v>
      </c>
      <c r="G237" s="49">
        <v>699.38018144309581</v>
      </c>
      <c r="H237" s="49">
        <v>613.21902701447914</v>
      </c>
      <c r="I237" s="49">
        <v>654.61777989309383</v>
      </c>
    </row>
    <row r="238" spans="1:9" x14ac:dyDescent="0.3">
      <c r="A238" s="10" t="s">
        <v>2034</v>
      </c>
      <c r="B238" s="7" t="s">
        <v>578</v>
      </c>
      <c r="C238" s="7" t="s">
        <v>1833</v>
      </c>
      <c r="D238" s="49">
        <v>252.75517959183679</v>
      </c>
      <c r="E238" s="49">
        <v>269.81882040816328</v>
      </c>
      <c r="F238" s="49">
        <v>264.93350664000002</v>
      </c>
      <c r="G238" s="49">
        <v>298.75480535999998</v>
      </c>
      <c r="H238" s="49">
        <v>261.94927439999998</v>
      </c>
      <c r="I238" s="49">
        <v>279.63361359999999</v>
      </c>
    </row>
    <row r="239" spans="1:9" x14ac:dyDescent="0.3">
      <c r="A239" s="10" t="s">
        <v>2035</v>
      </c>
      <c r="B239" s="7" t="s">
        <v>578</v>
      </c>
      <c r="C239" s="7" t="s">
        <v>1835</v>
      </c>
      <c r="D239" s="73">
        <v>9.3420821290259237</v>
      </c>
      <c r="E239" s="73">
        <v>9.1692337079905357</v>
      </c>
      <c r="F239" s="73">
        <v>7.05448611851289</v>
      </c>
      <c r="G239" s="73">
        <v>8.1165418914104279</v>
      </c>
      <c r="H239" s="73">
        <v>9.5158138993216994</v>
      </c>
      <c r="I239" s="73">
        <v>9.3533614587941276</v>
      </c>
    </row>
    <row r="240" spans="1:9" x14ac:dyDescent="0.3">
      <c r="A240" s="10" t="s">
        <v>2036</v>
      </c>
      <c r="B240" s="7" t="s">
        <v>578</v>
      </c>
      <c r="C240" s="7" t="s">
        <v>1837</v>
      </c>
      <c r="D240" s="81">
        <v>1.8246754331459801E-2</v>
      </c>
      <c r="E240" s="81">
        <v>1.8211494902799979E-2</v>
      </c>
      <c r="F240" s="81">
        <v>1.5866742896921571E-2</v>
      </c>
      <c r="G240" s="81">
        <v>1.8423051474758929E-2</v>
      </c>
      <c r="H240" s="81">
        <v>1.8246754331459801E-2</v>
      </c>
      <c r="I240" s="81">
        <v>1.8211494902799979E-2</v>
      </c>
    </row>
    <row r="241" spans="1:9" x14ac:dyDescent="0.3">
      <c r="A241" s="10" t="s">
        <v>2037</v>
      </c>
      <c r="B241" s="7" t="s">
        <v>578</v>
      </c>
      <c r="C241" s="7" t="s">
        <v>1839</v>
      </c>
      <c r="D241" s="81">
        <v>0.18</v>
      </c>
      <c r="E241" s="81">
        <v>0.18</v>
      </c>
      <c r="F241" s="81">
        <v>0.17499999999999999</v>
      </c>
      <c r="G241" s="81">
        <v>0.17499999999999999</v>
      </c>
      <c r="H241" s="81">
        <v>0.17499999999999999</v>
      </c>
      <c r="I241" s="81">
        <v>0.17499999999999999</v>
      </c>
    </row>
    <row r="243" spans="1:9" x14ac:dyDescent="0.3">
      <c r="A243" s="10" t="s">
        <v>2038</v>
      </c>
      <c r="B243" s="7" t="s">
        <v>576</v>
      </c>
      <c r="C243" s="7" t="s">
        <v>134</v>
      </c>
      <c r="D243" s="49">
        <v>146.81299999999999</v>
      </c>
      <c r="E243" s="49">
        <v>131.79830000000001</v>
      </c>
      <c r="F243" s="49">
        <v>169.01779999999999</v>
      </c>
      <c r="G243" s="49">
        <v>157.1001</v>
      </c>
      <c r="H243" s="49">
        <v>155.958</v>
      </c>
      <c r="I243" s="49">
        <v>139.7655</v>
      </c>
    </row>
    <row r="244" spans="1:9" x14ac:dyDescent="0.3">
      <c r="A244" s="10" t="s">
        <v>2039</v>
      </c>
      <c r="B244" s="7" t="s">
        <v>576</v>
      </c>
      <c r="C244" s="7" t="s">
        <v>136</v>
      </c>
      <c r="D244" s="49">
        <v>26.027999999999999</v>
      </c>
      <c r="E244" s="49">
        <v>22.987300000000001</v>
      </c>
      <c r="F244" s="49">
        <v>32.599600000000002</v>
      </c>
      <c r="G244" s="49">
        <v>29.6479</v>
      </c>
      <c r="H244" s="49">
        <v>28.390799999999999</v>
      </c>
      <c r="I244" s="49">
        <v>24.834199999999999</v>
      </c>
    </row>
    <row r="245" spans="1:9" x14ac:dyDescent="0.3">
      <c r="A245" s="10" t="s">
        <v>2040</v>
      </c>
      <c r="B245" s="7" t="s">
        <v>576</v>
      </c>
      <c r="C245" s="7" t="s">
        <v>692</v>
      </c>
      <c r="D245" s="49">
        <v>40.222739726027392</v>
      </c>
      <c r="E245" s="49">
        <v>36.109123287671238</v>
      </c>
      <c r="F245" s="49">
        <v>46.949388888888883</v>
      </c>
      <c r="G245" s="49">
        <v>43.638916666666667</v>
      </c>
      <c r="H245" s="49">
        <v>43.321666666666673</v>
      </c>
      <c r="I245" s="49">
        <v>38.823749999999997</v>
      </c>
    </row>
    <row r="246" spans="1:9" x14ac:dyDescent="0.3">
      <c r="A246" s="10" t="s">
        <v>2041</v>
      </c>
      <c r="B246" s="7" t="s">
        <v>576</v>
      </c>
      <c r="C246" s="7" t="s">
        <v>139</v>
      </c>
      <c r="D246" s="49">
        <v>4804.0355</v>
      </c>
      <c r="E246" s="49">
        <v>3178.1078000000002</v>
      </c>
      <c r="F246" s="49">
        <v>3053.1293000000001</v>
      </c>
      <c r="G246" s="49">
        <v>4028.9807000000001</v>
      </c>
      <c r="H246" s="49">
        <v>5280.7325000000001</v>
      </c>
      <c r="I246" s="49">
        <v>3465.7640999999999</v>
      </c>
    </row>
    <row r="247" spans="1:9" x14ac:dyDescent="0.3">
      <c r="A247" s="10" t="s">
        <v>2042</v>
      </c>
      <c r="B247" s="7" t="s">
        <v>576</v>
      </c>
      <c r="C247" s="7" t="s">
        <v>1780</v>
      </c>
      <c r="D247" s="49">
        <v>635.6495315260978</v>
      </c>
      <c r="E247" s="49">
        <v>575.31436362298234</v>
      </c>
      <c r="F247" s="49">
        <v>693.62140702706336</v>
      </c>
      <c r="G247" s="49">
        <v>714.3291691697508</v>
      </c>
      <c r="H247" s="49">
        <v>687.47992122485448</v>
      </c>
      <c r="I247" s="49">
        <v>617.65672434636065</v>
      </c>
    </row>
    <row r="248" spans="1:9" x14ac:dyDescent="0.3">
      <c r="A248" s="10" t="s">
        <v>2043</v>
      </c>
      <c r="B248" s="7" t="s">
        <v>576</v>
      </c>
      <c r="C248" s="7" t="s">
        <v>1784</v>
      </c>
      <c r="D248" s="49">
        <v>350.00722281113121</v>
      </c>
      <c r="E248" s="49">
        <v>307.9864295265196</v>
      </c>
      <c r="F248" s="49">
        <v>309.59174932820099</v>
      </c>
      <c r="G248" s="49">
        <v>330.49201231778488</v>
      </c>
      <c r="H248" s="49">
        <v>358.36877373066079</v>
      </c>
      <c r="I248" s="49">
        <v>315.21069113623241</v>
      </c>
    </row>
    <row r="249" spans="1:9" x14ac:dyDescent="0.3">
      <c r="A249" s="10" t="s">
        <v>2044</v>
      </c>
      <c r="B249" s="7" t="s">
        <v>576</v>
      </c>
      <c r="C249" s="7" t="s">
        <v>1788</v>
      </c>
      <c r="D249" s="49">
        <v>352.50598475732062</v>
      </c>
      <c r="E249" s="49">
        <v>362.25401524267949</v>
      </c>
      <c r="F249" s="49">
        <v>399.16601087999999</v>
      </c>
      <c r="G249" s="49">
        <v>386.32000896000011</v>
      </c>
      <c r="H249" s="49">
        <v>385.22339904000012</v>
      </c>
      <c r="I249" s="49">
        <v>395.87618112000001</v>
      </c>
    </row>
    <row r="250" spans="1:9" x14ac:dyDescent="0.3">
      <c r="A250" s="10" t="s">
        <v>2045</v>
      </c>
      <c r="B250" s="7" t="s">
        <v>576</v>
      </c>
      <c r="C250" s="7" t="s">
        <v>1791</v>
      </c>
      <c r="D250" s="49">
        <v>785.40770577739613</v>
      </c>
      <c r="E250" s="49">
        <v>713.73003877551037</v>
      </c>
      <c r="F250" s="49">
        <v>787.56903914626491</v>
      </c>
      <c r="G250" s="49">
        <v>888.10976754791568</v>
      </c>
      <c r="H250" s="49">
        <v>778.69779840494266</v>
      </c>
      <c r="I250" s="49">
        <v>831.26811390907403</v>
      </c>
    </row>
    <row r="251" spans="1:9" x14ac:dyDescent="0.3">
      <c r="A251" s="10" t="s">
        <v>2046</v>
      </c>
      <c r="B251" s="7" t="s">
        <v>576</v>
      </c>
      <c r="C251" s="7" t="s">
        <v>1794</v>
      </c>
      <c r="D251" s="49">
        <v>257.80652572796168</v>
      </c>
      <c r="E251" s="49">
        <v>268.51347427203831</v>
      </c>
      <c r="F251" s="49">
        <v>240.67572455999999</v>
      </c>
      <c r="G251" s="49">
        <v>262.26189599999998</v>
      </c>
      <c r="H251" s="49">
        <v>247.73662175999999</v>
      </c>
      <c r="I251" s="49">
        <v>258.02535768000001</v>
      </c>
    </row>
    <row r="252" spans="1:9" x14ac:dyDescent="0.3">
      <c r="A252" s="10" t="s">
        <v>2047</v>
      </c>
      <c r="B252" s="7" t="s">
        <v>576</v>
      </c>
      <c r="C252" s="7" t="s">
        <v>146</v>
      </c>
      <c r="D252" s="49">
        <v>2381.376970599908</v>
      </c>
      <c r="E252" s="49">
        <v>2227.79832143973</v>
      </c>
      <c r="F252" s="49">
        <v>2430.62393094153</v>
      </c>
      <c r="G252" s="49">
        <v>2581.5128539954512</v>
      </c>
      <c r="H252" s="49">
        <v>2457.5065141604582</v>
      </c>
      <c r="I252" s="49">
        <v>2418.037068191667</v>
      </c>
    </row>
    <row r="253" spans="1:9" x14ac:dyDescent="0.3">
      <c r="A253" s="10" t="s">
        <v>2048</v>
      </c>
      <c r="B253" s="7" t="s">
        <v>576</v>
      </c>
      <c r="C253" s="7" t="s">
        <v>1801</v>
      </c>
      <c r="D253" s="49">
        <v>20.633970599907521</v>
      </c>
      <c r="E253" s="49">
        <v>20.633970599907521</v>
      </c>
      <c r="F253" s="49">
        <v>20.633970599907521</v>
      </c>
      <c r="G253" s="49">
        <v>20.633970599907521</v>
      </c>
      <c r="H253" s="49">
        <v>20.633970599907521</v>
      </c>
      <c r="I253" s="49">
        <v>20.633970599907521</v>
      </c>
    </row>
    <row r="254" spans="1:9" x14ac:dyDescent="0.3">
      <c r="A254" s="10" t="s">
        <v>2049</v>
      </c>
      <c r="B254" s="7" t="s">
        <v>576</v>
      </c>
      <c r="C254" s="7" t="s">
        <v>151</v>
      </c>
      <c r="D254" s="49">
        <v>2443.2925</v>
      </c>
      <c r="E254" s="49">
        <v>970.94344916017781</v>
      </c>
      <c r="F254" s="49">
        <v>643.13933965837805</v>
      </c>
      <c r="G254" s="49">
        <v>1468.101816604456</v>
      </c>
      <c r="H254" s="49">
        <v>2843.859956439449</v>
      </c>
      <c r="I254" s="49">
        <v>1068.36100240824</v>
      </c>
    </row>
    <row r="255" spans="1:9" x14ac:dyDescent="0.3">
      <c r="A255" s="10" t="s">
        <v>2050</v>
      </c>
      <c r="B255" s="7" t="s">
        <v>576</v>
      </c>
      <c r="C255" s="7" t="s">
        <v>1804</v>
      </c>
      <c r="D255" s="49">
        <v>451.57918566107082</v>
      </c>
      <c r="E255" s="49">
        <v>465.16051455313311</v>
      </c>
      <c r="F255" s="49">
        <v>464.02873714546132</v>
      </c>
      <c r="G255" s="49">
        <v>551.17559753619423</v>
      </c>
      <c r="H255" s="49">
        <v>511.0871201060549</v>
      </c>
      <c r="I255" s="49">
        <v>526.45816131225195</v>
      </c>
    </row>
    <row r="256" spans="1:9" x14ac:dyDescent="0.3">
      <c r="A256" s="10" t="s">
        <v>2051</v>
      </c>
      <c r="B256" s="7" t="s">
        <v>576</v>
      </c>
      <c r="C256" s="7" t="s">
        <v>157</v>
      </c>
      <c r="D256" s="49">
        <v>1971.0793437390221</v>
      </c>
      <c r="E256" s="49">
        <v>485.14896400713712</v>
      </c>
      <c r="F256" s="49">
        <v>158.47663191300919</v>
      </c>
      <c r="G256" s="49">
        <v>896.29224846835461</v>
      </c>
      <c r="H256" s="49">
        <v>2312.1388657334869</v>
      </c>
      <c r="I256" s="49">
        <v>521.26887049608092</v>
      </c>
    </row>
    <row r="257" spans="1:9" x14ac:dyDescent="0.3">
      <c r="A257" s="10" t="s">
        <v>2052</v>
      </c>
      <c r="B257" s="7" t="s">
        <v>576</v>
      </c>
      <c r="C257" s="7" t="s">
        <v>1807</v>
      </c>
      <c r="D257" s="49">
        <v>183.54893375952639</v>
      </c>
      <c r="E257" s="49">
        <v>165.49546529691921</v>
      </c>
      <c r="F257" s="49">
        <v>180.26225844774419</v>
      </c>
      <c r="G257" s="49">
        <v>202.84769300931859</v>
      </c>
      <c r="H257" s="49">
        <v>191.14508532477521</v>
      </c>
      <c r="I257" s="49">
        <v>171.15507641910381</v>
      </c>
    </row>
    <row r="258" spans="1:9" x14ac:dyDescent="0.3">
      <c r="A258" s="10" t="s">
        <v>2053</v>
      </c>
      <c r="B258" s="7" t="s">
        <v>576</v>
      </c>
      <c r="C258" s="7" t="s">
        <v>1809</v>
      </c>
      <c r="D258" s="49">
        <v>37</v>
      </c>
      <c r="E258" s="49">
        <v>37</v>
      </c>
      <c r="F258" s="49">
        <v>37</v>
      </c>
      <c r="G258" s="49">
        <v>37</v>
      </c>
      <c r="H258" s="49">
        <v>37</v>
      </c>
      <c r="I258" s="49">
        <v>37</v>
      </c>
    </row>
    <row r="259" spans="1:9" x14ac:dyDescent="0.3">
      <c r="A259" s="10" t="s">
        <v>2054</v>
      </c>
      <c r="B259" s="7" t="s">
        <v>576</v>
      </c>
      <c r="C259" s="7" t="s">
        <v>1811</v>
      </c>
      <c r="D259" s="49">
        <v>3.7</v>
      </c>
      <c r="E259" s="49">
        <v>3.7</v>
      </c>
      <c r="F259" s="49">
        <v>3.7</v>
      </c>
      <c r="G259" s="49">
        <v>3.7</v>
      </c>
      <c r="H259" s="49">
        <v>3.7</v>
      </c>
      <c r="I259" s="49">
        <v>3.7</v>
      </c>
    </row>
    <row r="260" spans="1:9" x14ac:dyDescent="0.3">
      <c r="A260" s="10" t="s">
        <v>2055</v>
      </c>
      <c r="B260" s="7" t="s">
        <v>576</v>
      </c>
      <c r="C260" s="7" t="s">
        <v>162</v>
      </c>
      <c r="D260" s="49">
        <v>2121.3282774985478</v>
      </c>
      <c r="E260" s="49">
        <v>617.34442930405635</v>
      </c>
      <c r="F260" s="49">
        <v>305.43889036075342</v>
      </c>
      <c r="G260" s="49">
        <v>1065.8399414776729</v>
      </c>
      <c r="H260" s="49">
        <v>2469.9839510582619</v>
      </c>
      <c r="I260" s="49">
        <v>659.12394691518477</v>
      </c>
    </row>
    <row r="261" spans="1:9" x14ac:dyDescent="0.3">
      <c r="A261" s="10" t="s">
        <v>2056</v>
      </c>
      <c r="B261" s="7" t="s">
        <v>576</v>
      </c>
      <c r="C261" s="7" t="s">
        <v>1814</v>
      </c>
      <c r="D261" s="49">
        <v>381.83908994973848</v>
      </c>
      <c r="E261" s="49">
        <v>111.12199727473011</v>
      </c>
      <c r="F261" s="49">
        <v>53.45180581313187</v>
      </c>
      <c r="G261" s="49">
        <v>186.52198975859289</v>
      </c>
      <c r="H261" s="49">
        <v>432.24719143519587</v>
      </c>
      <c r="I261" s="49">
        <v>115.3466907101574</v>
      </c>
    </row>
    <row r="262" spans="1:9" x14ac:dyDescent="0.3">
      <c r="A262" s="10" t="s">
        <v>2057</v>
      </c>
      <c r="B262" s="7" t="s">
        <v>576</v>
      </c>
      <c r="C262" s="7" t="s">
        <v>166</v>
      </c>
      <c r="D262" s="49">
        <v>1739.489187548809</v>
      </c>
      <c r="E262" s="49">
        <v>506.22243202932623</v>
      </c>
      <c r="F262" s="49">
        <v>251.98708454762149</v>
      </c>
      <c r="G262" s="49">
        <v>879.3179517190805</v>
      </c>
      <c r="H262" s="49">
        <v>2037.7367596230661</v>
      </c>
      <c r="I262" s="49">
        <v>543.77725620502736</v>
      </c>
    </row>
    <row r="263" spans="1:9" x14ac:dyDescent="0.3">
      <c r="A263" s="10" t="s">
        <v>2058</v>
      </c>
      <c r="B263" s="7" t="s">
        <v>576</v>
      </c>
      <c r="C263" s="7" t="s">
        <v>956</v>
      </c>
      <c r="D263" s="49">
        <v>591.67581338190553</v>
      </c>
      <c r="E263" s="49">
        <v>586.35162676381105</v>
      </c>
      <c r="F263" s="49">
        <v>581.02744014571658</v>
      </c>
      <c r="G263" s="49">
        <v>575.70325352762211</v>
      </c>
      <c r="H263" s="49">
        <v>570.37906690952764</v>
      </c>
      <c r="I263" s="49">
        <v>565.05488029143316</v>
      </c>
    </row>
    <row r="264" spans="1:9" x14ac:dyDescent="0.3">
      <c r="A264" s="10" t="s">
        <v>2059</v>
      </c>
      <c r="B264" s="7" t="s">
        <v>576</v>
      </c>
      <c r="C264" s="7" t="s">
        <v>169</v>
      </c>
      <c r="D264" s="73">
        <v>2.9399362762628791</v>
      </c>
      <c r="E264" s="73">
        <v>0.86334276042392266</v>
      </c>
      <c r="F264" s="73">
        <v>0.4336922271423625</v>
      </c>
      <c r="G264" s="73">
        <v>1.527380549495003</v>
      </c>
      <c r="H264" s="73">
        <v>3.5726008856953499</v>
      </c>
      <c r="I264" s="73">
        <v>0.96234414597847262</v>
      </c>
    </row>
    <row r="265" spans="1:9" x14ac:dyDescent="0.3">
      <c r="A265" s="10" t="s">
        <v>2060</v>
      </c>
      <c r="B265" s="7" t="s">
        <v>576</v>
      </c>
      <c r="C265" s="7" t="s">
        <v>1819</v>
      </c>
      <c r="D265" s="49">
        <v>442.5997457392358</v>
      </c>
      <c r="E265" s="49">
        <v>390.13803969913403</v>
      </c>
      <c r="F265" s="49">
        <v>482.04190374248452</v>
      </c>
      <c r="G265" s="49">
        <v>509.0263212185053</v>
      </c>
      <c r="H265" s="49">
        <v>482.77857927360901</v>
      </c>
      <c r="I265" s="49">
        <v>421.48343239511519</v>
      </c>
    </row>
    <row r="266" spans="1:9" x14ac:dyDescent="0.3">
      <c r="A266" s="10" t="s">
        <v>2061</v>
      </c>
      <c r="B266" s="7" t="s">
        <v>576</v>
      </c>
      <c r="C266" s="7" t="s">
        <v>1821</v>
      </c>
      <c r="D266" s="49">
        <v>24.133643835616439</v>
      </c>
      <c r="E266" s="49">
        <v>21.66547397260274</v>
      </c>
      <c r="F266" s="49">
        <v>28.16963333333333</v>
      </c>
      <c r="G266" s="49">
        <v>26.183350000000001</v>
      </c>
      <c r="H266" s="49">
        <v>25.992999999999999</v>
      </c>
      <c r="I266" s="49">
        <v>23.294250000000002</v>
      </c>
    </row>
    <row r="267" spans="1:9" x14ac:dyDescent="0.3">
      <c r="A267" s="10" t="s">
        <v>2062</v>
      </c>
      <c r="B267" s="7" t="s">
        <v>576</v>
      </c>
      <c r="C267" s="7" t="s">
        <v>1823</v>
      </c>
      <c r="D267" s="49">
        <v>116.0634619512456</v>
      </c>
      <c r="E267" s="49">
        <v>116.0634619512456</v>
      </c>
      <c r="F267" s="49">
        <v>122.5634619512456</v>
      </c>
      <c r="G267" s="49">
        <v>122.5634619512456</v>
      </c>
      <c r="H267" s="49">
        <v>122.5634619512456</v>
      </c>
      <c r="I267" s="49">
        <v>122.5634619512456</v>
      </c>
    </row>
    <row r="268" spans="1:9" x14ac:dyDescent="0.3">
      <c r="A268" s="10" t="s">
        <v>2063</v>
      </c>
      <c r="B268" s="7" t="s">
        <v>576</v>
      </c>
      <c r="C268" s="7" t="s">
        <v>1825</v>
      </c>
      <c r="D268" s="49">
        <v>52.852679999999992</v>
      </c>
      <c r="E268" s="49">
        <v>47.447387999999997</v>
      </c>
      <c r="F268" s="49">
        <v>60.846407999999997</v>
      </c>
      <c r="G268" s="49">
        <v>56.556035999999999</v>
      </c>
      <c r="H268" s="49">
        <v>56.144880000000001</v>
      </c>
      <c r="I268" s="49">
        <v>50.315579999999997</v>
      </c>
    </row>
    <row r="269" spans="1:9" x14ac:dyDescent="0.3">
      <c r="A269" s="10" t="s">
        <v>2064</v>
      </c>
      <c r="B269" s="7" t="s">
        <v>576</v>
      </c>
      <c r="C269" s="7" t="s">
        <v>1827</v>
      </c>
      <c r="D269" s="49">
        <v>84.593822811131162</v>
      </c>
      <c r="E269" s="49">
        <v>73.525029526519631</v>
      </c>
      <c r="F269" s="49">
        <v>76.677949328201024</v>
      </c>
      <c r="G269" s="49">
        <v>80.554612317784887</v>
      </c>
      <c r="H269" s="49">
        <v>87.533184719407529</v>
      </c>
      <c r="I269" s="49">
        <v>76.890791968611538</v>
      </c>
    </row>
    <row r="270" spans="1:9" x14ac:dyDescent="0.3">
      <c r="A270" s="10" t="s">
        <v>2065</v>
      </c>
      <c r="B270" s="7" t="s">
        <v>576</v>
      </c>
      <c r="C270" s="7" t="s">
        <v>1829</v>
      </c>
      <c r="D270" s="49">
        <v>265.41340000000002</v>
      </c>
      <c r="E270" s="49">
        <v>234.4614</v>
      </c>
      <c r="F270" s="49">
        <v>232.91380000000001</v>
      </c>
      <c r="G270" s="49">
        <v>249.9374</v>
      </c>
      <c r="H270" s="49">
        <v>270.83558901125332</v>
      </c>
      <c r="I270" s="49">
        <v>238.31989916762089</v>
      </c>
    </row>
    <row r="271" spans="1:9" x14ac:dyDescent="0.3">
      <c r="A271" s="10" t="s">
        <v>2066</v>
      </c>
      <c r="B271" s="7" t="s">
        <v>576</v>
      </c>
      <c r="C271" s="7" t="s">
        <v>1831</v>
      </c>
      <c r="D271" s="49">
        <v>562.87244455290625</v>
      </c>
      <c r="E271" s="49">
        <v>476.17129999999997</v>
      </c>
      <c r="F271" s="49">
        <v>557.08138130626492</v>
      </c>
      <c r="G271" s="49">
        <v>628.19815338791568</v>
      </c>
      <c r="H271" s="49">
        <v>550.80637200494266</v>
      </c>
      <c r="I271" s="49">
        <v>587.99161230907396</v>
      </c>
    </row>
    <row r="272" spans="1:9" x14ac:dyDescent="0.3">
      <c r="A272" s="10" t="s">
        <v>2067</v>
      </c>
      <c r="B272" s="7" t="s">
        <v>576</v>
      </c>
      <c r="C272" s="7" t="s">
        <v>1833</v>
      </c>
      <c r="D272" s="49">
        <v>222.53526122449</v>
      </c>
      <c r="E272" s="49">
        <v>237.55873877551039</v>
      </c>
      <c r="F272" s="49">
        <v>230.48765784000011</v>
      </c>
      <c r="G272" s="49">
        <v>259.91161416000011</v>
      </c>
      <c r="H272" s="49">
        <v>227.8914264</v>
      </c>
      <c r="I272" s="49">
        <v>243.27650159999999</v>
      </c>
    </row>
    <row r="273" spans="1:9" x14ac:dyDescent="0.3">
      <c r="A273" s="10" t="s">
        <v>2068</v>
      </c>
      <c r="B273" s="7" t="s">
        <v>576</v>
      </c>
      <c r="C273" s="7" t="s">
        <v>1835</v>
      </c>
      <c r="D273" s="73">
        <v>8.7017250738056511</v>
      </c>
      <c r="E273" s="73">
        <v>8.5293244887968687</v>
      </c>
      <c r="F273" s="73">
        <v>6.5941592990887594</v>
      </c>
      <c r="G273" s="73">
        <v>7.5733321897568846</v>
      </c>
      <c r="H273" s="73">
        <v>8.2722757757240988</v>
      </c>
      <c r="I273" s="73">
        <v>8.1190171257601964</v>
      </c>
    </row>
    <row r="274" spans="1:9" x14ac:dyDescent="0.3">
      <c r="A274" s="10" t="s">
        <v>2069</v>
      </c>
      <c r="B274" s="7" t="s">
        <v>576</v>
      </c>
      <c r="C274" s="7" t="s">
        <v>1837</v>
      </c>
      <c r="D274" s="81">
        <v>1.7004754331459801E-2</v>
      </c>
      <c r="E274" s="81">
        <v>1.6971894902799978E-2</v>
      </c>
      <c r="F274" s="81">
        <v>1.478674289692157E-2</v>
      </c>
      <c r="G274" s="81">
        <v>1.7169051474758931E-2</v>
      </c>
      <c r="H274" s="81">
        <v>1.7004754331459801E-2</v>
      </c>
      <c r="I274" s="81">
        <v>1.6971894902799978E-2</v>
      </c>
    </row>
    <row r="275" spans="1:9" x14ac:dyDescent="0.3">
      <c r="A275" s="10" t="s">
        <v>2070</v>
      </c>
      <c r="B275" s="7" t="s">
        <v>576</v>
      </c>
      <c r="C275" s="7" t="s">
        <v>1839</v>
      </c>
      <c r="D275" s="81">
        <v>0.18</v>
      </c>
      <c r="E275" s="81">
        <v>0.18</v>
      </c>
      <c r="F275" s="81">
        <v>0.17499999999999999</v>
      </c>
      <c r="G275" s="81">
        <v>0.17499999999999999</v>
      </c>
      <c r="H275" s="81">
        <v>0.17499999999999999</v>
      </c>
      <c r="I275" s="81">
        <v>0.17499999999999999</v>
      </c>
    </row>
    <row r="277" spans="1:9" x14ac:dyDescent="0.3">
      <c r="A277" s="10" t="s">
        <v>2071</v>
      </c>
      <c r="B277" s="7" t="s">
        <v>1795</v>
      </c>
      <c r="C277" s="7" t="s">
        <v>134</v>
      </c>
      <c r="D277" s="49">
        <v>144.95599999999999</v>
      </c>
      <c r="E277" s="49">
        <v>131.65199999999999</v>
      </c>
      <c r="F277" s="49">
        <v>163.5523</v>
      </c>
      <c r="G277" s="49">
        <v>152.7876</v>
      </c>
      <c r="H277" s="49">
        <v>149.89179999999999</v>
      </c>
      <c r="I277" s="49">
        <v>136.03210000000001</v>
      </c>
    </row>
    <row r="278" spans="1:9" x14ac:dyDescent="0.3">
      <c r="A278" s="10" t="s">
        <v>2072</v>
      </c>
      <c r="B278" s="7" t="s">
        <v>1795</v>
      </c>
      <c r="C278" s="7" t="s">
        <v>136</v>
      </c>
      <c r="D278" s="49">
        <v>25.350899999999999</v>
      </c>
      <c r="E278" s="49">
        <v>22.642299999999999</v>
      </c>
      <c r="F278" s="49">
        <v>30.306899999999999</v>
      </c>
      <c r="G278" s="49">
        <v>27.799399999999999</v>
      </c>
      <c r="H278" s="49">
        <v>26.162199999999999</v>
      </c>
      <c r="I278" s="49">
        <v>23.564699999999998</v>
      </c>
    </row>
    <row r="279" spans="1:9" x14ac:dyDescent="0.3">
      <c r="A279" s="10" t="s">
        <v>2073</v>
      </c>
      <c r="B279" s="7" t="s">
        <v>1795</v>
      </c>
      <c r="C279" s="7" t="s">
        <v>692</v>
      </c>
      <c r="D279" s="49">
        <v>39.713972602739723</v>
      </c>
      <c r="E279" s="49">
        <v>36.069041095890412</v>
      </c>
      <c r="F279" s="49">
        <v>45.431194444444444</v>
      </c>
      <c r="G279" s="49">
        <v>42.441000000000003</v>
      </c>
      <c r="H279" s="49">
        <v>41.636611111111108</v>
      </c>
      <c r="I279" s="49">
        <v>37.78669444444445</v>
      </c>
    </row>
    <row r="280" spans="1:9" x14ac:dyDescent="0.3">
      <c r="A280" s="10" t="s">
        <v>2074</v>
      </c>
      <c r="B280" s="7" t="s">
        <v>1795</v>
      </c>
      <c r="C280" s="7" t="s">
        <v>139</v>
      </c>
      <c r="D280" s="49">
        <v>4755</v>
      </c>
      <c r="E280" s="49">
        <v>3123.8069999999998</v>
      </c>
      <c r="F280" s="49">
        <v>2995.1628999999998</v>
      </c>
      <c r="G280" s="49">
        <v>3803.7239</v>
      </c>
      <c r="H280" s="49">
        <v>4936.5379999999996</v>
      </c>
      <c r="I280" s="49">
        <v>3212.9090999999999</v>
      </c>
    </row>
    <row r="281" spans="1:9" x14ac:dyDescent="0.3">
      <c r="A281" s="10" t="s">
        <v>2075</v>
      </c>
      <c r="B281" s="7" t="s">
        <v>1795</v>
      </c>
      <c r="C281" s="7" t="s">
        <v>1780</v>
      </c>
      <c r="D281" s="49">
        <v>633.62885963474525</v>
      </c>
      <c r="E281" s="49">
        <v>575.51971451018687</v>
      </c>
      <c r="F281" s="49">
        <v>684.98331212150231</v>
      </c>
      <c r="G281" s="49">
        <v>709.84434170842565</v>
      </c>
      <c r="H281" s="49">
        <v>673.34358215597422</v>
      </c>
      <c r="I281" s="49">
        <v>616.85483875480043</v>
      </c>
    </row>
    <row r="282" spans="1:9" x14ac:dyDescent="0.3">
      <c r="A282" s="10" t="s">
        <v>2076</v>
      </c>
      <c r="B282" s="7" t="s">
        <v>1795</v>
      </c>
      <c r="C282" s="7" t="s">
        <v>1784</v>
      </c>
      <c r="D282" s="49">
        <v>375.00827134246578</v>
      </c>
      <c r="E282" s="49">
        <v>331.03533649315068</v>
      </c>
      <c r="F282" s="49">
        <v>329.461099141528</v>
      </c>
      <c r="G282" s="49">
        <v>352.64291636035063</v>
      </c>
      <c r="H282" s="49">
        <v>409.6593587541737</v>
      </c>
      <c r="I282" s="49">
        <v>361.58055966931039</v>
      </c>
    </row>
    <row r="283" spans="1:9" x14ac:dyDescent="0.3">
      <c r="A283" s="10" t="s">
        <v>2077</v>
      </c>
      <c r="B283" s="7" t="s">
        <v>1795</v>
      </c>
      <c r="C283" s="7" t="s">
        <v>1788</v>
      </c>
      <c r="D283" s="49">
        <v>365.68377858002412</v>
      </c>
      <c r="E283" s="49">
        <v>375.79622141997601</v>
      </c>
      <c r="F283" s="49">
        <v>433.0397344000001</v>
      </c>
      <c r="G283" s="49">
        <v>419.10360480000008</v>
      </c>
      <c r="H283" s="49">
        <v>417.91393520000008</v>
      </c>
      <c r="I283" s="49">
        <v>429.47072559999998</v>
      </c>
    </row>
    <row r="284" spans="1:9" x14ac:dyDescent="0.3">
      <c r="A284" s="10" t="s">
        <v>2078</v>
      </c>
      <c r="B284" s="7" t="s">
        <v>1795</v>
      </c>
      <c r="C284" s="7" t="s">
        <v>1791</v>
      </c>
      <c r="D284" s="49">
        <v>767.17272952086489</v>
      </c>
      <c r="E284" s="49">
        <v>802.48502040816334</v>
      </c>
      <c r="F284" s="49">
        <v>885.13857320274542</v>
      </c>
      <c r="G284" s="49">
        <v>998.13498680309579</v>
      </c>
      <c r="H284" s="49">
        <v>875.16830141447917</v>
      </c>
      <c r="I284" s="49">
        <v>934.25139349309381</v>
      </c>
    </row>
    <row r="285" spans="1:9" x14ac:dyDescent="0.3">
      <c r="A285" s="10" t="s">
        <v>2079</v>
      </c>
      <c r="B285" s="7" t="s">
        <v>1795</v>
      </c>
      <c r="C285" s="7" t="s">
        <v>1794</v>
      </c>
      <c r="D285" s="49">
        <v>272.97161547666542</v>
      </c>
      <c r="E285" s="49">
        <v>284.30838452333472</v>
      </c>
      <c r="F285" s="49">
        <v>260.33703264000007</v>
      </c>
      <c r="G285" s="49">
        <v>283.68662400000011</v>
      </c>
      <c r="H285" s="49">
        <v>267.97474943999998</v>
      </c>
      <c r="I285" s="49">
        <v>279.10399392000011</v>
      </c>
    </row>
    <row r="286" spans="1:9" x14ac:dyDescent="0.3">
      <c r="A286" s="10" t="s">
        <v>2080</v>
      </c>
      <c r="B286" s="7" t="s">
        <v>1795</v>
      </c>
      <c r="C286" s="7" t="s">
        <v>146</v>
      </c>
      <c r="D286" s="49">
        <v>2414.4652545547651</v>
      </c>
      <c r="E286" s="49">
        <v>2369.1446773548109</v>
      </c>
      <c r="F286" s="49">
        <v>2592.9597515057758</v>
      </c>
      <c r="G286" s="49">
        <v>2763.4124736718718</v>
      </c>
      <c r="H286" s="49">
        <v>2644.0599269646282</v>
      </c>
      <c r="I286" s="49">
        <v>2621.2615114372052</v>
      </c>
    </row>
    <row r="287" spans="1:9" x14ac:dyDescent="0.3">
      <c r="A287" s="10" t="s">
        <v>2081</v>
      </c>
      <c r="B287" s="7" t="s">
        <v>1795</v>
      </c>
      <c r="C287" s="7" t="s">
        <v>1801</v>
      </c>
      <c r="D287" s="49">
        <v>20.633970599907521</v>
      </c>
      <c r="E287" s="49">
        <v>20.633970599907521</v>
      </c>
      <c r="F287" s="49">
        <v>20.633970599907521</v>
      </c>
      <c r="G287" s="49">
        <v>20.633970599907521</v>
      </c>
      <c r="H287" s="49">
        <v>20.633970599907521</v>
      </c>
      <c r="I287" s="49">
        <v>20.633970599907521</v>
      </c>
    </row>
    <row r="288" spans="1:9" x14ac:dyDescent="0.3">
      <c r="A288" s="10" t="s">
        <v>2082</v>
      </c>
      <c r="B288" s="7" t="s">
        <v>1795</v>
      </c>
      <c r="C288" s="7" t="s">
        <v>151</v>
      </c>
      <c r="D288" s="49">
        <v>2361.168716045142</v>
      </c>
      <c r="E288" s="49">
        <v>775.29629324509597</v>
      </c>
      <c r="F288" s="49">
        <v>422.83711909413148</v>
      </c>
      <c r="G288" s="49">
        <v>1060.9453969280351</v>
      </c>
      <c r="H288" s="49">
        <v>2313.1120436352799</v>
      </c>
      <c r="I288" s="49">
        <v>612.28155916270271</v>
      </c>
    </row>
    <row r="289" spans="1:9" x14ac:dyDescent="0.3">
      <c r="A289" s="10" t="s">
        <v>2083</v>
      </c>
      <c r="B289" s="7" t="s">
        <v>1795</v>
      </c>
      <c r="C289" s="7" t="s">
        <v>1804</v>
      </c>
      <c r="D289" s="49">
        <v>451.57918566107082</v>
      </c>
      <c r="E289" s="49">
        <v>465.16051455313311</v>
      </c>
      <c r="F289" s="49">
        <v>464.02873714546132</v>
      </c>
      <c r="G289" s="49">
        <v>551.17559753619423</v>
      </c>
      <c r="H289" s="49">
        <v>511.0871201060549</v>
      </c>
      <c r="I289" s="49">
        <v>526.45816131225195</v>
      </c>
    </row>
    <row r="290" spans="1:9" x14ac:dyDescent="0.3">
      <c r="A290" s="10" t="s">
        <v>2084</v>
      </c>
      <c r="B290" s="7" t="s">
        <v>1795</v>
      </c>
      <c r="C290" s="7" t="s">
        <v>157</v>
      </c>
      <c r="D290" s="49">
        <v>1888.9555597841641</v>
      </c>
      <c r="E290" s="49">
        <v>289.50180809205528</v>
      </c>
      <c r="F290" s="49">
        <v>-61.82558865123724</v>
      </c>
      <c r="G290" s="49">
        <v>489.13582879193348</v>
      </c>
      <c r="H290" s="49">
        <v>1781.3909529293171</v>
      </c>
      <c r="I290" s="49">
        <v>65.18942725054319</v>
      </c>
    </row>
    <row r="291" spans="1:9" x14ac:dyDescent="0.3">
      <c r="A291" s="10" t="s">
        <v>2085</v>
      </c>
      <c r="B291" s="7" t="s">
        <v>1795</v>
      </c>
      <c r="C291" s="7" t="s">
        <v>1807</v>
      </c>
      <c r="D291" s="49">
        <v>174.34749748724039</v>
      </c>
      <c r="E291" s="49">
        <v>157.66303407320169</v>
      </c>
      <c r="F291" s="49">
        <v>168.67223377697329</v>
      </c>
      <c r="G291" s="49">
        <v>186.3554366949742</v>
      </c>
      <c r="H291" s="49">
        <v>176.2931543358423</v>
      </c>
      <c r="I291" s="49">
        <v>159.77656496622231</v>
      </c>
    </row>
    <row r="292" spans="1:9" x14ac:dyDescent="0.3">
      <c r="A292" s="10" t="s">
        <v>2086</v>
      </c>
      <c r="B292" s="7" t="s">
        <v>1795</v>
      </c>
      <c r="C292" s="7" t="s">
        <v>1809</v>
      </c>
      <c r="D292" s="49">
        <v>37</v>
      </c>
      <c r="E292" s="49">
        <v>37</v>
      </c>
      <c r="F292" s="49">
        <v>37</v>
      </c>
      <c r="G292" s="49">
        <v>37</v>
      </c>
      <c r="H292" s="49">
        <v>37</v>
      </c>
      <c r="I292" s="49">
        <v>37</v>
      </c>
    </row>
    <row r="293" spans="1:9" x14ac:dyDescent="0.3">
      <c r="A293" s="10" t="s">
        <v>2087</v>
      </c>
      <c r="B293" s="7" t="s">
        <v>1795</v>
      </c>
      <c r="C293" s="7" t="s">
        <v>1811</v>
      </c>
      <c r="D293" s="49">
        <v>3.7</v>
      </c>
      <c r="E293" s="49">
        <v>3.7</v>
      </c>
      <c r="F293" s="49">
        <v>3.7</v>
      </c>
      <c r="G293" s="49">
        <v>3.7</v>
      </c>
      <c r="H293" s="49">
        <v>3.7</v>
      </c>
      <c r="I293" s="49">
        <v>3.7</v>
      </c>
    </row>
    <row r="294" spans="1:9" x14ac:dyDescent="0.3">
      <c r="A294" s="10" t="s">
        <v>2088</v>
      </c>
      <c r="B294" s="7" t="s">
        <v>1795</v>
      </c>
      <c r="C294" s="7" t="s">
        <v>162</v>
      </c>
      <c r="D294" s="49">
        <v>2030.0030572714049</v>
      </c>
      <c r="E294" s="49">
        <v>413.86484216525702</v>
      </c>
      <c r="F294" s="49">
        <v>73.546645125736077</v>
      </c>
      <c r="G294" s="49">
        <v>642.1912654869077</v>
      </c>
      <c r="H294" s="49">
        <v>1924.3841072651601</v>
      </c>
      <c r="I294" s="49">
        <v>191.6659922167654</v>
      </c>
    </row>
    <row r="295" spans="1:9" x14ac:dyDescent="0.3">
      <c r="A295" s="10" t="s">
        <v>2089</v>
      </c>
      <c r="B295" s="7" t="s">
        <v>1795</v>
      </c>
      <c r="C295" s="7" t="s">
        <v>1814</v>
      </c>
      <c r="D295" s="49">
        <v>365.40055030885259</v>
      </c>
      <c r="E295" s="49">
        <v>74.495671589746223</v>
      </c>
      <c r="F295" s="49">
        <v>12.87066289700382</v>
      </c>
      <c r="G295" s="49">
        <v>112.3834714602088</v>
      </c>
      <c r="H295" s="49">
        <v>336.76721877140312</v>
      </c>
      <c r="I295" s="49">
        <v>33.541548637933971</v>
      </c>
    </row>
    <row r="296" spans="1:9" x14ac:dyDescent="0.3">
      <c r="A296" s="10" t="s">
        <v>2090</v>
      </c>
      <c r="B296" s="7" t="s">
        <v>1795</v>
      </c>
      <c r="C296" s="7" t="s">
        <v>166</v>
      </c>
      <c r="D296" s="49">
        <v>1664.6025069625521</v>
      </c>
      <c r="E296" s="49">
        <v>339.36917057551079</v>
      </c>
      <c r="F296" s="49">
        <v>60.675982228732259</v>
      </c>
      <c r="G296" s="49">
        <v>529.80779402669884</v>
      </c>
      <c r="H296" s="49">
        <v>1587.616888493757</v>
      </c>
      <c r="I296" s="49">
        <v>158.12444357883149</v>
      </c>
    </row>
    <row r="297" spans="1:9" x14ac:dyDescent="0.3">
      <c r="A297" s="10" t="s">
        <v>2091</v>
      </c>
      <c r="B297" s="7" t="s">
        <v>1795</v>
      </c>
      <c r="C297" s="7" t="s">
        <v>956</v>
      </c>
      <c r="D297" s="49">
        <v>591.67581338190553</v>
      </c>
      <c r="E297" s="49">
        <v>586.35162676381105</v>
      </c>
      <c r="F297" s="49">
        <v>581.02744014571658</v>
      </c>
      <c r="G297" s="49">
        <v>575.70325352762211</v>
      </c>
      <c r="H297" s="49">
        <v>570.37906690952764</v>
      </c>
      <c r="I297" s="49">
        <v>565.05488029143316</v>
      </c>
    </row>
    <row r="298" spans="1:9" x14ac:dyDescent="0.3">
      <c r="A298" s="10" t="s">
        <v>2092</v>
      </c>
      <c r="B298" s="7" t="s">
        <v>1795</v>
      </c>
      <c r="C298" s="7" t="s">
        <v>169</v>
      </c>
      <c r="D298" s="73">
        <v>2.813369195282807</v>
      </c>
      <c r="E298" s="73">
        <v>0.57878098240906295</v>
      </c>
      <c r="F298" s="73">
        <v>0.1044287722685098</v>
      </c>
      <c r="G298" s="73">
        <v>0.92027931192033596</v>
      </c>
      <c r="H298" s="73">
        <v>2.7834417155172022</v>
      </c>
      <c r="I298" s="73">
        <v>0.27983909013807129</v>
      </c>
    </row>
    <row r="299" spans="1:9" x14ac:dyDescent="0.3">
      <c r="A299" s="10" t="s">
        <v>2093</v>
      </c>
      <c r="B299" s="7" t="s">
        <v>1795</v>
      </c>
      <c r="C299" s="7" t="s">
        <v>1819</v>
      </c>
      <c r="D299" s="49">
        <v>462.57164438140438</v>
      </c>
      <c r="E299" s="49">
        <v>412.35013103766801</v>
      </c>
      <c r="F299" s="49">
        <v>480.87179030271238</v>
      </c>
      <c r="G299" s="49">
        <v>512.1497771674135</v>
      </c>
      <c r="H299" s="49">
        <v>477.37523617051772</v>
      </c>
      <c r="I299" s="49">
        <v>429.14841393601063</v>
      </c>
    </row>
    <row r="300" spans="1:9" x14ac:dyDescent="0.3">
      <c r="A300" s="10" t="s">
        <v>2094</v>
      </c>
      <c r="B300" s="7" t="s">
        <v>1795</v>
      </c>
      <c r="C300" s="7" t="s">
        <v>1821</v>
      </c>
      <c r="D300" s="49">
        <v>33.756876712328761</v>
      </c>
      <c r="E300" s="49">
        <v>30.658684931506841</v>
      </c>
      <c r="F300" s="49">
        <v>38.616515277777779</v>
      </c>
      <c r="G300" s="49">
        <v>36.074849999999998</v>
      </c>
      <c r="H300" s="49">
        <v>35.391119444444442</v>
      </c>
      <c r="I300" s="49">
        <v>32.11869027777778</v>
      </c>
    </row>
    <row r="301" spans="1:9" x14ac:dyDescent="0.3">
      <c r="A301" s="10" t="s">
        <v>2095</v>
      </c>
      <c r="B301" s="7" t="s">
        <v>1795</v>
      </c>
      <c r="C301" s="7" t="s">
        <v>1823</v>
      </c>
      <c r="D301" s="49">
        <v>85.11617854101209</v>
      </c>
      <c r="E301" s="49">
        <v>85.11617854101209</v>
      </c>
      <c r="F301" s="49">
        <v>106.6161785410121</v>
      </c>
      <c r="G301" s="49">
        <v>106.6161785410121</v>
      </c>
      <c r="H301" s="49">
        <v>106.6161785410121</v>
      </c>
      <c r="I301" s="49">
        <v>106.6161785410121</v>
      </c>
    </row>
    <row r="302" spans="1:9" x14ac:dyDescent="0.3">
      <c r="A302" s="10" t="s">
        <v>2096</v>
      </c>
      <c r="B302" s="7" t="s">
        <v>1795</v>
      </c>
      <c r="C302" s="7" t="s">
        <v>1825</v>
      </c>
      <c r="D302" s="49">
        <v>52.184159999999991</v>
      </c>
      <c r="E302" s="49">
        <v>47.394719999999992</v>
      </c>
      <c r="F302" s="49">
        <v>58.878827999999999</v>
      </c>
      <c r="G302" s="49">
        <v>55.003535999999997</v>
      </c>
      <c r="H302" s="49">
        <v>53.961047999999991</v>
      </c>
      <c r="I302" s="49">
        <v>48.971556000000007</v>
      </c>
    </row>
    <row r="303" spans="1:9" x14ac:dyDescent="0.3">
      <c r="A303" s="10" t="s">
        <v>2097</v>
      </c>
      <c r="B303" s="7" t="s">
        <v>1795</v>
      </c>
      <c r="C303" s="7" t="s">
        <v>1827</v>
      </c>
      <c r="D303" s="49">
        <v>59.002371342465757</v>
      </c>
      <c r="E303" s="49">
        <v>51.881436493150687</v>
      </c>
      <c r="F303" s="49">
        <v>52.149799141527957</v>
      </c>
      <c r="G303" s="49">
        <v>55.063016360350623</v>
      </c>
      <c r="H303" s="49">
        <v>64.164238366359967</v>
      </c>
      <c r="I303" s="49">
        <v>56.597704158170622</v>
      </c>
    </row>
    <row r="304" spans="1:9" x14ac:dyDescent="0.3">
      <c r="A304" s="10" t="s">
        <v>2098</v>
      </c>
      <c r="B304" s="7" t="s">
        <v>1795</v>
      </c>
      <c r="C304" s="7" t="s">
        <v>1829</v>
      </c>
      <c r="D304" s="49">
        <v>316.0059</v>
      </c>
      <c r="E304" s="49">
        <v>279.15390000000002</v>
      </c>
      <c r="F304" s="49">
        <v>277.31130000000002</v>
      </c>
      <c r="G304" s="49">
        <v>297.57990000000001</v>
      </c>
      <c r="H304" s="49">
        <v>345.49512038781381</v>
      </c>
      <c r="I304" s="49">
        <v>304.98285551113969</v>
      </c>
    </row>
    <row r="305" spans="1:9" x14ac:dyDescent="0.3">
      <c r="A305" s="10" t="s">
        <v>2099</v>
      </c>
      <c r="B305" s="7" t="s">
        <v>1795</v>
      </c>
      <c r="C305" s="7" t="s">
        <v>1831</v>
      </c>
      <c r="D305" s="49">
        <v>514.41754992902816</v>
      </c>
      <c r="E305" s="49">
        <v>532.6662</v>
      </c>
      <c r="F305" s="49">
        <v>620.2050665627454</v>
      </c>
      <c r="G305" s="49">
        <v>699.38018144309581</v>
      </c>
      <c r="H305" s="49">
        <v>613.21902701447914</v>
      </c>
      <c r="I305" s="49">
        <v>654.61777989309383</v>
      </c>
    </row>
    <row r="306" spans="1:9" x14ac:dyDescent="0.3">
      <c r="A306" s="10" t="s">
        <v>2100</v>
      </c>
      <c r="B306" s="7" t="s">
        <v>1795</v>
      </c>
      <c r="C306" s="7" t="s">
        <v>1833</v>
      </c>
      <c r="D306" s="49">
        <v>252.75517959183679</v>
      </c>
      <c r="E306" s="49">
        <v>269.81882040816328</v>
      </c>
      <c r="F306" s="49">
        <v>264.93350664000002</v>
      </c>
      <c r="G306" s="49">
        <v>298.75480535999998</v>
      </c>
      <c r="H306" s="49">
        <v>261.94927439999998</v>
      </c>
      <c r="I306" s="49">
        <v>279.63361359999999</v>
      </c>
    </row>
    <row r="307" spans="1:9" x14ac:dyDescent="0.3">
      <c r="A307" s="10" t="s">
        <v>2101</v>
      </c>
      <c r="B307" s="7" t="s">
        <v>1795</v>
      </c>
      <c r="C307" s="7" t="s">
        <v>1835</v>
      </c>
      <c r="D307" s="73">
        <v>9.4427287618311784</v>
      </c>
      <c r="E307" s="73">
        <v>9.1778247060432037</v>
      </c>
      <c r="F307" s="73">
        <v>7.2518696276940204</v>
      </c>
      <c r="G307" s="73">
        <v>8.309015253183258</v>
      </c>
      <c r="H307" s="73">
        <v>9.8389217523241808</v>
      </c>
      <c r="I307" s="73">
        <v>9.5689915454478562</v>
      </c>
    </row>
    <row r="308" spans="1:9" x14ac:dyDescent="0.3">
      <c r="A308" s="10" t="s">
        <v>2102</v>
      </c>
      <c r="B308" s="7" t="s">
        <v>1795</v>
      </c>
      <c r="C308" s="7" t="s">
        <v>1837</v>
      </c>
      <c r="D308" s="81">
        <v>1.8246754331459801E-2</v>
      </c>
      <c r="E308" s="81">
        <v>1.8211494902799979E-2</v>
      </c>
      <c r="F308" s="81">
        <v>1.5866742896921571E-2</v>
      </c>
      <c r="G308" s="81">
        <v>1.8423051474758929E-2</v>
      </c>
      <c r="H308" s="81">
        <v>1.8246754331459801E-2</v>
      </c>
      <c r="I308" s="81">
        <v>1.8211494902799979E-2</v>
      </c>
    </row>
    <row r="309" spans="1:9" x14ac:dyDescent="0.3">
      <c r="A309" s="10" t="s">
        <v>2103</v>
      </c>
      <c r="B309" s="7" t="s">
        <v>1795</v>
      </c>
      <c r="C309" s="7" t="s">
        <v>1839</v>
      </c>
      <c r="D309" s="81">
        <v>0.18</v>
      </c>
      <c r="E309" s="81">
        <v>0.18</v>
      </c>
      <c r="F309" s="81">
        <v>0.17499999999999999</v>
      </c>
      <c r="G309" s="81">
        <v>0.17499999999999999</v>
      </c>
      <c r="H309" s="81">
        <v>0.17499999999999999</v>
      </c>
      <c r="I309" s="81">
        <v>0.17499999999999999</v>
      </c>
    </row>
    <row r="311" spans="1:9" x14ac:dyDescent="0.3">
      <c r="A311" s="10" t="s">
        <v>2104</v>
      </c>
      <c r="B311" s="7" t="s">
        <v>1798</v>
      </c>
      <c r="C311" s="7" t="s">
        <v>134</v>
      </c>
      <c r="D311" s="49">
        <v>148.29599999999999</v>
      </c>
      <c r="E311" s="49">
        <v>132.7003</v>
      </c>
      <c r="F311" s="49">
        <v>172.63849999999999</v>
      </c>
      <c r="G311" s="49">
        <v>161.3801</v>
      </c>
      <c r="H311" s="49">
        <v>161.17400000000001</v>
      </c>
      <c r="I311" s="49">
        <v>144.07409999999999</v>
      </c>
    </row>
    <row r="312" spans="1:9" x14ac:dyDescent="0.3">
      <c r="A312" s="10" t="s">
        <v>2105</v>
      </c>
      <c r="B312" s="7" t="s">
        <v>1798</v>
      </c>
      <c r="C312" s="7" t="s">
        <v>136</v>
      </c>
      <c r="D312" s="49">
        <v>26.6493</v>
      </c>
      <c r="E312" s="49">
        <v>23.464400000000001</v>
      </c>
      <c r="F312" s="49">
        <v>34.122300000000003</v>
      </c>
      <c r="G312" s="49">
        <v>31.316099999999999</v>
      </c>
      <c r="H312" s="49">
        <v>30.4893</v>
      </c>
      <c r="I312" s="49">
        <v>26.284099999999999</v>
      </c>
    </row>
    <row r="313" spans="1:9" x14ac:dyDescent="0.3">
      <c r="A313" s="10" t="s">
        <v>2106</v>
      </c>
      <c r="B313" s="7" t="s">
        <v>1798</v>
      </c>
      <c r="C313" s="7" t="s">
        <v>692</v>
      </c>
      <c r="D313" s="49">
        <v>40.629041095890408</v>
      </c>
      <c r="E313" s="49">
        <v>36.356246575342468</v>
      </c>
      <c r="F313" s="49">
        <v>47.955138888888889</v>
      </c>
      <c r="G313" s="49">
        <v>44.827805555555557</v>
      </c>
      <c r="H313" s="49">
        <v>44.770555555555553</v>
      </c>
      <c r="I313" s="49">
        <v>40.020583333333327</v>
      </c>
    </row>
    <row r="314" spans="1:9" x14ac:dyDescent="0.3">
      <c r="A314" s="10" t="s">
        <v>2107</v>
      </c>
      <c r="B314" s="7" t="s">
        <v>1798</v>
      </c>
      <c r="C314" s="7" t="s">
        <v>139</v>
      </c>
      <c r="D314" s="49">
        <v>4878</v>
      </c>
      <c r="E314" s="49">
        <v>3227.9366</v>
      </c>
      <c r="F314" s="49">
        <v>3119.9376000000002</v>
      </c>
      <c r="G314" s="49">
        <v>4189.9053999999996</v>
      </c>
      <c r="H314" s="49">
        <v>5559.9476999999997</v>
      </c>
      <c r="I314" s="49">
        <v>3700.9529000000002</v>
      </c>
    </row>
    <row r="315" spans="1:9" x14ac:dyDescent="0.3">
      <c r="A315" s="10" t="s">
        <v>2108</v>
      </c>
      <c r="B315" s="7" t="s">
        <v>1798</v>
      </c>
      <c r="C315" s="7" t="s">
        <v>1780</v>
      </c>
      <c r="D315" s="49">
        <v>646.99224621415158</v>
      </c>
      <c r="E315" s="49">
        <v>583.88464865371088</v>
      </c>
      <c r="F315" s="49">
        <v>718.04408243620583</v>
      </c>
      <c r="G315" s="49">
        <v>745.22471417327711</v>
      </c>
      <c r="H315" s="49">
        <v>725.91149152275648</v>
      </c>
      <c r="I315" s="49">
        <v>644.53347076593036</v>
      </c>
    </row>
    <row r="316" spans="1:9" x14ac:dyDescent="0.3">
      <c r="A316" s="10" t="s">
        <v>2109</v>
      </c>
      <c r="B316" s="7" t="s">
        <v>1798</v>
      </c>
      <c r="C316" s="7" t="s">
        <v>1784</v>
      </c>
      <c r="D316" s="49">
        <v>350.86172915068488</v>
      </c>
      <c r="E316" s="49">
        <v>308.48961945107038</v>
      </c>
      <c r="F316" s="49">
        <v>311.23434467101481</v>
      </c>
      <c r="G316" s="49">
        <v>332.68662416539109</v>
      </c>
      <c r="H316" s="49">
        <v>361.27153978280268</v>
      </c>
      <c r="I316" s="49">
        <v>317.56025645916287</v>
      </c>
    </row>
    <row r="317" spans="1:9" x14ac:dyDescent="0.3">
      <c r="A317" s="10" t="s">
        <v>2110</v>
      </c>
      <c r="B317" s="7" t="s">
        <v>1798</v>
      </c>
      <c r="C317" s="7" t="s">
        <v>1788</v>
      </c>
      <c r="D317" s="49">
        <v>352.50598475732062</v>
      </c>
      <c r="E317" s="49">
        <v>362.25401524267949</v>
      </c>
      <c r="F317" s="49">
        <v>399.16601087999999</v>
      </c>
      <c r="G317" s="49">
        <v>386.32000896000011</v>
      </c>
      <c r="H317" s="49">
        <v>385.22339904000012</v>
      </c>
      <c r="I317" s="49">
        <v>395.87618112000001</v>
      </c>
    </row>
    <row r="318" spans="1:9" x14ac:dyDescent="0.3">
      <c r="A318" s="10" t="s">
        <v>2111</v>
      </c>
      <c r="B318" s="7" t="s">
        <v>1798</v>
      </c>
      <c r="C318" s="7" t="s">
        <v>1791</v>
      </c>
      <c r="D318" s="49">
        <v>785.40770577739613</v>
      </c>
      <c r="E318" s="49">
        <v>713.73003877551037</v>
      </c>
      <c r="F318" s="49">
        <v>787.56903914626491</v>
      </c>
      <c r="G318" s="49">
        <v>888.10976754791568</v>
      </c>
      <c r="H318" s="49">
        <v>778.69779840494266</v>
      </c>
      <c r="I318" s="49">
        <v>831.26811390907403</v>
      </c>
    </row>
    <row r="319" spans="1:9" x14ac:dyDescent="0.3">
      <c r="A319" s="10" t="s">
        <v>2112</v>
      </c>
      <c r="B319" s="7" t="s">
        <v>1798</v>
      </c>
      <c r="C319" s="7" t="s">
        <v>1794</v>
      </c>
      <c r="D319" s="49">
        <v>257.80652572796168</v>
      </c>
      <c r="E319" s="49">
        <v>268.51347427203831</v>
      </c>
      <c r="F319" s="49">
        <v>240.67572455999999</v>
      </c>
      <c r="G319" s="49">
        <v>262.26189599999998</v>
      </c>
      <c r="H319" s="49">
        <v>247.73662175999999</v>
      </c>
      <c r="I319" s="49">
        <v>258.02535768000001</v>
      </c>
    </row>
    <row r="320" spans="1:9" x14ac:dyDescent="0.3">
      <c r="A320" s="10" t="s">
        <v>2113</v>
      </c>
      <c r="B320" s="7" t="s">
        <v>1798</v>
      </c>
      <c r="C320" s="7" t="s">
        <v>146</v>
      </c>
      <c r="D320" s="49">
        <v>2393.5741916275151</v>
      </c>
      <c r="E320" s="49">
        <v>2236.8717963950089</v>
      </c>
      <c r="F320" s="49">
        <v>2456.6892016934862</v>
      </c>
      <c r="G320" s="49">
        <v>2614.6030108465839</v>
      </c>
      <c r="H320" s="49">
        <v>2498.8408505105022</v>
      </c>
      <c r="I320" s="49">
        <v>2447.263379934167</v>
      </c>
    </row>
    <row r="321" spans="1:9" x14ac:dyDescent="0.3">
      <c r="A321" s="10" t="s">
        <v>2114</v>
      </c>
      <c r="B321" s="7" t="s">
        <v>1798</v>
      </c>
      <c r="C321" s="7" t="s">
        <v>1801</v>
      </c>
      <c r="D321" s="49">
        <v>20.633970599907521</v>
      </c>
      <c r="E321" s="49">
        <v>20.633970599907521</v>
      </c>
      <c r="F321" s="49">
        <v>20.633970599907521</v>
      </c>
      <c r="G321" s="49">
        <v>20.633970599907521</v>
      </c>
      <c r="H321" s="49">
        <v>20.633970599907521</v>
      </c>
      <c r="I321" s="49">
        <v>20.633970599907521</v>
      </c>
    </row>
    <row r="322" spans="1:9" x14ac:dyDescent="0.3">
      <c r="A322" s="10" t="s">
        <v>2115</v>
      </c>
      <c r="B322" s="7" t="s">
        <v>1798</v>
      </c>
      <c r="C322" s="7" t="s">
        <v>151</v>
      </c>
      <c r="D322" s="49">
        <v>2505.059778972392</v>
      </c>
      <c r="E322" s="49">
        <v>1011.698774204898</v>
      </c>
      <c r="F322" s="49">
        <v>683.88236890642202</v>
      </c>
      <c r="G322" s="49">
        <v>1595.9363597533229</v>
      </c>
      <c r="H322" s="49">
        <v>3081.7408200894051</v>
      </c>
      <c r="I322" s="49">
        <v>1274.3234906657401</v>
      </c>
    </row>
    <row r="323" spans="1:9" x14ac:dyDescent="0.3">
      <c r="A323" s="10" t="s">
        <v>2116</v>
      </c>
      <c r="B323" s="7" t="s">
        <v>1798</v>
      </c>
      <c r="C323" s="7" t="s">
        <v>1804</v>
      </c>
      <c r="D323" s="49">
        <v>451.57918566107082</v>
      </c>
      <c r="E323" s="49">
        <v>465.16051455313311</v>
      </c>
      <c r="F323" s="49">
        <v>464.02873714546132</v>
      </c>
      <c r="G323" s="49">
        <v>551.17559753619423</v>
      </c>
      <c r="H323" s="49">
        <v>511.0871201060549</v>
      </c>
      <c r="I323" s="49">
        <v>526.45816131225195</v>
      </c>
    </row>
    <row r="324" spans="1:9" x14ac:dyDescent="0.3">
      <c r="A324" s="10" t="s">
        <v>2117</v>
      </c>
      <c r="B324" s="7" t="s">
        <v>1798</v>
      </c>
      <c r="C324" s="7" t="s">
        <v>157</v>
      </c>
      <c r="D324" s="49">
        <v>2032.8466227114141</v>
      </c>
      <c r="E324" s="49">
        <v>525.90428905185752</v>
      </c>
      <c r="F324" s="49">
        <v>199.21966116105321</v>
      </c>
      <c r="G324" s="49">
        <v>1024.126791617221</v>
      </c>
      <c r="H324" s="49">
        <v>2550.0197293834431</v>
      </c>
      <c r="I324" s="49">
        <v>727.23135875358082</v>
      </c>
    </row>
    <row r="325" spans="1:9" x14ac:dyDescent="0.3">
      <c r="A325" s="10" t="s">
        <v>2118</v>
      </c>
      <c r="B325" s="7" t="s">
        <v>1798</v>
      </c>
      <c r="C325" s="7" t="s">
        <v>1807</v>
      </c>
      <c r="D325" s="49">
        <v>184.35466358439541</v>
      </c>
      <c r="E325" s="49">
        <v>166.97165783250969</v>
      </c>
      <c r="F325" s="49">
        <v>183.1990999574856</v>
      </c>
      <c r="G325" s="49">
        <v>208.2025255222556</v>
      </c>
      <c r="H325" s="49">
        <v>196.9549683602564</v>
      </c>
      <c r="I325" s="49">
        <v>175.91403222206591</v>
      </c>
    </row>
    <row r="326" spans="1:9" x14ac:dyDescent="0.3">
      <c r="A326" s="10" t="s">
        <v>2119</v>
      </c>
      <c r="B326" s="7" t="s">
        <v>1798</v>
      </c>
      <c r="C326" s="7" t="s">
        <v>1809</v>
      </c>
      <c r="D326" s="49">
        <v>37</v>
      </c>
      <c r="E326" s="49">
        <v>37</v>
      </c>
      <c r="F326" s="49">
        <v>37</v>
      </c>
      <c r="G326" s="49">
        <v>37</v>
      </c>
      <c r="H326" s="49">
        <v>37</v>
      </c>
      <c r="I326" s="49">
        <v>37</v>
      </c>
    </row>
    <row r="327" spans="1:9" x14ac:dyDescent="0.3">
      <c r="A327" s="10" t="s">
        <v>2120</v>
      </c>
      <c r="B327" s="7" t="s">
        <v>1798</v>
      </c>
      <c r="C327" s="7" t="s">
        <v>1811</v>
      </c>
      <c r="D327" s="49">
        <v>3.7</v>
      </c>
      <c r="E327" s="49">
        <v>3.7</v>
      </c>
      <c r="F327" s="49">
        <v>3.7</v>
      </c>
      <c r="G327" s="49">
        <v>3.7</v>
      </c>
      <c r="H327" s="49">
        <v>3.7</v>
      </c>
      <c r="I327" s="49">
        <v>3.7</v>
      </c>
    </row>
    <row r="328" spans="1:9" x14ac:dyDescent="0.3">
      <c r="A328" s="10" t="s">
        <v>2121</v>
      </c>
      <c r="B328" s="7" t="s">
        <v>1798</v>
      </c>
      <c r="C328" s="7" t="s">
        <v>162</v>
      </c>
      <c r="D328" s="49">
        <v>2183.9012862958089</v>
      </c>
      <c r="E328" s="49">
        <v>659.57594688436723</v>
      </c>
      <c r="F328" s="49">
        <v>349.11876111853883</v>
      </c>
      <c r="G328" s="49">
        <v>1199.0293171394769</v>
      </c>
      <c r="H328" s="49">
        <v>2713.6746977436992</v>
      </c>
      <c r="I328" s="49">
        <v>869.84539097564675</v>
      </c>
    </row>
    <row r="329" spans="1:9" x14ac:dyDescent="0.3">
      <c r="A329" s="10" t="s">
        <v>2122</v>
      </c>
      <c r="B329" s="7" t="s">
        <v>1798</v>
      </c>
      <c r="C329" s="7" t="s">
        <v>1814</v>
      </c>
      <c r="D329" s="49">
        <v>393.10223153324552</v>
      </c>
      <c r="E329" s="49">
        <v>118.72367043918609</v>
      </c>
      <c r="F329" s="49">
        <v>61.095783195744282</v>
      </c>
      <c r="G329" s="49">
        <v>209.8301304994086</v>
      </c>
      <c r="H329" s="49">
        <v>474.89307210514738</v>
      </c>
      <c r="I329" s="49">
        <v>152.22294342073829</v>
      </c>
    </row>
    <row r="330" spans="1:9" x14ac:dyDescent="0.3">
      <c r="A330" s="10" t="s">
        <v>2123</v>
      </c>
      <c r="B330" s="7" t="s">
        <v>1798</v>
      </c>
      <c r="C330" s="7" t="s">
        <v>166</v>
      </c>
      <c r="D330" s="49">
        <v>1790.7990547625641</v>
      </c>
      <c r="E330" s="49">
        <v>540.85227644518113</v>
      </c>
      <c r="F330" s="49">
        <v>288.0229779227945</v>
      </c>
      <c r="G330" s="49">
        <v>989.19918664006843</v>
      </c>
      <c r="H330" s="49">
        <v>2238.7816256385522</v>
      </c>
      <c r="I330" s="49">
        <v>717.62244755490849</v>
      </c>
    </row>
    <row r="331" spans="1:9" x14ac:dyDescent="0.3">
      <c r="A331" s="10" t="s">
        <v>2124</v>
      </c>
      <c r="B331" s="7" t="s">
        <v>1798</v>
      </c>
      <c r="C331" s="7" t="s">
        <v>956</v>
      </c>
      <c r="D331" s="49">
        <v>591.67581338190553</v>
      </c>
      <c r="E331" s="49">
        <v>586.35162676381105</v>
      </c>
      <c r="F331" s="49">
        <v>581.02744014571658</v>
      </c>
      <c r="G331" s="49">
        <v>575.70325352762211</v>
      </c>
      <c r="H331" s="49">
        <v>570.37906690952764</v>
      </c>
      <c r="I331" s="49">
        <v>565.05488029143316</v>
      </c>
    </row>
    <row r="332" spans="1:9" x14ac:dyDescent="0.3">
      <c r="A332" s="10" t="s">
        <v>2125</v>
      </c>
      <c r="B332" s="7" t="s">
        <v>1798</v>
      </c>
      <c r="C332" s="7" t="s">
        <v>169</v>
      </c>
      <c r="D332" s="73">
        <v>3.0266558379777262</v>
      </c>
      <c r="E332" s="73">
        <v>0.9224026194491014</v>
      </c>
      <c r="F332" s="73">
        <v>0.4957132108090469</v>
      </c>
      <c r="G332" s="73">
        <v>1.7182449127719011</v>
      </c>
      <c r="H332" s="73">
        <v>3.9250767700310121</v>
      </c>
      <c r="I332" s="73">
        <v>1.2700048660490939</v>
      </c>
    </row>
    <row r="333" spans="1:9" x14ac:dyDescent="0.3">
      <c r="A333" s="10" t="s">
        <v>2126</v>
      </c>
      <c r="B333" s="7" t="s">
        <v>1798</v>
      </c>
      <c r="C333" s="7" t="s">
        <v>1819</v>
      </c>
      <c r="D333" s="49">
        <v>453.16479960537168</v>
      </c>
      <c r="E333" s="49">
        <v>398.23533075725982</v>
      </c>
      <c r="F333" s="49">
        <v>504.55767715162688</v>
      </c>
      <c r="G333" s="49">
        <v>537.6677328886982</v>
      </c>
      <c r="H333" s="49">
        <v>518.4630562381775</v>
      </c>
      <c r="I333" s="49">
        <v>446.09098281468488</v>
      </c>
    </row>
    <row r="334" spans="1:9" x14ac:dyDescent="0.3">
      <c r="A334" s="10" t="s">
        <v>2127</v>
      </c>
      <c r="B334" s="7" t="s">
        <v>1798</v>
      </c>
      <c r="C334" s="7" t="s">
        <v>1821</v>
      </c>
      <c r="D334" s="49">
        <v>24.377424657534249</v>
      </c>
      <c r="E334" s="49">
        <v>21.813747945205481</v>
      </c>
      <c r="F334" s="49">
        <v>28.773083333333329</v>
      </c>
      <c r="G334" s="49">
        <v>26.896683333333328</v>
      </c>
      <c r="H334" s="49">
        <v>26.862333333333329</v>
      </c>
      <c r="I334" s="49">
        <v>24.012349999999991</v>
      </c>
    </row>
    <row r="335" spans="1:9" x14ac:dyDescent="0.3">
      <c r="A335" s="10" t="s">
        <v>2128</v>
      </c>
      <c r="B335" s="7" t="s">
        <v>1798</v>
      </c>
      <c r="C335" s="7" t="s">
        <v>1823</v>
      </c>
      <c r="D335" s="49">
        <v>116.0634619512456</v>
      </c>
      <c r="E335" s="49">
        <v>116.0634619512456</v>
      </c>
      <c r="F335" s="49">
        <v>122.5634619512456</v>
      </c>
      <c r="G335" s="49">
        <v>122.5634619512456</v>
      </c>
      <c r="H335" s="49">
        <v>122.5634619512456</v>
      </c>
      <c r="I335" s="49">
        <v>122.5634619512456</v>
      </c>
    </row>
    <row r="336" spans="1:9" x14ac:dyDescent="0.3">
      <c r="A336" s="10" t="s">
        <v>2129</v>
      </c>
      <c r="B336" s="7" t="s">
        <v>1798</v>
      </c>
      <c r="C336" s="7" t="s">
        <v>1825</v>
      </c>
      <c r="D336" s="49">
        <v>53.386560000000003</v>
      </c>
      <c r="E336" s="49">
        <v>47.772108000000003</v>
      </c>
      <c r="F336" s="49">
        <v>62.149859999999997</v>
      </c>
      <c r="G336" s="49">
        <v>58.096836000000003</v>
      </c>
      <c r="H336" s="49">
        <v>58.022640000000003</v>
      </c>
      <c r="I336" s="49">
        <v>51.866675999999991</v>
      </c>
    </row>
    <row r="337" spans="1:9" x14ac:dyDescent="0.3">
      <c r="A337" s="10" t="s">
        <v>2130</v>
      </c>
      <c r="B337" s="7" t="s">
        <v>1798</v>
      </c>
      <c r="C337" s="7" t="s">
        <v>1827</v>
      </c>
      <c r="D337" s="49">
        <v>85.448329150684941</v>
      </c>
      <c r="E337" s="49">
        <v>74.028219451070399</v>
      </c>
      <c r="F337" s="49">
        <v>78.32054467101473</v>
      </c>
      <c r="G337" s="49">
        <v>82.749224165391098</v>
      </c>
      <c r="H337" s="49">
        <v>89.774733766002754</v>
      </c>
      <c r="I337" s="49">
        <v>78.850988927924632</v>
      </c>
    </row>
    <row r="338" spans="1:9" x14ac:dyDescent="0.3">
      <c r="A338" s="10" t="s">
        <v>2131</v>
      </c>
      <c r="B338" s="7" t="s">
        <v>1798</v>
      </c>
      <c r="C338" s="7" t="s">
        <v>1829</v>
      </c>
      <c r="D338" s="49">
        <v>265.41340000000002</v>
      </c>
      <c r="E338" s="49">
        <v>234.4614</v>
      </c>
      <c r="F338" s="49">
        <v>232.91380000000001</v>
      </c>
      <c r="G338" s="49">
        <v>249.9374</v>
      </c>
      <c r="H338" s="49">
        <v>271.49680601680001</v>
      </c>
      <c r="I338" s="49">
        <v>238.70926753123831</v>
      </c>
    </row>
    <row r="339" spans="1:9" x14ac:dyDescent="0.3">
      <c r="A339" s="10" t="s">
        <v>2132</v>
      </c>
      <c r="B339" s="7" t="s">
        <v>1798</v>
      </c>
      <c r="C339" s="7" t="s">
        <v>1831</v>
      </c>
      <c r="D339" s="49">
        <v>562.87244455290625</v>
      </c>
      <c r="E339" s="49">
        <v>476.17129999999997</v>
      </c>
      <c r="F339" s="49">
        <v>557.08138130626492</v>
      </c>
      <c r="G339" s="49">
        <v>628.19815338791568</v>
      </c>
      <c r="H339" s="49">
        <v>550.80637200494266</v>
      </c>
      <c r="I339" s="49">
        <v>587.99161230907396</v>
      </c>
    </row>
    <row r="340" spans="1:9" x14ac:dyDescent="0.3">
      <c r="A340" s="10" t="s">
        <v>2133</v>
      </c>
      <c r="B340" s="7" t="s">
        <v>1798</v>
      </c>
      <c r="C340" s="7" t="s">
        <v>1833</v>
      </c>
      <c r="D340" s="49">
        <v>222.53526122449</v>
      </c>
      <c r="E340" s="49">
        <v>237.55873877551039</v>
      </c>
      <c r="F340" s="49">
        <v>230.48765784000011</v>
      </c>
      <c r="G340" s="49">
        <v>259.91161416000011</v>
      </c>
      <c r="H340" s="49">
        <v>227.8914264</v>
      </c>
      <c r="I340" s="49">
        <v>243.27650159999999</v>
      </c>
    </row>
    <row r="341" spans="1:9" x14ac:dyDescent="0.3">
      <c r="A341" s="10" t="s">
        <v>2134</v>
      </c>
      <c r="B341" s="7" t="s">
        <v>1798</v>
      </c>
      <c r="C341" s="7" t="s">
        <v>1835</v>
      </c>
      <c r="D341" s="73">
        <v>8.6357373860387341</v>
      </c>
      <c r="E341" s="73">
        <v>8.485188888016129</v>
      </c>
      <c r="F341" s="73">
        <v>6.4901145504372044</v>
      </c>
      <c r="G341" s="73">
        <v>7.421434532482059</v>
      </c>
      <c r="H341" s="73">
        <v>8.0694004195347251</v>
      </c>
      <c r="I341" s="73">
        <v>7.934923232232487</v>
      </c>
    </row>
    <row r="342" spans="1:9" x14ac:dyDescent="0.3">
      <c r="A342" s="10" t="s">
        <v>2135</v>
      </c>
      <c r="B342" s="7" t="s">
        <v>1798</v>
      </c>
      <c r="C342" s="7" t="s">
        <v>1837</v>
      </c>
      <c r="D342" s="81">
        <v>1.7004754331459801E-2</v>
      </c>
      <c r="E342" s="81">
        <v>1.6971894902799978E-2</v>
      </c>
      <c r="F342" s="81">
        <v>1.478674289692157E-2</v>
      </c>
      <c r="G342" s="81">
        <v>1.7169051474758931E-2</v>
      </c>
      <c r="H342" s="81">
        <v>1.7004754331459801E-2</v>
      </c>
      <c r="I342" s="81">
        <v>1.6971894902799978E-2</v>
      </c>
    </row>
    <row r="343" spans="1:9" x14ac:dyDescent="0.3">
      <c r="A343" s="10" t="s">
        <v>2136</v>
      </c>
      <c r="B343" s="7" t="s">
        <v>1798</v>
      </c>
      <c r="C343" s="7" t="s">
        <v>1839</v>
      </c>
      <c r="D343" s="81">
        <v>0.18</v>
      </c>
      <c r="E343" s="81">
        <v>0.18</v>
      </c>
      <c r="F343" s="81">
        <v>0.17499999999999999</v>
      </c>
      <c r="G343" s="81">
        <v>0.17499999999999999</v>
      </c>
      <c r="H343" s="81">
        <v>0.17499999999999999</v>
      </c>
      <c r="I343" s="81">
        <v>0.17499999999999999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Income Statement</vt:lpstr>
      <vt:lpstr>Revenue Model</vt:lpstr>
      <vt:lpstr>Margins</vt:lpstr>
      <vt:lpstr>Operating Schedules</vt:lpstr>
      <vt:lpstr>5 Nov &amp; Street</vt:lpstr>
      <vt:lpstr>Stock Chart</vt:lpstr>
      <vt:lpstr>Reverse DCF - Mgmt</vt:lpstr>
      <vt:lpstr>Reverse DCF - Market</vt:lpstr>
      <vt:lpstr>Scenario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Surapaneni, Krishang</cp:lastModifiedBy>
  <dcterms:created xsi:type="dcterms:W3CDTF">2026-09-16T05:16:36Z</dcterms:created>
  <dcterms:modified xsi:type="dcterms:W3CDTF">2026-09-16T13:16:18Z</dcterms:modified>
</cp:coreProperties>
</file>