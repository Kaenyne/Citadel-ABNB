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rish\citadel-abnb\.worktrees\charts\model\"/>
    </mc:Choice>
  </mc:AlternateContent>
  <xr:revisionPtr revIDLastSave="0" documentId="13_ncr:1_{A0EDB2E9-8993-4D8D-90E4-0063597D342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ver" sheetId="6" r:id="rId1"/>
    <sheet name="Income_Statement" sheetId="4" r:id="rId2"/>
    <sheet name="Nights_Engine" sheetId="2" r:id="rId3"/>
    <sheet name="ADR_Engin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9" i="2" l="1"/>
  <c r="AC83" i="2"/>
  <c r="AC85" i="2" s="1"/>
  <c r="AC114" i="2" s="1"/>
  <c r="AB83" i="2"/>
  <c r="AB112" i="2" s="1"/>
  <c r="AA83" i="2"/>
  <c r="Z83" i="2"/>
  <c r="Z112" i="2" s="1"/>
  <c r="Y83" i="2"/>
  <c r="Y84" i="2" s="1"/>
  <c r="X83" i="2"/>
  <c r="X63" i="2" s="1"/>
  <c r="Z146" i="3"/>
  <c r="Y146" i="3"/>
  <c r="X145" i="3"/>
  <c r="W145" i="3"/>
  <c r="V145" i="3"/>
  <c r="U145" i="3"/>
  <c r="T145" i="3"/>
  <c r="S145" i="3"/>
  <c r="R145" i="3"/>
  <c r="Q145" i="3"/>
  <c r="P145" i="3"/>
  <c r="O145" i="3"/>
  <c r="Z100" i="3"/>
  <c r="Y100" i="3"/>
  <c r="AD89" i="3"/>
  <c r="AD90" i="3" s="1"/>
  <c r="AD61" i="3" s="1"/>
  <c r="AC89" i="3"/>
  <c r="AC90" i="3" s="1"/>
  <c r="AC61" i="3" s="1"/>
  <c r="AB89" i="3"/>
  <c r="AB90" i="3" s="1"/>
  <c r="AB61" i="3" s="1"/>
  <c r="AA89" i="3"/>
  <c r="AA90" i="3" s="1"/>
  <c r="AA61" i="3" s="1"/>
  <c r="Z89" i="3"/>
  <c r="Z90" i="3" s="1"/>
  <c r="Z61" i="3" s="1"/>
  <c r="Y89" i="3"/>
  <c r="Y90" i="3" s="1"/>
  <c r="Y61" i="3" s="1"/>
  <c r="S74" i="3"/>
  <c r="O74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X60" i="3"/>
  <c r="X74" i="3" s="1"/>
  <c r="W60" i="3"/>
  <c r="V60" i="3"/>
  <c r="U60" i="3"/>
  <c r="T60" i="3"/>
  <c r="T74" i="3" s="1"/>
  <c r="S60" i="3"/>
  <c r="S66" i="3" s="1"/>
  <c r="R60" i="3"/>
  <c r="R74" i="3" s="1"/>
  <c r="Q60" i="3"/>
  <c r="Q66" i="3" s="1"/>
  <c r="Q67" i="3" s="1"/>
  <c r="P60" i="3"/>
  <c r="P66" i="3" s="1"/>
  <c r="P67" i="3" s="1"/>
  <c r="O60" i="3"/>
  <c r="O66" i="3" s="1"/>
  <c r="N60" i="3"/>
  <c r="N66" i="3" s="1"/>
  <c r="N67" i="3" s="1"/>
  <c r="M60" i="3"/>
  <c r="M74" i="3" s="1"/>
  <c r="L60" i="3"/>
  <c r="L74" i="3" s="1"/>
  <c r="K60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AD27" i="3"/>
  <c r="AD42" i="3" s="1"/>
  <c r="AC27" i="3"/>
  <c r="AC42" i="3" s="1"/>
  <c r="AB27" i="3"/>
  <c r="AB42" i="3" s="1"/>
  <c r="AA27" i="3"/>
  <c r="AA42" i="3" s="1"/>
  <c r="Z27" i="3"/>
  <c r="Z42" i="3" s="1"/>
  <c r="Y27" i="3"/>
  <c r="Y42" i="3" s="1"/>
  <c r="X27" i="3"/>
  <c r="X42" i="3" s="1"/>
  <c r="W27" i="3"/>
  <c r="W42" i="3" s="1"/>
  <c r="V27" i="3"/>
  <c r="V42" i="3" s="1"/>
  <c r="U27" i="3"/>
  <c r="U42" i="3" s="1"/>
  <c r="T27" i="3"/>
  <c r="T42" i="3" s="1"/>
  <c r="S27" i="3"/>
  <c r="S42" i="3" s="1"/>
  <c r="R27" i="3"/>
  <c r="R42" i="3" s="1"/>
  <c r="Q27" i="3"/>
  <c r="Q42" i="3" s="1"/>
  <c r="P27" i="3"/>
  <c r="P42" i="3" s="1"/>
  <c r="O27" i="3"/>
  <c r="O42" i="3" s="1"/>
  <c r="N27" i="3"/>
  <c r="N42" i="3" s="1"/>
  <c r="M27" i="3"/>
  <c r="M42" i="3" s="1"/>
  <c r="L27" i="3"/>
  <c r="L42" i="3" s="1"/>
  <c r="K27" i="3"/>
  <c r="K42" i="3" s="1"/>
  <c r="J27" i="3"/>
  <c r="J42" i="3" s="1"/>
  <c r="I27" i="3"/>
  <c r="H27" i="3"/>
  <c r="H42" i="3" s="1"/>
  <c r="G27" i="3"/>
  <c r="G42" i="3" s="1"/>
  <c r="AD26" i="3"/>
  <c r="AD39" i="3" s="1"/>
  <c r="AC26" i="3"/>
  <c r="AC39" i="3" s="1"/>
  <c r="AB26" i="3"/>
  <c r="AB39" i="3" s="1"/>
  <c r="AA26" i="3"/>
  <c r="AA39" i="3" s="1"/>
  <c r="Z26" i="3"/>
  <c r="Z39" i="3" s="1"/>
  <c r="Y26" i="3"/>
  <c r="Y39" i="3" s="1"/>
  <c r="X26" i="3"/>
  <c r="X39" i="3" s="1"/>
  <c r="W26" i="3"/>
  <c r="W39" i="3" s="1"/>
  <c r="V26" i="3"/>
  <c r="V39" i="3" s="1"/>
  <c r="U26" i="3"/>
  <c r="U39" i="3" s="1"/>
  <c r="T26" i="3"/>
  <c r="T39" i="3" s="1"/>
  <c r="S26" i="3"/>
  <c r="S39" i="3" s="1"/>
  <c r="R26" i="3"/>
  <c r="R39" i="3" s="1"/>
  <c r="Q26" i="3"/>
  <c r="Q39" i="3" s="1"/>
  <c r="P26" i="3"/>
  <c r="P39" i="3" s="1"/>
  <c r="O26" i="3"/>
  <c r="O39" i="3" s="1"/>
  <c r="N26" i="3"/>
  <c r="N39" i="3" s="1"/>
  <c r="M26" i="3"/>
  <c r="M39" i="3" s="1"/>
  <c r="L26" i="3"/>
  <c r="L39" i="3" s="1"/>
  <c r="K26" i="3"/>
  <c r="K39" i="3" s="1"/>
  <c r="J26" i="3"/>
  <c r="J39" i="3" s="1"/>
  <c r="I26" i="3"/>
  <c r="I39" i="3" s="1"/>
  <c r="H26" i="3"/>
  <c r="H39" i="3" s="1"/>
  <c r="G26" i="3"/>
  <c r="G39" i="3" s="1"/>
  <c r="AD25" i="3"/>
  <c r="AD41" i="3" s="1"/>
  <c r="AC25" i="3"/>
  <c r="AC41" i="3" s="1"/>
  <c r="AB25" i="3"/>
  <c r="AB41" i="3" s="1"/>
  <c r="AA25" i="3"/>
  <c r="AA41" i="3" s="1"/>
  <c r="Z25" i="3"/>
  <c r="Z41" i="3" s="1"/>
  <c r="Y25" i="3"/>
  <c r="Y41" i="3" s="1"/>
  <c r="X25" i="3"/>
  <c r="X41" i="3" s="1"/>
  <c r="W25" i="3"/>
  <c r="W41" i="3" s="1"/>
  <c r="V25" i="3"/>
  <c r="V41" i="3" s="1"/>
  <c r="U25" i="3"/>
  <c r="U41" i="3" s="1"/>
  <c r="T25" i="3"/>
  <c r="T41" i="3" s="1"/>
  <c r="S25" i="3"/>
  <c r="S41" i="3" s="1"/>
  <c r="R25" i="3"/>
  <c r="R41" i="3" s="1"/>
  <c r="Q25" i="3"/>
  <c r="Q41" i="3" s="1"/>
  <c r="P25" i="3"/>
  <c r="P41" i="3" s="1"/>
  <c r="O25" i="3"/>
  <c r="O41" i="3" s="1"/>
  <c r="N25" i="3"/>
  <c r="N41" i="3" s="1"/>
  <c r="M25" i="3"/>
  <c r="M41" i="3" s="1"/>
  <c r="L25" i="3"/>
  <c r="L41" i="3" s="1"/>
  <c r="K25" i="3"/>
  <c r="K41" i="3" s="1"/>
  <c r="J25" i="3"/>
  <c r="I25" i="3"/>
  <c r="I41" i="3" s="1"/>
  <c r="H25" i="3"/>
  <c r="H41" i="3" s="1"/>
  <c r="G25" i="3"/>
  <c r="G41" i="3" s="1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AD23" i="3"/>
  <c r="AD40" i="3" s="1"/>
  <c r="AC23" i="3"/>
  <c r="AC40" i="3" s="1"/>
  <c r="AB23" i="3"/>
  <c r="AB40" i="3" s="1"/>
  <c r="AA23" i="3"/>
  <c r="AA40" i="3" s="1"/>
  <c r="Z23" i="3"/>
  <c r="Z40" i="3" s="1"/>
  <c r="Y23" i="3"/>
  <c r="Y40" i="3" s="1"/>
  <c r="X23" i="3"/>
  <c r="X40" i="3" s="1"/>
  <c r="W23" i="3"/>
  <c r="W40" i="3" s="1"/>
  <c r="V23" i="3"/>
  <c r="V40" i="3" s="1"/>
  <c r="U23" i="3"/>
  <c r="T23" i="3"/>
  <c r="T40" i="3" s="1"/>
  <c r="S23" i="3"/>
  <c r="S40" i="3" s="1"/>
  <c r="R23" i="3"/>
  <c r="R40" i="3" s="1"/>
  <c r="Q23" i="3"/>
  <c r="Q40" i="3" s="1"/>
  <c r="P23" i="3"/>
  <c r="P40" i="3" s="1"/>
  <c r="O23" i="3"/>
  <c r="O40" i="3" s="1"/>
  <c r="N23" i="3"/>
  <c r="N40" i="3" s="1"/>
  <c r="M23" i="3"/>
  <c r="L23" i="3"/>
  <c r="L40" i="3" s="1"/>
  <c r="K23" i="3"/>
  <c r="K40" i="3" s="1"/>
  <c r="J23" i="3"/>
  <c r="J40" i="3" s="1"/>
  <c r="I23" i="3"/>
  <c r="H23" i="3"/>
  <c r="H40" i="3" s="1"/>
  <c r="G23" i="3"/>
  <c r="G40" i="3" s="1"/>
  <c r="X7" i="3"/>
  <c r="X9" i="3" s="1"/>
  <c r="X148" i="3" s="1"/>
  <c r="W7" i="3"/>
  <c r="W9" i="3" s="1"/>
  <c r="V7" i="3"/>
  <c r="V9" i="3" s="1"/>
  <c r="U7" i="3"/>
  <c r="U9" i="3" s="1"/>
  <c r="T7" i="3"/>
  <c r="T9" i="3" s="1"/>
  <c r="S7" i="3"/>
  <c r="S9" i="3" s="1"/>
  <c r="S148" i="3" s="1"/>
  <c r="R7" i="3"/>
  <c r="R9" i="3" s="1"/>
  <c r="Q7" i="3"/>
  <c r="Q9" i="3" s="1"/>
  <c r="P7" i="3"/>
  <c r="P9" i="3" s="1"/>
  <c r="P148" i="3" s="1"/>
  <c r="O7" i="3"/>
  <c r="O9" i="3" s="1"/>
  <c r="N7" i="3"/>
  <c r="E10" i="4" s="1"/>
  <c r="M7" i="3"/>
  <c r="D10" i="4" s="1"/>
  <c r="L7" i="3"/>
  <c r="C10" i="4" s="1"/>
  <c r="K7" i="3"/>
  <c r="B10" i="4" s="1"/>
  <c r="J7" i="3"/>
  <c r="J9" i="3" s="1"/>
  <c r="I7" i="3"/>
  <c r="I9" i="3" s="1"/>
  <c r="H7" i="3"/>
  <c r="H9" i="3" s="1"/>
  <c r="G7" i="3"/>
  <c r="Y113" i="2"/>
  <c r="Y112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Y88" i="2"/>
  <c r="X88" i="2"/>
  <c r="X113" i="2" s="1"/>
  <c r="AA112" i="2"/>
  <c r="Y85" i="2"/>
  <c r="Y114" i="2" s="1"/>
  <c r="AA63" i="2"/>
  <c r="Y63" i="2"/>
  <c r="B51" i="2"/>
  <c r="B53" i="2" s="1"/>
  <c r="C50" i="2"/>
  <c r="C49" i="2"/>
  <c r="C48" i="2"/>
  <c r="C47" i="2"/>
  <c r="R30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W7" i="2"/>
  <c r="V7" i="2"/>
  <c r="U7" i="2"/>
  <c r="T7" i="2"/>
  <c r="S7" i="2"/>
  <c r="T30" i="2" s="1"/>
  <c r="R7" i="2"/>
  <c r="Q7" i="2"/>
  <c r="Q111" i="2" s="1"/>
  <c r="Q112" i="2" s="1"/>
  <c r="P7" i="2"/>
  <c r="P111" i="2" s="1"/>
  <c r="P112" i="2" s="1"/>
  <c r="O7" i="2"/>
  <c r="O111" i="2" s="1"/>
  <c r="O112" i="2" s="1"/>
  <c r="N7" i="2"/>
  <c r="N111" i="2" s="1"/>
  <c r="N112" i="2" s="1"/>
  <c r="M7" i="2"/>
  <c r="M111" i="2" s="1"/>
  <c r="M112" i="2" s="1"/>
  <c r="L7" i="2"/>
  <c r="K7" i="2"/>
  <c r="C5" i="4" s="1"/>
  <c r="J7" i="2"/>
  <c r="I7" i="2"/>
  <c r="H7" i="2"/>
  <c r="G7" i="2"/>
  <c r="F7" i="2"/>
  <c r="U153" i="4"/>
  <c r="T153" i="4"/>
  <c r="S153" i="4"/>
  <c r="R153" i="4"/>
  <c r="Q153" i="4"/>
  <c r="P153" i="4"/>
  <c r="O147" i="4"/>
  <c r="P149" i="4"/>
  <c r="P34" i="4" s="1"/>
  <c r="S145" i="4"/>
  <c r="S26" i="4" s="1"/>
  <c r="R145" i="4"/>
  <c r="R26" i="4" s="1"/>
  <c r="Q145" i="4"/>
  <c r="Q26" i="4" s="1"/>
  <c r="U145" i="4" s="1"/>
  <c r="U26" i="4" s="1"/>
  <c r="P145" i="4"/>
  <c r="P26" i="4" s="1"/>
  <c r="S135" i="4"/>
  <c r="S138" i="4" s="1"/>
  <c r="R135" i="4"/>
  <c r="R138" i="4" s="1"/>
  <c r="Q135" i="4"/>
  <c r="Q138" i="4" s="1"/>
  <c r="P135" i="4"/>
  <c r="P138" i="4" s="1"/>
  <c r="U129" i="4"/>
  <c r="T129" i="4"/>
  <c r="S129" i="4"/>
  <c r="R129" i="4"/>
  <c r="Q129" i="4"/>
  <c r="P129" i="4"/>
  <c r="B116" i="4"/>
  <c r="B117" i="4" s="1"/>
  <c r="B114" i="4"/>
  <c r="P144" i="4" s="1"/>
  <c r="P19" i="4" s="1"/>
  <c r="B112" i="4"/>
  <c r="B113" i="4" s="1"/>
  <c r="B109" i="4"/>
  <c r="B111" i="4" s="1"/>
  <c r="B107" i="4"/>
  <c r="Q141" i="4" s="1"/>
  <c r="B106" i="4"/>
  <c r="Z25" i="4"/>
  <c r="U30" i="4"/>
  <c r="T30" i="4"/>
  <c r="S30" i="4"/>
  <c r="R30" i="4"/>
  <c r="Q30" i="4"/>
  <c r="P30" i="4"/>
  <c r="U29" i="4"/>
  <c r="T29" i="4"/>
  <c r="S29" i="4"/>
  <c r="R29" i="4"/>
  <c r="Q29" i="4"/>
  <c r="P29" i="4"/>
  <c r="O24" i="4"/>
  <c r="N24" i="4"/>
  <c r="M24" i="4"/>
  <c r="L24" i="4"/>
  <c r="B121" i="4" s="1"/>
  <c r="K24" i="4"/>
  <c r="J24" i="4"/>
  <c r="I24" i="4"/>
  <c r="H24" i="4"/>
  <c r="G24" i="4"/>
  <c r="F24" i="4"/>
  <c r="E24" i="4"/>
  <c r="D24" i="4"/>
  <c r="C24" i="4"/>
  <c r="B24" i="4"/>
  <c r="M21" i="4"/>
  <c r="K21" i="4"/>
  <c r="O20" i="4"/>
  <c r="O21" i="4" s="1"/>
  <c r="N20" i="4"/>
  <c r="M20" i="4"/>
  <c r="L20" i="4"/>
  <c r="K20" i="4"/>
  <c r="J20" i="4"/>
  <c r="J21" i="4" s="1"/>
  <c r="I20" i="4"/>
  <c r="I21" i="4" s="1"/>
  <c r="H20" i="4"/>
  <c r="H21" i="4" s="1"/>
  <c r="G20" i="4"/>
  <c r="G21" i="4" s="1"/>
  <c r="F20" i="4"/>
  <c r="F21" i="4" s="1"/>
  <c r="E20" i="4"/>
  <c r="E21" i="4" s="1"/>
  <c r="D20" i="4"/>
  <c r="D21" i="4" s="1"/>
  <c r="C20" i="4"/>
  <c r="C21" i="4" s="1"/>
  <c r="B20" i="4"/>
  <c r="Y33" i="4"/>
  <c r="X33" i="4"/>
  <c r="W33" i="4"/>
  <c r="Y32" i="4"/>
  <c r="X32" i="4"/>
  <c r="W32" i="4"/>
  <c r="Y31" i="4"/>
  <c r="X31" i="4"/>
  <c r="W31" i="4"/>
  <c r="Y30" i="4"/>
  <c r="X30" i="4"/>
  <c r="W30" i="4"/>
  <c r="Y29" i="4"/>
  <c r="X29" i="4"/>
  <c r="W29" i="4"/>
  <c r="Y28" i="4"/>
  <c r="X28" i="4"/>
  <c r="W28" i="4"/>
  <c r="Y27" i="4"/>
  <c r="X27" i="4"/>
  <c r="W27" i="4"/>
  <c r="Y26" i="4"/>
  <c r="X26" i="4"/>
  <c r="W26" i="4"/>
  <c r="Y25" i="4"/>
  <c r="X25" i="4"/>
  <c r="W25" i="4"/>
  <c r="Y23" i="4"/>
  <c r="X23" i="4"/>
  <c r="X24" i="4" s="1"/>
  <c r="W23" i="4"/>
  <c r="W24" i="4" s="1"/>
  <c r="Y22" i="4"/>
  <c r="X22" i="4"/>
  <c r="W22" i="4"/>
  <c r="Y19" i="4"/>
  <c r="X19" i="4"/>
  <c r="W19" i="4"/>
  <c r="Y18" i="4"/>
  <c r="X18" i="4"/>
  <c r="W18" i="4"/>
  <c r="Y17" i="4"/>
  <c r="X17" i="4"/>
  <c r="W17" i="4"/>
  <c r="Y16" i="4"/>
  <c r="X16" i="4"/>
  <c r="W16" i="4"/>
  <c r="Y15" i="4"/>
  <c r="X15" i="4"/>
  <c r="W15" i="4"/>
  <c r="U22" i="4"/>
  <c r="T22" i="4"/>
  <c r="S22" i="4"/>
  <c r="R22" i="4"/>
  <c r="Q22" i="4"/>
  <c r="P22" i="4"/>
  <c r="O12" i="4"/>
  <c r="G6" i="6" s="1"/>
  <c r="N12" i="4"/>
  <c r="F6" i="6" s="1"/>
  <c r="M12" i="4"/>
  <c r="L12" i="4"/>
  <c r="D6" i="6" s="1"/>
  <c r="K12" i="4"/>
  <c r="J12" i="4"/>
  <c r="I12" i="4"/>
  <c r="H12" i="4"/>
  <c r="G12" i="4"/>
  <c r="F12" i="4"/>
  <c r="Y11" i="4"/>
  <c r="X11" i="4"/>
  <c r="W11" i="4"/>
  <c r="O9" i="4"/>
  <c r="N9" i="4"/>
  <c r="M9" i="4"/>
  <c r="L9" i="4"/>
  <c r="K9" i="4"/>
  <c r="C9" i="6" s="1"/>
  <c r="J9" i="4"/>
  <c r="I9" i="4"/>
  <c r="I10" i="4" s="1"/>
  <c r="H9" i="4"/>
  <c r="G9" i="4"/>
  <c r="K10" i="4" s="1"/>
  <c r="C10" i="6" s="1"/>
  <c r="F9" i="4"/>
  <c r="F7" i="4" s="1"/>
  <c r="E9" i="4"/>
  <c r="D9" i="4"/>
  <c r="C9" i="4"/>
  <c r="B9" i="4"/>
  <c r="O7" i="4"/>
  <c r="O13" i="4" s="1"/>
  <c r="G11" i="6" s="1"/>
  <c r="O4" i="4"/>
  <c r="X103" i="3" s="1"/>
  <c r="X104" i="3" s="1"/>
  <c r="N4" i="4"/>
  <c r="W103" i="3" s="1"/>
  <c r="W104" i="3" s="1"/>
  <c r="M4" i="4"/>
  <c r="Q136" i="4" s="1"/>
  <c r="L4" i="4"/>
  <c r="P136" i="4" s="1"/>
  <c r="K4" i="4"/>
  <c r="T103" i="3" s="1"/>
  <c r="T104" i="3" s="1"/>
  <c r="J4" i="4"/>
  <c r="S103" i="3" s="1"/>
  <c r="S104" i="3" s="1"/>
  <c r="I4" i="4"/>
  <c r="R103" i="3" s="1"/>
  <c r="R104" i="3" s="1"/>
  <c r="H4" i="4"/>
  <c r="H5" i="4" s="1"/>
  <c r="G4" i="4"/>
  <c r="G5" i="4" s="1"/>
  <c r="F4" i="4"/>
  <c r="E4" i="4"/>
  <c r="D4" i="4"/>
  <c r="C4" i="4"/>
  <c r="L103" i="3" s="1"/>
  <c r="L104" i="3" s="1"/>
  <c r="B4" i="4"/>
  <c r="K28" i="6"/>
  <c r="I28" i="6"/>
  <c r="G28" i="6"/>
  <c r="E28" i="6"/>
  <c r="C28" i="6"/>
  <c r="K24" i="6"/>
  <c r="I24" i="6"/>
  <c r="G24" i="6"/>
  <c r="E24" i="6"/>
  <c r="C24" i="6"/>
  <c r="G20" i="6"/>
  <c r="F20" i="6"/>
  <c r="E20" i="6"/>
  <c r="D20" i="6"/>
  <c r="C20" i="6"/>
  <c r="B20" i="6"/>
  <c r="G19" i="6"/>
  <c r="F19" i="6"/>
  <c r="E19" i="6"/>
  <c r="D19" i="6"/>
  <c r="C19" i="6"/>
  <c r="B19" i="6"/>
  <c r="G18" i="6"/>
  <c r="F18" i="6"/>
  <c r="E18" i="6"/>
  <c r="D18" i="6"/>
  <c r="C18" i="6"/>
  <c r="B18" i="6"/>
  <c r="G15" i="6"/>
  <c r="F15" i="6"/>
  <c r="E15" i="6"/>
  <c r="D15" i="6"/>
  <c r="C15" i="6"/>
  <c r="B15" i="6"/>
  <c r="G14" i="6"/>
  <c r="F14" i="6"/>
  <c r="E14" i="6"/>
  <c r="D14" i="6"/>
  <c r="C14" i="6"/>
  <c r="B14" i="6"/>
  <c r="E13" i="6"/>
  <c r="C13" i="6"/>
  <c r="M11" i="6"/>
  <c r="L11" i="6"/>
  <c r="K11" i="6"/>
  <c r="J11" i="6"/>
  <c r="I11" i="6"/>
  <c r="H11" i="6"/>
  <c r="G9" i="6"/>
  <c r="F9" i="6"/>
  <c r="B7" i="6"/>
  <c r="E6" i="6"/>
  <c r="C6" i="6"/>
  <c r="B6" i="6"/>
  <c r="G5" i="6"/>
  <c r="F5" i="6"/>
  <c r="E5" i="6"/>
  <c r="D5" i="6"/>
  <c r="C5" i="6"/>
  <c r="B5" i="6"/>
  <c r="P4" i="6"/>
  <c r="P7" i="6" s="1"/>
  <c r="B22" i="2" l="1"/>
  <c r="M9" i="3"/>
  <c r="N9" i="3"/>
  <c r="O52" i="3" s="1"/>
  <c r="C34" i="6"/>
  <c r="D34" i="6" s="1"/>
  <c r="D7" i="6"/>
  <c r="E7" i="6"/>
  <c r="B16" i="6"/>
  <c r="H10" i="4"/>
  <c r="Q149" i="4"/>
  <c r="R149" i="4" s="1"/>
  <c r="R34" i="2"/>
  <c r="R35" i="2" s="1"/>
  <c r="R28" i="2"/>
  <c r="R29" i="2" s="1"/>
  <c r="G7" i="6"/>
  <c r="Z22" i="4"/>
  <c r="B7" i="4"/>
  <c r="W13" i="4" s="1"/>
  <c r="O67" i="3"/>
  <c r="E16" i="6"/>
  <c r="J41" i="3"/>
  <c r="J50" i="3" s="1"/>
  <c r="J51" i="3" s="1"/>
  <c r="M40" i="3"/>
  <c r="E7" i="4"/>
  <c r="E13" i="4" s="1"/>
  <c r="W4" i="4"/>
  <c r="AB85" i="2"/>
  <c r="AB114" i="2" s="1"/>
  <c r="C7" i="4"/>
  <c r="C13" i="4" s="1"/>
  <c r="L10" i="4"/>
  <c r="D10" i="6" s="1"/>
  <c r="O30" i="2"/>
  <c r="S67" i="3"/>
  <c r="O148" i="3"/>
  <c r="P52" i="3"/>
  <c r="P50" i="3"/>
  <c r="P51" i="3" s="1"/>
  <c r="X4" i="4"/>
  <c r="X5" i="4" s="1"/>
  <c r="C16" i="6"/>
  <c r="I40" i="3"/>
  <c r="D7" i="4"/>
  <c r="D13" i="4" s="1"/>
  <c r="B5" i="4"/>
  <c r="O10" i="4"/>
  <c r="G10" i="6" s="1"/>
  <c r="Y20" i="4"/>
  <c r="Y21" i="4" s="1"/>
  <c r="Z29" i="4"/>
  <c r="P140" i="4"/>
  <c r="P17" i="4" s="1"/>
  <c r="N74" i="3"/>
  <c r="P103" i="3"/>
  <c r="P104" i="3" s="1"/>
  <c r="Q103" i="3"/>
  <c r="Q104" i="3" s="1"/>
  <c r="Q34" i="4"/>
  <c r="Z34" i="4" s="1"/>
  <c r="Q140" i="4"/>
  <c r="Q17" i="4" s="1"/>
  <c r="W96" i="2"/>
  <c r="C7" i="6"/>
  <c r="J5" i="4"/>
  <c r="B8" i="6" s="1"/>
  <c r="I5" i="4"/>
  <c r="Y12" i="4"/>
  <c r="X20" i="4"/>
  <c r="X21" i="4" s="1"/>
  <c r="P74" i="3"/>
  <c r="T28" i="2"/>
  <c r="T29" i="2" s="1"/>
  <c r="S42" i="2"/>
  <c r="N30" i="2"/>
  <c r="Q74" i="3"/>
  <c r="G13" i="6"/>
  <c r="M5" i="4"/>
  <c r="E8" i="6" s="1"/>
  <c r="Q30" i="2"/>
  <c r="U103" i="3"/>
  <c r="U104" i="3" s="1"/>
  <c r="AB50" i="3"/>
  <c r="AB93" i="3" s="1"/>
  <c r="Z30" i="4"/>
  <c r="J30" i="2"/>
  <c r="V36" i="2"/>
  <c r="I52" i="3"/>
  <c r="V103" i="3"/>
  <c r="V104" i="3" s="1"/>
  <c r="P36" i="2"/>
  <c r="M66" i="3"/>
  <c r="M67" i="3" s="1"/>
  <c r="K103" i="3"/>
  <c r="K104" i="3" s="1"/>
  <c r="S40" i="2"/>
  <c r="S41" i="2" s="1"/>
  <c r="N40" i="2"/>
  <c r="N41" i="2" s="1"/>
  <c r="T50" i="3"/>
  <c r="T147" i="3" s="1"/>
  <c r="J10" i="4"/>
  <c r="B10" i="6" s="1"/>
  <c r="H7" i="4"/>
  <c r="H8" i="4" s="1"/>
  <c r="Y24" i="4"/>
  <c r="M103" i="3"/>
  <c r="M104" i="3" s="1"/>
  <c r="L28" i="2"/>
  <c r="L29" i="2" s="1"/>
  <c r="N103" i="3"/>
  <c r="N104" i="3" s="1"/>
  <c r="G7" i="4"/>
  <c r="D16" i="6"/>
  <c r="J7" i="4"/>
  <c r="J13" i="4" s="1"/>
  <c r="B11" i="6" s="1"/>
  <c r="U40" i="3"/>
  <c r="I42" i="3"/>
  <c r="F16" i="6"/>
  <c r="G16" i="6"/>
  <c r="O5" i="4"/>
  <c r="G8" i="6" s="1"/>
  <c r="F10" i="4"/>
  <c r="N10" i="4"/>
  <c r="F10" i="6" s="1"/>
  <c r="L9" i="3"/>
  <c r="M52" i="3" s="1"/>
  <c r="O103" i="3"/>
  <c r="O104" i="3" s="1"/>
  <c r="X112" i="2"/>
  <c r="X84" i="2"/>
  <c r="AC84" i="2"/>
  <c r="U4" i="4" s="1"/>
  <c r="AD103" i="3" s="1"/>
  <c r="Q4" i="4"/>
  <c r="Q50" i="3"/>
  <c r="AC50" i="3"/>
  <c r="AD50" i="3"/>
  <c r="R50" i="3"/>
  <c r="W52" i="3"/>
  <c r="V148" i="3"/>
  <c r="Q148" i="3"/>
  <c r="R52" i="3"/>
  <c r="Q52" i="3"/>
  <c r="L50" i="3"/>
  <c r="L51" i="3" s="1"/>
  <c r="X50" i="3"/>
  <c r="R148" i="3"/>
  <c r="S52" i="3"/>
  <c r="M50" i="3"/>
  <c r="M51" i="3" s="1"/>
  <c r="Y50" i="3"/>
  <c r="N50" i="3"/>
  <c r="X52" i="3"/>
  <c r="W148" i="3"/>
  <c r="Z50" i="3"/>
  <c r="T148" i="3"/>
  <c r="U52" i="3"/>
  <c r="O50" i="3"/>
  <c r="AA50" i="3"/>
  <c r="J52" i="3"/>
  <c r="U148" i="3"/>
  <c r="V52" i="3"/>
  <c r="V74" i="3"/>
  <c r="V66" i="3"/>
  <c r="V67" i="3" s="1"/>
  <c r="G50" i="3"/>
  <c r="U50" i="3"/>
  <c r="K74" i="3"/>
  <c r="K66" i="3"/>
  <c r="K67" i="3" s="1"/>
  <c r="W74" i="3"/>
  <c r="W66" i="3"/>
  <c r="W67" i="3" s="1"/>
  <c r="P147" i="3"/>
  <c r="S50" i="3"/>
  <c r="U74" i="3"/>
  <c r="U66" i="3"/>
  <c r="U67" i="3" s="1"/>
  <c r="H50" i="3"/>
  <c r="K9" i="3"/>
  <c r="L52" i="3" s="1"/>
  <c r="I50" i="3"/>
  <c r="I51" i="3" s="1"/>
  <c r="V50" i="3"/>
  <c r="K50" i="3"/>
  <c r="W50" i="3"/>
  <c r="R66" i="3"/>
  <c r="R67" i="3" s="1"/>
  <c r="T52" i="3"/>
  <c r="T66" i="3"/>
  <c r="T67" i="3" s="1"/>
  <c r="L66" i="3"/>
  <c r="L67" i="3" s="1"/>
  <c r="X66" i="3"/>
  <c r="X67" i="3" s="1"/>
  <c r="V28" i="2"/>
  <c r="V29" i="2" s="1"/>
  <c r="D5" i="4"/>
  <c r="W28" i="2"/>
  <c r="W29" i="2" s="1"/>
  <c r="S30" i="2"/>
  <c r="M28" i="2"/>
  <c r="M29" i="2" s="1"/>
  <c r="U30" i="2"/>
  <c r="S34" i="2"/>
  <c r="S35" i="2" s="1"/>
  <c r="W36" i="2"/>
  <c r="Z85" i="2"/>
  <c r="Z114" i="2" s="1"/>
  <c r="T96" i="2"/>
  <c r="R111" i="2"/>
  <c r="R112" i="2" s="1"/>
  <c r="K28" i="2"/>
  <c r="K29" i="2" s="1"/>
  <c r="Q34" i="2"/>
  <c r="Q35" i="2" s="1"/>
  <c r="U36" i="2"/>
  <c r="E5" i="4"/>
  <c r="N28" i="2"/>
  <c r="N29" i="2" s="1"/>
  <c r="V30" i="2"/>
  <c r="T34" i="2"/>
  <c r="T35" i="2" s="1"/>
  <c r="AA85" i="2"/>
  <c r="AA114" i="2" s="1"/>
  <c r="U96" i="2"/>
  <c r="S111" i="2"/>
  <c r="S112" i="2" s="1"/>
  <c r="AC112" i="2"/>
  <c r="P34" i="2"/>
  <c r="P35" i="2" s="1"/>
  <c r="U34" i="2"/>
  <c r="U35" i="2" s="1"/>
  <c r="V96" i="2"/>
  <c r="T111" i="2"/>
  <c r="T112" i="2" s="1"/>
  <c r="J28" i="2"/>
  <c r="J29" i="2" s="1"/>
  <c r="O28" i="2"/>
  <c r="O29" i="2" s="1"/>
  <c r="K30" i="2"/>
  <c r="W30" i="2"/>
  <c r="B21" i="2"/>
  <c r="P28" i="2"/>
  <c r="P29" i="2" s="1"/>
  <c r="L30" i="2"/>
  <c r="V34" i="2"/>
  <c r="V35" i="2" s="1"/>
  <c r="N36" i="2"/>
  <c r="U111" i="2"/>
  <c r="U112" i="2" s="1"/>
  <c r="Q28" i="2"/>
  <c r="Q29" i="2" s="1"/>
  <c r="M30" i="2"/>
  <c r="W34" i="2"/>
  <c r="W35" i="2" s="1"/>
  <c r="O36" i="2"/>
  <c r="Z63" i="2"/>
  <c r="B86" i="2"/>
  <c r="J111" i="2"/>
  <c r="J112" i="2" s="1"/>
  <c r="V111" i="2"/>
  <c r="V112" i="2" s="1"/>
  <c r="N42" i="2"/>
  <c r="K111" i="2"/>
  <c r="K112" i="2" s="1"/>
  <c r="W111" i="2"/>
  <c r="W112" i="2" s="1"/>
  <c r="O40" i="2"/>
  <c r="O41" i="2" s="1"/>
  <c r="O42" i="2"/>
  <c r="Z84" i="2"/>
  <c r="L111" i="2"/>
  <c r="L112" i="2" s="1"/>
  <c r="S28" i="2"/>
  <c r="S29" i="2" s="1"/>
  <c r="Q36" i="2"/>
  <c r="P30" i="2"/>
  <c r="N34" i="2"/>
  <c r="N35" i="2" s="1"/>
  <c r="R36" i="2"/>
  <c r="P40" i="2"/>
  <c r="P41" i="2" s="1"/>
  <c r="P42" i="2"/>
  <c r="AA84" i="2"/>
  <c r="S4" i="4" s="1"/>
  <c r="U28" i="2"/>
  <c r="U29" i="2" s="1"/>
  <c r="O34" i="2"/>
  <c r="O35" i="2" s="1"/>
  <c r="S36" i="2"/>
  <c r="Q40" i="2"/>
  <c r="Q41" i="2" s="1"/>
  <c r="Q42" i="2"/>
  <c r="T36" i="2"/>
  <c r="R40" i="2"/>
  <c r="R41" i="2" s="1"/>
  <c r="R42" i="2"/>
  <c r="B21" i="4"/>
  <c r="W20" i="4"/>
  <c r="W21" i="4" s="1"/>
  <c r="U142" i="4"/>
  <c r="T142" i="4"/>
  <c r="S142" i="4"/>
  <c r="R142" i="4"/>
  <c r="U140" i="4"/>
  <c r="U17" i="4" s="1"/>
  <c r="T140" i="4"/>
  <c r="T17" i="4" s="1"/>
  <c r="S140" i="4"/>
  <c r="S17" i="4" s="1"/>
  <c r="R140" i="4"/>
  <c r="R17" i="4" s="1"/>
  <c r="R34" i="4"/>
  <c r="S149" i="4"/>
  <c r="F13" i="4"/>
  <c r="N5" i="4"/>
  <c r="F8" i="6" s="1"/>
  <c r="R136" i="4"/>
  <c r="N7" i="4"/>
  <c r="F5" i="4"/>
  <c r="J8" i="4"/>
  <c r="M7" i="4"/>
  <c r="E9" i="6"/>
  <c r="M10" i="4"/>
  <c r="E10" i="6" s="1"/>
  <c r="F7" i="6"/>
  <c r="Q128" i="4"/>
  <c r="Q137" i="4" s="1"/>
  <c r="Q139" i="4" s="1"/>
  <c r="Q16" i="4" s="1"/>
  <c r="U135" i="4" s="1"/>
  <c r="K5" i="4"/>
  <c r="C8" i="6" s="1"/>
  <c r="L21" i="4"/>
  <c r="D13" i="6"/>
  <c r="G8" i="4"/>
  <c r="G13" i="4"/>
  <c r="D9" i="6"/>
  <c r="T145" i="4"/>
  <c r="T26" i="4" s="1"/>
  <c r="Z26" i="4"/>
  <c r="B115" i="4"/>
  <c r="Q144" i="4"/>
  <c r="Q19" i="4" s="1"/>
  <c r="Z19" i="4" s="1"/>
  <c r="F13" i="6"/>
  <c r="X12" i="4"/>
  <c r="N21" i="4"/>
  <c r="S136" i="4"/>
  <c r="B118" i="4"/>
  <c r="B108" i="4"/>
  <c r="B110" i="4" s="1"/>
  <c r="B119" i="4" s="1"/>
  <c r="B120" i="4" s="1"/>
  <c r="B122" i="4" s="1"/>
  <c r="L5" i="4"/>
  <c r="D8" i="6" s="1"/>
  <c r="Y4" i="4"/>
  <c r="Y5" i="4" s="1"/>
  <c r="I7" i="4"/>
  <c r="G10" i="4"/>
  <c r="B9" i="6"/>
  <c r="K7" i="4"/>
  <c r="B13" i="6"/>
  <c r="L7" i="4"/>
  <c r="C32" i="6"/>
  <c r="D32" i="6" s="1"/>
  <c r="C33" i="6"/>
  <c r="D33" i="6" s="1"/>
  <c r="H13" i="4" l="1"/>
  <c r="AB147" i="3"/>
  <c r="X13" i="4"/>
  <c r="Q133" i="4"/>
  <c r="H129" i="3"/>
  <c r="H120" i="3"/>
  <c r="H123" i="3"/>
  <c r="H126" i="3"/>
  <c r="H128" i="3"/>
  <c r="H125" i="3"/>
  <c r="H122" i="3"/>
  <c r="H127" i="3"/>
  <c r="H124" i="3"/>
  <c r="H121" i="3"/>
  <c r="N51" i="3"/>
  <c r="F8" i="4"/>
  <c r="N52" i="3"/>
  <c r="D53" i="3" s="1"/>
  <c r="AB103" i="3"/>
  <c r="N129" i="3"/>
  <c r="N126" i="3"/>
  <c r="N123" i="3"/>
  <c r="N120" i="3"/>
  <c r="N128" i="3"/>
  <c r="N125" i="3"/>
  <c r="N122" i="3"/>
  <c r="N127" i="3"/>
  <c r="N124" i="3"/>
  <c r="N121" i="3"/>
  <c r="B13" i="4"/>
  <c r="Q5" i="4"/>
  <c r="I8" i="6" s="1"/>
  <c r="Z17" i="4"/>
  <c r="C31" i="2"/>
  <c r="S133" i="4"/>
  <c r="T51" i="3"/>
  <c r="K51" i="3"/>
  <c r="B44" i="2"/>
  <c r="K52" i="3"/>
  <c r="AB84" i="2"/>
  <c r="T4" i="4" s="1"/>
  <c r="P4" i="4"/>
  <c r="M7" i="6"/>
  <c r="U133" i="4"/>
  <c r="U128" i="4"/>
  <c r="U131" i="4" s="1"/>
  <c r="I7" i="6"/>
  <c r="D26" i="6" s="1"/>
  <c r="Z103" i="3"/>
  <c r="U5" i="4"/>
  <c r="M8" i="6" s="1"/>
  <c r="Z174" i="3"/>
  <c r="Z93" i="3" s="1"/>
  <c r="Z147" i="3"/>
  <c r="S147" i="3"/>
  <c r="S51" i="3"/>
  <c r="R147" i="3"/>
  <c r="R51" i="3"/>
  <c r="AD93" i="3"/>
  <c r="AD147" i="3"/>
  <c r="Z67" i="3"/>
  <c r="Y67" i="3"/>
  <c r="AC93" i="3"/>
  <c r="AC147" i="3"/>
  <c r="W147" i="3"/>
  <c r="W51" i="3"/>
  <c r="Y147" i="3"/>
  <c r="Y174" i="3"/>
  <c r="Y93" i="3" s="1"/>
  <c r="V147" i="3"/>
  <c r="V51" i="3"/>
  <c r="AA93" i="3"/>
  <c r="AA147" i="3"/>
  <c r="X172" i="3"/>
  <c r="O51" i="3"/>
  <c r="C53" i="3" s="1"/>
  <c r="O147" i="3"/>
  <c r="Q51" i="3"/>
  <c r="Q147" i="3"/>
  <c r="X147" i="3"/>
  <c r="X51" i="3"/>
  <c r="U147" i="3"/>
  <c r="U51" i="3"/>
  <c r="C37" i="2"/>
  <c r="K7" i="6"/>
  <c r="B32" i="2"/>
  <c r="B31" i="2"/>
  <c r="O24" i="2"/>
  <c r="B54" i="2"/>
  <c r="N24" i="2"/>
  <c r="U24" i="2"/>
  <c r="M24" i="2"/>
  <c r="L24" i="2"/>
  <c r="V24" i="2"/>
  <c r="J24" i="2"/>
  <c r="W24" i="2"/>
  <c r="K24" i="2"/>
  <c r="T24" i="2"/>
  <c r="S24" i="2"/>
  <c r="R24" i="2"/>
  <c r="Q24" i="2"/>
  <c r="P24" i="2"/>
  <c r="B38" i="2"/>
  <c r="B37" i="2"/>
  <c r="D37" i="2" s="1"/>
  <c r="C43" i="2"/>
  <c r="S5" i="4"/>
  <c r="K8" i="6" s="1"/>
  <c r="B43" i="2"/>
  <c r="S128" i="4"/>
  <c r="S131" i="4" s="1"/>
  <c r="R4" i="4"/>
  <c r="C86" i="2"/>
  <c r="D86" i="2" s="1"/>
  <c r="B124" i="4"/>
  <c r="B123" i="4"/>
  <c r="P142" i="4"/>
  <c r="Q142" i="4"/>
  <c r="Q143" i="4" s="1"/>
  <c r="Q18" i="4" s="1"/>
  <c r="U144" i="4"/>
  <c r="U19" i="4" s="1"/>
  <c r="T144" i="4"/>
  <c r="T19" i="4" s="1"/>
  <c r="S144" i="4"/>
  <c r="S19" i="4" s="1"/>
  <c r="R144" i="4"/>
  <c r="R19" i="4" s="1"/>
  <c r="K8" i="4"/>
  <c r="Y13" i="4"/>
  <c r="K13" i="4"/>
  <c r="C11" i="6" s="1"/>
  <c r="O8" i="4"/>
  <c r="S34" i="4"/>
  <c r="T149" i="4"/>
  <c r="U138" i="4"/>
  <c r="I8" i="4"/>
  <c r="I13" i="4"/>
  <c r="Q131" i="4"/>
  <c r="U136" i="4"/>
  <c r="L13" i="4"/>
  <c r="D11" i="6" s="1"/>
  <c r="L8" i="4"/>
  <c r="N13" i="4"/>
  <c r="F11" i="6" s="1"/>
  <c r="N8" i="4"/>
  <c r="M13" i="4"/>
  <c r="E11" i="6" s="1"/>
  <c r="M8" i="4"/>
  <c r="AA103" i="3" l="1"/>
  <c r="K122" i="3"/>
  <c r="K129" i="3"/>
  <c r="K126" i="3"/>
  <c r="K123" i="3"/>
  <c r="K120" i="3"/>
  <c r="K128" i="3"/>
  <c r="K125" i="3"/>
  <c r="K127" i="3"/>
  <c r="K124" i="3"/>
  <c r="K121" i="3"/>
  <c r="E129" i="3"/>
  <c r="E123" i="3"/>
  <c r="E120" i="3"/>
  <c r="E126" i="3"/>
  <c r="E128" i="3"/>
  <c r="E125" i="3"/>
  <c r="E122" i="3"/>
  <c r="E124" i="3"/>
  <c r="E127" i="3"/>
  <c r="E121" i="3"/>
  <c r="U137" i="4"/>
  <c r="E53" i="3"/>
  <c r="D31" i="2"/>
  <c r="P128" i="4"/>
  <c r="P5" i="4"/>
  <c r="H8" i="6" s="1"/>
  <c r="P133" i="4"/>
  <c r="Z4" i="4"/>
  <c r="Z5" i="4" s="1"/>
  <c r="Y103" i="3"/>
  <c r="H7" i="6"/>
  <c r="B26" i="6" s="1"/>
  <c r="AC103" i="3"/>
  <c r="T128" i="4"/>
  <c r="T131" i="4" s="1"/>
  <c r="T133" i="4"/>
  <c r="L7" i="6"/>
  <c r="H26" i="6" s="1"/>
  <c r="T5" i="4"/>
  <c r="L8" i="6" s="1"/>
  <c r="S137" i="4"/>
  <c r="S139" i="4" s="1"/>
  <c r="S16" i="4" s="1"/>
  <c r="Y66" i="3"/>
  <c r="Y74" i="3"/>
  <c r="AB67" i="3"/>
  <c r="AA67" i="3"/>
  <c r="AC67" i="3"/>
  <c r="AD67" i="3"/>
  <c r="Z66" i="3"/>
  <c r="Z74" i="3"/>
  <c r="M114" i="2"/>
  <c r="M25" i="2"/>
  <c r="U114" i="2"/>
  <c r="U25" i="2"/>
  <c r="P114" i="2"/>
  <c r="P25" i="2"/>
  <c r="N114" i="2"/>
  <c r="N25" i="2"/>
  <c r="V114" i="2"/>
  <c r="V25" i="2"/>
  <c r="L114" i="2"/>
  <c r="L25" i="2"/>
  <c r="Q114" i="2"/>
  <c r="Q25" i="2"/>
  <c r="B55" i="2"/>
  <c r="X85" i="2"/>
  <c r="X114" i="2" s="1"/>
  <c r="X90" i="2"/>
  <c r="C58" i="2"/>
  <c r="D58" i="2" s="1"/>
  <c r="D55" i="2"/>
  <c r="Z75" i="2"/>
  <c r="C55" i="2"/>
  <c r="AA75" i="2"/>
  <c r="AA76" i="2" s="1"/>
  <c r="Y75" i="2"/>
  <c r="X75" i="2"/>
  <c r="R114" i="2"/>
  <c r="R25" i="2"/>
  <c r="O114" i="2"/>
  <c r="O25" i="2"/>
  <c r="S114" i="2"/>
  <c r="S25" i="2"/>
  <c r="J7" i="6"/>
  <c r="R133" i="4"/>
  <c r="R5" i="4"/>
  <c r="J8" i="6" s="1"/>
  <c r="R128" i="4"/>
  <c r="K114" i="2"/>
  <c r="K25" i="2"/>
  <c r="T114" i="2"/>
  <c r="T25" i="2"/>
  <c r="W114" i="2"/>
  <c r="W25" i="2"/>
  <c r="C54" i="2"/>
  <c r="D43" i="2"/>
  <c r="J114" i="2"/>
  <c r="J25" i="2"/>
  <c r="U139" i="4"/>
  <c r="U16" i="4" s="1"/>
  <c r="T34" i="4"/>
  <c r="U149" i="4"/>
  <c r="U34" i="4" s="1"/>
  <c r="B125" i="4"/>
  <c r="P141" i="4"/>
  <c r="P143" i="4" s="1"/>
  <c r="P18" i="4" s="1"/>
  <c r="P132" i="4"/>
  <c r="U132" i="4"/>
  <c r="T132" i="4"/>
  <c r="S132" i="4"/>
  <c r="R132" i="4"/>
  <c r="Q132" i="4"/>
  <c r="T136" i="4" l="1"/>
  <c r="P137" i="4"/>
  <c r="P139" i="4" s="1"/>
  <c r="P16" i="4" s="1"/>
  <c r="P131" i="4"/>
  <c r="Z94" i="3"/>
  <c r="Z176" i="3"/>
  <c r="Z177" i="3"/>
  <c r="AD74" i="3"/>
  <c r="AD94" i="3" s="1"/>
  <c r="AD66" i="3"/>
  <c r="AC74" i="3"/>
  <c r="AC94" i="3" s="1"/>
  <c r="AC66" i="3"/>
  <c r="AA66" i="3"/>
  <c r="AA74" i="3"/>
  <c r="AB74" i="3"/>
  <c r="AB66" i="3"/>
  <c r="Y94" i="3"/>
  <c r="Y176" i="3"/>
  <c r="Y177" i="3"/>
  <c r="Y73" i="2"/>
  <c r="X73" i="2"/>
  <c r="W73" i="2"/>
  <c r="V73" i="2"/>
  <c r="Z62" i="2"/>
  <c r="Z74" i="2"/>
  <c r="Z76" i="2" s="1"/>
  <c r="Y74" i="2"/>
  <c r="X74" i="2"/>
  <c r="W74" i="2"/>
  <c r="AA62" i="2"/>
  <c r="J26" i="6"/>
  <c r="F26" i="6"/>
  <c r="W71" i="2"/>
  <c r="V71" i="2"/>
  <c r="U71" i="2"/>
  <c r="U76" i="2" s="1"/>
  <c r="B60" i="2"/>
  <c r="C60" i="2" s="1"/>
  <c r="D60" i="2" s="1"/>
  <c r="T71" i="2"/>
  <c r="T76" i="2" s="1"/>
  <c r="B59" i="2"/>
  <c r="C59" i="2" s="1"/>
  <c r="D59" i="2" s="1"/>
  <c r="V72" i="2"/>
  <c r="Y62" i="2"/>
  <c r="U72" i="2"/>
  <c r="X72" i="2"/>
  <c r="W72" i="2"/>
  <c r="R131" i="4"/>
  <c r="R137" i="4"/>
  <c r="R139" i="4" s="1"/>
  <c r="R16" i="4" s="1"/>
  <c r="X62" i="2"/>
  <c r="Z18" i="4"/>
  <c r="U141" i="4"/>
  <c r="U143" i="4" s="1"/>
  <c r="U18" i="4" s="1"/>
  <c r="T141" i="4"/>
  <c r="T143" i="4" s="1"/>
  <c r="T18" i="4" s="1"/>
  <c r="S141" i="4"/>
  <c r="S143" i="4" s="1"/>
  <c r="S18" i="4" s="1"/>
  <c r="R141" i="4"/>
  <c r="R143" i="4" s="1"/>
  <c r="R18" i="4" s="1"/>
  <c r="W76" i="2" l="1"/>
  <c r="V76" i="2"/>
  <c r="X76" i="2"/>
  <c r="T135" i="4"/>
  <c r="Z16" i="4"/>
  <c r="AB176" i="3"/>
  <c r="AB177" i="3"/>
  <c r="AB94" i="3"/>
  <c r="Y101" i="3"/>
  <c r="Y97" i="3"/>
  <c r="Y98" i="3"/>
  <c r="Y95" i="3"/>
  <c r="Y102" i="3"/>
  <c r="AA94" i="3"/>
  <c r="AA176" i="3"/>
  <c r="AA177" i="3"/>
  <c r="Z97" i="3"/>
  <c r="Z98" i="3"/>
  <c r="Z95" i="3"/>
  <c r="Z102" i="3"/>
  <c r="Z101" i="3"/>
  <c r="Y76" i="2"/>
  <c r="T138" i="4" l="1"/>
  <c r="T137" i="4"/>
  <c r="T139" i="4" s="1"/>
  <c r="T16" i="4" s="1"/>
  <c r="AA97" i="3"/>
  <c r="AA98" i="3"/>
  <c r="AA95" i="3"/>
  <c r="Y179" i="3"/>
  <c r="Y6" i="3"/>
  <c r="Y104" i="3"/>
  <c r="Z179" i="3"/>
  <c r="Z6" i="3"/>
  <c r="Z104" i="3"/>
  <c r="AB98" i="3"/>
  <c r="AB95" i="3"/>
  <c r="AB97" i="3"/>
  <c r="AC176" i="3" l="1"/>
  <c r="AC98" i="3"/>
  <c r="AC95" i="3"/>
  <c r="P9" i="4"/>
  <c r="Y145" i="3"/>
  <c r="AC177" i="3"/>
  <c r="Y7" i="3"/>
  <c r="AC97" i="3"/>
  <c r="AB179" i="3"/>
  <c r="AB6" i="3"/>
  <c r="AB104" i="3"/>
  <c r="AD176" i="3"/>
  <c r="AD98" i="3"/>
  <c r="AD95" i="3"/>
  <c r="Q9" i="4"/>
  <c r="Z145" i="3"/>
  <c r="AD177" i="3"/>
  <c r="Z7" i="3"/>
  <c r="AD97" i="3"/>
  <c r="AA179" i="3"/>
  <c r="AA6" i="3"/>
  <c r="AA104" i="3"/>
  <c r="R9" i="4" l="1"/>
  <c r="AA145" i="3"/>
  <c r="AA7" i="3"/>
  <c r="AB145" i="3"/>
  <c r="AB7" i="3"/>
  <c r="S9" i="4"/>
  <c r="H9" i="6"/>
  <c r="B27" i="6" s="1"/>
  <c r="P7" i="4"/>
  <c r="P10" i="4"/>
  <c r="H10" i="6" s="1"/>
  <c r="I9" i="6"/>
  <c r="D27" i="6" s="1"/>
  <c r="Q7" i="4"/>
  <c r="Q10" i="4"/>
  <c r="I10" i="6" s="1"/>
  <c r="AC179" i="3"/>
  <c r="AC6" i="3"/>
  <c r="AC104" i="3"/>
  <c r="AD179" i="3"/>
  <c r="AD104" i="3"/>
  <c r="AD6" i="3"/>
  <c r="P146" i="4" l="1"/>
  <c r="P130" i="4"/>
  <c r="P134" i="4" s="1"/>
  <c r="P15" i="4" s="1"/>
  <c r="P11" i="4"/>
  <c r="P8" i="4"/>
  <c r="Q146" i="4"/>
  <c r="Q130" i="4"/>
  <c r="Q134" i="4" s="1"/>
  <c r="Q15" i="4" s="1"/>
  <c r="Q20" i="4" s="1"/>
  <c r="Q11" i="4"/>
  <c r="Q8" i="4"/>
  <c r="AD145" i="3"/>
  <c r="AD7" i="3"/>
  <c r="U9" i="4"/>
  <c r="S10" i="4"/>
  <c r="K10" i="6" s="1"/>
  <c r="K9" i="6"/>
  <c r="H27" i="6" s="1"/>
  <c r="S7" i="4"/>
  <c r="AC145" i="3"/>
  <c r="AC7" i="3"/>
  <c r="T9" i="4"/>
  <c r="J9" i="6"/>
  <c r="F27" i="6" s="1"/>
  <c r="R10" i="4"/>
  <c r="J10" i="6" s="1"/>
  <c r="R7" i="4"/>
  <c r="U10" i="4" l="1"/>
  <c r="M10" i="6" s="1"/>
  <c r="M9" i="6"/>
  <c r="U7" i="4"/>
  <c r="R146" i="4"/>
  <c r="R147" i="4" s="1"/>
  <c r="R130" i="4"/>
  <c r="R134" i="4" s="1"/>
  <c r="R15" i="4" s="1"/>
  <c r="R20" i="4" s="1"/>
  <c r="R11" i="4"/>
  <c r="R8" i="4"/>
  <c r="Q156" i="4"/>
  <c r="Q39" i="4"/>
  <c r="I5" i="6"/>
  <c r="D24" i="6" s="1"/>
  <c r="D25" i="6" s="1"/>
  <c r="Q42" i="4"/>
  <c r="Q43" i="4" s="1"/>
  <c r="Q12" i="4"/>
  <c r="I6" i="6" s="1"/>
  <c r="Q23" i="4"/>
  <c r="Q155" i="4"/>
  <c r="Q21" i="4"/>
  <c r="I13" i="6"/>
  <c r="L9" i="6"/>
  <c r="T7" i="4"/>
  <c r="T10" i="4"/>
  <c r="L10" i="6" s="1"/>
  <c r="Q147" i="4"/>
  <c r="U146" i="4"/>
  <c r="U147" i="4" s="1"/>
  <c r="P39" i="4"/>
  <c r="P12" i="4"/>
  <c r="H6" i="6" s="1"/>
  <c r="H5" i="6"/>
  <c r="B24" i="6" s="1"/>
  <c r="B25" i="6" s="1"/>
  <c r="Z11" i="4"/>
  <c r="P42" i="4"/>
  <c r="P156" i="4"/>
  <c r="S146" i="4"/>
  <c r="S147" i="4" s="1"/>
  <c r="S148" i="4" s="1"/>
  <c r="S28" i="4" s="1"/>
  <c r="S130" i="4"/>
  <c r="S134" i="4" s="1"/>
  <c r="S15" i="4" s="1"/>
  <c r="S20" i="4" s="1"/>
  <c r="S11" i="4"/>
  <c r="S8" i="4"/>
  <c r="P20" i="4"/>
  <c r="Z15" i="4"/>
  <c r="T146" i="4"/>
  <c r="T147" i="4" s="1"/>
  <c r="T148" i="4" s="1"/>
  <c r="T28" i="4" s="1"/>
  <c r="P147" i="4"/>
  <c r="P148" i="4" s="1"/>
  <c r="P28" i="4" s="1"/>
  <c r="U148" i="4" l="1"/>
  <c r="U28" i="4" s="1"/>
  <c r="P155" i="4"/>
  <c r="P21" i="4"/>
  <c r="H13" i="6"/>
  <c r="Z20" i="4"/>
  <c r="Z21" i="4" s="1"/>
  <c r="Q148" i="4"/>
  <c r="Q28" i="4" s="1"/>
  <c r="Z28" i="4" s="1"/>
  <c r="K5" i="6"/>
  <c r="S12" i="4"/>
  <c r="K6" i="6" s="1"/>
  <c r="S42" i="4"/>
  <c r="S39" i="4"/>
  <c r="S156" i="4"/>
  <c r="S23" i="4"/>
  <c r="K13" i="6"/>
  <c r="S155" i="4"/>
  <c r="S21" i="4"/>
  <c r="T11" i="4"/>
  <c r="T130" i="4"/>
  <c r="T134" i="4" s="1"/>
  <c r="T15" i="4" s="1"/>
  <c r="T20" i="4" s="1"/>
  <c r="T8" i="4"/>
  <c r="R12" i="4"/>
  <c r="J6" i="6" s="1"/>
  <c r="J5" i="6"/>
  <c r="R39" i="4"/>
  <c r="R42" i="4"/>
  <c r="R156" i="4"/>
  <c r="R23" i="4"/>
  <c r="J13" i="6"/>
  <c r="R155" i="4"/>
  <c r="R21" i="4"/>
  <c r="P23" i="4"/>
  <c r="R148" i="4"/>
  <c r="R28" i="4" s="1"/>
  <c r="U8" i="4"/>
  <c r="U130" i="4"/>
  <c r="U134" i="4" s="1"/>
  <c r="U15" i="4" s="1"/>
  <c r="U20" i="4" s="1"/>
  <c r="U11" i="4"/>
  <c r="P43" i="4"/>
  <c r="Z13" i="4"/>
  <c r="Z12" i="4"/>
  <c r="Q24" i="4"/>
  <c r="Q152" i="4" s="1"/>
  <c r="Q154" i="4" s="1"/>
  <c r="I15" i="6"/>
  <c r="Q27" i="4"/>
  <c r="I14" i="6"/>
  <c r="Q41" i="4"/>
  <c r="Q157" i="4"/>
  <c r="M5" i="6" l="1"/>
  <c r="U42" i="4"/>
  <c r="U39" i="4"/>
  <c r="U12" i="4"/>
  <c r="M6" i="6" s="1"/>
  <c r="U156" i="4"/>
  <c r="U23" i="4"/>
  <c r="J15" i="6"/>
  <c r="J14" i="6"/>
  <c r="R41" i="4"/>
  <c r="R157" i="4"/>
  <c r="R27" i="4"/>
  <c r="R24" i="4"/>
  <c r="R152" i="4" s="1"/>
  <c r="R154" i="4" s="1"/>
  <c r="K14" i="6"/>
  <c r="S157" i="4"/>
  <c r="S24" i="4"/>
  <c r="S152" i="4" s="1"/>
  <c r="S154" i="4" s="1"/>
  <c r="K15" i="6"/>
  <c r="S27" i="4"/>
  <c r="S41" i="4"/>
  <c r="R43" i="4"/>
  <c r="S43" i="4"/>
  <c r="F24" i="6"/>
  <c r="F25" i="6" s="1"/>
  <c r="U155" i="4"/>
  <c r="M13" i="6"/>
  <c r="U21" i="4"/>
  <c r="T155" i="4"/>
  <c r="L13" i="6"/>
  <c r="T21" i="4"/>
  <c r="P157" i="4"/>
  <c r="Z23" i="4"/>
  <c r="Z24" i="4" s="1"/>
  <c r="P27" i="4"/>
  <c r="P24" i="4"/>
  <c r="P152" i="4" s="1"/>
  <c r="P154" i="4" s="1"/>
  <c r="H14" i="6"/>
  <c r="H15" i="6"/>
  <c r="P41" i="4"/>
  <c r="L5" i="6"/>
  <c r="H24" i="6" s="1"/>
  <c r="H25" i="6" s="1"/>
  <c r="T39" i="4"/>
  <c r="T42" i="4"/>
  <c r="T12" i="4"/>
  <c r="L6" i="6" s="1"/>
  <c r="T156" i="4"/>
  <c r="T23" i="4"/>
  <c r="D28" i="6"/>
  <c r="I16" i="6"/>
  <c r="I18" i="6"/>
  <c r="Q31" i="4"/>
  <c r="J24" i="6" l="1"/>
  <c r="J25" i="6" s="1"/>
  <c r="H16" i="6"/>
  <c r="B32" i="6"/>
  <c r="B28" i="6"/>
  <c r="E32" i="6"/>
  <c r="J18" i="6"/>
  <c r="R31" i="4"/>
  <c r="Q32" i="4"/>
  <c r="Q33" i="4" s="1"/>
  <c r="F28" i="6"/>
  <c r="J16" i="6"/>
  <c r="Z27" i="4"/>
  <c r="P31" i="4"/>
  <c r="H18" i="6"/>
  <c r="E33" i="6"/>
  <c r="B33" i="6"/>
  <c r="U157" i="4"/>
  <c r="M15" i="6"/>
  <c r="M14" i="6"/>
  <c r="M16" i="6" s="1"/>
  <c r="U41" i="4"/>
  <c r="U27" i="4"/>
  <c r="U24" i="4"/>
  <c r="U152" i="4" s="1"/>
  <c r="U154" i="4" s="1"/>
  <c r="T27" i="4"/>
  <c r="T157" i="4"/>
  <c r="L15" i="6"/>
  <c r="T24" i="4"/>
  <c r="T152" i="4" s="1"/>
  <c r="T154" i="4" s="1"/>
  <c r="L14" i="6"/>
  <c r="L16" i="6" s="1"/>
  <c r="T41" i="4"/>
  <c r="K18" i="6"/>
  <c r="S31" i="4"/>
  <c r="T43" i="4"/>
  <c r="U43" i="4"/>
  <c r="K16" i="6"/>
  <c r="H28" i="6"/>
  <c r="J28" i="6" l="1"/>
  <c r="E34" i="6" s="1"/>
  <c r="B34" i="6"/>
  <c r="L18" i="6"/>
  <c r="T31" i="4"/>
  <c r="M18" i="6"/>
  <c r="U31" i="4"/>
  <c r="I19" i="6"/>
  <c r="Q35" i="4"/>
  <c r="I20" i="6" s="1"/>
  <c r="D29" i="6" s="1"/>
  <c r="S32" i="4"/>
  <c r="S33" i="4"/>
  <c r="R32" i="4"/>
  <c r="R33" i="4"/>
  <c r="Z31" i="4"/>
  <c r="P32" i="4"/>
  <c r="Z32" i="4" s="1"/>
  <c r="P33" i="4"/>
  <c r="E35" i="6" l="1"/>
  <c r="E36" i="6" s="1"/>
  <c r="A3" i="6" s="1"/>
  <c r="A2" i="6"/>
  <c r="Z33" i="4"/>
  <c r="Z35" i="4" s="1"/>
  <c r="P35" i="4"/>
  <c r="H20" i="6" s="1"/>
  <c r="B29" i="6" s="1"/>
  <c r="H19" i="6"/>
  <c r="T32" i="4"/>
  <c r="T33" i="4" s="1"/>
  <c r="U32" i="4"/>
  <c r="U33" i="4" s="1"/>
  <c r="K19" i="6"/>
  <c r="S35" i="4"/>
  <c r="K20" i="6" s="1"/>
  <c r="H29" i="6" s="1"/>
  <c r="R35" i="4"/>
  <c r="J20" i="6" s="1"/>
  <c r="J19" i="6"/>
  <c r="U35" i="4" l="1"/>
  <c r="M20" i="6" s="1"/>
  <c r="M19" i="6"/>
  <c r="L19" i="6"/>
  <c r="T35" i="4"/>
  <c r="L20" i="6" s="1"/>
  <c r="F29" i="6"/>
  <c r="J29" i="6" l="1"/>
</calcChain>
</file>

<file path=xl/sharedStrings.xml><?xml version="1.0" encoding="utf-8"?>
<sst xmlns="http://schemas.openxmlformats.org/spreadsheetml/2006/main" count="694" uniqueCount="560">
  <si>
    <t>Airbnb — nights engine (reviews_index_v2, v2.1 stay-quarter mix). Blue = input with source; black = formula; green = link.</t>
  </si>
  <si>
    <t>Quarter</t>
  </si>
  <si>
    <t>A = printed, E = engine</t>
  </si>
  <si>
    <t>1Q21A</t>
  </si>
  <si>
    <t>2Q21A</t>
  </si>
  <si>
    <t>3Q21A</t>
  </si>
  <si>
    <t>4Q21A</t>
  </si>
  <si>
    <t>1Q22A</t>
  </si>
  <si>
    <t>2Q22A</t>
  </si>
  <si>
    <t>3Q22A</t>
  </si>
  <si>
    <t>4Q22A</t>
  </si>
  <si>
    <t>1Q23A</t>
  </si>
  <si>
    <t>2Q23A</t>
  </si>
  <si>
    <t>3Q23A</t>
  </si>
  <si>
    <t>4Q23A</t>
  </si>
  <si>
    <t>1Q24A</t>
  </si>
  <si>
    <t>2Q24A</t>
  </si>
  <si>
    <t>3Q24A</t>
  </si>
  <si>
    <t>4Q24A</t>
  </si>
  <si>
    <t>1Q25A</t>
  </si>
  <si>
    <t>2Q25A</t>
  </si>
  <si>
    <t>3Q25A</t>
  </si>
  <si>
    <t>4Q25A</t>
  </si>
  <si>
    <t>1Q26A</t>
  </si>
  <si>
    <t>2Q26A</t>
  </si>
  <si>
    <t>3Q26E</t>
  </si>
  <si>
    <t>4Q26E</t>
  </si>
  <si>
    <t>1Q27E</t>
  </si>
  <si>
    <t>2Q27E</t>
  </si>
  <si>
    <t>3Q27E</t>
  </si>
  <si>
    <t>4Q27E</t>
  </si>
  <si>
    <t>A. Printed nights (the KPI, booking-dated)</t>
  </si>
  <si>
    <t>Nights &amp; seats booked (m)</t>
  </si>
  <si>
    <t xml:space="preserve">    y/y</t>
  </si>
  <si>
    <t>B. Stays index — regional stays growth (same-age two-vintage review counts) × stay-quarter mix weights</t>
  </si>
  <si>
    <t>Stays y/y, NAM (%)</t>
  </si>
  <si>
    <t>Stays y/y, EMEA (%)</t>
  </si>
  <si>
    <t>Stays y/y, LatAm (%)</t>
  </si>
  <si>
    <t>Stays y/y, APAC (%)</t>
  </si>
  <si>
    <t>Stay-mix weight, NAM</t>
  </si>
  <si>
    <t>Stay-mix weight, EMEA</t>
  </si>
  <si>
    <t>Stay-mix weight, LatAm</t>
  </si>
  <si>
    <t>Stay-mix weight, APAC</t>
  </si>
  <si>
    <t>Global stays index, y/y (%)</t>
  </si>
  <si>
    <t>C. Mapping to the KPI — nights y/y = a + b × index, fitted 1Q23–2Q25 and frozen; scored walk-forward</t>
  </si>
  <si>
    <t>Intercept a (frozen, 1Q23–2Q25)</t>
  </si>
  <si>
    <t>pp</t>
  </si>
  <si>
    <t>Slope b (frozen, 1Q23–2Q25)</t>
  </si>
  <si>
    <t>pp of nights per index point</t>
  </si>
  <si>
    <t>Stays-implied nights y/y (%)</t>
  </si>
  <si>
    <t>Gap: printed − stays-implied (pp)</t>
  </si>
  <si>
    <t>C1. Walk-forward W1 — window 1Q22+, scored 1Q23–2Q26</t>
  </si>
  <si>
    <t xml:space="preserve">  prediction (refit on quarters before t)</t>
  </si>
  <si>
    <t xml:space="preserve">  error: prediction − printed (pp)</t>
  </si>
  <si>
    <t xml:space="preserve">  naive error: last quarter's y/y − printed (pp)</t>
  </si>
  <si>
    <t xml:space="preserve">  RMSE engine / RMSE naive</t>
  </si>
  <si>
    <t>ratio (pass line ≤ 0.75)</t>
  </si>
  <si>
    <t xml:space="preserve">  mean error (pp)</t>
  </si>
  <si>
    <t>C2. Walk-forward W2 — window 1Q23+, scored 1Q24–2Q26</t>
  </si>
  <si>
    <t>C3. Band — W2 walk-forward on the pre-RNPL quarters only, scored 1Q24–2Q25</t>
  </si>
  <si>
    <t>← the RMSE in the first cell of this row is the band (±pp) on every read</t>
  </si>
  <si>
    <t>D. The 3Q26 read — quarter-to-date, day-matched, same-age two vintages, through the frozen mapping</t>
  </si>
  <si>
    <t xml:space="preserve">  3Q26 QTD stays y/y, NAM (%)</t>
  </si>
  <si>
    <t>← 3Q26 stay-mix weight (block B)</t>
  </si>
  <si>
    <t xml:space="preserve">  3Q26 QTD stays y/y, EMEA (%)</t>
  </si>
  <si>
    <t xml:space="preserve">  3Q26 QTD stays y/y, LatAm (%)</t>
  </si>
  <si>
    <t xml:space="preserve">  3Q26 QTD stays y/y, APAC (%)</t>
  </si>
  <si>
    <t xml:space="preserve">  Composite QTD index (%)</t>
  </si>
  <si>
    <t xml:space="preserve">  Partial-to-full-quarter gap (pp)</t>
  </si>
  <si>
    <t xml:space="preserve">  Full-quarter index (%)</t>
  </si>
  <si>
    <t xml:space="preserve">  3Q26 STAYS READ, nights y/y (%)</t>
  </si>
  <si>
    <t>± band (block C3)</t>
  </si>
  <si>
    <t xml:space="preserve">  3Q26 stays level (m)  [lo, hi]</t>
  </si>
  <si>
    <t>E. The option term — print = stays + I; I observed 3Q25–2Q26, scenarios for 3Q26, y/y lap and kernel landing</t>
  </si>
  <si>
    <t xml:space="preserve">  I scenario: 0 (exercise keeps pace with writing)</t>
  </si>
  <si>
    <t>← print y/y and level under each scenario</t>
  </si>
  <si>
    <t xml:space="preserve">  I scenario: mean observed gap</t>
  </si>
  <si>
    <t xml:space="preserve">  I scenario: largest observed gap (a writing wave)</t>
  </si>
  <si>
    <t xml:space="preserve">  y/y option term = I_t − I_{t−4} (pp)</t>
  </si>
  <si>
    <t xml:space="preserve">  Base print y/y (%) — mechanism (DEC-0029/0019/0025)</t>
  </si>
  <si>
    <t xml:space="preserve">  K2 kernel: share of a stay quarter's stays booked 0..3 quarters earlier</t>
  </si>
  <si>
    <t xml:space="preserve">    stays in Q1: lag 0 / 1 / 2 / 3</t>
  </si>
  <si>
    <t xml:space="preserve">    stays in Q2: lag 0 / 1 / 2 / 3</t>
  </si>
  <si>
    <t xml:space="preserve">    stays in Q3: lag 0 / 1 / 2 / 3</t>
  </si>
  <si>
    <t xml:space="preserve">    stays in Q4: lag 0 / 1 / 2 / 3</t>
  </si>
  <si>
    <t xml:space="preserve">  Landing of each writing wave's cancellations, pp (cohort gap × normalised kernel share by stay quarter)</t>
  </si>
  <si>
    <t xml:space="preserve">    written 3Q25 (gap 3Q25)</t>
  </si>
  <si>
    <t xml:space="preserve">    written 4Q25 (gap 4Q25)</t>
  </si>
  <si>
    <t xml:space="preserve">    written 1Q26 (gap 1Q26)</t>
  </si>
  <si>
    <t xml:space="preserve">    written 2Q26 (gap 2Q26)</t>
  </si>
  <si>
    <t xml:space="preserve">    written 3Q26 (base I)</t>
  </si>
  <si>
    <t xml:space="preserve">    cancellations landing, pp</t>
  </si>
  <si>
    <t>F. Forward path — base y/y as the sum of sourced components; levels; Street; guidance; the stays path</t>
  </si>
  <si>
    <t xml:space="preserve">  underlying growth (pp)</t>
  </si>
  <si>
    <t xml:space="preserve">  fee / cancellation lap (pp)</t>
  </si>
  <si>
    <t xml:space="preserve">  ex-NA RNPL lap (pp)</t>
  </si>
  <si>
    <t xml:space="preserve">  events (pp)</t>
  </si>
  <si>
    <t xml:space="preserve">  BASE PRINT y/y (%)</t>
  </si>
  <si>
    <t xml:space="preserve">  Base print level (m)</t>
  </si>
  <si>
    <t xml:space="preserve">  Stays path y/y (%)</t>
  </si>
  <si>
    <t xml:space="preserve">  FY26 / FY27 nights (m) and FY27 y/y</t>
  </si>
  <si>
    <t>FY26 · FY27 · FY27 y/y</t>
  </si>
  <si>
    <t xml:space="preserve">  Street consensus nights (m)</t>
  </si>
  <si>
    <t xml:space="preserve">  Street y/y (%)</t>
  </si>
  <si>
    <t xml:space="preserve">  Airbnb guidance, nights y/y (low–high, %)</t>
  </si>
  <si>
    <t>4–6</t>
  </si>
  <si>
    <t>7–9</t>
  </si>
  <si>
    <t>10–12</t>
  </si>
  <si>
    <t xml:space="preserve">  P(3Q26 print ≥ Street | stays read, band)</t>
  </si>
  <si>
    <t>G. RNPL written: unearned fees y/y vs GBV y/y (the option collects no cash until its deadline)</t>
  </si>
  <si>
    <t xml:space="preserve">  Unearned fees y/y (%)</t>
  </si>
  <si>
    <t xml:space="preserve">  GBV y/y, reported (%)</t>
  </si>
  <si>
    <t xml:space="preserve">  Spread: unearned fees − GBV (pp)</t>
  </si>
  <si>
    <t xml:space="preserve">  z vs pre-RNPL spread (1Q23–2Q25)</t>
  </si>
  <si>
    <t>H. The instrument is validated where nights are observed — Eurostat panel (computed in the engine; values, sourced)</t>
  </si>
  <si>
    <t xml:space="preserve">  β, country fixed effects (se, wild-cluster p, n, clusters)</t>
  </si>
  <si>
    <t>within-R2 0.358</t>
  </si>
  <si>
    <t xml:space="preserve">  β in first differences (p)</t>
  </si>
  <si>
    <t>nan</t>
  </si>
  <si>
    <t xml:space="preserve">  median walk-forward ratio vs naive (countries ≤ 0.75)</t>
  </si>
  <si>
    <t>countries&lt;=0.75: 17/18</t>
  </si>
  <si>
    <t>Engine reference values (Python run) — the checker compares the formulas above to these</t>
  </si>
  <si>
    <t xml:space="preserve">  W1 ratio</t>
  </si>
  <si>
    <t xml:space="preserve">  W2 ratio</t>
  </si>
  <si>
    <t xml:space="preserve">  band</t>
  </si>
  <si>
    <t xml:space="preserve">  3Q26 read</t>
  </si>
  <si>
    <t xml:space="preserve">  a</t>
  </si>
  <si>
    <t xml:space="preserve">  b</t>
  </si>
  <si>
    <t xml:space="preserve">  chart helper: printed nights y/y (%)</t>
  </si>
  <si>
    <t xml:space="preserve">  chart helper: our view (printed, then base print path)</t>
  </si>
  <si>
    <t xml:space="preserve">  chart helper: Street y/y</t>
  </si>
  <si>
    <t xml:space="preserve">  chart helper: stays-implied / stays path</t>
  </si>
  <si>
    <t>Airbnb — ADR engine (line 2). reported ADR y/y = ex-FX mechanism + FX translation identity (ex ante, spot held). Blue = input with source; black = formula; green = link.</t>
  </si>
  <si>
    <t>A. Printed ADR and the disclosed identity: reported y/y − ex-FX y/y = FX effect (closes to ≤0.04pp)</t>
  </si>
  <si>
    <t>ADR ($, GBV ÷ nights, printed; forward = engine path)</t>
  </si>
  <si>
    <t>data/processed/overnight/02_kpi_panel_quarterly.csv adr_usd (letters / 10-Q)</t>
  </si>
  <si>
    <t xml:space="preserve">    reported y/y</t>
  </si>
  <si>
    <t>→ ADR / ADR four quarters earlier − 1</t>
  </si>
  <si>
    <t xml:space="preserve">    ex-FX y/y, as stated in the letter (whole points; 3Q23/4Q23 'less than 1%' → 0.5)</t>
  </si>
  <si>
    <t>02_kpi_panel_quarterly.csv adr_yoy_exfx_pct; 2Q22 onward</t>
  </si>
  <si>
    <t xml:space="preserve">    FX effect on ADR (pp) — the disclosed target</t>
  </si>
  <si>
    <t>→ reported y/y × 100 − ex-FX y/y</t>
  </si>
  <si>
    <t>B. FX translation identity (ex ante): FX pp = Σ_region GBV share × Σ_currency κ × (avg rate / avg rate a year earlier − 1) — zero fitted parameters</t>
  </si>
  <si>
    <t>Quarterly average USD per EUR (business days; forward = spot held from 2026-09-18)</t>
  </si>
  <si>
    <t>FRED DEXUSEU → adr_engine/fx_daily_2026-09-21.csv (fetch_fx.py)</t>
  </si>
  <si>
    <t>Quarterly average USD per GBP (business days; forward = spot held from 2026-09-18)</t>
  </si>
  <si>
    <t>FRED DEXUSUK → adr_engine/fx_daily_2026-09-21.csv (fetch_fx.py)</t>
  </si>
  <si>
    <t>Quarterly average USD per BRL (business days; forward = spot held from 2026-09-18)</t>
  </si>
  <si>
    <t>FRED DEXBZUS → adr_engine/fx_daily_2026-09-21.csv (fetch_fx.py)</t>
  </si>
  <si>
    <t>Quarterly average USD per MXN (business days; forward = spot held from 2026-09-18)</t>
  </si>
  <si>
    <t>FRED DEXMXUS → adr_engine/fx_daily_2026-09-21.csv (fetch_fx.py)</t>
  </si>
  <si>
    <t>Quarterly average USD per JPY (business days; forward = spot held from 2026-09-18)</t>
  </si>
  <si>
    <t>FRED DEXJPUS → adr_engine/fx_daily_2026-09-21.csv (fetch_fx.py)</t>
  </si>
  <si>
    <t>Quarterly average USD per AUD (business days; forward = spot held from 2026-09-18)</t>
  </si>
  <si>
    <t>FRED DEXUSAL → adr_engine/fx_daily_2026-09-21.csv (fetch_fx.py)</t>
  </si>
  <si>
    <t>Quarterly average USD per KRW (business days; forward = spot held from 2026-09-18)</t>
  </si>
  <si>
    <t>FRED DEXKOUS → adr_engine/fx_daily_2026-09-21.csv (fetch_fx.py)</t>
  </si>
  <si>
    <t>Quarterly average USD per CAD (business days; forward = spot held from 2026-09-18)</t>
  </si>
  <si>
    <t>FRED DEXCAUS → adr_engine/fx_daily_2026-09-21.csv (fetch_fx.py)</t>
  </si>
  <si>
    <t>Quarterly average USD per INR (business days; forward = spot held from 2026-09-18)</t>
  </si>
  <si>
    <t>FRED DEXINUS → adr_engine/fx_daily_2026-09-21.csv (fetch_fx.py)</t>
  </si>
  <si>
    <t xml:space="preserve">    share of the quarter's business days printed at 18 Sep 2026</t>
  </si>
  <si>
    <t>engine fx_forecast_asof.csv obs_frac_at_asof</t>
  </si>
  <si>
    <t xml:space="preserve">    EUR y/y of the quarterly average (%)</t>
  </si>
  <si>
    <t>→ (avg / avg four quarters earlier − 1) × 100</t>
  </si>
  <si>
    <t xml:space="preserve">    GBP y/y of the quarterly average (%)</t>
  </si>
  <si>
    <t xml:space="preserve">    BRL y/y of the quarterly average (%)</t>
  </si>
  <si>
    <t xml:space="preserve">    MXN y/y of the quarterly average (%)</t>
  </si>
  <si>
    <t xml:space="preserve">    JPY y/y of the quarterly average (%)</t>
  </si>
  <si>
    <t xml:space="preserve">    AUD y/y of the quarterly average (%)</t>
  </si>
  <si>
    <t xml:space="preserve">    KRW y/y of the quarterly average (%)</t>
  </si>
  <si>
    <t xml:space="preserve">    CAD y/y of the quarterly average (%)</t>
  </si>
  <si>
    <t xml:space="preserve">    INR y/y of the quarterly average (%)</t>
  </si>
  <si>
    <t>Destination-currency basket weights κ (frozen judgement, 01b_basket_weights_used.csv; USD legs carry 0)</t>
  </si>
  <si>
    <t>rows = region; columns C..K = EUR GBP BRL MXN JPY AUD KRW CAD INR; L = USD</t>
  </si>
  <si>
    <t>EUR</t>
  </si>
  <si>
    <t>GBP</t>
  </si>
  <si>
    <t>BRL</t>
  </si>
  <si>
    <t>MXN</t>
  </si>
  <si>
    <t>JPY</t>
  </si>
  <si>
    <t>AUD</t>
  </si>
  <si>
    <t>KRW</t>
  </si>
  <si>
    <t>CAD</t>
  </si>
  <si>
    <t>INR</t>
  </si>
  <si>
    <t>USD</t>
  </si>
  <si>
    <t xml:space="preserve">    κ na</t>
  </si>
  <si>
    <t xml:space="preserve">    κ emea</t>
  </si>
  <si>
    <t xml:space="preserve">    κ latam</t>
  </si>
  <si>
    <t xml:space="preserve">    κ apac</t>
  </si>
  <si>
    <t xml:space="preserve">    basket y/y, na (%)</t>
  </si>
  <si>
    <t>→ Σ_currency κ × currency y/y</t>
  </si>
  <si>
    <t xml:space="preserve">    basket y/y, emea (%)</t>
  </si>
  <si>
    <t xml:space="preserve">    basket y/y, latam (%)</t>
  </si>
  <si>
    <t xml:space="preserve">    basket y/y, apac (%)</t>
  </si>
  <si>
    <t>Regional GBV shares (10-K Geographic Mix, latest fiscal year filed before the quarter's print; FY2025 forward)</t>
  </si>
  <si>
    <t>data/processed/adr/01_regional_annual.csv gbv_share_pct</t>
  </si>
  <si>
    <t xml:space="preserve">    GBV share, na</t>
  </si>
  <si>
    <t xml:space="preserve">    GBV share, emea</t>
  </si>
  <si>
    <t xml:space="preserve">    GBV share, latam</t>
  </si>
  <si>
    <t xml:space="preserve">    GBV share, apac</t>
  </si>
  <si>
    <t xml:space="preserve">    fiscal year of the shares used</t>
  </si>
  <si>
    <t>FX effect on ADR — translation identity (pp)</t>
  </si>
  <si>
    <t>→ SUMPRODUCT(GBV shares, regional basket y/y); the promoted leg (pre-registration §5, V0)</t>
  </si>
  <si>
    <t xml:space="preserve">    error: identity − disclosed (pp), completed quarters</t>
  </si>
  <si>
    <t>→ identity − row 10</t>
  </si>
  <si>
    <t xml:space="preserve">    naive error: last quarter's disclosed − disclosed (pp)</t>
  </si>
  <si>
    <t xml:space="preserve">    RMSE identity / RMSE naive, 1Q23–2Q26 (n 14; full-quarter rates = origin O3)</t>
  </si>
  <si>
    <t>→ SQRT(SUMSQ)/n; point-in-time O1/O2 ratios are in block E</t>
  </si>
  <si>
    <t xml:space="preserve">    P10 of the ex-ante band (pp)</t>
  </si>
  <si>
    <t>engine: moving-block bootstrap of daily FX returns on the unobserved days, 4,000 paths</t>
  </si>
  <si>
    <t xml:space="preserve">    P50</t>
  </si>
  <si>
    <t xml:space="preserve">    P90</t>
  </si>
  <si>
    <t>C. Ex-FX ADR mechanism: ex-FX y/y = core + bundle (laps on filed dates) + geo mix (from the nights line) + unit size + LOS + seats + interaction</t>
  </si>
  <si>
    <t>Disclosed ex-FX ADR y/y (pp)</t>
  </si>
  <si>
    <t>→ link to row 9</t>
  </si>
  <si>
    <t xml:space="preserve">    geographic mix (pp)</t>
  </si>
  <si>
    <t>history: H decomposition adr_history_components.csv; forward: block C1 arithmetic on the nights line's regional path</t>
  </si>
  <si>
    <t xml:space="preserve">    unit size / party size (pp)</t>
  </si>
  <si>
    <t>history: H; forward: card v3 measured 3Q26 term +0.797 carried (I_mix_terms_3q26.csv)</t>
  </si>
  <si>
    <t xml:space="preserve">    length-of-stay mix (pp)</t>
  </si>
  <si>
    <t xml:space="preserve">    seats / new business dilution (pp)</t>
  </si>
  <si>
    <t>history: H 15_seats_dilution; forward: −0.483 (2026), −0.565 (2027), assumed</t>
  </si>
  <si>
    <t xml:space="preserve">    interaction (pp)</t>
  </si>
  <si>
    <t>H, descriptive −0.10</t>
  </si>
  <si>
    <t xml:space="preserve">    like-for-like residual (pp) = ex-FX − the five terms above</t>
  </si>
  <si>
    <t>history: formula; forward: core + bundle</t>
  </si>
  <si>
    <t xml:space="preserve">    core (pp) = residual − bundle live in the quarter</t>
  </si>
  <si>
    <t xml:space="preserve">    bundle leg: RNPL North America (larger-home mix), live 3Q25–2Q26, laps 3Q26</t>
  </si>
  <si>
    <t>ledger D014/D032 (~1pp bundle ADR, transcript-only) split by K4 residual steps 0.92:0.88</t>
  </si>
  <si>
    <t xml:space="preserve">    bundle leg: cancellation redesign + single fee, live 4Q25–3Q26 (global), laps 4Q26</t>
  </si>
  <si>
    <t>same sizing; dates ledger D012/D013/D024/D060</t>
  </si>
  <si>
    <t xml:space="preserve">    bundle leg: RNPL ex-NA (live 17 Feb 2026), base 0.0 (unsized by management); high 1.15</t>
  </si>
  <si>
    <t>alternative in block F</t>
  </si>
  <si>
    <t xml:space="preserve">    bundle live (pp)</t>
  </si>
  <si>
    <t>→ sum of the three legs</t>
  </si>
  <si>
    <t>EX-FX ADR y/y — mechanism (pp)</t>
  </si>
  <si>
    <t>C1. Geo-mix arithmetic for the forward quarters: regional nights growth from the nights line (nights_v2_design.md §2.1), base-quarter shares and regional ADR levels held</t>
  </si>
  <si>
    <t>regional_growth_forward.csv; 04_regional_quarterly_wide.csv (disclosed-chained)</t>
  </si>
  <si>
    <t xml:space="preserve">    nights growth, na (%)</t>
  </si>
  <si>
    <t>NA = nights line; ex-NA = 2Q26 bucket pattern (EMEA 8 / LatAm 20 / APAC 18) scaled to the line's ex-NA rate</t>
  </si>
  <si>
    <t xml:space="preserve">    nights growth, emea (%)</t>
  </si>
  <si>
    <t xml:space="preserve">    nights growth, latam (%)</t>
  </si>
  <si>
    <t xml:space="preserve">    nights growth, apac (%)</t>
  </si>
  <si>
    <t xml:space="preserve">    base-quarter nights share, na</t>
  </si>
  <si>
    <t xml:space="preserve">    base-quarter nights share, emea</t>
  </si>
  <si>
    <t xml:space="preserve">    base-quarter nights share, latam</t>
  </si>
  <si>
    <t xml:space="preserve">    base-quarter nights share, apac</t>
  </si>
  <si>
    <t xml:space="preserve">    base-quarter regional ADR ($, anchored)</t>
  </si>
  <si>
    <t xml:space="preserve">    total nights growth (%)</t>
  </si>
  <si>
    <t>→ SUMPRODUCT(shares, growth)</t>
  </si>
  <si>
    <t xml:space="preserve">    geo mix (pp)</t>
  </si>
  <si>
    <t>→ (Σ share×(1+g)×ADR) / ((1+g_tot) × Σ share×ADR) − 1, ×100</t>
  </si>
  <si>
    <t>D. Reported ADR path — ADR = year-ago ADR × (1 + (ex-FX mechanism + FX identity) / 100); band; the Street; GBV on the nights line</t>
  </si>
  <si>
    <t xml:space="preserve">    FX effect on ADR (pp)</t>
  </si>
  <si>
    <t xml:space="preserve">    reported ADR y/y (%)</t>
  </si>
  <si>
    <t>→ ex-FX mechanism + FX</t>
  </si>
  <si>
    <t>ADR ($) — the line</t>
  </si>
  <si>
    <t>→ year-ago ADR × (1 + y/y/100)</t>
  </si>
  <si>
    <t xml:space="preserve">    band half-width (pp)</t>
  </si>
  <si>
    <t xml:space="preserve">    ADR low ($)</t>
  </si>
  <si>
    <t xml:space="preserve">    ADR high ($)</t>
  </si>
  <si>
    <t xml:space="preserve">    Street ADR ($)</t>
  </si>
  <si>
    <t>Bloomberg MODL screenshot 12 Sep 2026 (Krish): 3Q26 177.06 n 26 (173.71–179.12), 4Q26 171.33 n 25; no FY row exists</t>
  </si>
  <si>
    <t xml:space="preserve">    Street implied y/y (%)</t>
  </si>
  <si>
    <t xml:space="preserve">    z: (ours − Street) / band</t>
  </si>
  <si>
    <t xml:space="preserve">    P(print ≥ Street)</t>
  </si>
  <si>
    <t>→ 1 − NORM.S.DIST((Street y/y − ours)/band, TRUE)</t>
  </si>
  <si>
    <t xml:space="preserve">    nights (m) — line 1</t>
  </si>
  <si>
    <t>→ Income_Statement row 5 (nights line)</t>
  </si>
  <si>
    <t xml:space="preserve">    GBV ($bn) = nights × ADR</t>
  </si>
  <si>
    <t>cross-check only; the take-rate line is built next</t>
  </si>
  <si>
    <t>E. Engine reference values (Python) — for tie-out after an Excel recalculation</t>
  </si>
  <si>
    <t>walk-forward RMSE ratio vs naive, V0 identity, W1 O1 / O2 / O3</t>
  </si>
  <si>
    <t>… W2 O1 / O2 / O3 (pass line ≤ 0.75 at O2 and O3 on both windows)</t>
  </si>
  <si>
    <t>V1 fitted pass-through, W1 O1 / O2 / O3</t>
  </si>
  <si>
    <t>euro-only OLS (comparator), W1 O1 / O2 / O3</t>
  </si>
  <si>
    <t>posterior pass-through β (NA / EMEA / LatAm / APAC), prior N(1, 0.25²)</t>
  </si>
  <si>
    <t>card v3 ADR $ 3Q26 / 4Q26 (DEC-0008, without K, midpoint FX −0.43 / +0.15)</t>
  </si>
  <si>
    <t>geo-mix method check: mean |bucket arithmetic − H| on 2Q24–2Q26 (pp)</t>
  </si>
  <si>
    <t>rule</t>
  </si>
  <si>
    <t>3Q26</t>
  </si>
  <si>
    <t>4Q26</t>
  </si>
  <si>
    <t>1Q27</t>
  </si>
  <si>
    <t>2Q27</t>
  </si>
  <si>
    <t>base: core carry + bundle laps (nights-linked geo)</t>
  </si>
  <si>
    <t>base + sub-regional country mix (v2 H3, Inside Airbnb panel)</t>
  </si>
  <si>
    <t>base + sub-regional + measured origin-destination tilt (upgrade 2: EMEA 10.5 / LatAm 16.4 / APAC 14.9)</t>
  </si>
  <si>
    <t>base + sub-regional + composition tilt B (EMEA 5 / LatAm 30 / APAC 25) — retired by upgrade 2</t>
  </si>
  <si>
    <t>lap-only (K4 residual steps): every 2025-26 residual step laps at its anniversary</t>
  </si>
  <si>
    <t>card v3: last_q residual carry, no lap (card geo)</t>
  </si>
  <si>
    <t>full lap: ex-NA RNPL sized at the 1H26 residual steps</t>
  </si>
  <si>
    <t>core mean reversion to the 2023-25 mean</t>
  </si>
  <si>
    <t>base + fee-migration K line (DEC-0008 sensitivity)</t>
  </si>
  <si>
    <t>G. Evidence behind line 2 — the v2 geo-mix layer and the four mitigations of 22 Sep. Labelled attribution and falsifiers; none of this is in the base path above.</t>
  </si>
  <si>
    <t>G1. Sub-regional (within-region country) mix, pp of ADR — DEC-0038: attribution + forward row, NOT the base</t>
  </si>
  <si>
    <t>mean 1Q23–2Q26</t>
  </si>
  <si>
    <t>last 4 q to 2Q26</t>
  </si>
  <si>
    <t>fwd 3Q26</t>
  </si>
  <si>
    <t>fwd 4Q26</t>
  </si>
  <si>
    <t>4Q26 ADR effect ($)</t>
  </si>
  <si>
    <t xml:space="preserve">      H2 forecast-content test, RMSE ratio vs the residual carry — pass line 0.75 on BOTH windows → FAILS, so the term stays out of the base</t>
  </si>
  <si>
    <t>W1 (n 10)</t>
  </si>
  <si>
    <t>W2 (n 6)</t>
  </si>
  <si>
    <t>pass line</t>
  </si>
  <si>
    <t>G2. Reconciliation to the company's own accounting (mitigation C): disclosed constant-currency rate minus regional accommodation inflation, regressed on our within-region mix. The identity implies a slope of 1.0.</t>
  </si>
  <si>
    <t>slope</t>
  </si>
  <si>
    <t>cluster-by-region p</t>
  </si>
  <si>
    <t>90% lo</t>
  </si>
  <si>
    <t>90% hi</t>
  </si>
  <si>
    <t>n prints</t>
  </si>
  <si>
    <t xml:space="preserve">      the slope is carried by ONE region — leave-one-region-out (LatAm's own comparator is Brazil alone, 24–33% coverage)</t>
  </si>
  <si>
    <t>drop LatAm</t>
  </si>
  <si>
    <t>drop EMEA</t>
  </si>
  <si>
    <t>drop NAM</t>
  </si>
  <si>
    <t>drop APAC</t>
  </si>
  <si>
    <t xml:space="preserve">      and the earlier EMEA-only reading is window-dependent: admitting two further disclosed quarters flips its sign</t>
  </si>
  <si>
    <t>EMEA only, n 7</t>
  </si>
  <si>
    <t>EMEA only, n 9</t>
  </si>
  <si>
    <t>G3. Implied like-for-like price by year, pp — DEC-0040 route: H size</t>
  </si>
  <si>
    <t>2023</t>
  </si>
  <si>
    <t>2024</t>
  </si>
  <si>
    <t>2025</t>
  </si>
  <si>
    <t>2025 size term</t>
  </si>
  <si>
    <t xml:space="preserve">      same, route: H size + H LOS</t>
  </si>
  <si>
    <t xml:space="preserve">      same, route: as filed (withdrawn)</t>
  </si>
  <si>
    <t xml:space="preserve">      DEC-0040: the filed route's NEGATIVE 2025 size term is a Paris-weighting artefact; the H route is adopted and sits inside the filed bedroom-nights bracket. 2025 like-for-like price is FLAT, so the 2026 core step is LARGER, not smaller — stated against our own interest.</t>
  </si>
  <si>
    <t>bracket lo</t>
  </si>
  <si>
    <t>bracket hi</t>
  </si>
  <si>
    <t>G4. Price-to-utilisation elasticity, market-level panel (mitigation B) — registered pass line b&gt;0 and p≤0.05 → FAILS. Buys at most 0.6pp of the core and in the wrong direction for a give-back; the fix is a Sept-2026 capture wave.</t>
  </si>
  <si>
    <t>elasticity b</t>
  </si>
  <si>
    <t>p</t>
  </si>
  <si>
    <t>CI lo</t>
  </si>
  <si>
    <t>CI hi</t>
  </si>
  <si>
    <t>n pairs</t>
  </si>
  <si>
    <t>ex-US b</t>
  </si>
  <si>
    <t>G5. Guest-origin rotation, priced (mitigation D) — day-matched LTM windows 2024→2026 on 53m reviews; within a market a non-English-reviewed listing is cheaper, so the rotation itself costs price.</t>
  </si>
  <si>
    <t>non-English +%</t>
  </si>
  <si>
    <t>English +%</t>
  </si>
  <si>
    <t>English share 2024 %</t>
  </si>
  <si>
    <t>English share 2026 %</t>
  </si>
  <si>
    <t>non-En price vs En</t>
  </si>
  <si>
    <t>mix effect %/yr</t>
  </si>
  <si>
    <t>chart helper: ADR $ (printed, then engine)</t>
  </si>
  <si>
    <t>chart helper: Street ADR $</t>
  </si>
  <si>
    <t>chart helper: FX identity (pp)</t>
  </si>
  <si>
    <t>chart helper: disclosed FX (pp)</t>
  </si>
  <si>
    <t>Airbnb — income statement, official (built line by line; nights first). USD millions unless stated.</t>
  </si>
  <si>
    <t>FY23</t>
  </si>
  <si>
    <t>FY24</t>
  </si>
  <si>
    <t>FY25</t>
  </si>
  <si>
    <t>FY26</t>
  </si>
  <si>
    <t>Lines to build together (in order) — empty until each has its rationale file</t>
  </si>
  <si>
    <t>Gross booking value ($bn)</t>
  </si>
  <si>
    <t>ADR ($ = GBV / nights)</t>
  </si>
  <si>
    <t>Revenue</t>
  </si>
  <si>
    <t xml:space="preserve">    Take rate (revenue / GBV)</t>
  </si>
  <si>
    <t xml:space="preserve">    Cost of revenue (cash)</t>
  </si>
  <si>
    <t xml:space="preserve">    Operations &amp; support (cash)</t>
  </si>
  <si>
    <t xml:space="preserve">    Product development (cash)</t>
  </si>
  <si>
    <t xml:space="preserve">    Sales &amp; marketing (cash)</t>
  </si>
  <si>
    <t xml:space="preserve">    General &amp; administrative (cash, ex lodging-tax reserves)</t>
  </si>
  <si>
    <t>Total cash costs</t>
  </si>
  <si>
    <t xml:space="preserve">    % of revenue</t>
  </si>
  <si>
    <t xml:space="preserve">    Depreciation &amp; amortisation</t>
  </si>
  <si>
    <t>Adjusted EBITDA</t>
  </si>
  <si>
    <t xml:space="preserve">    Adjusted EBITDA margin</t>
  </si>
  <si>
    <t xml:space="preserve">    Stock-based compensation</t>
  </si>
  <si>
    <t>Operating income (GAAP)</t>
  </si>
  <si>
    <t xml:space="preserve">    Interest income</t>
  </si>
  <si>
    <t xml:space="preserve">    Interest expense</t>
  </si>
  <si>
    <t xml:space="preserve">    Other income / (expense), net</t>
  </si>
  <si>
    <t>Pre-tax income</t>
  </si>
  <si>
    <t xml:space="preserve">    Income tax</t>
  </si>
  <si>
    <t>Net income</t>
  </si>
  <si>
    <t xml:space="preserve">    Diluted shares (m)</t>
  </si>
  <si>
    <t>Diluted EPS ($)</t>
  </si>
  <si>
    <t>Cross-checks against the Street, and the open choices this line does not settle (memo rows - none of these feed the statement above)</t>
  </si>
  <si>
    <t>Street revenue ($m)</t>
  </si>
  <si>
    <t xml:space="preserve">    ours vs Street</t>
  </si>
  <si>
    <t>Street adj. EBITDA ($m)</t>
  </si>
  <si>
    <t>memo: adj. EBITDA if costs flexed to hold the line build's own margin</t>
  </si>
  <si>
    <t xml:space="preserve">    difference vs the statement above</t>
  </si>
  <si>
    <t>memo: DEC-0023 hosting step, B08 alternative ($85.0m/q vs the $100.21m/$111.71m plugged)</t>
  </si>
  <si>
    <t>*</t>
  </si>
  <si>
    <t>history: H; forward: fix (k) LOS measured from the repo's calendars (+0.047) for 3Q26/4Q26; fix (m) its own mean (0.279) from 1Q27</t>
  </si>
  <si>
    <t>history: formula; forward: 3Q26/4Q26 carry the 2Q26 core less the World Cup premium (fix l); 1Q27+ expanding mean (fix m); block H</t>
  </si>
  <si>
    <t>-&gt; core + bundle + geo + unit + LOS + seats + interaction + basis adj (fix c) + World Cup lap (fix l); history = disclosed</t>
  </si>
  <si>
    <t>3Q26/4Q26: midpoint of identity and V2 (fix j, block H); 1Q27+: block B identity</t>
  </si>
  <si>
    <t>engine v3 adr_path.csv band_half_pp: RSS of parameter half-ranges and sds plus FX rate bootstrap sd</t>
  </si>
  <si>
    <t>FX effect 3Q26 / 4Q26 / 1Q27 / 2Q27 (pp; engine v3: midpoint leg for 3Q26/4Q26)</t>
  </si>
  <si>
    <t>ADR $ 3Q26 / 4Q26 / 1Q27 / 2Q27 (engine v3)</t>
  </si>
  <si>
    <t>ex-FX mechanism 3Q26 / 4Q26 / 1Q27 / 2Q27 (pp, engine v3)</t>
  </si>
  <si>
    <t>F. Alternatives carried beside the base (never blended), engine v3: ex-FX rule -&gt; reported ADR $ at the same FX</t>
  </si>
  <si>
    <t>AR(1) fitted on core</t>
  </si>
  <si>
    <t>H. ADR line v3 (Krish, 24 Sep 2026; PR #67 adr_engine_v3, fixes c, j, k, l, m). Feeds rows 64, 68, 75, 94, 97. Engine v3 values below for tie-out.</t>
  </si>
  <si>
    <t xml:space="preserve">    construction basis adjustment (pp), fix (c)</t>
  </si>
  <si>
    <t>forward mix terms on the carried core's own construction; exfx_forward_base.csv basis_adj</t>
  </si>
  <si>
    <t xml:space="preserve">    World Cup booking premium in the 2Q26 core (pp), fix (l)</t>
  </si>
  <si>
    <t>removed before the core is carried; PR #68 (0.05-0.20pp of 2Q26 ADR; post-hoc); wc_core_adj</t>
  </si>
  <si>
    <t xml:space="preserve">    World Cup lap (pp), fix (l)</t>
  </si>
  <si>
    <t>2Q27 laps the 2Q26 premium; exfx_forward_base.csv wc_lap</t>
  </si>
  <si>
    <t xml:space="preserve">    core, expanding mean 1Q23-2Q26 less the World Cup premium (pp), fix (m)</t>
  </si>
  <si>
    <t>used from 1Q27 (h &gt;= 3): mean wins h 3-4 (audit, post-hoc), h 5 registered PASS; core_horizon_rule.csv</t>
  </si>
  <si>
    <t xml:space="preserve">    FX, V2 euro-only fit (pp), fix (j)</t>
  </si>
  <si>
    <t>fx_pp_v2_euro in adr_path.csv (point-in-time record: adr_fx_prereg.md section 11)</t>
  </si>
  <si>
    <t xml:space="preserve">    FX used for 3Q26/4Q26 = midpoint of V0 identity (row 51) and V2 (pp), fix (j)</t>
  </si>
  <si>
    <t>beats every variant point in time in all four promotion cells (0.20-0.25 vs V0 0.30-0.38); 2027 keeps V0</t>
  </si>
  <si>
    <t xml:space="preserve">    FX, V1 fitted pass-through (pp), fix (a), memo</t>
  </si>
  <si>
    <t>carried beside the identity, not in the path; fx_pp_v1</t>
  </si>
  <si>
    <t xml:space="preserve">    memo: ADR $ with V1 FX</t>
  </si>
  <si>
    <t>-&gt; year-ago ADR x (1 + (ex-FX + V1)/100)</t>
  </si>
  <si>
    <t xml:space="preserve">    memo: ADR $ with the V0 identity FX for every quarter</t>
  </si>
  <si>
    <t>-&gt; year-ago ADR x (1 + (ex-FX + row 51)/100); what v2 used</t>
  </si>
  <si>
    <t xml:space="preserve">    engine v3 ADR $ (adr_path.csv, run 23 Sep 23:04)</t>
  </si>
  <si>
    <t>tie-out; 3Q27/4Q27 differ by ~$0.01-0.02 because the sheet's geo arithmetic holds 2Q26 regional ADR (same as v2)</t>
  </si>
  <si>
    <t xml:space="preserve">    sheet - engine ($)</t>
  </si>
  <si>
    <t>-&gt; row 96 - engine</t>
  </si>
  <si>
    <t>Margin line build (Krish; 40_line_build base, 15 Sep 2026, audited 22 Sep). Each cost line is a formula on this sheet's nights, GBV and bookings, so the margin flexes with lines 1-2. Feeds rows 16-35.</t>
  </si>
  <si>
    <t>Parameters: value in column C (blue = input; source in column B). Derived budgets in column C (black). Quarterly build in Q-V. Script: analysis/src/margin_build/40_line_build/run.py; params 40_params.csv.</t>
  </si>
  <si>
    <t xml:space="preserve">    Nights per booking, 2026</t>
  </si>
  <si>
    <t xml:space="preserve">    Nights per booking, 2027</t>
  </si>
  <si>
    <t xml:space="preserve">    Nights per booking, 3Q25-4Q25 (actual basis)</t>
  </si>
  <si>
    <t xml:space="preserve">    Nights per booking, 1Q26-2Q26 (actual basis)</t>
  </si>
  <si>
    <t xml:space="preserve">    Merchant fees, % of GBV (annual-equivalent)</t>
  </si>
  <si>
    <t xml:space="preserve">    Cross-border fee, bp of GBV per +1pt non-NA revenue share</t>
  </si>
  <si>
    <t xml:space="preserve">    Non-NA revenue share drift, 2Q26 vs 2Q25 (pts)</t>
  </si>
  <si>
    <t xml:space="preserve">    Chargebacks, $ per booking</t>
  </si>
  <si>
    <t xml:space="preserve">    Short-case overlay: chargebacks added, $ per booking</t>
  </si>
  <si>
    <t xml:space="preserve">    Hosting run-rate FY25 ($m a year)</t>
  </si>
  <si>
    <t xml:space="preserve">    Hosting/AI step 2H26 ($m per half vs 2H25, before reconciliation)</t>
  </si>
  <si>
    <t xml:space="preserve">    Hosting FY27 ($m a year, before the reconciliation step)</t>
  </si>
  <si>
    <t xml:space="preserve">    Other cost of revenue, $ per night</t>
  </si>
  <si>
    <t xml:space="preserve">    Ops &amp; support: variable share (support cost per booking)</t>
  </si>
  <si>
    <t xml:space="preserve">    Ops variable cost per booking y/y, 2H26 (%)</t>
  </si>
  <si>
    <t xml:space="preserve">    Ops variable cost per booking y/y, FY27 (%)</t>
  </si>
  <si>
    <t xml:space="preserve">    Ops fixed part growth y/y (%)</t>
  </si>
  <si>
    <t xml:space="preserve">    Short-case overlay: RNPL ops uplift per completed booking (%)</t>
  </si>
  <si>
    <t xml:space="preserve">    Product development growth y/y, 2H26 (%)</t>
  </si>
  <si>
    <t xml:space="preserve">    Product development growth y/y, FY27 (%)</t>
  </si>
  <si>
    <t xml:space="preserve">    Product development AI tooling, FY27 incremental ($m)</t>
  </si>
  <si>
    <t xml:space="preserve">    Brand + performance marketing FY25 ($m)</t>
  </si>
  <si>
    <t xml:space="preserve">    1H share of FY marketing</t>
  </si>
  <si>
    <t xml:space="preserve">    Marketing growth 1H26 (%)</t>
  </si>
  <si>
    <t xml:space="preserve">    Marketing growth 2H26 (%)</t>
  </si>
  <si>
    <t xml:space="preserve">    Marketing growth FY27 (%)</t>
  </si>
  <si>
    <t xml:space="preserve">    Field operations &amp; policy cash FY25 ($m)</t>
  </si>
  <si>
    <t xml:space="preserve">    Field growth FY26 (%)</t>
  </si>
  <si>
    <t xml:space="preserve">    Field growth FY27 (%)</t>
  </si>
  <si>
    <t xml:space="preserve">    G&amp;A growth 2H26, ex reserves (%)</t>
  </si>
  <si>
    <t xml:space="preserve">    G&amp;A growth FY27 (%)</t>
  </si>
  <si>
    <t xml:space="preserve">    Short-case overlay: 4Q26 marketing cut ($m)</t>
  </si>
  <si>
    <t xml:space="preserve">    Reconcile 3Q26 to management's margin sentence (1 on, 0 evidence only)</t>
  </si>
  <si>
    <t xml:space="preserve">    3Q26 revenue guide midpoint ($m)</t>
  </si>
  <si>
    <t xml:space="preserve">    'Down slightly': 3Q26 margin vs 3Q25 (pp)</t>
  </si>
  <si>
    <t xml:space="preserve">    3Q26 nights the evidence build is priced at (m), fixed</t>
  </si>
  <si>
    <t xml:space="preserve">    3Q26 GBV the evidence build is priced at ($bn), fixed</t>
  </si>
  <si>
    <t xml:space="preserve">    Share of the cost gap assigned to 3Q26 marketing</t>
  </si>
  <si>
    <t xml:space="preserve">    D&amp;A ($m per quarter)</t>
  </si>
  <si>
    <t xml:space="preserve">    SBC growth on SBC[q-4] (%)</t>
  </si>
  <si>
    <t xml:space="preserve">    Interest income: realised yield / 3m T-bill</t>
  </si>
  <si>
    <t xml:space="preserve">    3m T-bill (%, 3Q26 QTD average, held)</t>
  </si>
  <si>
    <t xml:space="preserve">    Cash + short-term investments ($m, held flat)</t>
  </si>
  <si>
    <t xml:space="preserve">    RNPL: pts of GBV paid at check-in rather than booking</t>
  </si>
  <si>
    <t xml:space="preserve">    Interest expense ($m per quarter)</t>
  </si>
  <si>
    <t xml:space="preserve">    Other income ($m per quarter)</t>
  </si>
  <si>
    <t xml:space="preserve">    Effective tax rate 2H26 (%)</t>
  </si>
  <si>
    <t xml:space="preserve">    Effective tax rate FY27 (%)</t>
  </si>
  <si>
    <t xml:space="preserve">    Diluted shares 2Q26 (m)</t>
  </si>
  <si>
    <t xml:space="preserve">    Diluted shares change per quarter (m)</t>
  </si>
  <si>
    <t>Quarterly build (forward quarters 3Q26-4Q27)</t>
  </si>
  <si>
    <t xml:space="preserve">    merchant-fee seasonal factor</t>
  </si>
  <si>
    <t xml:space="preserve">    PD quarterly share of FY (2023-25 mean)</t>
  </si>
  <si>
    <t xml:space="preserve">    S&amp;M quarterly share of FY (2023-25 mean)</t>
  </si>
  <si>
    <t xml:space="preserve">    G&amp;A quarterly share of FY (2023-25 mean)</t>
  </si>
  <si>
    <t>Budgets derived from the parameters ($m; column C)</t>
  </si>
  <si>
    <t xml:space="preserve">    Marketing 1H26</t>
  </si>
  <si>
    <t xml:space="preserve">    Marketing 2H26 before the 3Q26 step</t>
  </si>
  <si>
    <t xml:space="preserve">    Field 1H26 = printed S&amp;M 1Q26+2Q26 - marketing 1H26</t>
  </si>
  <si>
    <t xml:space="preserve">    Field FY26</t>
  </si>
  <si>
    <t xml:space="preserve">    Field 2H26</t>
  </si>
  <si>
    <t xml:space="preserve">    Field FY27</t>
  </si>
  <si>
    <t xml:space="preserve">    Product development 2H26 = 2H25 x growth</t>
  </si>
  <si>
    <t xml:space="preserve">    Product development FY27 = FY26 x growth + AI tooling</t>
  </si>
  <si>
    <t xml:space="preserve">    G&amp;A 2H26 = 2H25 x growth</t>
  </si>
  <si>
    <t xml:space="preserve">    G&amp;A FY27 = FY26 x growth</t>
  </si>
  <si>
    <t xml:space="preserve">    Reconciliation: 3Q26 bookings at the fixed drivers (m)</t>
  </si>
  <si>
    <t xml:space="preserve">    Reconciliation: evidence-only 3Q26 cost of revenue</t>
  </si>
  <si>
    <t xml:space="preserve">    Reconciliation: evidence-only 3Q26 ops &amp; support</t>
  </si>
  <si>
    <t xml:space="preserve">    Reconciliation: 3Q26 PD + S&amp;M + G&amp;A before the step</t>
  </si>
  <si>
    <t xml:space="preserve">    Reconciliation: evidence-only 3Q26 cash costs</t>
  </si>
  <si>
    <t xml:space="preserve">    Reconciliation: management's budget = guide mid x (1 - (3Q25 margin + sentence)) + D&amp;A</t>
  </si>
  <si>
    <t xml:space="preserve">    Reconciliation: cost gap to the sentence (0 when off or when the evidence build is above)</t>
  </si>
  <si>
    <t xml:space="preserve">    3Q26 marketing step = gap x marketing share (timing, 3Q26 only)</t>
  </si>
  <si>
    <t xml:space="preserve">    Hosting/AI step per half incl. the reconciled run-rate part</t>
  </si>
  <si>
    <t xml:space="preserve">    Marketing FY27 = (FY26 incl. the 3Q26 step) x growth</t>
  </si>
  <si>
    <t>Cost lines by quarter ($m; forward quarters)</t>
  </si>
  <si>
    <t xml:space="preserve">    bookings (m) = nights / nights per booking</t>
  </si>
  <si>
    <t xml:space="preserve">    merchant-fee rate (% of GBV)</t>
  </si>
  <si>
    <t xml:space="preserve">    CoR: merchant fees</t>
  </si>
  <si>
    <t xml:space="preserve">    CoR: chargebacks</t>
  </si>
  <si>
    <t xml:space="preserve">    CoR: hosting &amp; AI compute</t>
  </si>
  <si>
    <t xml:space="preserve">    CoR: other (AirCover, payment ops)</t>
  </si>
  <si>
    <t>Cost of revenue (cash) -&gt; row 16</t>
  </si>
  <si>
    <t xml:space="preserve">    ops &amp; support, same quarter last year</t>
  </si>
  <si>
    <t xml:space="preserve">    bookings, same quarter last year (m)</t>
  </si>
  <si>
    <t xml:space="preserve">    ops variable (support cost per booking)</t>
  </si>
  <si>
    <t xml:space="preserve">    ops fixed (payroll, make-goods, insurance)</t>
  </si>
  <si>
    <t>Operations &amp; support (cash) -&gt; row 17</t>
  </si>
  <si>
    <t>Product development (cash) -&gt; row 18</t>
  </si>
  <si>
    <t xml:space="preserve">    S&amp;M: brand + performance marketing</t>
  </si>
  <si>
    <t xml:space="preserve">    S&amp;M: field operations &amp; policy</t>
  </si>
  <si>
    <t>Sales &amp; marketing (cash) -&gt; row 19</t>
  </si>
  <si>
    <t>General &amp; administrative (cash, ex reserves) -&gt; row 20</t>
  </si>
  <si>
    <t>Stock-based compensation -&gt; row 27</t>
  </si>
  <si>
    <t xml:space="preserve">    funds held on behalf of customers ($m)</t>
  </si>
  <si>
    <t xml:space="preserve">    funds held after the RNPL shift ($m)</t>
  </si>
  <si>
    <t>Interest income -&gt; row 29</t>
  </si>
  <si>
    <t>Diluted shares (m) -&gt; row 35</t>
  </si>
  <si>
    <t>Margin view vs the Street</t>
  </si>
  <si>
    <t>Adj. EBITDA margin, ours</t>
  </si>
  <si>
    <t>Street adj. EBITDA margin (LSEG, 13 Sep 2026)</t>
  </si>
  <si>
    <t xml:space="preserve">    ours - Street (pp)</t>
  </si>
  <si>
    <t>Cash costs y/y</t>
  </si>
  <si>
    <t>S&amp;M % of revenue</t>
  </si>
  <si>
    <t>Incremental adj. EBITDA margin y/y</t>
  </si>
  <si>
    <t>FY26 floor check: FY26 margin - 35.5% (pp)</t>
  </si>
  <si>
    <t>Nights</t>
  </si>
  <si>
    <t>ADR</t>
  </si>
  <si>
    <t>Take Rate</t>
  </si>
  <si>
    <t>Total Cash Costs of Revenue</t>
  </si>
  <si>
    <t>YoY Growth Rate</t>
  </si>
  <si>
    <t>Adjusted EBITDA Margin</t>
  </si>
  <si>
    <t>GAAP Operating Income</t>
  </si>
  <si>
    <t>Net Income</t>
  </si>
  <si>
    <t>EPS</t>
  </si>
  <si>
    <t>Diluted EPS</t>
  </si>
  <si>
    <t>Consensus</t>
  </si>
  <si>
    <t>Our Model vs Consensus</t>
  </si>
  <si>
    <t>Modeled</t>
  </si>
  <si>
    <t>Cons.</t>
  </si>
  <si>
    <t>FY27</t>
  </si>
  <si>
    <t>delta</t>
  </si>
  <si>
    <t>Nights (mm)</t>
  </si>
  <si>
    <t>NASDAQ: ABNB | Airbnb</t>
  </si>
  <si>
    <t>Target Price</t>
  </si>
  <si>
    <t>Multiples</t>
  </si>
  <si>
    <t>EV/EBITDA NTM</t>
  </si>
  <si>
    <t>EV/ Q4 EBITDA</t>
  </si>
  <si>
    <t>EV/FY27 EBITDA</t>
  </si>
  <si>
    <t>Stock Price</t>
  </si>
  <si>
    <t>Shares Outstanding</t>
  </si>
  <si>
    <t>Debt</t>
  </si>
  <si>
    <t>Cash</t>
  </si>
  <si>
    <t>Enterprise Value</t>
  </si>
  <si>
    <t>Market Cap (mm)</t>
  </si>
  <si>
    <t>Our Number</t>
  </si>
  <si>
    <t>Target Multiple</t>
  </si>
  <si>
    <t xml:space="preserve">  3Q26 nights y/y, all-in (%) — thesis 2 final estimate: reviews stays read, external series, SimilarWeb (8.0–9.9% range). Stays data already net out cancellations.</t>
  </si>
  <si>
    <t xml:space="preserve">  RNPL cancellations (pp) — cohort engine central cell (management-implied +6pt RNPL cancel rate, 25% rebooked, lead 2.2, ADR +25%): 3Q26 −0.93, 4Q26 −0.85 (overnight2 D1); 2027 = n02 base tail shape × 1.566 (4Q26 ratio)</t>
  </si>
  <si>
    <t>quarter → ex-FX (pp) | ADR ($) | GBV ($bn; = model nights × this rule's ADR, live formula since v2)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</si>
</sst>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0.000"/>
    <numFmt numFmtId="166" formatCode="0.0%"/>
    <numFmt numFmtId="167" formatCode="0.000000"/>
    <numFmt numFmtId="168" formatCode="0.0000"/>
    <numFmt numFmtId="169" formatCode="0.000%"/>
    <numFmt numFmtId="170" formatCode="#,##0.0"/>
    <numFmt numFmtId="171" formatCode="0.00\x"/>
  </numFmts>
  <fonts count="1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i/>
      <sz val="9"/>
      <color rgb="FF666666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008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666666"/>
      <name val="Arial"/>
      <family val="2"/>
    </font>
    <font>
      <b/>
      <sz val="10"/>
      <color rgb="FF000000"/>
      <name val="Arial"/>
      <family val="2"/>
    </font>
    <font>
      <i/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385C"/>
      </patternFill>
    </fill>
    <fill>
      <patternFill patternType="solid">
        <fgColor rgb="FF222222"/>
      </patternFill>
    </fill>
    <fill>
      <patternFill patternType="solid">
        <fgColor rgb="FFFFE1E7"/>
      </patternFill>
    </fill>
    <fill>
      <patternFill patternType="solid">
        <fgColor rgb="FFFFF5F7"/>
      </patternFill>
    </fill>
    <fill>
      <patternFill patternType="solid">
        <fgColor rgb="FFEAF2FF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18">
    <xf numFmtId="0" fontId="0" fillId="0" borderId="0" xfId="0"/>
    <xf numFmtId="0" fontId="1" fillId="2" borderId="0" xfId="0" applyFont="1" applyFill="1"/>
    <xf numFmtId="0" fontId="6" fillId="0" borderId="0" xfId="0" applyFont="1"/>
    <xf numFmtId="0" fontId="2" fillId="0" borderId="0" xfId="0" applyFont="1"/>
    <xf numFmtId="0" fontId="1" fillId="3" borderId="0" xfId="0" applyFont="1" applyFill="1"/>
    <xf numFmtId="0" fontId="2" fillId="3" borderId="0" xfId="0" applyFont="1" applyFill="1"/>
    <xf numFmtId="0" fontId="1" fillId="2" borderId="0" xfId="0" applyFont="1" applyFill="1" applyAlignment="1">
      <alignment horizontal="center"/>
    </xf>
    <xf numFmtId="0" fontId="3" fillId="0" borderId="0" xfId="0" applyFont="1"/>
    <xf numFmtId="164" fontId="4" fillId="0" borderId="0" xfId="0" applyNumberFormat="1" applyFont="1"/>
    <xf numFmtId="10" fontId="5" fillId="0" borderId="0" xfId="0" applyNumberFormat="1" applyFont="1"/>
    <xf numFmtId="2" fontId="4" fillId="0" borderId="0" xfId="0" applyNumberFormat="1" applyFont="1"/>
    <xf numFmtId="165" fontId="4" fillId="0" borderId="0" xfId="0" applyNumberFormat="1" applyFont="1"/>
    <xf numFmtId="2" fontId="5" fillId="4" borderId="0" xfId="0" applyNumberFormat="1" applyFont="1" applyFill="1"/>
    <xf numFmtId="165" fontId="5" fillId="4" borderId="0" xfId="0" applyNumberFormat="1" applyFont="1" applyFill="1"/>
    <xf numFmtId="2" fontId="5" fillId="0" borderId="0" xfId="0" applyNumberFormat="1" applyFont="1"/>
    <xf numFmtId="165" fontId="5" fillId="0" borderId="0" xfId="0" applyNumberFormat="1" applyFont="1"/>
    <xf numFmtId="165" fontId="6" fillId="4" borderId="0" xfId="0" applyNumberFormat="1" applyFont="1" applyFill="1"/>
    <xf numFmtId="165" fontId="7" fillId="0" borderId="0" xfId="0" applyNumberFormat="1" applyFont="1"/>
    <xf numFmtId="2" fontId="6" fillId="4" borderId="0" xfId="0" applyNumberFormat="1" applyFont="1" applyFill="1"/>
    <xf numFmtId="2" fontId="7" fillId="0" borderId="0" xfId="0" applyNumberFormat="1" applyFont="1"/>
    <xf numFmtId="164" fontId="6" fillId="4" borderId="0" xfId="0" applyNumberFormat="1" applyFont="1" applyFill="1"/>
    <xf numFmtId="164" fontId="5" fillId="0" borderId="0" xfId="0" applyNumberFormat="1" applyFont="1"/>
    <xf numFmtId="0" fontId="4" fillId="0" borderId="0" xfId="0" applyFont="1"/>
    <xf numFmtId="166" fontId="6" fillId="4" borderId="0" xfId="0" applyNumberFormat="1" applyFont="1" applyFill="1"/>
    <xf numFmtId="167" fontId="4" fillId="0" borderId="0" xfId="0" applyNumberFormat="1" applyFont="1"/>
    <xf numFmtId="168" fontId="4" fillId="0" borderId="0" xfId="0" applyNumberFormat="1" applyFont="1"/>
    <xf numFmtId="164" fontId="7" fillId="0" borderId="0" xfId="0" applyNumberFormat="1" applyFont="1"/>
    <xf numFmtId="164" fontId="7" fillId="5" borderId="0" xfId="0" applyNumberFormat="1" applyFont="1" applyFill="1"/>
    <xf numFmtId="164" fontId="5" fillId="5" borderId="0" xfId="0" applyNumberFormat="1" applyFont="1" applyFill="1"/>
    <xf numFmtId="10" fontId="7" fillId="0" borderId="0" xfId="0" applyNumberFormat="1" applyFont="1"/>
    <xf numFmtId="3" fontId="4" fillId="0" borderId="0" xfId="0" applyNumberFormat="1" applyFont="1"/>
    <xf numFmtId="3" fontId="5" fillId="0" borderId="0" xfId="0" applyNumberFormat="1" applyFont="1"/>
    <xf numFmtId="166" fontId="5" fillId="0" borderId="0" xfId="0" applyNumberFormat="1" applyFont="1"/>
    <xf numFmtId="169" fontId="5" fillId="0" borderId="0" xfId="0" applyNumberFormat="1" applyFont="1"/>
    <xf numFmtId="169" fontId="4" fillId="0" borderId="0" xfId="0" applyNumberFormat="1" applyFont="1"/>
    <xf numFmtId="165" fontId="4" fillId="6" borderId="0" xfId="0" applyNumberFormat="1" applyFont="1" applyFill="1"/>
    <xf numFmtId="165" fontId="5" fillId="6" borderId="0" xfId="0" applyNumberFormat="1" applyFont="1" applyFill="1"/>
    <xf numFmtId="165" fontId="7" fillId="6" borderId="0" xfId="0" applyNumberFormat="1" applyFont="1" applyFill="1"/>
    <xf numFmtId="2" fontId="5" fillId="6" borderId="0" xfId="0" applyNumberFormat="1" applyFont="1" applyFill="1"/>
    <xf numFmtId="164" fontId="7" fillId="6" borderId="0" xfId="0" applyNumberFormat="1" applyFont="1" applyFill="1"/>
    <xf numFmtId="0" fontId="5" fillId="6" borderId="0" xfId="0" applyFont="1" applyFill="1"/>
    <xf numFmtId="0" fontId="1" fillId="7" borderId="0" xfId="0" applyFont="1" applyFill="1"/>
    <xf numFmtId="2" fontId="4" fillId="6" borderId="0" xfId="0" applyNumberFormat="1" applyFont="1" applyFill="1"/>
    <xf numFmtId="0" fontId="0" fillId="7" borderId="0" xfId="0" applyFill="1"/>
    <xf numFmtId="0" fontId="5" fillId="0" borderId="0" xfId="0" applyFont="1"/>
    <xf numFmtId="0" fontId="10" fillId="0" borderId="0" xfId="0" applyFont="1"/>
    <xf numFmtId="1" fontId="4" fillId="0" borderId="0" xfId="0" applyNumberFormat="1" applyFont="1"/>
    <xf numFmtId="0" fontId="11" fillId="0" borderId="0" xfId="0" applyFont="1"/>
    <xf numFmtId="170" fontId="5" fillId="0" borderId="0" xfId="0" applyNumberFormat="1" applyFont="1"/>
    <xf numFmtId="170" fontId="7" fillId="0" borderId="0" xfId="0" applyNumberFormat="1" applyFont="1"/>
    <xf numFmtId="3" fontId="7" fillId="6" borderId="0" xfId="0" applyNumberFormat="1" applyFont="1" applyFill="1"/>
    <xf numFmtId="170" fontId="7" fillId="6" borderId="0" xfId="0" applyNumberFormat="1" applyFont="1" applyFill="1"/>
    <xf numFmtId="3" fontId="5" fillId="6" borderId="0" xfId="0" applyNumberFormat="1" applyFont="1" applyFill="1"/>
    <xf numFmtId="170" fontId="4" fillId="0" borderId="0" xfId="0" applyNumberFormat="1" applyFont="1"/>
    <xf numFmtId="0" fontId="12" fillId="0" borderId="0" xfId="0" applyFont="1"/>
    <xf numFmtId="3" fontId="0" fillId="0" borderId="0" xfId="0" applyNumberFormat="1"/>
    <xf numFmtId="2" fontId="0" fillId="0" borderId="0" xfId="0" applyNumberFormat="1"/>
    <xf numFmtId="9" fontId="0" fillId="0" borderId="0" xfId="1" applyFont="1"/>
    <xf numFmtId="166" fontId="0" fillId="0" borderId="0" xfId="1" applyNumberFormat="1" applyFont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/>
    <xf numFmtId="3" fontId="0" fillId="0" borderId="5" xfId="0" applyNumberFormat="1" applyBorder="1"/>
    <xf numFmtId="0" fontId="12" fillId="0" borderId="4" xfId="0" applyFont="1" applyBorder="1" applyAlignment="1">
      <alignment horizontal="left" indent="1"/>
    </xf>
    <xf numFmtId="166" fontId="12" fillId="0" borderId="0" xfId="1" applyNumberFormat="1" applyFont="1" applyBorder="1"/>
    <xf numFmtId="0" fontId="12" fillId="0" borderId="4" xfId="0" applyFont="1" applyBorder="1"/>
    <xf numFmtId="164" fontId="0" fillId="0" borderId="0" xfId="0" applyNumberFormat="1"/>
    <xf numFmtId="166" fontId="12" fillId="0" borderId="0" xfId="0" applyNumberFormat="1" applyFont="1"/>
    <xf numFmtId="10" fontId="0" fillId="0" borderId="0" xfId="0" applyNumberFormat="1"/>
    <xf numFmtId="0" fontId="0" fillId="0" borderId="6" xfId="0" applyBorder="1"/>
    <xf numFmtId="2" fontId="0" fillId="0" borderId="7" xfId="0" applyNumberFormat="1" applyBorder="1"/>
    <xf numFmtId="0" fontId="0" fillId="0" borderId="10" xfId="0" applyBorder="1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2" fillId="0" borderId="6" xfId="0" applyFont="1" applyBorder="1"/>
    <xf numFmtId="166" fontId="12" fillId="0" borderId="7" xfId="1" applyNumberFormat="1" applyFont="1" applyBorder="1"/>
    <xf numFmtId="0" fontId="0" fillId="8" borderId="0" xfId="0" applyFill="1"/>
    <xf numFmtId="0" fontId="0" fillId="8" borderId="5" xfId="0" applyFill="1" applyBorder="1"/>
    <xf numFmtId="0" fontId="0" fillId="0" borderId="7" xfId="0" applyBorder="1"/>
    <xf numFmtId="0" fontId="0" fillId="0" borderId="8" xfId="0" applyBorder="1"/>
    <xf numFmtId="0" fontId="0" fillId="0" borderId="14" xfId="0" applyBorder="1"/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9" fontId="0" fillId="0" borderId="0" xfId="1" applyFont="1" applyBorder="1"/>
    <xf numFmtId="0" fontId="0" fillId="0" borderId="0" xfId="0" applyAlignment="1">
      <alignment horizontal="centerContinuous" vertical="center"/>
    </xf>
    <xf numFmtId="0" fontId="13" fillId="0" borderId="0" xfId="0" applyFont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170" fontId="0" fillId="0" borderId="0" xfId="0" applyNumberFormat="1"/>
    <xf numFmtId="0" fontId="9" fillId="0" borderId="0" xfId="0" applyFont="1"/>
    <xf numFmtId="3" fontId="9" fillId="0" borderId="0" xfId="0" applyNumberFormat="1" applyFont="1"/>
    <xf numFmtId="171" fontId="0" fillId="0" borderId="0" xfId="0" applyNumberFormat="1"/>
    <xf numFmtId="171" fontId="0" fillId="0" borderId="5" xfId="0" applyNumberFormat="1" applyBorder="1"/>
    <xf numFmtId="171" fontId="0" fillId="0" borderId="7" xfId="0" applyNumberFormat="1" applyBorder="1"/>
    <xf numFmtId="171" fontId="0" fillId="0" borderId="8" xfId="0" applyNumberFormat="1" applyBorder="1"/>
    <xf numFmtId="0" fontId="0" fillId="0" borderId="11" xfId="0" applyBorder="1"/>
    <xf numFmtId="0" fontId="0" fillId="0" borderId="12" xfId="0" applyBorder="1"/>
    <xf numFmtId="3" fontId="0" fillId="9" borderId="0" xfId="0" applyNumberFormat="1" applyFill="1"/>
    <xf numFmtId="3" fontId="0" fillId="9" borderId="5" xfId="0" applyNumberFormat="1" applyFill="1" applyBorder="1"/>
    <xf numFmtId="166" fontId="12" fillId="9" borderId="0" xfId="1" applyNumberFormat="1" applyFont="1" applyFill="1" applyBorder="1"/>
    <xf numFmtId="166" fontId="12" fillId="9" borderId="5" xfId="1" applyNumberFormat="1" applyFont="1" applyFill="1" applyBorder="1"/>
    <xf numFmtId="164" fontId="0" fillId="9" borderId="0" xfId="0" applyNumberFormat="1" applyFill="1"/>
    <xf numFmtId="164" fontId="0" fillId="9" borderId="5" xfId="0" applyNumberFormat="1" applyFill="1" applyBorder="1"/>
    <xf numFmtId="166" fontId="12" fillId="9" borderId="0" xfId="0" applyNumberFormat="1" applyFont="1" applyFill="1"/>
    <xf numFmtId="166" fontId="12" fillId="9" borderId="5" xfId="0" applyNumberFormat="1" applyFont="1" applyFill="1" applyBorder="1"/>
    <xf numFmtId="10" fontId="0" fillId="9" borderId="0" xfId="0" applyNumberFormat="1" applyFill="1"/>
    <xf numFmtId="10" fontId="0" fillId="9" borderId="5" xfId="0" applyNumberFormat="1" applyFill="1" applyBorder="1"/>
    <xf numFmtId="166" fontId="12" fillId="9" borderId="7" xfId="1" applyNumberFormat="1" applyFont="1" applyFill="1" applyBorder="1"/>
    <xf numFmtId="166" fontId="12" fillId="9" borderId="8" xfId="1" applyNumberFormat="1" applyFont="1" applyFill="1" applyBorder="1"/>
    <xf numFmtId="0" fontId="0" fillId="9" borderId="0" xfId="0" applyFill="1"/>
    <xf numFmtId="0" fontId="0" fillId="9" borderId="5" xfId="0" applyFill="1" applyBorder="1"/>
    <xf numFmtId="2" fontId="0" fillId="9" borderId="7" xfId="0" applyNumberFormat="1" applyFill="1" applyBorder="1"/>
    <xf numFmtId="2" fontId="0" fillId="9" borderId="8" xfId="0" applyNumberFormat="1" applyFill="1" applyBorder="1"/>
    <xf numFmtId="2" fontId="0" fillId="0" borderId="17" xfId="0" applyNumberFormat="1" applyBorder="1"/>
    <xf numFmtId="0" fontId="0" fillId="0" borderId="9" xfId="0" applyBorder="1"/>
    <xf numFmtId="2" fontId="14" fillId="0" borderId="0" xfId="0" applyNumberFormat="1" applyFont="1" applyAlignment="1">
      <alignment horizontal="centerContinuous" vertical="center"/>
    </xf>
    <xf numFmtId="2" fontId="0" fillId="0" borderId="13" xfId="0" applyNumberFormat="1" applyBorder="1"/>
    <xf numFmtId="0" fontId="1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Printed nights y/y vs stays-implied (frozen mapping) — history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printed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Nights_Engine!$J$3:$W$3</c:f>
              <c:strCache>
                <c:ptCount val="14"/>
                <c:pt idx="0">
                  <c:v>1Q23A</c:v>
                </c:pt>
                <c:pt idx="1">
                  <c:v>2Q23A</c:v>
                </c:pt>
                <c:pt idx="2">
                  <c:v>3Q23A</c:v>
                </c:pt>
                <c:pt idx="3">
                  <c:v>4Q23A</c:v>
                </c:pt>
                <c:pt idx="4">
                  <c:v>1Q24A</c:v>
                </c:pt>
                <c:pt idx="5">
                  <c:v>2Q24A</c:v>
                </c:pt>
                <c:pt idx="6">
                  <c:v>3Q24A</c:v>
                </c:pt>
                <c:pt idx="7">
                  <c:v>4Q24A</c:v>
                </c:pt>
                <c:pt idx="8">
                  <c:v>1Q25A</c:v>
                </c:pt>
                <c:pt idx="9">
                  <c:v>2Q25A</c:v>
                </c:pt>
                <c:pt idx="10">
                  <c:v>3Q25A</c:v>
                </c:pt>
                <c:pt idx="11">
                  <c:v>4Q25A</c:v>
                </c:pt>
                <c:pt idx="12">
                  <c:v>1Q26A</c:v>
                </c:pt>
                <c:pt idx="13">
                  <c:v>2Q26A</c:v>
                </c:pt>
              </c:strCache>
            </c:strRef>
          </c:cat>
          <c:val>
            <c:numRef>
              <c:f>Nights_Engine!$J$111:$W$111</c:f>
              <c:numCache>
                <c:formatCode>0.00</c:formatCode>
                <c:ptCount val="14"/>
                <c:pt idx="0">
                  <c:v>18.609206660137122</c:v>
                </c:pt>
                <c:pt idx="1">
                  <c:v>10.993249758919955</c:v>
                </c:pt>
                <c:pt idx="2">
                  <c:v>13.54062186559679</c:v>
                </c:pt>
                <c:pt idx="3">
                  <c:v>12.01814058956916</c:v>
                </c:pt>
                <c:pt idx="4">
                  <c:v>9.4962840627580434</c:v>
                </c:pt>
                <c:pt idx="5">
                  <c:v>8.6880973066898459</c:v>
                </c:pt>
                <c:pt idx="6">
                  <c:v>8.4805653710247277</c:v>
                </c:pt>
                <c:pt idx="7">
                  <c:v>12.348178137651832</c:v>
                </c:pt>
                <c:pt idx="8">
                  <c:v>7.9185520361990891</c:v>
                </c:pt>
                <c:pt idx="9">
                  <c:v>7.4340527577937854</c:v>
                </c:pt>
                <c:pt idx="10">
                  <c:v>8.7947882736156391</c:v>
                </c:pt>
                <c:pt idx="11">
                  <c:v>9.8198198198198305</c:v>
                </c:pt>
                <c:pt idx="12">
                  <c:v>9.1544374563242492</c:v>
                </c:pt>
                <c:pt idx="13">
                  <c:v>10.342261904761907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9-1840-A285-D89BB488DE9D}"/>
            </c:ext>
          </c:extLst>
        </c:ser>
        <c:ser>
          <c:idx val="1"/>
          <c:order val="1"/>
          <c:tx>
            <c:v>stays-implied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Nights_Engine!$J$3:$W$3</c:f>
              <c:strCache>
                <c:ptCount val="14"/>
                <c:pt idx="0">
                  <c:v>1Q23A</c:v>
                </c:pt>
                <c:pt idx="1">
                  <c:v>2Q23A</c:v>
                </c:pt>
                <c:pt idx="2">
                  <c:v>3Q23A</c:v>
                </c:pt>
                <c:pt idx="3">
                  <c:v>4Q23A</c:v>
                </c:pt>
                <c:pt idx="4">
                  <c:v>1Q24A</c:v>
                </c:pt>
                <c:pt idx="5">
                  <c:v>2Q24A</c:v>
                </c:pt>
                <c:pt idx="6">
                  <c:v>3Q24A</c:v>
                </c:pt>
                <c:pt idx="7">
                  <c:v>4Q24A</c:v>
                </c:pt>
                <c:pt idx="8">
                  <c:v>1Q25A</c:v>
                </c:pt>
                <c:pt idx="9">
                  <c:v>2Q25A</c:v>
                </c:pt>
                <c:pt idx="10">
                  <c:v>3Q25A</c:v>
                </c:pt>
                <c:pt idx="11">
                  <c:v>4Q25A</c:v>
                </c:pt>
                <c:pt idx="12">
                  <c:v>1Q26A</c:v>
                </c:pt>
                <c:pt idx="13">
                  <c:v>2Q26A</c:v>
                </c:pt>
              </c:strCache>
            </c:strRef>
          </c:cat>
          <c:val>
            <c:numRef>
              <c:f>Nights_Engine!$J$114:$W$114</c:f>
              <c:numCache>
                <c:formatCode>0.00</c:formatCode>
                <c:ptCount val="14"/>
                <c:pt idx="0">
                  <c:v>18.254834417332908</c:v>
                </c:pt>
                <c:pt idx="1">
                  <c:v>12.735554542258573</c:v>
                </c:pt>
                <c:pt idx="2">
                  <c:v>10.844222313156116</c:v>
                </c:pt>
                <c:pt idx="3">
                  <c:v>11.902934481343165</c:v>
                </c:pt>
                <c:pt idx="4">
                  <c:v>11.101183507729484</c:v>
                </c:pt>
                <c:pt idx="5">
                  <c:v>8.9367511429333923</c:v>
                </c:pt>
                <c:pt idx="6">
                  <c:v>8.8345878659570367</c:v>
                </c:pt>
                <c:pt idx="7">
                  <c:v>9.2584143379198842</c:v>
                </c:pt>
                <c:pt idx="8">
                  <c:v>8.9185529153815679</c:v>
                </c:pt>
                <c:pt idx="9">
                  <c:v>8.7399130223282189</c:v>
                </c:pt>
                <c:pt idx="10">
                  <c:v>7.9366201773395595</c:v>
                </c:pt>
                <c:pt idx="11">
                  <c:v>9.4827430112815936</c:v>
                </c:pt>
                <c:pt idx="12">
                  <c:v>9.9559060617044448</c:v>
                </c:pt>
                <c:pt idx="13">
                  <c:v>8.7900177472390268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59-1840-A285-D89BB488D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BR"/>
                  <a:t>%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Our view vs the Street — base print path, stays path, Street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our view (print)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Nights_Engine!$J$3:$AC$3</c:f>
              <c:strCache>
                <c:ptCount val="20"/>
                <c:pt idx="0">
                  <c:v>1Q23A</c:v>
                </c:pt>
                <c:pt idx="1">
                  <c:v>2Q23A</c:v>
                </c:pt>
                <c:pt idx="2">
                  <c:v>3Q23A</c:v>
                </c:pt>
                <c:pt idx="3">
                  <c:v>4Q23A</c:v>
                </c:pt>
                <c:pt idx="4">
                  <c:v>1Q24A</c:v>
                </c:pt>
                <c:pt idx="5">
                  <c:v>2Q24A</c:v>
                </c:pt>
                <c:pt idx="6">
                  <c:v>3Q24A</c:v>
                </c:pt>
                <c:pt idx="7">
                  <c:v>4Q24A</c:v>
                </c:pt>
                <c:pt idx="8">
                  <c:v>1Q25A</c:v>
                </c:pt>
                <c:pt idx="9">
                  <c:v>2Q25A</c:v>
                </c:pt>
                <c:pt idx="10">
                  <c:v>3Q25A</c:v>
                </c:pt>
                <c:pt idx="11">
                  <c:v>4Q25A</c:v>
                </c:pt>
                <c:pt idx="12">
                  <c:v>1Q26A</c:v>
                </c:pt>
                <c:pt idx="13">
                  <c:v>2Q26A</c:v>
                </c:pt>
                <c:pt idx="14">
                  <c:v>3Q26E</c:v>
                </c:pt>
                <c:pt idx="15">
                  <c:v>4Q26E</c:v>
                </c:pt>
                <c:pt idx="16">
                  <c:v>1Q27E</c:v>
                </c:pt>
                <c:pt idx="17">
                  <c:v>2Q27E</c:v>
                </c:pt>
                <c:pt idx="18">
                  <c:v>3Q27E</c:v>
                </c:pt>
                <c:pt idx="19">
                  <c:v>4Q27E</c:v>
                </c:pt>
              </c:strCache>
            </c:strRef>
          </c:cat>
          <c:val>
            <c:numRef>
              <c:f>Nights_Engine!$J$112:$AC$112</c:f>
              <c:numCache>
                <c:formatCode>0.00</c:formatCode>
                <c:ptCount val="20"/>
                <c:pt idx="0">
                  <c:v>18.609206660137122</c:v>
                </c:pt>
                <c:pt idx="1">
                  <c:v>10.993249758919955</c:v>
                </c:pt>
                <c:pt idx="2">
                  <c:v>13.54062186559679</c:v>
                </c:pt>
                <c:pt idx="3">
                  <c:v>12.01814058956916</c:v>
                </c:pt>
                <c:pt idx="4">
                  <c:v>9.4962840627580434</c:v>
                </c:pt>
                <c:pt idx="5">
                  <c:v>8.6880973066898459</c:v>
                </c:pt>
                <c:pt idx="6">
                  <c:v>8.4805653710247277</c:v>
                </c:pt>
                <c:pt idx="7">
                  <c:v>12.348178137651832</c:v>
                </c:pt>
                <c:pt idx="8">
                  <c:v>7.9185520361990891</c:v>
                </c:pt>
                <c:pt idx="9">
                  <c:v>7.4340527577937854</c:v>
                </c:pt>
                <c:pt idx="10">
                  <c:v>8.7947882736156391</c:v>
                </c:pt>
                <c:pt idx="11">
                  <c:v>9.8198198198198305</c:v>
                </c:pt>
                <c:pt idx="12">
                  <c:v>9.1544374563242492</c:v>
                </c:pt>
                <c:pt idx="13">
                  <c:v>10.342261904761907</c:v>
                </c:pt>
                <c:pt idx="14">
                  <c:v>9.1999999999999993</c:v>
                </c:pt>
                <c:pt idx="15">
                  <c:v>7.2710000000000008</c:v>
                </c:pt>
                <c:pt idx="16">
                  <c:v>7.82</c:v>
                </c:pt>
                <c:pt idx="17">
                  <c:v>5.7200000000000006</c:v>
                </c:pt>
                <c:pt idx="18">
                  <c:v>6.093</c:v>
                </c:pt>
                <c:pt idx="19">
                  <c:v>5.9289999999999994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14-0145-BAC0-C51B962D4119}"/>
            </c:ext>
          </c:extLst>
        </c:ser>
        <c:ser>
          <c:idx val="1"/>
          <c:order val="1"/>
          <c:tx>
            <c:v>stays path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Nights_Engine!$J$3:$AC$3</c:f>
              <c:strCache>
                <c:ptCount val="20"/>
                <c:pt idx="0">
                  <c:v>1Q23A</c:v>
                </c:pt>
                <c:pt idx="1">
                  <c:v>2Q23A</c:v>
                </c:pt>
                <c:pt idx="2">
                  <c:v>3Q23A</c:v>
                </c:pt>
                <c:pt idx="3">
                  <c:v>4Q23A</c:v>
                </c:pt>
                <c:pt idx="4">
                  <c:v>1Q24A</c:v>
                </c:pt>
                <c:pt idx="5">
                  <c:v>2Q24A</c:v>
                </c:pt>
                <c:pt idx="6">
                  <c:v>3Q24A</c:v>
                </c:pt>
                <c:pt idx="7">
                  <c:v>4Q24A</c:v>
                </c:pt>
                <c:pt idx="8">
                  <c:v>1Q25A</c:v>
                </c:pt>
                <c:pt idx="9">
                  <c:v>2Q25A</c:v>
                </c:pt>
                <c:pt idx="10">
                  <c:v>3Q25A</c:v>
                </c:pt>
                <c:pt idx="11">
                  <c:v>4Q25A</c:v>
                </c:pt>
                <c:pt idx="12">
                  <c:v>1Q26A</c:v>
                </c:pt>
                <c:pt idx="13">
                  <c:v>2Q26A</c:v>
                </c:pt>
                <c:pt idx="14">
                  <c:v>3Q26E</c:v>
                </c:pt>
                <c:pt idx="15">
                  <c:v>4Q26E</c:v>
                </c:pt>
                <c:pt idx="16">
                  <c:v>1Q27E</c:v>
                </c:pt>
                <c:pt idx="17">
                  <c:v>2Q27E</c:v>
                </c:pt>
                <c:pt idx="18">
                  <c:v>3Q27E</c:v>
                </c:pt>
                <c:pt idx="19">
                  <c:v>4Q27E</c:v>
                </c:pt>
              </c:strCache>
            </c:strRef>
          </c:cat>
          <c:val>
            <c:numRef>
              <c:f>Nights_Engine!$J$114:$AC$114</c:f>
              <c:numCache>
                <c:formatCode>0.00</c:formatCode>
                <c:ptCount val="20"/>
                <c:pt idx="0">
                  <c:v>18.254834417332908</c:v>
                </c:pt>
                <c:pt idx="1">
                  <c:v>12.735554542258573</c:v>
                </c:pt>
                <c:pt idx="2">
                  <c:v>10.844222313156116</c:v>
                </c:pt>
                <c:pt idx="3">
                  <c:v>11.902934481343165</c:v>
                </c:pt>
                <c:pt idx="4">
                  <c:v>11.101183507729484</c:v>
                </c:pt>
                <c:pt idx="5">
                  <c:v>8.9367511429333923</c:v>
                </c:pt>
                <c:pt idx="6">
                  <c:v>8.8345878659570367</c:v>
                </c:pt>
                <c:pt idx="7">
                  <c:v>9.2584143379198842</c:v>
                </c:pt>
                <c:pt idx="8">
                  <c:v>8.9185529153815679</c:v>
                </c:pt>
                <c:pt idx="9">
                  <c:v>8.7399130223282189</c:v>
                </c:pt>
                <c:pt idx="10">
                  <c:v>7.9366201773395595</c:v>
                </c:pt>
                <c:pt idx="11">
                  <c:v>9.4827430112815936</c:v>
                </c:pt>
                <c:pt idx="12">
                  <c:v>9.9559060617044448</c:v>
                </c:pt>
                <c:pt idx="13">
                  <c:v>8.7900177472390268</c:v>
                </c:pt>
                <c:pt idx="14">
                  <c:v>8.9180921393257169</c:v>
                </c:pt>
                <c:pt idx="15">
                  <c:v>7.2710000000000008</c:v>
                </c:pt>
                <c:pt idx="16">
                  <c:v>7.82</c:v>
                </c:pt>
                <c:pt idx="17">
                  <c:v>5.7200000000000006</c:v>
                </c:pt>
                <c:pt idx="18">
                  <c:v>6.093</c:v>
                </c:pt>
                <c:pt idx="19">
                  <c:v>5.9289999999999994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14-0145-BAC0-C51B962D4119}"/>
            </c:ext>
          </c:extLst>
        </c:ser>
        <c:ser>
          <c:idx val="2"/>
          <c:order val="2"/>
          <c:tx>
            <c:v>Street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Nights_Engine!$J$3:$AC$3</c:f>
              <c:strCache>
                <c:ptCount val="20"/>
                <c:pt idx="0">
                  <c:v>1Q23A</c:v>
                </c:pt>
                <c:pt idx="1">
                  <c:v>2Q23A</c:v>
                </c:pt>
                <c:pt idx="2">
                  <c:v>3Q23A</c:v>
                </c:pt>
                <c:pt idx="3">
                  <c:v>4Q23A</c:v>
                </c:pt>
                <c:pt idx="4">
                  <c:v>1Q24A</c:v>
                </c:pt>
                <c:pt idx="5">
                  <c:v>2Q24A</c:v>
                </c:pt>
                <c:pt idx="6">
                  <c:v>3Q24A</c:v>
                </c:pt>
                <c:pt idx="7">
                  <c:v>4Q24A</c:v>
                </c:pt>
                <c:pt idx="8">
                  <c:v>1Q25A</c:v>
                </c:pt>
                <c:pt idx="9">
                  <c:v>2Q25A</c:v>
                </c:pt>
                <c:pt idx="10">
                  <c:v>3Q25A</c:v>
                </c:pt>
                <c:pt idx="11">
                  <c:v>4Q25A</c:v>
                </c:pt>
                <c:pt idx="12">
                  <c:v>1Q26A</c:v>
                </c:pt>
                <c:pt idx="13">
                  <c:v>2Q26A</c:v>
                </c:pt>
                <c:pt idx="14">
                  <c:v>3Q26E</c:v>
                </c:pt>
                <c:pt idx="15">
                  <c:v>4Q26E</c:v>
                </c:pt>
                <c:pt idx="16">
                  <c:v>1Q27E</c:v>
                </c:pt>
                <c:pt idx="17">
                  <c:v>2Q27E</c:v>
                </c:pt>
                <c:pt idx="18">
                  <c:v>3Q27E</c:v>
                </c:pt>
                <c:pt idx="19">
                  <c:v>4Q27E</c:v>
                </c:pt>
              </c:strCache>
            </c:strRef>
          </c:cat>
          <c:val>
            <c:numRef>
              <c:f>Nights_Engine!$J$113:$AC$113</c:f>
              <c:numCache>
                <c:formatCode>General</c:formatCode>
                <c:ptCount val="20"/>
                <c:pt idx="14" formatCode="0.00">
                  <c:v>11.526946107784442</c:v>
                </c:pt>
                <c:pt idx="15" formatCode="0.00">
                  <c:v>9.926168990976203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14-0145-BAC0-C51B962D4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4"/>
          <c:min val="4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BR"/>
                  <a:t>%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The option term: printed − stays-implied (pp), 3Q25–2Q26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Nights_Engine!$N$3:$W$3</c:f>
              <c:strCache>
                <c:ptCount val="10"/>
                <c:pt idx="0">
                  <c:v>1Q24A</c:v>
                </c:pt>
                <c:pt idx="1">
                  <c:v>2Q24A</c:v>
                </c:pt>
                <c:pt idx="2">
                  <c:v>3Q24A</c:v>
                </c:pt>
                <c:pt idx="3">
                  <c:v>4Q24A</c:v>
                </c:pt>
                <c:pt idx="4">
                  <c:v>1Q25A</c:v>
                </c:pt>
                <c:pt idx="5">
                  <c:v>2Q25A</c:v>
                </c:pt>
                <c:pt idx="6">
                  <c:v>3Q25A</c:v>
                </c:pt>
                <c:pt idx="7">
                  <c:v>4Q25A</c:v>
                </c:pt>
                <c:pt idx="8">
                  <c:v>1Q26A</c:v>
                </c:pt>
                <c:pt idx="9">
                  <c:v>2Q26A</c:v>
                </c:pt>
              </c:strCache>
            </c:strRef>
          </c:cat>
          <c:val>
            <c:numRef>
              <c:f>Nights_Engine!$N$25:$W$25</c:f>
              <c:numCache>
                <c:formatCode>0.00</c:formatCode>
                <c:ptCount val="10"/>
                <c:pt idx="0">
                  <c:v>-1.6048994449714407</c:v>
                </c:pt>
                <c:pt idx="1">
                  <c:v>-0.24865383624354642</c:v>
                </c:pt>
                <c:pt idx="2">
                  <c:v>-0.35402249493230897</c:v>
                </c:pt>
                <c:pt idx="3">
                  <c:v>3.0897637997319478</c:v>
                </c:pt>
                <c:pt idx="4">
                  <c:v>-1.0000008791824788</c:v>
                </c:pt>
                <c:pt idx="5">
                  <c:v>-1.3058602645344335</c:v>
                </c:pt>
                <c:pt idx="6">
                  <c:v>0.85816809627607959</c:v>
                </c:pt>
                <c:pt idx="7">
                  <c:v>0.33707680853823696</c:v>
                </c:pt>
                <c:pt idx="8">
                  <c:v>-0.8014686053801956</c:v>
                </c:pt>
                <c:pt idx="9">
                  <c:v>1.55224415752288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D-AC4E-89D1-230C342F5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RNPL written: unearned fees y/y vs GBV y/y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unearned fees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Nights_Engine!$J$3:$W$3</c:f>
              <c:strCache>
                <c:ptCount val="14"/>
                <c:pt idx="0">
                  <c:v>1Q23A</c:v>
                </c:pt>
                <c:pt idx="1">
                  <c:v>2Q23A</c:v>
                </c:pt>
                <c:pt idx="2">
                  <c:v>3Q23A</c:v>
                </c:pt>
                <c:pt idx="3">
                  <c:v>4Q23A</c:v>
                </c:pt>
                <c:pt idx="4">
                  <c:v>1Q24A</c:v>
                </c:pt>
                <c:pt idx="5">
                  <c:v>2Q24A</c:v>
                </c:pt>
                <c:pt idx="6">
                  <c:v>3Q24A</c:v>
                </c:pt>
                <c:pt idx="7">
                  <c:v>4Q24A</c:v>
                </c:pt>
                <c:pt idx="8">
                  <c:v>1Q25A</c:v>
                </c:pt>
                <c:pt idx="9">
                  <c:v>2Q25A</c:v>
                </c:pt>
                <c:pt idx="10">
                  <c:v>3Q25A</c:v>
                </c:pt>
                <c:pt idx="11">
                  <c:v>4Q25A</c:v>
                </c:pt>
                <c:pt idx="12">
                  <c:v>1Q26A</c:v>
                </c:pt>
                <c:pt idx="13">
                  <c:v>2Q26A</c:v>
                </c:pt>
              </c:strCache>
            </c:strRef>
          </c:cat>
          <c:val>
            <c:numRef>
              <c:f>Nights_Engine!$J$93:$W$93</c:f>
              <c:numCache>
                <c:formatCode>0.00</c:formatCode>
                <c:ptCount val="14"/>
                <c:pt idx="0">
                  <c:v>24.28</c:v>
                </c:pt>
                <c:pt idx="1">
                  <c:v>18.48</c:v>
                </c:pt>
                <c:pt idx="2">
                  <c:v>20.22</c:v>
                </c:pt>
                <c:pt idx="3">
                  <c:v>20.73</c:v>
                </c:pt>
                <c:pt idx="4">
                  <c:v>12.06</c:v>
                </c:pt>
                <c:pt idx="5">
                  <c:v>11.67</c:v>
                </c:pt>
                <c:pt idx="6">
                  <c:v>12.95</c:v>
                </c:pt>
                <c:pt idx="7">
                  <c:v>13.24</c:v>
                </c:pt>
                <c:pt idx="8">
                  <c:v>11.87</c:v>
                </c:pt>
                <c:pt idx="9">
                  <c:v>9</c:v>
                </c:pt>
                <c:pt idx="10">
                  <c:v>9.84</c:v>
                </c:pt>
                <c:pt idx="11">
                  <c:v>7.86</c:v>
                </c:pt>
                <c:pt idx="12">
                  <c:v>0.37</c:v>
                </c:pt>
                <c:pt idx="13">
                  <c:v>-0.91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D3-B248-8EC4-530A645C13AA}"/>
            </c:ext>
          </c:extLst>
        </c:ser>
        <c:ser>
          <c:idx val="1"/>
          <c:order val="1"/>
          <c:tx>
            <c:v>GBV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Nights_Engine!$J$3:$W$3</c:f>
              <c:strCache>
                <c:ptCount val="14"/>
                <c:pt idx="0">
                  <c:v>1Q23A</c:v>
                </c:pt>
                <c:pt idx="1">
                  <c:v>2Q23A</c:v>
                </c:pt>
                <c:pt idx="2">
                  <c:v>3Q23A</c:v>
                </c:pt>
                <c:pt idx="3">
                  <c:v>4Q23A</c:v>
                </c:pt>
                <c:pt idx="4">
                  <c:v>1Q24A</c:v>
                </c:pt>
                <c:pt idx="5">
                  <c:v>2Q24A</c:v>
                </c:pt>
                <c:pt idx="6">
                  <c:v>3Q24A</c:v>
                </c:pt>
                <c:pt idx="7">
                  <c:v>4Q24A</c:v>
                </c:pt>
                <c:pt idx="8">
                  <c:v>1Q25A</c:v>
                </c:pt>
                <c:pt idx="9">
                  <c:v>2Q25A</c:v>
                </c:pt>
                <c:pt idx="10">
                  <c:v>3Q25A</c:v>
                </c:pt>
                <c:pt idx="11">
                  <c:v>4Q25A</c:v>
                </c:pt>
                <c:pt idx="12">
                  <c:v>1Q26A</c:v>
                </c:pt>
                <c:pt idx="13">
                  <c:v>2Q26A</c:v>
                </c:pt>
              </c:strCache>
            </c:strRef>
          </c:cat>
          <c:val>
            <c:numRef>
              <c:f>Nights_Engine!$J$94:$W$94</c:f>
              <c:numCache>
                <c:formatCode>0.00</c:formatCode>
                <c:ptCount val="14"/>
                <c:pt idx="0">
                  <c:v>18.600000000000001</c:v>
                </c:pt>
                <c:pt idx="1">
                  <c:v>12.35</c:v>
                </c:pt>
                <c:pt idx="2">
                  <c:v>17.309999999999999</c:v>
                </c:pt>
                <c:pt idx="3">
                  <c:v>14.81</c:v>
                </c:pt>
                <c:pt idx="4">
                  <c:v>12.25</c:v>
                </c:pt>
                <c:pt idx="5">
                  <c:v>10.99</c:v>
                </c:pt>
                <c:pt idx="6">
                  <c:v>9.84</c:v>
                </c:pt>
                <c:pt idx="7">
                  <c:v>13.55</c:v>
                </c:pt>
                <c:pt idx="8">
                  <c:v>6.99</c:v>
                </c:pt>
                <c:pt idx="9">
                  <c:v>10.85</c:v>
                </c:pt>
                <c:pt idx="10">
                  <c:v>13.93</c:v>
                </c:pt>
                <c:pt idx="11">
                  <c:v>15.91</c:v>
                </c:pt>
                <c:pt idx="12">
                  <c:v>19.18</c:v>
                </c:pt>
                <c:pt idx="13">
                  <c:v>15.74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D3-B248-8EC4-530A645C1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BR"/>
                  <a:t>%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ADR $: printed, then the engine path, vs the Street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ADR $ (printed, then engine)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ADR_Engine!$O$3:$AD$3</c:f>
              <c:strCache>
                <c:ptCount val="16"/>
                <c:pt idx="0">
                  <c:v>1Q24A</c:v>
                </c:pt>
                <c:pt idx="1">
                  <c:v>2Q24A</c:v>
                </c:pt>
                <c:pt idx="2">
                  <c:v>3Q24A</c:v>
                </c:pt>
                <c:pt idx="3">
                  <c:v>4Q24A</c:v>
                </c:pt>
                <c:pt idx="4">
                  <c:v>1Q25A</c:v>
                </c:pt>
                <c:pt idx="5">
                  <c:v>2Q25A</c:v>
                </c:pt>
                <c:pt idx="6">
                  <c:v>3Q25A</c:v>
                </c:pt>
                <c:pt idx="7">
                  <c:v>4Q25A</c:v>
                </c:pt>
                <c:pt idx="8">
                  <c:v>1Q26A</c:v>
                </c:pt>
                <c:pt idx="9">
                  <c:v>2Q26A</c:v>
                </c:pt>
                <c:pt idx="10">
                  <c:v>3Q26E</c:v>
                </c:pt>
                <c:pt idx="11">
                  <c:v>4Q26E</c:v>
                </c:pt>
                <c:pt idx="12">
                  <c:v>1Q27E</c:v>
                </c:pt>
                <c:pt idx="13">
                  <c:v>2Q27E</c:v>
                </c:pt>
                <c:pt idx="14">
                  <c:v>3Q27E</c:v>
                </c:pt>
                <c:pt idx="15">
                  <c:v>4Q27E</c:v>
                </c:pt>
              </c:strCache>
            </c:strRef>
          </c:cat>
          <c:val>
            <c:numRef>
              <c:f>ADR_Engine!$O$145:$AD$145</c:f>
              <c:numCache>
                <c:formatCode>0.00</c:formatCode>
                <c:ptCount val="16"/>
                <c:pt idx="0">
                  <c:v>172.88</c:v>
                </c:pt>
                <c:pt idx="1">
                  <c:v>169.53</c:v>
                </c:pt>
                <c:pt idx="2">
                  <c:v>163.63999999999999</c:v>
                </c:pt>
                <c:pt idx="3">
                  <c:v>158.13</c:v>
                </c:pt>
                <c:pt idx="4">
                  <c:v>171.34</c:v>
                </c:pt>
                <c:pt idx="5">
                  <c:v>174.48</c:v>
                </c:pt>
                <c:pt idx="6">
                  <c:v>171.29</c:v>
                </c:pt>
                <c:pt idx="7">
                  <c:v>167.51</c:v>
                </c:pt>
                <c:pt idx="8">
                  <c:v>186.82</c:v>
                </c:pt>
                <c:pt idx="9">
                  <c:v>183.73</c:v>
                </c:pt>
                <c:pt idx="10">
                  <c:v>175.66233929374312</c:v>
                </c:pt>
                <c:pt idx="11">
                  <c:v>170.95631606738019</c:v>
                </c:pt>
                <c:pt idx="12">
                  <c:v>187.90967275431007</c:v>
                </c:pt>
                <c:pt idx="13">
                  <c:v>185.59486497577498</c:v>
                </c:pt>
                <c:pt idx="14">
                  <c:v>177.87547451876307</c:v>
                </c:pt>
                <c:pt idx="15">
                  <c:v>173.46913364531758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E8-1440-8974-CD6425848813}"/>
            </c:ext>
          </c:extLst>
        </c:ser>
        <c:ser>
          <c:idx val="1"/>
          <c:order val="1"/>
          <c:tx>
            <c:v>Street ADR $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ADR_Engine!$O$3:$AD$3</c:f>
              <c:strCache>
                <c:ptCount val="16"/>
                <c:pt idx="0">
                  <c:v>1Q24A</c:v>
                </c:pt>
                <c:pt idx="1">
                  <c:v>2Q24A</c:v>
                </c:pt>
                <c:pt idx="2">
                  <c:v>3Q24A</c:v>
                </c:pt>
                <c:pt idx="3">
                  <c:v>4Q24A</c:v>
                </c:pt>
                <c:pt idx="4">
                  <c:v>1Q25A</c:v>
                </c:pt>
                <c:pt idx="5">
                  <c:v>2Q25A</c:v>
                </c:pt>
                <c:pt idx="6">
                  <c:v>3Q25A</c:v>
                </c:pt>
                <c:pt idx="7">
                  <c:v>4Q25A</c:v>
                </c:pt>
                <c:pt idx="8">
                  <c:v>1Q26A</c:v>
                </c:pt>
                <c:pt idx="9">
                  <c:v>2Q26A</c:v>
                </c:pt>
                <c:pt idx="10">
                  <c:v>3Q26E</c:v>
                </c:pt>
                <c:pt idx="11">
                  <c:v>4Q26E</c:v>
                </c:pt>
                <c:pt idx="12">
                  <c:v>1Q27E</c:v>
                </c:pt>
                <c:pt idx="13">
                  <c:v>2Q27E</c:v>
                </c:pt>
                <c:pt idx="14">
                  <c:v>3Q27E</c:v>
                </c:pt>
                <c:pt idx="15">
                  <c:v>4Q27E</c:v>
                </c:pt>
              </c:strCache>
            </c:strRef>
          </c:cat>
          <c:val>
            <c:numRef>
              <c:f>ADR_Engine!$O$146:$AD$146</c:f>
              <c:numCache>
                <c:formatCode>General</c:formatCode>
                <c:ptCount val="16"/>
                <c:pt idx="10" formatCode="0.00">
                  <c:v>177.06</c:v>
                </c:pt>
                <c:pt idx="11" formatCode="0.00">
                  <c:v>171.33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E8-1440-8974-CD6425848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FX effect on ADR (pp): translation identity vs disclosed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FX identity (pp)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ADR_Engine!$O$3:$AD$3</c:f>
              <c:strCache>
                <c:ptCount val="16"/>
                <c:pt idx="0">
                  <c:v>1Q24A</c:v>
                </c:pt>
                <c:pt idx="1">
                  <c:v>2Q24A</c:v>
                </c:pt>
                <c:pt idx="2">
                  <c:v>3Q24A</c:v>
                </c:pt>
                <c:pt idx="3">
                  <c:v>4Q24A</c:v>
                </c:pt>
                <c:pt idx="4">
                  <c:v>1Q25A</c:v>
                </c:pt>
                <c:pt idx="5">
                  <c:v>2Q25A</c:v>
                </c:pt>
                <c:pt idx="6">
                  <c:v>3Q25A</c:v>
                </c:pt>
                <c:pt idx="7">
                  <c:v>4Q25A</c:v>
                </c:pt>
                <c:pt idx="8">
                  <c:v>1Q26A</c:v>
                </c:pt>
                <c:pt idx="9">
                  <c:v>2Q26A</c:v>
                </c:pt>
                <c:pt idx="10">
                  <c:v>3Q26E</c:v>
                </c:pt>
                <c:pt idx="11">
                  <c:v>4Q26E</c:v>
                </c:pt>
                <c:pt idx="12">
                  <c:v>1Q27E</c:v>
                </c:pt>
                <c:pt idx="13">
                  <c:v>2Q27E</c:v>
                </c:pt>
                <c:pt idx="14">
                  <c:v>3Q27E</c:v>
                </c:pt>
                <c:pt idx="15">
                  <c:v>4Q27E</c:v>
                </c:pt>
              </c:strCache>
            </c:strRef>
          </c:cat>
          <c:val>
            <c:numRef>
              <c:f>ADR_Engine!$O$147:$AD$147</c:f>
              <c:numCache>
                <c:formatCode>0.00</c:formatCode>
                <c:ptCount val="16"/>
                <c:pt idx="0">
                  <c:v>0.94788957460418</c:v>
                </c:pt>
                <c:pt idx="1">
                  <c:v>-0.68577102583279148</c:v>
                </c:pt>
                <c:pt idx="2">
                  <c:v>-0.51133739600159211</c:v>
                </c:pt>
                <c:pt idx="3">
                  <c:v>-1.3487507395997029</c:v>
                </c:pt>
                <c:pt idx="4">
                  <c:v>-2.8799273622293704</c:v>
                </c:pt>
                <c:pt idx="5">
                  <c:v>0.94579707049828388</c:v>
                </c:pt>
                <c:pt idx="6">
                  <c:v>1.938757410754359</c:v>
                </c:pt>
                <c:pt idx="7">
                  <c:v>3.4357287834688233</c:v>
                </c:pt>
                <c:pt idx="8">
                  <c:v>5.4993773315760741</c:v>
                </c:pt>
                <c:pt idx="9">
                  <c:v>2.1198193525118869</c:v>
                </c:pt>
                <c:pt idx="10">
                  <c:v>0.41528141662474377</c:v>
                </c:pt>
                <c:pt idx="11">
                  <c:v>0.51366902531723913</c:v>
                </c:pt>
                <c:pt idx="12">
                  <c:v>-0.36901348466363304</c:v>
                </c:pt>
                <c:pt idx="13">
                  <c:v>-0.42693614956614784</c:v>
                </c:pt>
                <c:pt idx="14">
                  <c:v>-0.14674825953127343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97-3749-B6C8-4317AFD4CE2B}"/>
            </c:ext>
          </c:extLst>
        </c:ser>
        <c:ser>
          <c:idx val="1"/>
          <c:order val="1"/>
          <c:tx>
            <c:v>disclosed FX (pp)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ADR_Engine!$O$3:$AD$3</c:f>
              <c:strCache>
                <c:ptCount val="16"/>
                <c:pt idx="0">
                  <c:v>1Q24A</c:v>
                </c:pt>
                <c:pt idx="1">
                  <c:v>2Q24A</c:v>
                </c:pt>
                <c:pt idx="2">
                  <c:v>3Q24A</c:v>
                </c:pt>
                <c:pt idx="3">
                  <c:v>4Q24A</c:v>
                </c:pt>
                <c:pt idx="4">
                  <c:v>1Q25A</c:v>
                </c:pt>
                <c:pt idx="5">
                  <c:v>2Q25A</c:v>
                </c:pt>
                <c:pt idx="6">
                  <c:v>3Q25A</c:v>
                </c:pt>
                <c:pt idx="7">
                  <c:v>4Q25A</c:v>
                </c:pt>
                <c:pt idx="8">
                  <c:v>1Q26A</c:v>
                </c:pt>
                <c:pt idx="9">
                  <c:v>2Q26A</c:v>
                </c:pt>
                <c:pt idx="10">
                  <c:v>3Q26E</c:v>
                </c:pt>
                <c:pt idx="11">
                  <c:v>4Q26E</c:v>
                </c:pt>
                <c:pt idx="12">
                  <c:v>1Q27E</c:v>
                </c:pt>
                <c:pt idx="13">
                  <c:v>2Q27E</c:v>
                </c:pt>
                <c:pt idx="14">
                  <c:v>3Q27E</c:v>
                </c:pt>
                <c:pt idx="15">
                  <c:v>4Q27E</c:v>
                </c:pt>
              </c:strCache>
            </c:strRef>
          </c:cat>
          <c:val>
            <c:numRef>
              <c:f>ADR_Engine!$O$148:$AD$148</c:f>
              <c:numCache>
                <c:formatCode>0.00</c:formatCode>
                <c:ptCount val="16"/>
                <c:pt idx="0">
                  <c:v>0.64204714124560702</c:v>
                </c:pt>
                <c:pt idx="1">
                  <c:v>-0.87964580446959495</c:v>
                </c:pt>
                <c:pt idx="2">
                  <c:v>-0.5995786342793501</c:v>
                </c:pt>
                <c:pt idx="3">
                  <c:v>-1.1067440821795431</c:v>
                </c:pt>
                <c:pt idx="4">
                  <c:v>-1.8907913003239232</c:v>
                </c:pt>
                <c:pt idx="5">
                  <c:v>1.9198371969562764</c:v>
                </c:pt>
                <c:pt idx="6">
                  <c:v>2.6748961134197131</c:v>
                </c:pt>
                <c:pt idx="7">
                  <c:v>2.931828242585202</c:v>
                </c:pt>
                <c:pt idx="8">
                  <c:v>5.0346679117544006</c:v>
                </c:pt>
                <c:pt idx="9">
                  <c:v>1.3014672168729904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97-3749-B6C8-4317AFD4C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ADR $: printed, then the engine path, vs the Street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ADR $ (printed, then engine)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Lit>
              <c:ptCount val="16"/>
              <c:pt idx="0">
                <c:v>1Q24A</c:v>
              </c:pt>
              <c:pt idx="1">
                <c:v>2Q24A</c:v>
              </c:pt>
              <c:pt idx="2">
                <c:v>3Q24A</c:v>
              </c:pt>
              <c:pt idx="3">
                <c:v>4Q24A</c:v>
              </c:pt>
              <c:pt idx="4">
                <c:v>1Q25A</c:v>
              </c:pt>
              <c:pt idx="5">
                <c:v>2Q25A</c:v>
              </c:pt>
              <c:pt idx="6">
                <c:v>3Q25A</c:v>
              </c:pt>
              <c:pt idx="7">
                <c:v>4Q25A</c:v>
              </c:pt>
              <c:pt idx="8">
                <c:v>1Q26A</c:v>
              </c:pt>
              <c:pt idx="9">
                <c:v>2Q26A</c:v>
              </c:pt>
              <c:pt idx="10">
                <c:v>3Q26E</c:v>
              </c:pt>
              <c:pt idx="11">
                <c:v>4Q26E</c:v>
              </c:pt>
              <c:pt idx="12">
                <c:v>1Q27E</c:v>
              </c:pt>
              <c:pt idx="13">
                <c:v>2Q27E</c:v>
              </c:pt>
              <c:pt idx="14">
                <c:v>3Q27E</c:v>
              </c:pt>
              <c:pt idx="15">
                <c:v>4Q27E</c:v>
              </c:pt>
            </c:strLit>
          </c:cat>
          <c:val>
            <c:numLit>
              <c:formatCode>0.00</c:formatCode>
              <c:ptCount val="16"/>
              <c:pt idx="0">
                <c:v>172.88</c:v>
              </c:pt>
              <c:pt idx="1">
                <c:v>169.53</c:v>
              </c:pt>
              <c:pt idx="2">
                <c:v>163.63999999999999</c:v>
              </c:pt>
              <c:pt idx="3">
                <c:v>158.13</c:v>
              </c:pt>
              <c:pt idx="4">
                <c:v>171.34</c:v>
              </c:pt>
              <c:pt idx="5">
                <c:v>174.48</c:v>
              </c:pt>
              <c:pt idx="6">
                <c:v>171.29</c:v>
              </c:pt>
              <c:pt idx="7">
                <c:v>167.51</c:v>
              </c:pt>
              <c:pt idx="8">
                <c:v>186.82</c:v>
              </c:pt>
              <c:pt idx="9">
                <c:v>183.73</c:v>
              </c:pt>
              <c:pt idx="10">
                <c:v>175.66233929374312</c:v>
              </c:pt>
              <c:pt idx="11">
                <c:v>170.95631606738019</c:v>
              </c:pt>
              <c:pt idx="12">
                <c:v>187.90967275431007</c:v>
              </c:pt>
              <c:pt idx="13">
                <c:v>185.59486497577498</c:v>
              </c:pt>
              <c:pt idx="14">
                <c:v>177.87547451876307</c:v>
              </c:pt>
              <c:pt idx="15">
                <c:v>173.46913364531758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565-47C5-89F5-329E00A8B808}"/>
            </c:ext>
          </c:extLst>
        </c:ser>
        <c:ser>
          <c:idx val="1"/>
          <c:order val="1"/>
          <c:tx>
            <c:v>Street ADR $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Lit>
              <c:ptCount val="16"/>
              <c:pt idx="0">
                <c:v>1Q24A</c:v>
              </c:pt>
              <c:pt idx="1">
                <c:v>2Q24A</c:v>
              </c:pt>
              <c:pt idx="2">
                <c:v>3Q24A</c:v>
              </c:pt>
              <c:pt idx="3">
                <c:v>4Q24A</c:v>
              </c:pt>
              <c:pt idx="4">
                <c:v>1Q25A</c:v>
              </c:pt>
              <c:pt idx="5">
                <c:v>2Q25A</c:v>
              </c:pt>
              <c:pt idx="6">
                <c:v>3Q25A</c:v>
              </c:pt>
              <c:pt idx="7">
                <c:v>4Q25A</c:v>
              </c:pt>
              <c:pt idx="8">
                <c:v>1Q26A</c:v>
              </c:pt>
              <c:pt idx="9">
                <c:v>2Q26A</c:v>
              </c:pt>
              <c:pt idx="10">
                <c:v>3Q26E</c:v>
              </c:pt>
              <c:pt idx="11">
                <c:v>4Q26E</c:v>
              </c:pt>
              <c:pt idx="12">
                <c:v>1Q27E</c:v>
              </c:pt>
              <c:pt idx="13">
                <c:v>2Q27E</c:v>
              </c:pt>
              <c:pt idx="14">
                <c:v>3Q27E</c:v>
              </c:pt>
              <c:pt idx="15">
                <c:v>4Q27E</c:v>
              </c:pt>
            </c:strLit>
          </c:cat>
          <c:val>
            <c:numLit>
              <c:formatCode>General</c:formatCode>
              <c:ptCount val="16"/>
              <c:pt idx="10" formatCode="0.00">
                <c:v>177.06</c:v>
              </c:pt>
              <c:pt idx="11" formatCode="0.00">
                <c:v>171.33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2565-47C5-89F5-329E00A8B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FX effect on ADR (pp): translation identity vs disclosed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FX identity (pp)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Lit>
              <c:ptCount val="16"/>
              <c:pt idx="0">
                <c:v>1Q24A</c:v>
              </c:pt>
              <c:pt idx="1">
                <c:v>2Q24A</c:v>
              </c:pt>
              <c:pt idx="2">
                <c:v>3Q24A</c:v>
              </c:pt>
              <c:pt idx="3">
                <c:v>4Q24A</c:v>
              </c:pt>
              <c:pt idx="4">
                <c:v>1Q25A</c:v>
              </c:pt>
              <c:pt idx="5">
                <c:v>2Q25A</c:v>
              </c:pt>
              <c:pt idx="6">
                <c:v>3Q25A</c:v>
              </c:pt>
              <c:pt idx="7">
                <c:v>4Q25A</c:v>
              </c:pt>
              <c:pt idx="8">
                <c:v>1Q26A</c:v>
              </c:pt>
              <c:pt idx="9">
                <c:v>2Q26A</c:v>
              </c:pt>
              <c:pt idx="10">
                <c:v>3Q26E</c:v>
              </c:pt>
              <c:pt idx="11">
                <c:v>4Q26E</c:v>
              </c:pt>
              <c:pt idx="12">
                <c:v>1Q27E</c:v>
              </c:pt>
              <c:pt idx="13">
                <c:v>2Q27E</c:v>
              </c:pt>
              <c:pt idx="14">
                <c:v>3Q27E</c:v>
              </c:pt>
              <c:pt idx="15">
                <c:v>4Q27E</c:v>
              </c:pt>
            </c:strLit>
          </c:cat>
          <c:val>
            <c:numLit>
              <c:formatCode>0.00</c:formatCode>
              <c:ptCount val="16"/>
              <c:pt idx="0">
                <c:v>0.94788957460418</c:v>
              </c:pt>
              <c:pt idx="1">
                <c:v>-0.68577102583279148</c:v>
              </c:pt>
              <c:pt idx="2">
                <c:v>-0.51133739600159211</c:v>
              </c:pt>
              <c:pt idx="3">
                <c:v>-1.3487507395997029</c:v>
              </c:pt>
              <c:pt idx="4">
                <c:v>-2.8799273622293704</c:v>
              </c:pt>
              <c:pt idx="5">
                <c:v>0.94579707049828388</c:v>
              </c:pt>
              <c:pt idx="6">
                <c:v>1.938757410754359</c:v>
              </c:pt>
              <c:pt idx="7">
                <c:v>3.4357287834688233</c:v>
              </c:pt>
              <c:pt idx="8">
                <c:v>5.4993773315760741</c:v>
              </c:pt>
              <c:pt idx="9">
                <c:v>2.1198193525118869</c:v>
              </c:pt>
              <c:pt idx="10">
                <c:v>0.41528141662474377</c:v>
              </c:pt>
              <c:pt idx="11">
                <c:v>0.51366902531723913</c:v>
              </c:pt>
              <c:pt idx="12">
                <c:v>-0.36901348466363304</c:v>
              </c:pt>
              <c:pt idx="13">
                <c:v>-0.42693614956614784</c:v>
              </c:pt>
              <c:pt idx="14">
                <c:v>-0.14674825953127343</c:v>
              </c:pt>
              <c:pt idx="15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E8B-4DFD-97C7-8C997AF9B1B5}"/>
            </c:ext>
          </c:extLst>
        </c:ser>
        <c:ser>
          <c:idx val="1"/>
          <c:order val="1"/>
          <c:tx>
            <c:v>disclosed FX (pp)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Lit>
              <c:ptCount val="16"/>
              <c:pt idx="0">
                <c:v>1Q24A</c:v>
              </c:pt>
              <c:pt idx="1">
                <c:v>2Q24A</c:v>
              </c:pt>
              <c:pt idx="2">
                <c:v>3Q24A</c:v>
              </c:pt>
              <c:pt idx="3">
                <c:v>4Q24A</c:v>
              </c:pt>
              <c:pt idx="4">
                <c:v>1Q25A</c:v>
              </c:pt>
              <c:pt idx="5">
                <c:v>2Q25A</c:v>
              </c:pt>
              <c:pt idx="6">
                <c:v>3Q25A</c:v>
              </c:pt>
              <c:pt idx="7">
                <c:v>4Q25A</c:v>
              </c:pt>
              <c:pt idx="8">
                <c:v>1Q26A</c:v>
              </c:pt>
              <c:pt idx="9">
                <c:v>2Q26A</c:v>
              </c:pt>
              <c:pt idx="10">
                <c:v>3Q26E</c:v>
              </c:pt>
              <c:pt idx="11">
                <c:v>4Q26E</c:v>
              </c:pt>
              <c:pt idx="12">
                <c:v>1Q27E</c:v>
              </c:pt>
              <c:pt idx="13">
                <c:v>2Q27E</c:v>
              </c:pt>
              <c:pt idx="14">
                <c:v>3Q27E</c:v>
              </c:pt>
              <c:pt idx="15">
                <c:v>4Q27E</c:v>
              </c:pt>
            </c:strLit>
          </c:cat>
          <c:val>
            <c:numLit>
              <c:formatCode>0.00</c:formatCode>
              <c:ptCount val="16"/>
              <c:pt idx="0">
                <c:v>0.64204714124560702</c:v>
              </c:pt>
              <c:pt idx="1">
                <c:v>-0.87964580446959495</c:v>
              </c:pt>
              <c:pt idx="2">
                <c:v>-0.5995786342793501</c:v>
              </c:pt>
              <c:pt idx="3">
                <c:v>-1.1067440821795431</c:v>
              </c:pt>
              <c:pt idx="4">
                <c:v>-1.8907913003239232</c:v>
              </c:pt>
              <c:pt idx="5">
                <c:v>1.9198371969562764</c:v>
              </c:pt>
              <c:pt idx="6">
                <c:v>2.6748961134197131</c:v>
              </c:pt>
              <c:pt idx="7">
                <c:v>2.931828242585202</c:v>
              </c:pt>
              <c:pt idx="8">
                <c:v>5.0346679117544006</c:v>
              </c:pt>
              <c:pt idx="9">
                <c:v>1.3014672168729904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E8B-4DFD-97C7-8C997AF9B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30</xdr:col>
      <xdr:colOff>0</xdr:colOff>
      <xdr:row>4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24</xdr:row>
      <xdr:rowOff>0</xdr:rowOff>
    </xdr:from>
    <xdr:ext cx="79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30</xdr:col>
      <xdr:colOff>0</xdr:colOff>
      <xdr:row>44</xdr:row>
      <xdr:rowOff>0</xdr:rowOff>
    </xdr:from>
    <xdr:ext cx="792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62</xdr:row>
      <xdr:rowOff>0</xdr:rowOff>
    </xdr:from>
    <xdr:ext cx="7920000" cy="32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149</xdr:row>
      <xdr:rowOff>0</xdr:rowOff>
    </xdr:from>
    <xdr:ext cx="79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149</xdr:row>
      <xdr:rowOff>0</xdr:rowOff>
    </xdr:from>
    <xdr:ext cx="79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</xdr:col>
      <xdr:colOff>0</xdr:colOff>
      <xdr:row>149</xdr:row>
      <xdr:rowOff>0</xdr:rowOff>
    </xdr:from>
    <xdr:ext cx="792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B077D7-0D9E-4060-BECD-0A67548C3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149</xdr:row>
      <xdr:rowOff>0</xdr:rowOff>
    </xdr:from>
    <xdr:ext cx="792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E4C615-7966-440A-8AEC-D0600F3E2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E6E7-2EC8-42CC-AC43-12C103E3E652}">
  <dimension ref="A1:P36"/>
  <sheetViews>
    <sheetView showGridLines="0" tabSelected="1" zoomScale="82" workbookViewId="0">
      <selection activeCell="D45" sqref="D45"/>
    </sheetView>
  </sheetViews>
  <sheetFormatPr defaultRowHeight="14.4" x14ac:dyDescent="0.3"/>
  <cols>
    <col min="1" max="1" width="24.5546875" bestFit="1" customWidth="1"/>
    <col min="3" max="3" width="9.5546875" bestFit="1" customWidth="1"/>
    <col min="4" max="4" width="9.5546875" customWidth="1"/>
    <col min="5" max="5" width="11" bestFit="1" customWidth="1"/>
    <col min="15" max="15" width="16.6640625" bestFit="1" customWidth="1"/>
    <col min="16" max="16" width="9.5546875" bestFit="1" customWidth="1"/>
  </cols>
  <sheetData>
    <row r="1" spans="1:16" ht="32.4" x14ac:dyDescent="0.3">
      <c r="A1" s="86" t="s">
        <v>543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6" ht="19.8" x14ac:dyDescent="0.3">
      <c r="A2" s="115" t="str">
        <f>"Target Price: $" &amp; ROUND(AVERAGE(E32:E34),3)</f>
        <v>Target Price: $120.889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O2" t="s">
        <v>549</v>
      </c>
      <c r="P2">
        <v>151.38999999999999</v>
      </c>
    </row>
    <row r="3" spans="1:16" ht="19.8" x14ac:dyDescent="0.3">
      <c r="A3" s="87" t="str">
        <f>"Target Downside: " &amp; ROUND(E36*100,2) &amp; "%"</f>
        <v>Target Downside: -20.61%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O3" t="s">
        <v>550</v>
      </c>
      <c r="P3">
        <v>589.6</v>
      </c>
    </row>
    <row r="4" spans="1:16" ht="15" thickBot="1" x14ac:dyDescent="0.35">
      <c r="A4" s="72"/>
      <c r="B4" s="73" t="s">
        <v>19</v>
      </c>
      <c r="C4" s="73" t="s">
        <v>20</v>
      </c>
      <c r="D4" s="73" t="s">
        <v>21</v>
      </c>
      <c r="E4" s="73" t="s">
        <v>22</v>
      </c>
      <c r="F4" s="73" t="s">
        <v>23</v>
      </c>
      <c r="G4" s="73" t="s">
        <v>24</v>
      </c>
      <c r="H4" s="73" t="s">
        <v>25</v>
      </c>
      <c r="I4" s="73" t="s">
        <v>26</v>
      </c>
      <c r="J4" s="73" t="s">
        <v>27</v>
      </c>
      <c r="K4" s="73" t="s">
        <v>28</v>
      </c>
      <c r="L4" s="73" t="s">
        <v>29</v>
      </c>
      <c r="M4" s="74" t="s">
        <v>30</v>
      </c>
      <c r="O4" s="89" t="s">
        <v>554</v>
      </c>
      <c r="P4" s="90">
        <f>P2*P3</f>
        <v>89259.543999999994</v>
      </c>
    </row>
    <row r="5" spans="1:16" ht="15" thickTop="1" x14ac:dyDescent="0.3">
      <c r="A5" s="62" t="s">
        <v>354</v>
      </c>
      <c r="B5" s="55">
        <f>Income_Statement!J11</f>
        <v>2272</v>
      </c>
      <c r="C5" s="55">
        <f>Income_Statement!K11</f>
        <v>3096</v>
      </c>
      <c r="D5" s="55">
        <f>Income_Statement!L11</f>
        <v>4095</v>
      </c>
      <c r="E5" s="55">
        <f>Income_Statement!M11</f>
        <v>2778</v>
      </c>
      <c r="F5" s="55">
        <f>Income_Statement!N11</f>
        <v>2678</v>
      </c>
      <c r="G5" s="55">
        <f>Income_Statement!O11</f>
        <v>3608</v>
      </c>
      <c r="H5" s="97">
        <f>Income_Statement!P11</f>
        <v>4608.6635514692789</v>
      </c>
      <c r="I5" s="97">
        <f>Income_Statement!Q11</f>
        <v>3078.7194436526247</v>
      </c>
      <c r="J5" s="97">
        <f>Income_Statement!R11</f>
        <v>2902.3259618992956</v>
      </c>
      <c r="K5" s="97">
        <f>Income_Statement!S11</f>
        <v>3859.8596716625461</v>
      </c>
      <c r="L5" s="97">
        <f>Income_Statement!T11</f>
        <v>4951.070884172078</v>
      </c>
      <c r="M5" s="98">
        <f>Income_Statement!U11</f>
        <v>3309.1926097535961</v>
      </c>
      <c r="O5" s="54" t="s">
        <v>551</v>
      </c>
      <c r="P5" s="54">
        <v>2476</v>
      </c>
    </row>
    <row r="6" spans="1:16" s="54" customFormat="1" x14ac:dyDescent="0.3">
      <c r="A6" s="64" t="s">
        <v>530</v>
      </c>
      <c r="B6" s="65">
        <f>Income_Statement!J12</f>
        <v>6.0690943043884227E-2</v>
      </c>
      <c r="C6" s="65">
        <f>Income_Statement!K12</f>
        <v>0.1266375545851528</v>
      </c>
      <c r="D6" s="65">
        <f>Income_Statement!L12</f>
        <v>9.726688102893899E-2</v>
      </c>
      <c r="E6" s="65">
        <f>Income_Statement!M12</f>
        <v>0.12016129032258061</v>
      </c>
      <c r="F6" s="65">
        <f>Income_Statement!N12</f>
        <v>0.17869718309859151</v>
      </c>
      <c r="G6" s="65">
        <f>Income_Statement!O12</f>
        <v>0.1653746770025839</v>
      </c>
      <c r="H6" s="99">
        <f>Income_Statement!P12</f>
        <v>0.12543676470556253</v>
      </c>
      <c r="I6" s="99">
        <f>Income_Statement!Q12</f>
        <v>0.10825033968776987</v>
      </c>
      <c r="J6" s="99">
        <f>Income_Statement!R12</f>
        <v>8.3766229237974388E-2</v>
      </c>
      <c r="K6" s="99">
        <f>Income_Statement!S12</f>
        <v>6.9805895693610287E-2</v>
      </c>
      <c r="L6" s="99">
        <f>Income_Statement!T12</f>
        <v>7.4296448173926111E-2</v>
      </c>
      <c r="M6" s="100">
        <f>Income_Statement!U12</f>
        <v>7.4860074235129304E-2</v>
      </c>
      <c r="O6" s="54" t="s">
        <v>552</v>
      </c>
      <c r="P6" s="54">
        <v>12069</v>
      </c>
    </row>
    <row r="7" spans="1:16" x14ac:dyDescent="0.3">
      <c r="A7" s="66" t="s">
        <v>542</v>
      </c>
      <c r="B7" s="67">
        <f>Income_Statement!J4</f>
        <v>143.1</v>
      </c>
      <c r="C7" s="67">
        <f>Income_Statement!K4</f>
        <v>134.4</v>
      </c>
      <c r="D7" s="67">
        <f>Income_Statement!L4</f>
        <v>133.6</v>
      </c>
      <c r="E7" s="67">
        <f>Income_Statement!M4</f>
        <v>121.9</v>
      </c>
      <c r="F7" s="67">
        <f>Income_Statement!N4</f>
        <v>156.19999999999999</v>
      </c>
      <c r="G7" s="67">
        <f>Income_Statement!O4</f>
        <v>148.30000000000001</v>
      </c>
      <c r="H7" s="101">
        <f>Income_Statement!P4</f>
        <v>145.8912</v>
      </c>
      <c r="I7" s="101">
        <f>Income_Statement!Q4</f>
        <v>130.76334900000001</v>
      </c>
      <c r="J7" s="101">
        <f>Income_Statement!R4</f>
        <v>168.41484</v>
      </c>
      <c r="K7" s="101">
        <f>Income_Statement!S4</f>
        <v>156.78276</v>
      </c>
      <c r="L7" s="101">
        <f>Income_Statement!T4</f>
        <v>154.78035081599998</v>
      </c>
      <c r="M7" s="102">
        <f>Income_Statement!U4</f>
        <v>138.51630796221002</v>
      </c>
      <c r="O7" s="89" t="s">
        <v>553</v>
      </c>
      <c r="P7" s="90">
        <f>P4+P5-P6</f>
        <v>79666.543999999994</v>
      </c>
    </row>
    <row r="8" spans="1:16" s="54" customFormat="1" x14ac:dyDescent="0.3">
      <c r="A8" s="64" t="s">
        <v>530</v>
      </c>
      <c r="B8" s="68">
        <f>Income_Statement!J5</f>
        <v>7.9185520361990891E-2</v>
      </c>
      <c r="C8" s="68">
        <f>Income_Statement!K5</f>
        <v>7.4340527577937854E-2</v>
      </c>
      <c r="D8" s="68">
        <f>Income_Statement!L5</f>
        <v>8.7947882736156391E-2</v>
      </c>
      <c r="E8" s="68">
        <f>Income_Statement!M5</f>
        <v>9.8198198198198305E-2</v>
      </c>
      <c r="F8" s="68">
        <f>Income_Statement!N5</f>
        <v>9.1544374563242492E-2</v>
      </c>
      <c r="G8" s="68">
        <f>Income_Statement!O5</f>
        <v>0.10342261904761907</v>
      </c>
      <c r="H8" s="103">
        <f>Income_Statement!P5</f>
        <v>9.2000000000000082E-2</v>
      </c>
      <c r="I8" s="103">
        <f>Income_Statement!Q5</f>
        <v>7.2710000000000052E-2</v>
      </c>
      <c r="J8" s="103">
        <f>Income_Statement!R5</f>
        <v>7.8200000000000047E-2</v>
      </c>
      <c r="K8" s="103">
        <f>Income_Statement!S5</f>
        <v>5.7199999999999918E-2</v>
      </c>
      <c r="L8" s="103">
        <f>Income_Statement!T5</f>
        <v>6.0929999999999929E-2</v>
      </c>
      <c r="M8" s="104">
        <f>Income_Statement!U5</f>
        <v>5.9290000000000065E-2</v>
      </c>
    </row>
    <row r="9" spans="1:16" x14ac:dyDescent="0.3">
      <c r="A9" s="66" t="s">
        <v>527</v>
      </c>
      <c r="B9" s="67">
        <f>Income_Statement!J9</f>
        <v>171.34</v>
      </c>
      <c r="C9" s="67">
        <f>Income_Statement!K9</f>
        <v>174.48</v>
      </c>
      <c r="D9" s="67">
        <f>Income_Statement!L9</f>
        <v>171.29</v>
      </c>
      <c r="E9" s="67">
        <f>Income_Statement!M9</f>
        <v>167.51</v>
      </c>
      <c r="F9" s="67">
        <f>Income_Statement!N9</f>
        <v>186.82</v>
      </c>
      <c r="G9" s="67">
        <f>Income_Statement!O9</f>
        <v>183.73</v>
      </c>
      <c r="H9" s="101">
        <f>Income_Statement!P9</f>
        <v>175.66233929374312</v>
      </c>
      <c r="I9" s="101">
        <f>Income_Statement!Q9</f>
        <v>170.95631606738019</v>
      </c>
      <c r="J9" s="101">
        <f>Income_Statement!R9</f>
        <v>187.90967275431007</v>
      </c>
      <c r="K9" s="101">
        <f>Income_Statement!S9</f>
        <v>185.59486497577498</v>
      </c>
      <c r="L9" s="101">
        <f>Income_Statement!T9</f>
        <v>177.87547451876307</v>
      </c>
      <c r="M9" s="102">
        <f>Income_Statement!U9</f>
        <v>173.46913364531758</v>
      </c>
      <c r="O9" s="89"/>
      <c r="P9" s="90"/>
    </row>
    <row r="10" spans="1:16" x14ac:dyDescent="0.3">
      <c r="A10" s="64" t="s">
        <v>530</v>
      </c>
      <c r="B10" s="69">
        <f>Income_Statement!J10</f>
        <v>-8.9079130032392317E-3</v>
      </c>
      <c r="C10" s="69">
        <f>Income_Statement!K10</f>
        <v>2.9198371969562764E-2</v>
      </c>
      <c r="D10" s="69">
        <f>Income_Statement!L10</f>
        <v>4.6748961134197131E-2</v>
      </c>
      <c r="E10" s="69">
        <f>Income_Statement!M10</f>
        <v>5.931828242585202E-2</v>
      </c>
      <c r="F10" s="69">
        <f>Income_Statement!N10</f>
        <v>9.0346679117544015E-2</v>
      </c>
      <c r="G10" s="69">
        <f>Income_Statement!O10</f>
        <v>5.3014672168729904E-2</v>
      </c>
      <c r="H10" s="105">
        <f>Income_Statement!P10</f>
        <v>2.5525946019867574E-2</v>
      </c>
      <c r="I10" s="105">
        <f>Income_Statement!Q10</f>
        <v>2.0573793011642305E-2</v>
      </c>
      <c r="J10" s="105">
        <f>Income_Statement!R10</f>
        <v>5.8327414319134796E-3</v>
      </c>
      <c r="K10" s="105">
        <f>Income_Statement!S10</f>
        <v>1.0150029803379867E-2</v>
      </c>
      <c r="L10" s="105">
        <f>Income_Statement!T10</f>
        <v>1.2598803100983158E-2</v>
      </c>
      <c r="M10" s="106">
        <f>Income_Statement!U10</f>
        <v>1.4698594563461453E-2</v>
      </c>
      <c r="P10" s="55"/>
    </row>
    <row r="11" spans="1:16" s="54" customFormat="1" x14ac:dyDescent="0.3">
      <c r="A11" s="75" t="s">
        <v>528</v>
      </c>
      <c r="B11" s="76">
        <f>Income_Statement!J13</f>
        <v>9.2663762603923505E-2</v>
      </c>
      <c r="C11" s="76">
        <f>Income_Statement!K13</f>
        <v>0.13202495578699155</v>
      </c>
      <c r="D11" s="76">
        <f>Income_Statement!L13</f>
        <v>0.17894329852758725</v>
      </c>
      <c r="E11" s="76">
        <f>Income_Statement!M13</f>
        <v>0.13604663275034232</v>
      </c>
      <c r="F11" s="76">
        <f>Income_Statement!N13</f>
        <v>9.1771150303050414E-2</v>
      </c>
      <c r="G11" s="76">
        <f>Income_Statement!O13</f>
        <v>0.13241747515768526</v>
      </c>
      <c r="H11" s="107">
        <f>Income_Statement!P13</f>
        <v>0.17983211242236169</v>
      </c>
      <c r="I11" s="107">
        <f>Income_Statement!Q13</f>
        <v>0.13772060725962201</v>
      </c>
      <c r="J11" s="107">
        <f>Income_Statement!R13</f>
        <v>9.171E-2</v>
      </c>
      <c r="K11" s="107">
        <f>Income_Statement!S13</f>
        <v>0.13264999999999999</v>
      </c>
      <c r="L11" s="107">
        <f>Income_Statement!T13</f>
        <v>0.17983211242236169</v>
      </c>
      <c r="M11" s="108">
        <f>Income_Statement!U13</f>
        <v>0.13772060725962201</v>
      </c>
      <c r="O11"/>
      <c r="P11" s="56"/>
    </row>
    <row r="12" spans="1:16" x14ac:dyDescent="0.3">
      <c r="A12" s="62"/>
      <c r="H12" s="109"/>
      <c r="I12" s="109"/>
      <c r="J12" s="109"/>
      <c r="K12" s="109"/>
      <c r="L12" s="109"/>
      <c r="M12" s="110"/>
      <c r="P12" s="58"/>
    </row>
    <row r="13" spans="1:16" x14ac:dyDescent="0.3">
      <c r="A13" s="62" t="s">
        <v>529</v>
      </c>
      <c r="B13" s="55">
        <f>Income_Statement!J20</f>
        <v>1880</v>
      </c>
      <c r="C13" s="55">
        <f>Income_Statement!K20</f>
        <v>2067</v>
      </c>
      <c r="D13" s="55">
        <f>Income_Statement!L20</f>
        <v>2067</v>
      </c>
      <c r="E13" s="55">
        <f>Income_Statement!M20</f>
        <v>2017</v>
      </c>
      <c r="F13" s="55">
        <f>Income_Statement!N20</f>
        <v>2179</v>
      </c>
      <c r="G13" s="55">
        <f>Income_Statement!O20</f>
        <v>2365</v>
      </c>
      <c r="H13" s="97">
        <f>Income_Statement!P20</f>
        <v>2397.2264373391949</v>
      </c>
      <c r="I13" s="97">
        <f>Income_Statement!Q20</f>
        <v>2287.7491091396464</v>
      </c>
      <c r="J13" s="97">
        <f>Income_Statement!R20</f>
        <v>2502.6488480159492</v>
      </c>
      <c r="K13" s="97">
        <f>Income_Statement!S20</f>
        <v>2665.7937539169898</v>
      </c>
      <c r="L13" s="97">
        <f>Income_Statement!T20</f>
        <v>2541.0786006150634</v>
      </c>
      <c r="M13" s="98">
        <f>Income_Statement!U20</f>
        <v>2500.753427124434</v>
      </c>
    </row>
    <row r="14" spans="1:16" x14ac:dyDescent="0.3">
      <c r="A14" s="62" t="s">
        <v>364</v>
      </c>
      <c r="B14" s="55">
        <f>Income_Statement!J23</f>
        <v>417</v>
      </c>
      <c r="C14" s="55">
        <f>Income_Statement!K23</f>
        <v>1043</v>
      </c>
      <c r="D14" s="55">
        <f>Income_Statement!L23</f>
        <v>2051</v>
      </c>
      <c r="E14" s="55">
        <f>Income_Statement!M23</f>
        <v>786</v>
      </c>
      <c r="F14" s="55">
        <f>Income_Statement!N23</f>
        <v>519</v>
      </c>
      <c r="G14" s="55">
        <f>Income_Statement!O23</f>
        <v>1261</v>
      </c>
      <c r="H14" s="97">
        <f>Income_Statement!P23</f>
        <v>2232.0710847299915</v>
      </c>
      <c r="I14" s="97">
        <f>Income_Statement!Q23</f>
        <v>811.60430511288587</v>
      </c>
      <c r="J14" s="97">
        <f>Income_Statement!R23</f>
        <v>420.31108448325398</v>
      </c>
      <c r="K14" s="97">
        <f>Income_Statement!S23</f>
        <v>1214.6998883454639</v>
      </c>
      <c r="L14" s="97">
        <f>Income_Statement!T23</f>
        <v>2430.6262541569222</v>
      </c>
      <c r="M14" s="98">
        <f>Income_Statement!U23</f>
        <v>829.0731532290697</v>
      </c>
    </row>
    <row r="15" spans="1:16" s="54" customFormat="1" x14ac:dyDescent="0.3">
      <c r="A15" s="64" t="s">
        <v>530</v>
      </c>
      <c r="B15" s="68">
        <f>Income_Statement!J23/Income_Statement!F23-1</f>
        <v>-1.650943396226412E-2</v>
      </c>
      <c r="C15" s="68">
        <f>Income_Statement!K23/Income_Statement!G23-1</f>
        <v>0.16666666666666674</v>
      </c>
      <c r="D15" s="68">
        <f>Income_Statement!L23/Income_Statement!H23-1</f>
        <v>4.7497446373850893E-2</v>
      </c>
      <c r="E15" s="68">
        <f>Income_Statement!M23/Income_Statement!I23-1</f>
        <v>2.7450980392156765E-2</v>
      </c>
      <c r="F15" s="68">
        <f>Income_Statement!N23/Income_Statement!J23-1</f>
        <v>0.24460431654676262</v>
      </c>
      <c r="G15" s="68">
        <f>Income_Statement!O23/Income_Statement!K23-1</f>
        <v>0.20901246404602114</v>
      </c>
      <c r="H15" s="103">
        <f>Income_Statement!P23/Income_Statement!L23-1</f>
        <v>8.8284292896144034E-2</v>
      </c>
      <c r="I15" s="103">
        <f>Income_Statement!Q23/Income_Statement!M23-1</f>
        <v>3.2575451797564714E-2</v>
      </c>
      <c r="J15" s="103">
        <f>Income_Statement!R23/Income_Statement!N23-1</f>
        <v>-0.19015205301877847</v>
      </c>
      <c r="K15" s="103">
        <f>Income_Statement!S23/Income_Statement!O23-1</f>
        <v>-3.6716979900504376E-2</v>
      </c>
      <c r="L15" s="103">
        <f>Income_Statement!T23/Income_Statement!P23-1</f>
        <v>8.8955576184505558E-2</v>
      </c>
      <c r="M15" s="104">
        <f>Income_Statement!U23/Income_Statement!Q23-1</f>
        <v>2.1523848513536503E-2</v>
      </c>
    </row>
    <row r="16" spans="1:16" s="54" customFormat="1" x14ac:dyDescent="0.3">
      <c r="A16" s="75" t="s">
        <v>531</v>
      </c>
      <c r="B16" s="76">
        <f>B14/B5</f>
        <v>0.18353873239436619</v>
      </c>
      <c r="C16" s="76">
        <f t="shared" ref="C16:M16" si="0">C14/C5</f>
        <v>0.33688630490956073</v>
      </c>
      <c r="D16" s="76">
        <f t="shared" si="0"/>
        <v>0.50085470085470085</v>
      </c>
      <c r="E16" s="76">
        <f t="shared" si="0"/>
        <v>0.28293736501079914</v>
      </c>
      <c r="F16" s="76">
        <f t="shared" si="0"/>
        <v>0.19380134428678117</v>
      </c>
      <c r="G16" s="76">
        <f t="shared" si="0"/>
        <v>0.3495011086474501</v>
      </c>
      <c r="H16" s="107">
        <f t="shared" si="0"/>
        <v>0.48432068425094504</v>
      </c>
      <c r="I16" s="107">
        <f t="shared" si="0"/>
        <v>0.26361749421051178</v>
      </c>
      <c r="J16" s="107">
        <f t="shared" si="0"/>
        <v>0.14481870403288555</v>
      </c>
      <c r="K16" s="107">
        <f t="shared" si="0"/>
        <v>0.31470053102274048</v>
      </c>
      <c r="L16" s="107">
        <f t="shared" si="0"/>
        <v>0.4909293991179392</v>
      </c>
      <c r="M16" s="108">
        <f t="shared" si="0"/>
        <v>0.25053638485273994</v>
      </c>
    </row>
    <row r="17" spans="1:13" x14ac:dyDescent="0.3">
      <c r="A17" s="62"/>
      <c r="H17" s="109"/>
      <c r="I17" s="109"/>
      <c r="J17" s="109"/>
      <c r="K17" s="109"/>
      <c r="L17" s="109"/>
      <c r="M17" s="110"/>
    </row>
    <row r="18" spans="1:13" x14ac:dyDescent="0.3">
      <c r="A18" s="62" t="s">
        <v>532</v>
      </c>
      <c r="B18" s="55">
        <f>Income_Statement!J27</f>
        <v>38</v>
      </c>
      <c r="C18" s="55">
        <f>Income_Statement!K27</f>
        <v>612</v>
      </c>
      <c r="D18" s="55">
        <f>Income_Statement!L27</f>
        <v>1625</v>
      </c>
      <c r="E18" s="55">
        <f>Income_Statement!M27</f>
        <v>269</v>
      </c>
      <c r="F18" s="55">
        <f>Income_Statement!N27</f>
        <v>86</v>
      </c>
      <c r="G18" s="55">
        <f>Income_Statement!O27</f>
        <v>758</v>
      </c>
      <c r="H18" s="97">
        <f>Income_Statement!P27</f>
        <v>1759.8579284690131</v>
      </c>
      <c r="I18" s="97">
        <f>Income_Statement!Q27</f>
        <v>325.80981995984519</v>
      </c>
      <c r="J18" s="97">
        <f>Income_Statement!R27</f>
        <v>-64.351623262114799</v>
      </c>
      <c r="K18" s="97">
        <f>Income_Statement!S27</f>
        <v>642.89032020936213</v>
      </c>
      <c r="L18" s="97">
        <f>Income_Statement!T27</f>
        <v>1898.9051634509597</v>
      </c>
      <c r="M18" s="98">
        <f>Income_Statement!U27</f>
        <v>281.98102131691019</v>
      </c>
    </row>
    <row r="19" spans="1:13" x14ac:dyDescent="0.3">
      <c r="A19" s="62" t="s">
        <v>533</v>
      </c>
      <c r="B19" s="55">
        <f>Income_Statement!J33</f>
        <v>154</v>
      </c>
      <c r="C19" s="55">
        <f>Income_Statement!K33</f>
        <v>642</v>
      </c>
      <c r="D19" s="55">
        <f>Income_Statement!L33</f>
        <v>1374</v>
      </c>
      <c r="E19" s="55">
        <f>Income_Statement!M33</f>
        <v>341</v>
      </c>
      <c r="F19" s="55">
        <f>Income_Statement!N33</f>
        <v>160</v>
      </c>
      <c r="G19" s="55">
        <f>Income_Statement!O33</f>
        <v>816</v>
      </c>
      <c r="H19" s="97">
        <f>Income_Statement!P33</f>
        <v>1565.880469851071</v>
      </c>
      <c r="I19" s="97">
        <f>Income_Statement!Q33</f>
        <v>374.40378666401676</v>
      </c>
      <c r="J19" s="97">
        <f>Income_Statement!R33</f>
        <v>66.250718385935457</v>
      </c>
      <c r="K19" s="97">
        <f>Income_Statement!S33</f>
        <v>668.19957535522474</v>
      </c>
      <c r="L19" s="97">
        <f>Income_Statement!T33</f>
        <v>1695.0031680219565</v>
      </c>
      <c r="M19" s="98">
        <f>Income_Statement!U33</f>
        <v>344.50482093091591</v>
      </c>
    </row>
    <row r="20" spans="1:13" x14ac:dyDescent="0.3">
      <c r="A20" s="70" t="s">
        <v>535</v>
      </c>
      <c r="B20" s="71">
        <f>Income_Statement!J35</f>
        <v>0.24</v>
      </c>
      <c r="C20" s="71">
        <f>Income_Statement!K35</f>
        <v>1.03</v>
      </c>
      <c r="D20" s="71">
        <f>Income_Statement!L35</f>
        <v>2.21</v>
      </c>
      <c r="E20" s="71">
        <f>Income_Statement!M35</f>
        <v>0.56000000000000005</v>
      </c>
      <c r="F20" s="71">
        <f>Income_Statement!N35</f>
        <v>0.26</v>
      </c>
      <c r="G20" s="71">
        <f>Income_Statement!O35</f>
        <v>1.37</v>
      </c>
      <c r="H20" s="111">
        <f>Income_Statement!P35</f>
        <v>2.6465176274500699</v>
      </c>
      <c r="I20" s="111">
        <f>Income_Statement!Q35</f>
        <v>0.63853116385201192</v>
      </c>
      <c r="J20" s="111">
        <f>Income_Statement!R35</f>
        <v>0.11402338996127336</v>
      </c>
      <c r="K20" s="111">
        <f>Income_Statement!S35</f>
        <v>1.1606666650932254</v>
      </c>
      <c r="L20" s="111">
        <f>Income_Statement!T35</f>
        <v>2.9717134908298002</v>
      </c>
      <c r="M20" s="112">
        <f>Income_Statement!U35</f>
        <v>0.6096838253184077</v>
      </c>
    </row>
    <row r="22" spans="1:13" x14ac:dyDescent="0.3">
      <c r="A22" s="59"/>
      <c r="B22" s="60" t="s">
        <v>538</v>
      </c>
      <c r="C22" s="60" t="s">
        <v>539</v>
      </c>
      <c r="D22" s="60" t="s">
        <v>538</v>
      </c>
      <c r="E22" s="60" t="s">
        <v>539</v>
      </c>
      <c r="F22" s="60" t="s">
        <v>538</v>
      </c>
      <c r="G22" s="60" t="s">
        <v>539</v>
      </c>
      <c r="H22" s="60" t="s">
        <v>538</v>
      </c>
      <c r="I22" s="60" t="s">
        <v>539</v>
      </c>
      <c r="J22" s="60" t="s">
        <v>538</v>
      </c>
      <c r="K22" s="61" t="s">
        <v>539</v>
      </c>
    </row>
    <row r="23" spans="1:13" ht="15" thickBot="1" x14ac:dyDescent="0.35">
      <c r="A23" s="81" t="s">
        <v>537</v>
      </c>
      <c r="B23" s="82" t="s">
        <v>280</v>
      </c>
      <c r="C23" s="82" t="s">
        <v>280</v>
      </c>
      <c r="D23" s="82" t="s">
        <v>281</v>
      </c>
      <c r="E23" s="82" t="s">
        <v>281</v>
      </c>
      <c r="F23" s="82" t="s">
        <v>282</v>
      </c>
      <c r="G23" s="82" t="s">
        <v>282</v>
      </c>
      <c r="H23" s="82" t="s">
        <v>283</v>
      </c>
      <c r="I23" s="82" t="s">
        <v>283</v>
      </c>
      <c r="J23" s="82" t="s">
        <v>540</v>
      </c>
      <c r="K23" s="83" t="s">
        <v>540</v>
      </c>
    </row>
    <row r="24" spans="1:13" ht="15" thickTop="1" x14ac:dyDescent="0.3">
      <c r="A24" s="62" t="s">
        <v>354</v>
      </c>
      <c r="B24" s="55">
        <f>H5</f>
        <v>4608.6635514692789</v>
      </c>
      <c r="C24" s="55">
        <f>Income_Statement!P38</f>
        <v>4744.32</v>
      </c>
      <c r="D24" s="55">
        <f>I5</f>
        <v>3078.7194436526247</v>
      </c>
      <c r="E24" s="55">
        <f>Income_Statement!Q38</f>
        <v>3161.82</v>
      </c>
      <c r="F24" s="55">
        <f>J5</f>
        <v>2902.3259618992956</v>
      </c>
      <c r="G24" s="55">
        <f>Income_Statement!R38</f>
        <v>3010.32</v>
      </c>
      <c r="H24" s="55">
        <f>L5</f>
        <v>4951.070884172078</v>
      </c>
      <c r="I24" s="55">
        <f>Income_Statement!T38</f>
        <v>5269.9672899999996</v>
      </c>
      <c r="J24" s="55">
        <f>SUM(J5:M5)</f>
        <v>15022.449127487516</v>
      </c>
      <c r="K24" s="63">
        <f>SUM(Income_Statement!R38:U38)</f>
        <v>15846.146649999999</v>
      </c>
    </row>
    <row r="25" spans="1:13" x14ac:dyDescent="0.3">
      <c r="A25" s="64" t="s">
        <v>541</v>
      </c>
      <c r="B25" s="84">
        <f>B24/C24-1</f>
        <v>-2.8593444061682405E-2</v>
      </c>
      <c r="C25" s="55"/>
      <c r="D25" s="84">
        <f>D24/E24-1</f>
        <v>-2.6282507020442436E-2</v>
      </c>
      <c r="E25" s="55"/>
      <c r="F25" s="84">
        <f>F24/G24-1</f>
        <v>-3.5874604062260618E-2</v>
      </c>
      <c r="G25" s="55"/>
      <c r="H25" s="84">
        <f>H24/I24-1</f>
        <v>-6.0512027547693137E-2</v>
      </c>
      <c r="I25" s="55"/>
      <c r="J25" s="84">
        <f>J24/K24-1</f>
        <v>-5.1980935220770741E-2</v>
      </c>
      <c r="K25" s="63"/>
    </row>
    <row r="26" spans="1:13" x14ac:dyDescent="0.3">
      <c r="A26" s="62" t="s">
        <v>526</v>
      </c>
      <c r="B26" s="88">
        <f>H7</f>
        <v>145.8912</v>
      </c>
      <c r="C26" s="88">
        <v>149</v>
      </c>
      <c r="D26" s="88">
        <f>I7</f>
        <v>130.76334900000001</v>
      </c>
      <c r="E26" s="88">
        <v>134</v>
      </c>
      <c r="F26" s="88">
        <f>J7</f>
        <v>168.41484</v>
      </c>
      <c r="G26" s="77"/>
      <c r="H26" s="88">
        <f>L7</f>
        <v>154.78035081599998</v>
      </c>
      <c r="I26" s="77"/>
      <c r="J26" s="88">
        <f>SUM(J7:M7)</f>
        <v>618.49425877821</v>
      </c>
      <c r="K26" s="77"/>
    </row>
    <row r="27" spans="1:13" x14ac:dyDescent="0.3">
      <c r="A27" s="62" t="s">
        <v>527</v>
      </c>
      <c r="B27" s="67">
        <f>H9</f>
        <v>175.66233929374312</v>
      </c>
      <c r="C27" s="67">
        <v>177.06</v>
      </c>
      <c r="D27" s="67">
        <f>I9</f>
        <v>170.95631606738019</v>
      </c>
      <c r="E27" s="67">
        <v>171.33</v>
      </c>
      <c r="F27" s="67">
        <f>J9</f>
        <v>187.90967275431007</v>
      </c>
      <c r="G27" s="77"/>
      <c r="H27" s="67">
        <f>K9</f>
        <v>185.59486497577498</v>
      </c>
      <c r="I27" s="77"/>
      <c r="J27" s="67">
        <v>181.56</v>
      </c>
      <c r="K27" s="78"/>
    </row>
    <row r="28" spans="1:13" x14ac:dyDescent="0.3">
      <c r="A28" s="62" t="s">
        <v>364</v>
      </c>
      <c r="B28" s="55">
        <f>H14</f>
        <v>2232.0710847299915</v>
      </c>
      <c r="C28" s="55">
        <f>Income_Statement!P40</f>
        <v>2361.52</v>
      </c>
      <c r="D28" s="55">
        <f>I14</f>
        <v>811.60430511288587</v>
      </c>
      <c r="E28" s="55">
        <f>Income_Statement!Q40</f>
        <v>913.68</v>
      </c>
      <c r="F28" s="55">
        <f>J14</f>
        <v>420.31108448325398</v>
      </c>
      <c r="G28" s="55">
        <f>Income_Statement!R40</f>
        <v>610.73</v>
      </c>
      <c r="H28" s="55">
        <f>K14</f>
        <v>1214.6998883454639</v>
      </c>
      <c r="I28" s="55">
        <f>Income_Statement!S40</f>
        <v>1451.71</v>
      </c>
      <c r="J28" s="55">
        <f>SUM(J14:M14)</f>
        <v>4894.7103802147103</v>
      </c>
      <c r="K28" s="63">
        <f>SUM(Income_Statement!R40:U40)</f>
        <v>5826.3888499999994</v>
      </c>
    </row>
    <row r="29" spans="1:13" x14ac:dyDescent="0.3">
      <c r="A29" s="70" t="s">
        <v>534</v>
      </c>
      <c r="B29" s="71">
        <f>H20</f>
        <v>2.6465176274500699</v>
      </c>
      <c r="C29" s="79">
        <v>2.85</v>
      </c>
      <c r="D29" s="71">
        <f>I20</f>
        <v>0.63853116385201192</v>
      </c>
      <c r="E29" s="79">
        <v>0.86</v>
      </c>
      <c r="F29" s="71">
        <f>J20</f>
        <v>0.11402338996127336</v>
      </c>
      <c r="G29" s="79">
        <v>0.39</v>
      </c>
      <c r="H29" s="71">
        <f>K20</f>
        <v>1.1606666650932254</v>
      </c>
      <c r="I29" s="79">
        <v>1.53</v>
      </c>
      <c r="J29" s="71">
        <f>SUM(J20:M20)</f>
        <v>4.8560873712027064</v>
      </c>
      <c r="K29" s="80">
        <v>6.24</v>
      </c>
    </row>
    <row r="31" spans="1:13" ht="15" thickBot="1" x14ac:dyDescent="0.35">
      <c r="A31" s="72" t="s">
        <v>545</v>
      </c>
      <c r="B31" s="95" t="s">
        <v>555</v>
      </c>
      <c r="C31" s="96" t="s">
        <v>536</v>
      </c>
      <c r="D31" s="96" t="s">
        <v>556</v>
      </c>
      <c r="E31" s="114" t="s">
        <v>544</v>
      </c>
    </row>
    <row r="32" spans="1:13" ht="15" thickTop="1" x14ac:dyDescent="0.3">
      <c r="A32" s="62" t="s">
        <v>546</v>
      </c>
      <c r="B32" s="91">
        <f>P7/SUM(H14:K14)</f>
        <v>17.027545303231076</v>
      </c>
      <c r="C32" s="92">
        <f>P7/SUM(C28,E28,G28,I28)</f>
        <v>14.925424719538972</v>
      </c>
      <c r="D32" s="92">
        <f>C32-1.5</f>
        <v>13.425424719538972</v>
      </c>
      <c r="E32" s="113">
        <f>(D32*SUM(H14:K14)+$P$6-$P$5)/$P$3</f>
        <v>122.8058879721525</v>
      </c>
    </row>
    <row r="33" spans="1:5" x14ac:dyDescent="0.3">
      <c r="A33" s="62" t="s">
        <v>547</v>
      </c>
      <c r="B33" s="91">
        <f>P7/D28</f>
        <v>98.159341317095638</v>
      </c>
      <c r="C33" s="92">
        <f>P7/E28</f>
        <v>87.19304789422992</v>
      </c>
      <c r="D33" s="92">
        <f>C33-10</f>
        <v>77.19304789422992</v>
      </c>
      <c r="E33" s="113">
        <f>(D33*D28+$P$6-$P$5)/$P$3</f>
        <v>122.52918927364685</v>
      </c>
    </row>
    <row r="34" spans="1:5" x14ac:dyDescent="0.3">
      <c r="A34" s="70" t="s">
        <v>548</v>
      </c>
      <c r="B34" s="93">
        <f>P7/J28</f>
        <v>16.276048593605523</v>
      </c>
      <c r="C34" s="94">
        <f>P7/K28</f>
        <v>13.673399776604338</v>
      </c>
      <c r="D34" s="94">
        <f>C34-1.5</f>
        <v>12.173399776604338</v>
      </c>
      <c r="E34" s="116">
        <f>(D34*J28+$P$6-$P$5)/$P$3</f>
        <v>117.330845062837</v>
      </c>
    </row>
    <row r="35" spans="1:5" x14ac:dyDescent="0.3">
      <c r="E35" s="56">
        <f>AVERAGE(E32:E34)-0.7</f>
        <v>120.18864076954546</v>
      </c>
    </row>
    <row r="36" spans="1:5" x14ac:dyDescent="0.3">
      <c r="E36" s="57">
        <f>E35/P2-1</f>
        <v>-0.20609920886752453</v>
      </c>
    </row>
  </sheetData>
  <pageMargins left="0.7" right="0.7" top="0.75" bottom="0.75" header="0.3" footer="0.3"/>
  <pageSetup orientation="portrait" r:id="rId1"/>
  <ignoredErrors>
    <ignoredError sqref="B2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58"/>
  <sheetViews>
    <sheetView zoomScale="55" zoomScaleNormal="55" workbookViewId="0">
      <pane xSplit="1" ySplit="3" topLeftCell="B4" activePane="bottomRight" state="frozen"/>
      <selection pane="topRight"/>
      <selection pane="bottomLeft"/>
      <selection pane="bottomRight" activeCell="H9" sqref="H9"/>
    </sheetView>
  </sheetViews>
  <sheetFormatPr defaultColWidth="8.77734375" defaultRowHeight="14.4" x14ac:dyDescent="0.3"/>
  <cols>
    <col min="1" max="1" width="52" customWidth="1"/>
    <col min="2" max="18" width="9.44140625" customWidth="1"/>
    <col min="19" max="21" width="9.6640625" customWidth="1"/>
    <col min="23" max="26" width="10" customWidth="1"/>
  </cols>
  <sheetData>
    <row r="1" spans="1:26" x14ac:dyDescent="0.3">
      <c r="A1" s="1" t="s">
        <v>346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 x14ac:dyDescent="0.3">
      <c r="A3" s="4" t="s">
        <v>1</v>
      </c>
      <c r="B3" s="6" t="s">
        <v>11</v>
      </c>
      <c r="C3" s="6" t="s">
        <v>12</v>
      </c>
      <c r="D3" s="6" t="s">
        <v>13</v>
      </c>
      <c r="E3" s="6" t="s">
        <v>14</v>
      </c>
      <c r="F3" s="6" t="s">
        <v>15</v>
      </c>
      <c r="G3" s="6" t="s">
        <v>16</v>
      </c>
      <c r="H3" s="6" t="s">
        <v>17</v>
      </c>
      <c r="I3" s="6" t="s">
        <v>18</v>
      </c>
      <c r="J3" s="6" t="s">
        <v>19</v>
      </c>
      <c r="K3" s="6" t="s">
        <v>20</v>
      </c>
      <c r="L3" s="6" t="s">
        <v>21</v>
      </c>
      <c r="M3" s="6" t="s">
        <v>22</v>
      </c>
      <c r="N3" s="6" t="s">
        <v>23</v>
      </c>
      <c r="O3" s="6" t="s">
        <v>24</v>
      </c>
      <c r="P3" s="6" t="s">
        <v>25</v>
      </c>
      <c r="Q3" s="6" t="s">
        <v>26</v>
      </c>
      <c r="R3" s="6" t="s">
        <v>27</v>
      </c>
      <c r="S3" s="6" t="s">
        <v>28</v>
      </c>
      <c r="T3" s="6" t="s">
        <v>29</v>
      </c>
      <c r="U3" s="6" t="s">
        <v>30</v>
      </c>
      <c r="V3" s="4"/>
      <c r="W3" s="6" t="s">
        <v>347</v>
      </c>
      <c r="X3" s="6" t="s">
        <v>348</v>
      </c>
      <c r="Y3" s="6" t="s">
        <v>349</v>
      </c>
      <c r="Z3" s="6" t="s">
        <v>350</v>
      </c>
    </row>
    <row r="4" spans="1:26" x14ac:dyDescent="0.3">
      <c r="A4" s="7" t="s">
        <v>32</v>
      </c>
      <c r="B4" s="26">
        <f>Nights_Engine!J6</f>
        <v>121.1</v>
      </c>
      <c r="C4" s="26">
        <f>Nights_Engine!K6</f>
        <v>115.1</v>
      </c>
      <c r="D4" s="26">
        <f>Nights_Engine!L6</f>
        <v>113.2</v>
      </c>
      <c r="E4" s="26">
        <f>Nights_Engine!M6</f>
        <v>98.8</v>
      </c>
      <c r="F4" s="26">
        <f>Nights_Engine!N6</f>
        <v>132.6</v>
      </c>
      <c r="G4" s="26">
        <f>Nights_Engine!O6</f>
        <v>125.1</v>
      </c>
      <c r="H4" s="26">
        <f>Nights_Engine!P6</f>
        <v>122.8</v>
      </c>
      <c r="I4" s="26">
        <f>Nights_Engine!Q6</f>
        <v>111</v>
      </c>
      <c r="J4" s="26">
        <f>Nights_Engine!R6</f>
        <v>143.1</v>
      </c>
      <c r="K4" s="26">
        <f>Nights_Engine!S6</f>
        <v>134.4</v>
      </c>
      <c r="L4" s="26">
        <f>Nights_Engine!T6</f>
        <v>133.6</v>
      </c>
      <c r="M4" s="26">
        <f>Nights_Engine!U6</f>
        <v>121.9</v>
      </c>
      <c r="N4" s="26">
        <f>Nights_Engine!V6</f>
        <v>156.19999999999999</v>
      </c>
      <c r="O4" s="26">
        <f>Nights_Engine!W6</f>
        <v>148.30000000000001</v>
      </c>
      <c r="P4" s="27">
        <f>Nights_Engine!X84</f>
        <v>145.8912</v>
      </c>
      <c r="Q4" s="27">
        <f>Nights_Engine!Y84</f>
        <v>130.76334900000001</v>
      </c>
      <c r="R4" s="27">
        <f>Nights_Engine!Z84</f>
        <v>168.41484</v>
      </c>
      <c r="S4" s="27">
        <f>Nights_Engine!AA84</f>
        <v>156.78276</v>
      </c>
      <c r="T4" s="27">
        <f>Nights_Engine!AB84</f>
        <v>154.78035081599998</v>
      </c>
      <c r="U4" s="27">
        <f>Nights_Engine!AC84</f>
        <v>138.51630796221002</v>
      </c>
      <c r="W4" s="21">
        <f>B4+C4+D4+E4</f>
        <v>448.2</v>
      </c>
      <c r="X4" s="21">
        <f>F4+G4+H4+I4</f>
        <v>491.5</v>
      </c>
      <c r="Y4" s="21">
        <f>J4+K4+L4+M4</f>
        <v>533</v>
      </c>
      <c r="Z4" s="28">
        <f>N4+O4+P4+Q4</f>
        <v>581.15454900000009</v>
      </c>
    </row>
    <row r="5" spans="1:26" x14ac:dyDescent="0.3">
      <c r="A5" s="7" t="s">
        <v>33</v>
      </c>
      <c r="B5" s="29">
        <f>Nights_Engine!J7</f>
        <v>0.18609206660137123</v>
      </c>
      <c r="C5" s="29">
        <f>Nights_Engine!K7</f>
        <v>0.10993249758919954</v>
      </c>
      <c r="D5" s="29">
        <f>Nights_Engine!L7</f>
        <v>0.13540621865596791</v>
      </c>
      <c r="E5" s="29">
        <f>Nights_Engine!M7</f>
        <v>0.1201814058956916</v>
      </c>
      <c r="F5" s="9">
        <f t="shared" ref="F5:S5" si="0">F4/B4-1</f>
        <v>9.4962840627580425E-2</v>
      </c>
      <c r="G5" s="9">
        <f t="shared" si="0"/>
        <v>8.6880973066898459E-2</v>
      </c>
      <c r="H5" s="9">
        <f t="shared" si="0"/>
        <v>8.4805653710247286E-2</v>
      </c>
      <c r="I5" s="9">
        <f t="shared" si="0"/>
        <v>0.12348178137651833</v>
      </c>
      <c r="J5" s="9">
        <f t="shared" si="0"/>
        <v>7.9185520361990891E-2</v>
      </c>
      <c r="K5" s="9">
        <f t="shared" si="0"/>
        <v>7.4340527577937854E-2</v>
      </c>
      <c r="L5" s="9">
        <f t="shared" si="0"/>
        <v>8.7947882736156391E-2</v>
      </c>
      <c r="M5" s="9">
        <f t="shared" si="0"/>
        <v>9.8198198198198305E-2</v>
      </c>
      <c r="N5" s="9">
        <f t="shared" si="0"/>
        <v>9.1544374563242492E-2</v>
      </c>
      <c r="O5" s="9">
        <f t="shared" si="0"/>
        <v>0.10342261904761907</v>
      </c>
      <c r="P5" s="9">
        <f t="shared" si="0"/>
        <v>9.2000000000000082E-2</v>
      </c>
      <c r="Q5" s="9">
        <f t="shared" si="0"/>
        <v>7.2710000000000052E-2</v>
      </c>
      <c r="R5" s="9">
        <f t="shared" si="0"/>
        <v>7.8200000000000047E-2</v>
      </c>
      <c r="S5" s="9">
        <f t="shared" si="0"/>
        <v>5.7199999999999918E-2</v>
      </c>
      <c r="T5" s="9">
        <f t="shared" ref="T5" si="1">T4/P4-1</f>
        <v>6.0929999999999929E-2</v>
      </c>
      <c r="U5" s="9">
        <f t="shared" ref="U5" si="2">U4/Q4-1</f>
        <v>5.9290000000000065E-2</v>
      </c>
      <c r="X5" s="9">
        <f>X4/W4-1</f>
        <v>9.6608656849620722E-2</v>
      </c>
      <c r="Y5" s="9">
        <f>Y4/X4-1</f>
        <v>8.4435401831129298E-2</v>
      </c>
      <c r="Z5" s="9">
        <f>Z4/Y4-1</f>
        <v>9.0346245778611722E-2</v>
      </c>
    </row>
    <row r="6" spans="1:26" x14ac:dyDescent="0.3">
      <c r="A6" s="4" t="s">
        <v>351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3">
      <c r="A7" s="7" t="s">
        <v>352</v>
      </c>
      <c r="B7" s="15">
        <f t="shared" ref="B7:U7" si="3">B4*B9/1000</f>
        <v>20.396872999999999</v>
      </c>
      <c r="C7" s="15">
        <f t="shared" si="3"/>
        <v>19.107750999999997</v>
      </c>
      <c r="D7" s="15">
        <f t="shared" si="3"/>
        <v>18.268215999999999</v>
      </c>
      <c r="E7" s="15">
        <f t="shared" si="3"/>
        <v>15.484923999999999</v>
      </c>
      <c r="F7" s="15">
        <f t="shared" si="3"/>
        <v>22.923887999999998</v>
      </c>
      <c r="G7" s="15">
        <f t="shared" si="3"/>
        <v>21.208202999999997</v>
      </c>
      <c r="H7" s="15">
        <f t="shared" si="3"/>
        <v>20.094991999999998</v>
      </c>
      <c r="I7" s="15">
        <f t="shared" si="3"/>
        <v>17.552430000000001</v>
      </c>
      <c r="J7" s="15">
        <f t="shared" si="3"/>
        <v>24.518754000000001</v>
      </c>
      <c r="K7" s="15">
        <f t="shared" si="3"/>
        <v>23.450112000000001</v>
      </c>
      <c r="L7" s="15">
        <f t="shared" si="3"/>
        <v>22.884343999999999</v>
      </c>
      <c r="M7" s="15">
        <f t="shared" si="3"/>
        <v>20.419468999999999</v>
      </c>
      <c r="N7" s="15">
        <f t="shared" si="3"/>
        <v>29.181283999999994</v>
      </c>
      <c r="O7" s="15">
        <f t="shared" si="3"/>
        <v>27.247159</v>
      </c>
      <c r="P7" s="15">
        <f t="shared" si="3"/>
        <v>25.627589474371337</v>
      </c>
      <c r="Q7" s="15">
        <f t="shared" si="3"/>
        <v>22.354820421673143</v>
      </c>
      <c r="R7" s="15">
        <f t="shared" si="3"/>
        <v>31.646777471369489</v>
      </c>
      <c r="S7" s="15">
        <f t="shared" si="3"/>
        <v>29.098075172729335</v>
      </c>
      <c r="T7" s="15">
        <f t="shared" si="3"/>
        <v>27.531628347576614</v>
      </c>
      <c r="U7" s="15">
        <f t="shared" si="3"/>
        <v>24.028303937952579</v>
      </c>
    </row>
    <row r="8" spans="1:26" x14ac:dyDescent="0.3">
      <c r="A8" s="7" t="s">
        <v>33</v>
      </c>
      <c r="F8" s="9">
        <f t="shared" ref="F8:S8" si="4">F7/B7-1</f>
        <v>0.12389227505608336</v>
      </c>
      <c r="G8" s="9">
        <f t="shared" si="4"/>
        <v>0.10992669937974386</v>
      </c>
      <c r="H8" s="9">
        <f t="shared" si="4"/>
        <v>9.99975038613512E-2</v>
      </c>
      <c r="I8" s="9">
        <f t="shared" si="4"/>
        <v>0.13351734887429867</v>
      </c>
      <c r="J8" s="9">
        <f t="shared" si="4"/>
        <v>6.9572229632250959E-2</v>
      </c>
      <c r="K8" s="9">
        <f t="shared" si="4"/>
        <v>0.10570952192413485</v>
      </c>
      <c r="L8" s="9">
        <f t="shared" si="4"/>
        <v>0.13880831602222088</v>
      </c>
      <c r="M8" s="9">
        <f t="shared" si="4"/>
        <v>0.1633414290784807</v>
      </c>
      <c r="N8" s="9">
        <f t="shared" si="4"/>
        <v>0.19016178391446781</v>
      </c>
      <c r="O8" s="9">
        <f t="shared" si="4"/>
        <v>0.16192020745998992</v>
      </c>
      <c r="P8" s="9">
        <f t="shared" si="4"/>
        <v>0.11987433305369555</v>
      </c>
      <c r="Q8" s="9">
        <f t="shared" si="4"/>
        <v>9.4779713501518703E-2</v>
      </c>
      <c r="R8" s="9">
        <f t="shared" si="4"/>
        <v>8.4488861811889304E-2</v>
      </c>
      <c r="S8" s="9">
        <f t="shared" si="4"/>
        <v>6.7930611508133287E-2</v>
      </c>
      <c r="T8" s="9">
        <f t="shared" ref="T8" si="5">T7/P7-1</f>
        <v>7.4296448173925889E-2</v>
      </c>
      <c r="U8" s="9">
        <f t="shared" ref="U8" si="6">U7/Q7-1</f>
        <v>7.4860074235129304E-2</v>
      </c>
    </row>
    <row r="9" spans="1:26" x14ac:dyDescent="0.3">
      <c r="A9" s="7" t="s">
        <v>353</v>
      </c>
      <c r="B9" s="19">
        <f>ADR_Engine!K6</f>
        <v>168.43</v>
      </c>
      <c r="C9" s="19">
        <f>ADR_Engine!L6</f>
        <v>166.01</v>
      </c>
      <c r="D9" s="19">
        <f>ADR_Engine!M6</f>
        <v>161.38</v>
      </c>
      <c r="E9" s="19">
        <f>ADR_Engine!N6</f>
        <v>156.72999999999999</v>
      </c>
      <c r="F9" s="19">
        <f>ADR_Engine!O6</f>
        <v>172.88</v>
      </c>
      <c r="G9" s="19">
        <f>ADR_Engine!P6</f>
        <v>169.53</v>
      </c>
      <c r="H9" s="19">
        <f>ADR_Engine!Q6</f>
        <v>163.63999999999999</v>
      </c>
      <c r="I9" s="19">
        <f>ADR_Engine!R6</f>
        <v>158.13</v>
      </c>
      <c r="J9" s="19">
        <f>ADR_Engine!S6</f>
        <v>171.34</v>
      </c>
      <c r="K9" s="19">
        <f>ADR_Engine!T6</f>
        <v>174.48</v>
      </c>
      <c r="L9" s="19">
        <f>ADR_Engine!U6</f>
        <v>171.29</v>
      </c>
      <c r="M9" s="19">
        <f>ADR_Engine!V6</f>
        <v>167.51</v>
      </c>
      <c r="N9" s="19">
        <f>ADR_Engine!W6</f>
        <v>186.82</v>
      </c>
      <c r="O9" s="19">
        <f>ADR_Engine!X6</f>
        <v>183.73</v>
      </c>
      <c r="P9" s="19">
        <f>ADR_Engine!Y6</f>
        <v>175.66233929374312</v>
      </c>
      <c r="Q9" s="19">
        <f>ADR_Engine!Z6</f>
        <v>170.95631606738019</v>
      </c>
      <c r="R9" s="19">
        <f>ADR_Engine!AA6</f>
        <v>187.90967275431007</v>
      </c>
      <c r="S9" s="19">
        <f>ADR_Engine!AB6</f>
        <v>185.59486497577498</v>
      </c>
      <c r="T9" s="19">
        <f>ADR_Engine!AC6</f>
        <v>177.87547451876307</v>
      </c>
      <c r="U9" s="19">
        <f>ADR_Engine!AD6</f>
        <v>173.46913364531758</v>
      </c>
    </row>
    <row r="10" spans="1:26" x14ac:dyDescent="0.3">
      <c r="A10" s="7" t="s">
        <v>33</v>
      </c>
      <c r="B10" s="29">
        <f>ADR_Engine!K7</f>
        <v>2.1419646575833173E-3</v>
      </c>
      <c r="C10" s="29">
        <f>ADR_Engine!L7</f>
        <v>1.3863442042262086E-2</v>
      </c>
      <c r="D10" s="29">
        <f>ADR_Engine!M7</f>
        <v>3.1577601636410213E-2</v>
      </c>
      <c r="E10" s="29">
        <f>ADR_Engine!N7</f>
        <v>2.5652771415483278E-2</v>
      </c>
      <c r="F10" s="9">
        <f t="shared" ref="F10:S10" si="7">F9/B9-1</f>
        <v>2.642047141245607E-2</v>
      </c>
      <c r="G10" s="9">
        <f t="shared" si="7"/>
        <v>2.1203541955304051E-2</v>
      </c>
      <c r="H10" s="9">
        <f t="shared" si="7"/>
        <v>1.4004213657206499E-2</v>
      </c>
      <c r="I10" s="9">
        <f t="shared" si="7"/>
        <v>8.9325591782045688E-3</v>
      </c>
      <c r="J10" s="9">
        <f t="shared" si="7"/>
        <v>-8.9079130032392317E-3</v>
      </c>
      <c r="K10" s="9">
        <f t="shared" si="7"/>
        <v>2.9198371969562764E-2</v>
      </c>
      <c r="L10" s="9">
        <f t="shared" si="7"/>
        <v>4.6748961134197131E-2</v>
      </c>
      <c r="M10" s="9">
        <f t="shared" si="7"/>
        <v>5.931828242585202E-2</v>
      </c>
      <c r="N10" s="9">
        <f t="shared" si="7"/>
        <v>9.0346679117544015E-2</v>
      </c>
      <c r="O10" s="9">
        <f t="shared" si="7"/>
        <v>5.3014672168729904E-2</v>
      </c>
      <c r="P10" s="9">
        <f t="shared" si="7"/>
        <v>2.5525946019867574E-2</v>
      </c>
      <c r="Q10" s="9">
        <f t="shared" si="7"/>
        <v>2.0573793011642305E-2</v>
      </c>
      <c r="R10" s="9">
        <f t="shared" si="7"/>
        <v>5.8327414319134796E-3</v>
      </c>
      <c r="S10" s="9">
        <f t="shared" si="7"/>
        <v>1.0150029803379867E-2</v>
      </c>
      <c r="T10" s="9">
        <f t="shared" ref="T10" si="8">T9/P9-1</f>
        <v>1.2598803100983158E-2</v>
      </c>
      <c r="U10" s="9">
        <f t="shared" ref="U10" si="9">U9/Q9-1</f>
        <v>1.4698594563461453E-2</v>
      </c>
    </row>
    <row r="11" spans="1:26" x14ac:dyDescent="0.3">
      <c r="A11" s="2" t="s">
        <v>354</v>
      </c>
      <c r="B11" s="30">
        <v>1818</v>
      </c>
      <c r="C11" s="30">
        <v>2484</v>
      </c>
      <c r="D11" s="30">
        <v>3397</v>
      </c>
      <c r="E11" s="30">
        <v>2218</v>
      </c>
      <c r="F11" s="30">
        <v>2142</v>
      </c>
      <c r="G11" s="30">
        <v>2748</v>
      </c>
      <c r="H11" s="30">
        <v>3732</v>
      </c>
      <c r="I11" s="30">
        <v>2480</v>
      </c>
      <c r="J11" s="30">
        <v>2272</v>
      </c>
      <c r="K11" s="30">
        <v>3096</v>
      </c>
      <c r="L11" s="30">
        <v>4095</v>
      </c>
      <c r="M11" s="30">
        <v>2778</v>
      </c>
      <c r="N11" s="30">
        <v>2678</v>
      </c>
      <c r="O11" s="30">
        <v>3608</v>
      </c>
      <c r="P11" s="31">
        <f t="shared" ref="P11:U11" si="10">P7*1000*P13</f>
        <v>4608.6635514692789</v>
      </c>
      <c r="Q11" s="31">
        <f t="shared" si="10"/>
        <v>3078.7194436526247</v>
      </c>
      <c r="R11" s="31">
        <f t="shared" si="10"/>
        <v>2902.3259618992956</v>
      </c>
      <c r="S11" s="31">
        <f t="shared" si="10"/>
        <v>3859.8596716625461</v>
      </c>
      <c r="T11" s="31">
        <f t="shared" si="10"/>
        <v>4951.070884172078</v>
      </c>
      <c r="U11" s="31">
        <f t="shared" si="10"/>
        <v>3309.1926097535961</v>
      </c>
      <c r="W11" s="31">
        <f>SUM(B11:E11)</f>
        <v>9917</v>
      </c>
      <c r="X11" s="31">
        <f>SUM(F11:I11)</f>
        <v>11102</v>
      </c>
      <c r="Y11" s="31">
        <f>SUM(J11:M11)</f>
        <v>12241</v>
      </c>
      <c r="Z11" s="31">
        <f>SUM(N11:Q11)</f>
        <v>13973.382995121903</v>
      </c>
    </row>
    <row r="12" spans="1:26" x14ac:dyDescent="0.3">
      <c r="A12" s="7" t="s">
        <v>33</v>
      </c>
      <c r="F12" s="32">
        <f t="shared" ref="F12:S12" si="11">F11/B11-1</f>
        <v>0.17821782178217815</v>
      </c>
      <c r="G12" s="32">
        <f t="shared" si="11"/>
        <v>0.106280193236715</v>
      </c>
      <c r="H12" s="32">
        <f t="shared" si="11"/>
        <v>9.8616426258463452E-2</v>
      </c>
      <c r="I12" s="32">
        <f t="shared" si="11"/>
        <v>0.11812443642921555</v>
      </c>
      <c r="J12" s="32">
        <f t="shared" si="11"/>
        <v>6.0690943043884227E-2</v>
      </c>
      <c r="K12" s="32">
        <f t="shared" si="11"/>
        <v>0.1266375545851528</v>
      </c>
      <c r="L12" s="32">
        <f t="shared" si="11"/>
        <v>9.726688102893899E-2</v>
      </c>
      <c r="M12" s="32">
        <f t="shared" si="11"/>
        <v>0.12016129032258061</v>
      </c>
      <c r="N12" s="32">
        <f t="shared" si="11"/>
        <v>0.17869718309859151</v>
      </c>
      <c r="O12" s="32">
        <f t="shared" si="11"/>
        <v>0.1653746770025839</v>
      </c>
      <c r="P12" s="32">
        <f t="shared" si="11"/>
        <v>0.12543676470556253</v>
      </c>
      <c r="Q12" s="32">
        <f t="shared" si="11"/>
        <v>0.10825033968776987</v>
      </c>
      <c r="R12" s="32">
        <f t="shared" si="11"/>
        <v>8.3766229237974388E-2</v>
      </c>
      <c r="S12" s="32">
        <f t="shared" si="11"/>
        <v>6.9805895693610287E-2</v>
      </c>
      <c r="T12" s="32">
        <f t="shared" ref="T12" si="12">T11/P11-1</f>
        <v>7.4296448173926111E-2</v>
      </c>
      <c r="U12" s="32">
        <f t="shared" ref="U12" si="13">U11/Q11-1</f>
        <v>7.4860074235129304E-2</v>
      </c>
      <c r="X12" s="32">
        <f>X11/W11-1</f>
        <v>0.11949178178884745</v>
      </c>
      <c r="Y12" s="32">
        <f>Y11/X11-1</f>
        <v>0.10259412718429117</v>
      </c>
      <c r="Z12" s="32">
        <f>Z11/Y11-1</f>
        <v>0.14152299608871033</v>
      </c>
    </row>
    <row r="13" spans="1:26" x14ac:dyDescent="0.3">
      <c r="A13" s="7" t="s">
        <v>355</v>
      </c>
      <c r="B13" s="33">
        <f t="shared" ref="B13:O13" si="14">B11/(B7*1000)</f>
        <v>8.913130949043023E-2</v>
      </c>
      <c r="C13" s="33">
        <f t="shared" si="14"/>
        <v>0.12999960068560662</v>
      </c>
      <c r="D13" s="33">
        <f t="shared" si="14"/>
        <v>0.18595138134999059</v>
      </c>
      <c r="E13" s="33">
        <f t="shared" si="14"/>
        <v>0.14323609208543744</v>
      </c>
      <c r="F13" s="33">
        <f t="shared" si="14"/>
        <v>9.3439646887124916E-2</v>
      </c>
      <c r="G13" s="33">
        <f t="shared" si="14"/>
        <v>0.12957250550647786</v>
      </c>
      <c r="H13" s="33">
        <f t="shared" si="14"/>
        <v>0.18571791419474068</v>
      </c>
      <c r="I13" s="33">
        <f t="shared" si="14"/>
        <v>0.1412909779443644</v>
      </c>
      <c r="J13" s="33">
        <f t="shared" si="14"/>
        <v>9.2663762603923505E-2</v>
      </c>
      <c r="K13" s="33">
        <f t="shared" si="14"/>
        <v>0.13202495578699155</v>
      </c>
      <c r="L13" s="33">
        <f t="shared" si="14"/>
        <v>0.17894329852758725</v>
      </c>
      <c r="M13" s="33">
        <f t="shared" si="14"/>
        <v>0.13604663275034232</v>
      </c>
      <c r="N13" s="33">
        <f t="shared" si="14"/>
        <v>9.1771150303050414E-2</v>
      </c>
      <c r="O13" s="33">
        <f t="shared" si="14"/>
        <v>0.13241747515768526</v>
      </c>
      <c r="P13" s="34">
        <v>0.17983211242236169</v>
      </c>
      <c r="Q13" s="34">
        <v>0.13772060725962201</v>
      </c>
      <c r="R13" s="34">
        <v>9.171E-2</v>
      </c>
      <c r="S13" s="34">
        <v>0.13264999999999999</v>
      </c>
      <c r="T13" s="34">
        <v>0.17983211242236169</v>
      </c>
      <c r="U13" s="34">
        <v>0.13772060725962201</v>
      </c>
      <c r="W13" s="33">
        <f>W11/(SUM(B7:E7)*1000)</f>
        <v>0.13537131709343467</v>
      </c>
      <c r="X13" s="33">
        <f>X11/(SUM(F7:I7)*1000)</f>
        <v>0.13575527161674344</v>
      </c>
      <c r="Y13" s="33">
        <f>Y11/(SUM(J7:M7)*1000)</f>
        <v>0.13411461276380415</v>
      </c>
      <c r="Z13" s="33">
        <f>Z11/(SUM(N7:Q7)*1000)</f>
        <v>0.13383075233600811</v>
      </c>
    </row>
    <row r="15" spans="1:26" x14ac:dyDescent="0.3">
      <c r="A15" s="7" t="s">
        <v>356</v>
      </c>
      <c r="B15" s="30">
        <v>428</v>
      </c>
      <c r="C15" s="30">
        <v>432</v>
      </c>
      <c r="D15" s="30">
        <v>459</v>
      </c>
      <c r="E15" s="30">
        <v>384</v>
      </c>
      <c r="F15" s="30">
        <v>480</v>
      </c>
      <c r="G15" s="30">
        <v>506</v>
      </c>
      <c r="H15" s="30">
        <v>465</v>
      </c>
      <c r="I15" s="30">
        <v>427</v>
      </c>
      <c r="J15" s="30">
        <v>506</v>
      </c>
      <c r="K15" s="30">
        <v>544</v>
      </c>
      <c r="L15" s="30">
        <v>549</v>
      </c>
      <c r="M15" s="30">
        <v>487</v>
      </c>
      <c r="N15" s="30">
        <v>581</v>
      </c>
      <c r="O15" s="30">
        <v>633</v>
      </c>
      <c r="P15" s="50">
        <f t="shared" ref="P15:U15" si="15">P134</f>
        <v>633.27717821253111</v>
      </c>
      <c r="Q15" s="50">
        <f t="shared" si="15"/>
        <v>566.40061210183637</v>
      </c>
      <c r="R15" s="50">
        <f t="shared" si="15"/>
        <v>691.12654416733494</v>
      </c>
      <c r="S15" s="50">
        <f t="shared" si="15"/>
        <v>717.40140113786106</v>
      </c>
      <c r="T15" s="50">
        <f t="shared" si="15"/>
        <v>683.71492600396505</v>
      </c>
      <c r="U15" s="50">
        <f t="shared" si="15"/>
        <v>612.03993631461162</v>
      </c>
      <c r="W15" s="31">
        <f t="shared" ref="W15:W20" si="16">SUM(B15:E15)</f>
        <v>1703</v>
      </c>
      <c r="X15" s="31">
        <f t="shared" ref="X15:X20" si="17">SUM(F15:I15)</f>
        <v>1878</v>
      </c>
      <c r="Y15" s="31">
        <f t="shared" ref="Y15:Y20" si="18">SUM(J15:M15)</f>
        <v>2086</v>
      </c>
      <c r="Z15" s="31">
        <f t="shared" ref="Z15:Z20" si="19">SUM(N15:Q15)</f>
        <v>2413.6777903143675</v>
      </c>
    </row>
    <row r="16" spans="1:26" x14ac:dyDescent="0.3">
      <c r="A16" s="7" t="s">
        <v>357</v>
      </c>
      <c r="B16" s="30">
        <v>267</v>
      </c>
      <c r="C16" s="30">
        <v>298</v>
      </c>
      <c r="D16" s="30">
        <v>299</v>
      </c>
      <c r="E16" s="30">
        <v>254</v>
      </c>
      <c r="F16" s="30">
        <v>266</v>
      </c>
      <c r="G16" s="30">
        <v>314</v>
      </c>
      <c r="H16" s="30">
        <v>347</v>
      </c>
      <c r="I16" s="30">
        <v>265</v>
      </c>
      <c r="J16" s="30">
        <v>282</v>
      </c>
      <c r="K16" s="30">
        <v>309</v>
      </c>
      <c r="L16" s="30">
        <v>343</v>
      </c>
      <c r="M16" s="30">
        <v>303</v>
      </c>
      <c r="N16" s="30">
        <v>301</v>
      </c>
      <c r="O16" s="30">
        <v>323</v>
      </c>
      <c r="P16" s="50">
        <f t="shared" ref="P16:U17" si="20">P139</f>
        <v>360.99950856986305</v>
      </c>
      <c r="Q16" s="50">
        <f t="shared" si="20"/>
        <v>317.80491971695898</v>
      </c>
      <c r="R16" s="50">
        <f t="shared" si="20"/>
        <v>318.8581381125</v>
      </c>
      <c r="S16" s="50">
        <f t="shared" si="20"/>
        <v>340.83264427500001</v>
      </c>
      <c r="T16" s="50">
        <f t="shared" si="20"/>
        <v>381.19425585804436</v>
      </c>
      <c r="U16" s="50">
        <f t="shared" si="20"/>
        <v>335.48105674381924</v>
      </c>
      <c r="W16" s="31">
        <f t="shared" si="16"/>
        <v>1118</v>
      </c>
      <c r="X16" s="31">
        <f t="shared" si="17"/>
        <v>1192</v>
      </c>
      <c r="Y16" s="31">
        <f t="shared" si="18"/>
        <v>1237</v>
      </c>
      <c r="Z16" s="31">
        <f t="shared" si="19"/>
        <v>1302.804428286822</v>
      </c>
    </row>
    <row r="17" spans="1:26" x14ac:dyDescent="0.3">
      <c r="A17" s="7" t="s">
        <v>358</v>
      </c>
      <c r="B17" s="30">
        <v>271</v>
      </c>
      <c r="C17" s="30">
        <v>260</v>
      </c>
      <c r="D17" s="30">
        <v>244</v>
      </c>
      <c r="E17" s="30">
        <v>253</v>
      </c>
      <c r="F17" s="30">
        <v>290</v>
      </c>
      <c r="G17" s="30">
        <v>280</v>
      </c>
      <c r="H17" s="30">
        <v>294</v>
      </c>
      <c r="I17" s="30">
        <v>306</v>
      </c>
      <c r="J17" s="30">
        <v>338</v>
      </c>
      <c r="K17" s="30">
        <v>331</v>
      </c>
      <c r="L17" s="30">
        <v>333</v>
      </c>
      <c r="M17" s="30">
        <v>335</v>
      </c>
      <c r="N17" s="30">
        <v>375</v>
      </c>
      <c r="O17" s="30">
        <v>374</v>
      </c>
      <c r="P17" s="50">
        <f t="shared" si="20"/>
        <v>359.09488166867231</v>
      </c>
      <c r="Q17" s="50">
        <f t="shared" si="20"/>
        <v>369.02511833132769</v>
      </c>
      <c r="R17" s="50">
        <f t="shared" si="20"/>
        <v>414.12379008000005</v>
      </c>
      <c r="S17" s="50">
        <f t="shared" si="20"/>
        <v>400.79641536000003</v>
      </c>
      <c r="T17" s="50">
        <f t="shared" si="20"/>
        <v>399.65871264000003</v>
      </c>
      <c r="U17" s="50">
        <f t="shared" si="20"/>
        <v>410.71068191999996</v>
      </c>
      <c r="W17" s="31">
        <f t="shared" si="16"/>
        <v>1028</v>
      </c>
      <c r="X17" s="31">
        <f t="shared" si="17"/>
        <v>1170</v>
      </c>
      <c r="Y17" s="31">
        <f t="shared" si="18"/>
        <v>1337</v>
      </c>
      <c r="Z17" s="31">
        <f t="shared" si="19"/>
        <v>1477.12</v>
      </c>
    </row>
    <row r="18" spans="1:26" x14ac:dyDescent="0.3">
      <c r="A18" s="7" t="s">
        <v>359</v>
      </c>
      <c r="B18" s="30">
        <v>422</v>
      </c>
      <c r="C18" s="30">
        <v>450</v>
      </c>
      <c r="D18" s="30">
        <v>370</v>
      </c>
      <c r="E18" s="30">
        <v>391</v>
      </c>
      <c r="F18" s="30">
        <v>479</v>
      </c>
      <c r="G18" s="30">
        <v>527</v>
      </c>
      <c r="H18" s="30">
        <v>471</v>
      </c>
      <c r="I18" s="30">
        <v>501</v>
      </c>
      <c r="J18" s="30">
        <v>519</v>
      </c>
      <c r="K18" s="30">
        <v>639</v>
      </c>
      <c r="L18" s="30">
        <v>585</v>
      </c>
      <c r="M18" s="30">
        <v>633</v>
      </c>
      <c r="N18" s="30">
        <v>696</v>
      </c>
      <c r="O18" s="30">
        <v>808</v>
      </c>
      <c r="P18" s="50">
        <f t="shared" ref="P18:U19" si="21">P143</f>
        <v>778.4657982858148</v>
      </c>
      <c r="Q18" s="50">
        <f t="shared" si="21"/>
        <v>758.10752959183674</v>
      </c>
      <c r="R18" s="50">
        <f t="shared" si="21"/>
        <v>829.31313165611414</v>
      </c>
      <c r="S18" s="50">
        <f t="shared" si="21"/>
        <v>935.18289314412857</v>
      </c>
      <c r="T18" s="50">
        <f t="shared" si="21"/>
        <v>819.97168211305382</v>
      </c>
      <c r="U18" s="50">
        <f t="shared" si="21"/>
        <v>875.32842014600271</v>
      </c>
      <c r="W18" s="31">
        <f t="shared" si="16"/>
        <v>1633</v>
      </c>
      <c r="X18" s="31">
        <f t="shared" si="17"/>
        <v>1978</v>
      </c>
      <c r="Y18" s="31">
        <f t="shared" si="18"/>
        <v>2376</v>
      </c>
      <c r="Z18" s="31">
        <f t="shared" si="19"/>
        <v>3040.5733278776515</v>
      </c>
    </row>
    <row r="19" spans="1:26" x14ac:dyDescent="0.3">
      <c r="A19" s="7" t="s">
        <v>360</v>
      </c>
      <c r="B19" s="30">
        <v>191</v>
      </c>
      <c r="C19" s="30">
        <v>219</v>
      </c>
      <c r="D19" s="30">
        <v>202</v>
      </c>
      <c r="E19" s="30">
        <v>211</v>
      </c>
      <c r="F19" s="30">
        <v>223</v>
      </c>
      <c r="G19" s="30">
        <v>242</v>
      </c>
      <c r="H19" s="30">
        <v>210</v>
      </c>
      <c r="I19" s="30">
        <v>226</v>
      </c>
      <c r="J19" s="30">
        <v>235</v>
      </c>
      <c r="K19" s="30">
        <v>244</v>
      </c>
      <c r="L19" s="30">
        <v>257</v>
      </c>
      <c r="M19" s="30">
        <v>259</v>
      </c>
      <c r="N19" s="30">
        <v>226</v>
      </c>
      <c r="O19" s="30">
        <v>227</v>
      </c>
      <c r="P19" s="50">
        <f t="shared" si="21"/>
        <v>265.38907060231355</v>
      </c>
      <c r="Q19" s="50">
        <f t="shared" si="21"/>
        <v>276.41092939768652</v>
      </c>
      <c r="R19" s="50">
        <f t="shared" si="21"/>
        <v>249.22724400000004</v>
      </c>
      <c r="S19" s="50">
        <f t="shared" si="21"/>
        <v>271.58040000000005</v>
      </c>
      <c r="T19" s="50">
        <f t="shared" si="21"/>
        <v>256.53902400000004</v>
      </c>
      <c r="U19" s="50">
        <f t="shared" si="21"/>
        <v>267.19333200000005</v>
      </c>
      <c r="W19" s="31">
        <f t="shared" si="16"/>
        <v>823</v>
      </c>
      <c r="X19" s="31">
        <f t="shared" si="17"/>
        <v>901</v>
      </c>
      <c r="Y19" s="31">
        <f t="shared" si="18"/>
        <v>995</v>
      </c>
      <c r="Z19" s="31">
        <f t="shared" si="19"/>
        <v>994.8</v>
      </c>
    </row>
    <row r="20" spans="1:26" x14ac:dyDescent="0.3">
      <c r="A20" s="2" t="s">
        <v>361</v>
      </c>
      <c r="B20" s="31">
        <f t="shared" ref="B20:S20" si="22">SUM(B15:B19)</f>
        <v>1579</v>
      </c>
      <c r="C20" s="31">
        <f t="shared" si="22"/>
        <v>1659</v>
      </c>
      <c r="D20" s="31">
        <f t="shared" si="22"/>
        <v>1574</v>
      </c>
      <c r="E20" s="31">
        <f t="shared" si="22"/>
        <v>1493</v>
      </c>
      <c r="F20" s="31">
        <f t="shared" si="22"/>
        <v>1738</v>
      </c>
      <c r="G20" s="31">
        <f t="shared" si="22"/>
        <v>1869</v>
      </c>
      <c r="H20" s="31">
        <f t="shared" si="22"/>
        <v>1787</v>
      </c>
      <c r="I20" s="31">
        <f t="shared" si="22"/>
        <v>1725</v>
      </c>
      <c r="J20" s="31">
        <f t="shared" si="22"/>
        <v>1880</v>
      </c>
      <c r="K20" s="31">
        <f t="shared" si="22"/>
        <v>2067</v>
      </c>
      <c r="L20" s="31">
        <f t="shared" si="22"/>
        <v>2067</v>
      </c>
      <c r="M20" s="31">
        <f t="shared" si="22"/>
        <v>2017</v>
      </c>
      <c r="N20" s="31">
        <f t="shared" si="22"/>
        <v>2179</v>
      </c>
      <c r="O20" s="31">
        <f t="shared" si="22"/>
        <v>2365</v>
      </c>
      <c r="P20" s="31">
        <f t="shared" si="22"/>
        <v>2397.2264373391949</v>
      </c>
      <c r="Q20" s="31">
        <f t="shared" si="22"/>
        <v>2287.7491091396464</v>
      </c>
      <c r="R20" s="31">
        <f t="shared" si="22"/>
        <v>2502.6488480159492</v>
      </c>
      <c r="S20" s="31">
        <f t="shared" si="22"/>
        <v>2665.7937539169898</v>
      </c>
      <c r="T20" s="31">
        <f>SUM(T15:T19)</f>
        <v>2541.0786006150634</v>
      </c>
      <c r="U20" s="31">
        <f>SUM(U15:U19)</f>
        <v>2500.753427124434</v>
      </c>
      <c r="W20" s="31">
        <f t="shared" si="16"/>
        <v>6305</v>
      </c>
      <c r="X20" s="31">
        <f t="shared" si="17"/>
        <v>7119</v>
      </c>
      <c r="Y20" s="31">
        <f t="shared" si="18"/>
        <v>8031</v>
      </c>
      <c r="Z20" s="31">
        <f t="shared" si="19"/>
        <v>9228.9755464788414</v>
      </c>
    </row>
    <row r="21" spans="1:26" x14ac:dyDescent="0.3">
      <c r="A21" s="7" t="s">
        <v>362</v>
      </c>
      <c r="B21" s="9">
        <f t="shared" ref="B21:S21" si="23">B20/B11</f>
        <v>0.86853685368536848</v>
      </c>
      <c r="C21" s="9">
        <f t="shared" si="23"/>
        <v>0.66787439613526567</v>
      </c>
      <c r="D21" s="9">
        <f t="shared" si="23"/>
        <v>0.46335001471886961</v>
      </c>
      <c r="E21" s="9">
        <f t="shared" si="23"/>
        <v>0.67312894499549147</v>
      </c>
      <c r="F21" s="9">
        <f t="shared" si="23"/>
        <v>0.81139122315592904</v>
      </c>
      <c r="G21" s="9">
        <f t="shared" si="23"/>
        <v>0.68013100436681218</v>
      </c>
      <c r="H21" s="9">
        <f t="shared" si="23"/>
        <v>0.47883172561629156</v>
      </c>
      <c r="I21" s="9">
        <f t="shared" si="23"/>
        <v>0.69556451612903225</v>
      </c>
      <c r="J21" s="9">
        <f t="shared" si="23"/>
        <v>0.82746478873239437</v>
      </c>
      <c r="K21" s="9">
        <f t="shared" si="23"/>
        <v>0.66763565891472865</v>
      </c>
      <c r="L21" s="9">
        <f t="shared" si="23"/>
        <v>0.50476190476190474</v>
      </c>
      <c r="M21" s="9">
        <f t="shared" si="23"/>
        <v>0.72606191504679629</v>
      </c>
      <c r="N21" s="9">
        <f t="shared" si="23"/>
        <v>0.81366691560866322</v>
      </c>
      <c r="O21" s="9">
        <f t="shared" si="23"/>
        <v>0.65548780487804881</v>
      </c>
      <c r="P21" s="9">
        <f t="shared" si="23"/>
        <v>0.52015652923393374</v>
      </c>
      <c r="Q21" s="9">
        <f t="shared" si="23"/>
        <v>0.74308463340376252</v>
      </c>
      <c r="R21" s="9">
        <f t="shared" si="23"/>
        <v>0.86229075605904859</v>
      </c>
      <c r="S21" s="9">
        <f t="shared" si="23"/>
        <v>0.69064525155878531</v>
      </c>
      <c r="T21" s="9">
        <f>T20/T11</f>
        <v>0.51323817817647432</v>
      </c>
      <c r="U21" s="9">
        <f>U20/U11</f>
        <v>0.75569896407771842</v>
      </c>
      <c r="W21" s="9">
        <f>W20/W11</f>
        <v>0.63577694867399415</v>
      </c>
      <c r="X21" s="9">
        <f>X20/X11</f>
        <v>0.64123581336696089</v>
      </c>
      <c r="Y21" s="9">
        <f>Y20/Y11</f>
        <v>0.65607385017563924</v>
      </c>
      <c r="Z21" s="9">
        <f>Z20/Z11</f>
        <v>0.66046823090018136</v>
      </c>
    </row>
    <row r="22" spans="1:26" x14ac:dyDescent="0.3">
      <c r="A22" s="7" t="s">
        <v>363</v>
      </c>
      <c r="B22" s="30">
        <v>11</v>
      </c>
      <c r="C22" s="30">
        <v>9</v>
      </c>
      <c r="D22" s="30">
        <v>8</v>
      </c>
      <c r="E22" s="30">
        <v>16</v>
      </c>
      <c r="F22" s="30">
        <v>14</v>
      </c>
      <c r="G22" s="30">
        <v>14</v>
      </c>
      <c r="H22" s="30">
        <v>15</v>
      </c>
      <c r="I22" s="30">
        <v>22</v>
      </c>
      <c r="J22" s="30">
        <v>25</v>
      </c>
      <c r="K22" s="30">
        <v>21</v>
      </c>
      <c r="L22" s="30">
        <v>22</v>
      </c>
      <c r="M22" s="30">
        <v>23</v>
      </c>
      <c r="N22" s="30">
        <v>22</v>
      </c>
      <c r="O22" s="30">
        <v>17</v>
      </c>
      <c r="P22" s="50">
        <f t="shared" ref="P22:U22" si="24">$B$86</f>
        <v>20.633970599907517</v>
      </c>
      <c r="Q22" s="50">
        <f t="shared" si="24"/>
        <v>20.633970599907517</v>
      </c>
      <c r="R22" s="50">
        <f t="shared" si="24"/>
        <v>20.633970599907517</v>
      </c>
      <c r="S22" s="50">
        <f t="shared" si="24"/>
        <v>20.633970599907517</v>
      </c>
      <c r="T22" s="50">
        <f t="shared" si="24"/>
        <v>20.633970599907517</v>
      </c>
      <c r="U22" s="50">
        <f t="shared" si="24"/>
        <v>20.633970599907517</v>
      </c>
      <c r="W22" s="31">
        <f>SUM(B22:E22)</f>
        <v>44</v>
      </c>
      <c r="X22" s="31">
        <f>SUM(F22:I22)</f>
        <v>65</v>
      </c>
      <c r="Y22" s="31">
        <f>SUM(J22:M22)</f>
        <v>91</v>
      </c>
      <c r="Z22" s="31">
        <f>SUM(N22:Q22)</f>
        <v>80.267941199815027</v>
      </c>
    </row>
    <row r="23" spans="1:26" x14ac:dyDescent="0.3">
      <c r="A23" s="2" t="s">
        <v>364</v>
      </c>
      <c r="B23" s="30">
        <v>262</v>
      </c>
      <c r="C23" s="30">
        <v>819</v>
      </c>
      <c r="D23" s="30">
        <v>1834</v>
      </c>
      <c r="E23" s="30">
        <v>738</v>
      </c>
      <c r="F23" s="30">
        <v>424</v>
      </c>
      <c r="G23" s="30">
        <v>894</v>
      </c>
      <c r="H23" s="30">
        <v>1958</v>
      </c>
      <c r="I23" s="30">
        <v>765</v>
      </c>
      <c r="J23" s="30">
        <v>417</v>
      </c>
      <c r="K23" s="30">
        <v>1043</v>
      </c>
      <c r="L23" s="30">
        <v>2051</v>
      </c>
      <c r="M23" s="30">
        <v>786</v>
      </c>
      <c r="N23" s="30">
        <v>519</v>
      </c>
      <c r="O23" s="30">
        <v>1261</v>
      </c>
      <c r="P23" s="31">
        <f t="shared" ref="P23:S23" si="25">P11-P20+P22+P25</f>
        <v>2232.0710847299915</v>
      </c>
      <c r="Q23" s="31">
        <f t="shared" si="25"/>
        <v>811.60430511288587</v>
      </c>
      <c r="R23" s="31">
        <f t="shared" si="25"/>
        <v>420.31108448325398</v>
      </c>
      <c r="S23" s="31">
        <f t="shared" si="25"/>
        <v>1214.6998883454639</v>
      </c>
      <c r="T23" s="31">
        <f>T11-T20+T22+T25</f>
        <v>2430.6262541569222</v>
      </c>
      <c r="U23" s="31">
        <f>U11-U20+U22+U25</f>
        <v>829.0731532290697</v>
      </c>
      <c r="W23" s="31">
        <f>SUM(B23:E23)</f>
        <v>3653</v>
      </c>
      <c r="X23" s="31">
        <f>SUM(F23:I23)</f>
        <v>4041</v>
      </c>
      <c r="Y23" s="31">
        <f>SUM(J23:M23)</f>
        <v>4297</v>
      </c>
      <c r="Z23" s="31">
        <f>SUM(N23:Q23)</f>
        <v>4823.6753898428778</v>
      </c>
    </row>
    <row r="24" spans="1:26" x14ac:dyDescent="0.3">
      <c r="A24" s="7" t="s">
        <v>365</v>
      </c>
      <c r="B24" s="9">
        <f t="shared" ref="B24:S24" si="26">B23/B11</f>
        <v>0.14411441144114412</v>
      </c>
      <c r="C24" s="9">
        <f t="shared" si="26"/>
        <v>0.32971014492753625</v>
      </c>
      <c r="D24" s="9">
        <f t="shared" si="26"/>
        <v>0.53988813659110979</v>
      </c>
      <c r="E24" s="9">
        <f t="shared" si="26"/>
        <v>0.33273219116321012</v>
      </c>
      <c r="F24" s="9">
        <f t="shared" si="26"/>
        <v>0.19794584500466852</v>
      </c>
      <c r="G24" s="9">
        <f t="shared" si="26"/>
        <v>0.32532751091703055</v>
      </c>
      <c r="H24" s="9">
        <f t="shared" si="26"/>
        <v>0.52465166130760987</v>
      </c>
      <c r="I24" s="9">
        <f t="shared" si="26"/>
        <v>0.30846774193548387</v>
      </c>
      <c r="J24" s="9">
        <f t="shared" si="26"/>
        <v>0.18353873239436619</v>
      </c>
      <c r="K24" s="9">
        <f t="shared" si="26"/>
        <v>0.33688630490956073</v>
      </c>
      <c r="L24" s="9">
        <f t="shared" si="26"/>
        <v>0.50085470085470085</v>
      </c>
      <c r="M24" s="9">
        <f t="shared" si="26"/>
        <v>0.28293736501079914</v>
      </c>
      <c r="N24" s="9">
        <f t="shared" si="26"/>
        <v>0.19380134428678117</v>
      </c>
      <c r="O24" s="9">
        <f t="shared" si="26"/>
        <v>0.3495011086474501</v>
      </c>
      <c r="P24" s="9">
        <f t="shared" si="26"/>
        <v>0.48432068425094504</v>
      </c>
      <c r="Q24" s="9">
        <f t="shared" si="26"/>
        <v>0.26361749421051178</v>
      </c>
      <c r="R24" s="9">
        <f t="shared" si="26"/>
        <v>0.14481870403288555</v>
      </c>
      <c r="S24" s="9">
        <f t="shared" si="26"/>
        <v>0.31470053102274048</v>
      </c>
      <c r="T24" s="9">
        <f>T23/T11</f>
        <v>0.4909293991179392</v>
      </c>
      <c r="U24" s="9">
        <f>U23/U11</f>
        <v>0.25053638485273994</v>
      </c>
      <c r="W24" s="9">
        <f>W23/W11</f>
        <v>0.36835736613895331</v>
      </c>
      <c r="X24" s="9">
        <f>X23/X11</f>
        <v>0.3639884705458476</v>
      </c>
      <c r="Y24" s="9">
        <f>Y23/Y11</f>
        <v>0.3510334123029164</v>
      </c>
      <c r="Z24" s="9">
        <f>Z23/Z11</f>
        <v>0.34520455007400991</v>
      </c>
    </row>
    <row r="25" spans="1:26" x14ac:dyDescent="0.3">
      <c r="B25" s="30">
        <v>12</v>
      </c>
      <c r="C25" s="30">
        <v>-15</v>
      </c>
      <c r="D25" s="30">
        <v>3</v>
      </c>
      <c r="E25" s="30">
        <v>-3</v>
      </c>
      <c r="F25" s="30">
        <v>6</v>
      </c>
      <c r="G25" s="30">
        <v>1</v>
      </c>
      <c r="H25" s="30">
        <v>-2</v>
      </c>
      <c r="I25" s="30">
        <v>-12</v>
      </c>
      <c r="J25" s="30">
        <v>0</v>
      </c>
      <c r="K25" s="30">
        <v>-7</v>
      </c>
      <c r="L25" s="30">
        <v>1</v>
      </c>
      <c r="M25" s="30">
        <v>2</v>
      </c>
      <c r="N25" s="30">
        <v>-2</v>
      </c>
      <c r="O25" s="30">
        <v>1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W25" s="31">
        <f t="shared" ref="W25:W33" si="27">SUM(B25:E25)</f>
        <v>-3</v>
      </c>
      <c r="X25" s="31">
        <f t="shared" ref="X25:X33" si="28">SUM(F25:I25)</f>
        <v>-7</v>
      </c>
      <c r="Y25" s="31">
        <f t="shared" ref="Y25:Y33" si="29">SUM(J25:M25)</f>
        <v>-4</v>
      </c>
      <c r="Z25" s="31">
        <f t="shared" ref="Z25:Z33" si="30">SUM(N25:Q25)</f>
        <v>-1</v>
      </c>
    </row>
    <row r="26" spans="1:26" x14ac:dyDescent="0.3">
      <c r="A26" s="7" t="s">
        <v>366</v>
      </c>
      <c r="B26" s="30">
        <v>240</v>
      </c>
      <c r="C26" s="30">
        <v>304</v>
      </c>
      <c r="D26" s="30">
        <v>286</v>
      </c>
      <c r="E26" s="30">
        <v>290</v>
      </c>
      <c r="F26" s="30">
        <v>295</v>
      </c>
      <c r="G26" s="30">
        <v>382</v>
      </c>
      <c r="H26" s="30">
        <v>362</v>
      </c>
      <c r="I26" s="30">
        <v>368</v>
      </c>
      <c r="J26" s="30">
        <v>358</v>
      </c>
      <c r="K26" s="30">
        <v>424</v>
      </c>
      <c r="L26" s="30">
        <v>399</v>
      </c>
      <c r="M26" s="30">
        <v>411</v>
      </c>
      <c r="N26" s="30">
        <v>410</v>
      </c>
      <c r="O26" s="30">
        <v>487</v>
      </c>
      <c r="P26" s="50">
        <f t="shared" ref="P26:U26" si="31">P145</f>
        <v>451.57918566107082</v>
      </c>
      <c r="Q26" s="50">
        <f t="shared" si="31"/>
        <v>465.16051455313311</v>
      </c>
      <c r="R26" s="50">
        <f t="shared" si="31"/>
        <v>464.02873714546126</v>
      </c>
      <c r="S26" s="50">
        <f t="shared" si="31"/>
        <v>551.17559753619423</v>
      </c>
      <c r="T26" s="50">
        <f t="shared" si="31"/>
        <v>511.08712010605484</v>
      </c>
      <c r="U26" s="50">
        <f t="shared" si="31"/>
        <v>526.45816131225195</v>
      </c>
      <c r="W26" s="31">
        <f t="shared" si="27"/>
        <v>1120</v>
      </c>
      <c r="X26" s="31">
        <f t="shared" si="28"/>
        <v>1407</v>
      </c>
      <c r="Y26" s="31">
        <f t="shared" si="29"/>
        <v>1592</v>
      </c>
      <c r="Z26" s="31">
        <f t="shared" si="30"/>
        <v>1813.7397002142038</v>
      </c>
    </row>
    <row r="27" spans="1:26" x14ac:dyDescent="0.3">
      <c r="A27" s="2" t="s">
        <v>367</v>
      </c>
      <c r="B27" s="30">
        <v>-5</v>
      </c>
      <c r="C27" s="30">
        <v>523</v>
      </c>
      <c r="D27" s="30">
        <v>1496</v>
      </c>
      <c r="E27" s="30">
        <v>-496</v>
      </c>
      <c r="F27" s="30">
        <v>101</v>
      </c>
      <c r="G27" s="30">
        <v>497</v>
      </c>
      <c r="H27" s="30">
        <v>1525</v>
      </c>
      <c r="I27" s="30">
        <v>430</v>
      </c>
      <c r="J27" s="30">
        <v>38</v>
      </c>
      <c r="K27" s="30">
        <v>612</v>
      </c>
      <c r="L27" s="30">
        <v>1625</v>
      </c>
      <c r="M27" s="30">
        <v>269</v>
      </c>
      <c r="N27" s="30">
        <v>86</v>
      </c>
      <c r="O27" s="30">
        <v>758</v>
      </c>
      <c r="P27" s="31">
        <f t="shared" ref="P27:S27" si="32">P23-P22-P26</f>
        <v>1759.8579284690131</v>
      </c>
      <c r="Q27" s="31">
        <f t="shared" si="32"/>
        <v>325.80981995984519</v>
      </c>
      <c r="R27" s="31">
        <f t="shared" si="32"/>
        <v>-64.351623262114799</v>
      </c>
      <c r="S27" s="31">
        <f t="shared" si="32"/>
        <v>642.89032020936213</v>
      </c>
      <c r="T27" s="31">
        <f>T23-T22-T26</f>
        <v>1898.9051634509597</v>
      </c>
      <c r="U27" s="31">
        <f>U23-U22-U26</f>
        <v>281.98102131691019</v>
      </c>
      <c r="W27" s="31">
        <f t="shared" si="27"/>
        <v>1518</v>
      </c>
      <c r="X27" s="31">
        <f t="shared" si="28"/>
        <v>2553</v>
      </c>
      <c r="Y27" s="31">
        <f t="shared" si="29"/>
        <v>2544</v>
      </c>
      <c r="Z27" s="31">
        <f t="shared" si="30"/>
        <v>2929.6677484288584</v>
      </c>
    </row>
    <row r="28" spans="1:26" x14ac:dyDescent="0.3">
      <c r="A28" s="7" t="s">
        <v>368</v>
      </c>
      <c r="B28" s="30">
        <v>146</v>
      </c>
      <c r="C28" s="30">
        <v>191</v>
      </c>
      <c r="D28" s="30">
        <v>192</v>
      </c>
      <c r="E28" s="30">
        <v>192</v>
      </c>
      <c r="F28" s="30">
        <v>202</v>
      </c>
      <c r="G28" s="30">
        <v>226</v>
      </c>
      <c r="H28" s="30">
        <v>207</v>
      </c>
      <c r="I28" s="30">
        <v>183</v>
      </c>
      <c r="J28" s="30">
        <v>173</v>
      </c>
      <c r="K28" s="30">
        <v>190</v>
      </c>
      <c r="L28" s="30">
        <v>180</v>
      </c>
      <c r="M28" s="30">
        <v>162</v>
      </c>
      <c r="N28" s="30">
        <v>155</v>
      </c>
      <c r="O28" s="30">
        <v>183</v>
      </c>
      <c r="P28" s="50">
        <f t="shared" ref="P28:U28" si="33">P148</f>
        <v>183.05240061765889</v>
      </c>
      <c r="Q28" s="50">
        <f t="shared" si="33"/>
        <v>164.0801637767606</v>
      </c>
      <c r="R28" s="50">
        <f t="shared" si="33"/>
        <v>177.95552433597595</v>
      </c>
      <c r="S28" s="50">
        <f t="shared" si="33"/>
        <v>200.34855900909199</v>
      </c>
      <c r="T28" s="50">
        <f t="shared" si="33"/>
        <v>188.944131121109</v>
      </c>
      <c r="U28" s="50">
        <f t="shared" si="33"/>
        <v>168.90057981147274</v>
      </c>
      <c r="W28" s="31">
        <f t="shared" si="27"/>
        <v>721</v>
      </c>
      <c r="X28" s="31">
        <f t="shared" si="28"/>
        <v>818</v>
      </c>
      <c r="Y28" s="31">
        <f t="shared" si="29"/>
        <v>705</v>
      </c>
      <c r="Z28" s="31">
        <f t="shared" si="30"/>
        <v>685.13256439441955</v>
      </c>
    </row>
    <row r="29" spans="1:26" x14ac:dyDescent="0.3">
      <c r="A29" s="7" t="s">
        <v>369</v>
      </c>
      <c r="B29" s="30">
        <v>4</v>
      </c>
      <c r="C29" s="30">
        <v>2</v>
      </c>
      <c r="D29" s="30">
        <v>6</v>
      </c>
      <c r="E29" s="30">
        <v>71</v>
      </c>
      <c r="F29" s="30">
        <v>0</v>
      </c>
      <c r="G29" s="30">
        <v>9</v>
      </c>
      <c r="H29" s="30">
        <v>2</v>
      </c>
      <c r="I29" s="30">
        <v>10</v>
      </c>
      <c r="J29" s="30">
        <v>5</v>
      </c>
      <c r="K29" s="30">
        <v>6</v>
      </c>
      <c r="L29" s="30">
        <v>6</v>
      </c>
      <c r="M29" s="30">
        <v>26</v>
      </c>
      <c r="N29" s="30">
        <v>21</v>
      </c>
      <c r="O29" s="30">
        <v>37</v>
      </c>
      <c r="P29" s="50">
        <f t="shared" ref="P29:U29" si="34">$B$92</f>
        <v>37</v>
      </c>
      <c r="Q29" s="50">
        <f t="shared" si="34"/>
        <v>37</v>
      </c>
      <c r="R29" s="50">
        <f t="shared" si="34"/>
        <v>37</v>
      </c>
      <c r="S29" s="50">
        <f t="shared" si="34"/>
        <v>37</v>
      </c>
      <c r="T29" s="50">
        <f t="shared" si="34"/>
        <v>37</v>
      </c>
      <c r="U29" s="50">
        <f t="shared" si="34"/>
        <v>37</v>
      </c>
      <c r="W29" s="31">
        <f t="shared" si="27"/>
        <v>83</v>
      </c>
      <c r="X29" s="31">
        <f t="shared" si="28"/>
        <v>21</v>
      </c>
      <c r="Y29" s="31">
        <f t="shared" si="29"/>
        <v>43</v>
      </c>
      <c r="Z29" s="31">
        <f t="shared" si="30"/>
        <v>132</v>
      </c>
    </row>
    <row r="30" spans="1:26" x14ac:dyDescent="0.3">
      <c r="A30" s="7" t="s">
        <v>370</v>
      </c>
      <c r="B30" s="30">
        <v>-7</v>
      </c>
      <c r="C30" s="30">
        <v>-36</v>
      </c>
      <c r="D30" s="30">
        <v>-3</v>
      </c>
      <c r="E30" s="30">
        <v>-8</v>
      </c>
      <c r="F30" s="30">
        <v>-10</v>
      </c>
      <c r="G30" s="30">
        <v>-33</v>
      </c>
      <c r="H30" s="30">
        <v>5</v>
      </c>
      <c r="I30" s="30">
        <v>19</v>
      </c>
      <c r="J30" s="30">
        <v>-33</v>
      </c>
      <c r="K30" s="30">
        <v>-17</v>
      </c>
      <c r="L30" s="30">
        <v>-7</v>
      </c>
      <c r="M30" s="30">
        <v>-12</v>
      </c>
      <c r="N30" s="30">
        <v>61</v>
      </c>
      <c r="O30" s="30">
        <v>-7</v>
      </c>
      <c r="P30" s="51">
        <f t="shared" ref="P30:U30" si="35">$B$93</f>
        <v>3.7</v>
      </c>
      <c r="Q30" s="51">
        <f t="shared" si="35"/>
        <v>3.7</v>
      </c>
      <c r="R30" s="51">
        <f t="shared" si="35"/>
        <v>3.7</v>
      </c>
      <c r="S30" s="51">
        <f t="shared" si="35"/>
        <v>3.7</v>
      </c>
      <c r="T30" s="51">
        <f t="shared" si="35"/>
        <v>3.7</v>
      </c>
      <c r="U30" s="51">
        <f t="shared" si="35"/>
        <v>3.7</v>
      </c>
      <c r="W30" s="31">
        <f t="shared" si="27"/>
        <v>-54</v>
      </c>
      <c r="X30" s="31">
        <f t="shared" si="28"/>
        <v>-19</v>
      </c>
      <c r="Y30" s="31">
        <f t="shared" si="29"/>
        <v>-69</v>
      </c>
      <c r="Z30" s="31">
        <f t="shared" si="30"/>
        <v>61.400000000000006</v>
      </c>
    </row>
    <row r="31" spans="1:26" x14ac:dyDescent="0.3">
      <c r="A31" s="2" t="s">
        <v>371</v>
      </c>
      <c r="B31" s="30">
        <v>130</v>
      </c>
      <c r="C31" s="30">
        <v>676</v>
      </c>
      <c r="D31" s="30">
        <v>1679</v>
      </c>
      <c r="E31" s="30">
        <v>-383</v>
      </c>
      <c r="F31" s="30">
        <v>293</v>
      </c>
      <c r="G31" s="30">
        <v>681</v>
      </c>
      <c r="H31" s="30">
        <v>1735</v>
      </c>
      <c r="I31" s="30">
        <v>622</v>
      </c>
      <c r="J31" s="30">
        <v>173</v>
      </c>
      <c r="K31" s="30">
        <v>779</v>
      </c>
      <c r="L31" s="30">
        <v>1792</v>
      </c>
      <c r="M31" s="30">
        <v>393</v>
      </c>
      <c r="N31" s="30">
        <v>281</v>
      </c>
      <c r="O31" s="30">
        <v>897</v>
      </c>
      <c r="P31" s="31">
        <f t="shared" ref="P31:S31" si="36">P27+P28-P29+P30</f>
        <v>1909.610329086672</v>
      </c>
      <c r="Q31" s="31">
        <f t="shared" si="36"/>
        <v>456.5899837366058</v>
      </c>
      <c r="R31" s="31">
        <f t="shared" si="36"/>
        <v>80.303901073861155</v>
      </c>
      <c r="S31" s="31">
        <f t="shared" si="36"/>
        <v>809.93887921845419</v>
      </c>
      <c r="T31" s="31">
        <f>T27+T28-T29+T30</f>
        <v>2054.5492945720684</v>
      </c>
      <c r="U31" s="31">
        <f>U27+U28-U29+U30</f>
        <v>417.58160112838294</v>
      </c>
      <c r="W31" s="31">
        <f t="shared" si="27"/>
        <v>2102</v>
      </c>
      <c r="X31" s="31">
        <f t="shared" si="28"/>
        <v>3331</v>
      </c>
      <c r="Y31" s="31">
        <f t="shared" si="29"/>
        <v>3137</v>
      </c>
      <c r="Z31" s="31">
        <f t="shared" si="30"/>
        <v>3544.2003128232782</v>
      </c>
    </row>
    <row r="32" spans="1:26" x14ac:dyDescent="0.3">
      <c r="A32" s="7" t="s">
        <v>372</v>
      </c>
      <c r="B32" s="30">
        <v>13.4</v>
      </c>
      <c r="C32" s="30">
        <v>26</v>
      </c>
      <c r="D32" s="30">
        <v>-2695</v>
      </c>
      <c r="E32" s="30">
        <v>-34</v>
      </c>
      <c r="F32" s="30">
        <v>29</v>
      </c>
      <c r="G32" s="30">
        <v>126</v>
      </c>
      <c r="H32" s="30">
        <v>367</v>
      </c>
      <c r="I32" s="30">
        <v>161</v>
      </c>
      <c r="J32" s="30">
        <v>19</v>
      </c>
      <c r="K32" s="30">
        <v>137</v>
      </c>
      <c r="L32" s="30">
        <v>418</v>
      </c>
      <c r="M32" s="30">
        <v>52</v>
      </c>
      <c r="N32" s="30">
        <v>121</v>
      </c>
      <c r="O32" s="30">
        <v>81</v>
      </c>
      <c r="P32" s="52">
        <f>P31*$B$94/100</f>
        <v>343.72985923560094</v>
      </c>
      <c r="Q32" s="52">
        <f>Q31*$B$94/100</f>
        <v>82.186197072589039</v>
      </c>
      <c r="R32" s="52">
        <f>R31*$B$95/100</f>
        <v>14.053182687925704</v>
      </c>
      <c r="S32" s="52">
        <f>S31*$B$95/100</f>
        <v>141.73930386322948</v>
      </c>
      <c r="T32" s="52">
        <f>T31*$B$95/100</f>
        <v>359.54612655011192</v>
      </c>
      <c r="U32" s="52">
        <f>U31*$B$95/100</f>
        <v>73.076780197467016</v>
      </c>
      <c r="W32" s="31">
        <f t="shared" si="27"/>
        <v>-2689.6</v>
      </c>
      <c r="X32" s="31">
        <f t="shared" si="28"/>
        <v>683</v>
      </c>
      <c r="Y32" s="31">
        <f t="shared" si="29"/>
        <v>626</v>
      </c>
      <c r="Z32" s="31">
        <f t="shared" si="30"/>
        <v>627.91605630819004</v>
      </c>
    </row>
    <row r="33" spans="1:26" x14ac:dyDescent="0.3">
      <c r="A33" s="2" t="s">
        <v>373</v>
      </c>
      <c r="B33" s="30">
        <v>117</v>
      </c>
      <c r="C33" s="30">
        <v>650</v>
      </c>
      <c r="D33" s="30">
        <v>4374</v>
      </c>
      <c r="E33" s="30">
        <v>-349</v>
      </c>
      <c r="F33" s="30">
        <v>264</v>
      </c>
      <c r="G33" s="30">
        <v>555</v>
      </c>
      <c r="H33" s="30">
        <v>1368</v>
      </c>
      <c r="I33" s="30">
        <v>461</v>
      </c>
      <c r="J33" s="30">
        <v>154</v>
      </c>
      <c r="K33" s="30">
        <v>642</v>
      </c>
      <c r="L33" s="30">
        <v>1374</v>
      </c>
      <c r="M33" s="30">
        <v>341</v>
      </c>
      <c r="N33" s="30">
        <v>160</v>
      </c>
      <c r="O33" s="30">
        <v>816</v>
      </c>
      <c r="P33" s="31">
        <f t="shared" ref="P33:S33" si="37">P31-P32</f>
        <v>1565.880469851071</v>
      </c>
      <c r="Q33" s="31">
        <f t="shared" si="37"/>
        <v>374.40378666401676</v>
      </c>
      <c r="R33" s="31">
        <f t="shared" si="37"/>
        <v>66.250718385935457</v>
      </c>
      <c r="S33" s="31">
        <f t="shared" si="37"/>
        <v>668.19957535522474</v>
      </c>
      <c r="T33" s="31">
        <f>T31-T32</f>
        <v>1695.0031680219565</v>
      </c>
      <c r="U33" s="31">
        <f>U31-U32</f>
        <v>344.50482093091591</v>
      </c>
      <c r="W33" s="31">
        <f t="shared" si="27"/>
        <v>4792</v>
      </c>
      <c r="X33" s="31">
        <f t="shared" si="28"/>
        <v>2648</v>
      </c>
      <c r="Y33" s="31">
        <f t="shared" si="29"/>
        <v>2511</v>
      </c>
      <c r="Z33" s="31">
        <f t="shared" si="30"/>
        <v>2916.2842565150881</v>
      </c>
    </row>
    <row r="34" spans="1:26" x14ac:dyDescent="0.3">
      <c r="A34" s="7" t="s">
        <v>374</v>
      </c>
      <c r="B34" s="8">
        <v>670</v>
      </c>
      <c r="C34" s="8">
        <v>665</v>
      </c>
      <c r="D34" s="8">
        <v>660</v>
      </c>
      <c r="E34" s="8">
        <v>640</v>
      </c>
      <c r="F34" s="8">
        <v>654</v>
      </c>
      <c r="G34" s="8">
        <v>649</v>
      </c>
      <c r="H34" s="8">
        <v>642</v>
      </c>
      <c r="I34" s="8">
        <v>636</v>
      </c>
      <c r="J34" s="8">
        <v>632</v>
      </c>
      <c r="K34" s="8">
        <v>626</v>
      </c>
      <c r="L34" s="8">
        <v>621</v>
      </c>
      <c r="M34" s="8">
        <v>614</v>
      </c>
      <c r="N34" s="8">
        <v>608</v>
      </c>
      <c r="O34" s="8">
        <v>597</v>
      </c>
      <c r="P34" s="39">
        <f t="shared" ref="P34:U34" si="38">P149</f>
        <v>591.67581338190553</v>
      </c>
      <c r="Q34" s="39">
        <f t="shared" si="38"/>
        <v>586.35162676381105</v>
      </c>
      <c r="R34" s="39">
        <f t="shared" si="38"/>
        <v>581.02744014571658</v>
      </c>
      <c r="S34" s="39">
        <f t="shared" si="38"/>
        <v>575.70325352762211</v>
      </c>
      <c r="T34" s="39">
        <f t="shared" si="38"/>
        <v>570.37906690952764</v>
      </c>
      <c r="U34" s="39">
        <f t="shared" si="38"/>
        <v>565.05488029143316</v>
      </c>
      <c r="W34" s="8">
        <v>662</v>
      </c>
      <c r="X34" s="8">
        <v>645</v>
      </c>
      <c r="Y34" s="8">
        <v>623</v>
      </c>
      <c r="Z34" s="21">
        <f>AVERAGE(N34:Q34)</f>
        <v>595.75686003642909</v>
      </c>
    </row>
    <row r="35" spans="1:26" x14ac:dyDescent="0.3">
      <c r="A35" s="2" t="s">
        <v>375</v>
      </c>
      <c r="B35" s="10">
        <v>0.18</v>
      </c>
      <c r="C35" s="10">
        <v>0.98</v>
      </c>
      <c r="D35" s="10">
        <v>6.63</v>
      </c>
      <c r="E35" s="10">
        <v>-0.55000000000000004</v>
      </c>
      <c r="F35" s="10">
        <v>0.41</v>
      </c>
      <c r="G35" s="10">
        <v>0.86</v>
      </c>
      <c r="H35" s="10">
        <v>2.13</v>
      </c>
      <c r="I35" s="10">
        <v>0.73</v>
      </c>
      <c r="J35" s="10">
        <v>0.24</v>
      </c>
      <c r="K35" s="10">
        <v>1.03</v>
      </c>
      <c r="L35" s="10">
        <v>2.21</v>
      </c>
      <c r="M35" s="10">
        <v>0.56000000000000005</v>
      </c>
      <c r="N35" s="10">
        <v>0.26</v>
      </c>
      <c r="O35" s="10">
        <v>1.37</v>
      </c>
      <c r="P35" s="14">
        <f t="shared" ref="P35:U35" si="39">P33/P34</f>
        <v>2.6465176274500699</v>
      </c>
      <c r="Q35" s="14">
        <f t="shared" si="39"/>
        <v>0.63853116385201192</v>
      </c>
      <c r="R35" s="14">
        <f t="shared" si="39"/>
        <v>0.11402338996127336</v>
      </c>
      <c r="S35" s="14">
        <f t="shared" si="39"/>
        <v>1.1606666650932254</v>
      </c>
      <c r="T35" s="14">
        <f t="shared" si="39"/>
        <v>2.9717134908298002</v>
      </c>
      <c r="U35" s="14">
        <f t="shared" si="39"/>
        <v>0.6096838253184077</v>
      </c>
      <c r="W35" s="10">
        <v>7.24</v>
      </c>
      <c r="X35" s="10">
        <v>4.1100000000000003</v>
      </c>
      <c r="Y35" s="10">
        <v>4.03</v>
      </c>
      <c r="Z35" s="14">
        <f>Z33/Z34</f>
        <v>4.8950913571297603</v>
      </c>
    </row>
    <row r="37" spans="1:26" x14ac:dyDescent="0.3">
      <c r="A37" s="4" t="s">
        <v>376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3">
      <c r="A38" s="7" t="s">
        <v>377</v>
      </c>
      <c r="P38" s="30">
        <v>4744.32</v>
      </c>
      <c r="Q38" s="30">
        <v>3161.82</v>
      </c>
      <c r="R38" s="30">
        <v>3010.32</v>
      </c>
      <c r="S38" s="30">
        <v>4036.94</v>
      </c>
      <c r="T38" s="30">
        <v>5269.9672899999996</v>
      </c>
      <c r="U38" s="30">
        <v>3528.9193599999999</v>
      </c>
    </row>
    <row r="39" spans="1:26" x14ac:dyDescent="0.3">
      <c r="A39" s="7" t="s">
        <v>378</v>
      </c>
      <c r="P39" s="32">
        <f t="shared" ref="P39:S39" si="40">P11/P38-1</f>
        <v>-2.8593444061682405E-2</v>
      </c>
      <c r="Q39" s="32">
        <f t="shared" si="40"/>
        <v>-2.6282507020442436E-2</v>
      </c>
      <c r="R39" s="32">
        <f t="shared" si="40"/>
        <v>-3.5874604062260618E-2</v>
      </c>
      <c r="S39" s="32">
        <f t="shared" si="40"/>
        <v>-4.3864988911763381E-2</v>
      </c>
      <c r="T39" s="32">
        <f>T11/T38-1</f>
        <v>-6.0512027547693137E-2</v>
      </c>
      <c r="U39" s="32">
        <f>U11/U38-1</f>
        <v>-6.2264599394644127E-2</v>
      </c>
    </row>
    <row r="40" spans="1:26" x14ac:dyDescent="0.3">
      <c r="A40" s="7" t="s">
        <v>379</v>
      </c>
      <c r="P40" s="30">
        <v>2361.52</v>
      </c>
      <c r="Q40" s="30">
        <v>913.68</v>
      </c>
      <c r="R40" s="30">
        <v>610.73</v>
      </c>
      <c r="S40" s="30">
        <v>1451.71</v>
      </c>
      <c r="T40" s="30">
        <v>2695.5527699999998</v>
      </c>
      <c r="U40" s="30">
        <v>1068.39608</v>
      </c>
    </row>
    <row r="41" spans="1:26" x14ac:dyDescent="0.3">
      <c r="A41" s="7" t="s">
        <v>378</v>
      </c>
      <c r="P41" s="32">
        <f t="shared" ref="P41:S41" si="41">P23/P40-1</f>
        <v>-5.4815930108577771E-2</v>
      </c>
      <c r="Q41" s="32">
        <f t="shared" si="41"/>
        <v>-0.11171930532255725</v>
      </c>
      <c r="R41" s="32">
        <f t="shared" si="41"/>
        <v>-0.3117890320055442</v>
      </c>
      <c r="S41" s="32">
        <f t="shared" si="41"/>
        <v>-0.16326271201172138</v>
      </c>
      <c r="T41" s="32">
        <f>T23/T40-1</f>
        <v>-9.8282815603375373E-2</v>
      </c>
      <c r="U41" s="32">
        <f>U23/U40-1</f>
        <v>-0.22400206370181575</v>
      </c>
    </row>
    <row r="42" spans="1:26" x14ac:dyDescent="0.3">
      <c r="A42" s="7" t="s">
        <v>380</v>
      </c>
      <c r="P42" s="31">
        <f>P11*0.503668738501203</f>
        <v>2321.2397571450056</v>
      </c>
      <c r="Q42" s="31">
        <f>Q11*0.282832332284408</f>
        <v>870.76140069762698</v>
      </c>
      <c r="R42" s="31">
        <f>R11*0.182124867688651</f>
        <v>528.58573180024598</v>
      </c>
      <c r="S42" s="31">
        <f>S11*0.340987932196394</f>
        <v>1316.1655680084639</v>
      </c>
      <c r="T42" s="31">
        <f>T11*0.519629645378934</f>
        <v>2572.7232077883018</v>
      </c>
      <c r="U42" s="31">
        <f>U11*0.279965538169394</f>
        <v>926.45988989584703</v>
      </c>
    </row>
    <row r="43" spans="1:26" x14ac:dyDescent="0.3">
      <c r="A43" s="7" t="s">
        <v>381</v>
      </c>
      <c r="P43" s="31">
        <f t="shared" ref="P43:S43" si="42">P42-P23</f>
        <v>89.168672415014044</v>
      </c>
      <c r="Q43" s="31">
        <f t="shared" si="42"/>
        <v>59.157095584741114</v>
      </c>
      <c r="R43" s="31">
        <f t="shared" si="42"/>
        <v>108.274647316992</v>
      </c>
      <c r="S43" s="31">
        <f t="shared" si="42"/>
        <v>101.46567966299995</v>
      </c>
      <c r="T43" s="31">
        <f>T42-T23</f>
        <v>142.09695363137962</v>
      </c>
      <c r="U43" s="31">
        <f>U42-U23</f>
        <v>97.386736666777324</v>
      </c>
    </row>
    <row r="44" spans="1:26" x14ac:dyDescent="0.3">
      <c r="A44" s="7" t="s">
        <v>382</v>
      </c>
      <c r="P44" s="30">
        <v>15.20793246038539</v>
      </c>
      <c r="Q44" s="30">
        <v>15.20793246038539</v>
      </c>
      <c r="R44" s="30">
        <v>26.70793246038539</v>
      </c>
      <c r="S44" s="30">
        <v>26.70793246038539</v>
      </c>
      <c r="T44" s="53">
        <v>26.70793246038539</v>
      </c>
      <c r="U44" s="53">
        <v>26.70793246038539</v>
      </c>
    </row>
    <row r="46" spans="1:26" x14ac:dyDescent="0.3">
      <c r="A46" s="41" t="s">
        <v>417</v>
      </c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</row>
    <row r="47" spans="1:26" x14ac:dyDescent="0.3">
      <c r="A47" s="45" t="s">
        <v>418</v>
      </c>
    </row>
    <row r="48" spans="1:26" x14ac:dyDescent="0.3">
      <c r="A48" s="44" t="s">
        <v>419</v>
      </c>
      <c r="B48" s="10">
        <v>3.65</v>
      </c>
    </row>
    <row r="49" spans="1:2" x14ac:dyDescent="0.3">
      <c r="A49" s="44" t="s">
        <v>420</v>
      </c>
      <c r="B49" s="10">
        <v>3.6</v>
      </c>
    </row>
    <row r="50" spans="1:2" x14ac:dyDescent="0.3">
      <c r="A50" s="44" t="s">
        <v>421</v>
      </c>
      <c r="B50" s="10">
        <v>3.7</v>
      </c>
    </row>
    <row r="51" spans="1:2" x14ac:dyDescent="0.3">
      <c r="A51" s="44" t="s">
        <v>422</v>
      </c>
      <c r="B51" s="10">
        <v>3.65</v>
      </c>
    </row>
    <row r="52" spans="1:2" x14ac:dyDescent="0.3">
      <c r="A52" s="44" t="s">
        <v>423</v>
      </c>
      <c r="B52" s="10">
        <v>1.7</v>
      </c>
    </row>
    <row r="53" spans="1:2" x14ac:dyDescent="0.3">
      <c r="A53" s="44" t="s">
        <v>424</v>
      </c>
      <c r="B53" s="8">
        <v>1</v>
      </c>
    </row>
    <row r="54" spans="1:2" x14ac:dyDescent="0.3">
      <c r="A54" s="44" t="s">
        <v>425</v>
      </c>
      <c r="B54" s="11">
        <v>0.29714329912855497</v>
      </c>
    </row>
    <row r="55" spans="1:2" x14ac:dyDescent="0.3">
      <c r="A55" s="44" t="s">
        <v>426</v>
      </c>
      <c r="B55" s="10">
        <v>0.72</v>
      </c>
    </row>
    <row r="56" spans="1:2" x14ac:dyDescent="0.3">
      <c r="A56" s="44" t="s">
        <v>427</v>
      </c>
      <c r="B56" s="10">
        <v>0</v>
      </c>
    </row>
    <row r="57" spans="1:2" x14ac:dyDescent="0.3">
      <c r="A57" s="44" t="s">
        <v>428</v>
      </c>
      <c r="B57" s="30">
        <v>224</v>
      </c>
    </row>
    <row r="58" spans="1:2" x14ac:dyDescent="0.3">
      <c r="A58" s="44" t="s">
        <v>429</v>
      </c>
      <c r="B58" s="30">
        <v>30</v>
      </c>
    </row>
    <row r="59" spans="1:2" x14ac:dyDescent="0.3">
      <c r="A59" s="44" t="s">
        <v>430</v>
      </c>
      <c r="B59" s="30">
        <v>330</v>
      </c>
    </row>
    <row r="60" spans="1:2" x14ac:dyDescent="0.3">
      <c r="A60" s="44" t="s">
        <v>431</v>
      </c>
      <c r="B60" s="10">
        <v>0.36</v>
      </c>
    </row>
    <row r="61" spans="1:2" x14ac:dyDescent="0.3">
      <c r="A61" s="44" t="s">
        <v>432</v>
      </c>
      <c r="B61" s="11">
        <v>0.215</v>
      </c>
    </row>
    <row r="62" spans="1:2" x14ac:dyDescent="0.3">
      <c r="A62" s="44" t="s">
        <v>433</v>
      </c>
      <c r="B62" s="8">
        <v>-14</v>
      </c>
    </row>
    <row r="63" spans="1:2" x14ac:dyDescent="0.3">
      <c r="A63" s="44" t="s">
        <v>434</v>
      </c>
      <c r="B63" s="8">
        <v>-10</v>
      </c>
    </row>
    <row r="64" spans="1:2" x14ac:dyDescent="0.3">
      <c r="A64" s="44" t="s">
        <v>435</v>
      </c>
      <c r="B64" s="8">
        <v>8</v>
      </c>
    </row>
    <row r="65" spans="1:2" x14ac:dyDescent="0.3">
      <c r="A65" s="44" t="s">
        <v>436</v>
      </c>
      <c r="B65" s="8">
        <v>0</v>
      </c>
    </row>
    <row r="66" spans="1:2" x14ac:dyDescent="0.3">
      <c r="A66" s="44" t="s">
        <v>437</v>
      </c>
      <c r="B66" s="8">
        <v>9</v>
      </c>
    </row>
    <row r="67" spans="1:2" x14ac:dyDescent="0.3">
      <c r="A67" s="44" t="s">
        <v>438</v>
      </c>
      <c r="B67" s="8">
        <v>8</v>
      </c>
    </row>
    <row r="68" spans="1:2" x14ac:dyDescent="0.3">
      <c r="A68" s="44" t="s">
        <v>439</v>
      </c>
      <c r="B68" s="30">
        <v>30</v>
      </c>
    </row>
    <row r="69" spans="1:2" x14ac:dyDescent="0.3">
      <c r="A69" s="44" t="s">
        <v>440</v>
      </c>
      <c r="B69" s="30">
        <v>1595</v>
      </c>
    </row>
    <row r="70" spans="1:2" x14ac:dyDescent="0.3">
      <c r="A70" s="44" t="s">
        <v>441</v>
      </c>
      <c r="B70" s="10">
        <v>0.51</v>
      </c>
    </row>
    <row r="71" spans="1:2" x14ac:dyDescent="0.3">
      <c r="A71" s="44" t="s">
        <v>442</v>
      </c>
      <c r="B71" s="8">
        <v>32</v>
      </c>
    </row>
    <row r="72" spans="1:2" x14ac:dyDescent="0.3">
      <c r="A72" s="44" t="s">
        <v>443</v>
      </c>
      <c r="B72" s="8">
        <v>25</v>
      </c>
    </row>
    <row r="73" spans="1:2" x14ac:dyDescent="0.3">
      <c r="A73" s="44" t="s">
        <v>444</v>
      </c>
      <c r="B73" s="8">
        <v>15</v>
      </c>
    </row>
    <row r="74" spans="1:2" x14ac:dyDescent="0.3">
      <c r="A74" s="44" t="s">
        <v>445</v>
      </c>
      <c r="B74" s="30">
        <v>781</v>
      </c>
    </row>
    <row r="75" spans="1:2" x14ac:dyDescent="0.3">
      <c r="A75" s="44" t="s">
        <v>446</v>
      </c>
      <c r="B75" s="8">
        <v>18</v>
      </c>
    </row>
    <row r="76" spans="1:2" x14ac:dyDescent="0.3">
      <c r="A76" s="44" t="s">
        <v>447</v>
      </c>
      <c r="B76" s="8">
        <v>11</v>
      </c>
    </row>
    <row r="77" spans="1:2" x14ac:dyDescent="0.3">
      <c r="A77" s="44" t="s">
        <v>448</v>
      </c>
      <c r="B77" s="8">
        <v>5</v>
      </c>
    </row>
    <row r="78" spans="1:2" x14ac:dyDescent="0.3">
      <c r="A78" s="44" t="s">
        <v>449</v>
      </c>
      <c r="B78" s="8">
        <v>5</v>
      </c>
    </row>
    <row r="79" spans="1:2" x14ac:dyDescent="0.3">
      <c r="A79" s="44" t="s">
        <v>450</v>
      </c>
      <c r="B79" s="30">
        <v>0</v>
      </c>
    </row>
    <row r="80" spans="1:2" x14ac:dyDescent="0.3">
      <c r="A80" s="44" t="s">
        <v>451</v>
      </c>
      <c r="B80" s="46">
        <v>1</v>
      </c>
    </row>
    <row r="81" spans="1:2" x14ac:dyDescent="0.3">
      <c r="A81" s="44" t="s">
        <v>452</v>
      </c>
      <c r="B81" s="30">
        <v>4730</v>
      </c>
    </row>
    <row r="82" spans="1:2" x14ac:dyDescent="0.3">
      <c r="A82" s="44" t="s">
        <v>453</v>
      </c>
      <c r="B82" s="8">
        <v>-0.5</v>
      </c>
    </row>
    <row r="83" spans="1:2" x14ac:dyDescent="0.3">
      <c r="A83" s="44" t="s">
        <v>454</v>
      </c>
      <c r="B83" s="11">
        <v>146.81299999999999</v>
      </c>
    </row>
    <row r="84" spans="1:2" x14ac:dyDescent="0.3">
      <c r="A84" s="44" t="s">
        <v>455</v>
      </c>
      <c r="B84" s="11">
        <v>26.027999999999999</v>
      </c>
    </row>
    <row r="85" spans="1:2" x14ac:dyDescent="0.3">
      <c r="A85" s="44" t="s">
        <v>456</v>
      </c>
      <c r="B85" s="10">
        <v>0.7</v>
      </c>
    </row>
    <row r="86" spans="1:2" x14ac:dyDescent="0.3">
      <c r="A86" s="44" t="s">
        <v>457</v>
      </c>
      <c r="B86" s="8">
        <v>20.633970599907517</v>
      </c>
    </row>
    <row r="87" spans="1:2" x14ac:dyDescent="0.3">
      <c r="A87" s="44" t="s">
        <v>458</v>
      </c>
      <c r="B87" s="10">
        <v>13.177740767185675</v>
      </c>
    </row>
    <row r="88" spans="1:2" x14ac:dyDescent="0.3">
      <c r="A88" s="44" t="s">
        <v>459</v>
      </c>
      <c r="B88" s="11">
        <v>0.8764975067193741</v>
      </c>
    </row>
    <row r="89" spans="1:2" x14ac:dyDescent="0.3">
      <c r="A89" s="44" t="s">
        <v>460</v>
      </c>
      <c r="B89" s="10">
        <v>3.76</v>
      </c>
    </row>
    <row r="90" spans="1:2" x14ac:dyDescent="0.3">
      <c r="A90" s="44" t="s">
        <v>461</v>
      </c>
      <c r="B90" s="30">
        <v>12069</v>
      </c>
    </row>
    <row r="91" spans="1:2" x14ac:dyDescent="0.3">
      <c r="A91" s="44" t="s">
        <v>462</v>
      </c>
      <c r="B91" s="8">
        <v>0</v>
      </c>
    </row>
    <row r="92" spans="1:2" x14ac:dyDescent="0.3">
      <c r="A92" s="44" t="s">
        <v>463</v>
      </c>
      <c r="B92" s="8">
        <v>37</v>
      </c>
    </row>
    <row r="93" spans="1:2" x14ac:dyDescent="0.3">
      <c r="A93" s="44" t="s">
        <v>464</v>
      </c>
      <c r="B93" s="8">
        <v>3.7</v>
      </c>
    </row>
    <row r="94" spans="1:2" x14ac:dyDescent="0.3">
      <c r="A94" s="44" t="s">
        <v>465</v>
      </c>
      <c r="B94" s="8">
        <v>18</v>
      </c>
    </row>
    <row r="95" spans="1:2" x14ac:dyDescent="0.3">
      <c r="A95" s="44" t="s">
        <v>466</v>
      </c>
      <c r="B95" s="8">
        <v>17.5</v>
      </c>
    </row>
    <row r="96" spans="1:2" x14ac:dyDescent="0.3">
      <c r="A96" s="44" t="s">
        <v>467</v>
      </c>
      <c r="B96" s="8">
        <v>597</v>
      </c>
    </row>
    <row r="97" spans="1:21" x14ac:dyDescent="0.3">
      <c r="A97" s="44" t="s">
        <v>468</v>
      </c>
      <c r="B97" s="11">
        <v>-5.324186618094461</v>
      </c>
    </row>
    <row r="99" spans="1:21" x14ac:dyDescent="0.3">
      <c r="A99" s="47" t="s">
        <v>469</v>
      </c>
    </row>
    <row r="100" spans="1:21" x14ac:dyDescent="0.3">
      <c r="A100" s="44" t="s">
        <v>470</v>
      </c>
      <c r="P100" s="11">
        <v>1.0349999999999999</v>
      </c>
      <c r="Q100" s="11">
        <v>1.0329999999999999</v>
      </c>
      <c r="R100" s="11">
        <v>0.9</v>
      </c>
      <c r="S100" s="11">
        <v>1.0449999999999999</v>
      </c>
      <c r="T100" s="11">
        <v>1.0349999999999999</v>
      </c>
      <c r="U100" s="11">
        <v>1.0329999999999999</v>
      </c>
    </row>
    <row r="101" spans="1:21" x14ac:dyDescent="0.3">
      <c r="A101" s="44" t="s">
        <v>471</v>
      </c>
      <c r="P101" s="25">
        <v>0.24590000000000001</v>
      </c>
      <c r="Q101" s="25">
        <v>0.25269999999999998</v>
      </c>
      <c r="R101" s="25">
        <v>0.25480000000000003</v>
      </c>
      <c r="S101" s="25">
        <v>0.24660000000000001</v>
      </c>
      <c r="T101" s="25">
        <v>0.24590000000000001</v>
      </c>
      <c r="U101" s="25">
        <v>0.25269999999999998</v>
      </c>
    </row>
    <row r="102" spans="1:21" x14ac:dyDescent="0.3">
      <c r="A102" s="44" t="s">
        <v>472</v>
      </c>
      <c r="P102" s="25">
        <v>0.23699999999999999</v>
      </c>
      <c r="Q102" s="25">
        <v>0.253</v>
      </c>
      <c r="R102" s="25">
        <v>0.2397</v>
      </c>
      <c r="S102" s="25">
        <v>0.27029999999999998</v>
      </c>
      <c r="T102" s="25">
        <v>0.23699999999999999</v>
      </c>
      <c r="U102" s="25">
        <v>0.253</v>
      </c>
    </row>
    <row r="103" spans="1:21" x14ac:dyDescent="0.3">
      <c r="A103" s="44" t="s">
        <v>473</v>
      </c>
      <c r="P103" s="25">
        <v>0.24560000000000001</v>
      </c>
      <c r="Q103" s="25">
        <v>0.25580000000000003</v>
      </c>
      <c r="R103" s="25">
        <v>0.23860000000000001</v>
      </c>
      <c r="S103" s="25">
        <v>0.26</v>
      </c>
      <c r="T103" s="25">
        <v>0.24560000000000001</v>
      </c>
      <c r="U103" s="25">
        <v>0.25580000000000003</v>
      </c>
    </row>
    <row r="105" spans="1:21" x14ac:dyDescent="0.3">
      <c r="A105" s="47" t="s">
        <v>474</v>
      </c>
    </row>
    <row r="106" spans="1:21" x14ac:dyDescent="0.3">
      <c r="A106" s="44" t="s">
        <v>475</v>
      </c>
      <c r="B106" s="48">
        <f>$B$69*$B$70*(1+$B$71/100)</f>
        <v>1073.7540000000001</v>
      </c>
    </row>
    <row r="107" spans="1:21" x14ac:dyDescent="0.3">
      <c r="A107" s="44" t="s">
        <v>476</v>
      </c>
      <c r="B107" s="48">
        <f>$B$69*(1-$B$70)*(1+$B$72/100)</f>
        <v>976.9375</v>
      </c>
    </row>
    <row r="108" spans="1:21" x14ac:dyDescent="0.3">
      <c r="A108" s="44" t="s">
        <v>477</v>
      </c>
      <c r="B108" s="48">
        <f>N18+O18-$B$106</f>
        <v>430.24599999999987</v>
      </c>
    </row>
    <row r="109" spans="1:21" x14ac:dyDescent="0.3">
      <c r="A109" s="44" t="s">
        <v>478</v>
      </c>
      <c r="B109" s="48">
        <f>$B$74*(1+$B$75/100)</f>
        <v>921.57999999999993</v>
      </c>
    </row>
    <row r="110" spans="1:21" x14ac:dyDescent="0.3">
      <c r="A110" s="44" t="s">
        <v>479</v>
      </c>
      <c r="B110" s="48">
        <f>$B$109-$B$108</f>
        <v>491.33400000000006</v>
      </c>
    </row>
    <row r="111" spans="1:21" x14ac:dyDescent="0.3">
      <c r="A111" s="44" t="s">
        <v>480</v>
      </c>
      <c r="B111" s="48">
        <f>$B$109*(1+$B$76/100)</f>
        <v>1022.9538</v>
      </c>
    </row>
    <row r="112" spans="1:21" x14ac:dyDescent="0.3">
      <c r="A112" s="44" t="s">
        <v>481</v>
      </c>
      <c r="B112" s="48">
        <f>(L17+M17)*(1+$B$66/100)</f>
        <v>728.12</v>
      </c>
    </row>
    <row r="113" spans="1:21" x14ac:dyDescent="0.3">
      <c r="A113" s="44" t="s">
        <v>482</v>
      </c>
      <c r="B113" s="48">
        <f>(N17+O17+$B$112)*(1+$B$67/100)+$B$68</f>
        <v>1625.2896000000001</v>
      </c>
    </row>
    <row r="114" spans="1:21" x14ac:dyDescent="0.3">
      <c r="A114" s="44" t="s">
        <v>483</v>
      </c>
      <c r="B114" s="48">
        <f>(L19+M19)*(1+$B$77/100)</f>
        <v>541.80000000000007</v>
      </c>
    </row>
    <row r="115" spans="1:21" x14ac:dyDescent="0.3">
      <c r="A115" s="44" t="s">
        <v>484</v>
      </c>
      <c r="B115" s="48">
        <f>(N19+O19+$B$114)*(1+$B$78/100)</f>
        <v>1044.5400000000002</v>
      </c>
    </row>
    <row r="116" spans="1:21" x14ac:dyDescent="0.3">
      <c r="A116" s="44" t="s">
        <v>485</v>
      </c>
      <c r="B116" s="48">
        <f>$B$83/$B$48</f>
        <v>40.222739726027392</v>
      </c>
    </row>
    <row r="117" spans="1:21" x14ac:dyDescent="0.3">
      <c r="A117" s="44" t="s">
        <v>486</v>
      </c>
      <c r="B117" s="48">
        <f>($B$52+$B$53*$B$54/100)*$P$100/100*$B$84*1000+$B$55*$B$116+($B$57/2+$B$58)/2+$B$60*$B$83</f>
        <v>611.57618634197547</v>
      </c>
    </row>
    <row r="118" spans="1:21" x14ac:dyDescent="0.3">
      <c r="A118" s="44" t="s">
        <v>487</v>
      </c>
      <c r="B118" s="48">
        <f>L16*($B$61*(1+$B$62/100)*$B$116/(L4/$B$50)+(1-$B$61)*(1+$B$64/100))</f>
        <v>361.44308671083178</v>
      </c>
    </row>
    <row r="119" spans="1:21" x14ac:dyDescent="0.3">
      <c r="A119" s="44" t="s">
        <v>488</v>
      </c>
      <c r="B119" s="48">
        <f>$B$112*$P$101/($P$101+$Q$101)+($B$107+$B$110)*$P$102/($P$102+$Q$102)+$B$114*$P$103/($P$103+$Q$103)</f>
        <v>1334.6479226791491</v>
      </c>
    </row>
    <row r="120" spans="1:21" x14ac:dyDescent="0.3">
      <c r="A120" s="44" t="s">
        <v>489</v>
      </c>
      <c r="B120" s="48">
        <f>$B$117+$B$118+$B$119</f>
        <v>2307.6671957319563</v>
      </c>
    </row>
    <row r="121" spans="1:21" x14ac:dyDescent="0.3">
      <c r="A121" s="44" t="s">
        <v>490</v>
      </c>
      <c r="B121" s="48">
        <f>$B$81*(1-(L24*100+$B$82)/100)+$B$86</f>
        <v>2405.2412355571728</v>
      </c>
    </row>
    <row r="122" spans="1:21" x14ac:dyDescent="0.3">
      <c r="A122" s="44" t="s">
        <v>491</v>
      </c>
      <c r="B122" s="48">
        <f>IF($B$80&gt;=0.5,MAX(0,$B$121-$B$120),0)</f>
        <v>97.57403982521646</v>
      </c>
    </row>
    <row r="123" spans="1:21" x14ac:dyDescent="0.3">
      <c r="A123" s="44" t="s">
        <v>492</v>
      </c>
      <c r="B123" s="48">
        <f>$B$122*$B$85</f>
        <v>68.301827877651519</v>
      </c>
    </row>
    <row r="124" spans="1:21" x14ac:dyDescent="0.3">
      <c r="A124" s="44" t="s">
        <v>493</v>
      </c>
      <c r="B124" s="48">
        <f>$B$58+$B$122*(1-$B$85)*2</f>
        <v>88.544423895129881</v>
      </c>
    </row>
    <row r="125" spans="1:21" x14ac:dyDescent="0.3">
      <c r="A125" s="44" t="s">
        <v>494</v>
      </c>
      <c r="B125" s="48">
        <f>($B$106+$B$107+$B$123)*(1+$B$73/100)</f>
        <v>2436.8423270592994</v>
      </c>
    </row>
    <row r="127" spans="1:21" x14ac:dyDescent="0.3">
      <c r="A127" s="47" t="s">
        <v>495</v>
      </c>
    </row>
    <row r="128" spans="1:21" x14ac:dyDescent="0.3">
      <c r="A128" s="44" t="s">
        <v>496</v>
      </c>
      <c r="P128" s="14">
        <f>P4/$B$48</f>
        <v>39.970191780821921</v>
      </c>
      <c r="Q128" s="14">
        <f>Q4/$B$48</f>
        <v>35.825575068493151</v>
      </c>
      <c r="R128" s="14">
        <f>R4/$B$49</f>
        <v>46.7819</v>
      </c>
      <c r="S128" s="14">
        <f>S4/$B$49</f>
        <v>43.550766666666668</v>
      </c>
      <c r="T128" s="14">
        <f>T4/$B$49</f>
        <v>42.994541893333327</v>
      </c>
      <c r="U128" s="14">
        <f>U4/$B$49</f>
        <v>38.476752211725007</v>
      </c>
    </row>
    <row r="129" spans="1:21" x14ac:dyDescent="0.3">
      <c r="A129" s="44" t="s">
        <v>497</v>
      </c>
      <c r="P129" s="15">
        <f t="shared" ref="P129:U129" si="43">($B$52+$B$53*$B$54/100)*P100</f>
        <v>1.7625754331459804</v>
      </c>
      <c r="Q129" s="15">
        <f t="shared" si="43"/>
        <v>1.7591694902799977</v>
      </c>
      <c r="R129" s="15">
        <f t="shared" si="43"/>
        <v>1.532674289692157</v>
      </c>
      <c r="S129" s="15">
        <f t="shared" si="43"/>
        <v>1.7796051474758932</v>
      </c>
      <c r="T129" s="15">
        <f t="shared" si="43"/>
        <v>1.7625754331459804</v>
      </c>
      <c r="U129" s="15">
        <f t="shared" si="43"/>
        <v>1.7591694902799977</v>
      </c>
    </row>
    <row r="130" spans="1:21" x14ac:dyDescent="0.3">
      <c r="A130" s="44" t="s">
        <v>498</v>
      </c>
      <c r="P130" s="48">
        <f t="shared" ref="P130:U130" si="44">P129/100*P7*1000</f>
        <v>451.70559618277429</v>
      </c>
      <c r="Q130" s="48">
        <f t="shared" si="44"/>
        <v>393.25918046495627</v>
      </c>
      <c r="R130" s="48">
        <f t="shared" si="44"/>
        <v>485.0420218197699</v>
      </c>
      <c r="S130" s="48">
        <f t="shared" si="44"/>
        <v>517.83084359029613</v>
      </c>
      <c r="T130" s="48">
        <f t="shared" si="44"/>
        <v>485.26571759944005</v>
      </c>
      <c r="U130" s="48">
        <f t="shared" si="44"/>
        <v>422.69859190820904</v>
      </c>
    </row>
    <row r="131" spans="1:21" x14ac:dyDescent="0.3">
      <c r="A131" s="44" t="s">
        <v>499</v>
      </c>
      <c r="P131" s="48">
        <f t="shared" ref="P131:U131" si="45">($B$55+$B$56)*P128</f>
        <v>28.778538082191783</v>
      </c>
      <c r="Q131" s="48">
        <f t="shared" si="45"/>
        <v>25.794414049315069</v>
      </c>
      <c r="R131" s="48">
        <f t="shared" si="45"/>
        <v>33.682968000000002</v>
      </c>
      <c r="S131" s="48">
        <f t="shared" si="45"/>
        <v>31.356552000000001</v>
      </c>
      <c r="T131" s="48">
        <f t="shared" si="45"/>
        <v>30.956070163199996</v>
      </c>
      <c r="U131" s="48">
        <f t="shared" si="45"/>
        <v>27.703261592442004</v>
      </c>
    </row>
    <row r="132" spans="1:21" x14ac:dyDescent="0.3">
      <c r="A132" s="44" t="s">
        <v>500</v>
      </c>
      <c r="P132" s="48">
        <f>($B$57/2+$B$124)/2</f>
        <v>100.27221194756494</v>
      </c>
      <c r="Q132" s="48">
        <f>($B$57/2+$B$124)/2</f>
        <v>100.27221194756494</v>
      </c>
      <c r="R132" s="48">
        <f>($B$59+MAX(0,2*($B$124-$B$58)))/4</f>
        <v>111.77221194756494</v>
      </c>
      <c r="S132" s="48">
        <f>($B$59+MAX(0,2*($B$124-$B$58)))/4</f>
        <v>111.77221194756494</v>
      </c>
      <c r="T132" s="48">
        <f>($B$59+MAX(0,2*($B$124-$B$58)))/4</f>
        <v>111.77221194756494</v>
      </c>
      <c r="U132" s="48">
        <f>($B$59+MAX(0,2*($B$124-$B$58)))/4</f>
        <v>111.77221194756494</v>
      </c>
    </row>
    <row r="133" spans="1:21" x14ac:dyDescent="0.3">
      <c r="A133" s="44" t="s">
        <v>501</v>
      </c>
      <c r="P133" s="48">
        <f t="shared" ref="P133:U133" si="46">$B$60*P4</f>
        <v>52.520831999999999</v>
      </c>
      <c r="Q133" s="48">
        <f t="shared" si="46"/>
        <v>47.074805640000001</v>
      </c>
      <c r="R133" s="48">
        <f t="shared" si="46"/>
        <v>60.629342399999999</v>
      </c>
      <c r="S133" s="48">
        <f t="shared" si="46"/>
        <v>56.441793599999997</v>
      </c>
      <c r="T133" s="48">
        <f t="shared" si="46"/>
        <v>55.720926293759995</v>
      </c>
      <c r="U133" s="48">
        <f t="shared" si="46"/>
        <v>49.865870866395603</v>
      </c>
    </row>
    <row r="134" spans="1:21" x14ac:dyDescent="0.3">
      <c r="A134" s="47" t="s">
        <v>502</v>
      </c>
      <c r="P134" s="48">
        <f t="shared" ref="P134:U134" si="47">SUM(P130:P133)</f>
        <v>633.27717821253111</v>
      </c>
      <c r="Q134" s="48">
        <f t="shared" si="47"/>
        <v>566.40061210183637</v>
      </c>
      <c r="R134" s="48">
        <f t="shared" si="47"/>
        <v>691.12654416733494</v>
      </c>
      <c r="S134" s="48">
        <f t="shared" si="47"/>
        <v>717.40140113786106</v>
      </c>
      <c r="T134" s="48">
        <f t="shared" si="47"/>
        <v>683.71492600396505</v>
      </c>
      <c r="U134" s="48">
        <f t="shared" si="47"/>
        <v>612.03993631461162</v>
      </c>
    </row>
    <row r="135" spans="1:21" x14ac:dyDescent="0.3">
      <c r="A135" s="44" t="s">
        <v>503</v>
      </c>
      <c r="P135" s="49">
        <f t="shared" ref="P135:U135" si="48">L16</f>
        <v>343</v>
      </c>
      <c r="Q135" s="49">
        <f t="shared" si="48"/>
        <v>303</v>
      </c>
      <c r="R135" s="49">
        <f t="shared" si="48"/>
        <v>301</v>
      </c>
      <c r="S135" s="49">
        <f t="shared" si="48"/>
        <v>323</v>
      </c>
      <c r="T135" s="49">
        <f t="shared" si="48"/>
        <v>360.99950856986305</v>
      </c>
      <c r="U135" s="49">
        <f t="shared" si="48"/>
        <v>317.80491971695898</v>
      </c>
    </row>
    <row r="136" spans="1:21" x14ac:dyDescent="0.3">
      <c r="A136" s="44" t="s">
        <v>504</v>
      </c>
      <c r="P136" s="14">
        <f>L4/$B$50</f>
        <v>36.108108108108105</v>
      </c>
      <c r="Q136" s="14">
        <f>M4/$B$50</f>
        <v>32.945945945945944</v>
      </c>
      <c r="R136" s="14">
        <f>N4/$B$51</f>
        <v>42.794520547945204</v>
      </c>
      <c r="S136" s="14">
        <f>O4/$B$51</f>
        <v>40.630136986301373</v>
      </c>
      <c r="T136" s="14">
        <f>P128</f>
        <v>39.970191780821921</v>
      </c>
      <c r="U136" s="14">
        <f>Q128</f>
        <v>35.825575068493151</v>
      </c>
    </row>
    <row r="137" spans="1:21" x14ac:dyDescent="0.3">
      <c r="A137" s="44" t="s">
        <v>505</v>
      </c>
      <c r="P137" s="48">
        <f>P135*$B$61*(1+$B$62/100)*P128/P136</f>
        <v>70.204108569863024</v>
      </c>
      <c r="Q137" s="48">
        <f>Q135*$B$61*(1+$B$62/100)*Q128/Q136</f>
        <v>60.921519716958905</v>
      </c>
      <c r="R137" s="48">
        <f>R135*$B$61*(1+$B$63/100)*R128/R136</f>
        <v>63.670338112500005</v>
      </c>
      <c r="S137" s="48">
        <f>S135*$B$61*(1+$B$63/100)*S128/S136</f>
        <v>66.993244274999995</v>
      </c>
      <c r="T137" s="48">
        <f>T135*$B$61*(1+$B$63/100)*T128/T136</f>
        <v>75.138872492514423</v>
      </c>
      <c r="U137" s="48">
        <f>U135*$B$61*(1+$B$63/100)*U128/U136</f>
        <v>66.046045807781397</v>
      </c>
    </row>
    <row r="138" spans="1:21" x14ac:dyDescent="0.3">
      <c r="A138" s="44" t="s">
        <v>506</v>
      </c>
      <c r="P138" s="48">
        <f t="shared" ref="P138:U138" si="49">P135*(1-$B$61)*(1+$B$64/100)</f>
        <v>290.79540000000003</v>
      </c>
      <c r="Q138" s="48">
        <f t="shared" si="49"/>
        <v>256.88340000000005</v>
      </c>
      <c r="R138" s="48">
        <f t="shared" si="49"/>
        <v>255.18780000000001</v>
      </c>
      <c r="S138" s="48">
        <f t="shared" si="49"/>
        <v>273.83940000000001</v>
      </c>
      <c r="T138" s="48">
        <f t="shared" si="49"/>
        <v>306.05538336552996</v>
      </c>
      <c r="U138" s="48">
        <f t="shared" si="49"/>
        <v>269.43501093603783</v>
      </c>
    </row>
    <row r="139" spans="1:21" x14ac:dyDescent="0.3">
      <c r="A139" s="47" t="s">
        <v>507</v>
      </c>
      <c r="P139" s="48">
        <f t="shared" ref="P139:U139" si="50">(P137+P138)*(1+$B$65/100)</f>
        <v>360.99950856986305</v>
      </c>
      <c r="Q139" s="48">
        <f t="shared" si="50"/>
        <v>317.80491971695898</v>
      </c>
      <c r="R139" s="48">
        <f t="shared" si="50"/>
        <v>318.8581381125</v>
      </c>
      <c r="S139" s="48">
        <f t="shared" si="50"/>
        <v>340.83264427500001</v>
      </c>
      <c r="T139" s="48">
        <f t="shared" si="50"/>
        <v>381.19425585804436</v>
      </c>
      <c r="U139" s="48">
        <f t="shared" si="50"/>
        <v>335.48105674381924</v>
      </c>
    </row>
    <row r="140" spans="1:21" x14ac:dyDescent="0.3">
      <c r="A140" s="47" t="s">
        <v>508</v>
      </c>
      <c r="P140" s="48">
        <f>$B$112*P101/($P$101+$Q$101)</f>
        <v>359.09488166867231</v>
      </c>
      <c r="Q140" s="48">
        <f>$B$112*Q101/($P$101+$Q$101)</f>
        <v>369.02511833132769</v>
      </c>
      <c r="R140" s="48">
        <f>$B$113*R101</f>
        <v>414.12379008000005</v>
      </c>
      <c r="S140" s="48">
        <f>$B$113*S101</f>
        <v>400.79641536000003</v>
      </c>
      <c r="T140" s="48">
        <f>$B$113*T101</f>
        <v>399.65871264000003</v>
      </c>
      <c r="U140" s="48">
        <f>$B$113*U101</f>
        <v>410.71068191999996</v>
      </c>
    </row>
    <row r="141" spans="1:21" x14ac:dyDescent="0.3">
      <c r="A141" s="44" t="s">
        <v>509</v>
      </c>
      <c r="P141" s="48">
        <f>$B$107*P102/($P$102+$Q$102)+$B$123</f>
        <v>540.82057787765154</v>
      </c>
      <c r="Q141" s="48">
        <f>$B$107*Q102/($P$102+$Q$102)-$B$79</f>
        <v>504.41874999999999</v>
      </c>
      <c r="R141" s="48">
        <f>$B$125*R102</f>
        <v>584.11110579611409</v>
      </c>
      <c r="S141" s="48">
        <f>$B$125*S102</f>
        <v>658.67848100412857</v>
      </c>
      <c r="T141" s="48">
        <f>$B$125*T102</f>
        <v>577.53163151305387</v>
      </c>
      <c r="U141" s="48">
        <f>$B$125*U102</f>
        <v>616.52110874600271</v>
      </c>
    </row>
    <row r="142" spans="1:21" x14ac:dyDescent="0.3">
      <c r="A142" s="44" t="s">
        <v>510</v>
      </c>
      <c r="P142" s="48">
        <f>$B$110*P102/($P$102+$Q$102)</f>
        <v>237.64522040816328</v>
      </c>
      <c r="Q142" s="48">
        <f>$B$110*Q102/($P$102+$Q$102)</f>
        <v>253.68877959183678</v>
      </c>
      <c r="R142" s="48">
        <f>$B$111*R102</f>
        <v>245.20202585999999</v>
      </c>
      <c r="S142" s="48">
        <f>$B$111*S102</f>
        <v>276.50441214</v>
      </c>
      <c r="T142" s="48">
        <f>$B$111*T102</f>
        <v>242.44005059999998</v>
      </c>
      <c r="U142" s="48">
        <f>$B$111*U102</f>
        <v>258.8073114</v>
      </c>
    </row>
    <row r="143" spans="1:21" x14ac:dyDescent="0.3">
      <c r="A143" s="47" t="s">
        <v>511</v>
      </c>
      <c r="P143" s="48">
        <f t="shared" ref="P143:U143" si="51">P141+P142</f>
        <v>778.4657982858148</v>
      </c>
      <c r="Q143" s="48">
        <f t="shared" si="51"/>
        <v>758.10752959183674</v>
      </c>
      <c r="R143" s="48">
        <f t="shared" si="51"/>
        <v>829.31313165611414</v>
      </c>
      <c r="S143" s="48">
        <f t="shared" si="51"/>
        <v>935.18289314412857</v>
      </c>
      <c r="T143" s="48">
        <f t="shared" si="51"/>
        <v>819.97168211305382</v>
      </c>
      <c r="U143" s="48">
        <f t="shared" si="51"/>
        <v>875.32842014600271</v>
      </c>
    </row>
    <row r="144" spans="1:21" x14ac:dyDescent="0.3">
      <c r="A144" s="47" t="s">
        <v>512</v>
      </c>
      <c r="P144" s="48">
        <f>$B$114*P103/($P$103+$Q$103)</f>
        <v>265.38907060231355</v>
      </c>
      <c r="Q144" s="48">
        <f>$B$114*Q103/($P$103+$Q$103)</f>
        <v>276.41092939768652</v>
      </c>
      <c r="R144" s="48">
        <f>$B$115*R103</f>
        <v>249.22724400000004</v>
      </c>
      <c r="S144" s="48">
        <f>$B$115*S103</f>
        <v>271.58040000000005</v>
      </c>
      <c r="T144" s="48">
        <f>$B$115*T103</f>
        <v>256.53902400000004</v>
      </c>
      <c r="U144" s="48">
        <f>$B$115*U103</f>
        <v>267.19333200000005</v>
      </c>
    </row>
    <row r="145" spans="1:21" x14ac:dyDescent="0.3">
      <c r="A145" s="47" t="s">
        <v>513</v>
      </c>
      <c r="P145" s="48">
        <f t="shared" ref="P145:U145" si="52">L26*(1+$B$87/100)</f>
        <v>451.57918566107082</v>
      </c>
      <c r="Q145" s="48">
        <f t="shared" si="52"/>
        <v>465.16051455313311</v>
      </c>
      <c r="R145" s="48">
        <f t="shared" si="52"/>
        <v>464.02873714546126</v>
      </c>
      <c r="S145" s="48">
        <f t="shared" si="52"/>
        <v>551.17559753619423</v>
      </c>
      <c r="T145" s="48">
        <f t="shared" si="52"/>
        <v>511.08712010605484</v>
      </c>
      <c r="U145" s="48">
        <f t="shared" si="52"/>
        <v>526.45816131225195</v>
      </c>
    </row>
    <row r="146" spans="1:21" x14ac:dyDescent="0.3">
      <c r="A146" s="44" t="s">
        <v>514</v>
      </c>
      <c r="L146" s="30">
        <v>7209</v>
      </c>
      <c r="M146" s="30">
        <v>6959</v>
      </c>
      <c r="N146" s="30">
        <v>10550</v>
      </c>
      <c r="O146" s="30">
        <v>12224</v>
      </c>
      <c r="P146" s="31">
        <f t="shared" ref="P146:U146" si="53">L146*P7/L7</f>
        <v>8073.174066984091</v>
      </c>
      <c r="Q146" s="31">
        <f t="shared" si="53"/>
        <v>7618.5720262570694</v>
      </c>
      <c r="R146" s="31">
        <f t="shared" si="53"/>
        <v>11441.357492115432</v>
      </c>
      <c r="S146" s="31">
        <f t="shared" si="53"/>
        <v>13054.38379507542</v>
      </c>
      <c r="T146" s="31">
        <f t="shared" si="53"/>
        <v>8672.982225650856</v>
      </c>
      <c r="U146" s="31">
        <f t="shared" si="53"/>
        <v>8188.8988937083523</v>
      </c>
    </row>
    <row r="147" spans="1:21" x14ac:dyDescent="0.3">
      <c r="A147" s="44" t="s">
        <v>515</v>
      </c>
      <c r="O147" s="31">
        <f t="shared" ref="O147:U147" si="54">O146*(1-$B$91/100)</f>
        <v>12224</v>
      </c>
      <c r="P147" s="31">
        <f t="shared" si="54"/>
        <v>8073.174066984091</v>
      </c>
      <c r="Q147" s="31">
        <f t="shared" si="54"/>
        <v>7618.5720262570694</v>
      </c>
      <c r="R147" s="31">
        <f t="shared" si="54"/>
        <v>11441.357492115432</v>
      </c>
      <c r="S147" s="31">
        <f t="shared" si="54"/>
        <v>13054.38379507542</v>
      </c>
      <c r="T147" s="31">
        <f t="shared" si="54"/>
        <v>8672.982225650856</v>
      </c>
      <c r="U147" s="31">
        <f t="shared" si="54"/>
        <v>8188.8988937083523</v>
      </c>
    </row>
    <row r="148" spans="1:21" x14ac:dyDescent="0.3">
      <c r="A148" s="47" t="s">
        <v>516</v>
      </c>
      <c r="P148" s="48">
        <f t="shared" ref="P148:U148" si="55">$B$88*$B$89/100*($B$90+(P147+O147)/2)/4</f>
        <v>183.05240061765889</v>
      </c>
      <c r="Q148" s="48">
        <f t="shared" si="55"/>
        <v>164.0801637767606</v>
      </c>
      <c r="R148" s="48">
        <f t="shared" si="55"/>
        <v>177.95552433597595</v>
      </c>
      <c r="S148" s="48">
        <f t="shared" si="55"/>
        <v>200.34855900909199</v>
      </c>
      <c r="T148" s="48">
        <f t="shared" si="55"/>
        <v>188.944131121109</v>
      </c>
      <c r="U148" s="48">
        <f t="shared" si="55"/>
        <v>168.90057981147274</v>
      </c>
    </row>
    <row r="149" spans="1:21" x14ac:dyDescent="0.3">
      <c r="A149" s="47" t="s">
        <v>517</v>
      </c>
      <c r="P149" s="21">
        <f>$B$96+$B$97</f>
        <v>591.67581338190553</v>
      </c>
      <c r="Q149" s="21">
        <f>P149+$B$97</f>
        <v>586.35162676381105</v>
      </c>
      <c r="R149" s="21">
        <f>Q149+$B$97</f>
        <v>581.02744014571658</v>
      </c>
      <c r="S149" s="21">
        <f>R149+$B$97</f>
        <v>575.70325352762211</v>
      </c>
      <c r="T149" s="21">
        <f>S149+$B$97</f>
        <v>570.37906690952764</v>
      </c>
      <c r="U149" s="21">
        <f>T149+$B$97</f>
        <v>565.05488029143316</v>
      </c>
    </row>
    <row r="151" spans="1:21" x14ac:dyDescent="0.3">
      <c r="A151" s="47" t="s">
        <v>518</v>
      </c>
    </row>
    <row r="152" spans="1:21" x14ac:dyDescent="0.3">
      <c r="A152" s="44" t="s">
        <v>519</v>
      </c>
      <c r="P152" s="9">
        <f t="shared" ref="P152:U152" si="56">P24</f>
        <v>0.48432068425094504</v>
      </c>
      <c r="Q152" s="9">
        <f t="shared" si="56"/>
        <v>0.26361749421051178</v>
      </c>
      <c r="R152" s="9">
        <f t="shared" si="56"/>
        <v>0.14481870403288555</v>
      </c>
      <c r="S152" s="9">
        <f t="shared" si="56"/>
        <v>0.31470053102274048</v>
      </c>
      <c r="T152" s="9">
        <f t="shared" si="56"/>
        <v>0.4909293991179392</v>
      </c>
      <c r="U152" s="9">
        <f t="shared" si="56"/>
        <v>0.25053638485273994</v>
      </c>
    </row>
    <row r="153" spans="1:21" x14ac:dyDescent="0.3">
      <c r="A153" s="44" t="s">
        <v>520</v>
      </c>
      <c r="P153" s="9">
        <f t="shared" ref="P153:U153" si="57">P40/P38</f>
        <v>0.49775731822474034</v>
      </c>
      <c r="Q153" s="9">
        <f t="shared" si="57"/>
        <v>0.28897280680114612</v>
      </c>
      <c r="R153" s="9">
        <f t="shared" si="57"/>
        <v>0.20287876371947167</v>
      </c>
      <c r="S153" s="9">
        <f t="shared" si="57"/>
        <v>0.35960653366163481</v>
      </c>
      <c r="T153" s="9">
        <f t="shared" si="57"/>
        <v>0.51149326393636874</v>
      </c>
      <c r="U153" s="9">
        <f t="shared" si="57"/>
        <v>0.30275446135442441</v>
      </c>
    </row>
    <row r="154" spans="1:21" x14ac:dyDescent="0.3">
      <c r="A154" s="44" t="s">
        <v>521</v>
      </c>
      <c r="P154" s="14">
        <f t="shared" ref="P154:U154" si="58">(P152-P153)*100</f>
        <v>-1.3436633973795298</v>
      </c>
      <c r="Q154" s="14">
        <f t="shared" si="58"/>
        <v>-2.5355312590634336</v>
      </c>
      <c r="R154" s="14">
        <f t="shared" si="58"/>
        <v>-5.8060059686586118</v>
      </c>
      <c r="S154" s="14">
        <f t="shared" si="58"/>
        <v>-4.4906002638894327</v>
      </c>
      <c r="T154" s="14">
        <f t="shared" si="58"/>
        <v>-2.0563864818429534</v>
      </c>
      <c r="U154" s="14">
        <f t="shared" si="58"/>
        <v>-5.2218076501684472</v>
      </c>
    </row>
    <row r="155" spans="1:21" x14ac:dyDescent="0.3">
      <c r="A155" s="44" t="s">
        <v>522</v>
      </c>
      <c r="P155" s="32">
        <f t="shared" ref="P155:U155" si="59">P20/L20-1</f>
        <v>0.15976121787092157</v>
      </c>
      <c r="Q155" s="32">
        <f t="shared" si="59"/>
        <v>0.13423356923135676</v>
      </c>
      <c r="R155" s="32">
        <f t="shared" si="59"/>
        <v>0.14853090776317091</v>
      </c>
      <c r="S155" s="32">
        <f t="shared" si="59"/>
        <v>0.12718551962663405</v>
      </c>
      <c r="T155" s="32">
        <f t="shared" si="59"/>
        <v>6.0007749387053E-2</v>
      </c>
      <c r="U155" s="32">
        <f t="shared" si="59"/>
        <v>9.3106502428009774E-2</v>
      </c>
    </row>
    <row r="156" spans="1:21" x14ac:dyDescent="0.3">
      <c r="A156" s="44" t="s">
        <v>523</v>
      </c>
      <c r="P156" s="32">
        <f t="shared" ref="P156:U156" si="60">P18/P11</f>
        <v>0.16891356671884492</v>
      </c>
      <c r="Q156" s="32">
        <f t="shared" si="60"/>
        <v>0.24624118678784518</v>
      </c>
      <c r="R156" s="32">
        <f t="shared" si="60"/>
        <v>0.28574086527255804</v>
      </c>
      <c r="S156" s="32">
        <f t="shared" si="60"/>
        <v>0.24228416903594838</v>
      </c>
      <c r="T156" s="32">
        <f t="shared" si="60"/>
        <v>0.16561501567961698</v>
      </c>
      <c r="U156" s="32">
        <f t="shared" si="60"/>
        <v>0.26451419526504383</v>
      </c>
    </row>
    <row r="157" spans="1:21" x14ac:dyDescent="0.3">
      <c r="A157" s="44" t="s">
        <v>524</v>
      </c>
      <c r="P157" s="32">
        <f t="shared" ref="P157:U157" si="61">(P23-L23)/(P11-L11)</f>
        <v>0.35250911654536771</v>
      </c>
      <c r="Q157" s="32">
        <f t="shared" si="61"/>
        <v>8.5143497214176203E-2</v>
      </c>
      <c r="R157" s="32">
        <f t="shared" si="61"/>
        <v>-0.43993532750814385</v>
      </c>
      <c r="S157" s="32">
        <f t="shared" si="61"/>
        <v>-0.18383297075274208</v>
      </c>
      <c r="T157" s="32">
        <f t="shared" si="61"/>
        <v>0.57988001559321611</v>
      </c>
      <c r="U157" s="32">
        <f t="shared" si="61"/>
        <v>7.5795583545420847E-2</v>
      </c>
    </row>
    <row r="158" spans="1:21" x14ac:dyDescent="0.3">
      <c r="A158" s="44" t="s">
        <v>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14"/>
  <sheetViews>
    <sheetView zoomScale="38" zoomScaleNormal="70" workbookViewId="0">
      <pane xSplit="1" ySplit="3" topLeftCell="B4" activePane="bottomRight" state="frozen"/>
      <selection pane="topRight"/>
      <selection pane="bottomLeft"/>
      <selection pane="bottomRight" activeCell="B2" sqref="A2:XFD2"/>
    </sheetView>
  </sheetViews>
  <sheetFormatPr defaultColWidth="8.77734375" defaultRowHeight="14.4" x14ac:dyDescent="0.3"/>
  <cols>
    <col min="1" max="1" width="46" customWidth="1"/>
    <col min="2" max="29" width="9.44140625" customWidth="1"/>
  </cols>
  <sheetData>
    <row r="1" spans="1:29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3" spans="1:29" x14ac:dyDescent="0.3">
      <c r="A3" s="4" t="s">
        <v>1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  <c r="U3" s="6" t="s">
        <v>22</v>
      </c>
      <c r="V3" s="6" t="s">
        <v>23</v>
      </c>
      <c r="W3" s="6" t="s">
        <v>24</v>
      </c>
      <c r="X3" s="6" t="s">
        <v>25</v>
      </c>
      <c r="Y3" s="6" t="s">
        <v>26</v>
      </c>
      <c r="Z3" s="6" t="s">
        <v>27</v>
      </c>
      <c r="AA3" s="6" t="s">
        <v>28</v>
      </c>
      <c r="AB3" s="6" t="s">
        <v>29</v>
      </c>
      <c r="AC3" s="6" t="s">
        <v>30</v>
      </c>
    </row>
    <row r="5" spans="1:29" x14ac:dyDescent="0.3">
      <c r="A5" s="4" t="s">
        <v>31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x14ac:dyDescent="0.3">
      <c r="A6" s="7" t="s">
        <v>32</v>
      </c>
      <c r="B6" s="8">
        <v>64.400000000000006</v>
      </c>
      <c r="C6" s="8">
        <v>83.1</v>
      </c>
      <c r="D6" s="8">
        <v>79.7</v>
      </c>
      <c r="E6" s="8">
        <v>73.400000000000006</v>
      </c>
      <c r="F6" s="8">
        <v>102.1</v>
      </c>
      <c r="G6" s="8">
        <v>103.7</v>
      </c>
      <c r="H6" s="8">
        <v>99.7</v>
      </c>
      <c r="I6" s="8">
        <v>88.2</v>
      </c>
      <c r="J6" s="8">
        <v>121.1</v>
      </c>
      <c r="K6" s="8">
        <v>115.1</v>
      </c>
      <c r="L6" s="8">
        <v>113.2</v>
      </c>
      <c r="M6" s="8">
        <v>98.8</v>
      </c>
      <c r="N6" s="8">
        <v>132.6</v>
      </c>
      <c r="O6" s="8">
        <v>125.1</v>
      </c>
      <c r="P6" s="8">
        <v>122.8</v>
      </c>
      <c r="Q6" s="8">
        <v>111</v>
      </c>
      <c r="R6" s="8">
        <v>143.1</v>
      </c>
      <c r="S6" s="8">
        <v>134.4</v>
      </c>
      <c r="T6" s="8">
        <v>133.6</v>
      </c>
      <c r="U6" s="8">
        <v>121.9</v>
      </c>
      <c r="V6" s="8">
        <v>156.19999999999999</v>
      </c>
      <c r="W6" s="8">
        <v>148.30000000000001</v>
      </c>
    </row>
    <row r="7" spans="1:29" x14ac:dyDescent="0.3">
      <c r="A7" s="7" t="s">
        <v>33</v>
      </c>
      <c r="F7" s="9">
        <f t="shared" ref="F7:W7" si="0">F6/B6-1</f>
        <v>0.58540372670807428</v>
      </c>
      <c r="G7" s="9">
        <f t="shared" si="0"/>
        <v>0.24789410348977148</v>
      </c>
      <c r="H7" s="9">
        <f t="shared" si="0"/>
        <v>0.25094102885821834</v>
      </c>
      <c r="I7" s="9">
        <f t="shared" si="0"/>
        <v>0.20163487738419605</v>
      </c>
      <c r="J7" s="9">
        <f t="shared" si="0"/>
        <v>0.18609206660137123</v>
      </c>
      <c r="K7" s="9">
        <f t="shared" si="0"/>
        <v>0.10993249758919954</v>
      </c>
      <c r="L7" s="9">
        <f t="shared" si="0"/>
        <v>0.13540621865596791</v>
      </c>
      <c r="M7" s="9">
        <f t="shared" si="0"/>
        <v>0.1201814058956916</v>
      </c>
      <c r="N7" s="9">
        <f t="shared" si="0"/>
        <v>9.4962840627580425E-2</v>
      </c>
      <c r="O7" s="9">
        <f t="shared" si="0"/>
        <v>8.6880973066898459E-2</v>
      </c>
      <c r="P7" s="9">
        <f t="shared" si="0"/>
        <v>8.4805653710247286E-2</v>
      </c>
      <c r="Q7" s="9">
        <f t="shared" si="0"/>
        <v>0.12348178137651833</v>
      </c>
      <c r="R7" s="9">
        <f t="shared" si="0"/>
        <v>7.9185520361990891E-2</v>
      </c>
      <c r="S7" s="9">
        <f t="shared" si="0"/>
        <v>7.4340527577937854E-2</v>
      </c>
      <c r="T7" s="9">
        <f t="shared" si="0"/>
        <v>8.7947882736156391E-2</v>
      </c>
      <c r="U7" s="9">
        <f t="shared" si="0"/>
        <v>9.8198198198198305E-2</v>
      </c>
      <c r="V7" s="9">
        <f t="shared" si="0"/>
        <v>9.1544374563242492E-2</v>
      </c>
      <c r="W7" s="9">
        <f t="shared" si="0"/>
        <v>0.10342261904761907</v>
      </c>
    </row>
    <row r="9" spans="1:29" x14ac:dyDescent="0.3">
      <c r="A9" s="4" t="s">
        <v>34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x14ac:dyDescent="0.3">
      <c r="A10" s="7" t="s">
        <v>35</v>
      </c>
      <c r="B10" s="10">
        <v>-30.00918602827505</v>
      </c>
      <c r="C10" s="10">
        <v>256.22579373362089</v>
      </c>
      <c r="D10" s="10">
        <v>84.26742112514458</v>
      </c>
      <c r="E10" s="10">
        <v>86.208476633113946</v>
      </c>
      <c r="F10" s="10">
        <v>67.324546921139273</v>
      </c>
      <c r="G10" s="10">
        <v>46.57101782633697</v>
      </c>
      <c r="H10" s="10">
        <v>22.73297772199561</v>
      </c>
      <c r="I10" s="10">
        <v>11.322567647149979</v>
      </c>
      <c r="J10" s="10">
        <v>9.7224684354625843</v>
      </c>
      <c r="K10" s="10">
        <v>3.9560507434108771</v>
      </c>
      <c r="L10" s="10">
        <v>4.376043484264569</v>
      </c>
      <c r="M10" s="10">
        <v>1.613859968500075</v>
      </c>
      <c r="N10" s="10">
        <v>1.4023740811115459</v>
      </c>
      <c r="O10" s="10">
        <v>0.1114114058495152</v>
      </c>
      <c r="P10" s="10">
        <v>2.5699009690322239</v>
      </c>
      <c r="Q10" s="10">
        <v>2.7347427953721142</v>
      </c>
      <c r="R10" s="10">
        <v>-2.6372922893876272</v>
      </c>
      <c r="S10" s="10">
        <v>-0.91095634120728075</v>
      </c>
      <c r="T10" s="10">
        <v>-0.3824355194063877</v>
      </c>
      <c r="U10" s="10">
        <v>5.9808764333157897E-2</v>
      </c>
      <c r="V10" s="10">
        <v>5.4096747214058549</v>
      </c>
      <c r="W10" s="10">
        <v>6.8959655599030389</v>
      </c>
    </row>
    <row r="11" spans="1:29" x14ac:dyDescent="0.3">
      <c r="A11" s="7" t="s">
        <v>36</v>
      </c>
      <c r="B11" s="10">
        <v>-74.978465370725175</v>
      </c>
      <c r="C11" s="10">
        <v>408.42535480605181</v>
      </c>
      <c r="D11" s="10">
        <v>76.402151983860108</v>
      </c>
      <c r="E11" s="10">
        <v>266.06161772034852</v>
      </c>
      <c r="F11" s="10">
        <v>324.38396825268802</v>
      </c>
      <c r="G11" s="10">
        <v>256.48639643176438</v>
      </c>
      <c r="H11" s="10">
        <v>55.2370567255049</v>
      </c>
      <c r="I11" s="10">
        <v>34.486339600470032</v>
      </c>
      <c r="J11" s="10">
        <v>36.693191715492112</v>
      </c>
      <c r="K11" s="10">
        <v>23.201082331809801</v>
      </c>
      <c r="L11" s="10">
        <v>11.821017972786141</v>
      </c>
      <c r="M11" s="10">
        <v>14.61266737385858</v>
      </c>
      <c r="N11" s="10">
        <v>9.2353197747691436</v>
      </c>
      <c r="O11" s="10">
        <v>8.828124307834063</v>
      </c>
      <c r="P11" s="10">
        <v>5.5260002673444886</v>
      </c>
      <c r="Q11" s="10">
        <v>6.7601096364897204</v>
      </c>
      <c r="R11" s="10">
        <v>4.252915647932376</v>
      </c>
      <c r="S11" s="10">
        <v>2.9855343856650012</v>
      </c>
      <c r="T11" s="10">
        <v>2.180663703284424</v>
      </c>
      <c r="U11" s="10">
        <v>5.5190956087615373</v>
      </c>
      <c r="V11" s="10">
        <v>4.7307413328075087</v>
      </c>
      <c r="W11" s="10">
        <v>1.482340923424097</v>
      </c>
    </row>
    <row r="12" spans="1:29" x14ac:dyDescent="0.3">
      <c r="A12" s="7" t="s">
        <v>37</v>
      </c>
      <c r="B12" s="10">
        <v>-50.559682433122703</v>
      </c>
      <c r="C12" s="10">
        <v>384.87717853712093</v>
      </c>
      <c r="D12" s="10">
        <v>131.73399445821789</v>
      </c>
      <c r="E12" s="10">
        <v>101.5150637311703</v>
      </c>
      <c r="F12" s="10">
        <v>128.20254506892891</v>
      </c>
      <c r="G12" s="10">
        <v>134.6987829871214</v>
      </c>
      <c r="H12" s="10">
        <v>102.4405646359584</v>
      </c>
      <c r="I12" s="10">
        <v>67.420907136275218</v>
      </c>
      <c r="J12" s="10">
        <v>50.234582381628499</v>
      </c>
      <c r="K12" s="10">
        <v>35.123093619694991</v>
      </c>
      <c r="L12" s="10">
        <v>33.380883301096077</v>
      </c>
      <c r="M12" s="10">
        <v>38.083971205276349</v>
      </c>
      <c r="N12" s="10">
        <v>24.186324633001451</v>
      </c>
      <c r="O12" s="10">
        <v>16.542043410776319</v>
      </c>
      <c r="P12" s="10">
        <v>24.111262583892621</v>
      </c>
      <c r="Q12" s="10">
        <v>13.35590970013487</v>
      </c>
      <c r="R12" s="10">
        <v>27.159450105989119</v>
      </c>
      <c r="S12" s="10">
        <v>34.00557184349595</v>
      </c>
      <c r="T12" s="10">
        <v>18.443780132918409</v>
      </c>
      <c r="U12" s="10">
        <v>24.82474787736146</v>
      </c>
      <c r="V12" s="10">
        <v>18.221580416279039</v>
      </c>
      <c r="W12" s="10">
        <v>20.39582536033171</v>
      </c>
    </row>
    <row r="13" spans="1:29" x14ac:dyDescent="0.3">
      <c r="A13" s="7" t="s">
        <v>38</v>
      </c>
      <c r="B13" s="10">
        <v>-24.215631766178941</v>
      </c>
      <c r="C13" s="10">
        <v>231.83258463019411</v>
      </c>
      <c r="D13" s="10">
        <v>-3.9807106971286088</v>
      </c>
      <c r="E13" s="10">
        <v>-2.6257211647662699</v>
      </c>
      <c r="F13" s="10">
        <v>12.21555341819491</v>
      </c>
      <c r="G13" s="10">
        <v>16.689583491224841</v>
      </c>
      <c r="H13" s="10">
        <v>95.767699792467596</v>
      </c>
      <c r="I13" s="10">
        <v>74.884345975002091</v>
      </c>
      <c r="J13" s="10">
        <v>53.345968488946369</v>
      </c>
      <c r="K13" s="10">
        <v>18.132796150740681</v>
      </c>
      <c r="L13" s="10">
        <v>14.79939614735852</v>
      </c>
      <c r="M13" s="10">
        <v>16.516760578273939</v>
      </c>
      <c r="N13" s="10">
        <v>21.770866627518899</v>
      </c>
      <c r="O13" s="10">
        <v>4.8761295875084487</v>
      </c>
      <c r="P13" s="10">
        <v>2.0800717042435801</v>
      </c>
      <c r="Q13" s="10">
        <v>8.6573671039143143</v>
      </c>
      <c r="R13" s="10">
        <v>-0.82253826049181189</v>
      </c>
      <c r="S13" s="10">
        <v>4.7150992812766468</v>
      </c>
      <c r="T13" s="10">
        <v>4.9485043393544093</v>
      </c>
      <c r="U13" s="10">
        <v>6.2442451318077907</v>
      </c>
      <c r="V13" s="10">
        <v>8.8637260668645865</v>
      </c>
      <c r="W13" s="10">
        <v>2.3029908813097628</v>
      </c>
    </row>
    <row r="14" spans="1:29" x14ac:dyDescent="0.3">
      <c r="A14" s="7" t="s">
        <v>39</v>
      </c>
      <c r="F14" s="11">
        <v>0.3976644896770864</v>
      </c>
      <c r="G14" s="11">
        <v>0.3941976578064052</v>
      </c>
      <c r="H14" s="11">
        <v>0.34525404345076482</v>
      </c>
      <c r="I14" s="11">
        <v>0.36554986903733061</v>
      </c>
      <c r="J14" s="11">
        <v>0.36026345457877967</v>
      </c>
      <c r="K14" s="11">
        <v>0.3545083341334318</v>
      </c>
      <c r="L14" s="11">
        <v>0.32168886260364532</v>
      </c>
      <c r="M14" s="11">
        <v>0.33132228854014611</v>
      </c>
      <c r="N14" s="11">
        <v>0.32794356451847262</v>
      </c>
      <c r="O14" s="11">
        <v>0.3509795845064686</v>
      </c>
      <c r="P14" s="11">
        <v>0.30945651307373628</v>
      </c>
      <c r="Q14" s="11">
        <v>0.31131841504097452</v>
      </c>
      <c r="R14" s="11">
        <v>0.31811106355192592</v>
      </c>
      <c r="S14" s="11">
        <v>0.32187024323551061</v>
      </c>
      <c r="T14" s="11">
        <v>0.28670938357038828</v>
      </c>
      <c r="U14" s="11">
        <v>0.2805252643412614</v>
      </c>
      <c r="V14" s="11">
        <v>0.2847520658412438</v>
      </c>
      <c r="W14" s="11">
        <v>0.31848283671423577</v>
      </c>
      <c r="X14" s="11">
        <v>0.26492132062688978</v>
      </c>
      <c r="Y14" s="11">
        <v>0.25327854288414547</v>
      </c>
      <c r="Z14" s="11">
        <v>0.2520545312787783</v>
      </c>
      <c r="AA14" s="11">
        <v>0.28037536222134563</v>
      </c>
      <c r="AB14" s="11">
        <v>0.22127536120481739</v>
      </c>
      <c r="AC14" s="11">
        <v>0.20414600569439539</v>
      </c>
    </row>
    <row r="15" spans="1:29" x14ac:dyDescent="0.3">
      <c r="A15" s="7" t="s">
        <v>40</v>
      </c>
      <c r="F15" s="11">
        <v>0.2641620558386204</v>
      </c>
      <c r="G15" s="11">
        <v>0.38471523992102769</v>
      </c>
      <c r="H15" s="11">
        <v>0.4814101139518967</v>
      </c>
      <c r="I15" s="11">
        <v>0.30864624695464909</v>
      </c>
      <c r="J15" s="11">
        <v>0.26113228232917818</v>
      </c>
      <c r="K15" s="11">
        <v>0.40969100380178358</v>
      </c>
      <c r="L15" s="11">
        <v>0.48845027234307392</v>
      </c>
      <c r="M15" s="11">
        <v>0.31761694039156102</v>
      </c>
      <c r="N15" s="11">
        <v>0.26818392314905598</v>
      </c>
      <c r="O15" s="11">
        <v>0.41167263980512181</v>
      </c>
      <c r="P15" s="11">
        <v>0.49739851854796679</v>
      </c>
      <c r="Q15" s="11">
        <v>0.32570757893455138</v>
      </c>
      <c r="R15" s="11">
        <v>0.26377225005918509</v>
      </c>
      <c r="S15" s="11">
        <v>0.42191656302834202</v>
      </c>
      <c r="T15" s="11">
        <v>0.51045490870343424</v>
      </c>
      <c r="U15" s="11">
        <v>0.33326286328877652</v>
      </c>
      <c r="V15" s="11">
        <v>0.27362881735042582</v>
      </c>
      <c r="W15" s="11">
        <v>0.41680142033350331</v>
      </c>
      <c r="X15" s="11">
        <v>0.51486680214515035</v>
      </c>
      <c r="Y15" s="11">
        <v>0.33860146475352998</v>
      </c>
      <c r="Z15" s="11">
        <v>0.27996477508052242</v>
      </c>
      <c r="AA15" s="11">
        <v>0.42439557413729551</v>
      </c>
      <c r="AB15" s="11">
        <v>0.52370472971269066</v>
      </c>
      <c r="AC15" s="11">
        <v>0.34822827564969949</v>
      </c>
    </row>
    <row r="16" spans="1:29" x14ac:dyDescent="0.3">
      <c r="A16" s="7" t="s">
        <v>41</v>
      </c>
      <c r="F16" s="11">
        <v>0.179822664252863</v>
      </c>
      <c r="G16" s="11">
        <v>0.1027097561738697</v>
      </c>
      <c r="H16" s="11">
        <v>7.5576970872495694E-2</v>
      </c>
      <c r="I16" s="11">
        <v>0.14966175532743281</v>
      </c>
      <c r="J16" s="11">
        <v>0.19112864037033189</v>
      </c>
      <c r="K16" s="11">
        <v>0.10123186317918979</v>
      </c>
      <c r="L16" s="11">
        <v>8.0902329172667098E-2</v>
      </c>
      <c r="M16" s="11">
        <v>0.1645119524170913</v>
      </c>
      <c r="N16" s="11">
        <v>0.20713375473222681</v>
      </c>
      <c r="O16" s="11">
        <v>0.1036633576743223</v>
      </c>
      <c r="P16" s="11">
        <v>8.1804951976104198E-2</v>
      </c>
      <c r="Q16" s="11">
        <v>0.16267281400113179</v>
      </c>
      <c r="R16" s="11">
        <v>0.21617810946199489</v>
      </c>
      <c r="S16" s="11">
        <v>0.11275564653136839</v>
      </c>
      <c r="T16" s="11">
        <v>8.6904517401299397E-2</v>
      </c>
      <c r="U16" s="11">
        <v>0.17942126354195079</v>
      </c>
      <c r="V16" s="11">
        <v>0.23565713584985179</v>
      </c>
      <c r="W16" s="11">
        <v>0.1214143827838369</v>
      </c>
      <c r="X16" s="11">
        <v>0.1001846651334061</v>
      </c>
      <c r="Y16" s="11">
        <v>0.1961173809228737</v>
      </c>
      <c r="Z16" s="11">
        <v>0.25576405271310748</v>
      </c>
      <c r="AA16" s="11">
        <v>0.14471698656502791</v>
      </c>
      <c r="AB16" s="11">
        <v>0.126787525173684</v>
      </c>
      <c r="AC16" s="11">
        <v>0.22622458517619079</v>
      </c>
    </row>
    <row r="17" spans="1:29" x14ac:dyDescent="0.3">
      <c r="A17" s="7" t="s">
        <v>42</v>
      </c>
      <c r="F17" s="11">
        <v>0.15835079023143001</v>
      </c>
      <c r="G17" s="11">
        <v>0.1183773460986972</v>
      </c>
      <c r="H17" s="11">
        <v>9.77588717248426E-2</v>
      </c>
      <c r="I17" s="11">
        <v>0.17614212868058729</v>
      </c>
      <c r="J17" s="11">
        <v>0.18747562272171031</v>
      </c>
      <c r="K17" s="11">
        <v>0.13456879888559459</v>
      </c>
      <c r="L17" s="11">
        <v>0.10895853588061361</v>
      </c>
      <c r="M17" s="11">
        <v>0.18654881865120149</v>
      </c>
      <c r="N17" s="11">
        <v>0.19673875760024459</v>
      </c>
      <c r="O17" s="11">
        <v>0.1336844180140872</v>
      </c>
      <c r="P17" s="11">
        <v>0.11134001640219281</v>
      </c>
      <c r="Q17" s="11">
        <v>0.20030119202334221</v>
      </c>
      <c r="R17" s="11">
        <v>0.2019385769268939</v>
      </c>
      <c r="S17" s="11">
        <v>0.14345754720477871</v>
      </c>
      <c r="T17" s="11">
        <v>0.115931190324878</v>
      </c>
      <c r="U17" s="11">
        <v>0.2067906088280112</v>
      </c>
      <c r="V17" s="11">
        <v>0.20596198095847851</v>
      </c>
      <c r="W17" s="11">
        <v>0.1433013601684239</v>
      </c>
      <c r="X17" s="11">
        <v>0.12002721209455371</v>
      </c>
      <c r="Y17" s="11">
        <v>0.21200261143945059</v>
      </c>
      <c r="Z17" s="11">
        <v>0.2122166409275916</v>
      </c>
      <c r="AA17" s="11">
        <v>0.1505120770763308</v>
      </c>
      <c r="AB17" s="11">
        <v>0.1282323839088077</v>
      </c>
      <c r="AC17" s="11">
        <v>0.2214011334797141</v>
      </c>
    </row>
    <row r="18" spans="1:29" x14ac:dyDescent="0.3">
      <c r="A18" s="7" t="s">
        <v>43</v>
      </c>
      <c r="F18" s="12">
        <f t="shared" ref="F18:V18" si="1">SUMPRODUCT(F10:F13,F14:F17)</f>
        <v>137.45058328403371</v>
      </c>
      <c r="G18" s="12">
        <f t="shared" si="1"/>
        <v>132.84295944723647</v>
      </c>
      <c r="H18" s="12">
        <f t="shared" si="1"/>
        <v>51.544620099836749</v>
      </c>
      <c r="I18" s="12">
        <f t="shared" si="1"/>
        <v>38.063661822143786</v>
      </c>
      <c r="J18" s="12">
        <f t="shared" si="1"/>
        <v>32.686763056531483</v>
      </c>
      <c r="K18" s="12">
        <f t="shared" si="1"/>
        <v>16.903412474782243</v>
      </c>
      <c r="L18" s="12">
        <f t="shared" si="1"/>
        <v>11.494815644369965</v>
      </c>
      <c r="M18" s="12">
        <f t="shared" si="1"/>
        <v>14.522389112989359</v>
      </c>
      <c r="N18" s="12">
        <f t="shared" si="1"/>
        <v>12.229641330266517</v>
      </c>
      <c r="O18" s="12">
        <f t="shared" si="1"/>
        <v>6.0400666760909676</v>
      </c>
      <c r="P18" s="12">
        <f t="shared" si="1"/>
        <v>5.7479128347211361</v>
      </c>
      <c r="Q18" s="12">
        <f t="shared" si="1"/>
        <v>6.9599191007968262</v>
      </c>
      <c r="R18" s="12">
        <f t="shared" si="1"/>
        <v>5.9880256468411135</v>
      </c>
      <c r="S18" s="12">
        <f t="shared" si="1"/>
        <v>5.4771734842826376</v>
      </c>
      <c r="T18" s="12">
        <f t="shared" si="1"/>
        <v>3.1800164494446452</v>
      </c>
      <c r="U18" s="12">
        <f t="shared" si="1"/>
        <v>7.6014263585092987</v>
      </c>
      <c r="V18" s="12">
        <f t="shared" si="1"/>
        <v>8.9545192394991702</v>
      </c>
      <c r="W18" s="12">
        <f>SUMPRODUCT(W10:W13,W14:W17)</f>
        <v>5.6204567489420025</v>
      </c>
    </row>
    <row r="19" spans="1:29" x14ac:dyDescent="0.3">
      <c r="W19" t="s">
        <v>383</v>
      </c>
    </row>
    <row r="20" spans="1:29" x14ac:dyDescent="0.3">
      <c r="A20" s="4" t="s">
        <v>44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x14ac:dyDescent="0.3">
      <c r="A21" s="7" t="s">
        <v>45</v>
      </c>
      <c r="B21" s="13">
        <f>INTERCEPT(J7:S7,J18:S18)*100</f>
        <v>6.82460022308977</v>
      </c>
      <c r="C21" s="3" t="s">
        <v>46</v>
      </c>
    </row>
    <row r="22" spans="1:29" x14ac:dyDescent="0.3">
      <c r="A22" s="7" t="s">
        <v>47</v>
      </c>
      <c r="B22" s="13">
        <f>SLOPE(J7:S7,J18:S18)*100</f>
        <v>0.34969000064260403</v>
      </c>
      <c r="C22" s="3" t="s">
        <v>48</v>
      </c>
    </row>
    <row r="24" spans="1:29" x14ac:dyDescent="0.3">
      <c r="A24" s="7" t="s">
        <v>49</v>
      </c>
      <c r="J24" s="14">
        <f t="shared" ref="J24:W24" si="2">$B$21+$B$22*J18</f>
        <v>18.254834417332908</v>
      </c>
      <c r="K24" s="14">
        <f t="shared" si="2"/>
        <v>12.735554542258573</v>
      </c>
      <c r="L24" s="14">
        <f t="shared" si="2"/>
        <v>10.844222313156116</v>
      </c>
      <c r="M24" s="14">
        <f t="shared" si="2"/>
        <v>11.902934481343165</v>
      </c>
      <c r="N24" s="14">
        <f t="shared" si="2"/>
        <v>11.101183507729484</v>
      </c>
      <c r="O24" s="14">
        <f t="shared" si="2"/>
        <v>8.9367511429333923</v>
      </c>
      <c r="P24" s="14">
        <f t="shared" si="2"/>
        <v>8.8345878659570367</v>
      </c>
      <c r="Q24" s="14">
        <f t="shared" si="2"/>
        <v>9.2584143379198842</v>
      </c>
      <c r="R24" s="14">
        <f t="shared" si="2"/>
        <v>8.9185529153815679</v>
      </c>
      <c r="S24" s="14">
        <f t="shared" si="2"/>
        <v>8.7399130223282189</v>
      </c>
      <c r="T24" s="14">
        <f t="shared" si="2"/>
        <v>7.9366201773395595</v>
      </c>
      <c r="U24" s="14">
        <f t="shared" si="2"/>
        <v>9.4827430112815936</v>
      </c>
      <c r="V24" s="14">
        <f t="shared" si="2"/>
        <v>9.9559060617044448</v>
      </c>
      <c r="W24" s="14">
        <f t="shared" si="2"/>
        <v>8.7900177472390268</v>
      </c>
    </row>
    <row r="25" spans="1:29" x14ac:dyDescent="0.3">
      <c r="A25" s="7" t="s">
        <v>50</v>
      </c>
      <c r="J25" s="14">
        <f t="shared" ref="J25:W25" si="3">J7*100-J24</f>
        <v>0.35437224280421376</v>
      </c>
      <c r="K25" s="14">
        <f t="shared" si="3"/>
        <v>-1.7423047833386178</v>
      </c>
      <c r="L25" s="14">
        <f t="shared" si="3"/>
        <v>2.6963995524406741</v>
      </c>
      <c r="M25" s="14">
        <f t="shared" si="3"/>
        <v>0.11520610822599586</v>
      </c>
      <c r="N25" s="14">
        <f t="shared" si="3"/>
        <v>-1.6048994449714407</v>
      </c>
      <c r="O25" s="14">
        <f t="shared" si="3"/>
        <v>-0.24865383624354642</v>
      </c>
      <c r="P25" s="14">
        <f t="shared" si="3"/>
        <v>-0.35402249493230897</v>
      </c>
      <c r="Q25" s="14">
        <f t="shared" si="3"/>
        <v>3.0897637997319478</v>
      </c>
      <c r="R25" s="14">
        <f t="shared" si="3"/>
        <v>-1.0000008791824788</v>
      </c>
      <c r="S25" s="14">
        <f t="shared" si="3"/>
        <v>-1.3058602645344335</v>
      </c>
      <c r="T25" s="12">
        <f t="shared" si="3"/>
        <v>0.85816809627607959</v>
      </c>
      <c r="U25" s="12">
        <f t="shared" si="3"/>
        <v>0.33707680853823696</v>
      </c>
      <c r="V25" s="12">
        <f t="shared" si="3"/>
        <v>-0.8014686053801956</v>
      </c>
      <c r="W25" s="12">
        <f t="shared" si="3"/>
        <v>1.55224415752288</v>
      </c>
    </row>
    <row r="27" spans="1:29" x14ac:dyDescent="0.3">
      <c r="A27" s="4" t="s">
        <v>51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x14ac:dyDescent="0.3">
      <c r="A28" s="7" t="s">
        <v>52</v>
      </c>
      <c r="J28" s="14">
        <f>(INTERCEPT(F7:I7,F18:I18)+SLOPE(F7:I7,F18:I18)*J18)*100</f>
        <v>19.45430322887669</v>
      </c>
      <c r="K28" s="14">
        <f>(INTERCEPT(F7:J7,F18:J18)+SLOPE(F7:J7,F18:J18)*K18)*100</f>
        <v>15.569257799409417</v>
      </c>
      <c r="L28" s="14">
        <f>(INTERCEPT(F7:K7,F18:K18)+SLOPE(F7:K7,F18:K18)*L18)*100</f>
        <v>12.640134888404239</v>
      </c>
      <c r="M28" s="14">
        <f>(INTERCEPT(F7:L7,F18:L18)+SLOPE(F7:L7,F18:L18)*M18)*100</f>
        <v>13.619790882423944</v>
      </c>
      <c r="N28" s="14">
        <f>(INTERCEPT(F7:M7,F18:M18)+SLOPE(F7:M7,F18:M18)*N18)*100</f>
        <v>12.726286686718758</v>
      </c>
      <c r="O28" s="14">
        <f>(INTERCEPT(F7:N7,F18:N18)+SLOPE(F7:N7,F18:N18)*O18)*100</f>
        <v>10.603465836276369</v>
      </c>
      <c r="P28" s="14">
        <f>(INTERCEPT(F7:O7,F18:O18)+SLOPE(F7:O7,F18:O18)*P18)*100</f>
        <v>10.203170632016151</v>
      </c>
      <c r="Q28" s="14">
        <f>(INTERCEPT(F7:P7,F18:P18)+SLOPE(F7:P7,F18:P18)*Q18)*100</f>
        <v>10.259624899121004</v>
      </c>
      <c r="R28" s="14">
        <f>(INTERCEPT(F7:Q7,F18:Q18)+SLOPE(F7:Q7,F18:Q18)*R18)*100</f>
        <v>10.275645247172895</v>
      </c>
      <c r="S28" s="14">
        <f>(INTERCEPT(F7:R7,F18:R18)+SLOPE(F7:R7,F18:R18)*S18)*100</f>
        <v>9.8788874096790913</v>
      </c>
      <c r="T28" s="14">
        <f>(INTERCEPT(F7:S7,F18:S18)+SLOPE(F7:S7,F18:S18)*T18)*100</f>
        <v>9.0365752251811706</v>
      </c>
      <c r="U28" s="14">
        <f>(INTERCEPT(F7:T7,F18:T18)+SLOPE(F7:T7,F18:T18)*U18)*100</f>
        <v>10.152629929866986</v>
      </c>
      <c r="V28" s="14">
        <f>(INTERCEPT(F7:U7,F18:U18)+SLOPE(F7:U7,F18:U18)*V18)*100</f>
        <v>10.474650147021533</v>
      </c>
      <c r="W28" s="14">
        <f>(INTERCEPT(F7:V7,F18:V18)+SLOPE(F7:V7,F18:V18)*W18)*100</f>
        <v>9.5142870420522225</v>
      </c>
    </row>
    <row r="29" spans="1:29" x14ac:dyDescent="0.3">
      <c r="A29" s="7" t="s">
        <v>53</v>
      </c>
      <c r="J29" s="14">
        <f t="shared" ref="J29:W29" si="4">J28-J7*100</f>
        <v>0.84509656873956729</v>
      </c>
      <c r="K29" s="14">
        <f t="shared" si="4"/>
        <v>4.5760080404894623</v>
      </c>
      <c r="L29" s="14">
        <f t="shared" si="4"/>
        <v>-0.90048697719255166</v>
      </c>
      <c r="M29" s="14">
        <f t="shared" si="4"/>
        <v>1.6016502928547833</v>
      </c>
      <c r="N29" s="14">
        <f t="shared" si="4"/>
        <v>3.2300026239607149</v>
      </c>
      <c r="O29" s="14">
        <f t="shared" si="4"/>
        <v>1.915368529586523</v>
      </c>
      <c r="P29" s="14">
        <f t="shared" si="4"/>
        <v>1.7226052609914237</v>
      </c>
      <c r="Q29" s="14">
        <f t="shared" si="4"/>
        <v>-2.0885532385308281</v>
      </c>
      <c r="R29" s="14">
        <f t="shared" si="4"/>
        <v>2.3570932109738054</v>
      </c>
      <c r="S29" s="14">
        <f t="shared" si="4"/>
        <v>2.4448346518853059</v>
      </c>
      <c r="T29" s="14">
        <f t="shared" si="4"/>
        <v>0.24178695156553154</v>
      </c>
      <c r="U29" s="14">
        <f t="shared" si="4"/>
        <v>0.33281011004715566</v>
      </c>
      <c r="V29" s="14">
        <f t="shared" si="4"/>
        <v>1.320212690697284</v>
      </c>
      <c r="W29" s="14">
        <f t="shared" si="4"/>
        <v>-0.82797486270968434</v>
      </c>
    </row>
    <row r="30" spans="1:29" x14ac:dyDescent="0.3">
      <c r="A30" s="7" t="s">
        <v>54</v>
      </c>
      <c r="J30" s="14">
        <f t="shared" ref="J30:W30" si="5">(I7-J7)*100</f>
        <v>1.5542810782824823</v>
      </c>
      <c r="K30" s="14">
        <f t="shared" si="5"/>
        <v>7.6159569012171691</v>
      </c>
      <c r="L30" s="14">
        <f t="shared" si="5"/>
        <v>-2.5473721066768373</v>
      </c>
      <c r="M30" s="14">
        <f t="shared" si="5"/>
        <v>1.5224812760276318</v>
      </c>
      <c r="N30" s="14">
        <f t="shared" si="5"/>
        <v>2.521856526811117</v>
      </c>
      <c r="O30" s="14">
        <f t="shared" si="5"/>
        <v>0.80818675606819657</v>
      </c>
      <c r="P30" s="14">
        <f t="shared" si="5"/>
        <v>0.2075319356651173</v>
      </c>
      <c r="Q30" s="14">
        <f t="shared" si="5"/>
        <v>-3.8676127666271043</v>
      </c>
      <c r="R30" s="14">
        <f t="shared" si="5"/>
        <v>4.4296261014527438</v>
      </c>
      <c r="S30" s="14">
        <f t="shared" si="5"/>
        <v>0.48449927840530371</v>
      </c>
      <c r="T30" s="14">
        <f t="shared" si="5"/>
        <v>-1.3607355158218537</v>
      </c>
      <c r="U30" s="14">
        <f t="shared" si="5"/>
        <v>-1.0250315462041915</v>
      </c>
      <c r="V30" s="14">
        <f t="shared" si="5"/>
        <v>0.66538236349558133</v>
      </c>
      <c r="W30" s="14">
        <f t="shared" si="5"/>
        <v>-1.1878244484376577</v>
      </c>
    </row>
    <row r="31" spans="1:29" x14ac:dyDescent="0.3">
      <c r="A31" s="7" t="s">
        <v>55</v>
      </c>
      <c r="B31" s="15">
        <f>SQRT(SUMSQ(J29:W29)/COUNT(J29:W29))</f>
        <v>2.0803847107419382</v>
      </c>
      <c r="C31" s="15">
        <f>SQRT(SUMSQ(J30:W30)/COUNT(J30:W30))</f>
        <v>2.8766590944900532</v>
      </c>
      <c r="D31" s="16">
        <f>B31/C31</f>
        <v>0.72319473472776208</v>
      </c>
      <c r="E31" s="3" t="s">
        <v>56</v>
      </c>
    </row>
    <row r="32" spans="1:29" x14ac:dyDescent="0.3">
      <c r="A32" s="7" t="s">
        <v>57</v>
      </c>
      <c r="B32" s="14">
        <f>AVERAGE(J29:W29)</f>
        <v>1.197889560954178</v>
      </c>
    </row>
    <row r="33" spans="1:29" x14ac:dyDescent="0.3">
      <c r="A33" s="4" t="s">
        <v>58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x14ac:dyDescent="0.3">
      <c r="A34" s="7" t="s">
        <v>52</v>
      </c>
      <c r="N34" s="14">
        <f>(INTERCEPT(J7:M7,J18:M18)+SLOPE(J7:M7,J18:M18)*N18)*100</f>
        <v>11.758526194909221</v>
      </c>
      <c r="O34" s="14">
        <f>(INTERCEPT(J7:N7,J18:N18)+SLOPE(J7:N7,J18:N18)*O18)*100</f>
        <v>8.9628958081091898</v>
      </c>
      <c r="P34" s="14">
        <f>(INTERCEPT(J7:O7,J18:O18)+SLOPE(J7:O7,J18:O18)*P18)*100</f>
        <v>8.7534629867338154</v>
      </c>
      <c r="Q34" s="14">
        <f>(INTERCEPT(J7:P7,J18:P18)+SLOPE(J7:P7,J18:P18)*Q18)*100</f>
        <v>9.105680604776051</v>
      </c>
      <c r="R34" s="14">
        <f>(INTERCEPT(J7:Q7,J18:Q18)+SLOPE(J7:Q7,J18:Q18)*R18)*100</f>
        <v>9.443549924119381</v>
      </c>
      <c r="S34" s="14">
        <f>(INTERCEPT(J7:R7,J18:R18)+SLOPE(J7:R7,J18:R18)*S18)*100</f>
        <v>8.993962513076811</v>
      </c>
      <c r="T34" s="14">
        <f>(INTERCEPT(J7:S7,J18:S18)+SLOPE(J7:S7,J18:S18)*T18)*100</f>
        <v>7.9366201773395595</v>
      </c>
      <c r="U34" s="14">
        <f>(INTERCEPT(J7:T7,J18:T18)+SLOPE(J7:T7,J18:T18)*U18)*100</f>
        <v>9.5934136092213382</v>
      </c>
      <c r="V34" s="14">
        <f>(INTERCEPT(J7:U7,J18:U18)+SLOPE(J7:U7,J18:U18)*V18)*100</f>
        <v>10.074289530372106</v>
      </c>
      <c r="W34" s="14">
        <f>(INTERCEPT(J7:V7,J18:V18)+SLOPE(J7:V7,J18:V18)*W18)*100</f>
        <v>8.8623061097715663</v>
      </c>
    </row>
    <row r="35" spans="1:29" x14ac:dyDescent="0.3">
      <c r="A35" s="7" t="s">
        <v>53</v>
      </c>
      <c r="N35" s="14">
        <f t="shared" ref="N35:W35" si="6">N34-N7*100</f>
        <v>2.2622421321511776</v>
      </c>
      <c r="O35" s="14">
        <f t="shared" si="6"/>
        <v>0.27479850141934392</v>
      </c>
      <c r="P35" s="14">
        <f t="shared" si="6"/>
        <v>0.27289761570908766</v>
      </c>
      <c r="Q35" s="14">
        <f t="shared" si="6"/>
        <v>-3.242497532875781</v>
      </c>
      <c r="R35" s="14">
        <f t="shared" si="6"/>
        <v>1.5249978879202919</v>
      </c>
      <c r="S35" s="14">
        <f t="shared" si="6"/>
        <v>1.5599097552830257</v>
      </c>
      <c r="T35" s="14">
        <f t="shared" si="6"/>
        <v>-0.85816809627607959</v>
      </c>
      <c r="U35" s="14">
        <f t="shared" si="6"/>
        <v>-0.22640621059849231</v>
      </c>
      <c r="V35" s="14">
        <f t="shared" si="6"/>
        <v>0.91985207404785641</v>
      </c>
      <c r="W35" s="14">
        <f t="shared" si="6"/>
        <v>-1.4799557949903406</v>
      </c>
    </row>
    <row r="36" spans="1:29" x14ac:dyDescent="0.3">
      <c r="A36" s="7" t="s">
        <v>54</v>
      </c>
      <c r="N36" s="14">
        <f t="shared" ref="N36:W36" si="7">(M7-N7)*100</f>
        <v>2.521856526811117</v>
      </c>
      <c r="O36" s="14">
        <f t="shared" si="7"/>
        <v>0.80818675606819657</v>
      </c>
      <c r="P36" s="14">
        <f t="shared" si="7"/>
        <v>0.2075319356651173</v>
      </c>
      <c r="Q36" s="14">
        <f t="shared" si="7"/>
        <v>-3.8676127666271043</v>
      </c>
      <c r="R36" s="14">
        <f t="shared" si="7"/>
        <v>4.4296261014527438</v>
      </c>
      <c r="S36" s="14">
        <f t="shared" si="7"/>
        <v>0.48449927840530371</v>
      </c>
      <c r="T36" s="14">
        <f t="shared" si="7"/>
        <v>-1.3607355158218537</v>
      </c>
      <c r="U36" s="14">
        <f t="shared" si="7"/>
        <v>-1.0250315462041915</v>
      </c>
      <c r="V36" s="14">
        <f t="shared" si="7"/>
        <v>0.66538236349558133</v>
      </c>
      <c r="W36" s="14">
        <f t="shared" si="7"/>
        <v>-1.1878244484376577</v>
      </c>
    </row>
    <row r="37" spans="1:29" x14ac:dyDescent="0.3">
      <c r="A37" s="7" t="s">
        <v>55</v>
      </c>
      <c r="B37" s="15">
        <f>SQRT(SUMSQ(N35:W35)/COUNT(N35:W35))</f>
        <v>1.5609152215906945</v>
      </c>
      <c r="C37" s="15">
        <f>SQRT(SUMSQ(N36:W36)/COUNT(N36:W36))</f>
        <v>2.159321712148015</v>
      </c>
      <c r="D37" s="16">
        <f>B37/C37</f>
        <v>0.72287293403721331</v>
      </c>
      <c r="E37" s="3" t="s">
        <v>56</v>
      </c>
    </row>
    <row r="38" spans="1:29" x14ac:dyDescent="0.3">
      <c r="A38" s="7" t="s">
        <v>57</v>
      </c>
      <c r="B38" s="14">
        <f>AVERAGE(N35:W35)</f>
        <v>0.10076703317900897</v>
      </c>
    </row>
    <row r="39" spans="1:29" x14ac:dyDescent="0.3">
      <c r="A39" s="4" t="s">
        <v>59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x14ac:dyDescent="0.3">
      <c r="A40" s="7" t="s">
        <v>52</v>
      </c>
      <c r="N40" s="14">
        <f>(INTERCEPT(J7:M7,J18:M18)+SLOPE(J7:M7,J18:M18)*N18)*100</f>
        <v>11.758526194909221</v>
      </c>
      <c r="O40" s="14">
        <f>(INTERCEPT(J7:N7,J18:N18)+SLOPE(J7:N7,J18:N18)*O18)*100</f>
        <v>8.9628958081091898</v>
      </c>
      <c r="P40" s="14">
        <f>(INTERCEPT(J7:O7,J18:O18)+SLOPE(J7:O7,J18:O18)*P18)*100</f>
        <v>8.7534629867338154</v>
      </c>
      <c r="Q40" s="14">
        <f>(INTERCEPT(J7:P7,J18:P18)+SLOPE(J7:P7,J18:P18)*Q18)*100</f>
        <v>9.105680604776051</v>
      </c>
      <c r="R40" s="14">
        <f>(INTERCEPT(J7:Q7,J18:Q18)+SLOPE(J7:Q7,J18:Q18)*R18)*100</f>
        <v>9.443549924119381</v>
      </c>
      <c r="S40" s="14">
        <f>(INTERCEPT(J7:R7,J18:R18)+SLOPE(J7:R7,J18:R18)*S18)*100</f>
        <v>8.993962513076811</v>
      </c>
    </row>
    <row r="41" spans="1:29" x14ac:dyDescent="0.3">
      <c r="A41" s="7" t="s">
        <v>53</v>
      </c>
      <c r="N41" s="14">
        <f t="shared" ref="N41:S41" si="8">N40-N7*100</f>
        <v>2.2622421321511776</v>
      </c>
      <c r="O41" s="14">
        <f t="shared" si="8"/>
        <v>0.27479850141934392</v>
      </c>
      <c r="P41" s="14">
        <f t="shared" si="8"/>
        <v>0.27289761570908766</v>
      </c>
      <c r="Q41" s="14">
        <f t="shared" si="8"/>
        <v>-3.242497532875781</v>
      </c>
      <c r="R41" s="14">
        <f t="shared" si="8"/>
        <v>1.5249978879202919</v>
      </c>
      <c r="S41" s="14">
        <f t="shared" si="8"/>
        <v>1.5599097552830257</v>
      </c>
    </row>
    <row r="42" spans="1:29" x14ac:dyDescent="0.3">
      <c r="A42" s="7" t="s">
        <v>54</v>
      </c>
      <c r="N42" s="14">
        <f t="shared" ref="N42:S42" si="9">(M7-N7)*100</f>
        <v>2.521856526811117</v>
      </c>
      <c r="O42" s="14">
        <f t="shared" si="9"/>
        <v>0.80818675606819657</v>
      </c>
      <c r="P42" s="14">
        <f t="shared" si="9"/>
        <v>0.2075319356651173</v>
      </c>
      <c r="Q42" s="14">
        <f t="shared" si="9"/>
        <v>-3.8676127666271043</v>
      </c>
      <c r="R42" s="14">
        <f t="shared" si="9"/>
        <v>4.4296261014527438</v>
      </c>
      <c r="S42" s="14">
        <f t="shared" si="9"/>
        <v>0.48449927840530371</v>
      </c>
    </row>
    <row r="43" spans="1:29" x14ac:dyDescent="0.3">
      <c r="A43" s="7" t="s">
        <v>55</v>
      </c>
      <c r="B43" s="15">
        <f>SQRT(SUMSQ(N41:S41)/COUNT(N41:S41))</f>
        <v>1.8502456613026623</v>
      </c>
      <c r="C43" s="15">
        <f>SQRT(SUMSQ(N42:S42)/COUNT(N42:S42))</f>
        <v>2.6416772178816128</v>
      </c>
      <c r="D43" s="16">
        <f>B43/C43</f>
        <v>0.70040565470235339</v>
      </c>
      <c r="E43" s="3" t="s">
        <v>56</v>
      </c>
      <c r="F43" s="3" t="s">
        <v>60</v>
      </c>
    </row>
    <row r="44" spans="1:29" x14ac:dyDescent="0.3">
      <c r="A44" s="7" t="s">
        <v>57</v>
      </c>
      <c r="B44" s="14">
        <f>AVERAGE(N41:S41)</f>
        <v>0.44205805993452429</v>
      </c>
    </row>
    <row r="46" spans="1:29" x14ac:dyDescent="0.3">
      <c r="A46" s="4" t="s">
        <v>61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x14ac:dyDescent="0.3">
      <c r="A47" s="7" t="s">
        <v>62</v>
      </c>
      <c r="B47" s="10">
        <v>6.8501693924032603</v>
      </c>
      <c r="C47" s="17">
        <f>X14</f>
        <v>0.26492132062688978</v>
      </c>
      <c r="D47" s="3" t="s">
        <v>63</v>
      </c>
    </row>
    <row r="48" spans="1:29" x14ac:dyDescent="0.3">
      <c r="A48" s="7" t="s">
        <v>64</v>
      </c>
      <c r="B48" s="10">
        <v>0.86249526311585001</v>
      </c>
      <c r="C48" s="17">
        <f>X15</f>
        <v>0.51486680214515035</v>
      </c>
      <c r="D48" s="3" t="s">
        <v>63</v>
      </c>
    </row>
    <row r="49" spans="1:29" x14ac:dyDescent="0.3">
      <c r="A49" s="7" t="s">
        <v>65</v>
      </c>
      <c r="B49" s="10">
        <v>27.534173424278951</v>
      </c>
      <c r="C49" s="17">
        <f>X16</f>
        <v>0.1001846651334061</v>
      </c>
      <c r="D49" s="3" t="s">
        <v>63</v>
      </c>
    </row>
    <row r="50" spans="1:29" x14ac:dyDescent="0.3">
      <c r="A50" s="7" t="s">
        <v>66</v>
      </c>
      <c r="B50" s="10">
        <v>7.3494699931232201</v>
      </c>
      <c r="C50" s="17">
        <f>X17</f>
        <v>0.12002721209455371</v>
      </c>
      <c r="D50" s="3" t="s">
        <v>63</v>
      </c>
    </row>
    <row r="51" spans="1:29" x14ac:dyDescent="0.3">
      <c r="A51" s="7" t="s">
        <v>67</v>
      </c>
      <c r="B51" s="14">
        <f>SUMPRODUCT(B47:B50,C47:C50)/SUM(C47:C50)</f>
        <v>5.8994644378228438</v>
      </c>
    </row>
    <row r="52" spans="1:29" x14ac:dyDescent="0.3">
      <c r="A52" s="7" t="s">
        <v>68</v>
      </c>
      <c r="B52" s="11">
        <v>8.7243538924745304E-2</v>
      </c>
    </row>
    <row r="53" spans="1:29" x14ac:dyDescent="0.3">
      <c r="A53" s="7" t="s">
        <v>69</v>
      </c>
      <c r="B53" s="14">
        <f>B51+B52</f>
        <v>5.9867079767475895</v>
      </c>
    </row>
    <row r="54" spans="1:29" x14ac:dyDescent="0.3">
      <c r="A54" s="7" t="s">
        <v>70</v>
      </c>
      <c r="B54" s="18">
        <f>$B$21+$B$22*B53</f>
        <v>8.9180921393257169</v>
      </c>
      <c r="C54" s="19">
        <f>$B$43</f>
        <v>1.8502456613026623</v>
      </c>
      <c r="D54" s="3" t="s">
        <v>71</v>
      </c>
    </row>
    <row r="55" spans="1:29" x14ac:dyDescent="0.3">
      <c r="A55" s="7" t="s">
        <v>72</v>
      </c>
      <c r="B55" s="20">
        <f>T6*(1+B54/100)</f>
        <v>145.51457109813913</v>
      </c>
      <c r="C55" s="21">
        <f>T6*(1+(B54-$B$43)/100)</f>
        <v>143.04264289463879</v>
      </c>
      <c r="D55" s="21">
        <f>T6*(1+(B54+$B$43)/100)</f>
        <v>147.9864993016395</v>
      </c>
    </row>
    <row r="57" spans="1:29" x14ac:dyDescent="0.3">
      <c r="A57" s="4" t="s">
        <v>73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x14ac:dyDescent="0.3">
      <c r="A58" s="7" t="s">
        <v>74</v>
      </c>
      <c r="B58" s="10">
        <v>0</v>
      </c>
      <c r="C58" s="14">
        <f>$B$54+B58</f>
        <v>8.9180921393257169</v>
      </c>
      <c r="D58" s="21">
        <f>T6*(1+C58/100)</f>
        <v>145.51457109813913</v>
      </c>
      <c r="E58" s="3" t="s">
        <v>75</v>
      </c>
    </row>
    <row r="59" spans="1:29" x14ac:dyDescent="0.3">
      <c r="A59" s="7" t="s">
        <v>76</v>
      </c>
      <c r="B59" s="14">
        <f>AVERAGE(T25:W25)</f>
        <v>0.48650511423925025</v>
      </c>
      <c r="C59" s="14">
        <f>$B$54+B59</f>
        <v>9.4045972535649671</v>
      </c>
      <c r="D59" s="21">
        <f>T6*(1+C59/100)</f>
        <v>146.16454193076279</v>
      </c>
    </row>
    <row r="60" spans="1:29" x14ac:dyDescent="0.3">
      <c r="A60" s="7" t="s">
        <v>77</v>
      </c>
      <c r="B60" s="14">
        <f>MAX(T25:W25)</f>
        <v>1.55224415752288</v>
      </c>
      <c r="C60" s="14">
        <f>$B$54+B60</f>
        <v>10.470336296848597</v>
      </c>
      <c r="D60" s="21">
        <f>T6*(1+C60/100)</f>
        <v>147.5883692925897</v>
      </c>
    </row>
    <row r="62" spans="1:29" x14ac:dyDescent="0.3">
      <c r="A62" s="7" t="s">
        <v>78</v>
      </c>
      <c r="X62" s="12">
        <f>(X63-$B$54)-T25</f>
        <v>-0.57626023560179718</v>
      </c>
      <c r="Y62" s="12">
        <f>0-U25</f>
        <v>-0.33707680853823696</v>
      </c>
      <c r="Z62" s="12">
        <f>0-V25</f>
        <v>0.8014686053801956</v>
      </c>
      <c r="AA62" s="12">
        <f>0-W25</f>
        <v>-1.55224415752288</v>
      </c>
    </row>
    <row r="63" spans="1:29" x14ac:dyDescent="0.3">
      <c r="A63" s="7" t="s">
        <v>79</v>
      </c>
      <c r="X63" s="17">
        <f>X83</f>
        <v>9.1999999999999993</v>
      </c>
      <c r="Y63" s="17">
        <f>Y83</f>
        <v>7.2710000000000008</v>
      </c>
      <c r="Z63" s="17">
        <f>Z83</f>
        <v>7.82</v>
      </c>
      <c r="AA63" s="17">
        <f>AA83</f>
        <v>5.7200000000000006</v>
      </c>
    </row>
    <row r="65" spans="1:29" x14ac:dyDescent="0.3">
      <c r="A65" s="7" t="s">
        <v>80</v>
      </c>
    </row>
    <row r="66" spans="1:29" x14ac:dyDescent="0.3">
      <c r="A66" s="7" t="s">
        <v>81</v>
      </c>
      <c r="B66" s="11">
        <v>0.55836404676562668</v>
      </c>
      <c r="C66" s="11">
        <v>0.31449941695494849</v>
      </c>
      <c r="D66" s="11">
        <v>9.9987084368853604E-2</v>
      </c>
      <c r="E66" s="11">
        <v>2.7149451910570999E-2</v>
      </c>
    </row>
    <row r="67" spans="1:29" x14ac:dyDescent="0.3">
      <c r="A67" s="7" t="s">
        <v>82</v>
      </c>
      <c r="B67" s="11">
        <v>0.49807941652484189</v>
      </c>
      <c r="C67" s="11">
        <v>0.3606152027985457</v>
      </c>
      <c r="D67" s="11">
        <v>8.21239641226746E-2</v>
      </c>
      <c r="E67" s="11">
        <v>5.9181416553937501E-2</v>
      </c>
    </row>
    <row r="68" spans="1:29" x14ac:dyDescent="0.3">
      <c r="A68" s="7" t="s">
        <v>83</v>
      </c>
      <c r="B68" s="11">
        <v>0.46338216621765249</v>
      </c>
      <c r="C68" s="11">
        <v>0.3893781525413777</v>
      </c>
      <c r="D68" s="11">
        <v>9.5450001628951703E-2</v>
      </c>
      <c r="E68" s="11">
        <v>5.1789679612017601E-2</v>
      </c>
    </row>
    <row r="69" spans="1:29" x14ac:dyDescent="0.3">
      <c r="A69" s="7" t="s">
        <v>84</v>
      </c>
      <c r="B69" s="11">
        <v>0.50173951503312275</v>
      </c>
      <c r="C69" s="11">
        <v>0.35284183634729283</v>
      </c>
      <c r="D69" s="11">
        <v>0.11743768659504659</v>
      </c>
      <c r="E69" s="11">
        <v>2.7980962024537901E-2</v>
      </c>
    </row>
    <row r="70" spans="1:29" x14ac:dyDescent="0.3">
      <c r="A70" s="7" t="s">
        <v>85</v>
      </c>
    </row>
    <row r="71" spans="1:29" x14ac:dyDescent="0.3">
      <c r="A71" s="7" t="s">
        <v>86</v>
      </c>
      <c r="T71" s="14">
        <f>MAX(T25,0)*B68/(B68+C69+D66+E67)</f>
        <v>0.40769207268803709</v>
      </c>
      <c r="U71" s="14">
        <f>MAX(T25,0)*C69/(B68+C69+D66+E67)</f>
        <v>0.31043667641692035</v>
      </c>
      <c r="V71" s="14">
        <f>MAX(T25,0)*D66/(B68+C69+D66+E67)</f>
        <v>8.7970458598151086E-2</v>
      </c>
      <c r="W71" s="14">
        <f>MAX(T25,0)*E67/(B68+C69+D66+E67)</f>
        <v>5.2068888572971032E-2</v>
      </c>
    </row>
    <row r="72" spans="1:29" x14ac:dyDescent="0.3">
      <c r="A72" s="7" t="s">
        <v>87</v>
      </c>
      <c r="U72" s="14">
        <f>MAX(U25,0)*B69/(B69+C66+D67+E68)</f>
        <v>0.17799746984450127</v>
      </c>
      <c r="V72" s="14">
        <f>MAX(U25,0)*C66/(B69+C66+D67+E68)</f>
        <v>0.11157203849462823</v>
      </c>
      <c r="W72" s="14">
        <f>MAX(U25,0)*D67/(B69+C66+D67+E68)</f>
        <v>2.9134356353159998E-2</v>
      </c>
      <c r="X72" s="14">
        <f>MAX(U25,0)*E68/(B69+C66+D67+E68)</f>
        <v>1.8372943845947478E-2</v>
      </c>
    </row>
    <row r="73" spans="1:29" x14ac:dyDescent="0.3">
      <c r="A73" s="7" t="s">
        <v>88</v>
      </c>
      <c r="V73" s="14">
        <f>MAX(V25,0)*B66/(B66+C67+D68+E69)</f>
        <v>0</v>
      </c>
      <c r="W73" s="14">
        <f>MAX(V25,0)*C67/(B66+C67+D68+E69)</f>
        <v>0</v>
      </c>
      <c r="X73" s="14">
        <f>MAX(V25,0)*D68/(B66+C67+D68+E69)</f>
        <v>0</v>
      </c>
      <c r="Y73" s="14">
        <f>MAX(V25,0)*E69/(B66+C67+D68+E69)</f>
        <v>0</v>
      </c>
    </row>
    <row r="74" spans="1:29" x14ac:dyDescent="0.3">
      <c r="A74" s="7" t="s">
        <v>89</v>
      </c>
      <c r="W74" s="14">
        <f>MAX(W25,0)*B67/(B67+C68+D69+E66)</f>
        <v>0.74913505065309871</v>
      </c>
      <c r="X74" s="14">
        <f>MAX(W25,0)*C68/(B67+C68+D69+E66)</f>
        <v>0.58564319734892412</v>
      </c>
      <c r="Y74" s="14">
        <f>MAX(W25,0)*D69/(B67+C68+D69+E66)</f>
        <v>0.17663184700501491</v>
      </c>
      <c r="Z74" s="14">
        <f>MAX(W25,0)*E66/(B67+C68+D69+E66)</f>
        <v>4.083406251584195E-2</v>
      </c>
    </row>
    <row r="75" spans="1:29" x14ac:dyDescent="0.3">
      <c r="A75" s="7" t="s">
        <v>90</v>
      </c>
      <c r="X75" s="14">
        <f>MAX(X63-$B$54,0)*B68/(B68+C69+D66+E67)</f>
        <v>0.13392667534959743</v>
      </c>
      <c r="Y75" s="14">
        <f>MAX(X63-$B$54,0)*C69/(B68+C69+D66+E67)</f>
        <v>0.10197831835428003</v>
      </c>
      <c r="Z75" s="14">
        <f>MAX(X63-$B$54,0)*D66/(B68+C69+D66+E67)</f>
        <v>2.889825885342874E-2</v>
      </c>
      <c r="AA75" s="14">
        <f>MAX(X63-$B$54,0)*E67/(B68+C69+D66+E67)</f>
        <v>1.710460811697621E-2</v>
      </c>
    </row>
    <row r="76" spans="1:29" x14ac:dyDescent="0.3">
      <c r="A76" s="7" t="s">
        <v>91</v>
      </c>
      <c r="T76" s="12">
        <f t="shared" ref="T76:AA76" si="10">SUM(T71:T75)</f>
        <v>0.40769207268803709</v>
      </c>
      <c r="U76" s="12">
        <f t="shared" si="10"/>
        <v>0.48843414626142162</v>
      </c>
      <c r="V76" s="12">
        <f t="shared" si="10"/>
        <v>0.19954249709277933</v>
      </c>
      <c r="W76" s="12">
        <f t="shared" si="10"/>
        <v>0.83033829557922978</v>
      </c>
      <c r="X76" s="12">
        <f t="shared" si="10"/>
        <v>0.73794281654446903</v>
      </c>
      <c r="Y76" s="12">
        <f t="shared" si="10"/>
        <v>0.27861016535929495</v>
      </c>
      <c r="Z76" s="12">
        <f t="shared" si="10"/>
        <v>6.9732321369270683E-2</v>
      </c>
      <c r="AA76" s="12">
        <f t="shared" si="10"/>
        <v>1.710460811697621E-2</v>
      </c>
    </row>
    <row r="77" spans="1:29" x14ac:dyDescent="0.3">
      <c r="A77" t="s">
        <v>557</v>
      </c>
      <c r="B77" s="117">
        <v>9.1999999999999993</v>
      </c>
    </row>
    <row r="78" spans="1:29" x14ac:dyDescent="0.3">
      <c r="A78" s="4" t="s">
        <v>92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x14ac:dyDescent="0.3">
      <c r="A79" s="7" t="s">
        <v>93</v>
      </c>
      <c r="X79" s="15">
        <f>$B$77-SUM(X80:X82)-X91</f>
        <v>10.129999999999999</v>
      </c>
      <c r="Y79" s="11">
        <v>8.9</v>
      </c>
      <c r="Z79" s="11">
        <v>8.31</v>
      </c>
      <c r="AA79" s="11">
        <v>8.0820000000000007</v>
      </c>
      <c r="AB79" s="11">
        <v>7.8550000000000004</v>
      </c>
      <c r="AC79" s="11">
        <v>7.6269999999999998</v>
      </c>
    </row>
    <row r="80" spans="1:29" x14ac:dyDescent="0.3">
      <c r="A80" s="7" t="s">
        <v>94</v>
      </c>
      <c r="X80" s="11">
        <v>0</v>
      </c>
      <c r="Y80" s="11">
        <v>-0.78</v>
      </c>
      <c r="Z80" s="11">
        <v>-0.74199999999999999</v>
      </c>
      <c r="AA80" s="11">
        <v>-0.74199999999999999</v>
      </c>
      <c r="AB80" s="11">
        <v>-0.74199999999999999</v>
      </c>
      <c r="AC80" s="11">
        <v>-0.74199999999999999</v>
      </c>
    </row>
    <row r="81" spans="1:29" x14ac:dyDescent="0.3">
      <c r="A81" s="7" t="s">
        <v>95</v>
      </c>
      <c r="X81" s="11">
        <v>0</v>
      </c>
      <c r="Y81" s="11">
        <v>0</v>
      </c>
      <c r="Z81" s="11">
        <v>-0.36299999999999999</v>
      </c>
      <c r="AA81" s="11">
        <v>-0.90700000000000003</v>
      </c>
      <c r="AB81" s="11">
        <v>-0.90700000000000003</v>
      </c>
      <c r="AC81" s="11">
        <v>-0.90700000000000003</v>
      </c>
    </row>
    <row r="82" spans="1:29" x14ac:dyDescent="0.3">
      <c r="A82" s="7" t="s">
        <v>96</v>
      </c>
      <c r="X82" s="11">
        <v>0</v>
      </c>
      <c r="Y82" s="11">
        <v>0</v>
      </c>
      <c r="Z82" s="11">
        <v>1</v>
      </c>
      <c r="AA82" s="11">
        <v>-0.5</v>
      </c>
      <c r="AB82" s="11">
        <v>0</v>
      </c>
      <c r="AC82" s="11">
        <v>0</v>
      </c>
    </row>
    <row r="83" spans="1:29" x14ac:dyDescent="0.3">
      <c r="A83" s="7" t="s">
        <v>97</v>
      </c>
      <c r="X83" s="16">
        <f t="shared" ref="X83:AC83" si="11">SUM(X79:X82)+X91</f>
        <v>9.1999999999999993</v>
      </c>
      <c r="Y83" s="16">
        <f t="shared" si="11"/>
        <v>7.2710000000000008</v>
      </c>
      <c r="Z83" s="16">
        <f t="shared" si="11"/>
        <v>7.82</v>
      </c>
      <c r="AA83" s="16">
        <f t="shared" si="11"/>
        <v>5.7200000000000006</v>
      </c>
      <c r="AB83" s="16">
        <f t="shared" si="11"/>
        <v>6.093</v>
      </c>
      <c r="AC83" s="16">
        <f t="shared" si="11"/>
        <v>5.9289999999999994</v>
      </c>
    </row>
    <row r="84" spans="1:29" x14ac:dyDescent="0.3">
      <c r="A84" s="7" t="s">
        <v>98</v>
      </c>
      <c r="X84" s="21">
        <f>T6*(1+X83/100)</f>
        <v>145.8912</v>
      </c>
      <c r="Y84" s="21">
        <f>U6*(1+Y83/100)</f>
        <v>130.76334900000001</v>
      </c>
      <c r="Z84" s="21">
        <f>V6*(1+Z83/100)</f>
        <v>168.41484</v>
      </c>
      <c r="AA84" s="21">
        <f>W6*(1+AA83/100)</f>
        <v>156.78276</v>
      </c>
      <c r="AB84" s="21">
        <f>X84*(1+AB83/100)</f>
        <v>154.78035081599998</v>
      </c>
      <c r="AC84" s="21">
        <f>Y84*(1+AC83/100)</f>
        <v>138.51630796221002</v>
      </c>
    </row>
    <row r="85" spans="1:29" x14ac:dyDescent="0.3">
      <c r="A85" s="7" t="s">
        <v>99</v>
      </c>
      <c r="X85" s="19">
        <f>$B$54</f>
        <v>8.9180921393257169</v>
      </c>
      <c r="Y85" s="17">
        <f>Y83</f>
        <v>7.2710000000000008</v>
      </c>
      <c r="Z85" s="17">
        <f>Z83</f>
        <v>7.82</v>
      </c>
      <c r="AA85" s="17">
        <f>AA83</f>
        <v>5.7200000000000006</v>
      </c>
      <c r="AB85" s="17">
        <f>AB83</f>
        <v>6.093</v>
      </c>
      <c r="AC85" s="17">
        <f>AC83</f>
        <v>5.9289999999999994</v>
      </c>
    </row>
    <row r="86" spans="1:29" x14ac:dyDescent="0.3">
      <c r="A86" s="7" t="s">
        <v>100</v>
      </c>
      <c r="B86" s="21">
        <f>V6+W6+X84+Y84</f>
        <v>581.15454900000009</v>
      </c>
      <c r="C86" s="21">
        <f>Z84+AA84+AB84+AC84</f>
        <v>618.49425877821</v>
      </c>
      <c r="D86" s="9">
        <f>C86/B86-1</f>
        <v>6.4250911986253545E-2</v>
      </c>
      <c r="E86" s="3" t="s">
        <v>101</v>
      </c>
    </row>
    <row r="87" spans="1:29" x14ac:dyDescent="0.3">
      <c r="A87" s="7" t="s">
        <v>102</v>
      </c>
      <c r="X87" s="8">
        <v>149</v>
      </c>
      <c r="Y87" s="8">
        <v>134</v>
      </c>
    </row>
    <row r="88" spans="1:29" x14ac:dyDescent="0.3">
      <c r="A88" s="7" t="s">
        <v>103</v>
      </c>
      <c r="X88" s="14">
        <f>(X87/T6-1)*100</f>
        <v>11.526946107784442</v>
      </c>
      <c r="Y88" s="14">
        <f>(Y87/U6-1)*100</f>
        <v>9.926168990976203</v>
      </c>
    </row>
    <row r="89" spans="1:29" x14ac:dyDescent="0.3">
      <c r="A89" s="7" t="s">
        <v>104</v>
      </c>
      <c r="U89" s="22" t="s">
        <v>105</v>
      </c>
      <c r="V89" s="22" t="s">
        <v>106</v>
      </c>
      <c r="X89" s="22" t="s">
        <v>107</v>
      </c>
    </row>
    <row r="90" spans="1:29" x14ac:dyDescent="0.3">
      <c r="A90" s="7" t="s">
        <v>108</v>
      </c>
      <c r="X90" s="23">
        <f>1-NORMDIST(X88,$B$54,$B$43,TRUE)</f>
        <v>7.9269236136097709E-2</v>
      </c>
    </row>
    <row r="91" spans="1:29" x14ac:dyDescent="0.3">
      <c r="A91" t="s">
        <v>558</v>
      </c>
      <c r="X91" s="117">
        <v>-0.93</v>
      </c>
      <c r="Y91" s="117">
        <v>-0.84899999999999998</v>
      </c>
      <c r="Z91" s="117">
        <v>-0.38500000000000001</v>
      </c>
      <c r="AA91" s="117">
        <v>-0.21299999999999999</v>
      </c>
      <c r="AB91" s="117">
        <v>-0.113</v>
      </c>
      <c r="AC91" s="117">
        <v>-4.9000000000000002E-2</v>
      </c>
    </row>
    <row r="92" spans="1:29" x14ac:dyDescent="0.3">
      <c r="A92" s="4" t="s">
        <v>109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x14ac:dyDescent="0.3">
      <c r="A93" s="7" t="s">
        <v>110</v>
      </c>
      <c r="J93" s="10">
        <v>24.28</v>
      </c>
      <c r="K93" s="10">
        <v>18.48</v>
      </c>
      <c r="L93" s="10">
        <v>20.22</v>
      </c>
      <c r="M93" s="10">
        <v>20.73</v>
      </c>
      <c r="N93" s="10">
        <v>12.06</v>
      </c>
      <c r="O93" s="10">
        <v>11.67</v>
      </c>
      <c r="P93" s="10">
        <v>12.95</v>
      </c>
      <c r="Q93" s="10">
        <v>13.24</v>
      </c>
      <c r="R93" s="10">
        <v>11.87</v>
      </c>
      <c r="S93" s="10">
        <v>9</v>
      </c>
      <c r="T93" s="10">
        <v>9.84</v>
      </c>
      <c r="U93" s="10">
        <v>7.86</v>
      </c>
      <c r="V93" s="10">
        <v>0.37</v>
      </c>
      <c r="W93" s="10">
        <v>-0.91</v>
      </c>
    </row>
    <row r="94" spans="1:29" x14ac:dyDescent="0.3">
      <c r="A94" s="7" t="s">
        <v>111</v>
      </c>
      <c r="J94" s="10">
        <v>18.600000000000001</v>
      </c>
      <c r="K94" s="10">
        <v>12.35</v>
      </c>
      <c r="L94" s="10">
        <v>17.309999999999999</v>
      </c>
      <c r="M94" s="10">
        <v>14.81</v>
      </c>
      <c r="N94" s="10">
        <v>12.25</v>
      </c>
      <c r="O94" s="10">
        <v>10.99</v>
      </c>
      <c r="P94" s="10">
        <v>9.84</v>
      </c>
      <c r="Q94" s="10">
        <v>13.55</v>
      </c>
      <c r="R94" s="10">
        <v>6.99</v>
      </c>
      <c r="S94" s="10">
        <v>10.85</v>
      </c>
      <c r="T94" s="10">
        <v>13.93</v>
      </c>
      <c r="U94" s="10">
        <v>15.91</v>
      </c>
      <c r="V94" s="10">
        <v>19.18</v>
      </c>
      <c r="W94" s="10">
        <v>15.74</v>
      </c>
    </row>
    <row r="95" spans="1:29" x14ac:dyDescent="0.3">
      <c r="A95" s="7" t="s">
        <v>112</v>
      </c>
      <c r="J95" s="14">
        <f t="shared" ref="J95:W95" si="12">J93-J94</f>
        <v>5.68</v>
      </c>
      <c r="K95" s="14">
        <f t="shared" si="12"/>
        <v>6.1300000000000008</v>
      </c>
      <c r="L95" s="14">
        <f t="shared" si="12"/>
        <v>2.91</v>
      </c>
      <c r="M95" s="14">
        <f t="shared" si="12"/>
        <v>5.92</v>
      </c>
      <c r="N95" s="14">
        <f t="shared" si="12"/>
        <v>-0.1899999999999995</v>
      </c>
      <c r="O95" s="14">
        <f t="shared" si="12"/>
        <v>0.67999999999999972</v>
      </c>
      <c r="P95" s="14">
        <f t="shared" si="12"/>
        <v>3.1099999999999994</v>
      </c>
      <c r="Q95" s="14">
        <f t="shared" si="12"/>
        <v>-0.3100000000000005</v>
      </c>
      <c r="R95" s="14">
        <f t="shared" si="12"/>
        <v>4.879999999999999</v>
      </c>
      <c r="S95" s="14">
        <f t="shared" si="12"/>
        <v>-1.8499999999999996</v>
      </c>
      <c r="T95" s="14">
        <f t="shared" si="12"/>
        <v>-4.09</v>
      </c>
      <c r="U95" s="14">
        <f t="shared" si="12"/>
        <v>-8.0500000000000007</v>
      </c>
      <c r="V95" s="14">
        <f t="shared" si="12"/>
        <v>-18.809999999999999</v>
      </c>
      <c r="W95" s="14">
        <f t="shared" si="12"/>
        <v>-16.649999999999999</v>
      </c>
    </row>
    <row r="96" spans="1:29" x14ac:dyDescent="0.3">
      <c r="A96" s="7" t="s">
        <v>113</v>
      </c>
      <c r="T96" s="18">
        <f>(T95-AVERAGE(J95:S95))/STDEV(J95:S95)</f>
        <v>-2.3025340107854704</v>
      </c>
      <c r="U96" s="18">
        <f>(U95-AVERAGE(J95:S95))/STDEV(J95:S95)</f>
        <v>-3.6461878101828273</v>
      </c>
      <c r="V96" s="18">
        <f>(V95-AVERAGE(J95:S95))/STDEV(J95:S95)</f>
        <v>-7.2971259115756455</v>
      </c>
      <c r="W96" s="18">
        <f>(W95-AVERAGE(J95:S95))/STDEV(J95:S95)</f>
        <v>-6.5642238391770871</v>
      </c>
    </row>
    <row r="98" spans="1:29" x14ac:dyDescent="0.3">
      <c r="A98" s="4" t="s">
        <v>114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x14ac:dyDescent="0.3">
      <c r="A99" s="7" t="s">
        <v>115</v>
      </c>
      <c r="B99" s="11">
        <v>0.49364297452043499</v>
      </c>
      <c r="C99" s="11">
        <v>6.9629269954154902E-2</v>
      </c>
      <c r="D99" s="11">
        <v>1E-3</v>
      </c>
      <c r="E99" s="22">
        <v>702</v>
      </c>
      <c r="F99" s="3" t="s">
        <v>116</v>
      </c>
    </row>
    <row r="100" spans="1:29" x14ac:dyDescent="0.3">
      <c r="A100" s="7" t="s">
        <v>117</v>
      </c>
      <c r="B100" s="11">
        <v>0.7034092737799591</v>
      </c>
      <c r="C100" s="11">
        <v>0.1029584743819579</v>
      </c>
      <c r="D100" s="11">
        <v>1E-3</v>
      </c>
      <c r="E100" s="22">
        <v>684</v>
      </c>
      <c r="F100" s="3" t="s">
        <v>118</v>
      </c>
    </row>
    <row r="101" spans="1:29" x14ac:dyDescent="0.3">
      <c r="A101" s="7" t="s">
        <v>119</v>
      </c>
      <c r="B101" s="11">
        <v>0.59031326779452575</v>
      </c>
      <c r="C101" s="11"/>
      <c r="D101" s="11"/>
      <c r="E101" s="22">
        <v>486</v>
      </c>
      <c r="F101" s="3" t="s">
        <v>120</v>
      </c>
    </row>
    <row r="103" spans="1:29" x14ac:dyDescent="0.3">
      <c r="A103" s="4" t="s">
        <v>121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x14ac:dyDescent="0.3">
      <c r="A104" s="7" t="s">
        <v>122</v>
      </c>
      <c r="B104" s="11">
        <v>0.723196122048269</v>
      </c>
    </row>
    <row r="105" spans="1:29" x14ac:dyDescent="0.3">
      <c r="A105" s="7" t="s">
        <v>123</v>
      </c>
      <c r="B105" s="11">
        <v>0.72291903008112079</v>
      </c>
    </row>
    <row r="106" spans="1:29" x14ac:dyDescent="0.3">
      <c r="A106" s="7" t="s">
        <v>124</v>
      </c>
      <c r="B106" s="11">
        <v>1.851845530017763</v>
      </c>
    </row>
    <row r="107" spans="1:29" x14ac:dyDescent="0.3">
      <c r="A107" s="7" t="s">
        <v>125</v>
      </c>
      <c r="B107" s="11">
        <v>8.9181857882962134</v>
      </c>
    </row>
    <row r="108" spans="1:29" x14ac:dyDescent="0.3">
      <c r="A108" s="7" t="s">
        <v>126</v>
      </c>
      <c r="B108" s="11">
        <v>6.8247849372983351</v>
      </c>
    </row>
    <row r="109" spans="1:29" x14ac:dyDescent="0.3">
      <c r="A109" s="7" t="s">
        <v>127</v>
      </c>
      <c r="B109" s="11">
        <v>0.3496747894049051</v>
      </c>
    </row>
    <row r="111" spans="1:29" x14ac:dyDescent="0.3">
      <c r="A111" s="7" t="s">
        <v>128</v>
      </c>
      <c r="J111" s="14">
        <f t="shared" ref="J111:W111" si="13">J7*100</f>
        <v>18.609206660137122</v>
      </c>
      <c r="K111" s="14">
        <f t="shared" si="13"/>
        <v>10.993249758919955</v>
      </c>
      <c r="L111" s="14">
        <f t="shared" si="13"/>
        <v>13.54062186559679</v>
      </c>
      <c r="M111" s="14">
        <f t="shared" si="13"/>
        <v>12.01814058956916</v>
      </c>
      <c r="N111" s="14">
        <f t="shared" si="13"/>
        <v>9.4962840627580434</v>
      </c>
      <c r="O111" s="14">
        <f t="shared" si="13"/>
        <v>8.6880973066898459</v>
      </c>
      <c r="P111" s="14">
        <f t="shared" si="13"/>
        <v>8.4805653710247277</v>
      </c>
      <c r="Q111" s="14">
        <f t="shared" si="13"/>
        <v>12.348178137651832</v>
      </c>
      <c r="R111" s="14">
        <f t="shared" si="13"/>
        <v>7.9185520361990891</v>
      </c>
      <c r="S111" s="14">
        <f t="shared" si="13"/>
        <v>7.4340527577937854</v>
      </c>
      <c r="T111" s="14">
        <f t="shared" si="13"/>
        <v>8.7947882736156391</v>
      </c>
      <c r="U111" s="14">
        <f t="shared" si="13"/>
        <v>9.8198198198198305</v>
      </c>
      <c r="V111" s="14">
        <f t="shared" si="13"/>
        <v>9.1544374563242492</v>
      </c>
      <c r="W111" s="14">
        <f t="shared" si="13"/>
        <v>10.342261904761907</v>
      </c>
    </row>
    <row r="112" spans="1:29" x14ac:dyDescent="0.3">
      <c r="A112" s="7" t="s">
        <v>129</v>
      </c>
      <c r="J112" s="14">
        <f t="shared" ref="J112:W112" si="14">J111</f>
        <v>18.609206660137122</v>
      </c>
      <c r="K112" s="14">
        <f t="shared" si="14"/>
        <v>10.993249758919955</v>
      </c>
      <c r="L112" s="14">
        <f t="shared" si="14"/>
        <v>13.54062186559679</v>
      </c>
      <c r="M112" s="14">
        <f t="shared" si="14"/>
        <v>12.01814058956916</v>
      </c>
      <c r="N112" s="14">
        <f t="shared" si="14"/>
        <v>9.4962840627580434</v>
      </c>
      <c r="O112" s="14">
        <f t="shared" si="14"/>
        <v>8.6880973066898459</v>
      </c>
      <c r="P112" s="14">
        <f t="shared" si="14"/>
        <v>8.4805653710247277</v>
      </c>
      <c r="Q112" s="14">
        <f t="shared" si="14"/>
        <v>12.348178137651832</v>
      </c>
      <c r="R112" s="14">
        <f t="shared" si="14"/>
        <v>7.9185520361990891</v>
      </c>
      <c r="S112" s="14">
        <f t="shared" si="14"/>
        <v>7.4340527577937854</v>
      </c>
      <c r="T112" s="14">
        <f t="shared" si="14"/>
        <v>8.7947882736156391</v>
      </c>
      <c r="U112" s="14">
        <f t="shared" si="14"/>
        <v>9.8198198198198305</v>
      </c>
      <c r="V112" s="14">
        <f t="shared" si="14"/>
        <v>9.1544374563242492</v>
      </c>
      <c r="W112" s="14">
        <f t="shared" si="14"/>
        <v>10.342261904761907</v>
      </c>
      <c r="X112" s="14">
        <f t="shared" ref="X112:AC112" si="15">X83</f>
        <v>9.1999999999999993</v>
      </c>
      <c r="Y112" s="14">
        <f t="shared" si="15"/>
        <v>7.2710000000000008</v>
      </c>
      <c r="Z112" s="14">
        <f t="shared" si="15"/>
        <v>7.82</v>
      </c>
      <c r="AA112" s="14">
        <f t="shared" si="15"/>
        <v>5.7200000000000006</v>
      </c>
      <c r="AB112" s="14">
        <f t="shared" si="15"/>
        <v>6.093</v>
      </c>
      <c r="AC112" s="14">
        <f t="shared" si="15"/>
        <v>5.9289999999999994</v>
      </c>
    </row>
    <row r="113" spans="1:29" x14ac:dyDescent="0.3">
      <c r="A113" s="7" t="s">
        <v>130</v>
      </c>
      <c r="X113" s="14">
        <f>X88</f>
        <v>11.526946107784442</v>
      </c>
      <c r="Y113" s="14">
        <f>Y88</f>
        <v>9.926168990976203</v>
      </c>
    </row>
    <row r="114" spans="1:29" x14ac:dyDescent="0.3">
      <c r="A114" s="7" t="s">
        <v>131</v>
      </c>
      <c r="J114" s="14">
        <f t="shared" ref="J114:W114" si="16">J24</f>
        <v>18.254834417332908</v>
      </c>
      <c r="K114" s="14">
        <f t="shared" si="16"/>
        <v>12.735554542258573</v>
      </c>
      <c r="L114" s="14">
        <f t="shared" si="16"/>
        <v>10.844222313156116</v>
      </c>
      <c r="M114" s="14">
        <f t="shared" si="16"/>
        <v>11.902934481343165</v>
      </c>
      <c r="N114" s="14">
        <f t="shared" si="16"/>
        <v>11.101183507729484</v>
      </c>
      <c r="O114" s="14">
        <f t="shared" si="16"/>
        <v>8.9367511429333923</v>
      </c>
      <c r="P114" s="14">
        <f t="shared" si="16"/>
        <v>8.8345878659570367</v>
      </c>
      <c r="Q114" s="14">
        <f t="shared" si="16"/>
        <v>9.2584143379198842</v>
      </c>
      <c r="R114" s="14">
        <f t="shared" si="16"/>
        <v>8.9185529153815679</v>
      </c>
      <c r="S114" s="14">
        <f t="shared" si="16"/>
        <v>8.7399130223282189</v>
      </c>
      <c r="T114" s="14">
        <f t="shared" si="16"/>
        <v>7.9366201773395595</v>
      </c>
      <c r="U114" s="14">
        <f t="shared" si="16"/>
        <v>9.4827430112815936</v>
      </c>
      <c r="V114" s="14">
        <f t="shared" si="16"/>
        <v>9.9559060617044448</v>
      </c>
      <c r="W114" s="14">
        <f t="shared" si="16"/>
        <v>8.7900177472390268</v>
      </c>
      <c r="X114" s="14">
        <f t="shared" ref="X114:AC114" si="17">X85</f>
        <v>8.9180921393257169</v>
      </c>
      <c r="Y114" s="14">
        <f t="shared" si="17"/>
        <v>7.2710000000000008</v>
      </c>
      <c r="Z114" s="14">
        <f t="shared" si="17"/>
        <v>7.82</v>
      </c>
      <c r="AA114" s="14">
        <f t="shared" si="17"/>
        <v>5.7200000000000006</v>
      </c>
      <c r="AB114" s="14">
        <f t="shared" si="17"/>
        <v>6.093</v>
      </c>
      <c r="AC114" s="14">
        <f t="shared" si="17"/>
        <v>5.9289999999999994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79"/>
  <sheetViews>
    <sheetView zoomScale="43" workbookViewId="0">
      <pane xSplit="2" ySplit="3" topLeftCell="G76" activePane="bottomRight" state="frozen"/>
      <selection pane="topRight"/>
      <selection pane="bottomLeft"/>
      <selection pane="bottomRight" activeCell="A12" sqref="A12"/>
    </sheetView>
  </sheetViews>
  <sheetFormatPr defaultColWidth="8.77734375" defaultRowHeight="14.4" x14ac:dyDescent="0.3"/>
  <cols>
    <col min="1" max="1" width="50.6640625" customWidth="1"/>
    <col min="2" max="2" width="0.109375" hidden="1" customWidth="1"/>
    <col min="3" max="6" width="9.44140625" hidden="1" customWidth="1"/>
    <col min="7" max="30" width="9.44140625" customWidth="1"/>
  </cols>
  <sheetData>
    <row r="1" spans="1:30" x14ac:dyDescent="0.3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spans="1:30" x14ac:dyDescent="0.3">
      <c r="A3" s="4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6" t="s">
        <v>22</v>
      </c>
      <c r="W3" s="6" t="s">
        <v>23</v>
      </c>
      <c r="X3" s="6" t="s">
        <v>24</v>
      </c>
      <c r="Y3" s="6" t="s">
        <v>25</v>
      </c>
      <c r="Z3" s="6" t="s">
        <v>26</v>
      </c>
      <c r="AA3" s="6" t="s">
        <v>27</v>
      </c>
      <c r="AB3" s="6" t="s">
        <v>28</v>
      </c>
      <c r="AC3" s="6" t="s">
        <v>29</v>
      </c>
      <c r="AD3" s="6" t="s">
        <v>30</v>
      </c>
    </row>
    <row r="5" spans="1:30" x14ac:dyDescent="0.3">
      <c r="A5" s="4" t="s">
        <v>133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x14ac:dyDescent="0.3">
      <c r="A6" s="7" t="s">
        <v>134</v>
      </c>
      <c r="B6" s="3" t="s">
        <v>135</v>
      </c>
      <c r="C6" s="10">
        <v>159.82</v>
      </c>
      <c r="D6" s="10">
        <v>161.44999999999999</v>
      </c>
      <c r="E6" s="10">
        <v>149.15</v>
      </c>
      <c r="F6" s="10">
        <v>153.61000000000001</v>
      </c>
      <c r="G6" s="10">
        <v>168.07</v>
      </c>
      <c r="H6" s="10">
        <v>163.74</v>
      </c>
      <c r="I6" s="10">
        <v>156.44</v>
      </c>
      <c r="J6" s="10">
        <v>152.81</v>
      </c>
      <c r="K6" s="10">
        <v>168.43</v>
      </c>
      <c r="L6" s="10">
        <v>166.01</v>
      </c>
      <c r="M6" s="10">
        <v>161.38</v>
      </c>
      <c r="N6" s="10">
        <v>156.72999999999999</v>
      </c>
      <c r="O6" s="10">
        <v>172.88</v>
      </c>
      <c r="P6" s="10">
        <v>169.53</v>
      </c>
      <c r="Q6" s="10">
        <v>163.63999999999999</v>
      </c>
      <c r="R6" s="10">
        <v>158.13</v>
      </c>
      <c r="S6" s="10">
        <v>171.34</v>
      </c>
      <c r="T6" s="10">
        <v>174.48</v>
      </c>
      <c r="U6" s="10">
        <v>171.29</v>
      </c>
      <c r="V6" s="10">
        <v>167.51</v>
      </c>
      <c r="W6" s="10">
        <v>186.82</v>
      </c>
      <c r="X6" s="10">
        <v>183.73</v>
      </c>
      <c r="Y6" s="19">
        <f>Y95</f>
        <v>175.66233929374312</v>
      </c>
      <c r="Z6" s="19">
        <f t="shared" ref="Z6:AD6" si="0">Z95</f>
        <v>170.95631606738019</v>
      </c>
      <c r="AA6" s="19">
        <f t="shared" si="0"/>
        <v>187.90967275431007</v>
      </c>
      <c r="AB6" s="19">
        <f t="shared" si="0"/>
        <v>185.59486497577498</v>
      </c>
      <c r="AC6" s="19">
        <f t="shared" si="0"/>
        <v>177.87547451876307</v>
      </c>
      <c r="AD6" s="19">
        <f t="shared" si="0"/>
        <v>173.46913364531758</v>
      </c>
    </row>
    <row r="7" spans="1:30" x14ac:dyDescent="0.3">
      <c r="A7" s="7" t="s">
        <v>136</v>
      </c>
      <c r="B7" s="3" t="s">
        <v>137</v>
      </c>
      <c r="G7" s="9">
        <f t="shared" ref="G7:AD7" si="1">G6/C6-1</f>
        <v>5.1620573144787851E-2</v>
      </c>
      <c r="H7" s="9">
        <f t="shared" si="1"/>
        <v>1.4183957881697351E-2</v>
      </c>
      <c r="I7" s="9">
        <f t="shared" si="1"/>
        <v>4.887696949379805E-2</v>
      </c>
      <c r="J7" s="9">
        <f t="shared" si="1"/>
        <v>-5.2079942712063287E-3</v>
      </c>
      <c r="K7" s="9">
        <f t="shared" si="1"/>
        <v>2.1419646575833173E-3</v>
      </c>
      <c r="L7" s="9">
        <f t="shared" si="1"/>
        <v>1.3863442042262086E-2</v>
      </c>
      <c r="M7" s="9">
        <f t="shared" si="1"/>
        <v>3.1577601636410213E-2</v>
      </c>
      <c r="N7" s="9">
        <f t="shared" si="1"/>
        <v>2.5652771415483278E-2</v>
      </c>
      <c r="O7" s="9">
        <f t="shared" si="1"/>
        <v>2.642047141245607E-2</v>
      </c>
      <c r="P7" s="9">
        <f t="shared" si="1"/>
        <v>2.1203541955304051E-2</v>
      </c>
      <c r="Q7" s="9">
        <f t="shared" si="1"/>
        <v>1.4004213657206499E-2</v>
      </c>
      <c r="R7" s="9">
        <f t="shared" si="1"/>
        <v>8.9325591782045688E-3</v>
      </c>
      <c r="S7" s="9">
        <f t="shared" si="1"/>
        <v>-8.9079130032392317E-3</v>
      </c>
      <c r="T7" s="9">
        <f t="shared" si="1"/>
        <v>2.9198371969562764E-2</v>
      </c>
      <c r="U7" s="9">
        <f t="shared" si="1"/>
        <v>4.6748961134197131E-2</v>
      </c>
      <c r="V7" s="9">
        <f t="shared" si="1"/>
        <v>5.931828242585202E-2</v>
      </c>
      <c r="W7" s="9">
        <f t="shared" si="1"/>
        <v>9.0346679117544015E-2</v>
      </c>
      <c r="X7" s="9">
        <f t="shared" si="1"/>
        <v>5.3014672168729904E-2</v>
      </c>
      <c r="Y7" s="9">
        <f t="shared" si="1"/>
        <v>2.5525946019867574E-2</v>
      </c>
      <c r="Z7" s="9">
        <f t="shared" si="1"/>
        <v>2.0573793011642305E-2</v>
      </c>
      <c r="AA7" s="9">
        <f t="shared" si="1"/>
        <v>5.8327414319134796E-3</v>
      </c>
      <c r="AB7" s="9">
        <f t="shared" si="1"/>
        <v>1.0150029803379867E-2</v>
      </c>
      <c r="AC7" s="9">
        <f t="shared" si="1"/>
        <v>1.2598803100983158E-2</v>
      </c>
      <c r="AD7" s="9">
        <f t="shared" si="1"/>
        <v>1.4698594563461453E-2</v>
      </c>
    </row>
    <row r="8" spans="1:30" x14ac:dyDescent="0.3">
      <c r="A8" s="7" t="s">
        <v>138</v>
      </c>
      <c r="B8" s="3" t="s">
        <v>139</v>
      </c>
      <c r="H8" s="10">
        <v>7</v>
      </c>
      <c r="I8" s="10">
        <v>12</v>
      </c>
      <c r="J8" s="10">
        <v>5</v>
      </c>
      <c r="K8" s="10">
        <v>3</v>
      </c>
      <c r="L8" s="10">
        <v>2</v>
      </c>
      <c r="M8" s="10">
        <v>0.5</v>
      </c>
      <c r="N8" s="10">
        <v>0.5</v>
      </c>
      <c r="O8" s="10">
        <v>2</v>
      </c>
      <c r="P8" s="10">
        <v>3</v>
      </c>
      <c r="Q8" s="10">
        <v>2</v>
      </c>
      <c r="R8" s="10">
        <v>2</v>
      </c>
      <c r="S8" s="10">
        <v>1</v>
      </c>
      <c r="T8" s="10">
        <v>1</v>
      </c>
      <c r="U8" s="10">
        <v>2</v>
      </c>
      <c r="V8" s="10">
        <v>3</v>
      </c>
      <c r="W8" s="10">
        <v>4</v>
      </c>
      <c r="X8" s="10">
        <v>4</v>
      </c>
    </row>
    <row r="9" spans="1:30" x14ac:dyDescent="0.3">
      <c r="A9" s="7" t="s">
        <v>140</v>
      </c>
      <c r="B9" s="3" t="s">
        <v>141</v>
      </c>
      <c r="H9" s="14">
        <f t="shared" ref="H9:X9" si="2">H7*100-H8</f>
        <v>-5.5816042118302649</v>
      </c>
      <c r="I9" s="14">
        <f t="shared" si="2"/>
        <v>-7.112303050620195</v>
      </c>
      <c r="J9" s="14">
        <f t="shared" si="2"/>
        <v>-5.5207994271206324</v>
      </c>
      <c r="K9" s="14">
        <f t="shared" si="2"/>
        <v>-2.7858035342416683</v>
      </c>
      <c r="L9" s="14">
        <f t="shared" si="2"/>
        <v>-0.61365579577379137</v>
      </c>
      <c r="M9" s="14">
        <f t="shared" si="2"/>
        <v>2.6577601636410213</v>
      </c>
      <c r="N9" s="14">
        <f t="shared" si="2"/>
        <v>2.0652771415483278</v>
      </c>
      <c r="O9" s="14">
        <f t="shared" si="2"/>
        <v>0.64204714124560702</v>
      </c>
      <c r="P9" s="14">
        <f t="shared" si="2"/>
        <v>-0.87964580446959495</v>
      </c>
      <c r="Q9" s="14">
        <f t="shared" si="2"/>
        <v>-0.5995786342793501</v>
      </c>
      <c r="R9" s="14">
        <f t="shared" si="2"/>
        <v>-1.1067440821795431</v>
      </c>
      <c r="S9" s="14">
        <f t="shared" si="2"/>
        <v>-1.8907913003239232</v>
      </c>
      <c r="T9" s="14">
        <f t="shared" si="2"/>
        <v>1.9198371969562764</v>
      </c>
      <c r="U9" s="14">
        <f t="shared" si="2"/>
        <v>2.6748961134197131</v>
      </c>
      <c r="V9" s="14">
        <f t="shared" si="2"/>
        <v>2.931828242585202</v>
      </c>
      <c r="W9" s="14">
        <f t="shared" si="2"/>
        <v>5.0346679117544006</v>
      </c>
      <c r="X9" s="14">
        <f t="shared" si="2"/>
        <v>1.3014672168729904</v>
      </c>
    </row>
    <row r="11" spans="1:30" x14ac:dyDescent="0.3">
      <c r="A11" s="4" t="s">
        <v>142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x14ac:dyDescent="0.3">
      <c r="A12" s="7" t="s">
        <v>143</v>
      </c>
      <c r="B12" s="3" t="s">
        <v>144</v>
      </c>
      <c r="C12" s="24">
        <v>1.2051578125</v>
      </c>
      <c r="D12" s="24">
        <v>1.205263076923077</v>
      </c>
      <c r="E12" s="24">
        <v>1.1786621212121211</v>
      </c>
      <c r="F12" s="24">
        <v>1.143265151515152</v>
      </c>
      <c r="G12" s="24">
        <v>1.122084375</v>
      </c>
      <c r="H12" s="24">
        <v>1.064409230769231</v>
      </c>
      <c r="I12" s="24">
        <v>1.007031818181819</v>
      </c>
      <c r="J12" s="24">
        <v>1.021918461538462</v>
      </c>
      <c r="K12" s="24">
        <v>1.0729676923076921</v>
      </c>
      <c r="L12" s="24">
        <v>1.088615384615385</v>
      </c>
      <c r="M12" s="24">
        <v>1.0883215384615379</v>
      </c>
      <c r="N12" s="24">
        <v>1.0763307692307691</v>
      </c>
      <c r="O12" s="24">
        <v>1.0858476923076921</v>
      </c>
      <c r="P12" s="24">
        <v>1.0766800000000001</v>
      </c>
      <c r="Q12" s="24">
        <v>1.098504545454545</v>
      </c>
      <c r="R12" s="24">
        <v>1.066693939393939</v>
      </c>
      <c r="S12" s="24">
        <v>1.0523953125000001</v>
      </c>
      <c r="T12" s="24">
        <v>1.1344461538461541</v>
      </c>
      <c r="U12" s="24">
        <v>1.1686681818181821</v>
      </c>
      <c r="V12" s="24">
        <v>1.1640893939393939</v>
      </c>
      <c r="W12" s="24">
        <v>1.1703062500000001</v>
      </c>
      <c r="X12" s="24">
        <v>1.1628876923076921</v>
      </c>
      <c r="Y12" s="24">
        <v>1.1515590909090909</v>
      </c>
      <c r="Z12" s="24">
        <v>1.1464000000000001</v>
      </c>
      <c r="AA12" s="24">
        <v>1.1464000000000001</v>
      </c>
      <c r="AB12" s="24">
        <v>1.1464000000000001</v>
      </c>
      <c r="AC12" s="24">
        <v>1.1464000000000001</v>
      </c>
      <c r="AD12" s="24">
        <v>1.1464000000000001</v>
      </c>
    </row>
    <row r="13" spans="1:30" x14ac:dyDescent="0.3">
      <c r="A13" s="7" t="s">
        <v>145</v>
      </c>
      <c r="B13" s="3" t="s">
        <v>146</v>
      </c>
      <c r="C13" s="24">
        <v>1.3790890625000001</v>
      </c>
      <c r="D13" s="24">
        <v>1.3984476923076921</v>
      </c>
      <c r="E13" s="24">
        <v>1.3780666666666661</v>
      </c>
      <c r="F13" s="24">
        <v>1.3484454545454541</v>
      </c>
      <c r="G13" s="24">
        <v>1.3413921875000001</v>
      </c>
      <c r="H13" s="24">
        <v>1.2559246153846151</v>
      </c>
      <c r="I13" s="24">
        <v>1.17679696969697</v>
      </c>
      <c r="J13" s="24">
        <v>1.1751738461538459</v>
      </c>
      <c r="K13" s="24">
        <v>1.215069230769231</v>
      </c>
      <c r="L13" s="24">
        <v>1.252130769230769</v>
      </c>
      <c r="M13" s="24">
        <v>1.2662</v>
      </c>
      <c r="N13" s="24">
        <v>1.2419846153846159</v>
      </c>
      <c r="O13" s="24">
        <v>1.2682553846153839</v>
      </c>
      <c r="P13" s="24">
        <v>1.262155384615385</v>
      </c>
      <c r="Q13" s="24">
        <v>1.3003090909090911</v>
      </c>
      <c r="R13" s="24">
        <v>1.281445454545455</v>
      </c>
      <c r="S13" s="24">
        <v>1.2597046875</v>
      </c>
      <c r="T13" s="24">
        <v>1.335726153846154</v>
      </c>
      <c r="U13" s="24">
        <v>1.3486742424242419</v>
      </c>
      <c r="V13" s="24">
        <v>1.3304590909090901</v>
      </c>
      <c r="W13" s="24">
        <v>1.3478812499999999</v>
      </c>
      <c r="X13" s="24">
        <v>1.3426400000000001</v>
      </c>
      <c r="Y13" s="24">
        <v>1.3456939393939391</v>
      </c>
      <c r="Z13" s="24">
        <v>1.3371999999999999</v>
      </c>
      <c r="AA13" s="24">
        <v>1.3371999999999999</v>
      </c>
      <c r="AB13" s="24">
        <v>1.3371999999999999</v>
      </c>
      <c r="AC13" s="24">
        <v>1.3371999999999999</v>
      </c>
      <c r="AD13" s="24">
        <v>1.3371999999999999</v>
      </c>
    </row>
    <row r="14" spans="1:30" x14ac:dyDescent="0.3">
      <c r="A14" s="7" t="s">
        <v>147</v>
      </c>
      <c r="B14" s="3" t="s">
        <v>148</v>
      </c>
      <c r="C14" s="24">
        <v>0.18287230082704181</v>
      </c>
      <c r="D14" s="24">
        <v>0.18929379868484611</v>
      </c>
      <c r="E14" s="24">
        <v>0.19140421758403409</v>
      </c>
      <c r="F14" s="24">
        <v>0.17901788823543799</v>
      </c>
      <c r="G14" s="24">
        <v>0.191803311632118</v>
      </c>
      <c r="H14" s="24">
        <v>0.20348532289548971</v>
      </c>
      <c r="I14" s="24">
        <v>0.1907429645142075</v>
      </c>
      <c r="J14" s="24">
        <v>0.19031258739721929</v>
      </c>
      <c r="K14" s="24">
        <v>0.19255919396737489</v>
      </c>
      <c r="L14" s="24">
        <v>0.20206913178009131</v>
      </c>
      <c r="M14" s="24">
        <v>0.20494514506065861</v>
      </c>
      <c r="N14" s="24">
        <v>0.201970528062551</v>
      </c>
      <c r="O14" s="24">
        <v>0.20203221556870021</v>
      </c>
      <c r="P14" s="24">
        <v>0.19200767321207851</v>
      </c>
      <c r="Q14" s="24">
        <v>0.1803480448147409</v>
      </c>
      <c r="R14" s="24">
        <v>0.17142181698337991</v>
      </c>
      <c r="S14" s="24">
        <v>0.17095679528148239</v>
      </c>
      <c r="T14" s="24">
        <v>0.17648985458649369</v>
      </c>
      <c r="U14" s="24">
        <v>0.18360545702827721</v>
      </c>
      <c r="V14" s="24">
        <v>0.18528563691452779</v>
      </c>
      <c r="W14" s="24">
        <v>0.19021327698788121</v>
      </c>
      <c r="X14" s="24">
        <v>0.19812415867997499</v>
      </c>
      <c r="Y14" s="24">
        <v>0.1947710746997425</v>
      </c>
      <c r="Z14" s="24">
        <v>0.1938134739127064</v>
      </c>
      <c r="AA14" s="24">
        <v>0.1938134739127064</v>
      </c>
      <c r="AB14" s="24">
        <v>0.1938134739127064</v>
      </c>
      <c r="AC14" s="24">
        <v>0.1938134739127064</v>
      </c>
      <c r="AD14" s="24">
        <v>0.1938134739127064</v>
      </c>
    </row>
    <row r="15" spans="1:30" x14ac:dyDescent="0.3">
      <c r="A15" s="7" t="s">
        <v>149</v>
      </c>
      <c r="B15" s="3" t="s">
        <v>150</v>
      </c>
      <c r="C15" s="24">
        <v>4.9188326707185211E-2</v>
      </c>
      <c r="D15" s="24">
        <v>4.9977378475569399E-2</v>
      </c>
      <c r="E15" s="24">
        <v>4.9941176698243203E-2</v>
      </c>
      <c r="F15" s="24">
        <v>4.8211633125842389E-2</v>
      </c>
      <c r="G15" s="24">
        <v>4.8790826136281232E-2</v>
      </c>
      <c r="H15" s="24">
        <v>4.9882551051817492E-2</v>
      </c>
      <c r="I15" s="24">
        <v>4.9438853919958163E-2</v>
      </c>
      <c r="J15" s="24">
        <v>5.0840307297010119E-2</v>
      </c>
      <c r="K15" s="24">
        <v>5.3601005379523087E-2</v>
      </c>
      <c r="L15" s="24">
        <v>5.6587910785035132E-2</v>
      </c>
      <c r="M15" s="24">
        <v>5.8640682512646043E-2</v>
      </c>
      <c r="N15" s="24">
        <v>5.7045653311369147E-2</v>
      </c>
      <c r="O15" s="24">
        <v>5.8894717050272632E-2</v>
      </c>
      <c r="P15" s="24">
        <v>5.8126090269212727E-2</v>
      </c>
      <c r="Q15" s="24">
        <v>5.2918776287827513E-2</v>
      </c>
      <c r="R15" s="24">
        <v>4.9783663793076152E-2</v>
      </c>
      <c r="S15" s="24">
        <v>4.897989819692692E-2</v>
      </c>
      <c r="T15" s="24">
        <v>5.1289123817407828E-2</v>
      </c>
      <c r="U15" s="24">
        <v>5.369154947405428E-2</v>
      </c>
      <c r="V15" s="24">
        <v>5.4659441666093912E-2</v>
      </c>
      <c r="W15" s="24">
        <v>5.6955797038301927E-2</v>
      </c>
      <c r="X15" s="24">
        <v>5.7533584597843572E-2</v>
      </c>
      <c r="Y15" s="24">
        <v>5.8112133031784967E-2</v>
      </c>
      <c r="Z15" s="24">
        <v>5.7986477553434557E-2</v>
      </c>
      <c r="AA15" s="24">
        <v>5.7986477553434557E-2</v>
      </c>
      <c r="AB15" s="24">
        <v>5.7986477553434557E-2</v>
      </c>
      <c r="AC15" s="24">
        <v>5.7986477553434557E-2</v>
      </c>
      <c r="AD15" s="24">
        <v>5.7986477553434557E-2</v>
      </c>
    </row>
    <row r="16" spans="1:30" x14ac:dyDescent="0.3">
      <c r="A16" s="7" t="s">
        <v>151</v>
      </c>
      <c r="B16" s="3" t="s">
        <v>152</v>
      </c>
      <c r="C16" s="24">
        <v>9.4349050910653917E-3</v>
      </c>
      <c r="D16" s="24">
        <v>9.1381253502889632E-3</v>
      </c>
      <c r="E16" s="24">
        <v>9.0842012532933586E-3</v>
      </c>
      <c r="F16" s="24">
        <v>8.7968934815216733E-3</v>
      </c>
      <c r="G16" s="24">
        <v>8.6023214875475783E-3</v>
      </c>
      <c r="H16" s="24">
        <v>7.7121519885564437E-3</v>
      </c>
      <c r="I16" s="24">
        <v>7.2346139022852127E-3</v>
      </c>
      <c r="J16" s="24">
        <v>7.0896820092488126E-3</v>
      </c>
      <c r="K16" s="24">
        <v>7.5563288442746903E-3</v>
      </c>
      <c r="L16" s="24">
        <v>7.2794962283187874E-3</v>
      </c>
      <c r="M16" s="24">
        <v>6.9207957662468719E-3</v>
      </c>
      <c r="N16" s="24">
        <v>6.7688001480170666E-3</v>
      </c>
      <c r="O16" s="24">
        <v>6.7398720842986046E-3</v>
      </c>
      <c r="P16" s="24">
        <v>6.4187658575526364E-3</v>
      </c>
      <c r="Q16" s="24">
        <v>6.713874936983914E-3</v>
      </c>
      <c r="R16" s="24">
        <v>6.5647050031697376E-3</v>
      </c>
      <c r="S16" s="24">
        <v>6.5592852101006684E-3</v>
      </c>
      <c r="T16" s="24">
        <v>6.9232239001083317E-3</v>
      </c>
      <c r="U16" s="24">
        <v>6.7818576664504674E-3</v>
      </c>
      <c r="V16" s="24">
        <v>6.4909557942727271E-3</v>
      </c>
      <c r="W16" s="24">
        <v>6.3765535736576536E-3</v>
      </c>
      <c r="X16" s="24">
        <v>6.2743756760766361E-3</v>
      </c>
      <c r="Y16" s="24">
        <v>6.2864113112718126E-3</v>
      </c>
      <c r="Z16" s="24">
        <v>6.3747051698858047E-3</v>
      </c>
      <c r="AA16" s="24">
        <v>6.3747051698858047E-3</v>
      </c>
      <c r="AB16" s="24">
        <v>6.3747051698858047E-3</v>
      </c>
      <c r="AC16" s="24">
        <v>6.3747051698858047E-3</v>
      </c>
      <c r="AD16" s="24">
        <v>6.3747051698858047E-3</v>
      </c>
    </row>
    <row r="17" spans="1:30" x14ac:dyDescent="0.3">
      <c r="A17" s="7" t="s">
        <v>153</v>
      </c>
      <c r="B17" s="3" t="s">
        <v>154</v>
      </c>
      <c r="C17" s="24">
        <v>0.77284218749999989</v>
      </c>
      <c r="D17" s="24">
        <v>0.77006615384615362</v>
      </c>
      <c r="E17" s="24">
        <v>0.73476666666666679</v>
      </c>
      <c r="F17" s="24">
        <v>0.72878939393939346</v>
      </c>
      <c r="G17" s="24">
        <v>0.72470468750000006</v>
      </c>
      <c r="H17" s="24">
        <v>0.71404769230769249</v>
      </c>
      <c r="I17" s="24">
        <v>0.6832560606060607</v>
      </c>
      <c r="J17" s="24">
        <v>0.65758769230769232</v>
      </c>
      <c r="K17" s="24">
        <v>0.68345538461538458</v>
      </c>
      <c r="L17" s="24">
        <v>0.66810000000000014</v>
      </c>
      <c r="M17" s="24">
        <v>0.65481230769230758</v>
      </c>
      <c r="N17" s="24">
        <v>0.65147230769230779</v>
      </c>
      <c r="O17" s="24">
        <v>0.65780461538461543</v>
      </c>
      <c r="P17" s="24">
        <v>0.65907230769230762</v>
      </c>
      <c r="Q17" s="24">
        <v>0.66993484848484852</v>
      </c>
      <c r="R17" s="24">
        <v>0.65226515151515141</v>
      </c>
      <c r="S17" s="24">
        <v>0.62754218750000001</v>
      </c>
      <c r="T17" s="24">
        <v>0.64107230769230761</v>
      </c>
      <c r="U17" s="24">
        <v>0.65431969696969705</v>
      </c>
      <c r="V17" s="24">
        <v>0.65672575757575746</v>
      </c>
      <c r="W17" s="24">
        <v>0.69493593750000016</v>
      </c>
      <c r="X17" s="24">
        <v>0.70997384615384651</v>
      </c>
      <c r="Y17" s="24">
        <v>0.70713030303030333</v>
      </c>
      <c r="Z17" s="24">
        <v>0.71110000000000007</v>
      </c>
      <c r="AA17" s="24">
        <v>0.71109999999999995</v>
      </c>
      <c r="AB17" s="24">
        <v>0.71109999999999995</v>
      </c>
      <c r="AC17" s="24">
        <v>0.71110000000000007</v>
      </c>
      <c r="AD17" s="24">
        <v>0.71110000000000007</v>
      </c>
    </row>
    <row r="18" spans="1:30" x14ac:dyDescent="0.3">
      <c r="A18" s="7" t="s">
        <v>155</v>
      </c>
      <c r="B18" s="3" t="s">
        <v>156</v>
      </c>
      <c r="C18" s="24">
        <v>8.9805740820077034E-4</v>
      </c>
      <c r="D18" s="24">
        <v>8.9194500618351821E-4</v>
      </c>
      <c r="E18" s="24">
        <v>8.6250124190897571E-4</v>
      </c>
      <c r="F18" s="24">
        <v>8.4489754584086193E-4</v>
      </c>
      <c r="G18" s="24">
        <v>8.294930814214625E-4</v>
      </c>
      <c r="H18" s="24">
        <v>7.9350423631920455E-4</v>
      </c>
      <c r="I18" s="24">
        <v>7.4657344396313779E-4</v>
      </c>
      <c r="J18" s="24">
        <v>7.3713865068151835E-4</v>
      </c>
      <c r="K18" s="24">
        <v>7.8425692495177207E-4</v>
      </c>
      <c r="L18" s="24">
        <v>7.6050864999536614E-4</v>
      </c>
      <c r="M18" s="24">
        <v>7.6178374502213224E-4</v>
      </c>
      <c r="N18" s="24">
        <v>7.5699544735622184E-4</v>
      </c>
      <c r="O18" s="24">
        <v>7.5258659176398294E-4</v>
      </c>
      <c r="P18" s="24">
        <v>7.2983184521531247E-4</v>
      </c>
      <c r="Q18" s="24">
        <v>7.3789966225383497E-4</v>
      </c>
      <c r="R18" s="24">
        <v>7.1545037564190762E-4</v>
      </c>
      <c r="S18" s="24">
        <v>6.8861141130592768E-4</v>
      </c>
      <c r="T18" s="24">
        <v>7.1531198913271079E-4</v>
      </c>
      <c r="U18" s="24">
        <v>7.2120431428901509E-4</v>
      </c>
      <c r="V18" s="24">
        <v>6.9039611485265313E-4</v>
      </c>
      <c r="W18" s="24">
        <v>6.8276248736251705E-4</v>
      </c>
      <c r="X18" s="24">
        <v>6.6626241030366131E-4</v>
      </c>
      <c r="Y18" s="24">
        <v>7.047699372736059E-4</v>
      </c>
      <c r="Z18" s="24">
        <v>7.2047666736309995E-4</v>
      </c>
      <c r="AA18" s="24">
        <v>7.2047666736309995E-4</v>
      </c>
      <c r="AB18" s="24">
        <v>7.2047666736309995E-4</v>
      </c>
      <c r="AC18" s="24">
        <v>7.2047666736309995E-4</v>
      </c>
      <c r="AD18" s="24">
        <v>7.2047666736309995E-4</v>
      </c>
    </row>
    <row r="19" spans="1:30" x14ac:dyDescent="0.3">
      <c r="A19" s="7" t="s">
        <v>157</v>
      </c>
      <c r="B19" s="3" t="s">
        <v>158</v>
      </c>
      <c r="C19" s="24">
        <v>0.78993695974198253</v>
      </c>
      <c r="D19" s="24">
        <v>0.81440810050154422</v>
      </c>
      <c r="E19" s="24">
        <v>0.79401148418538381</v>
      </c>
      <c r="F19" s="24">
        <v>0.79344988160116836</v>
      </c>
      <c r="G19" s="24">
        <v>0.78974132492334082</v>
      </c>
      <c r="H19" s="24">
        <v>0.7833372703335949</v>
      </c>
      <c r="I19" s="24">
        <v>0.76598681684870407</v>
      </c>
      <c r="J19" s="24">
        <v>0.73679987794800206</v>
      </c>
      <c r="K19" s="24">
        <v>0.73938089223765802</v>
      </c>
      <c r="L19" s="24">
        <v>0.74472729265657112</v>
      </c>
      <c r="M19" s="24">
        <v>0.74579690071761784</v>
      </c>
      <c r="N19" s="24">
        <v>0.73473312493246423</v>
      </c>
      <c r="O19" s="24">
        <v>0.74185751191021543</v>
      </c>
      <c r="P19" s="24">
        <v>0.7309494172204517</v>
      </c>
      <c r="Q19" s="24">
        <v>0.73325028713485163</v>
      </c>
      <c r="R19" s="24">
        <v>0.71493814446522808</v>
      </c>
      <c r="S19" s="24">
        <v>0.69696585764277796</v>
      </c>
      <c r="T19" s="24">
        <v>0.7226533581528588</v>
      </c>
      <c r="U19" s="24">
        <v>0.72630066845977059</v>
      </c>
      <c r="V19" s="24">
        <v>0.71747373548875837</v>
      </c>
      <c r="W19" s="24">
        <v>0.7291271271354296</v>
      </c>
      <c r="X19" s="24">
        <v>0.72266251211416921</v>
      </c>
      <c r="Y19" s="24">
        <v>0.71533731956435698</v>
      </c>
      <c r="Z19" s="24">
        <v>0.71387778412335712</v>
      </c>
      <c r="AA19" s="24">
        <v>0.71387778412335723</v>
      </c>
      <c r="AB19" s="24">
        <v>0.71387778412335723</v>
      </c>
      <c r="AC19" s="24">
        <v>0.71387778412335712</v>
      </c>
      <c r="AD19" s="24">
        <v>0.71387778412335712</v>
      </c>
    </row>
    <row r="20" spans="1:30" x14ac:dyDescent="0.3">
      <c r="A20" s="7" t="s">
        <v>159</v>
      </c>
      <c r="B20" s="3" t="s">
        <v>160</v>
      </c>
      <c r="C20" s="24">
        <v>1.371640452690674E-2</v>
      </c>
      <c r="D20" s="24">
        <v>1.355829368439952E-2</v>
      </c>
      <c r="E20" s="24">
        <v>1.349835916932289E-2</v>
      </c>
      <c r="F20" s="24">
        <v>1.3348796445962419E-2</v>
      </c>
      <c r="G20" s="24">
        <v>1.32972184186094E-2</v>
      </c>
      <c r="H20" s="24">
        <v>1.2954458446765861E-2</v>
      </c>
      <c r="I20" s="24">
        <v>1.2537861807701511E-2</v>
      </c>
      <c r="J20" s="24">
        <v>1.217521170123298E-2</v>
      </c>
      <c r="K20" s="24">
        <v>1.216573172989259E-2</v>
      </c>
      <c r="L20" s="24">
        <v>1.216991360465129E-2</v>
      </c>
      <c r="M20" s="24">
        <v>1.2095918888331669E-2</v>
      </c>
      <c r="N20" s="24">
        <v>1.201291290368868E-2</v>
      </c>
      <c r="O20" s="24">
        <v>1.204400393306578E-2</v>
      </c>
      <c r="P20" s="24">
        <v>1.198932693191114E-2</v>
      </c>
      <c r="Q20" s="24">
        <v>1.194017385618696E-2</v>
      </c>
      <c r="R20" s="24">
        <v>1.1843689624391879E-2</v>
      </c>
      <c r="S20" s="24">
        <v>1.1549405488197009E-2</v>
      </c>
      <c r="T20" s="24">
        <v>1.1686774545100771E-2</v>
      </c>
      <c r="U20" s="24">
        <v>1.1453966002660101E-2</v>
      </c>
      <c r="V20" s="24">
        <v>1.1224239720803121E-2</v>
      </c>
      <c r="W20" s="24">
        <v>1.0931727663170481E-2</v>
      </c>
      <c r="X20" s="24">
        <v>1.056799659097119E-2</v>
      </c>
      <c r="Y20" s="24">
        <v>1.0461346931782E-2</v>
      </c>
      <c r="Z20" s="24">
        <v>1.043079169708981E-2</v>
      </c>
      <c r="AA20" s="24">
        <v>1.043079169708981E-2</v>
      </c>
      <c r="AB20" s="24">
        <v>1.043079169708981E-2</v>
      </c>
      <c r="AC20" s="24">
        <v>1.043079169708981E-2</v>
      </c>
      <c r="AD20" s="24">
        <v>1.043079169708981E-2</v>
      </c>
    </row>
    <row r="21" spans="1:30" x14ac:dyDescent="0.3">
      <c r="A21" s="7" t="s">
        <v>161</v>
      </c>
      <c r="B21" s="3" t="s">
        <v>162</v>
      </c>
      <c r="C21" s="11">
        <v>1</v>
      </c>
      <c r="D21" s="11">
        <v>1</v>
      </c>
      <c r="E21" s="11">
        <v>1</v>
      </c>
      <c r="F21" s="11">
        <v>1</v>
      </c>
      <c r="G21" s="11">
        <v>1</v>
      </c>
      <c r="H21" s="11">
        <v>1</v>
      </c>
      <c r="I21" s="11">
        <v>1</v>
      </c>
      <c r="J21" s="11">
        <v>1</v>
      </c>
      <c r="K21" s="11">
        <v>1</v>
      </c>
      <c r="L21" s="11">
        <v>1</v>
      </c>
      <c r="M21" s="11">
        <v>1</v>
      </c>
      <c r="N21" s="11">
        <v>1</v>
      </c>
      <c r="O21" s="11">
        <v>1</v>
      </c>
      <c r="P21" s="11">
        <v>1</v>
      </c>
      <c r="Q21" s="11">
        <v>1</v>
      </c>
      <c r="R21" s="11">
        <v>1</v>
      </c>
      <c r="S21" s="11">
        <v>1</v>
      </c>
      <c r="T21" s="11">
        <v>1</v>
      </c>
      <c r="U21" s="11">
        <v>1</v>
      </c>
      <c r="V21" s="11">
        <v>1</v>
      </c>
      <c r="W21" s="11">
        <v>1</v>
      </c>
      <c r="X21" s="11">
        <v>1</v>
      </c>
      <c r="Y21" s="11">
        <v>0.87878787878787878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</row>
    <row r="23" spans="1:30" x14ac:dyDescent="0.3">
      <c r="A23" s="7" t="s">
        <v>163</v>
      </c>
      <c r="B23" s="3" t="s">
        <v>164</v>
      </c>
      <c r="G23" s="15">
        <f t="shared" ref="G23:AD31" si="3">(G12/C12-1)*100</f>
        <v>-6.8931584426832</v>
      </c>
      <c r="H23" s="15">
        <f t="shared" si="3"/>
        <v>-11.686564439809487</v>
      </c>
      <c r="I23" s="15">
        <f t="shared" si="3"/>
        <v>-14.561450643191943</v>
      </c>
      <c r="J23" s="15">
        <f t="shared" si="3"/>
        <v>-10.614046078101047</v>
      </c>
      <c r="K23" s="15">
        <f t="shared" si="3"/>
        <v>-4.3772717797899929</v>
      </c>
      <c r="L23" s="15">
        <f t="shared" si="3"/>
        <v>2.2741397900749805</v>
      </c>
      <c r="M23" s="15">
        <f t="shared" si="3"/>
        <v>8.0722097169170226</v>
      </c>
      <c r="N23" s="15">
        <f t="shared" si="3"/>
        <v>5.3245253648115165</v>
      </c>
      <c r="O23" s="15">
        <f t="shared" si="3"/>
        <v>1.2004089305147847</v>
      </c>
      <c r="P23" s="15">
        <f t="shared" si="3"/>
        <v>-1.0963821368004778</v>
      </c>
      <c r="Q23" s="15">
        <f t="shared" si="3"/>
        <v>0.93566162509306494</v>
      </c>
      <c r="R23" s="15">
        <f t="shared" si="3"/>
        <v>-0.89534092235580287</v>
      </c>
      <c r="S23" s="15">
        <f t="shared" si="3"/>
        <v>-3.0807616984107167</v>
      </c>
      <c r="T23" s="15">
        <f t="shared" si="3"/>
        <v>5.3652110047696544</v>
      </c>
      <c r="U23" s="15">
        <f t="shared" si="3"/>
        <v>6.3871958157992292</v>
      </c>
      <c r="V23" s="15">
        <f t="shared" si="3"/>
        <v>9.1305904110406733</v>
      </c>
      <c r="W23" s="15">
        <f t="shared" si="3"/>
        <v>11.204053847398709</v>
      </c>
      <c r="X23" s="15">
        <f t="shared" si="3"/>
        <v>2.5070858026281506</v>
      </c>
      <c r="Y23" s="15">
        <f t="shared" si="3"/>
        <v>-1.463981921923585</v>
      </c>
      <c r="Z23" s="15">
        <f t="shared" si="3"/>
        <v>-1.5195906801909076</v>
      </c>
      <c r="AA23" s="15">
        <f t="shared" si="3"/>
        <v>-2.0427345406384023</v>
      </c>
      <c r="AB23" s="15">
        <f t="shared" si="3"/>
        <v>-1.4178232701881122</v>
      </c>
      <c r="AC23" s="15">
        <f t="shared" si="3"/>
        <v>-0.44800922070078464</v>
      </c>
      <c r="AD23" s="15">
        <f t="shared" si="3"/>
        <v>0</v>
      </c>
    </row>
    <row r="24" spans="1:30" x14ac:dyDescent="0.3">
      <c r="A24" s="7" t="s">
        <v>165</v>
      </c>
      <c r="B24" s="3" t="s">
        <v>164</v>
      </c>
      <c r="G24" s="15">
        <f t="shared" si="3"/>
        <v>-2.7334619659489912</v>
      </c>
      <c r="H24" s="15">
        <f t="shared" si="3"/>
        <v>-10.191520048053281</v>
      </c>
      <c r="I24" s="15">
        <f t="shared" si="3"/>
        <v>-14.605222072204748</v>
      </c>
      <c r="J24" s="15">
        <f t="shared" si="3"/>
        <v>-12.849730614429344</v>
      </c>
      <c r="K24" s="15">
        <f t="shared" si="3"/>
        <v>-9.4173022556663035</v>
      </c>
      <c r="L24" s="15">
        <f t="shared" si="3"/>
        <v>-0.30207594527352777</v>
      </c>
      <c r="M24" s="15">
        <f t="shared" si="3"/>
        <v>7.5971499421902511</v>
      </c>
      <c r="N24" s="15">
        <f t="shared" si="3"/>
        <v>5.6851817668875926</v>
      </c>
      <c r="O24" s="15">
        <f t="shared" si="3"/>
        <v>4.3772118081273348</v>
      </c>
      <c r="P24" s="15">
        <f t="shared" si="3"/>
        <v>0.80060450800794047</v>
      </c>
      <c r="Q24" s="15">
        <f t="shared" si="3"/>
        <v>2.6938154248215884</v>
      </c>
      <c r="R24" s="15">
        <f t="shared" si="3"/>
        <v>3.1772405770597256</v>
      </c>
      <c r="S24" s="15">
        <f t="shared" si="3"/>
        <v>-0.67420940759317372</v>
      </c>
      <c r="T24" s="15">
        <f t="shared" si="3"/>
        <v>5.8289787555110051</v>
      </c>
      <c r="U24" s="15">
        <f t="shared" si="3"/>
        <v>3.7195119109209029</v>
      </c>
      <c r="V24" s="15">
        <f t="shared" si="3"/>
        <v>3.8248710617980075</v>
      </c>
      <c r="W24" s="15">
        <f t="shared" si="3"/>
        <v>6.9997804544964071</v>
      </c>
      <c r="X24" s="15">
        <f t="shared" si="3"/>
        <v>0.51760955147415189</v>
      </c>
      <c r="Y24" s="15">
        <f t="shared" si="3"/>
        <v>-0.22098019941018121</v>
      </c>
      <c r="Z24" s="15">
        <f t="shared" si="3"/>
        <v>0.50666038038822414</v>
      </c>
      <c r="AA24" s="15">
        <f t="shared" si="3"/>
        <v>-0.79244740588237939</v>
      </c>
      <c r="AB24" s="15">
        <f t="shared" si="3"/>
        <v>-0.40517190013704685</v>
      </c>
      <c r="AC24" s="15">
        <f t="shared" si="3"/>
        <v>-0.63119399926587771</v>
      </c>
      <c r="AD24" s="15">
        <f t="shared" si="3"/>
        <v>0</v>
      </c>
    </row>
    <row r="25" spans="1:30" x14ac:dyDescent="0.3">
      <c r="A25" s="7" t="s">
        <v>166</v>
      </c>
      <c r="B25" s="3" t="s">
        <v>164</v>
      </c>
      <c r="G25" s="15">
        <f t="shared" si="3"/>
        <v>4.8837416955359592</v>
      </c>
      <c r="H25" s="15">
        <f t="shared" si="3"/>
        <v>7.4970888160319271</v>
      </c>
      <c r="I25" s="15">
        <f t="shared" si="3"/>
        <v>-0.34547465994905213</v>
      </c>
      <c r="J25" s="15">
        <f t="shared" si="3"/>
        <v>6.3092572888173715</v>
      </c>
      <c r="K25" s="15">
        <f t="shared" si="3"/>
        <v>0.39409243189016951</v>
      </c>
      <c r="L25" s="15">
        <f t="shared" si="3"/>
        <v>-0.69596720551966529</v>
      </c>
      <c r="M25" s="15">
        <f t="shared" si="3"/>
        <v>7.4457165865183361</v>
      </c>
      <c r="N25" s="15">
        <f t="shared" si="3"/>
        <v>6.1256802951237921</v>
      </c>
      <c r="O25" s="15">
        <f t="shared" si="3"/>
        <v>4.9195374191950192</v>
      </c>
      <c r="P25" s="15">
        <f t="shared" si="3"/>
        <v>-4.9792160135386343</v>
      </c>
      <c r="Q25" s="15">
        <f t="shared" si="3"/>
        <v>-12.001796987500036</v>
      </c>
      <c r="R25" s="15">
        <f t="shared" si="3"/>
        <v>-15.125331092717664</v>
      </c>
      <c r="S25" s="15">
        <f t="shared" si="3"/>
        <v>-15.381418354366739</v>
      </c>
      <c r="T25" s="15">
        <f t="shared" si="3"/>
        <v>-8.0818742115815851</v>
      </c>
      <c r="U25" s="15">
        <f t="shared" si="3"/>
        <v>1.8061810522439714</v>
      </c>
      <c r="V25" s="15">
        <f t="shared" si="3"/>
        <v>8.0875469500431443</v>
      </c>
      <c r="W25" s="15">
        <f t="shared" si="3"/>
        <v>11.263946352464549</v>
      </c>
      <c r="X25" s="15">
        <f t="shared" si="3"/>
        <v>12.258100696025465</v>
      </c>
      <c r="Y25" s="15">
        <f t="shared" si="3"/>
        <v>6.0813103554681724</v>
      </c>
      <c r="Z25" s="15">
        <f t="shared" si="3"/>
        <v>4.6025353827682247</v>
      </c>
      <c r="AA25" s="15">
        <f t="shared" si="3"/>
        <v>1.8927158933571997</v>
      </c>
      <c r="AB25" s="15">
        <f t="shared" si="3"/>
        <v>-2.1757491847480992</v>
      </c>
      <c r="AC25" s="15">
        <f t="shared" si="3"/>
        <v>-0.49165451723893749</v>
      </c>
      <c r="AD25" s="15">
        <f t="shared" si="3"/>
        <v>0</v>
      </c>
    </row>
    <row r="26" spans="1:30" x14ac:dyDescent="0.3">
      <c r="A26" s="7" t="s">
        <v>167</v>
      </c>
      <c r="B26" s="3" t="s">
        <v>164</v>
      </c>
      <c r="G26" s="15">
        <f t="shared" si="3"/>
        <v>-0.80811972578427316</v>
      </c>
      <c r="H26" s="15">
        <f t="shared" si="3"/>
        <v>-0.18974069197779109</v>
      </c>
      <c r="I26" s="15">
        <f t="shared" si="3"/>
        <v>-1.0058288800846582</v>
      </c>
      <c r="J26" s="15">
        <f t="shared" si="3"/>
        <v>5.4523649184551548</v>
      </c>
      <c r="K26" s="15">
        <f t="shared" si="3"/>
        <v>9.8587780207004307</v>
      </c>
      <c r="L26" s="15">
        <f t="shared" si="3"/>
        <v>13.442295134930404</v>
      </c>
      <c r="M26" s="15">
        <f t="shared" si="3"/>
        <v>18.612544310969881</v>
      </c>
      <c r="N26" s="15">
        <f t="shared" si="3"/>
        <v>12.205563546473597</v>
      </c>
      <c r="O26" s="15">
        <f t="shared" si="3"/>
        <v>9.8761424963343494</v>
      </c>
      <c r="P26" s="15">
        <f t="shared" si="3"/>
        <v>2.7182121814335769</v>
      </c>
      <c r="Q26" s="15">
        <f t="shared" si="3"/>
        <v>-9.7575709893632059</v>
      </c>
      <c r="R26" s="15">
        <f t="shared" si="3"/>
        <v>-12.730136472721732</v>
      </c>
      <c r="S26" s="15">
        <f t="shared" si="3"/>
        <v>-16.834818723863478</v>
      </c>
      <c r="T26" s="15">
        <f t="shared" si="3"/>
        <v>-11.762302298570715</v>
      </c>
      <c r="U26" s="15">
        <f t="shared" si="3"/>
        <v>1.4603005595284824</v>
      </c>
      <c r="V26" s="15">
        <f t="shared" si="3"/>
        <v>9.7939313853711916</v>
      </c>
      <c r="W26" s="15">
        <f t="shared" si="3"/>
        <v>16.284024946943298</v>
      </c>
      <c r="X26" s="15">
        <f t="shared" si="3"/>
        <v>12.175019410872334</v>
      </c>
      <c r="Y26" s="15">
        <f t="shared" si="3"/>
        <v>8.2332948127467951</v>
      </c>
      <c r="Z26" s="15">
        <f t="shared" si="3"/>
        <v>6.086845723132317</v>
      </c>
      <c r="AA26" s="15">
        <f t="shared" si="3"/>
        <v>1.8096147692209685</v>
      </c>
      <c r="AB26" s="15">
        <f t="shared" si="3"/>
        <v>0.78718014661640634</v>
      </c>
      <c r="AC26" s="15">
        <f t="shared" si="3"/>
        <v>-0.21622933421094892</v>
      </c>
      <c r="AD26" s="15">
        <f t="shared" si="3"/>
        <v>0</v>
      </c>
    </row>
    <row r="27" spans="1:30" x14ac:dyDescent="0.3">
      <c r="A27" s="7" t="s">
        <v>168</v>
      </c>
      <c r="B27" s="3" t="s">
        <v>164</v>
      </c>
      <c r="G27" s="15">
        <f t="shared" si="3"/>
        <v>-8.8245042793938531</v>
      </c>
      <c r="H27" s="15">
        <f t="shared" si="3"/>
        <v>-15.60465967658703</v>
      </c>
      <c r="I27" s="15">
        <f t="shared" si="3"/>
        <v>-20.360484091406516</v>
      </c>
      <c r="J27" s="15">
        <f t="shared" si="3"/>
        <v>-19.406981292418124</v>
      </c>
      <c r="K27" s="15">
        <f t="shared" si="3"/>
        <v>-12.159422834720035</v>
      </c>
      <c r="L27" s="15">
        <f t="shared" si="3"/>
        <v>-5.6100523029064542</v>
      </c>
      <c r="M27" s="15">
        <f t="shared" si="3"/>
        <v>-4.3377316367804291</v>
      </c>
      <c r="N27" s="15">
        <f t="shared" si="3"/>
        <v>-4.5260402485350015</v>
      </c>
      <c r="O27" s="15">
        <f t="shared" si="3"/>
        <v>-10.804939499088928</v>
      </c>
      <c r="P27" s="15">
        <f t="shared" si="3"/>
        <v>-11.824037595043002</v>
      </c>
      <c r="Q27" s="15">
        <f t="shared" si="3"/>
        <v>-2.989841576775365</v>
      </c>
      <c r="R27" s="15">
        <f t="shared" si="3"/>
        <v>-3.0152337250955674</v>
      </c>
      <c r="S27" s="15">
        <f t="shared" si="3"/>
        <v>-2.6793813285957868</v>
      </c>
      <c r="T27" s="15">
        <f t="shared" si="3"/>
        <v>7.8591126978424519</v>
      </c>
      <c r="U27" s="15">
        <f t="shared" si="3"/>
        <v>1.0125706854035244</v>
      </c>
      <c r="V27" s="15">
        <f t="shared" si="3"/>
        <v>-1.1234199992444571</v>
      </c>
      <c r="W27" s="15">
        <f t="shared" si="3"/>
        <v>-2.7858467895499617</v>
      </c>
      <c r="X27" s="15">
        <f t="shared" si="3"/>
        <v>-9.3720531560671176</v>
      </c>
      <c r="Y27" s="15">
        <f t="shared" si="3"/>
        <v>-7.3054667252839156</v>
      </c>
      <c r="Z27" s="15">
        <f t="shared" si="3"/>
        <v>-1.7909631196301734</v>
      </c>
      <c r="AA27" s="15">
        <f t="shared" si="3"/>
        <v>-2.898750477821066E-2</v>
      </c>
      <c r="AB27" s="15">
        <f t="shared" si="3"/>
        <v>1.599035489566103</v>
      </c>
      <c r="AC27" s="15">
        <f t="shared" si="3"/>
        <v>1.4045192756585445</v>
      </c>
      <c r="AD27" s="15">
        <f t="shared" si="3"/>
        <v>0</v>
      </c>
    </row>
    <row r="28" spans="1:30" x14ac:dyDescent="0.3">
      <c r="A28" s="7" t="s">
        <v>169</v>
      </c>
      <c r="B28" s="3" t="s">
        <v>164</v>
      </c>
      <c r="G28" s="15">
        <f t="shared" si="3"/>
        <v>-6.2286325434323997</v>
      </c>
      <c r="H28" s="15">
        <f t="shared" si="3"/>
        <v>-7.2744998931160261</v>
      </c>
      <c r="I28" s="15">
        <f t="shared" si="3"/>
        <v>-7.0104712689660342</v>
      </c>
      <c r="J28" s="15">
        <f t="shared" si="3"/>
        <v>-9.7698597460135765</v>
      </c>
      <c r="K28" s="15">
        <f t="shared" si="3"/>
        <v>-5.6918774772814595</v>
      </c>
      <c r="L28" s="15">
        <f t="shared" si="3"/>
        <v>-6.4348212034964325</v>
      </c>
      <c r="M28" s="15">
        <f t="shared" si="3"/>
        <v>-4.1629711836764338</v>
      </c>
      <c r="N28" s="15">
        <f t="shared" si="3"/>
        <v>-0.92997248685169343</v>
      </c>
      <c r="O28" s="15">
        <f t="shared" si="3"/>
        <v>-3.753100759489103</v>
      </c>
      <c r="P28" s="15">
        <f t="shared" si="3"/>
        <v>-1.3512486615315789</v>
      </c>
      <c r="Q28" s="15">
        <f t="shared" si="3"/>
        <v>2.309446633010892</v>
      </c>
      <c r="R28" s="15">
        <f t="shared" si="3"/>
        <v>0.12170031073954757</v>
      </c>
      <c r="S28" s="15">
        <f t="shared" si="3"/>
        <v>-4.6005192388200449</v>
      </c>
      <c r="T28" s="15">
        <f t="shared" si="3"/>
        <v>-2.7311115624058968</v>
      </c>
      <c r="U28" s="15">
        <f t="shared" si="3"/>
        <v>-2.3308462831075794</v>
      </c>
      <c r="V28" s="15">
        <f t="shared" si="3"/>
        <v>0.68386392408739116</v>
      </c>
      <c r="W28" s="15">
        <f t="shared" si="3"/>
        <v>10.739317824747863</v>
      </c>
      <c r="X28" s="15">
        <f t="shared" si="3"/>
        <v>10.747857555969986</v>
      </c>
      <c r="Y28" s="15">
        <f t="shared" si="3"/>
        <v>8.0710708091448424</v>
      </c>
      <c r="Z28" s="15">
        <f t="shared" si="3"/>
        <v>8.2795964368688857</v>
      </c>
      <c r="AA28" s="15">
        <f t="shared" si="3"/>
        <v>2.325978788512395</v>
      </c>
      <c r="AB28" s="15">
        <f t="shared" si="3"/>
        <v>0.15861906072374143</v>
      </c>
      <c r="AC28" s="15">
        <f t="shared" si="3"/>
        <v>0.56138125500846403</v>
      </c>
      <c r="AD28" s="15">
        <f t="shared" si="3"/>
        <v>0</v>
      </c>
    </row>
    <row r="29" spans="1:30" x14ac:dyDescent="0.3">
      <c r="A29" s="7" t="s">
        <v>170</v>
      </c>
      <c r="B29" s="3" t="s">
        <v>164</v>
      </c>
      <c r="G29" s="15">
        <f t="shared" si="3"/>
        <v>-7.6347376184640936</v>
      </c>
      <c r="H29" s="15">
        <f t="shared" si="3"/>
        <v>-11.036641180998929</v>
      </c>
      <c r="I29" s="15">
        <f t="shared" si="3"/>
        <v>-13.440884756206806</v>
      </c>
      <c r="J29" s="15">
        <f t="shared" si="3"/>
        <v>-12.754078371963951</v>
      </c>
      <c r="K29" s="15">
        <f t="shared" si="3"/>
        <v>-5.453470014743389</v>
      </c>
      <c r="L29" s="15">
        <f t="shared" si="3"/>
        <v>-4.1582117414890813</v>
      </c>
      <c r="M29" s="15">
        <f t="shared" si="3"/>
        <v>2.0373482584983948</v>
      </c>
      <c r="N29" s="15">
        <f t="shared" si="3"/>
        <v>2.6937668586968</v>
      </c>
      <c r="O29" s="15">
        <f t="shared" si="3"/>
        <v>-4.0382599349998323</v>
      </c>
      <c r="P29" s="15">
        <f t="shared" si="3"/>
        <v>-4.0337220070068351</v>
      </c>
      <c r="Q29" s="15">
        <f t="shared" si="3"/>
        <v>-3.135283855079285</v>
      </c>
      <c r="R29" s="15">
        <f t="shared" si="3"/>
        <v>-5.4881534439089164</v>
      </c>
      <c r="S29" s="15">
        <f t="shared" si="3"/>
        <v>-8.5007069164100066</v>
      </c>
      <c r="T29" s="15">
        <f t="shared" si="3"/>
        <v>-1.9894796558675876</v>
      </c>
      <c r="U29" s="15">
        <f t="shared" si="3"/>
        <v>-2.2625498856884918</v>
      </c>
      <c r="V29" s="15">
        <f t="shared" si="3"/>
        <v>-3.5018865937103794</v>
      </c>
      <c r="W29" s="15">
        <f t="shared" si="3"/>
        <v>-0.84937946821391774</v>
      </c>
      <c r="X29" s="15">
        <f t="shared" si="3"/>
        <v>-6.8570888750963395</v>
      </c>
      <c r="Y29" s="15">
        <f t="shared" si="3"/>
        <v>-2.2787408075353399</v>
      </c>
      <c r="Z29" s="15">
        <f t="shared" si="3"/>
        <v>4.3569990999828834</v>
      </c>
      <c r="AA29" s="15">
        <f t="shared" si="3"/>
        <v>5.5237627577155335</v>
      </c>
      <c r="AB29" s="15">
        <f t="shared" si="3"/>
        <v>8.1370727540714061</v>
      </c>
      <c r="AC29" s="15">
        <f t="shared" si="3"/>
        <v>2.2286322470358666</v>
      </c>
      <c r="AD29" s="15">
        <f t="shared" si="3"/>
        <v>0</v>
      </c>
    </row>
    <row r="30" spans="1:30" x14ac:dyDescent="0.3">
      <c r="A30" s="7" t="s">
        <v>171</v>
      </c>
      <c r="B30" s="3" t="s">
        <v>164</v>
      </c>
      <c r="G30" s="15">
        <f t="shared" si="3"/>
        <v>-2.4765877356291988E-2</v>
      </c>
      <c r="H30" s="15">
        <f t="shared" si="3"/>
        <v>-3.815142573952135</v>
      </c>
      <c r="I30" s="15">
        <f t="shared" si="3"/>
        <v>-3.5295040304652137</v>
      </c>
      <c r="J30" s="15">
        <f t="shared" si="3"/>
        <v>-7.1397078715101152</v>
      </c>
      <c r="K30" s="15">
        <f t="shared" si="3"/>
        <v>-6.3768263222861226</v>
      </c>
      <c r="L30" s="15">
        <f t="shared" si="3"/>
        <v>-4.9289085479848556</v>
      </c>
      <c r="M30" s="15">
        <f t="shared" si="3"/>
        <v>-2.6358046492429454</v>
      </c>
      <c r="N30" s="15">
        <f t="shared" si="3"/>
        <v>-0.28050398451391345</v>
      </c>
      <c r="O30" s="15">
        <f t="shared" si="3"/>
        <v>0.33495857122600725</v>
      </c>
      <c r="P30" s="15">
        <f t="shared" si="3"/>
        <v>-1.8500564665719921</v>
      </c>
      <c r="Q30" s="15">
        <f t="shared" si="3"/>
        <v>-1.6823096972773177</v>
      </c>
      <c r="R30" s="15">
        <f t="shared" si="3"/>
        <v>-2.6941728629773842</v>
      </c>
      <c r="S30" s="15">
        <f t="shared" si="3"/>
        <v>-6.0512502127053391</v>
      </c>
      <c r="T30" s="15">
        <f t="shared" si="3"/>
        <v>-1.1349703375015952</v>
      </c>
      <c r="U30" s="15">
        <f t="shared" si="3"/>
        <v>-0.94778260534154057</v>
      </c>
      <c r="V30" s="15">
        <f t="shared" si="3"/>
        <v>0.35465879715046444</v>
      </c>
      <c r="W30" s="15">
        <f t="shared" si="3"/>
        <v>4.6144684334215258</v>
      </c>
      <c r="X30" s="15">
        <f t="shared" si="3"/>
        <v>1.2667153908685336E-3</v>
      </c>
      <c r="Y30" s="15">
        <f t="shared" si="3"/>
        <v>-1.5094780125513352</v>
      </c>
      <c r="Z30" s="15">
        <f t="shared" si="3"/>
        <v>-0.50119623723251516</v>
      </c>
      <c r="AA30" s="15">
        <f t="shared" si="3"/>
        <v>-2.0914518805497551</v>
      </c>
      <c r="AB30" s="15">
        <f t="shared" si="3"/>
        <v>-1.2156058801378822</v>
      </c>
      <c r="AC30" s="15">
        <f t="shared" si="3"/>
        <v>-0.20403457237331279</v>
      </c>
      <c r="AD30" s="15">
        <f t="shared" si="3"/>
        <v>0</v>
      </c>
    </row>
    <row r="31" spans="1:30" x14ac:dyDescent="0.3">
      <c r="A31" s="7" t="s">
        <v>172</v>
      </c>
      <c r="B31" s="3" t="s">
        <v>164</v>
      </c>
      <c r="G31" s="15">
        <f t="shared" si="3"/>
        <v>-3.0560932165207388</v>
      </c>
      <c r="H31" s="15">
        <f t="shared" si="3"/>
        <v>-4.4536226437434827</v>
      </c>
      <c r="I31" s="15">
        <f t="shared" si="3"/>
        <v>-7.1156601300420235</v>
      </c>
      <c r="J31" s="15">
        <f t="shared" si="3"/>
        <v>-8.7916895690203667</v>
      </c>
      <c r="K31" s="15">
        <f t="shared" si="3"/>
        <v>-8.5091983383028378</v>
      </c>
      <c r="L31" s="15">
        <f t="shared" si="3"/>
        <v>-6.0561762989824963</v>
      </c>
      <c r="M31" s="15">
        <f t="shared" si="3"/>
        <v>-3.5248667288578117</v>
      </c>
      <c r="N31" s="15">
        <f t="shared" si="3"/>
        <v>-1.3330264929016677</v>
      </c>
      <c r="O31" s="15">
        <f t="shared" si="3"/>
        <v>-1.0005793283088038</v>
      </c>
      <c r="P31" s="15">
        <f t="shared" si="3"/>
        <v>-1.4838780175985056</v>
      </c>
      <c r="Q31" s="15">
        <f t="shared" si="3"/>
        <v>-1.2875833046049001</v>
      </c>
      <c r="R31" s="15">
        <f t="shared" si="3"/>
        <v>-1.4086781503663381</v>
      </c>
      <c r="S31" s="15">
        <f t="shared" si="3"/>
        <v>-4.1065948468423592</v>
      </c>
      <c r="T31" s="15">
        <f t="shared" si="3"/>
        <v>-2.5235143601354926</v>
      </c>
      <c r="U31" s="15">
        <f t="shared" si="3"/>
        <v>-4.0720332834594757</v>
      </c>
      <c r="V31" s="15">
        <f t="shared" si="3"/>
        <v>-5.2302105444659075</v>
      </c>
      <c r="W31" s="15">
        <f t="shared" si="3"/>
        <v>-5.3481352408811684</v>
      </c>
      <c r="X31" s="15">
        <f t="shared" si="3"/>
        <v>-9.5730259004490286</v>
      </c>
      <c r="Y31" s="15">
        <f t="shared" si="3"/>
        <v>-8.6661604430078754</v>
      </c>
      <c r="Z31" s="15">
        <f t="shared" si="3"/>
        <v>-7.0690580694096061</v>
      </c>
      <c r="AA31" s="15">
        <f t="shared" si="3"/>
        <v>-4.5824043693326599</v>
      </c>
      <c r="AB31" s="15">
        <f t="shared" si="3"/>
        <v>-1.2983056220760125</v>
      </c>
      <c r="AC31" s="15">
        <f t="shared" si="3"/>
        <v>-0.29207744367374389</v>
      </c>
      <c r="AD31" s="15">
        <f t="shared" si="3"/>
        <v>0</v>
      </c>
    </row>
    <row r="33" spans="1:30" x14ac:dyDescent="0.3">
      <c r="A33" s="7" t="s">
        <v>173</v>
      </c>
      <c r="B33" s="3" t="s">
        <v>174</v>
      </c>
      <c r="C33" s="2" t="s">
        <v>175</v>
      </c>
      <c r="D33" s="2" t="s">
        <v>176</v>
      </c>
      <c r="E33" s="2" t="s">
        <v>177</v>
      </c>
      <c r="F33" s="2" t="s">
        <v>178</v>
      </c>
      <c r="G33" s="2" t="s">
        <v>179</v>
      </c>
      <c r="H33" s="2" t="s">
        <v>180</v>
      </c>
      <c r="I33" s="2" t="s">
        <v>181</v>
      </c>
      <c r="J33" s="2" t="s">
        <v>182</v>
      </c>
      <c r="K33" s="2" t="s">
        <v>183</v>
      </c>
      <c r="L33" s="2" t="s">
        <v>184</v>
      </c>
    </row>
    <row r="34" spans="1:30" x14ac:dyDescent="0.3">
      <c r="A34" s="7" t="s">
        <v>185</v>
      </c>
      <c r="C34" s="11">
        <v>0</v>
      </c>
      <c r="D34" s="11">
        <v>0</v>
      </c>
      <c r="E34" s="11">
        <v>0</v>
      </c>
      <c r="F34" s="11">
        <v>0.02</v>
      </c>
      <c r="G34" s="11">
        <v>0</v>
      </c>
      <c r="H34" s="11">
        <v>0</v>
      </c>
      <c r="I34" s="11">
        <v>0</v>
      </c>
      <c r="J34" s="11">
        <v>0.08</v>
      </c>
      <c r="K34" s="11">
        <v>0</v>
      </c>
      <c r="L34" s="11">
        <v>0.9</v>
      </c>
    </row>
    <row r="35" spans="1:30" x14ac:dyDescent="0.3">
      <c r="A35" s="7" t="s">
        <v>186</v>
      </c>
      <c r="C35" s="11">
        <v>0.7</v>
      </c>
      <c r="D35" s="11">
        <v>0.25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0.05</v>
      </c>
    </row>
    <row r="36" spans="1:30" x14ac:dyDescent="0.3">
      <c r="A36" s="7" t="s">
        <v>187</v>
      </c>
      <c r="C36" s="11">
        <v>0</v>
      </c>
      <c r="D36" s="11">
        <v>0</v>
      </c>
      <c r="E36" s="11">
        <v>0.55000000000000004</v>
      </c>
      <c r="F36" s="11">
        <v>0.38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7.0000000000000007E-2</v>
      </c>
    </row>
    <row r="37" spans="1:30" x14ac:dyDescent="0.3">
      <c r="A37" s="7" t="s">
        <v>188</v>
      </c>
      <c r="C37" s="11">
        <v>0</v>
      </c>
      <c r="D37" s="11">
        <v>0</v>
      </c>
      <c r="E37" s="11">
        <v>0</v>
      </c>
      <c r="F37" s="11">
        <v>0</v>
      </c>
      <c r="G37" s="11">
        <v>0.2</v>
      </c>
      <c r="H37" s="11">
        <v>0.55000000000000004</v>
      </c>
      <c r="I37" s="11">
        <v>0.1</v>
      </c>
      <c r="J37" s="11">
        <v>0</v>
      </c>
      <c r="K37" s="11">
        <v>7.0000000000000007E-2</v>
      </c>
      <c r="L37" s="11">
        <v>0.08</v>
      </c>
    </row>
    <row r="39" spans="1:30" x14ac:dyDescent="0.3">
      <c r="A39" s="7" t="s">
        <v>189</v>
      </c>
      <c r="B39" s="3" t="s">
        <v>190</v>
      </c>
      <c r="G39" s="15">
        <f t="shared" ref="G39:AD39" si="4">$F$34*G26+$J$34*G30</f>
        <v>-1.8143664704188822E-2</v>
      </c>
      <c r="H39" s="15">
        <f t="shared" si="4"/>
        <v>-0.30900621975572662</v>
      </c>
      <c r="I39" s="15">
        <f t="shared" si="4"/>
        <v>-0.30247690003891026</v>
      </c>
      <c r="J39" s="15">
        <f t="shared" si="4"/>
        <v>-0.46212933135170609</v>
      </c>
      <c r="K39" s="15">
        <f t="shared" si="4"/>
        <v>-0.31297054536888114</v>
      </c>
      <c r="L39" s="15">
        <f t="shared" si="4"/>
        <v>-0.12546678114018039</v>
      </c>
      <c r="M39" s="15">
        <f t="shared" si="4"/>
        <v>0.16138651427996198</v>
      </c>
      <c r="N39" s="15">
        <f t="shared" si="4"/>
        <v>0.22167095216835886</v>
      </c>
      <c r="O39" s="15">
        <f t="shared" si="4"/>
        <v>0.22431953562476759</v>
      </c>
      <c r="P39" s="15">
        <f t="shared" si="4"/>
        <v>-9.3640273697087828E-2</v>
      </c>
      <c r="Q39" s="15">
        <f t="shared" si="4"/>
        <v>-0.32973619556944955</v>
      </c>
      <c r="R39" s="15">
        <f t="shared" si="4"/>
        <v>-0.47013655849262537</v>
      </c>
      <c r="S39" s="15">
        <f t="shared" si="4"/>
        <v>-0.82079639149369665</v>
      </c>
      <c r="T39" s="15">
        <f t="shared" si="4"/>
        <v>-0.32604367297154191</v>
      </c>
      <c r="U39" s="15">
        <f t="shared" si="4"/>
        <v>-4.6616597236753599E-2</v>
      </c>
      <c r="V39" s="15">
        <f t="shared" si="4"/>
        <v>0.224251331479461</v>
      </c>
      <c r="W39" s="15">
        <f t="shared" si="4"/>
        <v>0.69483797361258803</v>
      </c>
      <c r="X39" s="15">
        <f t="shared" si="4"/>
        <v>0.24360172544871617</v>
      </c>
      <c r="Y39" s="15">
        <f t="shared" si="4"/>
        <v>4.3907655250829097E-2</v>
      </c>
      <c r="Z39" s="15">
        <f t="shared" si="4"/>
        <v>8.1641215484045127E-2</v>
      </c>
      <c r="AA39" s="15">
        <f t="shared" si="4"/>
        <v>-0.13112385505956103</v>
      </c>
      <c r="AB39" s="15">
        <f t="shared" si="4"/>
        <v>-8.1504867478702447E-2</v>
      </c>
      <c r="AC39" s="15">
        <f t="shared" si="4"/>
        <v>-2.0647352474084002E-2</v>
      </c>
      <c r="AD39" s="15">
        <f t="shared" si="4"/>
        <v>0</v>
      </c>
    </row>
    <row r="40" spans="1:30" x14ac:dyDescent="0.3">
      <c r="A40" s="7" t="s">
        <v>191</v>
      </c>
      <c r="B40" s="3" t="s">
        <v>190</v>
      </c>
      <c r="G40" s="15">
        <f t="shared" ref="G40:AD40" si="5">$C$35*G23+$D$35*G24</f>
        <v>-5.5085764013654872</v>
      </c>
      <c r="H40" s="15">
        <f t="shared" si="5"/>
        <v>-10.72847511987996</v>
      </c>
      <c r="I40" s="15">
        <f t="shared" si="5"/>
        <v>-13.844320968285546</v>
      </c>
      <c r="J40" s="15">
        <f t="shared" si="5"/>
        <v>-10.642264908278069</v>
      </c>
      <c r="K40" s="15">
        <f t="shared" si="5"/>
        <v>-5.4184158097695709</v>
      </c>
      <c r="L40" s="15">
        <f t="shared" si="5"/>
        <v>1.5163788667341045</v>
      </c>
      <c r="M40" s="15">
        <f t="shared" si="5"/>
        <v>7.5498342873894781</v>
      </c>
      <c r="N40" s="15">
        <f t="shared" si="5"/>
        <v>5.148463197089959</v>
      </c>
      <c r="O40" s="15">
        <f t="shared" si="5"/>
        <v>1.934589203392183</v>
      </c>
      <c r="P40" s="15">
        <f t="shared" si="5"/>
        <v>-0.56731636875834934</v>
      </c>
      <c r="Q40" s="15">
        <f t="shared" si="5"/>
        <v>1.3284169937705426</v>
      </c>
      <c r="R40" s="15">
        <f t="shared" si="5"/>
        <v>0.1675714986158694</v>
      </c>
      <c r="S40" s="15">
        <f t="shared" si="5"/>
        <v>-2.3250855407857953</v>
      </c>
      <c r="T40" s="15">
        <f t="shared" si="5"/>
        <v>5.2128923922165091</v>
      </c>
      <c r="U40" s="15">
        <f t="shared" si="5"/>
        <v>5.4009150487896864</v>
      </c>
      <c r="V40" s="15">
        <f t="shared" si="5"/>
        <v>7.3476310531779729</v>
      </c>
      <c r="W40" s="15">
        <f t="shared" si="5"/>
        <v>9.5927828068031982</v>
      </c>
      <c r="X40" s="15">
        <f t="shared" si="5"/>
        <v>1.8843624497082432</v>
      </c>
      <c r="Y40" s="15">
        <f t="shared" si="5"/>
        <v>-1.0800323951990549</v>
      </c>
      <c r="Z40" s="15">
        <f t="shared" si="5"/>
        <v>-0.93704838103657928</v>
      </c>
      <c r="AA40" s="15">
        <f t="shared" si="5"/>
        <v>-1.6280260299174765</v>
      </c>
      <c r="AB40" s="15">
        <f t="shared" si="5"/>
        <v>-1.0937692641659402</v>
      </c>
      <c r="AC40" s="15">
        <f t="shared" si="5"/>
        <v>-0.47140495430701868</v>
      </c>
      <c r="AD40" s="15">
        <f t="shared" si="5"/>
        <v>0</v>
      </c>
    </row>
    <row r="41" spans="1:30" x14ac:dyDescent="0.3">
      <c r="A41" s="7" t="s">
        <v>192</v>
      </c>
      <c r="B41" s="3" t="s">
        <v>190</v>
      </c>
      <c r="G41" s="15">
        <f t="shared" ref="G41:AD41" si="6">$E$36*G25+$F$36*G26</f>
        <v>2.378972436746754</v>
      </c>
      <c r="H41" s="15">
        <f t="shared" si="6"/>
        <v>4.0512973858659995</v>
      </c>
      <c r="I41" s="15">
        <f t="shared" si="6"/>
        <v>-0.57222603740414879</v>
      </c>
      <c r="J41" s="15">
        <f t="shared" si="6"/>
        <v>5.5419901778625134</v>
      </c>
      <c r="K41" s="15">
        <f t="shared" si="6"/>
        <v>3.963086485405757</v>
      </c>
      <c r="L41" s="15">
        <f t="shared" si="6"/>
        <v>4.7252901882377376</v>
      </c>
      <c r="M41" s="15">
        <f t="shared" si="6"/>
        <v>11.167910960753641</v>
      </c>
      <c r="N41" s="15">
        <f t="shared" si="6"/>
        <v>8.0072383099780531</v>
      </c>
      <c r="O41" s="15">
        <f t="shared" si="6"/>
        <v>6.458679729164313</v>
      </c>
      <c r="P41" s="15">
        <f t="shared" si="6"/>
        <v>-1.7056481785014896</v>
      </c>
      <c r="Q41" s="15">
        <f t="shared" si="6"/>
        <v>-10.308865319083038</v>
      </c>
      <c r="R41" s="15">
        <f t="shared" si="6"/>
        <v>-13.156383960628974</v>
      </c>
      <c r="S41" s="15">
        <f t="shared" si="6"/>
        <v>-14.857011209969828</v>
      </c>
      <c r="T41" s="15">
        <f t="shared" si="6"/>
        <v>-8.9147056898267429</v>
      </c>
      <c r="U41" s="15">
        <f t="shared" si="6"/>
        <v>1.5483137913550076</v>
      </c>
      <c r="V41" s="15">
        <f t="shared" si="6"/>
        <v>8.169844748964783</v>
      </c>
      <c r="W41" s="15">
        <f t="shared" si="6"/>
        <v>12.383099973693955</v>
      </c>
      <c r="X41" s="15">
        <f t="shared" si="6"/>
        <v>11.368462758945494</v>
      </c>
      <c r="Y41" s="15">
        <f t="shared" si="6"/>
        <v>6.4733727243512771</v>
      </c>
      <c r="Z41" s="15">
        <f t="shared" si="6"/>
        <v>4.8443958353128043</v>
      </c>
      <c r="AA41" s="15">
        <f t="shared" si="6"/>
        <v>1.7286473536504279</v>
      </c>
      <c r="AB41" s="15">
        <f t="shared" si="6"/>
        <v>-0.89753359589722015</v>
      </c>
      <c r="AC41" s="15">
        <f t="shared" si="6"/>
        <v>-0.35257713148157621</v>
      </c>
      <c r="AD41" s="15">
        <f t="shared" si="6"/>
        <v>0</v>
      </c>
    </row>
    <row r="42" spans="1:30" x14ac:dyDescent="0.3">
      <c r="A42" s="7" t="s">
        <v>193</v>
      </c>
      <c r="B42" s="3" t="s">
        <v>190</v>
      </c>
      <c r="G42" s="15">
        <f t="shared" ref="G42:AD42" si="7">$G$37*G27+$H$37*G28+$I$37*G29+$K$37*G31</f>
        <v>-6.1680490417694518</v>
      </c>
      <c r="H42" s="15">
        <f t="shared" si="7"/>
        <v>-8.5373245796931592</v>
      </c>
      <c r="I42" s="15">
        <f t="shared" si="7"/>
        <v>-9.770040700936244</v>
      </c>
      <c r="J42" s="15">
        <f t="shared" si="7"/>
        <v>-11.145645225818914</v>
      </c>
      <c r="K42" s="15">
        <f t="shared" si="7"/>
        <v>-6.7034080646043464</v>
      </c>
      <c r="L42" s="15">
        <f t="shared" si="7"/>
        <v>-5.5009156375820121</v>
      </c>
      <c r="M42" s="15">
        <f t="shared" si="7"/>
        <v>-3.2001863235483321</v>
      </c>
      <c r="N42" s="15">
        <f t="shared" si="7"/>
        <v>-1.2406280861088685</v>
      </c>
      <c r="O42" s="15">
        <f t="shared" si="7"/>
        <v>-4.699059864018392</v>
      </c>
      <c r="P42" s="15">
        <f t="shared" si="7"/>
        <v>-3.6152379447835483</v>
      </c>
      <c r="Q42" s="15">
        <f t="shared" si="7"/>
        <v>0.26856811597064612</v>
      </c>
      <c r="R42" s="15">
        <f t="shared" si="7"/>
        <v>-1.1835343890288976</v>
      </c>
      <c r="S42" s="15">
        <f t="shared" si="7"/>
        <v>-4.2036941779901476</v>
      </c>
      <c r="T42" s="15">
        <f t="shared" si="7"/>
        <v>-0.30588279055099621</v>
      </c>
      <c r="U42" s="15">
        <f t="shared" si="7"/>
        <v>-1.5907486370394763</v>
      </c>
      <c r="V42" s="15">
        <f t="shared" si="7"/>
        <v>-0.56486223908447775</v>
      </c>
      <c r="W42" s="15">
        <f t="shared" si="7"/>
        <v>4.8901480320182591</v>
      </c>
      <c r="X42" s="15">
        <f t="shared" si="7"/>
        <v>2.6810903240290038</v>
      </c>
      <c r="Y42" s="15">
        <f t="shared" si="7"/>
        <v>2.1434902882087949</v>
      </c>
      <c r="Z42" s="15">
        <f t="shared" si="7"/>
        <v>4.1364512614914677</v>
      </c>
      <c r="AA42" s="15">
        <f t="shared" si="7"/>
        <v>1.5050988026444423</v>
      </c>
      <c r="AB42" s="15">
        <f t="shared" si="7"/>
        <v>1.129873463173098</v>
      </c>
      <c r="AC42" s="15">
        <f t="shared" si="7"/>
        <v>0.79208134903278871</v>
      </c>
      <c r="AD42" s="15">
        <f t="shared" si="7"/>
        <v>0</v>
      </c>
    </row>
    <row r="43" spans="1:30" x14ac:dyDescent="0.3">
      <c r="A43" s="7" t="s">
        <v>194</v>
      </c>
      <c r="B43" s="3" t="s">
        <v>195</v>
      </c>
    </row>
    <row r="44" spans="1:30" x14ac:dyDescent="0.3">
      <c r="A44" s="7" t="s">
        <v>196</v>
      </c>
      <c r="C44" s="25">
        <v>0.55111332432240157</v>
      </c>
      <c r="D44" s="25">
        <v>0.55111332432240157</v>
      </c>
      <c r="E44" s="25">
        <v>0.55111332432240157</v>
      </c>
      <c r="F44" s="25">
        <v>0.55111332432240157</v>
      </c>
      <c r="G44" s="25">
        <v>0.53982763402094847</v>
      </c>
      <c r="H44" s="25">
        <v>0.53982763402094847</v>
      </c>
      <c r="I44" s="25">
        <v>0.53982763402094847</v>
      </c>
      <c r="J44" s="25">
        <v>0.53982763402094847</v>
      </c>
      <c r="K44" s="25">
        <v>0.51012465987470734</v>
      </c>
      <c r="L44" s="25">
        <v>0.51012465987470734</v>
      </c>
      <c r="M44" s="25">
        <v>0.51012465987470734</v>
      </c>
      <c r="N44" s="25">
        <v>0.51012465987470734</v>
      </c>
      <c r="O44" s="25">
        <v>0.47699721509310328</v>
      </c>
      <c r="P44" s="25">
        <v>0.47699721509310328</v>
      </c>
      <c r="Q44" s="25">
        <v>0.47699721509310328</v>
      </c>
      <c r="R44" s="25">
        <v>0.47699721509310328</v>
      </c>
      <c r="S44" s="25">
        <v>0.46238873129218427</v>
      </c>
      <c r="T44" s="25">
        <v>0.46238873129218427</v>
      </c>
      <c r="U44" s="25">
        <v>0.46238873129218427</v>
      </c>
      <c r="V44" s="25">
        <v>0.46238873129218427</v>
      </c>
      <c r="W44" s="25">
        <v>0.44147776450867182</v>
      </c>
      <c r="X44" s="25">
        <v>0.44147776450867182</v>
      </c>
      <c r="Y44" s="25">
        <v>0.44147776450867182</v>
      </c>
      <c r="Z44" s="25">
        <v>0.44147776450867182</v>
      </c>
      <c r="AA44" s="25">
        <v>0.44147776450867182</v>
      </c>
      <c r="AB44" s="25">
        <v>0.44147776450867182</v>
      </c>
      <c r="AC44" s="25">
        <v>0.44147776450867182</v>
      </c>
      <c r="AD44" s="25">
        <v>0.44147776450867182</v>
      </c>
    </row>
    <row r="45" spans="1:30" x14ac:dyDescent="0.3">
      <c r="A45" s="7" t="s">
        <v>197</v>
      </c>
      <c r="C45" s="25">
        <v>0.2787014215232938</v>
      </c>
      <c r="D45" s="25">
        <v>0.2787014215232938</v>
      </c>
      <c r="E45" s="25">
        <v>0.2787014215232938</v>
      </c>
      <c r="F45" s="25">
        <v>0.2787014215232938</v>
      </c>
      <c r="G45" s="25">
        <v>0.3116005717089404</v>
      </c>
      <c r="H45" s="25">
        <v>0.3116005717089404</v>
      </c>
      <c r="I45" s="25">
        <v>0.3116005717089404</v>
      </c>
      <c r="J45" s="25">
        <v>0.3116005717089404</v>
      </c>
      <c r="K45" s="25">
        <v>0.33990381573119027</v>
      </c>
      <c r="L45" s="25">
        <v>0.33990381573119027</v>
      </c>
      <c r="M45" s="25">
        <v>0.33990381573119027</v>
      </c>
      <c r="N45" s="25">
        <v>0.33990381573119027</v>
      </c>
      <c r="O45" s="25">
        <v>0.35822912684977892</v>
      </c>
      <c r="P45" s="25">
        <v>0.35822912684977892</v>
      </c>
      <c r="Q45" s="25">
        <v>0.35822912684977892</v>
      </c>
      <c r="R45" s="25">
        <v>0.35822912684977892</v>
      </c>
      <c r="S45" s="25">
        <v>0.36376308324366619</v>
      </c>
      <c r="T45" s="25">
        <v>0.36376308324366619</v>
      </c>
      <c r="U45" s="25">
        <v>0.36376308324366619</v>
      </c>
      <c r="V45" s="25">
        <v>0.36376308324366619</v>
      </c>
      <c r="W45" s="25">
        <v>0.37428374218005328</v>
      </c>
      <c r="X45" s="25">
        <v>0.37428374218005328</v>
      </c>
      <c r="Y45" s="25">
        <v>0.37428374218005328</v>
      </c>
      <c r="Z45" s="25">
        <v>0.37428374218005328</v>
      </c>
      <c r="AA45" s="25">
        <v>0.37428374218005328</v>
      </c>
      <c r="AB45" s="25">
        <v>0.37428374218005328</v>
      </c>
      <c r="AC45" s="25">
        <v>0.37428374218005328</v>
      </c>
      <c r="AD45" s="25">
        <v>0.37428374218005328</v>
      </c>
    </row>
    <row r="46" spans="1:30" x14ac:dyDescent="0.3">
      <c r="A46" s="7" t="s">
        <v>198</v>
      </c>
      <c r="C46" s="25">
        <v>7.1172411484334785E-2</v>
      </c>
      <c r="D46" s="25">
        <v>7.1172411484334785E-2</v>
      </c>
      <c r="E46" s="25">
        <v>7.1172411484334785E-2</v>
      </c>
      <c r="F46" s="25">
        <v>7.1172411484334785E-2</v>
      </c>
      <c r="G46" s="25">
        <v>7.9057960193698401E-2</v>
      </c>
      <c r="H46" s="25">
        <v>7.9057960193698401E-2</v>
      </c>
      <c r="I46" s="25">
        <v>7.9057960193698401E-2</v>
      </c>
      <c r="J46" s="25">
        <v>7.9057960193698401E-2</v>
      </c>
      <c r="K46" s="25">
        <v>7.6536100740365751E-2</v>
      </c>
      <c r="L46" s="25">
        <v>7.6536100740365751E-2</v>
      </c>
      <c r="M46" s="25">
        <v>7.6536100740365751E-2</v>
      </c>
      <c r="N46" s="25">
        <v>7.6536100740365751E-2</v>
      </c>
      <c r="O46" s="25">
        <v>8.2646207612078845E-2</v>
      </c>
      <c r="P46" s="25">
        <v>8.2646207612078845E-2</v>
      </c>
      <c r="Q46" s="25">
        <v>8.2646207612078845E-2</v>
      </c>
      <c r="R46" s="25">
        <v>8.2646207612078845E-2</v>
      </c>
      <c r="S46" s="25">
        <v>8.6716228113078345E-2</v>
      </c>
      <c r="T46" s="25">
        <v>8.6716228113078345E-2</v>
      </c>
      <c r="U46" s="25">
        <v>8.6716228113078345E-2</v>
      </c>
      <c r="V46" s="25">
        <v>8.6716228113078345E-2</v>
      </c>
      <c r="W46" s="25">
        <v>9.3587369758855329E-2</v>
      </c>
      <c r="X46" s="25">
        <v>9.3587369758855329E-2</v>
      </c>
      <c r="Y46" s="25">
        <v>9.3587369758855329E-2</v>
      </c>
      <c r="Z46" s="25">
        <v>9.3587369758855329E-2</v>
      </c>
      <c r="AA46" s="25">
        <v>9.3587369758855329E-2</v>
      </c>
      <c r="AB46" s="25">
        <v>9.3587369758855329E-2</v>
      </c>
      <c r="AC46" s="25">
        <v>9.3587369758855329E-2</v>
      </c>
      <c r="AD46" s="25">
        <v>9.3587369758855329E-2</v>
      </c>
    </row>
    <row r="47" spans="1:30" x14ac:dyDescent="0.3">
      <c r="A47" s="7" t="s">
        <v>199</v>
      </c>
      <c r="C47" s="25">
        <v>9.9012842669969736E-2</v>
      </c>
      <c r="D47" s="25">
        <v>9.9012842669969736E-2</v>
      </c>
      <c r="E47" s="25">
        <v>9.9012842669969736E-2</v>
      </c>
      <c r="F47" s="25">
        <v>9.9012842669969736E-2</v>
      </c>
      <c r="G47" s="25">
        <v>6.9513834076412748E-2</v>
      </c>
      <c r="H47" s="25">
        <v>6.9513834076412748E-2</v>
      </c>
      <c r="I47" s="25">
        <v>6.9513834076412748E-2</v>
      </c>
      <c r="J47" s="25">
        <v>6.9513834076412748E-2</v>
      </c>
      <c r="K47" s="25">
        <v>7.3435423653736634E-2</v>
      </c>
      <c r="L47" s="25">
        <v>7.3435423653736634E-2</v>
      </c>
      <c r="M47" s="25">
        <v>7.3435423653736634E-2</v>
      </c>
      <c r="N47" s="25">
        <v>7.3435423653736634E-2</v>
      </c>
      <c r="O47" s="25">
        <v>8.2127450445039052E-2</v>
      </c>
      <c r="P47" s="25">
        <v>8.2127450445039052E-2</v>
      </c>
      <c r="Q47" s="25">
        <v>8.2127450445039052E-2</v>
      </c>
      <c r="R47" s="25">
        <v>8.2127450445039052E-2</v>
      </c>
      <c r="S47" s="25">
        <v>8.7131957351071113E-2</v>
      </c>
      <c r="T47" s="25">
        <v>8.7131957351071113E-2</v>
      </c>
      <c r="U47" s="25">
        <v>8.7131957351071113E-2</v>
      </c>
      <c r="V47" s="25">
        <v>8.7131957351071113E-2</v>
      </c>
      <c r="W47" s="25">
        <v>9.065112355241968E-2</v>
      </c>
      <c r="X47" s="25">
        <v>9.065112355241968E-2</v>
      </c>
      <c r="Y47" s="25">
        <v>9.065112355241968E-2</v>
      </c>
      <c r="Z47" s="25">
        <v>9.065112355241968E-2</v>
      </c>
      <c r="AA47" s="25">
        <v>9.065112355241968E-2</v>
      </c>
      <c r="AB47" s="25">
        <v>9.065112355241968E-2</v>
      </c>
      <c r="AC47" s="25">
        <v>9.065112355241968E-2</v>
      </c>
      <c r="AD47" s="25">
        <v>9.065112355241968E-2</v>
      </c>
    </row>
    <row r="48" spans="1:30" x14ac:dyDescent="0.3">
      <c r="A48" s="7" t="s">
        <v>200</v>
      </c>
      <c r="C48" s="22">
        <v>2020</v>
      </c>
      <c r="D48" s="22">
        <v>2020</v>
      </c>
      <c r="E48" s="22">
        <v>2020</v>
      </c>
      <c r="F48" s="22">
        <v>2020</v>
      </c>
      <c r="G48" s="22">
        <v>2021</v>
      </c>
      <c r="H48" s="22">
        <v>2021</v>
      </c>
      <c r="I48" s="22">
        <v>2021</v>
      </c>
      <c r="J48" s="22">
        <v>2021</v>
      </c>
      <c r="K48" s="22">
        <v>2022</v>
      </c>
      <c r="L48" s="22">
        <v>2022</v>
      </c>
      <c r="M48" s="22">
        <v>2022</v>
      </c>
      <c r="N48" s="22">
        <v>2022</v>
      </c>
      <c r="O48" s="22">
        <v>2023</v>
      </c>
      <c r="P48" s="22">
        <v>2023</v>
      </c>
      <c r="Q48" s="22">
        <v>2023</v>
      </c>
      <c r="R48" s="22">
        <v>2023</v>
      </c>
      <c r="S48" s="22">
        <v>2024</v>
      </c>
      <c r="T48" s="22">
        <v>2024</v>
      </c>
      <c r="U48" s="22">
        <v>2024</v>
      </c>
      <c r="V48" s="22">
        <v>2024</v>
      </c>
      <c r="W48" s="22">
        <v>2025</v>
      </c>
      <c r="X48" s="22">
        <v>2025</v>
      </c>
      <c r="Y48" s="22">
        <v>2025</v>
      </c>
      <c r="Z48" s="22">
        <v>2025</v>
      </c>
      <c r="AA48" s="22">
        <v>2025</v>
      </c>
      <c r="AB48" s="22">
        <v>2025</v>
      </c>
      <c r="AC48" s="22">
        <v>2025</v>
      </c>
      <c r="AD48" s="22">
        <v>2025</v>
      </c>
    </row>
    <row r="50" spans="1:30" x14ac:dyDescent="0.3">
      <c r="A50" s="7" t="s">
        <v>201</v>
      </c>
      <c r="B50" s="3" t="s">
        <v>202</v>
      </c>
      <c r="G50" s="15">
        <f t="shared" ref="G50:AD50" si="8">SUMPRODUCT(G44:G47,G39:G42)</f>
        <v>-1.9669580370161026</v>
      </c>
      <c r="H50" s="15">
        <f t="shared" si="8"/>
        <v>-3.7829839342528717</v>
      </c>
      <c r="I50" s="15">
        <f t="shared" si="8"/>
        <v>-5.2015757294254197</v>
      </c>
      <c r="J50" s="15">
        <f t="shared" si="8"/>
        <v>-3.9022441072795306</v>
      </c>
      <c r="K50" s="15">
        <f t="shared" si="8"/>
        <v>-2.1903426266242843</v>
      </c>
      <c r="L50" s="15">
        <f t="shared" si="8"/>
        <v>0.4091124793874768</v>
      </c>
      <c r="M50" s="15">
        <f t="shared" si="8"/>
        <v>3.268286043038295</v>
      </c>
      <c r="N50" s="15">
        <f t="shared" si="8"/>
        <v>2.3847988537659339</v>
      </c>
      <c r="O50" s="15">
        <f t="shared" si="8"/>
        <v>0.94788957460418</v>
      </c>
      <c r="P50" s="15">
        <f t="shared" si="8"/>
        <v>-0.68577102583279148</v>
      </c>
      <c r="Q50" s="15">
        <f t="shared" si="8"/>
        <v>-0.51133739600159211</v>
      </c>
      <c r="R50" s="15">
        <f t="shared" si="8"/>
        <v>-1.3487507395997029</v>
      </c>
      <c r="S50" s="15">
        <f t="shared" si="8"/>
        <v>-2.8799273622293704</v>
      </c>
      <c r="T50" s="15">
        <f t="shared" si="8"/>
        <v>0.94579707049828388</v>
      </c>
      <c r="U50" s="15">
        <f t="shared" si="8"/>
        <v>1.938757410754359</v>
      </c>
      <c r="V50" s="15">
        <f t="shared" si="8"/>
        <v>3.4357287834688233</v>
      </c>
      <c r="W50" s="15">
        <f t="shared" si="8"/>
        <v>5.4993773315760741</v>
      </c>
      <c r="X50" s="15">
        <f t="shared" si="8"/>
        <v>2.1198193525118869</v>
      </c>
      <c r="Y50" s="13">
        <f t="shared" si="8"/>
        <v>0.41528141662474377</v>
      </c>
      <c r="Z50" s="13">
        <f t="shared" si="8"/>
        <v>0.51366902531723913</v>
      </c>
      <c r="AA50" s="13">
        <f t="shared" si="8"/>
        <v>-0.36901348466363304</v>
      </c>
      <c r="AB50" s="13">
        <f t="shared" si="8"/>
        <v>-0.42693614956614784</v>
      </c>
      <c r="AC50" s="13">
        <f t="shared" si="8"/>
        <v>-0.14674825953127343</v>
      </c>
      <c r="AD50" s="13">
        <f t="shared" si="8"/>
        <v>0</v>
      </c>
    </row>
    <row r="51" spans="1:30" x14ac:dyDescent="0.3">
      <c r="A51" s="7" t="s">
        <v>203</v>
      </c>
      <c r="B51" s="3" t="s">
        <v>204</v>
      </c>
      <c r="I51" s="15">
        <f t="shared" ref="I51:X51" si="9">I50-I9</f>
        <v>1.9107273211947753</v>
      </c>
      <c r="J51" s="15">
        <f t="shared" si="9"/>
        <v>1.6185553198411018</v>
      </c>
      <c r="K51" s="15">
        <f t="shared" si="9"/>
        <v>0.59546090761738402</v>
      </c>
      <c r="L51" s="15">
        <f t="shared" si="9"/>
        <v>1.0227682751612681</v>
      </c>
      <c r="M51" s="15">
        <f t="shared" si="9"/>
        <v>0.61052587939727365</v>
      </c>
      <c r="N51" s="15">
        <f t="shared" si="9"/>
        <v>0.31952171221760617</v>
      </c>
      <c r="O51" s="15">
        <f t="shared" si="9"/>
        <v>0.30584243335857297</v>
      </c>
      <c r="P51" s="15">
        <f t="shared" si="9"/>
        <v>0.19387477863680347</v>
      </c>
      <c r="Q51" s="15">
        <f t="shared" si="9"/>
        <v>8.8241238277757983E-2</v>
      </c>
      <c r="R51" s="15">
        <f t="shared" si="9"/>
        <v>-0.24200665742015981</v>
      </c>
      <c r="S51" s="15">
        <f t="shared" si="9"/>
        <v>-0.98913606190544723</v>
      </c>
      <c r="T51" s="15">
        <f t="shared" si="9"/>
        <v>-0.97404012645799254</v>
      </c>
      <c r="U51" s="15">
        <f t="shared" si="9"/>
        <v>-0.73613870266535408</v>
      </c>
      <c r="V51" s="15">
        <f t="shared" si="9"/>
        <v>0.50390054088362124</v>
      </c>
      <c r="W51" s="15">
        <f t="shared" si="9"/>
        <v>0.46470941982167346</v>
      </c>
      <c r="X51" s="15">
        <f t="shared" si="9"/>
        <v>0.81835213563889653</v>
      </c>
    </row>
    <row r="52" spans="1:30" x14ac:dyDescent="0.3">
      <c r="A52" s="7" t="s">
        <v>205</v>
      </c>
      <c r="I52" s="15">
        <f t="shared" ref="I52:X52" si="10">H9-I9</f>
        <v>1.5306988387899301</v>
      </c>
      <c r="J52" s="15">
        <f t="shared" si="10"/>
        <v>-1.5915036234995625</v>
      </c>
      <c r="K52" s="15">
        <f t="shared" si="10"/>
        <v>-2.7349958928789642</v>
      </c>
      <c r="L52" s="15">
        <f t="shared" si="10"/>
        <v>-2.1721477384678769</v>
      </c>
      <c r="M52" s="15">
        <f t="shared" si="10"/>
        <v>-3.2714159594148127</v>
      </c>
      <c r="N52" s="15">
        <f t="shared" si="10"/>
        <v>0.59248302209269355</v>
      </c>
      <c r="O52" s="15">
        <f t="shared" si="10"/>
        <v>1.4232300003027207</v>
      </c>
      <c r="P52" s="15">
        <f t="shared" si="10"/>
        <v>1.521692945715202</v>
      </c>
      <c r="Q52" s="15">
        <f t="shared" si="10"/>
        <v>-0.28006717019024485</v>
      </c>
      <c r="R52" s="15">
        <f t="shared" si="10"/>
        <v>0.50716544790019302</v>
      </c>
      <c r="S52" s="15">
        <f t="shared" si="10"/>
        <v>0.78404721814438005</v>
      </c>
      <c r="T52" s="15">
        <f t="shared" si="10"/>
        <v>-3.8106284972801996</v>
      </c>
      <c r="U52" s="15">
        <f t="shared" si="10"/>
        <v>-0.7550589164634367</v>
      </c>
      <c r="V52" s="15">
        <f t="shared" si="10"/>
        <v>-0.25693212916548891</v>
      </c>
      <c r="W52" s="15">
        <f t="shared" si="10"/>
        <v>-2.1028396691691986</v>
      </c>
      <c r="X52" s="15">
        <f t="shared" si="10"/>
        <v>3.7332006948814103</v>
      </c>
    </row>
    <row r="53" spans="1:30" x14ac:dyDescent="0.3">
      <c r="A53" s="7" t="s">
        <v>206</v>
      </c>
      <c r="B53" s="3" t="s">
        <v>207</v>
      </c>
      <c r="C53" s="15">
        <f>SQRT(SUMSQ(K51:X51)/14)</f>
        <v>0.63704455426850903</v>
      </c>
      <c r="D53" s="15">
        <f>SQRT(SUMSQ(K52:X52)/14)</f>
        <v>2.1054162140660018</v>
      </c>
      <c r="E53" s="13">
        <f>C53/D53</f>
        <v>0.30257416562696737</v>
      </c>
      <c r="F53" s="3" t="s">
        <v>56</v>
      </c>
    </row>
    <row r="55" spans="1:30" x14ac:dyDescent="0.3">
      <c r="A55" s="7" t="s">
        <v>208</v>
      </c>
      <c r="B55" s="3" t="s">
        <v>209</v>
      </c>
      <c r="Y55" s="10">
        <v>0.35548329121872158</v>
      </c>
      <c r="Z55" s="10">
        <v>-1.056443106322889</v>
      </c>
      <c r="AA55" s="10">
        <v>-3.2000073796653759</v>
      </c>
      <c r="AB55" s="10">
        <v>-3.901622399508339</v>
      </c>
      <c r="AC55" s="10">
        <v>-4.338399164474799</v>
      </c>
      <c r="AD55" s="10">
        <v>-4.3354320260640726</v>
      </c>
    </row>
    <row r="56" spans="1:30" x14ac:dyDescent="0.3">
      <c r="A56" s="7" t="s">
        <v>210</v>
      </c>
      <c r="Y56" s="10">
        <v>0.4162724067598822</v>
      </c>
      <c r="Z56" s="10">
        <v>0.58199844420060853</v>
      </c>
      <c r="AA56" s="10">
        <v>-0.23581807436806509</v>
      </c>
      <c r="AB56" s="10">
        <v>-0.22730493483701489</v>
      </c>
      <c r="AC56" s="10">
        <v>3.0552077000559501E-2</v>
      </c>
      <c r="AD56" s="10">
        <v>0.23395893461066439</v>
      </c>
    </row>
    <row r="57" spans="1:30" x14ac:dyDescent="0.3">
      <c r="A57" s="7" t="s">
        <v>211</v>
      </c>
      <c r="Y57" s="10">
        <v>0.4805092671220062</v>
      </c>
      <c r="Z57" s="10">
        <v>2.2594723453948511</v>
      </c>
      <c r="AA57" s="10">
        <v>2.7779556311581248</v>
      </c>
      <c r="AB57" s="10">
        <v>3.6801854026037351</v>
      </c>
      <c r="AC57" s="10">
        <v>4.855838910725363</v>
      </c>
      <c r="AD57" s="10">
        <v>5.1154116671195293</v>
      </c>
    </row>
    <row r="59" spans="1:30" x14ac:dyDescent="0.3">
      <c r="A59" s="4" t="s">
        <v>212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x14ac:dyDescent="0.3">
      <c r="A60" s="7" t="s">
        <v>213</v>
      </c>
      <c r="B60" s="3" t="s">
        <v>214</v>
      </c>
      <c r="K60" s="19">
        <f t="shared" ref="K60:X60" si="11">K8</f>
        <v>3</v>
      </c>
      <c r="L60" s="19">
        <f t="shared" si="11"/>
        <v>2</v>
      </c>
      <c r="M60" s="19">
        <f t="shared" si="11"/>
        <v>0.5</v>
      </c>
      <c r="N60" s="19">
        <f t="shared" si="11"/>
        <v>0.5</v>
      </c>
      <c r="O60" s="19">
        <f t="shared" si="11"/>
        <v>2</v>
      </c>
      <c r="P60" s="19">
        <f t="shared" si="11"/>
        <v>3</v>
      </c>
      <c r="Q60" s="19">
        <f t="shared" si="11"/>
        <v>2</v>
      </c>
      <c r="R60" s="19">
        <f t="shared" si="11"/>
        <v>2</v>
      </c>
      <c r="S60" s="19">
        <f t="shared" si="11"/>
        <v>1</v>
      </c>
      <c r="T60" s="19">
        <f t="shared" si="11"/>
        <v>1</v>
      </c>
      <c r="U60" s="19">
        <f t="shared" si="11"/>
        <v>2</v>
      </c>
      <c r="V60" s="19">
        <f t="shared" si="11"/>
        <v>3</v>
      </c>
      <c r="W60" s="19">
        <f t="shared" si="11"/>
        <v>4</v>
      </c>
      <c r="X60" s="19">
        <f t="shared" si="11"/>
        <v>4</v>
      </c>
    </row>
    <row r="61" spans="1:30" x14ac:dyDescent="0.3">
      <c r="A61" s="7" t="s">
        <v>215</v>
      </c>
      <c r="B61" s="3" t="s">
        <v>216</v>
      </c>
      <c r="K61" s="11">
        <v>-1.351797894609108</v>
      </c>
      <c r="L61" s="11">
        <v>-0.90308045327405218</v>
      </c>
      <c r="M61" s="11">
        <v>-1.1672079841690719</v>
      </c>
      <c r="N61" s="11">
        <v>-0.939076865441546</v>
      </c>
      <c r="O61" s="11">
        <v>-1.3250725093447491</v>
      </c>
      <c r="P61" s="11">
        <v>-1.1316446175229531</v>
      </c>
      <c r="Q61" s="11">
        <v>-1.119615766385351</v>
      </c>
      <c r="R61" s="11">
        <v>-1.7918874543582319</v>
      </c>
      <c r="S61" s="11">
        <v>-1.89435030033076</v>
      </c>
      <c r="T61" s="11">
        <v>-1.7015904262112751</v>
      </c>
      <c r="U61" s="11">
        <v>-1.593234059968984</v>
      </c>
      <c r="V61" s="11">
        <v>-1.4573971577665381</v>
      </c>
      <c r="W61" s="11">
        <v>-1.0430677435334661</v>
      </c>
      <c r="X61" s="11">
        <v>-1.2672243932303711</v>
      </c>
      <c r="Y61" s="17">
        <f t="shared" ref="Y61:AD61" si="12">Y90</f>
        <v>-1.2926338061198361</v>
      </c>
      <c r="Z61" s="17">
        <f t="shared" si="12"/>
        <v>-1.3356182124145466</v>
      </c>
      <c r="AA61" s="17">
        <f t="shared" si="12"/>
        <v>-1.6203852493470672</v>
      </c>
      <c r="AB61" s="17">
        <f t="shared" si="12"/>
        <v>-1.0807337472979128</v>
      </c>
      <c r="AC61" s="17">
        <f t="shared" si="12"/>
        <v>-1.1660443075724558</v>
      </c>
      <c r="AD61" s="17">
        <f t="shared" si="12"/>
        <v>-1.1028134208559082</v>
      </c>
    </row>
    <row r="62" spans="1:30" x14ac:dyDescent="0.3">
      <c r="A62" s="7" t="s">
        <v>217</v>
      </c>
      <c r="B62" s="3" t="s">
        <v>218</v>
      </c>
      <c r="K62" s="11">
        <v>0.4620912842772667</v>
      </c>
      <c r="L62" s="11">
        <v>0.36214402820390812</v>
      </c>
      <c r="M62" s="11">
        <v>0.40989736868798721</v>
      </c>
      <c r="N62" s="11">
        <v>0.29065395732804172</v>
      </c>
      <c r="O62" s="11">
        <v>0.96335054137053178</v>
      </c>
      <c r="P62" s="11">
        <v>0.7721595803184097</v>
      </c>
      <c r="Q62" s="11">
        <v>0.89031574686618631</v>
      </c>
      <c r="R62" s="11">
        <v>0.70667476592591016</v>
      </c>
      <c r="S62" s="11">
        <v>0.66909918245470879</v>
      </c>
      <c r="T62" s="11">
        <v>0.73241031323230754</v>
      </c>
      <c r="U62" s="11">
        <v>0.74815095633151452</v>
      </c>
      <c r="V62" s="11">
        <v>0.82242273966986545</v>
      </c>
      <c r="W62" s="11">
        <v>0.94504894455636956</v>
      </c>
      <c r="X62" s="11">
        <v>0.70046816844963378</v>
      </c>
      <c r="Y62" s="11">
        <v>0.79667200000000005</v>
      </c>
      <c r="Z62" s="11">
        <v>0.79667200000000005</v>
      </c>
      <c r="AA62" s="11">
        <v>0.79667200000000005</v>
      </c>
      <c r="AB62" s="11">
        <v>0.79667200000000005</v>
      </c>
      <c r="AC62" s="11">
        <v>0.79667200000000005</v>
      </c>
      <c r="AD62" s="11">
        <v>0.79667200000000005</v>
      </c>
    </row>
    <row r="63" spans="1:30" x14ac:dyDescent="0.3">
      <c r="A63" s="7" t="s">
        <v>219</v>
      </c>
      <c r="B63" s="3" t="s">
        <v>384</v>
      </c>
      <c r="K63" s="11">
        <v>0.46262529435054928</v>
      </c>
      <c r="L63" s="11">
        <v>0.1183751453729842</v>
      </c>
      <c r="M63" s="11">
        <v>0.3015954388247532</v>
      </c>
      <c r="N63" s="11">
        <v>0.36393873804008159</v>
      </c>
      <c r="O63" s="11">
        <v>0.21253021248501811</v>
      </c>
      <c r="P63" s="11">
        <v>0.2316928734386047</v>
      </c>
      <c r="Q63" s="11">
        <v>0.25269486687173881</v>
      </c>
      <c r="R63" s="11">
        <v>0.43155103962972952</v>
      </c>
      <c r="S63" s="11">
        <v>0.27873471568178321</v>
      </c>
      <c r="T63" s="11">
        <v>0.34841461399790491</v>
      </c>
      <c r="U63" s="11">
        <v>0.30764915577272678</v>
      </c>
      <c r="V63" s="11">
        <v>0.2210184783094426</v>
      </c>
      <c r="W63" s="11">
        <v>0.3</v>
      </c>
      <c r="X63" s="11">
        <v>0.3</v>
      </c>
      <c r="Y63" s="35">
        <v>4.7097937306264999E-2</v>
      </c>
      <c r="Z63" s="35">
        <v>4.7097937306264999E-2</v>
      </c>
      <c r="AA63" s="35">
        <v>0.27852790067210548</v>
      </c>
      <c r="AB63" s="35">
        <v>0.27852790067210548</v>
      </c>
      <c r="AC63" s="35">
        <v>0.27852790067210548</v>
      </c>
      <c r="AD63" s="35">
        <v>0.27852790067210548</v>
      </c>
    </row>
    <row r="64" spans="1:30" x14ac:dyDescent="0.3">
      <c r="A64" s="7" t="s">
        <v>220</v>
      </c>
      <c r="B64" s="3" t="s">
        <v>221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-0.1765366347734276</v>
      </c>
      <c r="T64" s="11">
        <v>-0.1765366347734276</v>
      </c>
      <c r="U64" s="11">
        <v>-0.1765366347734276</v>
      </c>
      <c r="V64" s="11">
        <v>-0.1765366347734276</v>
      </c>
      <c r="W64" s="11">
        <v>-0.48257015170575229</v>
      </c>
      <c r="X64" s="11">
        <v>-0.48257015170575229</v>
      </c>
      <c r="Y64" s="11">
        <v>-0.48257</v>
      </c>
      <c r="Z64" s="11">
        <v>-0.48257</v>
      </c>
      <c r="AA64" s="11">
        <v>-0.56499999999999995</v>
      </c>
      <c r="AB64" s="11">
        <v>-0.56499999999999995</v>
      </c>
      <c r="AC64" s="11">
        <v>-0.56499999999999995</v>
      </c>
      <c r="AD64" s="11">
        <v>-0.56499999999999995</v>
      </c>
    </row>
    <row r="65" spans="1:30" x14ac:dyDescent="0.3">
      <c r="A65" s="7" t="s">
        <v>222</v>
      </c>
      <c r="B65" s="3" t="s">
        <v>223</v>
      </c>
      <c r="K65" s="11">
        <v>-4.9478636897156598E-2</v>
      </c>
      <c r="L65" s="11">
        <v>-4.9478636897156598E-2</v>
      </c>
      <c r="M65" s="11">
        <v>-4.9478636897156598E-2</v>
      </c>
      <c r="N65" s="11">
        <v>-4.9478636897156598E-2</v>
      </c>
      <c r="O65" s="11">
        <v>-0.10658345279703919</v>
      </c>
      <c r="P65" s="11">
        <v>-0.10658345279703919</v>
      </c>
      <c r="Q65" s="11">
        <v>-0.10658345279703919</v>
      </c>
      <c r="R65" s="11">
        <v>-0.10658345279703919</v>
      </c>
      <c r="S65" s="11">
        <v>-0.10832060756086311</v>
      </c>
      <c r="T65" s="11">
        <v>-0.10832060756086311</v>
      </c>
      <c r="U65" s="11">
        <v>-0.10832060756086311</v>
      </c>
      <c r="V65" s="11">
        <v>-0.10832060756086311</v>
      </c>
      <c r="W65" s="11">
        <v>-0.1</v>
      </c>
      <c r="X65" s="11">
        <v>-0.1</v>
      </c>
      <c r="Y65" s="11">
        <v>-0.1</v>
      </c>
      <c r="Z65" s="11">
        <v>-0.1</v>
      </c>
      <c r="AA65" s="11">
        <v>-0.1</v>
      </c>
      <c r="AB65" s="11">
        <v>-0.1</v>
      </c>
      <c r="AC65" s="11">
        <v>-0.1</v>
      </c>
      <c r="AD65" s="11">
        <v>-0.1</v>
      </c>
    </row>
    <row r="66" spans="1:30" x14ac:dyDescent="0.3">
      <c r="A66" s="7" t="s">
        <v>224</v>
      </c>
      <c r="B66" s="3" t="s">
        <v>225</v>
      </c>
      <c r="K66" s="15">
        <f t="shared" ref="K66:X66" si="13">K60-SUM(K61:K65)</f>
        <v>3.4765599528784485</v>
      </c>
      <c r="L66" s="15">
        <f t="shared" si="13"/>
        <v>2.4720399165943165</v>
      </c>
      <c r="M66" s="15">
        <f t="shared" si="13"/>
        <v>1.0051938135534881</v>
      </c>
      <c r="N66" s="15">
        <f t="shared" si="13"/>
        <v>0.83396280697057923</v>
      </c>
      <c r="O66" s="15">
        <f t="shared" si="13"/>
        <v>2.2557752082862383</v>
      </c>
      <c r="P66" s="15">
        <f t="shared" si="13"/>
        <v>3.234375616562978</v>
      </c>
      <c r="Q66" s="15">
        <f t="shared" si="13"/>
        <v>2.083188605444465</v>
      </c>
      <c r="R66" s="15">
        <f t="shared" si="13"/>
        <v>2.7602451015996312</v>
      </c>
      <c r="S66" s="15">
        <f t="shared" si="13"/>
        <v>2.231373644528559</v>
      </c>
      <c r="T66" s="15">
        <f t="shared" si="13"/>
        <v>1.9056227413153535</v>
      </c>
      <c r="U66" s="15">
        <f t="shared" si="13"/>
        <v>2.8222911901990333</v>
      </c>
      <c r="V66" s="15">
        <f t="shared" si="13"/>
        <v>3.6988131821215209</v>
      </c>
      <c r="W66" s="15">
        <f t="shared" si="13"/>
        <v>4.3805889506828493</v>
      </c>
      <c r="X66" s="15">
        <f t="shared" si="13"/>
        <v>4.8493263764864896</v>
      </c>
      <c r="Y66" s="15">
        <f t="shared" ref="Y66:AD66" si="14">Y67+Y72</f>
        <v>4.2882152653753787</v>
      </c>
      <c r="Z66" s="15">
        <f t="shared" si="14"/>
        <v>3.7993263764864897</v>
      </c>
      <c r="AA66" s="15">
        <f t="shared" si="14"/>
        <v>2.4605889997223462</v>
      </c>
      <c r="AB66" s="15">
        <f t="shared" si="14"/>
        <v>2.4605889997223462</v>
      </c>
      <c r="AC66" s="15">
        <f t="shared" si="14"/>
        <v>2.4605889997223462</v>
      </c>
      <c r="AD66" s="15">
        <f t="shared" si="14"/>
        <v>2.4605889997223462</v>
      </c>
    </row>
    <row r="67" spans="1:30" x14ac:dyDescent="0.3">
      <c r="A67" s="7" t="s">
        <v>226</v>
      </c>
      <c r="B67" s="3" t="s">
        <v>385</v>
      </c>
      <c r="K67" s="15">
        <f t="shared" ref="K67:X67" si="15">K66-K72</f>
        <v>3.4765599528784485</v>
      </c>
      <c r="L67" s="15">
        <f t="shared" si="15"/>
        <v>2.4720399165943165</v>
      </c>
      <c r="M67" s="15">
        <f t="shared" si="15"/>
        <v>1.0051938135534881</v>
      </c>
      <c r="N67" s="15">
        <f t="shared" si="15"/>
        <v>0.83396280697057923</v>
      </c>
      <c r="O67" s="15">
        <f t="shared" si="15"/>
        <v>2.2557752082862383</v>
      </c>
      <c r="P67" s="15">
        <f t="shared" si="15"/>
        <v>3.234375616562978</v>
      </c>
      <c r="Q67" s="15">
        <f t="shared" si="15"/>
        <v>2.083188605444465</v>
      </c>
      <c r="R67" s="15">
        <f t="shared" si="15"/>
        <v>2.7602451015996312</v>
      </c>
      <c r="S67" s="15">
        <f t="shared" si="15"/>
        <v>2.231373644528559</v>
      </c>
      <c r="T67" s="15">
        <f t="shared" si="15"/>
        <v>1.9056227413153535</v>
      </c>
      <c r="U67" s="15">
        <f t="shared" si="15"/>
        <v>2.3111800790879222</v>
      </c>
      <c r="V67" s="15">
        <f t="shared" si="15"/>
        <v>2.6988131821215209</v>
      </c>
      <c r="W67" s="15">
        <f t="shared" si="15"/>
        <v>3.3805889506828493</v>
      </c>
      <c r="X67" s="15">
        <f t="shared" si="15"/>
        <v>3.8493263764864896</v>
      </c>
      <c r="Y67" s="36">
        <f>$X$67+$X$170</f>
        <v>3.7993263764864897</v>
      </c>
      <c r="Z67" s="36">
        <f>$X$67+$X$170</f>
        <v>3.7993263764864897</v>
      </c>
      <c r="AA67" s="36">
        <f>$X$172</f>
        <v>2.4605889997223462</v>
      </c>
      <c r="AB67" s="36">
        <f>$X$172</f>
        <v>2.4605889997223462</v>
      </c>
      <c r="AC67" s="36">
        <f>$X$172</f>
        <v>2.4605889997223462</v>
      </c>
      <c r="AD67" s="36">
        <f>$X$172</f>
        <v>2.4605889997223462</v>
      </c>
    </row>
    <row r="69" spans="1:30" x14ac:dyDescent="0.3">
      <c r="A69" s="7" t="s">
        <v>227</v>
      </c>
      <c r="B69" s="3" t="s">
        <v>228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0.51111111111111107</v>
      </c>
      <c r="V69" s="11">
        <v>0.51111111111111107</v>
      </c>
      <c r="W69" s="11">
        <v>0.51111111111111107</v>
      </c>
      <c r="X69" s="11">
        <v>0.51111111111111107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</row>
    <row r="70" spans="1:30" x14ac:dyDescent="0.3">
      <c r="A70" s="7" t="s">
        <v>229</v>
      </c>
      <c r="B70" s="3" t="s">
        <v>230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0.48888888888888887</v>
      </c>
      <c r="W70" s="11">
        <v>0.48888888888888887</v>
      </c>
      <c r="X70" s="11">
        <v>0.48888888888888887</v>
      </c>
      <c r="Y70" s="11">
        <v>0.48888888888888887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</row>
    <row r="71" spans="1:30" x14ac:dyDescent="0.3">
      <c r="A71" s="7" t="s">
        <v>231</v>
      </c>
      <c r="B71" s="3" t="s">
        <v>232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</row>
    <row r="72" spans="1:30" x14ac:dyDescent="0.3">
      <c r="A72" s="7" t="s">
        <v>233</v>
      </c>
      <c r="B72" s="3" t="s">
        <v>234</v>
      </c>
      <c r="K72" s="15">
        <f t="shared" ref="K72:AD72" si="16">SUM(K69:K71)</f>
        <v>0</v>
      </c>
      <c r="L72" s="15">
        <f t="shared" si="16"/>
        <v>0</v>
      </c>
      <c r="M72" s="15">
        <f t="shared" si="16"/>
        <v>0</v>
      </c>
      <c r="N72" s="15">
        <f t="shared" si="16"/>
        <v>0</v>
      </c>
      <c r="O72" s="15">
        <f t="shared" si="16"/>
        <v>0</v>
      </c>
      <c r="P72" s="15">
        <f t="shared" si="16"/>
        <v>0</v>
      </c>
      <c r="Q72" s="15">
        <f t="shared" si="16"/>
        <v>0</v>
      </c>
      <c r="R72" s="15">
        <f t="shared" si="16"/>
        <v>0</v>
      </c>
      <c r="S72" s="15">
        <f t="shared" si="16"/>
        <v>0</v>
      </c>
      <c r="T72" s="15">
        <f t="shared" si="16"/>
        <v>0</v>
      </c>
      <c r="U72" s="15">
        <f t="shared" si="16"/>
        <v>0.51111111111111107</v>
      </c>
      <c r="V72" s="15">
        <f t="shared" si="16"/>
        <v>1</v>
      </c>
      <c r="W72" s="15">
        <f t="shared" si="16"/>
        <v>1</v>
      </c>
      <c r="X72" s="15">
        <f t="shared" si="16"/>
        <v>1</v>
      </c>
      <c r="Y72" s="15">
        <f t="shared" si="16"/>
        <v>0.48888888888888887</v>
      </c>
      <c r="Z72" s="15">
        <f t="shared" si="16"/>
        <v>0</v>
      </c>
      <c r="AA72" s="15">
        <f t="shared" si="16"/>
        <v>0</v>
      </c>
      <c r="AB72" s="15">
        <f t="shared" si="16"/>
        <v>0</v>
      </c>
      <c r="AC72" s="15">
        <f t="shared" si="16"/>
        <v>0</v>
      </c>
      <c r="AD72" s="15">
        <f t="shared" si="16"/>
        <v>0</v>
      </c>
    </row>
    <row r="74" spans="1:30" x14ac:dyDescent="0.3">
      <c r="A74" s="7" t="s">
        <v>235</v>
      </c>
      <c r="B74" s="3" t="s">
        <v>386</v>
      </c>
      <c r="K74" s="17">
        <f t="shared" ref="K74:X74" si="17">K60</f>
        <v>3</v>
      </c>
      <c r="L74" s="17">
        <f t="shared" si="17"/>
        <v>2</v>
      </c>
      <c r="M74" s="17">
        <f t="shared" si="17"/>
        <v>0.5</v>
      </c>
      <c r="N74" s="17">
        <f t="shared" si="17"/>
        <v>0.5</v>
      </c>
      <c r="O74" s="17">
        <f t="shared" si="17"/>
        <v>2</v>
      </c>
      <c r="P74" s="17">
        <f t="shared" si="17"/>
        <v>3</v>
      </c>
      <c r="Q74" s="17">
        <f t="shared" si="17"/>
        <v>2</v>
      </c>
      <c r="R74" s="17">
        <f t="shared" si="17"/>
        <v>2</v>
      </c>
      <c r="S74" s="17">
        <f t="shared" si="17"/>
        <v>1</v>
      </c>
      <c r="T74" s="17">
        <f t="shared" si="17"/>
        <v>1</v>
      </c>
      <c r="U74" s="17">
        <f t="shared" si="17"/>
        <v>2</v>
      </c>
      <c r="V74" s="17">
        <f t="shared" si="17"/>
        <v>3</v>
      </c>
      <c r="W74" s="17">
        <f t="shared" si="17"/>
        <v>4</v>
      </c>
      <c r="X74" s="17">
        <f t="shared" si="17"/>
        <v>4</v>
      </c>
      <c r="Y74" s="36">
        <f t="shared" ref="Y74:AD74" si="18">Y67+Y72+SUM(Y61:Y65)+Y169+Y171</f>
        <v>2.958665373369409</v>
      </c>
      <c r="Z74" s="36">
        <f t="shared" si="18"/>
        <v>2.4267920781858097</v>
      </c>
      <c r="AA74" s="36">
        <f t="shared" si="18"/>
        <v>0.952287627854986</v>
      </c>
      <c r="AB74" s="36">
        <f t="shared" si="18"/>
        <v>1.4419391299041406</v>
      </c>
      <c r="AC74" s="36">
        <f t="shared" si="18"/>
        <v>1.4066285696295977</v>
      </c>
      <c r="AD74" s="36">
        <f t="shared" si="18"/>
        <v>1.4698594563461453</v>
      </c>
    </row>
    <row r="76" spans="1:30" x14ac:dyDescent="0.3">
      <c r="A76" s="7" t="s">
        <v>236</v>
      </c>
      <c r="B76" s="3" t="s">
        <v>237</v>
      </c>
    </row>
    <row r="77" spans="1:30" x14ac:dyDescent="0.3">
      <c r="A77" s="7" t="s">
        <v>238</v>
      </c>
      <c r="B77" s="3" t="s">
        <v>239</v>
      </c>
      <c r="Y77" s="11">
        <v>5.6</v>
      </c>
      <c r="Z77" s="11">
        <v>3.31</v>
      </c>
      <c r="AA77" s="11">
        <v>2.31</v>
      </c>
      <c r="AB77" s="11">
        <v>2.31</v>
      </c>
      <c r="AC77" s="11">
        <v>2.31</v>
      </c>
      <c r="AD77" s="11">
        <v>2.31</v>
      </c>
    </row>
    <row r="78" spans="1:30" x14ac:dyDescent="0.3">
      <c r="A78" s="7" t="s">
        <v>240</v>
      </c>
      <c r="B78" s="3" t="s">
        <v>239</v>
      </c>
      <c r="Y78" s="11">
        <v>7.0786910689614464</v>
      </c>
      <c r="Z78" s="11">
        <v>6.3166150686196838</v>
      </c>
      <c r="AA78" s="11">
        <v>6.53339354949878</v>
      </c>
      <c r="AB78" s="11">
        <v>4.6724999164600609</v>
      </c>
      <c r="AC78" s="11">
        <v>4.6726434495155829</v>
      </c>
      <c r="AD78" s="11">
        <v>4.6357219066641573</v>
      </c>
    </row>
    <row r="79" spans="1:30" x14ac:dyDescent="0.3">
      <c r="A79" s="7" t="s">
        <v>241</v>
      </c>
      <c r="B79" s="3" t="s">
        <v>239</v>
      </c>
      <c r="Y79" s="11">
        <v>17.696727672403611</v>
      </c>
      <c r="Z79" s="11">
        <v>15.791537671549211</v>
      </c>
      <c r="AA79" s="11">
        <v>16.33348387374695</v>
      </c>
      <c r="AB79" s="11">
        <v>11.681249791150149</v>
      </c>
      <c r="AC79" s="11">
        <v>11.681608623788961</v>
      </c>
      <c r="AD79" s="11">
        <v>11.589304766660391</v>
      </c>
    </row>
    <row r="80" spans="1:30" x14ac:dyDescent="0.3">
      <c r="A80" s="7" t="s">
        <v>242</v>
      </c>
      <c r="B80" s="3" t="s">
        <v>239</v>
      </c>
      <c r="Y80" s="11">
        <v>15.927054905163249</v>
      </c>
      <c r="Z80" s="11">
        <v>14.21238390439429</v>
      </c>
      <c r="AA80" s="11">
        <v>14.700135486372259</v>
      </c>
      <c r="AB80" s="11">
        <v>10.513124812035141</v>
      </c>
      <c r="AC80" s="11">
        <v>10.51344776141006</v>
      </c>
      <c r="AD80" s="11">
        <v>10.430374289994351</v>
      </c>
    </row>
    <row r="81" spans="1:30" x14ac:dyDescent="0.3">
      <c r="A81" s="7" t="s">
        <v>243</v>
      </c>
      <c r="Y81" s="25">
        <v>0.31393500000000002</v>
      </c>
      <c r="Z81" s="25">
        <v>0.30056100000000002</v>
      </c>
      <c r="AA81" s="25">
        <v>0.27728599999999998</v>
      </c>
      <c r="AB81" s="25">
        <v>0.282553</v>
      </c>
      <c r="AC81" s="25">
        <v>0.30168751535668459</v>
      </c>
      <c r="AD81" s="25">
        <v>0.28709151428016683</v>
      </c>
    </row>
    <row r="82" spans="1:30" x14ac:dyDescent="0.3">
      <c r="A82" s="7" t="s">
        <v>244</v>
      </c>
      <c r="Y82" s="25">
        <v>0.36779800000000001</v>
      </c>
      <c r="Z82" s="25">
        <v>0.40257500000000002</v>
      </c>
      <c r="AA82" s="25">
        <v>0.39642699999999997</v>
      </c>
      <c r="AB82" s="25">
        <v>0.41549999999999998</v>
      </c>
      <c r="AC82" s="25">
        <v>0.35839843127742033</v>
      </c>
      <c r="AD82" s="25">
        <v>0.39572483807104097</v>
      </c>
    </row>
    <row r="83" spans="1:30" x14ac:dyDescent="0.3">
      <c r="A83" s="7" t="s">
        <v>245</v>
      </c>
      <c r="Y83" s="25">
        <v>0.16964899999999999</v>
      </c>
      <c r="Z83" s="25">
        <v>0.174009</v>
      </c>
      <c r="AA83" s="25">
        <v>0.17940900000000001</v>
      </c>
      <c r="AB83" s="25">
        <v>0.178621</v>
      </c>
      <c r="AC83" s="25">
        <v>0.18170604487241979</v>
      </c>
      <c r="AD83" s="25">
        <v>0.18629186903010081</v>
      </c>
    </row>
    <row r="84" spans="1:30" x14ac:dyDescent="0.3">
      <c r="A84" s="7" t="s">
        <v>246</v>
      </c>
      <c r="Y84" s="25">
        <v>0.148618</v>
      </c>
      <c r="Z84" s="25">
        <v>0.12285500000000001</v>
      </c>
      <c r="AA84" s="25">
        <v>0.14687800000000001</v>
      </c>
      <c r="AB84" s="25">
        <v>0.123325</v>
      </c>
      <c r="AC84" s="25">
        <v>0.1567869451881983</v>
      </c>
      <c r="AD84" s="25">
        <v>0.12973328055118361</v>
      </c>
    </row>
    <row r="85" spans="1:30" x14ac:dyDescent="0.3">
      <c r="A85" s="7" t="s">
        <v>247</v>
      </c>
      <c r="Y85" s="10">
        <v>249.33699999999999</v>
      </c>
      <c r="Z85" s="10">
        <v>247.20779999999999</v>
      </c>
      <c r="AA85" s="10">
        <v>279.20089999999999</v>
      </c>
      <c r="AB85" s="10">
        <v>280.75110000000001</v>
      </c>
      <c r="AC85" s="10">
        <v>280.75110000000001</v>
      </c>
      <c r="AD85" s="10">
        <v>280.75110000000001</v>
      </c>
    </row>
    <row r="86" spans="1:30" x14ac:dyDescent="0.3">
      <c r="A86" s="7" t="s">
        <v>247</v>
      </c>
      <c r="Y86" s="10">
        <v>162.07210000000001</v>
      </c>
      <c r="Z86" s="10">
        <v>158.3398</v>
      </c>
      <c r="AA86" s="10">
        <v>180.3991</v>
      </c>
      <c r="AB86" s="10">
        <v>169.84819999999999</v>
      </c>
      <c r="AC86" s="10">
        <v>169.84819999999999</v>
      </c>
      <c r="AD86" s="10">
        <v>169.84819999999999</v>
      </c>
    </row>
    <row r="87" spans="1:30" x14ac:dyDescent="0.3">
      <c r="A87" s="7" t="s">
        <v>247</v>
      </c>
      <c r="Y87" s="10">
        <v>97.081100000000006</v>
      </c>
      <c r="Z87" s="10">
        <v>95.508300000000006</v>
      </c>
      <c r="AA87" s="10">
        <v>102.1656</v>
      </c>
      <c r="AB87" s="10">
        <v>102.8022</v>
      </c>
      <c r="AC87" s="10">
        <v>102.8022</v>
      </c>
      <c r="AD87" s="10">
        <v>102.8022</v>
      </c>
    </row>
    <row r="88" spans="1:30" x14ac:dyDescent="0.3">
      <c r="A88" s="7" t="s">
        <v>247</v>
      </c>
      <c r="Y88" s="10">
        <v>116.02549999999999</v>
      </c>
      <c r="Z88" s="10">
        <v>115.3398</v>
      </c>
      <c r="AA88" s="10">
        <v>127.70910000000001</v>
      </c>
      <c r="AB88" s="10">
        <v>122.0612</v>
      </c>
      <c r="AC88" s="10">
        <v>122.0612</v>
      </c>
      <c r="AD88" s="10">
        <v>122.0612</v>
      </c>
    </row>
    <row r="89" spans="1:30" x14ac:dyDescent="0.3">
      <c r="A89" s="7" t="s">
        <v>248</v>
      </c>
      <c r="B89" s="3" t="s">
        <v>249</v>
      </c>
      <c r="Y89" s="15">
        <f t="shared" ref="Y89:AD89" si="19">SUMPRODUCT(Y81:Y84,Y77:Y80)</f>
        <v>9.7308436165730345</v>
      </c>
      <c r="Z89" s="15">
        <f t="shared" si="19"/>
        <v>8.0317003245125367</v>
      </c>
      <c r="AA89" s="15">
        <f t="shared" si="19"/>
        <v>8.320044772919605</v>
      </c>
      <c r="AB89" s="15">
        <f t="shared" si="19"/>
        <v>5.9771687816784205</v>
      </c>
      <c r="AC89" s="15">
        <f t="shared" si="19"/>
        <v>6.1425565013824688</v>
      </c>
      <c r="AD89" s="15">
        <f t="shared" si="19"/>
        <v>6.0098116186025461</v>
      </c>
    </row>
    <row r="90" spans="1:30" x14ac:dyDescent="0.3">
      <c r="A90" s="7" t="s">
        <v>250</v>
      </c>
      <c r="B90" s="3" t="s">
        <v>251</v>
      </c>
      <c r="Y90" s="15">
        <f t="shared" ref="Y90:AD90" si="20">(SUMPRODUCT(Y81:Y84,1+Y77:Y80/100,Y85:Y88)/((1+Y89/100)*SUMPRODUCT(Y81:Y84,Y85:Y88))-1)*100</f>
        <v>-1.2926338061198361</v>
      </c>
      <c r="Z90" s="15">
        <f t="shared" si="20"/>
        <v>-1.3356182124145466</v>
      </c>
      <c r="AA90" s="15">
        <f t="shared" si="20"/>
        <v>-1.6203852493470672</v>
      </c>
      <c r="AB90" s="15">
        <f t="shared" si="20"/>
        <v>-1.0807337472979128</v>
      </c>
      <c r="AC90" s="15">
        <f t="shared" si="20"/>
        <v>-1.1660443075724558</v>
      </c>
      <c r="AD90" s="15">
        <f t="shared" si="20"/>
        <v>-1.1028134208559082</v>
      </c>
    </row>
    <row r="92" spans="1:30" x14ac:dyDescent="0.3">
      <c r="A92" s="4" t="s">
        <v>252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x14ac:dyDescent="0.3">
      <c r="A93" s="7" t="s">
        <v>253</v>
      </c>
      <c r="B93" s="3" t="s">
        <v>387</v>
      </c>
      <c r="Y93" s="37">
        <f>Y174</f>
        <v>-0.40607077138266023</v>
      </c>
      <c r="Z93" s="37">
        <f>Z174</f>
        <v>-0.36941277702158182</v>
      </c>
      <c r="AA93" s="17">
        <f t="shared" ref="AA93:AD93" si="21">AA50</f>
        <v>-0.36901348466363304</v>
      </c>
      <c r="AB93" s="17">
        <f t="shared" si="21"/>
        <v>-0.42693614956614784</v>
      </c>
      <c r="AC93" s="17">
        <f t="shared" si="21"/>
        <v>-0.14674825953127343</v>
      </c>
      <c r="AD93" s="17">
        <f t="shared" si="21"/>
        <v>0</v>
      </c>
    </row>
    <row r="94" spans="1:30" x14ac:dyDescent="0.3">
      <c r="A94" s="7" t="s">
        <v>254</v>
      </c>
      <c r="B94" s="3" t="s">
        <v>255</v>
      </c>
      <c r="Y94" s="15">
        <f t="shared" ref="Y94:AD94" si="22">Y74+Y93</f>
        <v>2.5525946019867489</v>
      </c>
      <c r="Z94" s="15">
        <f t="shared" si="22"/>
        <v>2.0573793011642278</v>
      </c>
      <c r="AA94" s="15">
        <f t="shared" si="22"/>
        <v>0.58327414319135296</v>
      </c>
      <c r="AB94" s="15">
        <f t="shared" si="22"/>
        <v>1.0150029803379927</v>
      </c>
      <c r="AC94" s="15">
        <f t="shared" si="22"/>
        <v>1.2598803100983242</v>
      </c>
      <c r="AD94" s="15">
        <f t="shared" si="22"/>
        <v>1.4698594563461453</v>
      </c>
    </row>
    <row r="95" spans="1:30" x14ac:dyDescent="0.3">
      <c r="A95" s="7" t="s">
        <v>256</v>
      </c>
      <c r="B95" s="3" t="s">
        <v>257</v>
      </c>
      <c r="Y95" s="12">
        <f t="shared" ref="Y95:AD95" si="23">U6*(1+Y94/100)</f>
        <v>175.66233929374312</v>
      </c>
      <c r="Z95" s="12">
        <f t="shared" si="23"/>
        <v>170.95631606738019</v>
      </c>
      <c r="AA95" s="12">
        <f t="shared" si="23"/>
        <v>187.90967275431007</v>
      </c>
      <c r="AB95" s="12">
        <f t="shared" si="23"/>
        <v>185.59486497577498</v>
      </c>
      <c r="AC95" s="12">
        <f t="shared" si="23"/>
        <v>177.87547451876307</v>
      </c>
      <c r="AD95" s="12">
        <f t="shared" si="23"/>
        <v>173.46913364531758</v>
      </c>
    </row>
    <row r="96" spans="1:30" x14ac:dyDescent="0.3">
      <c r="A96" s="7" t="s">
        <v>258</v>
      </c>
      <c r="B96" s="3" t="s">
        <v>388</v>
      </c>
      <c r="Y96" s="35">
        <v>0.99870147577222557</v>
      </c>
      <c r="Z96" s="35">
        <v>1.8919704100875616</v>
      </c>
      <c r="AA96" s="35">
        <v>2.5128678465993755</v>
      </c>
      <c r="AB96" s="35">
        <v>3.0941773679701305</v>
      </c>
      <c r="AC96" s="35">
        <v>3.6703224161925569</v>
      </c>
      <c r="AD96" s="35">
        <v>3.8405337283423262</v>
      </c>
    </row>
    <row r="97" spans="1:30" x14ac:dyDescent="0.3">
      <c r="A97" s="7" t="s">
        <v>259</v>
      </c>
      <c r="Y97" s="14">
        <f t="shared" ref="Y97:AD97" si="24">U6*(1+(Y94-Y96)/100)</f>
        <v>173.95166353589283</v>
      </c>
      <c r="Z97" s="14">
        <f t="shared" si="24"/>
        <v>167.78707643344251</v>
      </c>
      <c r="AA97" s="14">
        <f t="shared" si="24"/>
        <v>183.21513304329312</v>
      </c>
      <c r="AB97" s="14">
        <f t="shared" si="24"/>
        <v>179.90993289760345</v>
      </c>
      <c r="AC97" s="14">
        <f t="shared" si="24"/>
        <v>171.42810030285662</v>
      </c>
      <c r="AD97" s="14">
        <f t="shared" si="24"/>
        <v>166.90349866601835</v>
      </c>
    </row>
    <row r="98" spans="1:30" x14ac:dyDescent="0.3">
      <c r="A98" s="7" t="s">
        <v>260</v>
      </c>
      <c r="Y98" s="14">
        <f t="shared" ref="Y98:AD98" si="25">U6*(1+(Y94+Y96)/100)</f>
        <v>177.37301505159334</v>
      </c>
      <c r="Z98" s="14">
        <f t="shared" si="25"/>
        <v>174.12555570131784</v>
      </c>
      <c r="AA98" s="14">
        <f t="shared" si="25"/>
        <v>192.60421246532704</v>
      </c>
      <c r="AB98" s="14">
        <f t="shared" si="25"/>
        <v>191.27979705394648</v>
      </c>
      <c r="AC98" s="14">
        <f t="shared" si="25"/>
        <v>184.32284873466958</v>
      </c>
      <c r="AD98" s="14">
        <f t="shared" si="25"/>
        <v>180.03476862461682</v>
      </c>
    </row>
    <row r="99" spans="1:30" x14ac:dyDescent="0.3">
      <c r="A99" s="7" t="s">
        <v>261</v>
      </c>
      <c r="B99" s="3" t="s">
        <v>262</v>
      </c>
      <c r="Y99" s="10">
        <v>177.06</v>
      </c>
      <c r="Z99" s="10">
        <v>171.33</v>
      </c>
    </row>
    <row r="100" spans="1:30" x14ac:dyDescent="0.3">
      <c r="A100" s="7" t="s">
        <v>263</v>
      </c>
      <c r="Y100" s="15">
        <f>(Y99/U6-1)*100</f>
        <v>3.368556249635124</v>
      </c>
      <c r="Z100" s="15">
        <f>(Z99/V6-1)*100</f>
        <v>2.2804608680078831</v>
      </c>
    </row>
    <row r="101" spans="1:30" x14ac:dyDescent="0.3">
      <c r="A101" s="7" t="s">
        <v>264</v>
      </c>
      <c r="Y101" s="15">
        <f>(Y94-Y100)/Y96</f>
        <v>-0.81702257125178412</v>
      </c>
      <c r="Z101" s="15">
        <f>(Z94-Z100)/Z96</f>
        <v>-0.11790964893226362</v>
      </c>
    </row>
    <row r="102" spans="1:30" x14ac:dyDescent="0.3">
      <c r="A102" s="7" t="s">
        <v>265</v>
      </c>
      <c r="B102" s="3" t="s">
        <v>266</v>
      </c>
      <c r="Y102" s="38">
        <f>1-_xlfn.NORM.S.DIST((Y100-Y94)/Y96,TRUE)</f>
        <v>0.20695776463827342</v>
      </c>
      <c r="Z102" s="38">
        <f>1-_xlfn.NORM.S.DIST((Z100-Z94)/Z96,TRUE)</f>
        <v>0.45306962392061223</v>
      </c>
    </row>
    <row r="103" spans="1:30" x14ac:dyDescent="0.3">
      <c r="A103" s="7" t="s">
        <v>267</v>
      </c>
      <c r="B103" s="3" t="s">
        <v>268</v>
      </c>
      <c r="K103" s="19">
        <f>Income_Statement!B4</f>
        <v>121.1</v>
      </c>
      <c r="L103" s="19">
        <f>Income_Statement!C4</f>
        <v>115.1</v>
      </c>
      <c r="M103" s="19">
        <f>Income_Statement!D4</f>
        <v>113.2</v>
      </c>
      <c r="N103" s="19">
        <f>Income_Statement!E4</f>
        <v>98.8</v>
      </c>
      <c r="O103" s="19">
        <f>Income_Statement!F4</f>
        <v>132.6</v>
      </c>
      <c r="P103" s="19">
        <f>Income_Statement!G4</f>
        <v>125.1</v>
      </c>
      <c r="Q103" s="19">
        <f>Income_Statement!H4</f>
        <v>122.8</v>
      </c>
      <c r="R103" s="19">
        <f>Income_Statement!I4</f>
        <v>111</v>
      </c>
      <c r="S103" s="19">
        <f>Income_Statement!J4</f>
        <v>143.1</v>
      </c>
      <c r="T103" s="19">
        <f>Income_Statement!K4</f>
        <v>134.4</v>
      </c>
      <c r="U103" s="19">
        <f>Income_Statement!L4</f>
        <v>133.6</v>
      </c>
      <c r="V103" s="19">
        <f>Income_Statement!M4</f>
        <v>121.9</v>
      </c>
      <c r="W103" s="19">
        <f>Income_Statement!N4</f>
        <v>156.19999999999999</v>
      </c>
      <c r="X103" s="19">
        <f>Income_Statement!O4</f>
        <v>148.30000000000001</v>
      </c>
      <c r="Y103" s="19">
        <f>Income_Statement!P4</f>
        <v>145.8912</v>
      </c>
      <c r="Z103" s="19">
        <f>Income_Statement!Q4</f>
        <v>130.76334900000001</v>
      </c>
      <c r="AA103" s="19">
        <f>Income_Statement!R4</f>
        <v>168.41484</v>
      </c>
      <c r="AB103" s="19">
        <f>Income_Statement!S4</f>
        <v>156.78276</v>
      </c>
      <c r="AC103" s="19">
        <f>Income_Statement!T4</f>
        <v>154.78035081599998</v>
      </c>
      <c r="AD103" s="19">
        <f>Income_Statement!U4</f>
        <v>138.51630796221002</v>
      </c>
    </row>
    <row r="104" spans="1:30" x14ac:dyDescent="0.3">
      <c r="A104" s="7" t="s">
        <v>269</v>
      </c>
      <c r="B104" s="3" t="s">
        <v>270</v>
      </c>
      <c r="K104" s="15">
        <f t="shared" ref="K104:X104" si="26">K103*K6/1000</f>
        <v>20.396872999999999</v>
      </c>
      <c r="L104" s="15">
        <f t="shared" si="26"/>
        <v>19.107750999999997</v>
      </c>
      <c r="M104" s="15">
        <f t="shared" si="26"/>
        <v>18.268215999999999</v>
      </c>
      <c r="N104" s="15">
        <f t="shared" si="26"/>
        <v>15.484923999999999</v>
      </c>
      <c r="O104" s="15">
        <f t="shared" si="26"/>
        <v>22.923887999999998</v>
      </c>
      <c r="P104" s="15">
        <f t="shared" si="26"/>
        <v>21.208202999999997</v>
      </c>
      <c r="Q104" s="15">
        <f t="shared" si="26"/>
        <v>20.094991999999998</v>
      </c>
      <c r="R104" s="15">
        <f t="shared" si="26"/>
        <v>17.552430000000001</v>
      </c>
      <c r="S104" s="15">
        <f t="shared" si="26"/>
        <v>24.518754000000001</v>
      </c>
      <c r="T104" s="15">
        <f t="shared" si="26"/>
        <v>23.450112000000001</v>
      </c>
      <c r="U104" s="15">
        <f t="shared" si="26"/>
        <v>22.884343999999999</v>
      </c>
      <c r="V104" s="15">
        <f t="shared" si="26"/>
        <v>20.419468999999999</v>
      </c>
      <c r="W104" s="15">
        <f t="shared" si="26"/>
        <v>29.181283999999994</v>
      </c>
      <c r="X104" s="15">
        <f t="shared" si="26"/>
        <v>27.247159</v>
      </c>
      <c r="Y104" s="15">
        <f t="shared" ref="Y104:AD104" si="27">Y103*Y95/1000</f>
        <v>25.627589474371337</v>
      </c>
      <c r="Z104" s="15">
        <f t="shared" si="27"/>
        <v>22.354820421673143</v>
      </c>
      <c r="AA104" s="15">
        <f t="shared" si="27"/>
        <v>31.646777471369489</v>
      </c>
      <c r="AB104" s="15">
        <f t="shared" si="27"/>
        <v>29.098075172729335</v>
      </c>
      <c r="AC104" s="15">
        <f t="shared" si="27"/>
        <v>27.531628347576614</v>
      </c>
      <c r="AD104" s="15">
        <f t="shared" si="27"/>
        <v>24.028303937952579</v>
      </c>
    </row>
    <row r="106" spans="1:30" x14ac:dyDescent="0.3">
      <c r="A106" s="4" t="s">
        <v>271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x14ac:dyDescent="0.3">
      <c r="A107" s="7" t="s">
        <v>272</v>
      </c>
      <c r="C107" s="11">
        <v>0.43734369326022671</v>
      </c>
      <c r="D107" s="11">
        <v>0.34372143100048519</v>
      </c>
      <c r="E107" s="11">
        <v>0.3027325798499696</v>
      </c>
    </row>
    <row r="108" spans="1:30" x14ac:dyDescent="0.3">
      <c r="A108" s="7" t="s">
        <v>273</v>
      </c>
      <c r="C108" s="11">
        <v>0.6248026109788748</v>
      </c>
      <c r="D108" s="11">
        <v>0.38308643502688361</v>
      </c>
      <c r="E108" s="11">
        <v>0.31726370329042869</v>
      </c>
    </row>
    <row r="109" spans="1:30" x14ac:dyDescent="0.3">
      <c r="A109" s="7" t="s">
        <v>274</v>
      </c>
      <c r="C109" s="11">
        <v>0.49715296990167168</v>
      </c>
      <c r="D109" s="11">
        <v>0.37498592418031151</v>
      </c>
      <c r="E109" s="11">
        <v>0.33727460810631688</v>
      </c>
    </row>
    <row r="110" spans="1:30" x14ac:dyDescent="0.3">
      <c r="A110" s="7" t="s">
        <v>275</v>
      </c>
      <c r="C110" s="11">
        <v>0.39910412097978021</v>
      </c>
      <c r="D110" s="11">
        <v>0.2700012303742727</v>
      </c>
      <c r="E110" s="11">
        <v>0.28132060670801567</v>
      </c>
    </row>
    <row r="111" spans="1:30" x14ac:dyDescent="0.3">
      <c r="A111" s="7" t="s">
        <v>276</v>
      </c>
      <c r="C111" s="11">
        <v>0.99372203746655285</v>
      </c>
      <c r="D111" s="11">
        <v>1.1991176634991769</v>
      </c>
      <c r="E111" s="11">
        <v>0.45952241169934388</v>
      </c>
      <c r="F111" s="11">
        <v>1.2663928402447771</v>
      </c>
    </row>
    <row r="112" spans="1:30" x14ac:dyDescent="0.3">
      <c r="A112" s="40" t="s">
        <v>389</v>
      </c>
      <c r="C112" s="35">
        <v>-0.40607077138265651</v>
      </c>
      <c r="D112" s="35">
        <v>-0.3694127770215801</v>
      </c>
      <c r="E112" s="35">
        <v>-0.36901348466362599</v>
      </c>
      <c r="F112" s="35">
        <v>-0.42693614956615028</v>
      </c>
    </row>
    <row r="113" spans="1:30" x14ac:dyDescent="0.3">
      <c r="A113" s="40" t="s">
        <v>390</v>
      </c>
      <c r="C113" s="35">
        <v>175.66233929374312</v>
      </c>
      <c r="D113" s="35">
        <v>170.95631606738016</v>
      </c>
      <c r="E113" s="35">
        <v>187.90967275431009</v>
      </c>
      <c r="F113" s="35">
        <v>185.59485472528613</v>
      </c>
    </row>
    <row r="114" spans="1:30" x14ac:dyDescent="0.3">
      <c r="A114" s="40" t="s">
        <v>391</v>
      </c>
      <c r="C114" s="35">
        <v>2.9586653733694201</v>
      </c>
      <c r="D114" s="35">
        <v>2.4267920781857986</v>
      </c>
      <c r="E114" s="35">
        <v>0.95228762785498555</v>
      </c>
      <c r="F114" s="35">
        <v>1.4419335507995614</v>
      </c>
    </row>
    <row r="115" spans="1:30" x14ac:dyDescent="0.3">
      <c r="A115" s="7" t="s">
        <v>277</v>
      </c>
      <c r="C115" s="11">
        <v>176.88</v>
      </c>
      <c r="D115" s="11">
        <v>173.94</v>
      </c>
    </row>
    <row r="116" spans="1:30" x14ac:dyDescent="0.3">
      <c r="A116" s="7" t="s">
        <v>278</v>
      </c>
      <c r="C116" s="11">
        <v>0.13441487094405891</v>
      </c>
    </row>
    <row r="118" spans="1:30" x14ac:dyDescent="0.3">
      <c r="A118" s="41" t="s">
        <v>392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x14ac:dyDescent="0.3">
      <c r="A119" s="2" t="s">
        <v>279</v>
      </c>
      <c r="B119" s="3" t="s">
        <v>559</v>
      </c>
      <c r="C119" s="2" t="s">
        <v>280</v>
      </c>
      <c r="F119" s="2" t="s">
        <v>281</v>
      </c>
      <c r="I119" s="2" t="s">
        <v>282</v>
      </c>
      <c r="L119" s="2" t="s">
        <v>283</v>
      </c>
    </row>
    <row r="120" spans="1:30" x14ac:dyDescent="0.3">
      <c r="A120" s="40" t="s">
        <v>284</v>
      </c>
      <c r="C120" s="35">
        <v>2.9586653733694201</v>
      </c>
      <c r="D120" s="42">
        <v>175.66233929374312</v>
      </c>
      <c r="E120" s="35">
        <f>Income_Statement!$P$4*D120/1000</f>
        <v>25.627589474371337</v>
      </c>
      <c r="F120" s="35">
        <v>2.4267920781857986</v>
      </c>
      <c r="G120" s="42">
        <v>170.95631606738016</v>
      </c>
      <c r="H120" s="35">
        <f>Income_Statement!$Q$4*G120/1000</f>
        <v>22.354820421673139</v>
      </c>
      <c r="I120" s="35">
        <v>0.95228762785498555</v>
      </c>
      <c r="J120" s="42">
        <v>187.90967275431009</v>
      </c>
      <c r="K120" s="35">
        <f>Income_Statement!$R$4*J120/1000</f>
        <v>31.646777471369493</v>
      </c>
      <c r="L120" s="35">
        <v>1.4419335507995614</v>
      </c>
      <c r="M120" s="42">
        <v>185.59485472528613</v>
      </c>
      <c r="N120" s="35">
        <f>Income_Statement!$S$4*M120/1000</f>
        <v>29.098073565629399</v>
      </c>
    </row>
    <row r="121" spans="1:30" x14ac:dyDescent="0.3">
      <c r="A121" s="40" t="s">
        <v>285</v>
      </c>
      <c r="C121" s="35">
        <v>2.9214530173966877</v>
      </c>
      <c r="D121" s="42">
        <v>175.59859824919744</v>
      </c>
      <c r="E121" s="35">
        <f>Income_Statement!$P$4*D121/1000</f>
        <v>25.618290216893314</v>
      </c>
      <c r="F121" s="35">
        <v>2.3799912087150075</v>
      </c>
      <c r="G121" s="42">
        <v>170.87791993092966</v>
      </c>
      <c r="H121" s="35">
        <f>Income_Statement!$Q$4*G121/1000</f>
        <v>22.344569080322213</v>
      </c>
      <c r="I121" s="35">
        <v>0.89734089758012525</v>
      </c>
      <c r="J121" s="42">
        <v>187.8070212728106</v>
      </c>
      <c r="K121" s="35">
        <f>Income_Statement!$R$4*J121/1000</f>
        <v>31.629489438536993</v>
      </c>
      <c r="L121" s="35">
        <v>1.3772666209542519</v>
      </c>
      <c r="M121" s="42">
        <v>185.47604217508132</v>
      </c>
      <c r="N121" s="35">
        <f>Income_Statement!$S$4*M121/1000</f>
        <v>29.079445806085651</v>
      </c>
    </row>
    <row r="122" spans="1:30" x14ac:dyDescent="0.3">
      <c r="A122" s="40" t="s">
        <v>286</v>
      </c>
      <c r="C122" s="35">
        <v>3.1846992445579829</v>
      </c>
      <c r="D122" s="42">
        <v>176.04951271170199</v>
      </c>
      <c r="E122" s="35">
        <f>Income_Statement!$P$4*D122/1000</f>
        <v>25.684074668925458</v>
      </c>
      <c r="F122" s="35">
        <v>2.6210779845884851</v>
      </c>
      <c r="G122" s="42">
        <v>171.2817643891953</v>
      </c>
      <c r="H122" s="35">
        <f>Income_Statement!$Q$4*G122/1000</f>
        <v>22.397377134160116</v>
      </c>
      <c r="I122" s="35">
        <v>1.1826561293439526</v>
      </c>
      <c r="J122" s="42">
        <v>188.3400471887918</v>
      </c>
      <c r="K122" s="35">
        <f>Income_Statement!$R$4*J122/1000</f>
        <v>31.719258912892819</v>
      </c>
      <c r="L122" s="35">
        <v>1.5629776027981197</v>
      </c>
      <c r="M122" s="42">
        <v>185.81724896202309</v>
      </c>
      <c r="N122" s="35">
        <f>Income_Statement!$S$4*M122/1000</f>
        <v>29.132941147873112</v>
      </c>
    </row>
    <row r="123" spans="1:30" x14ac:dyDescent="0.3">
      <c r="A123" s="40" t="s">
        <v>287</v>
      </c>
      <c r="C123" s="35">
        <v>2.5401382516811641</v>
      </c>
      <c r="D123" s="42">
        <v>174.94544418700329</v>
      </c>
      <c r="E123" s="35">
        <f>Income_Statement!$P$4*D123/1000</f>
        <v>25.523000786974936</v>
      </c>
      <c r="F123" s="35">
        <v>2.0157204261844122</v>
      </c>
      <c r="G123" s="42">
        <v>170.26772994311264</v>
      </c>
      <c r="H123" s="35">
        <f>Income_Statement!$Q$4*G123/1000</f>
        <v>22.264778593988989</v>
      </c>
      <c r="I123" s="35">
        <v>0.47744221353651828</v>
      </c>
      <c r="J123" s="42">
        <v>187.02256655128036</v>
      </c>
      <c r="K123" s="35">
        <f>Income_Statement!$R$4*J123/1000</f>
        <v>31.497375622123233</v>
      </c>
      <c r="L123" s="35">
        <v>1.0963357483499729</v>
      </c>
      <c r="M123" s="42">
        <v>184.95988788284552</v>
      </c>
      <c r="N123" s="35">
        <f>Income_Statement!$S$4*M123/1000</f>
        <v>28.998521711563075</v>
      </c>
    </row>
    <row r="124" spans="1:30" x14ac:dyDescent="0.3">
      <c r="A124" s="40" t="s">
        <v>288</v>
      </c>
      <c r="C124" s="35">
        <v>2.6034501079940413</v>
      </c>
      <c r="D124" s="42">
        <v>175.05389106568165</v>
      </c>
      <c r="E124" s="35">
        <f>Income_Statement!$P$4*D124/1000</f>
        <v>25.538822232241575</v>
      </c>
      <c r="F124" s="35">
        <v>1.6834657016993089</v>
      </c>
      <c r="G124" s="42">
        <v>169.71117005412765</v>
      </c>
      <c r="H124" s="35">
        <f>Income_Statement!$Q$4*G124/1000</f>
        <v>22.192000958986242</v>
      </c>
      <c r="I124" s="35">
        <v>0.86769862813263954</v>
      </c>
      <c r="J124" s="42">
        <v>187.75164358502883</v>
      </c>
      <c r="K124" s="35">
        <f>Income_Statement!$R$4*J124/1000</f>
        <v>31.620163014109657</v>
      </c>
      <c r="L124" s="35">
        <v>0.93734455107721582</v>
      </c>
      <c r="M124" s="42">
        <v>184.66777335609623</v>
      </c>
      <c r="N124" s="35">
        <f>Income_Statement!$S$4*M124/1000</f>
        <v>28.952723189823232</v>
      </c>
    </row>
    <row r="125" spans="1:30" x14ac:dyDescent="0.3">
      <c r="A125" s="40" t="s">
        <v>289</v>
      </c>
      <c r="C125" s="35">
        <v>3.4657406668111799</v>
      </c>
      <c r="D125" s="42">
        <v>176.53090856387951</v>
      </c>
      <c r="E125" s="35">
        <f>Income_Statement!$P$4*D125/1000</f>
        <v>25.75430608747466</v>
      </c>
      <c r="F125" s="35">
        <v>3.4657406668111799</v>
      </c>
      <c r="G125" s="42">
        <v>172.69665884818653</v>
      </c>
      <c r="H125" s="35">
        <f>Income_Statement!$Q$4*G125/1000</f>
        <v>22.582393472099351</v>
      </c>
      <c r="I125" s="35">
        <v>1.5267969042065266</v>
      </c>
      <c r="J125" s="42">
        <v>188.98297098438999</v>
      </c>
      <c r="K125" s="35">
        <f>Income_Statement!$R$4*J125/1000</f>
        <v>31.827536821060683</v>
      </c>
      <c r="L125" s="35">
        <v>1.4767969042065263</v>
      </c>
      <c r="M125" s="42">
        <v>185.65890916450081</v>
      </c>
      <c r="N125" s="35">
        <f>Income_Statement!$S$4*M125/1000</f>
        <v>29.108116197399731</v>
      </c>
    </row>
    <row r="126" spans="1:30" x14ac:dyDescent="0.3">
      <c r="A126" s="40" t="s">
        <v>290</v>
      </c>
      <c r="C126" s="35">
        <v>2.9586653733694201</v>
      </c>
      <c r="D126" s="42">
        <v>175.66233929374312</v>
      </c>
      <c r="E126" s="35">
        <f>Income_Statement!$P$4*D126/1000</f>
        <v>25.627589474371337</v>
      </c>
      <c r="F126" s="35">
        <v>2.4267920781857986</v>
      </c>
      <c r="G126" s="42">
        <v>170.95631606738016</v>
      </c>
      <c r="H126" s="35">
        <f>Income_Statement!$Q$4*G126/1000</f>
        <v>22.354820421673139</v>
      </c>
      <c r="I126" s="35">
        <v>1.5190733421406994</v>
      </c>
      <c r="J126" s="42">
        <v>188.96854182573867</v>
      </c>
      <c r="K126" s="35">
        <f>Income_Statement!$R$4*J126/1000</f>
        <v>31.825106736615087</v>
      </c>
      <c r="L126" s="35">
        <v>1.3187192650852757</v>
      </c>
      <c r="M126" s="42">
        <v>185.36847311814327</v>
      </c>
      <c r="N126" s="35">
        <f>Income_Statement!$S$4*M126/1000</f>
        <v>29.062580832448308</v>
      </c>
    </row>
    <row r="127" spans="1:30" x14ac:dyDescent="0.3">
      <c r="A127" s="40" t="s">
        <v>291</v>
      </c>
      <c r="C127" s="35">
        <v>1.4316998859615553</v>
      </c>
      <c r="D127" s="42">
        <v>173.0468001103622</v>
      </c>
      <c r="E127" s="35">
        <f>Income_Statement!$P$4*D127/1000</f>
        <v>25.246005324260874</v>
      </c>
      <c r="F127" s="35">
        <v>0.89982659077793359</v>
      </c>
      <c r="G127" s="42">
        <v>168.39849617942326</v>
      </c>
      <c r="H127" s="35">
        <f>Income_Statement!$Q$4*G127/1000</f>
        <v>22.020351326985093</v>
      </c>
      <c r="I127" s="35">
        <v>0.78553161653915915</v>
      </c>
      <c r="J127" s="42">
        <v>187.59813917396983</v>
      </c>
      <c r="K127" s="35">
        <f>Income_Statement!$R$4*J127/1000</f>
        <v>31.594310593281861</v>
      </c>
      <c r="L127" s="35">
        <v>1.275177539483735</v>
      </c>
      <c r="M127" s="42">
        <v>185.28847390569561</v>
      </c>
      <c r="N127" s="35">
        <f>Income_Statement!$S$4*M127/1000</f>
        <v>29.050038335122935</v>
      </c>
    </row>
    <row r="128" spans="1:30" x14ac:dyDescent="0.3">
      <c r="A128" s="40" t="s">
        <v>393</v>
      </c>
      <c r="C128" s="35">
        <v>2.2160130582524169</v>
      </c>
      <c r="D128" s="42">
        <v>174.39025014317923</v>
      </c>
      <c r="E128" s="35">
        <f>Income_Statement!$P$4*D128/1000</f>
        <v>25.442002861688589</v>
      </c>
      <c r="F128" s="35">
        <v>1.3388105403602899</v>
      </c>
      <c r="G128" s="42">
        <v>169.13383819336866</v>
      </c>
      <c r="H128" s="35">
        <f>Income_Statement!$Q$4*G128/1000</f>
        <v>22.116507111388998</v>
      </c>
      <c r="I128" s="35">
        <v>1.0639393858161017</v>
      </c>
      <c r="J128" s="42">
        <v>188.11826056853303</v>
      </c>
      <c r="K128" s="35">
        <f>Income_Statement!$R$4*J128/1000</f>
        <v>31.681906754727798</v>
      </c>
      <c r="L128" s="35">
        <v>1.4789182722462451</v>
      </c>
      <c r="M128" s="42">
        <v>185.66280675400009</v>
      </c>
      <c r="N128" s="35">
        <f>Income_Statement!$S$4*M128/1000</f>
        <v>29.108727272238774</v>
      </c>
    </row>
    <row r="129" spans="1:30" x14ac:dyDescent="0.3">
      <c r="A129" s="40" t="s">
        <v>292</v>
      </c>
      <c r="C129" s="35">
        <v>3.1301653733694201</v>
      </c>
      <c r="D129" s="42">
        <v>175.95610164374312</v>
      </c>
      <c r="E129" s="35">
        <f>Income_Statement!$P$4*D129/1000</f>
        <v>25.670446816127658</v>
      </c>
      <c r="F129" s="35">
        <v>2.8012920781857984</v>
      </c>
      <c r="G129" s="42">
        <v>171.58364101738019</v>
      </c>
      <c r="H129" s="35">
        <f>Income_Statement!$Q$4*G129/1000</f>
        <v>22.436851533046401</v>
      </c>
      <c r="I129" s="35">
        <v>1.2973876278549854</v>
      </c>
      <c r="J129" s="42">
        <v>188.55438857431008</v>
      </c>
      <c r="K129" s="35">
        <f>Income_Statement!$R$4*J129/1000</f>
        <v>31.75535718304026</v>
      </c>
      <c r="L129" s="35">
        <v>1.7527335507995614</v>
      </c>
      <c r="M129" s="42">
        <v>186.16588756528611</v>
      </c>
      <c r="N129" s="35">
        <f>Income_Statement!$S$4*M129/1000</f>
        <v>29.187601670335237</v>
      </c>
    </row>
    <row r="131" spans="1:30" x14ac:dyDescent="0.3">
      <c r="A131" s="4" t="s">
        <v>293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x14ac:dyDescent="0.3">
      <c r="A132" s="7" t="s">
        <v>294</v>
      </c>
      <c r="C132" s="3" t="s">
        <v>295</v>
      </c>
      <c r="D132" s="11">
        <v>-0.45338504985103428</v>
      </c>
      <c r="E132" s="3" t="s">
        <v>296</v>
      </c>
      <c r="F132" s="11">
        <v>-0.151696241914275</v>
      </c>
      <c r="G132" s="3" t="s">
        <v>297</v>
      </c>
      <c r="H132" s="11">
        <v>-0.1372192626177384</v>
      </c>
      <c r="I132" s="3" t="s">
        <v>298</v>
      </c>
      <c r="J132" s="11">
        <v>-0.1468077761157966</v>
      </c>
      <c r="K132" s="3" t="s">
        <v>299</v>
      </c>
      <c r="L132" s="11">
        <v>-0.24</v>
      </c>
    </row>
    <row r="133" spans="1:30" x14ac:dyDescent="0.3">
      <c r="A133" s="7" t="s">
        <v>300</v>
      </c>
      <c r="C133" s="3" t="s">
        <v>301</v>
      </c>
      <c r="D133" s="11">
        <v>0.90892173109817698</v>
      </c>
      <c r="E133" s="3" t="s">
        <v>302</v>
      </c>
      <c r="F133" s="11">
        <v>0.71904902180125252</v>
      </c>
      <c r="G133" s="3" t="s">
        <v>303</v>
      </c>
      <c r="H133" s="11">
        <v>0.75</v>
      </c>
    </row>
    <row r="134" spans="1:30" x14ac:dyDescent="0.3">
      <c r="A134" s="7" t="s">
        <v>304</v>
      </c>
      <c r="C134" s="3" t="s">
        <v>305</v>
      </c>
      <c r="D134" s="11">
        <v>1.127000224086993</v>
      </c>
      <c r="E134" s="3" t="s">
        <v>306</v>
      </c>
      <c r="F134" s="11">
        <v>4.2238488378822402E-2</v>
      </c>
      <c r="G134" s="3" t="s">
        <v>307</v>
      </c>
      <c r="H134" s="11">
        <v>0.34856954589133587</v>
      </c>
      <c r="I134" s="3" t="s">
        <v>308</v>
      </c>
      <c r="J134" s="11">
        <v>1.9054309022826501</v>
      </c>
      <c r="K134" s="3" t="s">
        <v>309</v>
      </c>
      <c r="L134" s="11">
        <v>23</v>
      </c>
    </row>
    <row r="135" spans="1:30" x14ac:dyDescent="0.3">
      <c r="A135" s="7" t="s">
        <v>310</v>
      </c>
      <c r="C135" s="3" t="s">
        <v>311</v>
      </c>
      <c r="D135" s="11">
        <v>-0.30222502486966091</v>
      </c>
      <c r="E135" s="3" t="s">
        <v>312</v>
      </c>
      <c r="F135" s="11">
        <v>1.2350241649067231</v>
      </c>
      <c r="G135" s="3" t="s">
        <v>313</v>
      </c>
      <c r="H135" s="11">
        <v>1.127000224086993</v>
      </c>
      <c r="I135" s="3" t="s">
        <v>314</v>
      </c>
      <c r="J135" s="11">
        <v>1.2472778236066191</v>
      </c>
    </row>
    <row r="136" spans="1:30" x14ac:dyDescent="0.3">
      <c r="A136" s="7" t="s">
        <v>315</v>
      </c>
      <c r="C136" s="3" t="s">
        <v>316</v>
      </c>
      <c r="D136" s="11">
        <v>1.0851967961560449</v>
      </c>
      <c r="E136" s="3" t="s">
        <v>317</v>
      </c>
      <c r="F136" s="11">
        <v>-0.3813639149721989</v>
      </c>
    </row>
    <row r="137" spans="1:30" x14ac:dyDescent="0.3">
      <c r="A137" s="7" t="s">
        <v>318</v>
      </c>
      <c r="C137" s="3" t="s">
        <v>319</v>
      </c>
      <c r="D137" s="11">
        <v>2.9526845695360309</v>
      </c>
      <c r="E137" s="3" t="s">
        <v>320</v>
      </c>
      <c r="F137" s="11">
        <v>2.7541152323978588</v>
      </c>
      <c r="G137" s="3" t="s">
        <v>321</v>
      </c>
      <c r="H137" s="11">
        <v>2.9342351202074228</v>
      </c>
      <c r="I137" s="3" t="s">
        <v>322</v>
      </c>
      <c r="J137" s="11">
        <v>0.73948141424267821</v>
      </c>
    </row>
    <row r="138" spans="1:30" x14ac:dyDescent="0.3">
      <c r="A138" s="7" t="s">
        <v>323</v>
      </c>
      <c r="C138" s="3" t="s">
        <v>319</v>
      </c>
      <c r="D138" s="11">
        <v>3.2582814816847372</v>
      </c>
      <c r="E138" s="3" t="s">
        <v>320</v>
      </c>
      <c r="F138" s="11">
        <v>2.6850302492115929</v>
      </c>
      <c r="G138" s="3" t="s">
        <v>321</v>
      </c>
      <c r="H138" s="11">
        <v>2.6789213514875398</v>
      </c>
      <c r="I138" s="3" t="s">
        <v>322</v>
      </c>
      <c r="J138" s="11">
        <v>0.73948141424267821</v>
      </c>
    </row>
    <row r="139" spans="1:30" x14ac:dyDescent="0.3">
      <c r="A139" s="7" t="s">
        <v>324</v>
      </c>
      <c r="C139" s="3" t="s">
        <v>319</v>
      </c>
      <c r="D139" s="11">
        <v>3.3394495262007751</v>
      </c>
      <c r="E139" s="3" t="s">
        <v>320</v>
      </c>
      <c r="F139" s="11">
        <v>3.1536917790815262</v>
      </c>
      <c r="G139" s="3" t="s">
        <v>321</v>
      </c>
      <c r="H139" s="11">
        <v>3.9250552425077929</v>
      </c>
      <c r="I139" s="3" t="s">
        <v>322</v>
      </c>
      <c r="J139" s="11">
        <v>-0.25133870805769121</v>
      </c>
    </row>
    <row r="140" spans="1:30" x14ac:dyDescent="0.3">
      <c r="A140" s="7" t="s">
        <v>325</v>
      </c>
      <c r="C140" s="3" t="s">
        <v>326</v>
      </c>
      <c r="D140" s="11">
        <v>0.42</v>
      </c>
      <c r="E140" s="3" t="s">
        <v>327</v>
      </c>
      <c r="F140" s="11">
        <v>1.29</v>
      </c>
    </row>
    <row r="141" spans="1:30" x14ac:dyDescent="0.3">
      <c r="A141" s="7" t="s">
        <v>328</v>
      </c>
      <c r="C141" s="3" t="s">
        <v>329</v>
      </c>
      <c r="D141" s="11">
        <v>8.2894006196326794E-2</v>
      </c>
      <c r="E141" s="3" t="s">
        <v>330</v>
      </c>
      <c r="F141" s="11">
        <v>0.7940309342115639</v>
      </c>
      <c r="G141" s="3" t="s">
        <v>331</v>
      </c>
      <c r="H141" s="11">
        <v>-0.53940323286848835</v>
      </c>
      <c r="I141" s="3" t="s">
        <v>332</v>
      </c>
      <c r="J141" s="11">
        <v>0.70519124526114219</v>
      </c>
      <c r="K141" s="3" t="s">
        <v>333</v>
      </c>
      <c r="L141" s="11">
        <v>94</v>
      </c>
      <c r="M141" s="3" t="s">
        <v>334</v>
      </c>
      <c r="N141" s="11">
        <v>4.1103455300918003E-2</v>
      </c>
    </row>
    <row r="142" spans="1:30" x14ac:dyDescent="0.3">
      <c r="A142" s="7" t="s">
        <v>335</v>
      </c>
      <c r="C142" s="3" t="s">
        <v>336</v>
      </c>
      <c r="D142" s="11">
        <v>81.044074742800262</v>
      </c>
      <c r="E142" s="3" t="s">
        <v>337</v>
      </c>
      <c r="F142" s="11">
        <v>39.955891630212349</v>
      </c>
      <c r="G142" s="3" t="s">
        <v>338</v>
      </c>
      <c r="H142" s="11">
        <v>62.94056049407353</v>
      </c>
      <c r="I142" s="3" t="s">
        <v>339</v>
      </c>
      <c r="J142" s="11">
        <v>56.764629864682753</v>
      </c>
      <c r="K142" s="3" t="s">
        <v>340</v>
      </c>
      <c r="L142" s="11">
        <v>0.86565006300823488</v>
      </c>
      <c r="M142" s="3" t="s">
        <v>341</v>
      </c>
      <c r="N142" s="11">
        <v>-0.34492205676658533</v>
      </c>
    </row>
    <row r="145" spans="1:30" x14ac:dyDescent="0.3">
      <c r="A145" s="7" t="s">
        <v>342</v>
      </c>
      <c r="O145" s="19">
        <f t="shared" ref="O145:AD145" si="28">O6</f>
        <v>172.88</v>
      </c>
      <c r="P145" s="19">
        <f t="shared" si="28"/>
        <v>169.53</v>
      </c>
      <c r="Q145" s="19">
        <f t="shared" si="28"/>
        <v>163.63999999999999</v>
      </c>
      <c r="R145" s="19">
        <f t="shared" si="28"/>
        <v>158.13</v>
      </c>
      <c r="S145" s="19">
        <f t="shared" si="28"/>
        <v>171.34</v>
      </c>
      <c r="T145" s="19">
        <f t="shared" si="28"/>
        <v>174.48</v>
      </c>
      <c r="U145" s="19">
        <f t="shared" si="28"/>
        <v>171.29</v>
      </c>
      <c r="V145" s="19">
        <f t="shared" si="28"/>
        <v>167.51</v>
      </c>
      <c r="W145" s="19">
        <f t="shared" si="28"/>
        <v>186.82</v>
      </c>
      <c r="X145" s="19">
        <f t="shared" si="28"/>
        <v>183.73</v>
      </c>
      <c r="Y145" s="19">
        <f t="shared" si="28"/>
        <v>175.66233929374312</v>
      </c>
      <c r="Z145" s="19">
        <f t="shared" si="28"/>
        <v>170.95631606738019</v>
      </c>
      <c r="AA145" s="19">
        <f t="shared" si="28"/>
        <v>187.90967275431007</v>
      </c>
      <c r="AB145" s="19">
        <f t="shared" si="28"/>
        <v>185.59486497577498</v>
      </c>
      <c r="AC145" s="19">
        <f t="shared" si="28"/>
        <v>177.87547451876307</v>
      </c>
      <c r="AD145" s="19">
        <f t="shared" si="28"/>
        <v>173.46913364531758</v>
      </c>
    </row>
    <row r="146" spans="1:30" x14ac:dyDescent="0.3">
      <c r="A146" s="7" t="s">
        <v>343</v>
      </c>
      <c r="Y146" s="19">
        <f>Y99</f>
        <v>177.06</v>
      </c>
      <c r="Z146" s="19">
        <f>Z99</f>
        <v>171.33</v>
      </c>
    </row>
    <row r="147" spans="1:30" x14ac:dyDescent="0.3">
      <c r="A147" s="7" t="s">
        <v>344</v>
      </c>
      <c r="O147" s="19">
        <f t="shared" ref="O147:AD147" si="29">O50</f>
        <v>0.94788957460418</v>
      </c>
      <c r="P147" s="19">
        <f t="shared" si="29"/>
        <v>-0.68577102583279148</v>
      </c>
      <c r="Q147" s="19">
        <f t="shared" si="29"/>
        <v>-0.51133739600159211</v>
      </c>
      <c r="R147" s="19">
        <f t="shared" si="29"/>
        <v>-1.3487507395997029</v>
      </c>
      <c r="S147" s="19">
        <f t="shared" si="29"/>
        <v>-2.8799273622293704</v>
      </c>
      <c r="T147" s="19">
        <f t="shared" si="29"/>
        <v>0.94579707049828388</v>
      </c>
      <c r="U147" s="19">
        <f t="shared" si="29"/>
        <v>1.938757410754359</v>
      </c>
      <c r="V147" s="19">
        <f t="shared" si="29"/>
        <v>3.4357287834688233</v>
      </c>
      <c r="W147" s="19">
        <f t="shared" si="29"/>
        <v>5.4993773315760741</v>
      </c>
      <c r="X147" s="19">
        <f t="shared" si="29"/>
        <v>2.1198193525118869</v>
      </c>
      <c r="Y147" s="19">
        <f t="shared" si="29"/>
        <v>0.41528141662474377</v>
      </c>
      <c r="Z147" s="19">
        <f t="shared" si="29"/>
        <v>0.51366902531723913</v>
      </c>
      <c r="AA147" s="19">
        <f t="shared" si="29"/>
        <v>-0.36901348466363304</v>
      </c>
      <c r="AB147" s="19">
        <f t="shared" si="29"/>
        <v>-0.42693614956614784</v>
      </c>
      <c r="AC147" s="19">
        <f t="shared" si="29"/>
        <v>-0.14674825953127343</v>
      </c>
      <c r="AD147" s="19">
        <f t="shared" si="29"/>
        <v>0</v>
      </c>
    </row>
    <row r="148" spans="1:30" x14ac:dyDescent="0.3">
      <c r="A148" s="7" t="s">
        <v>345</v>
      </c>
      <c r="O148" s="19">
        <f t="shared" ref="O148:X148" si="30">O9</f>
        <v>0.64204714124560702</v>
      </c>
      <c r="P148" s="19">
        <f t="shared" si="30"/>
        <v>-0.87964580446959495</v>
      </c>
      <c r="Q148" s="19">
        <f t="shared" si="30"/>
        <v>-0.5995786342793501</v>
      </c>
      <c r="R148" s="19">
        <f t="shared" si="30"/>
        <v>-1.1067440821795431</v>
      </c>
      <c r="S148" s="19">
        <f t="shared" si="30"/>
        <v>-1.8907913003239232</v>
      </c>
      <c r="T148" s="19">
        <f t="shared" si="30"/>
        <v>1.9198371969562764</v>
      </c>
      <c r="U148" s="19">
        <f t="shared" si="30"/>
        <v>2.6748961134197131</v>
      </c>
      <c r="V148" s="19">
        <f t="shared" si="30"/>
        <v>2.931828242585202</v>
      </c>
      <c r="W148" s="19">
        <f t="shared" si="30"/>
        <v>5.0346679117544006</v>
      </c>
      <c r="X148" s="19">
        <f t="shared" si="30"/>
        <v>1.3014672168729904</v>
      </c>
    </row>
    <row r="168" spans="1:30" x14ac:dyDescent="0.3">
      <c r="A168" s="41" t="s">
        <v>394</v>
      </c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</row>
    <row r="169" spans="1:30" x14ac:dyDescent="0.3">
      <c r="A169" s="44" t="s">
        <v>395</v>
      </c>
      <c r="B169" s="45" t="s">
        <v>396</v>
      </c>
      <c r="Y169" s="11">
        <v>-0.2981160231923986</v>
      </c>
      <c r="Z169" s="11">
        <v>-0.2981160231923986</v>
      </c>
      <c r="AA169" s="11">
        <v>-0.2981160231923986</v>
      </c>
      <c r="AB169" s="11">
        <v>-0.2981160231923986</v>
      </c>
      <c r="AC169" s="11">
        <v>-0.2981160231923986</v>
      </c>
      <c r="AD169" s="11">
        <v>-0.2981160231923986</v>
      </c>
    </row>
    <row r="170" spans="1:30" x14ac:dyDescent="0.3">
      <c r="A170" s="44" t="s">
        <v>397</v>
      </c>
      <c r="B170" s="45" t="s">
        <v>398</v>
      </c>
      <c r="X170" s="11">
        <v>-0.05</v>
      </c>
    </row>
    <row r="171" spans="1:30" x14ac:dyDescent="0.3">
      <c r="A171" s="44" t="s">
        <v>399</v>
      </c>
      <c r="B171" s="45" t="s">
        <v>400</v>
      </c>
      <c r="Y171" s="11">
        <v>0</v>
      </c>
      <c r="Z171" s="11">
        <v>0</v>
      </c>
      <c r="AA171" s="11">
        <v>0</v>
      </c>
      <c r="AB171" s="11">
        <v>-0.05</v>
      </c>
      <c r="AC171" s="11">
        <v>0</v>
      </c>
      <c r="AD171" s="11">
        <v>0</v>
      </c>
    </row>
    <row r="172" spans="1:30" x14ac:dyDescent="0.3">
      <c r="A172" s="44" t="s">
        <v>401</v>
      </c>
      <c r="B172" s="45" t="s">
        <v>402</v>
      </c>
      <c r="X172" s="15">
        <f>(SUM(K67:X67)+X170)/COUNT(K67:X67)</f>
        <v>2.4605889997223462</v>
      </c>
    </row>
    <row r="173" spans="1:30" x14ac:dyDescent="0.3">
      <c r="A173" s="44" t="s">
        <v>403</v>
      </c>
      <c r="B173" s="45" t="s">
        <v>404</v>
      </c>
      <c r="Y173" s="11">
        <v>-1.2274229593900643</v>
      </c>
      <c r="Z173" s="11">
        <v>-1.2524945793604028</v>
      </c>
    </row>
    <row r="174" spans="1:30" x14ac:dyDescent="0.3">
      <c r="A174" s="44" t="s">
        <v>405</v>
      </c>
      <c r="B174" s="45" t="s">
        <v>406</v>
      </c>
      <c r="Y174" s="15">
        <f>(Y50+Y173)/2</f>
        <v>-0.40607077138266023</v>
      </c>
      <c r="Z174" s="15">
        <f>(Z50+Z173)/2</f>
        <v>-0.36941277702158182</v>
      </c>
    </row>
    <row r="175" spans="1:30" x14ac:dyDescent="0.3">
      <c r="A175" s="44" t="s">
        <v>407</v>
      </c>
      <c r="B175" s="45" t="s">
        <v>408</v>
      </c>
      <c r="Y175" s="11">
        <v>2.9567729500361201E-2</v>
      </c>
      <c r="Z175" s="11">
        <v>0.28266369927393997</v>
      </c>
      <c r="AA175" s="11">
        <v>-0.54888350966161892</v>
      </c>
      <c r="AB175" s="11">
        <v>-0.4298784424118624</v>
      </c>
      <c r="AC175" s="11">
        <v>-0.14180309613982661</v>
      </c>
      <c r="AD175" s="11">
        <v>0</v>
      </c>
    </row>
    <row r="176" spans="1:30" x14ac:dyDescent="0.3">
      <c r="A176" s="44" t="s">
        <v>409</v>
      </c>
      <c r="B176" s="45" t="s">
        <v>410</v>
      </c>
      <c r="Y176" s="14">
        <f t="shared" ref="Y176:AD176" si="31">U6*(1+(Y74+Y175)/100)</f>
        <v>176.40854448190564</v>
      </c>
      <c r="Z176" s="14">
        <f t="shared" si="31"/>
        <v>172.04860937282282</v>
      </c>
      <c r="AA176" s="14">
        <f t="shared" si="31"/>
        <v>187.57363957360886</v>
      </c>
      <c r="AB176" s="14">
        <f t="shared" si="31"/>
        <v>185.58945910112956</v>
      </c>
      <c r="AC176" s="14">
        <f t="shared" si="31"/>
        <v>177.8841613084584</v>
      </c>
      <c r="AD176" s="14">
        <f t="shared" si="31"/>
        <v>173.46913364531758</v>
      </c>
    </row>
    <row r="177" spans="1:30" x14ac:dyDescent="0.3">
      <c r="A177" s="44" t="s">
        <v>411</v>
      </c>
      <c r="B177" s="45" t="s">
        <v>412</v>
      </c>
      <c r="Y177" s="14">
        <f t="shared" ref="Y177:AD177" si="32">U6*(1+(Y74+Y50)/100)</f>
        <v>177.06923345658095</v>
      </c>
      <c r="Z177" s="14">
        <f t="shared" si="32"/>
        <v>172.43556639447797</v>
      </c>
      <c r="AA177" s="14">
        <f t="shared" si="32"/>
        <v>187.90967275431007</v>
      </c>
      <c r="AB177" s="14">
        <f t="shared" si="32"/>
        <v>185.59486497577498</v>
      </c>
      <c r="AC177" s="14">
        <f t="shared" si="32"/>
        <v>177.87547451876307</v>
      </c>
      <c r="AD177" s="14">
        <f t="shared" si="32"/>
        <v>173.46913364531758</v>
      </c>
    </row>
    <row r="178" spans="1:30" x14ac:dyDescent="0.3">
      <c r="A178" s="44" t="s">
        <v>413</v>
      </c>
      <c r="B178" s="45" t="s">
        <v>414</v>
      </c>
      <c r="Y178" s="10">
        <v>175.66233929374312</v>
      </c>
      <c r="Z178" s="10">
        <v>170.95631606738016</v>
      </c>
      <c r="AA178" s="10">
        <v>187.90967275431009</v>
      </c>
      <c r="AB178" s="10">
        <v>185.59485472528613</v>
      </c>
      <c r="AC178" s="10">
        <v>177.86117769001038</v>
      </c>
      <c r="AD178" s="10">
        <v>173.4580175038929</v>
      </c>
    </row>
    <row r="179" spans="1:30" x14ac:dyDescent="0.3">
      <c r="A179" s="44" t="s">
        <v>415</v>
      </c>
      <c r="B179" s="45" t="s">
        <v>416</v>
      </c>
      <c r="Y179" s="14">
        <f t="shared" ref="Y179:AD179" si="33">Y95-Y178</f>
        <v>0</v>
      </c>
      <c r="Z179" s="14">
        <f t="shared" si="33"/>
        <v>0</v>
      </c>
      <c r="AA179" s="14">
        <f t="shared" si="33"/>
        <v>0</v>
      </c>
      <c r="AB179" s="14">
        <f t="shared" si="33"/>
        <v>1.025048885594515E-5</v>
      </c>
      <c r="AC179" s="14">
        <f t="shared" si="33"/>
        <v>1.4296828752691226E-2</v>
      </c>
      <c r="AD179" s="14">
        <f t="shared" si="33"/>
        <v>1.1116141424679427E-2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Income_Statement</vt:lpstr>
      <vt:lpstr>Nights_Engine</vt:lpstr>
      <vt:lpstr>ADR_Engine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Surapaneni, Krishang</cp:lastModifiedBy>
  <dcterms:created xsi:type="dcterms:W3CDTF">2026-09-22T16:50:13Z</dcterms:created>
  <dcterms:modified xsi:type="dcterms:W3CDTF">2026-09-29T17:05:37Z</dcterms:modified>
</cp:coreProperties>
</file>