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f9fb6020934d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ffd9d8aee24ca6"/>
    <x:sheet xmlns:r="http://schemas.openxmlformats.org/officeDocument/2006/relationships" name="Assumptions" sheetId="2" r:id="R2182c0d03e5941aa"/>
    <x:sheet xmlns:r="http://schemas.openxmlformats.org/officeDocument/2006/relationships" name="Revenue" sheetId="3" r:id="Rd263845e34e141b9"/>
    <x:sheet xmlns:r="http://schemas.openxmlformats.org/officeDocument/2006/relationships" name="Costs" sheetId="4" r:id="R1955ae9cc20b4b0a"/>
    <x:sheet xmlns:r="http://schemas.openxmlformats.org/officeDocument/2006/relationships" name="Cash" sheetId="5" r:id="Reb3743a882b740bc"/>
    <x:sheet xmlns:r="http://schemas.openxmlformats.org/officeDocument/2006/relationships" name="Valuation" sheetId="6" r:id="Rf3e45470ba4a4e7d"/>
    <x:sheet xmlns:r="http://schemas.openxmlformats.org/officeDocument/2006/relationships" name="Case comparison" sheetId="7" r:id="R497d35d3cafc4c90"/>
    <x:sheet xmlns:r="http://schemas.openxmlformats.org/officeDocument/2006/relationships" name="Source" sheetId="8" r:id="R62578a54d97141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.0;(#,##0.0);&quot;-&quot;"/>
    <x:numFmt numFmtId="201" formatCode="0"/>
    <x:numFmt numFmtId="202" formatCode="0.0%;(0.0%);&quot;-&quot;"/>
    <x:numFmt numFmtId="203" formatCode="&quot;$&quot;#,##0.00;(&quot;$&quot;#,##0.00);&quot;-&quot;"/>
    <x:numFmt numFmtId="204" formatCode="mm/dd/yy"/>
    <x:numFmt numFmtId="205" formatCode="dd mmm yyyy"/>
    <x:numFmt numFmtId="206" formatCode="0.000000"/>
    <x:numFmt numFmtId="207" formatCode="0.00%"/>
    <x:numFmt numFmtId="208" formatCode="0.0&quot;x&quot;"/>
  </x:numFmts>
  <x:fonts count="14">
    <x:font>
      <x:sz val="11"/>
      <x:name val="Carlito"/>
    </x:font>
    <x:font>
      <x:sz val="10"/>
      <x:color rgb="FF111111"/>
      <x:name val="Arial"/>
    </x:font>
    <x:font>
      <x:b/>
      <x:sz val="14"/>
      <x:color rgb="FF203858"/>
      <x:name val="Arial"/>
    </x:font>
    <x:font>
      <x:sz val="10"/>
      <x:color rgb="FF008000"/>
      <x:name val="Arial"/>
    </x:font>
    <x:font>
      <x:sz val="10"/>
      <x:color rgb="FF0000FF"/>
      <x:name val="Arial"/>
    </x:font>
    <x:font>
      <x:b/>
      <x:sz val="10"/>
      <x:color rgb="FFFFFFFF"/>
      <x:name val="Arial"/>
    </x:font>
    <x:font>
      <x:sz val="11"/>
      <x:color rgb="FF0000FF"/>
      <x:name val="Carlito"/>
    </x:font>
    <x:font>
      <x:sz val="11"/>
      <x:color rgb="FF111111"/>
      <x:name val="Carlito"/>
    </x:font>
    <x:font>
      <x:b/>
      <x:sz val="10"/>
      <x:color rgb="FF203858"/>
      <x:name val="Arial"/>
    </x:font>
    <x:font>
      <x:b/>
      <x:sz val="10"/>
      <x:color rgb="FF111111"/>
      <x:name val="Arial"/>
    </x:font>
    <x:font>
      <x:b/>
      <x:sz val="10"/>
      <x:color rgb="FF008000"/>
      <x:name val="Arial"/>
    </x:font>
    <x:font>
      <x:sz val="10"/>
      <x:name val="Arial"/>
    </x:font>
    <x:font>
      <x:sz val="10"/>
      <x:color rgb="FF162B43"/>
      <x:name val="Arial"/>
    </x:font>
    <x:font>
      <x:sz val="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03858"/>
      </x:patternFill>
    </x:fill>
    <x:fill>
      <x:patternFill patternType="solid">
        <x:fgColor rgb="FFE9EFF6"/>
      </x:patternFill>
    </x:fill>
    <x:fill>
      <x:patternFill patternType="solid">
        <x:fgColor rgb="FFDCE5F0"/>
      </x:patternFill>
    </x:fill>
  </x:fills>
  <x:borders count="3">
    <x:border/>
    <x:border>
      <x:bottom style="thin">
        <x:color rgb="FF203858"/>
      </x:bottom>
    </x:border>
    <x:border>
      <x:top style="thin">
        <x:color rgb="FFBCCADA"/>
      </x:top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0" borderId="0" xfId="0" applyNumberFormat="1" applyFont="1" applyFill="1" applyBorder="1"/>
    <x:xf numFmtId="0" fontId="7" fillId="4" borderId="0" xfId="0" applyNumberFormat="1" applyFont="1" applyFill="1" applyBorder="1"/>
    <x:xf numFmtId="202" fontId="7" fillId="4" borderId="0" xfId="0" applyNumberFormat="1" applyFont="1" applyFill="1" applyBorder="1"/>
    <x:xf numFmtId="202" fontId="6" fillId="0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200" fontId="8" fillId="5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200" fontId="10" fillId="0" borderId="2" xfId="0" applyNumberFormat="1" applyFont="1" applyFill="1" applyBorder="1" applyAlignment="1">
      <x:alignment vertical="center"/>
    </x:xf>
    <x:xf numFmtId="200" fontId="9" fillId="0" borderId="2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200" fontId="11" fillId="0" borderId="0" xfId="0" applyNumberFormat="1" applyFont="1" applyFill="1" applyBorder="1"/>
    <x:xf numFmtId="200" fontId="3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1" fontId="11" fillId="0" borderId="0" xfId="0" applyNumberFormat="1" applyFont="1" applyFill="1" applyBorder="1"/>
    <x:xf numFmtId="202" fontId="3" fillId="0" borderId="0" xfId="0" applyNumberFormat="1" applyFont="1" applyFill="1" applyBorder="1"/>
    <x:xf numFmtId="200" fontId="12" fillId="0" borderId="0" xfId="0" applyNumberFormat="1" applyFont="1" applyFill="1" applyBorder="1" applyAlignment="1">
      <x:alignment vertical="center"/>
    </x:xf>
    <x:xf numFmtId="203" fontId="12" fillId="0" borderId="0" xfId="0" applyNumberFormat="1" applyFont="1" applyFill="1" applyBorder="1" applyAlignment="1">
      <x:alignment vertical="center"/>
    </x:xf>
    <x:xf numFmtId="207" fontId="12" fillId="0" borderId="0" xfId="0" applyNumberFormat="1" applyFont="1" applyFill="1" applyBorder="1" applyAlignment="1">
      <x:alignment vertical="center"/>
    </x:xf>
    <x:xf numFmtId="208" fontId="3" fillId="0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B0002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f4cea29a234c22" /><Relationship Type="http://schemas.openxmlformats.org/officeDocument/2006/relationships/theme" Target="/xl/theme/theme1.xml" Id="R0fcb17dd2d8247b6" /><Relationship Type="http://schemas.openxmlformats.org/officeDocument/2006/relationships/sharedStrings" Target="/xl/sharedStrings.xml" Id="Ra7bc100a7789477b" /><Relationship Type="http://schemas.openxmlformats.org/officeDocument/2006/relationships/worksheet" Target="/xl/worksheets/sheet1.xml" Id="Ra7ffd9d8aee24ca6" /><Relationship Type="http://schemas.openxmlformats.org/officeDocument/2006/relationships/worksheet" Target="/xl/worksheets/sheet2.xml" Id="R2182c0d03e5941aa" /><Relationship Type="http://schemas.openxmlformats.org/officeDocument/2006/relationships/worksheet" Target="/xl/worksheets/sheet3.xml" Id="Rd263845e34e141b9" /><Relationship Type="http://schemas.openxmlformats.org/officeDocument/2006/relationships/worksheet" Target="/xl/worksheets/sheet4.xml" Id="R1955ae9cc20b4b0a" /><Relationship Type="http://schemas.openxmlformats.org/officeDocument/2006/relationships/worksheet" Target="/xl/worksheets/sheet5.xml" Id="Reb3743a882b740bc" /><Relationship Type="http://schemas.openxmlformats.org/officeDocument/2006/relationships/worksheet" Target="/xl/worksheets/sheet6.xml" Id="Rf3e45470ba4a4e7d" /><Relationship Type="http://schemas.openxmlformats.org/officeDocument/2006/relationships/worksheet" Target="/xl/worksheets/sheet7.xml" Id="R497d35d3cafc4c90" /><Relationship Type="http://schemas.openxmlformats.org/officeDocument/2006/relationships/worksheet" Target="/xl/worksheets/sheet8.xml" Id="R62578a54d97141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858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Airbnb financial review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 t="str">
        <x:v>USD millions except per-share prices and share counts</x:v>
      </x:c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3" t="str">
        <x:v>FY:26</x:v>
      </x:c>
      <x:c r="F7" s="3" t="str">
        <x:v>FY:27</x:v>
      </x:c>
      <x:c r="G7" s="3" t="str">
        <x:v>FY:28</x:v>
      </x:c>
      <x:c r="H7" s="3"/>
      <x:c r="I7" s="3"/>
      <x:c r="J7" s="3"/>
      <x:c r="K7" s="3"/>
      <x:c r="L7" s="3"/>
    </x:row>
    <x:row r="8" ht="19" customHeight="1">
      <x:c r="A8" s="2"/>
      <x:c r="B8" s="2"/>
      <x:c r="C8" s="2" t="str">
        <x:v>Revenue</x:v>
      </x:c>
      <x:c r="D8" s="2"/>
      <x:c r="E8" s="50" t="n">
        <x:f>'Costs'!F8</x:f>
        <x:v>14273.706583780326</x:v>
      </x:c>
      <x:c r="F8" s="50" t="n">
        <x:f>'Costs'!G8</x:f>
        <x:v>15952.233240744847</x:v>
      </x:c>
      <x:c r="G8" s="50" t="n">
        <x:f>'Costs'!H8</x:f>
        <x:v>18071.976244622594</x:v>
      </x:c>
      <x:c r="H8" s="3"/>
      <x:c r="I8" s="3"/>
      <x:c r="J8" s="3"/>
      <x:c r="K8" s="3"/>
      <x:c r="L8" s="3"/>
    </x:row>
    <x:row r="9" ht="19" customHeight="1">
      <x:c r="A9" s="2"/>
      <x:c r="B9" s="2"/>
      <x:c r="C9" s="2" t="str">
        <x:v>Adjusted EBITDA</x:v>
      </x:c>
      <x:c r="D9" s="2"/>
      <x:c r="E9" s="50" t="n">
        <x:f>'Costs'!F25</x:f>
        <x:v>5209.818636233078</x:v>
      </x:c>
      <x:c r="F9" s="50" t="n">
        <x:f>'Costs'!G25</x:f>
        <x:v>5807.532521622381</x:v>
      </x:c>
      <x:c r="G9" s="50" t="n">
        <x:f>'Costs'!H25</x:f>
        <x:v>6840.456214593098</x:v>
      </x:c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Net income proxy</x:v>
      </x:c>
      <x:c r="D10" s="2"/>
      <x:c r="E10" s="50" t="n">
        <x:f>'Costs'!F36</x:f>
        <x:v>3106.208474353035</x:v>
      </x:c>
      <x:c r="F10" s="50" t="n">
        <x:f>'Costs'!G36</x:f>
        <x:v>3355.023537964542</x:v>
      </x:c>
      <x:c r="G10" s="50" t="n">
        <x:f>'Costs'!H36</x:f>
        <x:v>4016.328630713196</x:v>
      </x:c>
      <x:c r="H10" s="3"/>
      <x:c r="I10" s="3"/>
      <x:c r="J10" s="3"/>
      <x:c r="K10" s="3"/>
      <x:c r="L10" s="3"/>
    </x:row>
    <x:row r="11" ht="19" customHeight="1">
      <x:c r="A11" s="2"/>
      <x:c r="B11" s="2"/>
      <x:c r="C11" s="2" t="str">
        <x:v>Free cash flow</x:v>
      </x:c>
      <x:c r="D11" s="2"/>
      <x:c r="E11" s="50" t="n">
        <x:f>'Cash'!F18</x:f>
        <x:v>5178.8703728818655</x:v>
      </x:c>
      <x:c r="F11" s="50" t="n">
        <x:f>'Cash'!G18</x:f>
        <x:v>5536.825326066628</x:v>
      </x:c>
      <x:c r="G11" s="50" t="n">
        <x:f>'Cash'!H18</x:f>
        <x:v>6329.569497383477</x:v>
      </x:c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SBC-adjusted FCF</x:v>
      </x:c>
      <x:c r="D12" s="2"/>
      <x:c r="E12" s="50" t="n">
        <x:f>'Cash'!F20</x:f>
        <x:v>3392.3403728818657</x:v>
      </x:c>
      <x:c r="F12" s="50" t="n">
        <x:f>'Cash'!G20</x:f>
        <x:v>3571.642326066628</x:v>
      </x:c>
      <x:c r="G12" s="50" t="n">
        <x:f>'Cash'!H20</x:f>
        <x:v>4207.171857383477</x:v>
      </x:c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Ending net cash ex customer funds</x:v>
      </x:c>
      <x:c r="D13" s="2"/>
      <x:c r="E13" s="50" t="n">
        <x:f>'Cash'!F28</x:f>
        <x:v>9433.584872881866</x:v>
      </x:c>
      <x:c r="F13" s="50" t="n">
        <x:f>'Cash'!G28</x:f>
        <x:v>10282.596148948494</x:v>
      </x:c>
      <x:c r="G13" s="50" t="n">
        <x:f>'Cash'!H28</x:f>
        <x:v>11869.32647233197</x:v>
      </x:c>
      <x:c r="H13" s="3"/>
      <x:c r="I13" s="3"/>
      <x:c r="J13" s="3"/>
      <x:c r="K13" s="3"/>
      <x:c r="L13" s="3"/>
    </x:row>
    <x:row r="14" ht="19" customHeight="1">
      <x:c r="A14" s="2"/>
      <x:c r="B14" s="2"/>
      <x:c r="C14" s="2" t="str">
        <x:v>Ending diluted share proxy (m)</x:v>
      </x:c>
      <x:c r="D14" s="2"/>
      <x:c r="E14" s="50" t="n">
        <x:f>'Cash'!F36</x:f>
        <x:v>588.8500302297462</x:v>
      </x:c>
      <x:c r="F14" s="50" t="n">
        <x:f>'Cash'!G36</x:f>
        <x:v>574.5981782324891</x:v>
      </x:c>
      <x:c r="G14" s="50" t="n">
        <x:f>'Cash'!H36</x:f>
        <x:v>561.5344334929384</x:v>
      </x:c>
      <x:c r="H14" s="3"/>
      <x:c r="I14" s="3"/>
      <x:c r="J14" s="3"/>
      <x:c r="K14" s="3"/>
      <x:c r="L14" s="3"/>
    </x:row>
    <x:row r="15" ht="19" customHeight="1">
      <x:c r="A15" s="2"/>
      <x:c r="B15" s="2"/>
      <x:c r="C15" s="2" t="str">
        <x:v>Earnings per ending share proxy</x:v>
      </x:c>
      <x:c r="D15" s="2"/>
      <x:c r="E15" s="51" t="n">
        <x:f>'Cash'!F37</x:f>
        <x:v>5.275041716718796</x:v>
      </x:c>
      <x:c r="F15" s="51" t="n">
        <x:f>'Cash'!G37</x:f>
        <x:v>5.838903889818914</x:v>
      </x:c>
      <x:c r="G15" s="51" t="n">
        <x:f>'Cash'!H37</x:f>
        <x:v>7.152417360642058</x:v>
      </x:c>
      <x:c r="H15" s="3"/>
      <x:c r="I15" s="3"/>
      <x:c r="J15" s="3"/>
      <x:c r="K15" s="3"/>
      <x:c r="L15" s="3"/>
    </x:row>
    <x:row r="16" ht="19" customHeight="1">
      <x:c r="A16" s="2"/>
      <x:c r="B16" s="2"/>
      <x:c r="C16" s="2"/>
      <x:c r="D16" s="2"/>
      <x:c r="E16" s="3"/>
      <x:c r="F16" s="3"/>
      <x:c r="G16" s="3"/>
      <x:c r="H16" s="3"/>
      <x:c r="I16" s="3"/>
      <x:c r="J16" s="3"/>
      <x:c r="K16" s="3"/>
      <x:c r="L16" s="3"/>
    </x:row>
    <x:row r="17" ht="19" customHeight="1">
      <x:c r="A17" s="2"/>
      <x:c r="B17" s="2"/>
      <x:c r="C17" s="2"/>
      <x:c r="D17" s="2"/>
      <x:c r="E17" s="3"/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2" t="str">
        <x:v>13 Sep 2027 conditional value/share</x:v>
      </x:c>
      <x:c r="D18" s="2"/>
      <x:c r="E18" s="51" t="n">
        <x:f>'Valuation'!E14</x:f>
        <x:v>182.86701631744072</x:v>
      </x:c>
      <x:c r="F18" s="3"/>
      <x:c r="G18" s="3"/>
      <x:c r="H18" s="3"/>
      <x:c r="I18" s="3"/>
      <x:c r="J18" s="3"/>
      <x:c r="K18" s="3"/>
      <x:c r="L18" s="3"/>
    </x:row>
    <x:row r="19" ht="19" customHeight="1">
      <x:c r="A19" s="2"/>
      <x:c r="B19" s="2"/>
      <x:c r="C19" s="2" t="str">
        <x:v>31 Dec 2027 later-date comparison</x:v>
      </x:c>
      <x:c r="D19" s="2"/>
      <x:c r="E19" s="51" t="n">
        <x:f>'Valuation'!E23</x:f>
        <x:v>184.6627552529164</x:v>
      </x:c>
      <x:c r="F19" s="3"/>
      <x:c r="G19" s="3"/>
      <x:c r="H19" s="3"/>
      <x:c r="I19" s="3"/>
      <x:c r="J19" s="3"/>
      <x:c r="K19" s="3"/>
      <x:c r="L19" s="3"/>
    </x:row>
    <x:row r="20" ht="19" customHeight="1">
      <x:c r="A20" s="2"/>
      <x:c r="B20" s="2"/>
      <x:c r="C20" s="2" t="str">
        <x:v>Q4:26 implied management guide (USD m)</x:v>
      </x:c>
      <x:c r="D20" s="2"/>
      <x:c r="E20" s="50" t="n">
        <x:f>'Revenue'!H20</x:f>
        <x:v>3123.4191151733926</x:v>
      </x:c>
      <x:c r="F20" s="3"/>
      <x:c r="G20" s="3"/>
      <x:c r="H20" s="3"/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Valuation: 13 Sep 2027. Uniform FY27 cash/share flows; FY27 EBITDA x inherited 16.5x. No adopted target.</x:v>
      </x:c>
      <x:c r="D23" s="2"/>
      <x:c r="E23" s="3"/>
      <x:c r="F23" s="3"/>
      <x:c r="G23" s="3"/>
      <x:c r="H23" s="3"/>
      <x:c r="I23" s="3"/>
      <x:c r="J23" s="3"/>
      <x:c r="K23" s="3"/>
      <x:c r="L23" s="3"/>
    </x:row>
    <x:row r="24" ht="19" customHeight="1">
      <x:c r="A24" s="2"/>
      <x:c r="B24" s="2"/>
      <x:c r="C24" s="2" t="str">
        <x:v>Q2:27+ and FY28 growth inherited. Free-weight promotion failed; FX/RNPL incremental application ineligible.</x:v>
      </x:c>
      <x:c r="D24" s="2"/>
      <x:c r="E24" s="3"/>
      <x:c r="F24" s="3"/>
      <x:c r="G24" s="3"/>
      <x:c r="H24" s="3"/>
      <x:c r="I24" s="3"/>
      <x:c r="J24" s="3"/>
      <x:c r="K24" s="3"/>
      <x:c r="L24" s="3"/>
    </x:row>
    <x:row r="25" ht="19" customHeight="1">
      <x:c r="A25" s="2"/>
      <x:c r="B25" s="2"/>
      <x:c r="C25" s="2" t="str">
        <x:v>Scenario results are saved captures in Case comparison; use its refresh command after editing.</x:v>
      </x:c>
      <x:c r="D25" s="2"/>
      <x:c r="E25" s="3"/>
      <x:c r="F25" s="3"/>
      <x:c r="G25" s="3"/>
      <x:c r="H25" s="3"/>
      <x:c r="I25" s="3"/>
      <x:c r="J25" s="3"/>
      <x:c r="K25" s="3"/>
      <x:c r="L25" s="3"/>
    </x:row>
    <x:row r="26" ht="19" customHeight="1">
      <x:c r="A26" s="2"/>
      <x:c r="B26" s="2"/>
      <x:c r="C26" s="2" t="str">
        <x:v>No adopted direction, target, scenario probabilities or formal investment approval.</x:v>
      </x:c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23" customHeight="1">
      <x:c r="A28" s="2"/>
      <x:c r="B28" s="2"/>
      <x:c r="C28" s="27" t="str">
        <x:v>Q4 2026 expectations: compare revenue with revenue</x:v>
      </x:c>
      <x:c r="D28" s="27"/>
      <x:c r="E28" s="28"/>
      <x:c r="F28" s="28"/>
      <x:c r="G28" s="28"/>
      <x:c r="H28" s="28"/>
      <x:c r="I28" s="3"/>
      <x:c r="J28" s="3"/>
      <x:c r="K28" s="3"/>
      <x:c r="L28" s="3"/>
    </x:row>
    <x:row r="29" ht="19" customHeight="1">
      <x:c r="A29" s="2"/>
      <x:c r="B29" s="2"/>
      <x:c r="C29" s="2" t="str">
        <x:v>Own conditional revenue R (USD m)</x:v>
      </x:c>
      <x:c r="D29" s="2"/>
      <x:c r="E29" s="50" t="n">
        <x:f>'Revenue'!H18</x:f>
        <x:v>3179.3436542864088</x:v>
      </x:c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Yahoo / LSEG-family revenue S (USD m)</x:v>
      </x:c>
      <x:c r="D30" s="2"/>
      <x:c r="E30" s="50" t="n">
        <x:f>'Source'!E67</x:f>
        <x:v>3161.02149</x:v>
      </x:c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 t="str">
        <x:v>Revenue gap R minus S (USD m)</x:v>
      </x:c>
      <x:c r="D31" s="2"/>
      <x:c r="E31" s="50" t="n">
        <x:f>E29-E30</x:f>
        <x:v>18.32216428640868</x:v>
      </x:c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 t="str">
        <x:v>Revenue gap / Street revenue</x:v>
      </x:c>
      <x:c r="D32" s="2"/>
      <x:c r="E32" s="52" t="n">
        <x:f>E31/E30</x:f>
        <x:v>0.005796279571135936</x:v>
      </x:c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 t="str">
        <x:v>Own guide G minus revenue S (diagnostic)</x:v>
      </x:c>
      <x:c r="D33" s="2"/>
      <x:c r="E33" s="50" t="n">
        <x:f>E20-E30</x:f>
        <x:v>-37.6023748266075</x:v>
      </x:c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 t="str">
        <x:v>Hypothetical Street guide S / (1+c)</x:v>
      </x:c>
      <x:c r="D34" s="2"/>
      <x:c r="E34" s="50" t="n">
        <x:f>E30/(1+'Revenue'!H19)</x:f>
        <x:v>3105.4192370896376</x:v>
      </x:c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 t="str">
        <x:v>Hypothetical same-cushion guide gap</x:v>
      </x:c>
      <x:c r="D35" s="2"/>
      <x:c r="E35" s="50" t="n">
        <x:f>E20-E34</x:f>
        <x:v>17.999878083754993</x:v>
      </x:c>
      <x:c r="F35" s="3"/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2" t="str">
        <x:v>Revenue consensus vintage: Yahoo / LSEG family, 13 Sep 2026 15:20 UTC; 36 estimates.</x:v>
      </x:c>
      <x:c r="D36" s="2"/>
      <x:c r="E36" s="3"/>
      <x:c r="F36" s="3"/>
      <x:c r="G36" s="3"/>
      <x:c r="H36" s="3"/>
      <x:c r="I36" s="3"/>
      <x:c r="J36" s="3"/>
      <x:c r="K36" s="3"/>
      <x:c r="L36" s="3"/>
    </x:row>
    <x:row r="37" ht="19" customHeight="1">
      <x:c r="A37" s="2"/>
      <x:c r="B37" s="2"/>
      <x:c r="C37" s="2" t="str">
        <x:v>R-S is like-basis. G-S mixes objects and is NOT a measured guide-expectations surprise.</x:v>
      </x:c>
      <x:c r="D37" s="2"/>
      <x:c r="E37" s="3"/>
      <x:c r="F37" s="3"/>
      <x:c r="G37" s="3"/>
      <x:c r="H37" s="3"/>
      <x:c r="I37" s="3"/>
      <x:c r="J37" s="3"/>
      <x:c r="K37" s="3"/>
      <x:c r="L37" s="3"/>
    </x:row>
    <x:row r="38" ht="19" customHeight="1">
      <x:c r="A38" s="2"/>
      <x:c r="B38" s="2"/>
      <x:c r="C38" s="2" t="str">
        <x:v>Street guide expectations unavailable. S/(1+c) imposes our cushion; it is not observed consensus.</x:v>
      </x:c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 t="str">
        <x:v>Conditional envelopes are assumed stresses, not CIs; letter-close errors omit forecast GBV/cushion risk.</x:v>
      </x:c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/>
      <x:c r="D40" s="2"/>
      <x:c r="E40" s="3"/>
      <x:c r="F40" s="3"/>
      <x:c r="G40" s="3"/>
      <x:c r="H40" s="3"/>
      <x:c r="I40" s="3"/>
      <x:c r="J40" s="3"/>
      <x:c r="K40" s="3"/>
      <x:c r="L40" s="3"/>
    </x:row>
    <x:row r="41" ht="19" customHeight="1">
      <x:c r="A41" s="2"/>
      <x:c r="B41" s="2"/>
      <x:c r="C41" s="2"/>
      <x:c r="D41" s="2"/>
      <x:c r="E41" s="3"/>
      <x:c r="F41" s="3"/>
      <x:c r="G41" s="3"/>
      <x:c r="H41" s="3"/>
      <x:c r="I41" s="3"/>
      <x:c r="J41" s="3"/>
      <x:c r="K41" s="3"/>
      <x:c r="L41" s="3"/>
    </x:row>
    <x:row r="42" ht="19" customHeight="1">
      <x:c r="A42" s="2"/>
      <x:c r="B42" s="2"/>
      <x:c r="C42" s="2"/>
      <x:c r="D42" s="2"/>
      <x:c r="E42" s="3"/>
      <x:c r="F42" s="3"/>
      <x:c r="G42" s="3"/>
      <x:c r="H42" s="3"/>
      <x:c r="I42" s="3"/>
      <x:c r="J42" s="3"/>
      <x:c r="K42" s="3"/>
      <x:c r="L42" s="3"/>
    </x:row>
    <x:row r="43" ht="19" customHeight="1">
      <x:c r="A43" s="2"/>
      <x:c r="B43" s="2"/>
      <x:c r="C43" s="2"/>
      <x:c r="D43" s="2"/>
      <x:c r="E43" s="3"/>
      <x:c r="F43" s="3"/>
      <x:c r="G43" s="3"/>
      <x:c r="H43" s="3"/>
      <x:c r="I43" s="3"/>
      <x:c r="J43" s="3"/>
      <x:c r="K43" s="3"/>
      <x:c r="L43" s="3"/>
    </x:row>
    <x:row r="44" ht="19" customHeight="1">
      <x:c r="A44" s="2"/>
      <x:c r="B44" s="2"/>
      <x:c r="C44" s="2"/>
      <x:c r="D44" s="2"/>
      <x:c r="E44" s="3"/>
      <x:c r="F44" s="3"/>
      <x:c r="G44" s="3"/>
      <x:c r="H44" s="3"/>
      <x:c r="I44" s="3"/>
      <x:c r="J44" s="3"/>
      <x:c r="K44" s="3"/>
      <x:c r="L44" s="3"/>
    </x:row>
    <x:row r="45" ht="19" customHeight="1">
      <x:c r="A45" s="2"/>
      <x:c r="B45" s="2"/>
      <x:c r="C45" s="2"/>
      <x:c r="D45" s="2"/>
      <x:c r="E45" s="3"/>
      <x:c r="F45" s="3"/>
      <x:c r="G45" s="3"/>
      <x:c r="H45" s="3"/>
      <x:c r="I45" s="3"/>
      <x:c r="J45" s="3"/>
      <x:c r="K45" s="3"/>
      <x:c r="L45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57599"/>
  </x:sheetPr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Editable operating and financial assumptions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number (1-9)</x:v>
      </x:c>
      <x:c r="D4" s="2"/>
      <x:c r="E4" s="11" t="n">
        <x:v>1</x:v>
      </x:c>
      <x:c r="F4" s="8"/>
      <x:c r="G4" s="8" t="str">
        <x:f>CHOOSE($E$4,"Review with fee mechanics","Review without fee mechanics","K0 conditional GBV","Alternative nights A","ADR mean reversion","Illustrative revenue −1%","Illustrative revenue +1%","Conditional soft envelope","Conditional firm envelope")</x:f>
        <x:v>Review with fee mechanics</x:v>
      </x:c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4" t="str">
        <x:v>Q1:26</x:v>
      </x:c>
      <x:c r="F7" s="14" t="str">
        <x:v>Q2:26</x:v>
      </x:c>
      <x:c r="G7" s="14" t="str">
        <x:v>Q3:26</x:v>
      </x:c>
      <x:c r="H7" s="14" t="str">
        <x:v>Q4:26</x:v>
      </x:c>
      <x:c r="I7" s="14" t="str">
        <x:v>Q1:27</x:v>
      </x:c>
      <x:c r="J7" s="14" t="str">
        <x:v>Q2:27</x:v>
      </x:c>
      <x:c r="K7" s="14" t="str">
        <x:v>Q3:27</x:v>
      </x:c>
      <x:c r="L7" s="14" t="str">
        <x:v>Q4:27</x:v>
      </x:c>
    </x:row>
    <x:row r="8" ht="19" customHeight="1">
      <x:c r="A8" s="2"/>
      <x:c r="B8" s="2"/>
      <x:c r="C8" s="2"/>
      <x:c r="D8" s="2"/>
      <x:c r="E8" s="3"/>
      <x:c r="F8" s="3"/>
      <x:c r="G8" s="3"/>
      <x:c r="H8" s="3"/>
      <x:c r="I8" s="3"/>
      <x:c r="J8" s="3"/>
      <x:c r="K8" s="3"/>
      <x:c r="L8" s="3"/>
    </x:row>
    <x:row r="9" ht="19" customHeight="1">
      <x:c r="A9" s="2"/>
      <x:c r="B9" s="2"/>
      <x:c r="C9" s="2"/>
      <x:c r="D9" s="2"/>
      <x:c r="E9" s="3"/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15" t="str">
        <x:v>Nights through Q4:26 (K0: cost proxy)</x:v>
      </x:c>
      <x:c r="D10" s="15" t="str">
        <x:v>m</x:v>
      </x:c>
      <x:c r="E10" s="17" t="n">
        <x:f>'Source'!E35</x:f>
        <x:v>156.2</x:v>
      </x:c>
      <x:c r="F10" s="17" t="n">
        <x:f>'Source'!F35</x:f>
        <x:v>148.3</x:v>
      </x:c>
      <x:c r="G10" s="16" t="n">
        <x:f>IF(CHOOSE($E$4,ISBLANK(G11),ISBLANK(G12),ISBLANK(G13),ISBLANK(G14),ISBLANK(G15),ISBLANK(G16),ISBLANK(G17),ISBLANK(G18),ISBLANK(G19)),"",CHOOSE($E$4,G11,G12,G13,G14,G15,G16,G17,G18,G19))</x:f>
        <x:v>146.8</x:v>
      </x:c>
      <x:c r="H10" s="16" t="n">
        <x:f>IF(CHOOSE($E$4,ISBLANK(H11),ISBLANK(H12),ISBLANK(H13),ISBLANK(H14),ISBLANK(H15),ISBLANK(H16),ISBLANK(H17),ISBLANK(H18),ISBLANK(H19)),"",CHOOSE($E$4,H11,H12,H13,H14,H15,H16,H17,H18,H19))</x:f>
        <x:v>131.8</x:v>
      </x:c>
      <x:c r="I10" s="16" t="str">
        <x:f>IF(CHOOSE($E$4,ISBLANK(I11),ISBLANK(I12),ISBLANK(I13),ISBLANK(I14),ISBLANK(I15),ISBLANK(I16),ISBLANK(I17),ISBLANK(I18),ISBLANK(I19)),"",CHOOSE($E$4,I11,I12,I13,I14,I15,I16,I17,I18,I19))</x:f>
      </x:c>
      <x:c r="J10" s="16" t="str">
        <x:f>IF(CHOOSE($E$4,ISBLANK(J11),ISBLANK(J12),ISBLANK(J13),ISBLANK(J14),ISBLANK(J15),ISBLANK(J16),ISBLANK(J17),ISBLANK(J18),ISBLANK(J19)),"",CHOOSE($E$4,J11,J12,J13,J14,J15,J16,J17,J18,J19))</x:f>
      </x:c>
      <x:c r="K10" s="16" t="str">
        <x:f>IF(CHOOSE($E$4,ISBLANK(K11),ISBLANK(K12),ISBLANK(K13),ISBLANK(K14),ISBLANK(K15),ISBLANK(K16),ISBLANK(K17),ISBLANK(K18),ISBLANK(K19)),"",CHOOSE($E$4,K11,K12,K13,K14,K15,K16,K17,K18,K19))</x:f>
      </x:c>
      <x:c r="L10" s="16" t="str">
        <x:f>IF(CHOOSE($E$4,ISBLANK(L11),ISBLANK(L12),ISBLANK(L13),ISBLANK(L14),ISBLANK(L15),ISBLANK(L16),ISBLANK(L17),ISBLANK(L18),ISBLANK(L19)),"",CHOOSE($E$4,L11,L12,L13,L14,L15,L16,L17,L18,L19))</x:f>
      </x:c>
    </x:row>
    <x:row r="11" ht="19" customHeight="1">
      <x:c r="A11" s="2"/>
      <x:c r="B11" s="2"/>
      <x:c r="C11" s="2" t="str">
        <x:v>Review with fee mechanics</x:v>
      </x:c>
      <x:c r="D11" s="2"/>
      <x:c r="E11" s="9"/>
      <x:c r="F11" s="9"/>
      <x:c r="G11" s="9" t="n">
        <x:v>146.8</x:v>
      </x:c>
      <x:c r="H11" s="9" t="n">
        <x:v>131.8</x:v>
      </x:c>
      <x:c r="I11" s="9"/>
      <x:c r="J11" s="9"/>
      <x:c r="K11" s="9"/>
      <x:c r="L11" s="9"/>
    </x:row>
    <x:row r="12" ht="19" customHeight="1">
      <x:c r="A12" s="2"/>
      <x:c r="B12" s="2"/>
      <x:c r="C12" s="2" t="str">
        <x:v>Review without fee mechanics</x:v>
      </x:c>
      <x:c r="D12" s="2"/>
      <x:c r="E12" s="9"/>
      <x:c r="F12" s="9"/>
      <x:c r="G12" s="9" t="n">
        <x:v>146.8</x:v>
      </x:c>
      <x:c r="H12" s="9" t="n">
        <x:v>131.8</x:v>
      </x:c>
      <x:c r="I12" s="9"/>
      <x:c r="J12" s="9"/>
      <x:c r="K12" s="9"/>
      <x:c r="L12" s="9"/>
    </x:row>
    <x:row r="13" ht="19" customHeight="1">
      <x:c r="A13" s="2"/>
      <x:c r="B13" s="2"/>
      <x:c r="C13" s="2" t="str">
        <x:v>K0 conditional GBV</x:v>
      </x:c>
      <x:c r="D13" s="2"/>
      <x:c r="E13" s="9"/>
      <x:c r="F13" s="9"/>
      <x:c r="G13" s="9" t="n">
        <x:v>146.8</x:v>
      </x:c>
      <x:c r="H13" s="9" t="n">
        <x:v>131.8</x:v>
      </x:c>
      <x:c r="I13" s="9"/>
      <x:c r="J13" s="9"/>
      <x:c r="K13" s="9"/>
      <x:c r="L13" s="9"/>
    </x:row>
    <x:row r="14" ht="19" customHeight="1">
      <x:c r="A14" s="2"/>
      <x:c r="B14" s="2"/>
      <x:c r="C14" s="2" t="str">
        <x:v>Alternative nights A</x:v>
      </x:c>
      <x:c r="D14" s="2"/>
      <x:c r="E14" s="9"/>
      <x:c r="F14" s="9"/>
      <x:c r="G14" s="9" t="n">
        <x:v>146.8</x:v>
      </x:c>
      <x:c r="H14" s="9" t="n">
        <x:v>132.7</x:v>
      </x:c>
      <x:c r="I14" s="9"/>
      <x:c r="J14" s="9"/>
      <x:c r="K14" s="9"/>
      <x:c r="L14" s="9"/>
    </x:row>
    <x:row r="15" ht="19" customHeight="1">
      <x:c r="A15" s="2"/>
      <x:c r="B15" s="2"/>
      <x:c r="C15" s="2" t="str">
        <x:v>ADR mean reversion</x:v>
      </x:c>
      <x:c r="D15" s="2"/>
      <x:c r="E15" s="9"/>
      <x:c r="F15" s="9"/>
      <x:c r="G15" s="9" t="n">
        <x:v>146.8</x:v>
      </x:c>
      <x:c r="H15" s="9" t="n">
        <x:v>131.8</x:v>
      </x:c>
      <x:c r="I15" s="9"/>
      <x:c r="J15" s="9"/>
      <x:c r="K15" s="9"/>
      <x:c r="L15" s="9"/>
    </x:row>
    <x:row r="16" ht="19" customHeight="1">
      <x:c r="A16" s="2"/>
      <x:c r="B16" s="2"/>
      <x:c r="C16" s="2" t="str">
        <x:v>Illustrative revenue −1%</x:v>
      </x:c>
      <x:c r="D16" s="2"/>
      <x:c r="E16" s="9"/>
      <x:c r="F16" s="9"/>
      <x:c r="G16" s="9" t="n">
        <x:v>146.8</x:v>
      </x:c>
      <x:c r="H16" s="9" t="n">
        <x:v>131.8</x:v>
      </x:c>
      <x:c r="I16" s="9"/>
      <x:c r="J16" s="9"/>
      <x:c r="K16" s="9"/>
      <x:c r="L16" s="9"/>
    </x:row>
    <x:row r="17" ht="19" customHeight="1">
      <x:c r="A17" s="2"/>
      <x:c r="B17" s="2"/>
      <x:c r="C17" s="2" t="str">
        <x:v>Illustrative revenue +1%</x:v>
      </x:c>
      <x:c r="D17" s="2"/>
      <x:c r="E17" s="9"/>
      <x:c r="F17" s="9"/>
      <x:c r="G17" s="9" t="n">
        <x:v>146.8</x:v>
      </x:c>
      <x:c r="H17" s="9" t="n">
        <x:v>131.8</x:v>
      </x:c>
      <x:c r="I17" s="9"/>
      <x:c r="J17" s="9"/>
      <x:c r="K17" s="9"/>
      <x:c r="L17" s="9"/>
    </x:row>
    <x:row r="18" ht="19" customHeight="1">
      <x:c r="A18" s="2"/>
      <x:c r="B18" s="2"/>
      <x:c r="C18" s="2" t="str">
        <x:v>Conditional soft envelope</x:v>
      </x:c>
      <x:c r="D18" s="2"/>
      <x:c r="E18" s="9"/>
      <x:c r="F18" s="9"/>
      <x:c r="G18" s="9" t="n">
        <x:v>146.8</x:v>
      </x:c>
      <x:c r="H18" s="9" t="n">
        <x:v>131.8</x:v>
      </x:c>
      <x:c r="I18" s="9"/>
      <x:c r="J18" s="9"/>
      <x:c r="K18" s="9"/>
      <x:c r="L18" s="9"/>
    </x:row>
    <x:row r="19" ht="19" customHeight="1">
      <x:c r="A19" s="2"/>
      <x:c r="B19" s="2"/>
      <x:c r="C19" s="2" t="str">
        <x:v>Conditional firm envelope</x:v>
      </x:c>
      <x:c r="D19" s="2"/>
      <x:c r="E19" s="9"/>
      <x:c r="F19" s="9"/>
      <x:c r="G19" s="9" t="n">
        <x:v>146.8</x:v>
      </x:c>
      <x:c r="H19" s="9" t="n">
        <x:v>132.7</x:v>
      </x:c>
      <x:c r="I19" s="9"/>
      <x:c r="J19" s="9"/>
      <x:c r="K19" s="9"/>
      <x:c r="L19" s="9"/>
    </x:row>
    <x:row r="20" ht="19" customHeight="1">
      <x:c r="A20" s="2"/>
      <x:c r="B20" s="2"/>
      <x:c r="C20" s="15" t="str">
        <x:v>ADR through Q4:26 (K0 unavailable)</x:v>
      </x:c>
      <x:c r="D20" s="15" t="str">
        <x:v>USD</x:v>
      </x:c>
      <x:c r="E20" s="17" t="n">
        <x:f>'Source'!E36/'Source'!E35</x:f>
        <x:v>186.93982074263766</x:v>
      </x:c>
      <x:c r="F20" s="17" t="n">
        <x:f>'Source'!F36/'Source'!F35</x:f>
        <x:v>183.41200269723532</x:v>
      </x:c>
      <x:c r="G20" s="16" t="n">
        <x:f>IF(CHOOSE($E$4,ISBLANK(G21),ISBLANK(G22),ISBLANK(G23),ISBLANK(G24),ISBLANK(G25),ISBLANK(G26),ISBLANK(G27),ISBLANK(G28),ISBLANK(G29)),"",CHOOSE($E$4,G21,G22,G23,G24,G25,G26,G27,G28,G29))</x:f>
        <x:v>177.17</x:v>
      </x:c>
      <x:c r="H20" s="16" t="n">
        <x:f>IF(CHOOSE($E$4,ISBLANK(H21),ISBLANK(H22),ISBLANK(H23),ISBLANK(H24),ISBLANK(H25),ISBLANK(H26),ISBLANK(H27),ISBLANK(H28),ISBLANK(H29)),"",CHOOSE($E$4,H21,H22,H23,H24,H25,H26,H27,H28,H29))</x:f>
        <x:v>174.57</x:v>
      </x:c>
      <x:c r="I20" s="16" t="str">
        <x:f>IF(CHOOSE($E$4,ISBLANK(I21),ISBLANK(I22),ISBLANK(I23),ISBLANK(I24),ISBLANK(I25),ISBLANK(I26),ISBLANK(I27),ISBLANK(I28),ISBLANK(I29)),"",CHOOSE($E$4,I21,I22,I23,I24,I25,I26,I27,I28,I29))</x:f>
      </x:c>
      <x:c r="J20" s="16" t="str">
        <x:f>IF(CHOOSE($E$4,ISBLANK(J21),ISBLANK(J22),ISBLANK(J23),ISBLANK(J24),ISBLANK(J25),ISBLANK(J26),ISBLANK(J27),ISBLANK(J28),ISBLANK(J29)),"",CHOOSE($E$4,J21,J22,J23,J24,J25,J26,J27,J28,J29))</x:f>
      </x:c>
      <x:c r="K20" s="16" t="str">
        <x:f>IF(CHOOSE($E$4,ISBLANK(K21),ISBLANK(K22),ISBLANK(K23),ISBLANK(K24),ISBLANK(K25),ISBLANK(K26),ISBLANK(K27),ISBLANK(K28),ISBLANK(K29)),"",CHOOSE($E$4,K21,K22,K23,K24,K25,K26,K27,K28,K29))</x:f>
      </x:c>
      <x:c r="L20" s="16" t="str">
        <x:f>IF(CHOOSE($E$4,ISBLANK(L21),ISBLANK(L22),ISBLANK(L23),ISBLANK(L24),ISBLANK(L25),ISBLANK(L26),ISBLANK(L27),ISBLANK(L28),ISBLANK(L29)),"",CHOOSE($E$4,L21,L22,L23,L24,L25,L26,L27,L28,L29))</x:f>
      </x:c>
    </x:row>
    <x:row r="21" ht="19" customHeight="1">
      <x:c r="A21" s="2"/>
      <x:c r="B21" s="2"/>
      <x:c r="C21" s="2" t="str">
        <x:v>Review with fee mechanics</x:v>
      </x:c>
      <x:c r="D21" s="2"/>
      <x:c r="E21" s="9"/>
      <x:c r="F21" s="9"/>
      <x:c r="G21" s="9" t="n">
        <x:v>177.17</x:v>
      </x:c>
      <x:c r="H21" s="9" t="n">
        <x:v>174.57</x:v>
      </x:c>
      <x:c r="I21" s="9"/>
      <x:c r="J21" s="9"/>
      <x:c r="K21" s="9"/>
      <x:c r="L21" s="9"/>
    </x:row>
    <x:row r="22" ht="19" customHeight="1">
      <x:c r="A22" s="2"/>
      <x:c r="B22" s="2"/>
      <x:c r="C22" s="2" t="str">
        <x:v>Review without fee mechanics</x:v>
      </x:c>
      <x:c r="D22" s="2"/>
      <x:c r="E22" s="9"/>
      <x:c r="F22" s="9"/>
      <x:c r="G22" s="9" t="n">
        <x:v>176.88</x:v>
      </x:c>
      <x:c r="H22" s="9" t="n">
        <x:v>173.94</x:v>
      </x:c>
      <x:c r="I22" s="9"/>
      <x:c r="J22" s="9"/>
      <x:c r="K22" s="9"/>
      <x:c r="L22" s="9"/>
    </x:row>
    <x:row r="23" ht="19" customHeight="1">
      <x:c r="A23" s="2"/>
      <x:c r="B23" s="2"/>
      <x:c r="C23" s="2" t="str">
        <x:v>K0 conditional GBV</x:v>
      </x:c>
      <x:c r="D23" s="2"/>
      <x:c r="E23" s="9"/>
      <x:c r="F23" s="9"/>
      <x:c r="G23" s="9"/>
      <x:c r="H23" s="9"/>
      <x:c r="I23" s="9"/>
      <x:c r="J23" s="9"/>
      <x:c r="K23" s="9"/>
      <x:c r="L23" s="9"/>
    </x:row>
    <x:row r="24" ht="19" customHeight="1">
      <x:c r="A24" s="2"/>
      <x:c r="B24" s="2"/>
      <x:c r="C24" s="2" t="str">
        <x:v>Alternative nights A</x:v>
      </x:c>
      <x:c r="D24" s="2"/>
      <x:c r="E24" s="9"/>
      <x:c r="F24" s="9"/>
      <x:c r="G24" s="9" t="n">
        <x:v>177.17</x:v>
      </x:c>
      <x:c r="H24" s="9" t="n">
        <x:v>174.57</x:v>
      </x:c>
      <x:c r="I24" s="9"/>
      <x:c r="J24" s="9"/>
      <x:c r="K24" s="9"/>
      <x:c r="L24" s="9"/>
    </x:row>
    <x:row r="25" ht="19" customHeight="1">
      <x:c r="A25" s="2"/>
      <x:c r="B25" s="2"/>
      <x:c r="C25" s="2" t="str">
        <x:v>ADR mean reversion</x:v>
      </x:c>
      <x:c r="D25" s="2"/>
      <x:c r="E25" s="9"/>
      <x:c r="F25" s="9"/>
      <x:c r="G25" s="9" t="n">
        <x:v>172.9711230497166</x:v>
      </x:c>
      <x:c r="H25" s="9" t="n">
        <x:v>170.46378318674735</x:v>
      </x:c>
      <x:c r="I25" s="9"/>
      <x:c r="J25" s="9"/>
      <x:c r="K25" s="9"/>
      <x:c r="L25" s="9"/>
    </x:row>
    <x:row r="26" ht="19" customHeight="1">
      <x:c r="A26" s="2"/>
      <x:c r="B26" s="2"/>
      <x:c r="C26" s="2" t="str">
        <x:v>Illustrative revenue −1%</x:v>
      </x:c>
      <x:c r="D26" s="2"/>
      <x:c r="E26" s="9"/>
      <x:c r="F26" s="9"/>
      <x:c r="G26" s="9" t="n">
        <x:v>177.17</x:v>
      </x:c>
      <x:c r="H26" s="9" t="n">
        <x:v>174.57</x:v>
      </x:c>
      <x:c r="I26" s="9"/>
      <x:c r="J26" s="9"/>
      <x:c r="K26" s="9"/>
      <x:c r="L26" s="9"/>
    </x:row>
    <x:row r="27" ht="19" customHeight="1">
      <x:c r="A27" s="2"/>
      <x:c r="B27" s="2"/>
      <x:c r="C27" s="2" t="str">
        <x:v>Illustrative revenue +1%</x:v>
      </x:c>
      <x:c r="D27" s="2"/>
      <x:c r="E27" s="9"/>
      <x:c r="F27" s="9"/>
      <x:c r="G27" s="9" t="n">
        <x:v>177.17</x:v>
      </x:c>
      <x:c r="H27" s="9" t="n">
        <x:v>174.57</x:v>
      </x:c>
      <x:c r="I27" s="9"/>
      <x:c r="J27" s="9"/>
      <x:c r="K27" s="9"/>
      <x:c r="L27" s="9"/>
    </x:row>
    <x:row r="28" ht="19" customHeight="1">
      <x:c r="A28" s="2"/>
      <x:c r="B28" s="2"/>
      <x:c r="C28" s="2" t="str">
        <x:v>Conditional soft envelope</x:v>
      </x:c>
      <x:c r="D28" s="2"/>
      <x:c r="E28" s="9"/>
      <x:c r="F28" s="9"/>
      <x:c r="G28" s="9" t="n">
        <x:v>172.9711230497166</x:v>
      </x:c>
      <x:c r="H28" s="9" t="n">
        <x:v>170.46378318674735</x:v>
      </x:c>
      <x:c r="I28" s="9"/>
      <x:c r="J28" s="9"/>
      <x:c r="K28" s="9"/>
      <x:c r="L28" s="9"/>
    </x:row>
    <x:row r="29" ht="19" customHeight="1">
      <x:c r="A29" s="2"/>
      <x:c r="B29" s="2"/>
      <x:c r="C29" s="2" t="str">
        <x:v>Conditional firm envelope</x:v>
      </x:c>
      <x:c r="D29" s="2"/>
      <x:c r="E29" s="9"/>
      <x:c r="F29" s="9"/>
      <x:c r="G29" s="9" t="n">
        <x:v>177.17</x:v>
      </x:c>
      <x:c r="H29" s="9" t="n">
        <x:v>174.57</x:v>
      </x:c>
      <x:c r="I29" s="9"/>
      <x:c r="J29" s="9"/>
      <x:c r="K29" s="9"/>
      <x:c r="L29" s="9"/>
    </x:row>
    <x:row r="30" ht="19" customHeight="1">
      <x:c r="A30" s="2"/>
      <x:c r="B30" s="2"/>
      <x:c r="C30" s="15" t="str">
        <x:v>GBV-only override (K0 case)</x:v>
      </x:c>
      <x:c r="D30" s="15" t="str">
        <x:v>USD m</x:v>
      </x:c>
      <x:c r="E30" s="16" t="str">
        <x:f>IF(CHOOSE($E$4,ISBLANK(E31),ISBLANK(E32),ISBLANK(E33),ISBLANK(E34),ISBLANK(E35),ISBLANK(E36),ISBLANK(E37),ISBLANK(E38),ISBLANK(E39)),"",CHOOSE($E$4,E31,E32,E33,E34,E35,E36,E37,E38,E39))</x:f>
      </x:c>
      <x:c r="F30" s="16" t="str">
        <x:f>IF(CHOOSE($E$4,ISBLANK(F31),ISBLANK(F32),ISBLANK(F33),ISBLANK(F34),ISBLANK(F35),ISBLANK(F36),ISBLANK(F37),ISBLANK(F38),ISBLANK(F39)),"",CHOOSE($E$4,F31,F32,F33,F34,F35,F36,F37,F38,F39))</x:f>
      </x:c>
      <x:c r="G30" s="16" t="str">
        <x:f>IF(CHOOSE($E$4,ISBLANK(G31),ISBLANK(G32),ISBLANK(G33),ISBLANK(G34),ISBLANK(G35),ISBLANK(G36),ISBLANK(G37),ISBLANK(G38),ISBLANK(G39)),"",CHOOSE($E$4,G31,G32,G33,G34,G35,G36,G37,G38,G39))</x:f>
      </x:c>
      <x:c r="H30" s="16" t="str">
        <x:f>IF(CHOOSE($E$4,ISBLANK(H31),ISBLANK(H32),ISBLANK(H33),ISBLANK(H34),ISBLANK(H35),ISBLANK(H36),ISBLANK(H37),ISBLANK(H38),ISBLANK(H39)),"",CHOOSE($E$4,H31,H32,H33,H34,H35,H36,H37,H38,H39))</x:f>
      </x:c>
      <x:c r="I30" s="16" t="str">
        <x:f>IF(CHOOSE($E$4,ISBLANK(I31),ISBLANK(I32),ISBLANK(I33),ISBLANK(I34),ISBLANK(I35),ISBLANK(I36),ISBLANK(I37),ISBLANK(I38),ISBLANK(I39)),"",CHOOSE($E$4,I31,I32,I33,I34,I35,I36,I37,I38,I39))</x:f>
      </x:c>
      <x:c r="J30" s="16" t="str">
        <x:f>IF(CHOOSE($E$4,ISBLANK(J31),ISBLANK(J32),ISBLANK(J33),ISBLANK(J34),ISBLANK(J35),ISBLANK(J36),ISBLANK(J37),ISBLANK(J38),ISBLANK(J39)),"",CHOOSE($E$4,J31,J32,J33,J34,J35,J36,J37,J38,J39))</x:f>
      </x:c>
      <x:c r="K30" s="16" t="str">
        <x:f>IF(CHOOSE($E$4,ISBLANK(K31),ISBLANK(K32),ISBLANK(K33),ISBLANK(K34),ISBLANK(K35),ISBLANK(K36),ISBLANK(K37),ISBLANK(K38),ISBLANK(K39)),"",CHOOSE($E$4,K31,K32,K33,K34,K35,K36,K37,K38,K39))</x:f>
      </x:c>
      <x:c r="L30" s="16" t="str">
        <x:f>IF(CHOOSE($E$4,ISBLANK(L31),ISBLANK(L32),ISBLANK(L33),ISBLANK(L34),ISBLANK(L35),ISBLANK(L36),ISBLANK(L37),ISBLANK(L38),ISBLANK(L39)),"",CHOOSE($E$4,L31,L32,L33,L34,L35,L36,L37,L38,L39))</x:f>
      </x:c>
    </x:row>
    <x:row r="31" ht="19" customHeight="1">
      <x:c r="A31" s="2"/>
      <x:c r="B31" s="2"/>
      <x:c r="C31" s="2" t="str">
        <x:v>Review with fee mechanics</x:v>
      </x:c>
      <x:c r="D31" s="2"/>
      <x:c r="E31" s="9"/>
      <x:c r="F31" s="9"/>
      <x:c r="G31" s="9"/>
      <x:c r="H31" s="9"/>
      <x:c r="I31" s="9"/>
      <x:c r="J31" s="9"/>
      <x:c r="K31" s="9"/>
      <x:c r="L31" s="9"/>
    </x:row>
    <x:row r="32" ht="19" customHeight="1">
      <x:c r="A32" s="2"/>
      <x:c r="B32" s="2"/>
      <x:c r="C32" s="2" t="str">
        <x:v>Review without fee mechanics</x:v>
      </x:c>
      <x:c r="D32" s="2"/>
      <x:c r="E32" s="9"/>
      <x:c r="F32" s="9"/>
      <x:c r="G32" s="9"/>
      <x:c r="H32" s="9"/>
      <x:c r="I32" s="9"/>
      <x:c r="J32" s="9"/>
      <x:c r="K32" s="9"/>
      <x:c r="L32" s="9"/>
    </x:row>
    <x:row r="33" ht="19" customHeight="1">
      <x:c r="A33" s="2"/>
      <x:c r="B33" s="2"/>
      <x:c r="C33" s="2" t="str">
        <x:v>K0 conditional GBV</x:v>
      </x:c>
      <x:c r="D33" s="2"/>
      <x:c r="E33" s="9"/>
      <x:c r="F33" s="9"/>
      <x:c r="G33" s="9" t="n">
        <x:v>26449.9723221329</x:v>
      </x:c>
      <x:c r="H33" s="9" t="n">
        <x:v>23562.4207585812</x:v>
      </x:c>
      <x:c r="I33" s="9"/>
      <x:c r="J33" s="9"/>
      <x:c r="K33" s="9"/>
      <x:c r="L33" s="9"/>
    </x:row>
    <x:row r="34" ht="19" customHeight="1">
      <x:c r="A34" s="2"/>
      <x:c r="B34" s="2"/>
      <x:c r="C34" s="2" t="str">
        <x:v>Alternative nights A</x:v>
      </x:c>
      <x:c r="D34" s="2"/>
      <x:c r="E34" s="9"/>
      <x:c r="F34" s="9"/>
      <x:c r="G34" s="9"/>
      <x:c r="H34" s="9"/>
      <x:c r="I34" s="9"/>
      <x:c r="J34" s="9"/>
      <x:c r="K34" s="9"/>
      <x:c r="L34" s="9"/>
    </x:row>
    <x:row r="35" ht="19" customHeight="1">
      <x:c r="A35" s="2"/>
      <x:c r="B35" s="2"/>
      <x:c r="C35" s="2" t="str">
        <x:v>ADR mean reversion</x:v>
      </x:c>
      <x:c r="D35" s="2"/>
      <x:c r="E35" s="9"/>
      <x:c r="F35" s="9"/>
      <x:c r="G35" s="9"/>
      <x:c r="H35" s="9"/>
      <x:c r="I35" s="9"/>
      <x:c r="J35" s="9"/>
      <x:c r="K35" s="9"/>
      <x:c r="L35" s="9"/>
    </x:row>
    <x:row r="36" ht="19" customHeight="1">
      <x:c r="A36" s="2"/>
      <x:c r="B36" s="2"/>
      <x:c r="C36" s="2" t="str">
        <x:v>Illustrative revenue −1%</x:v>
      </x:c>
      <x:c r="D36" s="2"/>
      <x:c r="E36" s="9"/>
      <x:c r="F36" s="9"/>
      <x:c r="G36" s="9"/>
      <x:c r="H36" s="9"/>
      <x:c r="I36" s="9"/>
      <x:c r="J36" s="9"/>
      <x:c r="K36" s="9"/>
      <x:c r="L36" s="9"/>
    </x:row>
    <x:row r="37" ht="19" customHeight="1">
      <x:c r="A37" s="2"/>
      <x:c r="B37" s="2"/>
      <x:c r="C37" s="2" t="str">
        <x:v>Illustrative revenue +1%</x:v>
      </x:c>
      <x:c r="D37" s="2"/>
      <x:c r="E37" s="9"/>
      <x:c r="F37" s="9"/>
      <x:c r="G37" s="9"/>
      <x:c r="H37" s="9"/>
      <x:c r="I37" s="9"/>
      <x:c r="J37" s="9"/>
      <x:c r="K37" s="9"/>
      <x:c r="L37" s="9"/>
    </x:row>
    <x:row r="38" ht="19" customHeight="1">
      <x:c r="A38" s="2"/>
      <x:c r="B38" s="2"/>
      <x:c r="C38" s="2" t="str">
        <x:v>Conditional soft envelope</x:v>
      </x:c>
      <x:c r="D38" s="2"/>
      <x:c r="E38" s="9"/>
      <x:c r="F38" s="9"/>
      <x:c r="G38" s="9"/>
      <x:c r="H38" s="9"/>
      <x:c r="I38" s="9"/>
      <x:c r="J38" s="9"/>
      <x:c r="K38" s="9"/>
      <x:c r="L38" s="9"/>
    </x:row>
    <x:row r="39" ht="19" customHeight="1">
      <x:c r="A39" s="2"/>
      <x:c r="B39" s="2"/>
      <x:c r="C39" s="2" t="str">
        <x:v>Conditional firm envelope</x:v>
      </x:c>
      <x:c r="D39" s="2"/>
      <x:c r="E39" s="9"/>
      <x:c r="F39" s="9"/>
      <x:c r="G39" s="9"/>
      <x:c r="H39" s="9"/>
      <x:c r="I39" s="9"/>
      <x:c r="J39" s="9"/>
      <x:c r="K39" s="9"/>
      <x:c r="L39" s="9"/>
    </x:row>
    <x:row r="40" ht="19" customHeight="1">
      <x:c r="A40" s="2"/>
      <x:c r="B40" s="2"/>
      <x:c r="C40" s="15" t="str">
        <x:v>Seasonal lambda (fixed 2/3 benchmark)</x:v>
      </x:c>
      <x:c r="D40" s="15" t="str">
        <x:v>%</x:v>
      </x:c>
      <x:c r="E40" s="18" t="str">
        <x:f>IF(CHOOSE($E$4,ISBLANK(E41),ISBLANK(E42),ISBLANK(E43),ISBLANK(E44),ISBLANK(E45),ISBLANK(E46),ISBLANK(E47),ISBLANK(E48),ISBLANK(E49)),"",CHOOSE($E$4,E41,E42,E43,E44,E45,E46,E47,E48,E49))</x:f>
      </x:c>
      <x:c r="F40" s="18" t="str">
        <x:f>IF(CHOOSE($E$4,ISBLANK(F41),ISBLANK(F42),ISBLANK(F43),ISBLANK(F44),ISBLANK(F45),ISBLANK(F46),ISBLANK(F47),ISBLANK(F48),ISBLANK(F49)),"",CHOOSE($E$4,F41,F42,F43,F44,F45,F46,F47,F48,F49))</x:f>
      </x:c>
      <x:c r="G40" s="18" t="n">
        <x:f>IF(CHOOSE($E$4,ISBLANK(G41),ISBLANK(G42),ISBLANK(G43),ISBLANK(G44),ISBLANK(G45),ISBLANK(G46),ISBLANK(G47),ISBLANK(G48),ISBLANK(G49)),"",CHOOSE($E$4,G41,G42,G43,G44,G45,G46,G47,G48,G49))</x:f>
        <x:v>0.172548908953131</x:v>
      </x:c>
      <x:c r="H40" s="18" t="n">
        <x:f>IF(CHOOSE($E$4,ISBLANK(H41),ISBLANK(H42),ISBLANK(H43),ISBLANK(H44),ISBLANK(H45),ISBLANK(H46),ISBLANK(H47),ISBLANK(H48),ISBLANK(H49)),"",CHOOSE($E$4,H41,H42,H43,H44,H45,H46,H47,H48,H49))</x:f>
        <x:v>0.120403669384706</x:v>
      </x:c>
      <x:c r="I40" s="18" t="n">
        <x:f>IF(CHOOSE($E$4,ISBLANK(I41),ISBLANK(I42),ISBLANK(I43),ISBLANK(I44),ISBLANK(I45),ISBLANK(I46),ISBLANK(I47),ISBLANK(I48),ISBLANK(I49)),"",CHOOSE($E$4,I41,I42,I43,I44,I45,I46,I47,I48,I49))</x:f>
        <x:v>0.127275463631112</x:v>
      </x:c>
      <x:c r="J40" s="18" t="str">
        <x:f>IF(CHOOSE($E$4,ISBLANK(J41),ISBLANK(J42),ISBLANK(J43),ISBLANK(J44),ISBLANK(J45),ISBLANK(J46),ISBLANK(J47),ISBLANK(J48),ISBLANK(J49)),"",CHOOSE($E$4,J41,J42,J43,J44,J45,J46,J47,J48,J49))</x:f>
      </x:c>
      <x:c r="K40" s="18" t="str">
        <x:f>IF(CHOOSE($E$4,ISBLANK(K41),ISBLANK(K42),ISBLANK(K43),ISBLANK(K44),ISBLANK(K45),ISBLANK(K46),ISBLANK(K47),ISBLANK(K48),ISBLANK(K49)),"",CHOOSE($E$4,K41,K42,K43,K44,K45,K46,K47,K48,K49))</x:f>
      </x:c>
      <x:c r="L40" s="18" t="str">
        <x:f>IF(CHOOSE($E$4,ISBLANK(L41),ISBLANK(L42),ISBLANK(L43),ISBLANK(L44),ISBLANK(L45),ISBLANK(L46),ISBLANK(L47),ISBLANK(L48),ISBLANK(L49)),"",CHOOSE($E$4,L41,L42,L43,L44,L45,L46,L47,L48,L49))</x:f>
      </x:c>
    </x:row>
    <x:row r="41" ht="19" customHeight="1">
      <x:c r="A41" s="2"/>
      <x:c r="B41" s="2"/>
      <x:c r="C41" s="2" t="str">
        <x:v>Review with fee mechanics</x:v>
      </x:c>
      <x:c r="D41" s="2"/>
      <x:c r="E41" s="19"/>
      <x:c r="F41" s="19"/>
      <x:c r="G41" s="19" t="n">
        <x:v>0.172548908953131</x:v>
      </x:c>
      <x:c r="H41" s="19" t="n">
        <x:v>0.120403669384706</x:v>
      </x:c>
      <x:c r="I41" s="19" t="n">
        <x:v>0.127275463631112</x:v>
      </x:c>
      <x:c r="J41" s="19"/>
      <x:c r="K41" s="19"/>
      <x:c r="L41" s="19"/>
    </x:row>
    <x:row r="42" ht="19" customHeight="1">
      <x:c r="A42" s="2"/>
      <x:c r="B42" s="2"/>
      <x:c r="C42" s="2" t="str">
        <x:v>Review without fee mechanics</x:v>
      </x:c>
      <x:c r="D42" s="2"/>
      <x:c r="E42" s="19"/>
      <x:c r="F42" s="19"/>
      <x:c r="G42" s="19" t="n">
        <x:v>0.172548908953131</x:v>
      </x:c>
      <x:c r="H42" s="19" t="n">
        <x:v>0.120403669384706</x:v>
      </x:c>
      <x:c r="I42" s="19" t="n">
        <x:v>0.127275463631112</x:v>
      </x:c>
      <x:c r="J42" s="19"/>
      <x:c r="K42" s="19"/>
      <x:c r="L42" s="19"/>
    </x:row>
    <x:row r="43" ht="19" customHeight="1">
      <x:c r="A43" s="2"/>
      <x:c r="B43" s="2"/>
      <x:c r="C43" s="2" t="str">
        <x:v>K0 conditional GBV</x:v>
      </x:c>
      <x:c r="D43" s="2"/>
      <x:c r="E43" s="19"/>
      <x:c r="F43" s="19"/>
      <x:c r="G43" s="19" t="n">
        <x:v>0.172548908953131</x:v>
      </x:c>
      <x:c r="H43" s="19" t="n">
        <x:v>0.120403669384706</x:v>
      </x:c>
      <x:c r="I43" s="19" t="n">
        <x:v>0.127275463631112</x:v>
      </x:c>
      <x:c r="J43" s="19"/>
      <x:c r="K43" s="19"/>
      <x:c r="L43" s="19"/>
    </x:row>
    <x:row r="44" ht="19" customHeight="1">
      <x:c r="A44" s="2"/>
      <x:c r="B44" s="2"/>
      <x:c r="C44" s="2" t="str">
        <x:v>Alternative nights A</x:v>
      </x:c>
      <x:c r="D44" s="2"/>
      <x:c r="E44" s="19"/>
      <x:c r="F44" s="19"/>
      <x:c r="G44" s="19" t="n">
        <x:v>0.172548908953131</x:v>
      </x:c>
      <x:c r="H44" s="19" t="n">
        <x:v>0.120403669384706</x:v>
      </x:c>
      <x:c r="I44" s="19" t="n">
        <x:v>0.127275463631112</x:v>
      </x:c>
      <x:c r="J44" s="19"/>
      <x:c r="K44" s="19"/>
      <x:c r="L44" s="19"/>
    </x:row>
    <x:row r="45" ht="19" customHeight="1">
      <x:c r="A45" s="2"/>
      <x:c r="B45" s="2"/>
      <x:c r="C45" s="2" t="str">
        <x:v>ADR mean reversion</x:v>
      </x:c>
      <x:c r="D45" s="2"/>
      <x:c r="E45" s="19"/>
      <x:c r="F45" s="19"/>
      <x:c r="G45" s="19" t="n">
        <x:v>0.172548908953131</x:v>
      </x:c>
      <x:c r="H45" s="19" t="n">
        <x:v>0.120403669384706</x:v>
      </x:c>
      <x:c r="I45" s="19" t="n">
        <x:v>0.127275463631112</x:v>
      </x:c>
      <x:c r="J45" s="19"/>
      <x:c r="K45" s="19"/>
      <x:c r="L45" s="19"/>
    </x:row>
    <x:row r="46" ht="19" customHeight="1">
      <x:c r="A46" s="2"/>
      <x:c r="B46" s="2"/>
      <x:c r="C46" s="2" t="str">
        <x:v>Illustrative revenue −1%</x:v>
      </x:c>
      <x:c r="D46" s="2"/>
      <x:c r="E46" s="19"/>
      <x:c r="F46" s="19"/>
      <x:c r="G46" s="19" t="n">
        <x:v>0.172548908953131</x:v>
      </x:c>
      <x:c r="H46" s="19" t="n">
        <x:v>0.120403669384706</x:v>
      </x:c>
      <x:c r="I46" s="19" t="n">
        <x:v>0.127275463631112</x:v>
      </x:c>
      <x:c r="J46" s="19"/>
      <x:c r="K46" s="19"/>
      <x:c r="L46" s="19"/>
    </x:row>
    <x:row r="47" ht="19" customHeight="1">
      <x:c r="A47" s="2"/>
      <x:c r="B47" s="2"/>
      <x:c r="C47" s="2" t="str">
        <x:v>Illustrative revenue +1%</x:v>
      </x:c>
      <x:c r="D47" s="2"/>
      <x:c r="E47" s="19"/>
      <x:c r="F47" s="19"/>
      <x:c r="G47" s="19" t="n">
        <x:v>0.172548908953131</x:v>
      </x:c>
      <x:c r="H47" s="19" t="n">
        <x:v>0.120403669384706</x:v>
      </x:c>
      <x:c r="I47" s="19" t="n">
        <x:v>0.127275463631112</x:v>
      </x:c>
      <x:c r="J47" s="19"/>
      <x:c r="K47" s="19"/>
      <x:c r="L47" s="19"/>
    </x:row>
    <x:row r="48" ht="19" customHeight="1">
      <x:c r="A48" s="2"/>
      <x:c r="B48" s="2"/>
      <x:c r="C48" s="2" t="str">
        <x:v>Conditional soft envelope</x:v>
      </x:c>
      <x:c r="D48" s="2"/>
      <x:c r="E48" s="19"/>
      <x:c r="F48" s="19"/>
      <x:c r="G48" s="19" t="n">
        <x:v>0.171548908953131</x:v>
      </x:c>
      <x:c r="H48" s="19" t="n">
        <x:v>0.119403669384706</x:v>
      </x:c>
      <x:c r="I48" s="19" t="n">
        <x:v>0.126275463631112</x:v>
      </x:c>
      <x:c r="J48" s="19"/>
      <x:c r="K48" s="19"/>
      <x:c r="L48" s="19"/>
    </x:row>
    <x:row r="49" ht="19" customHeight="1">
      <x:c r="A49" s="2"/>
      <x:c r="B49" s="2"/>
      <x:c r="C49" s="2" t="str">
        <x:v>Conditional firm envelope</x:v>
      </x:c>
      <x:c r="D49" s="2"/>
      <x:c r="E49" s="19"/>
      <x:c r="F49" s="19"/>
      <x:c r="G49" s="19" t="n">
        <x:v>0.17354890895313102</x:v>
      </x:c>
      <x:c r="H49" s="19" t="n">
        <x:v>0.121403669384706</x:v>
      </x:c>
      <x:c r="I49" s="19" t="n">
        <x:v>0.128275463631112</x:v>
      </x:c>
      <x:c r="J49" s="19"/>
      <x:c r="K49" s="19"/>
      <x:c r="L49" s="19"/>
    </x:row>
    <x:row r="50" ht="19" customHeight="1">
      <x:c r="A50" s="2"/>
      <x:c r="B50" s="2"/>
      <x:c r="C50" s="15" t="str">
        <x:v>Guidance cushion</x:v>
      </x:c>
      <x:c r="D50" s="15" t="str">
        <x:v>%</x:v>
      </x:c>
      <x:c r="E50" s="18" t="str">
        <x:f>IF(CHOOSE($E$4,ISBLANK(E51),ISBLANK(E52),ISBLANK(E53),ISBLANK(E54),ISBLANK(E55),ISBLANK(E56),ISBLANK(E57),ISBLANK(E58),ISBLANK(E59)),"",CHOOSE($E$4,E51,E52,E53,E54,E55,E56,E57,E58,E59))</x:f>
      </x:c>
      <x:c r="F50" s="18" t="str">
        <x:f>IF(CHOOSE($E$4,ISBLANK(F51),ISBLANK(F52),ISBLANK(F53),ISBLANK(F54),ISBLANK(F55),ISBLANK(F56),ISBLANK(F57),ISBLANK(F58),ISBLANK(F59)),"",CHOOSE($E$4,F51,F52,F53,F54,F55,F56,F57,F58,F59))</x:f>
      </x:c>
      <x:c r="G50" s="18" t="n">
        <x:f>IF(CHOOSE($E$4,ISBLANK(G51),ISBLANK(G52),ISBLANK(G53),ISBLANK(G54),ISBLANK(G55),ISBLANK(G56),ISBLANK(G57),ISBLANK(G58),ISBLANK(G59)),"",CHOOSE($E$4,G51,G52,G53,G54,G55,G56,G57,G58,G59))</x:f>
        <x:v>0.0179049103084943</x:v>
      </x:c>
      <x:c r="H50" s="18" t="n">
        <x:f>IF(CHOOSE($E$4,ISBLANK(H51),ISBLANK(H52),ISBLANK(H53),ISBLANK(H54),ISBLANK(H55),ISBLANK(H56),ISBLANK(H57),ISBLANK(H58),ISBLANK(H59)),"",CHOOSE($E$4,H51,H52,H53,H54,H55,H56,H57,H58,H59))</x:f>
        <x:v>0.0179049103084943</x:v>
      </x:c>
      <x:c r="I50" s="18" t="n">
        <x:f>IF(CHOOSE($E$4,ISBLANK(I51),ISBLANK(I52),ISBLANK(I53),ISBLANK(I54),ISBLANK(I55),ISBLANK(I56),ISBLANK(I57),ISBLANK(I58),ISBLANK(I59)),"",CHOOSE($E$4,I51,I52,I53,I54,I55,I56,I57,I58,I59))</x:f>
        <x:v>0.0179049103084943</x:v>
      </x:c>
      <x:c r="J50" s="18" t="str">
        <x:f>IF(CHOOSE($E$4,ISBLANK(J51),ISBLANK(J52),ISBLANK(J53),ISBLANK(J54),ISBLANK(J55),ISBLANK(J56),ISBLANK(J57),ISBLANK(J58),ISBLANK(J59)),"",CHOOSE($E$4,J51,J52,J53,J54,J55,J56,J57,J58,J59))</x:f>
      </x:c>
      <x:c r="K50" s="18" t="str">
        <x:f>IF(CHOOSE($E$4,ISBLANK(K51),ISBLANK(K52),ISBLANK(K53),ISBLANK(K54),ISBLANK(K55),ISBLANK(K56),ISBLANK(K57),ISBLANK(K58),ISBLANK(K59)),"",CHOOSE($E$4,K51,K52,K53,K54,K55,K56,K57,K58,K59))</x:f>
      </x:c>
      <x:c r="L50" s="18" t="str">
        <x:f>IF(CHOOSE($E$4,ISBLANK(L51),ISBLANK(L52),ISBLANK(L53),ISBLANK(L54),ISBLANK(L55),ISBLANK(L56),ISBLANK(L57),ISBLANK(L58),ISBLANK(L59)),"",CHOOSE($E$4,L51,L52,L53,L54,L55,L56,L57,L58,L59))</x:f>
      </x:c>
    </x:row>
    <x:row r="51" ht="19" customHeight="1">
      <x:c r="A51" s="2"/>
      <x:c r="B51" s="2"/>
      <x:c r="C51" s="2" t="str">
        <x:v>Review with fee mechanics</x:v>
      </x:c>
      <x:c r="D51" s="2"/>
      <x:c r="E51" s="19"/>
      <x:c r="F51" s="19"/>
      <x:c r="G51" s="19" t="n">
        <x:v>0.0179049103084943</x:v>
      </x:c>
      <x:c r="H51" s="19" t="n">
        <x:v>0.0179049103084943</x:v>
      </x:c>
      <x:c r="I51" s="19" t="n">
        <x:v>0.0179049103084943</x:v>
      </x:c>
      <x:c r="J51" s="19"/>
      <x:c r="K51" s="19"/>
      <x:c r="L51" s="19"/>
    </x:row>
    <x:row r="52" ht="19" customHeight="1">
      <x:c r="A52" s="2"/>
      <x:c r="B52" s="2"/>
      <x:c r="C52" s="2" t="str">
        <x:v>Review without fee mechanics</x:v>
      </x:c>
      <x:c r="D52" s="2"/>
      <x:c r="E52" s="19"/>
      <x:c r="F52" s="19"/>
      <x:c r="G52" s="19" t="n">
        <x:v>0.0179049103084943</x:v>
      </x:c>
      <x:c r="H52" s="19" t="n">
        <x:v>0.0179049103084943</x:v>
      </x:c>
      <x:c r="I52" s="19" t="n">
        <x:v>0.0179049103084943</x:v>
      </x:c>
      <x:c r="J52" s="19"/>
      <x:c r="K52" s="19"/>
      <x:c r="L52" s="19"/>
    </x:row>
    <x:row r="53" ht="19" customHeight="1">
      <x:c r="A53" s="2"/>
      <x:c r="B53" s="2"/>
      <x:c r="C53" s="2" t="str">
        <x:v>K0 conditional GBV</x:v>
      </x:c>
      <x:c r="D53" s="2"/>
      <x:c r="E53" s="19"/>
      <x:c r="F53" s="19"/>
      <x:c r="G53" s="19" t="n">
        <x:v>0.0179049103084943</x:v>
      </x:c>
      <x:c r="H53" s="19" t="n">
        <x:v>0.0179049103084943</x:v>
      </x:c>
      <x:c r="I53" s="19" t="n">
        <x:v>0.0179049103084943</x:v>
      </x:c>
      <x:c r="J53" s="19"/>
      <x:c r="K53" s="19"/>
      <x:c r="L53" s="19"/>
    </x:row>
    <x:row r="54" ht="19" customHeight="1">
      <x:c r="A54" s="2"/>
      <x:c r="B54" s="2"/>
      <x:c r="C54" s="2" t="str">
        <x:v>Alternative nights A</x:v>
      </x:c>
      <x:c r="D54" s="2"/>
      <x:c r="E54" s="19"/>
      <x:c r="F54" s="19"/>
      <x:c r="G54" s="19" t="n">
        <x:v>0.0179049103084943</x:v>
      </x:c>
      <x:c r="H54" s="19" t="n">
        <x:v>0.0179049103084943</x:v>
      </x:c>
      <x:c r="I54" s="19" t="n">
        <x:v>0.0179049103084943</x:v>
      </x:c>
      <x:c r="J54" s="19"/>
      <x:c r="K54" s="19"/>
      <x:c r="L54" s="19"/>
    </x:row>
    <x:row r="55" ht="19" customHeight="1">
      <x:c r="A55" s="2"/>
      <x:c r="B55" s="2"/>
      <x:c r="C55" s="2" t="str">
        <x:v>ADR mean reversion</x:v>
      </x:c>
      <x:c r="D55" s="2"/>
      <x:c r="E55" s="19"/>
      <x:c r="F55" s="19"/>
      <x:c r="G55" s="19" t="n">
        <x:v>0.0179049103084943</x:v>
      </x:c>
      <x:c r="H55" s="19" t="n">
        <x:v>0.0179049103084943</x:v>
      </x:c>
      <x:c r="I55" s="19" t="n">
        <x:v>0.0179049103084943</x:v>
      </x:c>
      <x:c r="J55" s="19"/>
      <x:c r="K55" s="19"/>
      <x:c r="L55" s="19"/>
    </x:row>
    <x:row r="56" ht="19" customHeight="1">
      <x:c r="A56" s="2"/>
      <x:c r="B56" s="2"/>
      <x:c r="C56" s="2" t="str">
        <x:v>Illustrative revenue −1%</x:v>
      </x:c>
      <x:c r="D56" s="2"/>
      <x:c r="E56" s="19"/>
      <x:c r="F56" s="19"/>
      <x:c r="G56" s="19" t="n">
        <x:v>0.0179049103084943</x:v>
      </x:c>
      <x:c r="H56" s="19" t="n">
        <x:v>0.0179049103084943</x:v>
      </x:c>
      <x:c r="I56" s="19" t="n">
        <x:v>0.0179049103084943</x:v>
      </x:c>
      <x:c r="J56" s="19"/>
      <x:c r="K56" s="19"/>
      <x:c r="L56" s="19"/>
    </x:row>
    <x:row r="57" ht="19" customHeight="1">
      <x:c r="A57" s="2"/>
      <x:c r="B57" s="2"/>
      <x:c r="C57" s="2" t="str">
        <x:v>Illustrative revenue +1%</x:v>
      </x:c>
      <x:c r="D57" s="2"/>
      <x:c r="E57" s="19"/>
      <x:c r="F57" s="19"/>
      <x:c r="G57" s="19" t="n">
        <x:v>0.0179049103084943</x:v>
      </x:c>
      <x:c r="H57" s="19" t="n">
        <x:v>0.0179049103084943</x:v>
      </x:c>
      <x:c r="I57" s="19" t="n">
        <x:v>0.0179049103084943</x:v>
      </x:c>
      <x:c r="J57" s="19"/>
      <x:c r="K57" s="19"/>
      <x:c r="L57" s="19"/>
    </x:row>
    <x:row r="58" ht="19" customHeight="1">
      <x:c r="A58" s="2"/>
      <x:c r="B58" s="2"/>
      <x:c r="C58" s="2" t="str">
        <x:v>Conditional soft envelope</x:v>
      </x:c>
      <x:c r="D58" s="2"/>
      <x:c r="E58" s="19"/>
      <x:c r="F58" s="19"/>
      <x:c r="G58" s="19" t="n">
        <x:v>0.0185674306329759</x:v>
      </x:c>
      <x:c r="H58" s="19" t="n">
        <x:v>0.0388</x:v>
      </x:c>
      <x:c r="I58" s="19" t="n">
        <x:v>0.0185674306329759</x:v>
      </x:c>
      <x:c r="J58" s="19"/>
      <x:c r="K58" s="19"/>
      <x:c r="L58" s="19"/>
    </x:row>
    <x:row r="59" ht="19" customHeight="1">
      <x:c r="A59" s="2"/>
      <x:c r="B59" s="2"/>
      <x:c r="C59" s="2" t="str">
        <x:v>Conditional firm envelope</x:v>
      </x:c>
      <x:c r="D59" s="2"/>
      <x:c r="E59" s="19"/>
      <x:c r="F59" s="19"/>
      <x:c r="G59" s="19" t="n">
        <x:v>0.0179049103084943</x:v>
      </x:c>
      <x:c r="H59" s="19" t="n">
        <x:v>0.0179049103084943</x:v>
      </x:c>
      <x:c r="I59" s="19" t="n">
        <x:v>0.0179049103084943</x:v>
      </x:c>
      <x:c r="J59" s="19"/>
      <x:c r="K59" s="19"/>
      <x:c r="L59" s="19"/>
    </x:row>
    <x:row r="60" ht="19" customHeight="1">
      <x:c r="A60" s="2"/>
      <x:c r="B60" s="2"/>
      <x:c r="C60" s="15" t="str">
        <x:v>Net after-hedge revenue sensitivity</x:v>
      </x:c>
      <x:c r="D60" s="15" t="str">
        <x:v>%</x:v>
      </x:c>
      <x:c r="E60" s="18" t="str">
        <x:f>IF(CHOOSE($E$4,ISBLANK(E61),ISBLANK(E62),ISBLANK(E63),ISBLANK(E64),ISBLANK(E65),ISBLANK(E66),ISBLANK(E67),ISBLANK(E68),ISBLANK(E69)),"",CHOOSE($E$4,E61,E62,E63,E64,E65,E66,E67,E68,E69))</x:f>
      </x:c>
      <x:c r="F60" s="18" t="str">
        <x:f>IF(CHOOSE($E$4,ISBLANK(F61),ISBLANK(F62),ISBLANK(F63),ISBLANK(F64),ISBLANK(F65),ISBLANK(F66),ISBLANK(F67),ISBLANK(F68),ISBLANK(F69)),"",CHOOSE($E$4,F61,F62,F63,F64,F65,F66,F67,F68,F69))</x:f>
      </x:c>
      <x:c r="G60" s="18" t="str">
        <x:f>IF(CHOOSE($E$4,ISBLANK(G61),ISBLANK(G62),ISBLANK(G63),ISBLANK(G64),ISBLANK(G65),ISBLANK(G66),ISBLANK(G67),ISBLANK(G68),ISBLANK(G69)),"",CHOOSE($E$4,G61,G62,G63,G64,G65,G66,G67,G68,G69))</x:f>
      </x:c>
      <x:c r="H60" s="18" t="str">
        <x:f>IF(CHOOSE($E$4,ISBLANK(H61),ISBLANK(H62),ISBLANK(H63),ISBLANK(H64),ISBLANK(H65),ISBLANK(H66),ISBLANK(H67),ISBLANK(H68),ISBLANK(H69)),"",CHOOSE($E$4,H61,H62,H63,H64,H65,H66,H67,H68,H69))</x:f>
      </x:c>
      <x:c r="I60" s="18" t="str">
        <x:f>IF(CHOOSE($E$4,ISBLANK(I61),ISBLANK(I62),ISBLANK(I63),ISBLANK(I64),ISBLANK(I65),ISBLANK(I66),ISBLANK(I67),ISBLANK(I68),ISBLANK(I69)),"",CHOOSE($E$4,I61,I62,I63,I64,I65,I66,I67,I68,I69))</x:f>
      </x:c>
      <x:c r="J60" s="18" t="str">
        <x:f>IF(CHOOSE($E$4,ISBLANK(J61),ISBLANK(J62),ISBLANK(J63),ISBLANK(J64),ISBLANK(J65),ISBLANK(J66),ISBLANK(J67),ISBLANK(J68),ISBLANK(J69)),"",CHOOSE($E$4,J61,J62,J63,J64,J65,J66,J67,J68,J69))</x:f>
      </x:c>
      <x:c r="K60" s="18" t="str">
        <x:f>IF(CHOOSE($E$4,ISBLANK(K61),ISBLANK(K62),ISBLANK(K63),ISBLANK(K64),ISBLANK(K65),ISBLANK(K66),ISBLANK(K67),ISBLANK(K68),ISBLANK(K69)),"",CHOOSE($E$4,K61,K62,K63,K64,K65,K66,K67,K68,K69))</x:f>
      </x:c>
      <x:c r="L60" s="18" t="str">
        <x:f>IF(CHOOSE($E$4,ISBLANK(L61),ISBLANK(L62),ISBLANK(L63),ISBLANK(L64),ISBLANK(L65),ISBLANK(L66),ISBLANK(L67),ISBLANK(L68),ISBLANK(L69)),"",CHOOSE($E$4,L61,L62,L63,L64,L65,L66,L67,L68,L69))</x:f>
      </x:c>
    </x:row>
    <x:row r="61" ht="19" customHeight="1">
      <x:c r="A61" s="2"/>
      <x:c r="B61" s="2"/>
      <x:c r="C61" s="2" t="str">
        <x:v>Review with fee mechanics</x:v>
      </x:c>
      <x:c r="D61" s="2"/>
      <x:c r="E61" s="19"/>
      <x:c r="F61" s="19"/>
      <x:c r="G61" s="19"/>
      <x:c r="H61" s="19"/>
      <x:c r="I61" s="19"/>
      <x:c r="J61" s="19"/>
      <x:c r="K61" s="19"/>
      <x:c r="L61" s="19"/>
    </x:row>
    <x:row r="62" ht="19" customHeight="1">
      <x:c r="A62" s="2"/>
      <x:c r="B62" s="2"/>
      <x:c r="C62" s="2" t="str">
        <x:v>Review without fee mechanics</x:v>
      </x:c>
      <x:c r="D62" s="2"/>
      <x:c r="E62" s="19"/>
      <x:c r="F62" s="19"/>
      <x:c r="G62" s="19"/>
      <x:c r="H62" s="19"/>
      <x:c r="I62" s="19"/>
      <x:c r="J62" s="19"/>
      <x:c r="K62" s="19"/>
      <x:c r="L62" s="19"/>
    </x:row>
    <x:row r="63" ht="19" customHeight="1">
      <x:c r="A63" s="2"/>
      <x:c r="B63" s="2"/>
      <x:c r="C63" s="2" t="str">
        <x:v>K0 conditional GBV</x:v>
      </x:c>
      <x:c r="D63" s="2"/>
      <x:c r="E63" s="19"/>
      <x:c r="F63" s="19"/>
      <x:c r="G63" s="19"/>
      <x:c r="H63" s="19"/>
      <x:c r="I63" s="19"/>
      <x:c r="J63" s="19"/>
      <x:c r="K63" s="19"/>
      <x:c r="L63" s="19"/>
    </x:row>
    <x:row r="64" ht="19" customHeight="1">
      <x:c r="A64" s="2"/>
      <x:c r="B64" s="2"/>
      <x:c r="C64" s="2" t="str">
        <x:v>Alternative nights A</x:v>
      </x:c>
      <x:c r="D64" s="2"/>
      <x:c r="E64" s="19"/>
      <x:c r="F64" s="19"/>
      <x:c r="G64" s="19"/>
      <x:c r="H64" s="19"/>
      <x:c r="I64" s="19"/>
      <x:c r="J64" s="19"/>
      <x:c r="K64" s="19"/>
      <x:c r="L64" s="19"/>
    </x:row>
    <x:row r="65" ht="19" customHeight="1">
      <x:c r="A65" s="2"/>
      <x:c r="B65" s="2"/>
      <x:c r="C65" s="2" t="str">
        <x:v>ADR mean reversion</x:v>
      </x:c>
      <x:c r="D65" s="2"/>
      <x:c r="E65" s="19"/>
      <x:c r="F65" s="19"/>
      <x:c r="G65" s="19"/>
      <x:c r="H65" s="19"/>
      <x:c r="I65" s="19"/>
      <x:c r="J65" s="19"/>
      <x:c r="K65" s="19"/>
      <x:c r="L65" s="19"/>
    </x:row>
    <x:row r="66" ht="19" customHeight="1">
      <x:c r="A66" s="2"/>
      <x:c r="B66" s="2"/>
      <x:c r="C66" s="2" t="str">
        <x:v>Illustrative revenue −1%</x:v>
      </x:c>
      <x:c r="D66" s="2"/>
      <x:c r="E66" s="19"/>
      <x:c r="F66" s="19"/>
      <x:c r="G66" s="19" t="n">
        <x:v>-0.01</x:v>
      </x:c>
      <x:c r="H66" s="19" t="n">
        <x:v>-0.01</x:v>
      </x:c>
      <x:c r="I66" s="19" t="n">
        <x:v>-0.01</x:v>
      </x:c>
      <x:c r="J66" s="19"/>
      <x:c r="K66" s="19"/>
      <x:c r="L66" s="19"/>
    </x:row>
    <x:row r="67" ht="19" customHeight="1">
      <x:c r="A67" s="2"/>
      <x:c r="B67" s="2"/>
      <x:c r="C67" s="2" t="str">
        <x:v>Illustrative revenue +1%</x:v>
      </x:c>
      <x:c r="D67" s="2"/>
      <x:c r="E67" s="19"/>
      <x:c r="F67" s="19"/>
      <x:c r="G67" s="19" t="n">
        <x:v>0.01</x:v>
      </x:c>
      <x:c r="H67" s="19" t="n">
        <x:v>0.01</x:v>
      </x:c>
      <x:c r="I67" s="19" t="n">
        <x:v>0.01</x:v>
      </x:c>
      <x:c r="J67" s="19"/>
      <x:c r="K67" s="19"/>
      <x:c r="L67" s="19"/>
    </x:row>
    <x:row r="68" ht="19" customHeight="1">
      <x:c r="A68" s="2"/>
      <x:c r="B68" s="2"/>
      <x:c r="C68" s="2" t="str">
        <x:v>Conditional soft envelope</x:v>
      </x:c>
      <x:c r="D68" s="2"/>
      <x:c r="E68" s="19"/>
      <x:c r="F68" s="19"/>
      <x:c r="G68" s="19" t="n">
        <x:v>0</x:v>
      </x:c>
      <x:c r="H68" s="19" t="n">
        <x:v>0</x:v>
      </x:c>
      <x:c r="I68" s="19" t="n">
        <x:v>0</x:v>
      </x:c>
      <x:c r="J68" s="19"/>
      <x:c r="K68" s="19"/>
      <x:c r="L68" s="19"/>
    </x:row>
    <x:row r="69" ht="19" customHeight="1">
      <x:c r="A69" s="2"/>
      <x:c r="B69" s="2"/>
      <x:c r="C69" s="2" t="str">
        <x:v>Conditional firm envelope</x:v>
      </x:c>
      <x:c r="D69" s="2"/>
      <x:c r="E69" s="19"/>
      <x:c r="F69" s="19"/>
      <x:c r="G69" s="19" t="n">
        <x:v>0</x:v>
      </x:c>
      <x:c r="H69" s="19" t="n">
        <x:v>0</x:v>
      </x:c>
      <x:c r="I69" s="19" t="n">
        <x:v>0</x:v>
      </x:c>
      <x:c r="J69" s="19"/>
      <x:c r="K69" s="19"/>
      <x:c r="L69" s="19"/>
    </x:row>
    <x:row r="70" ht="19" customHeight="1">
      <x:c r="A70" s="2"/>
      <x:c r="B70" s="2"/>
      <x:c r="C70" s="15" t="str">
        <x:v>Inherited revenue growth after kernel coverage</x:v>
      </x:c>
      <x:c r="D70" s="15" t="str">
        <x:v>%</x:v>
      </x:c>
      <x:c r="E70" s="18" t="str">
        <x:f>IF(CHOOSE($E$4,ISBLANK(E71),ISBLANK(E72),ISBLANK(E73),ISBLANK(E74),ISBLANK(E75),ISBLANK(E76),ISBLANK(E77),ISBLANK(E78),ISBLANK(E79)),"",CHOOSE($E$4,E71,E72,E73,E74,E75,E76,E77,E78,E79))</x:f>
      </x:c>
      <x:c r="F70" s="18" t="str">
        <x:f>IF(CHOOSE($E$4,ISBLANK(F71),ISBLANK(F72),ISBLANK(F73),ISBLANK(F74),ISBLANK(F75),ISBLANK(F76),ISBLANK(F77),ISBLANK(F78),ISBLANK(F79)),"",CHOOSE($E$4,F71,F72,F73,F74,F75,F76,F77,F78,F79))</x:f>
      </x:c>
      <x:c r="G70" s="18" t="str">
        <x:f>IF(CHOOSE($E$4,ISBLANK(G71),ISBLANK(G72),ISBLANK(G73),ISBLANK(G74),ISBLANK(G75),ISBLANK(G76),ISBLANK(G77),ISBLANK(G78),ISBLANK(G79)),"",CHOOSE($E$4,G71,G72,G73,G74,G75,G76,G77,G78,G79))</x:f>
      </x:c>
      <x:c r="H70" s="18" t="str">
        <x:f>IF(CHOOSE($E$4,ISBLANK(H71),ISBLANK(H72),ISBLANK(H73),ISBLANK(H74),ISBLANK(H75),ISBLANK(H76),ISBLANK(H77),ISBLANK(H78),ISBLANK(H79)),"",CHOOSE($E$4,H71,H72,H73,H74,H75,H76,H77,H78,H79))</x:f>
      </x:c>
      <x:c r="I70" s="18" t="str">
        <x:f>IF(CHOOSE($E$4,ISBLANK(I71),ISBLANK(I72),ISBLANK(I73),ISBLANK(I74),ISBLANK(I75),ISBLANK(I76),ISBLANK(I77),ISBLANK(I78),ISBLANK(I79)),"",CHOOSE($E$4,I71,I72,I73,I74,I75,I76,I77,I78,I79))</x:f>
      </x:c>
      <x:c r="J70" s="18" t="n">
        <x:f>IF(CHOOSE($E$4,ISBLANK(J71),ISBLANK(J72),ISBLANK(J73),ISBLANK(J74),ISBLANK(J75),ISBLANK(J76),ISBLANK(J77),ISBLANK(J78),ISBLANK(J79)),"",CHOOSE($E$4,J71,J72,J73,J74,J75,J76,J77,J78,J79))</x:f>
        <x:v>0.12217009053638739</x:v>
      </x:c>
      <x:c r="K70" s="18" t="n">
        <x:f>IF(CHOOSE($E$4,ISBLANK(K71),ISBLANK(K72),ISBLANK(K73),ISBLANK(K74),ISBLANK(K75),ISBLANK(K76),ISBLANK(K77),ISBLANK(K78),ISBLANK(K79)),"",CHOOSE($E$4,K71,K72,K73,K74,K75,K76,K77,K78,K79))</x:f>
        <x:v>0.09505861133784399</x:v>
      </x:c>
      <x:c r="L70" s="18" t="n">
        <x:f>IF(CHOOSE($E$4,ISBLANK(L71),ISBLANK(L72),ISBLANK(L73),ISBLANK(L74),ISBLANK(L75),ISBLANK(L76),ISBLANK(L77),ISBLANK(L78),ISBLANK(L79)),"",CHOOSE($E$4,L71,L72,L73,L74,L75,L76,L77,L78,L79))</x:f>
        <x:v>0.126749458630385</x:v>
      </x:c>
    </x:row>
    <x:row r="71" ht="19" customHeight="1">
      <x:c r="A71" s="2"/>
      <x:c r="B71" s="2"/>
      <x:c r="C71" s="2" t="str">
        <x:v>Review with fee mechanics</x:v>
      </x:c>
      <x:c r="D71" s="2"/>
      <x:c r="E71" s="19"/>
      <x:c r="F71" s="19"/>
      <x:c r="G71" s="19"/>
      <x:c r="H71" s="19"/>
      <x:c r="I71" s="19"/>
      <x:c r="J71" s="19" t="n">
        <x:v>0.12217009053638739</x:v>
      </x:c>
      <x:c r="K71" s="19" t="n">
        <x:v>0.09505861133784399</x:v>
      </x:c>
      <x:c r="L71" s="19" t="n">
        <x:v>0.126749458630385</x:v>
      </x:c>
    </x:row>
    <x:row r="72" ht="19" customHeight="1">
      <x:c r="A72" s="2"/>
      <x:c r="B72" s="2"/>
      <x:c r="C72" s="2" t="str">
        <x:v>Review without fee mechanics</x:v>
      </x:c>
      <x:c r="D72" s="2"/>
      <x:c r="E72" s="19"/>
      <x:c r="F72" s="19"/>
      <x:c r="G72" s="19"/>
      <x:c r="H72" s="19"/>
      <x:c r="I72" s="19"/>
      <x:c r="J72" s="19" t="n">
        <x:v>0.12217009053638739</x:v>
      </x:c>
      <x:c r="K72" s="19" t="n">
        <x:v>0.09505861133784399</x:v>
      </x:c>
      <x:c r="L72" s="19" t="n">
        <x:v>0.126749458630385</x:v>
      </x:c>
    </x:row>
    <x:row r="73" ht="19" customHeight="1">
      <x:c r="A73" s="2"/>
      <x:c r="B73" s="2"/>
      <x:c r="C73" s="2" t="str">
        <x:v>K0 conditional GBV</x:v>
      </x:c>
      <x:c r="D73" s="2"/>
      <x:c r="E73" s="19"/>
      <x:c r="F73" s="19"/>
      <x:c r="G73" s="19"/>
      <x:c r="H73" s="19"/>
      <x:c r="I73" s="19"/>
      <x:c r="J73" s="19" t="n">
        <x:v>0.12217009053638739</x:v>
      </x:c>
      <x:c r="K73" s="19" t="n">
        <x:v>0.09505861133784399</x:v>
      </x:c>
      <x:c r="L73" s="19" t="n">
        <x:v>0.126749458630385</x:v>
      </x:c>
    </x:row>
    <x:row r="74" ht="19" customHeight="1">
      <x:c r="A74" s="2"/>
      <x:c r="B74" s="2"/>
      <x:c r="C74" s="2" t="str">
        <x:v>Alternative nights A</x:v>
      </x:c>
      <x:c r="D74" s="2"/>
      <x:c r="E74" s="19"/>
      <x:c r="F74" s="19"/>
      <x:c r="G74" s="19"/>
      <x:c r="H74" s="19"/>
      <x:c r="I74" s="19"/>
      <x:c r="J74" s="19" t="n">
        <x:v>0.12217009053638739</x:v>
      </x:c>
      <x:c r="K74" s="19" t="n">
        <x:v>0.09505861133784399</x:v>
      </x:c>
      <x:c r="L74" s="19" t="n">
        <x:v>0.126749458630385</x:v>
      </x:c>
    </x:row>
    <x:row r="75" ht="19" customHeight="1">
      <x:c r="A75" s="2"/>
      <x:c r="B75" s="2"/>
      <x:c r="C75" s="2" t="str">
        <x:v>ADR mean reversion</x:v>
      </x:c>
      <x:c r="D75" s="2"/>
      <x:c r="E75" s="19"/>
      <x:c r="F75" s="19"/>
      <x:c r="G75" s="19"/>
      <x:c r="H75" s="19"/>
      <x:c r="I75" s="19"/>
      <x:c r="J75" s="19" t="n">
        <x:v>0.12217009053638739</x:v>
      </x:c>
      <x:c r="K75" s="19" t="n">
        <x:v>0.09505861133784399</x:v>
      </x:c>
      <x:c r="L75" s="19" t="n">
        <x:v>0.126749458630385</x:v>
      </x:c>
    </x:row>
    <x:row r="76" ht="19" customHeight="1">
      <x:c r="A76" s="2"/>
      <x:c r="B76" s="2"/>
      <x:c r="C76" s="2" t="str">
        <x:v>Illustrative revenue −1%</x:v>
      </x:c>
      <x:c r="D76" s="2"/>
      <x:c r="E76" s="19"/>
      <x:c r="F76" s="19"/>
      <x:c r="G76" s="19"/>
      <x:c r="H76" s="19"/>
      <x:c r="I76" s="19"/>
      <x:c r="J76" s="19" t="n">
        <x:v>0.12217009053638739</x:v>
      </x:c>
      <x:c r="K76" s="19" t="n">
        <x:v>0.09505861133784399</x:v>
      </x:c>
      <x:c r="L76" s="19" t="n">
        <x:v>0.126749458630385</x:v>
      </x:c>
    </x:row>
    <x:row r="77" ht="19" customHeight="1">
      <x:c r="A77" s="2"/>
      <x:c r="B77" s="2"/>
      <x:c r="C77" s="2" t="str">
        <x:v>Illustrative revenue +1%</x:v>
      </x:c>
      <x:c r="D77" s="2"/>
      <x:c r="E77" s="19"/>
      <x:c r="F77" s="19"/>
      <x:c r="G77" s="19"/>
      <x:c r="H77" s="19"/>
      <x:c r="I77" s="19"/>
      <x:c r="J77" s="19" t="n">
        <x:v>0.12217009053638739</x:v>
      </x:c>
      <x:c r="K77" s="19" t="n">
        <x:v>0.09505861133784399</x:v>
      </x:c>
      <x:c r="L77" s="19" t="n">
        <x:v>0.126749458630385</x:v>
      </x:c>
    </x:row>
    <x:row r="78" ht="19" customHeight="1">
      <x:c r="A78" s="2"/>
      <x:c r="B78" s="2"/>
      <x:c r="C78" s="2" t="str">
        <x:v>Conditional soft envelope</x:v>
      </x:c>
      <x:c r="D78" s="2"/>
      <x:c r="E78" s="19"/>
      <x:c r="F78" s="19"/>
      <x:c r="G78" s="19"/>
      <x:c r="H78" s="19"/>
      <x:c r="I78" s="19"/>
      <x:c r="J78" s="19" t="n">
        <x:v>0.12217009053638739</x:v>
      </x:c>
      <x:c r="K78" s="19" t="n">
        <x:v>0.09505861133784399</x:v>
      </x:c>
      <x:c r="L78" s="19" t="n">
        <x:v>0.126749458630385</x:v>
      </x:c>
    </x:row>
    <x:row r="79" ht="19" customHeight="1">
      <x:c r="A79" s="2"/>
      <x:c r="B79" s="2"/>
      <x:c r="C79" s="2" t="str">
        <x:v>Conditional firm envelope</x:v>
      </x:c>
      <x:c r="D79" s="2"/>
      <x:c r="E79" s="19"/>
      <x:c r="F79" s="19"/>
      <x:c r="G79" s="19"/>
      <x:c r="H79" s="19"/>
      <x:c r="I79" s="19"/>
      <x:c r="J79" s="19" t="n">
        <x:v>0.12217009053638739</x:v>
      </x:c>
      <x:c r="K79" s="19" t="n">
        <x:v>0.09505861133784399</x:v>
      </x:c>
      <x:c r="L79" s="19" t="n">
        <x:v>0.126749458630385</x:v>
      </x:c>
    </x:row>
    <x:row r="80" ht="19" customHeight="1">
      <x:c r="A80" s="2"/>
      <x:c r="B80" s="2"/>
      <x:c r="C80" s="2"/>
      <x:c r="D80" s="2"/>
      <x:c r="E80" s="3"/>
      <x:c r="F80" s="3"/>
      <x:c r="G80" s="3"/>
      <x:c r="H80" s="3"/>
      <x:c r="I80" s="3"/>
      <x:c r="J80" s="3"/>
      <x:c r="K80" s="3"/>
      <x:c r="L80" s="3"/>
    </x:row>
    <x:row r="81" ht="19" customHeight="1">
      <x:c r="A81" s="2"/>
      <x:c r="B81" s="2"/>
      <x:c r="C81" s="2" t="str">
        <x:v>Blue inputs are editable. Shared financial drivers below apply to every operating case.</x:v>
      </x:c>
      <x:c r="D81" s="2"/>
      <x:c r="E81" s="3"/>
      <x:c r="F81" s="3"/>
      <x:c r="G81" s="3"/>
      <x:c r="H81" s="3"/>
      <x:c r="I81" s="3"/>
      <x:c r="J81" s="3"/>
      <x:c r="K81" s="3"/>
      <x:c r="L81" s="3"/>
    </x:row>
    <x:row r="82" ht="19" customHeight="1">
      <x:c r="A82" s="2"/>
      <x:c r="B82" s="2"/>
      <x:c r="C82" s="2" t="str">
        <x:v>Blank sensitivity means unestimated. +/-1% is a generic net after-hedge consolidated-revenue perturbation.</x:v>
      </x:c>
      <x:c r="D82" s="2"/>
      <x:c r="E82" s="3"/>
      <x:c r="F82" s="3"/>
      <x:c r="G82" s="3"/>
      <x:c r="H82" s="3"/>
      <x:c r="I82" s="3"/>
      <x:c r="J82" s="3"/>
      <x:c r="K82" s="3"/>
      <x:c r="L82" s="3"/>
    </x:row>
    <x:row r="83" ht="19" customHeight="1">
      <x:c r="A83" s="2"/>
      <x:c r="B83" s="2"/>
      <x:c r="C83" s="2" t="str">
        <x:v>K0: GBV is identified. Reference-case nights drive support costs; its ADR is not identified.</x:v>
      </x:c>
      <x:c r="D83" s="2"/>
      <x:c r="E83" s="3"/>
      <x:c r="F83" s="3"/>
      <x:c r="G83" s="3"/>
      <x:c r="H83" s="3"/>
      <x:c r="I83" s="3"/>
      <x:c r="J83" s="3"/>
      <x:c r="K83" s="3"/>
      <x:c r="L83" s="3"/>
    </x:row>
    <x:row r="84" ht="19" customHeight="1">
      <x:c r="A84" s="2"/>
      <x:c r="B84" s="2"/>
      <x:c r="C84" s="2" t="str">
        <x:v>Kernel coefficients are fixed 2/3 and 1/3. Quarter input GBV first affects next-quarter revenue.</x:v>
      </x:c>
      <x:c r="D84" s="2"/>
      <x:c r="E84" s="3"/>
      <x:c r="F84" s="3"/>
      <x:c r="G84" s="3"/>
      <x:c r="H84" s="3"/>
      <x:c r="I84" s="3"/>
      <x:c r="J84" s="3"/>
      <x:c r="K84" s="3"/>
      <x:c r="L84" s="3"/>
    </x:row>
    <x:row r="85" ht="19" customHeight="1">
      <x:c r="A85" s="2"/>
      <x:c r="B85" s="2"/>
      <x:c r="C85" s="2"/>
      <x:c r="D85" s="2"/>
      <x:c r="E85" s="3"/>
      <x:c r="F85" s="3"/>
      <x:c r="G85" s="3"/>
      <x:c r="H85" s="3"/>
      <x:c r="I85" s="3"/>
      <x:c r="J85" s="3"/>
      <x:c r="K85" s="3"/>
      <x:c r="L85" s="3"/>
    </x:row>
    <x:row r="86" ht="19" customHeight="1">
      <x:c r="A86" s="2"/>
      <x:c r="B86" s="2"/>
      <x:c r="C86" s="2"/>
      <x:c r="D86" s="2"/>
      <x:c r="E86" s="3"/>
      <x:c r="F86" s="3"/>
      <x:c r="G86" s="3"/>
      <x:c r="H86" s="3"/>
      <x:c r="I86" s="3"/>
      <x:c r="J86" s="3"/>
      <x:c r="K86" s="3"/>
      <x:c r="L86" s="3"/>
    </x:row>
    <x:row r="87" ht="19" customHeight="1">
      <x:c r="A87" s="2"/>
      <x:c r="B87" s="2"/>
      <x:c r="C87" s="2"/>
      <x:c r="D87" s="2"/>
      <x:c r="E87" s="3"/>
      <x:c r="F87" s="3"/>
      <x:c r="G87" s="3"/>
      <x:c r="H87" s="3"/>
      <x:c r="I87" s="3"/>
      <x:c r="J87" s="3"/>
      <x:c r="K87" s="3"/>
      <x:c r="L87" s="3"/>
    </x:row>
    <x:row r="88" ht="23" customHeight="1">
      <x:c r="A88" s="2"/>
      <x:c r="B88" s="2"/>
      <x:c r="C88" s="27" t="str">
        <x:v>Inherited financial assumptions</x:v>
      </x:c>
      <x:c r="D88" s="27"/>
      <x:c r="E88" s="28"/>
      <x:c r="F88" s="28"/>
      <x:c r="G88" s="28"/>
      <x:c r="H88" s="28"/>
      <x:c r="I88" s="3"/>
      <x:c r="J88" s="3"/>
      <x:c r="K88" s="3"/>
      <x:c r="L88" s="3"/>
    </x:row>
    <x:row r="89" ht="19" customHeight="1">
      <x:c r="A89" s="2"/>
      <x:c r="B89" s="2"/>
      <x:c r="C89" s="2"/>
      <x:c r="D89" s="2"/>
      <x:c r="E89" s="3"/>
      <x:c r="F89" s="3" t="str">
        <x:v>FY:26</x:v>
      </x:c>
      <x:c r="G89" s="3" t="str">
        <x:v>FY:27</x:v>
      </x:c>
      <x:c r="H89" s="3" t="str">
        <x:v>FY:28</x:v>
      </x:c>
      <x:c r="I89" s="3"/>
      <x:c r="J89" s="3"/>
      <x:c r="K89" s="3"/>
      <x:c r="L89" s="3"/>
    </x:row>
    <x:row r="90" ht="19" customHeight="1">
      <x:c r="A90" s="2"/>
      <x:c r="B90" s="2"/>
      <x:c r="C90" s="2"/>
      <x:c r="D90" s="2"/>
      <x:c r="E90" s="3"/>
      <x:c r="F90" s="3"/>
      <x:c r="G90" s="3"/>
      <x:c r="H90" s="3"/>
      <x:c r="I90" s="3"/>
      <x:c r="J90" s="3"/>
      <x:c r="K90" s="3"/>
      <x:c r="L90" s="3"/>
    </x:row>
    <x:row r="91" ht="19" customHeight="1">
      <x:c r="A91" s="2"/>
      <x:c r="B91" s="2"/>
      <x:c r="C91" s="2" t="str">
        <x:v>Processing cost per GBV growth</x:v>
      </x:c>
      <x:c r="D91" s="2"/>
      <x:c r="E91" s="3"/>
      <x:c r="F91" s="19" t="n">
        <x:v>0</x:v>
      </x:c>
      <x:c r="G91" s="19" t="n">
        <x:v>0</x:v>
      </x:c>
      <x:c r="H91" s="19" t="n">
        <x:v>-0.005</x:v>
      </x:c>
      <x:c r="I91" s="3"/>
      <x:c r="J91" s="3"/>
      <x:c r="K91" s="3"/>
      <x:c r="L91" s="3"/>
    </x:row>
    <x:row r="92" ht="19" customHeight="1">
      <x:c r="A92" s="2"/>
      <x:c r="B92" s="2"/>
      <x:c r="C92" s="2" t="str">
        <x:v>Support cost per night growth</x:v>
      </x:c>
      <x:c r="D92" s="2"/>
      <x:c r="E92" s="3"/>
      <x:c r="F92" s="19" t="n">
        <x:v>-0.05</x:v>
      </x:c>
      <x:c r="G92" s="19" t="n">
        <x:v>-0.05</x:v>
      </x:c>
      <x:c r="H92" s="19" t="n">
        <x:v>-0.05</x:v>
      </x:c>
      <x:c r="I92" s="3"/>
      <x:c r="J92" s="3"/>
      <x:c r="K92" s="3"/>
      <x:c r="L92" s="3"/>
    </x:row>
    <x:row r="93" ht="19" customHeight="1">
      <x:c r="A93" s="2"/>
      <x:c r="B93" s="2"/>
      <x:c r="C93" s="2" t="str">
        <x:v>Product development growth</x:v>
      </x:c>
      <x:c r="D93" s="2"/>
      <x:c r="E93" s="3"/>
      <x:c r="F93" s="19" t="n">
        <x:v>0.11</x:v>
      </x:c>
      <x:c r="G93" s="19" t="n">
        <x:v>0.1</x:v>
      </x:c>
      <x:c r="H93" s="19" t="n">
        <x:v>0.095</x:v>
      </x:c>
      <x:c r="I93" s="3"/>
      <x:c r="J93" s="3"/>
      <x:c r="K93" s="3"/>
      <x:c r="L93" s="3"/>
    </x:row>
    <x:row r="94" ht="19" customHeight="1">
      <x:c r="A94" s="2"/>
      <x:c r="B94" s="2"/>
      <x:c r="C94" s="2" t="str">
        <x:v>Brand/performance marketing growth</x:v>
      </x:c>
      <x:c r="D94" s="2"/>
      <x:c r="E94" s="3"/>
      <x:c r="F94" s="19" t="n">
        <x:v>0.25</x:v>
      </x:c>
      <x:c r="G94" s="19" t="n">
        <x:v>0.16</x:v>
      </x:c>
      <x:c r="H94" s="19" t="n">
        <x:v>0.135</x:v>
      </x:c>
      <x:c r="I94" s="3"/>
      <x:c r="J94" s="3"/>
      <x:c r="K94" s="3"/>
      <x:c r="L94" s="3"/>
    </x:row>
    <x:row r="95" ht="19" customHeight="1">
      <x:c r="A95" s="2"/>
      <x:c r="B95" s="2"/>
      <x:c r="C95" s="2" t="str">
        <x:v>Field operations/policy growth</x:v>
      </x:c>
      <x:c r="D95" s="2"/>
      <x:c r="E95" s="3"/>
      <x:c r="F95" s="19" t="n">
        <x:v>0.18</x:v>
      </x:c>
      <x:c r="G95" s="19" t="n">
        <x:v>0.14</x:v>
      </x:c>
      <x:c r="H95" s="19" t="n">
        <x:v>0.12</x:v>
      </x:c>
      <x:c r="I95" s="3"/>
      <x:c r="J95" s="3"/>
      <x:c r="K95" s="3"/>
      <x:c r="L95" s="3"/>
    </x:row>
    <x:row r="96" ht="19" customHeight="1">
      <x:c r="A96" s="2"/>
      <x:c r="B96" s="2"/>
      <x:c r="C96" s="2" t="str">
        <x:v>G&amp;A growth</x:v>
      </x:c>
      <x:c r="D96" s="2"/>
      <x:c r="E96" s="3"/>
      <x:c r="F96" s="19" t="n">
        <x:v>0.02</x:v>
      </x:c>
      <x:c r="G96" s="19" t="n">
        <x:v>0.055</x:v>
      </x:c>
      <x:c r="H96" s="19" t="n">
        <x:v>0.05</x:v>
      </x:c>
      <x:c r="I96" s="3"/>
      <x:c r="J96" s="3"/>
      <x:c r="K96" s="3"/>
      <x:c r="L96" s="3"/>
    </x:row>
    <x:row r="97" ht="19" customHeight="1">
      <x:c r="A97" s="2"/>
      <x:c r="B97" s="2"/>
      <x:c r="C97" s="2" t="str">
        <x:v>Total EBITDA addbacks including D&amp;A / revenue</x:v>
      </x:c>
      <x:c r="D97" s="2"/>
      <x:c r="E97" s="3"/>
      <x:c r="F97" s="19" t="n">
        <x:v>0.009</x:v>
      </x:c>
      <x:c r="G97" s="19" t="n">
        <x:v>0.009</x:v>
      </x:c>
      <x:c r="H97" s="19" t="n">
        <x:v>0.009</x:v>
      </x:c>
      <x:c r="I97" s="3"/>
      <x:c r="J97" s="3"/>
      <x:c r="K97" s="3"/>
      <x:c r="L97" s="3"/>
    </x:row>
    <x:row r="98" ht="19" customHeight="1">
      <x:c r="A98" s="2"/>
      <x:c r="B98" s="2"/>
      <x:c r="C98" s="2" t="str">
        <x:v>SBC growth</x:v>
      </x:c>
      <x:c r="D98" s="2"/>
      <x:c r="E98" s="3"/>
      <x:c r="F98" s="19" t="n">
        <x:v>0.13</x:v>
      </x:c>
      <x:c r="G98" s="19" t="n">
        <x:v>0.1</x:v>
      </x:c>
      <x:c r="H98" s="19" t="n">
        <x:v>0.08</x:v>
      </x:c>
      <x:c r="I98" s="3"/>
      <x:c r="J98" s="3"/>
      <x:c r="K98" s="3"/>
      <x:c r="L98" s="3"/>
    </x:row>
    <x:row r="99" ht="19" customHeight="1">
      <x:c r="A99" s="2"/>
      <x:c r="B99" s="2"/>
      <x:c r="C99" s="2" t="str">
        <x:v>Interest income</x:v>
      </x:c>
      <x:c r="D99" s="2"/>
      <x:c r="E99" s="3"/>
      <x:c r="F99" s="9" t="n">
        <x:v>660</x:v>
      </x:c>
      <x:c r="G99" s="9" t="n">
        <x:v>620</x:v>
      </x:c>
      <x:c r="H99" s="9" t="n">
        <x:v>590</x:v>
      </x:c>
      <x:c r="I99" s="3"/>
      <x:c r="J99" s="3"/>
      <x:c r="K99" s="3"/>
      <x:c r="L99" s="3"/>
    </x:row>
    <x:row r="100" ht="19" customHeight="1">
      <x:c r="A100" s="2"/>
      <x:c r="B100" s="2"/>
      <x:c r="C100" s="2" t="str">
        <x:v>Interest expense</x:v>
      </x:c>
      <x:c r="D100" s="2"/>
      <x:c r="E100" s="3"/>
      <x:c r="F100" s="9" t="n">
        <x:v>120</x:v>
      </x:c>
      <x:c r="G100" s="9" t="n">
        <x:v>125</x:v>
      </x:c>
      <x:c r="H100" s="9" t="n">
        <x:v>125</x:v>
      </x:c>
      <x:c r="I100" s="3"/>
      <x:c r="J100" s="3"/>
      <x:c r="K100" s="3"/>
      <x:c r="L100" s="3"/>
    </x:row>
    <x:row r="101" ht="19" customHeight="1">
      <x:c r="A101" s="2"/>
      <x:c r="B101" s="2"/>
      <x:c r="C101" s="2" t="str">
        <x:v>Cash taxes / revenue</x:v>
      </x:c>
      <x:c r="D101" s="2"/>
      <x:c r="E101" s="3"/>
      <x:c r="F101" s="19" t="n">
        <x:v>0.026</x:v>
      </x:c>
      <x:c r="G101" s="19" t="n">
        <x:v>0.034</x:v>
      </x:c>
      <x:c r="H101" s="19" t="n">
        <x:v>0.04</x:v>
      </x:c>
      <x:c r="I101" s="3"/>
      <x:c r="J101" s="3"/>
      <x:c r="K101" s="3"/>
      <x:c r="L101" s="3"/>
    </x:row>
    <x:row r="102" ht="19" customHeight="1">
      <x:c r="A102" s="2"/>
      <x:c r="B102" s="2"/>
      <x:c r="C102" s="2" t="str">
        <x:v>Change in unearned fees / revenue</x:v>
      </x:c>
      <x:c r="D102" s="2"/>
      <x:c r="E102" s="3"/>
      <x:c r="F102" s="19" t="n">
        <x:v>0</x:v>
      </x:c>
      <x:c r="G102" s="19" t="n">
        <x:v>0</x:v>
      </x:c>
      <x:c r="H102" s="19" t="n">
        <x:v>0</x:v>
      </x:c>
      <x:c r="I102" s="3"/>
      <x:c r="J102" s="3"/>
      <x:c r="K102" s="3"/>
      <x:c r="L102" s="3"/>
    </x:row>
    <x:row r="103" ht="19" customHeight="1">
      <x:c r="A103" s="2"/>
      <x:c r="B103" s="2"/>
      <x:c r="C103" s="2" t="str">
        <x:v>Effective tax rate</x:v>
      </x:c>
      <x:c r="D103" s="2"/>
      <x:c r="E103" s="3"/>
      <x:c r="F103" s="19" t="n">
        <x:v>0.19</x:v>
      </x:c>
      <x:c r="G103" s="19" t="n">
        <x:v>0.2</x:v>
      </x:c>
      <x:c r="H103" s="19" t="n">
        <x:v>0.2</x:v>
      </x:c>
      <x:c r="I103" s="3"/>
      <x:c r="J103" s="3"/>
      <x:c r="K103" s="3"/>
      <x:c r="L103" s="3"/>
    </x:row>
    <x:row r="104" ht="19" customHeight="1">
      <x:c r="A104" s="2"/>
      <x:c r="B104" s="2"/>
      <x:c r="C104" s="2" t="str">
        <x:v>AI referral expense / revenue</x:v>
      </x:c>
      <x:c r="D104" s="2"/>
      <x:c r="E104" s="3"/>
      <x:c r="F104" s="19" t="n">
        <x:v>0</x:v>
      </x:c>
      <x:c r="G104" s="19" t="n">
        <x:v>0.0038</x:v>
      </x:c>
      <x:c r="H104" s="19" t="n">
        <x:v>0.0077</x:v>
      </x:c>
      <x:c r="I104" s="3"/>
      <x:c r="J104" s="3"/>
      <x:c r="K104" s="3"/>
      <x:c r="L104" s="3"/>
    </x:row>
    <x:row r="105" ht="19" customHeight="1">
      <x:c r="A105" s="2"/>
      <x:c r="B105" s="2"/>
      <x:c r="C105" s="2" t="str">
        <x:v>Buybacks</x:v>
      </x:c>
      <x:c r="D105" s="2"/>
      <x:c r="E105" s="3"/>
      <x:c r="F105" s="9" t="n">
        <x:v>4200</x:v>
      </x:c>
      <x:c r="G105" s="9" t="n">
        <x:v>4000</x:v>
      </x:c>
      <x:c r="H105" s="9" t="n">
        <x:v>4000</x:v>
      </x:c>
      <x:c r="I105" s="3"/>
      <x:c r="J105" s="3"/>
      <x:c r="K105" s="3"/>
      <x:c r="L105" s="3"/>
    </x:row>
    <x:row r="106" ht="19" customHeight="1">
      <x:c r="A106" s="2"/>
      <x:c r="B106" s="2"/>
      <x:c r="C106" s="2" t="str">
        <x:v>Capex / revenue</x:v>
      </x:c>
      <x:c r="D106" s="2"/>
      <x:c r="E106" s="3"/>
      <x:c r="F106" s="19" t="n">
        <x:v>0.003</x:v>
      </x:c>
      <x:c r="G106" s="19" t="n">
        <x:v>0.003</x:v>
      </x:c>
      <x:c r="H106" s="19" t="n">
        <x:v>0.003</x:v>
      </x:c>
      <x:c r="I106" s="3"/>
      <x:c r="J106" s="3"/>
      <x:c r="K106" s="3"/>
      <x:c r="L106" s="3"/>
    </x:row>
    <x:row r="107" ht="19" customHeight="1">
      <x:c r="A107" s="2"/>
      <x:c r="B107" s="2"/>
      <x:c r="C107" s="2" t="str">
        <x:v>Working capital residual / revenue</x:v>
      </x:c>
      <x:c r="D107" s="2"/>
      <x:c r="E107" s="3"/>
      <x:c r="F107" s="19" t="n">
        <x:v>-0.011</x:v>
      </x:c>
      <x:c r="G107" s="19" t="n">
        <x:v>-0.011</x:v>
      </x:c>
      <x:c r="H107" s="19" t="n">
        <x:v>-0.011</x:v>
      </x:c>
      <x:c r="I107" s="3"/>
      <x:c r="J107" s="3"/>
      <x:c r="K107" s="3"/>
      <x:c r="L107" s="3"/>
    </x:row>
    <x:row r="108" ht="19" customHeight="1">
      <x:c r="A108" s="2"/>
      <x:c r="B108" s="2"/>
      <x:c r="C108" s="2" t="str">
        <x:v>D&amp;A / revenue (within total addbacks)</x:v>
      </x:c>
      <x:c r="D108" s="2"/>
      <x:c r="E108" s="3"/>
      <x:c r="F108" s="19" t="n">
        <x:v>0.007</x:v>
      </x:c>
      <x:c r="G108" s="19" t="n">
        <x:v>0.007</x:v>
      </x:c>
      <x:c r="H108" s="19" t="n">
        <x:v>0.007</x:v>
      </x:c>
      <x:c r="I108" s="3"/>
      <x:c r="J108" s="3"/>
      <x:c r="K108" s="3"/>
      <x:c r="L108" s="3"/>
    </x:row>
    <x:row r="109" ht="19" customHeight="1">
      <x:c r="A109" s="2"/>
      <x:c r="B109" s="2"/>
      <x:c r="C109" s="2" t="str">
        <x:v>Inherited revenue growth</x:v>
      </x:c>
      <x:c r="D109" s="2"/>
      <x:c r="E109" s="3"/>
      <x:c r="F109" s="19"/>
      <x:c r="G109" s="19"/>
      <x:c r="H109" s="19" t="n">
        <x:v>0.13288064259639487</x:v>
      </x:c>
      <x:c r="I109" s="3"/>
      <x:c r="J109" s="3"/>
      <x:c r="K109" s="3"/>
      <x:c r="L109" s="3"/>
    </x:row>
    <x:row r="110" ht="19" customHeight="1">
      <x:c r="A110" s="2"/>
      <x:c r="B110" s="2"/>
      <x:c r="C110" s="2" t="str">
        <x:v>Inherited nights growth</x:v>
      </x:c>
      <x:c r="D110" s="2"/>
      <x:c r="E110" s="3"/>
      <x:c r="F110" s="19"/>
      <x:c r="G110" s="19"/>
      <x:c r="H110" s="19" t="n">
        <x:v>0.07451225678632123</x:v>
      </x:c>
      <x:c r="I110" s="3"/>
      <x:c r="J110" s="3"/>
      <x:c r="K110" s="3"/>
      <x:c r="L110" s="3"/>
    </x:row>
    <x:row r="111" ht="19" customHeight="1">
      <x:c r="A111" s="2"/>
      <x:c r="B111" s="2"/>
      <x:c r="C111" s="2" t="str">
        <x:v>Inherited GBV growth</x:v>
      </x:c>
      <x:c r="D111" s="2"/>
      <x:c r="E111" s="3"/>
      <x:c r="F111" s="19"/>
      <x:c r="G111" s="19"/>
      <x:c r="H111" s="19" t="n">
        <x:v>0.10137506320597933</x:v>
      </x:c>
      <x:c r="I111" s="3"/>
      <x:c r="J111" s="3"/>
      <x:c r="K111" s="3"/>
      <x:c r="L111" s="3"/>
    </x:row>
    <x:row r="112" ht="19" customHeight="1">
      <x:c r="A112" s="2"/>
      <x:c r="B112" s="2"/>
      <x:c r="C112" s="2" t="str">
        <x:v>New initiative costs (inherited dollars)</x:v>
      </x:c>
      <x:c r="D112" s="2"/>
      <x:c r="E112" s="3"/>
      <x:c r="F112" s="9" t="n">
        <x:v>8.422559940396688</x:v>
      </x:c>
      <x:c r="G112" s="9" t="n">
        <x:v>58.998795545192756</x:v>
      </x:c>
      <x:c r="H112" s="9" t="n">
        <x:v>149.66858377950746</x:v>
      </x:c>
      <x:c r="I112" s="3"/>
      <x:c r="J112" s="3"/>
      <x:c r="K112" s="3"/>
      <x:c r="L112" s="3"/>
    </x:row>
    <x:row r="113" ht="19" customHeight="1">
      <x:c r="A113" s="2"/>
      <x:c r="B113" s="2"/>
      <x:c r="C113" s="2"/>
      <x:c r="D113" s="2"/>
      <x:c r="E113" s="3"/>
      <x:c r="F113" s="3"/>
      <x:c r="G113" s="3"/>
      <x:c r="H113" s="3"/>
      <x:c r="I113" s="3"/>
      <x:c r="J113" s="3"/>
      <x:c r="K113" s="3"/>
      <x:c r="L113" s="3"/>
    </x:row>
    <x:row r="114" ht="19" customHeight="1">
      <x:c r="A114" s="2"/>
      <x:c r="B114" s="2"/>
      <x:c r="C114" s="2"/>
      <x:c r="D114" s="2"/>
      <x:c r="E114" s="3"/>
      <x:c r="F114" s="3"/>
      <x:c r="G114" s="3"/>
      <x:c r="H114" s="3"/>
      <x:c r="I114" s="3"/>
      <x:c r="J114" s="3"/>
      <x:c r="K114" s="3"/>
      <x:c r="L114" s="3"/>
    </x:row>
    <x:row r="115" ht="19" customHeight="1">
      <x:c r="A115" s="2"/>
      <x:c r="B115" s="2"/>
      <x:c r="C115" s="2"/>
      <x:c r="D115" s="2"/>
      <x:c r="E115" s="3"/>
      <x:c r="F115" s="3"/>
      <x:c r="G115" s="3"/>
      <x:c r="H115" s="3"/>
      <x:c r="I115" s="3"/>
      <x:c r="J115" s="3"/>
      <x:c r="K115" s="3"/>
      <x:c r="L115" s="3"/>
    </x:row>
    <x:row r="116" ht="19" customHeight="1">
      <x:c r="A116" s="2"/>
      <x:c r="B116" s="2"/>
      <x:c r="C116" s="2"/>
      <x:c r="D116" s="2"/>
      <x:c r="E116" s="3"/>
      <x:c r="F116" s="3"/>
      <x:c r="G116" s="3"/>
      <x:c r="H116" s="3"/>
      <x:c r="I116" s="3"/>
      <x:c r="J116" s="3"/>
      <x:c r="K116" s="3"/>
      <x:c r="L116" s="3"/>
    </x:row>
    <x:row r="117" ht="23" customHeight="1">
      <x:c r="A117" s="2"/>
      <x:c r="B117" s="2"/>
      <x:c r="C117" s="27" t="str">
        <x:v>Capital and valuation assumptions</x:v>
      </x:c>
      <x:c r="D117" s="27"/>
      <x:c r="E117" s="28"/>
      <x:c r="F117" s="28"/>
      <x:c r="G117" s="28"/>
      <x:c r="H117" s="28"/>
      <x:c r="I117" s="3"/>
      <x:c r="J117" s="3"/>
      <x:c r="K117" s="3"/>
      <x:c r="L117" s="3"/>
    </x:row>
    <x:row r="118" ht="19" customHeight="1">
      <x:c r="A118" s="2"/>
      <x:c r="B118" s="2"/>
      <x:c r="C118" s="2"/>
      <x:c r="D118" s="2"/>
      <x:c r="E118" s="3"/>
      <x:c r="F118" s="3"/>
      <x:c r="G118" s="3"/>
      <x:c r="H118" s="3"/>
      <x:c r="I118" s="3"/>
      <x:c r="J118" s="3"/>
      <x:c r="K118" s="3"/>
      <x:c r="L118" s="3"/>
    </x:row>
    <x:row r="119" ht="19" customHeight="1">
      <x:c r="A119" s="2"/>
      <x:c r="B119" s="2"/>
      <x:c r="C119" s="2" t="str">
        <x:v>Buyback/issuance price anchor, 4 Sep 2026</x:v>
      </x:c>
      <x:c r="D119" s="2"/>
      <x:c r="E119" s="3"/>
      <x:c r="F119" s="29" t="n">
        <x:v>181.94</x:v>
      </x:c>
      <x:c r="G119" s="3"/>
      <x:c r="H119" s="3"/>
      <x:c r="I119" s="3"/>
      <x:c r="J119" s="3"/>
      <x:c r="K119" s="3" t="str">
        <x:v>1: Review with fee mechanics</x:v>
      </x:c>
      <x:c r="L119" s="3"/>
    </x:row>
    <x:row r="120" ht="19" customHeight="1">
      <x:c r="A120" s="2"/>
      <x:c r="B120" s="2"/>
      <x:c r="C120" s="2" t="str">
        <x:v>Opening net cash ex customer funds, 30 Jun 2026</x:v>
      </x:c>
      <x:c r="D120" s="2"/>
      <x:c r="E120" s="3"/>
      <x:c r="F120" s="9" t="n">
        <x:v>9593</x:v>
      </x:c>
      <x:c r="G120" s="3"/>
      <x:c r="H120" s="3"/>
      <x:c r="I120" s="3"/>
      <x:c r="J120" s="3"/>
      <x:c r="K120" s="3" t="str">
        <x:v>2: Review without fee mechanics</x:v>
      </x:c>
      <x:c r="L120" s="3"/>
    </x:row>
    <x:row r="121" ht="19" customHeight="1">
      <x:c r="A121" s="2"/>
      <x:c r="B121" s="2"/>
      <x:c r="C121" s="2" t="str">
        <x:v>Opening diluted share proxy, 30 Jun 2026</x:v>
      </x:c>
      <x:c r="D121" s="2"/>
      <x:c r="E121" s="3"/>
      <x:c r="F121" s="9" t="n">
        <x:v>597</x:v>
      </x:c>
      <x:c r="G121" s="3"/>
      <x:c r="H121" s="3"/>
      <x:c r="I121" s="3"/>
      <x:c r="J121" s="3"/>
      <x:c r="K121" s="3" t="str">
        <x:v>3: K0 conditional GBV</x:v>
      </x:c>
      <x:c r="L121" s="3"/>
    </x:row>
    <x:row r="122" ht="19" customHeight="1">
      <x:c r="A122" s="2"/>
      <x:c r="B122" s="2"/>
      <x:c r="C122" s="2" t="str">
        <x:v>Cost of equity</x:v>
      </x:c>
      <x:c r="D122" s="2"/>
      <x:c r="E122" s="3"/>
      <x:c r="F122" s="19" t="n">
        <x:v>0.105</x:v>
      </x:c>
      <x:c r="G122" s="3"/>
      <x:c r="H122" s="3"/>
      <x:c r="I122" s="3"/>
      <x:c r="J122" s="3"/>
      <x:c r="K122" s="3" t="str">
        <x:v>4: Alternative nights A</x:v>
      </x:c>
      <x:c r="L122" s="3"/>
    </x:row>
    <x:row r="123" ht="19" customHeight="1">
      <x:c r="A123" s="2"/>
      <x:c r="B123" s="2"/>
      <x:c r="C123" s="2" t="str">
        <x:v>Terminal growth</x:v>
      </x:c>
      <x:c r="D123" s="2"/>
      <x:c r="E123" s="3"/>
      <x:c r="F123" s="19" t="n">
        <x:v>0.03</x:v>
      </x:c>
      <x:c r="G123" s="3"/>
      <x:c r="H123" s="3"/>
      <x:c r="I123" s="3"/>
      <x:c r="J123" s="3"/>
      <x:c r="K123" s="3" t="str">
        <x:v>5: ADR mean reversion</x:v>
      </x:c>
      <x:c r="L123" s="3"/>
    </x:row>
    <x:row r="124" ht="19" customHeight="1">
      <x:c r="A124" s="2"/>
      <x:c r="B124" s="2"/>
      <x:c r="C124" s="2" t="str">
        <x:v>DCF starting FCF growth</x:v>
      </x:c>
      <x:c r="D124" s="2"/>
      <x:c r="E124" s="3"/>
      <x:c r="F124" s="19" t="n">
        <x:v>0.09</x:v>
      </x:c>
      <x:c r="G124" s="3"/>
      <x:c r="H124" s="3"/>
      <x:c r="I124" s="3"/>
      <x:c r="J124" s="3"/>
      <x:c r="K124" s="3" t="str">
        <x:v>6: Illustrative revenue −1%</x:v>
      </x:c>
      <x:c r="L124" s="3"/>
    </x:row>
    <x:row r="125" ht="19" customHeight="1">
      <x:c r="A125" s="2"/>
      <x:c r="B125" s="2"/>
      <x:c r="C125" s="2" t="str">
        <x:v>EV / FY27 adjusted EBITDA</x:v>
      </x:c>
      <x:c r="D125" s="2"/>
      <x:c r="E125" s="3"/>
      <x:c r="F125" s="9" t="n">
        <x:v>16.5</x:v>
      </x:c>
      <x:c r="G125" s="3"/>
      <x:c r="H125" s="3"/>
      <x:c r="I125" s="3"/>
      <x:c r="J125" s="3"/>
      <x:c r="K125" s="3" t="str">
        <x:v>7: Illustrative revenue +1%</x:v>
      </x:c>
      <x:c r="L125" s="3"/>
    </x:row>
    <x:row r="126" ht="19" customHeight="1">
      <x:c r="A126" s="2"/>
      <x:c r="B126" s="2"/>
      <x:c r="C126" s="2" t="str">
        <x:v>EV / FY27 FCF</x:v>
      </x:c>
      <x:c r="D126" s="2"/>
      <x:c r="E126" s="3"/>
      <x:c r="F126" s="9" t="n">
        <x:v>14.3</x:v>
      </x:c>
      <x:c r="G126" s="3"/>
      <x:c r="H126" s="3"/>
      <x:c r="I126" s="3"/>
      <x:c r="J126" s="3"/>
      <x:c r="K126" s="3" t="str">
        <x:v>8: Conditional soft envelope</x:v>
      </x:c>
      <x:c r="L126" s="3"/>
    </x:row>
    <x:row r="127" ht="19" customHeight="1">
      <x:c r="A127" s="2"/>
      <x:c r="B127" s="2"/>
      <x:c r="C127" s="2" t="str">
        <x:v>P / FY27 SBC-adjusted FCF</x:v>
      </x:c>
      <x:c r="D127" s="2"/>
      <x:c r="E127" s="3"/>
      <x:c r="F127" s="9" t="n">
        <x:v>19.5</x:v>
      </x:c>
      <x:c r="G127" s="3"/>
      <x:c r="H127" s="3"/>
      <x:c r="I127" s="3"/>
      <x:c r="J127" s="3"/>
      <x:c r="K127" s="3" t="str">
        <x:v>9: Conditional firm envelope</x:v>
      </x:c>
      <x:c r="L127" s="3"/>
    </x:row>
    <x:row r="128" ht="19" customHeight="1">
      <x:c r="A128" s="2"/>
      <x:c r="B128" s="2"/>
      <x:c r="C128" s="2" t="str">
        <x:v>P / FY27 earnings proxy</x:v>
      </x:c>
      <x:c r="D128" s="2"/>
      <x:c r="E128" s="3"/>
      <x:c r="F128" s="9" t="n">
        <x:v>19.5</x:v>
      </x:c>
      <x:c r="G128" s="3"/>
      <x:c r="H128" s="3"/>
      <x:c r="I128" s="3"/>
      <x:c r="J128" s="3"/>
      <x:c r="K128" s="3"/>
      <x:c r="L128" s="3"/>
    </x:row>
    <x:row r="129" ht="19" customHeight="1">
      <x:c r="A129" s="2"/>
      <x:c r="B129" s="2"/>
      <x:c r="C129" s="2" t="str">
        <x:v>RSU withholding / SBC</x:v>
      </x:c>
      <x:c r="D129" s="2"/>
      <x:c r="E129" s="3"/>
      <x:c r="F129" s="19" t="n">
        <x:v>0.35</x:v>
      </x:c>
      <x:c r="G129" s="3"/>
      <x:c r="H129" s="3"/>
      <x:c r="I129" s="3"/>
      <x:c r="J129" s="3"/>
      <x:c r="K129" s="3"/>
      <x:c r="L129" s="3"/>
    </x:row>
    <x:row r="130" ht="19" customHeight="1">
      <x:c r="A130" s="2"/>
      <x:c r="B130" s="2"/>
      <x:c r="C130" s="2" t="str">
        <x:v>Price growth for share issuance/buybacks</x:v>
      </x:c>
      <x:c r="D130" s="2"/>
      <x:c r="E130" s="3"/>
      <x:c r="F130" s="19" t="n">
        <x:v>0.05</x:v>
      </x:c>
      <x:c r="G130" s="3"/>
      <x:c r="H130" s="3"/>
      <x:c r="I130" s="3"/>
      <x:c r="J130" s="3"/>
      <x:c r="K130" s="3"/>
      <x:c r="L130" s="3"/>
    </x:row>
    <x:row r="131" ht="19" customHeight="1">
      <x:c r="A131" s="2"/>
      <x:c r="B131" s="2"/>
      <x:c r="C131" s="2" t="str">
        <x:v>Adjusted EBITDA margin cap</x:v>
      </x:c>
      <x:c r="D131" s="2"/>
      <x:c r="E131" s="3"/>
      <x:c r="F131" s="19" t="n">
        <x:v>0.38</x:v>
      </x:c>
      <x:c r="G131" s="3"/>
      <x:c r="H131" s="3"/>
      <x:c r="I131" s="3"/>
      <x:c r="J131" s="3"/>
      <x:c r="K131" s="3"/>
      <x:c r="L131" s="3"/>
    </x:row>
    <x:row r="132" ht="19" customHeight="1">
      <x:c r="A132" s="2"/>
      <x:c r="B132" s="2"/>
      <x:c r="C132" s="2"/>
      <x:c r="D132" s="2"/>
      <x:c r="E132" s="3"/>
      <x:c r="F132" s="3"/>
      <x:c r="G132" s="3"/>
      <x:c r="H132" s="3"/>
      <x:c r="I132" s="3"/>
      <x:c r="J132" s="3"/>
      <x:c r="K132" s="3"/>
      <x:c r="L132" s="3"/>
    </x:row>
    <x:row r="133" ht="19" customHeight="1">
      <x:c r="A133" s="2"/>
      <x:c r="B133" s="2"/>
      <x:c r="C133" s="2" t="str">
        <x:v>Valuation date</x:v>
      </x:c>
      <x:c r="D133" s="2"/>
      <x:c r="E133" s="3"/>
      <x:c r="F133" s="30" t="n">
        <x:v>46643</x:v>
      </x:c>
      <x:c r="G133" s="3"/>
      <x:c r="H133" s="3"/>
      <x:c r="I133" s="3"/>
      <x:c r="J133" s="3"/>
      <x:c r="K133" s="3"/>
      <x:c r="L133" s="3"/>
    </x:row>
    <x:row r="134" ht="19" customHeight="1">
      <x:c r="A134" s="2"/>
      <x:c r="B134" s="2"/>
      <x:c r="C134" s="2" t="str">
        <x:v>DCF fade: 10 years, fixed layout. All future rates are inherited assumptions.</x:v>
      </x:c>
      <x:c r="D134" s="2"/>
      <x:c r="E134" s="3"/>
      <x:c r="F134" s="3"/>
      <x:c r="G134" s="3"/>
      <x:c r="H134" s="3"/>
      <x:c r="I134" s="3"/>
      <x:c r="J134" s="3"/>
      <x:c r="K134" s="3"/>
      <x:c r="L134" s="3"/>
    </x:row>
    <x:row r="135" ht="19" customHeight="1">
      <x:c r="A135" s="2"/>
      <x:c r="B135" s="2"/>
      <x:c r="C135" s="2" t="str">
        <x:v>Inputs: legacy driver-model base scenario; L4 forecast.csv and operating_inputs.csv. Version/hash manifest delivered.</x:v>
      </x:c>
      <x:c r="D135" s="2"/>
      <x:c r="E135" s="3"/>
      <x:c r="F135" s="3"/>
      <x:c r="G135" s="3"/>
      <x:c r="H135" s="3"/>
      <x:c r="I135" s="3"/>
      <x:c r="J135" s="3"/>
      <x:c r="K135" s="3"/>
      <x:c r="L135" s="3"/>
    </x:row>
    <x:row r="136" ht="19" customHeight="1">
      <x:c r="A136" s="2"/>
      <x:c r="B136" s="2"/>
      <x:c r="C136" s="2" t="str">
        <x:v>No adopted direction, target or probabilities. Multiple assumptions are editable; no growth-to-multiple regression.</x:v>
      </x:c>
      <x:c r="D136" s="2"/>
      <x:c r="E136" s="3"/>
      <x:c r="F136" s="3"/>
      <x:c r="G136" s="3"/>
      <x:c r="H136" s="3"/>
      <x:c r="I136" s="3"/>
      <x:c r="J136" s="3"/>
      <x:c r="K136" s="3"/>
      <x:c r="L136" s="3"/>
    </x:row>
    <x:row r="137" ht="19" customHeight="1">
      <x:c r="A137" s="2"/>
      <x:c r="B137" s="2"/>
      <x:c r="C137" s="2" t="str">
        <x:v>Conversion validation complete: free weight failed promotion in W1/W2. Existing K0 seasonal policy retained.</x:v>
      </x:c>
      <x:c r="D137" s="2"/>
      <x:c r="E137" s="3"/>
      <x:c r="F137" s="3"/>
      <x:c r="G137" s="3"/>
      <x:c r="H137" s="3"/>
      <x:c r="I137" s="3"/>
      <x:c r="J137" s="3"/>
      <x:c r="K137" s="3"/>
      <x:c r="L137" s="3"/>
    </x:row>
    <x:row r="138" ht="19" customHeight="1">
      <x:c r="A138" s="2"/>
      <x:c r="B138" s="2"/>
      <x:c r="C138" s="2" t="str">
        <x:v>L3 source verified. FX/RNPL application ineligible: matching pre-hedge baseline and hedge split unresolved.</x:v>
      </x:c>
      <x:c r="D138" s="2"/>
      <x:c r="E138" s="3"/>
      <x:c r="F138" s="3"/>
      <x:c r="G138" s="3"/>
      <x:c r="H138" s="3"/>
      <x:c r="I138" s="3"/>
      <x:c r="J138" s="3"/>
      <x:c r="K138" s="3"/>
      <x:c r="L138" s="3"/>
    </x:row>
    <x:row r="139" ht="19" customHeight="1">
      <x:c r="A139" s="2"/>
      <x:c r="B139" s="2"/>
      <x:c r="C139" s="2"/>
      <x:c r="D139" s="2"/>
      <x:c r="E139" s="3"/>
      <x:c r="F139" s="3"/>
      <x:c r="G139" s="3"/>
      <x:c r="H139" s="3"/>
      <x:c r="I139" s="3"/>
      <x:c r="J139" s="3"/>
      <x:c r="K139" s="3"/>
      <x:c r="L139" s="3"/>
    </x:row>
    <x:row r="140" ht="19" customHeight="1">
      <x:c r="A140" s="2"/>
      <x:c r="B140" s="2"/>
      <x:c r="C140" s="2" t="str">
        <x:v>Fixed benchmark prior-quarter GBV weight</x:v>
      </x:c>
      <x:c r="D140" s="2"/>
      <x:c r="E140" s="3"/>
      <x:c r="F140" s="19" t="n">
        <x:v>0.6666666666666666</x:v>
      </x:c>
      <x:c r="G140" s="3"/>
      <x:c r="H140" s="3"/>
      <x:c r="I140" s="3"/>
      <x:c r="J140" s="3"/>
      <x:c r="K140" s="3"/>
      <x:c r="L140" s="3"/>
    </x:row>
    <x:row r="141" ht="19" customHeight="1">
      <x:c r="A141" s="2"/>
      <x:c r="B141" s="2"/>
      <x:c r="C141" s="2" t="str">
        <x:v>All22 fitted weight and fixed-OLS coefficients are descriptive only; neither replaces operational K0.</x:v>
      </x:c>
      <x:c r="D141" s="2"/>
      <x:c r="E141" s="3"/>
      <x:c r="F141" s="3"/>
      <x:c r="G141" s="3"/>
      <x:c r="H141" s="3"/>
      <x:c r="I141" s="3"/>
      <x:c r="J141" s="3"/>
      <x:c r="K141" s="3"/>
      <x:c r="L141" s="3"/>
    </x:row>
    <x:row r="142" ht="19" customHeight="1">
      <x:c r="A142" s="2"/>
      <x:c r="B142" s="2"/>
      <x:c r="C142" s="2" t="str">
        <x:v>Information date</x:v>
      </x:c>
      <x:c r="D142" s="2"/>
      <x:c r="E142" s="3"/>
      <x:c r="F142" s="31" t="n">
        <x:v>46278</x:v>
      </x:c>
      <x:c r="G142" s="3"/>
      <x:c r="H142" s="3"/>
      <x:c r="I142" s="3"/>
      <x:c r="J142" s="3"/>
      <x:c r="K142" s="3"/>
      <x:c r="L142" s="3"/>
    </x:row>
    <x:row r="143" ht="19" customHeight="1">
      <x:c r="A143" s="2"/>
      <x:c r="B143" s="2"/>
      <x:c r="C143" s="2" t="str">
        <x:v>FY26 end</x:v>
      </x:c>
      <x:c r="D143" s="2"/>
      <x:c r="E143" s="3"/>
      <x:c r="F143" s="31" t="n">
        <x:v>46387</x:v>
      </x:c>
      <x:c r="G143" s="3"/>
      <x:c r="H143" s="3"/>
      <x:c r="I143" s="3"/>
      <x:c r="J143" s="3"/>
      <x:c r="K143" s="3"/>
      <x:c r="L143" s="3"/>
    </x:row>
    <x:row r="144" ht="19" customHeight="1">
      <x:c r="A144" s="2"/>
      <x:c r="B144" s="2"/>
      <x:c r="C144" s="2" t="str">
        <x:v>FY27 end</x:v>
      </x:c>
      <x:c r="D144" s="2"/>
      <x:c r="E144" s="3"/>
      <x:c r="F144" s="31" t="n">
        <x:v>46752</x:v>
      </x:c>
      <x:c r="G144" s="3"/>
      <x:c r="H144" s="3"/>
      <x:c r="I144" s="3"/>
      <x:c r="J144" s="3"/>
      <x:c r="K144" s="3"/>
      <x:c r="L144" s="3"/>
    </x:row>
    <x:row r="145" ht="19" customHeight="1">
      <x:c r="A145" s="2"/>
      <x:c r="B145" s="2"/>
      <x:c r="C145" s="2" t="str">
        <x:v>Exact elapsed FY27 calendar fraction</x:v>
      </x:c>
      <x:c r="D145" s="2"/>
      <x:c r="E145" s="3"/>
      <x:c r="F145" s="32" t="n">
        <x:f>(F133-F143)/(F144-F143)</x:f>
        <x:v>0.7013698630136986</x:v>
      </x:c>
      <x:c r="G145" s="3"/>
      <x:c r="H145" s="3"/>
      <x:c r="I145" s="3"/>
      <x:c r="J145" s="3"/>
      <x:c r="K145" s="3"/>
      <x:c r="L145" s="3"/>
    </x:row>
    <x:row r="146">
      <x:c r="C146" t="str">
        <x:v>Uniform FY27 net cash/share flows; full FY27 EBITDA used at the September valuation date.</x:v>
      </x:c>
    </x:row>
    <x:row r="147">
      <x:c r="C147" t="str">
        <x:v>Soft/firm combine operating GBV, lambda stress and cushion. No simultaneous net-revenue factor.</x:v>
      </x:c>
    </x:row>
    <x:row r="150">
      <x:c r="C150" s="20" t="str">
        <x:v>Inherited nights growth Q1:27 onward</x:v>
      </x:c>
      <x:c r="D150" s="20" t="str">
        <x:v>%</x:v>
      </x:c>
      <x:c r="E150" s="23" t="str">
        <x:f>IF(CHOOSE($E$4,ISBLANK(E151),ISBLANK(E152),ISBLANK(E153),ISBLANK(E154),ISBLANK(E155),ISBLANK(E156),ISBLANK(E157),ISBLANK(E158),ISBLANK(E159)),"",CHOOSE($E$4,E151,E152,E153,E154,E155,E156,E157,E158,E159))</x:f>
      </x:c>
      <x:c r="F150" s="23" t="str">
        <x:f>IF(CHOOSE($E$4,ISBLANK(F151),ISBLANK(F152),ISBLANK(F153),ISBLANK(F154),ISBLANK(F155),ISBLANK(F156),ISBLANK(F157),ISBLANK(F158),ISBLANK(F159)),"",CHOOSE($E$4,F151,F152,F153,F154,F155,F156,F157,F158,F159))</x:f>
      </x:c>
      <x:c r="G150" s="23" t="str">
        <x:f>IF(CHOOSE($E$4,ISBLANK(G151),ISBLANK(G152),ISBLANK(G153),ISBLANK(G154),ISBLANK(G155),ISBLANK(G156),ISBLANK(G157),ISBLANK(G158),ISBLANK(G159)),"",CHOOSE($E$4,G151,G152,G153,G154,G155,G156,G157,G158,G159))</x:f>
      </x:c>
      <x:c r="H150" s="23" t="str">
        <x:f>IF(CHOOSE($E$4,ISBLANK(H151),ISBLANK(H152),ISBLANK(H153),ISBLANK(H154),ISBLANK(H155),ISBLANK(H156),ISBLANK(H157),ISBLANK(H158),ISBLANK(H159)),"",CHOOSE($E$4,H151,H152,H153,H154,H155,H156,H157,H158,H159))</x:f>
      </x:c>
      <x:c r="I150" s="23" t="n">
        <x:f>IF(CHOOSE($E$4,ISBLANK(I151),ISBLANK(I152),ISBLANK(I153),ISBLANK(I154),ISBLANK(I155),ISBLANK(I156),ISBLANK(I157),ISBLANK(I158),ISBLANK(I159)),"",CHOOSE($E$4,I151,I152,I153,I154,I155,I156,I157,I158,I159))</x:f>
        <x:v>0.08838811599999996</x:v>
      </x:c>
      <x:c r="J150" s="23" t="n">
        <x:f>IF(CHOOSE($E$4,ISBLANK(J151),ISBLANK(J152),ISBLANK(J153),ISBLANK(J154),ISBLANK(J155),ISBLANK(J156),ISBLANK(J157),ISBLANK(J158),ISBLANK(J159)),"",CHOOSE($E$4,J151,J152,J153,J154,J155,J156,J157,J158,J159))</x:f>
        <x:v>0.08842840140140162</x:v>
      </x:c>
      <x:c r="K150" s="23" t="n">
        <x:f>IF(CHOOSE($E$4,ISBLANK(K151),ISBLANK(K152),ISBLANK(K153),ISBLANK(K154),ISBLANK(K155),ISBLANK(K156),ISBLANK(K157),ISBLANK(K158),ISBLANK(K159)),"",CHOOSE($E$4,K151,K152,K153,K154,K155,K156,K157,K158,K159))</x:f>
        <x:v>0.0885779212073432</x:v>
      </x:c>
      <x:c r="L150" s="23" t="n">
        <x:f>IF(CHOOSE($E$4,ISBLANK(L151),ISBLANK(L152),ISBLANK(L153),ISBLANK(L154),ISBLANK(L155),ISBLANK(L156),ISBLANK(L157),ISBLANK(L158),ISBLANK(L159)),"",CHOOSE($E$4,L151,L152,L153,L154,L155,L156,L157,L158,L159))</x:f>
        <x:v>0.08946783740302067</x:v>
      </x:c>
    </x:row>
    <x:row r="151">
      <x:c r="C151" t="str">
        <x:v>Review with fee mechanics</x:v>
      </x:c>
      <x:c r="E151" s="24"/>
      <x:c r="F151" s="24"/>
      <x:c r="G151" s="24"/>
      <x:c r="H151" s="24"/>
      <x:c r="I151" s="24" t="n">
        <x:v>0.08838811599999996</x:v>
      </x:c>
      <x:c r="J151" s="24" t="n">
        <x:v>0.08842840140140162</x:v>
      </x:c>
      <x:c r="K151" s="24" t="n">
        <x:v>0.0885779212073432</x:v>
      </x:c>
      <x:c r="L151" s="24" t="n">
        <x:v>0.08946783740302067</x:v>
      </x:c>
    </x:row>
    <x:row r="152">
      <x:c r="C152" t="str">
        <x:v>Review without fee mechanics</x:v>
      </x:c>
      <x:c r="E152" s="24"/>
      <x:c r="F152" s="24"/>
      <x:c r="G152" s="24"/>
      <x:c r="H152" s="24"/>
      <x:c r="I152" s="24" t="n">
        <x:v>0.08838811599999996</x:v>
      </x:c>
      <x:c r="J152" s="24" t="n">
        <x:v>0.08842840140140162</x:v>
      </x:c>
      <x:c r="K152" s="24" t="n">
        <x:v>0.0885779212073432</x:v>
      </x:c>
      <x:c r="L152" s="24" t="n">
        <x:v>0.08946783740302067</x:v>
      </x:c>
    </x:row>
    <x:row r="153">
      <x:c r="C153" t="str">
        <x:v>K0 conditional GBV</x:v>
      </x:c>
      <x:c r="E153" s="24"/>
      <x:c r="F153" s="24"/>
      <x:c r="G153" s="24"/>
      <x:c r="H153" s="24"/>
      <x:c r="I153" s="24" t="n">
        <x:v>0.08838811599999996</x:v>
      </x:c>
      <x:c r="J153" s="24" t="n">
        <x:v>0.08842840140140162</x:v>
      </x:c>
      <x:c r="K153" s="24" t="n">
        <x:v>0.0885779212073432</x:v>
      </x:c>
      <x:c r="L153" s="24" t="n">
        <x:v>0.08946783740302067</x:v>
      </x:c>
    </x:row>
    <x:row r="154">
      <x:c r="C154" t="str">
        <x:v>Alternative nights A</x:v>
      </x:c>
      <x:c r="E154" s="24"/>
      <x:c r="F154" s="24"/>
      <x:c r="G154" s="24"/>
      <x:c r="H154" s="24"/>
      <x:c r="I154" s="24" t="n">
        <x:v>0.08838811599999996</x:v>
      </x:c>
      <x:c r="J154" s="24" t="n">
        <x:v>0.08842840140140162</x:v>
      </x:c>
      <x:c r="K154" s="24" t="n">
        <x:v>0.0885779212073432</x:v>
      </x:c>
      <x:c r="L154" s="24" t="n">
        <x:v>0.08946783740302067</x:v>
      </x:c>
    </x:row>
    <x:row r="155">
      <x:c r="C155" t="str">
        <x:v>ADR mean reversion</x:v>
      </x:c>
      <x:c r="E155" s="24"/>
      <x:c r="F155" s="24"/>
      <x:c r="G155" s="24"/>
      <x:c r="H155" s="24"/>
      <x:c r="I155" s="24" t="n">
        <x:v>0.08838811599999996</x:v>
      </x:c>
      <x:c r="J155" s="24" t="n">
        <x:v>0.08842840140140162</x:v>
      </x:c>
      <x:c r="K155" s="24" t="n">
        <x:v>0.0885779212073432</x:v>
      </x:c>
      <x:c r="L155" s="24" t="n">
        <x:v>0.08946783740302067</x:v>
      </x:c>
    </x:row>
    <x:row r="156">
      <x:c r="C156" t="str">
        <x:v>Illustrative revenue −1%</x:v>
      </x:c>
      <x:c r="E156" s="24"/>
      <x:c r="F156" s="24"/>
      <x:c r="G156" s="24"/>
      <x:c r="H156" s="24"/>
      <x:c r="I156" s="24" t="n">
        <x:v>0.08838811599999996</x:v>
      </x:c>
      <x:c r="J156" s="24" t="n">
        <x:v>0.08842840140140162</x:v>
      </x:c>
      <x:c r="K156" s="24" t="n">
        <x:v>0.0885779212073432</x:v>
      </x:c>
      <x:c r="L156" s="24" t="n">
        <x:v>0.08946783740302067</x:v>
      </x:c>
    </x:row>
    <x:row r="157">
      <x:c r="C157" t="str">
        <x:v>Illustrative revenue +1%</x:v>
      </x:c>
      <x:c r="E157" s="24"/>
      <x:c r="F157" s="24"/>
      <x:c r="G157" s="24"/>
      <x:c r="H157" s="24"/>
      <x:c r="I157" s="24" t="n">
        <x:v>0.08838811599999996</x:v>
      </x:c>
      <x:c r="J157" s="24" t="n">
        <x:v>0.08842840140140162</x:v>
      </x:c>
      <x:c r="K157" s="24" t="n">
        <x:v>0.0885779212073432</x:v>
      </x:c>
      <x:c r="L157" s="24" t="n">
        <x:v>0.08946783740302067</x:v>
      </x:c>
    </x:row>
    <x:row r="158">
      <x:c r="C158" t="str">
        <x:v>Conditional soft envelope</x:v>
      </x:c>
      <x:c r="E158" s="24"/>
      <x:c r="F158" s="24"/>
      <x:c r="G158" s="24"/>
      <x:c r="H158" s="24"/>
      <x:c r="I158" s="24" t="n">
        <x:v>0.08838811599999996</x:v>
      </x:c>
      <x:c r="J158" s="24" t="n">
        <x:v>0.08842840140140162</x:v>
      </x:c>
      <x:c r="K158" s="24" t="n">
        <x:v>0.0885779212073432</x:v>
      </x:c>
      <x:c r="L158" s="24" t="n">
        <x:v>0.08946783740302067</x:v>
      </x:c>
    </x:row>
    <x:row r="159">
      <x:c r="C159" t="str">
        <x:v>Conditional firm envelope</x:v>
      </x:c>
      <x:c r="E159" s="24"/>
      <x:c r="F159" s="24"/>
      <x:c r="G159" s="24"/>
      <x:c r="H159" s="24"/>
      <x:c r="I159" s="24" t="n">
        <x:v>0.08838811599999996</x:v>
      </x:c>
      <x:c r="J159" s="24" t="n">
        <x:v>0.08842840140140162</x:v>
      </x:c>
      <x:c r="K159" s="24" t="n">
        <x:v>0.0885779212073432</x:v>
      </x:c>
      <x:c r="L159" s="24" t="n">
        <x:v>0.08946783740302067</x:v>
      </x:c>
    </x:row>
    <x:row r="160">
      <x:c r="C160" s="20" t="str">
        <x:v>Inherited ADR growth Q1:27 onward</x:v>
      </x:c>
      <x:c r="D160" s="20" t="str">
        <x:v>%</x:v>
      </x:c>
      <x:c r="E160" s="23" t="str">
        <x:f>IF(CHOOSE($E$4,ISBLANK(E161),ISBLANK(E162),ISBLANK(E163),ISBLANK(E164),ISBLANK(E165),ISBLANK(E166),ISBLANK(E167),ISBLANK(E168),ISBLANK(E169)),"",CHOOSE($E$4,E161,E162,E163,E164,E165,E166,E167,E168,E169))</x:f>
      </x:c>
      <x:c r="F160" s="23" t="str">
        <x:f>IF(CHOOSE($E$4,ISBLANK(F161),ISBLANK(F162),ISBLANK(F163),ISBLANK(F164),ISBLANK(F165),ISBLANK(F166),ISBLANK(F167),ISBLANK(F168),ISBLANK(F169)),"",CHOOSE($E$4,F161,F162,F163,F164,F165,F166,F167,F168,F169))</x:f>
      </x:c>
      <x:c r="G160" s="23" t="str">
        <x:f>IF(CHOOSE($E$4,ISBLANK(G161),ISBLANK(G162),ISBLANK(G163),ISBLANK(G164),ISBLANK(G165),ISBLANK(G166),ISBLANK(G167),ISBLANK(G168),ISBLANK(G169)),"",CHOOSE($E$4,G161,G162,G163,G164,G165,G166,G167,G168,G169))</x:f>
      </x:c>
      <x:c r="H160" s="23" t="str">
        <x:f>IF(CHOOSE($E$4,ISBLANK(H161),ISBLANK(H162),ISBLANK(H163),ISBLANK(H164),ISBLANK(H165),ISBLANK(H166),ISBLANK(H167),ISBLANK(H168),ISBLANK(H169)),"",CHOOSE($E$4,H161,H162,H163,H164,H165,H166,H167,H168,H169))</x:f>
      </x:c>
      <x:c r="I160" s="23" t="n">
        <x:f>IF(CHOOSE($E$4,ISBLANK(I161),ISBLANK(I162),ISBLANK(I163),ISBLANK(I164),ISBLANK(I165),ISBLANK(I166),ISBLANK(I167),ISBLANK(I168),ISBLANK(I169)),"",CHOOSE($E$4,I161,I162,I163,I164,I165,I166,I167,I168,I169))</x:f>
        <x:v>0.020245645054794315</x:v>
      </x:c>
      <x:c r="J160" s="23" t="n">
        <x:f>IF(CHOOSE($E$4,ISBLANK(J161),ISBLANK(J162),ISBLANK(J163),ISBLANK(J164),ISBLANK(J165),ISBLANK(J166),ISBLANK(J167),ISBLANK(J168),ISBLANK(J169)),"",CHOOSE($E$4,J161,J162,J163,J164,J165,J166,J167,J168,J169))</x:f>
        <x:v>0.026982486860110066</x:v>
      </x:c>
      <x:c r="K160" s="23" t="n">
        <x:f>IF(CHOOSE($E$4,ISBLANK(K161),ISBLANK(K162),ISBLANK(K163),ISBLANK(K164),ISBLANK(K165),ISBLANK(K166),ISBLANK(K167),ISBLANK(K168),ISBLANK(K169)),"",CHOOSE($E$4,K161,K162,K163,K164,K165,K166,K167,K168,K169))</x:f>
        <x:v>0.03176499999999982</x:v>
      </x:c>
      <x:c r="L160" s="23" t="n">
        <x:f>IF(CHOOSE($E$4,ISBLANK(L161),ISBLANK(L162),ISBLANK(L163),ISBLANK(L164),ISBLANK(L165),ISBLANK(L166),ISBLANK(L167),ISBLANK(L168),ISBLANK(L169)),"",CHOOSE($E$4,L161,L162,L163,L164,L165,L166,L167,L168,L169))</x:f>
        <x:v>0.03002249999999984</x:v>
      </x:c>
    </x:row>
    <x:row r="161">
      <x:c r="C161" t="str">
        <x:v>Review with fee mechanics</x:v>
      </x:c>
      <x:c r="E161" s="24"/>
      <x:c r="F161" s="24"/>
      <x:c r="G161" s="24"/>
      <x:c r="H161" s="24"/>
      <x:c r="I161" s="24" t="n">
        <x:v>0.020245645054794315</x:v>
      </x:c>
      <x:c r="J161" s="24" t="n">
        <x:v>0.026982486860110066</x:v>
      </x:c>
      <x:c r="K161" s="24" t="n">
        <x:v>0.03176499999999982</x:v>
      </x:c>
      <x:c r="L161" s="24" t="n">
        <x:v>0.03002249999999984</x:v>
      </x:c>
    </x:row>
    <x:row r="162">
      <x:c r="C162" t="str">
        <x:v>Review without fee mechanics</x:v>
      </x:c>
      <x:c r="E162" s="24"/>
      <x:c r="F162" s="24"/>
      <x:c r="G162" s="24"/>
      <x:c r="H162" s="24"/>
      <x:c r="I162" s="24" t="n">
        <x:v>0.020245645054794315</x:v>
      </x:c>
      <x:c r="J162" s="24" t="n">
        <x:v>0.026982486860110066</x:v>
      </x:c>
      <x:c r="K162" s="24" t="n">
        <x:v>0.03176499999999982</x:v>
      </x:c>
      <x:c r="L162" s="24" t="n">
        <x:v>0.03002249999999962</x:v>
      </x:c>
    </x:row>
    <x:row r="163">
      <x:c r="C163" t="str">
        <x:v>K0 conditional GBV</x:v>
      </x:c>
      <x:c r="E163" s="24"/>
      <x:c r="F163" s="24"/>
      <x:c r="G163" s="24"/>
      <x:c r="H163" s="24"/>
      <x:c r="I163" s="24" t="n">
        <x:v>0.020245645054794315</x:v>
      </x:c>
      <x:c r="J163" s="24" t="n">
        <x:v>0.026982486860110066</x:v>
      </x:c>
      <x:c r="K163" s="24" t="n">
        <x:v>0.03176499999999982</x:v>
      </x:c>
      <x:c r="L163" s="24" t="n">
        <x:v>0.03002249999999984</x:v>
      </x:c>
    </x:row>
    <x:row r="164">
      <x:c r="C164" t="str">
        <x:v>Alternative nights A</x:v>
      </x:c>
      <x:c r="E164" s="24"/>
      <x:c r="F164" s="24"/>
      <x:c r="G164" s="24"/>
      <x:c r="H164" s="24"/>
      <x:c r="I164" s="24" t="n">
        <x:v>0.020245645054794315</x:v>
      </x:c>
      <x:c r="J164" s="24" t="n">
        <x:v>0.026982486860110066</x:v>
      </x:c>
      <x:c r="K164" s="24" t="n">
        <x:v>0.03176499999999982</x:v>
      </x:c>
      <x:c r="L164" s="24" t="n">
        <x:v>0.03002249999999984</x:v>
      </x:c>
    </x:row>
    <x:row r="165">
      <x:c r="C165" t="str">
        <x:v>ADR mean reversion</x:v>
      </x:c>
      <x:c r="E165" s="24"/>
      <x:c r="F165" s="24"/>
      <x:c r="G165" s="24"/>
      <x:c r="H165" s="24"/>
      <x:c r="I165" s="24" t="n">
        <x:v>0.020245645054794315</x:v>
      </x:c>
      <x:c r="J165" s="24" t="n">
        <x:v>0.026982486860110066</x:v>
      </x:c>
      <x:c r="K165" s="24" t="n">
        <x:v>0.03176499999999982</x:v>
      </x:c>
      <x:c r="L165" s="24" t="n">
        <x:v>0.03002249999999962</x:v>
      </x:c>
    </x:row>
    <x:row r="166">
      <x:c r="C166" t="str">
        <x:v>Illustrative revenue −1%</x:v>
      </x:c>
      <x:c r="E166" s="24"/>
      <x:c r="F166" s="24"/>
      <x:c r="G166" s="24"/>
      <x:c r="H166" s="24"/>
      <x:c r="I166" s="24" t="n">
        <x:v>0.020245645054794315</x:v>
      </x:c>
      <x:c r="J166" s="24" t="n">
        <x:v>0.026982486860110066</x:v>
      </x:c>
      <x:c r="K166" s="24" t="n">
        <x:v>0.03176499999999982</x:v>
      </x:c>
      <x:c r="L166" s="24" t="n">
        <x:v>0.03002249999999984</x:v>
      </x:c>
    </x:row>
    <x:row r="167">
      <x:c r="C167" t="str">
        <x:v>Illustrative revenue +1%</x:v>
      </x:c>
      <x:c r="E167" s="24"/>
      <x:c r="F167" s="24"/>
      <x:c r="G167" s="24"/>
      <x:c r="H167" s="24"/>
      <x:c r="I167" s="24" t="n">
        <x:v>0.020245645054794315</x:v>
      </x:c>
      <x:c r="J167" s="24" t="n">
        <x:v>0.026982486860110066</x:v>
      </x:c>
      <x:c r="K167" s="24" t="n">
        <x:v>0.03176499999999982</x:v>
      </x:c>
      <x:c r="L167" s="24" t="n">
        <x:v>0.03002249999999984</x:v>
      </x:c>
    </x:row>
    <x:row r="168">
      <x:c r="C168" t="str">
        <x:v>Conditional soft envelope</x:v>
      </x:c>
      <x:c r="E168" s="24"/>
      <x:c r="F168" s="24"/>
      <x:c r="G168" s="24"/>
      <x:c r="H168" s="24"/>
      <x:c r="I168" s="24" t="n">
        <x:v>0.020245645054794315</x:v>
      </x:c>
      <x:c r="J168" s="24" t="n">
        <x:v>0.026982486860110066</x:v>
      </x:c>
      <x:c r="K168" s="24" t="n">
        <x:v>0.03176499999999982</x:v>
      </x:c>
      <x:c r="L168" s="24" t="n">
        <x:v>0.03002249999999962</x:v>
      </x:c>
    </x:row>
    <x:row r="169">
      <x:c r="C169" t="str">
        <x:v>Conditional firm envelope</x:v>
      </x:c>
      <x:c r="E169" s="24"/>
      <x:c r="F169" s="24"/>
      <x:c r="G169" s="24"/>
      <x:c r="H169" s="24"/>
      <x:c r="I169" s="24" t="n">
        <x:v>0.020245645054794315</x:v>
      </x:c>
      <x:c r="J169" s="24" t="n">
        <x:v>0.026982486860110066</x:v>
      </x:c>
      <x:c r="K169" s="24" t="n">
        <x:v>0.03176499999999982</x:v>
      </x:c>
      <x:c r="L169" s="24" t="n">
        <x:v>0.03002249999999984</x:v>
      </x:c>
    </x:row>
  </x:sheetData>
  <x:dataValidations count="1">
    <x:dataValidation type="whole" operator="between" sqref="E4">
      <x:formula1>1</x:formula1>
      <x:formula2>9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Operating inputs and revenue recognition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4" t="str">
        <x:v>Q1:26</x:v>
      </x:c>
      <x:c r="F7" s="14" t="str">
        <x:v>Q2:26</x:v>
      </x:c>
      <x:c r="G7" s="14" t="str">
        <x:v>Q3:26</x:v>
      </x:c>
      <x:c r="H7" s="14" t="str">
        <x:v>Q4:26</x:v>
      </x:c>
      <x:c r="I7" s="14" t="str">
        <x:v>Q1:27</x:v>
      </x:c>
      <x:c r="J7" s="14" t="str">
        <x:v>Q2:27</x:v>
      </x:c>
      <x:c r="K7" s="14" t="str">
        <x:v>Q3:27</x:v>
      </x:c>
      <x:c r="L7" s="14" t="str">
        <x:v>Q4:27</x:v>
      </x:c>
    </x:row>
    <x:row r="8" ht="19" customHeight="1">
      <x:c r="A8" s="2"/>
      <x:c r="B8" s="2"/>
      <x:c r="C8" s="2" t="str">
        <x:v>Nights (K0 uses reference support-cost proxy)</x:v>
      </x:c>
      <x:c r="D8" s="2" t="str">
        <x:v>m</x:v>
      </x:c>
      <x:c r="E8" s="8" t="n">
        <x:f>'Source'!E35</x:f>
        <x:v>156.2</x:v>
      </x:c>
      <x:c r="F8" s="8" t="n">
        <x:f>'Source'!F35</x:f>
        <x:v>148.3</x:v>
      </x:c>
      <x:c r="G8" s="8" t="n">
        <x:f>IF(ISNUMBER('Assumptions'!G10),'Assumptions'!G10,"Missing nights")</x:f>
        <x:v>146.8</x:v>
      </x:c>
      <x:c r="H8" s="8" t="n">
        <x:f>IF(ISNUMBER('Assumptions'!H10),'Assumptions'!H10,"Missing nights")</x:f>
        <x:v>131.8</x:v>
      </x:c>
      <x:c r="I8" s="8" t="n">
        <x:f>E8*(1+'Assumptions'!I150)</x:f>
        <x:v>170.0062237192</x:v>
      </x:c>
      <x:c r="J8" s="8" t="n">
        <x:f>F8*(1+'Assumptions'!J150)</x:f>
        <x:v>161.41393192782786</x:v>
      </x:c>
      <x:c r="K8" s="8" t="n">
        <x:f>G8*(1+'Assumptions'!K150)</x:f>
        <x:v>159.803238833238</x:v>
      </x:c>
      <x:c r="L8" s="8" t="n">
        <x:f>H8*(1+'Assumptions'!L150)</x:f>
        <x:v>143.59186096971814</x:v>
      </x:c>
    </x:row>
    <x:row r="9" ht="19" customHeight="1">
      <x:c r="A9" s="2"/>
      <x:c r="B9" s="2"/>
      <x:c r="C9" s="2" t="str">
        <x:v>ADR</x:v>
      </x:c>
      <x:c r="D9" s="2" t="str">
        <x:v>USD</x:v>
      </x:c>
      <x:c r="E9" s="8" t="n">
        <x:f>'Source'!E36/'Source'!E35</x:f>
        <x:v>186.93982074263766</x:v>
      </x:c>
      <x:c r="F9" s="8" t="n">
        <x:f>'Source'!F36/'Source'!F35</x:f>
        <x:v>183.41200269723532</x:v>
      </x:c>
      <x:c r="G9" s="8" t="n">
        <x:f>IF('Assumptions'!G20="","n.a.",'Assumptions'!G20)</x:f>
        <x:v>177.17</x:v>
      </x:c>
      <x:c r="H9" s="8" t="n">
        <x:f>IF('Assumptions'!H20="","n.a.",'Assumptions'!H20)</x:f>
        <x:v>174.57</x:v>
      </x:c>
      <x:c r="I9" s="8" t="n">
        <x:f>E10/E8*(1+'Assumptions'!I160)</x:f>
        <x:v>190.724538</x:v>
      </x:c>
      <x:c r="J9" s="8" t="n">
        <x:f>F10/F8*(1+'Assumptions'!J160)</x:f>
        <x:v>188.36091464999996</x:v>
      </x:c>
      <x:c r="K9" s="8" t="n">
        <x:f>G10/G8*(1+'Assumptions'!K160)</x:f>
        <x:v>182.79780504999997</x:v>
      </x:c>
      <x:c r="L9" s="8" t="n">
        <x:f>H10/H8*(1+'Assumptions'!L160)</x:f>
        <x:v>179.81102782499997</x:v>
      </x:c>
    </x:row>
    <x:row r="10" ht="19" customHeight="1">
      <x:c r="A10" s="2"/>
      <x:c r="B10" s="2"/>
      <x:c r="C10" s="2" t="str">
        <x:v>Booked GBV</x:v>
      </x:c>
      <x:c r="D10" s="2" t="str">
        <x:v>USD m</x:v>
      </x:c>
      <x:c r="E10" s="8" t="n">
        <x:f>'Source'!E36</x:f>
        <x:v>29200</x:v>
      </x:c>
      <x:c r="F10" s="8" t="n">
        <x:f>'Source'!F36</x:f>
        <x:v>27200</x:v>
      </x:c>
      <x:c r="G10" s="8" t="n">
        <x:f>IF('Assumptions'!G30="",G8*G9,'Assumptions'!G30)</x:f>
        <x:v>26008.556</x:v>
      </x:c>
      <x:c r="H10" s="8" t="n">
        <x:f>IF('Assumptions'!H30="",H8*H9,'Assumptions'!H30)</x:f>
        <x:v>23008.326</x:v>
      </x:c>
      <x:c r="I10" s="8" t="n">
        <x:f>IF('Assumptions'!I30="",I8*I9,'Assumptions'!I30)</x:f>
        <x:v>32424.35847596906</x:v>
      </x:c>
      <x:c r="J10" s="8" t="n">
        <x:f>IF('Assumptions'!J30="",J8*J9,'Assumptions'!J30)</x:f>
        <x:v>30404.075855178486</x:v>
      </x:c>
      <x:c r="K10" s="8" t="n">
        <x:f>IF('Assumptions'!K30="",K8*K9,'Assumptions'!K30)</x:f>
        <x:v>29211.681298596824</x:v>
      </x:c>
      <x:c r="L10" s="8" t="n">
        <x:f>IF('Assumptions'!L30="",L8*L9,'Assumptions'!L30)</x:f>
        <x:v>25819.400108269514</x:v>
      </x:c>
    </x:row>
    <x:row r="11" ht="19" customHeight="1">
      <x:c r="A11" s="2"/>
      <x:c r="B11" s="2"/>
      <x:c r="C11" s="2"/>
      <x:c r="D11" s="2"/>
      <x:c r="E11" s="3"/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Seasonal lambda</x:v>
      </x:c>
      <x:c r="D12" s="2" t="str">
        <x:v>%</x:v>
      </x:c>
      <x:c r="E12" s="33"/>
      <x:c r="F12" s="33"/>
      <x:c r="G12" s="34" t="n">
        <x:f>'Assumptions'!G40</x:f>
        <x:v>0.172548908953131</x:v>
      </x:c>
      <x:c r="H12" s="34" t="n">
        <x:f>'Assumptions'!H40</x:f>
        <x:v>0.120403669384706</x:v>
      </x:c>
      <x:c r="I12" s="34" t="n">
        <x:f>'Assumptions'!I40</x:f>
        <x:v>0.127275463631112</x:v>
      </x:c>
      <x:c r="J12" s="33"/>
      <x:c r="K12" s="33"/>
      <x:c r="L12" s="33"/>
    </x:row>
    <x:row r="13" ht="19" customHeight="1">
      <x:c r="A13" s="2"/>
      <x:c r="B13" s="2"/>
      <x:c r="C13" s="2" t="str">
        <x:v>Prior-quarter GBV</x:v>
      </x:c>
      <x:c r="D13" s="2" t="str">
        <x:v>USD m</x:v>
      </x:c>
      <x:c r="E13" s="3"/>
      <x:c r="F13" s="3"/>
      <x:c r="G13" s="3" t="n">
        <x:f>F10</x:f>
        <x:v>27200</x:v>
      </x:c>
      <x:c r="H13" s="3" t="n">
        <x:f>G10</x:f>
        <x:v>26008.556</x:v>
      </x:c>
      <x:c r="I13" s="3" t="n">
        <x:f>H10</x:f>
        <x:v>23008.326</x:v>
      </x:c>
      <x:c r="J13" s="3"/>
      <x:c r="K13" s="3"/>
      <x:c r="L13" s="3"/>
    </x:row>
    <x:row r="14" ht="19" customHeight="1">
      <x:c r="A14" s="2"/>
      <x:c r="B14" s="2"/>
      <x:c r="C14" s="2" t="str">
        <x:v>Two-quarters-prior GBV</x:v>
      </x:c>
      <x:c r="D14" s="2" t="str">
        <x:v>USD m</x:v>
      </x:c>
      <x:c r="E14" s="3"/>
      <x:c r="F14" s="3"/>
      <x:c r="G14" s="3" t="n">
        <x:f>E10</x:f>
        <x:v>29200</x:v>
      </x:c>
      <x:c r="H14" s="3" t="n">
        <x:f>F10</x:f>
        <x:v>27200</x:v>
      </x:c>
      <x:c r="I14" s="3" t="n">
        <x:f>G10</x:f>
        <x:v>26008.556</x:v>
      </x:c>
      <x:c r="J14" s="3"/>
      <x:c r="K14" s="3"/>
      <x:c r="L14" s="3"/>
    </x:row>
    <x:row r="15" ht="19" customHeight="1">
      <x:c r="A15" s="2"/>
      <x:c r="B15" s="2"/>
      <x:c r="C15" s="2" t="str">
        <x:v>Kernel weighted GBV (2/3, 1/3)</x:v>
      </x:c>
      <x:c r="D15" s="2" t="str">
        <x:v>USD m</x:v>
      </x:c>
      <x:c r="E15" s="3"/>
      <x:c r="F15" s="3"/>
      <x:c r="G15" s="8" t="n">
        <x:f>G13*'Assumptions'!$F$140+G14*(1-'Assumptions'!$F$140)</x:f>
        <x:v>27866.666666666664</x:v>
      </x:c>
      <x:c r="H15" s="8" t="n">
        <x:f>H13*'Assumptions'!$F$140+H14*(1-'Assumptions'!$F$140)</x:f>
        <x:v>26405.704</x:v>
      </x:c>
      <x:c r="I15" s="8" t="n">
        <x:f>I13*'Assumptions'!$F$140+I14*(1-'Assumptions'!$F$140)</x:f>
        <x:v>24008.40266666667</x:v>
      </x:c>
      <x:c r="J15" s="3"/>
      <x:c r="K15" s="3"/>
      <x:c r="L15" s="3"/>
    </x:row>
    <x:row r="16" ht="19" customHeight="1">
      <x:c r="A16" s="2"/>
      <x:c r="B16" s="2"/>
      <x:c r="C16" s="2" t="str">
        <x:v>Consolidated kernel revenue</x:v>
      </x:c>
      <x:c r="D16" s="2" t="str">
        <x:v>USD m</x:v>
      </x:c>
      <x:c r="E16" s="3"/>
      <x:c r="F16" s="3"/>
      <x:c r="G16" s="3" t="n">
        <x:f>G12*G15</x:f>
        <x:v>4808.362929493916</x:v>
      </x:c>
      <x:c r="H16" s="3" t="n">
        <x:f>H12*H15</x:f>
        <x:v>3179.3436542864088</x:v>
      </x:c>
      <x:c r="I16" s="3" t="n">
        <x:f>I12*I15</x:f>
        <x:v>3055.680580442426</x:v>
      </x:c>
      <x:c r="J16" s="3"/>
      <x:c r="K16" s="3"/>
      <x:c r="L16" s="3"/>
    </x:row>
    <x:row r="17" ht="19" customHeight="1">
      <x:c r="A17" s="2"/>
      <x:c r="B17" s="2"/>
      <x:c r="C17" s="2" t="str">
        <x:v>Hypothetical incremental dollars</x:v>
      </x:c>
      <x:c r="D17" s="2" t="str">
        <x:v>USD m</x:v>
      </x:c>
      <x:c r="E17" s="3"/>
      <x:c r="F17" s="3"/>
      <x:c r="G17" s="8" t="str">
        <x:f>IF(ISNUMBER('Assumptions'!G60),G16*'Assumptions'!G60,"Unestimated")</x:f>
        <x:v>Unestimated</x:v>
      </x:c>
      <x:c r="H17" s="8" t="str">
        <x:f>IF(ISNUMBER('Assumptions'!H60),H16*'Assumptions'!H60,"Unestimated")</x:f>
        <x:v>Unestimated</x:v>
      </x:c>
      <x:c r="I17" s="8" t="str">
        <x:f>IF(ISNUMBER('Assumptions'!I60),I16*'Assumptions'!I60,"Unestimated")</x:f>
        <x:v>Unestimated</x:v>
      </x:c>
      <x:c r="J17" s="3"/>
      <x:c r="K17" s="3"/>
      <x:c r="L17" s="3"/>
    </x:row>
    <x:row r="18" ht="19" customHeight="1">
      <x:c r="A18" s="2"/>
      <x:c r="B18" s="2"/>
      <x:c r="C18" s="35" t="str">
        <x:v>Revenue used by model</x:v>
      </x:c>
      <x:c r="D18" s="35" t="str">
        <x:v>USD m</x:v>
      </x:c>
      <x:c r="E18" s="36" t="n">
        <x:f>'Source'!E37</x:f>
        <x:v>2678</x:v>
      </x:c>
      <x:c r="F18" s="36" t="n">
        <x:f>'Source'!F37</x:f>
        <x:v>3608</x:v>
      </x:c>
      <x:c r="G18" s="36" t="n">
        <x:f>IF(ISNUMBER('Assumptions'!G60),G16+G17,G16)</x:f>
        <x:v>4808.362929493916</x:v>
      </x:c>
      <x:c r="H18" s="36" t="n">
        <x:f>IF(ISNUMBER('Assumptions'!H60),H16+H17,H16)</x:f>
        <x:v>3179.3436542864088</x:v>
      </x:c>
      <x:c r="I18" s="36" t="n">
        <x:f>IF(ISNUMBER('Assumptions'!I60),I16+I17,I16)</x:f>
        <x:v>3055.680580442426</x:v>
      </x:c>
      <x:c r="J18" s="37" t="n">
        <x:f>F18*(1+J23)</x:f>
        <x:v>4048.7896866552855</x:v>
      </x:c>
      <x:c r="K18" s="37" t="n">
        <x:f>G18*(1+K23)</x:f>
        <x:v>5265.439232379976</x:v>
      </x:c>
      <x:c r="L18" s="37" t="n">
        <x:f>H18*(1+L23)</x:f>
        <x:v>3582.323741267161</x:v>
      </x:c>
    </x:row>
    <x:row r="19" ht="19" customHeight="1">
      <x:c r="A19" s="2"/>
      <x:c r="B19" s="2"/>
      <x:c r="C19" s="2" t="str">
        <x:v>Guidance cushion</x:v>
      </x:c>
      <x:c r="D19" s="2" t="str">
        <x:v>%</x:v>
      </x:c>
      <x:c r="E19" s="33"/>
      <x:c r="F19" s="33"/>
      <x:c r="G19" s="34" t="n">
        <x:f>'Assumptions'!G50</x:f>
        <x:v>0.0179049103084943</x:v>
      </x:c>
      <x:c r="H19" s="34" t="n">
        <x:f>'Assumptions'!H50</x:f>
        <x:v>0.0179049103084943</x:v>
      </x:c>
      <x:c r="I19" s="34" t="n">
        <x:f>'Assumptions'!I50</x:f>
        <x:v>0.0179049103084943</x:v>
      </x:c>
      <x:c r="J19" s="33"/>
      <x:c r="K19" s="33"/>
      <x:c r="L19" s="33"/>
    </x:row>
    <x:row r="20" ht="19" customHeight="1">
      <x:c r="A20" s="2"/>
      <x:c r="B20" s="2"/>
      <x:c r="C20" s="2" t="str">
        <x:v>Implied management guide</x:v>
      </x:c>
      <x:c r="D20" s="2" t="str">
        <x:v>USD m</x:v>
      </x:c>
      <x:c r="E20" s="3"/>
      <x:c r="F20" s="3"/>
      <x:c r="G20" s="3" t="n">
        <x:f>G18/(1+G19)</x:f>
        <x:v>4723.784000645655</x:v>
      </x:c>
      <x:c r="H20" s="3" t="n">
        <x:f>H18/(1+H19)</x:f>
        <x:v>3123.4191151733926</x:v>
      </x:c>
      <x:c r="I20" s="3" t="n">
        <x:f>I18/(1+I19)</x:f>
        <x:v>3001.9312702955203</x:v>
      </x:c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Inherited revenue growth</x:v>
      </x:c>
      <x:c r="D23" s="2" t="str">
        <x:v>%</x:v>
      </x:c>
      <x:c r="E23" s="33"/>
      <x:c r="F23" s="33"/>
      <x:c r="G23" s="33"/>
      <x:c r="H23" s="33"/>
      <x:c r="I23" s="33"/>
      <x:c r="J23" s="34" t="n">
        <x:f>'Assumptions'!J70</x:f>
        <x:v>0.12217009053638739</x:v>
      </x:c>
      <x:c r="K23" s="34" t="n">
        <x:f>'Assumptions'!K70</x:f>
        <x:v>0.09505861133784399</x:v>
      </x:c>
      <x:c r="L23" s="34" t="n">
        <x:f>'Assumptions'!L70</x:f>
        <x:v>0.126749458630385</x:v>
      </x:c>
    </x:row>
    <x:row r="24" ht="19" customHeight="1">
      <x:c r="A24" s="2"/>
      <x:c r="B24" s="2"/>
      <x:c r="C24" s="2" t="str">
        <x:v>Guide status</x:v>
      </x:c>
      <x:c r="D24" s="2"/>
      <x:c r="E24" s="3"/>
      <x:c r="F24" s="3"/>
      <x:c r="G24" s="3" t="str">
        <x:v>Issued diagnostic</x:v>
      </x:c>
      <x:c r="H24" s="3" t="str">
        <x:v>Conditional guide</x:v>
      </x:c>
      <x:c r="I24" s="3" t="str">
        <x:v>Conditional guide</x:v>
      </x:c>
      <x:c r="J24" s="3"/>
      <x:c r="K24" s="3"/>
      <x:c r="L24" s="3"/>
    </x:row>
    <x:row r="25" ht="19" customHeight="1">
      <x:c r="A25" s="2"/>
      <x:c r="B25" s="2"/>
      <x:c r="C25" s="2" t="str">
        <x:v>Basis</x:v>
      </x:c>
      <x:c r="D25" s="2"/>
      <x:c r="E25" s="3" t="str">
        <x:v>Actual</x:v>
      </x:c>
      <x:c r="F25" s="3" t="str">
        <x:v>Actual</x:v>
      </x:c>
      <x:c r="G25" s="3" t="str">
        <x:v>Kernel covered</x:v>
      </x:c>
      <x:c r="H25" s="3" t="str">
        <x:v>Kernel covered</x:v>
      </x:c>
      <x:c r="I25" s="3" t="str">
        <x:v>Kernel covered</x:v>
      </x:c>
      <x:c r="J25" s="3" t="str">
        <x:v>Inherited growth</x:v>
      </x:c>
      <x:c r="K25" s="3" t="str">
        <x:v>Inherited growth</x:v>
      </x:c>
      <x:c r="L25" s="3" t="str">
        <x:v>Inherited growth</x:v>
      </x:c>
    </x:row>
    <x:row r="26" ht="19" customHeight="1">
      <x:c r="A26" s="2"/>
      <x:c r="B26" s="2"/>
      <x:c r="C26" s="2"/>
      <x:c r="D26" s="2"/>
      <x:c r="E26" s="3"/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 t="str">
        <x:v>USD GBV already embeds booking FX. No full FX factor, old take-rate wedge or new-business revenue is added.</x:v>
      </x:c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L3 FX/RNPL application is ineligible. +/-1% is isolated illustrative net after-hedge revenue, not measured FX.</x:v>
      </x:c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Q3 nights affect Q4 revenue. Q4 nights first affect Q1:27. No contemporaneous booking effect in this kernel.</x:v>
      </x:c>
      <x:c r="D30" s="2"/>
      <x:c r="E30" s="3"/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 t="str">
        <x:v>K0 support-cost nights are assumed from the review case. K0 revenue still uses its independent GBV inputs.</x:v>
      </x:c>
      <x:c r="D31" s="2"/>
      <x:c r="E31" s="3"/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 t="str">
        <x:v>Free-weight promotion failed W1/W2. Existing fixed 2/3 K0 policy retained; no physical cohort-share claim.</x:v>
      </x:c>
      <x:c r="D32" s="2"/>
      <x:c r="E32" s="3"/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Operating costs and earnings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4" t="str">
        <x:v>FY:25A</x:v>
      </x:c>
      <x:c r="F7" s="14" t="str">
        <x:v>FY:26E</x:v>
      </x:c>
      <x:c r="G7" s="14" t="str">
        <x:v>FY:27E</x:v>
      </x:c>
      <x:c r="H7" s="14" t="str">
        <x:v>FY:28E</x:v>
      </x:c>
      <x:c r="I7" s="3"/>
      <x:c r="J7" s="3"/>
      <x:c r="K7" s="3"/>
      <x:c r="L7" s="3"/>
    </x:row>
    <x:row r="8" ht="19" customHeight="1">
      <x:c r="A8" s="2"/>
      <x:c r="B8" s="2"/>
      <x:c r="C8" s="38" t="str">
        <x:v>Consolidated revenue</x:v>
      </x:c>
      <x:c r="D8" s="38" t="str">
        <x:v>USD m</x:v>
      </x:c>
      <x:c r="E8" s="39" t="n">
        <x:f>'Source'!E9</x:f>
        <x:v>12241</x:v>
      </x:c>
      <x:c r="F8" s="39" t="n">
        <x:f>SUM('Revenue'!E18:H18)</x:f>
        <x:v>14273.706583780326</x:v>
      </x:c>
      <x:c r="G8" s="39" t="n">
        <x:f>SUM('Revenue'!I18:L18)</x:f>
        <x:v>15952.233240744847</x:v>
      </x:c>
      <x:c r="H8" s="39" t="n">
        <x:f>G8*(1+'Assumptions'!H109)</x:f>
        <x:v>18071.976244622594</x:v>
      </x:c>
      <x:c r="I8" s="3"/>
      <x:c r="J8" s="3"/>
      <x:c r="K8" s="3"/>
      <x:c r="L8" s="3"/>
    </x:row>
    <x:row r="9" ht="19" customHeight="1">
      <x:c r="A9" s="2"/>
      <x:c r="B9" s="2"/>
      <x:c r="C9" s="2" t="str">
        <x:v>Booked GBV</x:v>
      </x:c>
      <x:c r="D9" s="2" t="str">
        <x:v>USD m</x:v>
      </x:c>
      <x:c r="E9" s="8" t="n">
        <x:f>'Source'!E11</x:f>
        <x:v>91300</x:v>
      </x:c>
      <x:c r="F9" s="8" t="n">
        <x:f>SUM('Revenue'!E10:H10)</x:f>
        <x:v>105416.882</x:v>
      </x:c>
      <x:c r="G9" s="8" t="n">
        <x:f>SUM('Revenue'!I10:L10)</x:f>
        <x:v>117859.51573801388</x:v>
      </x:c>
      <x:c r="H9" s="8" t="n">
        <x:f>G9*(1+'Assumptions'!H111)</x:f>
        <x:v>129807.53159538115</x:v>
      </x:c>
      <x:c r="I9" s="3"/>
      <x:c r="J9" s="3"/>
      <x:c r="K9" s="3"/>
      <x:c r="L9" s="3"/>
    </x:row>
    <x:row r="10" ht="19" customHeight="1">
      <x:c r="A10" s="2"/>
      <x:c r="B10" s="2"/>
      <x:c r="C10" s="2" t="str">
        <x:v>Nights for support cost</x:v>
      </x:c>
      <x:c r="D10" s="2" t="str">
        <x:v>m</x:v>
      </x:c>
      <x:c r="E10" s="8" t="n">
        <x:f>'Source'!E10</x:f>
        <x:v>533</x:v>
      </x:c>
      <x:c r="F10" s="8" t="n">
        <x:f>SUM('Revenue'!E8:H8)</x:f>
        <x:v>583.1</x:v>
      </x:c>
      <x:c r="G10" s="8" t="n">
        <x:f>SUM('Revenue'!I8:L8)</x:f>
        <x:v>634.815255449984</x:v>
      </x:c>
      <x:c r="H10" s="8" t="n">
        <x:f>G10*(1+'Assumptions'!H110)</x:f>
        <x:v>682.1167727759473</x:v>
      </x:c>
      <x:c r="I10" s="3"/>
      <x:c r="J10" s="3"/>
      <x:c r="K10" s="3"/>
      <x:c r="L10" s="3"/>
    </x:row>
    <x:row r="11" ht="19" customHeight="1">
      <x:c r="A11" s="2"/>
      <x:c r="B11" s="2"/>
      <x:c r="C11" s="2"/>
      <x:c r="D11" s="2"/>
      <x:c r="E11" s="3"/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/>
      <x:c r="D12" s="2"/>
      <x:c r="E12" s="3"/>
      <x:c r="F12" s="3"/>
      <x:c r="G12" s="3"/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Cost of revenue, inherited definition</x:v>
      </x:c>
      <x:c r="D13" s="2" t="str">
        <x:v>USD m</x:v>
      </x:c>
      <x:c r="E13" s="8" t="n">
        <x:f>'Source'!E12</x:f>
        <x:v>2086</x:v>
      </x:c>
      <x:c r="F13" s="8" t="n">
        <x:f>E13/E9*(1+'Assumptions'!F91)*F9</x:f>
        <x:v>2408.539056429354</x:v>
      </x:c>
      <x:c r="G13" s="8" t="n">
        <x:f>F13/F9*(1+'Assumptions'!G91)*G9</x:f>
        <x:v>2692.825299337316</x:v>
      </x:c>
      <x:c r="H13" s="8" t="n">
        <x:f>G13/G9*(1+'Assumptions'!H91)*H9</x:f>
        <x:v>2950.9815810889954</x:v>
      </x:c>
      <x:c r="I13" s="3"/>
      <x:c r="J13" s="3"/>
      <x:c r="K13" s="3"/>
      <x:c r="L13" s="3"/>
    </x:row>
    <x:row r="14" ht="19" customHeight="1">
      <x:c r="A14" s="2"/>
      <x:c r="B14" s="2"/>
      <x:c r="C14" s="2" t="str">
        <x:v>Operations and support</x:v>
      </x:c>
      <x:c r="D14" s="2" t="str">
        <x:v>USD m</x:v>
      </x:c>
      <x:c r="E14" s="8" t="n">
        <x:f>'Source'!E13</x:f>
        <x:v>1237</x:v>
      </x:c>
      <x:c r="F14" s="8" t="n">
        <x:f>E14/E10*(1+'Assumptions'!F92)*F10</x:f>
        <x:v>1285.6096904315198</x:v>
      </x:c>
      <x:c r="G14" s="8" t="n">
        <x:f>F14/F10*(1+'Assumptions'!G92)*G10</x:f>
        <x:v>1329.6491370918313</x:v>
      </x:c>
      <x:c r="H14" s="8" t="n">
        <x:f>G14/G10*(1+'Assumptions'!H92)*H10</x:f>
        <x:v>1357.2880802790019</x:v>
      </x:c>
      <x:c r="I14" s="3"/>
      <x:c r="J14" s="3"/>
      <x:c r="K14" s="3"/>
      <x:c r="L14" s="3"/>
    </x:row>
    <x:row r="15" ht="19" customHeight="1">
      <x:c r="A15" s="2"/>
      <x:c r="B15" s="2"/>
      <x:c r="C15" s="2" t="str">
        <x:v>Product development excluding SBC</x:v>
      </x:c>
      <x:c r="D15" s="2" t="str">
        <x:v>USD m</x:v>
      </x:c>
      <x:c r="E15" s="8" t="n">
        <x:f>'Source'!E14</x:f>
        <x:v>1337</x:v>
      </x:c>
      <x:c r="F15" s="8" t="n">
        <x:f>E15*(1+'Assumptions'!F93)</x:f>
        <x:v>1484.0700000000002</x:v>
      </x:c>
      <x:c r="G15" s="8" t="n">
        <x:f>F15*(1+'Assumptions'!G93)</x:f>
        <x:v>1632.4770000000003</x:v>
      </x:c>
      <x:c r="H15" s="8" t="n">
        <x:f>G15*(1+'Assumptions'!H93)</x:f>
        <x:v>1787.5623150000004</x:v>
      </x:c>
      <x:c r="I15" s="3"/>
      <x:c r="J15" s="3"/>
      <x:c r="K15" s="3"/>
      <x:c r="L15" s="3"/>
    </x:row>
    <x:row r="16" ht="19" customHeight="1">
      <x:c r="A16" s="2"/>
      <x:c r="B16" s="2"/>
      <x:c r="C16" s="2" t="str">
        <x:v>Brand/performance marketing</x:v>
      </x:c>
      <x:c r="D16" s="2" t="str">
        <x:v>USD m</x:v>
      </x:c>
      <x:c r="E16" s="8" t="n">
        <x:f>'Source'!E15</x:f>
        <x:v>1595</x:v>
      </x:c>
      <x:c r="F16" s="8" t="n">
        <x:f>E16*(1+'Assumptions'!F94)</x:f>
        <x:v>1993.75</x:v>
      </x:c>
      <x:c r="G16" s="8" t="n">
        <x:f>F16*(1+'Assumptions'!G94)</x:f>
        <x:v>2312.75</x:v>
      </x:c>
      <x:c r="H16" s="8" t="n">
        <x:f>G16*(1+'Assumptions'!H94)</x:f>
        <x:v>2624.97125</x:v>
      </x:c>
      <x:c r="I16" s="3"/>
      <x:c r="J16" s="3"/>
      <x:c r="K16" s="3"/>
      <x:c r="L16" s="3"/>
    </x:row>
    <x:row r="17" ht="19" customHeight="1">
      <x:c r="A17" s="2"/>
      <x:c r="B17" s="2"/>
      <x:c r="C17" s="2" t="str">
        <x:v>Field operations and policy</x:v>
      </x:c>
      <x:c r="D17" s="2" t="str">
        <x:v>USD m</x:v>
      </x:c>
      <x:c r="E17" s="8" t="n">
        <x:f>'Source'!E16</x:f>
        <x:v>781</x:v>
      </x:c>
      <x:c r="F17" s="8" t="n">
        <x:f>E17*(1+'Assumptions'!F95)</x:f>
        <x:v>921.5799999999999</x:v>
      </x:c>
      <x:c r="G17" s="8" t="n">
        <x:f>F17*(1+'Assumptions'!G95)</x:f>
        <x:v>1050.6012</x:v>
      </x:c>
      <x:c r="H17" s="8" t="n">
        <x:f>G17*(1+'Assumptions'!H95)</x:f>
        <x:v>1176.6733440000003</x:v>
      </x:c>
      <x:c r="I17" s="3"/>
      <x:c r="J17" s="3"/>
      <x:c r="K17" s="3"/>
      <x:c r="L17" s="3"/>
    </x:row>
    <x:row r="18" ht="19" customHeight="1">
      <x:c r="A18" s="2"/>
      <x:c r="B18" s="2"/>
      <x:c r="C18" s="2" t="str">
        <x:v>G&amp;A excluding SBC</x:v>
      </x:c>
      <x:c r="D18" s="2" t="str">
        <x:v>USD m</x:v>
      </x:c>
      <x:c r="E18" s="8" t="n">
        <x:f>'Source'!E17</x:f>
        <x:v>1069</x:v>
      </x:c>
      <x:c r="F18" s="8" t="n">
        <x:f>E18*(1+'Assumptions'!F96)</x:f>
        <x:v>1090.38</x:v>
      </x:c>
      <x:c r="G18" s="8" t="n">
        <x:f>F18*(1+'Assumptions'!G96)</x:f>
        <x:v>1150.3509000000001</x:v>
      </x:c>
      <x:c r="H18" s="8" t="n">
        <x:f>G18*(1+'Assumptions'!H96)</x:f>
        <x:v>1207.8684450000003</x:v>
      </x:c>
      <x:c r="I18" s="3"/>
      <x:c r="J18" s="3"/>
      <x:c r="K18" s="3"/>
      <x:c r="L18" s="3"/>
    </x:row>
    <x:row r="19" ht="19" customHeight="1">
      <x:c r="A19" s="2"/>
      <x:c r="B19" s="2"/>
      <x:c r="C19" s="2" t="str">
        <x:v>New initiative costs, inherited</x:v>
      </x:c>
      <x:c r="D19" s="2" t="str">
        <x:v>USD m</x:v>
      </x:c>
      <x:c r="E19" s="3"/>
      <x:c r="F19" s="8" t="n">
        <x:f>'Assumptions'!F112</x:f>
        <x:v>8.422559940396688</x:v>
      </x:c>
      <x:c r="G19" s="8" t="n">
        <x:f>'Assumptions'!G112</x:f>
        <x:v>58.998795545192756</x:v>
      </x:c>
      <x:c r="H19" s="8" t="n">
        <x:f>'Assumptions'!H112</x:f>
        <x:v>149.66858377950746</x:v>
      </x:c>
      <x:c r="I19" s="3"/>
      <x:c r="J19" s="3"/>
      <x:c r="K19" s="3"/>
      <x:c r="L19" s="3"/>
    </x:row>
    <x:row r="20" ht="19" customHeight="1">
      <x:c r="A20" s="2"/>
      <x:c r="B20" s="2"/>
      <x:c r="C20" s="2" t="str">
        <x:v>AI referral expense</x:v>
      </x:c>
      <x:c r="D20" s="2" t="str">
        <x:v>USD m</x:v>
      </x:c>
      <x:c r="E20" s="3"/>
      <x:c r="F20" s="8" t="n">
        <x:f>F8*'Assumptions'!F104</x:f>
        <x:v>0</x:v>
      </x:c>
      <x:c r="G20" s="8" t="n">
        <x:f>G8*'Assumptions'!G104</x:f>
        <x:v>60.61848631483042</x:v>
      </x:c>
      <x:c r="H20" s="8" t="n">
        <x:f>H8*'Assumptions'!H104</x:f>
        <x:v>139.15421708359398</x:v>
      </x:c>
      <x:c r="I20" s="3"/>
      <x:c r="J20" s="3"/>
      <x:c r="K20" s="3"/>
      <x:c r="L20" s="3"/>
    </x:row>
    <x:row r="21" ht="19" customHeight="1">
      <x:c r="A21" s="2"/>
      <x:c r="B21" s="2"/>
      <x:c r="C21" s="38" t="str">
        <x:v>Operating costs excluding SBC</x:v>
      </x:c>
      <x:c r="D21" s="38" t="str">
        <x:v>USD m</x:v>
      </x:c>
      <x:c r="E21" s="40"/>
      <x:c r="F21" s="40" t="n">
        <x:f>SUM(F13:F20)</x:f>
        <x:v>9192.35130680127</x:v>
      </x:c>
      <x:c r="G21" s="40" t="n">
        <x:f>SUM(G13:G20)</x:f>
        <x:v>10288.27081828917</x:v>
      </x:c>
      <x:c r="H21" s="40" t="n">
        <x:f>SUM(H13:H20)</x:f>
        <x:v>11394.1678162311</x:v>
      </x:c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Total EBITDA addbacks including D&amp;A</x:v>
      </x:c>
      <x:c r="D23" s="2" t="str">
        <x:v>USD m</x:v>
      </x:c>
      <x:c r="E23" s="3"/>
      <x:c r="F23" s="8" t="n">
        <x:f>F8*'Assumptions'!F97</x:f>
        <x:v>128.46335925402292</x:v>
      </x:c>
      <x:c r="G23" s="8" t="n">
        <x:f>G8*'Assumptions'!G97</x:f>
        <x:v>143.5700991667036</x:v>
      </x:c>
      <x:c r="H23" s="8" t="n">
        <x:f>H8*'Assumptions'!H97</x:f>
        <x:v>162.64778620160334</x:v>
      </x:c>
      <x:c r="I23" s="3"/>
      <x:c r="J23" s="3"/>
      <x:c r="K23" s="3"/>
      <x:c r="L23" s="3"/>
    </x:row>
    <x:row r="24" ht="19" customHeight="1">
      <x:c r="A24" s="2"/>
      <x:c r="B24" s="2"/>
      <x:c r="C24" s="2" t="str">
        <x:v>Adjusted EBITDA before margin cap</x:v>
      </x:c>
      <x:c r="D24" s="2" t="str">
        <x:v>USD m</x:v>
      </x:c>
      <x:c r="E24" s="3"/>
      <x:c r="F24" s="3" t="n">
        <x:f>F8-F21+F23</x:f>
        <x:v>5209.818636233078</x:v>
      </x:c>
      <x:c r="G24" s="3" t="n">
        <x:f>G8-G21+G23</x:f>
        <x:v>5807.532521622381</x:v>
      </x:c>
      <x:c r="H24" s="3" t="n">
        <x:f>H8-H21+H23</x:f>
        <x:v>6840.456214593098</x:v>
      </x:c>
      <x:c r="I24" s="3"/>
      <x:c r="J24" s="3"/>
      <x:c r="K24" s="3"/>
      <x:c r="L24" s="3"/>
    </x:row>
    <x:row r="25" ht="19" customHeight="1">
      <x:c r="A25" s="2"/>
      <x:c r="B25" s="2"/>
      <x:c r="C25" s="38" t="str">
        <x:v>Adjusted EBITDA</x:v>
      </x:c>
      <x:c r="D25" s="38" t="str">
        <x:v>USD m</x:v>
      </x:c>
      <x:c r="E25" s="39" t="n">
        <x:f>'Source'!E19</x:f>
        <x:v>4297</x:v>
      </x:c>
      <x:c r="F25" s="39" t="n">
        <x:f>MIN(F24,F8*'Assumptions'!$F$131)</x:f>
        <x:v>5209.818636233078</x:v>
      </x:c>
      <x:c r="G25" s="39" t="n">
        <x:f>MIN(G24,G8*'Assumptions'!$F$131)</x:f>
        <x:v>5807.532521622381</x:v>
      </x:c>
      <x:c r="H25" s="39" t="n">
        <x:f>MIN(H24,H8*'Assumptions'!$F$131)</x:f>
        <x:v>6840.456214593098</x:v>
      </x:c>
      <x:c r="I25" s="3"/>
      <x:c r="J25" s="3"/>
      <x:c r="K25" s="3"/>
      <x:c r="L25" s="3"/>
    </x:row>
    <x:row r="26" ht="19" customHeight="1">
      <x:c r="A26" s="2"/>
      <x:c r="B26" s="2"/>
      <x:c r="C26" s="2" t="str">
        <x:v>Adjusted EBITDA margin</x:v>
      </x:c>
      <x:c r="D26" s="2" t="str">
        <x:v>%</x:v>
      </x:c>
      <x:c r="E26" s="3"/>
      <x:c r="F26" s="33" t="n">
        <x:f>F25/F8</x:f>
        <x:v>0.3649940963584864</x:v>
      </x:c>
      <x:c r="G26" s="33" t="n">
        <x:f>G25/G8</x:f>
        <x:v>0.3640576484795187</x:v>
      </x:c>
      <x:c r="H26" s="33" t="n">
        <x:f>H25/H8</x:f>
        <x:v>0.37851179760312653</x:v>
      </x:c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/>
      <x:c r="D28" s="2"/>
      <x:c r="E28" s="3"/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Stock-based compensation</x:v>
      </x:c>
      <x:c r="D29" s="2" t="str">
        <x:v>USD m</x:v>
      </x:c>
      <x:c r="E29" s="8" t="n">
        <x:f>'Source'!E18</x:f>
        <x:v>1581</x:v>
      </x:c>
      <x:c r="F29" s="8" t="n">
        <x:f>E29*(1+'Assumptions'!F98)</x:f>
        <x:v>1786.5299999999997</x:v>
      </x:c>
      <x:c r="G29" s="8" t="n">
        <x:f>F29*(1+'Assumptions'!G98)</x:f>
        <x:v>1965.1829999999998</x:v>
      </x:c>
      <x:c r="H29" s="8" t="n">
        <x:f>G29*(1+'Assumptions'!H98)</x:f>
        <x:v>2122.3976399999997</x:v>
      </x:c>
      <x:c r="I29" s="3"/>
      <x:c r="J29" s="3"/>
      <x:c r="K29" s="3"/>
      <x:c r="L29" s="3"/>
    </x:row>
    <x:row r="30" ht="19" customHeight="1">
      <x:c r="A30" s="2"/>
      <x:c r="B30" s="2"/>
      <x:c r="C30" s="2" t="str">
        <x:v>D&amp;A (included in total addbacks)</x:v>
      </x:c>
      <x:c r="D30" s="2" t="str">
        <x:v>USD m</x:v>
      </x:c>
      <x:c r="E30" s="3"/>
      <x:c r="F30" s="8" t="n">
        <x:f>F8*'Assumptions'!F108</x:f>
        <x:v>99.91594608646228</x:v>
      </x:c>
      <x:c r="G30" s="8" t="n">
        <x:f>G8*'Assumptions'!G108</x:f>
        <x:v>111.66563268521392</x:v>
      </x:c>
      <x:c r="H30" s="8" t="n">
        <x:f>H8*'Assumptions'!H108</x:f>
        <x:v>126.50383371235816</x:v>
      </x:c>
      <x:c r="I30" s="3"/>
      <x:c r="J30" s="3"/>
      <x:c r="K30" s="3"/>
      <x:c r="L30" s="3"/>
    </x:row>
    <x:row r="31" ht="19" customHeight="1">
      <x:c r="A31" s="2"/>
      <x:c r="B31" s="2"/>
      <x:c r="C31" s="2" t="str">
        <x:v>Operating income proxy</x:v>
      </x:c>
      <x:c r="D31" s="2" t="str">
        <x:v>USD m</x:v>
      </x:c>
      <x:c r="E31" s="3"/>
      <x:c r="F31" s="3" t="n">
        <x:f>F25-F29-F23</x:f>
        <x:v>3294.825276979055</x:v>
      </x:c>
      <x:c r="G31" s="3" t="n">
        <x:f>G25-G29-G23</x:f>
        <x:v>3698.7794224556774</x:v>
      </x:c>
      <x:c r="H31" s="3" t="n">
        <x:f>H25-H29-H23</x:f>
        <x:v>4555.410788391495</x:v>
      </x:c>
      <x:c r="I31" s="3"/>
      <x:c r="J31" s="3"/>
      <x:c r="K31" s="3"/>
      <x:c r="L31" s="3"/>
    </x:row>
    <x:row r="32" ht="19" customHeight="1">
      <x:c r="A32" s="2"/>
      <x:c r="B32" s="2"/>
      <x:c r="C32" s="2" t="str">
        <x:v>Interest income</x:v>
      </x:c>
      <x:c r="D32" s="2" t="str">
        <x:v>USD m</x:v>
      </x:c>
      <x:c r="E32" s="3"/>
      <x:c r="F32" s="8" t="n">
        <x:f>'Assumptions'!F99</x:f>
        <x:v>660</x:v>
      </x:c>
      <x:c r="G32" s="8" t="n">
        <x:f>'Assumptions'!G99</x:f>
        <x:v>620</x:v>
      </x:c>
      <x:c r="H32" s="8" t="n">
        <x:f>'Assumptions'!H99</x:f>
        <x:v>590</x:v>
      </x:c>
      <x:c r="I32" s="3"/>
      <x:c r="J32" s="3"/>
      <x:c r="K32" s="3"/>
      <x:c r="L32" s="3"/>
    </x:row>
    <x:row r="33" ht="19" customHeight="1">
      <x:c r="A33" s="2"/>
      <x:c r="B33" s="2"/>
      <x:c r="C33" s="2" t="str">
        <x:v>Interest expense</x:v>
      </x:c>
      <x:c r="D33" s="2" t="str">
        <x:v>USD m</x:v>
      </x:c>
      <x:c r="E33" s="3"/>
      <x:c r="F33" s="8" t="n">
        <x:f>'Assumptions'!F100</x:f>
        <x:v>120</x:v>
      </x:c>
      <x:c r="G33" s="8" t="n">
        <x:f>'Assumptions'!G100</x:f>
        <x:v>125</x:v>
      </x:c>
      <x:c r="H33" s="8" t="n">
        <x:f>'Assumptions'!H100</x:f>
        <x:v>125</x:v>
      </x:c>
      <x:c r="I33" s="3"/>
      <x:c r="J33" s="3"/>
      <x:c r="K33" s="3"/>
      <x:c r="L33" s="3"/>
    </x:row>
    <x:row r="34" ht="19" customHeight="1">
      <x:c r="A34" s="2"/>
      <x:c r="B34" s="2"/>
      <x:c r="C34" s="2" t="str">
        <x:v>Pretax income</x:v>
      </x:c>
      <x:c r="D34" s="2" t="str">
        <x:v>USD m</x:v>
      </x:c>
      <x:c r="E34" s="3"/>
      <x:c r="F34" s="3" t="n">
        <x:f>SUM(F31:F32)-F33</x:f>
        <x:v>3834.825276979055</x:v>
      </x:c>
      <x:c r="G34" s="3" t="n">
        <x:f>SUM(G31:G32)-G33</x:f>
        <x:v>4193.779422455677</x:v>
      </x:c>
      <x:c r="H34" s="3" t="n">
        <x:f>SUM(H31:H32)-H33</x:f>
        <x:v>5020.410788391495</x:v>
      </x:c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38" t="str">
        <x:v>Net income proxy</x:v>
      </x:c>
      <x:c r="D36" s="38" t="str">
        <x:v>USD m</x:v>
      </x:c>
      <x:c r="E36" s="40"/>
      <x:c r="F36" s="39" t="n">
        <x:f>F34*(1-'Assumptions'!F103)</x:f>
        <x:v>3106.208474353035</x:v>
      </x:c>
      <x:c r="G36" s="39" t="n">
        <x:f>G34*(1-'Assumptions'!G103)</x:f>
        <x:v>3355.023537964542</x:v>
      </x:c>
      <x:c r="H36" s="39" t="n">
        <x:f>H34*(1-'Assumptions'!H103)</x:f>
        <x:v>4016.328630713196</x:v>
      </x:c>
      <x:c r="I36" s="3"/>
      <x:c r="J36" s="3"/>
      <x:c r="K36" s="3"/>
      <x:c r="L36" s="3"/>
    </x:row>
    <x:row r="37" ht="19" customHeight="1">
      <x:c r="A37" s="2"/>
      <x:c r="B37" s="2"/>
      <x:c r="C37" s="2"/>
      <x:c r="D37" s="2"/>
      <x:c r="E37" s="3"/>
      <x:c r="F37" s="3"/>
      <x:c r="G37" s="3"/>
      <x:c r="H37" s="3"/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 t="str">
        <x:v>D&amp;A is part of total addbacks. It is shown separately for disclosure and is not deducted twice.</x:v>
      </x:c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/>
      <x:c r="D40" s="2"/>
      <x:c r="E40" s="3"/>
      <x:c r="F40" s="3"/>
      <x:c r="G40" s="3"/>
      <x:c r="H40" s="3"/>
      <x:c r="I40" s="3"/>
      <x:c r="J40" s="3"/>
      <x:c r="K40" s="3"/>
      <x:c r="L40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Free cash flow, net cash and shares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/>
      <x:c r="D7" s="2"/>
      <x:c r="E7" s="14" t="str">
        <x:v>30-Jun-26 anchor</x:v>
      </x:c>
      <x:c r="F7" s="14" t="str">
        <x:v>FY:26E</x:v>
      </x:c>
      <x:c r="G7" s="14" t="str">
        <x:v>FY:27E</x:v>
      </x:c>
      <x:c r="H7" s="14" t="str">
        <x:v>FY:28E</x:v>
      </x:c>
      <x:c r="I7" s="3"/>
      <x:c r="J7" s="3"/>
      <x:c r="K7" s="3"/>
      <x:c r="L7" s="3"/>
    </x:row>
    <x:row r="8" ht="19" customHeight="1">
      <x:c r="A8" s="2"/>
      <x:c r="B8" s="2"/>
      <x:c r="C8" s="2" t="str">
        <x:v>Net income proxy</x:v>
      </x:c>
      <x:c r="D8" s="2" t="str">
        <x:v>USD m</x:v>
      </x:c>
      <x:c r="E8" s="3"/>
      <x:c r="F8" s="8" t="n">
        <x:f>'Costs'!F36</x:f>
        <x:v>3106.208474353035</x:v>
      </x:c>
      <x:c r="G8" s="8" t="n">
        <x:f>'Costs'!G36</x:f>
        <x:v>3355.023537964542</x:v>
      </x:c>
      <x:c r="H8" s="8" t="n">
        <x:f>'Costs'!H36</x:f>
        <x:v>4016.328630713196</x:v>
      </x:c>
      <x:c r="I8" s="3"/>
      <x:c r="J8" s="3"/>
      <x:c r="K8" s="3"/>
      <x:c r="L8" s="3"/>
    </x:row>
    <x:row r="9" ht="19" customHeight="1">
      <x:c r="A9" s="2"/>
      <x:c r="B9" s="2"/>
      <x:c r="C9" s="2"/>
      <x:c r="D9" s="2"/>
      <x:c r="E9" s="3"/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Adjusted EBITDA</x:v>
      </x:c>
      <x:c r="D10" s="2" t="str">
        <x:v>USD m</x:v>
      </x:c>
      <x:c r="E10" s="3"/>
      <x:c r="F10" s="8" t="n">
        <x:f>'Costs'!F25</x:f>
        <x:v>5209.818636233078</x:v>
      </x:c>
      <x:c r="G10" s="8" t="n">
        <x:f>'Costs'!G25</x:f>
        <x:v>5807.532521622381</x:v>
      </x:c>
      <x:c r="H10" s="8" t="n">
        <x:f>'Costs'!H25</x:f>
        <x:v>6840.456214593098</x:v>
      </x:c>
      <x:c r="I10" s="3"/>
      <x:c r="J10" s="3"/>
      <x:c r="K10" s="3"/>
      <x:c r="L10" s="3"/>
    </x:row>
    <x:row r="11" ht="19" customHeight="1">
      <x:c r="A11" s="2"/>
      <x:c r="B11" s="2"/>
      <x:c r="C11" s="2" t="str">
        <x:v>Interest income</x:v>
      </x:c>
      <x:c r="D11" s="2" t="str">
        <x:v>USD m</x:v>
      </x:c>
      <x:c r="E11" s="3"/>
      <x:c r="F11" s="8" t="n">
        <x:f>'Costs'!F32</x:f>
        <x:v>660</x:v>
      </x:c>
      <x:c r="G11" s="8" t="n">
        <x:f>'Costs'!G32</x:f>
        <x:v>620</x:v>
      </x:c>
      <x:c r="H11" s="8" t="n">
        <x:f>'Costs'!H32</x:f>
        <x:v>590</x:v>
      </x:c>
      <x:c r="I11" s="3"/>
      <x:c r="J11" s="3"/>
      <x:c r="K11" s="3"/>
      <x:c r="L11" s="3"/>
    </x:row>
    <x:row r="12" ht="19" customHeight="1">
      <x:c r="A12" s="2"/>
      <x:c r="B12" s="2"/>
      <x:c r="C12" s="2" t="str">
        <x:v>Interest expense</x:v>
      </x:c>
      <x:c r="D12" s="2" t="str">
        <x:v>USD m</x:v>
      </x:c>
      <x:c r="E12" s="3"/>
      <x:c r="F12" s="8" t="n">
        <x:f>'Costs'!F33</x:f>
        <x:v>120</x:v>
      </x:c>
      <x:c r="G12" s="8" t="n">
        <x:f>'Costs'!G33</x:f>
        <x:v>125</x:v>
      </x:c>
      <x:c r="H12" s="8" t="n">
        <x:f>'Costs'!H33</x:f>
        <x:v>125</x:v>
      </x:c>
      <x:c r="I12" s="3"/>
      <x:c r="J12" s="3"/>
      <x:c r="K12" s="3"/>
      <x:c r="L12" s="3"/>
    </x:row>
    <x:row r="13" ht="19" customHeight="1">
      <x:c r="A13" s="2"/>
      <x:c r="B13" s="2"/>
      <x:c r="C13" s="2" t="str">
        <x:v>Cash taxes</x:v>
      </x:c>
      <x:c r="D13" s="2" t="str">
        <x:v>USD m</x:v>
      </x:c>
      <x:c r="E13" s="3"/>
      <x:c r="F13" s="8" t="n">
        <x:f>'Costs'!F8*'Assumptions'!F101</x:f>
        <x:v>371.11637117828843</x:v>
      </x:c>
      <x:c r="G13" s="8" t="n">
        <x:f>'Costs'!G8*'Assumptions'!G101</x:f>
        <x:v>542.3759301853248</x:v>
      </x:c>
      <x:c r="H13" s="8" t="n">
        <x:f>'Costs'!H8*'Assumptions'!H101</x:f>
        <x:v>722.8790497849038</x:v>
      </x:c>
      <x:c r="I13" s="3"/>
      <x:c r="J13" s="3"/>
      <x:c r="K13" s="3"/>
      <x:c r="L13" s="3"/>
    </x:row>
    <x:row r="14" ht="19" customHeight="1">
      <x:c r="A14" s="2"/>
      <x:c r="B14" s="2"/>
      <x:c r="C14" s="2" t="str">
        <x:v>Change in unearned fees</x:v>
      </x:c>
      <x:c r="D14" s="2" t="str">
        <x:v>USD m</x:v>
      </x:c>
      <x:c r="E14" s="3"/>
      <x:c r="F14" s="8" t="n">
        <x:f>'Costs'!F8*'Assumptions'!F102</x:f>
        <x:v>0</x:v>
      </x:c>
      <x:c r="G14" s="8" t="n">
        <x:f>'Costs'!G8*'Assumptions'!G102</x:f>
        <x:v>0</x:v>
      </x:c>
      <x:c r="H14" s="8" t="n">
        <x:f>'Costs'!H8*'Assumptions'!H102</x:f>
        <x:v>0</x:v>
      </x:c>
      <x:c r="I14" s="3"/>
      <x:c r="J14" s="3"/>
      <x:c r="K14" s="3"/>
      <x:c r="L14" s="3"/>
    </x:row>
    <x:row r="15" ht="19" customHeight="1">
      <x:c r="A15" s="2"/>
      <x:c r="B15" s="2"/>
      <x:c r="C15" s="2" t="str">
        <x:v>Working capital residual</x:v>
      </x:c>
      <x:c r="D15" s="2" t="str">
        <x:v>USD m</x:v>
      </x:c>
      <x:c r="E15" s="3"/>
      <x:c r="F15" s="8" t="n">
        <x:f>'Costs'!F8*'Assumptions'!F107</x:f>
        <x:v>-157.01077242158357</x:v>
      </x:c>
      <x:c r="G15" s="8" t="n">
        <x:f>'Costs'!G8*'Assumptions'!G107</x:f>
        <x:v>-175.4745656481933</x:v>
      </x:c>
      <x:c r="H15" s="8" t="n">
        <x:f>'Costs'!H8*'Assumptions'!H107</x:f>
        <x:v>-198.79173869084852</x:v>
      </x:c>
      <x:c r="I15" s="3"/>
      <x:c r="J15" s="3"/>
      <x:c r="K15" s="3"/>
      <x:c r="L15" s="3"/>
    </x:row>
    <x:row r="16" ht="19" customHeight="1">
      <x:c r="A16" s="2"/>
      <x:c r="B16" s="2"/>
      <x:c r="C16" s="2" t="str">
        <x:v>Capex</x:v>
      </x:c>
      <x:c r="D16" s="2" t="str">
        <x:v>USD m</x:v>
      </x:c>
      <x:c r="E16" s="3"/>
      <x:c r="F16" s="8" t="n">
        <x:f>'Costs'!F8*'Assumptions'!F106</x:f>
        <x:v>42.82111975134098</x:v>
      </x:c>
      <x:c r="G16" s="8" t="n">
        <x:f>'Costs'!G8*'Assumptions'!G106</x:f>
        <x:v>47.85669972223454</x:v>
      </x:c>
      <x:c r="H16" s="8" t="n">
        <x:f>'Costs'!H8*'Assumptions'!H106</x:f>
        <x:v>54.215928733867784</x:v>
      </x:c>
      <x:c r="I16" s="3"/>
      <x:c r="J16" s="3"/>
      <x:c r="K16" s="3"/>
      <x:c r="L16" s="3"/>
    </x:row>
    <x:row r="17" ht="19" customHeight="1">
      <x:c r="A17" s="2"/>
      <x:c r="B17" s="2"/>
      <x:c r="C17" s="2"/>
      <x:c r="D17" s="2"/>
      <x:c r="E17" s="3"/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38" t="str">
        <x:v>Free cash flow (legacy convention)</x:v>
      </x:c>
      <x:c r="D18" s="38" t="str">
        <x:v>USD m</x:v>
      </x:c>
      <x:c r="E18" s="40"/>
      <x:c r="F18" s="40" t="n">
        <x:f>SUM(F10:F11)-SUM(F12:F13)+SUM(F14:F15)-F16</x:f>
        <x:v>5178.8703728818655</x:v>
      </x:c>
      <x:c r="G18" s="40" t="n">
        <x:f>SUM(G10:G11)-SUM(G12:G13)+SUM(G14:G15)-G16</x:f>
        <x:v>5536.825326066628</x:v>
      </x:c>
      <x:c r="H18" s="40" t="n">
        <x:f>SUM(H10:H11)-SUM(H12:H13)+SUM(H14:H15)-H16</x:f>
        <x:v>6329.569497383477</x:v>
      </x:c>
      <x:c r="I18" s="3"/>
      <x:c r="J18" s="3"/>
      <x:c r="K18" s="3"/>
      <x:c r="L18" s="3"/>
    </x:row>
    <x:row r="19" ht="19" customHeight="1">
      <x:c r="A19" s="2"/>
      <x:c r="B19" s="2"/>
      <x:c r="C19" s="2" t="str">
        <x:v>Stock-based compensation</x:v>
      </x:c>
      <x:c r="D19" s="2" t="str">
        <x:v>USD m</x:v>
      </x:c>
      <x:c r="E19" s="3"/>
      <x:c r="F19" s="8" t="n">
        <x:f>'Costs'!F29</x:f>
        <x:v>1786.5299999999997</x:v>
      </x:c>
      <x:c r="G19" s="8" t="n">
        <x:f>'Costs'!G29</x:f>
        <x:v>1965.1829999999998</x:v>
      </x:c>
      <x:c r="H19" s="8" t="n">
        <x:f>'Costs'!H29</x:f>
        <x:v>2122.3976399999997</x:v>
      </x:c>
      <x:c r="I19" s="3"/>
      <x:c r="J19" s="3"/>
      <x:c r="K19" s="3"/>
      <x:c r="L19" s="3"/>
    </x:row>
    <x:row r="20" ht="19" customHeight="1">
      <x:c r="A20" s="2"/>
      <x:c r="B20" s="2"/>
      <x:c r="C20" s="38" t="str">
        <x:v>SBC-adjusted free cash flow</x:v>
      </x:c>
      <x:c r="D20" s="38" t="str">
        <x:v>USD m</x:v>
      </x:c>
      <x:c r="E20" s="40"/>
      <x:c r="F20" s="40" t="n">
        <x:f>F18-F19</x:f>
        <x:v>3392.3403728818657</x:v>
      </x:c>
      <x:c r="G20" s="40" t="n">
        <x:f>G18-G19</x:f>
        <x:v>3571.642326066628</x:v>
      </x:c>
      <x:c r="H20" s="40" t="n">
        <x:f>H18-H19</x:f>
        <x:v>4207.171857383477</x:v>
      </x:c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Opening net cash ex customer funds</x:v>
      </x:c>
      <x:c r="D23" s="2" t="str">
        <x:v>USD m</x:v>
      </x:c>
      <x:c r="E23" s="3"/>
      <x:c r="F23" s="3" t="n">
        <x:f>E28</x:f>
        <x:v>9593</x:v>
      </x:c>
      <x:c r="G23" s="3" t="n">
        <x:f>F28</x:f>
        <x:v>9433.584872881866</x:v>
      </x:c>
      <x:c r="H23" s="3" t="n">
        <x:f>G28</x:f>
        <x:v>10282.596148948494</x:v>
      </x:c>
      <x:c r="I23" s="3"/>
      <x:c r="J23" s="3"/>
      <x:c r="K23" s="3"/>
      <x:c r="L23" s="3"/>
    </x:row>
    <x:row r="24" ht="19" customHeight="1">
      <x:c r="A24" s="2"/>
      <x:c r="B24" s="2"/>
      <x:c r="C24" s="2" t="str">
        <x:v>FCF since opening balance</x:v>
      </x:c>
      <x:c r="D24" s="2" t="str">
        <x:v>USD m</x:v>
      </x:c>
      <x:c r="E24" s="3"/>
      <x:c r="F24" s="8" t="n">
        <x:f>F18-'Source'!E28</x:f>
        <x:v>2221.8703728818655</x:v>
      </x:c>
      <x:c r="G24" s="3" t="n">
        <x:f>G18</x:f>
        <x:v>5536.825326066628</x:v>
      </x:c>
      <x:c r="H24" s="3" t="n">
        <x:f>H18</x:f>
        <x:v>6329.569497383477</x:v>
      </x:c>
      <x:c r="I24" s="3"/>
      <x:c r="J24" s="3"/>
      <x:c r="K24" s="3"/>
      <x:c r="L24" s="3"/>
    </x:row>
    <x:row r="25" ht="19" customHeight="1">
      <x:c r="A25" s="2"/>
      <x:c r="B25" s="2"/>
      <x:c r="C25" s="2" t="str">
        <x:v>Buybacks since opening balance</x:v>
      </x:c>
      <x:c r="D25" s="2" t="str">
        <x:v>USD m</x:v>
      </x:c>
      <x:c r="E25" s="3"/>
      <x:c r="F25" s="8" t="n">
        <x:f>'Assumptions'!F105-'Source'!E29</x:f>
        <x:v>2061</x:v>
      </x:c>
      <x:c r="G25" s="8" t="n">
        <x:f>'Assumptions'!G105</x:f>
        <x:v>4000</x:v>
      </x:c>
      <x:c r="H25" s="8" t="n">
        <x:f>'Assumptions'!H105</x:f>
        <x:v>4000</x:v>
      </x:c>
      <x:c r="I25" s="3"/>
      <x:c r="J25" s="3"/>
      <x:c r="K25" s="3"/>
      <x:c r="L25" s="3"/>
    </x:row>
    <x:row r="26" ht="19" customHeight="1">
      <x:c r="A26" s="2"/>
      <x:c r="B26" s="2"/>
      <x:c r="C26" s="2" t="str">
        <x:v>RSU withholding since opening balance</x:v>
      </x:c>
      <x:c r="D26" s="2" t="str">
        <x:v>USD m</x:v>
      </x:c>
      <x:c r="E26" s="3"/>
      <x:c r="F26" s="8" t="n">
        <x:f>F19*'Assumptions'!$F$129-'Source'!E30</x:f>
        <x:v>320.28549999999984</x:v>
      </x:c>
      <x:c r="G26" s="8" t="n">
        <x:f>G19*'Assumptions'!$F$129</x:f>
        <x:v>687.8140499999998</x:v>
      </x:c>
      <x:c r="H26" s="8" t="n">
        <x:f>H19*'Assumptions'!$F$129</x:f>
        <x:v>742.8391739999998</x:v>
      </x:c>
      <x:c r="I26" s="3"/>
      <x:c r="J26" s="3"/>
      <x:c r="K26" s="3"/>
      <x:c r="L26" s="3"/>
    </x:row>
    <x:row r="27" ht="19" customHeight="1">
      <x:c r="A27" s="2"/>
      <x:c r="B27" s="2"/>
      <x:c r="C27" s="2"/>
      <x:c r="D27" s="2"/>
      <x:c r="E27" s="3"/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38" t="str">
        <x:v>Ending net cash ex customer funds</x:v>
      </x:c>
      <x:c r="D28" s="38" t="str">
        <x:v>USD m</x:v>
      </x:c>
      <x:c r="E28" s="39" t="n">
        <x:f>'Assumptions'!$F$120</x:f>
        <x:v>9593</x:v>
      </x:c>
      <x:c r="F28" s="40" t="n">
        <x:f>SUM(F23:F24)-SUM(F25:F26)</x:f>
        <x:v>9433.584872881866</x:v>
      </x:c>
      <x:c r="G28" s="40" t="n">
        <x:f>SUM(G23:G24)-SUM(G25:G26)</x:f>
        <x:v>10282.596148948494</x:v>
      </x:c>
      <x:c r="H28" s="40" t="n">
        <x:f>SUM(H23:H24)-SUM(H25:H26)</x:f>
        <x:v>11869.32647233197</x:v>
      </x:c>
      <x:c r="I28" s="3"/>
      <x:c r="J28" s="3"/>
      <x:c r="K28" s="3"/>
      <x:c r="L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Opening diluted share proxy</x:v>
      </x:c>
      <x:c r="D30" s="2" t="str">
        <x:v>m</x:v>
      </x:c>
      <x:c r="E30" s="3"/>
      <x:c r="F30" s="3" t="n">
        <x:f>E36</x:f>
        <x:v>597</x:v>
      </x:c>
      <x:c r="G30" s="3" t="n">
        <x:f>F36</x:f>
        <x:v>588.8500302297462</x:v>
      </x:c>
      <x:c r="H30" s="3" t="n">
        <x:f>G36</x:f>
        <x:v>574.5981782324891</x:v>
      </x:c>
      <x:c r="I30" s="3"/>
      <x:c r="J30" s="3"/>
      <x:c r="K30" s="3"/>
      <x:c r="L30" s="3"/>
    </x:row>
    <x:row r="31" ht="19" customHeight="1">
      <x:c r="A31" s="2"/>
      <x:c r="B31" s="2"/>
      <x:c r="C31" s="2" t="str">
        <x:v>Assumed repurchase/issuance price</x:v>
      </x:c>
      <x:c r="D31" s="2" t="str">
        <x:v>USD</x:v>
      </x:c>
      <x:c r="E31" s="3"/>
      <x:c r="F31" s="42" t="n">
        <x:f>'Assumptions'!$F$119*(1+'Assumptions'!$F$130)^0</x:f>
        <x:v>181.94</x:v>
      </x:c>
      <x:c r="G31" s="42" t="n">
        <x:f>'Assumptions'!$F$119*(1+'Assumptions'!$F$130)^1</x:f>
        <x:v>191.037</x:v>
      </x:c>
      <x:c r="H31" s="42" t="n">
        <x:f>'Assumptions'!$F$119*(1+'Assumptions'!$F$130)^2</x:f>
        <x:v>200.58885</x:v>
      </x:c>
      <x:c r="I31" s="3"/>
      <x:c r="J31" s="3"/>
      <x:c r="K31" s="3"/>
      <x:c r="L31" s="3"/>
    </x:row>
    <x:row r="32" ht="19" customHeight="1">
      <x:c r="A32" s="2"/>
      <x:c r="B32" s="2"/>
      <x:c r="C32" s="2" t="str">
        <x:v>Shares repurchased</x:v>
      </x:c>
      <x:c r="D32" s="2" t="str">
        <x:v>m</x:v>
      </x:c>
      <x:c r="E32" s="3"/>
      <x:c r="F32" s="3" t="n">
        <x:f>F25/F31</x:f>
        <x:v>11.327910300098933</x:v>
      </x:c>
      <x:c r="G32" s="3" t="n">
        <x:f>G25/G31</x:f>
        <x:v>20.938352256369186</x:v>
      </x:c>
      <x:c r="H32" s="3" t="n">
        <x:f>H25/H31</x:f>
        <x:v>19.941287863208746</x:v>
      </x:c>
      <x:c r="I32" s="3"/>
      <x:c r="J32" s="3"/>
      <x:c r="K32" s="3"/>
      <x:c r="L32" s="3"/>
    </x:row>
    <x:row r="33" ht="19" customHeight="1">
      <x:c r="A33" s="2"/>
      <x:c r="B33" s="2"/>
      <x:c r="C33" s="2" t="str">
        <x:v>RSU shares issued after withholding</x:v>
      </x:c>
      <x:c r="D33" s="2" t="str">
        <x:v>m</x:v>
      </x:c>
      <x:c r="E33" s="3"/>
      <x:c r="F33" s="8" t="n">
        <x:f>(F19-'Source'!E31)/F31*(1-'Assumptions'!$F$129)</x:f>
        <x:v>3.1779405298450034</x:v>
      </x:c>
      <x:c r="G33" s="8" t="n">
        <x:f>(G19)/G31*(1-'Assumptions'!$F$129)</x:f>
        <x:v>6.686500259112107</x:v>
      </x:c>
      <x:c r="H33" s="8" t="n">
        <x:f>(H19)/H31*(1-'Assumptions'!$F$129)</x:f>
        <x:v>6.877543123658169</x:v>
      </x:c>
      <x:c r="I33" s="3"/>
      <x:c r="J33" s="3"/>
      <x:c r="K33" s="3"/>
      <x:c r="L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38" t="str">
        <x:v>Ending diluted share proxy</x:v>
      </x:c>
      <x:c r="D36" s="38" t="str">
        <x:v>m</x:v>
      </x:c>
      <x:c r="E36" s="39" t="n">
        <x:f>'Assumptions'!$F$121</x:f>
        <x:v>597</x:v>
      </x:c>
      <x:c r="F36" s="40" t="n">
        <x:f>F30-F32+F33</x:f>
        <x:v>588.8500302297462</x:v>
      </x:c>
      <x:c r="G36" s="40" t="n">
        <x:f>G30-G32+G33</x:f>
        <x:v>574.5981782324891</x:v>
      </x:c>
      <x:c r="H36" s="40" t="n">
        <x:f>H30-H32+H33</x:f>
        <x:v>561.5344334929384</x:v>
      </x:c>
      <x:c r="I36" s="3"/>
      <x:c r="J36" s="3"/>
      <x:c r="K36" s="3"/>
      <x:c r="L36" s="3"/>
    </x:row>
    <x:row r="37" ht="19" customHeight="1">
      <x:c r="A37" s="2"/>
      <x:c r="B37" s="2"/>
      <x:c r="C37" s="2" t="str">
        <x:v>Earnings per ending share proxy</x:v>
      </x:c>
      <x:c r="D37" s="2" t="str">
        <x:v>USD</x:v>
      </x:c>
      <x:c r="E37" s="3"/>
      <x:c r="F37" s="41" t="n">
        <x:f>F8/F36</x:f>
        <x:v>5.275041716718796</x:v>
      </x:c>
      <x:c r="G37" s="41" t="n">
        <x:f>G8/G36</x:f>
        <x:v>5.838903889818914</x:v>
      </x:c>
      <x:c r="H37" s="41" t="n">
        <x:f>H8/H36</x:f>
        <x:v>7.152417360642058</x:v>
      </x:c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 t="str">
        <x:v>The model starts at 30 Jun 2026. Only H2:26 flows affect the FY26 net-cash and share roll.</x:v>
      </x:c>
      <x:c r="D40" s="2"/>
      <x:c r="E40" s="3"/>
      <x:c r="F40" s="3"/>
      <x:c r="G40" s="3"/>
      <x:c r="H40" s="3"/>
      <x:c r="I40" s="3"/>
      <x:c r="J40" s="3"/>
      <x:c r="K40" s="3"/>
      <x:c r="L40" s="3"/>
    </x:row>
    <x:row r="41">
      <x:c r="C41" t="str">
        <x:v>Zero change in unearned fees is an inherited cash assumption, not an estimated RNPL result.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  <x:c r="M1" s="44"/>
      <x:c r="N1" s="44"/>
    </x:row>
    <x:row r="2" ht="19" customHeight="1">
      <x:c r="A2" s="2"/>
      <x:c r="B2" s="2"/>
      <x:c r="C2" s="6" t="str">
        <x:v>Conditional valuation at 13 September 2027</x:v>
      </x:c>
      <x:c r="D2" s="6"/>
      <x:c r="E2" s="7"/>
      <x:c r="F2" s="7"/>
      <x:c r="G2" s="7"/>
      <x:c r="H2" s="7"/>
      <x:c r="I2" s="7"/>
      <x:c r="J2" s="7"/>
      <x:c r="K2" s="7"/>
      <x:c r="L2" s="7"/>
      <x:c r="M2" s="44"/>
      <x:c r="N2" s="44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  <x:c r="M3" s="44"/>
      <x:c r="N3" s="44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  <x:c r="M4" s="44"/>
      <x:c r="N4" s="44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  <x:c r="M5" s="44"/>
      <x:c r="N5" s="44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  <x:c r="M6" s="44"/>
      <x:c r="N6" s="44"/>
    </x:row>
    <x:row r="7" ht="19" customHeight="1">
      <x:c r="A7" s="2"/>
      <x:c r="B7" s="2"/>
      <x:c r="C7" s="2"/>
      <x:c r="D7" s="2"/>
      <x:c r="E7" s="3"/>
      <x:c r="F7" s="3"/>
      <x:c r="G7" s="3"/>
      <x:c r="H7" s="3"/>
      <x:c r="I7" s="3"/>
      <x:c r="J7" s="3"/>
      <x:c r="K7" s="3"/>
      <x:c r="L7" s="3"/>
      <x:c r="M7" s="44"/>
      <x:c r="N7" s="44"/>
    </x:row>
    <x:row r="8" ht="19" customHeight="1">
      <x:c r="A8" s="2"/>
      <x:c r="B8" s="2"/>
      <x:c r="C8" s="2" t="str">
        <x:v>FY27 adjusted EBITDA</x:v>
      </x:c>
      <x:c r="D8" s="2"/>
      <x:c r="E8" s="8" t="n">
        <x:f>'Costs'!G25</x:f>
        <x:v>5807.532521622381</x:v>
      </x:c>
      <x:c r="F8" s="3"/>
      <x:c r="G8" s="3"/>
      <x:c r="H8" s="3"/>
      <x:c r="I8" s="3"/>
      <x:c r="J8" s="3"/>
      <x:c r="K8" s="3"/>
      <x:c r="L8" s="3"/>
      <x:c r="M8" s="44"/>
      <x:c r="N8" s="44"/>
    </x:row>
    <x:row r="9" ht="19" customHeight="1">
      <x:c r="A9" s="2"/>
      <x:c r="B9" s="2"/>
      <x:c r="C9" s="2" t="str">
        <x:v>Exit EV / EBITDA</x:v>
      </x:c>
      <x:c r="D9" s="2"/>
      <x:c r="E9" s="53" t="n">
        <x:f>'Assumptions'!$F$125</x:f>
        <x:v>16.5</x:v>
      </x:c>
      <x:c r="F9" s="3"/>
      <x:c r="G9" s="3"/>
      <x:c r="H9" s="3"/>
      <x:c r="I9" s="3"/>
      <x:c r="J9" s="3"/>
      <x:c r="K9" s="3"/>
      <x:c r="L9" s="3"/>
      <x:c r="M9" s="44"/>
      <x:c r="N9" s="44"/>
    </x:row>
    <x:row r="10" ht="19" customHeight="1">
      <x:c r="A10" s="2"/>
      <x:c r="B10" s="2"/>
      <x:c r="C10" s="2" t="str">
        <x:v>Enterprise value</x:v>
      </x:c>
      <x:c r="D10" s="2"/>
      <x:c r="E10" s="3" t="n">
        <x:f>E8*E9</x:f>
        <x:v>95824.28660676928</x:v>
      </x:c>
      <x:c r="F10" s="3"/>
      <x:c r="G10" s="3"/>
      <x:c r="H10" s="3"/>
      <x:c r="I10" s="3"/>
      <x:c r="J10" s="3"/>
      <x:c r="K10" s="3"/>
      <x:c r="L10" s="3"/>
      <x:c r="M10" s="44"/>
      <x:c r="N10" s="44"/>
    </x:row>
    <x:row r="11" ht="19" customHeight="1">
      <x:c r="A11" s="2"/>
      <x:c r="B11" s="2"/>
      <x:c r="C11" s="2" t="str">
        <x:v>13 Sep 2027 net cash ex customer funds</x:v>
      </x:c>
      <x:c r="D11" s="2"/>
      <x:c r="E11" s="8" t="n">
        <x:f>'Cash'!F28+'Assumptions'!F145*('Cash'!G28-'Cash'!F28)</x:f>
        <x:v>10029.055795273802</x:v>
      </x:c>
      <x:c r="F11" s="3"/>
      <x:c r="G11" s="3"/>
      <x:c r="H11" s="3"/>
      <x:c r="I11" s="3"/>
      <x:c r="J11" s="3"/>
      <x:c r="K11" s="3"/>
      <x:c r="L11" s="3"/>
      <x:c r="M11" s="44"/>
      <x:c r="N11" s="44"/>
    </x:row>
    <x:row r="12" ht="19" customHeight="1">
      <x:c r="A12" s="2"/>
      <x:c r="B12" s="2"/>
      <x:c r="C12" s="2" t="str">
        <x:v>Equity value</x:v>
      </x:c>
      <x:c r="D12" s="2"/>
      <x:c r="E12" s="3" t="n">
        <x:f>SUM(E10:E11)</x:f>
        <x:v>105853.34240204308</x:v>
      </x:c>
      <x:c r="F12" s="3"/>
      <x:c r="G12" s="3"/>
      <x:c r="H12" s="3"/>
      <x:c r="I12" s="3"/>
      <x:c r="J12" s="3"/>
      <x:c r="K12" s="3"/>
      <x:c r="L12" s="3"/>
      <x:c r="M12" s="44"/>
      <x:c r="N12" s="44"/>
    </x:row>
    <x:row r="13" ht="19" customHeight="1">
      <x:c r="A13" s="2"/>
      <x:c r="B13" s="2"/>
      <x:c r="C13" s="2" t="str">
        <x:v>13 Sep 2027 diluted share proxy</x:v>
      </x:c>
      <x:c r="D13" s="2"/>
      <x:c r="E13" s="8" t="n">
        <x:f>'Cash'!F36+'Assumptions'!F145*('Cash'!G36-'Cash'!F36)</x:f>
        <x:v>578.8542107467384</x:v>
      </x:c>
      <x:c r="F13" s="3"/>
      <x:c r="G13" s="3"/>
      <x:c r="H13" s="3"/>
      <x:c r="I13" s="3"/>
      <x:c r="J13" s="3"/>
      <x:c r="K13" s="3"/>
      <x:c r="L13" s="3"/>
      <x:c r="M13" s="44"/>
      <x:c r="N13" s="44"/>
    </x:row>
    <x:row r="14" ht="19" customHeight="1">
      <x:c r="A14" s="2"/>
      <x:c r="B14" s="2"/>
      <x:c r="C14" s="2" t="str">
        <x:v>EV/EBITDA value per share</x:v>
      </x:c>
      <x:c r="D14" s="2"/>
      <x:c r="E14" s="41" t="n">
        <x:f>E12/E13</x:f>
        <x:v>182.86701631744072</x:v>
      </x:c>
      <x:c r="F14" s="3"/>
      <x:c r="G14" s="3"/>
      <x:c r="H14" s="3"/>
      <x:c r="I14" s="3"/>
      <x:c r="J14" s="3"/>
      <x:c r="K14" s="3"/>
      <x:c r="L14" s="3"/>
      <x:c r="M14" s="44"/>
      <x:c r="N14" s="44"/>
    </x:row>
    <x:row r="15" ht="19" customHeight="1">
      <x:c r="A15" s="2"/>
      <x:c r="B15" s="2"/>
      <x:c r="C15" s="2"/>
      <x:c r="D15" s="2"/>
      <x:c r="E15" s="3"/>
      <x:c r="F15" s="3"/>
      <x:c r="G15" s="3"/>
      <x:c r="H15" s="3"/>
      <x:c r="I15" s="3"/>
      <x:c r="J15" s="3"/>
      <x:c r="K15" s="3"/>
      <x:c r="L15" s="3"/>
      <x:c r="M15" s="44"/>
      <x:c r="N15" s="44"/>
    </x:row>
    <x:row r="16" ht="23" customHeight="1">
      <x:c r="A16" s="2"/>
      <x:c r="B16" s="2"/>
      <x:c r="C16" s="27" t="str">
        <x:v>Inherited diagnostic lenses: 31 Dec 2027</x:v>
      </x:c>
      <x:c r="D16" s="27"/>
      <x:c r="E16" s="28"/>
      <x:c r="F16" s="28"/>
      <x:c r="G16" s="28"/>
      <x:c r="H16" s="28"/>
      <x:c r="I16" s="28"/>
      <x:c r="J16" s="28"/>
      <x:c r="K16" s="3"/>
      <x:c r="L16" s="3"/>
      <x:c r="M16" s="44"/>
      <x:c r="N16" s="44"/>
    </x:row>
    <x:row r="17" ht="19" customHeight="1">
      <x:c r="A17" s="2"/>
      <x:c r="B17" s="2"/>
      <x:c r="C17" s="2" t="str">
        <x:v>EV / FY27 FCF</x:v>
      </x:c>
      <x:c r="D17" s="2"/>
      <x:c r="E17" s="42" t="n">
        <x:f>('Assumptions'!$F$126*'Cash'!G18+'Cash'!G28)/'Cash'!G36</x:f>
        <x:v>155.6900138230251</x:v>
      </x:c>
      <x:c r="F17" s="3"/>
      <x:c r="G17" s="3"/>
      <x:c r="H17" s="3"/>
      <x:c r="I17" s="3"/>
      <x:c r="J17" s="3"/>
      <x:c r="K17" s="3"/>
      <x:c r="L17" s="3"/>
      <x:c r="M17" s="44"/>
      <x:c r="N17" s="44"/>
    </x:row>
    <x:row r="18" ht="19" customHeight="1">
      <x:c r="A18" s="2"/>
      <x:c r="B18" s="2"/>
      <x:c r="C18" s="2" t="str">
        <x:v>P / FY27 SBC-adjusted FCF</x:v>
      </x:c>
      <x:c r="D18" s="2"/>
      <x:c r="E18" s="42" t="n">
        <x:f>'Assumptions'!$F$127*'Cash'!G20/'Cash'!G36</x:f>
        <x:v>121.20996549717435</x:v>
      </x:c>
      <x:c r="F18" s="3"/>
      <x:c r="G18" s="3"/>
      <x:c r="H18" s="3"/>
      <x:c r="I18" s="3"/>
      <x:c r="J18" s="3"/>
      <x:c r="K18" s="3"/>
      <x:c r="L18" s="3"/>
      <x:c r="M18" s="44"/>
      <x:c r="N18" s="44"/>
    </x:row>
    <x:row r="19" ht="19" customHeight="1">
      <x:c r="A19" s="2"/>
      <x:c r="B19" s="2"/>
      <x:c r="C19" s="2" t="str">
        <x:v>P / FY27 earnings proxy</x:v>
      </x:c>
      <x:c r="D19" s="2"/>
      <x:c r="E19" s="42" t="n">
        <x:f>'Assumptions'!$F$128*'Cash'!G37</x:f>
        <x:v>113.85862585146882</x:v>
      </x:c>
      <x:c r="F19" s="3"/>
      <x:c r="G19" s="3"/>
      <x:c r="H19" s="3"/>
      <x:c r="I19" s="3"/>
      <x:c r="J19" s="3"/>
      <x:c r="K19" s="3"/>
      <x:c r="L19" s="3"/>
      <x:c r="M19" s="44"/>
      <x:c r="N19" s="44"/>
    </x:row>
    <x:row r="20" ht="19" customHeight="1">
      <x:c r="A20" s="2"/>
      <x:c r="B20" s="2"/>
      <x:c r="C20" s="2" t="str">
        <x:v>FY28 EV/EBITDA discounted one year</x:v>
      </x:c>
      <x:c r="D20" s="2"/>
      <x:c r="E20" s="42" t="n">
        <x:f>('Assumptions'!$F$125*'Costs'!H25+'Cash'!H28)/'Cash'!H36/(1+'Assumptions'!$F$122)</x:f>
        <x:v>201.02779820451013</x:v>
      </x:c>
      <x:c r="F20" s="3"/>
      <x:c r="G20" s="3"/>
      <x:c r="H20" s="3"/>
      <x:c r="I20" s="3"/>
      <x:c r="J20" s="3"/>
      <x:c r="K20" s="3"/>
      <x:c r="L20" s="3"/>
      <x:c r="M20" s="44"/>
      <x:c r="N20" s="44"/>
    </x:row>
    <x:row r="21" ht="19" customHeight="1">
      <x:c r="A21" s="2"/>
      <x:c r="B21" s="2"/>
      <x:c r="C21" s="2" t="str">
        <x:v>DCF on FCF (legacy forward convention)</x:v>
      </x:c>
      <x:c r="D21" s="2"/>
      <x:c r="E21" s="42" t="n">
        <x:f>(E33+'Cash'!G28)/'Cash'!G36</x:f>
        <x:v>186.42406268370482</x:v>
      </x:c>
      <x:c r="F21" s="3"/>
      <x:c r="G21" s="3"/>
      <x:c r="H21" s="3"/>
      <x:c r="I21" s="3"/>
      <x:c r="J21" s="3"/>
      <x:c r="K21" s="3"/>
      <x:c r="L21" s="3"/>
      <x:c r="M21" s="44"/>
      <x:c r="N21" s="44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  <x:c r="M22" s="44"/>
      <x:c r="N22" s="44"/>
    </x:row>
    <x:row r="23" ht="19" customHeight="1">
      <x:c r="A23" s="2"/>
      <x:c r="B23" s="2"/>
      <x:c r="C23" s="2" t="str">
        <x:v>31 Dec 2027 comparison value/share</x:v>
      </x:c>
      <x:c r="D23" s="2"/>
      <x:c r="E23" s="42" t="n">
        <x:f>(E10+'Cash'!G28)/'Cash'!G36</x:f>
        <x:v>184.6627552529164</x:v>
      </x:c>
      <x:c r="F23" s="3"/>
      <x:c r="G23" s="3"/>
      <x:c r="H23" s="3"/>
      <x:c r="I23" s="3"/>
      <x:c r="J23" s="3"/>
      <x:c r="K23" s="3"/>
      <x:c r="L23" s="3"/>
      <x:c r="M23" s="44"/>
      <x:c r="N23" s="44"/>
    </x:row>
    <x:row r="24" ht="19" customHeight="1">
      <x:c r="A24" s="2"/>
      <x:c r="B24" s="2"/>
      <x:c r="C24" s="2"/>
      <x:c r="D24" s="2"/>
      <x:c r="E24" s="3"/>
      <x:c r="F24" s="3"/>
      <x:c r="G24" s="3"/>
      <x:c r="H24" s="3"/>
      <x:c r="I24" s="3"/>
      <x:c r="J24" s="3"/>
      <x:c r="K24" s="3"/>
      <x:c r="L24" s="3"/>
      <x:c r="M24" s="44"/>
      <x:c r="N24" s="44"/>
    </x:row>
    <x:row r="25" ht="19" customHeight="1">
      <x:c r="A25" s="2"/>
      <x:c r="B25" s="2"/>
      <x:c r="C25" s="2"/>
      <x:c r="D25" s="2"/>
      <x:c r="E25" s="3"/>
      <x:c r="F25" s="3"/>
      <x:c r="G25" s="3"/>
      <x:c r="H25" s="3"/>
      <x:c r="I25" s="3"/>
      <x:c r="J25" s="3"/>
      <x:c r="K25" s="3"/>
      <x:c r="L25" s="3"/>
      <x:c r="M25" s="44"/>
      <x:c r="N25" s="44"/>
    </x:row>
    <x:row r="26" ht="19" customHeight="1">
      <x:c r="A26" s="2"/>
      <x:c r="B26" s="2"/>
      <x:c r="C26" s="2" t="str">
        <x:v>DCF: year</x:v>
      </x:c>
      <x:c r="D26" s="2"/>
      <x:c r="E26" s="47" t="n">
        <x:v>2028</x:v>
      </x:c>
      <x:c r="F26" s="47" t="n">
        <x:v>2029</x:v>
      </x:c>
      <x:c r="G26" s="47" t="n">
        <x:v>2030</x:v>
      </x:c>
      <x:c r="H26" s="47" t="n">
        <x:v>2031</x:v>
      </x:c>
      <x:c r="I26" s="47" t="n">
        <x:v>2032</x:v>
      </x:c>
      <x:c r="J26" s="47" t="n">
        <x:v>2033</x:v>
      </x:c>
      <x:c r="K26" s="47" t="n">
        <x:v>2034</x:v>
      </x:c>
      <x:c r="L26" s="47" t="n">
        <x:v>2035</x:v>
      </x:c>
      <x:c r="M26" s="48" t="n">
        <x:v>2036</x:v>
      </x:c>
      <x:c r="N26" s="48" t="n">
        <x:v>2037</x:v>
      </x:c>
    </x:row>
    <x:row r="27" ht="19" customHeight="1">
      <x:c r="A27" s="2"/>
      <x:c r="B27" s="2"/>
      <x:c r="C27" s="2" t="str">
        <x:v>FCF growth</x:v>
      </x:c>
      <x:c r="D27" s="2"/>
      <x:c r="E27" s="34" t="n">
        <x:f>'Assumptions'!$F$124+('Assumptions'!$F$123-'Assumptions'!$F$124)*0/9</x:f>
        <x:v>0.09</x:v>
      </x:c>
      <x:c r="F27" s="34" t="n">
        <x:f>'Assumptions'!$F$124+('Assumptions'!$F$123-'Assumptions'!$F$124)*1/9</x:f>
        <x:v>0.08333333333333333</x:v>
      </x:c>
      <x:c r="G27" s="34" t="n">
        <x:f>'Assumptions'!$F$124+('Assumptions'!$F$123-'Assumptions'!$F$124)*2/9</x:f>
        <x:v>0.07666666666666666</x:v>
      </x:c>
      <x:c r="H27" s="34" t="n">
        <x:f>'Assumptions'!$F$124+('Assumptions'!$F$123-'Assumptions'!$F$124)*3/9</x:f>
        <x:v>0.06999999999999999</x:v>
      </x:c>
      <x:c r="I27" s="34" t="n">
        <x:f>'Assumptions'!$F$124+('Assumptions'!$F$123-'Assumptions'!$F$124)*4/9</x:f>
        <x:v>0.06333333333333332</x:v>
      </x:c>
      <x:c r="J27" s="34" t="n">
        <x:f>'Assumptions'!$F$124+('Assumptions'!$F$123-'Assumptions'!$F$124)*5/9</x:f>
        <x:v>0.056666666666666664</x:v>
      </x:c>
      <x:c r="K27" s="34" t="n">
        <x:f>'Assumptions'!$F$124+('Assumptions'!$F$123-'Assumptions'!$F$124)*6/9</x:f>
        <x:v>0.049999999999999996</x:v>
      </x:c>
      <x:c r="L27" s="34" t="n">
        <x:f>'Assumptions'!$F$124+('Assumptions'!$F$123-'Assumptions'!$F$124)*7/9</x:f>
        <x:v>0.043333333333333335</x:v>
      </x:c>
      <x:c r="M27" s="49" t="n">
        <x:f>'Assumptions'!$F$124+('Assumptions'!$F$123-'Assumptions'!$F$124)*8/9</x:f>
        <x:v>0.03666666666666667</x:v>
      </x:c>
      <x:c r="N27" s="49" t="n">
        <x:f>'Assumptions'!$F$124+('Assumptions'!$F$123-'Assumptions'!$F$124)*9/9</x:f>
        <x:v>0.029999999999999992</x:v>
      </x:c>
    </x:row>
    <x:row r="28" ht="19" customHeight="1">
      <x:c r="A28" s="2"/>
      <x:c r="B28" s="2"/>
      <x:c r="C28" s="2" t="str">
        <x:v>FCF</x:v>
      </x:c>
      <x:c r="D28" s="2"/>
      <x:c r="E28" s="8" t="n">
        <x:f>'Cash'!G18*(1+E27)</x:f>
        <x:v>6035.139605412624</x:v>
      </x:c>
      <x:c r="F28" s="3" t="n">
        <x:f>E28*(1+F27)</x:f>
        <x:v>6538.067905863676</x:v>
      </x:c>
      <x:c r="G28" s="3" t="n">
        <x:f>F28*(1+G27)</x:f>
        <x:v>7039.319778646558</x:v>
      </x:c>
      <x:c r="H28" s="3" t="n">
        <x:f>G28*(1+H27)</x:f>
        <x:v>7532.072163151817</x:v>
      </x:c>
      <x:c r="I28" s="3" t="n">
        <x:f>H28*(1+I27)</x:f>
        <x:v>8009.103400151432</x:v>
      </x:c>
      <x:c r="J28" s="3" t="n">
        <x:f>I28*(1+J27)</x:f>
        <x:v>8462.95259282668</x:v>
      </x:c>
      <x:c r="K28" s="3" t="n">
        <x:f>J28*(1+K27)</x:f>
        <x:v>8886.100222468014</x:v>
      </x:c>
      <x:c r="L28" s="3" t="n">
        <x:f>K28*(1+L27)</x:f>
        <x:v>9271.16456544163</x:v>
      </x:c>
      <x:c r="M28" s="46" t="n">
        <x:f>L28*(1+M27)</x:f>
        <x:v>9611.10726617449</x:v>
      </x:c>
      <x:c r="N28" s="46" t="n">
        <x:f>M28*(1+N27)</x:f>
        <x:v>9899.440484159724</x:v>
      </x:c>
    </x:row>
    <x:row r="29" ht="19" customHeight="1">
      <x:c r="A29" s="2"/>
      <x:c r="B29" s="2"/>
      <x:c r="C29" s="2" t="str">
        <x:v>Discount factor</x:v>
      </x:c>
      <x:c r="D29" s="2"/>
      <x:c r="E29" s="8" t="n">
        <x:f>1/(1+'Assumptions'!$F$122)^1</x:f>
        <x:v>0.9049773755656109</x:v>
      </x:c>
      <x:c r="F29" s="8" t="n">
        <x:f>1/(1+'Assumptions'!$F$122)^2</x:f>
        <x:v>0.8189840502856207</x:v>
      </x:c>
      <x:c r="G29" s="8" t="n">
        <x:f>1/(1+'Assumptions'!$F$122)^3</x:f>
        <x:v>0.7411620364575753</x:v>
      </x:c>
      <x:c r="H29" s="8" t="n">
        <x:f>1/(1+'Assumptions'!$F$122)^4</x:f>
        <x:v>0.6707348746222401</x:v>
      </x:c>
      <x:c r="I29" s="8" t="n">
        <x:f>1/(1+'Assumptions'!$F$122)^5</x:f>
        <x:v>0.6069998865359639</x:v>
      </x:c>
      <x:c r="J29" s="8" t="n">
        <x:f>1/(1+'Assumptions'!$F$122)^6</x:f>
        <x:v>0.5493211642859402</x:v>
      </x:c>
      <x:c r="K29" s="8" t="n">
        <x:f>1/(1+'Assumptions'!$F$122)^7</x:f>
        <x:v>0.49712322559813593</x:v>
      </x:c>
      <x:c r="L29" s="8" t="n">
        <x:f>1/(1+'Assumptions'!$F$122)^8</x:f>
        <x:v>0.4498852720345122</x:v>
      </x:c>
      <x:c r="M29" s="45" t="n">
        <x:f>1/(1+'Assumptions'!$F$122)^9</x:f>
        <x:v>0.4071359927914137</x:v>
      </x:c>
      <x:c r="N29" s="45" t="n">
        <x:f>1/(1+'Assumptions'!$F$122)^10</x:f>
        <x:v>0.36844886225467305</x:v>
      </x:c>
    </x:row>
    <x:row r="30" ht="19" customHeight="1">
      <x:c r="A30" s="2"/>
      <x:c r="B30" s="2"/>
      <x:c r="C30" s="2" t="str">
        <x:v>Discounted FCF</x:v>
      </x:c>
      <x:c r="D30" s="2"/>
      <x:c r="E30" s="3" t="n">
        <x:f>E28*E29</x:f>
        <x:v>5461.6648012783935</x:v>
      </x:c>
      <x:c r="F30" s="3" t="n">
        <x:f>F28*F29</x:f>
        <x:v>5354.57333458666</x:v>
      </x:c>
      <x:c r="G30" s="3" t="n">
        <x:f>G28*G29</x:f>
        <x:v>5217.276582417771</x:v>
      </x:c>
      <x:c r="H30" s="3" t="n">
        <x:f>H28*H29</x:f>
        <x:v>5052.023477997299</x:v>
      </x:c>
      <x:c r="I30" s="3" t="n">
        <x:f>I28*I29</x:f>
        <x:v>4861.524855146722</x:v>
      </x:c>
      <x:c r="J30" s="3" t="n">
        <x:f>J28*J29</x:f>
        <x:v>4648.8789715882685</x:v>
      </x:c>
      <x:c r="K30" s="3" t="n">
        <x:f>K28*K29</x:f>
        <x:v>4417.486805581612</x:v>
      </x:c>
      <x:c r="L30" s="3" t="n">
        <x:f>L28*L29</x:f>
        <x:v>4170.960392600437</x:v>
      </x:c>
      <x:c r="M30" s="46" t="n">
        <x:f>M28*M29</x:f>
        <x:v>3913.0276986387207</x:v>
      </x:c>
      <x:c r="N30" s="46" t="n">
        <x:f>N28*N29</x:f>
        <x:v>3647.4375833465</x:v>
      </x:c>
    </x:row>
    <x:row r="31" ht="19" customHeight="1">
      <x:c r="A31" s="2"/>
      <x:c r="B31" s="2"/>
      <x:c r="C31" s="2"/>
      <x:c r="D31" s="2"/>
      <x:c r="E31" s="3"/>
      <x:c r="F31" s="3"/>
      <x:c r="G31" s="3"/>
      <x:c r="H31" s="3"/>
      <x:c r="I31" s="3"/>
      <x:c r="J31" s="3"/>
      <x:c r="K31" s="3"/>
      <x:c r="L31" s="3"/>
      <x:c r="M31" s="44"/>
      <x:c r="N31" s="44"/>
    </x:row>
    <x:row r="32" ht="19" customHeight="1">
      <x:c r="A32" s="2"/>
      <x:c r="B32" s="2"/>
      <x:c r="C32" s="2" t="str">
        <x:v>Terminal enterprise value</x:v>
      </x:c>
      <x:c r="D32" s="2"/>
      <x:c r="E32" s="8" t="n">
        <x:f>IF('Assumptions'!$F$122&lt;='Assumptions'!$F$123,"Invalid discount rates",N28*(1+'Assumptions'!$F$123)/('Assumptions'!$F$122-'Assumptions'!$F$123))</x:f>
        <x:v>135952.31598246025</x:v>
      </x:c>
      <x:c r="F32" s="3"/>
      <x:c r="G32" s="3"/>
      <x:c r="H32" s="3"/>
      <x:c r="I32" s="3"/>
      <x:c r="J32" s="3"/>
      <x:c r="K32" s="3"/>
      <x:c r="L32" s="3"/>
      <x:c r="M32" s="44"/>
      <x:c r="N32" s="44"/>
    </x:row>
    <x:row r="33" ht="19" customHeight="1">
      <x:c r="A33" s="2"/>
      <x:c r="B33" s="2"/>
      <x:c r="C33" s="2" t="str">
        <x:v>DCF enterprise value</x:v>
      </x:c>
      <x:c r="D33" s="2"/>
      <x:c r="E33" s="3" t="n">
        <x:f>SUM(E30:N30)+E32*N29</x:f>
        <x:v>96836.33064780766</x:v>
      </x:c>
      <x:c r="F33" s="3"/>
      <x:c r="G33" s="3"/>
      <x:c r="H33" s="3"/>
      <x:c r="I33" s="3"/>
      <x:c r="J33" s="3"/>
      <x:c r="K33" s="3"/>
      <x:c r="L33" s="3"/>
      <x:c r="M33" s="44"/>
      <x:c r="N33" s="44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  <x:c r="M34" s="44"/>
      <x:c r="N34" s="44"/>
    </x:row>
    <x:row r="35" ht="19" customHeight="1">
      <x:c r="A35" s="2"/>
      <x:c r="B35" s="2"/>
      <x:c r="C35" s="2"/>
      <x:c r="D35" s="2"/>
      <x:c r="E35" s="3"/>
      <x:c r="F35" s="3"/>
      <x:c r="G35" s="3"/>
      <x:c r="H35" s="3"/>
      <x:c r="I35" s="3"/>
      <x:c r="J35" s="3"/>
      <x:c r="K35" s="3"/>
      <x:c r="L35" s="3"/>
      <x:c r="M35" s="44"/>
      <x:c r="N35" s="44"/>
    </x:row>
    <x:row r="36" ht="19" customHeight="1">
      <x:c r="A36" s="2"/>
      <x:c r="B36" s="2"/>
      <x:c r="C36" s="2" t="str">
        <x:v>Legacy reproduction (separate inputs)</x:v>
      </x:c>
      <x:c r="D36" s="2"/>
      <x:c r="E36" s="3"/>
      <x:c r="F36" s="3"/>
      <x:c r="G36" s="3"/>
      <x:c r="H36" s="3"/>
      <x:c r="I36" s="3"/>
      <x:c r="J36" s="3"/>
      <x:c r="K36" s="3"/>
      <x:c r="L36" s="3"/>
      <x:c r="M36" s="44"/>
      <x:c r="N36" s="44"/>
    </x:row>
    <x:row r="37" ht="19" customHeight="1">
      <x:c r="A37" s="2"/>
      <x:c r="B37" s="2"/>
      <x:c r="C37" s="2"/>
      <x:c r="D37" s="2"/>
      <x:c r="E37" s="3"/>
      <x:c r="F37" s="3"/>
      <x:c r="G37" s="3"/>
      <x:c r="H37" s="3"/>
      <x:c r="I37" s="3"/>
      <x:c r="J37" s="3"/>
      <x:c r="K37" s="3"/>
      <x:c r="L37" s="3"/>
      <x:c r="M37" s="44"/>
      <x:c r="N37" s="44"/>
    </x:row>
    <x:row r="38" ht="19" customHeight="1">
      <x:c r="A38" s="2"/>
      <x:c r="B38" s="2"/>
      <x:c r="C38" s="2" t="str">
        <x:v>Legacy FY27 EBITDA lens</x:v>
      </x:c>
      <x:c r="D38" s="2"/>
      <x:c r="E38" s="42" t="n">
        <x:f>('Source'!E58*'Source'!E50+'Source'!E54)/'Source'!E55</x:f>
        <x:v>180.87629337533954</x:v>
      </x:c>
      <x:c r="F38" s="3"/>
      <x:c r="G38" s="3"/>
      <x:c r="H38" s="3"/>
      <x:c r="I38" s="3"/>
      <x:c r="J38" s="3"/>
      <x:c r="K38" s="3"/>
      <x:c r="L38" s="3"/>
      <x:c r="M38" s="44"/>
      <x:c r="N38" s="44"/>
    </x:row>
    <x:row r="39" ht="19" customHeight="1">
      <x:c r="A39" s="2"/>
      <x:c r="B39" s="2"/>
      <x:c r="C39" s="2" t="str">
        <x:v>Legacy FY27 FCF lens</x:v>
      </x:c>
      <x:c r="D39" s="2"/>
      <x:c r="E39" s="42" t="n">
        <x:f>('Source'!E59*'Source'!E51+'Source'!E54)/'Source'!E55</x:f>
        <x:v>152.50139133476213</x:v>
      </x:c>
      <x:c r="F39" s="3"/>
      <x:c r="G39" s="3"/>
      <x:c r="H39" s="3"/>
      <x:c r="I39" s="3"/>
      <x:c r="J39" s="3"/>
      <x:c r="K39" s="3"/>
      <x:c r="L39" s="3"/>
      <x:c r="M39" s="44"/>
      <x:c r="N39" s="44"/>
    </x:row>
    <x:row r="40" ht="19" customHeight="1">
      <x:c r="A40" s="2"/>
      <x:c r="B40" s="2"/>
      <x:c r="C40" s="2" t="str">
        <x:v>Legacy SBC-adjusted FCF lens</x:v>
      </x:c>
      <x:c r="D40" s="2"/>
      <x:c r="E40" s="42" t="n">
        <x:f>'Source'!E60*'Source'!E52/'Source'!E55</x:f>
        <x:v>117.25724103947995</x:v>
      </x:c>
      <x:c r="F40" s="3"/>
      <x:c r="G40" s="3"/>
      <x:c r="H40" s="3"/>
      <x:c r="I40" s="3"/>
      <x:c r="J40" s="3"/>
      <x:c r="K40" s="3"/>
      <x:c r="L40" s="3"/>
      <x:c r="M40" s="44"/>
      <x:c r="N40" s="44"/>
    </x:row>
    <x:row r="41" ht="19" customHeight="1">
      <x:c r="A41" s="2"/>
      <x:c r="B41" s="2"/>
      <x:c r="C41" s="2" t="str">
        <x:v>Legacy earnings proxy lens</x:v>
      </x:c>
      <x:c r="D41" s="2"/>
      <x:c r="E41" s="42" t="n">
        <x:f>'Source'!E60*'Source'!E53/'Source'!E55</x:f>
        <x:v>110.57976638924961</x:v>
      </x:c>
      <x:c r="F41" s="3"/>
      <x:c r="G41" s="3"/>
      <x:c r="H41" s="3"/>
      <x:c r="I41" s="3"/>
      <x:c r="J41" s="3"/>
      <x:c r="K41" s="3"/>
      <x:c r="L41" s="3"/>
      <x:c r="M41" s="44"/>
      <x:c r="N41" s="44"/>
    </x:row>
    <x:row r="42" ht="19" customHeight="1">
      <x:c r="A42" s="2"/>
      <x:c r="B42" s="2"/>
      <x:c r="C42" s="2" t="str">
        <x:v>Legacy FY28 EBITDA discounted lens</x:v>
      </x:c>
      <x:c r="D42" s="2"/>
      <x:c r="E42" s="42" t="n">
        <x:f>('Source'!E58*'Source'!F50+'Source'!F54)/'Source'!F55/(1+'Source'!E61)</x:f>
        <x:v>196.91747509565513</x:v>
      </x:c>
      <x:c r="F42" s="3"/>
      <x:c r="G42" s="3"/>
      <x:c r="H42" s="3"/>
      <x:c r="I42" s="3"/>
      <x:c r="J42" s="3"/>
      <x:c r="K42" s="3"/>
      <x:c r="L42" s="3"/>
      <x:c r="M42" s="44"/>
      <x:c r="N42" s="44"/>
    </x:row>
    <x:row r="43" ht="19" customHeight="1">
      <x:c r="A43" s="2"/>
      <x:c r="B43" s="2"/>
      <x:c r="C43" s="2" t="str">
        <x:v>Legacy DCF on FCF</x:v>
      </x:c>
      <x:c r="D43" s="2"/>
      <x:c r="E43" s="42" t="n">
        <x:f>(E54+'Source'!E54)/'Source'!E55</x:f>
        <x:v>182.58891548425515</x:v>
      </x:c>
      <x:c r="F43" s="3"/>
      <x:c r="G43" s="3"/>
      <x:c r="H43" s="3"/>
      <x:c r="I43" s="3"/>
      <x:c r="J43" s="3"/>
      <x:c r="K43" s="3"/>
      <x:c r="L43" s="3"/>
      <x:c r="M43" s="44"/>
      <x:c r="N43" s="44"/>
    </x:row>
    <x:row r="44" ht="19" customHeight="1">
      <x:c r="A44" s="2"/>
      <x:c r="B44" s="2"/>
      <x:c r="C44" s="2"/>
      <x:c r="D44" s="2"/>
      <x:c r="E44" s="3"/>
      <x:c r="F44" s="3"/>
      <x:c r="G44" s="3"/>
      <x:c r="H44" s="3"/>
      <x:c r="I44" s="3"/>
      <x:c r="J44" s="3"/>
      <x:c r="K44" s="3"/>
      <x:c r="L44" s="3"/>
      <x:c r="M44" s="44"/>
      <x:c r="N44" s="44"/>
    </x:row>
    <x:row r="45" ht="19" customHeight="1">
      <x:c r="A45" s="2"/>
      <x:c r="B45" s="2"/>
      <x:c r="C45" s="2" t="str">
        <x:v>Legacy six-lens mean</x:v>
      </x:c>
      <x:c r="D45" s="2"/>
      <x:c r="E45" s="41" t="n">
        <x:f>AVERAGE(E38:E43)</x:f>
        <x:v>156.78684711979025</x:v>
      </x:c>
      <x:c r="F45" s="3"/>
      <x:c r="G45" s="3"/>
      <x:c r="H45" s="3"/>
      <x:c r="I45" s="3"/>
      <x:c r="J45" s="3"/>
      <x:c r="K45" s="3"/>
      <x:c r="L45" s="3"/>
      <x:c r="M45" s="44"/>
      <x:c r="N45" s="44"/>
    </x:row>
    <x:row r="46" ht="19" customHeight="1">
      <x:c r="A46" s="2"/>
      <x:c r="B46" s="2"/>
      <x:c r="C46" s="2"/>
      <x:c r="D46" s="2"/>
      <x:c r="E46" s="3"/>
      <x:c r="F46" s="3"/>
      <x:c r="G46" s="3"/>
      <x:c r="H46" s="3"/>
      <x:c r="I46" s="3"/>
      <x:c r="J46" s="3"/>
      <x:c r="K46" s="3"/>
      <x:c r="L46" s="3"/>
      <x:c r="M46" s="44"/>
      <x:c r="N46" s="44"/>
    </x:row>
    <x:row r="47" ht="19" customHeight="1">
      <x:c r="A47" s="2"/>
      <x:c r="B47" s="2"/>
      <x:c r="C47" s="2"/>
      <x:c r="D47" s="2"/>
      <x:c r="E47" s="3"/>
      <x:c r="F47" s="3"/>
      <x:c r="G47" s="3"/>
      <x:c r="H47" s="3"/>
      <x:c r="I47" s="3"/>
      <x:c r="J47" s="3"/>
      <x:c r="K47" s="3"/>
      <x:c r="L47" s="3"/>
      <x:c r="M47" s="44"/>
      <x:c r="N47" s="44"/>
    </x:row>
    <x:row r="48" ht="19" customHeight="1">
      <x:c r="A48" s="2"/>
      <x:c r="B48" s="2"/>
      <x:c r="C48" s="2"/>
      <x:c r="D48" s="2"/>
      <x:c r="E48" s="3"/>
      <x:c r="F48" s="3"/>
      <x:c r="G48" s="3"/>
      <x:c r="H48" s="3"/>
      <x:c r="I48" s="3"/>
      <x:c r="J48" s="3"/>
      <x:c r="K48" s="3"/>
      <x:c r="L48" s="3"/>
      <x:c r="M48" s="44"/>
      <x:c r="N48" s="44"/>
    </x:row>
    <x:row r="49" ht="19" customHeight="1">
      <x:c r="A49" s="2"/>
      <x:c r="B49" s="2"/>
      <x:c r="C49" s="2" t="str">
        <x:v>Legacy DCF period</x:v>
      </x:c>
      <x:c r="D49" s="2"/>
      <x:c r="E49" s="47" t="n">
        <x:v>1</x:v>
      </x:c>
      <x:c r="F49" s="47" t="n">
        <x:v>2</x:v>
      </x:c>
      <x:c r="G49" s="47" t="n">
        <x:v>3</x:v>
      </x:c>
      <x:c r="H49" s="47" t="n">
        <x:v>4</x:v>
      </x:c>
      <x:c r="I49" s="47" t="n">
        <x:v>5</x:v>
      </x:c>
      <x:c r="J49" s="47" t="n">
        <x:v>6</x:v>
      </x:c>
      <x:c r="K49" s="47" t="n">
        <x:v>7</x:v>
      </x:c>
      <x:c r="L49" s="47" t="n">
        <x:v>8</x:v>
      </x:c>
      <x:c r="M49" s="48" t="n">
        <x:v>9</x:v>
      </x:c>
      <x:c r="N49" s="48" t="n">
        <x:v>10</x:v>
      </x:c>
    </x:row>
    <x:row r="50" ht="19" customHeight="1">
      <x:c r="A50" s="2"/>
      <x:c r="B50" s="2"/>
      <x:c r="C50" s="2" t="str">
        <x:v>Legacy FCF growth</x:v>
      </x:c>
      <x:c r="D50" s="2"/>
      <x:c r="E50" s="34" t="n">
        <x:f>'Source'!$E$62+('Source'!$E$63-'Source'!$E$62)*0/9</x:f>
        <x:v>0.09</x:v>
      </x:c>
      <x:c r="F50" s="34" t="n">
        <x:f>'Source'!$E$62+('Source'!$E$63-'Source'!$E$62)*1/9</x:f>
        <x:v>0.08333333333333333</x:v>
      </x:c>
      <x:c r="G50" s="34" t="n">
        <x:f>'Source'!$E$62+('Source'!$E$63-'Source'!$E$62)*2/9</x:f>
        <x:v>0.07666666666666666</x:v>
      </x:c>
      <x:c r="H50" s="34" t="n">
        <x:f>'Source'!$E$62+('Source'!$E$63-'Source'!$E$62)*3/9</x:f>
        <x:v>0.06999999999999999</x:v>
      </x:c>
      <x:c r="I50" s="34" t="n">
        <x:f>'Source'!$E$62+('Source'!$E$63-'Source'!$E$62)*4/9</x:f>
        <x:v>0.06333333333333332</x:v>
      </x:c>
      <x:c r="J50" s="34" t="n">
        <x:f>'Source'!$E$62+('Source'!$E$63-'Source'!$E$62)*5/9</x:f>
        <x:v>0.056666666666666664</x:v>
      </x:c>
      <x:c r="K50" s="34" t="n">
        <x:f>'Source'!$E$62+('Source'!$E$63-'Source'!$E$62)*6/9</x:f>
        <x:v>0.049999999999999996</x:v>
      </x:c>
      <x:c r="L50" s="34" t="n">
        <x:f>'Source'!$E$62+('Source'!$E$63-'Source'!$E$62)*7/9</x:f>
        <x:v>0.043333333333333335</x:v>
      </x:c>
      <x:c r="M50" s="49" t="n">
        <x:f>'Source'!$E$62+('Source'!$E$63-'Source'!$E$62)*8/9</x:f>
        <x:v>0.03666666666666667</x:v>
      </x:c>
      <x:c r="N50" s="49" t="n">
        <x:f>'Source'!$E$62+('Source'!$E$63-'Source'!$E$62)*9/9</x:f>
        <x:v>0.029999999999999992</x:v>
      </x:c>
    </x:row>
    <x:row r="51" ht="19" customHeight="1">
      <x:c r="A51" s="2"/>
      <x:c r="B51" s="2"/>
      <x:c r="C51" s="2" t="str">
        <x:v>Legacy FCF</x:v>
      </x:c>
      <x:c r="D51" s="2"/>
      <x:c r="E51" s="8" t="n">
        <x:f>'Source'!E51*(1+E50)</x:f>
        <x:v>5908.183768645119</x:v>
      </x:c>
      <x:c r="F51" s="3" t="n">
        <x:f>E51*(1+F50)</x:f>
        <x:v>6400.532416032212</x:v>
      </x:c>
      <x:c r="G51" s="3" t="n">
        <x:f>F51*(1+G50)</x:f>
        <x:v>6891.239901261348</x:v>
      </x:c>
      <x:c r="H51" s="3" t="n">
        <x:f>G51*(1+H50)</x:f>
        <x:v>7373.626694349642</x:v>
      </x:c>
      <x:c r="I51" s="3" t="n">
        <x:f>H51*(1+I50)</x:f>
        <x:v>7840.623051658452</x:v>
      </x:c>
      <x:c r="J51" s="3" t="n">
        <x:f>I51*(1+J50)</x:f>
        <x:v>8284.925024585764</x:v>
      </x:c>
      <x:c r="K51" s="3" t="n">
        <x:f>J51*(1+K50)</x:f>
        <x:v>8699.171275815052</x:v>
      </x:c>
      <x:c r="L51" s="3" t="n">
        <x:f>K51*(1+L50)</x:f>
        <x:v>9076.135364433705</x:v>
      </x:c>
      <x:c r="M51" s="46" t="n">
        <x:f>L51*(1+M50)</x:f>
        <x:v>9408.926994462941</x:v>
      </x:c>
      <x:c r="N51" s="46" t="n">
        <x:f>M51*(1+N50)</x:f>
        <x:v>9691.19480429683</x:v>
      </x:c>
    </x:row>
    <x:row r="52" ht="19" customHeight="1">
      <x:c r="A52" s="2"/>
      <x:c r="B52" s="2"/>
      <x:c r="C52" s="2" t="str">
        <x:v>Legacy discounted FCF</x:v>
      </x:c>
      <x:c r="D52" s="2"/>
      <x:c r="E52" s="8" t="n">
        <x:f>E51/(1+'Source'!$E$61)^1</x:f>
        <x:v>5346.7726413078</x:v>
      </x:c>
      <x:c r="F52" s="8" t="n">
        <x:f>F51/(1+'Source'!$E$61)^2</x:f>
        <x:v>5241.93396206647</x:v>
      </x:c>
      <x:c r="G52" s="8" t="n">
        <x:f>G51/(1+'Source'!$E$61)^3</x:f>
        <x:v>5107.525398936561</x:v>
      </x:c>
      <x:c r="H52" s="8" t="n">
        <x:f>H51/(1+'Source'!$E$61)^4</x:f>
        <x:v>4945.74857634581</x:v>
      </x:c>
      <x:c r="I52" s="8" t="n">
        <x:f>I51/(1+'Source'!$E$61)^5</x:f>
        <x:v>4759.257302727943</x:v>
      </x:c>
      <x:c r="J52" s="8" t="n">
        <x:f>J51/(1+'Source'!$E$61)^6</x:f>
        <x:v>4551.084660527174</x:v>
      </x:c>
      <x:c r="K52" s="8" t="n">
        <x:f>K51/(1+'Source'!$E$61)^7</x:f>
        <x:v>4324.56008466383</x:v>
      </x:c>
      <x:c r="L52" s="8" t="n">
        <x:f>L51/(1+'Source'!$E$61)^8</x:f>
        <x:v>4083.2196274503135</x:v>
      </x:c>
      <x:c r="M52" s="45" t="n">
        <x:f>M51/(1+'Source'!$E$61)^9</x:f>
        <x:v>3830.712832992602</x:v>
      </x:c>
      <x:c r="N52" s="45" t="n">
        <x:f>N51/(1+'Source'!$E$61)^10</x:f>
        <x:v>3570.7096995315665</x:v>
      </x:c>
    </x:row>
    <x:row r="53" ht="19" customHeight="1">
      <x:c r="A53" s="2"/>
      <x:c r="B53" s="2"/>
      <x:c r="C53" s="2"/>
      <x:c r="D53" s="2"/>
      <x:c r="E53" s="3"/>
      <x:c r="F53" s="3"/>
      <x:c r="G53" s="3"/>
      <x:c r="H53" s="3"/>
      <x:c r="I53" s="3"/>
      <x:c r="J53" s="3"/>
      <x:c r="K53" s="3"/>
      <x:c r="L53" s="3"/>
      <x:c r="M53" s="44"/>
      <x:c r="N53" s="44"/>
    </x:row>
    <x:row r="54" ht="19" customHeight="1">
      <x:c r="A54" s="2"/>
      <x:c r="B54" s="2"/>
      <x:c r="C54" s="2" t="str">
        <x:v>Legacy DCF enterprise value</x:v>
      </x:c>
      <x:c r="D54" s="2"/>
      <x:c r="E54" s="8" t="n">
        <x:f>SUM(E52:N52)+N51*(1+'Source'!E63)/('Source'!E61-'Source'!E63)/(1+'Source'!E61)^10</x:f>
        <x:v>94799.2713267836</x:v>
      </x:c>
      <x:c r="F54" s="3"/>
      <x:c r="G54" s="3"/>
      <x:c r="H54" s="3"/>
      <x:c r="I54" s="3"/>
      <x:c r="J54" s="3"/>
      <x:c r="K54" s="3"/>
      <x:c r="L54" s="3"/>
      <x:c r="M54" s="44"/>
      <x:c r="N54" s="44"/>
    </x:row>
    <x:row r="55" ht="19" customHeight="1">
      <x:c r="A55" s="2"/>
      <x:c r="B55" s="2"/>
      <x:c r="C55" s="2"/>
      <x:c r="D55" s="2"/>
      <x:c r="E55" s="3"/>
      <x:c r="F55" s="3"/>
      <x:c r="G55" s="3"/>
      <x:c r="H55" s="3"/>
      <x:c r="I55" s="3"/>
      <x:c r="J55" s="3"/>
      <x:c r="K55" s="3"/>
      <x:c r="L55" s="3"/>
      <x:c r="M55" s="44"/>
      <x:c r="N55" s="44"/>
    </x:row>
    <x:row r="56" ht="19" customHeight="1">
      <x:c r="A56" s="2"/>
      <x:c r="B56" s="2"/>
      <x:c r="C56" s="2"/>
      <x:c r="D56" s="2"/>
      <x:c r="E56" s="3"/>
      <x:c r="F56" s="3"/>
      <x:c r="G56" s="3"/>
      <x:c r="H56" s="3"/>
      <x:c r="I56" s="3"/>
      <x:c r="J56" s="3"/>
      <x:c r="K56" s="3"/>
      <x:c r="L56" s="3"/>
      <x:c r="M56" s="44"/>
      <x:c r="N56" s="44"/>
    </x:row>
    <x:row r="57" ht="19" customHeight="1">
      <x:c r="A57" s="2"/>
      <x:c r="B57" s="2"/>
      <x:c r="C57" s="2" t="str">
        <x:v>Main: 13 Sep 2027, exactly 256/365 of FY27 cash/share flows from FY26 end; uniform within-year assumption.</x:v>
      </x:c>
      <x:c r="D57" s="2"/>
      <x:c r="E57" s="3"/>
      <x:c r="F57" s="3"/>
      <x:c r="G57" s="3"/>
      <x:c r="H57" s="3"/>
      <x:c r="I57" s="3"/>
      <x:c r="J57" s="3"/>
      <x:c r="K57" s="3"/>
      <x:c r="L57" s="3"/>
      <x:c r="M57" s="44"/>
      <x:c r="N57" s="44"/>
    </x:row>
    <x:row r="58" ht="19" customHeight="1">
      <x:c r="A58" s="2"/>
      <x:c r="B58" s="2"/>
      <x:c r="C58" s="2" t="str">
        <x:v>Legacy labels used approximately Sep 2027 despite FY27-end cash/shares. Reproduction does not adopt that target.</x:v>
      </x:c>
      <x:c r="D58" s="2"/>
      <x:c r="E58" s="3"/>
      <x:c r="F58" s="3"/>
      <x:c r="G58" s="3"/>
      <x:c r="H58" s="3"/>
      <x:c r="I58" s="3"/>
      <x:c r="J58" s="3"/>
      <x:c r="K58" s="3"/>
      <x:c r="L58" s="3"/>
      <x:c r="M58" s="44"/>
      <x:c r="N58" s="44"/>
    </x:row>
    <x:row r="59" ht="19" customHeight="1">
      <x:c r="A59" s="2"/>
      <x:c r="B59" s="2"/>
      <x:c r="C59" s="2" t="str">
        <x:v>DCF on FCF preserves the original model convention; it is not a newly underwritten unlevered enterprise DCF.</x:v>
      </x:c>
      <x:c r="D59" s="2"/>
      <x:c r="E59" s="3"/>
      <x:c r="F59" s="3"/>
      <x:c r="G59" s="3"/>
      <x:c r="H59" s="3"/>
      <x:c r="I59" s="3"/>
      <x:c r="J59" s="3"/>
      <x:c r="K59" s="3"/>
      <x:c r="L59" s="3"/>
      <x:c r="M59" s="44"/>
      <x:c r="N59" s="44"/>
    </x:row>
    <x:row r="60" ht="19" customHeight="1">
      <x:c r="A60" s="2"/>
      <x:c r="B60" s="2"/>
      <x:c r="C60" s="2" t="str">
        <x:v>No arithmetic target average. Rows 17-21 are inherited diagnostic lenses; row 23 is the later December date.</x:v>
      </x:c>
      <x:c r="D60" s="2"/>
      <x:c r="E60" s="3"/>
      <x:c r="F60" s="3"/>
      <x:c r="G60" s="3"/>
      <x:c r="H60" s="3"/>
      <x:c r="I60" s="3"/>
      <x:c r="J60" s="3"/>
      <x:c r="K60" s="3"/>
      <x:c r="L60" s="3"/>
      <x:c r="M60" s="44"/>
      <x:c r="N60" s="44"/>
    </x:row>
    <x:row r="61" ht="19" customHeight="1">
      <x:c r="A61" s="2"/>
      <x:c r="B61" s="2"/>
      <x:c r="C61" s="2"/>
      <x:c r="D61" s="2"/>
      <x:c r="E61" s="3"/>
      <x:c r="F61" s="3"/>
      <x:c r="G61" s="3"/>
      <x:c r="H61" s="3"/>
      <x:c r="I61" s="3"/>
      <x:c r="J61" s="3"/>
      <x:c r="K61" s="3"/>
      <x:c r="L61" s="3"/>
      <x:c r="M61" s="44"/>
      <x:c r="N61" s="44"/>
    </x:row>
    <x:row r="62" ht="19" customHeight="1">
      <x:c r="A62" s="2"/>
      <x:c r="B62" s="2"/>
      <x:c r="C62" s="2" t="str">
        <x:v>Date-only value difference, Dec minus Sep</x:v>
      </x:c>
      <x:c r="D62" s="2"/>
      <x:c r="E62" s="41" t="n">
        <x:f>E23-E14</x:f>
        <x:v>1.795738935475697</x:v>
      </x:c>
      <x:c r="F62" s="3"/>
      <x:c r="G62" s="3"/>
      <x:c r="H62" s="3"/>
      <x:c r="I62" s="3"/>
      <x:c r="J62" s="3"/>
      <x:c r="K62" s="3"/>
      <x:c r="L62" s="3"/>
      <x:c r="M62" s="44"/>
      <x:c r="N62" s="44"/>
    </x:row>
    <x:row r="63" ht="19" customHeight="1">
      <x:c r="A63" s="2"/>
      <x:c r="B63" s="2"/>
      <x:c r="C63" s="2" t="str">
        <x:v>FY27 net cash, later-date comparison</x:v>
      </x:c>
      <x:c r="D63" s="2"/>
      <x:c r="E63" s="8" t="n">
        <x:f>'Cash'!G28</x:f>
        <x:v>10282.596148948494</x:v>
      </x:c>
      <x:c r="F63" s="3"/>
      <x:c r="G63" s="3"/>
      <x:c r="H63" s="3"/>
      <x:c r="I63" s="3"/>
      <x:c r="J63" s="3"/>
      <x:c r="K63" s="3"/>
      <x:c r="L63" s="3"/>
      <x:c r="M63" s="44"/>
      <x:c r="N63" s="44"/>
    </x:row>
    <x:row r="64" ht="19" customHeight="1">
      <x:c r="A64" s="2"/>
      <x:c r="B64" s="2"/>
      <x:c r="C64" s="2" t="str">
        <x:v>FY27 shares, later-date comparison</x:v>
      </x:c>
      <x:c r="D64" s="2"/>
      <x:c r="E64" s="8" t="n">
        <x:f>'Cash'!G36</x:f>
        <x:v>574.5981782324891</x:v>
      </x:c>
      <x:c r="F64" s="3"/>
      <x:c r="G64" s="3"/>
      <x:c r="H64" s="3"/>
      <x:c r="I64" s="3"/>
      <x:c r="J64" s="3"/>
      <x:c r="K64" s="3"/>
      <x:c r="L64" s="3"/>
      <x:c r="M64" s="44"/>
      <x:c r="N64" s="44"/>
    </x:row>
    <x:row r="65" ht="19" customHeight="1">
      <x:c r="A65" s="2"/>
      <x:c r="B65" s="2"/>
      <x:c r="C65" s="2"/>
      <x:c r="D65" s="2"/>
      <x:c r="E65" s="3"/>
      <x:c r="F65" s="3"/>
      <x:c r="G65" s="3"/>
      <x:c r="H65" s="3"/>
      <x:c r="I65" s="3"/>
      <x:c r="J65" s="3"/>
      <x:c r="K65" s="3"/>
      <x:c r="L65" s="3"/>
      <x:c r="M65" s="44"/>
      <x:c r="N65" s="44"/>
    </x:row>
    <x:row r="66" ht="19" customHeight="1">
      <x:c r="A66" s="2"/>
      <x:c r="B66" s="2"/>
      <x:c r="C66" s="2"/>
      <x:c r="D66" s="2"/>
      <x:c r="E66" s="3"/>
      <x:c r="F66" s="3"/>
      <x:c r="G66" s="3"/>
      <x:c r="H66" s="3"/>
      <x:c r="I66" s="3"/>
      <x:c r="J66" s="3"/>
      <x:c r="K66" s="3"/>
      <x:c r="L66" s="3"/>
      <x:c r="M66" s="44"/>
      <x:c r="N66" s="44"/>
    </x:row>
    <x:row r="67" ht="19" customHeight="1">
      <x:c r="A67" s="2"/>
      <x:c r="B67" s="2"/>
      <x:c r="C67" s="2"/>
      <x:c r="D67" s="2"/>
      <x:c r="E67" s="3"/>
      <x:c r="F67" s="3"/>
      <x:c r="G67" s="3"/>
      <x:c r="H67" s="3"/>
      <x:c r="I67" s="3"/>
      <x:c r="J67" s="3"/>
      <x:c r="K67" s="3"/>
      <x:c r="L67" s="3"/>
      <x:c r="M67" s="44"/>
      <x:c r="N67" s="44"/>
    </x:row>
    <x:row r="68" ht="19" customHeight="1">
      <x:c r="A68" s="2"/>
      <x:c r="B68" s="2"/>
      <x:c r="C68" s="2"/>
      <x:c r="D68" s="2"/>
      <x:c r="E68" s="3"/>
      <x:c r="F68" s="3"/>
      <x:c r="G68" s="3"/>
      <x:c r="H68" s="3"/>
      <x:c r="I68" s="3"/>
      <x:c r="J68" s="3"/>
      <x:c r="K68" s="3"/>
      <x:c r="L68" s="3"/>
      <x:c r="M68" s="44"/>
      <x:c r="N68" s="44"/>
    </x:row>
    <x:row r="69" ht="19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3"/>
      <x:c r="M69" s="44"/>
      <x:c r="N69" s="44"/>
    </x:row>
    <x:row r="70" ht="19" customHeight="1">
      <x:c r="A70" s="2"/>
      <x:c r="B70" s="2"/>
      <x:c r="C70" s="2"/>
      <x:c r="D70" s="2"/>
      <x:c r="E70" s="3"/>
      <x:c r="F70" s="3"/>
      <x:c r="G70" s="3"/>
      <x:c r="H70" s="3"/>
      <x:c r="I70" s="3"/>
      <x:c r="J70" s="3"/>
      <x:c r="K70" s="3"/>
      <x:c r="L70" s="3"/>
      <x:c r="M70" s="44"/>
      <x:c r="N70" s="44"/>
    </x:row>
    <x:row r="71" ht="19" customHeight="1">
      <x:c r="A71" s="2"/>
      <x:c r="B71" s="2"/>
      <x:c r="C71" s="2"/>
      <x:c r="D71" s="2"/>
      <x:c r="E71" s="3"/>
      <x:c r="F71" s="3"/>
      <x:c r="G71" s="3"/>
      <x:c r="H71" s="3"/>
      <x:c r="I71" s="3"/>
      <x:c r="J71" s="3"/>
      <x:c r="K71" s="3"/>
      <x:c r="L71" s="3"/>
      <x:c r="M71" s="44"/>
      <x:c r="N71" s="44"/>
    </x:row>
    <x:row r="72" ht="19" customHeight="1">
      <x:c r="A72" s="2"/>
      <x:c r="B72" s="2"/>
      <x:c r="C72" s="2"/>
      <x:c r="D72" s="2"/>
      <x:c r="E72" s="3"/>
      <x:c r="F72" s="3"/>
      <x:c r="G72" s="3"/>
      <x:c r="H72" s="3"/>
      <x:c r="I72" s="3"/>
      <x:c r="J72" s="3"/>
      <x:c r="K72" s="3"/>
      <x:c r="L72" s="3"/>
      <x:c r="M72" s="44"/>
      <x:c r="N72" s="44"/>
    </x:row>
    <x:row r="73" ht="19" customHeight="1">
      <x:c r="A73" s="2"/>
      <x:c r="B73" s="2"/>
      <x:c r="C73" s="2"/>
      <x:c r="D73" s="2"/>
      <x:c r="E73" s="3"/>
      <x:c r="F73" s="3"/>
      <x:c r="G73" s="3"/>
      <x:c r="H73" s="3"/>
      <x:c r="I73" s="3"/>
      <x:c r="J73" s="3"/>
      <x:c r="K73" s="3"/>
      <x:c r="L73" s="3"/>
      <x:c r="M73" s="44"/>
      <x:c r="N73" s="44"/>
    </x:row>
    <x:row r="74" ht="19" customHeight="1">
      <x:c r="A74" s="2"/>
      <x:c r="B74" s="2"/>
      <x:c r="C74" s="2"/>
      <x:c r="D74" s="2"/>
      <x:c r="E74" s="3"/>
      <x:c r="F74" s="3"/>
      <x:c r="G74" s="3"/>
      <x:c r="H74" s="3"/>
      <x:c r="I74" s="3"/>
      <x:c r="J74" s="3"/>
      <x:c r="K74" s="3"/>
      <x:c r="L74" s="3"/>
      <x:c r="M74" s="44"/>
      <x:c r="N74" s="44"/>
    </x:row>
    <x:row r="75" ht="19" customHeight="1">
      <x:c r="A75" s="2"/>
      <x:c r="B75" s="2"/>
      <x:c r="C75" s="2"/>
      <x:c r="D75" s="2"/>
      <x:c r="E75" s="3"/>
      <x:c r="F75" s="3"/>
      <x:c r="G75" s="3"/>
      <x:c r="H75" s="3"/>
      <x:c r="I75" s="3"/>
      <x:c r="J75" s="3"/>
      <x:c r="K75" s="3"/>
      <x:c r="L75" s="3"/>
      <x:c r="M75" s="44"/>
      <x:c r="N75" s="44"/>
    </x:row>
    <x:row r="76" ht="19" customHeight="1">
      <x:c r="A76" s="2"/>
      <x:c r="B76" s="2"/>
      <x:c r="C76" s="2"/>
      <x:c r="D76" s="2"/>
      <x:c r="E76" s="3"/>
      <x:c r="F76" s="3"/>
      <x:c r="G76" s="3"/>
      <x:c r="H76" s="3"/>
      <x:c r="I76" s="3"/>
      <x:c r="J76" s="3"/>
      <x:c r="K76" s="3"/>
      <x:c r="L76" s="3"/>
      <x:c r="M76" s="44"/>
      <x:c r="N76" s="44"/>
    </x:row>
    <x:row r="77" ht="19" customHeight="1">
      <x:c r="A77" s="2"/>
      <x:c r="B77" s="2"/>
      <x:c r="C77" s="2"/>
      <x:c r="D77" s="2"/>
      <x:c r="E77" s="3"/>
      <x:c r="F77" s="3"/>
      <x:c r="G77" s="3"/>
      <x:c r="H77" s="3"/>
      <x:c r="I77" s="3"/>
      <x:c r="J77" s="3"/>
      <x:c r="K77" s="3"/>
      <x:c r="L77" s="3"/>
      <x:c r="M77" s="44"/>
      <x:c r="N77" s="44"/>
    </x:row>
    <x:row r="78" ht="19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3"/>
      <x:c r="M78" s="44"/>
      <x:c r="N78" s="44"/>
    </x:row>
    <x:row r="79" ht="19" customHeight="1">
      <x:c r="A79" s="2"/>
      <x:c r="B79" s="2"/>
      <x:c r="C79" s="2"/>
      <x:c r="D79" s="2"/>
      <x:c r="E79" s="3"/>
      <x:c r="F79" s="3"/>
      <x:c r="G79" s="3"/>
      <x:c r="H79" s="3"/>
      <x:c r="I79" s="3"/>
      <x:c r="J79" s="3"/>
      <x:c r="K79" s="3"/>
      <x:c r="L79" s="3"/>
      <x:c r="M79" s="44"/>
      <x:c r="N79" s="44"/>
    </x:row>
    <x:row r="80" ht="19" customHeight="1">
      <x:c r="A80" s="2"/>
      <x:c r="B80" s="2"/>
      <x:c r="C80" s="2"/>
      <x:c r="D80" s="2"/>
      <x:c r="E80" s="3"/>
      <x:c r="F80" s="3"/>
      <x:c r="G80" s="3"/>
      <x:c r="H80" s="3"/>
      <x:c r="I80" s="3"/>
      <x:c r="J80" s="3"/>
      <x:c r="K80" s="3"/>
      <x:c r="L80" s="3"/>
      <x:c r="M80" s="44"/>
      <x:c r="N80" s="44"/>
    </x:row>
    <x:row r="81" ht="19" customHeight="1">
      <x:c r="A81" s="2"/>
      <x:c r="B81" s="2"/>
      <x:c r="C81" s="2"/>
      <x:c r="D81" s="2"/>
      <x:c r="E81" s="3"/>
      <x:c r="F81" s="3"/>
      <x:c r="G81" s="3"/>
      <x:c r="H81" s="3"/>
      <x:c r="I81" s="3"/>
      <x:c r="J81" s="3"/>
      <x:c r="K81" s="3"/>
      <x:c r="L81" s="3"/>
      <x:c r="M81" s="44"/>
      <x:c r="N81" s="44"/>
    </x:row>
    <x:row r="82" ht="19" customHeight="1">
      <x:c r="A82" s="2"/>
      <x:c r="B82" s="2"/>
      <x:c r="C82" s="2"/>
      <x:c r="D82" s="2"/>
      <x:c r="E82" s="3"/>
      <x:c r="F82" s="3"/>
      <x:c r="G82" s="3"/>
      <x:c r="H82" s="3"/>
      <x:c r="I82" s="3"/>
      <x:c r="J82" s="3"/>
      <x:c r="K82" s="3"/>
      <x:c r="L82" s="3"/>
      <x:c r="M82" s="44"/>
      <x:c r="N82" s="44"/>
    </x:row>
    <x:row r="83" ht="19" customHeight="1">
      <x:c r="A83" s="2"/>
      <x:c r="B83" s="2"/>
      <x:c r="C83" s="2"/>
      <x:c r="D83" s="2"/>
      <x:c r="E83" s="3"/>
      <x:c r="F83" s="3"/>
      <x:c r="G83" s="3"/>
      <x:c r="H83" s="3"/>
      <x:c r="I83" s="3"/>
      <x:c r="J83" s="3"/>
      <x:c r="K83" s="3"/>
      <x:c r="L83" s="3"/>
      <x:c r="M83" s="44"/>
      <x:c r="N83" s="44"/>
    </x:row>
    <x:row r="84" ht="19" customHeight="1">
      <x:c r="A84" s="2"/>
      <x:c r="B84" s="2"/>
      <x:c r="C84" s="2"/>
      <x:c r="D84" s="2"/>
      <x:c r="E84" s="3"/>
      <x:c r="F84" s="3"/>
      <x:c r="G84" s="3"/>
      <x:c r="H84" s="3"/>
      <x:c r="I84" s="3"/>
      <x:c r="J84" s="3"/>
      <x:c r="K84" s="3"/>
      <x:c r="L84" s="3"/>
      <x:c r="M84" s="44"/>
      <x:c r="N84" s="44"/>
    </x:row>
    <x:row r="85" ht="19" customHeight="1">
      <x:c r="A85" s="2"/>
      <x:c r="B85" s="2"/>
      <x:c r="C85" s="2"/>
      <x:c r="D85" s="2"/>
      <x:c r="E85" s="3"/>
      <x:c r="F85" s="3"/>
      <x:c r="G85" s="3"/>
      <x:c r="H85" s="3"/>
      <x:c r="I85" s="3"/>
      <x:c r="J85" s="3"/>
      <x:c r="K85" s="3"/>
      <x:c r="L85" s="3"/>
      <x:c r="M85" s="44"/>
      <x:c r="N85" s="44"/>
    </x:row>
    <x:row r="86" ht="19" customHeight="1">
      <x:c r="A86" s="2"/>
      <x:c r="B86" s="2"/>
      <x:c r="C86" s="2"/>
      <x:c r="D86" s="2"/>
      <x:c r="E86" s="3"/>
      <x:c r="F86" s="3"/>
      <x:c r="G86" s="3"/>
      <x:c r="H86" s="3"/>
      <x:c r="I86" s="3"/>
      <x:c r="J86" s="3"/>
      <x:c r="K86" s="3"/>
      <x:c r="L86" s="3"/>
      <x:c r="M86" s="44"/>
      <x:c r="N86" s="44"/>
    </x:row>
    <x:row r="87" ht="19" customHeight="1">
      <x:c r="A87" s="2"/>
      <x:c r="B87" s="2"/>
      <x:c r="C87" s="2"/>
      <x:c r="D87" s="2"/>
      <x:c r="E87" s="3"/>
      <x:c r="F87" s="3"/>
      <x:c r="G87" s="3"/>
      <x:c r="H87" s="3"/>
      <x:c r="I87" s="3"/>
      <x:c r="J87" s="3"/>
      <x:c r="K87" s="3"/>
      <x:c r="L87" s="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  <x:c r="M1" s="3"/>
      <x:c r="Z1" s="55" t="str">
        <x:v>{"tracked":[["Assumptions","E11"],["Assumptions","E12"],["Assumptions","E13"],["Assumptions","E14"],["Assumptions","E15"],["Assumptions","E16"],["Assumptions","E17"],["Assumptions","E18"],["Assumptions","E19"],["Assumptions","F11"],["Assumptions","F12"],["Assumptions","F13"],["Assumptions","F14"],["Assumptions","F15"],["Assumptions","F16"],["Assumptions","F17"],["Assumptions","F18"],["Assumptions","F19"],["Assumptions","G11"],["Assumptions","G12"],["Assumptions","G13"],["Assumptions","G14"],["Assumptions","G15"],["Assumptions","G16"],["Assumptions","G17"],["Assumptions","G18"],["Assumptions","G19"],["Assumptions","H11"],["Assumptions","H12"],["Assumptions","H13"],["Assumptions","H14"],["Assumptions","H15"],["Assumptions","H16"],["Assumptions","H17"],["Assumptions","H18"],["Assumptions","H19"],["Assumptions","I11"],["Assumptions","I12"],["Assumptions","I13"],["Assumptions","I14"],["Assumptions","I15"],["Assumptions","I16"],["Assumptions","I17"],["Assumptions","I18"],["Assumptions","I19"],["Assumptions","J11"],["Assumptions","J12"],["Assumptions","J13"],["Assumptions","J14"],["Assumptions","J15"],["Assumptions","J16"],["Assumptions","J17"],["Assumptions","J18"],["Assumptions","J19"],["Assumptions","K11"],["Assumptions","K12"],["Assumptions","K13"],["Assumptions","K14"],["Assumptions","K15"],["Assumptions","K16"],["Assumptions","K17"],["Assumptions","K18"],["Assumptions","K19"],["Assumptions","L11"],["Assumptions","L12"],["Assumptions","L13"],["Assumptions","L14"],["Assumptions","L15"],["Assumptions","L16"],["Assumptions","L17"],["Assumptions","L18"],["Assumptions","L19"],["Assumptions","E21"],["Assumptions","E22"],["Assumptions","E23"],["Assumptions","E24"],["Assumptions","E25"],["Assumptions","E26"],["Assumptions","E27"],["Assumptions","E28"],["Assumptions","E29"],["Assumptions","F21"],["Assumptions","F22"],["Assumptions","F23"],["Assumptions","F24"],["Assumptions","F25"],["Assumptions","F26"],["Assumptions","F27"],["Assumptions","F28"],["Assumptions","F29"],["Assumptions","G21"],["Assumptions","G22"],["Assumptions","G23"],["Assumptions","G24"],["Assumptions","G25"],["Assumptions","G26"],["Assumptions","G27"],["Assumptions","G28"],["Assumptions","G29"],["Assumptions","H21"],["Assumptions","H22"],["Assumptions","H23"],["Assumptions","H24"],["Assumptions","H25"],["Assumptions","H26"],["Assumptions","H27"],["Assumptions","H28"],["Assumptions","H29"],["Assumptions","I21"],["Assumptions","I22"],["Assumptions","I23"],["Assumptions","I24"],["Assumptions","I25"],["Assumptions","I26"],["Assumptions","I27"],["Assumptions","I28"],["Assumptions","I29"],["Assumptions","J21"],["Assumptions","J22"],["Assumptions","J23"],["Assumptions","J24"],["Assumptions","J25"],["Assumptions","J26"],["Assumptions","J27"],["Assumptions","J28"],["Assumptions","J29"],["Assumptions","K21"],["Assumptions","K22"],["Assumptions","K23"],["Assumptions","K24"],["Assumptions","K25"],["Assumptions","K26"],["Assumptions","K27"],["Assumptions","K28"],["Assumptions","K29"],["Assumptions","L21"],["Assumptions","L22"],["Assumptions","L23"],["Assumptions","L24"],["Assumptions","L25"],["Assumptions","L26"],["Assumptions","L27"],["Assumptions","L28"],["Assumptions","L29"],["Assumptions","E31"],["Assumptions","E32"],["Assumptions","E33"],["Assumptions","E34"],["Assumptions","E35"],["Assumptions","E36"],["Assumptions","E37"],["Assumptions","E38"],["Assumptions","E39"],["Assumptions","F31"],["Assumptions","F32"],["Assumptions","F33"],["Assumptions","F34"],["Assumptions","F35"],["Assumptions","F36"],["Assumptions","F37"],["Assumptions","F38"],["Assumptions","F39"],["Assumptions","G31"],["Assumptions","G32"],["Assumptions","G33"],["Assumptions","G34"],["Assumptions","G35"],["Assumptions","G36"],["Assumptions","G37"],["Assumptions","G38"],["Assumptions","G39"],["Assumptions","H31"],["Assumptions","H32"],["Assumptions","H33"],["Assumptions","H34"],["Assumptions","H35"],["Assumptions","H36"],["Assumptions","H37"],["Assumptions","H38"],["Assumptions","H39"],["Assumptions","I31"],["Assumptions","I32"],["Assumptions","I33"],["Assumptions","I34"],["Assumptions","I35"],["Assumptions","I36"],["Assumptions","I37"],["Assumptions","I38"],["Assumptions","I39"],["Assumptions","J31"],["Assumptions","J32"],["Assumptions","J33"],["Assumptions","J34"],["Assumptions","J35"],["Assumptions","J36"],["Assumptions","J37"],["Assumptions","J38"],["Assumptions","J39"],["Assumptions","K31"],["Assumptions","K32"],["Assumptions","K33"],["Assumptions","K34"],["Assumptions","K35"],["Assumptions","K36"],["Assumptions","K37"],["Assumptions","K38"],["Assumptions","K39"],["Assumptions","L31"],["Assumptions","L32"],["Assumptions","L33"],["Assumptions","L34"],["Assumptions","L35"],["Assumptions","L36"],["Assumptions","L37"],["Assumptions","L38"],["Assumptions","L39"],["Assumptions","E41"],["Assumptions","E42"],["Assumptions","E43"],["Assumptions","E44"],["Assumptions","E45"],["Assumptions","E46"],["Assumptions","E47"],["Assumptions","E48"],["Assumptions","E49"],["Assumptions","F41"],["Assumptions","F42"],["Assumptions","F43"],["Assumptions","F44"],["Assumptions","F45"],["Assumptions","F46"],["Assumptions","F47"],["Assumptions","F48"],["Assumptions","F49"],["Assumptions","G41"],["Assumptions","G42"],["Assumptions","G43"],["Assumptions","G44"],["Assumptions","G45"],["Assumptions","G46"],["Assumptions","G47"],["Assumptions","G48"],["Assumptions","G49"],["Assumptions","H41"],["Assumptions","H42"],["Assumptions","H43"],["Assumptions","H44"],["Assumptions","H45"],["Assumptions","H46"],["Assumptions","H47"],["Assumptions","H48"],["Assumptions","H49"],["Assumptions","I41"],["Assumptions","I42"],["Assumptions","I43"],["Assumptions","I44"],["Assumptions","I45"],["Assumptions","I46"],["Assumptions","I47"],["Assumptions","I48"],["Assumptions","I49"],["Assumptions","J41"],["Assumptions","J42"],["Assumptions","J43"],["Assumptions","J44"],["Assumptions","J45"],["Assumptions","J46"],["Assumptions","J47"],["Assumptions","J48"],["Assumptions","J49"],["Assumptions","K41"],["Assumptions","K42"],["Assumptions","K43"],["Assumptions","K44"],["Assumptions","K45"],["Assumptions","K46"],["Assumptions","K47"],["Assumptions","K48"],["Assumptions","K49"],["Assumptions","L41"],["Assumptions","L42"],["Assumptions","L43"],["Assumptions","L44"],["Assumptions","L45"],["Assumptions","L46"],["Assumptions","L47"],["Assumptions","L48"],["Assumptions","L49"],["Assumptions","E51"],["Assumptions","E52"],["Assumptions","E53"],["Assumptions","E54"],["Assumptions","E55"],["Assumptions","E56"],["Assumptions","E57"],["Assumptions","E58"],["Assumptions","E59"],["Assumptions","F51"],["Assumptions","F52"],["Assumptions","F53"],["Assumptions","F54"],["Assumptions","F55"],["Assumptions","F56"],["Assumptions","F57"],["Assumptions","F58"],["Assumptions","F59"],["Assumptions","G51"],["Assumptions","G52"],["Assumptions","G53"],["Assumptions","G54"],["Assumptions","G55"],["Assumptions","G56"],["Assumptions","G57"],["Assumptions","G58"],["Assumptions","G59"],["Assumptions","H51"],["Assumptions","H52"],["Assumptions","H53"],["Assumptions","H54"],["Assumptions","H55"],["Assumptions","H56"],["Assumptions","H57"],["Assumptions","H58"],["Assumptions","H59"],["Assumptions","I51"],["Assumptions","I52"],["Assumptions","I53"],["Assumptions","I54"],["Assumptions","I55"],["Assumptions","I56"],["Assumptions","I57"],["Assumptions","I58"],["Assumptions","I59"],["Assumptions","J51"],["Assumptions","J52"],["Assumptions","J53"],["Assumptions","J54"],["Assumptions","J55"],["Assumptions","J56"],["Assumptions","J57"],["Assumptions","J58"],["Assumptions","J59"],["Assumptions","K51"],["Assumptions","K52"],["Assumptions","K53"],["Assumptions","K54"],["Assumptions","K55"],["Assumptions","K56"],["Assumptions","K57"],["Assumptions","K58"],["Assumptions","K59"],["Assumptions","L51"],["Assumptions","L52"],["Assumptions","L53"],["Assumptions","L54"],["Assumptions","L55"],["Assumptions","L56"],["Assumptions","L57"],["Assumptions","L58"],["Assumptions","L59"],["Assumptions","E61"],["Assumptions","E62"],["Assumptions","E63"],["Assumptions","E64"],["Assumptions","E65"],["Assumptions","E66"],["Assumptions","E67"],["Assumptions","E68"],["Assumptions","E69"],["Assumptions","F61"],["Assumptions","F62"],["Assumptions","F63"],["Assumptions","F64"],["Assumptions","F65"],["Assumptions","F66"],["Assumptions","F67"],["Assumptions","F68"],["Assumptions","F69"],["Assumptions","G61"],["Assumptions","G62"],["Assumptions","G63"],["Assumptions","G64"],["Assumptions","G65"],["Assumptions","G66"],["Assumptions","G67"],["Assumptions","G68"],["Assumptions","G69"],["Assumptions","H61"],["Assumptions","H62"],["Assumptions","H63"],["Assumptions","H64"],["Assumptions","H65"],["Assumptions","H66"],["Assumptions","H67"],["Assumptions","H68"],["Assumptions","H69"],["Assumptions","I61"],["Assumptions","I62"],["Assumptions","I63"],["Assumptions","I64"],["Assumptions","I65"],["Assumptions","I66"],["Assumptions","I67"],["Assumptions","I68"],["Assumptions","I69"],["Assumptions","J61"],["Assumptions","J62"],["Assumptions","J63"],["Assumptions","J64"],["Assumptions","J65"],["Assumptions","J66"],["Assumptions","J67"],["Assumptions","J68"],["Assumptions","J69"],["Assumptions","K61"],["Assumptions","K62"],["Assumptions","K63"],["Assumptions","K64"],["Assumptions","K65"],["Assumptions","K66"],["Assumptions","K67"],["Assumptions","K68"],["Assumptions","K69"],["Assumptions","L61"],["Assumptions","L62"],["Assumptions","L63"],["Assumptions","L64"],["Assumptions","L65"],["Assumptions","L66"],["Assumptions","L67"],["Assumptions","L68"],["Assumptions","L69"],["Assumptions","E71"],["Assumptions","E72"],["Assumptions","E73"],["Assumptions","E74"],["Assumptions","E75"],["Assumptions","E76"],["Assumptions","E77"],["Assumptions","E78"],["Assumptions","E79"],["Assumptions","F71"],["Assumptions","F72"],["Assumptions","F73"],["Assumptions","F74"],["Assumptions","F75"],["Assumptions","F76"],["Assumptions","F77"],["Assumptions","F78"],["Assumptions","F79"],["Assumptions","G71"],["Assumptions","G72"],["Assumptions","G73"],["Assumptions","G74"],["Assumptions","G75"],["Assumptions","G76"],["Assumptions","G77"],["Assumptions","G78"],["Assumptions","G79"],["Assumptions","H71"],["Assumptions","H72"],["Assumptions","H73"],["Assumptions","H74"],["Assumptions","H75"],["Assumptions","H76"],["Assumptions","H77"],["Assumptions","H78"],["Assumptions","H79"],["Assumptions","I71"],["Assumptions","I72"],["Assumptions","I73"],["Assumptions","I74"],["Assumptions","I75"],["Assumptions","I76"],["Assumptions","I77"],["Assumptions","I78"],["Assumptions","I79"],["Assumptions","J71"],["Assumptions","J72"],["Assumptions","J73"],["Assumptions","J74"],["Assumptions","J75"],["Assumptions","J76"],["Assumptions","J77"],["Assumptions","J78"],["Assumptions","J79"],["Assumptions","K71"],["Assumptions","K72"],["Assumptions","K73"],["Assumptions","K74"],["Assumptions","K75"],["Assumptions","K76"],["Assumptions","K77"],["Assumptions","K78"],["Assumptions","K79"],["Assumptions","L71"],["Assumptions","L72"],["Assumptions","L73"],["Assumptions","L74"],["Assumptions","L75"],["Assumptions","L76"],["Assumptions","L77"],["Assumptions","L78"],["Assumptions","L79"],["Assumptions","E151"],["Assumptions","E152"],["Assumptions","E153"],["Assumptions","E154"],["Assumptions","E155"],["Assumptions","E156"],["Assumptions","E157"],["Assumptions","E158"],["Assumptions","E159"],["Assumptions","F151"],["Assumptions","F152"],["Assumptions","F153"],["Assumptions","F154"],["Assumptions","F155"],["Assumptions","F156"],["Assumptions","F157"],["Assumptions","F158"],["Assumptions","F159"],["Assumptions","G151"],["Assumptions","G152"],["Assumptions","G153"],["Assumptions","G154"],["Assumptions","G155"],["Assumptions","G156"],["Assumptions","G157"],["Assumptions","G158"],["Assumptions","G159"],["Assumptions","H151"],["Assumptions","H152"],["Assumptions","H153"],["Assumptions","H154"],["Assumptions","H155"],["Assumptions","H156"],["Assumptions","H157"],["Assumptions","H158"],["Assumptions","H159"],["Assumptions","I151"],["Assumptions","I152"],["Assumptions","I153"],["Assumptions","I154"],["Assumptions","I155"],["Assumptions","I156"],["Assumptions","I157"],["Assumptions","I158"],["Assumptions","I159"],["Assumptions","J151"],["Assumptions","J152"],["Assumptions","J153"],["Assumptions","J154"],["Assumptions","J155"],["Assumptions","J156"],["Assumptions","J157"],["Assumptions","J158"],["Assumptions","J159"],["Assumptions","K151"],["Assumptions","K152"],["Assumptions","K153"],["Assumptions","K154"],["Assumptions","K155"],["Assumptions","K156"],["Assumptions","K157"],["Assumptions","K158"],["Assumptions","K159"],["Assumptions","L151"],["Assumptions","L152"],["Assumptions","L153"],["Assumptions","L154"],["Assumptions","L155"],["Assumptions","L156"],["Assumptions","L157"],["Assumptions","L158"],["Assumptions","L159"],["Assumptions","E161"],["Assumptions","E162"],["Assumptions","E163"],["Assumptions","E164"],["Assumptions","E165"],["Assumptions","E166"],["Assumptions","E167"],["Assumptions","E168"],["Assumptions","E169"],["Assumptions","F161"],["Assumptions","F162"],["Assumptions","F163"],["Assumptions","F164"],["Assumptions","F165"],["Assumptions","F166"],["Assumptions","F167"],["Assumptions","F168"],["Assumptions","F169"],["Assumptions","G161"],["Assumptions","G162"],["Assumptions","G163"],["Assumptions","G164"],["Assumptions","G165"],["Assumptions","G166"],["Assumptions","G167"],["Assumptions","G168"],["Assumptions","G169"],["Assumptions","H161"],["Assumptions","H162"],["Assumptions","H163"],["Assumptions","H164"],["Assumptions","H165"],["Assumptions","H166"],["Assumptions","H167"],["Assumptions","H168"],["Assumptions","H169"],["Assumptions","I161"],["Assumptions","I162"],["Assumptions","I163"],["Assumptions","I164"],["Assumptions","I165"],["Assumptions","I166"],["Assumptions","I167"],["Assumptions","I168"],["Assumptions","I169"],["Assumptions","J161"],["Assumptions","J162"],["Assumptions","J163"],["Assumptions","J164"],["Assumptions","J165"],["Assumptions","J166"],["Assumptions","J167"],["Assumptions","J168"],["Assumptions","J169"],["Assumptions","K161"],["Assumptions","K162"],["Assumptions","K163"],["Assumptions","K164"],["Assumptions","K165"],["Assumptions","K166"],["Assumptions","K167"],["Assumptions","K168"],["Assumptions","K169"],["Assumptions","L161"],["Assumptions","L162"],["Assumptions","L163"],["Assumptions","L164"],["Assumptions","L165"],["Assumptions","L166"],["Assumptions","L167"],["Assumptions","L168"],["Assumptions","L169"],["Assumptions","F91"],["Assumptions","G91"],["Assumptions","H91"],["Assumptions","F92"],["Assumptions","G92"],["Assumptions","H92"],["Assumptions","F93"],["Assumptions","G93"],["Assumptions","H93"],["Assumptions","F94"],["Assumptions","G94"],["Assumptions","H94"],["Assumptions","F95"],["Assumptions","G95"],["Assumptions","H95"],["Assumptions","F96"],["Assumptions","G96"],["Assumptions","H96"],["Assumptions","F97"],["Assumptions","G97"],["Assumptions","H97"],["Assumptions","F98"],["Assumptions","G98"],["Assumptions","H98"],["Assumptions","F99"],["Assumptions","G99"],["Assumptions","H99"],["Assumptions","F100"],["Assumptions","G100"],["Assumptions","H100"],["Assumptions","F101"],["Assumptions","G101"],["Assumptions","H101"],["Assumptions","F102"],["Assumptions","G102"],["Assumptions","H102"],["Assumptions","F103"],["Assumptions","G103"],["Assumptions","H103"],["Assumptions","F104"],["Assumptions","G104"],["Assumptions","H104"],["Assumptions","F105"],["Assumptions","G105"],["Assumptions","H105"],["Assumptions","F106"],["Assumptions","G106"],["Assumptions","H106"],["Assumptions","F107"],["Assumptions","G107"],["Assumptions","H107"],["Assumptions","F108"],["Assumptions","G108"],["Assumptions","H108"],["Assumptions","F109"],["Assumptions","G109"],["Assumptions","H109"],["Assumptions","F110"],["Assumptions","G110"],["Assumptions","H110"],["Assumptions","F111"],["Assumptions","G111"],["Assumptions","H111"],["Assumptions","F112"],["Assumptions","G112"],["Assumptions","H112"],["Assumptions","F119"],["Assumptions","F120"],["Assumptions","F121"],["Assumptions","F122"],["Assumptions","F123"],["Assumptions","F124"],["Assumptions","F125"],["Assumptions","F126"],["Assumptions","F127"],["Assumptions","F128"],["Assumptions","F129"],["Assumptions","F130"],["Assumptions","F131"],["Assumptions","F140"]],"metrics":[["Q4:26 guide (USD m)","Revenue","H20"],["FY26 revenue (USD m)","Costs","F8"],["FY27 revenue (USD m)","Costs","G8"],["FY27 EBITDA (USD m)","Costs","G25"],["FY27 net income (USD m)","Costs","G36"],["FY27 FCF (USD m)","Cash","G18"],["13 Sep 2027 net cash (USD m)","Valuation","E11"],["13 Sep 2027 diluted shares (m)","Valuation","E13"],["Enterprise value (USD m)","Valuation","E10"],["Equity value (USD m)","Valuation","E12"],["Value per share","Valuation","E14"],["31 Dec 2027 value/share","Valuation","E23"],["Q4 revenue (USD m)","Revenue","H18"],["R-S revenue gap (USD m)","Summary","E31"]],"caseCount":9}</x:v>
      </x:c>
    </x:row>
    <x:row r="2" ht="27" customHeight="1">
      <x:c r="A2" s="2"/>
      <x:c r="B2" s="2"/>
      <x:c r="C2" s="6" t="str">
        <x:v>Scenario results captured from one model</x:v>
      </x:c>
      <x:c r="D2" s="6"/>
      <x:c r="E2" s="7"/>
      <x:c r="F2" s="7"/>
      <x:c r="G2" s="7"/>
      <x:c r="H2" s="7"/>
      <x:c r="I2" s="7"/>
      <x:c r="J2" s="7"/>
      <x:c r="K2" s="7"/>
      <x:c r="L2" s="7"/>
      <x:c r="M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  <x:c r="M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  <x:c r="M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  <x:c r="M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  <x:c r="M6" s="3"/>
    </x:row>
    <x:row r="7" ht="37" customHeight="1">
      <x:c r="A7" s="2"/>
      <x:c r="B7" s="2"/>
      <x:c r="C7" s="2"/>
      <x:c r="D7" s="2"/>
      <x:c r="E7" s="54" t="str">
        <x:v>Review with fee mechanics</x:v>
      </x:c>
      <x:c r="F7" s="54" t="str">
        <x:v>Review without fee mechanics</x:v>
      </x:c>
      <x:c r="G7" s="54" t="str">
        <x:v>K0 conditional GBV</x:v>
      </x:c>
      <x:c r="H7" s="54" t="str">
        <x:v>Alternative nights A</x:v>
      </x:c>
      <x:c r="I7" s="54" t="str">
        <x:v>ADR mean reversion</x:v>
      </x:c>
      <x:c r="J7" s="54" t="str">
        <x:v>Illustrative revenue −1%</x:v>
      </x:c>
      <x:c r="K7" s="54" t="str">
        <x:v>Illustrative revenue +1%</x:v>
      </x:c>
      <x:c r="L7" s="54" t="str">
        <x:v>Conditional soft envelope</x:v>
      </x:c>
      <x:c r="M7" s="54" t="str">
        <x:v>Conditional firm envelope</x:v>
      </x:c>
    </x:row>
    <x:row r="8" ht="19" customHeight="1">
      <x:c r="A8" s="2"/>
      <x:c r="B8" s="2"/>
      <x:c r="C8" s="2" t="str">
        <x:v>Q4:26 guide (USD m)</x:v>
      </x:c>
      <x:c r="D8" s="2"/>
      <x:c r="E8" s="3" t="n">
        <x:v>3123.4191151733926</x:v>
      </x:c>
      <x:c r="F8" s="3" t="n">
        <x:v>3120.0620072149213</x:v>
      </x:c>
      <x:c r="G8" s="3" t="n">
        <x:v>3158.227962491619</x:v>
      </x:c>
      <x:c r="H8" s="3" t="n">
        <x:v>3123.4191151733926</x:v>
      </x:c>
      <x:c r="I8" s="3" t="n">
        <x:v>3074.811931633949</x:v>
      </x:c>
      <x:c r="J8" s="3" t="n">
        <x:v>3092.184924021659</x:v>
      </x:c>
      <x:c r="K8" s="3" t="n">
        <x:v>3154.653306325127</x:v>
      </x:c>
      <x:c r="L8" s="3" t="n">
        <x:v>2987.9393430652776</x:v>
      </x:c>
      <x:c r="M8" s="3" t="n">
        <x:v>3149.3603438015143</x:v>
      </x:c>
    </x:row>
    <x:row r="9" ht="19" customHeight="1">
      <x:c r="A9" s="2"/>
      <x:c r="B9" s="2"/>
      <x:c r="C9" s="2" t="str">
        <x:v>FY26 revenue (USD m)</x:v>
      </x:c>
      <x:c r="D9" s="2"/>
      <x:c r="E9" s="3" t="n">
        <x:v>14273.706583780326</x:v>
      </x:c>
      <x:c r="F9" s="3" t="n">
        <x:v>14270.28936710496</x:v>
      </x:c>
      <x:c r="G9" s="3" t="n">
        <x:v>14309.138680387727</x:v>
      </x:c>
      <x:c r="H9" s="3" t="n">
        <x:v>14273.706583780326</x:v>
      </x:c>
      <x:c r="I9" s="3" t="n">
        <x:v>14224.22909297926</x:v>
      </x:c>
      <x:c r="J9" s="3" t="n">
        <x:v>14193.829517942522</x:v>
      </x:c>
      <x:c r="K9" s="3" t="n">
        <x:v>14353.58364961813</x:v>
      </x:c>
      <x:c r="L9" s="3" t="n">
        <x:v>14170.36765240346</x:v>
      </x:c>
      <x:c r="M9" s="3" t="n">
        <x:v>14327.978954446993</x:v>
      </x:c>
    </x:row>
    <x:row r="10" ht="19" customHeight="1">
      <x:c r="A10" s="2"/>
      <x:c r="B10" s="2"/>
      <x:c r="C10" s="2" t="str">
        <x:v>FY27 revenue (USD m)</x:v>
      </x:c>
      <x:c r="D10" s="2"/>
      <x:c r="E10" s="3" t="n">
        <x:v>15952.233240744847</x:v>
      </x:c>
      <x:c r="F10" s="3" t="n">
        <x:v>15939.531309461861</x:v>
      </x:c>
      <x:c r="G10" s="3" t="n">
        <x:v>16057.898603629306</x:v>
      </x:c>
      <x:c r="H10" s="3" t="n">
        <x:v>15965.564327356498</x:v>
      </x:c>
      <x:c r="I10" s="3" t="n">
        <x:v>15824.412911522391</x:v>
      </x:c>
      <x:c r="J10" s="3" t="n">
        <x:v>15833.198805203954</x:v>
      </x:c>
      <x:c r="K10" s="3" t="n">
        <x:v>16071.267676285745</x:v>
      </x:c>
      <x:c r="L10" s="3" t="n">
        <x:v>15741.165542753199</x:v>
      </x:c>
      <x:c r="M10" s="3" t="n">
        <x:v>16049.945718012534</x:v>
      </x:c>
    </x:row>
    <x:row r="11" ht="19" customHeight="1">
      <x:c r="A11" s="2"/>
      <x:c r="B11" s="2"/>
      <x:c r="C11" s="2" t="str">
        <x:v>FY27 EBITDA (USD m)</x:v>
      </x:c>
      <x:c r="D11" s="2"/>
      <x:c r="E11" s="3" t="n">
        <x:v>5807.532521622381</x:v>
      </x:c>
      <x:c r="F11" s="3" t="n">
        <x:v>5797.98593242913</x:v>
      </x:c>
      <x:c r="G11" s="3" t="n">
        <x:v>5888.2133401888605</x:v>
      </x:c>
      <x:c r="H11" s="3" t="n">
        <x:v>5814.850931069999</x:v>
      </x:c>
      <x:c r="I11" s="3" t="n">
        <x:v>5708.7411409204</x:v>
      </x:c>
      <x:c r="J11" s="3" t="n">
        <x:v>5687.879107016674</x:v>
      </x:c>
      <x:c r="K11" s="3" t="n">
        <x:v>5927.185936228091</x:v>
      </x:c>
      <x:c r="L11" s="3" t="n">
        <x:v>5625.060885833605</x:v>
      </x:c>
      <x:c r="M11" s="3" t="n">
        <x:v>5899.671104957446</x:v>
      </x:c>
    </x:row>
    <x:row r="12" ht="19" customHeight="1">
      <x:c r="A12" s="2"/>
      <x:c r="B12" s="2"/>
      <x:c r="C12" s="2" t="str">
        <x:v>FY27 net income (USD m)</x:v>
      </x:c>
      <x:c r="D12" s="2"/>
      <x:c r="E12" s="3" t="n">
        <x:v>3355.023537964542</x:v>
      </x:c>
      <x:c r="F12" s="3" t="n">
        <x:v>3347.4777205151786</x:v>
      </x:c>
      <x:c r="G12" s="3" t="n">
        <x:v>3418.807402204958</x:v>
      </x:c>
      <x:c r="H12" s="3" t="n">
        <x:v>3360.7822816990333</x:v>
      </x:c>
      <x:c r="I12" s="3" t="n">
        <x:v>3276.9107397733587</x:v>
      </x:c>
      <x:c r="J12" s="3" t="n">
        <x:v>3260.157854215871</x:v>
      </x:c>
      <x:c r="K12" s="3" t="n">
        <x:v>3449.8892217132156</x:v>
      </x:c>
      <x:c r="L12" s="3" t="n">
        <x:v>3210.565916759061</x:v>
      </x:c>
      <x:c r="M12" s="3" t="n">
        <x:v>3428.030874796267</x:v>
      </x:c>
    </x:row>
    <x:row r="13" ht="19" customHeight="1">
      <x:c r="A13" s="2"/>
      <x:c r="B13" s="2"/>
      <x:c r="C13" s="2" t="str">
        <x:v>FY27 FCF (USD m)</x:v>
      </x:c>
      <x:c r="D13" s="2"/>
      <x:c r="E13" s="3" t="n">
        <x:v>5536.825326066628</x:v>
      </x:c>
      <x:c r="F13" s="3" t="n">
        <x:v>5527.88842957496</x:v>
      </x:c>
      <x:c r="G13" s="3" t="n">
        <x:v>5612.434207214654</x:v>
      </x:c>
      <x:c r="H13" s="3" t="n">
        <x:v>5543.503843356887</x:v>
      </x:c>
      <x:c r="I13" s="3" t="n">
        <x:v>5444.169321167325</x:v>
      </x:c>
      <x:c r="J13" s="3" t="n">
        <x:v>5422.885564366885</x:v>
      </x:c>
      <x:c r="K13" s="3" t="n">
        <x:v>5650.7650877663755</x:v>
      </x:c>
      <x:c r="L13" s="3" t="n">
        <x:v>5364.484939781451</x:v>
      </x:c>
      <x:c r="M13" s="3" t="n">
        <x:v>5624.273710492845</x:v>
      </x:c>
    </x:row>
    <x:row r="14" ht="19" customHeight="1">
      <x:c r="A14" s="2"/>
      <x:c r="B14" s="2"/>
      <x:c r="C14" s="2" t="str">
        <x:v>13 Sep 2027 net cash (USD m)</x:v>
      </x:c>
      <x:c r="D14" s="2"/>
      <x:c r="E14" s="3" t="n">
        <x:v>10029.055795273802</x:v>
      </x:c>
      <x:c r="F14" s="3" t="n">
        <x:v>10022.346257518439</x:v>
      </x:c>
      <x:c r="G14" s="3" t="n">
        <x:v>10093.67409457131</x:v>
      </x:c>
      <x:c r="H14" s="3" t="n">
        <x:v>10028.16592093756</x:v>
      </x:c>
      <x:c r="I14" s="3" t="n">
        <x:v>9942.574412630667</x:v>
      </x:c>
      <x:c r="J14" s="3" t="n">
        <x:v>9871.741003421808</x:v>
      </x:c>
      <x:c r="K14" s="3" t="n">
        <x:v>10186.370587125795</x:v>
      </x:c>
      <x:c r="L14" s="3" t="n">
        <x:v>9834.494453055777</x:v>
      </x:c>
      <x:c r="M14" s="3" t="n">
        <x:v>10137.405398762343</x:v>
      </x:c>
    </x:row>
    <x:row r="15" ht="19" customHeight="1">
      <x:c r="A15" s="2"/>
      <x:c r="B15" s="2"/>
      <x:c r="C15" s="2" t="str">
        <x:v>13 Sep 2027 diluted shares (m)</x:v>
      </x:c>
      <x:c r="D15" s="2"/>
      <x:c r="E15" s="3" t="n">
        <x:v>578.8542107467384</x:v>
      </x:c>
      <x:c r="F15" s="3" t="n">
        <x:v>578.8542107467384</x:v>
      </x:c>
      <x:c r="G15" s="3" t="n">
        <x:v>578.8542107467384</x:v>
      </x:c>
      <x:c r="H15" s="3" t="n">
        <x:v>578.8542107467384</x:v>
      </x:c>
      <x:c r="I15" s="3" t="n">
        <x:v>578.8542107467384</x:v>
      </x:c>
      <x:c r="J15" s="3" t="n">
        <x:v>578.8542107467384</x:v>
      </x:c>
      <x:c r="K15" s="3" t="n">
        <x:v>578.8542107467384</x:v>
      </x:c>
      <x:c r="L15" s="3" t="n">
        <x:v>578.8542107467384</x:v>
      </x:c>
      <x:c r="M15" s="3" t="n">
        <x:v>578.8542107467384</x:v>
      </x:c>
    </x:row>
    <x:row r="16" ht="19" customHeight="1">
      <x:c r="A16" s="2"/>
      <x:c r="B16" s="2"/>
      <x:c r="C16" s="2" t="str">
        <x:v>Enterprise value (USD m)</x:v>
      </x:c>
      <x:c r="D16" s="2"/>
      <x:c r="E16" s="3" t="n">
        <x:v>95824.28660676928</x:v>
      </x:c>
      <x:c r="F16" s="3" t="n">
        <x:v>95666.76788508064</x:v>
      </x:c>
      <x:c r="G16" s="3" t="n">
        <x:v>97155.5201131162</x:v>
      </x:c>
      <x:c r="H16" s="3" t="n">
        <x:v>95945.04036265498</x:v>
      </x:c>
      <x:c r="I16" s="3" t="n">
        <x:v>94194.2288251866</x:v>
      </x:c>
      <x:c r="J16" s="3" t="n">
        <x:v>93850.00526577512</x:v>
      </x:c>
      <x:c r="K16" s="3" t="n">
        <x:v>97798.5679477635</x:v>
      </x:c>
      <x:c r="L16" s="3" t="n">
        <x:v>92813.50461625449</x:v>
      </x:c>
      <x:c r="M16" s="3" t="n">
        <x:v>97344.57323179785</x:v>
      </x:c>
    </x:row>
    <x:row r="17" ht="19" customHeight="1">
      <x:c r="A17" s="2"/>
      <x:c r="B17" s="2"/>
      <x:c r="C17" s="2" t="str">
        <x:v>Equity value (USD m)</x:v>
      </x:c>
      <x:c r="D17" s="2"/>
      <x:c r="E17" s="3" t="n">
        <x:v>105853.34240204308</x:v>
      </x:c>
      <x:c r="F17" s="3" t="n">
        <x:v>105689.11414259908</x:v>
      </x:c>
      <x:c r="G17" s="3" t="n">
        <x:v>107249.19420768751</x:v>
      </x:c>
      <x:c r="H17" s="3" t="n">
        <x:v>105973.20628359255</x:v>
      </x:c>
      <x:c r="I17" s="3" t="n">
        <x:v>104136.80323781726</x:v>
      </x:c>
      <x:c r="J17" s="3" t="n">
        <x:v>103721.74626919693</x:v>
      </x:c>
      <x:c r="K17" s="3" t="n">
        <x:v>107984.9385348893</x:v>
      </x:c>
      <x:c r="L17" s="3" t="n">
        <x:v>102647.99906931026</x:v>
      </x:c>
      <x:c r="M17" s="3" t="n">
        <x:v>107481.9786305602</x:v>
      </x:c>
    </x:row>
    <x:row r="18" ht="19" customHeight="1">
      <x:c r="A18" s="2"/>
      <x:c r="B18" s="2"/>
      <x:c r="C18" s="2" t="str">
        <x:v>Value per share</x:v>
      </x:c>
      <x:c r="D18" s="2"/>
      <x:c r="E18" s="41" t="n">
        <x:v>182.86701631744072</x:v>
      </x:c>
      <x:c r="F18" s="41" t="n">
        <x:v>182.58330367201978</x:v>
      </x:c>
      <x:c r="G18" s="41" t="n">
        <x:v>185.2784210886762</x:v>
      </x:c>
      <x:c r="H18" s="41" t="n">
        <x:v>183.0740872505429</x:v>
      </x:c>
      <x:c r="I18" s="41" t="n">
        <x:v>179.90160787373011</x:v>
      </x:c>
      <x:c r="J18" s="41" t="n">
        <x:v>179.18457591488004</x:v>
      </x:c>
      <x:c r="K18" s="41" t="n">
        <x:v>186.54945672000147</x:v>
      </x:c>
      <x:c r="L18" s="41" t="n">
        <x:v>177.32962318247874</x:v>
      </x:c>
      <x:c r="M18" s="41" t="n">
        <x:v>185.68056798257612</x:v>
      </x:c>
    </x:row>
    <x:row r="19" ht="19" customHeight="1">
      <x:c r="A19" s="2"/>
      <x:c r="B19" s="2"/>
      <x:c r="C19" s="2" t="str">
        <x:v>31 Dec 2027 value/share</x:v>
      </x:c>
      <x:c r="D19" s="2"/>
      <x:c r="E19" s="41" t="n">
        <x:v>184.6627552529164</x:v>
      </x:c>
      <x:c r="F19" s="41" t="n">
        <x:v>184.37229647251976</x:v>
      </x:c>
      <x:c r="G19" s="41" t="n">
        <x:v>187.13131667533904</x:v>
      </x:c>
      <x:c r="H19" s="41" t="n">
        <x:v>184.8748309132632</x:v>
      </x:c>
      <x:c r="I19" s="41" t="n">
        <x:v>181.62722693810898</x:v>
      </x:c>
      <x:c r="J19" s="41" t="n">
        <x:v>180.89382235070576</x:v>
      </x:c>
      <x:c r="K19" s="41" t="n">
        <x:v>188.43168815512718</x:v>
      </x:c>
      <x:c r="L19" s="41" t="n">
        <x:v>178.9947780659444</x:v>
      </x:c>
      <x:c r="M19" s="41" t="n">
        <x:v>187.54259548601235</x:v>
      </x:c>
    </x:row>
    <x:row r="20" ht="19" customHeight="1">
      <x:c r="A20" s="2"/>
      <x:c r="B20" s="2"/>
      <x:c r="C20" s="2" t="str">
        <x:v>Q4 revenue (USD m)</x:v>
      </x:c>
      <x:c r="D20" s="2"/>
      <x:c r="E20" s="3" t="n">
        <x:v>3179.3436542864088</x:v>
      </x:c>
      <x:c r="F20" s="3" t="n">
        <x:v>3175.926437611045</x:v>
      </x:c>
      <x:c r="G20" s="3" t="n">
        <x:v>3214.7757508938103</x:v>
      </x:c>
      <x:c r="H20" s="3" t="n">
        <x:v>3179.3436542864088</x:v>
      </x:c>
      <x:c r="I20" s="3" t="n">
        <x:v>3129.866163485343</x:v>
      </x:c>
      <x:c r="J20" s="3" t="n">
        <x:v>3147.5502177435446</x:v>
      </x:c>
      <x:c r="K20" s="3" t="n">
        <x:v>3211.137090829273</x:v>
      </x:c>
      <x:c r="L20" s="3" t="n">
        <x:v>3103.8713895762103</x:v>
      </x:c>
      <x:c r="M20" s="3" t="n">
        <x:v>3205.749358286409</x:v>
      </x:c>
    </x:row>
    <x:row r="21" ht="19" customHeight="1">
      <x:c r="A21" s="2"/>
      <x:c r="B21" s="2"/>
      <x:c r="C21" s="2" t="str">
        <x:v>R-S revenue gap (USD m)</x:v>
      </x:c>
      <x:c r="D21" s="2"/>
      <x:c r="E21" s="3" t="n">
        <x:v>18.32216428640868</x:v>
      </x:c>
      <x:c r="F21" s="3" t="n">
        <x:v>14.904947611044918</x:v>
      </x:c>
      <x:c r="G21" s="3" t="n">
        <x:v>53.75426089381017</x:v>
      </x:c>
      <x:c r="H21" s="3" t="n">
        <x:v>18.32216428640868</x:v>
      </x:c>
      <x:c r="I21" s="3" t="n">
        <x:v>-31.15532651465719</x:v>
      </x:c>
      <x:c r="J21" s="3" t="n">
        <x:v>-13.47127225645545</x:v>
      </x:c>
      <x:c r="K21" s="3" t="n">
        <x:v>50.11560082927281</x:v>
      </x:c>
      <x:c r="L21" s="3" t="n">
        <x:v>-57.15010042378981</x:v>
      </x:c>
      <x:c r="M21" s="3" t="n">
        <x:v>44.72786828640892</x:v>
      </x:c>
    </x:row>
    <x:row r="22" ht="19" customHeight="1">
      <x:c r="A22" s="2"/>
      <x:c r="B22" s="2"/>
      <x:c r="C22" s="2"/>
      <x:c r="D22" s="2"/>
      <x:c r="E22" s="50" t="str">
        <x:f>IF(SUM(G35:G762)&gt;0,"STALE: recapture all cases","Captured inputs unchanged")</x:f>
        <x:v>Captured inputs unchanged</x:v>
      </x:c>
      <x:c r="F22" s="3"/>
      <x:c r="G22" s="3"/>
      <x:c r="H22" s="3"/>
      <x:c r="I22" s="3"/>
      <x:c r="J22" s="3"/>
      <x:c r="K22" s="3"/>
      <x:c r="L22" s="3"/>
      <x:c r="M22" s="3"/>
    </x:row>
    <x:row r="23" ht="19" customHeight="1">
      <x:c r="A23" s="2"/>
      <x:c r="B23" s="2"/>
      <x:c r="C23" s="2" t="str">
        <x:v>Captured results: selector -&gt; recalculate -&gt; read outputs -&gt; restore reference case.</x:v>
      </x:c>
      <x:c r="D23" s="2"/>
      <x:c r="E23" s="3"/>
      <x:c r="F23" s="3"/>
      <x:c r="G23" s="3"/>
      <x:c r="H23" s="3"/>
      <x:c r="I23" s="3"/>
      <x:c r="J23" s="3"/>
      <x:c r="K23" s="3"/>
      <x:c r="L23" s="3"/>
      <x:c r="M23" s="3"/>
    </x:row>
    <x:row r="24" ht="19" customHeight="1">
      <x:c r="A24" s="2"/>
      <x:c r="B24" s="2"/>
      <x:c r="C24" s="2" t="str">
        <x:v>Refresh after edits: run build.mjs --refresh &lt;saved.xlsx&gt; --out &lt;new-folder&gt;.</x:v>
      </x:c>
      <x:c r="D24" s="2"/>
      <x:c r="E24" s="3"/>
      <x:c r="F24" s="3"/>
      <x:c r="G24" s="3"/>
      <x:c r="H24" s="3"/>
      <x:c r="I24" s="3"/>
      <x:c r="J24" s="3"/>
      <x:c r="K24" s="3"/>
      <x:c r="L24" s="3"/>
      <x:c r="M24" s="3"/>
    </x:row>
    <x:row r="25" ht="19" customHeight="1">
      <x:c r="A25" s="2"/>
      <x:c r="B25" s="2"/>
      <x:c r="C25" s="2" t="str">
        <x:v>+/-1% cases perturb net after-hedge consolidated revenue. They are sensitivities, not measured FX/RNPL.</x:v>
      </x:c>
      <x:c r="D25" s="2"/>
      <x:c r="E25" s="3"/>
      <x:c r="F25" s="3"/>
      <x:c r="G25" s="3"/>
      <x:c r="H25" s="3"/>
      <x:c r="I25" s="3"/>
      <x:c r="J25" s="3"/>
      <x:c r="K25" s="3"/>
      <x:c r="L25" s="3"/>
      <x:c r="M25" s="3"/>
    </x:row>
    <x:row r="26" ht="19" customHeight="1">
      <x:c r="A26" s="2"/>
      <x:c r="B26" s="2"/>
      <x:c r="C26" s="2" t="str">
        <x:v>K0 support-cost nights use the reference assumption; its revenue uses K0 GBV without an identified ADR.</x:v>
      </x:c>
      <x:c r="D26" s="2"/>
      <x:c r="E26" s="3"/>
      <x:c r="F26" s="3"/>
      <x:c r="G26" s="3"/>
      <x:c r="H26" s="3"/>
      <x:c r="I26" s="3"/>
      <x:c r="J26" s="3"/>
      <x:c r="K26" s="3"/>
      <x:c r="L26" s="3"/>
      <x:c r="M26" s="3"/>
    </x:row>
    <x:row r="27" ht="19" customHeight="1">
      <x:c r="A27" s="2"/>
      <x:c r="B27" s="2"/>
      <x:c r="C27" s="2" t="str">
        <x:v>Sensitivity: Q3:26, Q4:26 and Q1:27; FY27 Q3/Q4 inherit changed bases. FY27 Q2 stays unchanged.</x:v>
      </x:c>
      <x:c r="D27" s="2"/>
      <x:c r="E27" s="3"/>
      <x:c r="F27" s="3"/>
      <x:c r="G27" s="3"/>
      <x:c r="H27" s="3"/>
      <x:c r="I27" s="3"/>
      <x:c r="J27" s="3"/>
      <x:c r="K27" s="3"/>
      <x:c r="L27" s="3"/>
      <x:c r="M27" s="3"/>
    </x:row>
    <x:row r="28" ht="19" customHeight="1">
      <x:c r="A28" s="2"/>
      <x:c r="B28" s="2"/>
      <x:c r="C28" s="2" t="str">
        <x:v>Soft/firm: fixed K0; operating assumptions + lambda +/-0.10pp + cushion; no FX factor. These are not CIs.</x:v>
      </x:c>
      <x:c r="D28" s="2"/>
      <x:c r="E28" s="3"/>
      <x:c r="F28" s="3"/>
      <x:c r="G28" s="3"/>
      <x:c r="H28" s="3"/>
      <x:c r="I28" s="3"/>
      <x:c r="J28" s="3"/>
      <x:c r="K28" s="3"/>
      <x:c r="L28" s="3"/>
      <x:c r="M28" s="3"/>
    </x:row>
    <x:row r="29" ht="19" customHeight="1">
      <x:c r="A29" s="2"/>
      <x:c r="B29" s="2"/>
      <x:c r="C29" s="2"/>
      <x:c r="D29" s="2"/>
      <x:c r="E29" s="3"/>
      <x:c r="F29" s="3"/>
      <x:c r="G29" s="3"/>
      <x:c r="H29" s="3"/>
      <x:c r="I29" s="3"/>
      <x:c r="J29" s="3"/>
      <x:c r="K29" s="3"/>
      <x:c r="L29" s="3"/>
      <x:c r="M29" s="3"/>
    </x:row>
    <x:row r="30" ht="19" customHeight="1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  <x:c r="M30" s="3"/>
    </x:row>
    <x:row r="31" ht="19" customHeight="1">
      <x:c r="A31" s="2"/>
      <x:c r="B31" s="2"/>
      <x:c r="C31" s="2"/>
      <x:c r="D31" s="2"/>
      <x:c r="E31" s="3"/>
      <x:c r="F31" s="3"/>
      <x:c r="G31" s="3"/>
      <x:c r="H31" s="3"/>
      <x:c r="I31" s="3"/>
      <x:c r="J31" s="3"/>
      <x:c r="K31" s="3"/>
      <x:c r="L31" s="3"/>
      <x:c r="M31" s="3"/>
    </x:row>
    <x:row r="32" ht="19" customHeight="1">
      <x:c r="A32" s="2"/>
      <x:c r="B32" s="2"/>
      <x:c r="C32" s="2"/>
      <x:c r="D32" s="2"/>
      <x:c r="E32" s="3"/>
      <x:c r="F32" s="3"/>
      <x:c r="G32" s="3"/>
      <x:c r="H32" s="3"/>
      <x:c r="I32" s="3"/>
      <x:c r="J32" s="3"/>
      <x:c r="K32" s="3"/>
      <x:c r="L32" s="3"/>
      <x:c r="M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  <x:c r="M33" s="3"/>
    </x:row>
    <x:row r="34" ht="19" customHeight="1">
      <x:c r="A34" s="2"/>
      <x:c r="B34" s="2"/>
      <x:c r="C34" s="2"/>
      <x:c r="D34" s="2"/>
      <x:c r="E34" s="3"/>
      <x:c r="F34" s="3"/>
      <x:c r="G34" s="3"/>
      <x:c r="H34" s="3"/>
      <x:c r="I34" s="3"/>
      <x:c r="J34" s="3"/>
      <x:c r="K34" s="3"/>
      <x:c r="L34" s="3"/>
      <x:c r="M34" s="3"/>
    </x:row>
    <x:row r="35" ht="19" customHeight="1">
      <x:c r="A35" s="2"/>
      <x:c r="B35" s="2"/>
      <x:c r="C35" s="2" t="str">
        <x:v>Assumptions!E11</x:v>
      </x:c>
      <x:c r="D35" s="2"/>
      <x:c r="E35" s="3"/>
      <x:c r="F35" s="50" t="str">
        <x:f>IF(ISBLANK('Assumptions'!E11),"__BLANK__",'Assumptions'!E11)</x:f>
        <x:v>__BLANK__</x:v>
      </x:c>
      <x:c r="G35" s="50" t="n">
        <x:f>IF(ISBLANK(E35),IF(F35="__BLANK__",0,1),IF(E35=F35,0,1))</x:f>
        <x:v>0</x:v>
      </x:c>
      <x:c r="H35" s="3"/>
      <x:c r="I35" s="3"/>
      <x:c r="J35" s="3"/>
      <x:c r="K35" s="3"/>
      <x:c r="L35" s="3"/>
      <x:c r="M35" s="3"/>
    </x:row>
    <x:row r="36" ht="19" customHeight="1">
      <x:c r="A36" s="2"/>
      <x:c r="B36" s="2"/>
      <x:c r="C36" s="2" t="str">
        <x:v>Assumptions!E12</x:v>
      </x:c>
      <x:c r="D36" s="2"/>
      <x:c r="E36" s="3"/>
      <x:c r="F36" s="50" t="str">
        <x:f>IF(ISBLANK('Assumptions'!E12),"__BLANK__",'Assumptions'!E12)</x:f>
        <x:v>__BLANK__</x:v>
      </x:c>
      <x:c r="G36" s="50" t="n">
        <x:f>IF(ISBLANK(E36),IF(F36="__BLANK__",0,1),IF(E36=F36,0,1))</x:f>
        <x:v>0</x:v>
      </x:c>
      <x:c r="H36" s="3"/>
      <x:c r="I36" s="3"/>
      <x:c r="J36" s="3"/>
      <x:c r="K36" s="3"/>
      <x:c r="L36" s="3"/>
      <x:c r="M36" s="3"/>
    </x:row>
    <x:row r="37" ht="19" customHeight="1">
      <x:c r="A37" s="2"/>
      <x:c r="B37" s="2"/>
      <x:c r="C37" s="2" t="str">
        <x:v>Assumptions!E13</x:v>
      </x:c>
      <x:c r="D37" s="2"/>
      <x:c r="E37" s="3"/>
      <x:c r="F37" s="50" t="str">
        <x:f>IF(ISBLANK('Assumptions'!E13),"__BLANK__",'Assumptions'!E13)</x:f>
        <x:v>__BLANK__</x:v>
      </x:c>
      <x:c r="G37" s="50" t="n">
        <x:f>IF(ISBLANK(E37),IF(F37="__BLANK__",0,1),IF(E37=F37,0,1))</x:f>
        <x:v>0</x:v>
      </x:c>
      <x:c r="H37" s="3"/>
      <x:c r="I37" s="3"/>
      <x:c r="J37" s="3"/>
      <x:c r="K37" s="3"/>
      <x:c r="L37" s="3"/>
      <x:c r="M37" s="3"/>
    </x:row>
    <x:row r="38" ht="19" customHeight="1">
      <x:c r="A38" s="2"/>
      <x:c r="B38" s="2"/>
      <x:c r="C38" s="2" t="str">
        <x:v>Assumptions!E14</x:v>
      </x:c>
      <x:c r="D38" s="2"/>
      <x:c r="E38" s="3"/>
      <x:c r="F38" s="50" t="str">
        <x:f>IF(ISBLANK('Assumptions'!E14),"__BLANK__",'Assumptions'!E14)</x:f>
        <x:v>__BLANK__</x:v>
      </x:c>
      <x:c r="G38" s="50" t="n">
        <x:f>IF(ISBLANK(E38),IF(F38="__BLANK__",0,1),IF(E38=F38,0,1))</x:f>
        <x:v>0</x:v>
      </x:c>
      <x:c r="H38" s="3"/>
      <x:c r="I38" s="3"/>
      <x:c r="J38" s="3"/>
      <x:c r="K38" s="3"/>
      <x:c r="L38" s="3"/>
      <x:c r="M38" s="3"/>
    </x:row>
    <x:row r="39" ht="19" customHeight="1">
      <x:c r="A39" s="2"/>
      <x:c r="B39" s="2"/>
      <x:c r="C39" s="2" t="str">
        <x:v>Assumptions!E15</x:v>
      </x:c>
      <x:c r="D39" s="2"/>
      <x:c r="E39" s="3"/>
      <x:c r="F39" s="50" t="str">
        <x:f>IF(ISBLANK('Assumptions'!E15),"__BLANK__",'Assumptions'!E15)</x:f>
        <x:v>__BLANK__</x:v>
      </x:c>
      <x:c r="G39" s="50" t="n">
        <x:f>IF(ISBLANK(E39),IF(F39="__BLANK__",0,1),IF(E39=F39,0,1))</x:f>
        <x:v>0</x:v>
      </x:c>
      <x:c r="H39" s="3"/>
      <x:c r="I39" s="3"/>
      <x:c r="J39" s="3"/>
      <x:c r="K39" s="3"/>
      <x:c r="L39" s="3"/>
      <x:c r="M39" s="3"/>
    </x:row>
    <x:row r="40" ht="19" customHeight="1">
      <x:c r="A40" s="2"/>
      <x:c r="B40" s="2"/>
      <x:c r="C40" s="2" t="str">
        <x:v>Assumptions!E16</x:v>
      </x:c>
      <x:c r="D40" s="2"/>
      <x:c r="E40" s="3"/>
      <x:c r="F40" s="50" t="str">
        <x:f>IF(ISBLANK('Assumptions'!E16),"__BLANK__",'Assumptions'!E16)</x:f>
        <x:v>__BLANK__</x:v>
      </x:c>
      <x:c r="G40" s="50" t="n">
        <x:f>IF(ISBLANK(E40),IF(F40="__BLANK__",0,1),IF(E40=F40,0,1))</x:f>
        <x:v>0</x:v>
      </x:c>
      <x:c r="H40" s="3"/>
      <x:c r="I40" s="3"/>
      <x:c r="J40" s="3"/>
      <x:c r="K40" s="3"/>
      <x:c r="L40" s="3"/>
      <x:c r="M40" s="3"/>
    </x:row>
    <x:row r="41" ht="19" customHeight="1">
      <x:c r="A41" s="2"/>
      <x:c r="B41" s="2"/>
      <x:c r="C41" s="2" t="str">
        <x:v>Assumptions!E17</x:v>
      </x:c>
      <x:c r="D41" s="2"/>
      <x:c r="E41" s="3"/>
      <x:c r="F41" s="50" t="str">
        <x:f>IF(ISBLANK('Assumptions'!E17),"__BLANK__",'Assumptions'!E17)</x:f>
        <x:v>__BLANK__</x:v>
      </x:c>
      <x:c r="G41" s="50" t="n">
        <x:f>IF(ISBLANK(E41),IF(F41="__BLANK__",0,1),IF(E41=F41,0,1))</x:f>
        <x:v>0</x:v>
      </x:c>
      <x:c r="H41" s="3"/>
      <x:c r="I41" s="3"/>
      <x:c r="J41" s="3"/>
      <x:c r="K41" s="3"/>
      <x:c r="L41" s="3"/>
      <x:c r="M41" s="3"/>
    </x:row>
    <x:row r="42" ht="19" customHeight="1">
      <x:c r="A42" s="2"/>
      <x:c r="B42" s="2"/>
      <x:c r="C42" s="2" t="str">
        <x:v>Assumptions!E18</x:v>
      </x:c>
      <x:c r="D42" s="2"/>
      <x:c r="E42" s="3"/>
      <x:c r="F42" s="50" t="str">
        <x:f>IF(ISBLANK('Assumptions'!E18),"__BLANK__",'Assumptions'!E18)</x:f>
        <x:v>__BLANK__</x:v>
      </x:c>
      <x:c r="G42" s="50" t="n">
        <x:f>IF(ISBLANK(E42),IF(F42="__BLANK__",0,1),IF(E42=F42,0,1))</x:f>
        <x:v>0</x:v>
      </x:c>
      <x:c r="H42" s="3"/>
      <x:c r="I42" s="3"/>
      <x:c r="J42" s="3"/>
      <x:c r="K42" s="3"/>
      <x:c r="L42" s="3"/>
      <x:c r="M42" s="3"/>
    </x:row>
    <x:row r="43" ht="19" customHeight="1">
      <x:c r="A43" s="2"/>
      <x:c r="B43" s="2"/>
      <x:c r="C43" s="2" t="str">
        <x:v>Assumptions!E19</x:v>
      </x:c>
      <x:c r="D43" s="2"/>
      <x:c r="E43" s="3"/>
      <x:c r="F43" s="50" t="str">
        <x:f>IF(ISBLANK('Assumptions'!E19),"__BLANK__",'Assumptions'!E19)</x:f>
        <x:v>__BLANK__</x:v>
      </x:c>
      <x:c r="G43" s="50" t="n">
        <x:f>IF(ISBLANK(E43),IF(F43="__BLANK__",0,1),IF(E43=F43,0,1))</x:f>
        <x:v>0</x:v>
      </x:c>
      <x:c r="H43" s="3"/>
      <x:c r="I43" s="3"/>
      <x:c r="J43" s="3"/>
      <x:c r="K43" s="3"/>
      <x:c r="L43" s="3"/>
      <x:c r="M43" s="3"/>
    </x:row>
    <x:row r="44" ht="19" customHeight="1">
      <x:c r="A44" s="2"/>
      <x:c r="B44" s="2"/>
      <x:c r="C44" s="2" t="str">
        <x:v>Assumptions!F11</x:v>
      </x:c>
      <x:c r="D44" s="2"/>
      <x:c r="E44" s="3"/>
      <x:c r="F44" s="50" t="str">
        <x:f>IF(ISBLANK('Assumptions'!F11),"__BLANK__",'Assumptions'!F11)</x:f>
        <x:v>__BLANK__</x:v>
      </x:c>
      <x:c r="G44" s="50" t="n">
        <x:f>IF(ISBLANK(E44),IF(F44="__BLANK__",0,1),IF(E44=F44,0,1))</x:f>
        <x:v>0</x:v>
      </x:c>
      <x:c r="H44" s="3"/>
      <x:c r="I44" s="3"/>
      <x:c r="J44" s="3"/>
      <x:c r="K44" s="3"/>
      <x:c r="L44" s="3"/>
      <x:c r="M44" s="3"/>
    </x:row>
    <x:row r="45" ht="19" customHeight="1">
      <x:c r="A45" s="2"/>
      <x:c r="B45" s="2"/>
      <x:c r="C45" s="2" t="str">
        <x:v>Assumptions!F12</x:v>
      </x:c>
      <x:c r="D45" s="2"/>
      <x:c r="E45" s="3"/>
      <x:c r="F45" s="50" t="str">
        <x:f>IF(ISBLANK('Assumptions'!F12),"__BLANK__",'Assumptions'!F12)</x:f>
        <x:v>__BLANK__</x:v>
      </x:c>
      <x:c r="G45" s="50" t="n">
        <x:f>IF(ISBLANK(E45),IF(F45="__BLANK__",0,1),IF(E45=F45,0,1))</x:f>
        <x:v>0</x:v>
      </x:c>
      <x:c r="H45" s="3"/>
      <x:c r="I45" s="3"/>
      <x:c r="J45" s="3"/>
      <x:c r="K45" s="3"/>
      <x:c r="L45" s="3"/>
      <x:c r="M45" s="3"/>
    </x:row>
    <x:row r="46" ht="19" customHeight="1">
      <x:c r="A46" s="2"/>
      <x:c r="B46" s="2"/>
      <x:c r="C46" s="2" t="str">
        <x:v>Assumptions!F13</x:v>
      </x:c>
      <x:c r="D46" s="2"/>
      <x:c r="E46" s="3"/>
      <x:c r="F46" s="50" t="str">
        <x:f>IF(ISBLANK('Assumptions'!F13),"__BLANK__",'Assumptions'!F13)</x:f>
        <x:v>__BLANK__</x:v>
      </x:c>
      <x:c r="G46" s="50" t="n">
        <x:f>IF(ISBLANK(E46),IF(F46="__BLANK__",0,1),IF(E46=F46,0,1))</x:f>
        <x:v>0</x:v>
      </x:c>
      <x:c r="H46" s="3"/>
      <x:c r="I46" s="3"/>
      <x:c r="J46" s="3"/>
      <x:c r="K46" s="3"/>
      <x:c r="L46" s="3"/>
      <x:c r="M46" s="3"/>
    </x:row>
    <x:row r="47" ht="19" customHeight="1">
      <x:c r="A47" s="2"/>
      <x:c r="B47" s="2"/>
      <x:c r="C47" s="2" t="str">
        <x:v>Assumptions!F14</x:v>
      </x:c>
      <x:c r="D47" s="2"/>
      <x:c r="E47" s="3"/>
      <x:c r="F47" s="50" t="str">
        <x:f>IF(ISBLANK('Assumptions'!F14),"__BLANK__",'Assumptions'!F14)</x:f>
        <x:v>__BLANK__</x:v>
      </x:c>
      <x:c r="G47" s="50" t="n">
        <x:f>IF(ISBLANK(E47),IF(F47="__BLANK__",0,1),IF(E47=F47,0,1))</x:f>
        <x:v>0</x:v>
      </x:c>
      <x:c r="H47" s="3"/>
      <x:c r="I47" s="3"/>
      <x:c r="J47" s="3"/>
      <x:c r="K47" s="3"/>
      <x:c r="L47" s="3"/>
      <x:c r="M47" s="3"/>
    </x:row>
    <x:row r="48" ht="19" customHeight="1">
      <x:c r="A48" s="2"/>
      <x:c r="B48" s="2"/>
      <x:c r="C48" s="2" t="str">
        <x:v>Assumptions!F15</x:v>
      </x:c>
      <x:c r="D48" s="2"/>
      <x:c r="E48" s="3"/>
      <x:c r="F48" s="50" t="str">
        <x:f>IF(ISBLANK('Assumptions'!F15),"__BLANK__",'Assumptions'!F15)</x:f>
        <x:v>__BLANK__</x:v>
      </x:c>
      <x:c r="G48" s="50" t="n">
        <x:f>IF(ISBLANK(E48),IF(F48="__BLANK__",0,1),IF(E48=F48,0,1))</x:f>
        <x:v>0</x:v>
      </x:c>
      <x:c r="H48" s="3"/>
      <x:c r="I48" s="3"/>
      <x:c r="J48" s="3"/>
      <x:c r="K48" s="3"/>
      <x:c r="L48" s="3"/>
      <x:c r="M48" s="3"/>
    </x:row>
    <x:row r="49" ht="19" customHeight="1">
      <x:c r="A49" s="2"/>
      <x:c r="B49" s="2"/>
      <x:c r="C49" s="2" t="str">
        <x:v>Assumptions!F16</x:v>
      </x:c>
      <x:c r="D49" s="2"/>
      <x:c r="E49" s="3"/>
      <x:c r="F49" s="50" t="str">
        <x:f>IF(ISBLANK('Assumptions'!F16),"__BLANK__",'Assumptions'!F16)</x:f>
        <x:v>__BLANK__</x:v>
      </x:c>
      <x:c r="G49" s="50" t="n">
        <x:f>IF(ISBLANK(E49),IF(F49="__BLANK__",0,1),IF(E49=F49,0,1))</x:f>
        <x:v>0</x:v>
      </x:c>
      <x:c r="H49" s="3"/>
      <x:c r="I49" s="3"/>
      <x:c r="J49" s="3"/>
      <x:c r="K49" s="3"/>
      <x:c r="L49" s="3"/>
      <x:c r="M49" s="3"/>
    </x:row>
    <x:row r="50" ht="19" customHeight="1">
      <x:c r="A50" s="2"/>
      <x:c r="B50" s="2"/>
      <x:c r="C50" s="2" t="str">
        <x:v>Assumptions!F17</x:v>
      </x:c>
      <x:c r="D50" s="2"/>
      <x:c r="E50" s="3"/>
      <x:c r="F50" s="50" t="str">
        <x:f>IF(ISBLANK('Assumptions'!F17),"__BLANK__",'Assumptions'!F17)</x:f>
        <x:v>__BLANK__</x:v>
      </x:c>
      <x:c r="G50" s="50" t="n">
        <x:f>IF(ISBLANK(E50),IF(F50="__BLANK__",0,1),IF(E50=F50,0,1))</x:f>
        <x:v>0</x:v>
      </x:c>
      <x:c r="H50" s="3"/>
      <x:c r="I50" s="3"/>
      <x:c r="J50" s="3"/>
      <x:c r="K50" s="3"/>
      <x:c r="L50" s="3"/>
      <x:c r="M50" s="3"/>
    </x:row>
    <x:row r="51" ht="19" customHeight="1">
      <x:c r="A51" s="2"/>
      <x:c r="B51" s="2"/>
      <x:c r="C51" s="2" t="str">
        <x:v>Assumptions!F18</x:v>
      </x:c>
      <x:c r="D51" s="2"/>
      <x:c r="E51" s="3"/>
      <x:c r="F51" s="50" t="str">
        <x:f>IF(ISBLANK('Assumptions'!F18),"__BLANK__",'Assumptions'!F18)</x:f>
        <x:v>__BLANK__</x:v>
      </x:c>
      <x:c r="G51" s="50" t="n">
        <x:f>IF(ISBLANK(E51),IF(F51="__BLANK__",0,1),IF(E51=F51,0,1))</x:f>
        <x:v>0</x:v>
      </x:c>
      <x:c r="H51" s="3"/>
      <x:c r="I51" s="3"/>
      <x:c r="J51" s="3"/>
      <x:c r="K51" s="3"/>
      <x:c r="L51" s="3"/>
      <x:c r="M51" s="3"/>
    </x:row>
    <x:row r="52" ht="19" customHeight="1">
      <x:c r="A52" s="2"/>
      <x:c r="B52" s="2"/>
      <x:c r="C52" s="2" t="str">
        <x:v>Assumptions!F19</x:v>
      </x:c>
      <x:c r="D52" s="2"/>
      <x:c r="E52" s="3"/>
      <x:c r="F52" s="50" t="str">
        <x:f>IF(ISBLANK('Assumptions'!F19),"__BLANK__",'Assumptions'!F19)</x:f>
        <x:v>__BLANK__</x:v>
      </x:c>
      <x:c r="G52" s="50" t="n">
        <x:f>IF(ISBLANK(E52),IF(F52="__BLANK__",0,1),IF(E52=F52,0,1))</x:f>
        <x:v>0</x:v>
      </x:c>
      <x:c r="H52" s="3"/>
      <x:c r="I52" s="3"/>
      <x:c r="J52" s="3"/>
      <x:c r="K52" s="3"/>
      <x:c r="L52" s="3"/>
      <x:c r="M52" s="3"/>
    </x:row>
    <x:row r="53" ht="19" customHeight="1">
      <x:c r="A53" s="2"/>
      <x:c r="B53" s="2"/>
      <x:c r="C53" s="2" t="str">
        <x:v>Assumptions!G11</x:v>
      </x:c>
      <x:c r="D53" s="2"/>
      <x:c r="E53" s="3" t="n">
        <x:v>146.8</x:v>
      </x:c>
      <x:c r="F53" s="50" t="n">
        <x:f>IF(ISBLANK('Assumptions'!G11),"__BLANK__",'Assumptions'!G11)</x:f>
        <x:v>146.8</x:v>
      </x:c>
      <x:c r="G53" s="50" t="n">
        <x:f>IF(ISBLANK(E53),IF(F53="__BLANK__",0,1),IF(E53=F53,0,1))</x:f>
        <x:v>0</x:v>
      </x:c>
      <x:c r="H53" s="3"/>
      <x:c r="I53" s="3"/>
      <x:c r="J53" s="3"/>
      <x:c r="K53" s="3"/>
      <x:c r="L53" s="3"/>
      <x:c r="M53" s="3"/>
    </x:row>
    <x:row r="54" ht="19" customHeight="1">
      <x:c r="A54" s="2"/>
      <x:c r="B54" s="2"/>
      <x:c r="C54" s="2" t="str">
        <x:v>Assumptions!G12</x:v>
      </x:c>
      <x:c r="D54" s="2"/>
      <x:c r="E54" s="3" t="n">
        <x:v>146.8</x:v>
      </x:c>
      <x:c r="F54" s="50" t="n">
        <x:f>IF(ISBLANK('Assumptions'!G12),"__BLANK__",'Assumptions'!G12)</x:f>
        <x:v>146.8</x:v>
      </x:c>
      <x:c r="G54" s="50" t="n">
        <x:f>IF(ISBLANK(E54),IF(F54="__BLANK__",0,1),IF(E54=F54,0,1))</x:f>
        <x:v>0</x:v>
      </x:c>
      <x:c r="H54" s="3"/>
      <x:c r="I54" s="3"/>
      <x:c r="J54" s="3"/>
      <x:c r="K54" s="3"/>
      <x:c r="L54" s="3"/>
      <x:c r="M54" s="3"/>
    </x:row>
    <x:row r="55" ht="19" customHeight="1">
      <x:c r="A55" s="2"/>
      <x:c r="B55" s="2"/>
      <x:c r="C55" s="2" t="str">
        <x:v>Assumptions!G13</x:v>
      </x:c>
      <x:c r="D55" s="2"/>
      <x:c r="E55" s="3" t="n">
        <x:v>146.8</x:v>
      </x:c>
      <x:c r="F55" s="50" t="n">
        <x:f>IF(ISBLANK('Assumptions'!G13),"__BLANK__",'Assumptions'!G13)</x:f>
        <x:v>146.8</x:v>
      </x:c>
      <x:c r="G55" s="50" t="n">
        <x:f>IF(ISBLANK(E55),IF(F55="__BLANK__",0,1),IF(E55=F55,0,1))</x:f>
        <x:v>0</x:v>
      </x:c>
      <x:c r="H55" s="3"/>
      <x:c r="I55" s="3"/>
      <x:c r="J55" s="3"/>
      <x:c r="K55" s="3"/>
      <x:c r="L55" s="3"/>
      <x:c r="M55" s="3"/>
    </x:row>
    <x:row r="56" ht="19" customHeight="1">
      <x:c r="A56" s="2"/>
      <x:c r="B56" s="2"/>
      <x:c r="C56" s="2" t="str">
        <x:v>Assumptions!G14</x:v>
      </x:c>
      <x:c r="D56" s="2"/>
      <x:c r="E56" s="3" t="n">
        <x:v>146.8</x:v>
      </x:c>
      <x:c r="F56" s="50" t="n">
        <x:f>IF(ISBLANK('Assumptions'!G14),"__BLANK__",'Assumptions'!G14)</x:f>
        <x:v>146.8</x:v>
      </x:c>
      <x:c r="G56" s="50" t="n">
        <x:f>IF(ISBLANK(E56),IF(F56="__BLANK__",0,1),IF(E56=F56,0,1))</x:f>
        <x:v>0</x:v>
      </x:c>
      <x:c r="H56" s="3"/>
      <x:c r="I56" s="3"/>
      <x:c r="J56" s="3"/>
      <x:c r="K56" s="3"/>
      <x:c r="L56" s="3"/>
      <x:c r="M56" s="3"/>
    </x:row>
    <x:row r="57" ht="19" customHeight="1">
      <x:c r="A57" s="2"/>
      <x:c r="B57" s="2"/>
      <x:c r="C57" s="2" t="str">
        <x:v>Assumptions!G15</x:v>
      </x:c>
      <x:c r="D57" s="2"/>
      <x:c r="E57" s="3" t="n">
        <x:v>146.8</x:v>
      </x:c>
      <x:c r="F57" s="50" t="n">
        <x:f>IF(ISBLANK('Assumptions'!G15),"__BLANK__",'Assumptions'!G15)</x:f>
        <x:v>146.8</x:v>
      </x:c>
      <x:c r="G57" s="50" t="n">
        <x:f>IF(ISBLANK(E57),IF(F57="__BLANK__",0,1),IF(E57=F57,0,1))</x:f>
        <x:v>0</x:v>
      </x:c>
      <x:c r="H57" s="3"/>
      <x:c r="I57" s="3"/>
      <x:c r="J57" s="3"/>
      <x:c r="K57" s="3"/>
      <x:c r="L57" s="3"/>
      <x:c r="M57" s="3"/>
    </x:row>
    <x:row r="58" ht="19" customHeight="1">
      <x:c r="A58" s="2"/>
      <x:c r="B58" s="2"/>
      <x:c r="C58" s="2" t="str">
        <x:v>Assumptions!G16</x:v>
      </x:c>
      <x:c r="D58" s="2"/>
      <x:c r="E58" s="3" t="n">
        <x:v>146.8</x:v>
      </x:c>
      <x:c r="F58" s="50" t="n">
        <x:f>IF(ISBLANK('Assumptions'!G16),"__BLANK__",'Assumptions'!G16)</x:f>
        <x:v>146.8</x:v>
      </x:c>
      <x:c r="G58" s="50" t="n">
        <x:f>IF(ISBLANK(E58),IF(F58="__BLANK__",0,1),IF(E58=F58,0,1))</x:f>
        <x:v>0</x:v>
      </x:c>
      <x:c r="H58" s="3"/>
      <x:c r="I58" s="3"/>
      <x:c r="J58" s="3"/>
      <x:c r="K58" s="3"/>
      <x:c r="L58" s="3"/>
      <x:c r="M58" s="3"/>
    </x:row>
    <x:row r="59" ht="19" customHeight="1">
      <x:c r="A59" s="2"/>
      <x:c r="B59" s="2"/>
      <x:c r="C59" s="2" t="str">
        <x:v>Assumptions!G17</x:v>
      </x:c>
      <x:c r="D59" s="2"/>
      <x:c r="E59" s="3" t="n">
        <x:v>146.8</x:v>
      </x:c>
      <x:c r="F59" s="50" t="n">
        <x:f>IF(ISBLANK('Assumptions'!G17),"__BLANK__",'Assumptions'!G17)</x:f>
        <x:v>146.8</x:v>
      </x:c>
      <x:c r="G59" s="50" t="n">
        <x:f>IF(ISBLANK(E59),IF(F59="__BLANK__",0,1),IF(E59=F59,0,1))</x:f>
        <x:v>0</x:v>
      </x:c>
      <x:c r="H59" s="3"/>
      <x:c r="I59" s="3"/>
      <x:c r="J59" s="3"/>
      <x:c r="K59" s="3"/>
      <x:c r="L59" s="3"/>
      <x:c r="M59" s="3"/>
    </x:row>
    <x:row r="60" ht="19" customHeight="1">
      <x:c r="A60" s="2"/>
      <x:c r="B60" s="2"/>
      <x:c r="C60" s="2" t="str">
        <x:v>Assumptions!G18</x:v>
      </x:c>
      <x:c r="D60" s="2"/>
      <x:c r="E60" s="3" t="n">
        <x:v>146.8</x:v>
      </x:c>
      <x:c r="F60" s="50" t="n">
        <x:f>IF(ISBLANK('Assumptions'!G18),"__BLANK__",'Assumptions'!G18)</x:f>
        <x:v>146.8</x:v>
      </x:c>
      <x:c r="G60" s="50" t="n">
        <x:f>IF(ISBLANK(E60),IF(F60="__BLANK__",0,1),IF(E60=F60,0,1))</x:f>
        <x:v>0</x:v>
      </x:c>
      <x:c r="H60" s="3"/>
      <x:c r="I60" s="3"/>
      <x:c r="J60" s="3"/>
      <x:c r="K60" s="3"/>
      <x:c r="L60" s="3"/>
      <x:c r="M60" s="3"/>
    </x:row>
    <x:row r="61" ht="19" customHeight="1">
      <x:c r="A61" s="2"/>
      <x:c r="B61" s="2"/>
      <x:c r="C61" s="2" t="str">
        <x:v>Assumptions!G19</x:v>
      </x:c>
      <x:c r="D61" s="2"/>
      <x:c r="E61" s="3" t="n">
        <x:v>146.8</x:v>
      </x:c>
      <x:c r="F61" s="50" t="n">
        <x:f>IF(ISBLANK('Assumptions'!G19),"__BLANK__",'Assumptions'!G19)</x:f>
        <x:v>146.8</x:v>
      </x:c>
      <x:c r="G61" s="50" t="n">
        <x:f>IF(ISBLANK(E61),IF(F61="__BLANK__",0,1),IF(E61=F61,0,1))</x:f>
        <x:v>0</x:v>
      </x:c>
      <x:c r="H61" s="3"/>
      <x:c r="I61" s="3"/>
      <x:c r="J61" s="3"/>
      <x:c r="K61" s="3"/>
      <x:c r="L61" s="3"/>
      <x:c r="M61" s="3"/>
    </x:row>
    <x:row r="62" ht="19" customHeight="1">
      <x:c r="A62" s="2"/>
      <x:c r="B62" s="2"/>
      <x:c r="C62" s="2" t="str">
        <x:v>Assumptions!H11</x:v>
      </x:c>
      <x:c r="D62" s="2"/>
      <x:c r="E62" s="3" t="n">
        <x:v>131.8</x:v>
      </x:c>
      <x:c r="F62" s="50" t="n">
        <x:f>IF(ISBLANK('Assumptions'!H11),"__BLANK__",'Assumptions'!H11)</x:f>
        <x:v>131.8</x:v>
      </x:c>
      <x:c r="G62" s="50" t="n">
        <x:f>IF(ISBLANK(E62),IF(F62="__BLANK__",0,1),IF(E62=F62,0,1))</x:f>
        <x:v>0</x:v>
      </x:c>
      <x:c r="H62" s="3"/>
      <x:c r="I62" s="3"/>
      <x:c r="J62" s="3"/>
      <x:c r="K62" s="3"/>
      <x:c r="L62" s="3"/>
      <x:c r="M62" s="3"/>
    </x:row>
    <x:row r="63" ht="19" customHeight="1">
      <x:c r="A63" s="2"/>
      <x:c r="B63" s="2"/>
      <x:c r="C63" s="2" t="str">
        <x:v>Assumptions!H12</x:v>
      </x:c>
      <x:c r="D63" s="2"/>
      <x:c r="E63" s="3" t="n">
        <x:v>131.8</x:v>
      </x:c>
      <x:c r="F63" s="50" t="n">
        <x:f>IF(ISBLANK('Assumptions'!H12),"__BLANK__",'Assumptions'!H12)</x:f>
        <x:v>131.8</x:v>
      </x:c>
      <x:c r="G63" s="50" t="n">
        <x:f>IF(ISBLANK(E63),IF(F63="__BLANK__",0,1),IF(E63=F63,0,1))</x:f>
        <x:v>0</x:v>
      </x:c>
      <x:c r="H63" s="3"/>
      <x:c r="I63" s="3"/>
      <x:c r="J63" s="3"/>
      <x:c r="K63" s="3"/>
      <x:c r="L63" s="3"/>
      <x:c r="M63" s="3"/>
    </x:row>
    <x:row r="64" ht="19" customHeight="1">
      <x:c r="A64" s="2"/>
      <x:c r="B64" s="2"/>
      <x:c r="C64" s="2" t="str">
        <x:v>Assumptions!H13</x:v>
      </x:c>
      <x:c r="D64" s="2"/>
      <x:c r="E64" s="3" t="n">
        <x:v>131.8</x:v>
      </x:c>
      <x:c r="F64" s="50" t="n">
        <x:f>IF(ISBLANK('Assumptions'!H13),"__BLANK__",'Assumptions'!H13)</x:f>
        <x:v>131.8</x:v>
      </x:c>
      <x:c r="G64" s="50" t="n">
        <x:f>IF(ISBLANK(E64),IF(F64="__BLANK__",0,1),IF(E64=F64,0,1))</x:f>
        <x:v>0</x:v>
      </x:c>
      <x:c r="H64" s="3"/>
      <x:c r="I64" s="3"/>
      <x:c r="J64" s="3"/>
      <x:c r="K64" s="3"/>
      <x:c r="L64" s="3"/>
      <x:c r="M64" s="3"/>
    </x:row>
    <x:row r="65" ht="19" customHeight="1">
      <x:c r="A65" s="2"/>
      <x:c r="B65" s="2"/>
      <x:c r="C65" s="2" t="str">
        <x:v>Assumptions!H14</x:v>
      </x:c>
      <x:c r="D65" s="2"/>
      <x:c r="E65" s="3" t="n">
        <x:v>132.7</x:v>
      </x:c>
      <x:c r="F65" s="50" t="n">
        <x:f>IF(ISBLANK('Assumptions'!H14),"__BLANK__",'Assumptions'!H14)</x:f>
        <x:v>132.7</x:v>
      </x:c>
      <x:c r="G65" s="50" t="n">
        <x:f>IF(ISBLANK(E65),IF(F65="__BLANK__",0,1),IF(E65=F65,0,1))</x:f>
        <x:v>0</x:v>
      </x:c>
      <x:c r="H65" s="3"/>
      <x:c r="I65" s="3"/>
      <x:c r="J65" s="3"/>
      <x:c r="K65" s="3"/>
      <x:c r="L65" s="3"/>
      <x:c r="M65" s="3"/>
    </x:row>
    <x:row r="66" ht="19" customHeight="1">
      <x:c r="A66" s="2"/>
      <x:c r="B66" s="2"/>
      <x:c r="C66" s="2" t="str">
        <x:v>Assumptions!H15</x:v>
      </x:c>
      <x:c r="D66" s="2"/>
      <x:c r="E66" s="3" t="n">
        <x:v>131.8</x:v>
      </x:c>
      <x:c r="F66" s="50" t="n">
        <x:f>IF(ISBLANK('Assumptions'!H15),"__BLANK__",'Assumptions'!H15)</x:f>
        <x:v>131.8</x:v>
      </x:c>
      <x:c r="G66" s="50" t="n">
        <x:f>IF(ISBLANK(E66),IF(F66="__BLANK__",0,1),IF(E66=F66,0,1))</x:f>
        <x:v>0</x:v>
      </x:c>
      <x:c r="H66" s="3"/>
      <x:c r="I66" s="3"/>
      <x:c r="J66" s="3"/>
      <x:c r="K66" s="3"/>
      <x:c r="L66" s="3"/>
      <x:c r="M66" s="3"/>
    </x:row>
    <x:row r="67" ht="19" customHeight="1">
      <x:c r="A67" s="2"/>
      <x:c r="B67" s="2"/>
      <x:c r="C67" s="2" t="str">
        <x:v>Assumptions!H16</x:v>
      </x:c>
      <x:c r="D67" s="2"/>
      <x:c r="E67" s="3" t="n">
        <x:v>131.8</x:v>
      </x:c>
      <x:c r="F67" s="50" t="n">
        <x:f>IF(ISBLANK('Assumptions'!H16),"__BLANK__",'Assumptions'!H16)</x:f>
        <x:v>131.8</x:v>
      </x:c>
      <x:c r="G67" s="50" t="n">
        <x:f>IF(ISBLANK(E67),IF(F67="__BLANK__",0,1),IF(E67=F67,0,1))</x:f>
        <x:v>0</x:v>
      </x:c>
      <x:c r="H67" s="3"/>
      <x:c r="I67" s="3"/>
      <x:c r="J67" s="3"/>
      <x:c r="K67" s="3"/>
      <x:c r="L67" s="3"/>
      <x:c r="M67" s="3"/>
    </x:row>
    <x:row r="68" ht="19" customHeight="1">
      <x:c r="A68" s="2"/>
      <x:c r="B68" s="2"/>
      <x:c r="C68" s="2" t="str">
        <x:v>Assumptions!H17</x:v>
      </x:c>
      <x:c r="D68" s="2"/>
      <x:c r="E68" s="3" t="n">
        <x:v>131.8</x:v>
      </x:c>
      <x:c r="F68" s="50" t="n">
        <x:f>IF(ISBLANK('Assumptions'!H17),"__BLANK__",'Assumptions'!H17)</x:f>
        <x:v>131.8</x:v>
      </x:c>
      <x:c r="G68" s="50" t="n">
        <x:f>IF(ISBLANK(E68),IF(F68="__BLANK__",0,1),IF(E68=F68,0,1))</x:f>
        <x:v>0</x:v>
      </x:c>
      <x:c r="H68" s="3"/>
      <x:c r="I68" s="3"/>
      <x:c r="J68" s="3"/>
      <x:c r="K68" s="3"/>
      <x:c r="L68" s="3"/>
      <x:c r="M68" s="3"/>
    </x:row>
    <x:row r="69" ht="19" customHeight="1">
      <x:c r="A69" s="2"/>
      <x:c r="B69" s="2"/>
      <x:c r="C69" s="2" t="str">
        <x:v>Assumptions!H18</x:v>
      </x:c>
      <x:c r="D69" s="2"/>
      <x:c r="E69" s="3" t="n">
        <x:v>131.8</x:v>
      </x:c>
      <x:c r="F69" s="50" t="n">
        <x:f>IF(ISBLANK('Assumptions'!H18),"__BLANK__",'Assumptions'!H18)</x:f>
        <x:v>131.8</x:v>
      </x:c>
      <x:c r="G69" s="50" t="n">
        <x:f>IF(ISBLANK(E69),IF(F69="__BLANK__",0,1),IF(E69=F69,0,1))</x:f>
        <x:v>0</x:v>
      </x:c>
      <x:c r="H69" s="3"/>
      <x:c r="I69" s="3"/>
      <x:c r="J69" s="3"/>
      <x:c r="K69" s="3"/>
      <x:c r="L69" s="3"/>
      <x:c r="M69" s="3"/>
    </x:row>
    <x:row r="70" ht="19" customHeight="1">
      <x:c r="A70" s="2"/>
      <x:c r="B70" s="2"/>
      <x:c r="C70" s="2" t="str">
        <x:v>Assumptions!H19</x:v>
      </x:c>
      <x:c r="D70" s="2"/>
      <x:c r="E70" s="3" t="n">
        <x:v>132.7</x:v>
      </x:c>
      <x:c r="F70" s="50" t="n">
        <x:f>IF(ISBLANK('Assumptions'!H19),"__BLANK__",'Assumptions'!H19)</x:f>
        <x:v>132.7</x:v>
      </x:c>
      <x:c r="G70" s="50" t="n">
        <x:f>IF(ISBLANK(E70),IF(F70="__BLANK__",0,1),IF(E70=F70,0,1))</x:f>
        <x:v>0</x:v>
      </x:c>
      <x:c r="H70" s="3"/>
      <x:c r="I70" s="3"/>
      <x:c r="J70" s="3"/>
      <x:c r="K70" s="3"/>
      <x:c r="L70" s="3"/>
      <x:c r="M70" s="3"/>
    </x:row>
    <x:row r="71" ht="19" customHeight="1">
      <x:c r="A71" s="2"/>
      <x:c r="B71" s="2"/>
      <x:c r="C71" s="2" t="str">
        <x:v>Assumptions!I11</x:v>
      </x:c>
      <x:c r="D71" s="2"/>
      <x:c r="E71" s="3"/>
      <x:c r="F71" s="50" t="str">
        <x:f>IF(ISBLANK('Assumptions'!I11),"__BLANK__",'Assumptions'!I11)</x:f>
        <x:v>__BLANK__</x:v>
      </x:c>
      <x:c r="G71" s="50" t="n">
        <x:f>IF(ISBLANK(E71),IF(F71="__BLANK__",0,1),IF(E71=F71,0,1))</x:f>
        <x:v>0</x:v>
      </x:c>
      <x:c r="H71" s="3"/>
      <x:c r="I71" s="3"/>
      <x:c r="J71" s="3"/>
      <x:c r="K71" s="3"/>
      <x:c r="L71" s="3"/>
      <x:c r="M71" s="3"/>
    </x:row>
    <x:row r="72" ht="19" customHeight="1">
      <x:c r="A72" s="2"/>
      <x:c r="B72" s="2"/>
      <x:c r="C72" s="2" t="str">
        <x:v>Assumptions!I12</x:v>
      </x:c>
      <x:c r="D72" s="2"/>
      <x:c r="E72" s="3"/>
      <x:c r="F72" s="50" t="str">
        <x:f>IF(ISBLANK('Assumptions'!I12),"__BLANK__",'Assumptions'!I12)</x:f>
        <x:v>__BLANK__</x:v>
      </x:c>
      <x:c r="G72" s="50" t="n">
        <x:f>IF(ISBLANK(E72),IF(F72="__BLANK__",0,1),IF(E72=F72,0,1))</x:f>
        <x:v>0</x:v>
      </x:c>
      <x:c r="H72" s="3"/>
      <x:c r="I72" s="3"/>
      <x:c r="J72" s="3"/>
      <x:c r="K72" s="3"/>
      <x:c r="L72" s="3"/>
      <x:c r="M72" s="3"/>
    </x:row>
    <x:row r="73" ht="19" customHeight="1">
      <x:c r="A73" s="2"/>
      <x:c r="B73" s="2"/>
      <x:c r="C73" s="2" t="str">
        <x:v>Assumptions!I13</x:v>
      </x:c>
      <x:c r="D73" s="2"/>
      <x:c r="E73" s="3"/>
      <x:c r="F73" s="50" t="str">
        <x:f>IF(ISBLANK('Assumptions'!I13),"__BLANK__",'Assumptions'!I13)</x:f>
        <x:v>__BLANK__</x:v>
      </x:c>
      <x:c r="G73" s="50" t="n">
        <x:f>IF(ISBLANK(E73),IF(F73="__BLANK__",0,1),IF(E73=F73,0,1))</x:f>
        <x:v>0</x:v>
      </x:c>
      <x:c r="H73" s="3"/>
      <x:c r="I73" s="3"/>
      <x:c r="J73" s="3"/>
      <x:c r="K73" s="3"/>
      <x:c r="L73" s="3"/>
      <x:c r="M73" s="3"/>
    </x:row>
    <x:row r="74" ht="19" customHeight="1">
      <x:c r="A74" s="2"/>
      <x:c r="B74" s="2"/>
      <x:c r="C74" s="2" t="str">
        <x:v>Assumptions!I14</x:v>
      </x:c>
      <x:c r="D74" s="2"/>
      <x:c r="E74" s="3"/>
      <x:c r="F74" s="50" t="str">
        <x:f>IF(ISBLANK('Assumptions'!I14),"__BLANK__",'Assumptions'!I14)</x:f>
        <x:v>__BLANK__</x:v>
      </x:c>
      <x:c r="G74" s="50" t="n">
        <x:f>IF(ISBLANK(E74),IF(F74="__BLANK__",0,1),IF(E74=F74,0,1))</x:f>
        <x:v>0</x:v>
      </x:c>
      <x:c r="H74" s="3"/>
      <x:c r="I74" s="3"/>
      <x:c r="J74" s="3"/>
      <x:c r="K74" s="3"/>
      <x:c r="L74" s="3"/>
      <x:c r="M74" s="3"/>
    </x:row>
    <x:row r="75" ht="19" customHeight="1">
      <x:c r="A75" s="2"/>
      <x:c r="B75" s="2"/>
      <x:c r="C75" s="2" t="str">
        <x:v>Assumptions!I15</x:v>
      </x:c>
      <x:c r="D75" s="2"/>
      <x:c r="E75" s="3"/>
      <x:c r="F75" s="50" t="str">
        <x:f>IF(ISBLANK('Assumptions'!I15),"__BLANK__",'Assumptions'!I15)</x:f>
        <x:v>__BLANK__</x:v>
      </x:c>
      <x:c r="G75" s="50" t="n">
        <x:f>IF(ISBLANK(E75),IF(F75="__BLANK__",0,1),IF(E75=F75,0,1))</x:f>
        <x:v>0</x:v>
      </x:c>
      <x:c r="H75" s="3"/>
      <x:c r="I75" s="3"/>
      <x:c r="J75" s="3"/>
      <x:c r="K75" s="3"/>
      <x:c r="L75" s="3"/>
      <x:c r="M75" s="3"/>
    </x:row>
    <x:row r="76" ht="19" customHeight="1">
      <x:c r="A76" s="2"/>
      <x:c r="B76" s="2"/>
      <x:c r="C76" s="2" t="str">
        <x:v>Assumptions!I16</x:v>
      </x:c>
      <x:c r="D76" s="2"/>
      <x:c r="E76" s="3"/>
      <x:c r="F76" s="50" t="str">
        <x:f>IF(ISBLANK('Assumptions'!I16),"__BLANK__",'Assumptions'!I16)</x:f>
        <x:v>__BLANK__</x:v>
      </x:c>
      <x:c r="G76" s="50" t="n">
        <x:f>IF(ISBLANK(E76),IF(F76="__BLANK__",0,1),IF(E76=F76,0,1))</x:f>
        <x:v>0</x:v>
      </x:c>
      <x:c r="H76" s="3"/>
      <x:c r="I76" s="3"/>
      <x:c r="J76" s="3"/>
      <x:c r="K76" s="3"/>
      <x:c r="L76" s="3"/>
      <x:c r="M76" s="3"/>
    </x:row>
    <x:row r="77" ht="19" customHeight="1">
      <x:c r="A77" s="2"/>
      <x:c r="B77" s="2"/>
      <x:c r="C77" s="2" t="str">
        <x:v>Assumptions!I17</x:v>
      </x:c>
      <x:c r="D77" s="2"/>
      <x:c r="E77" s="3"/>
      <x:c r="F77" s="50" t="str">
        <x:f>IF(ISBLANK('Assumptions'!I17),"__BLANK__",'Assumptions'!I17)</x:f>
        <x:v>__BLANK__</x:v>
      </x:c>
      <x:c r="G77" s="50" t="n">
        <x:f>IF(ISBLANK(E77),IF(F77="__BLANK__",0,1),IF(E77=F77,0,1))</x:f>
        <x:v>0</x:v>
      </x:c>
      <x:c r="H77" s="3"/>
      <x:c r="I77" s="3"/>
      <x:c r="J77" s="3"/>
      <x:c r="K77" s="3"/>
      <x:c r="L77" s="3"/>
      <x:c r="M77" s="3"/>
    </x:row>
    <x:row r="78" ht="19" customHeight="1">
      <x:c r="A78" s="2"/>
      <x:c r="B78" s="2"/>
      <x:c r="C78" s="2" t="str">
        <x:v>Assumptions!I18</x:v>
      </x:c>
      <x:c r="D78" s="2"/>
      <x:c r="E78" s="3"/>
      <x:c r="F78" s="50" t="str">
        <x:f>IF(ISBLANK('Assumptions'!I18),"__BLANK__",'Assumptions'!I18)</x:f>
        <x:v>__BLANK__</x:v>
      </x:c>
      <x:c r="G78" s="50" t="n">
        <x:f>IF(ISBLANK(E78),IF(F78="__BLANK__",0,1),IF(E78=F78,0,1))</x:f>
        <x:v>0</x:v>
      </x:c>
      <x:c r="H78" s="3"/>
      <x:c r="I78" s="3"/>
      <x:c r="J78" s="3"/>
      <x:c r="K78" s="3"/>
      <x:c r="L78" s="3"/>
      <x:c r="M78" s="3"/>
    </x:row>
    <x:row r="79" ht="19" customHeight="1">
      <x:c r="A79" s="2"/>
      <x:c r="B79" s="2"/>
      <x:c r="C79" s="2" t="str">
        <x:v>Assumptions!I19</x:v>
      </x:c>
      <x:c r="D79" s="2"/>
      <x:c r="E79" s="3"/>
      <x:c r="F79" s="50" t="str">
        <x:f>IF(ISBLANK('Assumptions'!I19),"__BLANK__",'Assumptions'!I19)</x:f>
        <x:v>__BLANK__</x:v>
      </x:c>
      <x:c r="G79" s="50" t="n">
        <x:f>IF(ISBLANK(E79),IF(F79="__BLANK__",0,1),IF(E79=F79,0,1))</x:f>
        <x:v>0</x:v>
      </x:c>
      <x:c r="H79" s="3"/>
      <x:c r="I79" s="3"/>
      <x:c r="J79" s="3"/>
      <x:c r="K79" s="3"/>
      <x:c r="L79" s="3"/>
      <x:c r="M79" s="3"/>
    </x:row>
    <x:row r="80" ht="19" customHeight="1">
      <x:c r="A80" s="2"/>
      <x:c r="B80" s="2"/>
      <x:c r="C80" s="2" t="str">
        <x:v>Assumptions!J11</x:v>
      </x:c>
      <x:c r="D80" s="2"/>
      <x:c r="E80" s="3"/>
      <x:c r="F80" s="50" t="str">
        <x:f>IF(ISBLANK('Assumptions'!J11),"__BLANK__",'Assumptions'!J11)</x:f>
        <x:v>__BLANK__</x:v>
      </x:c>
      <x:c r="G80" s="50" t="n">
        <x:f>IF(ISBLANK(E80),IF(F80="__BLANK__",0,1),IF(E80=F80,0,1))</x:f>
        <x:v>0</x:v>
      </x:c>
      <x:c r="H80" s="3"/>
      <x:c r="I80" s="3"/>
      <x:c r="J80" s="3"/>
      <x:c r="K80" s="3"/>
      <x:c r="L80" s="3"/>
      <x:c r="M80" s="3"/>
    </x:row>
    <x:row r="81" ht="19" customHeight="1">
      <x:c r="A81" s="2"/>
      <x:c r="B81" s="2"/>
      <x:c r="C81" s="2" t="str">
        <x:v>Assumptions!J12</x:v>
      </x:c>
      <x:c r="D81" s="2"/>
      <x:c r="E81" s="3"/>
      <x:c r="F81" s="50" t="str">
        <x:f>IF(ISBLANK('Assumptions'!J12),"__BLANK__",'Assumptions'!J12)</x:f>
        <x:v>__BLANK__</x:v>
      </x:c>
      <x:c r="G81" s="50" t="n">
        <x:f>IF(ISBLANK(E81),IF(F81="__BLANK__",0,1),IF(E81=F81,0,1))</x:f>
        <x:v>0</x:v>
      </x:c>
      <x:c r="H81" s="3"/>
      <x:c r="I81" s="3"/>
      <x:c r="J81" s="3"/>
      <x:c r="K81" s="3"/>
      <x:c r="L81" s="3"/>
      <x:c r="M81" s="3"/>
    </x:row>
    <x:row r="82" ht="19" customHeight="1">
      <x:c r="A82" s="2"/>
      <x:c r="B82" s="2"/>
      <x:c r="C82" s="2" t="str">
        <x:v>Assumptions!J13</x:v>
      </x:c>
      <x:c r="D82" s="2"/>
      <x:c r="E82" s="3"/>
      <x:c r="F82" s="50" t="str">
        <x:f>IF(ISBLANK('Assumptions'!J13),"__BLANK__",'Assumptions'!J13)</x:f>
        <x:v>__BLANK__</x:v>
      </x:c>
      <x:c r="G82" s="50" t="n">
        <x:f>IF(ISBLANK(E82),IF(F82="__BLANK__",0,1),IF(E82=F82,0,1))</x:f>
        <x:v>0</x:v>
      </x:c>
      <x:c r="H82" s="3"/>
      <x:c r="I82" s="3"/>
      <x:c r="J82" s="3"/>
      <x:c r="K82" s="3"/>
      <x:c r="L82" s="3"/>
      <x:c r="M82" s="3"/>
    </x:row>
    <x:row r="83" ht="19" customHeight="1">
      <x:c r="A83" s="2"/>
      <x:c r="B83" s="2"/>
      <x:c r="C83" s="2" t="str">
        <x:v>Assumptions!J14</x:v>
      </x:c>
      <x:c r="D83" s="2"/>
      <x:c r="E83" s="3"/>
      <x:c r="F83" s="50" t="str">
        <x:f>IF(ISBLANK('Assumptions'!J14),"__BLANK__",'Assumptions'!J14)</x:f>
        <x:v>__BLANK__</x:v>
      </x:c>
      <x:c r="G83" s="50" t="n">
        <x:f>IF(ISBLANK(E83),IF(F83="__BLANK__",0,1),IF(E83=F83,0,1))</x:f>
        <x:v>0</x:v>
      </x:c>
      <x:c r="H83" s="3"/>
      <x:c r="I83" s="3"/>
      <x:c r="J83" s="3"/>
      <x:c r="K83" s="3"/>
      <x:c r="L83" s="3"/>
      <x:c r="M83" s="3"/>
    </x:row>
    <x:row r="84" ht="19" customHeight="1">
      <x:c r="A84" s="2"/>
      <x:c r="B84" s="2"/>
      <x:c r="C84" s="2" t="str">
        <x:v>Assumptions!J15</x:v>
      </x:c>
      <x:c r="D84" s="2"/>
      <x:c r="E84" s="3"/>
      <x:c r="F84" s="50" t="str">
        <x:f>IF(ISBLANK('Assumptions'!J15),"__BLANK__",'Assumptions'!J15)</x:f>
        <x:v>__BLANK__</x:v>
      </x:c>
      <x:c r="G84" s="50" t="n">
        <x:f>IF(ISBLANK(E84),IF(F84="__BLANK__",0,1),IF(E84=F84,0,1))</x:f>
        <x:v>0</x:v>
      </x:c>
      <x:c r="H84" s="3"/>
      <x:c r="I84" s="3"/>
      <x:c r="J84" s="3"/>
      <x:c r="K84" s="3"/>
      <x:c r="L84" s="3"/>
      <x:c r="M84" s="3"/>
    </x:row>
    <x:row r="85" ht="19" customHeight="1">
      <x:c r="A85" s="2"/>
      <x:c r="B85" s="2"/>
      <x:c r="C85" s="2" t="str">
        <x:v>Assumptions!J16</x:v>
      </x:c>
      <x:c r="D85" s="2"/>
      <x:c r="E85" s="3"/>
      <x:c r="F85" s="50" t="str">
        <x:f>IF(ISBLANK('Assumptions'!J16),"__BLANK__",'Assumptions'!J16)</x:f>
        <x:v>__BLANK__</x:v>
      </x:c>
      <x:c r="G85" s="50" t="n">
        <x:f>IF(ISBLANK(E85),IF(F85="__BLANK__",0,1),IF(E85=F85,0,1))</x:f>
        <x:v>0</x:v>
      </x:c>
      <x:c r="H85" s="3"/>
      <x:c r="I85" s="3"/>
      <x:c r="J85" s="3"/>
      <x:c r="K85" s="3"/>
      <x:c r="L85" s="3"/>
      <x:c r="M85" s="3"/>
    </x:row>
    <x:row r="86" ht="19" customHeight="1">
      <x:c r="A86" s="2"/>
      <x:c r="B86" s="2"/>
      <x:c r="C86" s="2" t="str">
        <x:v>Assumptions!J17</x:v>
      </x:c>
      <x:c r="D86" s="2"/>
      <x:c r="E86" s="3"/>
      <x:c r="F86" s="50" t="str">
        <x:f>IF(ISBLANK('Assumptions'!J17),"__BLANK__",'Assumptions'!J17)</x:f>
        <x:v>__BLANK__</x:v>
      </x:c>
      <x:c r="G86" s="50" t="n">
        <x:f>IF(ISBLANK(E86),IF(F86="__BLANK__",0,1),IF(E86=F86,0,1))</x:f>
        <x:v>0</x:v>
      </x:c>
      <x:c r="H86" s="3"/>
      <x:c r="I86" s="3"/>
      <x:c r="J86" s="3"/>
      <x:c r="K86" s="3"/>
      <x:c r="L86" s="3"/>
      <x:c r="M86" s="3"/>
    </x:row>
    <x:row r="87" ht="19" customHeight="1">
      <x:c r="A87" s="2"/>
      <x:c r="B87" s="2"/>
      <x:c r="C87" s="2" t="str">
        <x:v>Assumptions!J18</x:v>
      </x:c>
      <x:c r="D87" s="2"/>
      <x:c r="E87" s="3"/>
      <x:c r="F87" s="50" t="str">
        <x:f>IF(ISBLANK('Assumptions'!J18),"__BLANK__",'Assumptions'!J18)</x:f>
        <x:v>__BLANK__</x:v>
      </x:c>
      <x:c r="G87" s="50" t="n">
        <x:f>IF(ISBLANK(E87),IF(F87="__BLANK__",0,1),IF(E87=F87,0,1))</x:f>
        <x:v>0</x:v>
      </x:c>
      <x:c r="H87" s="3"/>
      <x:c r="I87" s="3"/>
      <x:c r="J87" s="3"/>
      <x:c r="K87" s="3"/>
      <x:c r="L87" s="3"/>
      <x:c r="M87" s="3"/>
    </x:row>
    <x:row r="88" ht="19" customHeight="1">
      <x:c r="A88" s="2"/>
      <x:c r="B88" s="2"/>
      <x:c r="C88" s="2" t="str">
        <x:v>Assumptions!J19</x:v>
      </x:c>
      <x:c r="D88" s="2"/>
      <x:c r="E88" s="3"/>
      <x:c r="F88" s="50" t="str">
        <x:f>IF(ISBLANK('Assumptions'!J19),"__BLANK__",'Assumptions'!J19)</x:f>
        <x:v>__BLANK__</x:v>
      </x:c>
      <x:c r="G88" s="50" t="n">
        <x:f>IF(ISBLANK(E88),IF(F88="__BLANK__",0,1),IF(E88=F88,0,1))</x:f>
        <x:v>0</x:v>
      </x:c>
      <x:c r="H88" s="3"/>
      <x:c r="I88" s="3"/>
      <x:c r="J88" s="3"/>
      <x:c r="K88" s="3"/>
      <x:c r="L88" s="3"/>
      <x:c r="M88" s="3"/>
    </x:row>
    <x:row r="89" ht="19" customHeight="1">
      <x:c r="A89" s="2"/>
      <x:c r="B89" s="2"/>
      <x:c r="C89" s="2" t="str">
        <x:v>Assumptions!K11</x:v>
      </x:c>
      <x:c r="D89" s="2"/>
      <x:c r="E89" s="3"/>
      <x:c r="F89" s="50" t="str">
        <x:f>IF(ISBLANK('Assumptions'!K11),"__BLANK__",'Assumptions'!K11)</x:f>
        <x:v>__BLANK__</x:v>
      </x:c>
      <x:c r="G89" s="50" t="n">
        <x:f>IF(ISBLANK(E89),IF(F89="__BLANK__",0,1),IF(E89=F89,0,1))</x:f>
        <x:v>0</x:v>
      </x:c>
      <x:c r="H89" s="3"/>
      <x:c r="I89" s="3"/>
      <x:c r="J89" s="3"/>
      <x:c r="K89" s="3"/>
      <x:c r="L89" s="3"/>
      <x:c r="M89" s="3"/>
    </x:row>
    <x:row r="90" ht="19" customHeight="1">
      <x:c r="A90" s="2"/>
      <x:c r="B90" s="2"/>
      <x:c r="C90" s="2" t="str">
        <x:v>Assumptions!K12</x:v>
      </x:c>
      <x:c r="D90" s="2"/>
      <x:c r="E90" s="3"/>
      <x:c r="F90" s="50" t="str">
        <x:f>IF(ISBLANK('Assumptions'!K12),"__BLANK__",'Assumptions'!K12)</x:f>
        <x:v>__BLANK__</x:v>
      </x:c>
      <x:c r="G90" s="50" t="n">
        <x:f>IF(ISBLANK(E90),IF(F90="__BLANK__",0,1),IF(E90=F90,0,1))</x:f>
        <x:v>0</x:v>
      </x:c>
      <x:c r="H90" s="3"/>
      <x:c r="I90" s="3"/>
      <x:c r="J90" s="3"/>
      <x:c r="K90" s="3"/>
      <x:c r="L90" s="3"/>
      <x:c r="M90" s="3"/>
    </x:row>
    <x:row r="91" ht="19" customHeight="1">
      <x:c r="A91" s="2"/>
      <x:c r="B91" s="2"/>
      <x:c r="C91" s="2" t="str">
        <x:v>Assumptions!K13</x:v>
      </x:c>
      <x:c r="D91" s="2"/>
      <x:c r="E91" s="3"/>
      <x:c r="F91" s="50" t="str">
        <x:f>IF(ISBLANK('Assumptions'!K13),"__BLANK__",'Assumptions'!K13)</x:f>
        <x:v>__BLANK__</x:v>
      </x:c>
      <x:c r="G91" s="50" t="n">
        <x:f>IF(ISBLANK(E91),IF(F91="__BLANK__",0,1),IF(E91=F91,0,1))</x:f>
        <x:v>0</x:v>
      </x:c>
      <x:c r="H91" s="3"/>
      <x:c r="I91" s="3"/>
      <x:c r="J91" s="3"/>
      <x:c r="K91" s="3"/>
      <x:c r="L91" s="3"/>
      <x:c r="M91" s="3"/>
    </x:row>
    <x:row r="92" ht="19" customHeight="1">
      <x:c r="A92" s="2"/>
      <x:c r="B92" s="2"/>
      <x:c r="C92" s="2" t="str">
        <x:v>Assumptions!K14</x:v>
      </x:c>
      <x:c r="D92" s="2"/>
      <x:c r="E92" s="3"/>
      <x:c r="F92" s="50" t="str">
        <x:f>IF(ISBLANK('Assumptions'!K14),"__BLANK__",'Assumptions'!K14)</x:f>
        <x:v>__BLANK__</x:v>
      </x:c>
      <x:c r="G92" s="50" t="n">
        <x:f>IF(ISBLANK(E92),IF(F92="__BLANK__",0,1),IF(E92=F92,0,1))</x:f>
        <x:v>0</x:v>
      </x:c>
      <x:c r="H92" s="3"/>
      <x:c r="I92" s="3"/>
      <x:c r="J92" s="3"/>
      <x:c r="K92" s="3"/>
      <x:c r="L92" s="3"/>
      <x:c r="M92" s="3"/>
    </x:row>
    <x:row r="93" ht="19" customHeight="1">
      <x:c r="A93" s="2"/>
      <x:c r="B93" s="2"/>
      <x:c r="C93" s="2" t="str">
        <x:v>Assumptions!K15</x:v>
      </x:c>
      <x:c r="D93" s="2"/>
      <x:c r="E93" s="3"/>
      <x:c r="F93" s="50" t="str">
        <x:f>IF(ISBLANK('Assumptions'!K15),"__BLANK__",'Assumptions'!K15)</x:f>
        <x:v>__BLANK__</x:v>
      </x:c>
      <x:c r="G93" s="50" t="n">
        <x:f>IF(ISBLANK(E93),IF(F93="__BLANK__",0,1),IF(E93=F93,0,1))</x:f>
        <x:v>0</x:v>
      </x:c>
      <x:c r="H93" s="3"/>
      <x:c r="I93" s="3"/>
      <x:c r="J93" s="3"/>
      <x:c r="K93" s="3"/>
      <x:c r="L93" s="3"/>
      <x:c r="M93" s="3"/>
    </x:row>
    <x:row r="94" ht="19" customHeight="1">
      <x:c r="A94" s="2"/>
      <x:c r="B94" s="2"/>
      <x:c r="C94" s="2" t="str">
        <x:v>Assumptions!K16</x:v>
      </x:c>
      <x:c r="D94" s="2"/>
      <x:c r="E94" s="3"/>
      <x:c r="F94" s="50" t="str">
        <x:f>IF(ISBLANK('Assumptions'!K16),"__BLANK__",'Assumptions'!K16)</x:f>
        <x:v>__BLANK__</x:v>
      </x:c>
      <x:c r="G94" s="50" t="n">
        <x:f>IF(ISBLANK(E94),IF(F94="__BLANK__",0,1),IF(E94=F94,0,1))</x:f>
        <x:v>0</x:v>
      </x:c>
      <x:c r="H94" s="3"/>
      <x:c r="I94" s="3"/>
      <x:c r="J94" s="3"/>
      <x:c r="K94" s="3"/>
      <x:c r="L94" s="3"/>
      <x:c r="M94" s="3"/>
    </x:row>
    <x:row r="95" ht="19" customHeight="1">
      <x:c r="A95" s="2"/>
      <x:c r="B95" s="2"/>
      <x:c r="C95" s="2" t="str">
        <x:v>Assumptions!K17</x:v>
      </x:c>
      <x:c r="D95" s="2"/>
      <x:c r="E95" s="3"/>
      <x:c r="F95" s="50" t="str">
        <x:f>IF(ISBLANK('Assumptions'!K17),"__BLANK__",'Assumptions'!K17)</x:f>
        <x:v>__BLANK__</x:v>
      </x:c>
      <x:c r="G95" s="50" t="n">
        <x:f>IF(ISBLANK(E95),IF(F95="__BLANK__",0,1),IF(E95=F95,0,1))</x:f>
        <x:v>0</x:v>
      </x:c>
      <x:c r="H95" s="3"/>
      <x:c r="I95" s="3"/>
      <x:c r="J95" s="3"/>
      <x:c r="K95" s="3"/>
      <x:c r="L95" s="3"/>
      <x:c r="M95" s="3"/>
    </x:row>
    <x:row r="96" ht="19" customHeight="1">
      <x:c r="A96" s="2"/>
      <x:c r="B96" s="2"/>
      <x:c r="C96" s="2" t="str">
        <x:v>Assumptions!K18</x:v>
      </x:c>
      <x:c r="D96" s="2"/>
      <x:c r="E96" s="3"/>
      <x:c r="F96" s="50" t="str">
        <x:f>IF(ISBLANK('Assumptions'!K18),"__BLANK__",'Assumptions'!K18)</x:f>
        <x:v>__BLANK__</x:v>
      </x:c>
      <x:c r="G96" s="50" t="n">
        <x:f>IF(ISBLANK(E96),IF(F96="__BLANK__",0,1),IF(E96=F96,0,1))</x:f>
        <x:v>0</x:v>
      </x:c>
      <x:c r="H96" s="3"/>
      <x:c r="I96" s="3"/>
      <x:c r="J96" s="3"/>
      <x:c r="K96" s="3"/>
      <x:c r="L96" s="3"/>
      <x:c r="M96" s="3"/>
    </x:row>
    <x:row r="97" ht="19" customHeight="1">
      <x:c r="A97" s="2"/>
      <x:c r="B97" s="2"/>
      <x:c r="C97" s="2" t="str">
        <x:v>Assumptions!K19</x:v>
      </x:c>
      <x:c r="D97" s="2"/>
      <x:c r="E97" s="3"/>
      <x:c r="F97" s="50" t="str">
        <x:f>IF(ISBLANK('Assumptions'!K19),"__BLANK__",'Assumptions'!K19)</x:f>
        <x:v>__BLANK__</x:v>
      </x:c>
      <x:c r="G97" s="50" t="n">
        <x:f>IF(ISBLANK(E97),IF(F97="__BLANK__",0,1),IF(E97=F97,0,1))</x:f>
        <x:v>0</x:v>
      </x:c>
      <x:c r="H97" s="3"/>
      <x:c r="I97" s="3"/>
      <x:c r="J97" s="3"/>
      <x:c r="K97" s="3"/>
      <x:c r="L97" s="3"/>
      <x:c r="M97" s="3"/>
    </x:row>
    <x:row r="98" ht="19" customHeight="1">
      <x:c r="A98" s="2"/>
      <x:c r="B98" s="2"/>
      <x:c r="C98" s="2" t="str">
        <x:v>Assumptions!L11</x:v>
      </x:c>
      <x:c r="D98" s="2"/>
      <x:c r="E98" s="3"/>
      <x:c r="F98" s="50" t="str">
        <x:f>IF(ISBLANK('Assumptions'!L11),"__BLANK__",'Assumptions'!L11)</x:f>
        <x:v>__BLANK__</x:v>
      </x:c>
      <x:c r="G98" s="50" t="n">
        <x:f>IF(ISBLANK(E98),IF(F98="__BLANK__",0,1),IF(E98=F98,0,1))</x:f>
        <x:v>0</x:v>
      </x:c>
      <x:c r="H98" s="3"/>
      <x:c r="I98" s="3"/>
      <x:c r="J98" s="3"/>
      <x:c r="K98" s="3"/>
      <x:c r="L98" s="3"/>
      <x:c r="M98" s="3"/>
    </x:row>
    <x:row r="99" ht="19" customHeight="1">
      <x:c r="A99" s="2"/>
      <x:c r="B99" s="2"/>
      <x:c r="C99" s="2" t="str">
        <x:v>Assumptions!L12</x:v>
      </x:c>
      <x:c r="D99" s="2"/>
      <x:c r="E99" s="3"/>
      <x:c r="F99" s="50" t="str">
        <x:f>IF(ISBLANK('Assumptions'!L12),"__BLANK__",'Assumptions'!L12)</x:f>
        <x:v>__BLANK__</x:v>
      </x:c>
      <x:c r="G99" s="50" t="n">
        <x:f>IF(ISBLANK(E99),IF(F99="__BLANK__",0,1),IF(E99=F99,0,1))</x:f>
        <x:v>0</x:v>
      </x:c>
      <x:c r="H99" s="3"/>
      <x:c r="I99" s="3"/>
      <x:c r="J99" s="3"/>
      <x:c r="K99" s="3"/>
      <x:c r="L99" s="3"/>
      <x:c r="M99" s="3"/>
    </x:row>
    <x:row r="100" ht="19" customHeight="1">
      <x:c r="A100" s="2"/>
      <x:c r="B100" s="2"/>
      <x:c r="C100" s="2" t="str">
        <x:v>Assumptions!L13</x:v>
      </x:c>
      <x:c r="D100" s="2"/>
      <x:c r="E100" s="3"/>
      <x:c r="F100" s="50" t="str">
        <x:f>IF(ISBLANK('Assumptions'!L13),"__BLANK__",'Assumptions'!L13)</x:f>
        <x:v>__BLANK__</x:v>
      </x:c>
      <x:c r="G100" s="50" t="n">
        <x:f>IF(ISBLANK(E100),IF(F100="__BLANK__",0,1),IF(E100=F100,0,1))</x:f>
        <x:v>0</x:v>
      </x:c>
      <x:c r="H100" s="3"/>
      <x:c r="I100" s="3"/>
      <x:c r="J100" s="3"/>
      <x:c r="K100" s="3"/>
      <x:c r="L100" s="3"/>
      <x:c r="M100" s="3"/>
    </x:row>
    <x:row r="101" ht="19" customHeight="1">
      <x:c r="A101" s="2"/>
      <x:c r="B101" s="2"/>
      <x:c r="C101" s="2" t="str">
        <x:v>Assumptions!L14</x:v>
      </x:c>
      <x:c r="D101" s="2"/>
      <x:c r="E101" s="3"/>
      <x:c r="F101" s="50" t="str">
        <x:f>IF(ISBLANK('Assumptions'!L14),"__BLANK__",'Assumptions'!L14)</x:f>
        <x:v>__BLANK__</x:v>
      </x:c>
      <x:c r="G101" s="50" t="n">
        <x:f>IF(ISBLANK(E101),IF(F101="__BLANK__",0,1),IF(E101=F101,0,1))</x:f>
        <x:v>0</x:v>
      </x:c>
      <x:c r="H101" s="3"/>
      <x:c r="I101" s="3"/>
      <x:c r="J101" s="3"/>
      <x:c r="K101" s="3"/>
      <x:c r="L101" s="3"/>
      <x:c r="M101" s="3"/>
    </x:row>
    <x:row r="102" ht="19" customHeight="1">
      <x:c r="A102" s="2"/>
      <x:c r="B102" s="2"/>
      <x:c r="C102" s="2" t="str">
        <x:v>Assumptions!L15</x:v>
      </x:c>
      <x:c r="D102" s="2"/>
      <x:c r="E102" s="3"/>
      <x:c r="F102" s="50" t="str">
        <x:f>IF(ISBLANK('Assumptions'!L15),"__BLANK__",'Assumptions'!L15)</x:f>
        <x:v>__BLANK__</x:v>
      </x:c>
      <x:c r="G102" s="50" t="n">
        <x:f>IF(ISBLANK(E102),IF(F102="__BLANK__",0,1),IF(E102=F102,0,1))</x:f>
        <x:v>0</x:v>
      </x:c>
      <x:c r="H102" s="3"/>
      <x:c r="I102" s="3"/>
      <x:c r="J102" s="3"/>
      <x:c r="K102" s="3"/>
      <x:c r="L102" s="3"/>
      <x:c r="M102" s="3"/>
    </x:row>
    <x:row r="103" ht="19" customHeight="1">
      <x:c r="A103" s="2"/>
      <x:c r="B103" s="2"/>
      <x:c r="C103" s="2" t="str">
        <x:v>Assumptions!L16</x:v>
      </x:c>
      <x:c r="D103" s="2"/>
      <x:c r="E103" s="3"/>
      <x:c r="F103" s="50" t="str">
        <x:f>IF(ISBLANK('Assumptions'!L16),"__BLANK__",'Assumptions'!L16)</x:f>
        <x:v>__BLANK__</x:v>
      </x:c>
      <x:c r="G103" s="50" t="n">
        <x:f>IF(ISBLANK(E103),IF(F103="__BLANK__",0,1),IF(E103=F103,0,1))</x:f>
        <x:v>0</x:v>
      </x:c>
      <x:c r="H103" s="3"/>
      <x:c r="I103" s="3"/>
      <x:c r="J103" s="3"/>
      <x:c r="K103" s="3"/>
      <x:c r="L103" s="3"/>
      <x:c r="M103" s="3"/>
    </x:row>
    <x:row r="104" ht="19" customHeight="1">
      <x:c r="A104" s="2"/>
      <x:c r="B104" s="2"/>
      <x:c r="C104" s="2" t="str">
        <x:v>Assumptions!L17</x:v>
      </x:c>
      <x:c r="D104" s="2"/>
      <x:c r="E104" s="3"/>
      <x:c r="F104" s="50" t="str">
        <x:f>IF(ISBLANK('Assumptions'!L17),"__BLANK__",'Assumptions'!L17)</x:f>
        <x:v>__BLANK__</x:v>
      </x:c>
      <x:c r="G104" s="50" t="n">
        <x:f>IF(ISBLANK(E104),IF(F104="__BLANK__",0,1),IF(E104=F104,0,1))</x:f>
        <x:v>0</x:v>
      </x:c>
      <x:c r="H104" s="3"/>
      <x:c r="I104" s="3"/>
      <x:c r="J104" s="3"/>
      <x:c r="K104" s="3"/>
      <x:c r="L104" s="3"/>
      <x:c r="M104" s="3"/>
    </x:row>
    <x:row r="105" ht="19" customHeight="1">
      <x:c r="A105" s="2"/>
      <x:c r="B105" s="2"/>
      <x:c r="C105" s="2" t="str">
        <x:v>Assumptions!L18</x:v>
      </x:c>
      <x:c r="D105" s="2"/>
      <x:c r="E105" s="3"/>
      <x:c r="F105" s="50" t="str">
        <x:f>IF(ISBLANK('Assumptions'!L18),"__BLANK__",'Assumptions'!L18)</x:f>
        <x:v>__BLANK__</x:v>
      </x:c>
      <x:c r="G105" s="50" t="n">
        <x:f>IF(ISBLANK(E105),IF(F105="__BLANK__",0,1),IF(E105=F105,0,1))</x:f>
        <x:v>0</x:v>
      </x:c>
      <x:c r="H105" s="3"/>
      <x:c r="I105" s="3"/>
      <x:c r="J105" s="3"/>
      <x:c r="K105" s="3"/>
      <x:c r="L105" s="3"/>
      <x:c r="M105" s="3"/>
    </x:row>
    <x:row r="106" ht="19" customHeight="1">
      <x:c r="A106" s="2"/>
      <x:c r="B106" s="2"/>
      <x:c r="C106" s="2" t="str">
        <x:v>Assumptions!L19</x:v>
      </x:c>
      <x:c r="D106" s="2"/>
      <x:c r="E106" s="3"/>
      <x:c r="F106" s="50" t="str">
        <x:f>IF(ISBLANK('Assumptions'!L19),"__BLANK__",'Assumptions'!L19)</x:f>
        <x:v>__BLANK__</x:v>
      </x:c>
      <x:c r="G106" s="50" t="n">
        <x:f>IF(ISBLANK(E106),IF(F106="__BLANK__",0,1),IF(E106=F106,0,1))</x:f>
        <x:v>0</x:v>
      </x:c>
      <x:c r="H106" s="3"/>
      <x:c r="I106" s="3"/>
      <x:c r="J106" s="3"/>
      <x:c r="K106" s="3"/>
      <x:c r="L106" s="3"/>
      <x:c r="M106" s="3"/>
    </x:row>
    <x:row r="107" ht="19" customHeight="1">
      <x:c r="A107" s="2"/>
      <x:c r="B107" s="2"/>
      <x:c r="C107" s="2" t="str">
        <x:v>Assumptions!E21</x:v>
      </x:c>
      <x:c r="D107" s="2"/>
      <x:c r="E107" s="3"/>
      <x:c r="F107" s="50" t="str">
        <x:f>IF(ISBLANK('Assumptions'!E21),"__BLANK__",'Assumptions'!E21)</x:f>
        <x:v>__BLANK__</x:v>
      </x:c>
      <x:c r="G107" s="50" t="n">
        <x:f>IF(ISBLANK(E107),IF(F107="__BLANK__",0,1),IF(E107=F107,0,1))</x:f>
        <x:v>0</x:v>
      </x:c>
      <x:c r="H107" s="3"/>
      <x:c r="I107" s="3"/>
      <x:c r="J107" s="3"/>
      <x:c r="K107" s="3"/>
      <x:c r="L107" s="3"/>
      <x:c r="M107" s="3"/>
    </x:row>
    <x:row r="108" ht="19" customHeight="1">
      <x:c r="A108" s="2"/>
      <x:c r="B108" s="2"/>
      <x:c r="C108" s="2" t="str">
        <x:v>Assumptions!E22</x:v>
      </x:c>
      <x:c r="D108" s="2"/>
      <x:c r="E108" s="3"/>
      <x:c r="F108" s="50" t="str">
        <x:f>IF(ISBLANK('Assumptions'!E22),"__BLANK__",'Assumptions'!E22)</x:f>
        <x:v>__BLANK__</x:v>
      </x:c>
      <x:c r="G108" s="50" t="n">
        <x:f>IF(ISBLANK(E108),IF(F108="__BLANK__",0,1),IF(E108=F108,0,1))</x:f>
        <x:v>0</x:v>
      </x:c>
      <x:c r="H108" s="3"/>
      <x:c r="I108" s="3"/>
      <x:c r="J108" s="3"/>
      <x:c r="K108" s="3"/>
      <x:c r="L108" s="3"/>
      <x:c r="M108" s="3"/>
    </x:row>
    <x:row r="109" ht="19" customHeight="1">
      <x:c r="A109" s="2"/>
      <x:c r="B109" s="2"/>
      <x:c r="C109" s="2" t="str">
        <x:v>Assumptions!E23</x:v>
      </x:c>
      <x:c r="D109" s="2"/>
      <x:c r="E109" s="3"/>
      <x:c r="F109" s="50" t="str">
        <x:f>IF(ISBLANK('Assumptions'!E23),"__BLANK__",'Assumptions'!E23)</x:f>
        <x:v>__BLANK__</x:v>
      </x:c>
      <x:c r="G109" s="50" t="n">
        <x:f>IF(ISBLANK(E109),IF(F109="__BLANK__",0,1),IF(E109=F109,0,1))</x:f>
        <x:v>0</x:v>
      </x:c>
      <x:c r="H109" s="3"/>
      <x:c r="I109" s="3"/>
      <x:c r="J109" s="3"/>
      <x:c r="K109" s="3"/>
      <x:c r="L109" s="3"/>
      <x:c r="M109" s="3"/>
    </x:row>
    <x:row r="110" ht="19" customHeight="1">
      <x:c r="A110" s="2"/>
      <x:c r="B110" s="2"/>
      <x:c r="C110" s="2" t="str">
        <x:v>Assumptions!E24</x:v>
      </x:c>
      <x:c r="D110" s="2"/>
      <x:c r="E110" s="3"/>
      <x:c r="F110" s="50" t="str">
        <x:f>IF(ISBLANK('Assumptions'!E24),"__BLANK__",'Assumptions'!E24)</x:f>
        <x:v>__BLANK__</x:v>
      </x:c>
      <x:c r="G110" s="50" t="n">
        <x:f>IF(ISBLANK(E110),IF(F110="__BLANK__",0,1),IF(E110=F110,0,1))</x:f>
        <x:v>0</x:v>
      </x:c>
      <x:c r="H110" s="3"/>
      <x:c r="I110" s="3"/>
      <x:c r="J110" s="3"/>
      <x:c r="K110" s="3"/>
      <x:c r="L110" s="3"/>
      <x:c r="M110" s="3"/>
    </x:row>
    <x:row r="111" ht="19" customHeight="1">
      <x:c r="A111" s="2"/>
      <x:c r="B111" s="2"/>
      <x:c r="C111" s="2" t="str">
        <x:v>Assumptions!E25</x:v>
      </x:c>
      <x:c r="D111" s="2"/>
      <x:c r="E111" s="3"/>
      <x:c r="F111" s="50" t="str">
        <x:f>IF(ISBLANK('Assumptions'!E25),"__BLANK__",'Assumptions'!E25)</x:f>
        <x:v>__BLANK__</x:v>
      </x:c>
      <x:c r="G111" s="50" t="n">
        <x:f>IF(ISBLANK(E111),IF(F111="__BLANK__",0,1),IF(E111=F111,0,1))</x:f>
        <x:v>0</x:v>
      </x:c>
      <x:c r="H111" s="3"/>
      <x:c r="I111" s="3"/>
      <x:c r="J111" s="3"/>
      <x:c r="K111" s="3"/>
      <x:c r="L111" s="3"/>
      <x:c r="M111" s="3"/>
    </x:row>
    <x:row r="112" ht="19" customHeight="1">
      <x:c r="A112" s="2"/>
      <x:c r="B112" s="2"/>
      <x:c r="C112" s="2" t="str">
        <x:v>Assumptions!E26</x:v>
      </x:c>
      <x:c r="D112" s="2"/>
      <x:c r="E112" s="3"/>
      <x:c r="F112" s="50" t="str">
        <x:f>IF(ISBLANK('Assumptions'!E26),"__BLANK__",'Assumptions'!E26)</x:f>
        <x:v>__BLANK__</x:v>
      </x:c>
      <x:c r="G112" s="50" t="n">
        <x:f>IF(ISBLANK(E112),IF(F112="__BLANK__",0,1),IF(E112=F112,0,1))</x:f>
        <x:v>0</x:v>
      </x:c>
      <x:c r="H112" s="3"/>
      <x:c r="I112" s="3"/>
      <x:c r="J112" s="3"/>
      <x:c r="K112" s="3"/>
      <x:c r="L112" s="3"/>
      <x:c r="M112" s="3"/>
    </x:row>
    <x:row r="113" ht="19" customHeight="1">
      <x:c r="A113" s="2"/>
      <x:c r="B113" s="2"/>
      <x:c r="C113" s="2" t="str">
        <x:v>Assumptions!E27</x:v>
      </x:c>
      <x:c r="D113" s="2"/>
      <x:c r="E113" s="3"/>
      <x:c r="F113" s="50" t="str">
        <x:f>IF(ISBLANK('Assumptions'!E27),"__BLANK__",'Assumptions'!E27)</x:f>
        <x:v>__BLANK__</x:v>
      </x:c>
      <x:c r="G113" s="50" t="n">
        <x:f>IF(ISBLANK(E113),IF(F113="__BLANK__",0,1),IF(E113=F113,0,1))</x:f>
        <x:v>0</x:v>
      </x:c>
      <x:c r="H113" s="3"/>
      <x:c r="I113" s="3"/>
      <x:c r="J113" s="3"/>
      <x:c r="K113" s="3"/>
      <x:c r="L113" s="3"/>
      <x:c r="M113" s="3"/>
    </x:row>
    <x:row r="114" ht="19" customHeight="1">
      <x:c r="A114" s="2"/>
      <x:c r="B114" s="2"/>
      <x:c r="C114" s="2" t="str">
        <x:v>Assumptions!E28</x:v>
      </x:c>
      <x:c r="D114" s="2"/>
      <x:c r="E114" s="3"/>
      <x:c r="F114" s="50" t="str">
        <x:f>IF(ISBLANK('Assumptions'!E28),"__BLANK__",'Assumptions'!E28)</x:f>
        <x:v>__BLANK__</x:v>
      </x:c>
      <x:c r="G114" s="50" t="n">
        <x:f>IF(ISBLANK(E114),IF(F114="__BLANK__",0,1),IF(E114=F114,0,1))</x:f>
        <x:v>0</x:v>
      </x:c>
      <x:c r="H114" s="3"/>
      <x:c r="I114" s="3"/>
      <x:c r="J114" s="3"/>
      <x:c r="K114" s="3"/>
      <x:c r="L114" s="3"/>
      <x:c r="M114" s="3"/>
    </x:row>
    <x:row r="115" ht="19" customHeight="1">
      <x:c r="A115" s="2"/>
      <x:c r="B115" s="2"/>
      <x:c r="C115" s="2" t="str">
        <x:v>Assumptions!E29</x:v>
      </x:c>
      <x:c r="D115" s="2"/>
      <x:c r="E115" s="3"/>
      <x:c r="F115" s="50" t="str">
        <x:f>IF(ISBLANK('Assumptions'!E29),"__BLANK__",'Assumptions'!E29)</x:f>
        <x:v>__BLANK__</x:v>
      </x:c>
      <x:c r="G115" s="50" t="n">
        <x:f>IF(ISBLANK(E115),IF(F115="__BLANK__",0,1),IF(E115=F115,0,1))</x:f>
        <x:v>0</x:v>
      </x:c>
      <x:c r="H115" s="3"/>
      <x:c r="I115" s="3"/>
      <x:c r="J115" s="3"/>
      <x:c r="K115" s="3"/>
      <x:c r="L115" s="3"/>
      <x:c r="M115" s="3"/>
    </x:row>
    <x:row r="116" ht="19" customHeight="1">
      <x:c r="A116" s="2"/>
      <x:c r="B116" s="2"/>
      <x:c r="C116" s="2" t="str">
        <x:v>Assumptions!F21</x:v>
      </x:c>
      <x:c r="D116" s="2"/>
      <x:c r="E116" s="3"/>
      <x:c r="F116" s="50" t="str">
        <x:f>IF(ISBLANK('Assumptions'!F21),"__BLANK__",'Assumptions'!F21)</x:f>
        <x:v>__BLANK__</x:v>
      </x:c>
      <x:c r="G116" s="50" t="n">
        <x:f>IF(ISBLANK(E116),IF(F116="__BLANK__",0,1),IF(E116=F116,0,1))</x:f>
        <x:v>0</x:v>
      </x:c>
      <x:c r="H116" s="3"/>
      <x:c r="I116" s="3"/>
      <x:c r="J116" s="3"/>
      <x:c r="K116" s="3"/>
      <x:c r="L116" s="3"/>
      <x:c r="M116" s="3"/>
    </x:row>
    <x:row r="117" ht="19" customHeight="1">
      <x:c r="A117" s="2"/>
      <x:c r="B117" s="2"/>
      <x:c r="C117" s="2" t="str">
        <x:v>Assumptions!F22</x:v>
      </x:c>
      <x:c r="D117" s="2"/>
      <x:c r="E117" s="3"/>
      <x:c r="F117" s="50" t="str">
        <x:f>IF(ISBLANK('Assumptions'!F22),"__BLANK__",'Assumptions'!F22)</x:f>
        <x:v>__BLANK__</x:v>
      </x:c>
      <x:c r="G117" s="50" t="n">
        <x:f>IF(ISBLANK(E117),IF(F117="__BLANK__",0,1),IF(E117=F117,0,1))</x:f>
        <x:v>0</x:v>
      </x:c>
      <x:c r="H117" s="3"/>
      <x:c r="I117" s="3"/>
      <x:c r="J117" s="3"/>
      <x:c r="K117" s="3"/>
      <x:c r="L117" s="3"/>
      <x:c r="M117" s="3"/>
    </x:row>
    <x:row r="118" ht="19" customHeight="1">
      <x:c r="A118" s="2"/>
      <x:c r="B118" s="2"/>
      <x:c r="C118" s="2" t="str">
        <x:v>Assumptions!F23</x:v>
      </x:c>
      <x:c r="D118" s="2"/>
      <x:c r="E118" s="3"/>
      <x:c r="F118" s="50" t="str">
        <x:f>IF(ISBLANK('Assumptions'!F23),"__BLANK__",'Assumptions'!F23)</x:f>
        <x:v>__BLANK__</x:v>
      </x:c>
      <x:c r="G118" s="50" t="n">
        <x:f>IF(ISBLANK(E118),IF(F118="__BLANK__",0,1),IF(E118=F118,0,1))</x:f>
        <x:v>0</x:v>
      </x:c>
      <x:c r="H118" s="3"/>
      <x:c r="I118" s="3"/>
      <x:c r="J118" s="3"/>
      <x:c r="K118" s="3"/>
      <x:c r="L118" s="3"/>
      <x:c r="M118" s="3"/>
    </x:row>
    <x:row r="119" ht="19" customHeight="1">
      <x:c r="A119" s="2"/>
      <x:c r="B119" s="2"/>
      <x:c r="C119" s="2" t="str">
        <x:v>Assumptions!F24</x:v>
      </x:c>
      <x:c r="D119" s="2"/>
      <x:c r="E119" s="3"/>
      <x:c r="F119" s="50" t="str">
        <x:f>IF(ISBLANK('Assumptions'!F24),"__BLANK__",'Assumptions'!F24)</x:f>
        <x:v>__BLANK__</x:v>
      </x:c>
      <x:c r="G119" s="50" t="n">
        <x:f>IF(ISBLANK(E119),IF(F119="__BLANK__",0,1),IF(E119=F119,0,1))</x:f>
        <x:v>0</x:v>
      </x:c>
      <x:c r="H119" s="3"/>
      <x:c r="I119" s="3"/>
      <x:c r="J119" s="3"/>
      <x:c r="K119" s="3"/>
      <x:c r="L119" s="3"/>
      <x:c r="M119" s="3"/>
    </x:row>
    <x:row r="120" ht="19" customHeight="1">
      <x:c r="A120" s="2"/>
      <x:c r="B120" s="2"/>
      <x:c r="C120" s="2" t="str">
        <x:v>Assumptions!F25</x:v>
      </x:c>
      <x:c r="D120" s="2"/>
      <x:c r="E120" s="3"/>
      <x:c r="F120" s="50" t="str">
        <x:f>IF(ISBLANK('Assumptions'!F25),"__BLANK__",'Assumptions'!F25)</x:f>
        <x:v>__BLANK__</x:v>
      </x:c>
      <x:c r="G120" s="50" t="n">
        <x:f>IF(ISBLANK(E120),IF(F120="__BLANK__",0,1),IF(E120=F120,0,1))</x:f>
        <x:v>0</x:v>
      </x:c>
      <x:c r="H120" s="3"/>
      <x:c r="I120" s="3"/>
      <x:c r="J120" s="3"/>
      <x:c r="K120" s="3"/>
      <x:c r="L120" s="3"/>
      <x:c r="M120" s="3"/>
    </x:row>
    <x:row r="121" ht="19" customHeight="1">
      <x:c r="A121" s="2"/>
      <x:c r="B121" s="2"/>
      <x:c r="C121" s="2" t="str">
        <x:v>Assumptions!F26</x:v>
      </x:c>
      <x:c r="D121" s="2"/>
      <x:c r="E121" s="3"/>
      <x:c r="F121" s="50" t="str">
        <x:f>IF(ISBLANK('Assumptions'!F26),"__BLANK__",'Assumptions'!F26)</x:f>
        <x:v>__BLANK__</x:v>
      </x:c>
      <x:c r="G121" s="50" t="n">
        <x:f>IF(ISBLANK(E121),IF(F121="__BLANK__",0,1),IF(E121=F121,0,1))</x:f>
        <x:v>0</x:v>
      </x:c>
      <x:c r="H121" s="3"/>
      <x:c r="I121" s="3"/>
      <x:c r="J121" s="3"/>
      <x:c r="K121" s="3"/>
      <x:c r="L121" s="3"/>
      <x:c r="M121" s="3"/>
    </x:row>
    <x:row r="122" ht="19" customHeight="1">
      <x:c r="A122" s="2"/>
      <x:c r="B122" s="2"/>
      <x:c r="C122" s="2" t="str">
        <x:v>Assumptions!F27</x:v>
      </x:c>
      <x:c r="D122" s="2"/>
      <x:c r="E122" s="3"/>
      <x:c r="F122" s="50" t="str">
        <x:f>IF(ISBLANK('Assumptions'!F27),"__BLANK__",'Assumptions'!F27)</x:f>
        <x:v>__BLANK__</x:v>
      </x:c>
      <x:c r="G122" s="50" t="n">
        <x:f>IF(ISBLANK(E122),IF(F122="__BLANK__",0,1),IF(E122=F122,0,1))</x:f>
        <x:v>0</x:v>
      </x:c>
      <x:c r="H122" s="3"/>
      <x:c r="I122" s="3"/>
      <x:c r="J122" s="3"/>
      <x:c r="K122" s="3"/>
      <x:c r="L122" s="3"/>
      <x:c r="M122" s="3"/>
    </x:row>
    <x:row r="123" ht="19" customHeight="1">
      <x:c r="A123" s="2"/>
      <x:c r="B123" s="2"/>
      <x:c r="C123" s="2" t="str">
        <x:v>Assumptions!F28</x:v>
      </x:c>
      <x:c r="D123" s="2"/>
      <x:c r="E123" s="3"/>
      <x:c r="F123" s="50" t="str">
        <x:f>IF(ISBLANK('Assumptions'!F28),"__BLANK__",'Assumptions'!F28)</x:f>
        <x:v>__BLANK__</x:v>
      </x:c>
      <x:c r="G123" s="50" t="n">
        <x:f>IF(ISBLANK(E123),IF(F123="__BLANK__",0,1),IF(E123=F123,0,1))</x:f>
        <x:v>0</x:v>
      </x:c>
      <x:c r="H123" s="3"/>
      <x:c r="I123" s="3"/>
      <x:c r="J123" s="3"/>
      <x:c r="K123" s="3"/>
      <x:c r="L123" s="3"/>
      <x:c r="M123" s="3"/>
    </x:row>
    <x:row r="124" ht="19" customHeight="1">
      <x:c r="A124" s="2"/>
      <x:c r="B124" s="2"/>
      <x:c r="C124" s="2" t="str">
        <x:v>Assumptions!F29</x:v>
      </x:c>
      <x:c r="D124" s="2"/>
      <x:c r="E124" s="3"/>
      <x:c r="F124" s="50" t="str">
        <x:f>IF(ISBLANK('Assumptions'!F29),"__BLANK__",'Assumptions'!F29)</x:f>
        <x:v>__BLANK__</x:v>
      </x:c>
      <x:c r="G124" s="50" t="n">
        <x:f>IF(ISBLANK(E124),IF(F124="__BLANK__",0,1),IF(E124=F124,0,1))</x:f>
        <x:v>0</x:v>
      </x:c>
      <x:c r="H124" s="3"/>
      <x:c r="I124" s="3"/>
      <x:c r="J124" s="3"/>
      <x:c r="K124" s="3"/>
      <x:c r="L124" s="3"/>
      <x:c r="M124" s="3"/>
    </x:row>
    <x:row r="125" ht="19" customHeight="1">
      <x:c r="A125" s="2"/>
      <x:c r="B125" s="2"/>
      <x:c r="C125" s="2" t="str">
        <x:v>Assumptions!G21</x:v>
      </x:c>
      <x:c r="D125" s="2"/>
      <x:c r="E125" s="3" t="n">
        <x:v>177.17</x:v>
      </x:c>
      <x:c r="F125" s="50" t="n">
        <x:f>IF(ISBLANK('Assumptions'!G21),"__BLANK__",'Assumptions'!G21)</x:f>
        <x:v>177.17</x:v>
      </x:c>
      <x:c r="G125" s="50" t="n">
        <x:f>IF(ISBLANK(E125),IF(F125="__BLANK__",0,1),IF(E125=F125,0,1))</x:f>
        <x:v>0</x:v>
      </x:c>
      <x:c r="H125" s="3"/>
      <x:c r="I125" s="3"/>
      <x:c r="J125" s="3"/>
      <x:c r="K125" s="3"/>
      <x:c r="L125" s="3"/>
      <x:c r="M125" s="3"/>
    </x:row>
    <x:row r="126" ht="19" customHeight="1">
      <x:c r="A126" s="2"/>
      <x:c r="B126" s="2"/>
      <x:c r="C126" s="2" t="str">
        <x:v>Assumptions!G22</x:v>
      </x:c>
      <x:c r="D126" s="2"/>
      <x:c r="E126" s="3" t="n">
        <x:v>176.88</x:v>
      </x:c>
      <x:c r="F126" s="50" t="n">
        <x:f>IF(ISBLANK('Assumptions'!G22),"__BLANK__",'Assumptions'!G22)</x:f>
        <x:v>176.88</x:v>
      </x:c>
      <x:c r="G126" s="50" t="n">
        <x:f>IF(ISBLANK(E126),IF(F126="__BLANK__",0,1),IF(E126=F126,0,1))</x:f>
        <x:v>0</x:v>
      </x:c>
      <x:c r="H126" s="3"/>
      <x:c r="I126" s="3"/>
      <x:c r="J126" s="3"/>
      <x:c r="K126" s="3"/>
      <x:c r="L126" s="3"/>
      <x:c r="M126" s="3"/>
    </x:row>
    <x:row r="127" ht="19" customHeight="1">
      <x:c r="A127" s="2"/>
      <x:c r="B127" s="2"/>
      <x:c r="C127" s="2" t="str">
        <x:v>Assumptions!G23</x:v>
      </x:c>
      <x:c r="D127" s="2"/>
      <x:c r="E127" s="3"/>
      <x:c r="F127" s="50" t="str">
        <x:f>IF(ISBLANK('Assumptions'!G23),"__BLANK__",'Assumptions'!G23)</x:f>
        <x:v>__BLANK__</x:v>
      </x:c>
      <x:c r="G127" s="50" t="n">
        <x:f>IF(ISBLANK(E127),IF(F127="__BLANK__",0,1),IF(E127=F127,0,1))</x:f>
        <x:v>0</x:v>
      </x:c>
      <x:c r="H127" s="3"/>
      <x:c r="I127" s="3"/>
      <x:c r="J127" s="3"/>
      <x:c r="K127" s="3"/>
      <x:c r="L127" s="3"/>
      <x:c r="M127" s="3"/>
    </x:row>
    <x:row r="128" ht="19" customHeight="1">
      <x:c r="A128" s="2"/>
      <x:c r="B128" s="2"/>
      <x:c r="C128" s="2" t="str">
        <x:v>Assumptions!G24</x:v>
      </x:c>
      <x:c r="D128" s="2"/>
      <x:c r="E128" s="3" t="n">
        <x:v>177.17</x:v>
      </x:c>
      <x:c r="F128" s="50" t="n">
        <x:f>IF(ISBLANK('Assumptions'!G24),"__BLANK__",'Assumptions'!G24)</x:f>
        <x:v>177.17</x:v>
      </x:c>
      <x:c r="G128" s="50" t="n">
        <x:f>IF(ISBLANK(E128),IF(F128="__BLANK__",0,1),IF(E128=F128,0,1))</x:f>
        <x:v>0</x:v>
      </x:c>
      <x:c r="H128" s="3"/>
      <x:c r="I128" s="3"/>
      <x:c r="J128" s="3"/>
      <x:c r="K128" s="3"/>
      <x:c r="L128" s="3"/>
      <x:c r="M128" s="3"/>
    </x:row>
    <x:row r="129" ht="19" customHeight="1">
      <x:c r="A129" s="2"/>
      <x:c r="B129" s="2"/>
      <x:c r="C129" s="2" t="str">
        <x:v>Assumptions!G25</x:v>
      </x:c>
      <x:c r="D129" s="2"/>
      <x:c r="E129" s="3" t="n">
        <x:v>172.9711230497166</x:v>
      </x:c>
      <x:c r="F129" s="50" t="n">
        <x:f>IF(ISBLANK('Assumptions'!G25),"__BLANK__",'Assumptions'!G25)</x:f>
        <x:v>172.9711230497166</x:v>
      </x:c>
      <x:c r="G129" s="50" t="n">
        <x:f>IF(ISBLANK(E129),IF(F129="__BLANK__",0,1),IF(E129=F129,0,1))</x:f>
        <x:v>0</x:v>
      </x:c>
      <x:c r="H129" s="3"/>
      <x:c r="I129" s="3"/>
      <x:c r="J129" s="3"/>
      <x:c r="K129" s="3"/>
      <x:c r="L129" s="3"/>
      <x:c r="M129" s="3"/>
    </x:row>
    <x:row r="130" ht="19" customHeight="1">
      <x:c r="A130" s="2"/>
      <x:c r="B130" s="2"/>
      <x:c r="C130" s="2" t="str">
        <x:v>Assumptions!G26</x:v>
      </x:c>
      <x:c r="D130" s="2"/>
      <x:c r="E130" s="3" t="n">
        <x:v>177.17</x:v>
      </x:c>
      <x:c r="F130" s="50" t="n">
        <x:f>IF(ISBLANK('Assumptions'!G26),"__BLANK__",'Assumptions'!G26)</x:f>
        <x:v>177.17</x:v>
      </x:c>
      <x:c r="G130" s="50" t="n">
        <x:f>IF(ISBLANK(E130),IF(F130="__BLANK__",0,1),IF(E130=F130,0,1))</x:f>
        <x:v>0</x:v>
      </x:c>
      <x:c r="H130" s="3"/>
      <x:c r="I130" s="3"/>
      <x:c r="J130" s="3"/>
      <x:c r="K130" s="3"/>
      <x:c r="L130" s="3"/>
      <x:c r="M130" s="3"/>
    </x:row>
    <x:row r="131" ht="19" customHeight="1">
      <x:c r="A131" s="2"/>
      <x:c r="B131" s="2"/>
      <x:c r="C131" s="2" t="str">
        <x:v>Assumptions!G27</x:v>
      </x:c>
      <x:c r="D131" s="2"/>
      <x:c r="E131" s="3" t="n">
        <x:v>177.17</x:v>
      </x:c>
      <x:c r="F131" s="50" t="n">
        <x:f>IF(ISBLANK('Assumptions'!G27),"__BLANK__",'Assumptions'!G27)</x:f>
        <x:v>177.17</x:v>
      </x:c>
      <x:c r="G131" s="50" t="n">
        <x:f>IF(ISBLANK(E131),IF(F131="__BLANK__",0,1),IF(E131=F131,0,1))</x:f>
        <x:v>0</x:v>
      </x:c>
      <x:c r="H131" s="3"/>
      <x:c r="I131" s="3"/>
      <x:c r="J131" s="3"/>
      <x:c r="K131" s="3"/>
      <x:c r="L131" s="3"/>
      <x:c r="M131" s="3"/>
    </x:row>
    <x:row r="132" ht="19" customHeight="1">
      <x:c r="A132" s="2"/>
      <x:c r="B132" s="2"/>
      <x:c r="C132" s="2" t="str">
        <x:v>Assumptions!G28</x:v>
      </x:c>
      <x:c r="D132" s="2"/>
      <x:c r="E132" s="3" t="n">
        <x:v>172.9711230497166</x:v>
      </x:c>
      <x:c r="F132" s="50" t="n">
        <x:f>IF(ISBLANK('Assumptions'!G28),"__BLANK__",'Assumptions'!G28)</x:f>
        <x:v>172.9711230497166</x:v>
      </x:c>
      <x:c r="G132" s="50" t="n">
        <x:f>IF(ISBLANK(E132),IF(F132="__BLANK__",0,1),IF(E132=F132,0,1))</x:f>
        <x:v>0</x:v>
      </x:c>
      <x:c r="H132" s="3"/>
      <x:c r="I132" s="3"/>
      <x:c r="J132" s="3"/>
      <x:c r="K132" s="3"/>
      <x:c r="L132" s="3"/>
      <x:c r="M132" s="3"/>
    </x:row>
    <x:row r="133" ht="19" customHeight="1">
      <x:c r="A133" s="2"/>
      <x:c r="B133" s="2"/>
      <x:c r="C133" s="2" t="str">
        <x:v>Assumptions!G29</x:v>
      </x:c>
      <x:c r="D133" s="2"/>
      <x:c r="E133" s="3" t="n">
        <x:v>177.17</x:v>
      </x:c>
      <x:c r="F133" s="50" t="n">
        <x:f>IF(ISBLANK('Assumptions'!G29),"__BLANK__",'Assumptions'!G29)</x:f>
        <x:v>177.17</x:v>
      </x:c>
      <x:c r="G133" s="50" t="n">
        <x:f>IF(ISBLANK(E133),IF(F133="__BLANK__",0,1),IF(E133=F133,0,1))</x:f>
        <x:v>0</x:v>
      </x:c>
      <x:c r="H133" s="3"/>
      <x:c r="I133" s="3"/>
      <x:c r="J133" s="3"/>
      <x:c r="K133" s="3"/>
      <x:c r="L133" s="3"/>
      <x:c r="M133" s="3"/>
    </x:row>
    <x:row r="134" ht="19" customHeight="1">
      <x:c r="A134" s="2"/>
      <x:c r="B134" s="2"/>
      <x:c r="C134" s="2" t="str">
        <x:v>Assumptions!H21</x:v>
      </x:c>
      <x:c r="D134" s="2"/>
      <x:c r="E134" s="3" t="n">
        <x:v>174.57</x:v>
      </x:c>
      <x:c r="F134" s="50" t="n">
        <x:f>IF(ISBLANK('Assumptions'!H21),"__BLANK__",'Assumptions'!H21)</x:f>
        <x:v>174.57</x:v>
      </x:c>
      <x:c r="G134" s="50" t="n">
        <x:f>IF(ISBLANK(E134),IF(F134="__BLANK__",0,1),IF(E134=F134,0,1))</x:f>
        <x:v>0</x:v>
      </x:c>
      <x:c r="H134" s="3"/>
      <x:c r="I134" s="3"/>
      <x:c r="J134" s="3"/>
      <x:c r="K134" s="3"/>
      <x:c r="L134" s="3"/>
      <x:c r="M134" s="3"/>
    </x:row>
    <x:row r="135" ht="19" customHeight="1">
      <x:c r="A135" s="2"/>
      <x:c r="B135" s="2"/>
      <x:c r="C135" s="2" t="str">
        <x:v>Assumptions!H22</x:v>
      </x:c>
      <x:c r="D135" s="2"/>
      <x:c r="E135" s="3" t="n">
        <x:v>173.94</x:v>
      </x:c>
      <x:c r="F135" s="50" t="n">
        <x:f>IF(ISBLANK('Assumptions'!H22),"__BLANK__",'Assumptions'!H22)</x:f>
        <x:v>173.94</x:v>
      </x:c>
      <x:c r="G135" s="50" t="n">
        <x:f>IF(ISBLANK(E135),IF(F135="__BLANK__",0,1),IF(E135=F135,0,1))</x:f>
        <x:v>0</x:v>
      </x:c>
      <x:c r="H135" s="3"/>
      <x:c r="I135" s="3"/>
      <x:c r="J135" s="3"/>
      <x:c r="K135" s="3"/>
      <x:c r="L135" s="3"/>
      <x:c r="M135" s="3"/>
    </x:row>
    <x:row r="136" ht="19" customHeight="1">
      <x:c r="A136" s="2"/>
      <x:c r="B136" s="2"/>
      <x:c r="C136" s="2" t="str">
        <x:v>Assumptions!H23</x:v>
      </x:c>
      <x:c r="D136" s="2"/>
      <x:c r="E136" s="3"/>
      <x:c r="F136" s="50" t="str">
        <x:f>IF(ISBLANK('Assumptions'!H23),"__BLANK__",'Assumptions'!H23)</x:f>
        <x:v>__BLANK__</x:v>
      </x:c>
      <x:c r="G136" s="50" t="n">
        <x:f>IF(ISBLANK(E136),IF(F136="__BLANK__",0,1),IF(E136=F136,0,1))</x:f>
        <x:v>0</x:v>
      </x:c>
      <x:c r="H136" s="3"/>
      <x:c r="I136" s="3"/>
      <x:c r="J136" s="3"/>
      <x:c r="K136" s="3"/>
      <x:c r="L136" s="3"/>
      <x:c r="M136" s="3"/>
    </x:row>
    <x:row r="137" ht="19" customHeight="1">
      <x:c r="A137" s="2"/>
      <x:c r="B137" s="2"/>
      <x:c r="C137" s="2" t="str">
        <x:v>Assumptions!H24</x:v>
      </x:c>
      <x:c r="D137" s="2"/>
      <x:c r="E137" s="3" t="n">
        <x:v>174.57</x:v>
      </x:c>
      <x:c r="F137" s="50" t="n">
        <x:f>IF(ISBLANK('Assumptions'!H24),"__BLANK__",'Assumptions'!H24)</x:f>
        <x:v>174.57</x:v>
      </x:c>
      <x:c r="G137" s="50" t="n">
        <x:f>IF(ISBLANK(E137),IF(F137="__BLANK__",0,1),IF(E137=F137,0,1))</x:f>
        <x:v>0</x:v>
      </x:c>
      <x:c r="H137" s="3"/>
      <x:c r="I137" s="3"/>
      <x:c r="J137" s="3"/>
      <x:c r="K137" s="3"/>
      <x:c r="L137" s="3"/>
      <x:c r="M137" s="3"/>
    </x:row>
    <x:row r="138" ht="19" customHeight="1">
      <x:c r="A138" s="2"/>
      <x:c r="B138" s="2"/>
      <x:c r="C138" s="2" t="str">
        <x:v>Assumptions!H25</x:v>
      </x:c>
      <x:c r="D138" s="2"/>
      <x:c r="E138" s="3" t="n">
        <x:v>170.46378318674735</x:v>
      </x:c>
      <x:c r="F138" s="50" t="n">
        <x:f>IF(ISBLANK('Assumptions'!H25),"__BLANK__",'Assumptions'!H25)</x:f>
        <x:v>170.46378318674735</x:v>
      </x:c>
      <x:c r="G138" s="50" t="n">
        <x:f>IF(ISBLANK(E138),IF(F138="__BLANK__",0,1),IF(E138=F138,0,1))</x:f>
        <x:v>0</x:v>
      </x:c>
      <x:c r="H138" s="3"/>
      <x:c r="I138" s="3"/>
      <x:c r="J138" s="3"/>
      <x:c r="K138" s="3"/>
      <x:c r="L138" s="3"/>
      <x:c r="M138" s="3"/>
    </x:row>
    <x:row r="139" ht="19" customHeight="1">
      <x:c r="A139" s="2"/>
      <x:c r="B139" s="2"/>
      <x:c r="C139" s="2" t="str">
        <x:v>Assumptions!H26</x:v>
      </x:c>
      <x:c r="D139" s="2"/>
      <x:c r="E139" s="3" t="n">
        <x:v>174.57</x:v>
      </x:c>
      <x:c r="F139" s="50" t="n">
        <x:f>IF(ISBLANK('Assumptions'!H26),"__BLANK__",'Assumptions'!H26)</x:f>
        <x:v>174.57</x:v>
      </x:c>
      <x:c r="G139" s="50" t="n">
        <x:f>IF(ISBLANK(E139),IF(F139="__BLANK__",0,1),IF(E139=F139,0,1))</x:f>
        <x:v>0</x:v>
      </x:c>
      <x:c r="H139" s="3"/>
      <x:c r="I139" s="3"/>
      <x:c r="J139" s="3"/>
      <x:c r="K139" s="3"/>
      <x:c r="L139" s="3"/>
      <x:c r="M139" s="3"/>
    </x:row>
    <x:row r="140" ht="19" customHeight="1">
      <x:c r="A140" s="2"/>
      <x:c r="B140" s="2"/>
      <x:c r="C140" s="2" t="str">
        <x:v>Assumptions!H27</x:v>
      </x:c>
      <x:c r="D140" s="2"/>
      <x:c r="E140" s="3" t="n">
        <x:v>174.57</x:v>
      </x:c>
      <x:c r="F140" s="50" t="n">
        <x:f>IF(ISBLANK('Assumptions'!H27),"__BLANK__",'Assumptions'!H27)</x:f>
        <x:v>174.57</x:v>
      </x:c>
      <x:c r="G140" s="50" t="n">
        <x:f>IF(ISBLANK(E140),IF(F140="__BLANK__",0,1),IF(E140=F140,0,1))</x:f>
        <x:v>0</x:v>
      </x:c>
      <x:c r="H140" s="3"/>
      <x:c r="I140" s="3"/>
      <x:c r="J140" s="3"/>
      <x:c r="K140" s="3"/>
      <x:c r="L140" s="3"/>
      <x:c r="M140" s="3"/>
    </x:row>
    <x:row r="141" ht="19" customHeight="1">
      <x:c r="A141" s="2"/>
      <x:c r="B141" s="2"/>
      <x:c r="C141" s="2" t="str">
        <x:v>Assumptions!H28</x:v>
      </x:c>
      <x:c r="D141" s="2"/>
      <x:c r="E141" s="3" t="n">
        <x:v>170.46378318674735</x:v>
      </x:c>
      <x:c r="F141" s="50" t="n">
        <x:f>IF(ISBLANK('Assumptions'!H28),"__BLANK__",'Assumptions'!H28)</x:f>
        <x:v>170.46378318674735</x:v>
      </x:c>
      <x:c r="G141" s="50" t="n">
        <x:f>IF(ISBLANK(E141),IF(F141="__BLANK__",0,1),IF(E141=F141,0,1))</x:f>
        <x:v>0</x:v>
      </x:c>
      <x:c r="H141" s="3"/>
      <x:c r="I141" s="3"/>
      <x:c r="J141" s="3"/>
      <x:c r="K141" s="3"/>
      <x:c r="L141" s="3"/>
      <x:c r="M141" s="3"/>
    </x:row>
    <x:row r="142" ht="19" customHeight="1">
      <x:c r="A142" s="2"/>
      <x:c r="B142" s="2"/>
      <x:c r="C142" s="2" t="str">
        <x:v>Assumptions!H29</x:v>
      </x:c>
      <x:c r="D142" s="2"/>
      <x:c r="E142" s="3" t="n">
        <x:v>174.57</x:v>
      </x:c>
      <x:c r="F142" s="50" t="n">
        <x:f>IF(ISBLANK('Assumptions'!H29),"__BLANK__",'Assumptions'!H29)</x:f>
        <x:v>174.57</x:v>
      </x:c>
      <x:c r="G142" s="50" t="n">
        <x:f>IF(ISBLANK(E142),IF(F142="__BLANK__",0,1),IF(E142=F142,0,1))</x:f>
        <x:v>0</x:v>
      </x:c>
      <x:c r="H142" s="3"/>
      <x:c r="I142" s="3"/>
      <x:c r="J142" s="3"/>
      <x:c r="K142" s="3"/>
      <x:c r="L142" s="3"/>
      <x:c r="M142" s="3"/>
    </x:row>
    <x:row r="143" ht="19" customHeight="1">
      <x:c r="A143" s="2"/>
      <x:c r="B143" s="2"/>
      <x:c r="C143" s="2" t="str">
        <x:v>Assumptions!I21</x:v>
      </x:c>
      <x:c r="D143" s="2"/>
      <x:c r="E143" s="3"/>
      <x:c r="F143" s="50" t="str">
        <x:f>IF(ISBLANK('Assumptions'!I21),"__BLANK__",'Assumptions'!I21)</x:f>
        <x:v>__BLANK__</x:v>
      </x:c>
      <x:c r="G143" s="50" t="n">
        <x:f>IF(ISBLANK(E143),IF(F143="__BLANK__",0,1),IF(E143=F143,0,1))</x:f>
        <x:v>0</x:v>
      </x:c>
      <x:c r="H143" s="3"/>
      <x:c r="I143" s="3"/>
      <x:c r="J143" s="3"/>
      <x:c r="K143" s="3"/>
      <x:c r="L143" s="3"/>
      <x:c r="M143" s="3"/>
    </x:row>
    <x:row r="144" ht="19" customHeight="1">
      <x:c r="A144" s="2"/>
      <x:c r="B144" s="2"/>
      <x:c r="C144" s="2" t="str">
        <x:v>Assumptions!I22</x:v>
      </x:c>
      <x:c r="D144" s="2"/>
      <x:c r="E144" s="3"/>
      <x:c r="F144" s="50" t="str">
        <x:f>IF(ISBLANK('Assumptions'!I22),"__BLANK__",'Assumptions'!I22)</x:f>
        <x:v>__BLANK__</x:v>
      </x:c>
      <x:c r="G144" s="50" t="n">
        <x:f>IF(ISBLANK(E144),IF(F144="__BLANK__",0,1),IF(E144=F144,0,1))</x:f>
        <x:v>0</x:v>
      </x:c>
      <x:c r="H144" s="3"/>
      <x:c r="I144" s="3"/>
      <x:c r="J144" s="3"/>
      <x:c r="K144" s="3"/>
      <x:c r="L144" s="3"/>
      <x:c r="M144" s="3"/>
    </x:row>
    <x:row r="145" ht="19" customHeight="1">
      <x:c r="A145" s="2"/>
      <x:c r="B145" s="2"/>
      <x:c r="C145" s="2" t="str">
        <x:v>Assumptions!I23</x:v>
      </x:c>
      <x:c r="D145" s="2"/>
      <x:c r="E145" s="3"/>
      <x:c r="F145" s="50" t="str">
        <x:f>IF(ISBLANK('Assumptions'!I23),"__BLANK__",'Assumptions'!I23)</x:f>
        <x:v>__BLANK__</x:v>
      </x:c>
      <x:c r="G145" s="50" t="n">
        <x:f>IF(ISBLANK(E145),IF(F145="__BLANK__",0,1),IF(E145=F145,0,1))</x:f>
        <x:v>0</x:v>
      </x:c>
      <x:c r="H145" s="3"/>
      <x:c r="I145" s="3"/>
      <x:c r="J145" s="3"/>
      <x:c r="K145" s="3"/>
      <x:c r="L145" s="3"/>
      <x:c r="M145" s="3"/>
    </x:row>
    <x:row r="146" ht="19" customHeight="1">
      <x:c r="A146" s="2"/>
      <x:c r="B146" s="2"/>
      <x:c r="C146" s="2" t="str">
        <x:v>Assumptions!I24</x:v>
      </x:c>
      <x:c r="D146" s="2"/>
      <x:c r="E146" s="3"/>
      <x:c r="F146" s="50" t="str">
        <x:f>IF(ISBLANK('Assumptions'!I24),"__BLANK__",'Assumptions'!I24)</x:f>
        <x:v>__BLANK__</x:v>
      </x:c>
      <x:c r="G146" s="50" t="n">
        <x:f>IF(ISBLANK(E146),IF(F146="__BLANK__",0,1),IF(E146=F146,0,1))</x:f>
        <x:v>0</x:v>
      </x:c>
      <x:c r="H146" s="3"/>
      <x:c r="I146" s="3"/>
      <x:c r="J146" s="3"/>
      <x:c r="K146" s="3"/>
      <x:c r="L146" s="3"/>
      <x:c r="M146" s="3"/>
    </x:row>
    <x:row r="147" ht="19" customHeight="1">
      <x:c r="A147" s="2"/>
      <x:c r="B147" s="2"/>
      <x:c r="C147" s="2" t="str">
        <x:v>Assumptions!I25</x:v>
      </x:c>
      <x:c r="D147" s="2"/>
      <x:c r="E147" s="3"/>
      <x:c r="F147" s="50" t="str">
        <x:f>IF(ISBLANK('Assumptions'!I25),"__BLANK__",'Assumptions'!I25)</x:f>
        <x:v>__BLANK__</x:v>
      </x:c>
      <x:c r="G147" s="50" t="n">
        <x:f>IF(ISBLANK(E147),IF(F147="__BLANK__",0,1),IF(E147=F147,0,1))</x:f>
        <x:v>0</x:v>
      </x:c>
      <x:c r="H147" s="3"/>
      <x:c r="I147" s="3"/>
      <x:c r="J147" s="3"/>
      <x:c r="K147" s="3"/>
      <x:c r="L147" s="3"/>
      <x:c r="M147" s="3"/>
    </x:row>
    <x:row r="148" ht="19" customHeight="1">
      <x:c r="A148" s="2"/>
      <x:c r="B148" s="2"/>
      <x:c r="C148" s="2" t="str">
        <x:v>Assumptions!I26</x:v>
      </x:c>
      <x:c r="D148" s="2"/>
      <x:c r="E148" s="3"/>
      <x:c r="F148" s="50" t="str">
        <x:f>IF(ISBLANK('Assumptions'!I26),"__BLANK__",'Assumptions'!I26)</x:f>
        <x:v>__BLANK__</x:v>
      </x:c>
      <x:c r="G148" s="50" t="n">
        <x:f>IF(ISBLANK(E148),IF(F148="__BLANK__",0,1),IF(E148=F148,0,1))</x:f>
        <x:v>0</x:v>
      </x:c>
      <x:c r="H148" s="3"/>
      <x:c r="I148" s="3"/>
      <x:c r="J148" s="3"/>
      <x:c r="K148" s="3"/>
      <x:c r="L148" s="3"/>
      <x:c r="M148" s="3"/>
    </x:row>
    <x:row r="149" ht="19" customHeight="1">
      <x:c r="A149" s="2"/>
      <x:c r="B149" s="2"/>
      <x:c r="C149" s="2" t="str">
        <x:v>Assumptions!I27</x:v>
      </x:c>
      <x:c r="D149" s="2"/>
      <x:c r="E149" s="3"/>
      <x:c r="F149" s="50" t="str">
        <x:f>IF(ISBLANK('Assumptions'!I27),"__BLANK__",'Assumptions'!I27)</x:f>
        <x:v>__BLANK__</x:v>
      </x:c>
      <x:c r="G149" s="50" t="n">
        <x:f>IF(ISBLANK(E149),IF(F149="__BLANK__",0,1),IF(E149=F149,0,1))</x:f>
        <x:v>0</x:v>
      </x:c>
      <x:c r="H149" s="3"/>
      <x:c r="I149" s="3"/>
      <x:c r="J149" s="3"/>
      <x:c r="K149" s="3"/>
      <x:c r="L149" s="3"/>
      <x:c r="M149" s="3"/>
    </x:row>
    <x:row r="150" ht="19" customHeight="1">
      <x:c r="A150" s="2"/>
      <x:c r="B150" s="2"/>
      <x:c r="C150" s="2" t="str">
        <x:v>Assumptions!I28</x:v>
      </x:c>
      <x:c r="D150" s="2"/>
      <x:c r="E150" s="3"/>
      <x:c r="F150" s="50" t="str">
        <x:f>IF(ISBLANK('Assumptions'!I28),"__BLANK__",'Assumptions'!I28)</x:f>
        <x:v>__BLANK__</x:v>
      </x:c>
      <x:c r="G150" s="50" t="n">
        <x:f>IF(ISBLANK(E150),IF(F150="__BLANK__",0,1),IF(E150=F150,0,1))</x:f>
        <x:v>0</x:v>
      </x:c>
      <x:c r="H150" s="3"/>
      <x:c r="I150" s="3"/>
      <x:c r="J150" s="3"/>
      <x:c r="K150" s="3"/>
      <x:c r="L150" s="3"/>
      <x:c r="M150" s="3"/>
    </x:row>
    <x:row r="151" ht="19" customHeight="1">
      <x:c r="A151" s="2"/>
      <x:c r="B151" s="2"/>
      <x:c r="C151" s="2" t="str">
        <x:v>Assumptions!I29</x:v>
      </x:c>
      <x:c r="D151" s="2"/>
      <x:c r="E151" s="3"/>
      <x:c r="F151" s="50" t="str">
        <x:f>IF(ISBLANK('Assumptions'!I29),"__BLANK__",'Assumptions'!I29)</x:f>
        <x:v>__BLANK__</x:v>
      </x:c>
      <x:c r="G151" s="50" t="n">
        <x:f>IF(ISBLANK(E151),IF(F151="__BLANK__",0,1),IF(E151=F151,0,1))</x:f>
        <x:v>0</x:v>
      </x:c>
      <x:c r="H151" s="3"/>
      <x:c r="I151" s="3"/>
      <x:c r="J151" s="3"/>
      <x:c r="K151" s="3"/>
      <x:c r="L151" s="3"/>
      <x:c r="M151" s="3"/>
    </x:row>
    <x:row r="152" ht="19" customHeight="1">
      <x:c r="A152" s="2"/>
      <x:c r="B152" s="2"/>
      <x:c r="C152" s="2" t="str">
        <x:v>Assumptions!J21</x:v>
      </x:c>
      <x:c r="D152" s="2"/>
      <x:c r="E152" s="3"/>
      <x:c r="F152" s="50" t="str">
        <x:f>IF(ISBLANK('Assumptions'!J21),"__BLANK__",'Assumptions'!J21)</x:f>
        <x:v>__BLANK__</x:v>
      </x:c>
      <x:c r="G152" s="50" t="n">
        <x:f>IF(ISBLANK(E152),IF(F152="__BLANK__",0,1),IF(E152=F152,0,1))</x:f>
        <x:v>0</x:v>
      </x:c>
      <x:c r="H152" s="3"/>
      <x:c r="I152" s="3"/>
      <x:c r="J152" s="3"/>
      <x:c r="K152" s="3"/>
      <x:c r="L152" s="3"/>
      <x:c r="M152" s="3"/>
    </x:row>
    <x:row r="153" ht="19" customHeight="1">
      <x:c r="A153" s="2"/>
      <x:c r="B153" s="2"/>
      <x:c r="C153" s="2" t="str">
        <x:v>Assumptions!J22</x:v>
      </x:c>
      <x:c r="D153" s="2"/>
      <x:c r="E153" s="3"/>
      <x:c r="F153" s="50" t="str">
        <x:f>IF(ISBLANK('Assumptions'!J22),"__BLANK__",'Assumptions'!J22)</x:f>
        <x:v>__BLANK__</x:v>
      </x:c>
      <x:c r="G153" s="50" t="n">
        <x:f>IF(ISBLANK(E153),IF(F153="__BLANK__",0,1),IF(E153=F153,0,1))</x:f>
        <x:v>0</x:v>
      </x:c>
      <x:c r="H153" s="3"/>
      <x:c r="I153" s="3"/>
      <x:c r="J153" s="3"/>
      <x:c r="K153" s="3"/>
      <x:c r="L153" s="3"/>
      <x:c r="M153" s="3"/>
    </x:row>
    <x:row r="154" ht="19" customHeight="1">
      <x:c r="A154" s="2"/>
      <x:c r="B154" s="2"/>
      <x:c r="C154" s="2" t="str">
        <x:v>Assumptions!J23</x:v>
      </x:c>
      <x:c r="D154" s="2"/>
      <x:c r="E154" s="3"/>
      <x:c r="F154" s="50" t="str">
        <x:f>IF(ISBLANK('Assumptions'!J23),"__BLANK__",'Assumptions'!J23)</x:f>
        <x:v>__BLANK__</x:v>
      </x:c>
      <x:c r="G154" s="50" t="n">
        <x:f>IF(ISBLANK(E154),IF(F154="__BLANK__",0,1),IF(E154=F154,0,1))</x:f>
        <x:v>0</x:v>
      </x:c>
      <x:c r="H154" s="3"/>
      <x:c r="I154" s="3"/>
      <x:c r="J154" s="3"/>
      <x:c r="K154" s="3"/>
      <x:c r="L154" s="3"/>
      <x:c r="M154" s="3"/>
    </x:row>
    <x:row r="155" ht="19" customHeight="1">
      <x:c r="A155" s="2"/>
      <x:c r="B155" s="2"/>
      <x:c r="C155" s="2" t="str">
        <x:v>Assumptions!J24</x:v>
      </x:c>
      <x:c r="D155" s="2"/>
      <x:c r="E155" s="3"/>
      <x:c r="F155" s="50" t="str">
        <x:f>IF(ISBLANK('Assumptions'!J24),"__BLANK__",'Assumptions'!J24)</x:f>
        <x:v>__BLANK__</x:v>
      </x:c>
      <x:c r="G155" s="50" t="n">
        <x:f>IF(ISBLANK(E155),IF(F155="__BLANK__",0,1),IF(E155=F155,0,1))</x:f>
        <x:v>0</x:v>
      </x:c>
      <x:c r="H155" s="3"/>
      <x:c r="I155" s="3"/>
      <x:c r="J155" s="3"/>
      <x:c r="K155" s="3"/>
      <x:c r="L155" s="3"/>
      <x:c r="M155" s="3"/>
    </x:row>
    <x:row r="156" ht="19" customHeight="1">
      <x:c r="A156" s="2"/>
      <x:c r="B156" s="2"/>
      <x:c r="C156" s="2" t="str">
        <x:v>Assumptions!J25</x:v>
      </x:c>
      <x:c r="D156" s="2"/>
      <x:c r="E156" s="3"/>
      <x:c r="F156" s="50" t="str">
        <x:f>IF(ISBLANK('Assumptions'!J25),"__BLANK__",'Assumptions'!J25)</x:f>
        <x:v>__BLANK__</x:v>
      </x:c>
      <x:c r="G156" s="50" t="n">
        <x:f>IF(ISBLANK(E156),IF(F156="__BLANK__",0,1),IF(E156=F156,0,1))</x:f>
        <x:v>0</x:v>
      </x:c>
      <x:c r="H156" s="3"/>
      <x:c r="I156" s="3"/>
      <x:c r="J156" s="3"/>
      <x:c r="K156" s="3"/>
      <x:c r="L156" s="3"/>
      <x:c r="M156" s="3"/>
    </x:row>
    <x:row r="157" ht="19" customHeight="1">
      <x:c r="A157" s="2"/>
      <x:c r="B157" s="2"/>
      <x:c r="C157" s="2" t="str">
        <x:v>Assumptions!J26</x:v>
      </x:c>
      <x:c r="D157" s="2"/>
      <x:c r="E157" s="3"/>
      <x:c r="F157" s="50" t="str">
        <x:f>IF(ISBLANK('Assumptions'!J26),"__BLANK__",'Assumptions'!J26)</x:f>
        <x:v>__BLANK__</x:v>
      </x:c>
      <x:c r="G157" s="50" t="n">
        <x:f>IF(ISBLANK(E157),IF(F157="__BLANK__",0,1),IF(E157=F157,0,1))</x:f>
        <x:v>0</x:v>
      </x:c>
      <x:c r="H157" s="3"/>
      <x:c r="I157" s="3"/>
      <x:c r="J157" s="3"/>
      <x:c r="K157" s="3"/>
      <x:c r="L157" s="3"/>
      <x:c r="M157" s="3"/>
    </x:row>
    <x:row r="158" ht="19" customHeight="1">
      <x:c r="A158" s="2"/>
      <x:c r="B158" s="2"/>
      <x:c r="C158" s="2" t="str">
        <x:v>Assumptions!J27</x:v>
      </x:c>
      <x:c r="D158" s="2"/>
      <x:c r="E158" s="3"/>
      <x:c r="F158" s="50" t="str">
        <x:f>IF(ISBLANK('Assumptions'!J27),"__BLANK__",'Assumptions'!J27)</x:f>
        <x:v>__BLANK__</x:v>
      </x:c>
      <x:c r="G158" s="50" t="n">
        <x:f>IF(ISBLANK(E158),IF(F158="__BLANK__",0,1),IF(E158=F158,0,1))</x:f>
        <x:v>0</x:v>
      </x:c>
      <x:c r="H158" s="3"/>
      <x:c r="I158" s="3"/>
      <x:c r="J158" s="3"/>
      <x:c r="K158" s="3"/>
      <x:c r="L158" s="3"/>
      <x:c r="M158" s="3"/>
    </x:row>
    <x:row r="159" ht="19" customHeight="1">
      <x:c r="A159" s="2"/>
      <x:c r="B159" s="2"/>
      <x:c r="C159" s="2" t="str">
        <x:v>Assumptions!J28</x:v>
      </x:c>
      <x:c r="D159" s="2"/>
      <x:c r="E159" s="3"/>
      <x:c r="F159" s="50" t="str">
        <x:f>IF(ISBLANK('Assumptions'!J28),"__BLANK__",'Assumptions'!J28)</x:f>
        <x:v>__BLANK__</x:v>
      </x:c>
      <x:c r="G159" s="50" t="n">
        <x:f>IF(ISBLANK(E159),IF(F159="__BLANK__",0,1),IF(E159=F159,0,1))</x:f>
        <x:v>0</x:v>
      </x:c>
      <x:c r="H159" s="3"/>
      <x:c r="I159" s="3"/>
      <x:c r="J159" s="3"/>
      <x:c r="K159" s="3"/>
      <x:c r="L159" s="3"/>
      <x:c r="M159" s="3"/>
    </x:row>
    <x:row r="160" ht="19" customHeight="1">
      <x:c r="A160" s="2"/>
      <x:c r="B160" s="2"/>
      <x:c r="C160" s="2" t="str">
        <x:v>Assumptions!J29</x:v>
      </x:c>
      <x:c r="D160" s="2"/>
      <x:c r="E160" s="3"/>
      <x:c r="F160" s="50" t="str">
        <x:f>IF(ISBLANK('Assumptions'!J29),"__BLANK__",'Assumptions'!J29)</x:f>
        <x:v>__BLANK__</x:v>
      </x:c>
      <x:c r="G160" s="50" t="n">
        <x:f>IF(ISBLANK(E160),IF(F160="__BLANK__",0,1),IF(E160=F160,0,1))</x:f>
        <x:v>0</x:v>
      </x:c>
      <x:c r="H160" s="3"/>
      <x:c r="I160" s="3"/>
      <x:c r="J160" s="3"/>
      <x:c r="K160" s="3"/>
      <x:c r="L160" s="3"/>
      <x:c r="M160" s="3"/>
    </x:row>
    <x:row r="161" ht="19" customHeight="1">
      <x:c r="A161" s="2"/>
      <x:c r="B161" s="2"/>
      <x:c r="C161" s="2" t="str">
        <x:v>Assumptions!K21</x:v>
      </x:c>
      <x:c r="D161" s="2"/>
      <x:c r="E161" s="3"/>
      <x:c r="F161" s="50" t="str">
        <x:f>IF(ISBLANK('Assumptions'!K21),"__BLANK__",'Assumptions'!K21)</x:f>
        <x:v>__BLANK__</x:v>
      </x:c>
      <x:c r="G161" s="50" t="n">
        <x:f>IF(ISBLANK(E161),IF(F161="__BLANK__",0,1),IF(E161=F161,0,1))</x:f>
        <x:v>0</x:v>
      </x:c>
      <x:c r="H161" s="3"/>
      <x:c r="I161" s="3"/>
      <x:c r="J161" s="3"/>
      <x:c r="K161" s="3"/>
      <x:c r="L161" s="3"/>
      <x:c r="M161" s="3"/>
    </x:row>
    <x:row r="162" ht="19" customHeight="1">
      <x:c r="A162" s="2"/>
      <x:c r="B162" s="2"/>
      <x:c r="C162" s="2" t="str">
        <x:v>Assumptions!K22</x:v>
      </x:c>
      <x:c r="D162" s="2"/>
      <x:c r="E162" s="3"/>
      <x:c r="F162" s="50" t="str">
        <x:f>IF(ISBLANK('Assumptions'!K22),"__BLANK__",'Assumptions'!K22)</x:f>
        <x:v>__BLANK__</x:v>
      </x:c>
      <x:c r="G162" s="50" t="n">
        <x:f>IF(ISBLANK(E162),IF(F162="__BLANK__",0,1),IF(E162=F162,0,1))</x:f>
        <x:v>0</x:v>
      </x:c>
      <x:c r="H162" s="3"/>
      <x:c r="I162" s="3"/>
      <x:c r="J162" s="3"/>
      <x:c r="K162" s="3"/>
      <x:c r="L162" s="3"/>
      <x:c r="M162" s="3"/>
    </x:row>
    <x:row r="163" ht="19" customHeight="1">
      <x:c r="A163" s="2"/>
      <x:c r="B163" s="2"/>
      <x:c r="C163" s="2" t="str">
        <x:v>Assumptions!K23</x:v>
      </x:c>
      <x:c r="D163" s="2"/>
      <x:c r="E163" s="3"/>
      <x:c r="F163" s="50" t="str">
        <x:f>IF(ISBLANK('Assumptions'!K23),"__BLANK__",'Assumptions'!K23)</x:f>
        <x:v>__BLANK__</x:v>
      </x:c>
      <x:c r="G163" s="50" t="n">
        <x:f>IF(ISBLANK(E163),IF(F163="__BLANK__",0,1),IF(E163=F163,0,1))</x:f>
        <x:v>0</x:v>
      </x:c>
      <x:c r="H163" s="3"/>
      <x:c r="I163" s="3"/>
      <x:c r="J163" s="3"/>
      <x:c r="K163" s="3"/>
      <x:c r="L163" s="3"/>
      <x:c r="M163" s="3"/>
    </x:row>
    <x:row r="164" ht="19" customHeight="1">
      <x:c r="A164" s="2"/>
      <x:c r="B164" s="2"/>
      <x:c r="C164" s="2" t="str">
        <x:v>Assumptions!K24</x:v>
      </x:c>
      <x:c r="D164" s="2"/>
      <x:c r="E164" s="3"/>
      <x:c r="F164" s="50" t="str">
        <x:f>IF(ISBLANK('Assumptions'!K24),"__BLANK__",'Assumptions'!K24)</x:f>
        <x:v>__BLANK__</x:v>
      </x:c>
      <x:c r="G164" s="50" t="n">
        <x:f>IF(ISBLANK(E164),IF(F164="__BLANK__",0,1),IF(E164=F164,0,1))</x:f>
        <x:v>0</x:v>
      </x:c>
      <x:c r="H164" s="3"/>
      <x:c r="I164" s="3"/>
      <x:c r="J164" s="3"/>
      <x:c r="K164" s="3"/>
      <x:c r="L164" s="3"/>
      <x:c r="M164" s="3"/>
    </x:row>
    <x:row r="165" ht="19" customHeight="1">
      <x:c r="A165" s="2"/>
      <x:c r="B165" s="2"/>
      <x:c r="C165" s="2" t="str">
        <x:v>Assumptions!K25</x:v>
      </x:c>
      <x:c r="D165" s="2"/>
      <x:c r="E165" s="3"/>
      <x:c r="F165" s="50" t="str">
        <x:f>IF(ISBLANK('Assumptions'!K25),"__BLANK__",'Assumptions'!K25)</x:f>
        <x:v>__BLANK__</x:v>
      </x:c>
      <x:c r="G165" s="50" t="n">
        <x:f>IF(ISBLANK(E165),IF(F165="__BLANK__",0,1),IF(E165=F165,0,1))</x:f>
        <x:v>0</x:v>
      </x:c>
      <x:c r="H165" s="3"/>
      <x:c r="I165" s="3"/>
      <x:c r="J165" s="3"/>
      <x:c r="K165" s="3"/>
      <x:c r="L165" s="3"/>
      <x:c r="M165" s="3"/>
    </x:row>
    <x:row r="166" ht="19" customHeight="1">
      <x:c r="A166" s="2"/>
      <x:c r="B166" s="2"/>
      <x:c r="C166" s="2" t="str">
        <x:v>Assumptions!K26</x:v>
      </x:c>
      <x:c r="D166" s="2"/>
      <x:c r="E166" s="3"/>
      <x:c r="F166" s="50" t="str">
        <x:f>IF(ISBLANK('Assumptions'!K26),"__BLANK__",'Assumptions'!K26)</x:f>
        <x:v>__BLANK__</x:v>
      </x:c>
      <x:c r="G166" s="50" t="n">
        <x:f>IF(ISBLANK(E166),IF(F166="__BLANK__",0,1),IF(E166=F166,0,1))</x:f>
        <x:v>0</x:v>
      </x:c>
      <x:c r="H166" s="3"/>
      <x:c r="I166" s="3"/>
      <x:c r="J166" s="3"/>
      <x:c r="K166" s="3"/>
      <x:c r="L166" s="3"/>
      <x:c r="M166" s="3"/>
    </x:row>
    <x:row r="167" ht="19" customHeight="1">
      <x:c r="A167" s="2"/>
      <x:c r="B167" s="2"/>
      <x:c r="C167" s="2" t="str">
        <x:v>Assumptions!K27</x:v>
      </x:c>
      <x:c r="D167" s="2"/>
      <x:c r="E167" s="3"/>
      <x:c r="F167" s="50" t="str">
        <x:f>IF(ISBLANK('Assumptions'!K27),"__BLANK__",'Assumptions'!K27)</x:f>
        <x:v>__BLANK__</x:v>
      </x:c>
      <x:c r="G167" s="50" t="n">
        <x:f>IF(ISBLANK(E167),IF(F167="__BLANK__",0,1),IF(E167=F167,0,1))</x:f>
        <x:v>0</x:v>
      </x:c>
      <x:c r="H167" s="3"/>
      <x:c r="I167" s="3"/>
      <x:c r="J167" s="3"/>
      <x:c r="K167" s="3"/>
      <x:c r="L167" s="3"/>
      <x:c r="M167" s="3"/>
    </x:row>
    <x:row r="168" ht="19" customHeight="1">
      <x:c r="A168" s="2"/>
      <x:c r="B168" s="2"/>
      <x:c r="C168" s="2" t="str">
        <x:v>Assumptions!K28</x:v>
      </x:c>
      <x:c r="D168" s="2"/>
      <x:c r="E168" s="3"/>
      <x:c r="F168" s="50" t="str">
        <x:f>IF(ISBLANK('Assumptions'!K28),"__BLANK__",'Assumptions'!K28)</x:f>
        <x:v>__BLANK__</x:v>
      </x:c>
      <x:c r="G168" s="50" t="n">
        <x:f>IF(ISBLANK(E168),IF(F168="__BLANK__",0,1),IF(E168=F168,0,1))</x:f>
        <x:v>0</x:v>
      </x:c>
      <x:c r="H168" s="3"/>
      <x:c r="I168" s="3"/>
      <x:c r="J168" s="3"/>
      <x:c r="K168" s="3"/>
      <x:c r="L168" s="3"/>
      <x:c r="M168" s="3"/>
    </x:row>
    <x:row r="169" ht="19" customHeight="1">
      <x:c r="A169" s="2"/>
      <x:c r="B169" s="2"/>
      <x:c r="C169" s="2" t="str">
        <x:v>Assumptions!K29</x:v>
      </x:c>
      <x:c r="D169" s="2"/>
      <x:c r="E169" s="3"/>
      <x:c r="F169" s="50" t="str">
        <x:f>IF(ISBLANK('Assumptions'!K29),"__BLANK__",'Assumptions'!K29)</x:f>
        <x:v>__BLANK__</x:v>
      </x:c>
      <x:c r="G169" s="50" t="n">
        <x:f>IF(ISBLANK(E169),IF(F169="__BLANK__",0,1),IF(E169=F169,0,1))</x:f>
        <x:v>0</x:v>
      </x:c>
      <x:c r="H169" s="3"/>
      <x:c r="I169" s="3"/>
      <x:c r="J169" s="3"/>
      <x:c r="K169" s="3"/>
      <x:c r="L169" s="3"/>
      <x:c r="M169" s="3"/>
    </x:row>
    <x:row r="170" ht="19" customHeight="1">
      <x:c r="A170" s="2"/>
      <x:c r="B170" s="2"/>
      <x:c r="C170" s="2" t="str">
        <x:v>Assumptions!L21</x:v>
      </x:c>
      <x:c r="D170" s="2"/>
      <x:c r="E170" s="3"/>
      <x:c r="F170" s="50" t="str">
        <x:f>IF(ISBLANK('Assumptions'!L21),"__BLANK__",'Assumptions'!L21)</x:f>
        <x:v>__BLANK__</x:v>
      </x:c>
      <x:c r="G170" s="50" t="n">
        <x:f>IF(ISBLANK(E170),IF(F170="__BLANK__",0,1),IF(E170=F170,0,1))</x:f>
        <x:v>0</x:v>
      </x:c>
      <x:c r="H170" s="3"/>
      <x:c r="I170" s="3"/>
      <x:c r="J170" s="3"/>
      <x:c r="K170" s="3"/>
      <x:c r="L170" s="3"/>
      <x:c r="M170" s="3"/>
    </x:row>
    <x:row r="171" ht="19" customHeight="1">
      <x:c r="A171" s="2"/>
      <x:c r="B171" s="2"/>
      <x:c r="C171" s="2" t="str">
        <x:v>Assumptions!L22</x:v>
      </x:c>
      <x:c r="D171" s="2"/>
      <x:c r="E171" s="3"/>
      <x:c r="F171" s="50" t="str">
        <x:f>IF(ISBLANK('Assumptions'!L22),"__BLANK__",'Assumptions'!L22)</x:f>
        <x:v>__BLANK__</x:v>
      </x:c>
      <x:c r="G171" s="50" t="n">
        <x:f>IF(ISBLANK(E171),IF(F171="__BLANK__",0,1),IF(E171=F171,0,1))</x:f>
        <x:v>0</x:v>
      </x:c>
      <x:c r="H171" s="3"/>
      <x:c r="I171" s="3"/>
      <x:c r="J171" s="3"/>
      <x:c r="K171" s="3"/>
      <x:c r="L171" s="3"/>
      <x:c r="M171" s="3"/>
    </x:row>
    <x:row r="172" ht="19" customHeight="1">
      <x:c r="A172" s="2"/>
      <x:c r="B172" s="2"/>
      <x:c r="C172" s="2" t="str">
        <x:v>Assumptions!L23</x:v>
      </x:c>
      <x:c r="D172" s="2"/>
      <x:c r="E172" s="3"/>
      <x:c r="F172" s="50" t="str">
        <x:f>IF(ISBLANK('Assumptions'!L23),"__BLANK__",'Assumptions'!L23)</x:f>
        <x:v>__BLANK__</x:v>
      </x:c>
      <x:c r="G172" s="50" t="n">
        <x:f>IF(ISBLANK(E172),IF(F172="__BLANK__",0,1),IF(E172=F172,0,1))</x:f>
        <x:v>0</x:v>
      </x:c>
      <x:c r="H172" s="3"/>
      <x:c r="I172" s="3"/>
      <x:c r="J172" s="3"/>
      <x:c r="K172" s="3"/>
      <x:c r="L172" s="3"/>
      <x:c r="M172" s="3"/>
    </x:row>
    <x:row r="173" ht="19" customHeight="1">
      <x:c r="A173" s="2"/>
      <x:c r="B173" s="2"/>
      <x:c r="C173" s="2" t="str">
        <x:v>Assumptions!L24</x:v>
      </x:c>
      <x:c r="D173" s="2"/>
      <x:c r="E173" s="3"/>
      <x:c r="F173" s="50" t="str">
        <x:f>IF(ISBLANK('Assumptions'!L24),"__BLANK__",'Assumptions'!L24)</x:f>
        <x:v>__BLANK__</x:v>
      </x:c>
      <x:c r="G173" s="50" t="n">
        <x:f>IF(ISBLANK(E173),IF(F173="__BLANK__",0,1),IF(E173=F173,0,1))</x:f>
        <x:v>0</x:v>
      </x:c>
      <x:c r="H173" s="3"/>
      <x:c r="I173" s="3"/>
      <x:c r="J173" s="3"/>
      <x:c r="K173" s="3"/>
      <x:c r="L173" s="3"/>
      <x:c r="M173" s="3"/>
    </x:row>
    <x:row r="174" ht="19" customHeight="1">
      <x:c r="A174" s="2"/>
      <x:c r="B174" s="2"/>
      <x:c r="C174" s="2" t="str">
        <x:v>Assumptions!L25</x:v>
      </x:c>
      <x:c r="D174" s="2"/>
      <x:c r="E174" s="3"/>
      <x:c r="F174" s="50" t="str">
        <x:f>IF(ISBLANK('Assumptions'!L25),"__BLANK__",'Assumptions'!L25)</x:f>
        <x:v>__BLANK__</x:v>
      </x:c>
      <x:c r="G174" s="50" t="n">
        <x:f>IF(ISBLANK(E174),IF(F174="__BLANK__",0,1),IF(E174=F174,0,1))</x:f>
        <x:v>0</x:v>
      </x:c>
      <x:c r="H174" s="3"/>
      <x:c r="I174" s="3"/>
      <x:c r="J174" s="3"/>
      <x:c r="K174" s="3"/>
      <x:c r="L174" s="3"/>
      <x:c r="M174" s="3"/>
    </x:row>
    <x:row r="175" ht="19" customHeight="1">
      <x:c r="A175" s="2"/>
      <x:c r="B175" s="2"/>
      <x:c r="C175" s="2" t="str">
        <x:v>Assumptions!L26</x:v>
      </x:c>
      <x:c r="D175" s="2"/>
      <x:c r="E175" s="3"/>
      <x:c r="F175" s="50" t="str">
        <x:f>IF(ISBLANK('Assumptions'!L26),"__BLANK__",'Assumptions'!L26)</x:f>
        <x:v>__BLANK__</x:v>
      </x:c>
      <x:c r="G175" s="50" t="n">
        <x:f>IF(ISBLANK(E175),IF(F175="__BLANK__",0,1),IF(E175=F175,0,1))</x:f>
        <x:v>0</x:v>
      </x:c>
      <x:c r="H175" s="3"/>
      <x:c r="I175" s="3"/>
      <x:c r="J175" s="3"/>
      <x:c r="K175" s="3"/>
      <x:c r="L175" s="3"/>
      <x:c r="M175" s="3"/>
    </x:row>
    <x:row r="176" ht="19" customHeight="1">
      <x:c r="A176" s="2"/>
      <x:c r="B176" s="2"/>
      <x:c r="C176" s="2" t="str">
        <x:v>Assumptions!L27</x:v>
      </x:c>
      <x:c r="D176" s="2"/>
      <x:c r="E176" s="3"/>
      <x:c r="F176" s="50" t="str">
        <x:f>IF(ISBLANK('Assumptions'!L27),"__BLANK__",'Assumptions'!L27)</x:f>
        <x:v>__BLANK__</x:v>
      </x:c>
      <x:c r="G176" s="50" t="n">
        <x:f>IF(ISBLANK(E176),IF(F176="__BLANK__",0,1),IF(E176=F176,0,1))</x:f>
        <x:v>0</x:v>
      </x:c>
      <x:c r="H176" s="3"/>
      <x:c r="I176" s="3"/>
      <x:c r="J176" s="3"/>
      <x:c r="K176" s="3"/>
      <x:c r="L176" s="3"/>
      <x:c r="M176" s="3"/>
    </x:row>
    <x:row r="177" ht="19" customHeight="1">
      <x:c r="A177" s="2"/>
      <x:c r="B177" s="2"/>
      <x:c r="C177" s="2" t="str">
        <x:v>Assumptions!L28</x:v>
      </x:c>
      <x:c r="D177" s="2"/>
      <x:c r="E177" s="3"/>
      <x:c r="F177" s="50" t="str">
        <x:f>IF(ISBLANK('Assumptions'!L28),"__BLANK__",'Assumptions'!L28)</x:f>
        <x:v>__BLANK__</x:v>
      </x:c>
      <x:c r="G177" s="50" t="n">
        <x:f>IF(ISBLANK(E177),IF(F177="__BLANK__",0,1),IF(E177=F177,0,1))</x:f>
        <x:v>0</x:v>
      </x:c>
      <x:c r="H177" s="3"/>
      <x:c r="I177" s="3"/>
      <x:c r="J177" s="3"/>
      <x:c r="K177" s="3"/>
      <x:c r="L177" s="3"/>
      <x:c r="M177" s="3"/>
    </x:row>
    <x:row r="178" ht="19" customHeight="1">
      <x:c r="A178" s="2"/>
      <x:c r="B178" s="2"/>
      <x:c r="C178" s="2" t="str">
        <x:v>Assumptions!L29</x:v>
      </x:c>
      <x:c r="D178" s="2"/>
      <x:c r="E178" s="3"/>
      <x:c r="F178" s="50" t="str">
        <x:f>IF(ISBLANK('Assumptions'!L29),"__BLANK__",'Assumptions'!L29)</x:f>
        <x:v>__BLANK__</x:v>
      </x:c>
      <x:c r="G178" s="50" t="n">
        <x:f>IF(ISBLANK(E178),IF(F178="__BLANK__",0,1),IF(E178=F178,0,1))</x:f>
        <x:v>0</x:v>
      </x:c>
      <x:c r="H178" s="3"/>
      <x:c r="I178" s="3"/>
      <x:c r="J178" s="3"/>
      <x:c r="K178" s="3"/>
      <x:c r="L178" s="3"/>
      <x:c r="M178" s="3"/>
    </x:row>
    <x:row r="179" ht="19" customHeight="1">
      <x:c r="A179" s="2"/>
      <x:c r="B179" s="2"/>
      <x:c r="C179" s="2" t="str">
        <x:v>Assumptions!E31</x:v>
      </x:c>
      <x:c r="D179" s="2"/>
      <x:c r="E179" s="3"/>
      <x:c r="F179" s="50" t="str">
        <x:f>IF(ISBLANK('Assumptions'!E31),"__BLANK__",'Assumptions'!E31)</x:f>
        <x:v>__BLANK__</x:v>
      </x:c>
      <x:c r="G179" s="50" t="n">
        <x:f>IF(ISBLANK(E179),IF(F179="__BLANK__",0,1),IF(E179=F179,0,1))</x:f>
        <x:v>0</x:v>
      </x:c>
      <x:c r="H179" s="3"/>
      <x:c r="I179" s="3"/>
      <x:c r="J179" s="3"/>
      <x:c r="K179" s="3"/>
      <x:c r="L179" s="3"/>
      <x:c r="M179" s="3"/>
    </x:row>
    <x:row r="180" ht="19" customHeight="1">
      <x:c r="A180" s="2"/>
      <x:c r="B180" s="2"/>
      <x:c r="C180" s="2" t="str">
        <x:v>Assumptions!E32</x:v>
      </x:c>
      <x:c r="D180" s="2"/>
      <x:c r="E180" s="3"/>
      <x:c r="F180" s="50" t="str">
        <x:f>IF(ISBLANK('Assumptions'!E32),"__BLANK__",'Assumptions'!E32)</x:f>
        <x:v>__BLANK__</x:v>
      </x:c>
      <x:c r="G180" s="50" t="n">
        <x:f>IF(ISBLANK(E180),IF(F180="__BLANK__",0,1),IF(E180=F180,0,1))</x:f>
        <x:v>0</x:v>
      </x:c>
      <x:c r="H180" s="3"/>
      <x:c r="I180" s="3"/>
      <x:c r="J180" s="3"/>
      <x:c r="K180" s="3"/>
      <x:c r="L180" s="3"/>
      <x:c r="M180" s="3"/>
    </x:row>
    <x:row r="181" ht="19" customHeight="1">
      <x:c r="A181" s="2"/>
      <x:c r="B181" s="2"/>
      <x:c r="C181" s="2" t="str">
        <x:v>Assumptions!E33</x:v>
      </x:c>
      <x:c r="D181" s="2"/>
      <x:c r="E181" s="3"/>
      <x:c r="F181" s="50" t="str">
        <x:f>IF(ISBLANK('Assumptions'!E33),"__BLANK__",'Assumptions'!E33)</x:f>
        <x:v>__BLANK__</x:v>
      </x:c>
      <x:c r="G181" s="50" t="n">
        <x:f>IF(ISBLANK(E181),IF(F181="__BLANK__",0,1),IF(E181=F181,0,1))</x:f>
        <x:v>0</x:v>
      </x:c>
      <x:c r="H181" s="3"/>
      <x:c r="I181" s="3"/>
      <x:c r="J181" s="3"/>
      <x:c r="K181" s="3"/>
      <x:c r="L181" s="3"/>
      <x:c r="M181" s="3"/>
    </x:row>
    <x:row r="182" ht="19" customHeight="1">
      <x:c r="A182" s="2"/>
      <x:c r="B182" s="2"/>
      <x:c r="C182" s="2" t="str">
        <x:v>Assumptions!E34</x:v>
      </x:c>
      <x:c r="D182" s="2"/>
      <x:c r="E182" s="3"/>
      <x:c r="F182" s="50" t="str">
        <x:f>IF(ISBLANK('Assumptions'!E34),"__BLANK__",'Assumptions'!E34)</x:f>
        <x:v>__BLANK__</x:v>
      </x:c>
      <x:c r="G182" s="50" t="n">
        <x:f>IF(ISBLANK(E182),IF(F182="__BLANK__",0,1),IF(E182=F182,0,1))</x:f>
        <x:v>0</x:v>
      </x:c>
      <x:c r="H182" s="3"/>
      <x:c r="I182" s="3"/>
      <x:c r="J182" s="3"/>
      <x:c r="K182" s="3"/>
      <x:c r="L182" s="3"/>
      <x:c r="M182" s="3"/>
    </x:row>
    <x:row r="183" ht="19" customHeight="1">
      <x:c r="A183" s="2"/>
      <x:c r="B183" s="2"/>
      <x:c r="C183" s="2" t="str">
        <x:v>Assumptions!E35</x:v>
      </x:c>
      <x:c r="D183" s="2"/>
      <x:c r="E183" s="3"/>
      <x:c r="F183" s="50" t="str">
        <x:f>IF(ISBLANK('Assumptions'!E35),"__BLANK__",'Assumptions'!E35)</x:f>
        <x:v>__BLANK__</x:v>
      </x:c>
      <x:c r="G183" s="50" t="n">
        <x:f>IF(ISBLANK(E183),IF(F183="__BLANK__",0,1),IF(E183=F183,0,1))</x:f>
        <x:v>0</x:v>
      </x:c>
      <x:c r="H183" s="3"/>
      <x:c r="I183" s="3"/>
      <x:c r="J183" s="3"/>
      <x:c r="K183" s="3"/>
      <x:c r="L183" s="3"/>
      <x:c r="M183" s="3"/>
    </x:row>
    <x:row r="184" ht="19" customHeight="1">
      <x:c r="A184" s="2"/>
      <x:c r="B184" s="2"/>
      <x:c r="C184" s="2" t="str">
        <x:v>Assumptions!E36</x:v>
      </x:c>
      <x:c r="D184" s="2"/>
      <x:c r="E184" s="3"/>
      <x:c r="F184" s="50" t="str">
        <x:f>IF(ISBLANK('Assumptions'!E36),"__BLANK__",'Assumptions'!E36)</x:f>
        <x:v>__BLANK__</x:v>
      </x:c>
      <x:c r="G184" s="50" t="n">
        <x:f>IF(ISBLANK(E184),IF(F184="__BLANK__",0,1),IF(E184=F184,0,1))</x:f>
        <x:v>0</x:v>
      </x:c>
      <x:c r="H184" s="3"/>
      <x:c r="I184" s="3"/>
      <x:c r="J184" s="3"/>
      <x:c r="K184" s="3"/>
      <x:c r="L184" s="3"/>
      <x:c r="M184" s="3"/>
    </x:row>
    <x:row r="185" ht="19" customHeight="1">
      <x:c r="A185" s="2"/>
      <x:c r="B185" s="2"/>
      <x:c r="C185" s="2" t="str">
        <x:v>Assumptions!E37</x:v>
      </x:c>
      <x:c r="D185" s="2"/>
      <x:c r="E185" s="3"/>
      <x:c r="F185" s="50" t="str">
        <x:f>IF(ISBLANK('Assumptions'!E37),"__BLANK__",'Assumptions'!E37)</x:f>
        <x:v>__BLANK__</x:v>
      </x:c>
      <x:c r="G185" s="50" t="n">
        <x:f>IF(ISBLANK(E185),IF(F185="__BLANK__",0,1),IF(E185=F185,0,1))</x:f>
        <x:v>0</x:v>
      </x:c>
      <x:c r="H185" s="3"/>
      <x:c r="I185" s="3"/>
      <x:c r="J185" s="3"/>
      <x:c r="K185" s="3"/>
      <x:c r="L185" s="3"/>
      <x:c r="M185" s="3"/>
    </x:row>
    <x:row r="186" ht="19" customHeight="1">
      <x:c r="A186" s="2"/>
      <x:c r="B186" s="2"/>
      <x:c r="C186" s="2" t="str">
        <x:v>Assumptions!E38</x:v>
      </x:c>
      <x:c r="D186" s="2"/>
      <x:c r="E186" s="3"/>
      <x:c r="F186" s="50" t="str">
        <x:f>IF(ISBLANK('Assumptions'!E38),"__BLANK__",'Assumptions'!E38)</x:f>
        <x:v>__BLANK__</x:v>
      </x:c>
      <x:c r="G186" s="50" t="n">
        <x:f>IF(ISBLANK(E186),IF(F186="__BLANK__",0,1),IF(E186=F186,0,1))</x:f>
        <x:v>0</x:v>
      </x:c>
      <x:c r="H186" s="3"/>
      <x:c r="I186" s="3"/>
      <x:c r="J186" s="3"/>
      <x:c r="K186" s="3"/>
      <x:c r="L186" s="3"/>
      <x:c r="M186" s="3"/>
    </x:row>
    <x:row r="187" ht="19" customHeight="1">
      <x:c r="A187" s="2"/>
      <x:c r="B187" s="2"/>
      <x:c r="C187" s="2" t="str">
        <x:v>Assumptions!E39</x:v>
      </x:c>
      <x:c r="D187" s="2"/>
      <x:c r="E187" s="3"/>
      <x:c r="F187" s="50" t="str">
        <x:f>IF(ISBLANK('Assumptions'!E39),"__BLANK__",'Assumptions'!E39)</x:f>
        <x:v>__BLANK__</x:v>
      </x:c>
      <x:c r="G187" s="50" t="n">
        <x:f>IF(ISBLANK(E187),IF(F187="__BLANK__",0,1),IF(E187=F187,0,1))</x:f>
        <x:v>0</x:v>
      </x:c>
      <x:c r="H187" s="3"/>
      <x:c r="I187" s="3"/>
      <x:c r="J187" s="3"/>
      <x:c r="K187" s="3"/>
      <x:c r="L187" s="3"/>
      <x:c r="M187" s="3"/>
    </x:row>
    <x:row r="188" ht="19" customHeight="1">
      <x:c r="A188" s="2"/>
      <x:c r="B188" s="2"/>
      <x:c r="C188" s="2" t="str">
        <x:v>Assumptions!F31</x:v>
      </x:c>
      <x:c r="D188" s="2"/>
      <x:c r="E188" s="3"/>
      <x:c r="F188" s="50" t="str">
        <x:f>IF(ISBLANK('Assumptions'!F31),"__BLANK__",'Assumptions'!F31)</x:f>
        <x:v>__BLANK__</x:v>
      </x:c>
      <x:c r="G188" s="50" t="n">
        <x:f>IF(ISBLANK(E188),IF(F188="__BLANK__",0,1),IF(E188=F188,0,1))</x:f>
        <x:v>0</x:v>
      </x:c>
      <x:c r="H188" s="3"/>
      <x:c r="I188" s="3"/>
      <x:c r="J188" s="3"/>
      <x:c r="K188" s="3"/>
      <x:c r="L188" s="3"/>
      <x:c r="M188" s="3"/>
    </x:row>
    <x:row r="189" ht="19" customHeight="1">
      <x:c r="A189" s="2"/>
      <x:c r="B189" s="2"/>
      <x:c r="C189" s="2" t="str">
        <x:v>Assumptions!F32</x:v>
      </x:c>
      <x:c r="D189" s="2"/>
      <x:c r="E189" s="3"/>
      <x:c r="F189" s="50" t="str">
        <x:f>IF(ISBLANK('Assumptions'!F32),"__BLANK__",'Assumptions'!F32)</x:f>
        <x:v>__BLANK__</x:v>
      </x:c>
      <x:c r="G189" s="50" t="n">
        <x:f>IF(ISBLANK(E189),IF(F189="__BLANK__",0,1),IF(E189=F189,0,1))</x:f>
        <x:v>0</x:v>
      </x:c>
      <x:c r="H189" s="3"/>
      <x:c r="I189" s="3"/>
      <x:c r="J189" s="3"/>
      <x:c r="K189" s="3"/>
      <x:c r="L189" s="3"/>
      <x:c r="M189" s="3"/>
    </x:row>
    <x:row r="190" ht="19" customHeight="1">
      <x:c r="A190" s="2"/>
      <x:c r="B190" s="2"/>
      <x:c r="C190" s="2" t="str">
        <x:v>Assumptions!F33</x:v>
      </x:c>
      <x:c r="D190" s="2"/>
      <x:c r="E190" s="3"/>
      <x:c r="F190" s="50" t="str">
        <x:f>IF(ISBLANK('Assumptions'!F33),"__BLANK__",'Assumptions'!F33)</x:f>
        <x:v>__BLANK__</x:v>
      </x:c>
      <x:c r="G190" s="50" t="n">
        <x:f>IF(ISBLANK(E190),IF(F190="__BLANK__",0,1),IF(E190=F190,0,1))</x:f>
        <x:v>0</x:v>
      </x:c>
      <x:c r="H190" s="3"/>
      <x:c r="I190" s="3"/>
      <x:c r="J190" s="3"/>
      <x:c r="K190" s="3"/>
      <x:c r="L190" s="3"/>
      <x:c r="M190" s="3"/>
    </x:row>
    <x:row r="191" ht="19" customHeight="1">
      <x:c r="A191" s="2"/>
      <x:c r="B191" s="2"/>
      <x:c r="C191" s="2" t="str">
        <x:v>Assumptions!F34</x:v>
      </x:c>
      <x:c r="D191" s="2"/>
      <x:c r="E191" s="3"/>
      <x:c r="F191" s="50" t="str">
        <x:f>IF(ISBLANK('Assumptions'!F34),"__BLANK__",'Assumptions'!F34)</x:f>
        <x:v>__BLANK__</x:v>
      </x:c>
      <x:c r="G191" s="50" t="n">
        <x:f>IF(ISBLANK(E191),IF(F191="__BLANK__",0,1),IF(E191=F191,0,1))</x:f>
        <x:v>0</x:v>
      </x:c>
      <x:c r="H191" s="3"/>
      <x:c r="I191" s="3"/>
      <x:c r="J191" s="3"/>
      <x:c r="K191" s="3"/>
      <x:c r="L191" s="3"/>
      <x:c r="M191" s="3"/>
    </x:row>
    <x:row r="192" ht="19" customHeight="1">
      <x:c r="A192" s="2"/>
      <x:c r="B192" s="2"/>
      <x:c r="C192" s="2" t="str">
        <x:v>Assumptions!F35</x:v>
      </x:c>
      <x:c r="D192" s="2"/>
      <x:c r="E192" s="3"/>
      <x:c r="F192" s="50" t="str">
        <x:f>IF(ISBLANK('Assumptions'!F35),"__BLANK__",'Assumptions'!F35)</x:f>
        <x:v>__BLANK__</x:v>
      </x:c>
      <x:c r="G192" s="50" t="n">
        <x:f>IF(ISBLANK(E192),IF(F192="__BLANK__",0,1),IF(E192=F192,0,1))</x:f>
        <x:v>0</x:v>
      </x:c>
      <x:c r="H192" s="3"/>
      <x:c r="I192" s="3"/>
      <x:c r="J192" s="3"/>
      <x:c r="K192" s="3"/>
      <x:c r="L192" s="3"/>
      <x:c r="M192" s="3"/>
    </x:row>
    <x:row r="193" ht="19" customHeight="1">
      <x:c r="A193" s="2"/>
      <x:c r="B193" s="2"/>
      <x:c r="C193" s="2" t="str">
        <x:v>Assumptions!F36</x:v>
      </x:c>
      <x:c r="D193" s="2"/>
      <x:c r="E193" s="3"/>
      <x:c r="F193" s="50" t="str">
        <x:f>IF(ISBLANK('Assumptions'!F36),"__BLANK__",'Assumptions'!F36)</x:f>
        <x:v>__BLANK__</x:v>
      </x:c>
      <x:c r="G193" s="50" t="n">
        <x:f>IF(ISBLANK(E193),IF(F193="__BLANK__",0,1),IF(E193=F193,0,1))</x:f>
        <x:v>0</x:v>
      </x:c>
      <x:c r="H193" s="3"/>
      <x:c r="I193" s="3"/>
      <x:c r="J193" s="3"/>
      <x:c r="K193" s="3"/>
      <x:c r="L193" s="3"/>
      <x:c r="M193" s="3"/>
    </x:row>
    <x:row r="194" ht="19" customHeight="1">
      <x:c r="A194" s="2"/>
      <x:c r="B194" s="2"/>
      <x:c r="C194" s="2" t="str">
        <x:v>Assumptions!F37</x:v>
      </x:c>
      <x:c r="D194" s="2"/>
      <x:c r="E194" s="3"/>
      <x:c r="F194" s="50" t="str">
        <x:f>IF(ISBLANK('Assumptions'!F37),"__BLANK__",'Assumptions'!F37)</x:f>
        <x:v>__BLANK__</x:v>
      </x:c>
      <x:c r="G194" s="50" t="n">
        <x:f>IF(ISBLANK(E194),IF(F194="__BLANK__",0,1),IF(E194=F194,0,1))</x:f>
        <x:v>0</x:v>
      </x:c>
      <x:c r="H194" s="3"/>
      <x:c r="I194" s="3"/>
      <x:c r="J194" s="3"/>
      <x:c r="K194" s="3"/>
      <x:c r="L194" s="3"/>
      <x:c r="M194" s="3"/>
    </x:row>
    <x:row r="195" ht="19" customHeight="1">
      <x:c r="A195" s="2"/>
      <x:c r="B195" s="2"/>
      <x:c r="C195" s="2" t="str">
        <x:v>Assumptions!F38</x:v>
      </x:c>
      <x:c r="D195" s="2"/>
      <x:c r="E195" s="3"/>
      <x:c r="F195" s="50" t="str">
        <x:f>IF(ISBLANK('Assumptions'!F38),"__BLANK__",'Assumptions'!F38)</x:f>
        <x:v>__BLANK__</x:v>
      </x:c>
      <x:c r="G195" s="50" t="n">
        <x:f>IF(ISBLANK(E195),IF(F195="__BLANK__",0,1),IF(E195=F195,0,1))</x:f>
        <x:v>0</x:v>
      </x:c>
      <x:c r="H195" s="3"/>
      <x:c r="I195" s="3"/>
      <x:c r="J195" s="3"/>
      <x:c r="K195" s="3"/>
      <x:c r="L195" s="3"/>
      <x:c r="M195" s="3"/>
    </x:row>
    <x:row r="196" ht="19" customHeight="1">
      <x:c r="A196" s="2"/>
      <x:c r="B196" s="2"/>
      <x:c r="C196" s="2" t="str">
        <x:v>Assumptions!F39</x:v>
      </x:c>
      <x:c r="D196" s="2"/>
      <x:c r="E196" s="3"/>
      <x:c r="F196" s="50" t="str">
        <x:f>IF(ISBLANK('Assumptions'!F39),"__BLANK__",'Assumptions'!F39)</x:f>
        <x:v>__BLANK__</x:v>
      </x:c>
      <x:c r="G196" s="50" t="n">
        <x:f>IF(ISBLANK(E196),IF(F196="__BLANK__",0,1),IF(E196=F196,0,1))</x:f>
        <x:v>0</x:v>
      </x:c>
      <x:c r="H196" s="3"/>
      <x:c r="I196" s="3"/>
      <x:c r="J196" s="3"/>
      <x:c r="K196" s="3"/>
      <x:c r="L196" s="3"/>
      <x:c r="M196" s="3"/>
    </x:row>
    <x:row r="197" ht="19" customHeight="1">
      <x:c r="A197" s="2"/>
      <x:c r="B197" s="2"/>
      <x:c r="C197" s="2" t="str">
        <x:v>Assumptions!G31</x:v>
      </x:c>
      <x:c r="D197" s="2"/>
      <x:c r="E197" s="3"/>
      <x:c r="F197" s="50" t="str">
        <x:f>IF(ISBLANK('Assumptions'!G31),"__BLANK__",'Assumptions'!G31)</x:f>
        <x:v>__BLANK__</x:v>
      </x:c>
      <x:c r="G197" s="50" t="n">
        <x:f>IF(ISBLANK(E197),IF(F197="__BLANK__",0,1),IF(E197=F197,0,1))</x:f>
        <x:v>0</x:v>
      </x:c>
      <x:c r="H197" s="3"/>
      <x:c r="I197" s="3"/>
      <x:c r="J197" s="3"/>
      <x:c r="K197" s="3"/>
      <x:c r="L197" s="3"/>
      <x:c r="M197" s="3"/>
    </x:row>
    <x:row r="198" ht="19" customHeight="1">
      <x:c r="A198" s="2"/>
      <x:c r="B198" s="2"/>
      <x:c r="C198" s="2" t="str">
        <x:v>Assumptions!G32</x:v>
      </x:c>
      <x:c r="D198" s="2"/>
      <x:c r="E198" s="3"/>
      <x:c r="F198" s="50" t="str">
        <x:f>IF(ISBLANK('Assumptions'!G32),"__BLANK__",'Assumptions'!G32)</x:f>
        <x:v>__BLANK__</x:v>
      </x:c>
      <x:c r="G198" s="50" t="n">
        <x:f>IF(ISBLANK(E198),IF(F198="__BLANK__",0,1),IF(E198=F198,0,1))</x:f>
        <x:v>0</x:v>
      </x:c>
      <x:c r="H198" s="3"/>
      <x:c r="I198" s="3"/>
      <x:c r="J198" s="3"/>
      <x:c r="K198" s="3"/>
      <x:c r="L198" s="3"/>
      <x:c r="M198" s="3"/>
    </x:row>
    <x:row r="199" ht="19" customHeight="1">
      <x:c r="A199" s="2"/>
      <x:c r="B199" s="2"/>
      <x:c r="C199" s="2" t="str">
        <x:v>Assumptions!G33</x:v>
      </x:c>
      <x:c r="D199" s="2"/>
      <x:c r="E199" s="3" t="n">
        <x:v>26449.9723221329</x:v>
      </x:c>
      <x:c r="F199" s="50" t="n">
        <x:f>IF(ISBLANK('Assumptions'!G33),"__BLANK__",'Assumptions'!G33)</x:f>
        <x:v>26449.9723221329</x:v>
      </x:c>
      <x:c r="G199" s="50" t="n">
        <x:f>IF(ISBLANK(E199),IF(F199="__BLANK__",0,1),IF(E199=F199,0,1))</x:f>
        <x:v>0</x:v>
      </x:c>
      <x:c r="H199" s="3"/>
      <x:c r="I199" s="3"/>
      <x:c r="J199" s="3"/>
      <x:c r="K199" s="3"/>
      <x:c r="L199" s="3"/>
      <x:c r="M199" s="3"/>
    </x:row>
    <x:row r="200" ht="19" customHeight="1">
      <x:c r="A200" s="2"/>
      <x:c r="B200" s="2"/>
      <x:c r="C200" s="2" t="str">
        <x:v>Assumptions!G34</x:v>
      </x:c>
      <x:c r="D200" s="2"/>
      <x:c r="E200" s="3"/>
      <x:c r="F200" s="50" t="str">
        <x:f>IF(ISBLANK('Assumptions'!G34),"__BLANK__",'Assumptions'!G34)</x:f>
        <x:v>__BLANK__</x:v>
      </x:c>
      <x:c r="G200" s="50" t="n">
        <x:f>IF(ISBLANK(E200),IF(F200="__BLANK__",0,1),IF(E200=F200,0,1))</x:f>
        <x:v>0</x:v>
      </x:c>
      <x:c r="H200" s="3"/>
      <x:c r="I200" s="3"/>
      <x:c r="J200" s="3"/>
      <x:c r="K200" s="3"/>
      <x:c r="L200" s="3"/>
      <x:c r="M200" s="3"/>
    </x:row>
    <x:row r="201" ht="19" customHeight="1">
      <x:c r="A201" s="2"/>
      <x:c r="B201" s="2"/>
      <x:c r="C201" s="2" t="str">
        <x:v>Assumptions!G35</x:v>
      </x:c>
      <x:c r="D201" s="2"/>
      <x:c r="E201" s="3"/>
      <x:c r="F201" s="50" t="str">
        <x:f>IF(ISBLANK('Assumptions'!G35),"__BLANK__",'Assumptions'!G35)</x:f>
        <x:v>__BLANK__</x:v>
      </x:c>
      <x:c r="G201" s="50" t="n">
        <x:f>IF(ISBLANK(E201),IF(F201="__BLANK__",0,1),IF(E201=F201,0,1))</x:f>
        <x:v>0</x:v>
      </x:c>
      <x:c r="H201" s="3"/>
      <x:c r="I201" s="3"/>
      <x:c r="J201" s="3"/>
      <x:c r="K201" s="3"/>
      <x:c r="L201" s="3"/>
      <x:c r="M201" s="3"/>
    </x:row>
    <x:row r="202" ht="19" customHeight="1">
      <x:c r="A202" s="2"/>
      <x:c r="B202" s="2"/>
      <x:c r="C202" s="2" t="str">
        <x:v>Assumptions!G36</x:v>
      </x:c>
      <x:c r="D202" s="2"/>
      <x:c r="E202" s="3"/>
      <x:c r="F202" s="50" t="str">
        <x:f>IF(ISBLANK('Assumptions'!G36),"__BLANK__",'Assumptions'!G36)</x:f>
        <x:v>__BLANK__</x:v>
      </x:c>
      <x:c r="G202" s="50" t="n">
        <x:f>IF(ISBLANK(E202),IF(F202="__BLANK__",0,1),IF(E202=F202,0,1))</x:f>
        <x:v>0</x:v>
      </x:c>
      <x:c r="H202" s="3"/>
      <x:c r="I202" s="3"/>
      <x:c r="J202" s="3"/>
      <x:c r="K202" s="3"/>
      <x:c r="L202" s="3"/>
      <x:c r="M202" s="3"/>
    </x:row>
    <x:row r="203" ht="19" customHeight="1">
      <x:c r="A203" s="2"/>
      <x:c r="B203" s="2"/>
      <x:c r="C203" s="2" t="str">
        <x:v>Assumptions!G37</x:v>
      </x:c>
      <x:c r="D203" s="2"/>
      <x:c r="E203" s="3"/>
      <x:c r="F203" s="50" t="str">
        <x:f>IF(ISBLANK('Assumptions'!G37),"__BLANK__",'Assumptions'!G37)</x:f>
        <x:v>__BLANK__</x:v>
      </x:c>
      <x:c r="G203" s="50" t="n">
        <x:f>IF(ISBLANK(E203),IF(F203="__BLANK__",0,1),IF(E203=F203,0,1))</x:f>
        <x:v>0</x:v>
      </x:c>
      <x:c r="H203" s="3"/>
      <x:c r="I203" s="3"/>
      <x:c r="J203" s="3"/>
      <x:c r="K203" s="3"/>
      <x:c r="L203" s="3"/>
      <x:c r="M203" s="3"/>
    </x:row>
    <x:row r="204" ht="19" customHeight="1">
      <x:c r="A204" s="2"/>
      <x:c r="B204" s="2"/>
      <x:c r="C204" s="2" t="str">
        <x:v>Assumptions!G38</x:v>
      </x:c>
      <x:c r="D204" s="2"/>
      <x:c r="E204" s="3"/>
      <x:c r="F204" s="50" t="str">
        <x:f>IF(ISBLANK('Assumptions'!G38),"__BLANK__",'Assumptions'!G38)</x:f>
        <x:v>__BLANK__</x:v>
      </x:c>
      <x:c r="G204" s="50" t="n">
        <x:f>IF(ISBLANK(E204),IF(F204="__BLANK__",0,1),IF(E204=F204,0,1))</x:f>
        <x:v>0</x:v>
      </x:c>
      <x:c r="H204" s="3"/>
      <x:c r="I204" s="3"/>
      <x:c r="J204" s="3"/>
      <x:c r="K204" s="3"/>
      <x:c r="L204" s="3"/>
      <x:c r="M204" s="3"/>
    </x:row>
    <x:row r="205" ht="19" customHeight="1">
      <x:c r="A205" s="2"/>
      <x:c r="B205" s="2"/>
      <x:c r="C205" s="2" t="str">
        <x:v>Assumptions!G39</x:v>
      </x:c>
      <x:c r="D205" s="2"/>
      <x:c r="E205" s="3"/>
      <x:c r="F205" s="50" t="str">
        <x:f>IF(ISBLANK('Assumptions'!G39),"__BLANK__",'Assumptions'!G39)</x:f>
        <x:v>__BLANK__</x:v>
      </x:c>
      <x:c r="G205" s="50" t="n">
        <x:f>IF(ISBLANK(E205),IF(F205="__BLANK__",0,1),IF(E205=F205,0,1))</x:f>
        <x:v>0</x:v>
      </x:c>
      <x:c r="H205" s="3"/>
      <x:c r="I205" s="3"/>
      <x:c r="J205" s="3"/>
      <x:c r="K205" s="3"/>
      <x:c r="L205" s="3"/>
      <x:c r="M205" s="3"/>
    </x:row>
    <x:row r="206" ht="19" customHeight="1">
      <x:c r="A206" s="2"/>
      <x:c r="B206" s="2"/>
      <x:c r="C206" s="2" t="str">
        <x:v>Assumptions!H31</x:v>
      </x:c>
      <x:c r="D206" s="2"/>
      <x:c r="E206" s="3"/>
      <x:c r="F206" s="50" t="str">
        <x:f>IF(ISBLANK('Assumptions'!H31),"__BLANK__",'Assumptions'!H31)</x:f>
        <x:v>__BLANK__</x:v>
      </x:c>
      <x:c r="G206" s="50" t="n">
        <x:f>IF(ISBLANK(E206),IF(F206="__BLANK__",0,1),IF(E206=F206,0,1))</x:f>
        <x:v>0</x:v>
      </x:c>
      <x:c r="H206" s="3"/>
      <x:c r="I206" s="3"/>
      <x:c r="J206" s="3"/>
      <x:c r="K206" s="3"/>
      <x:c r="L206" s="3"/>
      <x:c r="M206" s="3"/>
    </x:row>
    <x:row r="207" ht="19" customHeight="1">
      <x:c r="A207" s="2"/>
      <x:c r="B207" s="2"/>
      <x:c r="C207" s="2" t="str">
        <x:v>Assumptions!H32</x:v>
      </x:c>
      <x:c r="D207" s="2"/>
      <x:c r="E207" s="3"/>
      <x:c r="F207" s="50" t="str">
        <x:f>IF(ISBLANK('Assumptions'!H32),"__BLANK__",'Assumptions'!H32)</x:f>
        <x:v>__BLANK__</x:v>
      </x:c>
      <x:c r="G207" s="50" t="n">
        <x:f>IF(ISBLANK(E207),IF(F207="__BLANK__",0,1),IF(E207=F207,0,1))</x:f>
        <x:v>0</x:v>
      </x:c>
      <x:c r="H207" s="3"/>
      <x:c r="I207" s="3"/>
      <x:c r="J207" s="3"/>
      <x:c r="K207" s="3"/>
      <x:c r="L207" s="3"/>
      <x:c r="M207" s="3"/>
    </x:row>
    <x:row r="208" ht="19" customHeight="1">
      <x:c r="A208" s="2"/>
      <x:c r="B208" s="2"/>
      <x:c r="C208" s="2" t="str">
        <x:v>Assumptions!H33</x:v>
      </x:c>
      <x:c r="D208" s="2"/>
      <x:c r="E208" s="3" t="n">
        <x:v>23562.4207585812</x:v>
      </x:c>
      <x:c r="F208" s="50" t="n">
        <x:f>IF(ISBLANK('Assumptions'!H33),"__BLANK__",'Assumptions'!H33)</x:f>
        <x:v>23562.4207585812</x:v>
      </x:c>
      <x:c r="G208" s="50" t="n">
        <x:f>IF(ISBLANK(E208),IF(F208="__BLANK__",0,1),IF(E208=F208,0,1))</x:f>
        <x:v>0</x:v>
      </x:c>
      <x:c r="H208" s="3"/>
      <x:c r="I208" s="3"/>
      <x:c r="J208" s="3"/>
      <x:c r="K208" s="3"/>
      <x:c r="L208" s="3"/>
      <x:c r="M208" s="3"/>
    </x:row>
    <x:row r="209" ht="19" customHeight="1">
      <x:c r="A209" s="2"/>
      <x:c r="B209" s="2"/>
      <x:c r="C209" s="2" t="str">
        <x:v>Assumptions!H34</x:v>
      </x:c>
      <x:c r="D209" s="2"/>
      <x:c r="E209" s="3"/>
      <x:c r="F209" s="50" t="str">
        <x:f>IF(ISBLANK('Assumptions'!H34),"__BLANK__",'Assumptions'!H34)</x:f>
        <x:v>__BLANK__</x:v>
      </x:c>
      <x:c r="G209" s="50" t="n">
        <x:f>IF(ISBLANK(E209),IF(F209="__BLANK__",0,1),IF(E209=F209,0,1))</x:f>
        <x:v>0</x:v>
      </x:c>
      <x:c r="H209" s="3"/>
      <x:c r="I209" s="3"/>
      <x:c r="J209" s="3"/>
      <x:c r="K209" s="3"/>
      <x:c r="L209" s="3"/>
      <x:c r="M209" s="3"/>
    </x:row>
    <x:row r="210" ht="19" customHeight="1">
      <x:c r="A210" s="2"/>
      <x:c r="B210" s="2"/>
      <x:c r="C210" s="2" t="str">
        <x:v>Assumptions!H35</x:v>
      </x:c>
      <x:c r="D210" s="2"/>
      <x:c r="E210" s="3"/>
      <x:c r="F210" s="50" t="str">
        <x:f>IF(ISBLANK('Assumptions'!H35),"__BLANK__",'Assumptions'!H35)</x:f>
        <x:v>__BLANK__</x:v>
      </x:c>
      <x:c r="G210" s="50" t="n">
        <x:f>IF(ISBLANK(E210),IF(F210="__BLANK__",0,1),IF(E210=F210,0,1))</x:f>
        <x:v>0</x:v>
      </x:c>
      <x:c r="H210" s="3"/>
      <x:c r="I210" s="3"/>
      <x:c r="J210" s="3"/>
      <x:c r="K210" s="3"/>
      <x:c r="L210" s="3"/>
      <x:c r="M210" s="3"/>
    </x:row>
    <x:row r="211" ht="19" customHeight="1">
      <x:c r="A211" s="2"/>
      <x:c r="B211" s="2"/>
      <x:c r="C211" s="2" t="str">
        <x:v>Assumptions!H36</x:v>
      </x:c>
      <x:c r="D211" s="2"/>
      <x:c r="E211" s="3"/>
      <x:c r="F211" s="50" t="str">
        <x:f>IF(ISBLANK('Assumptions'!H36),"__BLANK__",'Assumptions'!H36)</x:f>
        <x:v>__BLANK__</x:v>
      </x:c>
      <x:c r="G211" s="50" t="n">
        <x:f>IF(ISBLANK(E211),IF(F211="__BLANK__",0,1),IF(E211=F211,0,1))</x:f>
        <x:v>0</x:v>
      </x:c>
      <x:c r="H211" s="3"/>
      <x:c r="I211" s="3"/>
      <x:c r="J211" s="3"/>
      <x:c r="K211" s="3"/>
      <x:c r="L211" s="3"/>
      <x:c r="M211" s="3"/>
    </x:row>
    <x:row r="212" ht="19" customHeight="1">
      <x:c r="A212" s="2"/>
      <x:c r="B212" s="2"/>
      <x:c r="C212" s="2" t="str">
        <x:v>Assumptions!H37</x:v>
      </x:c>
      <x:c r="D212" s="2"/>
      <x:c r="E212" s="3"/>
      <x:c r="F212" s="50" t="str">
        <x:f>IF(ISBLANK('Assumptions'!H37),"__BLANK__",'Assumptions'!H37)</x:f>
        <x:v>__BLANK__</x:v>
      </x:c>
      <x:c r="G212" s="50" t="n">
        <x:f>IF(ISBLANK(E212),IF(F212="__BLANK__",0,1),IF(E212=F212,0,1))</x:f>
        <x:v>0</x:v>
      </x:c>
      <x:c r="H212" s="3"/>
      <x:c r="I212" s="3"/>
      <x:c r="J212" s="3"/>
      <x:c r="K212" s="3"/>
      <x:c r="L212" s="3"/>
      <x:c r="M212" s="3"/>
    </x:row>
    <x:row r="213" ht="19" customHeight="1">
      <x:c r="A213" s="2"/>
      <x:c r="B213" s="2"/>
      <x:c r="C213" s="2" t="str">
        <x:v>Assumptions!H38</x:v>
      </x:c>
      <x:c r="D213" s="2"/>
      <x:c r="E213" s="3"/>
      <x:c r="F213" s="50" t="str">
        <x:f>IF(ISBLANK('Assumptions'!H38),"__BLANK__",'Assumptions'!H38)</x:f>
        <x:v>__BLANK__</x:v>
      </x:c>
      <x:c r="G213" s="50" t="n">
        <x:f>IF(ISBLANK(E213),IF(F213="__BLANK__",0,1),IF(E213=F213,0,1))</x:f>
        <x:v>0</x:v>
      </x:c>
      <x:c r="H213" s="3"/>
      <x:c r="I213" s="3"/>
      <x:c r="J213" s="3"/>
      <x:c r="K213" s="3"/>
      <x:c r="L213" s="3"/>
      <x:c r="M213" s="3"/>
    </x:row>
    <x:row r="214" ht="19" customHeight="1">
      <x:c r="A214" s="2"/>
      <x:c r="B214" s="2"/>
      <x:c r="C214" s="2" t="str">
        <x:v>Assumptions!H39</x:v>
      </x:c>
      <x:c r="D214" s="2"/>
      <x:c r="E214" s="3"/>
      <x:c r="F214" s="50" t="str">
        <x:f>IF(ISBLANK('Assumptions'!H39),"__BLANK__",'Assumptions'!H39)</x:f>
        <x:v>__BLANK__</x:v>
      </x:c>
      <x:c r="G214" s="50" t="n">
        <x:f>IF(ISBLANK(E214),IF(F214="__BLANK__",0,1),IF(E214=F214,0,1))</x:f>
        <x:v>0</x:v>
      </x:c>
      <x:c r="H214" s="3"/>
      <x:c r="I214" s="3"/>
      <x:c r="J214" s="3"/>
      <x:c r="K214" s="3"/>
      <x:c r="L214" s="3"/>
      <x:c r="M214" s="3"/>
    </x:row>
    <x:row r="215" ht="19" customHeight="1">
      <x:c r="A215" s="2"/>
      <x:c r="B215" s="2"/>
      <x:c r="C215" s="2" t="str">
        <x:v>Assumptions!I31</x:v>
      </x:c>
      <x:c r="D215" s="2"/>
      <x:c r="E215" s="3"/>
      <x:c r="F215" s="50" t="str">
        <x:f>IF(ISBLANK('Assumptions'!I31),"__BLANK__",'Assumptions'!I31)</x:f>
        <x:v>__BLANK__</x:v>
      </x:c>
      <x:c r="G215" s="50" t="n">
        <x:f>IF(ISBLANK(E215),IF(F215="__BLANK__",0,1),IF(E215=F215,0,1))</x:f>
        <x:v>0</x:v>
      </x:c>
      <x:c r="H215" s="3"/>
      <x:c r="I215" s="3"/>
      <x:c r="J215" s="3"/>
      <x:c r="K215" s="3"/>
      <x:c r="L215" s="3"/>
      <x:c r="M215" s="3"/>
    </x:row>
    <x:row r="216" ht="19" customHeight="1">
      <x:c r="A216" s="2"/>
      <x:c r="B216" s="2"/>
      <x:c r="C216" s="2" t="str">
        <x:v>Assumptions!I32</x:v>
      </x:c>
      <x:c r="D216" s="2"/>
      <x:c r="E216" s="3"/>
      <x:c r="F216" s="50" t="str">
        <x:f>IF(ISBLANK('Assumptions'!I32),"__BLANK__",'Assumptions'!I32)</x:f>
        <x:v>__BLANK__</x:v>
      </x:c>
      <x:c r="G216" s="50" t="n">
        <x:f>IF(ISBLANK(E216),IF(F216="__BLANK__",0,1),IF(E216=F216,0,1))</x:f>
        <x:v>0</x:v>
      </x:c>
      <x:c r="H216" s="3"/>
      <x:c r="I216" s="3"/>
      <x:c r="J216" s="3"/>
      <x:c r="K216" s="3"/>
      <x:c r="L216" s="3"/>
      <x:c r="M216" s="3"/>
    </x:row>
    <x:row r="217" ht="19" customHeight="1">
      <x:c r="A217" s="2"/>
      <x:c r="B217" s="2"/>
      <x:c r="C217" s="2" t="str">
        <x:v>Assumptions!I33</x:v>
      </x:c>
      <x:c r="D217" s="2"/>
      <x:c r="E217" s="3"/>
      <x:c r="F217" s="50" t="str">
        <x:f>IF(ISBLANK('Assumptions'!I33),"__BLANK__",'Assumptions'!I33)</x:f>
        <x:v>__BLANK__</x:v>
      </x:c>
      <x:c r="G217" s="50" t="n">
        <x:f>IF(ISBLANK(E217),IF(F217="__BLANK__",0,1),IF(E217=F217,0,1))</x:f>
        <x:v>0</x:v>
      </x:c>
      <x:c r="H217" s="3"/>
      <x:c r="I217" s="3"/>
      <x:c r="J217" s="3"/>
      <x:c r="K217" s="3"/>
      <x:c r="L217" s="3"/>
      <x:c r="M217" s="3"/>
    </x:row>
    <x:row r="218" ht="19" customHeight="1">
      <x:c r="A218" s="2"/>
      <x:c r="B218" s="2"/>
      <x:c r="C218" s="2" t="str">
        <x:v>Assumptions!I34</x:v>
      </x:c>
      <x:c r="D218" s="2"/>
      <x:c r="E218" s="3"/>
      <x:c r="F218" s="50" t="str">
        <x:f>IF(ISBLANK('Assumptions'!I34),"__BLANK__",'Assumptions'!I34)</x:f>
        <x:v>__BLANK__</x:v>
      </x:c>
      <x:c r="G218" s="50" t="n">
        <x:f>IF(ISBLANK(E218),IF(F218="__BLANK__",0,1),IF(E218=F218,0,1))</x:f>
        <x:v>0</x:v>
      </x:c>
      <x:c r="H218" s="3"/>
      <x:c r="I218" s="3"/>
      <x:c r="J218" s="3"/>
      <x:c r="K218" s="3"/>
      <x:c r="L218" s="3"/>
      <x:c r="M218" s="3"/>
    </x:row>
    <x:row r="219" ht="19" customHeight="1">
      <x:c r="A219" s="2"/>
      <x:c r="B219" s="2"/>
      <x:c r="C219" s="2" t="str">
        <x:v>Assumptions!I35</x:v>
      </x:c>
      <x:c r="D219" s="2"/>
      <x:c r="E219" s="3"/>
      <x:c r="F219" s="50" t="str">
        <x:f>IF(ISBLANK('Assumptions'!I35),"__BLANK__",'Assumptions'!I35)</x:f>
        <x:v>__BLANK__</x:v>
      </x:c>
      <x:c r="G219" s="50" t="n">
        <x:f>IF(ISBLANK(E219),IF(F219="__BLANK__",0,1),IF(E219=F219,0,1))</x:f>
        <x:v>0</x:v>
      </x:c>
      <x:c r="H219" s="3"/>
      <x:c r="I219" s="3"/>
      <x:c r="J219" s="3"/>
      <x:c r="K219" s="3"/>
      <x:c r="L219" s="3"/>
      <x:c r="M219" s="3"/>
    </x:row>
    <x:row r="220" ht="19" customHeight="1">
      <x:c r="A220" s="2"/>
      <x:c r="B220" s="2"/>
      <x:c r="C220" s="2" t="str">
        <x:v>Assumptions!I36</x:v>
      </x:c>
      <x:c r="D220" s="2"/>
      <x:c r="E220" s="3"/>
      <x:c r="F220" s="50" t="str">
        <x:f>IF(ISBLANK('Assumptions'!I36),"__BLANK__",'Assumptions'!I36)</x:f>
        <x:v>__BLANK__</x:v>
      </x:c>
      <x:c r="G220" s="50" t="n">
        <x:f>IF(ISBLANK(E220),IF(F220="__BLANK__",0,1),IF(E220=F220,0,1))</x:f>
        <x:v>0</x:v>
      </x:c>
      <x:c r="H220" s="3"/>
      <x:c r="I220" s="3"/>
      <x:c r="J220" s="3"/>
      <x:c r="K220" s="3"/>
      <x:c r="L220" s="3"/>
      <x:c r="M220" s="3"/>
    </x:row>
    <x:row r="221" ht="19" customHeight="1">
      <x:c r="A221" s="2"/>
      <x:c r="B221" s="2"/>
      <x:c r="C221" s="2" t="str">
        <x:v>Assumptions!I37</x:v>
      </x:c>
      <x:c r="D221" s="2"/>
      <x:c r="E221" s="3"/>
      <x:c r="F221" s="50" t="str">
        <x:f>IF(ISBLANK('Assumptions'!I37),"__BLANK__",'Assumptions'!I37)</x:f>
        <x:v>__BLANK__</x:v>
      </x:c>
      <x:c r="G221" s="50" t="n">
        <x:f>IF(ISBLANK(E221),IF(F221="__BLANK__",0,1),IF(E221=F221,0,1))</x:f>
        <x:v>0</x:v>
      </x:c>
      <x:c r="H221" s="3"/>
      <x:c r="I221" s="3"/>
      <x:c r="J221" s="3"/>
      <x:c r="K221" s="3"/>
      <x:c r="L221" s="3"/>
      <x:c r="M221" s="3"/>
    </x:row>
    <x:row r="222" ht="19" customHeight="1">
      <x:c r="A222" s="2"/>
      <x:c r="B222" s="2"/>
      <x:c r="C222" s="2" t="str">
        <x:v>Assumptions!I38</x:v>
      </x:c>
      <x:c r="D222" s="2"/>
      <x:c r="E222" s="3"/>
      <x:c r="F222" s="50" t="str">
        <x:f>IF(ISBLANK('Assumptions'!I38),"__BLANK__",'Assumptions'!I38)</x:f>
        <x:v>__BLANK__</x:v>
      </x:c>
      <x:c r="G222" s="50" t="n">
        <x:f>IF(ISBLANK(E222),IF(F222="__BLANK__",0,1),IF(E222=F222,0,1))</x:f>
        <x:v>0</x:v>
      </x:c>
      <x:c r="H222" s="3"/>
      <x:c r="I222" s="3"/>
      <x:c r="J222" s="3"/>
      <x:c r="K222" s="3"/>
      <x:c r="L222" s="3"/>
      <x:c r="M222" s="3"/>
    </x:row>
    <x:row r="223" ht="19" customHeight="1">
      <x:c r="A223" s="2"/>
      <x:c r="B223" s="2"/>
      <x:c r="C223" s="2" t="str">
        <x:v>Assumptions!I39</x:v>
      </x:c>
      <x:c r="D223" s="2"/>
      <x:c r="E223" s="3"/>
      <x:c r="F223" s="50" t="str">
        <x:f>IF(ISBLANK('Assumptions'!I39),"__BLANK__",'Assumptions'!I39)</x:f>
        <x:v>__BLANK__</x:v>
      </x:c>
      <x:c r="G223" s="50" t="n">
        <x:f>IF(ISBLANK(E223),IF(F223="__BLANK__",0,1),IF(E223=F223,0,1))</x:f>
        <x:v>0</x:v>
      </x:c>
      <x:c r="H223" s="3"/>
      <x:c r="I223" s="3"/>
      <x:c r="J223" s="3"/>
      <x:c r="K223" s="3"/>
      <x:c r="L223" s="3"/>
      <x:c r="M223" s="3"/>
    </x:row>
    <x:row r="224" ht="19" customHeight="1">
      <x:c r="A224" s="2"/>
      <x:c r="B224" s="2"/>
      <x:c r="C224" s="2" t="str">
        <x:v>Assumptions!J31</x:v>
      </x:c>
      <x:c r="D224" s="2"/>
      <x:c r="E224" s="3"/>
      <x:c r="F224" s="50" t="str">
        <x:f>IF(ISBLANK('Assumptions'!J31),"__BLANK__",'Assumptions'!J31)</x:f>
        <x:v>__BLANK__</x:v>
      </x:c>
      <x:c r="G224" s="50" t="n">
        <x:f>IF(ISBLANK(E224),IF(F224="__BLANK__",0,1),IF(E224=F224,0,1))</x:f>
        <x:v>0</x:v>
      </x:c>
      <x:c r="H224" s="3"/>
      <x:c r="I224" s="3"/>
      <x:c r="J224" s="3"/>
      <x:c r="K224" s="3"/>
      <x:c r="L224" s="3"/>
      <x:c r="M224" s="3"/>
    </x:row>
    <x:row r="225" ht="19" customHeight="1">
      <x:c r="A225" s="2"/>
      <x:c r="B225" s="2"/>
      <x:c r="C225" s="2" t="str">
        <x:v>Assumptions!J32</x:v>
      </x:c>
      <x:c r="D225" s="2"/>
      <x:c r="E225" s="3"/>
      <x:c r="F225" s="50" t="str">
        <x:f>IF(ISBLANK('Assumptions'!J32),"__BLANK__",'Assumptions'!J32)</x:f>
        <x:v>__BLANK__</x:v>
      </x:c>
      <x:c r="G225" s="50" t="n">
        <x:f>IF(ISBLANK(E225),IF(F225="__BLANK__",0,1),IF(E225=F225,0,1))</x:f>
        <x:v>0</x:v>
      </x:c>
      <x:c r="H225" s="3"/>
      <x:c r="I225" s="3"/>
      <x:c r="J225" s="3"/>
      <x:c r="K225" s="3"/>
      <x:c r="L225" s="3"/>
      <x:c r="M225" s="3"/>
    </x:row>
    <x:row r="226" ht="19" customHeight="1">
      <x:c r="A226" s="2"/>
      <x:c r="B226" s="2"/>
      <x:c r="C226" s="2" t="str">
        <x:v>Assumptions!J33</x:v>
      </x:c>
      <x:c r="D226" s="2"/>
      <x:c r="E226" s="3"/>
      <x:c r="F226" s="50" t="str">
        <x:f>IF(ISBLANK('Assumptions'!J33),"__BLANK__",'Assumptions'!J33)</x:f>
        <x:v>__BLANK__</x:v>
      </x:c>
      <x:c r="G226" s="50" t="n">
        <x:f>IF(ISBLANK(E226),IF(F226="__BLANK__",0,1),IF(E226=F226,0,1))</x:f>
        <x:v>0</x:v>
      </x:c>
      <x:c r="H226" s="3"/>
      <x:c r="I226" s="3"/>
      <x:c r="J226" s="3"/>
      <x:c r="K226" s="3"/>
      <x:c r="L226" s="3"/>
      <x:c r="M226" s="3"/>
    </x:row>
    <x:row r="227" ht="19" customHeight="1">
      <x:c r="A227" s="2"/>
      <x:c r="B227" s="2"/>
      <x:c r="C227" s="2" t="str">
        <x:v>Assumptions!J34</x:v>
      </x:c>
      <x:c r="D227" s="2"/>
      <x:c r="E227" s="3"/>
      <x:c r="F227" s="50" t="str">
        <x:f>IF(ISBLANK('Assumptions'!J34),"__BLANK__",'Assumptions'!J34)</x:f>
        <x:v>__BLANK__</x:v>
      </x:c>
      <x:c r="G227" s="50" t="n">
        <x:f>IF(ISBLANK(E227),IF(F227="__BLANK__",0,1),IF(E227=F227,0,1))</x:f>
        <x:v>0</x:v>
      </x:c>
      <x:c r="H227" s="3"/>
      <x:c r="I227" s="3"/>
      <x:c r="J227" s="3"/>
      <x:c r="K227" s="3"/>
      <x:c r="L227" s="3"/>
      <x:c r="M227" s="3"/>
    </x:row>
    <x:row r="228" ht="19" customHeight="1">
      <x:c r="A228" s="2"/>
      <x:c r="B228" s="2"/>
      <x:c r="C228" s="2" t="str">
        <x:v>Assumptions!J35</x:v>
      </x:c>
      <x:c r="D228" s="2"/>
      <x:c r="E228" s="3"/>
      <x:c r="F228" s="50" t="str">
        <x:f>IF(ISBLANK('Assumptions'!J35),"__BLANK__",'Assumptions'!J35)</x:f>
        <x:v>__BLANK__</x:v>
      </x:c>
      <x:c r="G228" s="50" t="n">
        <x:f>IF(ISBLANK(E228),IF(F228="__BLANK__",0,1),IF(E228=F228,0,1))</x:f>
        <x:v>0</x:v>
      </x:c>
      <x:c r="H228" s="3"/>
      <x:c r="I228" s="3"/>
      <x:c r="J228" s="3"/>
      <x:c r="K228" s="3"/>
      <x:c r="L228" s="3"/>
      <x:c r="M228" s="3"/>
    </x:row>
    <x:row r="229" ht="19" customHeight="1">
      <x:c r="A229" s="2"/>
      <x:c r="B229" s="2"/>
      <x:c r="C229" s="2" t="str">
        <x:v>Assumptions!J36</x:v>
      </x:c>
      <x:c r="D229" s="2"/>
      <x:c r="E229" s="3"/>
      <x:c r="F229" s="50" t="str">
        <x:f>IF(ISBLANK('Assumptions'!J36),"__BLANK__",'Assumptions'!J36)</x:f>
        <x:v>__BLANK__</x:v>
      </x:c>
      <x:c r="G229" s="50" t="n">
        <x:f>IF(ISBLANK(E229),IF(F229="__BLANK__",0,1),IF(E229=F229,0,1))</x:f>
        <x:v>0</x:v>
      </x:c>
      <x:c r="H229" s="3"/>
      <x:c r="I229" s="3"/>
      <x:c r="J229" s="3"/>
      <x:c r="K229" s="3"/>
      <x:c r="L229" s="3"/>
      <x:c r="M229" s="3"/>
    </x:row>
    <x:row r="230" ht="19" customHeight="1">
      <x:c r="A230" s="2"/>
      <x:c r="B230" s="2"/>
      <x:c r="C230" s="2" t="str">
        <x:v>Assumptions!J37</x:v>
      </x:c>
      <x:c r="D230" s="2"/>
      <x:c r="E230" s="3"/>
      <x:c r="F230" s="50" t="str">
        <x:f>IF(ISBLANK('Assumptions'!J37),"__BLANK__",'Assumptions'!J37)</x:f>
        <x:v>__BLANK__</x:v>
      </x:c>
      <x:c r="G230" s="50" t="n">
        <x:f>IF(ISBLANK(E230),IF(F230="__BLANK__",0,1),IF(E230=F230,0,1))</x:f>
        <x:v>0</x:v>
      </x:c>
      <x:c r="H230" s="3"/>
      <x:c r="I230" s="3"/>
      <x:c r="J230" s="3"/>
      <x:c r="K230" s="3"/>
      <x:c r="L230" s="3"/>
      <x:c r="M230" s="3"/>
    </x:row>
    <x:row r="231" ht="19" customHeight="1">
      <x:c r="A231" s="2"/>
      <x:c r="B231" s="2"/>
      <x:c r="C231" s="2" t="str">
        <x:v>Assumptions!J38</x:v>
      </x:c>
      <x:c r="D231" s="2"/>
      <x:c r="E231" s="3"/>
      <x:c r="F231" s="50" t="str">
        <x:f>IF(ISBLANK('Assumptions'!J38),"__BLANK__",'Assumptions'!J38)</x:f>
        <x:v>__BLANK__</x:v>
      </x:c>
      <x:c r="G231" s="50" t="n">
        <x:f>IF(ISBLANK(E231),IF(F231="__BLANK__",0,1),IF(E231=F231,0,1))</x:f>
        <x:v>0</x:v>
      </x:c>
      <x:c r="H231" s="3"/>
      <x:c r="I231" s="3"/>
      <x:c r="J231" s="3"/>
      <x:c r="K231" s="3"/>
      <x:c r="L231" s="3"/>
      <x:c r="M231" s="3"/>
    </x:row>
    <x:row r="232" ht="19" customHeight="1">
      <x:c r="A232" s="2"/>
      <x:c r="B232" s="2"/>
      <x:c r="C232" s="2" t="str">
        <x:v>Assumptions!J39</x:v>
      </x:c>
      <x:c r="D232" s="2"/>
      <x:c r="E232" s="3"/>
      <x:c r="F232" s="50" t="str">
        <x:f>IF(ISBLANK('Assumptions'!J39),"__BLANK__",'Assumptions'!J39)</x:f>
        <x:v>__BLANK__</x:v>
      </x:c>
      <x:c r="G232" s="50" t="n">
        <x:f>IF(ISBLANK(E232),IF(F232="__BLANK__",0,1),IF(E232=F232,0,1))</x:f>
        <x:v>0</x:v>
      </x:c>
      <x:c r="H232" s="3"/>
      <x:c r="I232" s="3"/>
      <x:c r="J232" s="3"/>
      <x:c r="K232" s="3"/>
      <x:c r="L232" s="3"/>
      <x:c r="M232" s="3"/>
    </x:row>
    <x:row r="233" ht="19" customHeight="1">
      <x:c r="A233" s="2"/>
      <x:c r="B233" s="2"/>
      <x:c r="C233" s="2" t="str">
        <x:v>Assumptions!K31</x:v>
      </x:c>
      <x:c r="D233" s="2"/>
      <x:c r="E233" s="3"/>
      <x:c r="F233" s="50" t="str">
        <x:f>IF(ISBLANK('Assumptions'!K31),"__BLANK__",'Assumptions'!K31)</x:f>
        <x:v>__BLANK__</x:v>
      </x:c>
      <x:c r="G233" s="50" t="n">
        <x:f>IF(ISBLANK(E233),IF(F233="__BLANK__",0,1),IF(E233=F233,0,1))</x:f>
        <x:v>0</x:v>
      </x:c>
      <x:c r="H233" s="3"/>
      <x:c r="I233" s="3"/>
      <x:c r="J233" s="3"/>
      <x:c r="K233" s="3"/>
      <x:c r="L233" s="3"/>
      <x:c r="M233" s="3"/>
    </x:row>
    <x:row r="234" ht="19" customHeight="1">
      <x:c r="A234" s="2"/>
      <x:c r="B234" s="2"/>
      <x:c r="C234" s="2" t="str">
        <x:v>Assumptions!K32</x:v>
      </x:c>
      <x:c r="D234" s="2"/>
      <x:c r="E234" s="3"/>
      <x:c r="F234" s="50" t="str">
        <x:f>IF(ISBLANK('Assumptions'!K32),"__BLANK__",'Assumptions'!K32)</x:f>
        <x:v>__BLANK__</x:v>
      </x:c>
      <x:c r="G234" s="50" t="n">
        <x:f>IF(ISBLANK(E234),IF(F234="__BLANK__",0,1),IF(E234=F234,0,1))</x:f>
        <x:v>0</x:v>
      </x:c>
      <x:c r="H234" s="3"/>
      <x:c r="I234" s="3"/>
      <x:c r="J234" s="3"/>
      <x:c r="K234" s="3"/>
      <x:c r="L234" s="3"/>
      <x:c r="M234" s="3"/>
    </x:row>
    <x:row r="235" ht="19" customHeight="1">
      <x:c r="A235" s="2"/>
      <x:c r="B235" s="2"/>
      <x:c r="C235" s="2" t="str">
        <x:v>Assumptions!K33</x:v>
      </x:c>
      <x:c r="D235" s="2"/>
      <x:c r="E235" s="3"/>
      <x:c r="F235" s="50" t="str">
        <x:f>IF(ISBLANK('Assumptions'!K33),"__BLANK__",'Assumptions'!K33)</x:f>
        <x:v>__BLANK__</x:v>
      </x:c>
      <x:c r="G235" s="50" t="n">
        <x:f>IF(ISBLANK(E235),IF(F235="__BLANK__",0,1),IF(E235=F235,0,1))</x:f>
        <x:v>0</x:v>
      </x:c>
      <x:c r="H235" s="3"/>
      <x:c r="I235" s="3"/>
      <x:c r="J235" s="3"/>
      <x:c r="K235" s="3"/>
      <x:c r="L235" s="3"/>
      <x:c r="M235" s="3"/>
    </x:row>
    <x:row r="236" ht="19" customHeight="1">
      <x:c r="A236" s="2"/>
      <x:c r="B236" s="2"/>
      <x:c r="C236" s="2" t="str">
        <x:v>Assumptions!K34</x:v>
      </x:c>
      <x:c r="D236" s="2"/>
      <x:c r="E236" s="3"/>
      <x:c r="F236" s="50" t="str">
        <x:f>IF(ISBLANK('Assumptions'!K34),"__BLANK__",'Assumptions'!K34)</x:f>
        <x:v>__BLANK__</x:v>
      </x:c>
      <x:c r="G236" s="50" t="n">
        <x:f>IF(ISBLANK(E236),IF(F236="__BLANK__",0,1),IF(E236=F236,0,1))</x:f>
        <x:v>0</x:v>
      </x:c>
      <x:c r="H236" s="3"/>
      <x:c r="I236" s="3"/>
      <x:c r="J236" s="3"/>
      <x:c r="K236" s="3"/>
      <x:c r="L236" s="3"/>
      <x:c r="M236" s="3"/>
    </x:row>
    <x:row r="237" ht="19" customHeight="1">
      <x:c r="A237" s="2"/>
      <x:c r="B237" s="2"/>
      <x:c r="C237" s="2" t="str">
        <x:v>Assumptions!K35</x:v>
      </x:c>
      <x:c r="D237" s="2"/>
      <x:c r="E237" s="3"/>
      <x:c r="F237" s="50" t="str">
        <x:f>IF(ISBLANK('Assumptions'!K35),"__BLANK__",'Assumptions'!K35)</x:f>
        <x:v>__BLANK__</x:v>
      </x:c>
      <x:c r="G237" s="50" t="n">
        <x:f>IF(ISBLANK(E237),IF(F237="__BLANK__",0,1),IF(E237=F237,0,1))</x:f>
        <x:v>0</x:v>
      </x:c>
      <x:c r="H237" s="3"/>
      <x:c r="I237" s="3"/>
      <x:c r="J237" s="3"/>
      <x:c r="K237" s="3"/>
      <x:c r="L237" s="3"/>
      <x:c r="M237" s="3"/>
    </x:row>
    <x:row r="238" ht="19" customHeight="1">
      <x:c r="A238" s="2"/>
      <x:c r="B238" s="2"/>
      <x:c r="C238" s="2" t="str">
        <x:v>Assumptions!K36</x:v>
      </x:c>
      <x:c r="D238" s="2"/>
      <x:c r="E238" s="3"/>
      <x:c r="F238" s="50" t="str">
        <x:f>IF(ISBLANK('Assumptions'!K36),"__BLANK__",'Assumptions'!K36)</x:f>
        <x:v>__BLANK__</x:v>
      </x:c>
      <x:c r="G238" s="50" t="n">
        <x:f>IF(ISBLANK(E238),IF(F238="__BLANK__",0,1),IF(E238=F238,0,1))</x:f>
        <x:v>0</x:v>
      </x:c>
      <x:c r="H238" s="3"/>
      <x:c r="I238" s="3"/>
      <x:c r="J238" s="3"/>
      <x:c r="K238" s="3"/>
      <x:c r="L238" s="3"/>
      <x:c r="M238" s="3"/>
    </x:row>
    <x:row r="239" ht="19" customHeight="1">
      <x:c r="A239" s="2"/>
      <x:c r="B239" s="2"/>
      <x:c r="C239" s="2" t="str">
        <x:v>Assumptions!K37</x:v>
      </x:c>
      <x:c r="D239" s="2"/>
      <x:c r="E239" s="3"/>
      <x:c r="F239" s="50" t="str">
        <x:f>IF(ISBLANK('Assumptions'!K37),"__BLANK__",'Assumptions'!K37)</x:f>
        <x:v>__BLANK__</x:v>
      </x:c>
      <x:c r="G239" s="50" t="n">
        <x:f>IF(ISBLANK(E239),IF(F239="__BLANK__",0,1),IF(E239=F239,0,1))</x:f>
        <x:v>0</x:v>
      </x:c>
      <x:c r="H239" s="3"/>
      <x:c r="I239" s="3"/>
      <x:c r="J239" s="3"/>
      <x:c r="K239" s="3"/>
      <x:c r="L239" s="3"/>
      <x:c r="M239" s="3"/>
    </x:row>
    <x:row r="240" ht="19" customHeight="1">
      <x:c r="A240" s="2"/>
      <x:c r="B240" s="2"/>
      <x:c r="C240" s="2" t="str">
        <x:v>Assumptions!K38</x:v>
      </x:c>
      <x:c r="D240" s="2"/>
      <x:c r="E240" s="3"/>
      <x:c r="F240" s="50" t="str">
        <x:f>IF(ISBLANK('Assumptions'!K38),"__BLANK__",'Assumptions'!K38)</x:f>
        <x:v>__BLANK__</x:v>
      </x:c>
      <x:c r="G240" s="50" t="n">
        <x:f>IF(ISBLANK(E240),IF(F240="__BLANK__",0,1),IF(E240=F240,0,1))</x:f>
        <x:v>0</x:v>
      </x:c>
      <x:c r="H240" s="3"/>
      <x:c r="I240" s="3"/>
      <x:c r="J240" s="3"/>
      <x:c r="K240" s="3"/>
      <x:c r="L240" s="3"/>
      <x:c r="M240" s="3"/>
    </x:row>
    <x:row r="241" ht="19" customHeight="1">
      <x:c r="A241" s="2"/>
      <x:c r="B241" s="2"/>
      <x:c r="C241" s="2" t="str">
        <x:v>Assumptions!K39</x:v>
      </x:c>
      <x:c r="D241" s="2"/>
      <x:c r="E241" s="3"/>
      <x:c r="F241" s="50" t="str">
        <x:f>IF(ISBLANK('Assumptions'!K39),"__BLANK__",'Assumptions'!K39)</x:f>
        <x:v>__BLANK__</x:v>
      </x:c>
      <x:c r="G241" s="50" t="n">
        <x:f>IF(ISBLANK(E241),IF(F241="__BLANK__",0,1),IF(E241=F241,0,1))</x:f>
        <x:v>0</x:v>
      </x:c>
      <x:c r="H241" s="3"/>
      <x:c r="I241" s="3"/>
      <x:c r="J241" s="3"/>
      <x:c r="K241" s="3"/>
      <x:c r="L241" s="3"/>
      <x:c r="M241" s="3"/>
    </x:row>
    <x:row r="242" ht="19" customHeight="1">
      <x:c r="A242" s="2"/>
      <x:c r="B242" s="2"/>
      <x:c r="C242" s="2" t="str">
        <x:v>Assumptions!L31</x:v>
      </x:c>
      <x:c r="D242" s="2"/>
      <x:c r="E242" s="3"/>
      <x:c r="F242" s="50" t="str">
        <x:f>IF(ISBLANK('Assumptions'!L31),"__BLANK__",'Assumptions'!L31)</x:f>
        <x:v>__BLANK__</x:v>
      </x:c>
      <x:c r="G242" s="50" t="n">
        <x:f>IF(ISBLANK(E242),IF(F242="__BLANK__",0,1),IF(E242=F242,0,1))</x:f>
        <x:v>0</x:v>
      </x:c>
      <x:c r="H242" s="3"/>
      <x:c r="I242" s="3"/>
      <x:c r="J242" s="3"/>
      <x:c r="K242" s="3"/>
      <x:c r="L242" s="3"/>
      <x:c r="M242" s="3"/>
    </x:row>
    <x:row r="243" ht="19" customHeight="1">
      <x:c r="A243" s="2"/>
      <x:c r="B243" s="2"/>
      <x:c r="C243" s="2" t="str">
        <x:v>Assumptions!L32</x:v>
      </x:c>
      <x:c r="D243" s="2"/>
      <x:c r="E243" s="3"/>
      <x:c r="F243" s="50" t="str">
        <x:f>IF(ISBLANK('Assumptions'!L32),"__BLANK__",'Assumptions'!L32)</x:f>
        <x:v>__BLANK__</x:v>
      </x:c>
      <x:c r="G243" s="50" t="n">
        <x:f>IF(ISBLANK(E243),IF(F243="__BLANK__",0,1),IF(E243=F243,0,1))</x:f>
        <x:v>0</x:v>
      </x:c>
      <x:c r="H243" s="3"/>
      <x:c r="I243" s="3"/>
      <x:c r="J243" s="3"/>
      <x:c r="K243" s="3"/>
      <x:c r="L243" s="3"/>
      <x:c r="M243" s="3"/>
    </x:row>
    <x:row r="244" ht="19" customHeight="1">
      <x:c r="A244" s="2"/>
      <x:c r="B244" s="2"/>
      <x:c r="C244" s="2" t="str">
        <x:v>Assumptions!L33</x:v>
      </x:c>
      <x:c r="D244" s="2"/>
      <x:c r="E244" s="3"/>
      <x:c r="F244" s="50" t="str">
        <x:f>IF(ISBLANK('Assumptions'!L33),"__BLANK__",'Assumptions'!L33)</x:f>
        <x:v>__BLANK__</x:v>
      </x:c>
      <x:c r="G244" s="50" t="n">
        <x:f>IF(ISBLANK(E244),IF(F244="__BLANK__",0,1),IF(E244=F244,0,1))</x:f>
        <x:v>0</x:v>
      </x:c>
      <x:c r="H244" s="3"/>
      <x:c r="I244" s="3"/>
      <x:c r="J244" s="3"/>
      <x:c r="K244" s="3"/>
      <x:c r="L244" s="3"/>
      <x:c r="M244" s="3"/>
    </x:row>
    <x:row r="245" ht="19" customHeight="1">
      <x:c r="A245" s="2"/>
      <x:c r="B245" s="2"/>
      <x:c r="C245" s="2" t="str">
        <x:v>Assumptions!L34</x:v>
      </x:c>
      <x:c r="D245" s="2"/>
      <x:c r="E245" s="3"/>
      <x:c r="F245" s="50" t="str">
        <x:f>IF(ISBLANK('Assumptions'!L34),"__BLANK__",'Assumptions'!L34)</x:f>
        <x:v>__BLANK__</x:v>
      </x:c>
      <x:c r="G245" s="50" t="n">
        <x:f>IF(ISBLANK(E245),IF(F245="__BLANK__",0,1),IF(E245=F245,0,1))</x:f>
        <x:v>0</x:v>
      </x:c>
      <x:c r="H245" s="3"/>
      <x:c r="I245" s="3"/>
      <x:c r="J245" s="3"/>
      <x:c r="K245" s="3"/>
      <x:c r="L245" s="3"/>
      <x:c r="M245" s="3"/>
    </x:row>
    <x:row r="246" ht="19" customHeight="1">
      <x:c r="A246" s="2"/>
      <x:c r="B246" s="2"/>
      <x:c r="C246" s="2" t="str">
        <x:v>Assumptions!L35</x:v>
      </x:c>
      <x:c r="D246" s="2"/>
      <x:c r="E246" s="3"/>
      <x:c r="F246" s="50" t="str">
        <x:f>IF(ISBLANK('Assumptions'!L35),"__BLANK__",'Assumptions'!L35)</x:f>
        <x:v>__BLANK__</x:v>
      </x:c>
      <x:c r="G246" s="50" t="n">
        <x:f>IF(ISBLANK(E246),IF(F246="__BLANK__",0,1),IF(E246=F246,0,1))</x:f>
        <x:v>0</x:v>
      </x:c>
      <x:c r="H246" s="3"/>
      <x:c r="I246" s="3"/>
      <x:c r="J246" s="3"/>
      <x:c r="K246" s="3"/>
      <x:c r="L246" s="3"/>
      <x:c r="M246" s="3"/>
    </x:row>
    <x:row r="247" ht="19" customHeight="1">
      <x:c r="A247" s="2"/>
      <x:c r="B247" s="2"/>
      <x:c r="C247" s="2" t="str">
        <x:v>Assumptions!L36</x:v>
      </x:c>
      <x:c r="D247" s="2"/>
      <x:c r="E247" s="3"/>
      <x:c r="F247" s="50" t="str">
        <x:f>IF(ISBLANK('Assumptions'!L36),"__BLANK__",'Assumptions'!L36)</x:f>
        <x:v>__BLANK__</x:v>
      </x:c>
      <x:c r="G247" s="50" t="n">
        <x:f>IF(ISBLANK(E247),IF(F247="__BLANK__",0,1),IF(E247=F247,0,1))</x:f>
        <x:v>0</x:v>
      </x:c>
      <x:c r="H247" s="3"/>
      <x:c r="I247" s="3"/>
      <x:c r="J247" s="3"/>
      <x:c r="K247" s="3"/>
      <x:c r="L247" s="3"/>
      <x:c r="M247" s="3"/>
    </x:row>
    <x:row r="248" ht="19" customHeight="1">
      <x:c r="A248" s="2"/>
      <x:c r="B248" s="2"/>
      <x:c r="C248" s="2" t="str">
        <x:v>Assumptions!L37</x:v>
      </x:c>
      <x:c r="D248" s="2"/>
      <x:c r="E248" s="3"/>
      <x:c r="F248" s="50" t="str">
        <x:f>IF(ISBLANK('Assumptions'!L37),"__BLANK__",'Assumptions'!L37)</x:f>
        <x:v>__BLANK__</x:v>
      </x:c>
      <x:c r="G248" s="50" t="n">
        <x:f>IF(ISBLANK(E248),IF(F248="__BLANK__",0,1),IF(E248=F248,0,1))</x:f>
        <x:v>0</x:v>
      </x:c>
      <x:c r="H248" s="3"/>
      <x:c r="I248" s="3"/>
      <x:c r="J248" s="3"/>
      <x:c r="K248" s="3"/>
      <x:c r="L248" s="3"/>
      <x:c r="M248" s="3"/>
    </x:row>
    <x:row r="249" ht="19" customHeight="1">
      <x:c r="A249" s="2"/>
      <x:c r="B249" s="2"/>
      <x:c r="C249" s="2" t="str">
        <x:v>Assumptions!L38</x:v>
      </x:c>
      <x:c r="D249" s="2"/>
      <x:c r="E249" s="3"/>
      <x:c r="F249" s="50" t="str">
        <x:f>IF(ISBLANK('Assumptions'!L38),"__BLANK__",'Assumptions'!L38)</x:f>
        <x:v>__BLANK__</x:v>
      </x:c>
      <x:c r="G249" s="50" t="n">
        <x:f>IF(ISBLANK(E249),IF(F249="__BLANK__",0,1),IF(E249=F249,0,1))</x:f>
        <x:v>0</x:v>
      </x:c>
      <x:c r="H249" s="3"/>
      <x:c r="I249" s="3"/>
      <x:c r="J249" s="3"/>
      <x:c r="K249" s="3"/>
      <x:c r="L249" s="3"/>
      <x:c r="M249" s="3"/>
    </x:row>
    <x:row r="250" ht="19" customHeight="1">
      <x:c r="A250" s="2"/>
      <x:c r="B250" s="2"/>
      <x:c r="C250" s="2" t="str">
        <x:v>Assumptions!L39</x:v>
      </x:c>
      <x:c r="D250" s="2"/>
      <x:c r="E250" s="3"/>
      <x:c r="F250" s="50" t="str">
        <x:f>IF(ISBLANK('Assumptions'!L39),"__BLANK__",'Assumptions'!L39)</x:f>
        <x:v>__BLANK__</x:v>
      </x:c>
      <x:c r="G250" s="50" t="n">
        <x:f>IF(ISBLANK(E250),IF(F250="__BLANK__",0,1),IF(E250=F250,0,1))</x:f>
        <x:v>0</x:v>
      </x:c>
      <x:c r="H250" s="3"/>
      <x:c r="I250" s="3"/>
      <x:c r="J250" s="3"/>
      <x:c r="K250" s="3"/>
      <x:c r="L250" s="3"/>
      <x:c r="M250" s="3"/>
    </x:row>
    <x:row r="251" ht="19" customHeight="1">
      <x:c r="A251" s="2"/>
      <x:c r="B251" s="2"/>
      <x:c r="C251" s="2" t="str">
        <x:v>Assumptions!E41</x:v>
      </x:c>
      <x:c r="D251" s="2"/>
      <x:c r="E251" s="3"/>
      <x:c r="F251" s="50" t="str">
        <x:f>IF(ISBLANK('Assumptions'!E41),"__BLANK__",'Assumptions'!E41)</x:f>
        <x:v>__BLANK__</x:v>
      </x:c>
      <x:c r="G251" s="50" t="n">
        <x:f>IF(ISBLANK(E251),IF(F251="__BLANK__",0,1),IF(E251=F251,0,1))</x:f>
        <x:v>0</x:v>
      </x:c>
      <x:c r="H251" s="3"/>
      <x:c r="I251" s="3"/>
      <x:c r="J251" s="3"/>
      <x:c r="K251" s="3"/>
      <x:c r="L251" s="3"/>
      <x:c r="M251" s="3"/>
    </x:row>
    <x:row r="252" ht="19" customHeight="1">
      <x:c r="A252" s="2"/>
      <x:c r="B252" s="2"/>
      <x:c r="C252" s="2" t="str">
        <x:v>Assumptions!E42</x:v>
      </x:c>
      <x:c r="D252" s="2"/>
      <x:c r="E252" s="3"/>
      <x:c r="F252" s="50" t="str">
        <x:f>IF(ISBLANK('Assumptions'!E42),"__BLANK__",'Assumptions'!E42)</x:f>
        <x:v>__BLANK__</x:v>
      </x:c>
      <x:c r="G252" s="50" t="n">
        <x:f>IF(ISBLANK(E252),IF(F252="__BLANK__",0,1),IF(E252=F252,0,1))</x:f>
        <x:v>0</x:v>
      </x:c>
      <x:c r="H252" s="3"/>
      <x:c r="I252" s="3"/>
      <x:c r="J252" s="3"/>
      <x:c r="K252" s="3"/>
      <x:c r="L252" s="3"/>
      <x:c r="M252" s="3"/>
    </x:row>
    <x:row r="253" ht="19" customHeight="1">
      <x:c r="A253" s="2"/>
      <x:c r="B253" s="2"/>
      <x:c r="C253" s="2" t="str">
        <x:v>Assumptions!E43</x:v>
      </x:c>
      <x:c r="D253" s="2"/>
      <x:c r="E253" s="3"/>
      <x:c r="F253" s="50" t="str">
        <x:f>IF(ISBLANK('Assumptions'!E43),"__BLANK__",'Assumptions'!E43)</x:f>
        <x:v>__BLANK__</x:v>
      </x:c>
      <x:c r="G253" s="50" t="n">
        <x:f>IF(ISBLANK(E253),IF(F253="__BLANK__",0,1),IF(E253=F253,0,1))</x:f>
        <x:v>0</x:v>
      </x:c>
      <x:c r="H253" s="3"/>
      <x:c r="I253" s="3"/>
      <x:c r="J253" s="3"/>
      <x:c r="K253" s="3"/>
      <x:c r="L253" s="3"/>
      <x:c r="M253" s="3"/>
    </x:row>
    <x:row r="254" ht="19" customHeight="1">
      <x:c r="A254" s="2"/>
      <x:c r="B254" s="2"/>
      <x:c r="C254" s="2" t="str">
        <x:v>Assumptions!E44</x:v>
      </x:c>
      <x:c r="D254" s="2"/>
      <x:c r="E254" s="3"/>
      <x:c r="F254" s="50" t="str">
        <x:f>IF(ISBLANK('Assumptions'!E44),"__BLANK__",'Assumptions'!E44)</x:f>
        <x:v>__BLANK__</x:v>
      </x:c>
      <x:c r="G254" s="50" t="n">
        <x:f>IF(ISBLANK(E254),IF(F254="__BLANK__",0,1),IF(E254=F254,0,1))</x:f>
        <x:v>0</x:v>
      </x:c>
      <x:c r="H254" s="3"/>
      <x:c r="I254" s="3"/>
      <x:c r="J254" s="3"/>
      <x:c r="K254" s="3"/>
      <x:c r="L254" s="3"/>
      <x:c r="M254" s="3"/>
    </x:row>
    <x:row r="255" ht="19" customHeight="1">
      <x:c r="A255" s="2"/>
      <x:c r="B255" s="2"/>
      <x:c r="C255" s="2" t="str">
        <x:v>Assumptions!E45</x:v>
      </x:c>
      <x:c r="D255" s="2"/>
      <x:c r="E255" s="3"/>
      <x:c r="F255" s="50" t="str">
        <x:f>IF(ISBLANK('Assumptions'!E45),"__BLANK__",'Assumptions'!E45)</x:f>
        <x:v>__BLANK__</x:v>
      </x:c>
      <x:c r="G255" s="50" t="n">
        <x:f>IF(ISBLANK(E255),IF(F255="__BLANK__",0,1),IF(E255=F255,0,1))</x:f>
        <x:v>0</x:v>
      </x:c>
      <x:c r="H255" s="3"/>
      <x:c r="I255" s="3"/>
      <x:c r="J255" s="3"/>
      <x:c r="K255" s="3"/>
      <x:c r="L255" s="3"/>
      <x:c r="M255" s="3"/>
    </x:row>
    <x:row r="256" ht="19" customHeight="1">
      <x:c r="A256" s="2"/>
      <x:c r="B256" s="2"/>
      <x:c r="C256" s="2" t="str">
        <x:v>Assumptions!E46</x:v>
      </x:c>
      <x:c r="D256" s="2"/>
      <x:c r="E256" s="3"/>
      <x:c r="F256" s="50" t="str">
        <x:f>IF(ISBLANK('Assumptions'!E46),"__BLANK__",'Assumptions'!E46)</x:f>
        <x:v>__BLANK__</x:v>
      </x:c>
      <x:c r="G256" s="50" t="n">
        <x:f>IF(ISBLANK(E256),IF(F256="__BLANK__",0,1),IF(E256=F256,0,1))</x:f>
        <x:v>0</x:v>
      </x:c>
      <x:c r="H256" s="3"/>
      <x:c r="I256" s="3"/>
      <x:c r="J256" s="3"/>
      <x:c r="K256" s="3"/>
      <x:c r="L256" s="3"/>
      <x:c r="M256" s="3"/>
    </x:row>
    <x:row r="257" ht="19" customHeight="1">
      <x:c r="A257" s="2"/>
      <x:c r="B257" s="2"/>
      <x:c r="C257" s="2" t="str">
        <x:v>Assumptions!E47</x:v>
      </x:c>
      <x:c r="D257" s="2"/>
      <x:c r="E257" s="3"/>
      <x:c r="F257" s="50" t="str">
        <x:f>IF(ISBLANK('Assumptions'!E47),"__BLANK__",'Assumptions'!E47)</x:f>
        <x:v>__BLANK__</x:v>
      </x:c>
      <x:c r="G257" s="50" t="n">
        <x:f>IF(ISBLANK(E257),IF(F257="__BLANK__",0,1),IF(E257=F257,0,1))</x:f>
        <x:v>0</x:v>
      </x:c>
      <x:c r="H257" s="3"/>
      <x:c r="I257" s="3"/>
      <x:c r="J257" s="3"/>
      <x:c r="K257" s="3"/>
      <x:c r="L257" s="3"/>
      <x:c r="M257" s="3"/>
    </x:row>
    <x:row r="258" ht="19" customHeight="1">
      <x:c r="A258" s="2"/>
      <x:c r="B258" s="2"/>
      <x:c r="C258" s="2" t="str">
        <x:v>Assumptions!E48</x:v>
      </x:c>
      <x:c r="D258" s="2"/>
      <x:c r="E258" s="3"/>
      <x:c r="F258" s="50" t="str">
        <x:f>IF(ISBLANK('Assumptions'!E48),"__BLANK__",'Assumptions'!E48)</x:f>
        <x:v>__BLANK__</x:v>
      </x:c>
      <x:c r="G258" s="50" t="n">
        <x:f>IF(ISBLANK(E258),IF(F258="__BLANK__",0,1),IF(E258=F258,0,1))</x:f>
        <x:v>0</x:v>
      </x:c>
      <x:c r="H258" s="3"/>
      <x:c r="I258" s="3"/>
      <x:c r="J258" s="3"/>
      <x:c r="K258" s="3"/>
      <x:c r="L258" s="3"/>
      <x:c r="M258" s="3"/>
    </x:row>
    <x:row r="259" ht="19" customHeight="1">
      <x:c r="A259" s="2"/>
      <x:c r="B259" s="2"/>
      <x:c r="C259" s="2" t="str">
        <x:v>Assumptions!E49</x:v>
      </x:c>
      <x:c r="D259" s="2"/>
      <x:c r="E259" s="3"/>
      <x:c r="F259" s="50" t="str">
        <x:f>IF(ISBLANK('Assumptions'!E49),"__BLANK__",'Assumptions'!E49)</x:f>
        <x:v>__BLANK__</x:v>
      </x:c>
      <x:c r="G259" s="50" t="n">
        <x:f>IF(ISBLANK(E259),IF(F259="__BLANK__",0,1),IF(E259=F259,0,1))</x:f>
        <x:v>0</x:v>
      </x:c>
      <x:c r="H259" s="3"/>
      <x:c r="I259" s="3"/>
      <x:c r="J259" s="3"/>
      <x:c r="K259" s="3"/>
      <x:c r="L259" s="3"/>
      <x:c r="M259" s="3"/>
    </x:row>
    <x:row r="260" ht="19" customHeight="1">
      <x:c r="A260" s="2"/>
      <x:c r="B260" s="2"/>
      <x:c r="C260" s="2" t="str">
        <x:v>Assumptions!F41</x:v>
      </x:c>
      <x:c r="D260" s="2"/>
      <x:c r="E260" s="3"/>
      <x:c r="F260" s="50" t="str">
        <x:f>IF(ISBLANK('Assumptions'!F41),"__BLANK__",'Assumptions'!F41)</x:f>
        <x:v>__BLANK__</x:v>
      </x:c>
      <x:c r="G260" s="50" t="n">
        <x:f>IF(ISBLANK(E260),IF(F260="__BLANK__",0,1),IF(E260=F260,0,1))</x:f>
        <x:v>0</x:v>
      </x:c>
      <x:c r="H260" s="3"/>
      <x:c r="I260" s="3"/>
      <x:c r="J260" s="3"/>
      <x:c r="K260" s="3"/>
      <x:c r="L260" s="3"/>
      <x:c r="M260" s="3"/>
    </x:row>
    <x:row r="261" ht="19" customHeight="1">
      <x:c r="A261" s="2"/>
      <x:c r="B261" s="2"/>
      <x:c r="C261" s="2" t="str">
        <x:v>Assumptions!F42</x:v>
      </x:c>
      <x:c r="D261" s="2"/>
      <x:c r="E261" s="3"/>
      <x:c r="F261" s="50" t="str">
        <x:f>IF(ISBLANK('Assumptions'!F42),"__BLANK__",'Assumptions'!F42)</x:f>
        <x:v>__BLANK__</x:v>
      </x:c>
      <x:c r="G261" s="50" t="n">
        <x:f>IF(ISBLANK(E261),IF(F261="__BLANK__",0,1),IF(E261=F261,0,1))</x:f>
        <x:v>0</x:v>
      </x:c>
      <x:c r="H261" s="3"/>
      <x:c r="I261" s="3"/>
      <x:c r="J261" s="3"/>
      <x:c r="K261" s="3"/>
      <x:c r="L261" s="3"/>
      <x:c r="M261" s="3"/>
    </x:row>
    <x:row r="262" ht="19" customHeight="1">
      <x:c r="A262" s="2"/>
      <x:c r="B262" s="2"/>
      <x:c r="C262" s="2" t="str">
        <x:v>Assumptions!F43</x:v>
      </x:c>
      <x:c r="D262" s="2"/>
      <x:c r="E262" s="3"/>
      <x:c r="F262" s="50" t="str">
        <x:f>IF(ISBLANK('Assumptions'!F43),"__BLANK__",'Assumptions'!F43)</x:f>
        <x:v>__BLANK__</x:v>
      </x:c>
      <x:c r="G262" s="50" t="n">
        <x:f>IF(ISBLANK(E262),IF(F262="__BLANK__",0,1),IF(E262=F262,0,1))</x:f>
        <x:v>0</x:v>
      </x:c>
      <x:c r="H262" s="3"/>
      <x:c r="I262" s="3"/>
      <x:c r="J262" s="3"/>
      <x:c r="K262" s="3"/>
      <x:c r="L262" s="3"/>
      <x:c r="M262" s="3"/>
    </x:row>
    <x:row r="263" ht="19" customHeight="1">
      <x:c r="A263" s="2"/>
      <x:c r="B263" s="2"/>
      <x:c r="C263" s="2" t="str">
        <x:v>Assumptions!F44</x:v>
      </x:c>
      <x:c r="D263" s="2"/>
      <x:c r="E263" s="3"/>
      <x:c r="F263" s="50" t="str">
        <x:f>IF(ISBLANK('Assumptions'!F44),"__BLANK__",'Assumptions'!F44)</x:f>
        <x:v>__BLANK__</x:v>
      </x:c>
      <x:c r="G263" s="50" t="n">
        <x:f>IF(ISBLANK(E263),IF(F263="__BLANK__",0,1),IF(E263=F263,0,1))</x:f>
        <x:v>0</x:v>
      </x:c>
      <x:c r="H263" s="3"/>
      <x:c r="I263" s="3"/>
      <x:c r="J263" s="3"/>
      <x:c r="K263" s="3"/>
      <x:c r="L263" s="3"/>
      <x:c r="M263" s="3"/>
    </x:row>
    <x:row r="264" ht="19" customHeight="1">
      <x:c r="A264" s="2"/>
      <x:c r="B264" s="2"/>
      <x:c r="C264" s="2" t="str">
        <x:v>Assumptions!F45</x:v>
      </x:c>
      <x:c r="D264" s="2"/>
      <x:c r="E264" s="3"/>
      <x:c r="F264" s="50" t="str">
        <x:f>IF(ISBLANK('Assumptions'!F45),"__BLANK__",'Assumptions'!F45)</x:f>
        <x:v>__BLANK__</x:v>
      </x:c>
      <x:c r="G264" s="50" t="n">
        <x:f>IF(ISBLANK(E264),IF(F264="__BLANK__",0,1),IF(E264=F264,0,1))</x:f>
        <x:v>0</x:v>
      </x:c>
      <x:c r="H264" s="3"/>
      <x:c r="I264" s="3"/>
      <x:c r="J264" s="3"/>
      <x:c r="K264" s="3"/>
      <x:c r="L264" s="3"/>
      <x:c r="M264" s="3"/>
    </x:row>
    <x:row r="265" ht="19" customHeight="1">
      <x:c r="A265" s="2"/>
      <x:c r="B265" s="2"/>
      <x:c r="C265" s="2" t="str">
        <x:v>Assumptions!F46</x:v>
      </x:c>
      <x:c r="D265" s="2"/>
      <x:c r="E265" s="3"/>
      <x:c r="F265" s="50" t="str">
        <x:f>IF(ISBLANK('Assumptions'!F46),"__BLANK__",'Assumptions'!F46)</x:f>
        <x:v>__BLANK__</x:v>
      </x:c>
      <x:c r="G265" s="50" t="n">
        <x:f>IF(ISBLANK(E265),IF(F265="__BLANK__",0,1),IF(E265=F265,0,1))</x:f>
        <x:v>0</x:v>
      </x:c>
      <x:c r="H265" s="3"/>
      <x:c r="I265" s="3"/>
      <x:c r="J265" s="3"/>
      <x:c r="K265" s="3"/>
      <x:c r="L265" s="3"/>
      <x:c r="M265" s="3"/>
    </x:row>
    <x:row r="266" ht="19" customHeight="1">
      <x:c r="A266" s="2"/>
      <x:c r="B266" s="2"/>
      <x:c r="C266" s="2" t="str">
        <x:v>Assumptions!F47</x:v>
      </x:c>
      <x:c r="D266" s="2"/>
      <x:c r="E266" s="3"/>
      <x:c r="F266" s="50" t="str">
        <x:f>IF(ISBLANK('Assumptions'!F47),"__BLANK__",'Assumptions'!F47)</x:f>
        <x:v>__BLANK__</x:v>
      </x:c>
      <x:c r="G266" s="50" t="n">
        <x:f>IF(ISBLANK(E266),IF(F266="__BLANK__",0,1),IF(E266=F266,0,1))</x:f>
        <x:v>0</x:v>
      </x:c>
      <x:c r="H266" s="3"/>
      <x:c r="I266" s="3"/>
      <x:c r="J266" s="3"/>
      <x:c r="K266" s="3"/>
      <x:c r="L266" s="3"/>
      <x:c r="M266" s="3"/>
    </x:row>
    <x:row r="267" ht="19" customHeight="1">
      <x:c r="A267" s="2"/>
      <x:c r="B267" s="2"/>
      <x:c r="C267" s="2" t="str">
        <x:v>Assumptions!F48</x:v>
      </x:c>
      <x:c r="D267" s="2"/>
      <x:c r="E267" s="3"/>
      <x:c r="F267" s="50" t="str">
        <x:f>IF(ISBLANK('Assumptions'!F48),"__BLANK__",'Assumptions'!F48)</x:f>
        <x:v>__BLANK__</x:v>
      </x:c>
      <x:c r="G267" s="50" t="n">
        <x:f>IF(ISBLANK(E267),IF(F267="__BLANK__",0,1),IF(E267=F267,0,1))</x:f>
        <x:v>0</x:v>
      </x:c>
      <x:c r="H267" s="3"/>
      <x:c r="I267" s="3"/>
      <x:c r="J267" s="3"/>
      <x:c r="K267" s="3"/>
      <x:c r="L267" s="3"/>
      <x:c r="M267" s="3"/>
    </x:row>
    <x:row r="268" ht="19" customHeight="1">
      <x:c r="A268" s="2"/>
      <x:c r="B268" s="2"/>
      <x:c r="C268" s="2" t="str">
        <x:v>Assumptions!F49</x:v>
      </x:c>
      <x:c r="D268" s="2"/>
      <x:c r="E268" s="3"/>
      <x:c r="F268" s="50" t="str">
        <x:f>IF(ISBLANK('Assumptions'!F49),"__BLANK__",'Assumptions'!F49)</x:f>
        <x:v>__BLANK__</x:v>
      </x:c>
      <x:c r="G268" s="50" t="n">
        <x:f>IF(ISBLANK(E268),IF(F268="__BLANK__",0,1),IF(E268=F268,0,1))</x:f>
        <x:v>0</x:v>
      </x:c>
      <x:c r="H268" s="3"/>
      <x:c r="I268" s="3"/>
      <x:c r="J268" s="3"/>
      <x:c r="K268" s="3"/>
      <x:c r="L268" s="3"/>
      <x:c r="M268" s="3"/>
    </x:row>
    <x:row r="269" ht="19" customHeight="1">
      <x:c r="A269" s="2"/>
      <x:c r="B269" s="2"/>
      <x:c r="C269" s="2" t="str">
        <x:v>Assumptions!G41</x:v>
      </x:c>
      <x:c r="D269" s="2"/>
      <x:c r="E269" s="3" t="n">
        <x:v>0.172548908953131</x:v>
      </x:c>
      <x:c r="F269" s="50" t="n">
        <x:f>IF(ISBLANK('Assumptions'!G41),"__BLANK__",'Assumptions'!G41)</x:f>
        <x:v>0.172548908953131</x:v>
      </x:c>
      <x:c r="G269" s="50" t="n">
        <x:f>IF(ISBLANK(E269),IF(F269="__BLANK__",0,1),IF(E269=F269,0,1))</x:f>
        <x:v>0</x:v>
      </x:c>
      <x:c r="H269" s="3"/>
      <x:c r="I269" s="3"/>
      <x:c r="J269" s="3"/>
      <x:c r="K269" s="3"/>
      <x:c r="L269" s="3"/>
      <x:c r="M269" s="3"/>
    </x:row>
    <x:row r="270" ht="19" customHeight="1">
      <x:c r="A270" s="2"/>
      <x:c r="B270" s="2"/>
      <x:c r="C270" s="2" t="str">
        <x:v>Assumptions!G42</x:v>
      </x:c>
      <x:c r="D270" s="2"/>
      <x:c r="E270" s="3" t="n">
        <x:v>0.172548908953131</x:v>
      </x:c>
      <x:c r="F270" s="50" t="n">
        <x:f>IF(ISBLANK('Assumptions'!G42),"__BLANK__",'Assumptions'!G42)</x:f>
        <x:v>0.172548908953131</x:v>
      </x:c>
      <x:c r="G270" s="50" t="n">
        <x:f>IF(ISBLANK(E270),IF(F270="__BLANK__",0,1),IF(E270=F270,0,1))</x:f>
        <x:v>0</x:v>
      </x:c>
      <x:c r="H270" s="3"/>
      <x:c r="I270" s="3"/>
      <x:c r="J270" s="3"/>
      <x:c r="K270" s="3"/>
      <x:c r="L270" s="3"/>
      <x:c r="M270" s="3"/>
    </x:row>
    <x:row r="271" ht="19" customHeight="1">
      <x:c r="A271" s="2"/>
      <x:c r="B271" s="2"/>
      <x:c r="C271" s="2" t="str">
        <x:v>Assumptions!G43</x:v>
      </x:c>
      <x:c r="D271" s="2"/>
      <x:c r="E271" s="3" t="n">
        <x:v>0.172548908953131</x:v>
      </x:c>
      <x:c r="F271" s="50" t="n">
        <x:f>IF(ISBLANK('Assumptions'!G43),"__BLANK__",'Assumptions'!G43)</x:f>
        <x:v>0.172548908953131</x:v>
      </x:c>
      <x:c r="G271" s="50" t="n">
        <x:f>IF(ISBLANK(E271),IF(F271="__BLANK__",0,1),IF(E271=F271,0,1))</x:f>
        <x:v>0</x:v>
      </x:c>
      <x:c r="H271" s="3"/>
      <x:c r="I271" s="3"/>
      <x:c r="J271" s="3"/>
      <x:c r="K271" s="3"/>
      <x:c r="L271" s="3"/>
      <x:c r="M271" s="3"/>
    </x:row>
    <x:row r="272" ht="19" customHeight="1">
      <x:c r="A272" s="2"/>
      <x:c r="B272" s="2"/>
      <x:c r="C272" s="2" t="str">
        <x:v>Assumptions!G44</x:v>
      </x:c>
      <x:c r="D272" s="2"/>
      <x:c r="E272" s="3" t="n">
        <x:v>0.172548908953131</x:v>
      </x:c>
      <x:c r="F272" s="50" t="n">
        <x:f>IF(ISBLANK('Assumptions'!G44),"__BLANK__",'Assumptions'!G44)</x:f>
        <x:v>0.172548908953131</x:v>
      </x:c>
      <x:c r="G272" s="50" t="n">
        <x:f>IF(ISBLANK(E272),IF(F272="__BLANK__",0,1),IF(E272=F272,0,1))</x:f>
        <x:v>0</x:v>
      </x:c>
      <x:c r="H272" s="3"/>
      <x:c r="I272" s="3"/>
      <x:c r="J272" s="3"/>
      <x:c r="K272" s="3"/>
      <x:c r="L272" s="3"/>
      <x:c r="M272" s="3"/>
    </x:row>
    <x:row r="273" ht="19" customHeight="1">
      <x:c r="A273" s="2"/>
      <x:c r="B273" s="2"/>
      <x:c r="C273" s="2" t="str">
        <x:v>Assumptions!G45</x:v>
      </x:c>
      <x:c r="D273" s="2"/>
      <x:c r="E273" s="3" t="n">
        <x:v>0.172548908953131</x:v>
      </x:c>
      <x:c r="F273" s="50" t="n">
        <x:f>IF(ISBLANK('Assumptions'!G45),"__BLANK__",'Assumptions'!G45)</x:f>
        <x:v>0.172548908953131</x:v>
      </x:c>
      <x:c r="G273" s="50" t="n">
        <x:f>IF(ISBLANK(E273),IF(F273="__BLANK__",0,1),IF(E273=F273,0,1))</x:f>
        <x:v>0</x:v>
      </x:c>
      <x:c r="H273" s="3"/>
      <x:c r="I273" s="3"/>
      <x:c r="J273" s="3"/>
      <x:c r="K273" s="3"/>
      <x:c r="L273" s="3"/>
      <x:c r="M273" s="3"/>
    </x:row>
    <x:row r="274" ht="19" customHeight="1">
      <x:c r="A274" s="2"/>
      <x:c r="B274" s="2"/>
      <x:c r="C274" s="2" t="str">
        <x:v>Assumptions!G46</x:v>
      </x:c>
      <x:c r="D274" s="2"/>
      <x:c r="E274" s="3" t="n">
        <x:v>0.172548908953131</x:v>
      </x:c>
      <x:c r="F274" s="50" t="n">
        <x:f>IF(ISBLANK('Assumptions'!G46),"__BLANK__",'Assumptions'!G46)</x:f>
        <x:v>0.172548908953131</x:v>
      </x:c>
      <x:c r="G274" s="50" t="n">
        <x:f>IF(ISBLANK(E274),IF(F274="__BLANK__",0,1),IF(E274=F274,0,1))</x:f>
        <x:v>0</x:v>
      </x:c>
      <x:c r="H274" s="3"/>
      <x:c r="I274" s="3"/>
      <x:c r="J274" s="3"/>
      <x:c r="K274" s="3"/>
      <x:c r="L274" s="3"/>
      <x:c r="M274" s="3"/>
    </x:row>
    <x:row r="275" ht="19" customHeight="1">
      <x:c r="A275" s="2"/>
      <x:c r="B275" s="2"/>
      <x:c r="C275" s="2" t="str">
        <x:v>Assumptions!G47</x:v>
      </x:c>
      <x:c r="D275" s="2"/>
      <x:c r="E275" s="3" t="n">
        <x:v>0.172548908953131</x:v>
      </x:c>
      <x:c r="F275" s="50" t="n">
        <x:f>IF(ISBLANK('Assumptions'!G47),"__BLANK__",'Assumptions'!G47)</x:f>
        <x:v>0.172548908953131</x:v>
      </x:c>
      <x:c r="G275" s="50" t="n">
        <x:f>IF(ISBLANK(E275),IF(F275="__BLANK__",0,1),IF(E275=F275,0,1))</x:f>
        <x:v>0</x:v>
      </x:c>
      <x:c r="H275" s="3"/>
      <x:c r="I275" s="3"/>
      <x:c r="J275" s="3"/>
      <x:c r="K275" s="3"/>
      <x:c r="L275" s="3"/>
      <x:c r="M275" s="3"/>
    </x:row>
    <x:row r="276" ht="19" customHeight="1">
      <x:c r="A276" s="2"/>
      <x:c r="B276" s="2"/>
      <x:c r="C276" s="2" t="str">
        <x:v>Assumptions!G48</x:v>
      </x:c>
      <x:c r="D276" s="2"/>
      <x:c r="E276" s="3" t="n">
        <x:v>0.171548908953131</x:v>
      </x:c>
      <x:c r="F276" s="50" t="n">
        <x:f>IF(ISBLANK('Assumptions'!G48),"__BLANK__",'Assumptions'!G48)</x:f>
        <x:v>0.171548908953131</x:v>
      </x:c>
      <x:c r="G276" s="50" t="n">
        <x:f>IF(ISBLANK(E276),IF(F276="__BLANK__",0,1),IF(E276=F276,0,1))</x:f>
        <x:v>0</x:v>
      </x:c>
      <x:c r="H276" s="3"/>
      <x:c r="I276" s="3"/>
      <x:c r="J276" s="3"/>
      <x:c r="K276" s="3"/>
      <x:c r="L276" s="3"/>
      <x:c r="M276" s="3"/>
    </x:row>
    <x:row r="277" ht="19" customHeight="1">
      <x:c r="A277" s="2"/>
      <x:c r="B277" s="2"/>
      <x:c r="C277" s="2" t="str">
        <x:v>Assumptions!G49</x:v>
      </x:c>
      <x:c r="D277" s="2"/>
      <x:c r="E277" s="3" t="n">
        <x:v>0.17354890895313102</x:v>
      </x:c>
      <x:c r="F277" s="50" t="n">
        <x:f>IF(ISBLANK('Assumptions'!G49),"__BLANK__",'Assumptions'!G49)</x:f>
        <x:v>0.17354890895313102</x:v>
      </x:c>
      <x:c r="G277" s="50" t="n">
        <x:f>IF(ISBLANK(E277),IF(F277="__BLANK__",0,1),IF(E277=F277,0,1))</x:f>
        <x:v>0</x:v>
      </x:c>
      <x:c r="H277" s="3"/>
      <x:c r="I277" s="3"/>
      <x:c r="J277" s="3"/>
      <x:c r="K277" s="3"/>
      <x:c r="L277" s="3"/>
      <x:c r="M277" s="3"/>
    </x:row>
    <x:row r="278" ht="19" customHeight="1">
      <x:c r="A278" s="2"/>
      <x:c r="B278" s="2"/>
      <x:c r="C278" s="2" t="str">
        <x:v>Assumptions!H41</x:v>
      </x:c>
      <x:c r="D278" s="2"/>
      <x:c r="E278" s="3" t="n">
        <x:v>0.120403669384706</x:v>
      </x:c>
      <x:c r="F278" s="50" t="n">
        <x:f>IF(ISBLANK('Assumptions'!H41),"__BLANK__",'Assumptions'!H41)</x:f>
        <x:v>0.120403669384706</x:v>
      </x:c>
      <x:c r="G278" s="50" t="n">
        <x:f>IF(ISBLANK(E278),IF(F278="__BLANK__",0,1),IF(E278=F278,0,1))</x:f>
        <x:v>0</x:v>
      </x:c>
      <x:c r="H278" s="3"/>
      <x:c r="I278" s="3"/>
      <x:c r="J278" s="3"/>
      <x:c r="K278" s="3"/>
      <x:c r="L278" s="3"/>
      <x:c r="M278" s="3"/>
    </x:row>
    <x:row r="279" ht="19" customHeight="1">
      <x:c r="A279" s="2"/>
      <x:c r="B279" s="2"/>
      <x:c r="C279" s="2" t="str">
        <x:v>Assumptions!H42</x:v>
      </x:c>
      <x:c r="D279" s="2"/>
      <x:c r="E279" s="3" t="n">
        <x:v>0.120403669384706</x:v>
      </x:c>
      <x:c r="F279" s="50" t="n">
        <x:f>IF(ISBLANK('Assumptions'!H42),"__BLANK__",'Assumptions'!H42)</x:f>
        <x:v>0.120403669384706</x:v>
      </x:c>
      <x:c r="G279" s="50" t="n">
        <x:f>IF(ISBLANK(E279),IF(F279="__BLANK__",0,1),IF(E279=F279,0,1))</x:f>
        <x:v>0</x:v>
      </x:c>
      <x:c r="H279" s="3"/>
      <x:c r="I279" s="3"/>
      <x:c r="J279" s="3"/>
      <x:c r="K279" s="3"/>
      <x:c r="L279" s="3"/>
      <x:c r="M279" s="3"/>
    </x:row>
    <x:row r="280" ht="19" customHeight="1">
      <x:c r="A280" s="2"/>
      <x:c r="B280" s="2"/>
      <x:c r="C280" s="2" t="str">
        <x:v>Assumptions!H43</x:v>
      </x:c>
      <x:c r="D280" s="2"/>
      <x:c r="E280" s="3" t="n">
        <x:v>0.120403669384706</x:v>
      </x:c>
      <x:c r="F280" s="50" t="n">
        <x:f>IF(ISBLANK('Assumptions'!H43),"__BLANK__",'Assumptions'!H43)</x:f>
        <x:v>0.120403669384706</x:v>
      </x:c>
      <x:c r="G280" s="50" t="n">
        <x:f>IF(ISBLANK(E280),IF(F280="__BLANK__",0,1),IF(E280=F280,0,1))</x:f>
        <x:v>0</x:v>
      </x:c>
      <x:c r="H280" s="3"/>
      <x:c r="I280" s="3"/>
      <x:c r="J280" s="3"/>
      <x:c r="K280" s="3"/>
      <x:c r="L280" s="3"/>
      <x:c r="M280" s="3"/>
    </x:row>
    <x:row r="281" ht="19" customHeight="1">
      <x:c r="A281" s="2"/>
      <x:c r="B281" s="2"/>
      <x:c r="C281" s="2" t="str">
        <x:v>Assumptions!H44</x:v>
      </x:c>
      <x:c r="D281" s="2"/>
      <x:c r="E281" s="3" t="n">
        <x:v>0.120403669384706</x:v>
      </x:c>
      <x:c r="F281" s="50" t="n">
        <x:f>IF(ISBLANK('Assumptions'!H44),"__BLANK__",'Assumptions'!H44)</x:f>
        <x:v>0.120403669384706</x:v>
      </x:c>
      <x:c r="G281" s="50" t="n">
        <x:f>IF(ISBLANK(E281),IF(F281="__BLANK__",0,1),IF(E281=F281,0,1))</x:f>
        <x:v>0</x:v>
      </x:c>
      <x:c r="H281" s="3"/>
      <x:c r="I281" s="3"/>
      <x:c r="J281" s="3"/>
      <x:c r="K281" s="3"/>
      <x:c r="L281" s="3"/>
      <x:c r="M281" s="3"/>
    </x:row>
    <x:row r="282" ht="19" customHeight="1">
      <x:c r="A282" s="2"/>
      <x:c r="B282" s="2"/>
      <x:c r="C282" s="2" t="str">
        <x:v>Assumptions!H45</x:v>
      </x:c>
      <x:c r="D282" s="2"/>
      <x:c r="E282" s="3" t="n">
        <x:v>0.120403669384706</x:v>
      </x:c>
      <x:c r="F282" s="50" t="n">
        <x:f>IF(ISBLANK('Assumptions'!H45),"__BLANK__",'Assumptions'!H45)</x:f>
        <x:v>0.120403669384706</x:v>
      </x:c>
      <x:c r="G282" s="50" t="n">
        <x:f>IF(ISBLANK(E282),IF(F282="__BLANK__",0,1),IF(E282=F282,0,1))</x:f>
        <x:v>0</x:v>
      </x:c>
      <x:c r="H282" s="3"/>
      <x:c r="I282" s="3"/>
      <x:c r="J282" s="3"/>
      <x:c r="K282" s="3"/>
      <x:c r="L282" s="3"/>
      <x:c r="M282" s="3"/>
    </x:row>
    <x:row r="283" ht="19" customHeight="1">
      <x:c r="A283" s="2"/>
      <x:c r="B283" s="2"/>
      <x:c r="C283" s="2" t="str">
        <x:v>Assumptions!H46</x:v>
      </x:c>
      <x:c r="D283" s="2"/>
      <x:c r="E283" s="3" t="n">
        <x:v>0.120403669384706</x:v>
      </x:c>
      <x:c r="F283" s="50" t="n">
        <x:f>IF(ISBLANK('Assumptions'!H46),"__BLANK__",'Assumptions'!H46)</x:f>
        <x:v>0.120403669384706</x:v>
      </x:c>
      <x:c r="G283" s="50" t="n">
        <x:f>IF(ISBLANK(E283),IF(F283="__BLANK__",0,1),IF(E283=F283,0,1))</x:f>
        <x:v>0</x:v>
      </x:c>
      <x:c r="H283" s="3"/>
      <x:c r="I283" s="3"/>
      <x:c r="J283" s="3"/>
      <x:c r="K283" s="3"/>
      <x:c r="L283" s="3"/>
      <x:c r="M283" s="3"/>
    </x:row>
    <x:row r="284" ht="19" customHeight="1">
      <x:c r="A284" s="2"/>
      <x:c r="B284" s="2"/>
      <x:c r="C284" s="2" t="str">
        <x:v>Assumptions!H47</x:v>
      </x:c>
      <x:c r="D284" s="2"/>
      <x:c r="E284" s="3" t="n">
        <x:v>0.120403669384706</x:v>
      </x:c>
      <x:c r="F284" s="50" t="n">
        <x:f>IF(ISBLANK('Assumptions'!H47),"__BLANK__",'Assumptions'!H47)</x:f>
        <x:v>0.120403669384706</x:v>
      </x:c>
      <x:c r="G284" s="50" t="n">
        <x:f>IF(ISBLANK(E284),IF(F284="__BLANK__",0,1),IF(E284=F284,0,1))</x:f>
        <x:v>0</x:v>
      </x:c>
      <x:c r="H284" s="3"/>
      <x:c r="I284" s="3"/>
      <x:c r="J284" s="3"/>
      <x:c r="K284" s="3"/>
      <x:c r="L284" s="3"/>
      <x:c r="M284" s="3"/>
    </x:row>
    <x:row r="285" ht="19" customHeight="1">
      <x:c r="A285" s="2"/>
      <x:c r="B285" s="2"/>
      <x:c r="C285" s="2" t="str">
        <x:v>Assumptions!H48</x:v>
      </x:c>
      <x:c r="D285" s="2"/>
      <x:c r="E285" s="3" t="n">
        <x:v>0.119403669384706</x:v>
      </x:c>
      <x:c r="F285" s="50" t="n">
        <x:f>IF(ISBLANK('Assumptions'!H48),"__BLANK__",'Assumptions'!H48)</x:f>
        <x:v>0.119403669384706</x:v>
      </x:c>
      <x:c r="G285" s="50" t="n">
        <x:f>IF(ISBLANK(E285),IF(F285="__BLANK__",0,1),IF(E285=F285,0,1))</x:f>
        <x:v>0</x:v>
      </x:c>
      <x:c r="H285" s="3"/>
      <x:c r="I285" s="3"/>
      <x:c r="J285" s="3"/>
      <x:c r="K285" s="3"/>
      <x:c r="L285" s="3"/>
      <x:c r="M285" s="3"/>
    </x:row>
    <x:row r="286" ht="19" customHeight="1">
      <x:c r="A286" s="2"/>
      <x:c r="B286" s="2"/>
      <x:c r="C286" s="2" t="str">
        <x:v>Assumptions!H49</x:v>
      </x:c>
      <x:c r="D286" s="2"/>
      <x:c r="E286" s="3" t="n">
        <x:v>0.121403669384706</x:v>
      </x:c>
      <x:c r="F286" s="50" t="n">
        <x:f>IF(ISBLANK('Assumptions'!H49),"__BLANK__",'Assumptions'!H49)</x:f>
        <x:v>0.121403669384706</x:v>
      </x:c>
      <x:c r="G286" s="50" t="n">
        <x:f>IF(ISBLANK(E286),IF(F286="__BLANK__",0,1),IF(E286=F286,0,1))</x:f>
        <x:v>0</x:v>
      </x:c>
      <x:c r="H286" s="3"/>
      <x:c r="I286" s="3"/>
      <x:c r="J286" s="3"/>
      <x:c r="K286" s="3"/>
      <x:c r="L286" s="3"/>
      <x:c r="M286" s="3"/>
    </x:row>
    <x:row r="287" ht="19" customHeight="1">
      <x:c r="A287" s="2"/>
      <x:c r="B287" s="2"/>
      <x:c r="C287" s="2" t="str">
        <x:v>Assumptions!I41</x:v>
      </x:c>
      <x:c r="D287" s="2"/>
      <x:c r="E287" s="3" t="n">
        <x:v>0.127275463631112</x:v>
      </x:c>
      <x:c r="F287" s="50" t="n">
        <x:f>IF(ISBLANK('Assumptions'!I41),"__BLANK__",'Assumptions'!I41)</x:f>
        <x:v>0.127275463631112</x:v>
      </x:c>
      <x:c r="G287" s="50" t="n">
        <x:f>IF(ISBLANK(E287),IF(F287="__BLANK__",0,1),IF(E287=F287,0,1))</x:f>
        <x:v>0</x:v>
      </x:c>
      <x:c r="H287" s="3"/>
      <x:c r="I287" s="3"/>
      <x:c r="J287" s="3"/>
      <x:c r="K287" s="3"/>
      <x:c r="L287" s="3"/>
      <x:c r="M287" s="3"/>
    </x:row>
    <x:row r="288" ht="19" customHeight="1">
      <x:c r="A288" s="2"/>
      <x:c r="B288" s="2"/>
      <x:c r="C288" s="2" t="str">
        <x:v>Assumptions!I42</x:v>
      </x:c>
      <x:c r="D288" s="2"/>
      <x:c r="E288" s="3" t="n">
        <x:v>0.127275463631112</x:v>
      </x:c>
      <x:c r="F288" s="50" t="n">
        <x:f>IF(ISBLANK('Assumptions'!I42),"__BLANK__",'Assumptions'!I42)</x:f>
        <x:v>0.127275463631112</x:v>
      </x:c>
      <x:c r="G288" s="50" t="n">
        <x:f>IF(ISBLANK(E288),IF(F288="__BLANK__",0,1),IF(E288=F288,0,1))</x:f>
        <x:v>0</x:v>
      </x:c>
      <x:c r="H288" s="3"/>
      <x:c r="I288" s="3"/>
      <x:c r="J288" s="3"/>
      <x:c r="K288" s="3"/>
      <x:c r="L288" s="3"/>
      <x:c r="M288" s="3"/>
    </x:row>
    <x:row r="289" ht="19" customHeight="1">
      <x:c r="A289" s="2"/>
      <x:c r="B289" s="2"/>
      <x:c r="C289" s="2" t="str">
        <x:v>Assumptions!I43</x:v>
      </x:c>
      <x:c r="D289" s="2"/>
      <x:c r="E289" s="3" t="n">
        <x:v>0.127275463631112</x:v>
      </x:c>
      <x:c r="F289" s="50" t="n">
        <x:f>IF(ISBLANK('Assumptions'!I43),"__BLANK__",'Assumptions'!I43)</x:f>
        <x:v>0.127275463631112</x:v>
      </x:c>
      <x:c r="G289" s="50" t="n">
        <x:f>IF(ISBLANK(E289),IF(F289="__BLANK__",0,1),IF(E289=F289,0,1))</x:f>
        <x:v>0</x:v>
      </x:c>
      <x:c r="H289" s="3"/>
      <x:c r="I289" s="3"/>
      <x:c r="J289" s="3"/>
      <x:c r="K289" s="3"/>
      <x:c r="L289" s="3"/>
      <x:c r="M289" s="3"/>
    </x:row>
    <x:row r="290" ht="19" customHeight="1">
      <x:c r="A290" s="2"/>
      <x:c r="B290" s="2"/>
      <x:c r="C290" s="2" t="str">
        <x:v>Assumptions!I44</x:v>
      </x:c>
      <x:c r="D290" s="2"/>
      <x:c r="E290" s="3" t="n">
        <x:v>0.127275463631112</x:v>
      </x:c>
      <x:c r="F290" s="50" t="n">
        <x:f>IF(ISBLANK('Assumptions'!I44),"__BLANK__",'Assumptions'!I44)</x:f>
        <x:v>0.127275463631112</x:v>
      </x:c>
      <x:c r="G290" s="50" t="n">
        <x:f>IF(ISBLANK(E290),IF(F290="__BLANK__",0,1),IF(E290=F290,0,1))</x:f>
        <x:v>0</x:v>
      </x:c>
      <x:c r="H290" s="3"/>
      <x:c r="I290" s="3"/>
      <x:c r="J290" s="3"/>
      <x:c r="K290" s="3"/>
      <x:c r="L290" s="3"/>
      <x:c r="M290" s="3"/>
    </x:row>
    <x:row r="291" ht="19" customHeight="1">
      <x:c r="A291" s="2"/>
      <x:c r="B291" s="2"/>
      <x:c r="C291" s="2" t="str">
        <x:v>Assumptions!I45</x:v>
      </x:c>
      <x:c r="D291" s="2"/>
      <x:c r="E291" s="3" t="n">
        <x:v>0.127275463631112</x:v>
      </x:c>
      <x:c r="F291" s="50" t="n">
        <x:f>IF(ISBLANK('Assumptions'!I45),"__BLANK__",'Assumptions'!I45)</x:f>
        <x:v>0.127275463631112</x:v>
      </x:c>
      <x:c r="G291" s="50" t="n">
        <x:f>IF(ISBLANK(E291),IF(F291="__BLANK__",0,1),IF(E291=F291,0,1))</x:f>
        <x:v>0</x:v>
      </x:c>
      <x:c r="H291" s="3"/>
      <x:c r="I291" s="3"/>
      <x:c r="J291" s="3"/>
      <x:c r="K291" s="3"/>
      <x:c r="L291" s="3"/>
      <x:c r="M291" s="3"/>
    </x:row>
    <x:row r="292" ht="19" customHeight="1">
      <x:c r="A292" s="2"/>
      <x:c r="B292" s="2"/>
      <x:c r="C292" s="2" t="str">
        <x:v>Assumptions!I46</x:v>
      </x:c>
      <x:c r="D292" s="2"/>
      <x:c r="E292" s="3" t="n">
        <x:v>0.127275463631112</x:v>
      </x:c>
      <x:c r="F292" s="50" t="n">
        <x:f>IF(ISBLANK('Assumptions'!I46),"__BLANK__",'Assumptions'!I46)</x:f>
        <x:v>0.127275463631112</x:v>
      </x:c>
      <x:c r="G292" s="50" t="n">
        <x:f>IF(ISBLANK(E292),IF(F292="__BLANK__",0,1),IF(E292=F292,0,1))</x:f>
        <x:v>0</x:v>
      </x:c>
      <x:c r="H292" s="3"/>
      <x:c r="I292" s="3"/>
      <x:c r="J292" s="3"/>
      <x:c r="K292" s="3"/>
      <x:c r="L292" s="3"/>
      <x:c r="M292" s="3"/>
    </x:row>
    <x:row r="293" ht="19" customHeight="1">
      <x:c r="A293" s="2"/>
      <x:c r="B293" s="2"/>
      <x:c r="C293" s="2" t="str">
        <x:v>Assumptions!I47</x:v>
      </x:c>
      <x:c r="D293" s="2"/>
      <x:c r="E293" s="3" t="n">
        <x:v>0.127275463631112</x:v>
      </x:c>
      <x:c r="F293" s="50" t="n">
        <x:f>IF(ISBLANK('Assumptions'!I47),"__BLANK__",'Assumptions'!I47)</x:f>
        <x:v>0.127275463631112</x:v>
      </x:c>
      <x:c r="G293" s="50" t="n">
        <x:f>IF(ISBLANK(E293),IF(F293="__BLANK__",0,1),IF(E293=F293,0,1))</x:f>
        <x:v>0</x:v>
      </x:c>
      <x:c r="H293" s="3"/>
      <x:c r="I293" s="3"/>
      <x:c r="J293" s="3"/>
      <x:c r="K293" s="3"/>
      <x:c r="L293" s="3"/>
      <x:c r="M293" s="3"/>
    </x:row>
    <x:row r="294" ht="19" customHeight="1">
      <x:c r="A294" s="2"/>
      <x:c r="B294" s="2"/>
      <x:c r="C294" s="2" t="str">
        <x:v>Assumptions!I48</x:v>
      </x:c>
      <x:c r="D294" s="2"/>
      <x:c r="E294" s="3" t="n">
        <x:v>0.126275463631112</x:v>
      </x:c>
      <x:c r="F294" s="50" t="n">
        <x:f>IF(ISBLANK('Assumptions'!I48),"__BLANK__",'Assumptions'!I48)</x:f>
        <x:v>0.126275463631112</x:v>
      </x:c>
      <x:c r="G294" s="50" t="n">
        <x:f>IF(ISBLANK(E294),IF(F294="__BLANK__",0,1),IF(E294=F294,0,1))</x:f>
        <x:v>0</x:v>
      </x:c>
      <x:c r="H294" s="3"/>
      <x:c r="I294" s="3"/>
      <x:c r="J294" s="3"/>
      <x:c r="K294" s="3"/>
      <x:c r="L294" s="3"/>
      <x:c r="M294" s="3"/>
    </x:row>
    <x:row r="295" ht="19" customHeight="1">
      <x:c r="A295" s="2"/>
      <x:c r="B295" s="2"/>
      <x:c r="C295" s="2" t="str">
        <x:v>Assumptions!I49</x:v>
      </x:c>
      <x:c r="D295" s="2"/>
      <x:c r="E295" s="3" t="n">
        <x:v>0.128275463631112</x:v>
      </x:c>
      <x:c r="F295" s="50" t="n">
        <x:f>IF(ISBLANK('Assumptions'!I49),"__BLANK__",'Assumptions'!I49)</x:f>
        <x:v>0.128275463631112</x:v>
      </x:c>
      <x:c r="G295" s="50" t="n">
        <x:f>IF(ISBLANK(E295),IF(F295="__BLANK__",0,1),IF(E295=F295,0,1))</x:f>
        <x:v>0</x:v>
      </x:c>
      <x:c r="H295" s="3"/>
      <x:c r="I295" s="3"/>
      <x:c r="J295" s="3"/>
      <x:c r="K295" s="3"/>
      <x:c r="L295" s="3"/>
      <x:c r="M295" s="3"/>
    </x:row>
    <x:row r="296" ht="19" customHeight="1">
      <x:c r="A296" s="2"/>
      <x:c r="B296" s="2"/>
      <x:c r="C296" s="2" t="str">
        <x:v>Assumptions!J41</x:v>
      </x:c>
      <x:c r="D296" s="2"/>
      <x:c r="E296" s="3"/>
      <x:c r="F296" s="50" t="str">
        <x:f>IF(ISBLANK('Assumptions'!J41),"__BLANK__",'Assumptions'!J41)</x:f>
        <x:v>__BLANK__</x:v>
      </x:c>
      <x:c r="G296" s="50" t="n">
        <x:f>IF(ISBLANK(E296),IF(F296="__BLANK__",0,1),IF(E296=F296,0,1))</x:f>
        <x:v>0</x:v>
      </x:c>
      <x:c r="H296" s="3"/>
      <x:c r="I296" s="3"/>
      <x:c r="J296" s="3"/>
      <x:c r="K296" s="3"/>
      <x:c r="L296" s="3"/>
      <x:c r="M296" s="3"/>
    </x:row>
    <x:row r="297" ht="19" customHeight="1">
      <x:c r="A297" s="2"/>
      <x:c r="B297" s="2"/>
      <x:c r="C297" s="2" t="str">
        <x:v>Assumptions!J42</x:v>
      </x:c>
      <x:c r="D297" s="2"/>
      <x:c r="E297" s="3"/>
      <x:c r="F297" s="50" t="str">
        <x:f>IF(ISBLANK('Assumptions'!J42),"__BLANK__",'Assumptions'!J42)</x:f>
        <x:v>__BLANK__</x:v>
      </x:c>
      <x:c r="G297" s="50" t="n">
        <x:f>IF(ISBLANK(E297),IF(F297="__BLANK__",0,1),IF(E297=F297,0,1))</x:f>
        <x:v>0</x:v>
      </x:c>
      <x:c r="H297" s="3"/>
      <x:c r="I297" s="3"/>
      <x:c r="J297" s="3"/>
      <x:c r="K297" s="3"/>
      <x:c r="L297" s="3"/>
      <x:c r="M297" s="3"/>
    </x:row>
    <x:row r="298" ht="19" customHeight="1">
      <x:c r="A298" s="2"/>
      <x:c r="B298" s="2"/>
      <x:c r="C298" s="2" t="str">
        <x:v>Assumptions!J43</x:v>
      </x:c>
      <x:c r="D298" s="2"/>
      <x:c r="E298" s="3"/>
      <x:c r="F298" s="50" t="str">
        <x:f>IF(ISBLANK('Assumptions'!J43),"__BLANK__",'Assumptions'!J43)</x:f>
        <x:v>__BLANK__</x:v>
      </x:c>
      <x:c r="G298" s="50" t="n">
        <x:f>IF(ISBLANK(E298),IF(F298="__BLANK__",0,1),IF(E298=F298,0,1))</x:f>
        <x:v>0</x:v>
      </x:c>
      <x:c r="H298" s="3"/>
      <x:c r="I298" s="3"/>
      <x:c r="J298" s="3"/>
      <x:c r="K298" s="3"/>
      <x:c r="L298" s="3"/>
      <x:c r="M298" s="3"/>
    </x:row>
    <x:row r="299" ht="19" customHeight="1">
      <x:c r="A299" s="2"/>
      <x:c r="B299" s="2"/>
      <x:c r="C299" s="2" t="str">
        <x:v>Assumptions!J44</x:v>
      </x:c>
      <x:c r="D299" s="2"/>
      <x:c r="E299" s="3"/>
      <x:c r="F299" s="50" t="str">
        <x:f>IF(ISBLANK('Assumptions'!J44),"__BLANK__",'Assumptions'!J44)</x:f>
        <x:v>__BLANK__</x:v>
      </x:c>
      <x:c r="G299" s="50" t="n">
        <x:f>IF(ISBLANK(E299),IF(F299="__BLANK__",0,1),IF(E299=F299,0,1))</x:f>
        <x:v>0</x:v>
      </x:c>
      <x:c r="H299" s="3"/>
      <x:c r="I299" s="3"/>
      <x:c r="J299" s="3"/>
      <x:c r="K299" s="3"/>
      <x:c r="L299" s="3"/>
      <x:c r="M299" s="3"/>
    </x:row>
    <x:row r="300" ht="19" customHeight="1">
      <x:c r="A300" s="2"/>
      <x:c r="B300" s="2"/>
      <x:c r="C300" s="2" t="str">
        <x:v>Assumptions!J45</x:v>
      </x:c>
      <x:c r="D300" s="2"/>
      <x:c r="E300" s="3"/>
      <x:c r="F300" s="50" t="str">
        <x:f>IF(ISBLANK('Assumptions'!J45),"__BLANK__",'Assumptions'!J45)</x:f>
        <x:v>__BLANK__</x:v>
      </x:c>
      <x:c r="G300" s="50" t="n">
        <x:f>IF(ISBLANK(E300),IF(F300="__BLANK__",0,1),IF(E300=F300,0,1))</x:f>
        <x:v>0</x:v>
      </x:c>
      <x:c r="H300" s="3"/>
      <x:c r="I300" s="3"/>
      <x:c r="J300" s="3"/>
      <x:c r="K300" s="3"/>
      <x:c r="L300" s="3"/>
      <x:c r="M300" s="3"/>
    </x:row>
    <x:row r="301" ht="19" customHeight="1">
      <x:c r="A301" s="2"/>
      <x:c r="B301" s="2"/>
      <x:c r="C301" s="2" t="str">
        <x:v>Assumptions!J46</x:v>
      </x:c>
      <x:c r="D301" s="2"/>
      <x:c r="E301" s="3"/>
      <x:c r="F301" s="50" t="str">
        <x:f>IF(ISBLANK('Assumptions'!J46),"__BLANK__",'Assumptions'!J46)</x:f>
        <x:v>__BLANK__</x:v>
      </x:c>
      <x:c r="G301" s="50" t="n">
        <x:f>IF(ISBLANK(E301),IF(F301="__BLANK__",0,1),IF(E301=F301,0,1))</x:f>
        <x:v>0</x:v>
      </x:c>
      <x:c r="H301" s="3"/>
      <x:c r="I301" s="3"/>
      <x:c r="J301" s="3"/>
      <x:c r="K301" s="3"/>
      <x:c r="L301" s="3"/>
      <x:c r="M301" s="3"/>
    </x:row>
    <x:row r="302" ht="19" customHeight="1">
      <x:c r="A302" s="2"/>
      <x:c r="B302" s="2"/>
      <x:c r="C302" s="2" t="str">
        <x:v>Assumptions!J47</x:v>
      </x:c>
      <x:c r="D302" s="2"/>
      <x:c r="E302" s="3"/>
      <x:c r="F302" s="50" t="str">
        <x:f>IF(ISBLANK('Assumptions'!J47),"__BLANK__",'Assumptions'!J47)</x:f>
        <x:v>__BLANK__</x:v>
      </x:c>
      <x:c r="G302" s="50" t="n">
        <x:f>IF(ISBLANK(E302),IF(F302="__BLANK__",0,1),IF(E302=F302,0,1))</x:f>
        <x:v>0</x:v>
      </x:c>
      <x:c r="H302" s="3"/>
      <x:c r="I302" s="3"/>
      <x:c r="J302" s="3"/>
      <x:c r="K302" s="3"/>
      <x:c r="L302" s="3"/>
      <x:c r="M302" s="3"/>
    </x:row>
    <x:row r="303" ht="19" customHeight="1">
      <x:c r="A303" s="2"/>
      <x:c r="B303" s="2"/>
      <x:c r="C303" s="2" t="str">
        <x:v>Assumptions!J48</x:v>
      </x:c>
      <x:c r="D303" s="2"/>
      <x:c r="E303" s="3"/>
      <x:c r="F303" s="50" t="str">
        <x:f>IF(ISBLANK('Assumptions'!J48),"__BLANK__",'Assumptions'!J48)</x:f>
        <x:v>__BLANK__</x:v>
      </x:c>
      <x:c r="G303" s="50" t="n">
        <x:f>IF(ISBLANK(E303),IF(F303="__BLANK__",0,1),IF(E303=F303,0,1))</x:f>
        <x:v>0</x:v>
      </x:c>
      <x:c r="H303" s="3"/>
      <x:c r="I303" s="3"/>
      <x:c r="J303" s="3"/>
      <x:c r="K303" s="3"/>
      <x:c r="L303" s="3"/>
      <x:c r="M303" s="3"/>
    </x:row>
    <x:row r="304" ht="19" customHeight="1">
      <x:c r="A304" s="2"/>
      <x:c r="B304" s="2"/>
      <x:c r="C304" s="2" t="str">
        <x:v>Assumptions!J49</x:v>
      </x:c>
      <x:c r="D304" s="2"/>
      <x:c r="E304" s="3"/>
      <x:c r="F304" s="50" t="str">
        <x:f>IF(ISBLANK('Assumptions'!J49),"__BLANK__",'Assumptions'!J49)</x:f>
        <x:v>__BLANK__</x:v>
      </x:c>
      <x:c r="G304" s="50" t="n">
        <x:f>IF(ISBLANK(E304),IF(F304="__BLANK__",0,1),IF(E304=F304,0,1))</x:f>
        <x:v>0</x:v>
      </x:c>
      <x:c r="H304" s="3"/>
      <x:c r="I304" s="3"/>
      <x:c r="J304" s="3"/>
      <x:c r="K304" s="3"/>
      <x:c r="L304" s="3"/>
      <x:c r="M304" s="3"/>
    </x:row>
    <x:row r="305" ht="19" customHeight="1">
      <x:c r="A305" s="2"/>
      <x:c r="B305" s="2"/>
      <x:c r="C305" s="2" t="str">
        <x:v>Assumptions!K41</x:v>
      </x:c>
      <x:c r="D305" s="2"/>
      <x:c r="E305" s="3"/>
      <x:c r="F305" s="50" t="str">
        <x:f>IF(ISBLANK('Assumptions'!K41),"__BLANK__",'Assumptions'!K41)</x:f>
        <x:v>__BLANK__</x:v>
      </x:c>
      <x:c r="G305" s="50" t="n">
        <x:f>IF(ISBLANK(E305),IF(F305="__BLANK__",0,1),IF(E305=F305,0,1))</x:f>
        <x:v>0</x:v>
      </x:c>
      <x:c r="H305" s="3"/>
      <x:c r="I305" s="3"/>
      <x:c r="J305" s="3"/>
      <x:c r="K305" s="3"/>
      <x:c r="L305" s="3"/>
      <x:c r="M305" s="3"/>
    </x:row>
    <x:row r="306" ht="19" customHeight="1">
      <x:c r="A306" s="2"/>
      <x:c r="B306" s="2"/>
      <x:c r="C306" s="2" t="str">
        <x:v>Assumptions!K42</x:v>
      </x:c>
      <x:c r="D306" s="2"/>
      <x:c r="E306" s="3"/>
      <x:c r="F306" s="50" t="str">
        <x:f>IF(ISBLANK('Assumptions'!K42),"__BLANK__",'Assumptions'!K42)</x:f>
        <x:v>__BLANK__</x:v>
      </x:c>
      <x:c r="G306" s="50" t="n">
        <x:f>IF(ISBLANK(E306),IF(F306="__BLANK__",0,1),IF(E306=F306,0,1))</x:f>
        <x:v>0</x:v>
      </x:c>
      <x:c r="H306" s="3"/>
      <x:c r="I306" s="3"/>
      <x:c r="J306" s="3"/>
      <x:c r="K306" s="3"/>
      <x:c r="L306" s="3"/>
      <x:c r="M306" s="3"/>
    </x:row>
    <x:row r="307" ht="19" customHeight="1">
      <x:c r="A307" s="2"/>
      <x:c r="B307" s="2"/>
      <x:c r="C307" s="2" t="str">
        <x:v>Assumptions!K43</x:v>
      </x:c>
      <x:c r="D307" s="2"/>
      <x:c r="E307" s="3"/>
      <x:c r="F307" s="50" t="str">
        <x:f>IF(ISBLANK('Assumptions'!K43),"__BLANK__",'Assumptions'!K43)</x:f>
        <x:v>__BLANK__</x:v>
      </x:c>
      <x:c r="G307" s="50" t="n">
        <x:f>IF(ISBLANK(E307),IF(F307="__BLANK__",0,1),IF(E307=F307,0,1))</x:f>
        <x:v>0</x:v>
      </x:c>
      <x:c r="H307" s="3"/>
      <x:c r="I307" s="3"/>
      <x:c r="J307" s="3"/>
      <x:c r="K307" s="3"/>
      <x:c r="L307" s="3"/>
      <x:c r="M307" s="3"/>
    </x:row>
    <x:row r="308" ht="19" customHeight="1">
      <x:c r="A308" s="2"/>
      <x:c r="B308" s="2"/>
      <x:c r="C308" s="2" t="str">
        <x:v>Assumptions!K44</x:v>
      </x:c>
      <x:c r="D308" s="2"/>
      <x:c r="E308" s="3"/>
      <x:c r="F308" s="50" t="str">
        <x:f>IF(ISBLANK('Assumptions'!K44),"__BLANK__",'Assumptions'!K44)</x:f>
        <x:v>__BLANK__</x:v>
      </x:c>
      <x:c r="G308" s="50" t="n">
        <x:f>IF(ISBLANK(E308),IF(F308="__BLANK__",0,1),IF(E308=F308,0,1))</x:f>
        <x:v>0</x:v>
      </x:c>
      <x:c r="H308" s="3"/>
      <x:c r="I308" s="3"/>
      <x:c r="J308" s="3"/>
      <x:c r="K308" s="3"/>
      <x:c r="L308" s="3"/>
      <x:c r="M308" s="3"/>
    </x:row>
    <x:row r="309" ht="19" customHeight="1">
      <x:c r="A309" s="2"/>
      <x:c r="B309" s="2"/>
      <x:c r="C309" s="2" t="str">
        <x:v>Assumptions!K45</x:v>
      </x:c>
      <x:c r="D309" s="2"/>
      <x:c r="E309" s="3"/>
      <x:c r="F309" s="50" t="str">
        <x:f>IF(ISBLANK('Assumptions'!K45),"__BLANK__",'Assumptions'!K45)</x:f>
        <x:v>__BLANK__</x:v>
      </x:c>
      <x:c r="G309" s="50" t="n">
        <x:f>IF(ISBLANK(E309),IF(F309="__BLANK__",0,1),IF(E309=F309,0,1))</x:f>
        <x:v>0</x:v>
      </x:c>
      <x:c r="H309" s="3"/>
      <x:c r="I309" s="3"/>
      <x:c r="J309" s="3"/>
      <x:c r="K309" s="3"/>
      <x:c r="L309" s="3"/>
      <x:c r="M309" s="3"/>
    </x:row>
    <x:row r="310" ht="19" customHeight="1">
      <x:c r="A310" s="2"/>
      <x:c r="B310" s="2"/>
      <x:c r="C310" s="2" t="str">
        <x:v>Assumptions!K46</x:v>
      </x:c>
      <x:c r="D310" s="2"/>
      <x:c r="E310" s="3"/>
      <x:c r="F310" s="50" t="str">
        <x:f>IF(ISBLANK('Assumptions'!K46),"__BLANK__",'Assumptions'!K46)</x:f>
        <x:v>__BLANK__</x:v>
      </x:c>
      <x:c r="G310" s="50" t="n">
        <x:f>IF(ISBLANK(E310),IF(F310="__BLANK__",0,1),IF(E310=F310,0,1))</x:f>
        <x:v>0</x:v>
      </x:c>
      <x:c r="H310" s="3"/>
      <x:c r="I310" s="3"/>
      <x:c r="J310" s="3"/>
      <x:c r="K310" s="3"/>
      <x:c r="L310" s="3"/>
      <x:c r="M310" s="3"/>
    </x:row>
    <x:row r="311" ht="19" customHeight="1">
      <x:c r="A311" s="2"/>
      <x:c r="B311" s="2"/>
      <x:c r="C311" s="2" t="str">
        <x:v>Assumptions!K47</x:v>
      </x:c>
      <x:c r="D311" s="2"/>
      <x:c r="E311" s="3"/>
      <x:c r="F311" s="50" t="str">
        <x:f>IF(ISBLANK('Assumptions'!K47),"__BLANK__",'Assumptions'!K47)</x:f>
        <x:v>__BLANK__</x:v>
      </x:c>
      <x:c r="G311" s="50" t="n">
        <x:f>IF(ISBLANK(E311),IF(F311="__BLANK__",0,1),IF(E311=F311,0,1))</x:f>
        <x:v>0</x:v>
      </x:c>
      <x:c r="H311" s="3"/>
      <x:c r="I311" s="3"/>
      <x:c r="J311" s="3"/>
      <x:c r="K311" s="3"/>
      <x:c r="L311" s="3"/>
      <x:c r="M311" s="3"/>
    </x:row>
    <x:row r="312" ht="19" customHeight="1">
      <x:c r="A312" s="2"/>
      <x:c r="B312" s="2"/>
      <x:c r="C312" s="2" t="str">
        <x:v>Assumptions!K48</x:v>
      </x:c>
      <x:c r="D312" s="2"/>
      <x:c r="E312" s="3"/>
      <x:c r="F312" s="50" t="str">
        <x:f>IF(ISBLANK('Assumptions'!K48),"__BLANK__",'Assumptions'!K48)</x:f>
        <x:v>__BLANK__</x:v>
      </x:c>
      <x:c r="G312" s="50" t="n">
        <x:f>IF(ISBLANK(E312),IF(F312="__BLANK__",0,1),IF(E312=F312,0,1))</x:f>
        <x:v>0</x:v>
      </x:c>
      <x:c r="H312" s="3"/>
      <x:c r="I312" s="3"/>
      <x:c r="J312" s="3"/>
      <x:c r="K312" s="3"/>
      <x:c r="L312" s="3"/>
      <x:c r="M312" s="3"/>
    </x:row>
    <x:row r="313" ht="19" customHeight="1">
      <x:c r="A313" s="2"/>
      <x:c r="B313" s="2"/>
      <x:c r="C313" s="2" t="str">
        <x:v>Assumptions!K49</x:v>
      </x:c>
      <x:c r="D313" s="2"/>
      <x:c r="E313" s="3"/>
      <x:c r="F313" s="50" t="str">
        <x:f>IF(ISBLANK('Assumptions'!K49),"__BLANK__",'Assumptions'!K49)</x:f>
        <x:v>__BLANK__</x:v>
      </x:c>
      <x:c r="G313" s="50" t="n">
        <x:f>IF(ISBLANK(E313),IF(F313="__BLANK__",0,1),IF(E313=F313,0,1))</x:f>
        <x:v>0</x:v>
      </x:c>
      <x:c r="H313" s="3"/>
      <x:c r="I313" s="3"/>
      <x:c r="J313" s="3"/>
      <x:c r="K313" s="3"/>
      <x:c r="L313" s="3"/>
      <x:c r="M313" s="3"/>
    </x:row>
    <x:row r="314" ht="19" customHeight="1">
      <x:c r="A314" s="2"/>
      <x:c r="B314" s="2"/>
      <x:c r="C314" s="2" t="str">
        <x:v>Assumptions!L41</x:v>
      </x:c>
      <x:c r="D314" s="2"/>
      <x:c r="E314" s="3"/>
      <x:c r="F314" s="50" t="str">
        <x:f>IF(ISBLANK('Assumptions'!L41),"__BLANK__",'Assumptions'!L41)</x:f>
        <x:v>__BLANK__</x:v>
      </x:c>
      <x:c r="G314" s="50" t="n">
        <x:f>IF(ISBLANK(E314),IF(F314="__BLANK__",0,1),IF(E314=F314,0,1))</x:f>
        <x:v>0</x:v>
      </x:c>
      <x:c r="H314" s="3"/>
      <x:c r="I314" s="3"/>
      <x:c r="J314" s="3"/>
      <x:c r="K314" s="3"/>
      <x:c r="L314" s="3"/>
      <x:c r="M314" s="3"/>
    </x:row>
    <x:row r="315" ht="19" customHeight="1">
      <x:c r="A315" s="2"/>
      <x:c r="B315" s="2"/>
      <x:c r="C315" s="2" t="str">
        <x:v>Assumptions!L42</x:v>
      </x:c>
      <x:c r="D315" s="2"/>
      <x:c r="E315" s="3"/>
      <x:c r="F315" s="50" t="str">
        <x:f>IF(ISBLANK('Assumptions'!L42),"__BLANK__",'Assumptions'!L42)</x:f>
        <x:v>__BLANK__</x:v>
      </x:c>
      <x:c r="G315" s="50" t="n">
        <x:f>IF(ISBLANK(E315),IF(F315="__BLANK__",0,1),IF(E315=F315,0,1))</x:f>
        <x:v>0</x:v>
      </x:c>
      <x:c r="H315" s="3"/>
      <x:c r="I315" s="3"/>
      <x:c r="J315" s="3"/>
      <x:c r="K315" s="3"/>
      <x:c r="L315" s="3"/>
      <x:c r="M315" s="3"/>
    </x:row>
    <x:row r="316" ht="19" customHeight="1">
      <x:c r="A316" s="2"/>
      <x:c r="B316" s="2"/>
      <x:c r="C316" s="2" t="str">
        <x:v>Assumptions!L43</x:v>
      </x:c>
      <x:c r="D316" s="2"/>
      <x:c r="E316" s="3"/>
      <x:c r="F316" s="50" t="str">
        <x:f>IF(ISBLANK('Assumptions'!L43),"__BLANK__",'Assumptions'!L43)</x:f>
        <x:v>__BLANK__</x:v>
      </x:c>
      <x:c r="G316" s="50" t="n">
        <x:f>IF(ISBLANK(E316),IF(F316="__BLANK__",0,1),IF(E316=F316,0,1))</x:f>
        <x:v>0</x:v>
      </x:c>
      <x:c r="H316" s="3"/>
      <x:c r="I316" s="3"/>
      <x:c r="J316" s="3"/>
      <x:c r="K316" s="3"/>
      <x:c r="L316" s="3"/>
      <x:c r="M316" s="3"/>
    </x:row>
    <x:row r="317" ht="19" customHeight="1">
      <x:c r="A317" s="2"/>
      <x:c r="B317" s="2"/>
      <x:c r="C317" s="2" t="str">
        <x:v>Assumptions!L44</x:v>
      </x:c>
      <x:c r="D317" s="2"/>
      <x:c r="E317" s="3"/>
      <x:c r="F317" s="50" t="str">
        <x:f>IF(ISBLANK('Assumptions'!L44),"__BLANK__",'Assumptions'!L44)</x:f>
        <x:v>__BLANK__</x:v>
      </x:c>
      <x:c r="G317" s="50" t="n">
        <x:f>IF(ISBLANK(E317),IF(F317="__BLANK__",0,1),IF(E317=F317,0,1))</x:f>
        <x:v>0</x:v>
      </x:c>
      <x:c r="H317" s="3"/>
      <x:c r="I317" s="3"/>
      <x:c r="J317" s="3"/>
      <x:c r="K317" s="3"/>
      <x:c r="L317" s="3"/>
      <x:c r="M317" s="3"/>
    </x:row>
    <x:row r="318" ht="19" customHeight="1">
      <x:c r="A318" s="2"/>
      <x:c r="B318" s="2"/>
      <x:c r="C318" s="2" t="str">
        <x:v>Assumptions!L45</x:v>
      </x:c>
      <x:c r="D318" s="2"/>
      <x:c r="E318" s="3"/>
      <x:c r="F318" s="50" t="str">
        <x:f>IF(ISBLANK('Assumptions'!L45),"__BLANK__",'Assumptions'!L45)</x:f>
        <x:v>__BLANK__</x:v>
      </x:c>
      <x:c r="G318" s="50" t="n">
        <x:f>IF(ISBLANK(E318),IF(F318="__BLANK__",0,1),IF(E318=F318,0,1))</x:f>
        <x:v>0</x:v>
      </x:c>
      <x:c r="H318" s="3"/>
      <x:c r="I318" s="3"/>
      <x:c r="J318" s="3"/>
      <x:c r="K318" s="3"/>
      <x:c r="L318" s="3"/>
      <x:c r="M318" s="3"/>
    </x:row>
    <x:row r="319" ht="19" customHeight="1">
      <x:c r="A319" s="2"/>
      <x:c r="B319" s="2"/>
      <x:c r="C319" s="2" t="str">
        <x:v>Assumptions!L46</x:v>
      </x:c>
      <x:c r="D319" s="2"/>
      <x:c r="E319" s="3"/>
      <x:c r="F319" s="50" t="str">
        <x:f>IF(ISBLANK('Assumptions'!L46),"__BLANK__",'Assumptions'!L46)</x:f>
        <x:v>__BLANK__</x:v>
      </x:c>
      <x:c r="G319" s="50" t="n">
        <x:f>IF(ISBLANK(E319),IF(F319="__BLANK__",0,1),IF(E319=F319,0,1))</x:f>
        <x:v>0</x:v>
      </x:c>
      <x:c r="H319" s="3"/>
      <x:c r="I319" s="3"/>
      <x:c r="J319" s="3"/>
      <x:c r="K319" s="3"/>
      <x:c r="L319" s="3"/>
      <x:c r="M319" s="3"/>
    </x:row>
    <x:row r="320" ht="19" customHeight="1">
      <x:c r="A320" s="2"/>
      <x:c r="B320" s="2"/>
      <x:c r="C320" s="2" t="str">
        <x:v>Assumptions!L47</x:v>
      </x:c>
      <x:c r="D320" s="2"/>
      <x:c r="E320" s="3"/>
      <x:c r="F320" s="50" t="str">
        <x:f>IF(ISBLANK('Assumptions'!L47),"__BLANK__",'Assumptions'!L47)</x:f>
        <x:v>__BLANK__</x:v>
      </x:c>
      <x:c r="G320" s="50" t="n">
        <x:f>IF(ISBLANK(E320),IF(F320="__BLANK__",0,1),IF(E320=F320,0,1))</x:f>
        <x:v>0</x:v>
      </x:c>
      <x:c r="H320" s="3"/>
      <x:c r="I320" s="3"/>
      <x:c r="J320" s="3"/>
      <x:c r="K320" s="3"/>
      <x:c r="L320" s="3"/>
      <x:c r="M320" s="3"/>
    </x:row>
    <x:row r="321" ht="19" customHeight="1">
      <x:c r="A321" s="2"/>
      <x:c r="B321" s="2"/>
      <x:c r="C321" s="2" t="str">
        <x:v>Assumptions!L48</x:v>
      </x:c>
      <x:c r="D321" s="2"/>
      <x:c r="E321" s="3"/>
      <x:c r="F321" s="50" t="str">
        <x:f>IF(ISBLANK('Assumptions'!L48),"__BLANK__",'Assumptions'!L48)</x:f>
        <x:v>__BLANK__</x:v>
      </x:c>
      <x:c r="G321" s="50" t="n">
        <x:f>IF(ISBLANK(E321),IF(F321="__BLANK__",0,1),IF(E321=F321,0,1))</x:f>
        <x:v>0</x:v>
      </x:c>
      <x:c r="H321" s="3"/>
      <x:c r="I321" s="3"/>
      <x:c r="J321" s="3"/>
      <x:c r="K321" s="3"/>
      <x:c r="L321" s="3"/>
      <x:c r="M321" s="3"/>
    </x:row>
    <x:row r="322" ht="19" customHeight="1">
      <x:c r="A322" s="2"/>
      <x:c r="B322" s="2"/>
      <x:c r="C322" s="2" t="str">
        <x:v>Assumptions!L49</x:v>
      </x:c>
      <x:c r="D322" s="2"/>
      <x:c r="E322" s="3"/>
      <x:c r="F322" s="50" t="str">
        <x:f>IF(ISBLANK('Assumptions'!L49),"__BLANK__",'Assumptions'!L49)</x:f>
        <x:v>__BLANK__</x:v>
      </x:c>
      <x:c r="G322" s="50" t="n">
        <x:f>IF(ISBLANK(E322),IF(F322="__BLANK__",0,1),IF(E322=F322,0,1))</x:f>
        <x:v>0</x:v>
      </x:c>
      <x:c r="H322" s="3"/>
      <x:c r="I322" s="3"/>
      <x:c r="J322" s="3"/>
      <x:c r="K322" s="3"/>
      <x:c r="L322" s="3"/>
      <x:c r="M322" s="3"/>
    </x:row>
    <x:row r="323" ht="19" customHeight="1">
      <x:c r="A323" s="2"/>
      <x:c r="B323" s="2"/>
      <x:c r="C323" s="2" t="str">
        <x:v>Assumptions!E51</x:v>
      </x:c>
      <x:c r="D323" s="2"/>
      <x:c r="E323" s="3"/>
      <x:c r="F323" s="50" t="str">
        <x:f>IF(ISBLANK('Assumptions'!E51),"__BLANK__",'Assumptions'!E51)</x:f>
        <x:v>__BLANK__</x:v>
      </x:c>
      <x:c r="G323" s="50" t="n">
        <x:f>IF(ISBLANK(E323),IF(F323="__BLANK__",0,1),IF(E323=F323,0,1))</x:f>
        <x:v>0</x:v>
      </x:c>
      <x:c r="H323" s="3"/>
      <x:c r="I323" s="3"/>
      <x:c r="J323" s="3"/>
      <x:c r="K323" s="3"/>
      <x:c r="L323" s="3"/>
      <x:c r="M323" s="3"/>
    </x:row>
    <x:row r="324" ht="19" customHeight="1">
      <x:c r="A324" s="2"/>
      <x:c r="B324" s="2"/>
      <x:c r="C324" s="2" t="str">
        <x:v>Assumptions!E52</x:v>
      </x:c>
      <x:c r="D324" s="2"/>
      <x:c r="E324" s="3"/>
      <x:c r="F324" s="50" t="str">
        <x:f>IF(ISBLANK('Assumptions'!E52),"__BLANK__",'Assumptions'!E52)</x:f>
        <x:v>__BLANK__</x:v>
      </x:c>
      <x:c r="G324" s="50" t="n">
        <x:f>IF(ISBLANK(E324),IF(F324="__BLANK__",0,1),IF(E324=F324,0,1))</x:f>
        <x:v>0</x:v>
      </x:c>
      <x:c r="H324" s="3"/>
      <x:c r="I324" s="3"/>
      <x:c r="J324" s="3"/>
      <x:c r="K324" s="3"/>
      <x:c r="L324" s="3"/>
      <x:c r="M324" s="3"/>
    </x:row>
    <x:row r="325" ht="19" customHeight="1">
      <x:c r="A325" s="2"/>
      <x:c r="B325" s="2"/>
      <x:c r="C325" s="2" t="str">
        <x:v>Assumptions!E53</x:v>
      </x:c>
      <x:c r="D325" s="2"/>
      <x:c r="E325" s="3"/>
      <x:c r="F325" s="50" t="str">
        <x:f>IF(ISBLANK('Assumptions'!E53),"__BLANK__",'Assumptions'!E53)</x:f>
        <x:v>__BLANK__</x:v>
      </x:c>
      <x:c r="G325" s="50" t="n">
        <x:f>IF(ISBLANK(E325),IF(F325="__BLANK__",0,1),IF(E325=F325,0,1))</x:f>
        <x:v>0</x:v>
      </x:c>
      <x:c r="H325" s="3"/>
      <x:c r="I325" s="3"/>
      <x:c r="J325" s="3"/>
      <x:c r="K325" s="3"/>
      <x:c r="L325" s="3"/>
      <x:c r="M325" s="3"/>
    </x:row>
    <x:row r="326" ht="19" customHeight="1">
      <x:c r="A326" s="2"/>
      <x:c r="B326" s="2"/>
      <x:c r="C326" s="2" t="str">
        <x:v>Assumptions!E54</x:v>
      </x:c>
      <x:c r="D326" s="2"/>
      <x:c r="E326" s="3"/>
      <x:c r="F326" s="50" t="str">
        <x:f>IF(ISBLANK('Assumptions'!E54),"__BLANK__",'Assumptions'!E54)</x:f>
        <x:v>__BLANK__</x:v>
      </x:c>
      <x:c r="G326" s="50" t="n">
        <x:f>IF(ISBLANK(E326),IF(F326="__BLANK__",0,1),IF(E326=F326,0,1))</x:f>
        <x:v>0</x:v>
      </x:c>
      <x:c r="H326" s="3"/>
      <x:c r="I326" s="3"/>
      <x:c r="J326" s="3"/>
      <x:c r="K326" s="3"/>
      <x:c r="L326" s="3"/>
      <x:c r="M326" s="3"/>
    </x:row>
    <x:row r="327" ht="19" customHeight="1">
      <x:c r="A327" s="2"/>
      <x:c r="B327" s="2"/>
      <x:c r="C327" s="2" t="str">
        <x:v>Assumptions!E55</x:v>
      </x:c>
      <x:c r="D327" s="2"/>
      <x:c r="E327" s="3"/>
      <x:c r="F327" s="50" t="str">
        <x:f>IF(ISBLANK('Assumptions'!E55),"__BLANK__",'Assumptions'!E55)</x:f>
        <x:v>__BLANK__</x:v>
      </x:c>
      <x:c r="G327" s="50" t="n">
        <x:f>IF(ISBLANK(E327),IF(F327="__BLANK__",0,1),IF(E327=F327,0,1))</x:f>
        <x:v>0</x:v>
      </x:c>
      <x:c r="H327" s="3"/>
      <x:c r="I327" s="3"/>
      <x:c r="J327" s="3"/>
      <x:c r="K327" s="3"/>
      <x:c r="L327" s="3"/>
      <x:c r="M327" s="3"/>
    </x:row>
    <x:row r="328" ht="19" customHeight="1">
      <x:c r="A328" s="2"/>
      <x:c r="B328" s="2"/>
      <x:c r="C328" s="2" t="str">
        <x:v>Assumptions!E56</x:v>
      </x:c>
      <x:c r="D328" s="2"/>
      <x:c r="E328" s="3"/>
      <x:c r="F328" s="50" t="str">
        <x:f>IF(ISBLANK('Assumptions'!E56),"__BLANK__",'Assumptions'!E56)</x:f>
        <x:v>__BLANK__</x:v>
      </x:c>
      <x:c r="G328" s="50" t="n">
        <x:f>IF(ISBLANK(E328),IF(F328="__BLANK__",0,1),IF(E328=F328,0,1))</x:f>
        <x:v>0</x:v>
      </x:c>
      <x:c r="H328" s="3"/>
      <x:c r="I328" s="3"/>
      <x:c r="J328" s="3"/>
      <x:c r="K328" s="3"/>
      <x:c r="L328" s="3"/>
      <x:c r="M328" s="3"/>
    </x:row>
    <x:row r="329" ht="19" customHeight="1">
      <x:c r="A329" s="2"/>
      <x:c r="B329" s="2"/>
      <x:c r="C329" s="2" t="str">
        <x:v>Assumptions!E57</x:v>
      </x:c>
      <x:c r="D329" s="2"/>
      <x:c r="E329" s="3"/>
      <x:c r="F329" s="50" t="str">
        <x:f>IF(ISBLANK('Assumptions'!E57),"__BLANK__",'Assumptions'!E57)</x:f>
        <x:v>__BLANK__</x:v>
      </x:c>
      <x:c r="G329" s="50" t="n">
        <x:f>IF(ISBLANK(E329),IF(F329="__BLANK__",0,1),IF(E329=F329,0,1))</x:f>
        <x:v>0</x:v>
      </x:c>
      <x:c r="H329" s="3"/>
      <x:c r="I329" s="3"/>
      <x:c r="J329" s="3"/>
      <x:c r="K329" s="3"/>
      <x:c r="L329" s="3"/>
      <x:c r="M329" s="3"/>
    </x:row>
    <x:row r="330" ht="19" customHeight="1">
      <x:c r="A330" s="2"/>
      <x:c r="B330" s="2"/>
      <x:c r="C330" s="2" t="str">
        <x:v>Assumptions!E58</x:v>
      </x:c>
      <x:c r="D330" s="2"/>
      <x:c r="E330" s="3"/>
      <x:c r="F330" s="50" t="str">
        <x:f>IF(ISBLANK('Assumptions'!E58),"__BLANK__",'Assumptions'!E58)</x:f>
        <x:v>__BLANK__</x:v>
      </x:c>
      <x:c r="G330" s="50" t="n">
        <x:f>IF(ISBLANK(E330),IF(F330="__BLANK__",0,1),IF(E330=F330,0,1))</x:f>
        <x:v>0</x:v>
      </x:c>
      <x:c r="H330" s="3"/>
      <x:c r="I330" s="3"/>
      <x:c r="J330" s="3"/>
      <x:c r="K330" s="3"/>
      <x:c r="L330" s="3"/>
      <x:c r="M330" s="3"/>
    </x:row>
    <x:row r="331" ht="19" customHeight="1">
      <x:c r="A331" s="2"/>
      <x:c r="B331" s="2"/>
      <x:c r="C331" s="2" t="str">
        <x:v>Assumptions!E59</x:v>
      </x:c>
      <x:c r="D331" s="2"/>
      <x:c r="E331" s="3"/>
      <x:c r="F331" s="50" t="str">
        <x:f>IF(ISBLANK('Assumptions'!E59),"__BLANK__",'Assumptions'!E59)</x:f>
        <x:v>__BLANK__</x:v>
      </x:c>
      <x:c r="G331" s="50" t="n">
        <x:f>IF(ISBLANK(E331),IF(F331="__BLANK__",0,1),IF(E331=F331,0,1))</x:f>
        <x:v>0</x:v>
      </x:c>
      <x:c r="H331" s="3"/>
      <x:c r="I331" s="3"/>
      <x:c r="J331" s="3"/>
      <x:c r="K331" s="3"/>
      <x:c r="L331" s="3"/>
      <x:c r="M331" s="3"/>
    </x:row>
    <x:row r="332" ht="19" customHeight="1">
      <x:c r="A332" s="2"/>
      <x:c r="B332" s="2"/>
      <x:c r="C332" s="2" t="str">
        <x:v>Assumptions!F51</x:v>
      </x:c>
      <x:c r="D332" s="2"/>
      <x:c r="E332" s="3"/>
      <x:c r="F332" s="50" t="str">
        <x:f>IF(ISBLANK('Assumptions'!F51),"__BLANK__",'Assumptions'!F51)</x:f>
        <x:v>__BLANK__</x:v>
      </x:c>
      <x:c r="G332" s="50" t="n">
        <x:f>IF(ISBLANK(E332),IF(F332="__BLANK__",0,1),IF(E332=F332,0,1))</x:f>
        <x:v>0</x:v>
      </x:c>
      <x:c r="H332" s="3"/>
      <x:c r="I332" s="3"/>
      <x:c r="J332" s="3"/>
      <x:c r="K332" s="3"/>
      <x:c r="L332" s="3"/>
      <x:c r="M332" s="3"/>
    </x:row>
    <x:row r="333" ht="19" customHeight="1">
      <x:c r="A333" s="2"/>
      <x:c r="B333" s="2"/>
      <x:c r="C333" s="2" t="str">
        <x:v>Assumptions!F52</x:v>
      </x:c>
      <x:c r="D333" s="2"/>
      <x:c r="E333" s="3"/>
      <x:c r="F333" s="50" t="str">
        <x:f>IF(ISBLANK('Assumptions'!F52),"__BLANK__",'Assumptions'!F52)</x:f>
        <x:v>__BLANK__</x:v>
      </x:c>
      <x:c r="G333" s="50" t="n">
        <x:f>IF(ISBLANK(E333),IF(F333="__BLANK__",0,1),IF(E333=F333,0,1))</x:f>
        <x:v>0</x:v>
      </x:c>
      <x:c r="H333" s="3"/>
      <x:c r="I333" s="3"/>
      <x:c r="J333" s="3"/>
      <x:c r="K333" s="3"/>
      <x:c r="L333" s="3"/>
      <x:c r="M333" s="3"/>
    </x:row>
    <x:row r="334" ht="19" customHeight="1">
      <x:c r="A334" s="2"/>
      <x:c r="B334" s="2"/>
      <x:c r="C334" s="2" t="str">
        <x:v>Assumptions!F53</x:v>
      </x:c>
      <x:c r="D334" s="2"/>
      <x:c r="E334" s="3"/>
      <x:c r="F334" s="50" t="str">
        <x:f>IF(ISBLANK('Assumptions'!F53),"__BLANK__",'Assumptions'!F53)</x:f>
        <x:v>__BLANK__</x:v>
      </x:c>
      <x:c r="G334" s="50" t="n">
        <x:f>IF(ISBLANK(E334),IF(F334="__BLANK__",0,1),IF(E334=F334,0,1))</x:f>
        <x:v>0</x:v>
      </x:c>
      <x:c r="H334" s="3"/>
      <x:c r="I334" s="3"/>
      <x:c r="J334" s="3"/>
      <x:c r="K334" s="3"/>
      <x:c r="L334" s="3"/>
      <x:c r="M334" s="3"/>
    </x:row>
    <x:row r="335" ht="19" customHeight="1">
      <x:c r="A335" s="2"/>
      <x:c r="B335" s="2"/>
      <x:c r="C335" s="2" t="str">
        <x:v>Assumptions!F54</x:v>
      </x:c>
      <x:c r="D335" s="2"/>
      <x:c r="E335" s="3"/>
      <x:c r="F335" s="50" t="str">
        <x:f>IF(ISBLANK('Assumptions'!F54),"__BLANK__",'Assumptions'!F54)</x:f>
        <x:v>__BLANK__</x:v>
      </x:c>
      <x:c r="G335" s="50" t="n">
        <x:f>IF(ISBLANK(E335),IF(F335="__BLANK__",0,1),IF(E335=F335,0,1))</x:f>
        <x:v>0</x:v>
      </x:c>
      <x:c r="H335" s="3"/>
      <x:c r="I335" s="3"/>
      <x:c r="J335" s="3"/>
      <x:c r="K335" s="3"/>
      <x:c r="L335" s="3"/>
      <x:c r="M335" s="3"/>
    </x:row>
    <x:row r="336" ht="19" customHeight="1">
      <x:c r="A336" s="2"/>
      <x:c r="B336" s="2"/>
      <x:c r="C336" s="2" t="str">
        <x:v>Assumptions!F55</x:v>
      </x:c>
      <x:c r="D336" s="2"/>
      <x:c r="E336" s="3"/>
      <x:c r="F336" s="50" t="str">
        <x:f>IF(ISBLANK('Assumptions'!F55),"__BLANK__",'Assumptions'!F55)</x:f>
        <x:v>__BLANK__</x:v>
      </x:c>
      <x:c r="G336" s="50" t="n">
        <x:f>IF(ISBLANK(E336),IF(F336="__BLANK__",0,1),IF(E336=F336,0,1))</x:f>
        <x:v>0</x:v>
      </x:c>
      <x:c r="H336" s="3"/>
      <x:c r="I336" s="3"/>
      <x:c r="J336" s="3"/>
      <x:c r="K336" s="3"/>
      <x:c r="L336" s="3"/>
      <x:c r="M336" s="3"/>
    </x:row>
    <x:row r="337" ht="19" customHeight="1">
      <x:c r="A337" s="2"/>
      <x:c r="B337" s="2"/>
      <x:c r="C337" s="2" t="str">
        <x:v>Assumptions!F56</x:v>
      </x:c>
      <x:c r="D337" s="2"/>
      <x:c r="E337" s="3"/>
      <x:c r="F337" s="50" t="str">
        <x:f>IF(ISBLANK('Assumptions'!F56),"__BLANK__",'Assumptions'!F56)</x:f>
        <x:v>__BLANK__</x:v>
      </x:c>
      <x:c r="G337" s="50" t="n">
        <x:f>IF(ISBLANK(E337),IF(F337="__BLANK__",0,1),IF(E337=F337,0,1))</x:f>
        <x:v>0</x:v>
      </x:c>
      <x:c r="H337" s="3"/>
      <x:c r="I337" s="3"/>
      <x:c r="J337" s="3"/>
      <x:c r="K337" s="3"/>
      <x:c r="L337" s="3"/>
      <x:c r="M337" s="3"/>
    </x:row>
    <x:row r="338" ht="19" customHeight="1">
      <x:c r="A338" s="2"/>
      <x:c r="B338" s="2"/>
      <x:c r="C338" s="2" t="str">
        <x:v>Assumptions!F57</x:v>
      </x:c>
      <x:c r="D338" s="2"/>
      <x:c r="E338" s="3"/>
      <x:c r="F338" s="50" t="str">
        <x:f>IF(ISBLANK('Assumptions'!F57),"__BLANK__",'Assumptions'!F57)</x:f>
        <x:v>__BLANK__</x:v>
      </x:c>
      <x:c r="G338" s="50" t="n">
        <x:f>IF(ISBLANK(E338),IF(F338="__BLANK__",0,1),IF(E338=F338,0,1))</x:f>
        <x:v>0</x:v>
      </x:c>
      <x:c r="H338" s="3"/>
      <x:c r="I338" s="3"/>
      <x:c r="J338" s="3"/>
      <x:c r="K338" s="3"/>
      <x:c r="L338" s="3"/>
      <x:c r="M338" s="3"/>
    </x:row>
    <x:row r="339" ht="19" customHeight="1">
      <x:c r="A339" s="2"/>
      <x:c r="B339" s="2"/>
      <x:c r="C339" s="2" t="str">
        <x:v>Assumptions!F58</x:v>
      </x:c>
      <x:c r="D339" s="2"/>
      <x:c r="E339" s="3"/>
      <x:c r="F339" s="50" t="str">
        <x:f>IF(ISBLANK('Assumptions'!F58),"__BLANK__",'Assumptions'!F58)</x:f>
        <x:v>__BLANK__</x:v>
      </x:c>
      <x:c r="G339" s="50" t="n">
        <x:f>IF(ISBLANK(E339),IF(F339="__BLANK__",0,1),IF(E339=F339,0,1))</x:f>
        <x:v>0</x:v>
      </x:c>
      <x:c r="H339" s="3"/>
      <x:c r="I339" s="3"/>
      <x:c r="J339" s="3"/>
      <x:c r="K339" s="3"/>
      <x:c r="L339" s="3"/>
      <x:c r="M339" s="3"/>
    </x:row>
    <x:row r="340" ht="19" customHeight="1">
      <x:c r="A340" s="2"/>
      <x:c r="B340" s="2"/>
      <x:c r="C340" s="2" t="str">
        <x:v>Assumptions!F59</x:v>
      </x:c>
      <x:c r="D340" s="2"/>
      <x:c r="E340" s="3"/>
      <x:c r="F340" s="50" t="str">
        <x:f>IF(ISBLANK('Assumptions'!F59),"__BLANK__",'Assumptions'!F59)</x:f>
        <x:v>__BLANK__</x:v>
      </x:c>
      <x:c r="G340" s="50" t="n">
        <x:f>IF(ISBLANK(E340),IF(F340="__BLANK__",0,1),IF(E340=F340,0,1))</x:f>
        <x:v>0</x:v>
      </x:c>
      <x:c r="H340" s="3"/>
      <x:c r="I340" s="3"/>
      <x:c r="J340" s="3"/>
      <x:c r="K340" s="3"/>
      <x:c r="L340" s="3"/>
      <x:c r="M340" s="3"/>
    </x:row>
    <x:row r="341" ht="19" customHeight="1">
      <x:c r="A341" s="2"/>
      <x:c r="B341" s="2"/>
      <x:c r="C341" s="2" t="str">
        <x:v>Assumptions!G51</x:v>
      </x:c>
      <x:c r="D341" s="2"/>
      <x:c r="E341" s="3" t="n">
        <x:v>0.0179049103084943</x:v>
      </x:c>
      <x:c r="F341" s="50" t="n">
        <x:f>IF(ISBLANK('Assumptions'!G51),"__BLANK__",'Assumptions'!G51)</x:f>
        <x:v>0.0179049103084943</x:v>
      </x:c>
      <x:c r="G341" s="50" t="n">
        <x:f>IF(ISBLANK(E341),IF(F341="__BLANK__",0,1),IF(E341=F341,0,1))</x:f>
        <x:v>0</x:v>
      </x:c>
      <x:c r="H341" s="3"/>
      <x:c r="I341" s="3"/>
      <x:c r="J341" s="3"/>
      <x:c r="K341" s="3"/>
      <x:c r="L341" s="3"/>
      <x:c r="M341" s="3"/>
    </x:row>
    <x:row r="342" ht="19" customHeight="1">
      <x:c r="A342" s="2"/>
      <x:c r="B342" s="2"/>
      <x:c r="C342" s="2" t="str">
        <x:v>Assumptions!G52</x:v>
      </x:c>
      <x:c r="D342" s="2"/>
      <x:c r="E342" s="3" t="n">
        <x:v>0.0179049103084943</x:v>
      </x:c>
      <x:c r="F342" s="50" t="n">
        <x:f>IF(ISBLANK('Assumptions'!G52),"__BLANK__",'Assumptions'!G52)</x:f>
        <x:v>0.0179049103084943</x:v>
      </x:c>
      <x:c r="G342" s="50" t="n">
        <x:f>IF(ISBLANK(E342),IF(F342="__BLANK__",0,1),IF(E342=F342,0,1))</x:f>
        <x:v>0</x:v>
      </x:c>
      <x:c r="H342" s="3"/>
      <x:c r="I342" s="3"/>
      <x:c r="J342" s="3"/>
      <x:c r="K342" s="3"/>
      <x:c r="L342" s="3"/>
      <x:c r="M342" s="3"/>
    </x:row>
    <x:row r="343" ht="19" customHeight="1">
      <x:c r="A343" s="2"/>
      <x:c r="B343" s="2"/>
      <x:c r="C343" s="2" t="str">
        <x:v>Assumptions!G53</x:v>
      </x:c>
      <x:c r="D343" s="2"/>
      <x:c r="E343" s="3" t="n">
        <x:v>0.0179049103084943</x:v>
      </x:c>
      <x:c r="F343" s="50" t="n">
        <x:f>IF(ISBLANK('Assumptions'!G53),"__BLANK__",'Assumptions'!G53)</x:f>
        <x:v>0.0179049103084943</x:v>
      </x:c>
      <x:c r="G343" s="50" t="n">
        <x:f>IF(ISBLANK(E343),IF(F343="__BLANK__",0,1),IF(E343=F343,0,1))</x:f>
        <x:v>0</x:v>
      </x:c>
      <x:c r="H343" s="3"/>
      <x:c r="I343" s="3"/>
      <x:c r="J343" s="3"/>
      <x:c r="K343" s="3"/>
      <x:c r="L343" s="3"/>
      <x:c r="M343" s="3"/>
    </x:row>
    <x:row r="344" ht="19" customHeight="1">
      <x:c r="A344" s="2"/>
      <x:c r="B344" s="2"/>
      <x:c r="C344" s="2" t="str">
        <x:v>Assumptions!G54</x:v>
      </x:c>
      <x:c r="D344" s="2"/>
      <x:c r="E344" s="3" t="n">
        <x:v>0.0179049103084943</x:v>
      </x:c>
      <x:c r="F344" s="50" t="n">
        <x:f>IF(ISBLANK('Assumptions'!G54),"__BLANK__",'Assumptions'!G54)</x:f>
        <x:v>0.0179049103084943</x:v>
      </x:c>
      <x:c r="G344" s="50" t="n">
        <x:f>IF(ISBLANK(E344),IF(F344="__BLANK__",0,1),IF(E344=F344,0,1))</x:f>
        <x:v>0</x:v>
      </x:c>
      <x:c r="H344" s="3"/>
      <x:c r="I344" s="3"/>
      <x:c r="J344" s="3"/>
      <x:c r="K344" s="3"/>
      <x:c r="L344" s="3"/>
      <x:c r="M344" s="3"/>
    </x:row>
    <x:row r="345" ht="19" customHeight="1">
      <x:c r="A345" s="2"/>
      <x:c r="B345" s="2"/>
      <x:c r="C345" s="2" t="str">
        <x:v>Assumptions!G55</x:v>
      </x:c>
      <x:c r="D345" s="2"/>
      <x:c r="E345" s="3" t="n">
        <x:v>0.0179049103084943</x:v>
      </x:c>
      <x:c r="F345" s="50" t="n">
        <x:f>IF(ISBLANK('Assumptions'!G55),"__BLANK__",'Assumptions'!G55)</x:f>
        <x:v>0.0179049103084943</x:v>
      </x:c>
      <x:c r="G345" s="50" t="n">
        <x:f>IF(ISBLANK(E345),IF(F345="__BLANK__",0,1),IF(E345=F345,0,1))</x:f>
        <x:v>0</x:v>
      </x:c>
      <x:c r="H345" s="3"/>
      <x:c r="I345" s="3"/>
      <x:c r="J345" s="3"/>
      <x:c r="K345" s="3"/>
      <x:c r="L345" s="3"/>
      <x:c r="M345" s="3"/>
    </x:row>
    <x:row r="346" ht="19" customHeight="1">
      <x:c r="A346" s="2"/>
      <x:c r="B346" s="2"/>
      <x:c r="C346" s="2" t="str">
        <x:v>Assumptions!G56</x:v>
      </x:c>
      <x:c r="D346" s="2"/>
      <x:c r="E346" s="3" t="n">
        <x:v>0.0179049103084943</x:v>
      </x:c>
      <x:c r="F346" s="50" t="n">
        <x:f>IF(ISBLANK('Assumptions'!G56),"__BLANK__",'Assumptions'!G56)</x:f>
        <x:v>0.0179049103084943</x:v>
      </x:c>
      <x:c r="G346" s="50" t="n">
        <x:f>IF(ISBLANK(E346),IF(F346="__BLANK__",0,1),IF(E346=F346,0,1))</x:f>
        <x:v>0</x:v>
      </x:c>
      <x:c r="H346" s="3"/>
      <x:c r="I346" s="3"/>
      <x:c r="J346" s="3"/>
      <x:c r="K346" s="3"/>
      <x:c r="L346" s="3"/>
      <x:c r="M346" s="3"/>
    </x:row>
    <x:row r="347" ht="19" customHeight="1">
      <x:c r="A347" s="2"/>
      <x:c r="B347" s="2"/>
      <x:c r="C347" s="2" t="str">
        <x:v>Assumptions!G57</x:v>
      </x:c>
      <x:c r="D347" s="2"/>
      <x:c r="E347" s="3" t="n">
        <x:v>0.0179049103084943</x:v>
      </x:c>
      <x:c r="F347" s="50" t="n">
        <x:f>IF(ISBLANK('Assumptions'!G57),"__BLANK__",'Assumptions'!G57)</x:f>
        <x:v>0.0179049103084943</x:v>
      </x:c>
      <x:c r="G347" s="50" t="n">
        <x:f>IF(ISBLANK(E347),IF(F347="__BLANK__",0,1),IF(E347=F347,0,1))</x:f>
        <x:v>0</x:v>
      </x:c>
      <x:c r="H347" s="3"/>
      <x:c r="I347" s="3"/>
      <x:c r="J347" s="3"/>
      <x:c r="K347" s="3"/>
      <x:c r="L347" s="3"/>
      <x:c r="M347" s="3"/>
    </x:row>
    <x:row r="348" ht="19" customHeight="1">
      <x:c r="A348" s="2"/>
      <x:c r="B348" s="2"/>
      <x:c r="C348" s="2" t="str">
        <x:v>Assumptions!G58</x:v>
      </x:c>
      <x:c r="D348" s="2"/>
      <x:c r="E348" s="3" t="n">
        <x:v>0.0185674306329759</x:v>
      </x:c>
      <x:c r="F348" s="50" t="n">
        <x:f>IF(ISBLANK('Assumptions'!G58),"__BLANK__",'Assumptions'!G58)</x:f>
        <x:v>0.0185674306329759</x:v>
      </x:c>
      <x:c r="G348" s="50" t="n">
        <x:f>IF(ISBLANK(E348),IF(F348="__BLANK__",0,1),IF(E348=F348,0,1))</x:f>
        <x:v>0</x:v>
      </x:c>
      <x:c r="H348" s="3"/>
      <x:c r="I348" s="3"/>
      <x:c r="J348" s="3"/>
      <x:c r="K348" s="3"/>
      <x:c r="L348" s="3"/>
      <x:c r="M348" s="3"/>
    </x:row>
    <x:row r="349" ht="19" customHeight="1">
      <x:c r="A349" s="2"/>
      <x:c r="B349" s="2"/>
      <x:c r="C349" s="2" t="str">
        <x:v>Assumptions!G59</x:v>
      </x:c>
      <x:c r="D349" s="2"/>
      <x:c r="E349" s="3" t="n">
        <x:v>0.0179049103084943</x:v>
      </x:c>
      <x:c r="F349" s="50" t="n">
        <x:f>IF(ISBLANK('Assumptions'!G59),"__BLANK__",'Assumptions'!G59)</x:f>
        <x:v>0.0179049103084943</x:v>
      </x:c>
      <x:c r="G349" s="50" t="n">
        <x:f>IF(ISBLANK(E349),IF(F349="__BLANK__",0,1),IF(E349=F349,0,1))</x:f>
        <x:v>0</x:v>
      </x:c>
      <x:c r="H349" s="3"/>
      <x:c r="I349" s="3"/>
      <x:c r="J349" s="3"/>
      <x:c r="K349" s="3"/>
      <x:c r="L349" s="3"/>
      <x:c r="M349" s="3"/>
    </x:row>
    <x:row r="350" ht="19" customHeight="1">
      <x:c r="A350" s="2"/>
      <x:c r="B350" s="2"/>
      <x:c r="C350" s="2" t="str">
        <x:v>Assumptions!H51</x:v>
      </x:c>
      <x:c r="D350" s="2"/>
      <x:c r="E350" s="3" t="n">
        <x:v>0.0179049103084943</x:v>
      </x:c>
      <x:c r="F350" s="50" t="n">
        <x:f>IF(ISBLANK('Assumptions'!H51),"__BLANK__",'Assumptions'!H51)</x:f>
        <x:v>0.0179049103084943</x:v>
      </x:c>
      <x:c r="G350" s="50" t="n">
        <x:f>IF(ISBLANK(E350),IF(F350="__BLANK__",0,1),IF(E350=F350,0,1))</x:f>
        <x:v>0</x:v>
      </x:c>
      <x:c r="H350" s="3"/>
      <x:c r="I350" s="3"/>
      <x:c r="J350" s="3"/>
      <x:c r="K350" s="3"/>
      <x:c r="L350" s="3"/>
      <x:c r="M350" s="3"/>
    </x:row>
    <x:row r="351" ht="19" customHeight="1">
      <x:c r="A351" s="2"/>
      <x:c r="B351" s="2"/>
      <x:c r="C351" s="2" t="str">
        <x:v>Assumptions!H52</x:v>
      </x:c>
      <x:c r="D351" s="2"/>
      <x:c r="E351" s="3" t="n">
        <x:v>0.0179049103084943</x:v>
      </x:c>
      <x:c r="F351" s="50" t="n">
        <x:f>IF(ISBLANK('Assumptions'!H52),"__BLANK__",'Assumptions'!H52)</x:f>
        <x:v>0.0179049103084943</x:v>
      </x:c>
      <x:c r="G351" s="50" t="n">
        <x:f>IF(ISBLANK(E351),IF(F351="__BLANK__",0,1),IF(E351=F351,0,1))</x:f>
        <x:v>0</x:v>
      </x:c>
      <x:c r="H351" s="3"/>
      <x:c r="I351" s="3"/>
      <x:c r="J351" s="3"/>
      <x:c r="K351" s="3"/>
      <x:c r="L351" s="3"/>
      <x:c r="M351" s="3"/>
    </x:row>
    <x:row r="352" ht="19" customHeight="1">
      <x:c r="A352" s="2"/>
      <x:c r="B352" s="2"/>
      <x:c r="C352" s="2" t="str">
        <x:v>Assumptions!H53</x:v>
      </x:c>
      <x:c r="D352" s="2"/>
      <x:c r="E352" s="3" t="n">
        <x:v>0.0179049103084943</x:v>
      </x:c>
      <x:c r="F352" s="50" t="n">
        <x:f>IF(ISBLANK('Assumptions'!H53),"__BLANK__",'Assumptions'!H53)</x:f>
        <x:v>0.0179049103084943</x:v>
      </x:c>
      <x:c r="G352" s="50" t="n">
        <x:f>IF(ISBLANK(E352),IF(F352="__BLANK__",0,1),IF(E352=F352,0,1))</x:f>
        <x:v>0</x:v>
      </x:c>
      <x:c r="H352" s="3"/>
      <x:c r="I352" s="3"/>
      <x:c r="J352" s="3"/>
      <x:c r="K352" s="3"/>
      <x:c r="L352" s="3"/>
      <x:c r="M352" s="3"/>
    </x:row>
    <x:row r="353" ht="19" customHeight="1">
      <x:c r="A353" s="2"/>
      <x:c r="B353" s="2"/>
      <x:c r="C353" s="2" t="str">
        <x:v>Assumptions!H54</x:v>
      </x:c>
      <x:c r="D353" s="2"/>
      <x:c r="E353" s="3" t="n">
        <x:v>0.0179049103084943</x:v>
      </x:c>
      <x:c r="F353" s="50" t="n">
        <x:f>IF(ISBLANK('Assumptions'!H54),"__BLANK__",'Assumptions'!H54)</x:f>
        <x:v>0.0179049103084943</x:v>
      </x:c>
      <x:c r="G353" s="50" t="n">
        <x:f>IF(ISBLANK(E353),IF(F353="__BLANK__",0,1),IF(E353=F353,0,1))</x:f>
        <x:v>0</x:v>
      </x:c>
      <x:c r="H353" s="3"/>
      <x:c r="I353" s="3"/>
      <x:c r="J353" s="3"/>
      <x:c r="K353" s="3"/>
      <x:c r="L353" s="3"/>
      <x:c r="M353" s="3"/>
    </x:row>
    <x:row r="354" ht="19" customHeight="1">
      <x:c r="A354" s="2"/>
      <x:c r="B354" s="2"/>
      <x:c r="C354" s="2" t="str">
        <x:v>Assumptions!H55</x:v>
      </x:c>
      <x:c r="D354" s="2"/>
      <x:c r="E354" s="3" t="n">
        <x:v>0.0179049103084943</x:v>
      </x:c>
      <x:c r="F354" s="50" t="n">
        <x:f>IF(ISBLANK('Assumptions'!H55),"__BLANK__",'Assumptions'!H55)</x:f>
        <x:v>0.0179049103084943</x:v>
      </x:c>
      <x:c r="G354" s="50" t="n">
        <x:f>IF(ISBLANK(E354),IF(F354="__BLANK__",0,1),IF(E354=F354,0,1))</x:f>
        <x:v>0</x:v>
      </x:c>
      <x:c r="H354" s="3"/>
      <x:c r="I354" s="3"/>
      <x:c r="J354" s="3"/>
      <x:c r="K354" s="3"/>
      <x:c r="L354" s="3"/>
      <x:c r="M354" s="3"/>
    </x:row>
    <x:row r="355" ht="19" customHeight="1">
      <x:c r="A355" s="2"/>
      <x:c r="B355" s="2"/>
      <x:c r="C355" s="2" t="str">
        <x:v>Assumptions!H56</x:v>
      </x:c>
      <x:c r="D355" s="2"/>
      <x:c r="E355" s="3" t="n">
        <x:v>0.0179049103084943</x:v>
      </x:c>
      <x:c r="F355" s="50" t="n">
        <x:f>IF(ISBLANK('Assumptions'!H56),"__BLANK__",'Assumptions'!H56)</x:f>
        <x:v>0.0179049103084943</x:v>
      </x:c>
      <x:c r="G355" s="50" t="n">
        <x:f>IF(ISBLANK(E355),IF(F355="__BLANK__",0,1),IF(E355=F355,0,1))</x:f>
        <x:v>0</x:v>
      </x:c>
      <x:c r="H355" s="3"/>
      <x:c r="I355" s="3"/>
      <x:c r="J355" s="3"/>
      <x:c r="K355" s="3"/>
      <x:c r="L355" s="3"/>
      <x:c r="M355" s="3"/>
    </x:row>
    <x:row r="356" ht="19" customHeight="1">
      <x:c r="A356" s="2"/>
      <x:c r="B356" s="2"/>
      <x:c r="C356" s="2" t="str">
        <x:v>Assumptions!H57</x:v>
      </x:c>
      <x:c r="D356" s="2"/>
      <x:c r="E356" s="3" t="n">
        <x:v>0.0179049103084943</x:v>
      </x:c>
      <x:c r="F356" s="50" t="n">
        <x:f>IF(ISBLANK('Assumptions'!H57),"__BLANK__",'Assumptions'!H57)</x:f>
        <x:v>0.0179049103084943</x:v>
      </x:c>
      <x:c r="G356" s="50" t="n">
        <x:f>IF(ISBLANK(E356),IF(F356="__BLANK__",0,1),IF(E356=F356,0,1))</x:f>
        <x:v>0</x:v>
      </x:c>
      <x:c r="H356" s="3"/>
      <x:c r="I356" s="3"/>
      <x:c r="J356" s="3"/>
      <x:c r="K356" s="3"/>
      <x:c r="L356" s="3"/>
      <x:c r="M356" s="3"/>
    </x:row>
    <x:row r="357" ht="19" customHeight="1">
      <x:c r="A357" s="2"/>
      <x:c r="B357" s="2"/>
      <x:c r="C357" s="2" t="str">
        <x:v>Assumptions!H58</x:v>
      </x:c>
      <x:c r="D357" s="2"/>
      <x:c r="E357" s="3" t="n">
        <x:v>0.0388</x:v>
      </x:c>
      <x:c r="F357" s="50" t="n">
        <x:f>IF(ISBLANK('Assumptions'!H58),"__BLANK__",'Assumptions'!H58)</x:f>
        <x:v>0.0388</x:v>
      </x:c>
      <x:c r="G357" s="50" t="n">
        <x:f>IF(ISBLANK(E357),IF(F357="__BLANK__",0,1),IF(E357=F357,0,1))</x:f>
        <x:v>0</x:v>
      </x:c>
      <x:c r="H357" s="3"/>
      <x:c r="I357" s="3"/>
      <x:c r="J357" s="3"/>
      <x:c r="K357" s="3"/>
      <x:c r="L357" s="3"/>
      <x:c r="M357" s="3"/>
    </x:row>
    <x:row r="358" ht="19" customHeight="1">
      <x:c r="A358" s="2"/>
      <x:c r="B358" s="2"/>
      <x:c r="C358" s="2" t="str">
        <x:v>Assumptions!H59</x:v>
      </x:c>
      <x:c r="D358" s="2"/>
      <x:c r="E358" s="3" t="n">
        <x:v>0.0179049103084943</x:v>
      </x:c>
      <x:c r="F358" s="50" t="n">
        <x:f>IF(ISBLANK('Assumptions'!H59),"__BLANK__",'Assumptions'!H59)</x:f>
        <x:v>0.0179049103084943</x:v>
      </x:c>
      <x:c r="G358" s="50" t="n">
        <x:f>IF(ISBLANK(E358),IF(F358="__BLANK__",0,1),IF(E358=F358,0,1))</x:f>
        <x:v>0</x:v>
      </x:c>
      <x:c r="H358" s="3"/>
      <x:c r="I358" s="3"/>
      <x:c r="J358" s="3"/>
      <x:c r="K358" s="3"/>
      <x:c r="L358" s="3"/>
      <x:c r="M358" s="3"/>
    </x:row>
    <x:row r="359" ht="19" customHeight="1">
      <x:c r="A359" s="2"/>
      <x:c r="B359" s="2"/>
      <x:c r="C359" s="2" t="str">
        <x:v>Assumptions!I51</x:v>
      </x:c>
      <x:c r="D359" s="2"/>
      <x:c r="E359" s="3" t="n">
        <x:v>0.0179049103084943</x:v>
      </x:c>
      <x:c r="F359" s="50" t="n">
        <x:f>IF(ISBLANK('Assumptions'!I51),"__BLANK__",'Assumptions'!I51)</x:f>
        <x:v>0.0179049103084943</x:v>
      </x:c>
      <x:c r="G359" s="50" t="n">
        <x:f>IF(ISBLANK(E359),IF(F359="__BLANK__",0,1),IF(E359=F359,0,1))</x:f>
        <x:v>0</x:v>
      </x:c>
      <x:c r="H359" s="3"/>
      <x:c r="I359" s="3"/>
      <x:c r="J359" s="3"/>
      <x:c r="K359" s="3"/>
      <x:c r="L359" s="3"/>
      <x:c r="M359" s="3"/>
    </x:row>
    <x:row r="360" ht="19" customHeight="1">
      <x:c r="A360" s="2"/>
      <x:c r="B360" s="2"/>
      <x:c r="C360" s="2" t="str">
        <x:v>Assumptions!I52</x:v>
      </x:c>
      <x:c r="D360" s="2"/>
      <x:c r="E360" s="3" t="n">
        <x:v>0.0179049103084943</x:v>
      </x:c>
      <x:c r="F360" s="50" t="n">
        <x:f>IF(ISBLANK('Assumptions'!I52),"__BLANK__",'Assumptions'!I52)</x:f>
        <x:v>0.0179049103084943</x:v>
      </x:c>
      <x:c r="G360" s="50" t="n">
        <x:f>IF(ISBLANK(E360),IF(F360="__BLANK__",0,1),IF(E360=F360,0,1))</x:f>
        <x:v>0</x:v>
      </x:c>
      <x:c r="H360" s="3"/>
      <x:c r="I360" s="3"/>
      <x:c r="J360" s="3"/>
      <x:c r="K360" s="3"/>
      <x:c r="L360" s="3"/>
      <x:c r="M360" s="3"/>
    </x:row>
    <x:row r="361" ht="19" customHeight="1">
      <x:c r="A361" s="2"/>
      <x:c r="B361" s="2"/>
      <x:c r="C361" s="2" t="str">
        <x:v>Assumptions!I53</x:v>
      </x:c>
      <x:c r="D361" s="2"/>
      <x:c r="E361" s="3" t="n">
        <x:v>0.0179049103084943</x:v>
      </x:c>
      <x:c r="F361" s="50" t="n">
        <x:f>IF(ISBLANK('Assumptions'!I53),"__BLANK__",'Assumptions'!I53)</x:f>
        <x:v>0.0179049103084943</x:v>
      </x:c>
      <x:c r="G361" s="50" t="n">
        <x:f>IF(ISBLANK(E361),IF(F361="__BLANK__",0,1),IF(E361=F361,0,1))</x:f>
        <x:v>0</x:v>
      </x:c>
      <x:c r="H361" s="3"/>
      <x:c r="I361" s="3"/>
      <x:c r="J361" s="3"/>
      <x:c r="K361" s="3"/>
      <x:c r="L361" s="3"/>
      <x:c r="M361" s="3"/>
    </x:row>
    <x:row r="362" ht="19" customHeight="1">
      <x:c r="A362" s="2"/>
      <x:c r="B362" s="2"/>
      <x:c r="C362" s="2" t="str">
        <x:v>Assumptions!I54</x:v>
      </x:c>
      <x:c r="D362" s="2"/>
      <x:c r="E362" s="3" t="n">
        <x:v>0.0179049103084943</x:v>
      </x:c>
      <x:c r="F362" s="50" t="n">
        <x:f>IF(ISBLANK('Assumptions'!I54),"__BLANK__",'Assumptions'!I54)</x:f>
        <x:v>0.0179049103084943</x:v>
      </x:c>
      <x:c r="G362" s="50" t="n">
        <x:f>IF(ISBLANK(E362),IF(F362="__BLANK__",0,1),IF(E362=F362,0,1))</x:f>
        <x:v>0</x:v>
      </x:c>
      <x:c r="H362" s="3"/>
      <x:c r="I362" s="3"/>
      <x:c r="J362" s="3"/>
      <x:c r="K362" s="3"/>
      <x:c r="L362" s="3"/>
      <x:c r="M362" s="3"/>
    </x:row>
    <x:row r="363" ht="19" customHeight="1">
      <x:c r="A363" s="2"/>
      <x:c r="B363" s="2"/>
      <x:c r="C363" s="2" t="str">
        <x:v>Assumptions!I55</x:v>
      </x:c>
      <x:c r="D363" s="2"/>
      <x:c r="E363" s="3" t="n">
        <x:v>0.0179049103084943</x:v>
      </x:c>
      <x:c r="F363" s="50" t="n">
        <x:f>IF(ISBLANK('Assumptions'!I55),"__BLANK__",'Assumptions'!I55)</x:f>
        <x:v>0.0179049103084943</x:v>
      </x:c>
      <x:c r="G363" s="50" t="n">
        <x:f>IF(ISBLANK(E363),IF(F363="__BLANK__",0,1),IF(E363=F363,0,1))</x:f>
        <x:v>0</x:v>
      </x:c>
      <x:c r="H363" s="3"/>
      <x:c r="I363" s="3"/>
      <x:c r="J363" s="3"/>
      <x:c r="K363" s="3"/>
      <x:c r="L363" s="3"/>
      <x:c r="M363" s="3"/>
    </x:row>
    <x:row r="364" ht="19" customHeight="1">
      <x:c r="A364" s="2"/>
      <x:c r="B364" s="2"/>
      <x:c r="C364" s="2" t="str">
        <x:v>Assumptions!I56</x:v>
      </x:c>
      <x:c r="D364" s="2"/>
      <x:c r="E364" s="3" t="n">
        <x:v>0.0179049103084943</x:v>
      </x:c>
      <x:c r="F364" s="50" t="n">
        <x:f>IF(ISBLANK('Assumptions'!I56),"__BLANK__",'Assumptions'!I56)</x:f>
        <x:v>0.0179049103084943</x:v>
      </x:c>
      <x:c r="G364" s="50" t="n">
        <x:f>IF(ISBLANK(E364),IF(F364="__BLANK__",0,1),IF(E364=F364,0,1))</x:f>
        <x:v>0</x:v>
      </x:c>
      <x:c r="H364" s="3"/>
      <x:c r="I364" s="3"/>
      <x:c r="J364" s="3"/>
      <x:c r="K364" s="3"/>
      <x:c r="L364" s="3"/>
      <x:c r="M364" s="3"/>
    </x:row>
    <x:row r="365" ht="19" customHeight="1">
      <x:c r="A365" s="2"/>
      <x:c r="B365" s="2"/>
      <x:c r="C365" s="2" t="str">
        <x:v>Assumptions!I57</x:v>
      </x:c>
      <x:c r="D365" s="2"/>
      <x:c r="E365" s="3" t="n">
        <x:v>0.0179049103084943</x:v>
      </x:c>
      <x:c r="F365" s="50" t="n">
        <x:f>IF(ISBLANK('Assumptions'!I57),"__BLANK__",'Assumptions'!I57)</x:f>
        <x:v>0.0179049103084943</x:v>
      </x:c>
      <x:c r="G365" s="50" t="n">
        <x:f>IF(ISBLANK(E365),IF(F365="__BLANK__",0,1),IF(E365=F365,0,1))</x:f>
        <x:v>0</x:v>
      </x:c>
      <x:c r="H365" s="3"/>
      <x:c r="I365" s="3"/>
      <x:c r="J365" s="3"/>
      <x:c r="K365" s="3"/>
      <x:c r="L365" s="3"/>
      <x:c r="M365" s="3"/>
    </x:row>
    <x:row r="366" ht="19" customHeight="1">
      <x:c r="A366" s="2"/>
      <x:c r="B366" s="2"/>
      <x:c r="C366" s="2" t="str">
        <x:v>Assumptions!I58</x:v>
      </x:c>
      <x:c r="D366" s="2"/>
      <x:c r="E366" s="3" t="n">
        <x:v>0.0185674306329759</x:v>
      </x:c>
      <x:c r="F366" s="50" t="n">
        <x:f>IF(ISBLANK('Assumptions'!I58),"__BLANK__",'Assumptions'!I58)</x:f>
        <x:v>0.0185674306329759</x:v>
      </x:c>
      <x:c r="G366" s="50" t="n">
        <x:f>IF(ISBLANK(E366),IF(F366="__BLANK__",0,1),IF(E366=F366,0,1))</x:f>
        <x:v>0</x:v>
      </x:c>
      <x:c r="H366" s="3"/>
      <x:c r="I366" s="3"/>
      <x:c r="J366" s="3"/>
      <x:c r="K366" s="3"/>
      <x:c r="L366" s="3"/>
      <x:c r="M366" s="3"/>
    </x:row>
    <x:row r="367" ht="19" customHeight="1">
      <x:c r="A367" s="2"/>
      <x:c r="B367" s="2"/>
      <x:c r="C367" s="2" t="str">
        <x:v>Assumptions!I59</x:v>
      </x:c>
      <x:c r="D367" s="2"/>
      <x:c r="E367" s="3" t="n">
        <x:v>0.0179049103084943</x:v>
      </x:c>
      <x:c r="F367" s="50" t="n">
        <x:f>IF(ISBLANK('Assumptions'!I59),"__BLANK__",'Assumptions'!I59)</x:f>
        <x:v>0.0179049103084943</x:v>
      </x:c>
      <x:c r="G367" s="50" t="n">
        <x:f>IF(ISBLANK(E367),IF(F367="__BLANK__",0,1),IF(E367=F367,0,1))</x:f>
        <x:v>0</x:v>
      </x:c>
      <x:c r="H367" s="3"/>
      <x:c r="I367" s="3"/>
      <x:c r="J367" s="3"/>
      <x:c r="K367" s="3"/>
      <x:c r="L367" s="3"/>
      <x:c r="M367" s="3"/>
    </x:row>
    <x:row r="368" ht="19" customHeight="1">
      <x:c r="A368" s="2"/>
      <x:c r="B368" s="2"/>
      <x:c r="C368" s="2" t="str">
        <x:v>Assumptions!J51</x:v>
      </x:c>
      <x:c r="D368" s="2"/>
      <x:c r="E368" s="3"/>
      <x:c r="F368" s="50" t="str">
        <x:f>IF(ISBLANK('Assumptions'!J51),"__BLANK__",'Assumptions'!J51)</x:f>
        <x:v>__BLANK__</x:v>
      </x:c>
      <x:c r="G368" s="50" t="n">
        <x:f>IF(ISBLANK(E368),IF(F368="__BLANK__",0,1),IF(E368=F368,0,1))</x:f>
        <x:v>0</x:v>
      </x:c>
      <x:c r="H368" s="3"/>
      <x:c r="I368" s="3"/>
      <x:c r="J368" s="3"/>
      <x:c r="K368" s="3"/>
      <x:c r="L368" s="3"/>
      <x:c r="M368" s="3"/>
    </x:row>
    <x:row r="369" ht="19" customHeight="1">
      <x:c r="A369" s="2"/>
      <x:c r="B369" s="2"/>
      <x:c r="C369" s="2" t="str">
        <x:v>Assumptions!J52</x:v>
      </x:c>
      <x:c r="D369" s="2"/>
      <x:c r="E369" s="3"/>
      <x:c r="F369" s="50" t="str">
        <x:f>IF(ISBLANK('Assumptions'!J52),"__BLANK__",'Assumptions'!J52)</x:f>
        <x:v>__BLANK__</x:v>
      </x:c>
      <x:c r="G369" s="50" t="n">
        <x:f>IF(ISBLANK(E369),IF(F369="__BLANK__",0,1),IF(E369=F369,0,1))</x:f>
        <x:v>0</x:v>
      </x:c>
      <x:c r="H369" s="3"/>
      <x:c r="I369" s="3"/>
      <x:c r="J369" s="3"/>
      <x:c r="K369" s="3"/>
      <x:c r="L369" s="3"/>
      <x:c r="M369" s="3"/>
    </x:row>
    <x:row r="370" ht="19" customHeight="1">
      <x:c r="A370" s="2"/>
      <x:c r="B370" s="2"/>
      <x:c r="C370" s="2" t="str">
        <x:v>Assumptions!J53</x:v>
      </x:c>
      <x:c r="D370" s="2"/>
      <x:c r="E370" s="3"/>
      <x:c r="F370" s="50" t="str">
        <x:f>IF(ISBLANK('Assumptions'!J53),"__BLANK__",'Assumptions'!J53)</x:f>
        <x:v>__BLANK__</x:v>
      </x:c>
      <x:c r="G370" s="50" t="n">
        <x:f>IF(ISBLANK(E370),IF(F370="__BLANK__",0,1),IF(E370=F370,0,1))</x:f>
        <x:v>0</x:v>
      </x:c>
      <x:c r="H370" s="3"/>
      <x:c r="I370" s="3"/>
      <x:c r="J370" s="3"/>
      <x:c r="K370" s="3"/>
      <x:c r="L370" s="3"/>
      <x:c r="M370" s="3"/>
    </x:row>
    <x:row r="371" ht="19" customHeight="1">
      <x:c r="A371" s="2"/>
      <x:c r="B371" s="2"/>
      <x:c r="C371" s="2" t="str">
        <x:v>Assumptions!J54</x:v>
      </x:c>
      <x:c r="D371" s="2"/>
      <x:c r="E371" s="3"/>
      <x:c r="F371" s="50" t="str">
        <x:f>IF(ISBLANK('Assumptions'!J54),"__BLANK__",'Assumptions'!J54)</x:f>
        <x:v>__BLANK__</x:v>
      </x:c>
      <x:c r="G371" s="50" t="n">
        <x:f>IF(ISBLANK(E371),IF(F371="__BLANK__",0,1),IF(E371=F371,0,1))</x:f>
        <x:v>0</x:v>
      </x:c>
      <x:c r="H371" s="3"/>
      <x:c r="I371" s="3"/>
      <x:c r="J371" s="3"/>
      <x:c r="K371" s="3"/>
      <x:c r="L371" s="3"/>
      <x:c r="M371" s="3"/>
    </x:row>
    <x:row r="372" ht="19" customHeight="1">
      <x:c r="A372" s="2"/>
      <x:c r="B372" s="2"/>
      <x:c r="C372" s="2" t="str">
        <x:v>Assumptions!J55</x:v>
      </x:c>
      <x:c r="D372" s="2"/>
      <x:c r="E372" s="3"/>
      <x:c r="F372" s="50" t="str">
        <x:f>IF(ISBLANK('Assumptions'!J55),"__BLANK__",'Assumptions'!J55)</x:f>
        <x:v>__BLANK__</x:v>
      </x:c>
      <x:c r="G372" s="50" t="n">
        <x:f>IF(ISBLANK(E372),IF(F372="__BLANK__",0,1),IF(E372=F372,0,1))</x:f>
        <x:v>0</x:v>
      </x:c>
      <x:c r="H372" s="3"/>
      <x:c r="I372" s="3"/>
      <x:c r="J372" s="3"/>
      <x:c r="K372" s="3"/>
      <x:c r="L372" s="3"/>
      <x:c r="M372" s="3"/>
    </x:row>
    <x:row r="373" ht="19" customHeight="1">
      <x:c r="A373" s="2"/>
      <x:c r="B373" s="2"/>
      <x:c r="C373" s="2" t="str">
        <x:v>Assumptions!J56</x:v>
      </x:c>
      <x:c r="D373" s="2"/>
      <x:c r="E373" s="3"/>
      <x:c r="F373" s="50" t="str">
        <x:f>IF(ISBLANK('Assumptions'!J56),"__BLANK__",'Assumptions'!J56)</x:f>
        <x:v>__BLANK__</x:v>
      </x:c>
      <x:c r="G373" s="50" t="n">
        <x:f>IF(ISBLANK(E373),IF(F373="__BLANK__",0,1),IF(E373=F373,0,1))</x:f>
        <x:v>0</x:v>
      </x:c>
      <x:c r="H373" s="3"/>
      <x:c r="I373" s="3"/>
      <x:c r="J373" s="3"/>
      <x:c r="K373" s="3"/>
      <x:c r="L373" s="3"/>
      <x:c r="M373" s="3"/>
    </x:row>
    <x:row r="374" ht="19" customHeight="1">
      <x:c r="A374" s="2"/>
      <x:c r="B374" s="2"/>
      <x:c r="C374" s="2" t="str">
        <x:v>Assumptions!J57</x:v>
      </x:c>
      <x:c r="D374" s="2"/>
      <x:c r="E374" s="3"/>
      <x:c r="F374" s="50" t="str">
        <x:f>IF(ISBLANK('Assumptions'!J57),"__BLANK__",'Assumptions'!J57)</x:f>
        <x:v>__BLANK__</x:v>
      </x:c>
      <x:c r="G374" s="50" t="n">
        <x:f>IF(ISBLANK(E374),IF(F374="__BLANK__",0,1),IF(E374=F374,0,1))</x:f>
        <x:v>0</x:v>
      </x:c>
      <x:c r="H374" s="3"/>
      <x:c r="I374" s="3"/>
      <x:c r="J374" s="3"/>
      <x:c r="K374" s="3"/>
      <x:c r="L374" s="3"/>
      <x:c r="M374" s="3"/>
    </x:row>
    <x:row r="375" ht="19" customHeight="1">
      <x:c r="A375" s="2"/>
      <x:c r="B375" s="2"/>
      <x:c r="C375" s="2" t="str">
        <x:v>Assumptions!J58</x:v>
      </x:c>
      <x:c r="D375" s="2"/>
      <x:c r="E375" s="3"/>
      <x:c r="F375" s="50" t="str">
        <x:f>IF(ISBLANK('Assumptions'!J58),"__BLANK__",'Assumptions'!J58)</x:f>
        <x:v>__BLANK__</x:v>
      </x:c>
      <x:c r="G375" s="50" t="n">
        <x:f>IF(ISBLANK(E375),IF(F375="__BLANK__",0,1),IF(E375=F375,0,1))</x:f>
        <x:v>0</x:v>
      </x:c>
      <x:c r="H375" s="3"/>
      <x:c r="I375" s="3"/>
      <x:c r="J375" s="3"/>
      <x:c r="K375" s="3"/>
      <x:c r="L375" s="3"/>
      <x:c r="M375" s="3"/>
    </x:row>
    <x:row r="376" ht="19" customHeight="1">
      <x:c r="A376" s="2"/>
      <x:c r="B376" s="2"/>
      <x:c r="C376" s="2" t="str">
        <x:v>Assumptions!J59</x:v>
      </x:c>
      <x:c r="D376" s="2"/>
      <x:c r="E376" s="3"/>
      <x:c r="F376" s="50" t="str">
        <x:f>IF(ISBLANK('Assumptions'!J59),"__BLANK__",'Assumptions'!J59)</x:f>
        <x:v>__BLANK__</x:v>
      </x:c>
      <x:c r="G376" s="50" t="n">
        <x:f>IF(ISBLANK(E376),IF(F376="__BLANK__",0,1),IF(E376=F376,0,1))</x:f>
        <x:v>0</x:v>
      </x:c>
      <x:c r="H376" s="3"/>
      <x:c r="I376" s="3"/>
      <x:c r="J376" s="3"/>
      <x:c r="K376" s="3"/>
      <x:c r="L376" s="3"/>
      <x:c r="M376" s="3"/>
    </x:row>
    <x:row r="377" ht="19" customHeight="1">
      <x:c r="A377" s="2"/>
      <x:c r="B377" s="2"/>
      <x:c r="C377" s="2" t="str">
        <x:v>Assumptions!K51</x:v>
      </x:c>
      <x:c r="D377" s="2"/>
      <x:c r="E377" s="3"/>
      <x:c r="F377" s="50" t="str">
        <x:f>IF(ISBLANK('Assumptions'!K51),"__BLANK__",'Assumptions'!K51)</x:f>
        <x:v>__BLANK__</x:v>
      </x:c>
      <x:c r="G377" s="50" t="n">
        <x:f>IF(ISBLANK(E377),IF(F377="__BLANK__",0,1),IF(E377=F377,0,1))</x:f>
        <x:v>0</x:v>
      </x:c>
      <x:c r="H377" s="3"/>
      <x:c r="I377" s="3"/>
      <x:c r="J377" s="3"/>
      <x:c r="K377" s="3"/>
      <x:c r="L377" s="3"/>
      <x:c r="M377" s="3"/>
    </x:row>
    <x:row r="378" ht="19" customHeight="1">
      <x:c r="A378" s="2"/>
      <x:c r="B378" s="2"/>
      <x:c r="C378" s="2" t="str">
        <x:v>Assumptions!K52</x:v>
      </x:c>
      <x:c r="D378" s="2"/>
      <x:c r="E378" s="3"/>
      <x:c r="F378" s="50" t="str">
        <x:f>IF(ISBLANK('Assumptions'!K52),"__BLANK__",'Assumptions'!K52)</x:f>
        <x:v>__BLANK__</x:v>
      </x:c>
      <x:c r="G378" s="50" t="n">
        <x:f>IF(ISBLANK(E378),IF(F378="__BLANK__",0,1),IF(E378=F378,0,1))</x:f>
        <x:v>0</x:v>
      </x:c>
      <x:c r="H378" s="3"/>
      <x:c r="I378" s="3"/>
      <x:c r="J378" s="3"/>
      <x:c r="K378" s="3"/>
      <x:c r="L378" s="3"/>
      <x:c r="M378" s="3"/>
    </x:row>
    <x:row r="379" ht="19" customHeight="1">
      <x:c r="A379" s="2"/>
      <x:c r="B379" s="2"/>
      <x:c r="C379" s="2" t="str">
        <x:v>Assumptions!K53</x:v>
      </x:c>
      <x:c r="D379" s="2"/>
      <x:c r="E379" s="3"/>
      <x:c r="F379" s="50" t="str">
        <x:f>IF(ISBLANK('Assumptions'!K53),"__BLANK__",'Assumptions'!K53)</x:f>
        <x:v>__BLANK__</x:v>
      </x:c>
      <x:c r="G379" s="50" t="n">
        <x:f>IF(ISBLANK(E379),IF(F379="__BLANK__",0,1),IF(E379=F379,0,1))</x:f>
        <x:v>0</x:v>
      </x:c>
      <x:c r="H379" s="3"/>
      <x:c r="I379" s="3"/>
      <x:c r="J379" s="3"/>
      <x:c r="K379" s="3"/>
      <x:c r="L379" s="3"/>
      <x:c r="M379" s="3"/>
    </x:row>
    <x:row r="380" ht="19" customHeight="1">
      <x:c r="A380" s="2"/>
      <x:c r="B380" s="2"/>
      <x:c r="C380" s="2" t="str">
        <x:v>Assumptions!K54</x:v>
      </x:c>
      <x:c r="D380" s="2"/>
      <x:c r="E380" s="3"/>
      <x:c r="F380" s="50" t="str">
        <x:f>IF(ISBLANK('Assumptions'!K54),"__BLANK__",'Assumptions'!K54)</x:f>
        <x:v>__BLANK__</x:v>
      </x:c>
      <x:c r="G380" s="50" t="n">
        <x:f>IF(ISBLANK(E380),IF(F380="__BLANK__",0,1),IF(E380=F380,0,1))</x:f>
        <x:v>0</x:v>
      </x:c>
      <x:c r="H380" s="3"/>
      <x:c r="I380" s="3"/>
      <x:c r="J380" s="3"/>
      <x:c r="K380" s="3"/>
      <x:c r="L380" s="3"/>
      <x:c r="M380" s="3"/>
    </x:row>
    <x:row r="381" ht="19" customHeight="1">
      <x:c r="A381" s="2"/>
      <x:c r="B381" s="2"/>
      <x:c r="C381" s="2" t="str">
        <x:v>Assumptions!K55</x:v>
      </x:c>
      <x:c r="D381" s="2"/>
      <x:c r="E381" s="3"/>
      <x:c r="F381" s="50" t="str">
        <x:f>IF(ISBLANK('Assumptions'!K55),"__BLANK__",'Assumptions'!K55)</x:f>
        <x:v>__BLANK__</x:v>
      </x:c>
      <x:c r="G381" s="50" t="n">
        <x:f>IF(ISBLANK(E381),IF(F381="__BLANK__",0,1),IF(E381=F381,0,1))</x:f>
        <x:v>0</x:v>
      </x:c>
      <x:c r="H381" s="3"/>
      <x:c r="I381" s="3"/>
      <x:c r="J381" s="3"/>
      <x:c r="K381" s="3"/>
      <x:c r="L381" s="3"/>
      <x:c r="M381" s="3"/>
    </x:row>
    <x:row r="382" ht="19" customHeight="1">
      <x:c r="A382" s="2"/>
      <x:c r="B382" s="2"/>
      <x:c r="C382" s="2" t="str">
        <x:v>Assumptions!K56</x:v>
      </x:c>
      <x:c r="D382" s="2"/>
      <x:c r="E382" s="3"/>
      <x:c r="F382" s="50" t="str">
        <x:f>IF(ISBLANK('Assumptions'!K56),"__BLANK__",'Assumptions'!K56)</x:f>
        <x:v>__BLANK__</x:v>
      </x:c>
      <x:c r="G382" s="50" t="n">
        <x:f>IF(ISBLANK(E382),IF(F382="__BLANK__",0,1),IF(E382=F382,0,1))</x:f>
        <x:v>0</x:v>
      </x:c>
      <x:c r="H382" s="3"/>
      <x:c r="I382" s="3"/>
      <x:c r="J382" s="3"/>
      <x:c r="K382" s="3"/>
      <x:c r="L382" s="3"/>
      <x:c r="M382" s="3"/>
    </x:row>
    <x:row r="383" ht="19" customHeight="1">
      <x:c r="A383" s="2"/>
      <x:c r="B383" s="2"/>
      <x:c r="C383" s="2" t="str">
        <x:v>Assumptions!K57</x:v>
      </x:c>
      <x:c r="D383" s="2"/>
      <x:c r="E383" s="3"/>
      <x:c r="F383" s="50" t="str">
        <x:f>IF(ISBLANK('Assumptions'!K57),"__BLANK__",'Assumptions'!K57)</x:f>
        <x:v>__BLANK__</x:v>
      </x:c>
      <x:c r="G383" s="50" t="n">
        <x:f>IF(ISBLANK(E383),IF(F383="__BLANK__",0,1),IF(E383=F383,0,1))</x:f>
        <x:v>0</x:v>
      </x:c>
      <x:c r="H383" s="3"/>
      <x:c r="I383" s="3"/>
      <x:c r="J383" s="3"/>
      <x:c r="K383" s="3"/>
      <x:c r="L383" s="3"/>
      <x:c r="M383" s="3"/>
    </x:row>
    <x:row r="384" ht="19" customHeight="1">
      <x:c r="A384" s="2"/>
      <x:c r="B384" s="2"/>
      <x:c r="C384" s="2" t="str">
        <x:v>Assumptions!K58</x:v>
      </x:c>
      <x:c r="D384" s="2"/>
      <x:c r="E384" s="3"/>
      <x:c r="F384" s="50" t="str">
        <x:f>IF(ISBLANK('Assumptions'!K58),"__BLANK__",'Assumptions'!K58)</x:f>
        <x:v>__BLANK__</x:v>
      </x:c>
      <x:c r="G384" s="50" t="n">
        <x:f>IF(ISBLANK(E384),IF(F384="__BLANK__",0,1),IF(E384=F384,0,1))</x:f>
        <x:v>0</x:v>
      </x:c>
      <x:c r="H384" s="3"/>
      <x:c r="I384" s="3"/>
      <x:c r="J384" s="3"/>
      <x:c r="K384" s="3"/>
      <x:c r="L384" s="3"/>
      <x:c r="M384" s="3"/>
    </x:row>
    <x:row r="385" ht="19" customHeight="1">
      <x:c r="A385" s="2"/>
      <x:c r="B385" s="2"/>
      <x:c r="C385" s="2" t="str">
        <x:v>Assumptions!K59</x:v>
      </x:c>
      <x:c r="D385" s="2"/>
      <x:c r="E385" s="3"/>
      <x:c r="F385" s="50" t="str">
        <x:f>IF(ISBLANK('Assumptions'!K59),"__BLANK__",'Assumptions'!K59)</x:f>
        <x:v>__BLANK__</x:v>
      </x:c>
      <x:c r="G385" s="50" t="n">
        <x:f>IF(ISBLANK(E385),IF(F385="__BLANK__",0,1),IF(E385=F385,0,1))</x:f>
        <x:v>0</x:v>
      </x:c>
      <x:c r="H385" s="3"/>
      <x:c r="I385" s="3"/>
      <x:c r="J385" s="3"/>
      <x:c r="K385" s="3"/>
      <x:c r="L385" s="3"/>
      <x:c r="M385" s="3"/>
    </x:row>
    <x:row r="386" ht="19" customHeight="1">
      <x:c r="A386" s="2"/>
      <x:c r="B386" s="2"/>
      <x:c r="C386" s="2" t="str">
        <x:v>Assumptions!L51</x:v>
      </x:c>
      <x:c r="D386" s="2"/>
      <x:c r="E386" s="3"/>
      <x:c r="F386" s="50" t="str">
        <x:f>IF(ISBLANK('Assumptions'!L51),"__BLANK__",'Assumptions'!L51)</x:f>
        <x:v>__BLANK__</x:v>
      </x:c>
      <x:c r="G386" s="50" t="n">
        <x:f>IF(ISBLANK(E386),IF(F386="__BLANK__",0,1),IF(E386=F386,0,1))</x:f>
        <x:v>0</x:v>
      </x:c>
      <x:c r="H386" s="3"/>
      <x:c r="I386" s="3"/>
      <x:c r="J386" s="3"/>
      <x:c r="K386" s="3"/>
      <x:c r="L386" s="3"/>
      <x:c r="M386" s="3"/>
    </x:row>
    <x:row r="387" ht="19" customHeight="1">
      <x:c r="A387" s="2"/>
      <x:c r="B387" s="2"/>
      <x:c r="C387" s="2" t="str">
        <x:v>Assumptions!L52</x:v>
      </x:c>
      <x:c r="D387" s="2"/>
      <x:c r="E387" s="3"/>
      <x:c r="F387" s="50" t="str">
        <x:f>IF(ISBLANK('Assumptions'!L52),"__BLANK__",'Assumptions'!L52)</x:f>
        <x:v>__BLANK__</x:v>
      </x:c>
      <x:c r="G387" s="50" t="n">
        <x:f>IF(ISBLANK(E387),IF(F387="__BLANK__",0,1),IF(E387=F387,0,1))</x:f>
        <x:v>0</x:v>
      </x:c>
      <x:c r="H387" s="3"/>
      <x:c r="I387" s="3"/>
      <x:c r="J387" s="3"/>
      <x:c r="K387" s="3"/>
      <x:c r="L387" s="3"/>
      <x:c r="M387" s="3"/>
    </x:row>
    <x:row r="388" ht="19" customHeight="1">
      <x:c r="A388" s="2"/>
      <x:c r="B388" s="2"/>
      <x:c r="C388" s="2" t="str">
        <x:v>Assumptions!L53</x:v>
      </x:c>
      <x:c r="D388" s="2"/>
      <x:c r="E388" s="3"/>
      <x:c r="F388" s="50" t="str">
        <x:f>IF(ISBLANK('Assumptions'!L53),"__BLANK__",'Assumptions'!L53)</x:f>
        <x:v>__BLANK__</x:v>
      </x:c>
      <x:c r="G388" s="50" t="n">
        <x:f>IF(ISBLANK(E388),IF(F388="__BLANK__",0,1),IF(E388=F388,0,1))</x:f>
        <x:v>0</x:v>
      </x:c>
      <x:c r="H388" s="3"/>
      <x:c r="I388" s="3"/>
      <x:c r="J388" s="3"/>
      <x:c r="K388" s="3"/>
      <x:c r="L388" s="3"/>
      <x:c r="M388" s="3"/>
    </x:row>
    <x:row r="389" ht="19" customHeight="1">
      <x:c r="A389" s="2"/>
      <x:c r="B389" s="2"/>
      <x:c r="C389" s="2" t="str">
        <x:v>Assumptions!L54</x:v>
      </x:c>
      <x:c r="D389" s="2"/>
      <x:c r="E389" s="3"/>
      <x:c r="F389" s="50" t="str">
        <x:f>IF(ISBLANK('Assumptions'!L54),"__BLANK__",'Assumptions'!L54)</x:f>
        <x:v>__BLANK__</x:v>
      </x:c>
      <x:c r="G389" s="50" t="n">
        <x:f>IF(ISBLANK(E389),IF(F389="__BLANK__",0,1),IF(E389=F389,0,1))</x:f>
        <x:v>0</x:v>
      </x:c>
      <x:c r="H389" s="3"/>
      <x:c r="I389" s="3"/>
      <x:c r="J389" s="3"/>
      <x:c r="K389" s="3"/>
      <x:c r="L389" s="3"/>
      <x:c r="M389" s="3"/>
    </x:row>
    <x:row r="390" ht="19" customHeight="1">
      <x:c r="A390" s="2"/>
      <x:c r="B390" s="2"/>
      <x:c r="C390" s="2" t="str">
        <x:v>Assumptions!L55</x:v>
      </x:c>
      <x:c r="D390" s="2"/>
      <x:c r="E390" s="3"/>
      <x:c r="F390" s="50" t="str">
        <x:f>IF(ISBLANK('Assumptions'!L55),"__BLANK__",'Assumptions'!L55)</x:f>
        <x:v>__BLANK__</x:v>
      </x:c>
      <x:c r="G390" s="50" t="n">
        <x:f>IF(ISBLANK(E390),IF(F390="__BLANK__",0,1),IF(E390=F390,0,1))</x:f>
        <x:v>0</x:v>
      </x:c>
      <x:c r="H390" s="3"/>
      <x:c r="I390" s="3"/>
      <x:c r="J390" s="3"/>
      <x:c r="K390" s="3"/>
      <x:c r="L390" s="3"/>
      <x:c r="M390" s="3"/>
    </x:row>
    <x:row r="391" ht="19" customHeight="1">
      <x:c r="A391" s="2"/>
      <x:c r="B391" s="2"/>
      <x:c r="C391" s="2" t="str">
        <x:v>Assumptions!L56</x:v>
      </x:c>
      <x:c r="D391" s="2"/>
      <x:c r="E391" s="3"/>
      <x:c r="F391" s="50" t="str">
        <x:f>IF(ISBLANK('Assumptions'!L56),"__BLANK__",'Assumptions'!L56)</x:f>
        <x:v>__BLANK__</x:v>
      </x:c>
      <x:c r="G391" s="50" t="n">
        <x:f>IF(ISBLANK(E391),IF(F391="__BLANK__",0,1),IF(E391=F391,0,1))</x:f>
        <x:v>0</x:v>
      </x:c>
      <x:c r="H391" s="3"/>
      <x:c r="I391" s="3"/>
      <x:c r="J391" s="3"/>
      <x:c r="K391" s="3"/>
      <x:c r="L391" s="3"/>
      <x:c r="M391" s="3"/>
    </x:row>
    <x:row r="392" ht="19" customHeight="1">
      <x:c r="A392" s="2"/>
      <x:c r="B392" s="2"/>
      <x:c r="C392" s="2" t="str">
        <x:v>Assumptions!L57</x:v>
      </x:c>
      <x:c r="D392" s="2"/>
      <x:c r="E392" s="3"/>
      <x:c r="F392" s="50" t="str">
        <x:f>IF(ISBLANK('Assumptions'!L57),"__BLANK__",'Assumptions'!L57)</x:f>
        <x:v>__BLANK__</x:v>
      </x:c>
      <x:c r="G392" s="50" t="n">
        <x:f>IF(ISBLANK(E392),IF(F392="__BLANK__",0,1),IF(E392=F392,0,1))</x:f>
        <x:v>0</x:v>
      </x:c>
      <x:c r="H392" s="3"/>
      <x:c r="I392" s="3"/>
      <x:c r="J392" s="3"/>
      <x:c r="K392" s="3"/>
      <x:c r="L392" s="3"/>
      <x:c r="M392" s="3"/>
    </x:row>
    <x:row r="393" ht="19" customHeight="1">
      <x:c r="A393" s="2"/>
      <x:c r="B393" s="2"/>
      <x:c r="C393" s="2" t="str">
        <x:v>Assumptions!L58</x:v>
      </x:c>
      <x:c r="D393" s="2"/>
      <x:c r="E393" s="3"/>
      <x:c r="F393" s="50" t="str">
        <x:f>IF(ISBLANK('Assumptions'!L58),"__BLANK__",'Assumptions'!L58)</x:f>
        <x:v>__BLANK__</x:v>
      </x:c>
      <x:c r="G393" s="50" t="n">
        <x:f>IF(ISBLANK(E393),IF(F393="__BLANK__",0,1),IF(E393=F393,0,1))</x:f>
        <x:v>0</x:v>
      </x:c>
      <x:c r="H393" s="3"/>
      <x:c r="I393" s="3"/>
      <x:c r="J393" s="3"/>
      <x:c r="K393" s="3"/>
      <x:c r="L393" s="3"/>
      <x:c r="M393" s="3"/>
    </x:row>
    <x:row r="394" ht="19" customHeight="1">
      <x:c r="A394" s="2"/>
      <x:c r="B394" s="2"/>
      <x:c r="C394" s="2" t="str">
        <x:v>Assumptions!L59</x:v>
      </x:c>
      <x:c r="D394" s="2"/>
      <x:c r="E394" s="3"/>
      <x:c r="F394" s="50" t="str">
        <x:f>IF(ISBLANK('Assumptions'!L59),"__BLANK__",'Assumptions'!L59)</x:f>
        <x:v>__BLANK__</x:v>
      </x:c>
      <x:c r="G394" s="50" t="n">
        <x:f>IF(ISBLANK(E394),IF(F394="__BLANK__",0,1),IF(E394=F394,0,1))</x:f>
        <x:v>0</x:v>
      </x:c>
      <x:c r="H394" s="3"/>
      <x:c r="I394" s="3"/>
      <x:c r="J394" s="3"/>
      <x:c r="K394" s="3"/>
      <x:c r="L394" s="3"/>
      <x:c r="M394" s="3"/>
    </x:row>
    <x:row r="395" ht="19" customHeight="1">
      <x:c r="A395" s="2"/>
      <x:c r="B395" s="2"/>
      <x:c r="C395" s="2" t="str">
        <x:v>Assumptions!E61</x:v>
      </x:c>
      <x:c r="D395" s="2"/>
      <x:c r="E395" s="3"/>
      <x:c r="F395" s="50" t="str">
        <x:f>IF(ISBLANK('Assumptions'!E61),"__BLANK__",'Assumptions'!E61)</x:f>
        <x:v>__BLANK__</x:v>
      </x:c>
      <x:c r="G395" s="50" t="n">
        <x:f>IF(ISBLANK(E395),IF(F395="__BLANK__",0,1),IF(E395=F395,0,1))</x:f>
        <x:v>0</x:v>
      </x:c>
      <x:c r="H395" s="3"/>
      <x:c r="I395" s="3"/>
      <x:c r="J395" s="3"/>
      <x:c r="K395" s="3"/>
      <x:c r="L395" s="3"/>
      <x:c r="M395" s="3"/>
    </x:row>
    <x:row r="396" ht="19" customHeight="1">
      <x:c r="A396" s="2"/>
      <x:c r="B396" s="2"/>
      <x:c r="C396" s="2" t="str">
        <x:v>Assumptions!E62</x:v>
      </x:c>
      <x:c r="D396" s="2"/>
      <x:c r="E396" s="3"/>
      <x:c r="F396" s="50" t="str">
        <x:f>IF(ISBLANK('Assumptions'!E62),"__BLANK__",'Assumptions'!E62)</x:f>
        <x:v>__BLANK__</x:v>
      </x:c>
      <x:c r="G396" s="50" t="n">
        <x:f>IF(ISBLANK(E396),IF(F396="__BLANK__",0,1),IF(E396=F396,0,1))</x:f>
        <x:v>0</x:v>
      </x:c>
      <x:c r="H396" s="3"/>
      <x:c r="I396" s="3"/>
      <x:c r="J396" s="3"/>
      <x:c r="K396" s="3"/>
      <x:c r="L396" s="3"/>
      <x:c r="M396" s="3"/>
    </x:row>
    <x:row r="397" ht="19" customHeight="1">
      <x:c r="A397" s="2"/>
      <x:c r="B397" s="2"/>
      <x:c r="C397" s="2" t="str">
        <x:v>Assumptions!E63</x:v>
      </x:c>
      <x:c r="D397" s="2"/>
      <x:c r="E397" s="3"/>
      <x:c r="F397" s="50" t="str">
        <x:f>IF(ISBLANK('Assumptions'!E63),"__BLANK__",'Assumptions'!E63)</x:f>
        <x:v>__BLANK__</x:v>
      </x:c>
      <x:c r="G397" s="50" t="n">
        <x:f>IF(ISBLANK(E397),IF(F397="__BLANK__",0,1),IF(E397=F397,0,1))</x:f>
        <x:v>0</x:v>
      </x:c>
      <x:c r="H397" s="3"/>
      <x:c r="I397" s="3"/>
      <x:c r="J397" s="3"/>
      <x:c r="K397" s="3"/>
      <x:c r="L397" s="3"/>
      <x:c r="M397" s="3"/>
    </x:row>
    <x:row r="398" ht="19" customHeight="1">
      <x:c r="A398" s="2"/>
      <x:c r="B398" s="2"/>
      <x:c r="C398" s="2" t="str">
        <x:v>Assumptions!E64</x:v>
      </x:c>
      <x:c r="D398" s="2"/>
      <x:c r="E398" s="3"/>
      <x:c r="F398" s="50" t="str">
        <x:f>IF(ISBLANK('Assumptions'!E64),"__BLANK__",'Assumptions'!E64)</x:f>
        <x:v>__BLANK__</x:v>
      </x:c>
      <x:c r="G398" s="50" t="n">
        <x:f>IF(ISBLANK(E398),IF(F398="__BLANK__",0,1),IF(E398=F398,0,1))</x:f>
        <x:v>0</x:v>
      </x:c>
      <x:c r="H398" s="3"/>
      <x:c r="I398" s="3"/>
      <x:c r="J398" s="3"/>
      <x:c r="K398" s="3"/>
      <x:c r="L398" s="3"/>
      <x:c r="M398" s="3"/>
    </x:row>
    <x:row r="399" ht="19" customHeight="1">
      <x:c r="A399" s="2"/>
      <x:c r="B399" s="2"/>
      <x:c r="C399" s="2" t="str">
        <x:v>Assumptions!E65</x:v>
      </x:c>
      <x:c r="D399" s="2"/>
      <x:c r="E399" s="3"/>
      <x:c r="F399" s="50" t="str">
        <x:f>IF(ISBLANK('Assumptions'!E65),"__BLANK__",'Assumptions'!E65)</x:f>
        <x:v>__BLANK__</x:v>
      </x:c>
      <x:c r="G399" s="50" t="n">
        <x:f>IF(ISBLANK(E399),IF(F399="__BLANK__",0,1),IF(E399=F399,0,1))</x:f>
        <x:v>0</x:v>
      </x:c>
      <x:c r="H399" s="3"/>
      <x:c r="I399" s="3"/>
      <x:c r="J399" s="3"/>
      <x:c r="K399" s="3"/>
      <x:c r="L399" s="3"/>
      <x:c r="M399" s="3"/>
    </x:row>
    <x:row r="400" ht="19" customHeight="1">
      <x:c r="A400" s="2"/>
      <x:c r="B400" s="2"/>
      <x:c r="C400" s="2" t="str">
        <x:v>Assumptions!E66</x:v>
      </x:c>
      <x:c r="D400" s="2"/>
      <x:c r="E400" s="3"/>
      <x:c r="F400" s="50" t="str">
        <x:f>IF(ISBLANK('Assumptions'!E66),"__BLANK__",'Assumptions'!E66)</x:f>
        <x:v>__BLANK__</x:v>
      </x:c>
      <x:c r="G400" s="50" t="n">
        <x:f>IF(ISBLANK(E400),IF(F400="__BLANK__",0,1),IF(E400=F400,0,1))</x:f>
        <x:v>0</x:v>
      </x:c>
      <x:c r="H400" s="3"/>
      <x:c r="I400" s="3"/>
      <x:c r="J400" s="3"/>
      <x:c r="K400" s="3"/>
      <x:c r="L400" s="3"/>
      <x:c r="M400" s="3"/>
    </x:row>
    <x:row r="401" ht="19" customHeight="1">
      <x:c r="A401" s="2"/>
      <x:c r="B401" s="2"/>
      <x:c r="C401" s="2" t="str">
        <x:v>Assumptions!E67</x:v>
      </x:c>
      <x:c r="D401" s="2"/>
      <x:c r="E401" s="3"/>
      <x:c r="F401" s="50" t="str">
        <x:f>IF(ISBLANK('Assumptions'!E67),"__BLANK__",'Assumptions'!E67)</x:f>
        <x:v>__BLANK__</x:v>
      </x:c>
      <x:c r="G401" s="50" t="n">
        <x:f>IF(ISBLANK(E401),IF(F401="__BLANK__",0,1),IF(E401=F401,0,1))</x:f>
        <x:v>0</x:v>
      </x:c>
      <x:c r="H401" s="3"/>
      <x:c r="I401" s="3"/>
      <x:c r="J401" s="3"/>
      <x:c r="K401" s="3"/>
      <x:c r="L401" s="3"/>
      <x:c r="M401" s="3"/>
    </x:row>
    <x:row r="402" ht="19" customHeight="1">
      <x:c r="A402" s="2"/>
      <x:c r="B402" s="2"/>
      <x:c r="C402" s="2" t="str">
        <x:v>Assumptions!E68</x:v>
      </x:c>
      <x:c r="D402" s="2"/>
      <x:c r="E402" s="3"/>
      <x:c r="F402" s="50" t="str">
        <x:f>IF(ISBLANK('Assumptions'!E68),"__BLANK__",'Assumptions'!E68)</x:f>
        <x:v>__BLANK__</x:v>
      </x:c>
      <x:c r="G402" s="50" t="n">
        <x:f>IF(ISBLANK(E402),IF(F402="__BLANK__",0,1),IF(E402=F402,0,1))</x:f>
        <x:v>0</x:v>
      </x:c>
      <x:c r="H402" s="3"/>
      <x:c r="I402" s="3"/>
      <x:c r="J402" s="3"/>
      <x:c r="K402" s="3"/>
      <x:c r="L402" s="3"/>
      <x:c r="M402" s="3"/>
    </x:row>
    <x:row r="403" ht="19" customHeight="1">
      <x:c r="A403" s="2"/>
      <x:c r="B403" s="2"/>
      <x:c r="C403" s="2" t="str">
        <x:v>Assumptions!E69</x:v>
      </x:c>
      <x:c r="D403" s="2"/>
      <x:c r="E403" s="3"/>
      <x:c r="F403" s="50" t="str">
        <x:f>IF(ISBLANK('Assumptions'!E69),"__BLANK__",'Assumptions'!E69)</x:f>
        <x:v>__BLANK__</x:v>
      </x:c>
      <x:c r="G403" s="50" t="n">
        <x:f>IF(ISBLANK(E403),IF(F403="__BLANK__",0,1),IF(E403=F403,0,1))</x:f>
        <x:v>0</x:v>
      </x:c>
      <x:c r="H403" s="3"/>
      <x:c r="I403" s="3"/>
      <x:c r="J403" s="3"/>
      <x:c r="K403" s="3"/>
      <x:c r="L403" s="3"/>
      <x:c r="M403" s="3"/>
    </x:row>
    <x:row r="404" ht="19" customHeight="1">
      <x:c r="A404" s="2"/>
      <x:c r="B404" s="2"/>
      <x:c r="C404" s="2" t="str">
        <x:v>Assumptions!F61</x:v>
      </x:c>
      <x:c r="D404" s="2"/>
      <x:c r="E404" s="3"/>
      <x:c r="F404" s="50" t="str">
        <x:f>IF(ISBLANK('Assumptions'!F61),"__BLANK__",'Assumptions'!F61)</x:f>
        <x:v>__BLANK__</x:v>
      </x:c>
      <x:c r="G404" s="50" t="n">
        <x:f>IF(ISBLANK(E404),IF(F404="__BLANK__",0,1),IF(E404=F404,0,1))</x:f>
        <x:v>0</x:v>
      </x:c>
      <x:c r="H404" s="3"/>
      <x:c r="I404" s="3"/>
      <x:c r="J404" s="3"/>
      <x:c r="K404" s="3"/>
      <x:c r="L404" s="3"/>
      <x:c r="M404" s="3"/>
    </x:row>
    <x:row r="405" ht="19" customHeight="1">
      <x:c r="A405" s="2"/>
      <x:c r="B405" s="2"/>
      <x:c r="C405" s="2" t="str">
        <x:v>Assumptions!F62</x:v>
      </x:c>
      <x:c r="D405" s="2"/>
      <x:c r="E405" s="3"/>
      <x:c r="F405" s="50" t="str">
        <x:f>IF(ISBLANK('Assumptions'!F62),"__BLANK__",'Assumptions'!F62)</x:f>
        <x:v>__BLANK__</x:v>
      </x:c>
      <x:c r="G405" s="50" t="n">
        <x:f>IF(ISBLANK(E405),IF(F405="__BLANK__",0,1),IF(E405=F405,0,1))</x:f>
        <x:v>0</x:v>
      </x:c>
      <x:c r="H405" s="3"/>
      <x:c r="I405" s="3"/>
      <x:c r="J405" s="3"/>
      <x:c r="K405" s="3"/>
      <x:c r="L405" s="3"/>
      <x:c r="M405" s="3"/>
    </x:row>
    <x:row r="406" ht="19" customHeight="1">
      <x:c r="A406" s="2"/>
      <x:c r="B406" s="2"/>
      <x:c r="C406" s="2" t="str">
        <x:v>Assumptions!F63</x:v>
      </x:c>
      <x:c r="D406" s="2"/>
      <x:c r="E406" s="3"/>
      <x:c r="F406" s="50" t="str">
        <x:f>IF(ISBLANK('Assumptions'!F63),"__BLANK__",'Assumptions'!F63)</x:f>
        <x:v>__BLANK__</x:v>
      </x:c>
      <x:c r="G406" s="50" t="n">
        <x:f>IF(ISBLANK(E406),IF(F406="__BLANK__",0,1),IF(E406=F406,0,1))</x:f>
        <x:v>0</x:v>
      </x:c>
      <x:c r="H406" s="3"/>
      <x:c r="I406" s="3"/>
      <x:c r="J406" s="3"/>
      <x:c r="K406" s="3"/>
      <x:c r="L406" s="3"/>
      <x:c r="M406" s="3"/>
    </x:row>
    <x:row r="407" ht="19" customHeight="1">
      <x:c r="A407" s="2"/>
      <x:c r="B407" s="2"/>
      <x:c r="C407" s="2" t="str">
        <x:v>Assumptions!F64</x:v>
      </x:c>
      <x:c r="D407" s="2"/>
      <x:c r="E407" s="3"/>
      <x:c r="F407" s="50" t="str">
        <x:f>IF(ISBLANK('Assumptions'!F64),"__BLANK__",'Assumptions'!F64)</x:f>
        <x:v>__BLANK__</x:v>
      </x:c>
      <x:c r="G407" s="50" t="n">
        <x:f>IF(ISBLANK(E407),IF(F407="__BLANK__",0,1),IF(E407=F407,0,1))</x:f>
        <x:v>0</x:v>
      </x:c>
      <x:c r="H407" s="3"/>
      <x:c r="I407" s="3"/>
      <x:c r="J407" s="3"/>
      <x:c r="K407" s="3"/>
      <x:c r="L407" s="3"/>
      <x:c r="M407" s="3"/>
    </x:row>
    <x:row r="408" ht="19" customHeight="1">
      <x:c r="A408" s="2"/>
      <x:c r="B408" s="2"/>
      <x:c r="C408" s="2" t="str">
        <x:v>Assumptions!F65</x:v>
      </x:c>
      <x:c r="D408" s="2"/>
      <x:c r="E408" s="3"/>
      <x:c r="F408" s="50" t="str">
        <x:f>IF(ISBLANK('Assumptions'!F65),"__BLANK__",'Assumptions'!F65)</x:f>
        <x:v>__BLANK__</x:v>
      </x:c>
      <x:c r="G408" s="50" t="n">
        <x:f>IF(ISBLANK(E408),IF(F408="__BLANK__",0,1),IF(E408=F408,0,1))</x:f>
        <x:v>0</x:v>
      </x:c>
      <x:c r="H408" s="3"/>
      <x:c r="I408" s="3"/>
      <x:c r="J408" s="3"/>
      <x:c r="K408" s="3"/>
      <x:c r="L408" s="3"/>
      <x:c r="M408" s="3"/>
    </x:row>
    <x:row r="409" ht="19" customHeight="1">
      <x:c r="A409" s="2"/>
      <x:c r="B409" s="2"/>
      <x:c r="C409" s="2" t="str">
        <x:v>Assumptions!F66</x:v>
      </x:c>
      <x:c r="D409" s="2"/>
      <x:c r="E409" s="3"/>
      <x:c r="F409" s="50" t="str">
        <x:f>IF(ISBLANK('Assumptions'!F66),"__BLANK__",'Assumptions'!F66)</x:f>
        <x:v>__BLANK__</x:v>
      </x:c>
      <x:c r="G409" s="50" t="n">
        <x:f>IF(ISBLANK(E409),IF(F409="__BLANK__",0,1),IF(E409=F409,0,1))</x:f>
        <x:v>0</x:v>
      </x:c>
      <x:c r="H409" s="3"/>
      <x:c r="I409" s="3"/>
      <x:c r="J409" s="3"/>
      <x:c r="K409" s="3"/>
      <x:c r="L409" s="3"/>
      <x:c r="M409" s="3"/>
    </x:row>
    <x:row r="410" ht="19" customHeight="1">
      <x:c r="A410" s="2"/>
      <x:c r="B410" s="2"/>
      <x:c r="C410" s="2" t="str">
        <x:v>Assumptions!F67</x:v>
      </x:c>
      <x:c r="D410" s="2"/>
      <x:c r="E410" s="3"/>
      <x:c r="F410" s="50" t="str">
        <x:f>IF(ISBLANK('Assumptions'!F67),"__BLANK__",'Assumptions'!F67)</x:f>
        <x:v>__BLANK__</x:v>
      </x:c>
      <x:c r="G410" s="50" t="n">
        <x:f>IF(ISBLANK(E410),IF(F410="__BLANK__",0,1),IF(E410=F410,0,1))</x:f>
        <x:v>0</x:v>
      </x:c>
      <x:c r="H410" s="3"/>
      <x:c r="I410" s="3"/>
      <x:c r="J410" s="3"/>
      <x:c r="K410" s="3"/>
      <x:c r="L410" s="3"/>
      <x:c r="M410" s="3"/>
    </x:row>
    <x:row r="411" ht="19" customHeight="1">
      <x:c r="A411" s="2"/>
      <x:c r="B411" s="2"/>
      <x:c r="C411" s="2" t="str">
        <x:v>Assumptions!F68</x:v>
      </x:c>
      <x:c r="D411" s="2"/>
      <x:c r="E411" s="3"/>
      <x:c r="F411" s="50" t="str">
        <x:f>IF(ISBLANK('Assumptions'!F68),"__BLANK__",'Assumptions'!F68)</x:f>
        <x:v>__BLANK__</x:v>
      </x:c>
      <x:c r="G411" s="50" t="n">
        <x:f>IF(ISBLANK(E411),IF(F411="__BLANK__",0,1),IF(E411=F411,0,1))</x:f>
        <x:v>0</x:v>
      </x:c>
      <x:c r="H411" s="3"/>
      <x:c r="I411" s="3"/>
      <x:c r="J411" s="3"/>
      <x:c r="K411" s="3"/>
      <x:c r="L411" s="3"/>
      <x:c r="M411" s="3"/>
    </x:row>
    <x:row r="412" ht="19" customHeight="1">
      <x:c r="A412" s="2"/>
      <x:c r="B412" s="2"/>
      <x:c r="C412" s="2" t="str">
        <x:v>Assumptions!F69</x:v>
      </x:c>
      <x:c r="D412" s="2"/>
      <x:c r="E412" s="3"/>
      <x:c r="F412" s="50" t="str">
        <x:f>IF(ISBLANK('Assumptions'!F69),"__BLANK__",'Assumptions'!F69)</x:f>
        <x:v>__BLANK__</x:v>
      </x:c>
      <x:c r="G412" s="50" t="n">
        <x:f>IF(ISBLANK(E412),IF(F412="__BLANK__",0,1),IF(E412=F412,0,1))</x:f>
        <x:v>0</x:v>
      </x:c>
      <x:c r="H412" s="3"/>
      <x:c r="I412" s="3"/>
      <x:c r="J412" s="3"/>
      <x:c r="K412" s="3"/>
      <x:c r="L412" s="3"/>
      <x:c r="M412" s="3"/>
    </x:row>
    <x:row r="413" ht="19" customHeight="1">
      <x:c r="A413" s="2"/>
      <x:c r="B413" s="2"/>
      <x:c r="C413" s="2" t="str">
        <x:v>Assumptions!G61</x:v>
      </x:c>
      <x:c r="D413" s="2"/>
      <x:c r="E413" s="3"/>
      <x:c r="F413" s="50" t="str">
        <x:f>IF(ISBLANK('Assumptions'!G61),"__BLANK__",'Assumptions'!G61)</x:f>
        <x:v>__BLANK__</x:v>
      </x:c>
      <x:c r="G413" s="50" t="n">
        <x:f>IF(ISBLANK(E413),IF(F413="__BLANK__",0,1),IF(E413=F413,0,1))</x:f>
        <x:v>0</x:v>
      </x:c>
      <x:c r="H413" s="3"/>
      <x:c r="I413" s="3"/>
      <x:c r="J413" s="3"/>
      <x:c r="K413" s="3"/>
      <x:c r="L413" s="3"/>
      <x:c r="M413" s="3"/>
    </x:row>
    <x:row r="414" ht="19" customHeight="1">
      <x:c r="A414" s="2"/>
      <x:c r="B414" s="2"/>
      <x:c r="C414" s="2" t="str">
        <x:v>Assumptions!G62</x:v>
      </x:c>
      <x:c r="D414" s="2"/>
      <x:c r="E414" s="3"/>
      <x:c r="F414" s="50" t="str">
        <x:f>IF(ISBLANK('Assumptions'!G62),"__BLANK__",'Assumptions'!G62)</x:f>
        <x:v>__BLANK__</x:v>
      </x:c>
      <x:c r="G414" s="50" t="n">
        <x:f>IF(ISBLANK(E414),IF(F414="__BLANK__",0,1),IF(E414=F414,0,1))</x:f>
        <x:v>0</x:v>
      </x:c>
      <x:c r="H414" s="3"/>
      <x:c r="I414" s="3"/>
      <x:c r="J414" s="3"/>
      <x:c r="K414" s="3"/>
      <x:c r="L414" s="3"/>
      <x:c r="M414" s="3"/>
    </x:row>
    <x:row r="415" ht="19" customHeight="1">
      <x:c r="A415" s="2"/>
      <x:c r="B415" s="2"/>
      <x:c r="C415" s="2" t="str">
        <x:v>Assumptions!G63</x:v>
      </x:c>
      <x:c r="D415" s="2"/>
      <x:c r="E415" s="3"/>
      <x:c r="F415" s="50" t="str">
        <x:f>IF(ISBLANK('Assumptions'!G63),"__BLANK__",'Assumptions'!G63)</x:f>
        <x:v>__BLANK__</x:v>
      </x:c>
      <x:c r="G415" s="50" t="n">
        <x:f>IF(ISBLANK(E415),IF(F415="__BLANK__",0,1),IF(E415=F415,0,1))</x:f>
        <x:v>0</x:v>
      </x:c>
      <x:c r="H415" s="3"/>
      <x:c r="I415" s="3"/>
      <x:c r="J415" s="3"/>
      <x:c r="K415" s="3"/>
      <x:c r="L415" s="3"/>
      <x:c r="M415" s="3"/>
    </x:row>
    <x:row r="416" ht="19" customHeight="1">
      <x:c r="A416" s="2"/>
      <x:c r="B416" s="2"/>
      <x:c r="C416" s="2" t="str">
        <x:v>Assumptions!G64</x:v>
      </x:c>
      <x:c r="D416" s="2"/>
      <x:c r="E416" s="3"/>
      <x:c r="F416" s="50" t="str">
        <x:f>IF(ISBLANK('Assumptions'!G64),"__BLANK__",'Assumptions'!G64)</x:f>
        <x:v>__BLANK__</x:v>
      </x:c>
      <x:c r="G416" s="50" t="n">
        <x:f>IF(ISBLANK(E416),IF(F416="__BLANK__",0,1),IF(E416=F416,0,1))</x:f>
        <x:v>0</x:v>
      </x:c>
      <x:c r="H416" s="3"/>
      <x:c r="I416" s="3"/>
      <x:c r="J416" s="3"/>
      <x:c r="K416" s="3"/>
      <x:c r="L416" s="3"/>
      <x:c r="M416" s="3"/>
    </x:row>
    <x:row r="417" ht="19" customHeight="1">
      <x:c r="A417" s="2"/>
      <x:c r="B417" s="2"/>
      <x:c r="C417" s="2" t="str">
        <x:v>Assumptions!G65</x:v>
      </x:c>
      <x:c r="D417" s="2"/>
      <x:c r="E417" s="3"/>
      <x:c r="F417" s="50" t="str">
        <x:f>IF(ISBLANK('Assumptions'!G65),"__BLANK__",'Assumptions'!G65)</x:f>
        <x:v>__BLANK__</x:v>
      </x:c>
      <x:c r="G417" s="50" t="n">
        <x:f>IF(ISBLANK(E417),IF(F417="__BLANK__",0,1),IF(E417=F417,0,1))</x:f>
        <x:v>0</x:v>
      </x:c>
      <x:c r="H417" s="3"/>
      <x:c r="I417" s="3"/>
      <x:c r="J417" s="3"/>
      <x:c r="K417" s="3"/>
      <x:c r="L417" s="3"/>
      <x:c r="M417" s="3"/>
    </x:row>
    <x:row r="418" ht="19" customHeight="1">
      <x:c r="A418" s="2"/>
      <x:c r="B418" s="2"/>
      <x:c r="C418" s="2" t="str">
        <x:v>Assumptions!G66</x:v>
      </x:c>
      <x:c r="D418" s="2"/>
      <x:c r="E418" s="3" t="n">
        <x:v>-0.01</x:v>
      </x:c>
      <x:c r="F418" s="50" t="n">
        <x:f>IF(ISBLANK('Assumptions'!G66),"__BLANK__",'Assumptions'!G66)</x:f>
        <x:v>-0.01</x:v>
      </x:c>
      <x:c r="G418" s="50" t="n">
        <x:f>IF(ISBLANK(E418),IF(F418="__BLANK__",0,1),IF(E418=F418,0,1))</x:f>
        <x:v>0</x:v>
      </x:c>
      <x:c r="H418" s="3"/>
      <x:c r="I418" s="3"/>
      <x:c r="J418" s="3"/>
      <x:c r="K418" s="3"/>
      <x:c r="L418" s="3"/>
      <x:c r="M418" s="3"/>
    </x:row>
    <x:row r="419" ht="19" customHeight="1">
      <x:c r="A419" s="2"/>
      <x:c r="B419" s="2"/>
      <x:c r="C419" s="2" t="str">
        <x:v>Assumptions!G67</x:v>
      </x:c>
      <x:c r="D419" s="2"/>
      <x:c r="E419" s="3" t="n">
        <x:v>0.01</x:v>
      </x:c>
      <x:c r="F419" s="50" t="n">
        <x:f>IF(ISBLANK('Assumptions'!G67),"__BLANK__",'Assumptions'!G67)</x:f>
        <x:v>0.01</x:v>
      </x:c>
      <x:c r="G419" s="50" t="n">
        <x:f>IF(ISBLANK(E419),IF(F419="__BLANK__",0,1),IF(E419=F419,0,1))</x:f>
        <x:v>0</x:v>
      </x:c>
      <x:c r="H419" s="3"/>
      <x:c r="I419" s="3"/>
      <x:c r="J419" s="3"/>
      <x:c r="K419" s="3"/>
      <x:c r="L419" s="3"/>
      <x:c r="M419" s="3"/>
    </x:row>
    <x:row r="420" ht="19" customHeight="1">
      <x:c r="A420" s="2"/>
      <x:c r="B420" s="2"/>
      <x:c r="C420" s="2" t="str">
        <x:v>Assumptions!G68</x:v>
      </x:c>
      <x:c r="D420" s="2"/>
      <x:c r="E420" s="3" t="n">
        <x:v>0</x:v>
      </x:c>
      <x:c r="F420" s="50" t="n">
        <x:f>IF(ISBLANK('Assumptions'!G68),"__BLANK__",'Assumptions'!G68)</x:f>
        <x:v>0</x:v>
      </x:c>
      <x:c r="G420" s="50" t="n">
        <x:f>IF(ISBLANK(E420),IF(F420="__BLANK__",0,1),IF(E420=F420,0,1))</x:f>
        <x:v>0</x:v>
      </x:c>
      <x:c r="H420" s="3"/>
      <x:c r="I420" s="3"/>
      <x:c r="J420" s="3"/>
      <x:c r="K420" s="3"/>
      <x:c r="L420" s="3"/>
      <x:c r="M420" s="3"/>
    </x:row>
    <x:row r="421" ht="19" customHeight="1">
      <x:c r="A421" s="2"/>
      <x:c r="B421" s="2"/>
      <x:c r="C421" s="2" t="str">
        <x:v>Assumptions!G69</x:v>
      </x:c>
      <x:c r="D421" s="2"/>
      <x:c r="E421" s="3" t="n">
        <x:v>0</x:v>
      </x:c>
      <x:c r="F421" s="50" t="n">
        <x:f>IF(ISBLANK('Assumptions'!G69),"__BLANK__",'Assumptions'!G69)</x:f>
        <x:v>0</x:v>
      </x:c>
      <x:c r="G421" s="50" t="n">
        <x:f>IF(ISBLANK(E421),IF(F421="__BLANK__",0,1),IF(E421=F421,0,1))</x:f>
        <x:v>0</x:v>
      </x:c>
      <x:c r="H421" s="3"/>
      <x:c r="I421" s="3"/>
      <x:c r="J421" s="3"/>
      <x:c r="K421" s="3"/>
      <x:c r="L421" s="3"/>
      <x:c r="M421" s="3"/>
    </x:row>
    <x:row r="422" ht="19" customHeight="1">
      <x:c r="A422" s="2"/>
      <x:c r="B422" s="2"/>
      <x:c r="C422" s="2" t="str">
        <x:v>Assumptions!H61</x:v>
      </x:c>
      <x:c r="D422" s="2"/>
      <x:c r="E422" s="3"/>
      <x:c r="F422" s="50" t="str">
        <x:f>IF(ISBLANK('Assumptions'!H61),"__BLANK__",'Assumptions'!H61)</x:f>
        <x:v>__BLANK__</x:v>
      </x:c>
      <x:c r="G422" s="50" t="n">
        <x:f>IF(ISBLANK(E422),IF(F422="__BLANK__",0,1),IF(E422=F422,0,1))</x:f>
        <x:v>0</x:v>
      </x:c>
      <x:c r="H422" s="3"/>
      <x:c r="I422" s="3"/>
      <x:c r="J422" s="3"/>
      <x:c r="K422" s="3"/>
      <x:c r="L422" s="3"/>
      <x:c r="M422" s="3"/>
    </x:row>
    <x:row r="423" ht="19" customHeight="1">
      <x:c r="A423" s="2"/>
      <x:c r="B423" s="2"/>
      <x:c r="C423" s="2" t="str">
        <x:v>Assumptions!H62</x:v>
      </x:c>
      <x:c r="D423" s="2"/>
      <x:c r="E423" s="3"/>
      <x:c r="F423" s="50" t="str">
        <x:f>IF(ISBLANK('Assumptions'!H62),"__BLANK__",'Assumptions'!H62)</x:f>
        <x:v>__BLANK__</x:v>
      </x:c>
      <x:c r="G423" s="50" t="n">
        <x:f>IF(ISBLANK(E423),IF(F423="__BLANK__",0,1),IF(E423=F423,0,1))</x:f>
        <x:v>0</x:v>
      </x:c>
      <x:c r="H423" s="3"/>
      <x:c r="I423" s="3"/>
      <x:c r="J423" s="3"/>
      <x:c r="K423" s="3"/>
      <x:c r="L423" s="3"/>
      <x:c r="M423" s="3"/>
    </x:row>
    <x:row r="424" ht="19" customHeight="1">
      <x:c r="A424" s="2"/>
      <x:c r="B424" s="2"/>
      <x:c r="C424" s="2" t="str">
        <x:v>Assumptions!H63</x:v>
      </x:c>
      <x:c r="D424" s="2"/>
      <x:c r="E424" s="3"/>
      <x:c r="F424" s="50" t="str">
        <x:f>IF(ISBLANK('Assumptions'!H63),"__BLANK__",'Assumptions'!H63)</x:f>
        <x:v>__BLANK__</x:v>
      </x:c>
      <x:c r="G424" s="50" t="n">
        <x:f>IF(ISBLANK(E424),IF(F424="__BLANK__",0,1),IF(E424=F424,0,1))</x:f>
        <x:v>0</x:v>
      </x:c>
      <x:c r="H424" s="3"/>
      <x:c r="I424" s="3"/>
      <x:c r="J424" s="3"/>
      <x:c r="K424" s="3"/>
      <x:c r="L424" s="3"/>
      <x:c r="M424" s="3"/>
    </x:row>
    <x:row r="425" ht="19" customHeight="1">
      <x:c r="A425" s="2"/>
      <x:c r="B425" s="2"/>
      <x:c r="C425" s="2" t="str">
        <x:v>Assumptions!H64</x:v>
      </x:c>
      <x:c r="D425" s="2"/>
      <x:c r="E425" s="3"/>
      <x:c r="F425" s="50" t="str">
        <x:f>IF(ISBLANK('Assumptions'!H64),"__BLANK__",'Assumptions'!H64)</x:f>
        <x:v>__BLANK__</x:v>
      </x:c>
      <x:c r="G425" s="50" t="n">
        <x:f>IF(ISBLANK(E425),IF(F425="__BLANK__",0,1),IF(E425=F425,0,1))</x:f>
        <x:v>0</x:v>
      </x:c>
      <x:c r="H425" s="3"/>
      <x:c r="I425" s="3"/>
      <x:c r="J425" s="3"/>
      <x:c r="K425" s="3"/>
      <x:c r="L425" s="3"/>
      <x:c r="M425" s="3"/>
    </x:row>
    <x:row r="426" ht="19" customHeight="1">
      <x:c r="A426" s="2"/>
      <x:c r="B426" s="2"/>
      <x:c r="C426" s="2" t="str">
        <x:v>Assumptions!H65</x:v>
      </x:c>
      <x:c r="D426" s="2"/>
      <x:c r="E426" s="3"/>
      <x:c r="F426" s="50" t="str">
        <x:f>IF(ISBLANK('Assumptions'!H65),"__BLANK__",'Assumptions'!H65)</x:f>
        <x:v>__BLANK__</x:v>
      </x:c>
      <x:c r="G426" s="50" t="n">
        <x:f>IF(ISBLANK(E426),IF(F426="__BLANK__",0,1),IF(E426=F426,0,1))</x:f>
        <x:v>0</x:v>
      </x:c>
      <x:c r="H426" s="3"/>
      <x:c r="I426" s="3"/>
      <x:c r="J426" s="3"/>
      <x:c r="K426" s="3"/>
      <x:c r="L426" s="3"/>
      <x:c r="M426" s="3"/>
    </x:row>
    <x:row r="427" ht="19" customHeight="1">
      <x:c r="A427" s="2"/>
      <x:c r="B427" s="2"/>
      <x:c r="C427" s="2" t="str">
        <x:v>Assumptions!H66</x:v>
      </x:c>
      <x:c r="D427" s="2"/>
      <x:c r="E427" s="3" t="n">
        <x:v>-0.01</x:v>
      </x:c>
      <x:c r="F427" s="50" t="n">
        <x:f>IF(ISBLANK('Assumptions'!H66),"__BLANK__",'Assumptions'!H66)</x:f>
        <x:v>-0.01</x:v>
      </x:c>
      <x:c r="G427" s="50" t="n">
        <x:f>IF(ISBLANK(E427),IF(F427="__BLANK__",0,1),IF(E427=F427,0,1))</x:f>
        <x:v>0</x:v>
      </x:c>
      <x:c r="H427" s="3"/>
      <x:c r="I427" s="3"/>
      <x:c r="J427" s="3"/>
      <x:c r="K427" s="3"/>
      <x:c r="L427" s="3"/>
      <x:c r="M427" s="3"/>
    </x:row>
    <x:row r="428" ht="19" customHeight="1">
      <x:c r="A428" s="2"/>
      <x:c r="B428" s="2"/>
      <x:c r="C428" s="2" t="str">
        <x:v>Assumptions!H67</x:v>
      </x:c>
      <x:c r="D428" s="2"/>
      <x:c r="E428" s="3" t="n">
        <x:v>0.01</x:v>
      </x:c>
      <x:c r="F428" s="50" t="n">
        <x:f>IF(ISBLANK('Assumptions'!H67),"__BLANK__",'Assumptions'!H67)</x:f>
        <x:v>0.01</x:v>
      </x:c>
      <x:c r="G428" s="50" t="n">
        <x:f>IF(ISBLANK(E428),IF(F428="__BLANK__",0,1),IF(E428=F428,0,1))</x:f>
        <x:v>0</x:v>
      </x:c>
      <x:c r="H428" s="3"/>
      <x:c r="I428" s="3"/>
      <x:c r="J428" s="3"/>
      <x:c r="K428" s="3"/>
      <x:c r="L428" s="3"/>
      <x:c r="M428" s="3"/>
    </x:row>
    <x:row r="429" ht="19" customHeight="1">
      <x:c r="A429" s="2"/>
      <x:c r="B429" s="2"/>
      <x:c r="C429" s="2" t="str">
        <x:v>Assumptions!H68</x:v>
      </x:c>
      <x:c r="D429" s="2"/>
      <x:c r="E429" s="3" t="n">
        <x:v>0</x:v>
      </x:c>
      <x:c r="F429" s="50" t="n">
        <x:f>IF(ISBLANK('Assumptions'!H68),"__BLANK__",'Assumptions'!H68)</x:f>
        <x:v>0</x:v>
      </x:c>
      <x:c r="G429" s="50" t="n">
        <x:f>IF(ISBLANK(E429),IF(F429="__BLANK__",0,1),IF(E429=F429,0,1))</x:f>
        <x:v>0</x:v>
      </x:c>
      <x:c r="H429" s="3"/>
      <x:c r="I429" s="3"/>
      <x:c r="J429" s="3"/>
      <x:c r="K429" s="3"/>
      <x:c r="L429" s="3"/>
      <x:c r="M429" s="3"/>
    </x:row>
    <x:row r="430" ht="19" customHeight="1">
      <x:c r="A430" s="2"/>
      <x:c r="B430" s="2"/>
      <x:c r="C430" s="2" t="str">
        <x:v>Assumptions!H69</x:v>
      </x:c>
      <x:c r="D430" s="2"/>
      <x:c r="E430" s="3" t="n">
        <x:v>0</x:v>
      </x:c>
      <x:c r="F430" s="50" t="n">
        <x:f>IF(ISBLANK('Assumptions'!H69),"__BLANK__",'Assumptions'!H69)</x:f>
        <x:v>0</x:v>
      </x:c>
      <x:c r="G430" s="50" t="n">
        <x:f>IF(ISBLANK(E430),IF(F430="__BLANK__",0,1),IF(E430=F430,0,1))</x:f>
        <x:v>0</x:v>
      </x:c>
      <x:c r="H430" s="3"/>
      <x:c r="I430" s="3"/>
      <x:c r="J430" s="3"/>
      <x:c r="K430" s="3"/>
      <x:c r="L430" s="3"/>
      <x:c r="M430" s="3"/>
    </x:row>
    <x:row r="431" ht="19" customHeight="1">
      <x:c r="A431" s="2"/>
      <x:c r="B431" s="2"/>
      <x:c r="C431" s="2" t="str">
        <x:v>Assumptions!I61</x:v>
      </x:c>
      <x:c r="D431" s="2"/>
      <x:c r="E431" s="3"/>
      <x:c r="F431" s="50" t="str">
        <x:f>IF(ISBLANK('Assumptions'!I61),"__BLANK__",'Assumptions'!I61)</x:f>
        <x:v>__BLANK__</x:v>
      </x:c>
      <x:c r="G431" s="50" t="n">
        <x:f>IF(ISBLANK(E431),IF(F431="__BLANK__",0,1),IF(E431=F431,0,1))</x:f>
        <x:v>0</x:v>
      </x:c>
      <x:c r="H431" s="3"/>
      <x:c r="I431" s="3"/>
      <x:c r="J431" s="3"/>
      <x:c r="K431" s="3"/>
      <x:c r="L431" s="3"/>
      <x:c r="M431" s="3"/>
    </x:row>
    <x:row r="432" ht="19" customHeight="1">
      <x:c r="A432" s="2"/>
      <x:c r="B432" s="2"/>
      <x:c r="C432" s="2" t="str">
        <x:v>Assumptions!I62</x:v>
      </x:c>
      <x:c r="D432" s="2"/>
      <x:c r="E432" s="3"/>
      <x:c r="F432" s="50" t="str">
        <x:f>IF(ISBLANK('Assumptions'!I62),"__BLANK__",'Assumptions'!I62)</x:f>
        <x:v>__BLANK__</x:v>
      </x:c>
      <x:c r="G432" s="50" t="n">
        <x:f>IF(ISBLANK(E432),IF(F432="__BLANK__",0,1),IF(E432=F432,0,1))</x:f>
        <x:v>0</x:v>
      </x:c>
      <x:c r="H432" s="3"/>
      <x:c r="I432" s="3"/>
      <x:c r="J432" s="3"/>
      <x:c r="K432" s="3"/>
      <x:c r="L432" s="3"/>
      <x:c r="M432" s="3"/>
    </x:row>
    <x:row r="433" ht="19" customHeight="1">
      <x:c r="A433" s="2"/>
      <x:c r="B433" s="2"/>
      <x:c r="C433" s="2" t="str">
        <x:v>Assumptions!I63</x:v>
      </x:c>
      <x:c r="D433" s="2"/>
      <x:c r="E433" s="3"/>
      <x:c r="F433" s="50" t="str">
        <x:f>IF(ISBLANK('Assumptions'!I63),"__BLANK__",'Assumptions'!I63)</x:f>
        <x:v>__BLANK__</x:v>
      </x:c>
      <x:c r="G433" s="50" t="n">
        <x:f>IF(ISBLANK(E433),IF(F433="__BLANK__",0,1),IF(E433=F433,0,1))</x:f>
        <x:v>0</x:v>
      </x:c>
      <x:c r="H433" s="3"/>
      <x:c r="I433" s="3"/>
      <x:c r="J433" s="3"/>
      <x:c r="K433" s="3"/>
      <x:c r="L433" s="3"/>
      <x:c r="M433" s="3"/>
    </x:row>
    <x:row r="434" ht="19" customHeight="1">
      <x:c r="A434" s="2"/>
      <x:c r="B434" s="2"/>
      <x:c r="C434" s="2" t="str">
        <x:v>Assumptions!I64</x:v>
      </x:c>
      <x:c r="D434" s="2"/>
      <x:c r="E434" s="3"/>
      <x:c r="F434" s="50" t="str">
        <x:f>IF(ISBLANK('Assumptions'!I64),"__BLANK__",'Assumptions'!I64)</x:f>
        <x:v>__BLANK__</x:v>
      </x:c>
      <x:c r="G434" s="50" t="n">
        <x:f>IF(ISBLANK(E434),IF(F434="__BLANK__",0,1),IF(E434=F434,0,1))</x:f>
        <x:v>0</x:v>
      </x:c>
      <x:c r="H434" s="3"/>
      <x:c r="I434" s="3"/>
      <x:c r="J434" s="3"/>
      <x:c r="K434" s="3"/>
      <x:c r="L434" s="3"/>
      <x:c r="M434" s="3"/>
    </x:row>
    <x:row r="435" ht="19" customHeight="1">
      <x:c r="A435" s="2"/>
      <x:c r="B435" s="2"/>
      <x:c r="C435" s="2" t="str">
        <x:v>Assumptions!I65</x:v>
      </x:c>
      <x:c r="D435" s="2"/>
      <x:c r="E435" s="3"/>
      <x:c r="F435" s="50" t="str">
        <x:f>IF(ISBLANK('Assumptions'!I65),"__BLANK__",'Assumptions'!I65)</x:f>
        <x:v>__BLANK__</x:v>
      </x:c>
      <x:c r="G435" s="50" t="n">
        <x:f>IF(ISBLANK(E435),IF(F435="__BLANK__",0,1),IF(E435=F435,0,1))</x:f>
        <x:v>0</x:v>
      </x:c>
      <x:c r="H435" s="3"/>
      <x:c r="I435" s="3"/>
      <x:c r="J435" s="3"/>
      <x:c r="K435" s="3"/>
      <x:c r="L435" s="3"/>
      <x:c r="M435" s="3"/>
    </x:row>
    <x:row r="436" ht="19" customHeight="1">
      <x:c r="A436" s="2"/>
      <x:c r="B436" s="2"/>
      <x:c r="C436" s="2" t="str">
        <x:v>Assumptions!I66</x:v>
      </x:c>
      <x:c r="D436" s="2"/>
      <x:c r="E436" s="3" t="n">
        <x:v>-0.01</x:v>
      </x:c>
      <x:c r="F436" s="50" t="n">
        <x:f>IF(ISBLANK('Assumptions'!I66),"__BLANK__",'Assumptions'!I66)</x:f>
        <x:v>-0.01</x:v>
      </x:c>
      <x:c r="G436" s="50" t="n">
        <x:f>IF(ISBLANK(E436),IF(F436="__BLANK__",0,1),IF(E436=F436,0,1))</x:f>
        <x:v>0</x:v>
      </x:c>
      <x:c r="H436" s="3"/>
      <x:c r="I436" s="3"/>
      <x:c r="J436" s="3"/>
      <x:c r="K436" s="3"/>
      <x:c r="L436" s="3"/>
      <x:c r="M436" s="3"/>
    </x:row>
    <x:row r="437" ht="19" customHeight="1">
      <x:c r="A437" s="2"/>
      <x:c r="B437" s="2"/>
      <x:c r="C437" s="2" t="str">
        <x:v>Assumptions!I67</x:v>
      </x:c>
      <x:c r="D437" s="2"/>
      <x:c r="E437" s="3" t="n">
        <x:v>0.01</x:v>
      </x:c>
      <x:c r="F437" s="50" t="n">
        <x:f>IF(ISBLANK('Assumptions'!I67),"__BLANK__",'Assumptions'!I67)</x:f>
        <x:v>0.01</x:v>
      </x:c>
      <x:c r="G437" s="50" t="n">
        <x:f>IF(ISBLANK(E437),IF(F437="__BLANK__",0,1),IF(E437=F437,0,1))</x:f>
        <x:v>0</x:v>
      </x:c>
      <x:c r="H437" s="3"/>
      <x:c r="I437" s="3"/>
      <x:c r="J437" s="3"/>
      <x:c r="K437" s="3"/>
      <x:c r="L437" s="3"/>
      <x:c r="M437" s="3"/>
    </x:row>
    <x:row r="438" ht="19" customHeight="1">
      <x:c r="A438" s="2"/>
      <x:c r="B438" s="2"/>
      <x:c r="C438" s="2" t="str">
        <x:v>Assumptions!I68</x:v>
      </x:c>
      <x:c r="D438" s="2"/>
      <x:c r="E438" s="3" t="n">
        <x:v>0</x:v>
      </x:c>
      <x:c r="F438" s="50" t="n">
        <x:f>IF(ISBLANK('Assumptions'!I68),"__BLANK__",'Assumptions'!I68)</x:f>
        <x:v>0</x:v>
      </x:c>
      <x:c r="G438" s="50" t="n">
        <x:f>IF(ISBLANK(E438),IF(F438="__BLANK__",0,1),IF(E438=F438,0,1))</x:f>
        <x:v>0</x:v>
      </x:c>
      <x:c r="H438" s="3"/>
      <x:c r="I438" s="3"/>
      <x:c r="J438" s="3"/>
      <x:c r="K438" s="3"/>
      <x:c r="L438" s="3"/>
      <x:c r="M438" s="3"/>
    </x:row>
    <x:row r="439" ht="19" customHeight="1">
      <x:c r="A439" s="2"/>
      <x:c r="B439" s="2"/>
      <x:c r="C439" s="2" t="str">
        <x:v>Assumptions!I69</x:v>
      </x:c>
      <x:c r="D439" s="2"/>
      <x:c r="E439" s="3" t="n">
        <x:v>0</x:v>
      </x:c>
      <x:c r="F439" s="50" t="n">
        <x:f>IF(ISBLANK('Assumptions'!I69),"__BLANK__",'Assumptions'!I69)</x:f>
        <x:v>0</x:v>
      </x:c>
      <x:c r="G439" s="50" t="n">
        <x:f>IF(ISBLANK(E439),IF(F439="__BLANK__",0,1),IF(E439=F439,0,1))</x:f>
        <x:v>0</x:v>
      </x:c>
      <x:c r="H439" s="3"/>
      <x:c r="I439" s="3"/>
      <x:c r="J439" s="3"/>
      <x:c r="K439" s="3"/>
      <x:c r="L439" s="3"/>
      <x:c r="M439" s="3"/>
    </x:row>
    <x:row r="440" ht="19" customHeight="1">
      <x:c r="A440" s="2"/>
      <x:c r="B440" s="2"/>
      <x:c r="C440" s="2" t="str">
        <x:v>Assumptions!J61</x:v>
      </x:c>
      <x:c r="D440" s="2"/>
      <x:c r="E440" s="3"/>
      <x:c r="F440" s="50" t="str">
        <x:f>IF(ISBLANK('Assumptions'!J61),"__BLANK__",'Assumptions'!J61)</x:f>
        <x:v>__BLANK__</x:v>
      </x:c>
      <x:c r="G440" s="50" t="n">
        <x:f>IF(ISBLANK(E440),IF(F440="__BLANK__",0,1),IF(E440=F440,0,1))</x:f>
        <x:v>0</x:v>
      </x:c>
      <x:c r="H440" s="3"/>
      <x:c r="I440" s="3"/>
      <x:c r="J440" s="3"/>
      <x:c r="K440" s="3"/>
      <x:c r="L440" s="3"/>
      <x:c r="M440" s="3"/>
    </x:row>
    <x:row r="441" ht="19" customHeight="1">
      <x:c r="A441" s="2"/>
      <x:c r="B441" s="2"/>
      <x:c r="C441" s="2" t="str">
        <x:v>Assumptions!J62</x:v>
      </x:c>
      <x:c r="D441" s="2"/>
      <x:c r="E441" s="3"/>
      <x:c r="F441" s="50" t="str">
        <x:f>IF(ISBLANK('Assumptions'!J62),"__BLANK__",'Assumptions'!J62)</x:f>
        <x:v>__BLANK__</x:v>
      </x:c>
      <x:c r="G441" s="50" t="n">
        <x:f>IF(ISBLANK(E441),IF(F441="__BLANK__",0,1),IF(E441=F441,0,1))</x:f>
        <x:v>0</x:v>
      </x:c>
      <x:c r="H441" s="3"/>
      <x:c r="I441" s="3"/>
      <x:c r="J441" s="3"/>
      <x:c r="K441" s="3"/>
      <x:c r="L441" s="3"/>
      <x:c r="M441" s="3"/>
    </x:row>
    <x:row r="442" ht="19" customHeight="1">
      <x:c r="A442" s="2"/>
      <x:c r="B442" s="2"/>
      <x:c r="C442" s="2" t="str">
        <x:v>Assumptions!J63</x:v>
      </x:c>
      <x:c r="D442" s="2"/>
      <x:c r="E442" s="3"/>
      <x:c r="F442" s="50" t="str">
        <x:f>IF(ISBLANK('Assumptions'!J63),"__BLANK__",'Assumptions'!J63)</x:f>
        <x:v>__BLANK__</x:v>
      </x:c>
      <x:c r="G442" s="50" t="n">
        <x:f>IF(ISBLANK(E442),IF(F442="__BLANK__",0,1),IF(E442=F442,0,1))</x:f>
        <x:v>0</x:v>
      </x:c>
      <x:c r="H442" s="3"/>
      <x:c r="I442" s="3"/>
      <x:c r="J442" s="3"/>
      <x:c r="K442" s="3"/>
      <x:c r="L442" s="3"/>
      <x:c r="M442" s="3"/>
    </x:row>
    <x:row r="443" ht="19" customHeight="1">
      <x:c r="A443" s="2"/>
      <x:c r="B443" s="2"/>
      <x:c r="C443" s="2" t="str">
        <x:v>Assumptions!J64</x:v>
      </x:c>
      <x:c r="D443" s="2"/>
      <x:c r="E443" s="3"/>
      <x:c r="F443" s="50" t="str">
        <x:f>IF(ISBLANK('Assumptions'!J64),"__BLANK__",'Assumptions'!J64)</x:f>
        <x:v>__BLANK__</x:v>
      </x:c>
      <x:c r="G443" s="50" t="n">
        <x:f>IF(ISBLANK(E443),IF(F443="__BLANK__",0,1),IF(E443=F443,0,1))</x:f>
        <x:v>0</x:v>
      </x:c>
      <x:c r="H443" s="3"/>
      <x:c r="I443" s="3"/>
      <x:c r="J443" s="3"/>
      <x:c r="K443" s="3"/>
      <x:c r="L443" s="3"/>
      <x:c r="M443" s="3"/>
    </x:row>
    <x:row r="444" ht="19" customHeight="1">
      <x:c r="A444" s="2"/>
      <x:c r="B444" s="2"/>
      <x:c r="C444" s="2" t="str">
        <x:v>Assumptions!J65</x:v>
      </x:c>
      <x:c r="D444" s="2"/>
      <x:c r="E444" s="3"/>
      <x:c r="F444" s="50" t="str">
        <x:f>IF(ISBLANK('Assumptions'!J65),"__BLANK__",'Assumptions'!J65)</x:f>
        <x:v>__BLANK__</x:v>
      </x:c>
      <x:c r="G444" s="50" t="n">
        <x:f>IF(ISBLANK(E444),IF(F444="__BLANK__",0,1),IF(E444=F444,0,1))</x:f>
        <x:v>0</x:v>
      </x:c>
      <x:c r="H444" s="3"/>
      <x:c r="I444" s="3"/>
      <x:c r="J444" s="3"/>
      <x:c r="K444" s="3"/>
      <x:c r="L444" s="3"/>
      <x:c r="M444" s="3"/>
    </x:row>
    <x:row r="445" ht="19" customHeight="1">
      <x:c r="A445" s="2"/>
      <x:c r="B445" s="2"/>
      <x:c r="C445" s="2" t="str">
        <x:v>Assumptions!J66</x:v>
      </x:c>
      <x:c r="D445" s="2"/>
      <x:c r="E445" s="3"/>
      <x:c r="F445" s="50" t="str">
        <x:f>IF(ISBLANK('Assumptions'!J66),"__BLANK__",'Assumptions'!J66)</x:f>
        <x:v>__BLANK__</x:v>
      </x:c>
      <x:c r="G445" s="50" t="n">
        <x:f>IF(ISBLANK(E445),IF(F445="__BLANK__",0,1),IF(E445=F445,0,1))</x:f>
        <x:v>0</x:v>
      </x:c>
      <x:c r="H445" s="3"/>
      <x:c r="I445" s="3"/>
      <x:c r="J445" s="3"/>
      <x:c r="K445" s="3"/>
      <x:c r="L445" s="3"/>
      <x:c r="M445" s="3"/>
    </x:row>
    <x:row r="446" ht="19" customHeight="1">
      <x:c r="A446" s="2"/>
      <x:c r="B446" s="2"/>
      <x:c r="C446" s="2" t="str">
        <x:v>Assumptions!J67</x:v>
      </x:c>
      <x:c r="D446" s="2"/>
      <x:c r="E446" s="3"/>
      <x:c r="F446" s="50" t="str">
        <x:f>IF(ISBLANK('Assumptions'!J67),"__BLANK__",'Assumptions'!J67)</x:f>
        <x:v>__BLANK__</x:v>
      </x:c>
      <x:c r="G446" s="50" t="n">
        <x:f>IF(ISBLANK(E446),IF(F446="__BLANK__",0,1),IF(E446=F446,0,1))</x:f>
        <x:v>0</x:v>
      </x:c>
      <x:c r="H446" s="3"/>
      <x:c r="I446" s="3"/>
      <x:c r="J446" s="3"/>
      <x:c r="K446" s="3"/>
      <x:c r="L446" s="3"/>
      <x:c r="M446" s="3"/>
    </x:row>
    <x:row r="447" ht="19" customHeight="1">
      <x:c r="A447" s="2"/>
      <x:c r="B447" s="2"/>
      <x:c r="C447" s="2" t="str">
        <x:v>Assumptions!J68</x:v>
      </x:c>
      <x:c r="D447" s="2"/>
      <x:c r="E447" s="3"/>
      <x:c r="F447" s="50" t="str">
        <x:f>IF(ISBLANK('Assumptions'!J68),"__BLANK__",'Assumptions'!J68)</x:f>
        <x:v>__BLANK__</x:v>
      </x:c>
      <x:c r="G447" s="50" t="n">
        <x:f>IF(ISBLANK(E447),IF(F447="__BLANK__",0,1),IF(E447=F447,0,1))</x:f>
        <x:v>0</x:v>
      </x:c>
      <x:c r="H447" s="3"/>
      <x:c r="I447" s="3"/>
      <x:c r="J447" s="3"/>
      <x:c r="K447" s="3"/>
      <x:c r="L447" s="3"/>
      <x:c r="M447" s="3"/>
    </x:row>
    <x:row r="448" ht="19" customHeight="1">
      <x:c r="A448" s="2"/>
      <x:c r="B448" s="2"/>
      <x:c r="C448" s="2" t="str">
        <x:v>Assumptions!J69</x:v>
      </x:c>
      <x:c r="D448" s="2"/>
      <x:c r="E448" s="3"/>
      <x:c r="F448" s="50" t="str">
        <x:f>IF(ISBLANK('Assumptions'!J69),"__BLANK__",'Assumptions'!J69)</x:f>
        <x:v>__BLANK__</x:v>
      </x:c>
      <x:c r="G448" s="50" t="n">
        <x:f>IF(ISBLANK(E448),IF(F448="__BLANK__",0,1),IF(E448=F448,0,1))</x:f>
        <x:v>0</x:v>
      </x:c>
      <x:c r="H448" s="3"/>
      <x:c r="I448" s="3"/>
      <x:c r="J448" s="3"/>
      <x:c r="K448" s="3"/>
      <x:c r="L448" s="3"/>
      <x:c r="M448" s="3"/>
    </x:row>
    <x:row r="449" ht="19" customHeight="1">
      <x:c r="A449" s="2"/>
      <x:c r="B449" s="2"/>
      <x:c r="C449" s="2" t="str">
        <x:v>Assumptions!K61</x:v>
      </x:c>
      <x:c r="D449" s="2"/>
      <x:c r="E449" s="3"/>
      <x:c r="F449" s="50" t="str">
        <x:f>IF(ISBLANK('Assumptions'!K61),"__BLANK__",'Assumptions'!K61)</x:f>
        <x:v>__BLANK__</x:v>
      </x:c>
      <x:c r="G449" s="50" t="n">
        <x:f>IF(ISBLANK(E449),IF(F449="__BLANK__",0,1),IF(E449=F449,0,1))</x:f>
        <x:v>0</x:v>
      </x:c>
      <x:c r="H449" s="3"/>
      <x:c r="I449" s="3"/>
      <x:c r="J449" s="3"/>
      <x:c r="K449" s="3"/>
      <x:c r="L449" s="3"/>
      <x:c r="M449" s="3"/>
    </x:row>
    <x:row r="450" ht="19" customHeight="1">
      <x:c r="A450" s="2"/>
      <x:c r="B450" s="2"/>
      <x:c r="C450" s="2" t="str">
        <x:v>Assumptions!K62</x:v>
      </x:c>
      <x:c r="D450" s="2"/>
      <x:c r="E450" s="3"/>
      <x:c r="F450" s="50" t="str">
        <x:f>IF(ISBLANK('Assumptions'!K62),"__BLANK__",'Assumptions'!K62)</x:f>
        <x:v>__BLANK__</x:v>
      </x:c>
      <x:c r="G450" s="50" t="n">
        <x:f>IF(ISBLANK(E450),IF(F450="__BLANK__",0,1),IF(E450=F450,0,1))</x:f>
        <x:v>0</x:v>
      </x:c>
      <x:c r="H450" s="3"/>
      <x:c r="I450" s="3"/>
      <x:c r="J450" s="3"/>
      <x:c r="K450" s="3"/>
      <x:c r="L450" s="3"/>
      <x:c r="M450" s="3"/>
    </x:row>
    <x:row r="451" ht="19" customHeight="1">
      <x:c r="A451" s="2"/>
      <x:c r="B451" s="2"/>
      <x:c r="C451" s="2" t="str">
        <x:v>Assumptions!K63</x:v>
      </x:c>
      <x:c r="D451" s="2"/>
      <x:c r="E451" s="3"/>
      <x:c r="F451" s="50" t="str">
        <x:f>IF(ISBLANK('Assumptions'!K63),"__BLANK__",'Assumptions'!K63)</x:f>
        <x:v>__BLANK__</x:v>
      </x:c>
      <x:c r="G451" s="50" t="n">
        <x:f>IF(ISBLANK(E451),IF(F451="__BLANK__",0,1),IF(E451=F451,0,1))</x:f>
        <x:v>0</x:v>
      </x:c>
      <x:c r="H451" s="3"/>
      <x:c r="I451" s="3"/>
      <x:c r="J451" s="3"/>
      <x:c r="K451" s="3"/>
      <x:c r="L451" s="3"/>
      <x:c r="M451" s="3"/>
    </x:row>
    <x:row r="452" ht="19" customHeight="1">
      <x:c r="A452" s="2"/>
      <x:c r="B452" s="2"/>
      <x:c r="C452" s="2" t="str">
        <x:v>Assumptions!K64</x:v>
      </x:c>
      <x:c r="D452" s="2"/>
      <x:c r="E452" s="3"/>
      <x:c r="F452" s="50" t="str">
        <x:f>IF(ISBLANK('Assumptions'!K64),"__BLANK__",'Assumptions'!K64)</x:f>
        <x:v>__BLANK__</x:v>
      </x:c>
      <x:c r="G452" s="50" t="n">
        <x:f>IF(ISBLANK(E452),IF(F452="__BLANK__",0,1),IF(E452=F452,0,1))</x:f>
        <x:v>0</x:v>
      </x:c>
      <x:c r="H452" s="3"/>
      <x:c r="I452" s="3"/>
      <x:c r="J452" s="3"/>
      <x:c r="K452" s="3"/>
      <x:c r="L452" s="3"/>
      <x:c r="M452" s="3"/>
    </x:row>
    <x:row r="453" ht="19" customHeight="1">
      <x:c r="A453" s="2"/>
      <x:c r="B453" s="2"/>
      <x:c r="C453" s="2" t="str">
        <x:v>Assumptions!K65</x:v>
      </x:c>
      <x:c r="D453" s="2"/>
      <x:c r="E453" s="3"/>
      <x:c r="F453" s="50" t="str">
        <x:f>IF(ISBLANK('Assumptions'!K65),"__BLANK__",'Assumptions'!K65)</x:f>
        <x:v>__BLANK__</x:v>
      </x:c>
      <x:c r="G453" s="50" t="n">
        <x:f>IF(ISBLANK(E453),IF(F453="__BLANK__",0,1),IF(E453=F453,0,1))</x:f>
        <x:v>0</x:v>
      </x:c>
      <x:c r="H453" s="3"/>
      <x:c r="I453" s="3"/>
      <x:c r="J453" s="3"/>
      <x:c r="K453" s="3"/>
      <x:c r="L453" s="3"/>
      <x:c r="M453" s="3"/>
    </x:row>
    <x:row r="454" ht="19" customHeight="1">
      <x:c r="A454" s="2"/>
      <x:c r="B454" s="2"/>
      <x:c r="C454" s="2" t="str">
        <x:v>Assumptions!K66</x:v>
      </x:c>
      <x:c r="D454" s="2"/>
      <x:c r="E454" s="3"/>
      <x:c r="F454" s="50" t="str">
        <x:f>IF(ISBLANK('Assumptions'!K66),"__BLANK__",'Assumptions'!K66)</x:f>
        <x:v>__BLANK__</x:v>
      </x:c>
      <x:c r="G454" s="50" t="n">
        <x:f>IF(ISBLANK(E454),IF(F454="__BLANK__",0,1),IF(E454=F454,0,1))</x:f>
        <x:v>0</x:v>
      </x:c>
      <x:c r="H454" s="3"/>
      <x:c r="I454" s="3"/>
      <x:c r="J454" s="3"/>
      <x:c r="K454" s="3"/>
      <x:c r="L454" s="3"/>
      <x:c r="M454" s="3"/>
    </x:row>
    <x:row r="455" ht="19" customHeight="1">
      <x:c r="A455" s="2"/>
      <x:c r="B455" s="2"/>
      <x:c r="C455" s="2" t="str">
        <x:v>Assumptions!K67</x:v>
      </x:c>
      <x:c r="D455" s="2"/>
      <x:c r="E455" s="3"/>
      <x:c r="F455" s="50" t="str">
        <x:f>IF(ISBLANK('Assumptions'!K67),"__BLANK__",'Assumptions'!K67)</x:f>
        <x:v>__BLANK__</x:v>
      </x:c>
      <x:c r="G455" s="50" t="n">
        <x:f>IF(ISBLANK(E455),IF(F455="__BLANK__",0,1),IF(E455=F455,0,1))</x:f>
        <x:v>0</x:v>
      </x:c>
      <x:c r="H455" s="3"/>
      <x:c r="I455" s="3"/>
      <x:c r="J455" s="3"/>
      <x:c r="K455" s="3"/>
      <x:c r="L455" s="3"/>
      <x:c r="M455" s="3"/>
    </x:row>
    <x:row r="456" ht="19" customHeight="1">
      <x:c r="A456" s="2"/>
      <x:c r="B456" s="2"/>
      <x:c r="C456" s="2" t="str">
        <x:v>Assumptions!K68</x:v>
      </x:c>
      <x:c r="D456" s="2"/>
      <x:c r="E456" s="3"/>
      <x:c r="F456" s="50" t="str">
        <x:f>IF(ISBLANK('Assumptions'!K68),"__BLANK__",'Assumptions'!K68)</x:f>
        <x:v>__BLANK__</x:v>
      </x:c>
      <x:c r="G456" s="50" t="n">
        <x:f>IF(ISBLANK(E456),IF(F456="__BLANK__",0,1),IF(E456=F456,0,1))</x:f>
        <x:v>0</x:v>
      </x:c>
      <x:c r="H456" s="3"/>
      <x:c r="I456" s="3"/>
      <x:c r="J456" s="3"/>
      <x:c r="K456" s="3"/>
      <x:c r="L456" s="3"/>
      <x:c r="M456" s="3"/>
    </x:row>
    <x:row r="457" ht="19" customHeight="1">
      <x:c r="A457" s="2"/>
      <x:c r="B457" s="2"/>
      <x:c r="C457" s="2" t="str">
        <x:v>Assumptions!K69</x:v>
      </x:c>
      <x:c r="D457" s="2"/>
      <x:c r="E457" s="3"/>
      <x:c r="F457" s="50" t="str">
        <x:f>IF(ISBLANK('Assumptions'!K69),"__BLANK__",'Assumptions'!K69)</x:f>
        <x:v>__BLANK__</x:v>
      </x:c>
      <x:c r="G457" s="50" t="n">
        <x:f>IF(ISBLANK(E457),IF(F457="__BLANK__",0,1),IF(E457=F457,0,1))</x:f>
        <x:v>0</x:v>
      </x:c>
      <x:c r="H457" s="3"/>
      <x:c r="I457" s="3"/>
      <x:c r="J457" s="3"/>
      <x:c r="K457" s="3"/>
      <x:c r="L457" s="3"/>
      <x:c r="M457" s="3"/>
    </x:row>
    <x:row r="458" ht="19" customHeight="1">
      <x:c r="A458" s="2"/>
      <x:c r="B458" s="2"/>
      <x:c r="C458" s="2" t="str">
        <x:v>Assumptions!L61</x:v>
      </x:c>
      <x:c r="D458" s="2"/>
      <x:c r="E458" s="3"/>
      <x:c r="F458" s="50" t="str">
        <x:f>IF(ISBLANK('Assumptions'!L61),"__BLANK__",'Assumptions'!L61)</x:f>
        <x:v>__BLANK__</x:v>
      </x:c>
      <x:c r="G458" s="50" t="n">
        <x:f>IF(ISBLANK(E458),IF(F458="__BLANK__",0,1),IF(E458=F458,0,1))</x:f>
        <x:v>0</x:v>
      </x:c>
      <x:c r="H458" s="3"/>
      <x:c r="I458" s="3"/>
      <x:c r="J458" s="3"/>
      <x:c r="K458" s="3"/>
      <x:c r="L458" s="3"/>
      <x:c r="M458" s="3"/>
    </x:row>
    <x:row r="459" ht="19" customHeight="1">
      <x:c r="A459" s="2"/>
      <x:c r="B459" s="2"/>
      <x:c r="C459" s="2" t="str">
        <x:v>Assumptions!L62</x:v>
      </x:c>
      <x:c r="D459" s="2"/>
      <x:c r="E459" s="3"/>
      <x:c r="F459" s="50" t="str">
        <x:f>IF(ISBLANK('Assumptions'!L62),"__BLANK__",'Assumptions'!L62)</x:f>
        <x:v>__BLANK__</x:v>
      </x:c>
      <x:c r="G459" s="50" t="n">
        <x:f>IF(ISBLANK(E459),IF(F459="__BLANK__",0,1),IF(E459=F459,0,1))</x:f>
        <x:v>0</x:v>
      </x:c>
      <x:c r="H459" s="3"/>
      <x:c r="I459" s="3"/>
      <x:c r="J459" s="3"/>
      <x:c r="K459" s="3"/>
      <x:c r="L459" s="3"/>
      <x:c r="M459" s="3"/>
    </x:row>
    <x:row r="460" ht="19" customHeight="1">
      <x:c r="A460" s="2"/>
      <x:c r="B460" s="2"/>
      <x:c r="C460" s="2" t="str">
        <x:v>Assumptions!L63</x:v>
      </x:c>
      <x:c r="D460" s="2"/>
      <x:c r="E460" s="3"/>
      <x:c r="F460" s="50" t="str">
        <x:f>IF(ISBLANK('Assumptions'!L63),"__BLANK__",'Assumptions'!L63)</x:f>
        <x:v>__BLANK__</x:v>
      </x:c>
      <x:c r="G460" s="50" t="n">
        <x:f>IF(ISBLANK(E460),IF(F460="__BLANK__",0,1),IF(E460=F460,0,1))</x:f>
        <x:v>0</x:v>
      </x:c>
      <x:c r="H460" s="3"/>
      <x:c r="I460" s="3"/>
      <x:c r="J460" s="3"/>
      <x:c r="K460" s="3"/>
      <x:c r="L460" s="3"/>
      <x:c r="M460" s="3"/>
    </x:row>
    <x:row r="461" ht="19" customHeight="1">
      <x:c r="A461" s="2"/>
      <x:c r="B461" s="2"/>
      <x:c r="C461" s="2" t="str">
        <x:v>Assumptions!L64</x:v>
      </x:c>
      <x:c r="D461" s="2"/>
      <x:c r="E461" s="3"/>
      <x:c r="F461" s="50" t="str">
        <x:f>IF(ISBLANK('Assumptions'!L64),"__BLANK__",'Assumptions'!L64)</x:f>
        <x:v>__BLANK__</x:v>
      </x:c>
      <x:c r="G461" s="50" t="n">
        <x:f>IF(ISBLANK(E461),IF(F461="__BLANK__",0,1),IF(E461=F461,0,1))</x:f>
        <x:v>0</x:v>
      </x:c>
      <x:c r="H461" s="3"/>
      <x:c r="I461" s="3"/>
      <x:c r="J461" s="3"/>
      <x:c r="K461" s="3"/>
      <x:c r="L461" s="3"/>
      <x:c r="M461" s="3"/>
    </x:row>
    <x:row r="462" ht="19" customHeight="1">
      <x:c r="A462" s="2"/>
      <x:c r="B462" s="2"/>
      <x:c r="C462" s="2" t="str">
        <x:v>Assumptions!L65</x:v>
      </x:c>
      <x:c r="D462" s="2"/>
      <x:c r="E462" s="3"/>
      <x:c r="F462" s="50" t="str">
        <x:f>IF(ISBLANK('Assumptions'!L65),"__BLANK__",'Assumptions'!L65)</x:f>
        <x:v>__BLANK__</x:v>
      </x:c>
      <x:c r="G462" s="50" t="n">
        <x:f>IF(ISBLANK(E462),IF(F462="__BLANK__",0,1),IF(E462=F462,0,1))</x:f>
        <x:v>0</x:v>
      </x:c>
      <x:c r="H462" s="3"/>
      <x:c r="I462" s="3"/>
      <x:c r="J462" s="3"/>
      <x:c r="K462" s="3"/>
      <x:c r="L462" s="3"/>
      <x:c r="M462" s="3"/>
    </x:row>
    <x:row r="463" ht="19" customHeight="1">
      <x:c r="A463" s="2"/>
      <x:c r="B463" s="2"/>
      <x:c r="C463" s="2" t="str">
        <x:v>Assumptions!L66</x:v>
      </x:c>
      <x:c r="D463" s="2"/>
      <x:c r="E463" s="3"/>
      <x:c r="F463" s="50" t="str">
        <x:f>IF(ISBLANK('Assumptions'!L66),"__BLANK__",'Assumptions'!L66)</x:f>
        <x:v>__BLANK__</x:v>
      </x:c>
      <x:c r="G463" s="50" t="n">
        <x:f>IF(ISBLANK(E463),IF(F463="__BLANK__",0,1),IF(E463=F463,0,1))</x:f>
        <x:v>0</x:v>
      </x:c>
      <x:c r="H463" s="3"/>
      <x:c r="I463" s="3"/>
      <x:c r="J463" s="3"/>
      <x:c r="K463" s="3"/>
      <x:c r="L463" s="3"/>
      <x:c r="M463" s="3"/>
    </x:row>
    <x:row r="464" ht="19" customHeight="1">
      <x:c r="A464" s="2"/>
      <x:c r="B464" s="2"/>
      <x:c r="C464" s="2" t="str">
        <x:v>Assumptions!L67</x:v>
      </x:c>
      <x:c r="D464" s="2"/>
      <x:c r="E464" s="3"/>
      <x:c r="F464" s="50" t="str">
        <x:f>IF(ISBLANK('Assumptions'!L67),"__BLANK__",'Assumptions'!L67)</x:f>
        <x:v>__BLANK__</x:v>
      </x:c>
      <x:c r="G464" s="50" t="n">
        <x:f>IF(ISBLANK(E464),IF(F464="__BLANK__",0,1),IF(E464=F464,0,1))</x:f>
        <x:v>0</x:v>
      </x:c>
      <x:c r="H464" s="3"/>
      <x:c r="I464" s="3"/>
      <x:c r="J464" s="3"/>
      <x:c r="K464" s="3"/>
      <x:c r="L464" s="3"/>
      <x:c r="M464" s="3"/>
    </x:row>
    <x:row r="465" ht="19" customHeight="1">
      <x:c r="A465" s="2"/>
      <x:c r="B465" s="2"/>
      <x:c r="C465" s="2" t="str">
        <x:v>Assumptions!L68</x:v>
      </x:c>
      <x:c r="D465" s="2"/>
      <x:c r="E465" s="3"/>
      <x:c r="F465" s="50" t="str">
        <x:f>IF(ISBLANK('Assumptions'!L68),"__BLANK__",'Assumptions'!L68)</x:f>
        <x:v>__BLANK__</x:v>
      </x:c>
      <x:c r="G465" s="50" t="n">
        <x:f>IF(ISBLANK(E465),IF(F465="__BLANK__",0,1),IF(E465=F465,0,1))</x:f>
        <x:v>0</x:v>
      </x:c>
      <x:c r="H465" s="3"/>
      <x:c r="I465" s="3"/>
      <x:c r="J465" s="3"/>
      <x:c r="K465" s="3"/>
      <x:c r="L465" s="3"/>
      <x:c r="M465" s="3"/>
    </x:row>
    <x:row r="466" ht="19" customHeight="1">
      <x:c r="A466" s="2"/>
      <x:c r="B466" s="2"/>
      <x:c r="C466" s="2" t="str">
        <x:v>Assumptions!L69</x:v>
      </x:c>
      <x:c r="D466" s="2"/>
      <x:c r="E466" s="3"/>
      <x:c r="F466" s="50" t="str">
        <x:f>IF(ISBLANK('Assumptions'!L69),"__BLANK__",'Assumptions'!L69)</x:f>
        <x:v>__BLANK__</x:v>
      </x:c>
      <x:c r="G466" s="50" t="n">
        <x:f>IF(ISBLANK(E466),IF(F466="__BLANK__",0,1),IF(E466=F466,0,1))</x:f>
        <x:v>0</x:v>
      </x:c>
      <x:c r="H466" s="3"/>
      <x:c r="I466" s="3"/>
      <x:c r="J466" s="3"/>
      <x:c r="K466" s="3"/>
      <x:c r="L466" s="3"/>
      <x:c r="M466" s="3"/>
    </x:row>
    <x:row r="467" ht="19" customHeight="1">
      <x:c r="A467" s="2"/>
      <x:c r="B467" s="2"/>
      <x:c r="C467" s="2" t="str">
        <x:v>Assumptions!E71</x:v>
      </x:c>
      <x:c r="D467" s="2"/>
      <x:c r="E467" s="3"/>
      <x:c r="F467" s="50" t="str">
        <x:f>IF(ISBLANK('Assumptions'!E71),"__BLANK__",'Assumptions'!E71)</x:f>
        <x:v>__BLANK__</x:v>
      </x:c>
      <x:c r="G467" s="50" t="n">
        <x:f>IF(ISBLANK(E467),IF(F467="__BLANK__",0,1),IF(E467=F467,0,1))</x:f>
        <x:v>0</x:v>
      </x:c>
      <x:c r="H467" s="3"/>
      <x:c r="I467" s="3"/>
      <x:c r="J467" s="3"/>
      <x:c r="K467" s="3"/>
      <x:c r="L467" s="3"/>
      <x:c r="M467" s="3"/>
    </x:row>
    <x:row r="468" ht="19" customHeight="1">
      <x:c r="A468" s="2"/>
      <x:c r="B468" s="2"/>
      <x:c r="C468" s="2" t="str">
        <x:v>Assumptions!E72</x:v>
      </x:c>
      <x:c r="D468" s="2"/>
      <x:c r="E468" s="3"/>
      <x:c r="F468" s="50" t="str">
        <x:f>IF(ISBLANK('Assumptions'!E72),"__BLANK__",'Assumptions'!E72)</x:f>
        <x:v>__BLANK__</x:v>
      </x:c>
      <x:c r="G468" s="50" t="n">
        <x:f>IF(ISBLANK(E468),IF(F468="__BLANK__",0,1),IF(E468=F468,0,1))</x:f>
        <x:v>0</x:v>
      </x:c>
      <x:c r="H468" s="3"/>
      <x:c r="I468" s="3"/>
      <x:c r="J468" s="3"/>
      <x:c r="K468" s="3"/>
      <x:c r="L468" s="3"/>
      <x:c r="M468" s="3"/>
    </x:row>
    <x:row r="469" ht="19" customHeight="1">
      <x:c r="A469" s="2"/>
      <x:c r="B469" s="2"/>
      <x:c r="C469" s="2" t="str">
        <x:v>Assumptions!E73</x:v>
      </x:c>
      <x:c r="D469" s="2"/>
      <x:c r="E469" s="3"/>
      <x:c r="F469" s="50" t="str">
        <x:f>IF(ISBLANK('Assumptions'!E73),"__BLANK__",'Assumptions'!E73)</x:f>
        <x:v>__BLANK__</x:v>
      </x:c>
      <x:c r="G469" s="50" t="n">
        <x:f>IF(ISBLANK(E469),IF(F469="__BLANK__",0,1),IF(E469=F469,0,1))</x:f>
        <x:v>0</x:v>
      </x:c>
      <x:c r="H469" s="3"/>
      <x:c r="I469" s="3"/>
      <x:c r="J469" s="3"/>
      <x:c r="K469" s="3"/>
      <x:c r="L469" s="3"/>
      <x:c r="M469" s="3"/>
    </x:row>
    <x:row r="470" ht="19" customHeight="1">
      <x:c r="A470" s="2"/>
      <x:c r="B470" s="2"/>
      <x:c r="C470" s="2" t="str">
        <x:v>Assumptions!E74</x:v>
      </x:c>
      <x:c r="D470" s="2"/>
      <x:c r="E470" s="3"/>
      <x:c r="F470" s="50" t="str">
        <x:f>IF(ISBLANK('Assumptions'!E74),"__BLANK__",'Assumptions'!E74)</x:f>
        <x:v>__BLANK__</x:v>
      </x:c>
      <x:c r="G470" s="50" t="n">
        <x:f>IF(ISBLANK(E470),IF(F470="__BLANK__",0,1),IF(E470=F470,0,1))</x:f>
        <x:v>0</x:v>
      </x:c>
      <x:c r="H470" s="3"/>
      <x:c r="I470" s="3"/>
      <x:c r="J470" s="3"/>
      <x:c r="K470" s="3"/>
      <x:c r="L470" s="3"/>
      <x:c r="M470" s="3"/>
    </x:row>
    <x:row r="471" ht="19" customHeight="1">
      <x:c r="A471" s="2"/>
      <x:c r="B471" s="2"/>
      <x:c r="C471" s="2" t="str">
        <x:v>Assumptions!E75</x:v>
      </x:c>
      <x:c r="D471" s="2"/>
      <x:c r="E471" s="3"/>
      <x:c r="F471" s="50" t="str">
        <x:f>IF(ISBLANK('Assumptions'!E75),"__BLANK__",'Assumptions'!E75)</x:f>
        <x:v>__BLANK__</x:v>
      </x:c>
      <x:c r="G471" s="50" t="n">
        <x:f>IF(ISBLANK(E471),IF(F471="__BLANK__",0,1),IF(E471=F471,0,1))</x:f>
        <x:v>0</x:v>
      </x:c>
      <x:c r="H471" s="3"/>
      <x:c r="I471" s="3"/>
      <x:c r="J471" s="3"/>
      <x:c r="K471" s="3"/>
      <x:c r="L471" s="3"/>
      <x:c r="M471" s="3"/>
    </x:row>
    <x:row r="472" ht="19" customHeight="1">
      <x:c r="A472" s="2"/>
      <x:c r="B472" s="2"/>
      <x:c r="C472" s="2" t="str">
        <x:v>Assumptions!E76</x:v>
      </x:c>
      <x:c r="D472" s="2"/>
      <x:c r="E472" s="3"/>
      <x:c r="F472" s="50" t="str">
        <x:f>IF(ISBLANK('Assumptions'!E76),"__BLANK__",'Assumptions'!E76)</x:f>
        <x:v>__BLANK__</x:v>
      </x:c>
      <x:c r="G472" s="50" t="n">
        <x:f>IF(ISBLANK(E472),IF(F472="__BLANK__",0,1),IF(E472=F472,0,1))</x:f>
        <x:v>0</x:v>
      </x:c>
      <x:c r="H472" s="3"/>
      <x:c r="I472" s="3"/>
      <x:c r="J472" s="3"/>
      <x:c r="K472" s="3"/>
      <x:c r="L472" s="3"/>
      <x:c r="M472" s="3"/>
    </x:row>
    <x:row r="473" ht="19" customHeight="1">
      <x:c r="A473" s="2"/>
      <x:c r="B473" s="2"/>
      <x:c r="C473" s="2" t="str">
        <x:v>Assumptions!E77</x:v>
      </x:c>
      <x:c r="D473" s="2"/>
      <x:c r="E473" s="3"/>
      <x:c r="F473" s="50" t="str">
        <x:f>IF(ISBLANK('Assumptions'!E77),"__BLANK__",'Assumptions'!E77)</x:f>
        <x:v>__BLANK__</x:v>
      </x:c>
      <x:c r="G473" s="50" t="n">
        <x:f>IF(ISBLANK(E473),IF(F473="__BLANK__",0,1),IF(E473=F473,0,1))</x:f>
        <x:v>0</x:v>
      </x:c>
      <x:c r="H473" s="3"/>
      <x:c r="I473" s="3"/>
      <x:c r="J473" s="3"/>
      <x:c r="K473" s="3"/>
      <x:c r="L473" s="3"/>
      <x:c r="M473" s="3"/>
    </x:row>
    <x:row r="474" ht="19" customHeight="1">
      <x:c r="A474" s="2"/>
      <x:c r="B474" s="2"/>
      <x:c r="C474" s="2" t="str">
        <x:v>Assumptions!E78</x:v>
      </x:c>
      <x:c r="D474" s="2"/>
      <x:c r="E474" s="3"/>
      <x:c r="F474" s="50" t="str">
        <x:f>IF(ISBLANK('Assumptions'!E78),"__BLANK__",'Assumptions'!E78)</x:f>
        <x:v>__BLANK__</x:v>
      </x:c>
      <x:c r="G474" s="50" t="n">
        <x:f>IF(ISBLANK(E474),IF(F474="__BLANK__",0,1),IF(E474=F474,0,1))</x:f>
        <x:v>0</x:v>
      </x:c>
      <x:c r="H474" s="3"/>
      <x:c r="I474" s="3"/>
      <x:c r="J474" s="3"/>
      <x:c r="K474" s="3"/>
      <x:c r="L474" s="3"/>
      <x:c r="M474" s="3"/>
    </x:row>
    <x:row r="475" ht="19" customHeight="1">
      <x:c r="A475" s="2"/>
      <x:c r="B475" s="2"/>
      <x:c r="C475" s="2" t="str">
        <x:v>Assumptions!E79</x:v>
      </x:c>
      <x:c r="D475" s="2"/>
      <x:c r="E475" s="3"/>
      <x:c r="F475" s="50" t="str">
        <x:f>IF(ISBLANK('Assumptions'!E79),"__BLANK__",'Assumptions'!E79)</x:f>
        <x:v>__BLANK__</x:v>
      </x:c>
      <x:c r="G475" s="50" t="n">
        <x:f>IF(ISBLANK(E475),IF(F475="__BLANK__",0,1),IF(E475=F475,0,1))</x:f>
        <x:v>0</x:v>
      </x:c>
      <x:c r="H475" s="3"/>
      <x:c r="I475" s="3"/>
      <x:c r="J475" s="3"/>
      <x:c r="K475" s="3"/>
      <x:c r="L475" s="3"/>
      <x:c r="M475" s="3"/>
    </x:row>
    <x:row r="476" ht="19" customHeight="1">
      <x:c r="A476" s="2"/>
      <x:c r="B476" s="2"/>
      <x:c r="C476" s="2" t="str">
        <x:v>Assumptions!F71</x:v>
      </x:c>
      <x:c r="D476" s="2"/>
      <x:c r="E476" s="3"/>
      <x:c r="F476" s="50" t="str">
        <x:f>IF(ISBLANK('Assumptions'!F71),"__BLANK__",'Assumptions'!F71)</x:f>
        <x:v>__BLANK__</x:v>
      </x:c>
      <x:c r="G476" s="50" t="n">
        <x:f>IF(ISBLANK(E476),IF(F476="__BLANK__",0,1),IF(E476=F476,0,1))</x:f>
        <x:v>0</x:v>
      </x:c>
      <x:c r="H476" s="3"/>
      <x:c r="I476" s="3"/>
      <x:c r="J476" s="3"/>
      <x:c r="K476" s="3"/>
      <x:c r="L476" s="3"/>
      <x:c r="M476" s="3"/>
    </x:row>
    <x:row r="477" ht="19" customHeight="1">
      <x:c r="A477" s="2"/>
      <x:c r="B477" s="2"/>
      <x:c r="C477" s="2" t="str">
        <x:v>Assumptions!F72</x:v>
      </x:c>
      <x:c r="D477" s="2"/>
      <x:c r="E477" s="3"/>
      <x:c r="F477" s="50" t="str">
        <x:f>IF(ISBLANK('Assumptions'!F72),"__BLANK__",'Assumptions'!F72)</x:f>
        <x:v>__BLANK__</x:v>
      </x:c>
      <x:c r="G477" s="50" t="n">
        <x:f>IF(ISBLANK(E477),IF(F477="__BLANK__",0,1),IF(E477=F477,0,1))</x:f>
        <x:v>0</x:v>
      </x:c>
      <x:c r="H477" s="3"/>
      <x:c r="I477" s="3"/>
      <x:c r="J477" s="3"/>
      <x:c r="K477" s="3"/>
      <x:c r="L477" s="3"/>
      <x:c r="M477" s="3"/>
    </x:row>
    <x:row r="478" ht="19" customHeight="1">
      <x:c r="A478" s="2"/>
      <x:c r="B478" s="2"/>
      <x:c r="C478" s="2" t="str">
        <x:v>Assumptions!F73</x:v>
      </x:c>
      <x:c r="D478" s="2"/>
      <x:c r="E478" s="3"/>
      <x:c r="F478" s="50" t="str">
        <x:f>IF(ISBLANK('Assumptions'!F73),"__BLANK__",'Assumptions'!F73)</x:f>
        <x:v>__BLANK__</x:v>
      </x:c>
      <x:c r="G478" s="50" t="n">
        <x:f>IF(ISBLANK(E478),IF(F478="__BLANK__",0,1),IF(E478=F478,0,1))</x:f>
        <x:v>0</x:v>
      </x:c>
      <x:c r="H478" s="3"/>
      <x:c r="I478" s="3"/>
      <x:c r="J478" s="3"/>
      <x:c r="K478" s="3"/>
      <x:c r="L478" s="3"/>
      <x:c r="M478" s="3"/>
    </x:row>
    <x:row r="479" ht="19" customHeight="1">
      <x:c r="A479" s="2"/>
      <x:c r="B479" s="2"/>
      <x:c r="C479" s="2" t="str">
        <x:v>Assumptions!F74</x:v>
      </x:c>
      <x:c r="D479" s="2"/>
      <x:c r="E479" s="3"/>
      <x:c r="F479" s="50" t="str">
        <x:f>IF(ISBLANK('Assumptions'!F74),"__BLANK__",'Assumptions'!F74)</x:f>
        <x:v>__BLANK__</x:v>
      </x:c>
      <x:c r="G479" s="50" t="n">
        <x:f>IF(ISBLANK(E479),IF(F479="__BLANK__",0,1),IF(E479=F479,0,1))</x:f>
        <x:v>0</x:v>
      </x:c>
      <x:c r="H479" s="3"/>
      <x:c r="I479" s="3"/>
      <x:c r="J479" s="3"/>
      <x:c r="K479" s="3"/>
      <x:c r="L479" s="3"/>
      <x:c r="M479" s="3"/>
    </x:row>
    <x:row r="480" ht="19" customHeight="1">
      <x:c r="A480" s="2"/>
      <x:c r="B480" s="2"/>
      <x:c r="C480" s="2" t="str">
        <x:v>Assumptions!F75</x:v>
      </x:c>
      <x:c r="D480" s="2"/>
      <x:c r="E480" s="3"/>
      <x:c r="F480" s="50" t="str">
        <x:f>IF(ISBLANK('Assumptions'!F75),"__BLANK__",'Assumptions'!F75)</x:f>
        <x:v>__BLANK__</x:v>
      </x:c>
      <x:c r="G480" s="50" t="n">
        <x:f>IF(ISBLANK(E480),IF(F480="__BLANK__",0,1),IF(E480=F480,0,1))</x:f>
        <x:v>0</x:v>
      </x:c>
      <x:c r="H480" s="3"/>
      <x:c r="I480" s="3"/>
      <x:c r="J480" s="3"/>
      <x:c r="K480" s="3"/>
      <x:c r="L480" s="3"/>
      <x:c r="M480" s="3"/>
    </x:row>
    <x:row r="481" ht="19" customHeight="1">
      <x:c r="A481" s="2"/>
      <x:c r="B481" s="2"/>
      <x:c r="C481" s="2" t="str">
        <x:v>Assumptions!F76</x:v>
      </x:c>
      <x:c r="D481" s="2"/>
      <x:c r="E481" s="3"/>
      <x:c r="F481" s="50" t="str">
        <x:f>IF(ISBLANK('Assumptions'!F76),"__BLANK__",'Assumptions'!F76)</x:f>
        <x:v>__BLANK__</x:v>
      </x:c>
      <x:c r="G481" s="50" t="n">
        <x:f>IF(ISBLANK(E481),IF(F481="__BLANK__",0,1),IF(E481=F481,0,1))</x:f>
        <x:v>0</x:v>
      </x:c>
      <x:c r="H481" s="3"/>
      <x:c r="I481" s="3"/>
      <x:c r="J481" s="3"/>
      <x:c r="K481" s="3"/>
      <x:c r="L481" s="3"/>
      <x:c r="M481" s="3"/>
    </x:row>
    <x:row r="482" ht="19" customHeight="1">
      <x:c r="A482" s="2"/>
      <x:c r="B482" s="2"/>
      <x:c r="C482" s="2" t="str">
        <x:v>Assumptions!F77</x:v>
      </x:c>
      <x:c r="D482" s="2"/>
      <x:c r="E482" s="3"/>
      <x:c r="F482" s="50" t="str">
        <x:f>IF(ISBLANK('Assumptions'!F77),"__BLANK__",'Assumptions'!F77)</x:f>
        <x:v>__BLANK__</x:v>
      </x:c>
      <x:c r="G482" s="50" t="n">
        <x:f>IF(ISBLANK(E482),IF(F482="__BLANK__",0,1),IF(E482=F482,0,1))</x:f>
        <x:v>0</x:v>
      </x:c>
      <x:c r="H482" s="3"/>
      <x:c r="I482" s="3"/>
      <x:c r="J482" s="3"/>
      <x:c r="K482" s="3"/>
      <x:c r="L482" s="3"/>
      <x:c r="M482" s="3"/>
    </x:row>
    <x:row r="483" ht="19" customHeight="1">
      <x:c r="A483" s="2"/>
      <x:c r="B483" s="2"/>
      <x:c r="C483" s="2" t="str">
        <x:v>Assumptions!F78</x:v>
      </x:c>
      <x:c r="D483" s="2"/>
      <x:c r="E483" s="3"/>
      <x:c r="F483" s="50" t="str">
        <x:f>IF(ISBLANK('Assumptions'!F78),"__BLANK__",'Assumptions'!F78)</x:f>
        <x:v>__BLANK__</x:v>
      </x:c>
      <x:c r="G483" s="50" t="n">
        <x:f>IF(ISBLANK(E483),IF(F483="__BLANK__",0,1),IF(E483=F483,0,1))</x:f>
        <x:v>0</x:v>
      </x:c>
      <x:c r="H483" s="3"/>
      <x:c r="I483" s="3"/>
      <x:c r="J483" s="3"/>
      <x:c r="K483" s="3"/>
      <x:c r="L483" s="3"/>
      <x:c r="M483" s="3"/>
    </x:row>
    <x:row r="484" ht="19" customHeight="1">
      <x:c r="A484" s="2"/>
      <x:c r="B484" s="2"/>
      <x:c r="C484" s="2" t="str">
        <x:v>Assumptions!F79</x:v>
      </x:c>
      <x:c r="D484" s="2"/>
      <x:c r="E484" s="3"/>
      <x:c r="F484" s="50" t="str">
        <x:f>IF(ISBLANK('Assumptions'!F79),"__BLANK__",'Assumptions'!F79)</x:f>
        <x:v>__BLANK__</x:v>
      </x:c>
      <x:c r="G484" s="50" t="n">
        <x:f>IF(ISBLANK(E484),IF(F484="__BLANK__",0,1),IF(E484=F484,0,1))</x:f>
        <x:v>0</x:v>
      </x:c>
      <x:c r="H484" s="3"/>
      <x:c r="I484" s="3"/>
      <x:c r="J484" s="3"/>
      <x:c r="K484" s="3"/>
      <x:c r="L484" s="3"/>
      <x:c r="M484" s="3"/>
    </x:row>
    <x:row r="485" ht="19" customHeight="1">
      <x:c r="A485" s="2"/>
      <x:c r="B485" s="2"/>
      <x:c r="C485" s="2" t="str">
        <x:v>Assumptions!G71</x:v>
      </x:c>
      <x:c r="D485" s="2"/>
      <x:c r="E485" s="3"/>
      <x:c r="F485" s="50" t="str">
        <x:f>IF(ISBLANK('Assumptions'!G71),"__BLANK__",'Assumptions'!G71)</x:f>
        <x:v>__BLANK__</x:v>
      </x:c>
      <x:c r="G485" s="50" t="n">
        <x:f>IF(ISBLANK(E485),IF(F485="__BLANK__",0,1),IF(E485=F485,0,1))</x:f>
        <x:v>0</x:v>
      </x:c>
      <x:c r="H485" s="3"/>
      <x:c r="I485" s="3"/>
      <x:c r="J485" s="3"/>
      <x:c r="K485" s="3"/>
      <x:c r="L485" s="3"/>
      <x:c r="M485" s="3"/>
    </x:row>
    <x:row r="486" ht="19" customHeight="1">
      <x:c r="A486" s="2"/>
      <x:c r="B486" s="2"/>
      <x:c r="C486" s="2" t="str">
        <x:v>Assumptions!G72</x:v>
      </x:c>
      <x:c r="D486" s="2"/>
      <x:c r="E486" s="3"/>
      <x:c r="F486" s="50" t="str">
        <x:f>IF(ISBLANK('Assumptions'!G72),"__BLANK__",'Assumptions'!G72)</x:f>
        <x:v>__BLANK__</x:v>
      </x:c>
      <x:c r="G486" s="50" t="n">
        <x:f>IF(ISBLANK(E486),IF(F486="__BLANK__",0,1),IF(E486=F486,0,1))</x:f>
        <x:v>0</x:v>
      </x:c>
      <x:c r="H486" s="3"/>
      <x:c r="I486" s="3"/>
      <x:c r="J486" s="3"/>
      <x:c r="K486" s="3"/>
      <x:c r="L486" s="3"/>
      <x:c r="M486" s="3"/>
    </x:row>
    <x:row r="487" ht="19" customHeight="1">
      <x:c r="A487" s="2"/>
      <x:c r="B487" s="2"/>
      <x:c r="C487" s="2" t="str">
        <x:v>Assumptions!G73</x:v>
      </x:c>
      <x:c r="D487" s="2"/>
      <x:c r="E487" s="3"/>
      <x:c r="F487" s="50" t="str">
        <x:f>IF(ISBLANK('Assumptions'!G73),"__BLANK__",'Assumptions'!G73)</x:f>
        <x:v>__BLANK__</x:v>
      </x:c>
      <x:c r="G487" s="50" t="n">
        <x:f>IF(ISBLANK(E487),IF(F487="__BLANK__",0,1),IF(E487=F487,0,1))</x:f>
        <x:v>0</x:v>
      </x:c>
      <x:c r="H487" s="3"/>
      <x:c r="I487" s="3"/>
      <x:c r="J487" s="3"/>
      <x:c r="K487" s="3"/>
      <x:c r="L487" s="3"/>
      <x:c r="M487" s="3"/>
    </x:row>
    <x:row r="488" ht="19" customHeight="1">
      <x:c r="A488" s="2"/>
      <x:c r="B488" s="2"/>
      <x:c r="C488" s="2" t="str">
        <x:v>Assumptions!G74</x:v>
      </x:c>
      <x:c r="D488" s="2"/>
      <x:c r="E488" s="3"/>
      <x:c r="F488" s="50" t="str">
        <x:f>IF(ISBLANK('Assumptions'!G74),"__BLANK__",'Assumptions'!G74)</x:f>
        <x:v>__BLANK__</x:v>
      </x:c>
      <x:c r="G488" s="50" t="n">
        <x:f>IF(ISBLANK(E488),IF(F488="__BLANK__",0,1),IF(E488=F488,0,1))</x:f>
        <x:v>0</x:v>
      </x:c>
      <x:c r="H488" s="3"/>
      <x:c r="I488" s="3"/>
      <x:c r="J488" s="3"/>
      <x:c r="K488" s="3"/>
      <x:c r="L488" s="3"/>
      <x:c r="M488" s="3"/>
    </x:row>
    <x:row r="489" ht="19" customHeight="1">
      <x:c r="A489" s="2"/>
      <x:c r="B489" s="2"/>
      <x:c r="C489" s="2" t="str">
        <x:v>Assumptions!G75</x:v>
      </x:c>
      <x:c r="D489" s="2"/>
      <x:c r="E489" s="3"/>
      <x:c r="F489" s="50" t="str">
        <x:f>IF(ISBLANK('Assumptions'!G75),"__BLANK__",'Assumptions'!G75)</x:f>
        <x:v>__BLANK__</x:v>
      </x:c>
      <x:c r="G489" s="50" t="n">
        <x:f>IF(ISBLANK(E489),IF(F489="__BLANK__",0,1),IF(E489=F489,0,1))</x:f>
        <x:v>0</x:v>
      </x:c>
      <x:c r="H489" s="3"/>
      <x:c r="I489" s="3"/>
      <x:c r="J489" s="3"/>
      <x:c r="K489" s="3"/>
      <x:c r="L489" s="3"/>
      <x:c r="M489" s="3"/>
    </x:row>
    <x:row r="490" ht="19" customHeight="1">
      <x:c r="A490" s="2"/>
      <x:c r="B490" s="2"/>
      <x:c r="C490" s="2" t="str">
        <x:v>Assumptions!G76</x:v>
      </x:c>
      <x:c r="D490" s="2"/>
      <x:c r="E490" s="3"/>
      <x:c r="F490" s="50" t="str">
        <x:f>IF(ISBLANK('Assumptions'!G76),"__BLANK__",'Assumptions'!G76)</x:f>
        <x:v>__BLANK__</x:v>
      </x:c>
      <x:c r="G490" s="50" t="n">
        <x:f>IF(ISBLANK(E490),IF(F490="__BLANK__",0,1),IF(E490=F490,0,1))</x:f>
        <x:v>0</x:v>
      </x:c>
      <x:c r="H490" s="3"/>
      <x:c r="I490" s="3"/>
      <x:c r="J490" s="3"/>
      <x:c r="K490" s="3"/>
      <x:c r="L490" s="3"/>
      <x:c r="M490" s="3"/>
    </x:row>
    <x:row r="491" ht="19" customHeight="1">
      <x:c r="A491" s="2"/>
      <x:c r="B491" s="2"/>
      <x:c r="C491" s="2" t="str">
        <x:v>Assumptions!G77</x:v>
      </x:c>
      <x:c r="D491" s="2"/>
      <x:c r="E491" s="3"/>
      <x:c r="F491" s="50" t="str">
        <x:f>IF(ISBLANK('Assumptions'!G77),"__BLANK__",'Assumptions'!G77)</x:f>
        <x:v>__BLANK__</x:v>
      </x:c>
      <x:c r="G491" s="50" t="n">
        <x:f>IF(ISBLANK(E491),IF(F491="__BLANK__",0,1),IF(E491=F491,0,1))</x:f>
        <x:v>0</x:v>
      </x:c>
      <x:c r="H491" s="3"/>
      <x:c r="I491" s="3"/>
      <x:c r="J491" s="3"/>
      <x:c r="K491" s="3"/>
      <x:c r="L491" s="3"/>
      <x:c r="M491" s="3"/>
    </x:row>
    <x:row r="492" ht="19" customHeight="1">
      <x:c r="A492" s="2"/>
      <x:c r="B492" s="2"/>
      <x:c r="C492" s="2" t="str">
        <x:v>Assumptions!G78</x:v>
      </x:c>
      <x:c r="D492" s="2"/>
      <x:c r="E492" s="3"/>
      <x:c r="F492" s="50" t="str">
        <x:f>IF(ISBLANK('Assumptions'!G78),"__BLANK__",'Assumptions'!G78)</x:f>
        <x:v>__BLANK__</x:v>
      </x:c>
      <x:c r="G492" s="50" t="n">
        <x:f>IF(ISBLANK(E492),IF(F492="__BLANK__",0,1),IF(E492=F492,0,1))</x:f>
        <x:v>0</x:v>
      </x:c>
      <x:c r="H492" s="3"/>
      <x:c r="I492" s="3"/>
      <x:c r="J492" s="3"/>
      <x:c r="K492" s="3"/>
      <x:c r="L492" s="3"/>
      <x:c r="M492" s="3"/>
    </x:row>
    <x:row r="493" ht="19" customHeight="1">
      <x:c r="A493" s="2"/>
      <x:c r="B493" s="2"/>
      <x:c r="C493" s="2" t="str">
        <x:v>Assumptions!G79</x:v>
      </x:c>
      <x:c r="D493" s="2"/>
      <x:c r="E493" s="3"/>
      <x:c r="F493" s="50" t="str">
        <x:f>IF(ISBLANK('Assumptions'!G79),"__BLANK__",'Assumptions'!G79)</x:f>
        <x:v>__BLANK__</x:v>
      </x:c>
      <x:c r="G493" s="50" t="n">
        <x:f>IF(ISBLANK(E493),IF(F493="__BLANK__",0,1),IF(E493=F493,0,1))</x:f>
        <x:v>0</x:v>
      </x:c>
      <x:c r="H493" s="3"/>
      <x:c r="I493" s="3"/>
      <x:c r="J493" s="3"/>
      <x:c r="K493" s="3"/>
      <x:c r="L493" s="3"/>
      <x:c r="M493" s="3"/>
    </x:row>
    <x:row r="494" ht="19" customHeight="1">
      <x:c r="A494" s="2"/>
      <x:c r="B494" s="2"/>
      <x:c r="C494" s="2" t="str">
        <x:v>Assumptions!H71</x:v>
      </x:c>
      <x:c r="D494" s="2"/>
      <x:c r="E494" s="3"/>
      <x:c r="F494" s="50" t="str">
        <x:f>IF(ISBLANK('Assumptions'!H71),"__BLANK__",'Assumptions'!H71)</x:f>
        <x:v>__BLANK__</x:v>
      </x:c>
      <x:c r="G494" s="50" t="n">
        <x:f>IF(ISBLANK(E494),IF(F494="__BLANK__",0,1),IF(E494=F494,0,1))</x:f>
        <x:v>0</x:v>
      </x:c>
      <x:c r="H494" s="3"/>
      <x:c r="I494" s="3"/>
      <x:c r="J494" s="3"/>
      <x:c r="K494" s="3"/>
      <x:c r="L494" s="3"/>
      <x:c r="M494" s="3"/>
    </x:row>
    <x:row r="495" ht="19" customHeight="1">
      <x:c r="A495" s="2"/>
      <x:c r="B495" s="2"/>
      <x:c r="C495" s="2" t="str">
        <x:v>Assumptions!H72</x:v>
      </x:c>
      <x:c r="D495" s="2"/>
      <x:c r="E495" s="3"/>
      <x:c r="F495" s="50" t="str">
        <x:f>IF(ISBLANK('Assumptions'!H72),"__BLANK__",'Assumptions'!H72)</x:f>
        <x:v>__BLANK__</x:v>
      </x:c>
      <x:c r="G495" s="50" t="n">
        <x:f>IF(ISBLANK(E495),IF(F495="__BLANK__",0,1),IF(E495=F495,0,1))</x:f>
        <x:v>0</x:v>
      </x:c>
      <x:c r="H495" s="3"/>
      <x:c r="I495" s="3"/>
      <x:c r="J495" s="3"/>
      <x:c r="K495" s="3"/>
      <x:c r="L495" s="3"/>
      <x:c r="M495" s="3"/>
    </x:row>
    <x:row r="496" ht="19" customHeight="1">
      <x:c r="A496" s="2"/>
      <x:c r="B496" s="2"/>
      <x:c r="C496" s="2" t="str">
        <x:v>Assumptions!H73</x:v>
      </x:c>
      <x:c r="D496" s="2"/>
      <x:c r="E496" s="3"/>
      <x:c r="F496" s="50" t="str">
        <x:f>IF(ISBLANK('Assumptions'!H73),"__BLANK__",'Assumptions'!H73)</x:f>
        <x:v>__BLANK__</x:v>
      </x:c>
      <x:c r="G496" s="50" t="n">
        <x:f>IF(ISBLANK(E496),IF(F496="__BLANK__",0,1),IF(E496=F496,0,1))</x:f>
        <x:v>0</x:v>
      </x:c>
      <x:c r="H496" s="3"/>
      <x:c r="I496" s="3"/>
      <x:c r="J496" s="3"/>
      <x:c r="K496" s="3"/>
      <x:c r="L496" s="3"/>
      <x:c r="M496" s="3"/>
    </x:row>
    <x:row r="497" ht="19" customHeight="1">
      <x:c r="A497" s="2"/>
      <x:c r="B497" s="2"/>
      <x:c r="C497" s="2" t="str">
        <x:v>Assumptions!H74</x:v>
      </x:c>
      <x:c r="D497" s="2"/>
      <x:c r="E497" s="3"/>
      <x:c r="F497" s="50" t="str">
        <x:f>IF(ISBLANK('Assumptions'!H74),"__BLANK__",'Assumptions'!H74)</x:f>
        <x:v>__BLANK__</x:v>
      </x:c>
      <x:c r="G497" s="50" t="n">
        <x:f>IF(ISBLANK(E497),IF(F497="__BLANK__",0,1),IF(E497=F497,0,1))</x:f>
        <x:v>0</x:v>
      </x:c>
      <x:c r="H497" s="3"/>
      <x:c r="I497" s="3"/>
      <x:c r="J497" s="3"/>
      <x:c r="K497" s="3"/>
      <x:c r="L497" s="3"/>
      <x:c r="M497" s="3"/>
    </x:row>
    <x:row r="498" ht="19" customHeight="1">
      <x:c r="A498" s="2"/>
      <x:c r="B498" s="2"/>
      <x:c r="C498" s="2" t="str">
        <x:v>Assumptions!H75</x:v>
      </x:c>
      <x:c r="D498" s="2"/>
      <x:c r="E498" s="3"/>
      <x:c r="F498" s="50" t="str">
        <x:f>IF(ISBLANK('Assumptions'!H75),"__BLANK__",'Assumptions'!H75)</x:f>
        <x:v>__BLANK__</x:v>
      </x:c>
      <x:c r="G498" s="50" t="n">
        <x:f>IF(ISBLANK(E498),IF(F498="__BLANK__",0,1),IF(E498=F498,0,1))</x:f>
        <x:v>0</x:v>
      </x:c>
      <x:c r="H498" s="3"/>
      <x:c r="I498" s="3"/>
      <x:c r="J498" s="3"/>
      <x:c r="K498" s="3"/>
      <x:c r="L498" s="3"/>
      <x:c r="M498" s="3"/>
    </x:row>
    <x:row r="499" ht="19" customHeight="1">
      <x:c r="A499" s="2"/>
      <x:c r="B499" s="2"/>
      <x:c r="C499" s="2" t="str">
        <x:v>Assumptions!H76</x:v>
      </x:c>
      <x:c r="D499" s="2"/>
      <x:c r="E499" s="3"/>
      <x:c r="F499" s="50" t="str">
        <x:f>IF(ISBLANK('Assumptions'!H76),"__BLANK__",'Assumptions'!H76)</x:f>
        <x:v>__BLANK__</x:v>
      </x:c>
      <x:c r="G499" s="50" t="n">
        <x:f>IF(ISBLANK(E499),IF(F499="__BLANK__",0,1),IF(E499=F499,0,1))</x:f>
        <x:v>0</x:v>
      </x:c>
      <x:c r="H499" s="3"/>
      <x:c r="I499" s="3"/>
      <x:c r="J499" s="3"/>
      <x:c r="K499" s="3"/>
      <x:c r="L499" s="3"/>
      <x:c r="M499" s="3"/>
    </x:row>
    <x:row r="500" ht="19" customHeight="1">
      <x:c r="A500" s="2"/>
      <x:c r="B500" s="2"/>
      <x:c r="C500" s="2" t="str">
        <x:v>Assumptions!H77</x:v>
      </x:c>
      <x:c r="D500" s="2"/>
      <x:c r="E500" s="3"/>
      <x:c r="F500" s="50" t="str">
        <x:f>IF(ISBLANK('Assumptions'!H77),"__BLANK__",'Assumptions'!H77)</x:f>
        <x:v>__BLANK__</x:v>
      </x:c>
      <x:c r="G500" s="50" t="n">
        <x:f>IF(ISBLANK(E500),IF(F500="__BLANK__",0,1),IF(E500=F500,0,1))</x:f>
        <x:v>0</x:v>
      </x:c>
      <x:c r="H500" s="3"/>
      <x:c r="I500" s="3"/>
      <x:c r="J500" s="3"/>
      <x:c r="K500" s="3"/>
      <x:c r="L500" s="3"/>
      <x:c r="M500" s="3"/>
    </x:row>
    <x:row r="501" ht="19" customHeight="1">
      <x:c r="A501" s="2"/>
      <x:c r="B501" s="2"/>
      <x:c r="C501" s="2" t="str">
        <x:v>Assumptions!H78</x:v>
      </x:c>
      <x:c r="D501" s="2"/>
      <x:c r="E501" s="3"/>
      <x:c r="F501" s="50" t="str">
        <x:f>IF(ISBLANK('Assumptions'!H78),"__BLANK__",'Assumptions'!H78)</x:f>
        <x:v>__BLANK__</x:v>
      </x:c>
      <x:c r="G501" s="50" t="n">
        <x:f>IF(ISBLANK(E501),IF(F501="__BLANK__",0,1),IF(E501=F501,0,1))</x:f>
        <x:v>0</x:v>
      </x:c>
      <x:c r="H501" s="3"/>
      <x:c r="I501" s="3"/>
      <x:c r="J501" s="3"/>
      <x:c r="K501" s="3"/>
      <x:c r="L501" s="3"/>
      <x:c r="M501" s="3"/>
    </x:row>
    <x:row r="502" ht="19" customHeight="1">
      <x:c r="A502" s="2"/>
      <x:c r="B502" s="2"/>
      <x:c r="C502" s="2" t="str">
        <x:v>Assumptions!H79</x:v>
      </x:c>
      <x:c r="D502" s="2"/>
      <x:c r="E502" s="3"/>
      <x:c r="F502" s="50" t="str">
        <x:f>IF(ISBLANK('Assumptions'!H79),"__BLANK__",'Assumptions'!H79)</x:f>
        <x:v>__BLANK__</x:v>
      </x:c>
      <x:c r="G502" s="50" t="n">
        <x:f>IF(ISBLANK(E502),IF(F502="__BLANK__",0,1),IF(E502=F502,0,1))</x:f>
        <x:v>0</x:v>
      </x:c>
      <x:c r="H502" s="3"/>
      <x:c r="I502" s="3"/>
      <x:c r="J502" s="3"/>
      <x:c r="K502" s="3"/>
      <x:c r="L502" s="3"/>
      <x:c r="M502" s="3"/>
    </x:row>
    <x:row r="503" ht="19" customHeight="1">
      <x:c r="A503" s="2"/>
      <x:c r="B503" s="2"/>
      <x:c r="C503" s="2" t="str">
        <x:v>Assumptions!I71</x:v>
      </x:c>
      <x:c r="D503" s="2"/>
      <x:c r="E503" s="3"/>
      <x:c r="F503" s="50" t="str">
        <x:f>IF(ISBLANK('Assumptions'!I71),"__BLANK__",'Assumptions'!I71)</x:f>
        <x:v>__BLANK__</x:v>
      </x:c>
      <x:c r="G503" s="50" t="n">
        <x:f>IF(ISBLANK(E503),IF(F503="__BLANK__",0,1),IF(E503=F503,0,1))</x:f>
        <x:v>0</x:v>
      </x:c>
      <x:c r="H503" s="3"/>
      <x:c r="I503" s="3"/>
      <x:c r="J503" s="3"/>
      <x:c r="K503" s="3"/>
      <x:c r="L503" s="3"/>
      <x:c r="M503" s="3"/>
    </x:row>
    <x:row r="504" ht="19" customHeight="1">
      <x:c r="A504" s="2"/>
      <x:c r="B504" s="2"/>
      <x:c r="C504" s="2" t="str">
        <x:v>Assumptions!I72</x:v>
      </x:c>
      <x:c r="D504" s="2"/>
      <x:c r="E504" s="3"/>
      <x:c r="F504" s="50" t="str">
        <x:f>IF(ISBLANK('Assumptions'!I72),"__BLANK__",'Assumptions'!I72)</x:f>
        <x:v>__BLANK__</x:v>
      </x:c>
      <x:c r="G504" s="50" t="n">
        <x:f>IF(ISBLANK(E504),IF(F504="__BLANK__",0,1),IF(E504=F504,0,1))</x:f>
        <x:v>0</x:v>
      </x:c>
      <x:c r="H504" s="3"/>
      <x:c r="I504" s="3"/>
      <x:c r="J504" s="3"/>
      <x:c r="K504" s="3"/>
      <x:c r="L504" s="3"/>
      <x:c r="M504" s="3"/>
    </x:row>
    <x:row r="505" ht="19" customHeight="1">
      <x:c r="A505" s="2"/>
      <x:c r="B505" s="2"/>
      <x:c r="C505" s="2" t="str">
        <x:v>Assumptions!I73</x:v>
      </x:c>
      <x:c r="D505" s="2"/>
      <x:c r="E505" s="3"/>
      <x:c r="F505" s="50" t="str">
        <x:f>IF(ISBLANK('Assumptions'!I73),"__BLANK__",'Assumptions'!I73)</x:f>
        <x:v>__BLANK__</x:v>
      </x:c>
      <x:c r="G505" s="50" t="n">
        <x:f>IF(ISBLANK(E505),IF(F505="__BLANK__",0,1),IF(E505=F505,0,1))</x:f>
        <x:v>0</x:v>
      </x:c>
      <x:c r="H505" s="3"/>
      <x:c r="I505" s="3"/>
      <x:c r="J505" s="3"/>
      <x:c r="K505" s="3"/>
      <x:c r="L505" s="3"/>
      <x:c r="M505" s="3"/>
    </x:row>
    <x:row r="506" ht="19" customHeight="1">
      <x:c r="A506" s="2"/>
      <x:c r="B506" s="2"/>
      <x:c r="C506" s="2" t="str">
        <x:v>Assumptions!I74</x:v>
      </x:c>
      <x:c r="D506" s="2"/>
      <x:c r="E506" s="3"/>
      <x:c r="F506" s="50" t="str">
        <x:f>IF(ISBLANK('Assumptions'!I74),"__BLANK__",'Assumptions'!I74)</x:f>
        <x:v>__BLANK__</x:v>
      </x:c>
      <x:c r="G506" s="50" t="n">
        <x:f>IF(ISBLANK(E506),IF(F506="__BLANK__",0,1),IF(E506=F506,0,1))</x:f>
        <x:v>0</x:v>
      </x:c>
      <x:c r="H506" s="3"/>
      <x:c r="I506" s="3"/>
      <x:c r="J506" s="3"/>
      <x:c r="K506" s="3"/>
      <x:c r="L506" s="3"/>
      <x:c r="M506" s="3"/>
    </x:row>
    <x:row r="507" ht="19" customHeight="1">
      <x:c r="A507" s="2"/>
      <x:c r="B507" s="2"/>
      <x:c r="C507" s="2" t="str">
        <x:v>Assumptions!I75</x:v>
      </x:c>
      <x:c r="D507" s="2"/>
      <x:c r="E507" s="3"/>
      <x:c r="F507" s="50" t="str">
        <x:f>IF(ISBLANK('Assumptions'!I75),"__BLANK__",'Assumptions'!I75)</x:f>
        <x:v>__BLANK__</x:v>
      </x:c>
      <x:c r="G507" s="50" t="n">
        <x:f>IF(ISBLANK(E507),IF(F507="__BLANK__",0,1),IF(E507=F507,0,1))</x:f>
        <x:v>0</x:v>
      </x:c>
      <x:c r="H507" s="3"/>
      <x:c r="I507" s="3"/>
      <x:c r="J507" s="3"/>
      <x:c r="K507" s="3"/>
      <x:c r="L507" s="3"/>
      <x:c r="M507" s="3"/>
    </x:row>
    <x:row r="508" ht="19" customHeight="1">
      <x:c r="A508" s="2"/>
      <x:c r="B508" s="2"/>
      <x:c r="C508" s="2" t="str">
        <x:v>Assumptions!I76</x:v>
      </x:c>
      <x:c r="D508" s="2"/>
      <x:c r="E508" s="3"/>
      <x:c r="F508" s="50" t="str">
        <x:f>IF(ISBLANK('Assumptions'!I76),"__BLANK__",'Assumptions'!I76)</x:f>
        <x:v>__BLANK__</x:v>
      </x:c>
      <x:c r="G508" s="50" t="n">
        <x:f>IF(ISBLANK(E508),IF(F508="__BLANK__",0,1),IF(E508=F508,0,1))</x:f>
        <x:v>0</x:v>
      </x:c>
      <x:c r="H508" s="3"/>
      <x:c r="I508" s="3"/>
      <x:c r="J508" s="3"/>
      <x:c r="K508" s="3"/>
      <x:c r="L508" s="3"/>
      <x:c r="M508" s="3"/>
    </x:row>
    <x:row r="509" ht="19" customHeight="1">
      <x:c r="A509" s="2"/>
      <x:c r="B509" s="2"/>
      <x:c r="C509" s="2" t="str">
        <x:v>Assumptions!I77</x:v>
      </x:c>
      <x:c r="D509" s="2"/>
      <x:c r="E509" s="3"/>
      <x:c r="F509" s="50" t="str">
        <x:f>IF(ISBLANK('Assumptions'!I77),"__BLANK__",'Assumptions'!I77)</x:f>
        <x:v>__BLANK__</x:v>
      </x:c>
      <x:c r="G509" s="50" t="n">
        <x:f>IF(ISBLANK(E509),IF(F509="__BLANK__",0,1),IF(E509=F509,0,1))</x:f>
        <x:v>0</x:v>
      </x:c>
      <x:c r="H509" s="3"/>
      <x:c r="I509" s="3"/>
      <x:c r="J509" s="3"/>
      <x:c r="K509" s="3"/>
      <x:c r="L509" s="3"/>
      <x:c r="M509" s="3"/>
    </x:row>
    <x:row r="510" ht="19" customHeight="1">
      <x:c r="A510" s="2"/>
      <x:c r="B510" s="2"/>
      <x:c r="C510" s="2" t="str">
        <x:v>Assumptions!I78</x:v>
      </x:c>
      <x:c r="D510" s="2"/>
      <x:c r="E510" s="3"/>
      <x:c r="F510" s="50" t="str">
        <x:f>IF(ISBLANK('Assumptions'!I78),"__BLANK__",'Assumptions'!I78)</x:f>
        <x:v>__BLANK__</x:v>
      </x:c>
      <x:c r="G510" s="50" t="n">
        <x:f>IF(ISBLANK(E510),IF(F510="__BLANK__",0,1),IF(E510=F510,0,1))</x:f>
        <x:v>0</x:v>
      </x:c>
      <x:c r="H510" s="3"/>
      <x:c r="I510" s="3"/>
      <x:c r="J510" s="3"/>
      <x:c r="K510" s="3"/>
      <x:c r="L510" s="3"/>
      <x:c r="M510" s="3"/>
    </x:row>
    <x:row r="511" ht="19" customHeight="1">
      <x:c r="A511" s="2"/>
      <x:c r="B511" s="2"/>
      <x:c r="C511" s="2" t="str">
        <x:v>Assumptions!I79</x:v>
      </x:c>
      <x:c r="D511" s="2"/>
      <x:c r="E511" s="3"/>
      <x:c r="F511" s="50" t="str">
        <x:f>IF(ISBLANK('Assumptions'!I79),"__BLANK__",'Assumptions'!I79)</x:f>
        <x:v>__BLANK__</x:v>
      </x:c>
      <x:c r="G511" s="50" t="n">
        <x:f>IF(ISBLANK(E511),IF(F511="__BLANK__",0,1),IF(E511=F511,0,1))</x:f>
        <x:v>0</x:v>
      </x:c>
      <x:c r="H511" s="3"/>
      <x:c r="I511" s="3"/>
      <x:c r="J511" s="3"/>
      <x:c r="K511" s="3"/>
      <x:c r="L511" s="3"/>
      <x:c r="M511" s="3"/>
    </x:row>
    <x:row r="512" ht="19" customHeight="1">
      <x:c r="A512" s="2"/>
      <x:c r="B512" s="2"/>
      <x:c r="C512" s="2" t="str">
        <x:v>Assumptions!J71</x:v>
      </x:c>
      <x:c r="D512" s="2"/>
      <x:c r="E512" s="3" t="n">
        <x:v>0.12217009053638739</x:v>
      </x:c>
      <x:c r="F512" s="50" t="n">
        <x:f>IF(ISBLANK('Assumptions'!J71),"__BLANK__",'Assumptions'!J71)</x:f>
        <x:v>0.12217009053638739</x:v>
      </x:c>
      <x:c r="G512" s="50" t="n">
        <x:f>IF(ISBLANK(E512),IF(F512="__BLANK__",0,1),IF(E512=F512,0,1))</x:f>
        <x:v>0</x:v>
      </x:c>
      <x:c r="H512" s="3"/>
      <x:c r="I512" s="3"/>
      <x:c r="J512" s="3"/>
      <x:c r="K512" s="3"/>
      <x:c r="L512" s="3"/>
      <x:c r="M512" s="3"/>
    </x:row>
    <x:row r="513" ht="19" customHeight="1">
      <x:c r="A513" s="2"/>
      <x:c r="B513" s="2"/>
      <x:c r="C513" s="2" t="str">
        <x:v>Assumptions!J72</x:v>
      </x:c>
      <x:c r="D513" s="2"/>
      <x:c r="E513" s="3" t="n">
        <x:v>0.12217009053638739</x:v>
      </x:c>
      <x:c r="F513" s="50" t="n">
        <x:f>IF(ISBLANK('Assumptions'!J72),"__BLANK__",'Assumptions'!J72)</x:f>
        <x:v>0.12217009053638739</x:v>
      </x:c>
      <x:c r="G513" s="50" t="n">
        <x:f>IF(ISBLANK(E513),IF(F513="__BLANK__",0,1),IF(E513=F513,0,1))</x:f>
        <x:v>0</x:v>
      </x:c>
      <x:c r="H513" s="3"/>
      <x:c r="I513" s="3"/>
      <x:c r="J513" s="3"/>
      <x:c r="K513" s="3"/>
      <x:c r="L513" s="3"/>
      <x:c r="M513" s="3"/>
    </x:row>
    <x:row r="514" ht="19" customHeight="1">
      <x:c r="A514" s="2"/>
      <x:c r="B514" s="2"/>
      <x:c r="C514" s="2" t="str">
        <x:v>Assumptions!J73</x:v>
      </x:c>
      <x:c r="D514" s="2"/>
      <x:c r="E514" s="3" t="n">
        <x:v>0.12217009053638739</x:v>
      </x:c>
      <x:c r="F514" s="50" t="n">
        <x:f>IF(ISBLANK('Assumptions'!J73),"__BLANK__",'Assumptions'!J73)</x:f>
        <x:v>0.12217009053638739</x:v>
      </x:c>
      <x:c r="G514" s="50" t="n">
        <x:f>IF(ISBLANK(E514),IF(F514="__BLANK__",0,1),IF(E514=F514,0,1))</x:f>
        <x:v>0</x:v>
      </x:c>
      <x:c r="H514" s="3"/>
      <x:c r="I514" s="3"/>
      <x:c r="J514" s="3"/>
      <x:c r="K514" s="3"/>
      <x:c r="L514" s="3"/>
      <x:c r="M514" s="3"/>
    </x:row>
    <x:row r="515" ht="19" customHeight="1">
      <x:c r="A515" s="2"/>
      <x:c r="B515" s="2"/>
      <x:c r="C515" s="2" t="str">
        <x:v>Assumptions!J74</x:v>
      </x:c>
      <x:c r="D515" s="2"/>
      <x:c r="E515" s="3" t="n">
        <x:v>0.12217009053638739</x:v>
      </x:c>
      <x:c r="F515" s="50" t="n">
        <x:f>IF(ISBLANK('Assumptions'!J74),"__BLANK__",'Assumptions'!J74)</x:f>
        <x:v>0.12217009053638739</x:v>
      </x:c>
      <x:c r="G515" s="50" t="n">
        <x:f>IF(ISBLANK(E515),IF(F515="__BLANK__",0,1),IF(E515=F515,0,1))</x:f>
        <x:v>0</x:v>
      </x:c>
      <x:c r="H515" s="3"/>
      <x:c r="I515" s="3"/>
      <x:c r="J515" s="3"/>
      <x:c r="K515" s="3"/>
      <x:c r="L515" s="3"/>
      <x:c r="M515" s="3"/>
    </x:row>
    <x:row r="516" ht="19" customHeight="1">
      <x:c r="A516" s="2"/>
      <x:c r="B516" s="2"/>
      <x:c r="C516" s="2" t="str">
        <x:v>Assumptions!J75</x:v>
      </x:c>
      <x:c r="D516" s="2"/>
      <x:c r="E516" s="3" t="n">
        <x:v>0.12217009053638739</x:v>
      </x:c>
      <x:c r="F516" s="50" t="n">
        <x:f>IF(ISBLANK('Assumptions'!J75),"__BLANK__",'Assumptions'!J75)</x:f>
        <x:v>0.12217009053638739</x:v>
      </x:c>
      <x:c r="G516" s="50" t="n">
        <x:f>IF(ISBLANK(E516),IF(F516="__BLANK__",0,1),IF(E516=F516,0,1))</x:f>
        <x:v>0</x:v>
      </x:c>
      <x:c r="H516" s="3"/>
      <x:c r="I516" s="3"/>
      <x:c r="J516" s="3"/>
      <x:c r="K516" s="3"/>
      <x:c r="L516" s="3"/>
      <x:c r="M516" s="3"/>
    </x:row>
    <x:row r="517" ht="19" customHeight="1">
      <x:c r="A517" s="2"/>
      <x:c r="B517" s="2"/>
      <x:c r="C517" s="2" t="str">
        <x:v>Assumptions!J76</x:v>
      </x:c>
      <x:c r="D517" s="2"/>
      <x:c r="E517" s="3" t="n">
        <x:v>0.12217009053638739</x:v>
      </x:c>
      <x:c r="F517" s="50" t="n">
        <x:f>IF(ISBLANK('Assumptions'!J76),"__BLANK__",'Assumptions'!J76)</x:f>
        <x:v>0.12217009053638739</x:v>
      </x:c>
      <x:c r="G517" s="50" t="n">
        <x:f>IF(ISBLANK(E517),IF(F517="__BLANK__",0,1),IF(E517=F517,0,1))</x:f>
        <x:v>0</x:v>
      </x:c>
      <x:c r="H517" s="3"/>
      <x:c r="I517" s="3"/>
      <x:c r="J517" s="3"/>
      <x:c r="K517" s="3"/>
      <x:c r="L517" s="3"/>
      <x:c r="M517" s="3"/>
    </x:row>
    <x:row r="518" ht="19" customHeight="1">
      <x:c r="A518" s="2"/>
      <x:c r="B518" s="2"/>
      <x:c r="C518" s="2" t="str">
        <x:v>Assumptions!J77</x:v>
      </x:c>
      <x:c r="D518" s="2"/>
      <x:c r="E518" s="3" t="n">
        <x:v>0.12217009053638739</x:v>
      </x:c>
      <x:c r="F518" s="50" t="n">
        <x:f>IF(ISBLANK('Assumptions'!J77),"__BLANK__",'Assumptions'!J77)</x:f>
        <x:v>0.12217009053638739</x:v>
      </x:c>
      <x:c r="G518" s="50" t="n">
        <x:f>IF(ISBLANK(E518),IF(F518="__BLANK__",0,1),IF(E518=F518,0,1))</x:f>
        <x:v>0</x:v>
      </x:c>
      <x:c r="H518" s="3"/>
      <x:c r="I518" s="3"/>
      <x:c r="J518" s="3"/>
      <x:c r="K518" s="3"/>
      <x:c r="L518" s="3"/>
      <x:c r="M518" s="3"/>
    </x:row>
    <x:row r="519" ht="19" customHeight="1">
      <x:c r="A519" s="2"/>
      <x:c r="B519" s="2"/>
      <x:c r="C519" s="2" t="str">
        <x:v>Assumptions!J78</x:v>
      </x:c>
      <x:c r="D519" s="2"/>
      <x:c r="E519" s="3" t="n">
        <x:v>0.12217009053638739</x:v>
      </x:c>
      <x:c r="F519" s="50" t="n">
        <x:f>IF(ISBLANK('Assumptions'!J78),"__BLANK__",'Assumptions'!J78)</x:f>
        <x:v>0.12217009053638739</x:v>
      </x:c>
      <x:c r="G519" s="50" t="n">
        <x:f>IF(ISBLANK(E519),IF(F519="__BLANK__",0,1),IF(E519=F519,0,1))</x:f>
        <x:v>0</x:v>
      </x:c>
      <x:c r="H519" s="3"/>
      <x:c r="I519" s="3"/>
      <x:c r="J519" s="3"/>
      <x:c r="K519" s="3"/>
      <x:c r="L519" s="3"/>
      <x:c r="M519" s="3"/>
    </x:row>
    <x:row r="520" ht="19" customHeight="1">
      <x:c r="A520" s="2"/>
      <x:c r="B520" s="2"/>
      <x:c r="C520" s="2" t="str">
        <x:v>Assumptions!J79</x:v>
      </x:c>
      <x:c r="D520" s="2"/>
      <x:c r="E520" s="3" t="n">
        <x:v>0.12217009053638739</x:v>
      </x:c>
      <x:c r="F520" s="50" t="n">
        <x:f>IF(ISBLANK('Assumptions'!J79),"__BLANK__",'Assumptions'!J79)</x:f>
        <x:v>0.12217009053638739</x:v>
      </x:c>
      <x:c r="G520" s="50" t="n">
        <x:f>IF(ISBLANK(E520),IF(F520="__BLANK__",0,1),IF(E520=F520,0,1))</x:f>
        <x:v>0</x:v>
      </x:c>
      <x:c r="H520" s="3"/>
      <x:c r="I520" s="3"/>
      <x:c r="J520" s="3"/>
      <x:c r="K520" s="3"/>
      <x:c r="L520" s="3"/>
      <x:c r="M520" s="3"/>
    </x:row>
    <x:row r="521" ht="19" customHeight="1">
      <x:c r="A521" s="2"/>
      <x:c r="B521" s="2"/>
      <x:c r="C521" s="2" t="str">
        <x:v>Assumptions!K71</x:v>
      </x:c>
      <x:c r="D521" s="2"/>
      <x:c r="E521" s="3" t="n">
        <x:v>0.09505861133784399</x:v>
      </x:c>
      <x:c r="F521" s="50" t="n">
        <x:f>IF(ISBLANK('Assumptions'!K71),"__BLANK__",'Assumptions'!K71)</x:f>
        <x:v>0.09505861133784399</x:v>
      </x:c>
      <x:c r="G521" s="50" t="n">
        <x:f>IF(ISBLANK(E521),IF(F521="__BLANK__",0,1),IF(E521=F521,0,1))</x:f>
        <x:v>0</x:v>
      </x:c>
      <x:c r="H521" s="3"/>
      <x:c r="I521" s="3"/>
      <x:c r="J521" s="3"/>
      <x:c r="K521" s="3"/>
      <x:c r="L521" s="3"/>
      <x:c r="M521" s="3"/>
    </x:row>
    <x:row r="522" ht="19" customHeight="1">
      <x:c r="A522" s="2"/>
      <x:c r="B522" s="2"/>
      <x:c r="C522" s="2" t="str">
        <x:v>Assumptions!K72</x:v>
      </x:c>
      <x:c r="D522" s="2"/>
      <x:c r="E522" s="3" t="n">
        <x:v>0.09505861133784399</x:v>
      </x:c>
      <x:c r="F522" s="50" t="n">
        <x:f>IF(ISBLANK('Assumptions'!K72),"__BLANK__",'Assumptions'!K72)</x:f>
        <x:v>0.09505861133784399</x:v>
      </x:c>
      <x:c r="G522" s="50" t="n">
        <x:f>IF(ISBLANK(E522),IF(F522="__BLANK__",0,1),IF(E522=F522,0,1))</x:f>
        <x:v>0</x:v>
      </x:c>
      <x:c r="H522" s="3"/>
      <x:c r="I522" s="3"/>
      <x:c r="J522" s="3"/>
      <x:c r="K522" s="3"/>
      <x:c r="L522" s="3"/>
      <x:c r="M522" s="3"/>
    </x:row>
    <x:row r="523" ht="19" customHeight="1">
      <x:c r="A523" s="2"/>
      <x:c r="B523" s="2"/>
      <x:c r="C523" s="2" t="str">
        <x:v>Assumptions!K73</x:v>
      </x:c>
      <x:c r="D523" s="2"/>
      <x:c r="E523" s="3" t="n">
        <x:v>0.09505861133784399</x:v>
      </x:c>
      <x:c r="F523" s="50" t="n">
        <x:f>IF(ISBLANK('Assumptions'!K73),"__BLANK__",'Assumptions'!K73)</x:f>
        <x:v>0.09505861133784399</x:v>
      </x:c>
      <x:c r="G523" s="50" t="n">
        <x:f>IF(ISBLANK(E523),IF(F523="__BLANK__",0,1),IF(E523=F523,0,1))</x:f>
        <x:v>0</x:v>
      </x:c>
      <x:c r="H523" s="3"/>
      <x:c r="I523" s="3"/>
      <x:c r="J523" s="3"/>
      <x:c r="K523" s="3"/>
      <x:c r="L523" s="3"/>
      <x:c r="M523" s="3"/>
    </x:row>
    <x:row r="524" ht="19" customHeight="1">
      <x:c r="A524" s="2"/>
      <x:c r="B524" s="2"/>
      <x:c r="C524" s="2" t="str">
        <x:v>Assumptions!K74</x:v>
      </x:c>
      <x:c r="D524" s="2"/>
      <x:c r="E524" s="3" t="n">
        <x:v>0.09505861133784399</x:v>
      </x:c>
      <x:c r="F524" s="50" t="n">
        <x:f>IF(ISBLANK('Assumptions'!K74),"__BLANK__",'Assumptions'!K74)</x:f>
        <x:v>0.09505861133784399</x:v>
      </x:c>
      <x:c r="G524" s="50" t="n">
        <x:f>IF(ISBLANK(E524),IF(F524="__BLANK__",0,1),IF(E524=F524,0,1))</x:f>
        <x:v>0</x:v>
      </x:c>
      <x:c r="H524" s="3"/>
      <x:c r="I524" s="3"/>
      <x:c r="J524" s="3"/>
      <x:c r="K524" s="3"/>
      <x:c r="L524" s="3"/>
      <x:c r="M524" s="3"/>
    </x:row>
    <x:row r="525" ht="19" customHeight="1">
      <x:c r="A525" s="2"/>
      <x:c r="B525" s="2"/>
      <x:c r="C525" s="2" t="str">
        <x:v>Assumptions!K75</x:v>
      </x:c>
      <x:c r="D525" s="2"/>
      <x:c r="E525" s="3" t="n">
        <x:v>0.09505861133784399</x:v>
      </x:c>
      <x:c r="F525" s="50" t="n">
        <x:f>IF(ISBLANK('Assumptions'!K75),"__BLANK__",'Assumptions'!K75)</x:f>
        <x:v>0.09505861133784399</x:v>
      </x:c>
      <x:c r="G525" s="50" t="n">
        <x:f>IF(ISBLANK(E525),IF(F525="__BLANK__",0,1),IF(E525=F525,0,1))</x:f>
        <x:v>0</x:v>
      </x:c>
      <x:c r="H525" s="3"/>
      <x:c r="I525" s="3"/>
      <x:c r="J525" s="3"/>
      <x:c r="K525" s="3"/>
      <x:c r="L525" s="3"/>
      <x:c r="M525" s="3"/>
    </x:row>
    <x:row r="526" ht="19" customHeight="1">
      <x:c r="A526" s="2"/>
      <x:c r="B526" s="2"/>
      <x:c r="C526" s="2" t="str">
        <x:v>Assumptions!K76</x:v>
      </x:c>
      <x:c r="D526" s="2"/>
      <x:c r="E526" s="3" t="n">
        <x:v>0.09505861133784399</x:v>
      </x:c>
      <x:c r="F526" s="50" t="n">
        <x:f>IF(ISBLANK('Assumptions'!K76),"__BLANK__",'Assumptions'!K76)</x:f>
        <x:v>0.09505861133784399</x:v>
      </x:c>
      <x:c r="G526" s="50" t="n">
        <x:f>IF(ISBLANK(E526),IF(F526="__BLANK__",0,1),IF(E526=F526,0,1))</x:f>
        <x:v>0</x:v>
      </x:c>
      <x:c r="H526" s="3"/>
      <x:c r="I526" s="3"/>
      <x:c r="J526" s="3"/>
      <x:c r="K526" s="3"/>
      <x:c r="L526" s="3"/>
      <x:c r="M526" s="3"/>
    </x:row>
    <x:row r="527" ht="19" customHeight="1">
      <x:c r="A527" s="2"/>
      <x:c r="B527" s="2"/>
      <x:c r="C527" s="2" t="str">
        <x:v>Assumptions!K77</x:v>
      </x:c>
      <x:c r="D527" s="2"/>
      <x:c r="E527" s="3" t="n">
        <x:v>0.09505861133784399</x:v>
      </x:c>
      <x:c r="F527" s="50" t="n">
        <x:f>IF(ISBLANK('Assumptions'!K77),"__BLANK__",'Assumptions'!K77)</x:f>
        <x:v>0.09505861133784399</x:v>
      </x:c>
      <x:c r="G527" s="50" t="n">
        <x:f>IF(ISBLANK(E527),IF(F527="__BLANK__",0,1),IF(E527=F527,0,1))</x:f>
        <x:v>0</x:v>
      </x:c>
      <x:c r="H527" s="3"/>
      <x:c r="I527" s="3"/>
      <x:c r="J527" s="3"/>
      <x:c r="K527" s="3"/>
      <x:c r="L527" s="3"/>
      <x:c r="M527" s="3"/>
    </x:row>
    <x:row r="528" ht="19" customHeight="1">
      <x:c r="A528" s="2"/>
      <x:c r="B528" s="2"/>
      <x:c r="C528" s="2" t="str">
        <x:v>Assumptions!K78</x:v>
      </x:c>
      <x:c r="D528" s="2"/>
      <x:c r="E528" s="3" t="n">
        <x:v>0.09505861133784399</x:v>
      </x:c>
      <x:c r="F528" s="50" t="n">
        <x:f>IF(ISBLANK('Assumptions'!K78),"__BLANK__",'Assumptions'!K78)</x:f>
        <x:v>0.09505861133784399</x:v>
      </x:c>
      <x:c r="G528" s="50" t="n">
        <x:f>IF(ISBLANK(E528),IF(F528="__BLANK__",0,1),IF(E528=F528,0,1))</x:f>
        <x:v>0</x:v>
      </x:c>
      <x:c r="H528" s="3"/>
      <x:c r="I528" s="3"/>
      <x:c r="J528" s="3"/>
      <x:c r="K528" s="3"/>
      <x:c r="L528" s="3"/>
      <x:c r="M528" s="3"/>
    </x:row>
    <x:row r="529" ht="19" customHeight="1">
      <x:c r="A529" s="2"/>
      <x:c r="B529" s="2"/>
      <x:c r="C529" s="2" t="str">
        <x:v>Assumptions!K79</x:v>
      </x:c>
      <x:c r="D529" s="2"/>
      <x:c r="E529" s="3" t="n">
        <x:v>0.09505861133784399</x:v>
      </x:c>
      <x:c r="F529" s="50" t="n">
        <x:f>IF(ISBLANK('Assumptions'!K79),"__BLANK__",'Assumptions'!K79)</x:f>
        <x:v>0.09505861133784399</x:v>
      </x:c>
      <x:c r="G529" s="50" t="n">
        <x:f>IF(ISBLANK(E529),IF(F529="__BLANK__",0,1),IF(E529=F529,0,1))</x:f>
        <x:v>0</x:v>
      </x:c>
      <x:c r="H529" s="3"/>
      <x:c r="I529" s="3"/>
      <x:c r="J529" s="3"/>
      <x:c r="K529" s="3"/>
      <x:c r="L529" s="3"/>
      <x:c r="M529" s="3"/>
    </x:row>
    <x:row r="530" ht="19" customHeight="1">
      <x:c r="A530" s="2"/>
      <x:c r="B530" s="2"/>
      <x:c r="C530" s="2" t="str">
        <x:v>Assumptions!L71</x:v>
      </x:c>
      <x:c r="D530" s="2"/>
      <x:c r="E530" s="3" t="n">
        <x:v>0.126749458630385</x:v>
      </x:c>
      <x:c r="F530" s="50" t="n">
        <x:f>IF(ISBLANK('Assumptions'!L71),"__BLANK__",'Assumptions'!L71)</x:f>
        <x:v>0.126749458630385</x:v>
      </x:c>
      <x:c r="G530" s="50" t="n">
        <x:f>IF(ISBLANK(E530),IF(F530="__BLANK__",0,1),IF(E530=F530,0,1))</x:f>
        <x:v>0</x:v>
      </x:c>
      <x:c r="H530" s="3"/>
      <x:c r="I530" s="3"/>
      <x:c r="J530" s="3"/>
      <x:c r="K530" s="3"/>
      <x:c r="L530" s="3"/>
      <x:c r="M530" s="3"/>
    </x:row>
    <x:row r="531" ht="19" customHeight="1">
      <x:c r="A531" s="2"/>
      <x:c r="B531" s="2"/>
      <x:c r="C531" s="2" t="str">
        <x:v>Assumptions!L72</x:v>
      </x:c>
      <x:c r="D531" s="2"/>
      <x:c r="E531" s="3" t="n">
        <x:v>0.126749458630385</x:v>
      </x:c>
      <x:c r="F531" s="50" t="n">
        <x:f>IF(ISBLANK('Assumptions'!L72),"__BLANK__",'Assumptions'!L72)</x:f>
        <x:v>0.126749458630385</x:v>
      </x:c>
      <x:c r="G531" s="50" t="n">
        <x:f>IF(ISBLANK(E531),IF(F531="__BLANK__",0,1),IF(E531=F531,0,1))</x:f>
        <x:v>0</x:v>
      </x:c>
      <x:c r="H531" s="3"/>
      <x:c r="I531" s="3"/>
      <x:c r="J531" s="3"/>
      <x:c r="K531" s="3"/>
      <x:c r="L531" s="3"/>
      <x:c r="M531" s="3"/>
    </x:row>
    <x:row r="532" ht="19" customHeight="1">
      <x:c r="A532" s="2"/>
      <x:c r="B532" s="2"/>
      <x:c r="C532" s="2" t="str">
        <x:v>Assumptions!L73</x:v>
      </x:c>
      <x:c r="D532" s="2"/>
      <x:c r="E532" s="3" t="n">
        <x:v>0.126749458630385</x:v>
      </x:c>
      <x:c r="F532" s="50" t="n">
        <x:f>IF(ISBLANK('Assumptions'!L73),"__BLANK__",'Assumptions'!L73)</x:f>
        <x:v>0.126749458630385</x:v>
      </x:c>
      <x:c r="G532" s="50" t="n">
        <x:f>IF(ISBLANK(E532),IF(F532="__BLANK__",0,1),IF(E532=F532,0,1))</x:f>
        <x:v>0</x:v>
      </x:c>
      <x:c r="H532" s="3"/>
      <x:c r="I532" s="3"/>
      <x:c r="J532" s="3"/>
      <x:c r="K532" s="3"/>
      <x:c r="L532" s="3"/>
      <x:c r="M532" s="3"/>
    </x:row>
    <x:row r="533" ht="19" customHeight="1">
      <x:c r="A533" s="2"/>
      <x:c r="B533" s="2"/>
      <x:c r="C533" s="2" t="str">
        <x:v>Assumptions!L74</x:v>
      </x:c>
      <x:c r="D533" s="2"/>
      <x:c r="E533" s="3" t="n">
        <x:v>0.126749458630385</x:v>
      </x:c>
      <x:c r="F533" s="50" t="n">
        <x:f>IF(ISBLANK('Assumptions'!L74),"__BLANK__",'Assumptions'!L74)</x:f>
        <x:v>0.126749458630385</x:v>
      </x:c>
      <x:c r="G533" s="50" t="n">
        <x:f>IF(ISBLANK(E533),IF(F533="__BLANK__",0,1),IF(E533=F533,0,1))</x:f>
        <x:v>0</x:v>
      </x:c>
      <x:c r="H533" s="3"/>
      <x:c r="I533" s="3"/>
      <x:c r="J533" s="3"/>
      <x:c r="K533" s="3"/>
      <x:c r="L533" s="3"/>
      <x:c r="M533" s="3"/>
    </x:row>
    <x:row r="534" ht="19" customHeight="1">
      <x:c r="A534" s="2"/>
      <x:c r="B534" s="2"/>
      <x:c r="C534" s="2" t="str">
        <x:v>Assumptions!L75</x:v>
      </x:c>
      <x:c r="D534" s="2"/>
      <x:c r="E534" s="3" t="n">
        <x:v>0.126749458630385</x:v>
      </x:c>
      <x:c r="F534" s="50" t="n">
        <x:f>IF(ISBLANK('Assumptions'!L75),"__BLANK__",'Assumptions'!L75)</x:f>
        <x:v>0.126749458630385</x:v>
      </x:c>
      <x:c r="G534" s="50" t="n">
        <x:f>IF(ISBLANK(E534),IF(F534="__BLANK__",0,1),IF(E534=F534,0,1))</x:f>
        <x:v>0</x:v>
      </x:c>
      <x:c r="H534" s="3"/>
      <x:c r="I534" s="3"/>
      <x:c r="J534" s="3"/>
      <x:c r="K534" s="3"/>
      <x:c r="L534" s="3"/>
      <x:c r="M534" s="3"/>
    </x:row>
    <x:row r="535" ht="19" customHeight="1">
      <x:c r="A535" s="2"/>
      <x:c r="B535" s="2"/>
      <x:c r="C535" s="2" t="str">
        <x:v>Assumptions!L76</x:v>
      </x:c>
      <x:c r="D535" s="2"/>
      <x:c r="E535" s="3" t="n">
        <x:v>0.126749458630385</x:v>
      </x:c>
      <x:c r="F535" s="50" t="n">
        <x:f>IF(ISBLANK('Assumptions'!L76),"__BLANK__",'Assumptions'!L76)</x:f>
        <x:v>0.126749458630385</x:v>
      </x:c>
      <x:c r="G535" s="50" t="n">
        <x:f>IF(ISBLANK(E535),IF(F535="__BLANK__",0,1),IF(E535=F535,0,1))</x:f>
        <x:v>0</x:v>
      </x:c>
      <x:c r="H535" s="3"/>
      <x:c r="I535" s="3"/>
      <x:c r="J535" s="3"/>
      <x:c r="K535" s="3"/>
      <x:c r="L535" s="3"/>
      <x:c r="M535" s="3"/>
    </x:row>
    <x:row r="536" ht="19" customHeight="1">
      <x:c r="A536" s="2"/>
      <x:c r="B536" s="2"/>
      <x:c r="C536" s="2" t="str">
        <x:v>Assumptions!L77</x:v>
      </x:c>
      <x:c r="D536" s="2"/>
      <x:c r="E536" s="3" t="n">
        <x:v>0.126749458630385</x:v>
      </x:c>
      <x:c r="F536" s="50" t="n">
        <x:f>IF(ISBLANK('Assumptions'!L77),"__BLANK__",'Assumptions'!L77)</x:f>
        <x:v>0.126749458630385</x:v>
      </x:c>
      <x:c r="G536" s="50" t="n">
        <x:f>IF(ISBLANK(E536),IF(F536="__BLANK__",0,1),IF(E536=F536,0,1))</x:f>
        <x:v>0</x:v>
      </x:c>
      <x:c r="H536" s="3"/>
      <x:c r="I536" s="3"/>
      <x:c r="J536" s="3"/>
      <x:c r="K536" s="3"/>
      <x:c r="L536" s="3"/>
      <x:c r="M536" s="3"/>
    </x:row>
    <x:row r="537" ht="19" customHeight="1">
      <x:c r="A537" s="2"/>
      <x:c r="B537" s="2"/>
      <x:c r="C537" s="2" t="str">
        <x:v>Assumptions!L78</x:v>
      </x:c>
      <x:c r="D537" s="2"/>
      <x:c r="E537" s="3" t="n">
        <x:v>0.126749458630385</x:v>
      </x:c>
      <x:c r="F537" s="50" t="n">
        <x:f>IF(ISBLANK('Assumptions'!L78),"__BLANK__",'Assumptions'!L78)</x:f>
        <x:v>0.126749458630385</x:v>
      </x:c>
      <x:c r="G537" s="50" t="n">
        <x:f>IF(ISBLANK(E537),IF(F537="__BLANK__",0,1),IF(E537=F537,0,1))</x:f>
        <x:v>0</x:v>
      </x:c>
      <x:c r="H537" s="3"/>
      <x:c r="I537" s="3"/>
      <x:c r="J537" s="3"/>
      <x:c r="K537" s="3"/>
      <x:c r="L537" s="3"/>
      <x:c r="M537" s="3"/>
    </x:row>
    <x:row r="538" ht="19" customHeight="1">
      <x:c r="A538" s="2"/>
      <x:c r="B538" s="2"/>
      <x:c r="C538" s="2" t="str">
        <x:v>Assumptions!L79</x:v>
      </x:c>
      <x:c r="D538" s="2"/>
      <x:c r="E538" s="3" t="n">
        <x:v>0.126749458630385</x:v>
      </x:c>
      <x:c r="F538" s="50" t="n">
        <x:f>IF(ISBLANK('Assumptions'!L79),"__BLANK__",'Assumptions'!L79)</x:f>
        <x:v>0.126749458630385</x:v>
      </x:c>
      <x:c r="G538" s="50" t="n">
        <x:f>IF(ISBLANK(E538),IF(F538="__BLANK__",0,1),IF(E538=F538,0,1))</x:f>
        <x:v>0</x:v>
      </x:c>
      <x:c r="H538" s="3"/>
      <x:c r="I538" s="3"/>
      <x:c r="J538" s="3"/>
      <x:c r="K538" s="3"/>
      <x:c r="L538" s="3"/>
      <x:c r="M538" s="3"/>
    </x:row>
    <x:row r="539" ht="19" customHeight="1">
      <x:c r="A539" s="2"/>
      <x:c r="B539" s="2"/>
      <x:c r="C539" s="2" t="str">
        <x:v>Assumptions!E151</x:v>
      </x:c>
      <x:c r="D539" s="2"/>
      <x:c r="E539" s="3"/>
      <x:c r="F539" s="50" t="str">
        <x:f>IF(ISBLANK('Assumptions'!E151),"__BLANK__",'Assumptions'!E151)</x:f>
        <x:v>__BLANK__</x:v>
      </x:c>
      <x:c r="G539" s="50" t="n">
        <x:f>IF(ISBLANK(E539),IF(F539="__BLANK__",0,1),IF(E539=F539,0,1))</x:f>
        <x:v>0</x:v>
      </x:c>
      <x:c r="H539" s="3"/>
      <x:c r="I539" s="3"/>
      <x:c r="J539" s="3"/>
      <x:c r="K539" s="3"/>
      <x:c r="L539" s="3"/>
      <x:c r="M539" s="3"/>
    </x:row>
    <x:row r="540" ht="19" customHeight="1">
      <x:c r="A540" s="2"/>
      <x:c r="B540" s="2"/>
      <x:c r="C540" s="2" t="str">
        <x:v>Assumptions!E152</x:v>
      </x:c>
      <x:c r="D540" s="2"/>
      <x:c r="E540" s="3"/>
      <x:c r="F540" s="50" t="str">
        <x:f>IF(ISBLANK('Assumptions'!E152),"__BLANK__",'Assumptions'!E152)</x:f>
        <x:v>__BLANK__</x:v>
      </x:c>
      <x:c r="G540" s="50" t="n">
        <x:f>IF(ISBLANK(E540),IF(F540="__BLANK__",0,1),IF(E540=F540,0,1))</x:f>
        <x:v>0</x:v>
      </x:c>
      <x:c r="H540" s="3"/>
      <x:c r="I540" s="3"/>
      <x:c r="J540" s="3"/>
      <x:c r="K540" s="3"/>
      <x:c r="L540" s="3"/>
      <x:c r="M540" s="3"/>
    </x:row>
    <x:row r="541" ht="19" customHeight="1">
      <x:c r="A541" s="2"/>
      <x:c r="B541" s="2"/>
      <x:c r="C541" s="2" t="str">
        <x:v>Assumptions!E153</x:v>
      </x:c>
      <x:c r="D541" s="2"/>
      <x:c r="E541" s="3"/>
      <x:c r="F541" s="50" t="str">
        <x:f>IF(ISBLANK('Assumptions'!E153),"__BLANK__",'Assumptions'!E153)</x:f>
        <x:v>__BLANK__</x:v>
      </x:c>
      <x:c r="G541" s="50" t="n">
        <x:f>IF(ISBLANK(E541),IF(F541="__BLANK__",0,1),IF(E541=F541,0,1))</x:f>
        <x:v>0</x:v>
      </x:c>
      <x:c r="H541" s="3"/>
      <x:c r="I541" s="3"/>
      <x:c r="J541" s="3"/>
      <x:c r="K541" s="3"/>
      <x:c r="L541" s="3"/>
      <x:c r="M541" s="3"/>
    </x:row>
    <x:row r="542" ht="19" customHeight="1">
      <x:c r="A542" s="2"/>
      <x:c r="B542" s="2"/>
      <x:c r="C542" s="2" t="str">
        <x:v>Assumptions!E154</x:v>
      </x:c>
      <x:c r="D542" s="2"/>
      <x:c r="E542" s="3"/>
      <x:c r="F542" s="50" t="str">
        <x:f>IF(ISBLANK('Assumptions'!E154),"__BLANK__",'Assumptions'!E154)</x:f>
        <x:v>__BLANK__</x:v>
      </x:c>
      <x:c r="G542" s="50" t="n">
        <x:f>IF(ISBLANK(E542),IF(F542="__BLANK__",0,1),IF(E542=F542,0,1))</x:f>
        <x:v>0</x:v>
      </x:c>
      <x:c r="H542" s="3"/>
      <x:c r="I542" s="3"/>
      <x:c r="J542" s="3"/>
      <x:c r="K542" s="3"/>
      <x:c r="L542" s="3"/>
      <x:c r="M542" s="3"/>
    </x:row>
    <x:row r="543" ht="19" customHeight="1">
      <x:c r="A543" s="2"/>
      <x:c r="B543" s="2"/>
      <x:c r="C543" s="2" t="str">
        <x:v>Assumptions!E155</x:v>
      </x:c>
      <x:c r="D543" s="2"/>
      <x:c r="E543" s="3"/>
      <x:c r="F543" s="50" t="str">
        <x:f>IF(ISBLANK('Assumptions'!E155),"__BLANK__",'Assumptions'!E155)</x:f>
        <x:v>__BLANK__</x:v>
      </x:c>
      <x:c r="G543" s="50" t="n">
        <x:f>IF(ISBLANK(E543),IF(F543="__BLANK__",0,1),IF(E543=F543,0,1))</x:f>
        <x:v>0</x:v>
      </x:c>
      <x:c r="H543" s="3"/>
      <x:c r="I543" s="3"/>
      <x:c r="J543" s="3"/>
      <x:c r="K543" s="3"/>
      <x:c r="L543" s="3"/>
      <x:c r="M543" s="3"/>
    </x:row>
    <x:row r="544" ht="19" customHeight="1">
      <x:c r="A544" s="2"/>
      <x:c r="B544" s="2"/>
      <x:c r="C544" s="2" t="str">
        <x:v>Assumptions!E156</x:v>
      </x:c>
      <x:c r="D544" s="2"/>
      <x:c r="E544" s="3"/>
      <x:c r="F544" s="50" t="str">
        <x:f>IF(ISBLANK('Assumptions'!E156),"__BLANK__",'Assumptions'!E156)</x:f>
        <x:v>__BLANK__</x:v>
      </x:c>
      <x:c r="G544" s="50" t="n">
        <x:f>IF(ISBLANK(E544),IF(F544="__BLANK__",0,1),IF(E544=F544,0,1))</x:f>
        <x:v>0</x:v>
      </x:c>
      <x:c r="H544" s="3"/>
      <x:c r="I544" s="3"/>
      <x:c r="J544" s="3"/>
      <x:c r="K544" s="3"/>
      <x:c r="L544" s="3"/>
      <x:c r="M544" s="3"/>
    </x:row>
    <x:row r="545" ht="19" customHeight="1">
      <x:c r="A545" s="2"/>
      <x:c r="B545" s="2"/>
      <x:c r="C545" s="2" t="str">
        <x:v>Assumptions!E157</x:v>
      </x:c>
      <x:c r="D545" s="2"/>
      <x:c r="E545" s="3"/>
      <x:c r="F545" s="50" t="str">
        <x:f>IF(ISBLANK('Assumptions'!E157),"__BLANK__",'Assumptions'!E157)</x:f>
        <x:v>__BLANK__</x:v>
      </x:c>
      <x:c r="G545" s="50" t="n">
        <x:f>IF(ISBLANK(E545),IF(F545="__BLANK__",0,1),IF(E545=F545,0,1))</x:f>
        <x:v>0</x:v>
      </x:c>
      <x:c r="H545" s="3"/>
      <x:c r="I545" s="3"/>
      <x:c r="J545" s="3"/>
      <x:c r="K545" s="3"/>
      <x:c r="L545" s="3"/>
      <x:c r="M545" s="3"/>
    </x:row>
    <x:row r="546" ht="19" customHeight="1">
      <x:c r="A546" s="2"/>
      <x:c r="B546" s="2"/>
      <x:c r="C546" s="2" t="str">
        <x:v>Assumptions!E158</x:v>
      </x:c>
      <x:c r="D546" s="2"/>
      <x:c r="E546" s="3"/>
      <x:c r="F546" s="50" t="str">
        <x:f>IF(ISBLANK('Assumptions'!E158),"__BLANK__",'Assumptions'!E158)</x:f>
        <x:v>__BLANK__</x:v>
      </x:c>
      <x:c r="G546" s="50" t="n">
        <x:f>IF(ISBLANK(E546),IF(F546="__BLANK__",0,1),IF(E546=F546,0,1))</x:f>
        <x:v>0</x:v>
      </x:c>
      <x:c r="H546" s="3"/>
      <x:c r="I546" s="3"/>
      <x:c r="J546" s="3"/>
      <x:c r="K546" s="3"/>
      <x:c r="L546" s="3"/>
      <x:c r="M546" s="3"/>
    </x:row>
    <x:row r="547" ht="19" customHeight="1">
      <x:c r="A547" s="2"/>
      <x:c r="B547" s="2"/>
      <x:c r="C547" s="2" t="str">
        <x:v>Assumptions!E159</x:v>
      </x:c>
      <x:c r="D547" s="2"/>
      <x:c r="E547" s="3"/>
      <x:c r="F547" s="50" t="str">
        <x:f>IF(ISBLANK('Assumptions'!E159),"__BLANK__",'Assumptions'!E159)</x:f>
        <x:v>__BLANK__</x:v>
      </x:c>
      <x:c r="G547" s="50" t="n">
        <x:f>IF(ISBLANK(E547),IF(F547="__BLANK__",0,1),IF(E547=F547,0,1))</x:f>
        <x:v>0</x:v>
      </x:c>
      <x:c r="H547" s="3"/>
      <x:c r="I547" s="3"/>
      <x:c r="J547" s="3"/>
      <x:c r="K547" s="3"/>
      <x:c r="L547" s="3"/>
      <x:c r="M547" s="3"/>
    </x:row>
    <x:row r="548" ht="19" customHeight="1">
      <x:c r="A548" s="2"/>
      <x:c r="B548" s="2"/>
      <x:c r="C548" s="2" t="str">
        <x:v>Assumptions!F151</x:v>
      </x:c>
      <x:c r="D548" s="2"/>
      <x:c r="E548" s="3"/>
      <x:c r="F548" s="50" t="str">
        <x:f>IF(ISBLANK('Assumptions'!F151),"__BLANK__",'Assumptions'!F151)</x:f>
        <x:v>__BLANK__</x:v>
      </x:c>
      <x:c r="G548" s="50" t="n">
        <x:f>IF(ISBLANK(E548),IF(F548="__BLANK__",0,1),IF(E548=F548,0,1))</x:f>
        <x:v>0</x:v>
      </x:c>
      <x:c r="H548" s="3"/>
      <x:c r="I548" s="3"/>
      <x:c r="J548" s="3"/>
      <x:c r="K548" s="3"/>
      <x:c r="L548" s="3"/>
      <x:c r="M548" s="3"/>
    </x:row>
    <x:row r="549" ht="19" customHeight="1">
      <x:c r="A549" s="2"/>
      <x:c r="B549" s="2"/>
      <x:c r="C549" s="2" t="str">
        <x:v>Assumptions!F152</x:v>
      </x:c>
      <x:c r="D549" s="2"/>
      <x:c r="E549" s="3"/>
      <x:c r="F549" s="50" t="str">
        <x:f>IF(ISBLANK('Assumptions'!F152),"__BLANK__",'Assumptions'!F152)</x:f>
        <x:v>__BLANK__</x:v>
      </x:c>
      <x:c r="G549" s="50" t="n">
        <x:f>IF(ISBLANK(E549),IF(F549="__BLANK__",0,1),IF(E549=F549,0,1))</x:f>
        <x:v>0</x:v>
      </x:c>
      <x:c r="H549" s="3"/>
      <x:c r="I549" s="3"/>
      <x:c r="J549" s="3"/>
      <x:c r="K549" s="3"/>
      <x:c r="L549" s="3"/>
      <x:c r="M549" s="3"/>
    </x:row>
    <x:row r="550" ht="19" customHeight="1">
      <x:c r="A550" s="2"/>
      <x:c r="B550" s="2"/>
      <x:c r="C550" s="2" t="str">
        <x:v>Assumptions!F153</x:v>
      </x:c>
      <x:c r="D550" s="2"/>
      <x:c r="E550" s="3"/>
      <x:c r="F550" s="50" t="str">
        <x:f>IF(ISBLANK('Assumptions'!F153),"__BLANK__",'Assumptions'!F153)</x:f>
        <x:v>__BLANK__</x:v>
      </x:c>
      <x:c r="G550" s="50" t="n">
        <x:f>IF(ISBLANK(E550),IF(F550="__BLANK__",0,1),IF(E550=F550,0,1))</x:f>
        <x:v>0</x:v>
      </x:c>
      <x:c r="H550" s="3"/>
      <x:c r="I550" s="3"/>
      <x:c r="J550" s="3"/>
      <x:c r="K550" s="3"/>
      <x:c r="L550" s="3"/>
      <x:c r="M550" s="3"/>
    </x:row>
    <x:row r="551" ht="19" customHeight="1">
      <x:c r="A551" s="2"/>
      <x:c r="B551" s="2"/>
      <x:c r="C551" s="2" t="str">
        <x:v>Assumptions!F154</x:v>
      </x:c>
      <x:c r="D551" s="2"/>
      <x:c r="E551" s="3"/>
      <x:c r="F551" s="50" t="str">
        <x:f>IF(ISBLANK('Assumptions'!F154),"__BLANK__",'Assumptions'!F154)</x:f>
        <x:v>__BLANK__</x:v>
      </x:c>
      <x:c r="G551" s="50" t="n">
        <x:f>IF(ISBLANK(E551),IF(F551="__BLANK__",0,1),IF(E551=F551,0,1))</x:f>
        <x:v>0</x:v>
      </x:c>
      <x:c r="H551" s="3"/>
      <x:c r="I551" s="3"/>
      <x:c r="J551" s="3"/>
      <x:c r="K551" s="3"/>
      <x:c r="L551" s="3"/>
      <x:c r="M551" s="3"/>
    </x:row>
    <x:row r="552" ht="19" customHeight="1">
      <x:c r="A552" s="2"/>
      <x:c r="B552" s="2"/>
      <x:c r="C552" s="2" t="str">
        <x:v>Assumptions!F155</x:v>
      </x:c>
      <x:c r="D552" s="2"/>
      <x:c r="E552" s="3"/>
      <x:c r="F552" s="50" t="str">
        <x:f>IF(ISBLANK('Assumptions'!F155),"__BLANK__",'Assumptions'!F155)</x:f>
        <x:v>__BLANK__</x:v>
      </x:c>
      <x:c r="G552" s="50" t="n">
        <x:f>IF(ISBLANK(E552),IF(F552="__BLANK__",0,1),IF(E552=F552,0,1))</x:f>
        <x:v>0</x:v>
      </x:c>
      <x:c r="H552" s="3"/>
      <x:c r="I552" s="3"/>
      <x:c r="J552" s="3"/>
      <x:c r="K552" s="3"/>
      <x:c r="L552" s="3"/>
      <x:c r="M552" s="3"/>
    </x:row>
    <x:row r="553" ht="19" customHeight="1">
      <x:c r="A553" s="2"/>
      <x:c r="B553" s="2"/>
      <x:c r="C553" s="2" t="str">
        <x:v>Assumptions!F156</x:v>
      </x:c>
      <x:c r="D553" s="2"/>
      <x:c r="E553" s="3"/>
      <x:c r="F553" s="50" t="str">
        <x:f>IF(ISBLANK('Assumptions'!F156),"__BLANK__",'Assumptions'!F156)</x:f>
        <x:v>__BLANK__</x:v>
      </x:c>
      <x:c r="G553" s="50" t="n">
        <x:f>IF(ISBLANK(E553),IF(F553="__BLANK__",0,1),IF(E553=F553,0,1))</x:f>
        <x:v>0</x:v>
      </x:c>
      <x:c r="H553" s="3"/>
      <x:c r="I553" s="3"/>
      <x:c r="J553" s="3"/>
      <x:c r="K553" s="3"/>
      <x:c r="L553" s="3"/>
      <x:c r="M553" s="3"/>
    </x:row>
    <x:row r="554" ht="19" customHeight="1">
      <x:c r="A554" s="2"/>
      <x:c r="B554" s="2"/>
      <x:c r="C554" s="2" t="str">
        <x:v>Assumptions!F157</x:v>
      </x:c>
      <x:c r="D554" s="2"/>
      <x:c r="E554" s="3"/>
      <x:c r="F554" s="50" t="str">
        <x:f>IF(ISBLANK('Assumptions'!F157),"__BLANK__",'Assumptions'!F157)</x:f>
        <x:v>__BLANK__</x:v>
      </x:c>
      <x:c r="G554" s="50" t="n">
        <x:f>IF(ISBLANK(E554),IF(F554="__BLANK__",0,1),IF(E554=F554,0,1))</x:f>
        <x:v>0</x:v>
      </x:c>
      <x:c r="H554" s="3"/>
      <x:c r="I554" s="3"/>
      <x:c r="J554" s="3"/>
      <x:c r="K554" s="3"/>
      <x:c r="L554" s="3"/>
      <x:c r="M554" s="3"/>
    </x:row>
    <x:row r="555" ht="19" customHeight="1">
      <x:c r="A555" s="2"/>
      <x:c r="B555" s="2"/>
      <x:c r="C555" s="2" t="str">
        <x:v>Assumptions!F158</x:v>
      </x:c>
      <x:c r="D555" s="2"/>
      <x:c r="E555" s="3"/>
      <x:c r="F555" s="50" t="str">
        <x:f>IF(ISBLANK('Assumptions'!F158),"__BLANK__",'Assumptions'!F158)</x:f>
        <x:v>__BLANK__</x:v>
      </x:c>
      <x:c r="G555" s="50" t="n">
        <x:f>IF(ISBLANK(E555),IF(F555="__BLANK__",0,1),IF(E555=F555,0,1))</x:f>
        <x:v>0</x:v>
      </x:c>
      <x:c r="H555" s="3"/>
      <x:c r="I555" s="3"/>
      <x:c r="J555" s="3"/>
      <x:c r="K555" s="3"/>
      <x:c r="L555" s="3"/>
      <x:c r="M555" s="3"/>
    </x:row>
    <x:row r="556" ht="19" customHeight="1">
      <x:c r="A556" s="2"/>
      <x:c r="B556" s="2"/>
      <x:c r="C556" s="2" t="str">
        <x:v>Assumptions!F159</x:v>
      </x:c>
      <x:c r="D556" s="2"/>
      <x:c r="E556" s="3"/>
      <x:c r="F556" s="50" t="str">
        <x:f>IF(ISBLANK('Assumptions'!F159),"__BLANK__",'Assumptions'!F159)</x:f>
        <x:v>__BLANK__</x:v>
      </x:c>
      <x:c r="G556" s="50" t="n">
        <x:f>IF(ISBLANK(E556),IF(F556="__BLANK__",0,1),IF(E556=F556,0,1))</x:f>
        <x:v>0</x:v>
      </x:c>
      <x:c r="H556" s="3"/>
      <x:c r="I556" s="3"/>
      <x:c r="J556" s="3"/>
      <x:c r="K556" s="3"/>
      <x:c r="L556" s="3"/>
      <x:c r="M556" s="3"/>
    </x:row>
    <x:row r="557" ht="19" customHeight="1">
      <x:c r="A557" s="2"/>
      <x:c r="B557" s="2"/>
      <x:c r="C557" s="2" t="str">
        <x:v>Assumptions!G151</x:v>
      </x:c>
      <x:c r="D557" s="2"/>
      <x:c r="E557" s="3"/>
      <x:c r="F557" s="50" t="str">
        <x:f>IF(ISBLANK('Assumptions'!G151),"__BLANK__",'Assumptions'!G151)</x:f>
        <x:v>__BLANK__</x:v>
      </x:c>
      <x:c r="G557" s="50" t="n">
        <x:f>IF(ISBLANK(E557),IF(F557="__BLANK__",0,1),IF(E557=F557,0,1))</x:f>
        <x:v>0</x:v>
      </x:c>
      <x:c r="H557" s="3"/>
      <x:c r="I557" s="3"/>
      <x:c r="J557" s="3"/>
      <x:c r="K557" s="3"/>
      <x:c r="L557" s="3"/>
      <x:c r="M557" s="3"/>
    </x:row>
    <x:row r="558" ht="19" customHeight="1">
      <x:c r="A558" s="2"/>
      <x:c r="B558" s="2"/>
      <x:c r="C558" s="2" t="str">
        <x:v>Assumptions!G152</x:v>
      </x:c>
      <x:c r="D558" s="2"/>
      <x:c r="E558" s="3"/>
      <x:c r="F558" s="50" t="str">
        <x:f>IF(ISBLANK('Assumptions'!G152),"__BLANK__",'Assumptions'!G152)</x:f>
        <x:v>__BLANK__</x:v>
      </x:c>
      <x:c r="G558" s="50" t="n">
        <x:f>IF(ISBLANK(E558),IF(F558="__BLANK__",0,1),IF(E558=F558,0,1))</x:f>
        <x:v>0</x:v>
      </x:c>
      <x:c r="H558" s="3"/>
      <x:c r="I558" s="3"/>
      <x:c r="J558" s="3"/>
      <x:c r="K558" s="3"/>
      <x:c r="L558" s="3"/>
      <x:c r="M558" s="3"/>
    </x:row>
    <x:row r="559" ht="19" customHeight="1">
      <x:c r="A559" s="2"/>
      <x:c r="B559" s="2"/>
      <x:c r="C559" s="2" t="str">
        <x:v>Assumptions!G153</x:v>
      </x:c>
      <x:c r="D559" s="2"/>
      <x:c r="E559" s="3"/>
      <x:c r="F559" s="50" t="str">
        <x:f>IF(ISBLANK('Assumptions'!G153),"__BLANK__",'Assumptions'!G153)</x:f>
        <x:v>__BLANK__</x:v>
      </x:c>
      <x:c r="G559" s="50" t="n">
        <x:f>IF(ISBLANK(E559),IF(F559="__BLANK__",0,1),IF(E559=F559,0,1))</x:f>
        <x:v>0</x:v>
      </x:c>
      <x:c r="H559" s="3"/>
      <x:c r="I559" s="3"/>
      <x:c r="J559" s="3"/>
      <x:c r="K559" s="3"/>
      <x:c r="L559" s="3"/>
      <x:c r="M559" s="3"/>
    </x:row>
    <x:row r="560" ht="19" customHeight="1">
      <x:c r="A560" s="2"/>
      <x:c r="B560" s="2"/>
      <x:c r="C560" s="2" t="str">
        <x:v>Assumptions!G154</x:v>
      </x:c>
      <x:c r="D560" s="2"/>
      <x:c r="E560" s="3"/>
      <x:c r="F560" s="50" t="str">
        <x:f>IF(ISBLANK('Assumptions'!G154),"__BLANK__",'Assumptions'!G154)</x:f>
        <x:v>__BLANK__</x:v>
      </x:c>
      <x:c r="G560" s="50" t="n">
        <x:f>IF(ISBLANK(E560),IF(F560="__BLANK__",0,1),IF(E560=F560,0,1))</x:f>
        <x:v>0</x:v>
      </x:c>
      <x:c r="H560" s="3"/>
      <x:c r="I560" s="3"/>
      <x:c r="J560" s="3"/>
      <x:c r="K560" s="3"/>
      <x:c r="L560" s="3"/>
      <x:c r="M560" s="3"/>
    </x:row>
    <x:row r="561" ht="19" customHeight="1">
      <x:c r="A561" s="2"/>
      <x:c r="B561" s="2"/>
      <x:c r="C561" s="2" t="str">
        <x:v>Assumptions!G155</x:v>
      </x:c>
      <x:c r="D561" s="2"/>
      <x:c r="E561" s="3"/>
      <x:c r="F561" s="50" t="str">
        <x:f>IF(ISBLANK('Assumptions'!G155),"__BLANK__",'Assumptions'!G155)</x:f>
        <x:v>__BLANK__</x:v>
      </x:c>
      <x:c r="G561" s="50" t="n">
        <x:f>IF(ISBLANK(E561),IF(F561="__BLANK__",0,1),IF(E561=F561,0,1))</x:f>
        <x:v>0</x:v>
      </x:c>
      <x:c r="H561" s="3"/>
      <x:c r="I561" s="3"/>
      <x:c r="J561" s="3"/>
      <x:c r="K561" s="3"/>
      <x:c r="L561" s="3"/>
      <x:c r="M561" s="3"/>
    </x:row>
    <x:row r="562" ht="19" customHeight="1">
      <x:c r="A562" s="2"/>
      <x:c r="B562" s="2"/>
      <x:c r="C562" s="2" t="str">
        <x:v>Assumptions!G156</x:v>
      </x:c>
      <x:c r="D562" s="2"/>
      <x:c r="E562" s="3"/>
      <x:c r="F562" s="50" t="str">
        <x:f>IF(ISBLANK('Assumptions'!G156),"__BLANK__",'Assumptions'!G156)</x:f>
        <x:v>__BLANK__</x:v>
      </x:c>
      <x:c r="G562" s="50" t="n">
        <x:f>IF(ISBLANK(E562),IF(F562="__BLANK__",0,1),IF(E562=F562,0,1))</x:f>
        <x:v>0</x:v>
      </x:c>
      <x:c r="H562" s="3"/>
      <x:c r="I562" s="3"/>
      <x:c r="J562" s="3"/>
      <x:c r="K562" s="3"/>
      <x:c r="L562" s="3"/>
      <x:c r="M562" s="3"/>
    </x:row>
    <x:row r="563" ht="19" customHeight="1">
      <x:c r="A563" s="2"/>
      <x:c r="B563" s="2"/>
      <x:c r="C563" s="2" t="str">
        <x:v>Assumptions!G157</x:v>
      </x:c>
      <x:c r="D563" s="2"/>
      <x:c r="E563" s="3"/>
      <x:c r="F563" s="50" t="str">
        <x:f>IF(ISBLANK('Assumptions'!G157),"__BLANK__",'Assumptions'!G157)</x:f>
        <x:v>__BLANK__</x:v>
      </x:c>
      <x:c r="G563" s="50" t="n">
        <x:f>IF(ISBLANK(E563),IF(F563="__BLANK__",0,1),IF(E563=F563,0,1))</x:f>
        <x:v>0</x:v>
      </x:c>
      <x:c r="H563" s="3"/>
      <x:c r="I563" s="3"/>
      <x:c r="J563" s="3"/>
      <x:c r="K563" s="3"/>
      <x:c r="L563" s="3"/>
      <x:c r="M563" s="3"/>
    </x:row>
    <x:row r="564" ht="19" customHeight="1">
      <x:c r="A564" s="2"/>
      <x:c r="B564" s="2"/>
      <x:c r="C564" s="2" t="str">
        <x:v>Assumptions!G158</x:v>
      </x:c>
      <x:c r="D564" s="2"/>
      <x:c r="E564" s="3"/>
      <x:c r="F564" s="50" t="str">
        <x:f>IF(ISBLANK('Assumptions'!G158),"__BLANK__",'Assumptions'!G158)</x:f>
        <x:v>__BLANK__</x:v>
      </x:c>
      <x:c r="G564" s="50" t="n">
        <x:f>IF(ISBLANK(E564),IF(F564="__BLANK__",0,1),IF(E564=F564,0,1))</x:f>
        <x:v>0</x:v>
      </x:c>
      <x:c r="H564" s="3"/>
      <x:c r="I564" s="3"/>
      <x:c r="J564" s="3"/>
      <x:c r="K564" s="3"/>
      <x:c r="L564" s="3"/>
      <x:c r="M564" s="3"/>
    </x:row>
    <x:row r="565" ht="19" customHeight="1">
      <x:c r="A565" s="2"/>
      <x:c r="B565" s="2"/>
      <x:c r="C565" s="2" t="str">
        <x:v>Assumptions!G159</x:v>
      </x:c>
      <x:c r="D565" s="2"/>
      <x:c r="E565" s="3"/>
      <x:c r="F565" s="50" t="str">
        <x:f>IF(ISBLANK('Assumptions'!G159),"__BLANK__",'Assumptions'!G159)</x:f>
        <x:v>__BLANK__</x:v>
      </x:c>
      <x:c r="G565" s="50" t="n">
        <x:f>IF(ISBLANK(E565),IF(F565="__BLANK__",0,1),IF(E565=F565,0,1))</x:f>
        <x:v>0</x:v>
      </x:c>
      <x:c r="H565" s="3"/>
      <x:c r="I565" s="3"/>
      <x:c r="J565" s="3"/>
      <x:c r="K565" s="3"/>
      <x:c r="L565" s="3"/>
      <x:c r="M565" s="3"/>
    </x:row>
    <x:row r="566" ht="19" customHeight="1">
      <x:c r="A566" s="2"/>
      <x:c r="B566" s="2"/>
      <x:c r="C566" s="2" t="str">
        <x:v>Assumptions!H151</x:v>
      </x:c>
      <x:c r="D566" s="2"/>
      <x:c r="E566" s="3"/>
      <x:c r="F566" s="50" t="str">
        <x:f>IF(ISBLANK('Assumptions'!H151),"__BLANK__",'Assumptions'!H151)</x:f>
        <x:v>__BLANK__</x:v>
      </x:c>
      <x:c r="G566" s="50" t="n">
        <x:f>IF(ISBLANK(E566),IF(F566="__BLANK__",0,1),IF(E566=F566,0,1))</x:f>
        <x:v>0</x:v>
      </x:c>
      <x:c r="H566" s="3"/>
      <x:c r="I566" s="3"/>
      <x:c r="J566" s="3"/>
      <x:c r="K566" s="3"/>
      <x:c r="L566" s="3"/>
      <x:c r="M566" s="3"/>
    </x:row>
    <x:row r="567" ht="19" customHeight="1">
      <x:c r="A567" s="2"/>
      <x:c r="B567" s="2"/>
      <x:c r="C567" s="2" t="str">
        <x:v>Assumptions!H152</x:v>
      </x:c>
      <x:c r="D567" s="2"/>
      <x:c r="E567" s="3"/>
      <x:c r="F567" s="50" t="str">
        <x:f>IF(ISBLANK('Assumptions'!H152),"__BLANK__",'Assumptions'!H152)</x:f>
        <x:v>__BLANK__</x:v>
      </x:c>
      <x:c r="G567" s="50" t="n">
        <x:f>IF(ISBLANK(E567),IF(F567="__BLANK__",0,1),IF(E567=F567,0,1))</x:f>
        <x:v>0</x:v>
      </x:c>
      <x:c r="H567" s="3"/>
      <x:c r="I567" s="3"/>
      <x:c r="J567" s="3"/>
      <x:c r="K567" s="3"/>
      <x:c r="L567" s="3"/>
      <x:c r="M567" s="3"/>
    </x:row>
    <x:row r="568" ht="19" customHeight="1">
      <x:c r="A568" s="2"/>
      <x:c r="B568" s="2"/>
      <x:c r="C568" s="2" t="str">
        <x:v>Assumptions!H153</x:v>
      </x:c>
      <x:c r="D568" s="2"/>
      <x:c r="E568" s="3"/>
      <x:c r="F568" s="50" t="str">
        <x:f>IF(ISBLANK('Assumptions'!H153),"__BLANK__",'Assumptions'!H153)</x:f>
        <x:v>__BLANK__</x:v>
      </x:c>
      <x:c r="G568" s="50" t="n">
        <x:f>IF(ISBLANK(E568),IF(F568="__BLANK__",0,1),IF(E568=F568,0,1))</x:f>
        <x:v>0</x:v>
      </x:c>
      <x:c r="H568" s="3"/>
      <x:c r="I568" s="3"/>
      <x:c r="J568" s="3"/>
      <x:c r="K568" s="3"/>
      <x:c r="L568" s="3"/>
      <x:c r="M568" s="3"/>
    </x:row>
    <x:row r="569" ht="19" customHeight="1">
      <x:c r="A569" s="2"/>
      <x:c r="B569" s="2"/>
      <x:c r="C569" s="2" t="str">
        <x:v>Assumptions!H154</x:v>
      </x:c>
      <x:c r="D569" s="2"/>
      <x:c r="E569" s="3"/>
      <x:c r="F569" s="50" t="str">
        <x:f>IF(ISBLANK('Assumptions'!H154),"__BLANK__",'Assumptions'!H154)</x:f>
        <x:v>__BLANK__</x:v>
      </x:c>
      <x:c r="G569" s="50" t="n">
        <x:f>IF(ISBLANK(E569),IF(F569="__BLANK__",0,1),IF(E569=F569,0,1))</x:f>
        <x:v>0</x:v>
      </x:c>
      <x:c r="H569" s="3"/>
      <x:c r="I569" s="3"/>
      <x:c r="J569" s="3"/>
      <x:c r="K569" s="3"/>
      <x:c r="L569" s="3"/>
      <x:c r="M569" s="3"/>
    </x:row>
    <x:row r="570" ht="19" customHeight="1">
      <x:c r="A570" s="2"/>
      <x:c r="B570" s="2"/>
      <x:c r="C570" s="2" t="str">
        <x:v>Assumptions!H155</x:v>
      </x:c>
      <x:c r="D570" s="2"/>
      <x:c r="E570" s="3"/>
      <x:c r="F570" s="50" t="str">
        <x:f>IF(ISBLANK('Assumptions'!H155),"__BLANK__",'Assumptions'!H155)</x:f>
        <x:v>__BLANK__</x:v>
      </x:c>
      <x:c r="G570" s="50" t="n">
        <x:f>IF(ISBLANK(E570),IF(F570="__BLANK__",0,1),IF(E570=F570,0,1))</x:f>
        <x:v>0</x:v>
      </x:c>
      <x:c r="H570" s="3"/>
      <x:c r="I570" s="3"/>
      <x:c r="J570" s="3"/>
      <x:c r="K570" s="3"/>
      <x:c r="L570" s="3"/>
      <x:c r="M570" s="3"/>
    </x:row>
    <x:row r="571" ht="19" customHeight="1">
      <x:c r="A571" s="2"/>
      <x:c r="B571" s="2"/>
      <x:c r="C571" s="2" t="str">
        <x:v>Assumptions!H156</x:v>
      </x:c>
      <x:c r="D571" s="2"/>
      <x:c r="E571" s="3"/>
      <x:c r="F571" s="50" t="str">
        <x:f>IF(ISBLANK('Assumptions'!H156),"__BLANK__",'Assumptions'!H156)</x:f>
        <x:v>__BLANK__</x:v>
      </x:c>
      <x:c r="G571" s="50" t="n">
        <x:f>IF(ISBLANK(E571),IF(F571="__BLANK__",0,1),IF(E571=F571,0,1))</x:f>
        <x:v>0</x:v>
      </x:c>
      <x:c r="H571" s="3"/>
      <x:c r="I571" s="3"/>
      <x:c r="J571" s="3"/>
      <x:c r="K571" s="3"/>
      <x:c r="L571" s="3"/>
      <x:c r="M571" s="3"/>
    </x:row>
    <x:row r="572" ht="19" customHeight="1">
      <x:c r="A572" s="2"/>
      <x:c r="B572" s="2"/>
      <x:c r="C572" s="2" t="str">
        <x:v>Assumptions!H157</x:v>
      </x:c>
      <x:c r="D572" s="2"/>
      <x:c r="E572" s="3"/>
      <x:c r="F572" s="50" t="str">
        <x:f>IF(ISBLANK('Assumptions'!H157),"__BLANK__",'Assumptions'!H157)</x:f>
        <x:v>__BLANK__</x:v>
      </x:c>
      <x:c r="G572" s="50" t="n">
        <x:f>IF(ISBLANK(E572),IF(F572="__BLANK__",0,1),IF(E572=F572,0,1))</x:f>
        <x:v>0</x:v>
      </x:c>
      <x:c r="H572" s="3"/>
      <x:c r="I572" s="3"/>
      <x:c r="J572" s="3"/>
      <x:c r="K572" s="3"/>
      <x:c r="L572" s="3"/>
      <x:c r="M572" s="3"/>
    </x:row>
    <x:row r="573" ht="19" customHeight="1">
      <x:c r="A573" s="2"/>
      <x:c r="B573" s="2"/>
      <x:c r="C573" s="2" t="str">
        <x:v>Assumptions!H158</x:v>
      </x:c>
      <x:c r="D573" s="2"/>
      <x:c r="E573" s="3"/>
      <x:c r="F573" s="50" t="str">
        <x:f>IF(ISBLANK('Assumptions'!H158),"__BLANK__",'Assumptions'!H158)</x:f>
        <x:v>__BLANK__</x:v>
      </x:c>
      <x:c r="G573" s="50" t="n">
        <x:f>IF(ISBLANK(E573),IF(F573="__BLANK__",0,1),IF(E573=F573,0,1))</x:f>
        <x:v>0</x:v>
      </x:c>
      <x:c r="H573" s="3"/>
      <x:c r="I573" s="3"/>
      <x:c r="J573" s="3"/>
      <x:c r="K573" s="3"/>
      <x:c r="L573" s="3"/>
      <x:c r="M573" s="3"/>
    </x:row>
    <x:row r="574" ht="19" customHeight="1">
      <x:c r="A574" s="2"/>
      <x:c r="B574" s="2"/>
      <x:c r="C574" s="2" t="str">
        <x:v>Assumptions!H159</x:v>
      </x:c>
      <x:c r="D574" s="2"/>
      <x:c r="E574" s="3"/>
      <x:c r="F574" s="50" t="str">
        <x:f>IF(ISBLANK('Assumptions'!H159),"__BLANK__",'Assumptions'!H159)</x:f>
        <x:v>__BLANK__</x:v>
      </x:c>
      <x:c r="G574" s="50" t="n">
        <x:f>IF(ISBLANK(E574),IF(F574="__BLANK__",0,1),IF(E574=F574,0,1))</x:f>
        <x:v>0</x:v>
      </x:c>
      <x:c r="H574" s="3"/>
      <x:c r="I574" s="3"/>
      <x:c r="J574" s="3"/>
      <x:c r="K574" s="3"/>
      <x:c r="L574" s="3"/>
      <x:c r="M574" s="3"/>
    </x:row>
    <x:row r="575" ht="19" customHeight="1">
      <x:c r="A575" s="2"/>
      <x:c r="B575" s="2"/>
      <x:c r="C575" s="2" t="str">
        <x:v>Assumptions!I151</x:v>
      </x:c>
      <x:c r="D575" s="2"/>
      <x:c r="E575" s="3" t="n">
        <x:v>0.08838811599999996</x:v>
      </x:c>
      <x:c r="F575" s="50" t="n">
        <x:f>IF(ISBLANK('Assumptions'!I151),"__BLANK__",'Assumptions'!I151)</x:f>
        <x:v>0.08838811599999996</x:v>
      </x:c>
      <x:c r="G575" s="50" t="n">
        <x:f>IF(ISBLANK(E575),IF(F575="__BLANK__",0,1),IF(E575=F575,0,1))</x:f>
        <x:v>0</x:v>
      </x:c>
      <x:c r="H575" s="3"/>
      <x:c r="I575" s="3"/>
      <x:c r="J575" s="3"/>
      <x:c r="K575" s="3"/>
      <x:c r="L575" s="3"/>
      <x:c r="M575" s="3"/>
    </x:row>
    <x:row r="576" ht="19" customHeight="1">
      <x:c r="A576" s="2"/>
      <x:c r="B576" s="2"/>
      <x:c r="C576" s="2" t="str">
        <x:v>Assumptions!I152</x:v>
      </x:c>
      <x:c r="D576" s="2"/>
      <x:c r="E576" s="3" t="n">
        <x:v>0.08838811599999996</x:v>
      </x:c>
      <x:c r="F576" s="50" t="n">
        <x:f>IF(ISBLANK('Assumptions'!I152),"__BLANK__",'Assumptions'!I152)</x:f>
        <x:v>0.08838811599999996</x:v>
      </x:c>
      <x:c r="G576" s="50" t="n">
        <x:f>IF(ISBLANK(E576),IF(F576="__BLANK__",0,1),IF(E576=F576,0,1))</x:f>
        <x:v>0</x:v>
      </x:c>
      <x:c r="H576" s="3"/>
      <x:c r="I576" s="3"/>
      <x:c r="J576" s="3"/>
      <x:c r="K576" s="3"/>
      <x:c r="L576" s="3"/>
      <x:c r="M576" s="3"/>
    </x:row>
    <x:row r="577" ht="19" customHeight="1">
      <x:c r="A577" s="2"/>
      <x:c r="B577" s="2"/>
      <x:c r="C577" s="2" t="str">
        <x:v>Assumptions!I153</x:v>
      </x:c>
      <x:c r="D577" s="2"/>
      <x:c r="E577" s="3" t="n">
        <x:v>0.08838811599999996</x:v>
      </x:c>
      <x:c r="F577" s="50" t="n">
        <x:f>IF(ISBLANK('Assumptions'!I153),"__BLANK__",'Assumptions'!I153)</x:f>
        <x:v>0.08838811599999996</x:v>
      </x:c>
      <x:c r="G577" s="50" t="n">
        <x:f>IF(ISBLANK(E577),IF(F577="__BLANK__",0,1),IF(E577=F577,0,1))</x:f>
        <x:v>0</x:v>
      </x:c>
      <x:c r="H577" s="3"/>
      <x:c r="I577" s="3"/>
      <x:c r="J577" s="3"/>
      <x:c r="K577" s="3"/>
      <x:c r="L577" s="3"/>
      <x:c r="M577" s="3"/>
    </x:row>
    <x:row r="578" ht="19" customHeight="1">
      <x:c r="A578" s="2"/>
      <x:c r="B578" s="2"/>
      <x:c r="C578" s="2" t="str">
        <x:v>Assumptions!I154</x:v>
      </x:c>
      <x:c r="D578" s="2"/>
      <x:c r="E578" s="3" t="n">
        <x:v>0.08838811599999996</x:v>
      </x:c>
      <x:c r="F578" s="50" t="n">
        <x:f>IF(ISBLANK('Assumptions'!I154),"__BLANK__",'Assumptions'!I154)</x:f>
        <x:v>0.08838811599999996</x:v>
      </x:c>
      <x:c r="G578" s="50" t="n">
        <x:f>IF(ISBLANK(E578),IF(F578="__BLANK__",0,1),IF(E578=F578,0,1))</x:f>
        <x:v>0</x:v>
      </x:c>
      <x:c r="H578" s="3"/>
      <x:c r="I578" s="3"/>
      <x:c r="J578" s="3"/>
      <x:c r="K578" s="3"/>
      <x:c r="L578" s="3"/>
      <x:c r="M578" s="3"/>
    </x:row>
    <x:row r="579" ht="19" customHeight="1">
      <x:c r="A579" s="2"/>
      <x:c r="B579" s="2"/>
      <x:c r="C579" s="2" t="str">
        <x:v>Assumptions!I155</x:v>
      </x:c>
      <x:c r="D579" s="2"/>
      <x:c r="E579" s="3" t="n">
        <x:v>0.08838811599999996</x:v>
      </x:c>
      <x:c r="F579" s="50" t="n">
        <x:f>IF(ISBLANK('Assumptions'!I155),"__BLANK__",'Assumptions'!I155)</x:f>
        <x:v>0.08838811599999996</x:v>
      </x:c>
      <x:c r="G579" s="50" t="n">
        <x:f>IF(ISBLANK(E579),IF(F579="__BLANK__",0,1),IF(E579=F579,0,1))</x:f>
        <x:v>0</x:v>
      </x:c>
      <x:c r="H579" s="3"/>
      <x:c r="I579" s="3"/>
      <x:c r="J579" s="3"/>
      <x:c r="K579" s="3"/>
      <x:c r="L579" s="3"/>
      <x:c r="M579" s="3"/>
    </x:row>
    <x:row r="580" ht="19" customHeight="1">
      <x:c r="A580" s="2"/>
      <x:c r="B580" s="2"/>
      <x:c r="C580" s="2" t="str">
        <x:v>Assumptions!I156</x:v>
      </x:c>
      <x:c r="D580" s="2"/>
      <x:c r="E580" s="3" t="n">
        <x:v>0.08838811599999996</x:v>
      </x:c>
      <x:c r="F580" s="50" t="n">
        <x:f>IF(ISBLANK('Assumptions'!I156),"__BLANK__",'Assumptions'!I156)</x:f>
        <x:v>0.08838811599999996</x:v>
      </x:c>
      <x:c r="G580" s="50" t="n">
        <x:f>IF(ISBLANK(E580),IF(F580="__BLANK__",0,1),IF(E580=F580,0,1))</x:f>
        <x:v>0</x:v>
      </x:c>
      <x:c r="H580" s="3"/>
      <x:c r="I580" s="3"/>
      <x:c r="J580" s="3"/>
      <x:c r="K580" s="3"/>
      <x:c r="L580" s="3"/>
      <x:c r="M580" s="3"/>
    </x:row>
    <x:row r="581" ht="19" customHeight="1">
      <x:c r="A581" s="2"/>
      <x:c r="B581" s="2"/>
      <x:c r="C581" s="2" t="str">
        <x:v>Assumptions!I157</x:v>
      </x:c>
      <x:c r="D581" s="2"/>
      <x:c r="E581" s="3" t="n">
        <x:v>0.08838811599999996</x:v>
      </x:c>
      <x:c r="F581" s="50" t="n">
        <x:f>IF(ISBLANK('Assumptions'!I157),"__BLANK__",'Assumptions'!I157)</x:f>
        <x:v>0.08838811599999996</x:v>
      </x:c>
      <x:c r="G581" s="50" t="n">
        <x:f>IF(ISBLANK(E581),IF(F581="__BLANK__",0,1),IF(E581=F581,0,1))</x:f>
        <x:v>0</x:v>
      </x:c>
      <x:c r="H581" s="3"/>
      <x:c r="I581" s="3"/>
      <x:c r="J581" s="3"/>
      <x:c r="K581" s="3"/>
      <x:c r="L581" s="3"/>
      <x:c r="M581" s="3"/>
    </x:row>
    <x:row r="582" ht="19" customHeight="1">
      <x:c r="A582" s="2"/>
      <x:c r="B582" s="2"/>
      <x:c r="C582" s="2" t="str">
        <x:v>Assumptions!I158</x:v>
      </x:c>
      <x:c r="D582" s="2"/>
      <x:c r="E582" s="3" t="n">
        <x:v>0.08838811599999996</x:v>
      </x:c>
      <x:c r="F582" s="50" t="n">
        <x:f>IF(ISBLANK('Assumptions'!I158),"__BLANK__",'Assumptions'!I158)</x:f>
        <x:v>0.08838811599999996</x:v>
      </x:c>
      <x:c r="G582" s="50" t="n">
        <x:f>IF(ISBLANK(E582),IF(F582="__BLANK__",0,1),IF(E582=F582,0,1))</x:f>
        <x:v>0</x:v>
      </x:c>
      <x:c r="H582" s="3"/>
      <x:c r="I582" s="3"/>
      <x:c r="J582" s="3"/>
      <x:c r="K582" s="3"/>
      <x:c r="L582" s="3"/>
      <x:c r="M582" s="3"/>
    </x:row>
    <x:row r="583" ht="19" customHeight="1">
      <x:c r="A583" s="2"/>
      <x:c r="B583" s="2"/>
      <x:c r="C583" s="2" t="str">
        <x:v>Assumptions!I159</x:v>
      </x:c>
      <x:c r="D583" s="2"/>
      <x:c r="E583" s="3" t="n">
        <x:v>0.08838811599999996</x:v>
      </x:c>
      <x:c r="F583" s="50" t="n">
        <x:f>IF(ISBLANK('Assumptions'!I159),"__BLANK__",'Assumptions'!I159)</x:f>
        <x:v>0.08838811599999996</x:v>
      </x:c>
      <x:c r="G583" s="50" t="n">
        <x:f>IF(ISBLANK(E583),IF(F583="__BLANK__",0,1),IF(E583=F583,0,1))</x:f>
        <x:v>0</x:v>
      </x:c>
      <x:c r="H583" s="3"/>
      <x:c r="I583" s="3"/>
      <x:c r="J583" s="3"/>
      <x:c r="K583" s="3"/>
      <x:c r="L583" s="3"/>
      <x:c r="M583" s="3"/>
    </x:row>
    <x:row r="584" ht="19" customHeight="1">
      <x:c r="A584" s="2"/>
      <x:c r="B584" s="2"/>
      <x:c r="C584" s="2" t="str">
        <x:v>Assumptions!J151</x:v>
      </x:c>
      <x:c r="D584" s="2"/>
      <x:c r="E584" s="3" t="n">
        <x:v>0.08842840140140162</x:v>
      </x:c>
      <x:c r="F584" s="50" t="n">
        <x:f>IF(ISBLANK('Assumptions'!J151),"__BLANK__",'Assumptions'!J151)</x:f>
        <x:v>0.08842840140140162</x:v>
      </x:c>
      <x:c r="G584" s="50" t="n">
        <x:f>IF(ISBLANK(E584),IF(F584="__BLANK__",0,1),IF(E584=F584,0,1))</x:f>
        <x:v>0</x:v>
      </x:c>
      <x:c r="H584" s="3"/>
      <x:c r="I584" s="3"/>
      <x:c r="J584" s="3"/>
      <x:c r="K584" s="3"/>
      <x:c r="L584" s="3"/>
      <x:c r="M584" s="3"/>
    </x:row>
    <x:row r="585" ht="19" customHeight="1">
      <x:c r="A585" s="2"/>
      <x:c r="B585" s="2"/>
      <x:c r="C585" s="2" t="str">
        <x:v>Assumptions!J152</x:v>
      </x:c>
      <x:c r="D585" s="2"/>
      <x:c r="E585" s="3" t="n">
        <x:v>0.08842840140140162</x:v>
      </x:c>
      <x:c r="F585" s="50" t="n">
        <x:f>IF(ISBLANK('Assumptions'!J152),"__BLANK__",'Assumptions'!J152)</x:f>
        <x:v>0.08842840140140162</x:v>
      </x:c>
      <x:c r="G585" s="50" t="n">
        <x:f>IF(ISBLANK(E585),IF(F585="__BLANK__",0,1),IF(E585=F585,0,1))</x:f>
        <x:v>0</x:v>
      </x:c>
      <x:c r="H585" s="3"/>
      <x:c r="I585" s="3"/>
      <x:c r="J585" s="3"/>
      <x:c r="K585" s="3"/>
      <x:c r="L585" s="3"/>
      <x:c r="M585" s="3"/>
    </x:row>
    <x:row r="586" ht="19" customHeight="1">
      <x:c r="A586" s="2"/>
      <x:c r="B586" s="2"/>
      <x:c r="C586" s="2" t="str">
        <x:v>Assumptions!J153</x:v>
      </x:c>
      <x:c r="D586" s="2"/>
      <x:c r="E586" s="3" t="n">
        <x:v>0.08842840140140162</x:v>
      </x:c>
      <x:c r="F586" s="50" t="n">
        <x:f>IF(ISBLANK('Assumptions'!J153),"__BLANK__",'Assumptions'!J153)</x:f>
        <x:v>0.08842840140140162</x:v>
      </x:c>
      <x:c r="G586" s="50" t="n">
        <x:f>IF(ISBLANK(E586),IF(F586="__BLANK__",0,1),IF(E586=F586,0,1))</x:f>
        <x:v>0</x:v>
      </x:c>
      <x:c r="H586" s="3"/>
      <x:c r="I586" s="3"/>
      <x:c r="J586" s="3"/>
      <x:c r="K586" s="3"/>
      <x:c r="L586" s="3"/>
      <x:c r="M586" s="3"/>
    </x:row>
    <x:row r="587" ht="19" customHeight="1">
      <x:c r="A587" s="2"/>
      <x:c r="B587" s="2"/>
      <x:c r="C587" s="2" t="str">
        <x:v>Assumptions!J154</x:v>
      </x:c>
      <x:c r="D587" s="2"/>
      <x:c r="E587" s="3" t="n">
        <x:v>0.08842840140140162</x:v>
      </x:c>
      <x:c r="F587" s="50" t="n">
        <x:f>IF(ISBLANK('Assumptions'!J154),"__BLANK__",'Assumptions'!J154)</x:f>
        <x:v>0.08842840140140162</x:v>
      </x:c>
      <x:c r="G587" s="50" t="n">
        <x:f>IF(ISBLANK(E587),IF(F587="__BLANK__",0,1),IF(E587=F587,0,1))</x:f>
        <x:v>0</x:v>
      </x:c>
      <x:c r="H587" s="3"/>
      <x:c r="I587" s="3"/>
      <x:c r="J587" s="3"/>
      <x:c r="K587" s="3"/>
      <x:c r="L587" s="3"/>
      <x:c r="M587" s="3"/>
    </x:row>
    <x:row r="588" ht="19" customHeight="1">
      <x:c r="A588" s="2"/>
      <x:c r="B588" s="2"/>
      <x:c r="C588" s="2" t="str">
        <x:v>Assumptions!J155</x:v>
      </x:c>
      <x:c r="D588" s="2"/>
      <x:c r="E588" s="3" t="n">
        <x:v>0.08842840140140162</x:v>
      </x:c>
      <x:c r="F588" s="50" t="n">
        <x:f>IF(ISBLANK('Assumptions'!J155),"__BLANK__",'Assumptions'!J155)</x:f>
        <x:v>0.08842840140140162</x:v>
      </x:c>
      <x:c r="G588" s="50" t="n">
        <x:f>IF(ISBLANK(E588),IF(F588="__BLANK__",0,1),IF(E588=F588,0,1))</x:f>
        <x:v>0</x:v>
      </x:c>
      <x:c r="H588" s="3"/>
      <x:c r="I588" s="3"/>
      <x:c r="J588" s="3"/>
      <x:c r="K588" s="3"/>
      <x:c r="L588" s="3"/>
      <x:c r="M588" s="3"/>
    </x:row>
    <x:row r="589" ht="19" customHeight="1">
      <x:c r="A589" s="2"/>
      <x:c r="B589" s="2"/>
      <x:c r="C589" s="2" t="str">
        <x:v>Assumptions!J156</x:v>
      </x:c>
      <x:c r="D589" s="2"/>
      <x:c r="E589" s="3" t="n">
        <x:v>0.08842840140140162</x:v>
      </x:c>
      <x:c r="F589" s="50" t="n">
        <x:f>IF(ISBLANK('Assumptions'!J156),"__BLANK__",'Assumptions'!J156)</x:f>
        <x:v>0.08842840140140162</x:v>
      </x:c>
      <x:c r="G589" s="50" t="n">
        <x:f>IF(ISBLANK(E589),IF(F589="__BLANK__",0,1),IF(E589=F589,0,1))</x:f>
        <x:v>0</x:v>
      </x:c>
      <x:c r="H589" s="3"/>
      <x:c r="I589" s="3"/>
      <x:c r="J589" s="3"/>
      <x:c r="K589" s="3"/>
      <x:c r="L589" s="3"/>
      <x:c r="M589" s="3"/>
    </x:row>
    <x:row r="590" ht="19" customHeight="1">
      <x:c r="A590" s="2"/>
      <x:c r="B590" s="2"/>
      <x:c r="C590" s="2" t="str">
        <x:v>Assumptions!J157</x:v>
      </x:c>
      <x:c r="D590" s="2"/>
      <x:c r="E590" s="3" t="n">
        <x:v>0.08842840140140162</x:v>
      </x:c>
      <x:c r="F590" s="50" t="n">
        <x:f>IF(ISBLANK('Assumptions'!J157),"__BLANK__",'Assumptions'!J157)</x:f>
        <x:v>0.08842840140140162</x:v>
      </x:c>
      <x:c r="G590" s="50" t="n">
        <x:f>IF(ISBLANK(E590),IF(F590="__BLANK__",0,1),IF(E590=F590,0,1))</x:f>
        <x:v>0</x:v>
      </x:c>
      <x:c r="H590" s="3"/>
      <x:c r="I590" s="3"/>
      <x:c r="J590" s="3"/>
      <x:c r="K590" s="3"/>
      <x:c r="L590" s="3"/>
      <x:c r="M590" s="3"/>
    </x:row>
    <x:row r="591" ht="19" customHeight="1">
      <x:c r="A591" s="2"/>
      <x:c r="B591" s="2"/>
      <x:c r="C591" s="2" t="str">
        <x:v>Assumptions!J158</x:v>
      </x:c>
      <x:c r="D591" s="2"/>
      <x:c r="E591" s="3" t="n">
        <x:v>0.08842840140140162</x:v>
      </x:c>
      <x:c r="F591" s="50" t="n">
        <x:f>IF(ISBLANK('Assumptions'!J158),"__BLANK__",'Assumptions'!J158)</x:f>
        <x:v>0.08842840140140162</x:v>
      </x:c>
      <x:c r="G591" s="50" t="n">
        <x:f>IF(ISBLANK(E591),IF(F591="__BLANK__",0,1),IF(E591=F591,0,1))</x:f>
        <x:v>0</x:v>
      </x:c>
      <x:c r="H591" s="3"/>
      <x:c r="I591" s="3"/>
      <x:c r="J591" s="3"/>
      <x:c r="K591" s="3"/>
      <x:c r="L591" s="3"/>
      <x:c r="M591" s="3"/>
    </x:row>
    <x:row r="592" ht="19" customHeight="1">
      <x:c r="A592" s="2"/>
      <x:c r="B592" s="2"/>
      <x:c r="C592" s="2" t="str">
        <x:v>Assumptions!J159</x:v>
      </x:c>
      <x:c r="D592" s="2"/>
      <x:c r="E592" s="3" t="n">
        <x:v>0.08842840140140162</x:v>
      </x:c>
      <x:c r="F592" s="50" t="n">
        <x:f>IF(ISBLANK('Assumptions'!J159),"__BLANK__",'Assumptions'!J159)</x:f>
        <x:v>0.08842840140140162</x:v>
      </x:c>
      <x:c r="G592" s="50" t="n">
        <x:f>IF(ISBLANK(E592),IF(F592="__BLANK__",0,1),IF(E592=F592,0,1))</x:f>
        <x:v>0</x:v>
      </x:c>
      <x:c r="H592" s="3"/>
      <x:c r="I592" s="3"/>
      <x:c r="J592" s="3"/>
      <x:c r="K592" s="3"/>
      <x:c r="L592" s="3"/>
      <x:c r="M592" s="3"/>
    </x:row>
    <x:row r="593" ht="19" customHeight="1">
      <x:c r="A593" s="2"/>
      <x:c r="B593" s="2"/>
      <x:c r="C593" s="2" t="str">
        <x:v>Assumptions!K151</x:v>
      </x:c>
      <x:c r="D593" s="2"/>
      <x:c r="E593" s="3" t="n">
        <x:v>0.0885779212073432</x:v>
      </x:c>
      <x:c r="F593" s="50" t="n">
        <x:f>IF(ISBLANK('Assumptions'!K151),"__BLANK__",'Assumptions'!K151)</x:f>
        <x:v>0.0885779212073432</x:v>
      </x:c>
      <x:c r="G593" s="50" t="n">
        <x:f>IF(ISBLANK(E593),IF(F593="__BLANK__",0,1),IF(E593=F593,0,1))</x:f>
        <x:v>0</x:v>
      </x:c>
      <x:c r="H593" s="3"/>
      <x:c r="I593" s="3"/>
      <x:c r="J593" s="3"/>
      <x:c r="K593" s="3"/>
      <x:c r="L593" s="3"/>
      <x:c r="M593" s="3"/>
    </x:row>
    <x:row r="594" ht="19" customHeight="1">
      <x:c r="A594" s="2"/>
      <x:c r="B594" s="2"/>
      <x:c r="C594" s="2" t="str">
        <x:v>Assumptions!K152</x:v>
      </x:c>
      <x:c r="D594" s="2"/>
      <x:c r="E594" s="3" t="n">
        <x:v>0.0885779212073432</x:v>
      </x:c>
      <x:c r="F594" s="50" t="n">
        <x:f>IF(ISBLANK('Assumptions'!K152),"__BLANK__",'Assumptions'!K152)</x:f>
        <x:v>0.0885779212073432</x:v>
      </x:c>
      <x:c r="G594" s="50" t="n">
        <x:f>IF(ISBLANK(E594),IF(F594="__BLANK__",0,1),IF(E594=F594,0,1))</x:f>
        <x:v>0</x:v>
      </x:c>
      <x:c r="H594" s="3"/>
      <x:c r="I594" s="3"/>
      <x:c r="J594" s="3"/>
      <x:c r="K594" s="3"/>
      <x:c r="L594" s="3"/>
      <x:c r="M594" s="3"/>
    </x:row>
    <x:row r="595" ht="19" customHeight="1">
      <x:c r="A595" s="2"/>
      <x:c r="B595" s="2"/>
      <x:c r="C595" s="2" t="str">
        <x:v>Assumptions!K153</x:v>
      </x:c>
      <x:c r="D595" s="2"/>
      <x:c r="E595" s="3" t="n">
        <x:v>0.0885779212073432</x:v>
      </x:c>
      <x:c r="F595" s="50" t="n">
        <x:f>IF(ISBLANK('Assumptions'!K153),"__BLANK__",'Assumptions'!K153)</x:f>
        <x:v>0.0885779212073432</x:v>
      </x:c>
      <x:c r="G595" s="50" t="n">
        <x:f>IF(ISBLANK(E595),IF(F595="__BLANK__",0,1),IF(E595=F595,0,1))</x:f>
        <x:v>0</x:v>
      </x:c>
      <x:c r="H595" s="3"/>
      <x:c r="I595" s="3"/>
      <x:c r="J595" s="3"/>
      <x:c r="K595" s="3"/>
      <x:c r="L595" s="3"/>
      <x:c r="M595" s="3"/>
    </x:row>
    <x:row r="596" ht="19" customHeight="1">
      <x:c r="A596" s="2"/>
      <x:c r="B596" s="2"/>
      <x:c r="C596" s="2" t="str">
        <x:v>Assumptions!K154</x:v>
      </x:c>
      <x:c r="D596" s="2"/>
      <x:c r="E596" s="3" t="n">
        <x:v>0.0885779212073432</x:v>
      </x:c>
      <x:c r="F596" s="50" t="n">
        <x:f>IF(ISBLANK('Assumptions'!K154),"__BLANK__",'Assumptions'!K154)</x:f>
        <x:v>0.0885779212073432</x:v>
      </x:c>
      <x:c r="G596" s="50" t="n">
        <x:f>IF(ISBLANK(E596),IF(F596="__BLANK__",0,1),IF(E596=F596,0,1))</x:f>
        <x:v>0</x:v>
      </x:c>
      <x:c r="H596" s="3"/>
      <x:c r="I596" s="3"/>
      <x:c r="J596" s="3"/>
      <x:c r="K596" s="3"/>
      <x:c r="L596" s="3"/>
      <x:c r="M596" s="3"/>
    </x:row>
    <x:row r="597" ht="19" customHeight="1">
      <x:c r="A597" s="2"/>
      <x:c r="B597" s="2"/>
      <x:c r="C597" s="2" t="str">
        <x:v>Assumptions!K155</x:v>
      </x:c>
      <x:c r="D597" s="2"/>
      <x:c r="E597" s="3" t="n">
        <x:v>0.0885779212073432</x:v>
      </x:c>
      <x:c r="F597" s="50" t="n">
        <x:f>IF(ISBLANK('Assumptions'!K155),"__BLANK__",'Assumptions'!K155)</x:f>
        <x:v>0.0885779212073432</x:v>
      </x:c>
      <x:c r="G597" s="50" t="n">
        <x:f>IF(ISBLANK(E597),IF(F597="__BLANK__",0,1),IF(E597=F597,0,1))</x:f>
        <x:v>0</x:v>
      </x:c>
      <x:c r="H597" s="3"/>
      <x:c r="I597" s="3"/>
      <x:c r="J597" s="3"/>
      <x:c r="K597" s="3"/>
      <x:c r="L597" s="3"/>
      <x:c r="M597" s="3"/>
    </x:row>
    <x:row r="598" ht="19" customHeight="1">
      <x:c r="A598" s="2"/>
      <x:c r="B598" s="2"/>
      <x:c r="C598" s="2" t="str">
        <x:v>Assumptions!K156</x:v>
      </x:c>
      <x:c r="D598" s="2"/>
      <x:c r="E598" s="3" t="n">
        <x:v>0.0885779212073432</x:v>
      </x:c>
      <x:c r="F598" s="50" t="n">
        <x:f>IF(ISBLANK('Assumptions'!K156),"__BLANK__",'Assumptions'!K156)</x:f>
        <x:v>0.0885779212073432</x:v>
      </x:c>
      <x:c r="G598" s="50" t="n">
        <x:f>IF(ISBLANK(E598),IF(F598="__BLANK__",0,1),IF(E598=F598,0,1))</x:f>
        <x:v>0</x:v>
      </x:c>
      <x:c r="H598" s="3"/>
      <x:c r="I598" s="3"/>
      <x:c r="J598" s="3"/>
      <x:c r="K598" s="3"/>
      <x:c r="L598" s="3"/>
      <x:c r="M598" s="3"/>
    </x:row>
    <x:row r="599" ht="19" customHeight="1">
      <x:c r="A599" s="2"/>
      <x:c r="B599" s="2"/>
      <x:c r="C599" s="2" t="str">
        <x:v>Assumptions!K157</x:v>
      </x:c>
      <x:c r="D599" s="2"/>
      <x:c r="E599" s="3" t="n">
        <x:v>0.0885779212073432</x:v>
      </x:c>
      <x:c r="F599" s="50" t="n">
        <x:f>IF(ISBLANK('Assumptions'!K157),"__BLANK__",'Assumptions'!K157)</x:f>
        <x:v>0.0885779212073432</x:v>
      </x:c>
      <x:c r="G599" s="50" t="n">
        <x:f>IF(ISBLANK(E599),IF(F599="__BLANK__",0,1),IF(E599=F599,0,1))</x:f>
        <x:v>0</x:v>
      </x:c>
      <x:c r="H599" s="3"/>
      <x:c r="I599" s="3"/>
      <x:c r="J599" s="3"/>
      <x:c r="K599" s="3"/>
      <x:c r="L599" s="3"/>
      <x:c r="M599" s="3"/>
    </x:row>
    <x:row r="600" ht="19" customHeight="1">
      <x:c r="A600" s="2"/>
      <x:c r="B600" s="2"/>
      <x:c r="C600" s="2" t="str">
        <x:v>Assumptions!K158</x:v>
      </x:c>
      <x:c r="D600" s="2"/>
      <x:c r="E600" s="3" t="n">
        <x:v>0.0885779212073432</x:v>
      </x:c>
      <x:c r="F600" s="50" t="n">
        <x:f>IF(ISBLANK('Assumptions'!K158),"__BLANK__",'Assumptions'!K158)</x:f>
        <x:v>0.0885779212073432</x:v>
      </x:c>
      <x:c r="G600" s="50" t="n">
        <x:f>IF(ISBLANK(E600),IF(F600="__BLANK__",0,1),IF(E600=F600,0,1))</x:f>
        <x:v>0</x:v>
      </x:c>
      <x:c r="H600" s="3"/>
      <x:c r="I600" s="3"/>
      <x:c r="J600" s="3"/>
      <x:c r="K600" s="3"/>
      <x:c r="L600" s="3"/>
      <x:c r="M600" s="3"/>
    </x:row>
    <x:row r="601" ht="19" customHeight="1">
      <x:c r="A601" s="2"/>
      <x:c r="B601" s="2"/>
      <x:c r="C601" s="2" t="str">
        <x:v>Assumptions!K159</x:v>
      </x:c>
      <x:c r="D601" s="2"/>
      <x:c r="E601" s="3" t="n">
        <x:v>0.0885779212073432</x:v>
      </x:c>
      <x:c r="F601" s="50" t="n">
        <x:f>IF(ISBLANK('Assumptions'!K159),"__BLANK__",'Assumptions'!K159)</x:f>
        <x:v>0.0885779212073432</x:v>
      </x:c>
      <x:c r="G601" s="50" t="n">
        <x:f>IF(ISBLANK(E601),IF(F601="__BLANK__",0,1),IF(E601=F601,0,1))</x:f>
        <x:v>0</x:v>
      </x:c>
      <x:c r="H601" s="3"/>
      <x:c r="I601" s="3"/>
      <x:c r="J601" s="3"/>
      <x:c r="K601" s="3"/>
      <x:c r="L601" s="3"/>
      <x:c r="M601" s="3"/>
    </x:row>
    <x:row r="602" ht="19" customHeight="1">
      <x:c r="A602" s="2"/>
      <x:c r="B602" s="2"/>
      <x:c r="C602" s="2" t="str">
        <x:v>Assumptions!L151</x:v>
      </x:c>
      <x:c r="D602" s="2"/>
      <x:c r="E602" s="3" t="n">
        <x:v>0.08946783740302067</x:v>
      </x:c>
      <x:c r="F602" s="50" t="n">
        <x:f>IF(ISBLANK('Assumptions'!L151),"__BLANK__",'Assumptions'!L151)</x:f>
        <x:v>0.08946783740302067</x:v>
      </x:c>
      <x:c r="G602" s="50" t="n">
        <x:f>IF(ISBLANK(E602),IF(F602="__BLANK__",0,1),IF(E602=F602,0,1))</x:f>
        <x:v>0</x:v>
      </x:c>
      <x:c r="H602" s="3"/>
      <x:c r="I602" s="3"/>
      <x:c r="J602" s="3"/>
      <x:c r="K602" s="3"/>
      <x:c r="L602" s="3"/>
      <x:c r="M602" s="3"/>
    </x:row>
    <x:row r="603" ht="19" customHeight="1">
      <x:c r="A603" s="2"/>
      <x:c r="B603" s="2"/>
      <x:c r="C603" s="2" t="str">
        <x:v>Assumptions!L152</x:v>
      </x:c>
      <x:c r="D603" s="2"/>
      <x:c r="E603" s="3" t="n">
        <x:v>0.08946783740302067</x:v>
      </x:c>
      <x:c r="F603" s="50" t="n">
        <x:f>IF(ISBLANK('Assumptions'!L152),"__BLANK__",'Assumptions'!L152)</x:f>
        <x:v>0.08946783740302067</x:v>
      </x:c>
      <x:c r="G603" s="50" t="n">
        <x:f>IF(ISBLANK(E603),IF(F603="__BLANK__",0,1),IF(E603=F603,0,1))</x:f>
        <x:v>0</x:v>
      </x:c>
      <x:c r="H603" s="3"/>
      <x:c r="I603" s="3"/>
      <x:c r="J603" s="3"/>
      <x:c r="K603" s="3"/>
      <x:c r="L603" s="3"/>
      <x:c r="M603" s="3"/>
    </x:row>
    <x:row r="604" ht="19" customHeight="1">
      <x:c r="A604" s="2"/>
      <x:c r="B604" s="2"/>
      <x:c r="C604" s="2" t="str">
        <x:v>Assumptions!L153</x:v>
      </x:c>
      <x:c r="D604" s="2"/>
      <x:c r="E604" s="3" t="n">
        <x:v>0.08946783740302067</x:v>
      </x:c>
      <x:c r="F604" s="50" t="n">
        <x:f>IF(ISBLANK('Assumptions'!L153),"__BLANK__",'Assumptions'!L153)</x:f>
        <x:v>0.08946783740302067</x:v>
      </x:c>
      <x:c r="G604" s="50" t="n">
        <x:f>IF(ISBLANK(E604),IF(F604="__BLANK__",0,1),IF(E604=F604,0,1))</x:f>
        <x:v>0</x:v>
      </x:c>
      <x:c r="H604" s="3"/>
      <x:c r="I604" s="3"/>
      <x:c r="J604" s="3"/>
      <x:c r="K604" s="3"/>
      <x:c r="L604" s="3"/>
      <x:c r="M604" s="3"/>
    </x:row>
    <x:row r="605" ht="19" customHeight="1">
      <x:c r="A605" s="2"/>
      <x:c r="B605" s="2"/>
      <x:c r="C605" s="2" t="str">
        <x:v>Assumptions!L154</x:v>
      </x:c>
      <x:c r="D605" s="2"/>
      <x:c r="E605" s="3" t="n">
        <x:v>0.08946783740302067</x:v>
      </x:c>
      <x:c r="F605" s="50" t="n">
        <x:f>IF(ISBLANK('Assumptions'!L154),"__BLANK__",'Assumptions'!L154)</x:f>
        <x:v>0.08946783740302067</x:v>
      </x:c>
      <x:c r="G605" s="50" t="n">
        <x:f>IF(ISBLANK(E605),IF(F605="__BLANK__",0,1),IF(E605=F605,0,1))</x:f>
        <x:v>0</x:v>
      </x:c>
      <x:c r="H605" s="3"/>
      <x:c r="I605" s="3"/>
      <x:c r="J605" s="3"/>
      <x:c r="K605" s="3"/>
      <x:c r="L605" s="3"/>
      <x:c r="M605" s="3"/>
    </x:row>
    <x:row r="606" ht="19" customHeight="1">
      <x:c r="A606" s="2"/>
      <x:c r="B606" s="2"/>
      <x:c r="C606" s="2" t="str">
        <x:v>Assumptions!L155</x:v>
      </x:c>
      <x:c r="D606" s="2"/>
      <x:c r="E606" s="3" t="n">
        <x:v>0.08946783740302067</x:v>
      </x:c>
      <x:c r="F606" s="50" t="n">
        <x:f>IF(ISBLANK('Assumptions'!L155),"__BLANK__",'Assumptions'!L155)</x:f>
        <x:v>0.08946783740302067</x:v>
      </x:c>
      <x:c r="G606" s="50" t="n">
        <x:f>IF(ISBLANK(E606),IF(F606="__BLANK__",0,1),IF(E606=F606,0,1))</x:f>
        <x:v>0</x:v>
      </x:c>
      <x:c r="H606" s="3"/>
      <x:c r="I606" s="3"/>
      <x:c r="J606" s="3"/>
      <x:c r="K606" s="3"/>
      <x:c r="L606" s="3"/>
      <x:c r="M606" s="3"/>
    </x:row>
    <x:row r="607" ht="19" customHeight="1">
      <x:c r="A607" s="2"/>
      <x:c r="B607" s="2"/>
      <x:c r="C607" s="2" t="str">
        <x:v>Assumptions!L156</x:v>
      </x:c>
      <x:c r="D607" s="2"/>
      <x:c r="E607" s="3" t="n">
        <x:v>0.08946783740302067</x:v>
      </x:c>
      <x:c r="F607" s="50" t="n">
        <x:f>IF(ISBLANK('Assumptions'!L156),"__BLANK__",'Assumptions'!L156)</x:f>
        <x:v>0.08946783740302067</x:v>
      </x:c>
      <x:c r="G607" s="50" t="n">
        <x:f>IF(ISBLANK(E607),IF(F607="__BLANK__",0,1),IF(E607=F607,0,1))</x:f>
        <x:v>0</x:v>
      </x:c>
      <x:c r="H607" s="3"/>
      <x:c r="I607" s="3"/>
      <x:c r="J607" s="3"/>
      <x:c r="K607" s="3"/>
      <x:c r="L607" s="3"/>
      <x:c r="M607" s="3"/>
    </x:row>
    <x:row r="608" ht="19" customHeight="1">
      <x:c r="A608" s="2"/>
      <x:c r="B608" s="2"/>
      <x:c r="C608" s="2" t="str">
        <x:v>Assumptions!L157</x:v>
      </x:c>
      <x:c r="D608" s="2"/>
      <x:c r="E608" s="3" t="n">
        <x:v>0.08946783740302067</x:v>
      </x:c>
      <x:c r="F608" s="50" t="n">
        <x:f>IF(ISBLANK('Assumptions'!L157),"__BLANK__",'Assumptions'!L157)</x:f>
        <x:v>0.08946783740302067</x:v>
      </x:c>
      <x:c r="G608" s="50" t="n">
        <x:f>IF(ISBLANK(E608),IF(F608="__BLANK__",0,1),IF(E608=F608,0,1))</x:f>
        <x:v>0</x:v>
      </x:c>
      <x:c r="H608" s="3"/>
      <x:c r="I608" s="3"/>
      <x:c r="J608" s="3"/>
      <x:c r="K608" s="3"/>
      <x:c r="L608" s="3"/>
      <x:c r="M608" s="3"/>
    </x:row>
    <x:row r="609" ht="19" customHeight="1">
      <x:c r="A609" s="2"/>
      <x:c r="B609" s="2"/>
      <x:c r="C609" s="2" t="str">
        <x:v>Assumptions!L158</x:v>
      </x:c>
      <x:c r="D609" s="2"/>
      <x:c r="E609" s="3" t="n">
        <x:v>0.08946783740302067</x:v>
      </x:c>
      <x:c r="F609" s="50" t="n">
        <x:f>IF(ISBLANK('Assumptions'!L158),"__BLANK__",'Assumptions'!L158)</x:f>
        <x:v>0.08946783740302067</x:v>
      </x:c>
      <x:c r="G609" s="50" t="n">
        <x:f>IF(ISBLANK(E609),IF(F609="__BLANK__",0,1),IF(E609=F609,0,1))</x:f>
        <x:v>0</x:v>
      </x:c>
      <x:c r="H609" s="3"/>
      <x:c r="I609" s="3"/>
      <x:c r="J609" s="3"/>
      <x:c r="K609" s="3"/>
      <x:c r="L609" s="3"/>
      <x:c r="M609" s="3"/>
    </x:row>
    <x:row r="610" ht="19" customHeight="1">
      <x:c r="A610" s="2"/>
      <x:c r="B610" s="2"/>
      <x:c r="C610" s="2" t="str">
        <x:v>Assumptions!L159</x:v>
      </x:c>
      <x:c r="D610" s="2"/>
      <x:c r="E610" s="3" t="n">
        <x:v>0.08946783740302067</x:v>
      </x:c>
      <x:c r="F610" s="50" t="n">
        <x:f>IF(ISBLANK('Assumptions'!L159),"__BLANK__",'Assumptions'!L159)</x:f>
        <x:v>0.08946783740302067</x:v>
      </x:c>
      <x:c r="G610" s="50" t="n">
        <x:f>IF(ISBLANK(E610),IF(F610="__BLANK__",0,1),IF(E610=F610,0,1))</x:f>
        <x:v>0</x:v>
      </x:c>
      <x:c r="H610" s="3"/>
      <x:c r="I610" s="3"/>
      <x:c r="J610" s="3"/>
      <x:c r="K610" s="3"/>
      <x:c r="L610" s="3"/>
      <x:c r="M610" s="3"/>
    </x:row>
    <x:row r="611" ht="19" customHeight="1">
      <x:c r="A611" s="2"/>
      <x:c r="B611" s="2"/>
      <x:c r="C611" s="2" t="str">
        <x:v>Assumptions!E161</x:v>
      </x:c>
      <x:c r="D611" s="2"/>
      <x:c r="E611" s="3"/>
      <x:c r="F611" s="50" t="str">
        <x:f>IF(ISBLANK('Assumptions'!E161),"__BLANK__",'Assumptions'!E161)</x:f>
        <x:v>__BLANK__</x:v>
      </x:c>
      <x:c r="G611" s="50" t="n">
        <x:f>IF(ISBLANK(E611),IF(F611="__BLANK__",0,1),IF(E611=F611,0,1))</x:f>
        <x:v>0</x:v>
      </x:c>
      <x:c r="H611" s="3"/>
      <x:c r="I611" s="3"/>
      <x:c r="J611" s="3"/>
      <x:c r="K611" s="3"/>
      <x:c r="L611" s="3"/>
      <x:c r="M611" s="3"/>
    </x:row>
    <x:row r="612" ht="19" customHeight="1">
      <x:c r="A612" s="2"/>
      <x:c r="B612" s="2"/>
      <x:c r="C612" s="2" t="str">
        <x:v>Assumptions!E162</x:v>
      </x:c>
      <x:c r="D612" s="2"/>
      <x:c r="E612" s="3"/>
      <x:c r="F612" s="50" t="str">
        <x:f>IF(ISBLANK('Assumptions'!E162),"__BLANK__",'Assumptions'!E162)</x:f>
        <x:v>__BLANK__</x:v>
      </x:c>
      <x:c r="G612" s="50" t="n">
        <x:f>IF(ISBLANK(E612),IF(F612="__BLANK__",0,1),IF(E612=F612,0,1))</x:f>
        <x:v>0</x:v>
      </x:c>
      <x:c r="H612" s="3"/>
      <x:c r="I612" s="3"/>
      <x:c r="J612" s="3"/>
      <x:c r="K612" s="3"/>
      <x:c r="L612" s="3"/>
      <x:c r="M612" s="3"/>
    </x:row>
    <x:row r="613" ht="19" customHeight="1">
      <x:c r="A613" s="2"/>
      <x:c r="B613" s="2"/>
      <x:c r="C613" s="2" t="str">
        <x:v>Assumptions!E163</x:v>
      </x:c>
      <x:c r="D613" s="2"/>
      <x:c r="E613" s="3"/>
      <x:c r="F613" s="50" t="str">
        <x:f>IF(ISBLANK('Assumptions'!E163),"__BLANK__",'Assumptions'!E163)</x:f>
        <x:v>__BLANK__</x:v>
      </x:c>
      <x:c r="G613" s="50" t="n">
        <x:f>IF(ISBLANK(E613),IF(F613="__BLANK__",0,1),IF(E613=F613,0,1))</x:f>
        <x:v>0</x:v>
      </x:c>
      <x:c r="H613" s="3"/>
      <x:c r="I613" s="3"/>
      <x:c r="J613" s="3"/>
      <x:c r="K613" s="3"/>
      <x:c r="L613" s="3"/>
      <x:c r="M613" s="3"/>
    </x:row>
    <x:row r="614" ht="19" customHeight="1">
      <x:c r="A614" s="2"/>
      <x:c r="B614" s="2"/>
      <x:c r="C614" s="2" t="str">
        <x:v>Assumptions!E164</x:v>
      </x:c>
      <x:c r="D614" s="2"/>
      <x:c r="E614" s="3"/>
      <x:c r="F614" s="50" t="str">
        <x:f>IF(ISBLANK('Assumptions'!E164),"__BLANK__",'Assumptions'!E164)</x:f>
        <x:v>__BLANK__</x:v>
      </x:c>
      <x:c r="G614" s="50" t="n">
        <x:f>IF(ISBLANK(E614),IF(F614="__BLANK__",0,1),IF(E614=F614,0,1))</x:f>
        <x:v>0</x:v>
      </x:c>
      <x:c r="H614" s="3"/>
      <x:c r="I614" s="3"/>
      <x:c r="J614" s="3"/>
      <x:c r="K614" s="3"/>
      <x:c r="L614" s="3"/>
      <x:c r="M614" s="3"/>
    </x:row>
    <x:row r="615" ht="19" customHeight="1">
      <x:c r="A615" s="2"/>
      <x:c r="B615" s="2"/>
      <x:c r="C615" s="2" t="str">
        <x:v>Assumptions!E165</x:v>
      </x:c>
      <x:c r="D615" s="2"/>
      <x:c r="E615" s="3"/>
      <x:c r="F615" s="50" t="str">
        <x:f>IF(ISBLANK('Assumptions'!E165),"__BLANK__",'Assumptions'!E165)</x:f>
        <x:v>__BLANK__</x:v>
      </x:c>
      <x:c r="G615" s="50" t="n">
        <x:f>IF(ISBLANK(E615),IF(F615="__BLANK__",0,1),IF(E615=F615,0,1))</x:f>
        <x:v>0</x:v>
      </x:c>
      <x:c r="H615" s="3"/>
      <x:c r="I615" s="3"/>
      <x:c r="J615" s="3"/>
      <x:c r="K615" s="3"/>
      <x:c r="L615" s="3"/>
      <x:c r="M615" s="3"/>
    </x:row>
    <x:row r="616" ht="19" customHeight="1">
      <x:c r="A616" s="2"/>
      <x:c r="B616" s="2"/>
      <x:c r="C616" s="2" t="str">
        <x:v>Assumptions!E166</x:v>
      </x:c>
      <x:c r="D616" s="2"/>
      <x:c r="E616" s="3"/>
      <x:c r="F616" s="50" t="str">
        <x:f>IF(ISBLANK('Assumptions'!E166),"__BLANK__",'Assumptions'!E166)</x:f>
        <x:v>__BLANK__</x:v>
      </x:c>
      <x:c r="G616" s="50" t="n">
        <x:f>IF(ISBLANK(E616),IF(F616="__BLANK__",0,1),IF(E616=F616,0,1))</x:f>
        <x:v>0</x:v>
      </x:c>
      <x:c r="H616" s="3"/>
      <x:c r="I616" s="3"/>
      <x:c r="J616" s="3"/>
      <x:c r="K616" s="3"/>
      <x:c r="L616" s="3"/>
      <x:c r="M616" s="3"/>
    </x:row>
    <x:row r="617" ht="19" customHeight="1">
      <x:c r="A617" s="2"/>
      <x:c r="B617" s="2"/>
      <x:c r="C617" s="2" t="str">
        <x:v>Assumptions!E167</x:v>
      </x:c>
      <x:c r="D617" s="2"/>
      <x:c r="E617" s="3"/>
      <x:c r="F617" s="50" t="str">
        <x:f>IF(ISBLANK('Assumptions'!E167),"__BLANK__",'Assumptions'!E167)</x:f>
        <x:v>__BLANK__</x:v>
      </x:c>
      <x:c r="G617" s="50" t="n">
        <x:f>IF(ISBLANK(E617),IF(F617="__BLANK__",0,1),IF(E617=F617,0,1))</x:f>
        <x:v>0</x:v>
      </x:c>
      <x:c r="H617" s="3"/>
      <x:c r="I617" s="3"/>
      <x:c r="J617" s="3"/>
      <x:c r="K617" s="3"/>
      <x:c r="L617" s="3"/>
      <x:c r="M617" s="3"/>
    </x:row>
    <x:row r="618" ht="19" customHeight="1">
      <x:c r="A618" s="2"/>
      <x:c r="B618" s="2"/>
      <x:c r="C618" s="2" t="str">
        <x:v>Assumptions!E168</x:v>
      </x:c>
      <x:c r="D618" s="2"/>
      <x:c r="E618" s="3"/>
      <x:c r="F618" s="50" t="str">
        <x:f>IF(ISBLANK('Assumptions'!E168),"__BLANK__",'Assumptions'!E168)</x:f>
        <x:v>__BLANK__</x:v>
      </x:c>
      <x:c r="G618" s="50" t="n">
        <x:f>IF(ISBLANK(E618),IF(F618="__BLANK__",0,1),IF(E618=F618,0,1))</x:f>
        <x:v>0</x:v>
      </x:c>
      <x:c r="H618" s="3"/>
      <x:c r="I618" s="3"/>
      <x:c r="J618" s="3"/>
      <x:c r="K618" s="3"/>
      <x:c r="L618" s="3"/>
      <x:c r="M618" s="3"/>
    </x:row>
    <x:row r="619" ht="19" customHeight="1">
      <x:c r="A619" s="2"/>
      <x:c r="B619" s="2"/>
      <x:c r="C619" s="2" t="str">
        <x:v>Assumptions!E169</x:v>
      </x:c>
      <x:c r="D619" s="2"/>
      <x:c r="E619" s="3"/>
      <x:c r="F619" s="50" t="str">
        <x:f>IF(ISBLANK('Assumptions'!E169),"__BLANK__",'Assumptions'!E169)</x:f>
        <x:v>__BLANK__</x:v>
      </x:c>
      <x:c r="G619" s="50" t="n">
        <x:f>IF(ISBLANK(E619),IF(F619="__BLANK__",0,1),IF(E619=F619,0,1))</x:f>
        <x:v>0</x:v>
      </x:c>
      <x:c r="H619" s="3"/>
      <x:c r="I619" s="3"/>
      <x:c r="J619" s="3"/>
      <x:c r="K619" s="3"/>
      <x:c r="L619" s="3"/>
      <x:c r="M619" s="3"/>
    </x:row>
    <x:row r="620" ht="19" customHeight="1">
      <x:c r="A620" s="2"/>
      <x:c r="B620" s="2"/>
      <x:c r="C620" s="2" t="str">
        <x:v>Assumptions!F161</x:v>
      </x:c>
      <x:c r="D620" s="2"/>
      <x:c r="E620" s="3"/>
      <x:c r="F620" s="50" t="str">
        <x:f>IF(ISBLANK('Assumptions'!F161),"__BLANK__",'Assumptions'!F161)</x:f>
        <x:v>__BLANK__</x:v>
      </x:c>
      <x:c r="G620" s="50" t="n">
        <x:f>IF(ISBLANK(E620),IF(F620="__BLANK__",0,1),IF(E620=F620,0,1))</x:f>
        <x:v>0</x:v>
      </x:c>
      <x:c r="H620" s="3"/>
      <x:c r="I620" s="3"/>
      <x:c r="J620" s="3"/>
      <x:c r="K620" s="3"/>
      <x:c r="L620" s="3"/>
      <x:c r="M620" s="3"/>
    </x:row>
    <x:row r="621" ht="19" customHeight="1">
      <x:c r="A621" s="2"/>
      <x:c r="B621" s="2"/>
      <x:c r="C621" s="2" t="str">
        <x:v>Assumptions!F162</x:v>
      </x:c>
      <x:c r="D621" s="2"/>
      <x:c r="E621" s="3"/>
      <x:c r="F621" s="50" t="str">
        <x:f>IF(ISBLANK('Assumptions'!F162),"__BLANK__",'Assumptions'!F162)</x:f>
        <x:v>__BLANK__</x:v>
      </x:c>
      <x:c r="G621" s="50" t="n">
        <x:f>IF(ISBLANK(E621),IF(F621="__BLANK__",0,1),IF(E621=F621,0,1))</x:f>
        <x:v>0</x:v>
      </x:c>
      <x:c r="H621" s="3"/>
      <x:c r="I621" s="3"/>
      <x:c r="J621" s="3"/>
      <x:c r="K621" s="3"/>
      <x:c r="L621" s="3"/>
      <x:c r="M621" s="3"/>
    </x:row>
    <x:row r="622" ht="19" customHeight="1">
      <x:c r="A622" s="2"/>
      <x:c r="B622" s="2"/>
      <x:c r="C622" s="2" t="str">
        <x:v>Assumptions!F163</x:v>
      </x:c>
      <x:c r="D622" s="2"/>
      <x:c r="E622" s="3"/>
      <x:c r="F622" s="50" t="str">
        <x:f>IF(ISBLANK('Assumptions'!F163),"__BLANK__",'Assumptions'!F163)</x:f>
        <x:v>__BLANK__</x:v>
      </x:c>
      <x:c r="G622" s="50" t="n">
        <x:f>IF(ISBLANK(E622),IF(F622="__BLANK__",0,1),IF(E622=F622,0,1))</x:f>
        <x:v>0</x:v>
      </x:c>
      <x:c r="H622" s="3"/>
      <x:c r="I622" s="3"/>
      <x:c r="J622" s="3"/>
      <x:c r="K622" s="3"/>
      <x:c r="L622" s="3"/>
      <x:c r="M622" s="3"/>
    </x:row>
    <x:row r="623" ht="19" customHeight="1">
      <x:c r="A623" s="2"/>
      <x:c r="B623" s="2"/>
      <x:c r="C623" s="2" t="str">
        <x:v>Assumptions!F164</x:v>
      </x:c>
      <x:c r="D623" s="2"/>
      <x:c r="E623" s="3"/>
      <x:c r="F623" s="50" t="str">
        <x:f>IF(ISBLANK('Assumptions'!F164),"__BLANK__",'Assumptions'!F164)</x:f>
        <x:v>__BLANK__</x:v>
      </x:c>
      <x:c r="G623" s="50" t="n">
        <x:f>IF(ISBLANK(E623),IF(F623="__BLANK__",0,1),IF(E623=F623,0,1))</x:f>
        <x:v>0</x:v>
      </x:c>
      <x:c r="H623" s="3"/>
      <x:c r="I623" s="3"/>
      <x:c r="J623" s="3"/>
      <x:c r="K623" s="3"/>
      <x:c r="L623" s="3"/>
      <x:c r="M623" s="3"/>
    </x:row>
    <x:row r="624" ht="19" customHeight="1">
      <x:c r="A624" s="2"/>
      <x:c r="B624" s="2"/>
      <x:c r="C624" s="2" t="str">
        <x:v>Assumptions!F165</x:v>
      </x:c>
      <x:c r="D624" s="2"/>
      <x:c r="E624" s="3"/>
      <x:c r="F624" s="50" t="str">
        <x:f>IF(ISBLANK('Assumptions'!F165),"__BLANK__",'Assumptions'!F165)</x:f>
        <x:v>__BLANK__</x:v>
      </x:c>
      <x:c r="G624" s="50" t="n">
        <x:f>IF(ISBLANK(E624),IF(F624="__BLANK__",0,1),IF(E624=F624,0,1))</x:f>
        <x:v>0</x:v>
      </x:c>
      <x:c r="H624" s="3"/>
      <x:c r="I624" s="3"/>
      <x:c r="J624" s="3"/>
      <x:c r="K624" s="3"/>
      <x:c r="L624" s="3"/>
      <x:c r="M624" s="3"/>
    </x:row>
    <x:row r="625" ht="19" customHeight="1">
      <x:c r="A625" s="2"/>
      <x:c r="B625" s="2"/>
      <x:c r="C625" s="2" t="str">
        <x:v>Assumptions!F166</x:v>
      </x:c>
      <x:c r="D625" s="2"/>
      <x:c r="E625" s="3"/>
      <x:c r="F625" s="50" t="str">
        <x:f>IF(ISBLANK('Assumptions'!F166),"__BLANK__",'Assumptions'!F166)</x:f>
        <x:v>__BLANK__</x:v>
      </x:c>
      <x:c r="G625" s="50" t="n">
        <x:f>IF(ISBLANK(E625),IF(F625="__BLANK__",0,1),IF(E625=F625,0,1))</x:f>
        <x:v>0</x:v>
      </x:c>
      <x:c r="H625" s="3"/>
      <x:c r="I625" s="3"/>
      <x:c r="J625" s="3"/>
      <x:c r="K625" s="3"/>
      <x:c r="L625" s="3"/>
      <x:c r="M625" s="3"/>
    </x:row>
    <x:row r="626" ht="19" customHeight="1">
      <x:c r="A626" s="2"/>
      <x:c r="B626" s="2"/>
      <x:c r="C626" s="2" t="str">
        <x:v>Assumptions!F167</x:v>
      </x:c>
      <x:c r="D626" s="2"/>
      <x:c r="E626" s="3"/>
      <x:c r="F626" s="50" t="str">
        <x:f>IF(ISBLANK('Assumptions'!F167),"__BLANK__",'Assumptions'!F167)</x:f>
        <x:v>__BLANK__</x:v>
      </x:c>
      <x:c r="G626" s="50" t="n">
        <x:f>IF(ISBLANK(E626),IF(F626="__BLANK__",0,1),IF(E626=F626,0,1))</x:f>
        <x:v>0</x:v>
      </x:c>
      <x:c r="H626" s="3"/>
      <x:c r="I626" s="3"/>
      <x:c r="J626" s="3"/>
      <x:c r="K626" s="3"/>
      <x:c r="L626" s="3"/>
      <x:c r="M626" s="3"/>
    </x:row>
    <x:row r="627" ht="19" customHeight="1">
      <x:c r="A627" s="2"/>
      <x:c r="B627" s="2"/>
      <x:c r="C627" s="2" t="str">
        <x:v>Assumptions!F168</x:v>
      </x:c>
      <x:c r="D627" s="2"/>
      <x:c r="E627" s="3"/>
      <x:c r="F627" s="50" t="str">
        <x:f>IF(ISBLANK('Assumptions'!F168),"__BLANK__",'Assumptions'!F168)</x:f>
        <x:v>__BLANK__</x:v>
      </x:c>
      <x:c r="G627" s="50" t="n">
        <x:f>IF(ISBLANK(E627),IF(F627="__BLANK__",0,1),IF(E627=F627,0,1))</x:f>
        <x:v>0</x:v>
      </x:c>
      <x:c r="H627" s="3"/>
      <x:c r="I627" s="3"/>
      <x:c r="J627" s="3"/>
      <x:c r="K627" s="3"/>
      <x:c r="L627" s="3"/>
      <x:c r="M627" s="3"/>
    </x:row>
    <x:row r="628" ht="19" customHeight="1">
      <x:c r="A628" s="2"/>
      <x:c r="B628" s="2"/>
      <x:c r="C628" s="2" t="str">
        <x:v>Assumptions!F169</x:v>
      </x:c>
      <x:c r="D628" s="2"/>
      <x:c r="E628" s="3"/>
      <x:c r="F628" s="50" t="str">
        <x:f>IF(ISBLANK('Assumptions'!F169),"__BLANK__",'Assumptions'!F169)</x:f>
        <x:v>__BLANK__</x:v>
      </x:c>
      <x:c r="G628" s="50" t="n">
        <x:f>IF(ISBLANK(E628),IF(F628="__BLANK__",0,1),IF(E628=F628,0,1))</x:f>
        <x:v>0</x:v>
      </x:c>
      <x:c r="H628" s="3"/>
      <x:c r="I628" s="3"/>
      <x:c r="J628" s="3"/>
      <x:c r="K628" s="3"/>
      <x:c r="L628" s="3"/>
      <x:c r="M628" s="3"/>
    </x:row>
    <x:row r="629" ht="19" customHeight="1">
      <x:c r="A629" s="2"/>
      <x:c r="B629" s="2"/>
      <x:c r="C629" s="2" t="str">
        <x:v>Assumptions!G161</x:v>
      </x:c>
      <x:c r="D629" s="2"/>
      <x:c r="E629" s="3"/>
      <x:c r="F629" s="50" t="str">
        <x:f>IF(ISBLANK('Assumptions'!G161),"__BLANK__",'Assumptions'!G161)</x:f>
        <x:v>__BLANK__</x:v>
      </x:c>
      <x:c r="G629" s="50" t="n">
        <x:f>IF(ISBLANK(E629),IF(F629="__BLANK__",0,1),IF(E629=F629,0,1))</x:f>
        <x:v>0</x:v>
      </x:c>
      <x:c r="H629" s="3"/>
      <x:c r="I629" s="3"/>
      <x:c r="J629" s="3"/>
      <x:c r="K629" s="3"/>
      <x:c r="L629" s="3"/>
      <x:c r="M629" s="3"/>
    </x:row>
    <x:row r="630" ht="19" customHeight="1">
      <x:c r="A630" s="2"/>
      <x:c r="B630" s="2"/>
      <x:c r="C630" s="2" t="str">
        <x:v>Assumptions!G162</x:v>
      </x:c>
      <x:c r="D630" s="2"/>
      <x:c r="E630" s="3"/>
      <x:c r="F630" s="50" t="str">
        <x:f>IF(ISBLANK('Assumptions'!G162),"__BLANK__",'Assumptions'!G162)</x:f>
        <x:v>__BLANK__</x:v>
      </x:c>
      <x:c r="G630" s="50" t="n">
        <x:f>IF(ISBLANK(E630),IF(F630="__BLANK__",0,1),IF(E630=F630,0,1))</x:f>
        <x:v>0</x:v>
      </x:c>
      <x:c r="H630" s="3"/>
      <x:c r="I630" s="3"/>
      <x:c r="J630" s="3"/>
      <x:c r="K630" s="3"/>
      <x:c r="L630" s="3"/>
      <x:c r="M630" s="3"/>
    </x:row>
    <x:row r="631" ht="19" customHeight="1">
      <x:c r="A631" s="2"/>
      <x:c r="B631" s="2"/>
      <x:c r="C631" s="2" t="str">
        <x:v>Assumptions!G163</x:v>
      </x:c>
      <x:c r="D631" s="2"/>
      <x:c r="E631" s="3"/>
      <x:c r="F631" s="50" t="str">
        <x:f>IF(ISBLANK('Assumptions'!G163),"__BLANK__",'Assumptions'!G163)</x:f>
        <x:v>__BLANK__</x:v>
      </x:c>
      <x:c r="G631" s="50" t="n">
        <x:f>IF(ISBLANK(E631),IF(F631="__BLANK__",0,1),IF(E631=F631,0,1))</x:f>
        <x:v>0</x:v>
      </x:c>
      <x:c r="H631" s="3"/>
      <x:c r="I631" s="3"/>
      <x:c r="J631" s="3"/>
      <x:c r="K631" s="3"/>
      <x:c r="L631" s="3"/>
      <x:c r="M631" s="3"/>
    </x:row>
    <x:row r="632" ht="19" customHeight="1">
      <x:c r="A632" s="2"/>
      <x:c r="B632" s="2"/>
      <x:c r="C632" s="2" t="str">
        <x:v>Assumptions!G164</x:v>
      </x:c>
      <x:c r="D632" s="2"/>
      <x:c r="E632" s="3"/>
      <x:c r="F632" s="50" t="str">
        <x:f>IF(ISBLANK('Assumptions'!G164),"__BLANK__",'Assumptions'!G164)</x:f>
        <x:v>__BLANK__</x:v>
      </x:c>
      <x:c r="G632" s="50" t="n">
        <x:f>IF(ISBLANK(E632),IF(F632="__BLANK__",0,1),IF(E632=F632,0,1))</x:f>
        <x:v>0</x:v>
      </x:c>
      <x:c r="H632" s="3"/>
      <x:c r="I632" s="3"/>
      <x:c r="J632" s="3"/>
      <x:c r="K632" s="3"/>
      <x:c r="L632" s="3"/>
      <x:c r="M632" s="3"/>
    </x:row>
    <x:row r="633" ht="19" customHeight="1">
      <x:c r="A633" s="2"/>
      <x:c r="B633" s="2"/>
      <x:c r="C633" s="2" t="str">
        <x:v>Assumptions!G165</x:v>
      </x:c>
      <x:c r="D633" s="2"/>
      <x:c r="E633" s="3"/>
      <x:c r="F633" s="50" t="str">
        <x:f>IF(ISBLANK('Assumptions'!G165),"__BLANK__",'Assumptions'!G165)</x:f>
        <x:v>__BLANK__</x:v>
      </x:c>
      <x:c r="G633" s="50" t="n">
        <x:f>IF(ISBLANK(E633),IF(F633="__BLANK__",0,1),IF(E633=F633,0,1))</x:f>
        <x:v>0</x:v>
      </x:c>
      <x:c r="H633" s="3"/>
      <x:c r="I633" s="3"/>
      <x:c r="J633" s="3"/>
      <x:c r="K633" s="3"/>
      <x:c r="L633" s="3"/>
      <x:c r="M633" s="3"/>
    </x:row>
    <x:row r="634" ht="19" customHeight="1">
      <x:c r="A634" s="2"/>
      <x:c r="B634" s="2"/>
      <x:c r="C634" s="2" t="str">
        <x:v>Assumptions!G166</x:v>
      </x:c>
      <x:c r="D634" s="2"/>
      <x:c r="E634" s="3"/>
      <x:c r="F634" s="50" t="str">
        <x:f>IF(ISBLANK('Assumptions'!G166),"__BLANK__",'Assumptions'!G166)</x:f>
        <x:v>__BLANK__</x:v>
      </x:c>
      <x:c r="G634" s="50" t="n">
        <x:f>IF(ISBLANK(E634),IF(F634="__BLANK__",0,1),IF(E634=F634,0,1))</x:f>
        <x:v>0</x:v>
      </x:c>
      <x:c r="H634" s="3"/>
      <x:c r="I634" s="3"/>
      <x:c r="J634" s="3"/>
      <x:c r="K634" s="3"/>
      <x:c r="L634" s="3"/>
      <x:c r="M634" s="3"/>
    </x:row>
    <x:row r="635" ht="19" customHeight="1">
      <x:c r="A635" s="2"/>
      <x:c r="B635" s="2"/>
      <x:c r="C635" s="2" t="str">
        <x:v>Assumptions!G167</x:v>
      </x:c>
      <x:c r="D635" s="2"/>
      <x:c r="E635" s="3"/>
      <x:c r="F635" s="50" t="str">
        <x:f>IF(ISBLANK('Assumptions'!G167),"__BLANK__",'Assumptions'!G167)</x:f>
        <x:v>__BLANK__</x:v>
      </x:c>
      <x:c r="G635" s="50" t="n">
        <x:f>IF(ISBLANK(E635),IF(F635="__BLANK__",0,1),IF(E635=F635,0,1))</x:f>
        <x:v>0</x:v>
      </x:c>
      <x:c r="H635" s="3"/>
      <x:c r="I635" s="3"/>
      <x:c r="J635" s="3"/>
      <x:c r="K635" s="3"/>
      <x:c r="L635" s="3"/>
      <x:c r="M635" s="3"/>
    </x:row>
    <x:row r="636" ht="19" customHeight="1">
      <x:c r="A636" s="2"/>
      <x:c r="B636" s="2"/>
      <x:c r="C636" s="2" t="str">
        <x:v>Assumptions!G168</x:v>
      </x:c>
      <x:c r="D636" s="2"/>
      <x:c r="E636" s="3"/>
      <x:c r="F636" s="50" t="str">
        <x:f>IF(ISBLANK('Assumptions'!G168),"__BLANK__",'Assumptions'!G168)</x:f>
        <x:v>__BLANK__</x:v>
      </x:c>
      <x:c r="G636" s="50" t="n">
        <x:f>IF(ISBLANK(E636),IF(F636="__BLANK__",0,1),IF(E636=F636,0,1))</x:f>
        <x:v>0</x:v>
      </x:c>
      <x:c r="H636" s="3"/>
      <x:c r="I636" s="3"/>
      <x:c r="J636" s="3"/>
      <x:c r="K636" s="3"/>
      <x:c r="L636" s="3"/>
      <x:c r="M636" s="3"/>
    </x:row>
    <x:row r="637" ht="19" customHeight="1">
      <x:c r="A637" s="2"/>
      <x:c r="B637" s="2"/>
      <x:c r="C637" s="2" t="str">
        <x:v>Assumptions!G169</x:v>
      </x:c>
      <x:c r="D637" s="2"/>
      <x:c r="E637" s="3"/>
      <x:c r="F637" s="50" t="str">
        <x:f>IF(ISBLANK('Assumptions'!G169),"__BLANK__",'Assumptions'!G169)</x:f>
        <x:v>__BLANK__</x:v>
      </x:c>
      <x:c r="G637" s="50" t="n">
        <x:f>IF(ISBLANK(E637),IF(F637="__BLANK__",0,1),IF(E637=F637,0,1))</x:f>
        <x:v>0</x:v>
      </x:c>
      <x:c r="H637" s="3"/>
      <x:c r="I637" s="3"/>
      <x:c r="J637" s="3"/>
      <x:c r="K637" s="3"/>
      <x:c r="L637" s="3"/>
      <x:c r="M637" s="3"/>
    </x:row>
    <x:row r="638" ht="19" customHeight="1">
      <x:c r="A638" s="2"/>
      <x:c r="B638" s="2"/>
      <x:c r="C638" s="2" t="str">
        <x:v>Assumptions!H161</x:v>
      </x:c>
      <x:c r="D638" s="2"/>
      <x:c r="E638" s="3"/>
      <x:c r="F638" s="50" t="str">
        <x:f>IF(ISBLANK('Assumptions'!H161),"__BLANK__",'Assumptions'!H161)</x:f>
        <x:v>__BLANK__</x:v>
      </x:c>
      <x:c r="G638" s="50" t="n">
        <x:f>IF(ISBLANK(E638),IF(F638="__BLANK__",0,1),IF(E638=F638,0,1))</x:f>
        <x:v>0</x:v>
      </x:c>
      <x:c r="H638" s="3"/>
      <x:c r="I638" s="3"/>
      <x:c r="J638" s="3"/>
      <x:c r="K638" s="3"/>
      <x:c r="L638" s="3"/>
      <x:c r="M638" s="3"/>
    </x:row>
    <x:row r="639" ht="19" customHeight="1">
      <x:c r="A639" s="2"/>
      <x:c r="B639" s="2"/>
      <x:c r="C639" s="2" t="str">
        <x:v>Assumptions!H162</x:v>
      </x:c>
      <x:c r="D639" s="2"/>
      <x:c r="E639" s="3"/>
      <x:c r="F639" s="50" t="str">
        <x:f>IF(ISBLANK('Assumptions'!H162),"__BLANK__",'Assumptions'!H162)</x:f>
        <x:v>__BLANK__</x:v>
      </x:c>
      <x:c r="G639" s="50" t="n">
        <x:f>IF(ISBLANK(E639),IF(F639="__BLANK__",0,1),IF(E639=F639,0,1))</x:f>
        <x:v>0</x:v>
      </x:c>
      <x:c r="H639" s="3"/>
      <x:c r="I639" s="3"/>
      <x:c r="J639" s="3"/>
      <x:c r="K639" s="3"/>
      <x:c r="L639" s="3"/>
      <x:c r="M639" s="3"/>
    </x:row>
    <x:row r="640" ht="19" customHeight="1">
      <x:c r="A640" s="2"/>
      <x:c r="B640" s="2"/>
      <x:c r="C640" s="2" t="str">
        <x:v>Assumptions!H163</x:v>
      </x:c>
      <x:c r="D640" s="2"/>
      <x:c r="E640" s="3"/>
      <x:c r="F640" s="50" t="str">
        <x:f>IF(ISBLANK('Assumptions'!H163),"__BLANK__",'Assumptions'!H163)</x:f>
        <x:v>__BLANK__</x:v>
      </x:c>
      <x:c r="G640" s="50" t="n">
        <x:f>IF(ISBLANK(E640),IF(F640="__BLANK__",0,1),IF(E640=F640,0,1))</x:f>
        <x:v>0</x:v>
      </x:c>
      <x:c r="H640" s="3"/>
      <x:c r="I640" s="3"/>
      <x:c r="J640" s="3"/>
      <x:c r="K640" s="3"/>
      <x:c r="L640" s="3"/>
      <x:c r="M640" s="3"/>
    </x:row>
    <x:row r="641" ht="19" customHeight="1">
      <x:c r="A641" s="2"/>
      <x:c r="B641" s="2"/>
      <x:c r="C641" s="2" t="str">
        <x:v>Assumptions!H164</x:v>
      </x:c>
      <x:c r="D641" s="2"/>
      <x:c r="E641" s="3"/>
      <x:c r="F641" s="50" t="str">
        <x:f>IF(ISBLANK('Assumptions'!H164),"__BLANK__",'Assumptions'!H164)</x:f>
        <x:v>__BLANK__</x:v>
      </x:c>
      <x:c r="G641" s="50" t="n">
        <x:f>IF(ISBLANK(E641),IF(F641="__BLANK__",0,1),IF(E641=F641,0,1))</x:f>
        <x:v>0</x:v>
      </x:c>
      <x:c r="H641" s="3"/>
      <x:c r="I641" s="3"/>
      <x:c r="J641" s="3"/>
      <x:c r="K641" s="3"/>
      <x:c r="L641" s="3"/>
      <x:c r="M641" s="3"/>
    </x:row>
    <x:row r="642" ht="19" customHeight="1">
      <x:c r="A642" s="2"/>
      <x:c r="B642" s="2"/>
      <x:c r="C642" s="2" t="str">
        <x:v>Assumptions!H165</x:v>
      </x:c>
      <x:c r="D642" s="2"/>
      <x:c r="E642" s="3"/>
      <x:c r="F642" s="50" t="str">
        <x:f>IF(ISBLANK('Assumptions'!H165),"__BLANK__",'Assumptions'!H165)</x:f>
        <x:v>__BLANK__</x:v>
      </x:c>
      <x:c r="G642" s="50" t="n">
        <x:f>IF(ISBLANK(E642),IF(F642="__BLANK__",0,1),IF(E642=F642,0,1))</x:f>
        <x:v>0</x:v>
      </x:c>
      <x:c r="H642" s="3"/>
      <x:c r="I642" s="3"/>
      <x:c r="J642" s="3"/>
      <x:c r="K642" s="3"/>
      <x:c r="L642" s="3"/>
      <x:c r="M642" s="3"/>
    </x:row>
    <x:row r="643" ht="19" customHeight="1">
      <x:c r="A643" s="2"/>
      <x:c r="B643" s="2"/>
      <x:c r="C643" s="2" t="str">
        <x:v>Assumptions!H166</x:v>
      </x:c>
      <x:c r="D643" s="2"/>
      <x:c r="E643" s="3"/>
      <x:c r="F643" s="50" t="str">
        <x:f>IF(ISBLANK('Assumptions'!H166),"__BLANK__",'Assumptions'!H166)</x:f>
        <x:v>__BLANK__</x:v>
      </x:c>
      <x:c r="G643" s="50" t="n">
        <x:f>IF(ISBLANK(E643),IF(F643="__BLANK__",0,1),IF(E643=F643,0,1))</x:f>
        <x:v>0</x:v>
      </x:c>
      <x:c r="H643" s="3"/>
      <x:c r="I643" s="3"/>
      <x:c r="J643" s="3"/>
      <x:c r="K643" s="3"/>
      <x:c r="L643" s="3"/>
      <x:c r="M643" s="3"/>
    </x:row>
    <x:row r="644" ht="19" customHeight="1">
      <x:c r="A644" s="2"/>
      <x:c r="B644" s="2"/>
      <x:c r="C644" s="2" t="str">
        <x:v>Assumptions!H167</x:v>
      </x:c>
      <x:c r="D644" s="2"/>
      <x:c r="E644" s="3"/>
      <x:c r="F644" s="50" t="str">
        <x:f>IF(ISBLANK('Assumptions'!H167),"__BLANK__",'Assumptions'!H167)</x:f>
        <x:v>__BLANK__</x:v>
      </x:c>
      <x:c r="G644" s="50" t="n">
        <x:f>IF(ISBLANK(E644),IF(F644="__BLANK__",0,1),IF(E644=F644,0,1))</x:f>
        <x:v>0</x:v>
      </x:c>
      <x:c r="H644" s="3"/>
      <x:c r="I644" s="3"/>
      <x:c r="J644" s="3"/>
      <x:c r="K644" s="3"/>
      <x:c r="L644" s="3"/>
      <x:c r="M644" s="3"/>
    </x:row>
    <x:row r="645" ht="19" customHeight="1">
      <x:c r="A645" s="2"/>
      <x:c r="B645" s="2"/>
      <x:c r="C645" s="2" t="str">
        <x:v>Assumptions!H168</x:v>
      </x:c>
      <x:c r="D645" s="2"/>
      <x:c r="E645" s="3"/>
      <x:c r="F645" s="50" t="str">
        <x:f>IF(ISBLANK('Assumptions'!H168),"__BLANK__",'Assumptions'!H168)</x:f>
        <x:v>__BLANK__</x:v>
      </x:c>
      <x:c r="G645" s="50" t="n">
        <x:f>IF(ISBLANK(E645),IF(F645="__BLANK__",0,1),IF(E645=F645,0,1))</x:f>
        <x:v>0</x:v>
      </x:c>
      <x:c r="H645" s="3"/>
      <x:c r="I645" s="3"/>
      <x:c r="J645" s="3"/>
      <x:c r="K645" s="3"/>
      <x:c r="L645" s="3"/>
      <x:c r="M645" s="3"/>
    </x:row>
    <x:row r="646" ht="19" customHeight="1">
      <x:c r="A646" s="2"/>
      <x:c r="B646" s="2"/>
      <x:c r="C646" s="2" t="str">
        <x:v>Assumptions!H169</x:v>
      </x:c>
      <x:c r="D646" s="2"/>
      <x:c r="E646" s="3"/>
      <x:c r="F646" s="50" t="str">
        <x:f>IF(ISBLANK('Assumptions'!H169),"__BLANK__",'Assumptions'!H169)</x:f>
        <x:v>__BLANK__</x:v>
      </x:c>
      <x:c r="G646" s="50" t="n">
        <x:f>IF(ISBLANK(E646),IF(F646="__BLANK__",0,1),IF(E646=F646,0,1))</x:f>
        <x:v>0</x:v>
      </x:c>
      <x:c r="H646" s="3"/>
      <x:c r="I646" s="3"/>
      <x:c r="J646" s="3"/>
      <x:c r="K646" s="3"/>
      <x:c r="L646" s="3"/>
      <x:c r="M646" s="3"/>
    </x:row>
    <x:row r="647" ht="19" customHeight="1">
      <x:c r="A647" s="2"/>
      <x:c r="B647" s="2"/>
      <x:c r="C647" s="2" t="str">
        <x:v>Assumptions!I161</x:v>
      </x:c>
      <x:c r="D647" s="2"/>
      <x:c r="E647" s="3" t="n">
        <x:v>0.020245645054794315</x:v>
      </x:c>
      <x:c r="F647" s="50" t="n">
        <x:f>IF(ISBLANK('Assumptions'!I161),"__BLANK__",'Assumptions'!I161)</x:f>
        <x:v>0.020245645054794315</x:v>
      </x:c>
      <x:c r="G647" s="50" t="n">
        <x:f>IF(ISBLANK(E647),IF(F647="__BLANK__",0,1),IF(E647=F647,0,1))</x:f>
        <x:v>0</x:v>
      </x:c>
      <x:c r="H647" s="3"/>
      <x:c r="I647" s="3"/>
      <x:c r="J647" s="3"/>
      <x:c r="K647" s="3"/>
      <x:c r="L647" s="3"/>
      <x:c r="M647" s="3"/>
    </x:row>
    <x:row r="648" ht="19" customHeight="1">
      <x:c r="A648" s="2"/>
      <x:c r="B648" s="2"/>
      <x:c r="C648" s="2" t="str">
        <x:v>Assumptions!I162</x:v>
      </x:c>
      <x:c r="D648" s="2"/>
      <x:c r="E648" s="3" t="n">
        <x:v>0.020245645054794315</x:v>
      </x:c>
      <x:c r="F648" s="50" t="n">
        <x:f>IF(ISBLANK('Assumptions'!I162),"__BLANK__",'Assumptions'!I162)</x:f>
        <x:v>0.020245645054794315</x:v>
      </x:c>
      <x:c r="G648" s="50" t="n">
        <x:f>IF(ISBLANK(E648),IF(F648="__BLANK__",0,1),IF(E648=F648,0,1))</x:f>
        <x:v>0</x:v>
      </x:c>
      <x:c r="H648" s="3"/>
      <x:c r="I648" s="3"/>
      <x:c r="J648" s="3"/>
      <x:c r="K648" s="3"/>
      <x:c r="L648" s="3"/>
      <x:c r="M648" s="3"/>
    </x:row>
    <x:row r="649" ht="19" customHeight="1">
      <x:c r="A649" s="2"/>
      <x:c r="B649" s="2"/>
      <x:c r="C649" s="2" t="str">
        <x:v>Assumptions!I163</x:v>
      </x:c>
      <x:c r="D649" s="2"/>
      <x:c r="E649" s="3" t="n">
        <x:v>0.020245645054794315</x:v>
      </x:c>
      <x:c r="F649" s="50" t="n">
        <x:f>IF(ISBLANK('Assumptions'!I163),"__BLANK__",'Assumptions'!I163)</x:f>
        <x:v>0.020245645054794315</x:v>
      </x:c>
      <x:c r="G649" s="50" t="n">
        <x:f>IF(ISBLANK(E649),IF(F649="__BLANK__",0,1),IF(E649=F649,0,1))</x:f>
        <x:v>0</x:v>
      </x:c>
      <x:c r="H649" s="3"/>
      <x:c r="I649" s="3"/>
      <x:c r="J649" s="3"/>
      <x:c r="K649" s="3"/>
      <x:c r="L649" s="3"/>
      <x:c r="M649" s="3"/>
    </x:row>
    <x:row r="650" ht="19" customHeight="1">
      <x:c r="A650" s="2"/>
      <x:c r="B650" s="2"/>
      <x:c r="C650" s="2" t="str">
        <x:v>Assumptions!I164</x:v>
      </x:c>
      <x:c r="D650" s="2"/>
      <x:c r="E650" s="3" t="n">
        <x:v>0.020245645054794315</x:v>
      </x:c>
      <x:c r="F650" s="50" t="n">
        <x:f>IF(ISBLANK('Assumptions'!I164),"__BLANK__",'Assumptions'!I164)</x:f>
        <x:v>0.020245645054794315</x:v>
      </x:c>
      <x:c r="G650" s="50" t="n">
        <x:f>IF(ISBLANK(E650),IF(F650="__BLANK__",0,1),IF(E650=F650,0,1))</x:f>
        <x:v>0</x:v>
      </x:c>
      <x:c r="H650" s="3"/>
      <x:c r="I650" s="3"/>
      <x:c r="J650" s="3"/>
      <x:c r="K650" s="3"/>
      <x:c r="L650" s="3"/>
      <x:c r="M650" s="3"/>
    </x:row>
    <x:row r="651" ht="19" customHeight="1">
      <x:c r="A651" s="2"/>
      <x:c r="B651" s="2"/>
      <x:c r="C651" s="2" t="str">
        <x:v>Assumptions!I165</x:v>
      </x:c>
      <x:c r="D651" s="2"/>
      <x:c r="E651" s="3" t="n">
        <x:v>0.020245645054794315</x:v>
      </x:c>
      <x:c r="F651" s="50" t="n">
        <x:f>IF(ISBLANK('Assumptions'!I165),"__BLANK__",'Assumptions'!I165)</x:f>
        <x:v>0.020245645054794315</x:v>
      </x:c>
      <x:c r="G651" s="50" t="n">
        <x:f>IF(ISBLANK(E651),IF(F651="__BLANK__",0,1),IF(E651=F651,0,1))</x:f>
        <x:v>0</x:v>
      </x:c>
      <x:c r="H651" s="3"/>
      <x:c r="I651" s="3"/>
      <x:c r="J651" s="3"/>
      <x:c r="K651" s="3"/>
      <x:c r="L651" s="3"/>
      <x:c r="M651" s="3"/>
    </x:row>
    <x:row r="652" ht="19" customHeight="1">
      <x:c r="A652" s="2"/>
      <x:c r="B652" s="2"/>
      <x:c r="C652" s="2" t="str">
        <x:v>Assumptions!I166</x:v>
      </x:c>
      <x:c r="D652" s="2"/>
      <x:c r="E652" s="3" t="n">
        <x:v>0.020245645054794315</x:v>
      </x:c>
      <x:c r="F652" s="50" t="n">
        <x:f>IF(ISBLANK('Assumptions'!I166),"__BLANK__",'Assumptions'!I166)</x:f>
        <x:v>0.020245645054794315</x:v>
      </x:c>
      <x:c r="G652" s="50" t="n">
        <x:f>IF(ISBLANK(E652),IF(F652="__BLANK__",0,1),IF(E652=F652,0,1))</x:f>
        <x:v>0</x:v>
      </x:c>
      <x:c r="H652" s="3"/>
      <x:c r="I652" s="3"/>
      <x:c r="J652" s="3"/>
      <x:c r="K652" s="3"/>
      <x:c r="L652" s="3"/>
      <x:c r="M652" s="3"/>
    </x:row>
    <x:row r="653" ht="19" customHeight="1">
      <x:c r="A653" s="2"/>
      <x:c r="B653" s="2"/>
      <x:c r="C653" s="2" t="str">
        <x:v>Assumptions!I167</x:v>
      </x:c>
      <x:c r="D653" s="2"/>
      <x:c r="E653" s="3" t="n">
        <x:v>0.020245645054794315</x:v>
      </x:c>
      <x:c r="F653" s="50" t="n">
        <x:f>IF(ISBLANK('Assumptions'!I167),"__BLANK__",'Assumptions'!I167)</x:f>
        <x:v>0.020245645054794315</x:v>
      </x:c>
      <x:c r="G653" s="50" t="n">
        <x:f>IF(ISBLANK(E653),IF(F653="__BLANK__",0,1),IF(E653=F653,0,1))</x:f>
        <x:v>0</x:v>
      </x:c>
      <x:c r="H653" s="3"/>
      <x:c r="I653" s="3"/>
      <x:c r="J653" s="3"/>
      <x:c r="K653" s="3"/>
      <x:c r="L653" s="3"/>
      <x:c r="M653" s="3"/>
    </x:row>
    <x:row r="654" ht="19" customHeight="1">
      <x:c r="A654" s="2"/>
      <x:c r="B654" s="2"/>
      <x:c r="C654" s="2" t="str">
        <x:v>Assumptions!I168</x:v>
      </x:c>
      <x:c r="D654" s="2"/>
      <x:c r="E654" s="3" t="n">
        <x:v>0.020245645054794315</x:v>
      </x:c>
      <x:c r="F654" s="50" t="n">
        <x:f>IF(ISBLANK('Assumptions'!I168),"__BLANK__",'Assumptions'!I168)</x:f>
        <x:v>0.020245645054794315</x:v>
      </x:c>
      <x:c r="G654" s="50" t="n">
        <x:f>IF(ISBLANK(E654),IF(F654="__BLANK__",0,1),IF(E654=F654,0,1))</x:f>
        <x:v>0</x:v>
      </x:c>
      <x:c r="H654" s="3"/>
      <x:c r="I654" s="3"/>
      <x:c r="J654" s="3"/>
      <x:c r="K654" s="3"/>
      <x:c r="L654" s="3"/>
      <x:c r="M654" s="3"/>
    </x:row>
    <x:row r="655" ht="19" customHeight="1">
      <x:c r="A655" s="2"/>
      <x:c r="B655" s="2"/>
      <x:c r="C655" s="2" t="str">
        <x:v>Assumptions!I169</x:v>
      </x:c>
      <x:c r="D655" s="2"/>
      <x:c r="E655" s="3" t="n">
        <x:v>0.020245645054794315</x:v>
      </x:c>
      <x:c r="F655" s="50" t="n">
        <x:f>IF(ISBLANK('Assumptions'!I169),"__BLANK__",'Assumptions'!I169)</x:f>
        <x:v>0.020245645054794315</x:v>
      </x:c>
      <x:c r="G655" s="50" t="n">
        <x:f>IF(ISBLANK(E655),IF(F655="__BLANK__",0,1),IF(E655=F655,0,1))</x:f>
        <x:v>0</x:v>
      </x:c>
      <x:c r="H655" s="3"/>
      <x:c r="I655" s="3"/>
      <x:c r="J655" s="3"/>
      <x:c r="K655" s="3"/>
      <x:c r="L655" s="3"/>
      <x:c r="M655" s="3"/>
    </x:row>
    <x:row r="656" ht="19" customHeight="1">
      <x:c r="A656" s="2"/>
      <x:c r="B656" s="2"/>
      <x:c r="C656" s="2" t="str">
        <x:v>Assumptions!J161</x:v>
      </x:c>
      <x:c r="D656" s="2"/>
      <x:c r="E656" s="3" t="n">
        <x:v>0.026982486860110066</x:v>
      </x:c>
      <x:c r="F656" s="50" t="n">
        <x:f>IF(ISBLANK('Assumptions'!J161),"__BLANK__",'Assumptions'!J161)</x:f>
        <x:v>0.026982486860110066</x:v>
      </x:c>
      <x:c r="G656" s="50" t="n">
        <x:f>IF(ISBLANK(E656),IF(F656="__BLANK__",0,1),IF(E656=F656,0,1))</x:f>
        <x:v>0</x:v>
      </x:c>
      <x:c r="H656" s="3"/>
      <x:c r="I656" s="3"/>
      <x:c r="J656" s="3"/>
      <x:c r="K656" s="3"/>
      <x:c r="L656" s="3"/>
      <x:c r="M656" s="3"/>
    </x:row>
    <x:row r="657" ht="19" customHeight="1">
      <x:c r="A657" s="2"/>
      <x:c r="B657" s="2"/>
      <x:c r="C657" s="2" t="str">
        <x:v>Assumptions!J162</x:v>
      </x:c>
      <x:c r="D657" s="2"/>
      <x:c r="E657" s="3" t="n">
        <x:v>0.026982486860110066</x:v>
      </x:c>
      <x:c r="F657" s="50" t="n">
        <x:f>IF(ISBLANK('Assumptions'!J162),"__BLANK__",'Assumptions'!J162)</x:f>
        <x:v>0.026982486860110066</x:v>
      </x:c>
      <x:c r="G657" s="50" t="n">
        <x:f>IF(ISBLANK(E657),IF(F657="__BLANK__",0,1),IF(E657=F657,0,1))</x:f>
        <x:v>0</x:v>
      </x:c>
      <x:c r="H657" s="3"/>
      <x:c r="I657" s="3"/>
      <x:c r="J657" s="3"/>
      <x:c r="K657" s="3"/>
      <x:c r="L657" s="3"/>
      <x:c r="M657" s="3"/>
    </x:row>
    <x:row r="658" ht="19" customHeight="1">
      <x:c r="A658" s="2"/>
      <x:c r="B658" s="2"/>
      <x:c r="C658" s="2" t="str">
        <x:v>Assumptions!J163</x:v>
      </x:c>
      <x:c r="D658" s="2"/>
      <x:c r="E658" s="3" t="n">
        <x:v>0.026982486860110066</x:v>
      </x:c>
      <x:c r="F658" s="50" t="n">
        <x:f>IF(ISBLANK('Assumptions'!J163),"__BLANK__",'Assumptions'!J163)</x:f>
        <x:v>0.026982486860110066</x:v>
      </x:c>
      <x:c r="G658" s="50" t="n">
        <x:f>IF(ISBLANK(E658),IF(F658="__BLANK__",0,1),IF(E658=F658,0,1))</x:f>
        <x:v>0</x:v>
      </x:c>
      <x:c r="H658" s="3"/>
      <x:c r="I658" s="3"/>
      <x:c r="J658" s="3"/>
      <x:c r="K658" s="3"/>
      <x:c r="L658" s="3"/>
      <x:c r="M658" s="3"/>
    </x:row>
    <x:row r="659" ht="19" customHeight="1">
      <x:c r="A659" s="2"/>
      <x:c r="B659" s="2"/>
      <x:c r="C659" s="2" t="str">
        <x:v>Assumptions!J164</x:v>
      </x:c>
      <x:c r="D659" s="2"/>
      <x:c r="E659" s="3" t="n">
        <x:v>0.026982486860110066</x:v>
      </x:c>
      <x:c r="F659" s="50" t="n">
        <x:f>IF(ISBLANK('Assumptions'!J164),"__BLANK__",'Assumptions'!J164)</x:f>
        <x:v>0.026982486860110066</x:v>
      </x:c>
      <x:c r="G659" s="50" t="n">
        <x:f>IF(ISBLANK(E659),IF(F659="__BLANK__",0,1),IF(E659=F659,0,1))</x:f>
        <x:v>0</x:v>
      </x:c>
      <x:c r="H659" s="3"/>
      <x:c r="I659" s="3"/>
      <x:c r="J659" s="3"/>
      <x:c r="K659" s="3"/>
      <x:c r="L659" s="3"/>
      <x:c r="M659" s="3"/>
    </x:row>
    <x:row r="660" ht="19" customHeight="1">
      <x:c r="A660" s="2"/>
      <x:c r="B660" s="2"/>
      <x:c r="C660" s="2" t="str">
        <x:v>Assumptions!J165</x:v>
      </x:c>
      <x:c r="D660" s="2"/>
      <x:c r="E660" s="3" t="n">
        <x:v>0.026982486860110066</x:v>
      </x:c>
      <x:c r="F660" s="50" t="n">
        <x:f>IF(ISBLANK('Assumptions'!J165),"__BLANK__",'Assumptions'!J165)</x:f>
        <x:v>0.026982486860110066</x:v>
      </x:c>
      <x:c r="G660" s="50" t="n">
        <x:f>IF(ISBLANK(E660),IF(F660="__BLANK__",0,1),IF(E660=F660,0,1))</x:f>
        <x:v>0</x:v>
      </x:c>
      <x:c r="H660" s="3"/>
      <x:c r="I660" s="3"/>
      <x:c r="J660" s="3"/>
      <x:c r="K660" s="3"/>
      <x:c r="L660" s="3"/>
      <x:c r="M660" s="3"/>
    </x:row>
    <x:row r="661" ht="19" customHeight="1">
      <x:c r="A661" s="2"/>
      <x:c r="B661" s="2"/>
      <x:c r="C661" s="2" t="str">
        <x:v>Assumptions!J166</x:v>
      </x:c>
      <x:c r="D661" s="2"/>
      <x:c r="E661" s="3" t="n">
        <x:v>0.026982486860110066</x:v>
      </x:c>
      <x:c r="F661" s="50" t="n">
        <x:f>IF(ISBLANK('Assumptions'!J166),"__BLANK__",'Assumptions'!J166)</x:f>
        <x:v>0.026982486860110066</x:v>
      </x:c>
      <x:c r="G661" s="50" t="n">
        <x:f>IF(ISBLANK(E661),IF(F661="__BLANK__",0,1),IF(E661=F661,0,1))</x:f>
        <x:v>0</x:v>
      </x:c>
      <x:c r="H661" s="3"/>
      <x:c r="I661" s="3"/>
      <x:c r="J661" s="3"/>
      <x:c r="K661" s="3"/>
      <x:c r="L661" s="3"/>
      <x:c r="M661" s="3"/>
    </x:row>
    <x:row r="662" ht="19" customHeight="1">
      <x:c r="A662" s="2"/>
      <x:c r="B662" s="2"/>
      <x:c r="C662" s="2" t="str">
        <x:v>Assumptions!J167</x:v>
      </x:c>
      <x:c r="D662" s="2"/>
      <x:c r="E662" s="3" t="n">
        <x:v>0.026982486860110066</x:v>
      </x:c>
      <x:c r="F662" s="50" t="n">
        <x:f>IF(ISBLANK('Assumptions'!J167),"__BLANK__",'Assumptions'!J167)</x:f>
        <x:v>0.026982486860110066</x:v>
      </x:c>
      <x:c r="G662" s="50" t="n">
        <x:f>IF(ISBLANK(E662),IF(F662="__BLANK__",0,1),IF(E662=F662,0,1))</x:f>
        <x:v>0</x:v>
      </x:c>
      <x:c r="H662" s="3"/>
      <x:c r="I662" s="3"/>
      <x:c r="J662" s="3"/>
      <x:c r="K662" s="3"/>
      <x:c r="L662" s="3"/>
      <x:c r="M662" s="3"/>
    </x:row>
    <x:row r="663" ht="19" customHeight="1">
      <x:c r="A663" s="2"/>
      <x:c r="B663" s="2"/>
      <x:c r="C663" s="2" t="str">
        <x:v>Assumptions!J168</x:v>
      </x:c>
      <x:c r="D663" s="2"/>
      <x:c r="E663" s="3" t="n">
        <x:v>0.026982486860110066</x:v>
      </x:c>
      <x:c r="F663" s="50" t="n">
        <x:f>IF(ISBLANK('Assumptions'!J168),"__BLANK__",'Assumptions'!J168)</x:f>
        <x:v>0.026982486860110066</x:v>
      </x:c>
      <x:c r="G663" s="50" t="n">
        <x:f>IF(ISBLANK(E663),IF(F663="__BLANK__",0,1),IF(E663=F663,0,1))</x:f>
        <x:v>0</x:v>
      </x:c>
      <x:c r="H663" s="3"/>
      <x:c r="I663" s="3"/>
      <x:c r="J663" s="3"/>
      <x:c r="K663" s="3"/>
      <x:c r="L663" s="3"/>
      <x:c r="M663" s="3"/>
    </x:row>
    <x:row r="664" ht="19" customHeight="1">
      <x:c r="A664" s="2"/>
      <x:c r="B664" s="2"/>
      <x:c r="C664" s="2" t="str">
        <x:v>Assumptions!J169</x:v>
      </x:c>
      <x:c r="D664" s="2"/>
      <x:c r="E664" s="3" t="n">
        <x:v>0.026982486860110066</x:v>
      </x:c>
      <x:c r="F664" s="50" t="n">
        <x:f>IF(ISBLANK('Assumptions'!J169),"__BLANK__",'Assumptions'!J169)</x:f>
        <x:v>0.026982486860110066</x:v>
      </x:c>
      <x:c r="G664" s="50" t="n">
        <x:f>IF(ISBLANK(E664),IF(F664="__BLANK__",0,1),IF(E664=F664,0,1))</x:f>
        <x:v>0</x:v>
      </x:c>
      <x:c r="H664" s="3"/>
      <x:c r="I664" s="3"/>
      <x:c r="J664" s="3"/>
      <x:c r="K664" s="3"/>
      <x:c r="L664" s="3"/>
      <x:c r="M664" s="3"/>
    </x:row>
    <x:row r="665" ht="19" customHeight="1">
      <x:c r="A665" s="2"/>
      <x:c r="B665" s="2"/>
      <x:c r="C665" s="2" t="str">
        <x:v>Assumptions!K161</x:v>
      </x:c>
      <x:c r="D665" s="2"/>
      <x:c r="E665" s="3" t="n">
        <x:v>0.03176499999999982</x:v>
      </x:c>
      <x:c r="F665" s="50" t="n">
        <x:f>IF(ISBLANK('Assumptions'!K161),"__BLANK__",'Assumptions'!K161)</x:f>
        <x:v>0.03176499999999982</x:v>
      </x:c>
      <x:c r="G665" s="50" t="n">
        <x:f>IF(ISBLANK(E665),IF(F665="__BLANK__",0,1),IF(E665=F665,0,1))</x:f>
        <x:v>0</x:v>
      </x:c>
      <x:c r="H665" s="3"/>
      <x:c r="I665" s="3"/>
      <x:c r="J665" s="3"/>
      <x:c r="K665" s="3"/>
      <x:c r="L665" s="3"/>
      <x:c r="M665" s="3"/>
    </x:row>
    <x:row r="666" ht="19" customHeight="1">
      <x:c r="A666" s="2"/>
      <x:c r="B666" s="2"/>
      <x:c r="C666" s="2" t="str">
        <x:v>Assumptions!K162</x:v>
      </x:c>
      <x:c r="D666" s="2"/>
      <x:c r="E666" s="3" t="n">
        <x:v>0.03176499999999982</x:v>
      </x:c>
      <x:c r="F666" s="50" t="n">
        <x:f>IF(ISBLANK('Assumptions'!K162),"__BLANK__",'Assumptions'!K162)</x:f>
        <x:v>0.03176499999999982</x:v>
      </x:c>
      <x:c r="G666" s="50" t="n">
        <x:f>IF(ISBLANK(E666),IF(F666="__BLANK__",0,1),IF(E666=F666,0,1))</x:f>
        <x:v>0</x:v>
      </x:c>
      <x:c r="H666" s="3"/>
      <x:c r="I666" s="3"/>
      <x:c r="J666" s="3"/>
      <x:c r="K666" s="3"/>
      <x:c r="L666" s="3"/>
      <x:c r="M666" s="3"/>
    </x:row>
    <x:row r="667" ht="19" customHeight="1">
      <x:c r="A667" s="2"/>
      <x:c r="B667" s="2"/>
      <x:c r="C667" s="2" t="str">
        <x:v>Assumptions!K163</x:v>
      </x:c>
      <x:c r="D667" s="2"/>
      <x:c r="E667" s="3" t="n">
        <x:v>0.03176499999999982</x:v>
      </x:c>
      <x:c r="F667" s="50" t="n">
        <x:f>IF(ISBLANK('Assumptions'!K163),"__BLANK__",'Assumptions'!K163)</x:f>
        <x:v>0.03176499999999982</x:v>
      </x:c>
      <x:c r="G667" s="50" t="n">
        <x:f>IF(ISBLANK(E667),IF(F667="__BLANK__",0,1),IF(E667=F667,0,1))</x:f>
        <x:v>0</x:v>
      </x:c>
      <x:c r="H667" s="3"/>
      <x:c r="I667" s="3"/>
      <x:c r="J667" s="3"/>
      <x:c r="K667" s="3"/>
      <x:c r="L667" s="3"/>
      <x:c r="M667" s="3"/>
    </x:row>
    <x:row r="668" ht="19" customHeight="1">
      <x:c r="A668" s="2"/>
      <x:c r="B668" s="2"/>
      <x:c r="C668" s="2" t="str">
        <x:v>Assumptions!K164</x:v>
      </x:c>
      <x:c r="D668" s="2"/>
      <x:c r="E668" s="3" t="n">
        <x:v>0.03176499999999982</x:v>
      </x:c>
      <x:c r="F668" s="50" t="n">
        <x:f>IF(ISBLANK('Assumptions'!K164),"__BLANK__",'Assumptions'!K164)</x:f>
        <x:v>0.03176499999999982</x:v>
      </x:c>
      <x:c r="G668" s="50" t="n">
        <x:f>IF(ISBLANK(E668),IF(F668="__BLANK__",0,1),IF(E668=F668,0,1))</x:f>
        <x:v>0</x:v>
      </x:c>
      <x:c r="H668" s="3"/>
      <x:c r="I668" s="3"/>
      <x:c r="J668" s="3"/>
      <x:c r="K668" s="3"/>
      <x:c r="L668" s="3"/>
      <x:c r="M668" s="3"/>
    </x:row>
    <x:row r="669" ht="19" customHeight="1">
      <x:c r="A669" s="2"/>
      <x:c r="B669" s="2"/>
      <x:c r="C669" s="2" t="str">
        <x:v>Assumptions!K165</x:v>
      </x:c>
      <x:c r="D669" s="2"/>
      <x:c r="E669" s="3" t="n">
        <x:v>0.03176499999999982</x:v>
      </x:c>
      <x:c r="F669" s="50" t="n">
        <x:f>IF(ISBLANK('Assumptions'!K165),"__BLANK__",'Assumptions'!K165)</x:f>
        <x:v>0.03176499999999982</x:v>
      </x:c>
      <x:c r="G669" s="50" t="n">
        <x:f>IF(ISBLANK(E669),IF(F669="__BLANK__",0,1),IF(E669=F669,0,1))</x:f>
        <x:v>0</x:v>
      </x:c>
      <x:c r="H669" s="3"/>
      <x:c r="I669" s="3"/>
      <x:c r="J669" s="3"/>
      <x:c r="K669" s="3"/>
      <x:c r="L669" s="3"/>
      <x:c r="M669" s="3"/>
    </x:row>
    <x:row r="670" ht="19" customHeight="1">
      <x:c r="A670" s="2"/>
      <x:c r="B670" s="2"/>
      <x:c r="C670" s="2" t="str">
        <x:v>Assumptions!K166</x:v>
      </x:c>
      <x:c r="D670" s="2"/>
      <x:c r="E670" s="3" t="n">
        <x:v>0.03176499999999982</x:v>
      </x:c>
      <x:c r="F670" s="50" t="n">
        <x:f>IF(ISBLANK('Assumptions'!K166),"__BLANK__",'Assumptions'!K166)</x:f>
        <x:v>0.03176499999999982</x:v>
      </x:c>
      <x:c r="G670" s="50" t="n">
        <x:f>IF(ISBLANK(E670),IF(F670="__BLANK__",0,1),IF(E670=F670,0,1))</x:f>
        <x:v>0</x:v>
      </x:c>
      <x:c r="H670" s="3"/>
      <x:c r="I670" s="3"/>
      <x:c r="J670" s="3"/>
      <x:c r="K670" s="3"/>
      <x:c r="L670" s="3"/>
      <x:c r="M670" s="3"/>
    </x:row>
    <x:row r="671" ht="19" customHeight="1">
      <x:c r="A671" s="2"/>
      <x:c r="B671" s="2"/>
      <x:c r="C671" s="2" t="str">
        <x:v>Assumptions!K167</x:v>
      </x:c>
      <x:c r="D671" s="2"/>
      <x:c r="E671" s="3" t="n">
        <x:v>0.03176499999999982</x:v>
      </x:c>
      <x:c r="F671" s="50" t="n">
        <x:f>IF(ISBLANK('Assumptions'!K167),"__BLANK__",'Assumptions'!K167)</x:f>
        <x:v>0.03176499999999982</x:v>
      </x:c>
      <x:c r="G671" s="50" t="n">
        <x:f>IF(ISBLANK(E671),IF(F671="__BLANK__",0,1),IF(E671=F671,0,1))</x:f>
        <x:v>0</x:v>
      </x:c>
      <x:c r="H671" s="3"/>
      <x:c r="I671" s="3"/>
      <x:c r="J671" s="3"/>
      <x:c r="K671" s="3"/>
      <x:c r="L671" s="3"/>
      <x:c r="M671" s="3"/>
    </x:row>
    <x:row r="672" ht="19" customHeight="1">
      <x:c r="A672" s="2"/>
      <x:c r="B672" s="2"/>
      <x:c r="C672" s="2" t="str">
        <x:v>Assumptions!K168</x:v>
      </x:c>
      <x:c r="D672" s="2"/>
      <x:c r="E672" s="3" t="n">
        <x:v>0.03176499999999982</x:v>
      </x:c>
      <x:c r="F672" s="50" t="n">
        <x:f>IF(ISBLANK('Assumptions'!K168),"__BLANK__",'Assumptions'!K168)</x:f>
        <x:v>0.03176499999999982</x:v>
      </x:c>
      <x:c r="G672" s="50" t="n">
        <x:f>IF(ISBLANK(E672),IF(F672="__BLANK__",0,1),IF(E672=F672,0,1))</x:f>
        <x:v>0</x:v>
      </x:c>
      <x:c r="H672" s="3"/>
      <x:c r="I672" s="3"/>
      <x:c r="J672" s="3"/>
      <x:c r="K672" s="3"/>
      <x:c r="L672" s="3"/>
      <x:c r="M672" s="3"/>
    </x:row>
    <x:row r="673" ht="19" customHeight="1">
      <x:c r="A673" s="2"/>
      <x:c r="B673" s="2"/>
      <x:c r="C673" s="2" t="str">
        <x:v>Assumptions!K169</x:v>
      </x:c>
      <x:c r="D673" s="2"/>
      <x:c r="E673" s="3" t="n">
        <x:v>0.03176499999999982</x:v>
      </x:c>
      <x:c r="F673" s="50" t="n">
        <x:f>IF(ISBLANK('Assumptions'!K169),"__BLANK__",'Assumptions'!K169)</x:f>
        <x:v>0.03176499999999982</x:v>
      </x:c>
      <x:c r="G673" s="50" t="n">
        <x:f>IF(ISBLANK(E673),IF(F673="__BLANK__",0,1),IF(E673=F673,0,1))</x:f>
        <x:v>0</x:v>
      </x:c>
      <x:c r="H673" s="3"/>
      <x:c r="I673" s="3"/>
      <x:c r="J673" s="3"/>
      <x:c r="K673" s="3"/>
      <x:c r="L673" s="3"/>
      <x:c r="M673" s="3"/>
    </x:row>
    <x:row r="674" ht="19" customHeight="1">
      <x:c r="A674" s="2"/>
      <x:c r="B674" s="2"/>
      <x:c r="C674" s="2" t="str">
        <x:v>Assumptions!L161</x:v>
      </x:c>
      <x:c r="D674" s="2"/>
      <x:c r="E674" s="3" t="n">
        <x:v>0.03002249999999984</x:v>
      </x:c>
      <x:c r="F674" s="50" t="n">
        <x:f>IF(ISBLANK('Assumptions'!L161),"__BLANK__",'Assumptions'!L161)</x:f>
        <x:v>0.03002249999999984</x:v>
      </x:c>
      <x:c r="G674" s="50" t="n">
        <x:f>IF(ISBLANK(E674),IF(F674="__BLANK__",0,1),IF(E674=F674,0,1))</x:f>
        <x:v>0</x:v>
      </x:c>
      <x:c r="H674" s="3"/>
      <x:c r="I674" s="3"/>
      <x:c r="J674" s="3"/>
      <x:c r="K674" s="3"/>
      <x:c r="L674" s="3"/>
      <x:c r="M674" s="3"/>
    </x:row>
    <x:row r="675" ht="19" customHeight="1">
      <x:c r="A675" s="2"/>
      <x:c r="B675" s="2"/>
      <x:c r="C675" s="2" t="str">
        <x:v>Assumptions!L162</x:v>
      </x:c>
      <x:c r="D675" s="2"/>
      <x:c r="E675" s="3" t="n">
        <x:v>0.03002249999999962</x:v>
      </x:c>
      <x:c r="F675" s="50" t="n">
        <x:f>IF(ISBLANK('Assumptions'!L162),"__BLANK__",'Assumptions'!L162)</x:f>
        <x:v>0.03002249999999962</x:v>
      </x:c>
      <x:c r="G675" s="50" t="n">
        <x:f>IF(ISBLANK(E675),IF(F675="__BLANK__",0,1),IF(E675=F675,0,1))</x:f>
        <x:v>0</x:v>
      </x:c>
      <x:c r="H675" s="3"/>
      <x:c r="I675" s="3"/>
      <x:c r="J675" s="3"/>
      <x:c r="K675" s="3"/>
      <x:c r="L675" s="3"/>
      <x:c r="M675" s="3"/>
    </x:row>
    <x:row r="676" ht="19" customHeight="1">
      <x:c r="A676" s="2"/>
      <x:c r="B676" s="2"/>
      <x:c r="C676" s="2" t="str">
        <x:v>Assumptions!L163</x:v>
      </x:c>
      <x:c r="D676" s="2"/>
      <x:c r="E676" s="3" t="n">
        <x:v>0.03002249999999984</x:v>
      </x:c>
      <x:c r="F676" s="50" t="n">
        <x:f>IF(ISBLANK('Assumptions'!L163),"__BLANK__",'Assumptions'!L163)</x:f>
        <x:v>0.03002249999999984</x:v>
      </x:c>
      <x:c r="G676" s="50" t="n">
        <x:f>IF(ISBLANK(E676),IF(F676="__BLANK__",0,1),IF(E676=F676,0,1))</x:f>
        <x:v>0</x:v>
      </x:c>
      <x:c r="H676" s="3"/>
      <x:c r="I676" s="3"/>
      <x:c r="J676" s="3"/>
      <x:c r="K676" s="3"/>
      <x:c r="L676" s="3"/>
      <x:c r="M676" s="3"/>
    </x:row>
    <x:row r="677" ht="19" customHeight="1">
      <x:c r="A677" s="2"/>
      <x:c r="B677" s="2"/>
      <x:c r="C677" s="2" t="str">
        <x:v>Assumptions!L164</x:v>
      </x:c>
      <x:c r="D677" s="2"/>
      <x:c r="E677" s="3" t="n">
        <x:v>0.03002249999999984</x:v>
      </x:c>
      <x:c r="F677" s="50" t="n">
        <x:f>IF(ISBLANK('Assumptions'!L164),"__BLANK__",'Assumptions'!L164)</x:f>
        <x:v>0.03002249999999984</x:v>
      </x:c>
      <x:c r="G677" s="50" t="n">
        <x:f>IF(ISBLANK(E677),IF(F677="__BLANK__",0,1),IF(E677=F677,0,1))</x:f>
        <x:v>0</x:v>
      </x:c>
      <x:c r="H677" s="3"/>
      <x:c r="I677" s="3"/>
      <x:c r="J677" s="3"/>
      <x:c r="K677" s="3"/>
      <x:c r="L677" s="3"/>
      <x:c r="M677" s="3"/>
    </x:row>
    <x:row r="678" ht="19" customHeight="1">
      <x:c r="A678" s="2"/>
      <x:c r="B678" s="2"/>
      <x:c r="C678" s="2" t="str">
        <x:v>Assumptions!L165</x:v>
      </x:c>
      <x:c r="D678" s="2"/>
      <x:c r="E678" s="3" t="n">
        <x:v>0.03002249999999962</x:v>
      </x:c>
      <x:c r="F678" s="50" t="n">
        <x:f>IF(ISBLANK('Assumptions'!L165),"__BLANK__",'Assumptions'!L165)</x:f>
        <x:v>0.03002249999999962</x:v>
      </x:c>
      <x:c r="G678" s="50" t="n">
        <x:f>IF(ISBLANK(E678),IF(F678="__BLANK__",0,1),IF(E678=F678,0,1))</x:f>
        <x:v>0</x:v>
      </x:c>
      <x:c r="H678" s="3"/>
      <x:c r="I678" s="3"/>
      <x:c r="J678" s="3"/>
      <x:c r="K678" s="3"/>
      <x:c r="L678" s="3"/>
      <x:c r="M678" s="3"/>
    </x:row>
    <x:row r="679" ht="19" customHeight="1">
      <x:c r="A679" s="2"/>
      <x:c r="B679" s="2"/>
      <x:c r="C679" s="2" t="str">
        <x:v>Assumptions!L166</x:v>
      </x:c>
      <x:c r="D679" s="2"/>
      <x:c r="E679" s="3" t="n">
        <x:v>0.03002249999999984</x:v>
      </x:c>
      <x:c r="F679" s="50" t="n">
        <x:f>IF(ISBLANK('Assumptions'!L166),"__BLANK__",'Assumptions'!L166)</x:f>
        <x:v>0.03002249999999984</x:v>
      </x:c>
      <x:c r="G679" s="50" t="n">
        <x:f>IF(ISBLANK(E679),IF(F679="__BLANK__",0,1),IF(E679=F679,0,1))</x:f>
        <x:v>0</x:v>
      </x:c>
      <x:c r="H679" s="3"/>
      <x:c r="I679" s="3"/>
      <x:c r="J679" s="3"/>
      <x:c r="K679" s="3"/>
      <x:c r="L679" s="3"/>
      <x:c r="M679" s="3"/>
    </x:row>
    <x:row r="680" ht="19" customHeight="1">
      <x:c r="A680" s="2"/>
      <x:c r="B680" s="2"/>
      <x:c r="C680" s="2" t="str">
        <x:v>Assumptions!L167</x:v>
      </x:c>
      <x:c r="D680" s="2"/>
      <x:c r="E680" s="3" t="n">
        <x:v>0.03002249999999984</x:v>
      </x:c>
      <x:c r="F680" s="50" t="n">
        <x:f>IF(ISBLANK('Assumptions'!L167),"__BLANK__",'Assumptions'!L167)</x:f>
        <x:v>0.03002249999999984</x:v>
      </x:c>
      <x:c r="G680" s="50" t="n">
        <x:f>IF(ISBLANK(E680),IF(F680="__BLANK__",0,1),IF(E680=F680,0,1))</x:f>
        <x:v>0</x:v>
      </x:c>
      <x:c r="H680" s="3"/>
      <x:c r="I680" s="3"/>
      <x:c r="J680" s="3"/>
      <x:c r="K680" s="3"/>
      <x:c r="L680" s="3"/>
      <x:c r="M680" s="3"/>
    </x:row>
    <x:row r="681" ht="19" customHeight="1">
      <x:c r="A681" s="2"/>
      <x:c r="B681" s="2"/>
      <x:c r="C681" s="2" t="str">
        <x:v>Assumptions!L168</x:v>
      </x:c>
      <x:c r="D681" s="2"/>
      <x:c r="E681" s="3" t="n">
        <x:v>0.03002249999999962</x:v>
      </x:c>
      <x:c r="F681" s="50" t="n">
        <x:f>IF(ISBLANK('Assumptions'!L168),"__BLANK__",'Assumptions'!L168)</x:f>
        <x:v>0.03002249999999962</x:v>
      </x:c>
      <x:c r="G681" s="50" t="n">
        <x:f>IF(ISBLANK(E681),IF(F681="__BLANK__",0,1),IF(E681=F681,0,1))</x:f>
        <x:v>0</x:v>
      </x:c>
      <x:c r="H681" s="3"/>
      <x:c r="I681" s="3"/>
      <x:c r="J681" s="3"/>
      <x:c r="K681" s="3"/>
      <x:c r="L681" s="3"/>
      <x:c r="M681" s="3"/>
    </x:row>
    <x:row r="682" ht="19" customHeight="1">
      <x:c r="A682" s="2"/>
      <x:c r="B682" s="2"/>
      <x:c r="C682" s="2" t="str">
        <x:v>Assumptions!L169</x:v>
      </x:c>
      <x:c r="D682" s="2"/>
      <x:c r="E682" s="3" t="n">
        <x:v>0.03002249999999984</x:v>
      </x:c>
      <x:c r="F682" s="50" t="n">
        <x:f>IF(ISBLANK('Assumptions'!L169),"__BLANK__",'Assumptions'!L169)</x:f>
        <x:v>0.03002249999999984</x:v>
      </x:c>
      <x:c r="G682" s="50" t="n">
        <x:f>IF(ISBLANK(E682),IF(F682="__BLANK__",0,1),IF(E682=F682,0,1))</x:f>
        <x:v>0</x:v>
      </x:c>
      <x:c r="H682" s="3"/>
      <x:c r="I682" s="3"/>
      <x:c r="J682" s="3"/>
      <x:c r="K682" s="3"/>
      <x:c r="L682" s="3"/>
      <x:c r="M682" s="3"/>
    </x:row>
    <x:row r="683" ht="19" customHeight="1">
      <x:c r="A683" s="2"/>
      <x:c r="B683" s="2"/>
      <x:c r="C683" s="2" t="str">
        <x:v>Assumptions!F91</x:v>
      </x:c>
      <x:c r="D683" s="2"/>
      <x:c r="E683" s="3" t="n">
        <x:v>0</x:v>
      </x:c>
      <x:c r="F683" s="50" t="n">
        <x:f>IF(ISBLANK('Assumptions'!F91),"__BLANK__",'Assumptions'!F91)</x:f>
        <x:v>0</x:v>
      </x:c>
      <x:c r="G683" s="50" t="n">
        <x:f>IF(ISBLANK(E683),IF(F683="__BLANK__",0,1),IF(E683=F683,0,1))</x:f>
        <x:v>0</x:v>
      </x:c>
      <x:c r="H683" s="3"/>
      <x:c r="I683" s="3"/>
      <x:c r="J683" s="3"/>
      <x:c r="K683" s="3"/>
      <x:c r="L683" s="3"/>
      <x:c r="M683" s="3"/>
    </x:row>
    <x:row r="684" ht="19" customHeight="1">
      <x:c r="A684" s="2"/>
      <x:c r="B684" s="2"/>
      <x:c r="C684" s="2" t="str">
        <x:v>Assumptions!G91</x:v>
      </x:c>
      <x:c r="D684" s="2"/>
      <x:c r="E684" s="3" t="n">
        <x:v>0</x:v>
      </x:c>
      <x:c r="F684" s="50" t="n">
        <x:f>IF(ISBLANK('Assumptions'!G91),"__BLANK__",'Assumptions'!G91)</x:f>
        <x:v>0</x:v>
      </x:c>
      <x:c r="G684" s="50" t="n">
        <x:f>IF(ISBLANK(E684),IF(F684="__BLANK__",0,1),IF(E684=F684,0,1))</x:f>
        <x:v>0</x:v>
      </x:c>
      <x:c r="H684" s="3"/>
      <x:c r="I684" s="3"/>
      <x:c r="J684" s="3"/>
      <x:c r="K684" s="3"/>
      <x:c r="L684" s="3"/>
      <x:c r="M684" s="3"/>
    </x:row>
    <x:row r="685" ht="19" customHeight="1">
      <x:c r="A685" s="2"/>
      <x:c r="B685" s="2"/>
      <x:c r="C685" s="2" t="str">
        <x:v>Assumptions!H91</x:v>
      </x:c>
      <x:c r="D685" s="2"/>
      <x:c r="E685" s="3" t="n">
        <x:v>-0.005</x:v>
      </x:c>
      <x:c r="F685" s="50" t="n">
        <x:f>IF(ISBLANK('Assumptions'!H91),"__BLANK__",'Assumptions'!H91)</x:f>
        <x:v>-0.005</x:v>
      </x:c>
      <x:c r="G685" s="50" t="n">
        <x:f>IF(ISBLANK(E685),IF(F685="__BLANK__",0,1),IF(E685=F685,0,1))</x:f>
        <x:v>0</x:v>
      </x:c>
      <x:c r="H685" s="3"/>
      <x:c r="I685" s="3"/>
      <x:c r="J685" s="3"/>
      <x:c r="K685" s="3"/>
      <x:c r="L685" s="3"/>
      <x:c r="M685" s="3"/>
    </x:row>
    <x:row r="686" ht="19" customHeight="1">
      <x:c r="A686" s="2"/>
      <x:c r="B686" s="2"/>
      <x:c r="C686" s="2" t="str">
        <x:v>Assumptions!F92</x:v>
      </x:c>
      <x:c r="D686" s="2"/>
      <x:c r="E686" s="3" t="n">
        <x:v>-0.05</x:v>
      </x:c>
      <x:c r="F686" s="50" t="n">
        <x:f>IF(ISBLANK('Assumptions'!F92),"__BLANK__",'Assumptions'!F92)</x:f>
        <x:v>-0.05</x:v>
      </x:c>
      <x:c r="G686" s="50" t="n">
        <x:f>IF(ISBLANK(E686),IF(F686="__BLANK__",0,1),IF(E686=F686,0,1))</x:f>
        <x:v>0</x:v>
      </x:c>
      <x:c r="H686" s="3"/>
      <x:c r="I686" s="3"/>
      <x:c r="J686" s="3"/>
      <x:c r="K686" s="3"/>
      <x:c r="L686" s="3"/>
      <x:c r="M686" s="3"/>
    </x:row>
    <x:row r="687" ht="19" customHeight="1">
      <x:c r="A687" s="2"/>
      <x:c r="B687" s="2"/>
      <x:c r="C687" s="2" t="str">
        <x:v>Assumptions!G92</x:v>
      </x:c>
      <x:c r="D687" s="2"/>
      <x:c r="E687" s="3" t="n">
        <x:v>-0.05</x:v>
      </x:c>
      <x:c r="F687" s="50" t="n">
        <x:f>IF(ISBLANK('Assumptions'!G92),"__BLANK__",'Assumptions'!G92)</x:f>
        <x:v>-0.05</x:v>
      </x:c>
      <x:c r="G687" s="50" t="n">
        <x:f>IF(ISBLANK(E687),IF(F687="__BLANK__",0,1),IF(E687=F687,0,1))</x:f>
        <x:v>0</x:v>
      </x:c>
      <x:c r="H687" s="3"/>
      <x:c r="I687" s="3"/>
      <x:c r="J687" s="3"/>
      <x:c r="K687" s="3"/>
      <x:c r="L687" s="3"/>
      <x:c r="M687" s="3"/>
    </x:row>
    <x:row r="688" ht="19" customHeight="1">
      <x:c r="A688" s="2"/>
      <x:c r="B688" s="2"/>
      <x:c r="C688" s="2" t="str">
        <x:v>Assumptions!H92</x:v>
      </x:c>
      <x:c r="D688" s="2"/>
      <x:c r="E688" s="3" t="n">
        <x:v>-0.05</x:v>
      </x:c>
      <x:c r="F688" s="50" t="n">
        <x:f>IF(ISBLANK('Assumptions'!H92),"__BLANK__",'Assumptions'!H92)</x:f>
        <x:v>-0.05</x:v>
      </x:c>
      <x:c r="G688" s="50" t="n">
        <x:f>IF(ISBLANK(E688),IF(F688="__BLANK__",0,1),IF(E688=F688,0,1))</x:f>
        <x:v>0</x:v>
      </x:c>
      <x:c r="H688" s="3"/>
      <x:c r="I688" s="3"/>
      <x:c r="J688" s="3"/>
      <x:c r="K688" s="3"/>
      <x:c r="L688" s="3"/>
      <x:c r="M688" s="3"/>
    </x:row>
    <x:row r="689" ht="19" customHeight="1">
      <x:c r="A689" s="2"/>
      <x:c r="B689" s="2"/>
      <x:c r="C689" s="2" t="str">
        <x:v>Assumptions!F93</x:v>
      </x:c>
      <x:c r="D689" s="2"/>
      <x:c r="E689" s="3" t="n">
        <x:v>0.11</x:v>
      </x:c>
      <x:c r="F689" s="50" t="n">
        <x:f>IF(ISBLANK('Assumptions'!F93),"__BLANK__",'Assumptions'!F93)</x:f>
        <x:v>0.11</x:v>
      </x:c>
      <x:c r="G689" s="50" t="n">
        <x:f>IF(ISBLANK(E689),IF(F689="__BLANK__",0,1),IF(E689=F689,0,1))</x:f>
        <x:v>0</x:v>
      </x:c>
      <x:c r="H689" s="3"/>
      <x:c r="I689" s="3"/>
      <x:c r="J689" s="3"/>
      <x:c r="K689" s="3"/>
      <x:c r="L689" s="3"/>
      <x:c r="M689" s="3"/>
    </x:row>
    <x:row r="690" ht="19" customHeight="1">
      <x:c r="A690" s="2"/>
      <x:c r="B690" s="2"/>
      <x:c r="C690" s="2" t="str">
        <x:v>Assumptions!G93</x:v>
      </x:c>
      <x:c r="D690" s="2"/>
      <x:c r="E690" s="3" t="n">
        <x:v>0.1</x:v>
      </x:c>
      <x:c r="F690" s="50" t="n">
        <x:f>IF(ISBLANK('Assumptions'!G93),"__BLANK__",'Assumptions'!G93)</x:f>
        <x:v>0.1</x:v>
      </x:c>
      <x:c r="G690" s="50" t="n">
        <x:f>IF(ISBLANK(E690),IF(F690="__BLANK__",0,1),IF(E690=F690,0,1))</x:f>
        <x:v>0</x:v>
      </x:c>
      <x:c r="H690" s="3"/>
      <x:c r="I690" s="3"/>
      <x:c r="J690" s="3"/>
      <x:c r="K690" s="3"/>
      <x:c r="L690" s="3"/>
      <x:c r="M690" s="3"/>
    </x:row>
    <x:row r="691" ht="19" customHeight="1">
      <x:c r="A691" s="2"/>
      <x:c r="B691" s="2"/>
      <x:c r="C691" s="2" t="str">
        <x:v>Assumptions!H93</x:v>
      </x:c>
      <x:c r="D691" s="2"/>
      <x:c r="E691" s="3" t="n">
        <x:v>0.095</x:v>
      </x:c>
      <x:c r="F691" s="50" t="n">
        <x:f>IF(ISBLANK('Assumptions'!H93),"__BLANK__",'Assumptions'!H93)</x:f>
        <x:v>0.095</x:v>
      </x:c>
      <x:c r="G691" s="50" t="n">
        <x:f>IF(ISBLANK(E691),IF(F691="__BLANK__",0,1),IF(E691=F691,0,1))</x:f>
        <x:v>0</x:v>
      </x:c>
      <x:c r="H691" s="3"/>
      <x:c r="I691" s="3"/>
      <x:c r="J691" s="3"/>
      <x:c r="K691" s="3"/>
      <x:c r="L691" s="3"/>
      <x:c r="M691" s="3"/>
    </x:row>
    <x:row r="692" ht="19" customHeight="1">
      <x:c r="A692" s="2"/>
      <x:c r="B692" s="2"/>
      <x:c r="C692" s="2" t="str">
        <x:v>Assumptions!F94</x:v>
      </x:c>
      <x:c r="D692" s="2"/>
      <x:c r="E692" s="3" t="n">
        <x:v>0.25</x:v>
      </x:c>
      <x:c r="F692" s="50" t="n">
        <x:f>IF(ISBLANK('Assumptions'!F94),"__BLANK__",'Assumptions'!F94)</x:f>
        <x:v>0.25</x:v>
      </x:c>
      <x:c r="G692" s="50" t="n">
        <x:f>IF(ISBLANK(E692),IF(F692="__BLANK__",0,1),IF(E692=F692,0,1))</x:f>
        <x:v>0</x:v>
      </x:c>
      <x:c r="H692" s="3"/>
      <x:c r="I692" s="3"/>
      <x:c r="J692" s="3"/>
      <x:c r="K692" s="3"/>
      <x:c r="L692" s="3"/>
      <x:c r="M692" s="3"/>
    </x:row>
    <x:row r="693" ht="19" customHeight="1">
      <x:c r="A693" s="2"/>
      <x:c r="B693" s="2"/>
      <x:c r="C693" s="2" t="str">
        <x:v>Assumptions!G94</x:v>
      </x:c>
      <x:c r="D693" s="2"/>
      <x:c r="E693" s="3" t="n">
        <x:v>0.16</x:v>
      </x:c>
      <x:c r="F693" s="50" t="n">
        <x:f>IF(ISBLANK('Assumptions'!G94),"__BLANK__",'Assumptions'!G94)</x:f>
        <x:v>0.16</x:v>
      </x:c>
      <x:c r="G693" s="50" t="n">
        <x:f>IF(ISBLANK(E693),IF(F693="__BLANK__",0,1),IF(E693=F693,0,1))</x:f>
        <x:v>0</x:v>
      </x:c>
      <x:c r="H693" s="3"/>
      <x:c r="I693" s="3"/>
      <x:c r="J693" s="3"/>
      <x:c r="K693" s="3"/>
      <x:c r="L693" s="3"/>
      <x:c r="M693" s="3"/>
    </x:row>
    <x:row r="694" ht="19" customHeight="1">
      <x:c r="A694" s="2"/>
      <x:c r="B694" s="2"/>
      <x:c r="C694" s="2" t="str">
        <x:v>Assumptions!H94</x:v>
      </x:c>
      <x:c r="D694" s="2"/>
      <x:c r="E694" s="3" t="n">
        <x:v>0.135</x:v>
      </x:c>
      <x:c r="F694" s="50" t="n">
        <x:f>IF(ISBLANK('Assumptions'!H94),"__BLANK__",'Assumptions'!H94)</x:f>
        <x:v>0.135</x:v>
      </x:c>
      <x:c r="G694" s="50" t="n">
        <x:f>IF(ISBLANK(E694),IF(F694="__BLANK__",0,1),IF(E694=F694,0,1))</x:f>
        <x:v>0</x:v>
      </x:c>
      <x:c r="H694" s="3"/>
      <x:c r="I694" s="3"/>
      <x:c r="J694" s="3"/>
      <x:c r="K694" s="3"/>
      <x:c r="L694" s="3"/>
      <x:c r="M694" s="3"/>
    </x:row>
    <x:row r="695" ht="19" customHeight="1">
      <x:c r="A695" s="2"/>
      <x:c r="B695" s="2"/>
      <x:c r="C695" s="2" t="str">
        <x:v>Assumptions!F95</x:v>
      </x:c>
      <x:c r="D695" s="2"/>
      <x:c r="E695" s="3" t="n">
        <x:v>0.18</x:v>
      </x:c>
      <x:c r="F695" s="50" t="n">
        <x:f>IF(ISBLANK('Assumptions'!F95),"__BLANK__",'Assumptions'!F95)</x:f>
        <x:v>0.18</x:v>
      </x:c>
      <x:c r="G695" s="50" t="n">
        <x:f>IF(ISBLANK(E695),IF(F695="__BLANK__",0,1),IF(E695=F695,0,1))</x:f>
        <x:v>0</x:v>
      </x:c>
      <x:c r="H695" s="3"/>
      <x:c r="I695" s="3"/>
      <x:c r="J695" s="3"/>
      <x:c r="K695" s="3"/>
      <x:c r="L695" s="3"/>
      <x:c r="M695" s="3"/>
    </x:row>
    <x:row r="696" ht="19" customHeight="1">
      <x:c r="A696" s="2"/>
      <x:c r="B696" s="2"/>
      <x:c r="C696" s="2" t="str">
        <x:v>Assumptions!G95</x:v>
      </x:c>
      <x:c r="D696" s="2"/>
      <x:c r="E696" s="3" t="n">
        <x:v>0.14</x:v>
      </x:c>
      <x:c r="F696" s="50" t="n">
        <x:f>IF(ISBLANK('Assumptions'!G95),"__BLANK__",'Assumptions'!G95)</x:f>
        <x:v>0.14</x:v>
      </x:c>
      <x:c r="G696" s="50" t="n">
        <x:f>IF(ISBLANK(E696),IF(F696="__BLANK__",0,1),IF(E696=F696,0,1))</x:f>
        <x:v>0</x:v>
      </x:c>
      <x:c r="H696" s="3"/>
      <x:c r="I696" s="3"/>
      <x:c r="J696" s="3"/>
      <x:c r="K696" s="3"/>
      <x:c r="L696" s="3"/>
      <x:c r="M696" s="3"/>
    </x:row>
    <x:row r="697" ht="19" customHeight="1">
      <x:c r="A697" s="2"/>
      <x:c r="B697" s="2"/>
      <x:c r="C697" s="2" t="str">
        <x:v>Assumptions!H95</x:v>
      </x:c>
      <x:c r="D697" s="2"/>
      <x:c r="E697" s="3" t="n">
        <x:v>0.12</x:v>
      </x:c>
      <x:c r="F697" s="50" t="n">
        <x:f>IF(ISBLANK('Assumptions'!H95),"__BLANK__",'Assumptions'!H95)</x:f>
        <x:v>0.12</x:v>
      </x:c>
      <x:c r="G697" s="50" t="n">
        <x:f>IF(ISBLANK(E697),IF(F697="__BLANK__",0,1),IF(E697=F697,0,1))</x:f>
        <x:v>0</x:v>
      </x:c>
      <x:c r="H697" s="3"/>
      <x:c r="I697" s="3"/>
      <x:c r="J697" s="3"/>
      <x:c r="K697" s="3"/>
      <x:c r="L697" s="3"/>
      <x:c r="M697" s="3"/>
    </x:row>
    <x:row r="698" ht="19" customHeight="1">
      <x:c r="A698" s="2"/>
      <x:c r="B698" s="2"/>
      <x:c r="C698" s="2" t="str">
        <x:v>Assumptions!F96</x:v>
      </x:c>
      <x:c r="D698" s="2"/>
      <x:c r="E698" s="3" t="n">
        <x:v>0.02</x:v>
      </x:c>
      <x:c r="F698" s="50" t="n">
        <x:f>IF(ISBLANK('Assumptions'!F96),"__BLANK__",'Assumptions'!F96)</x:f>
        <x:v>0.02</x:v>
      </x:c>
      <x:c r="G698" s="50" t="n">
        <x:f>IF(ISBLANK(E698),IF(F698="__BLANK__",0,1),IF(E698=F698,0,1))</x:f>
        <x:v>0</x:v>
      </x:c>
      <x:c r="H698" s="3"/>
      <x:c r="I698" s="3"/>
      <x:c r="J698" s="3"/>
      <x:c r="K698" s="3"/>
      <x:c r="L698" s="3"/>
      <x:c r="M698" s="3"/>
    </x:row>
    <x:row r="699" ht="19" customHeight="1">
      <x:c r="A699" s="2"/>
      <x:c r="B699" s="2"/>
      <x:c r="C699" s="2" t="str">
        <x:v>Assumptions!G96</x:v>
      </x:c>
      <x:c r="D699" s="2"/>
      <x:c r="E699" s="3" t="n">
        <x:v>0.055</x:v>
      </x:c>
      <x:c r="F699" s="50" t="n">
        <x:f>IF(ISBLANK('Assumptions'!G96),"__BLANK__",'Assumptions'!G96)</x:f>
        <x:v>0.055</x:v>
      </x:c>
      <x:c r="G699" s="50" t="n">
        <x:f>IF(ISBLANK(E699),IF(F699="__BLANK__",0,1),IF(E699=F699,0,1))</x:f>
        <x:v>0</x:v>
      </x:c>
      <x:c r="H699" s="3"/>
      <x:c r="I699" s="3"/>
      <x:c r="J699" s="3"/>
      <x:c r="K699" s="3"/>
      <x:c r="L699" s="3"/>
      <x:c r="M699" s="3"/>
    </x:row>
    <x:row r="700" ht="19" customHeight="1">
      <x:c r="A700" s="2"/>
      <x:c r="B700" s="2"/>
      <x:c r="C700" s="2" t="str">
        <x:v>Assumptions!H96</x:v>
      </x:c>
      <x:c r="D700" s="2"/>
      <x:c r="E700" s="3" t="n">
        <x:v>0.05</x:v>
      </x:c>
      <x:c r="F700" s="50" t="n">
        <x:f>IF(ISBLANK('Assumptions'!H96),"__BLANK__",'Assumptions'!H96)</x:f>
        <x:v>0.05</x:v>
      </x:c>
      <x:c r="G700" s="50" t="n">
        <x:f>IF(ISBLANK(E700),IF(F700="__BLANK__",0,1),IF(E700=F700,0,1))</x:f>
        <x:v>0</x:v>
      </x:c>
      <x:c r="H700" s="3"/>
      <x:c r="I700" s="3"/>
      <x:c r="J700" s="3"/>
      <x:c r="K700" s="3"/>
      <x:c r="L700" s="3"/>
      <x:c r="M700" s="3"/>
    </x:row>
    <x:row r="701" ht="19" customHeight="1">
      <x:c r="A701" s="2"/>
      <x:c r="B701" s="2"/>
      <x:c r="C701" s="2" t="str">
        <x:v>Assumptions!F97</x:v>
      </x:c>
      <x:c r="D701" s="2"/>
      <x:c r="E701" s="3" t="n">
        <x:v>0.009</x:v>
      </x:c>
      <x:c r="F701" s="50" t="n">
        <x:f>IF(ISBLANK('Assumptions'!F97),"__BLANK__",'Assumptions'!F97)</x:f>
        <x:v>0.009</x:v>
      </x:c>
      <x:c r="G701" s="50" t="n">
        <x:f>IF(ISBLANK(E701),IF(F701="__BLANK__",0,1),IF(E701=F701,0,1))</x:f>
        <x:v>0</x:v>
      </x:c>
      <x:c r="H701" s="3"/>
      <x:c r="I701" s="3"/>
      <x:c r="J701" s="3"/>
      <x:c r="K701" s="3"/>
      <x:c r="L701" s="3"/>
      <x:c r="M701" s="3"/>
    </x:row>
    <x:row r="702" ht="19" customHeight="1">
      <x:c r="A702" s="2"/>
      <x:c r="B702" s="2"/>
      <x:c r="C702" s="2" t="str">
        <x:v>Assumptions!G97</x:v>
      </x:c>
      <x:c r="D702" s="2"/>
      <x:c r="E702" s="3" t="n">
        <x:v>0.009</x:v>
      </x:c>
      <x:c r="F702" s="50" t="n">
        <x:f>IF(ISBLANK('Assumptions'!G97),"__BLANK__",'Assumptions'!G97)</x:f>
        <x:v>0.009</x:v>
      </x:c>
      <x:c r="G702" s="50" t="n">
        <x:f>IF(ISBLANK(E702),IF(F702="__BLANK__",0,1),IF(E702=F702,0,1))</x:f>
        <x:v>0</x:v>
      </x:c>
      <x:c r="H702" s="3"/>
      <x:c r="I702" s="3"/>
      <x:c r="J702" s="3"/>
      <x:c r="K702" s="3"/>
      <x:c r="L702" s="3"/>
      <x:c r="M702" s="3"/>
    </x:row>
    <x:row r="703" ht="19" customHeight="1">
      <x:c r="A703" s="2"/>
      <x:c r="B703" s="2"/>
      <x:c r="C703" s="2" t="str">
        <x:v>Assumptions!H97</x:v>
      </x:c>
      <x:c r="D703" s="2"/>
      <x:c r="E703" s="3" t="n">
        <x:v>0.009</x:v>
      </x:c>
      <x:c r="F703" s="50" t="n">
        <x:f>IF(ISBLANK('Assumptions'!H97),"__BLANK__",'Assumptions'!H97)</x:f>
        <x:v>0.009</x:v>
      </x:c>
      <x:c r="G703" s="50" t="n">
        <x:f>IF(ISBLANK(E703),IF(F703="__BLANK__",0,1),IF(E703=F703,0,1))</x:f>
        <x:v>0</x:v>
      </x:c>
      <x:c r="H703" s="3"/>
      <x:c r="I703" s="3"/>
      <x:c r="J703" s="3"/>
      <x:c r="K703" s="3"/>
      <x:c r="L703" s="3"/>
      <x:c r="M703" s="3"/>
    </x:row>
    <x:row r="704" ht="19" customHeight="1">
      <x:c r="A704" s="2"/>
      <x:c r="B704" s="2"/>
      <x:c r="C704" s="2" t="str">
        <x:v>Assumptions!F98</x:v>
      </x:c>
      <x:c r="D704" s="2"/>
      <x:c r="E704" s="3" t="n">
        <x:v>0.13</x:v>
      </x:c>
      <x:c r="F704" s="50" t="n">
        <x:f>IF(ISBLANK('Assumptions'!F98),"__BLANK__",'Assumptions'!F98)</x:f>
        <x:v>0.13</x:v>
      </x:c>
      <x:c r="G704" s="50" t="n">
        <x:f>IF(ISBLANK(E704),IF(F704="__BLANK__",0,1),IF(E704=F704,0,1))</x:f>
        <x:v>0</x:v>
      </x:c>
      <x:c r="H704" s="3"/>
      <x:c r="I704" s="3"/>
      <x:c r="J704" s="3"/>
      <x:c r="K704" s="3"/>
      <x:c r="L704" s="3"/>
      <x:c r="M704" s="3"/>
    </x:row>
    <x:row r="705" ht="19" customHeight="1">
      <x:c r="A705" s="2"/>
      <x:c r="B705" s="2"/>
      <x:c r="C705" s="2" t="str">
        <x:v>Assumptions!G98</x:v>
      </x:c>
      <x:c r="D705" s="2"/>
      <x:c r="E705" s="3" t="n">
        <x:v>0.1</x:v>
      </x:c>
      <x:c r="F705" s="50" t="n">
        <x:f>IF(ISBLANK('Assumptions'!G98),"__BLANK__",'Assumptions'!G98)</x:f>
        <x:v>0.1</x:v>
      </x:c>
      <x:c r="G705" s="50" t="n">
        <x:f>IF(ISBLANK(E705),IF(F705="__BLANK__",0,1),IF(E705=F705,0,1))</x:f>
        <x:v>0</x:v>
      </x:c>
      <x:c r="H705" s="3"/>
      <x:c r="I705" s="3"/>
      <x:c r="J705" s="3"/>
      <x:c r="K705" s="3"/>
      <x:c r="L705" s="3"/>
      <x:c r="M705" s="3"/>
    </x:row>
    <x:row r="706" ht="19" customHeight="1">
      <x:c r="A706" s="2"/>
      <x:c r="B706" s="2"/>
      <x:c r="C706" s="2" t="str">
        <x:v>Assumptions!H98</x:v>
      </x:c>
      <x:c r="D706" s="2"/>
      <x:c r="E706" s="3" t="n">
        <x:v>0.08</x:v>
      </x:c>
      <x:c r="F706" s="50" t="n">
        <x:f>IF(ISBLANK('Assumptions'!H98),"__BLANK__",'Assumptions'!H98)</x:f>
        <x:v>0.08</x:v>
      </x:c>
      <x:c r="G706" s="50" t="n">
        <x:f>IF(ISBLANK(E706),IF(F706="__BLANK__",0,1),IF(E706=F706,0,1))</x:f>
        <x:v>0</x:v>
      </x:c>
      <x:c r="H706" s="3"/>
      <x:c r="I706" s="3"/>
      <x:c r="J706" s="3"/>
      <x:c r="K706" s="3"/>
      <x:c r="L706" s="3"/>
      <x:c r="M706" s="3"/>
    </x:row>
    <x:row r="707" ht="19" customHeight="1">
      <x:c r="A707" s="2"/>
      <x:c r="B707" s="2"/>
      <x:c r="C707" s="2" t="str">
        <x:v>Assumptions!F99</x:v>
      </x:c>
      <x:c r="D707" s="2"/>
      <x:c r="E707" s="3" t="n">
        <x:v>660</x:v>
      </x:c>
      <x:c r="F707" s="50" t="n">
        <x:f>IF(ISBLANK('Assumptions'!F99),"__BLANK__",'Assumptions'!F99)</x:f>
        <x:v>660</x:v>
      </x:c>
      <x:c r="G707" s="50" t="n">
        <x:f>IF(ISBLANK(E707),IF(F707="__BLANK__",0,1),IF(E707=F707,0,1))</x:f>
        <x:v>0</x:v>
      </x:c>
      <x:c r="H707" s="3"/>
      <x:c r="I707" s="3"/>
      <x:c r="J707" s="3"/>
      <x:c r="K707" s="3"/>
      <x:c r="L707" s="3"/>
      <x:c r="M707" s="3"/>
    </x:row>
    <x:row r="708" ht="19" customHeight="1">
      <x:c r="A708" s="2"/>
      <x:c r="B708" s="2"/>
      <x:c r="C708" s="2" t="str">
        <x:v>Assumptions!G99</x:v>
      </x:c>
      <x:c r="D708" s="2"/>
      <x:c r="E708" s="3" t="n">
        <x:v>620</x:v>
      </x:c>
      <x:c r="F708" s="50" t="n">
        <x:f>IF(ISBLANK('Assumptions'!G99),"__BLANK__",'Assumptions'!G99)</x:f>
        <x:v>620</x:v>
      </x:c>
      <x:c r="G708" s="50" t="n">
        <x:f>IF(ISBLANK(E708),IF(F708="__BLANK__",0,1),IF(E708=F708,0,1))</x:f>
        <x:v>0</x:v>
      </x:c>
      <x:c r="H708" s="3"/>
      <x:c r="I708" s="3"/>
      <x:c r="J708" s="3"/>
      <x:c r="K708" s="3"/>
      <x:c r="L708" s="3"/>
      <x:c r="M708" s="3"/>
    </x:row>
    <x:row r="709" ht="19" customHeight="1">
      <x:c r="A709" s="2"/>
      <x:c r="B709" s="2"/>
      <x:c r="C709" s="2" t="str">
        <x:v>Assumptions!H99</x:v>
      </x:c>
      <x:c r="D709" s="2"/>
      <x:c r="E709" s="3" t="n">
        <x:v>590</x:v>
      </x:c>
      <x:c r="F709" s="50" t="n">
        <x:f>IF(ISBLANK('Assumptions'!H99),"__BLANK__",'Assumptions'!H99)</x:f>
        <x:v>590</x:v>
      </x:c>
      <x:c r="G709" s="50" t="n">
        <x:f>IF(ISBLANK(E709),IF(F709="__BLANK__",0,1),IF(E709=F709,0,1))</x:f>
        <x:v>0</x:v>
      </x:c>
      <x:c r="H709" s="3"/>
      <x:c r="I709" s="3"/>
      <x:c r="J709" s="3"/>
      <x:c r="K709" s="3"/>
      <x:c r="L709" s="3"/>
      <x:c r="M709" s="3"/>
    </x:row>
    <x:row r="710" ht="19" customHeight="1">
      <x:c r="A710" s="2"/>
      <x:c r="B710" s="2"/>
      <x:c r="C710" s="2" t="str">
        <x:v>Assumptions!F100</x:v>
      </x:c>
      <x:c r="D710" s="2"/>
      <x:c r="E710" s="3" t="n">
        <x:v>120</x:v>
      </x:c>
      <x:c r="F710" s="50" t="n">
        <x:f>IF(ISBLANK('Assumptions'!F100),"__BLANK__",'Assumptions'!F100)</x:f>
        <x:v>120</x:v>
      </x:c>
      <x:c r="G710" s="50" t="n">
        <x:f>IF(ISBLANK(E710),IF(F710="__BLANK__",0,1),IF(E710=F710,0,1))</x:f>
        <x:v>0</x:v>
      </x:c>
      <x:c r="H710" s="3"/>
      <x:c r="I710" s="3"/>
      <x:c r="J710" s="3"/>
      <x:c r="K710" s="3"/>
      <x:c r="L710" s="3"/>
      <x:c r="M710" s="3"/>
    </x:row>
    <x:row r="711" ht="19" customHeight="1">
      <x:c r="A711" s="2"/>
      <x:c r="B711" s="2"/>
      <x:c r="C711" s="2" t="str">
        <x:v>Assumptions!G100</x:v>
      </x:c>
      <x:c r="D711" s="2"/>
      <x:c r="E711" s="3" t="n">
        <x:v>125</x:v>
      </x:c>
      <x:c r="F711" s="50" t="n">
        <x:f>IF(ISBLANK('Assumptions'!G100),"__BLANK__",'Assumptions'!G100)</x:f>
        <x:v>125</x:v>
      </x:c>
      <x:c r="G711" s="50" t="n">
        <x:f>IF(ISBLANK(E711),IF(F711="__BLANK__",0,1),IF(E711=F711,0,1))</x:f>
        <x:v>0</x:v>
      </x:c>
      <x:c r="H711" s="3"/>
      <x:c r="I711" s="3"/>
      <x:c r="J711" s="3"/>
      <x:c r="K711" s="3"/>
      <x:c r="L711" s="3"/>
      <x:c r="M711" s="3"/>
    </x:row>
    <x:row r="712" ht="19" customHeight="1">
      <x:c r="A712" s="2"/>
      <x:c r="B712" s="2"/>
      <x:c r="C712" s="2" t="str">
        <x:v>Assumptions!H100</x:v>
      </x:c>
      <x:c r="D712" s="2"/>
      <x:c r="E712" s="3" t="n">
        <x:v>125</x:v>
      </x:c>
      <x:c r="F712" s="50" t="n">
        <x:f>IF(ISBLANK('Assumptions'!H100),"__BLANK__",'Assumptions'!H100)</x:f>
        <x:v>125</x:v>
      </x:c>
      <x:c r="G712" s="50" t="n">
        <x:f>IF(ISBLANK(E712),IF(F712="__BLANK__",0,1),IF(E712=F712,0,1))</x:f>
        <x:v>0</x:v>
      </x:c>
      <x:c r="H712" s="3"/>
      <x:c r="I712" s="3"/>
      <x:c r="J712" s="3"/>
      <x:c r="K712" s="3"/>
      <x:c r="L712" s="3"/>
      <x:c r="M712" s="3"/>
    </x:row>
    <x:row r="713" ht="19" customHeight="1">
      <x:c r="A713" s="2"/>
      <x:c r="B713" s="2"/>
      <x:c r="C713" s="2" t="str">
        <x:v>Assumptions!F101</x:v>
      </x:c>
      <x:c r="D713" s="2"/>
      <x:c r="E713" s="3" t="n">
        <x:v>0.026</x:v>
      </x:c>
      <x:c r="F713" s="50" t="n">
        <x:f>IF(ISBLANK('Assumptions'!F101),"__BLANK__",'Assumptions'!F101)</x:f>
        <x:v>0.026</x:v>
      </x:c>
      <x:c r="G713" s="50" t="n">
        <x:f>IF(ISBLANK(E713),IF(F713="__BLANK__",0,1),IF(E713=F713,0,1))</x:f>
        <x:v>0</x:v>
      </x:c>
      <x:c r="H713" s="3"/>
      <x:c r="I713" s="3"/>
      <x:c r="J713" s="3"/>
      <x:c r="K713" s="3"/>
      <x:c r="L713" s="3"/>
      <x:c r="M713" s="3"/>
    </x:row>
    <x:row r="714" ht="19" customHeight="1">
      <x:c r="A714" s="2"/>
      <x:c r="B714" s="2"/>
      <x:c r="C714" s="2" t="str">
        <x:v>Assumptions!G101</x:v>
      </x:c>
      <x:c r="D714" s="2"/>
      <x:c r="E714" s="3" t="n">
        <x:v>0.034</x:v>
      </x:c>
      <x:c r="F714" s="50" t="n">
        <x:f>IF(ISBLANK('Assumptions'!G101),"__BLANK__",'Assumptions'!G101)</x:f>
        <x:v>0.034</x:v>
      </x:c>
      <x:c r="G714" s="50" t="n">
        <x:f>IF(ISBLANK(E714),IF(F714="__BLANK__",0,1),IF(E714=F714,0,1))</x:f>
        <x:v>0</x:v>
      </x:c>
      <x:c r="H714" s="3"/>
      <x:c r="I714" s="3"/>
      <x:c r="J714" s="3"/>
      <x:c r="K714" s="3"/>
      <x:c r="L714" s="3"/>
      <x:c r="M714" s="3"/>
    </x:row>
    <x:row r="715" ht="19" customHeight="1">
      <x:c r="A715" s="2"/>
      <x:c r="B715" s="2"/>
      <x:c r="C715" s="2" t="str">
        <x:v>Assumptions!H101</x:v>
      </x:c>
      <x:c r="D715" s="2"/>
      <x:c r="E715" s="3" t="n">
        <x:v>0.04</x:v>
      </x:c>
      <x:c r="F715" s="50" t="n">
        <x:f>IF(ISBLANK('Assumptions'!H101),"__BLANK__",'Assumptions'!H101)</x:f>
        <x:v>0.04</x:v>
      </x:c>
      <x:c r="G715" s="50" t="n">
        <x:f>IF(ISBLANK(E715),IF(F715="__BLANK__",0,1),IF(E715=F715,0,1))</x:f>
        <x:v>0</x:v>
      </x:c>
      <x:c r="H715" s="3"/>
      <x:c r="I715" s="3"/>
      <x:c r="J715" s="3"/>
      <x:c r="K715" s="3"/>
      <x:c r="L715" s="3"/>
      <x:c r="M715" s="3"/>
    </x:row>
    <x:row r="716" ht="19" customHeight="1">
      <x:c r="A716" s="2"/>
      <x:c r="B716" s="2"/>
      <x:c r="C716" s="2" t="str">
        <x:v>Assumptions!F102</x:v>
      </x:c>
      <x:c r="D716" s="2"/>
      <x:c r="E716" s="3" t="n">
        <x:v>0</x:v>
      </x:c>
      <x:c r="F716" s="50" t="n">
        <x:f>IF(ISBLANK('Assumptions'!F102),"__BLANK__",'Assumptions'!F102)</x:f>
        <x:v>0</x:v>
      </x:c>
      <x:c r="G716" s="50" t="n">
        <x:f>IF(ISBLANK(E716),IF(F716="__BLANK__",0,1),IF(E716=F716,0,1))</x:f>
        <x:v>0</x:v>
      </x:c>
      <x:c r="H716" s="3"/>
      <x:c r="I716" s="3"/>
      <x:c r="J716" s="3"/>
      <x:c r="K716" s="3"/>
      <x:c r="L716" s="3"/>
      <x:c r="M716" s="3"/>
    </x:row>
    <x:row r="717" ht="19" customHeight="1">
      <x:c r="A717" s="2"/>
      <x:c r="B717" s="2"/>
      <x:c r="C717" s="2" t="str">
        <x:v>Assumptions!G102</x:v>
      </x:c>
      <x:c r="D717" s="2"/>
      <x:c r="E717" s="3" t="n">
        <x:v>0</x:v>
      </x:c>
      <x:c r="F717" s="50" t="n">
        <x:f>IF(ISBLANK('Assumptions'!G102),"__BLANK__",'Assumptions'!G102)</x:f>
        <x:v>0</x:v>
      </x:c>
      <x:c r="G717" s="50" t="n">
        <x:f>IF(ISBLANK(E717),IF(F717="__BLANK__",0,1),IF(E717=F717,0,1))</x:f>
        <x:v>0</x:v>
      </x:c>
      <x:c r="H717" s="3"/>
      <x:c r="I717" s="3"/>
      <x:c r="J717" s="3"/>
      <x:c r="K717" s="3"/>
      <x:c r="L717" s="3"/>
      <x:c r="M717" s="3"/>
    </x:row>
    <x:row r="718" ht="19" customHeight="1">
      <x:c r="A718" s="2"/>
      <x:c r="B718" s="2"/>
      <x:c r="C718" s="2" t="str">
        <x:v>Assumptions!H102</x:v>
      </x:c>
      <x:c r="D718" s="2"/>
      <x:c r="E718" s="3" t="n">
        <x:v>0</x:v>
      </x:c>
      <x:c r="F718" s="50" t="n">
        <x:f>IF(ISBLANK('Assumptions'!H102),"__BLANK__",'Assumptions'!H102)</x:f>
        <x:v>0</x:v>
      </x:c>
      <x:c r="G718" s="50" t="n">
        <x:f>IF(ISBLANK(E718),IF(F718="__BLANK__",0,1),IF(E718=F718,0,1))</x:f>
        <x:v>0</x:v>
      </x:c>
      <x:c r="H718" s="3"/>
      <x:c r="I718" s="3"/>
      <x:c r="J718" s="3"/>
      <x:c r="K718" s="3"/>
      <x:c r="L718" s="3"/>
      <x:c r="M718" s="3"/>
    </x:row>
    <x:row r="719" ht="19" customHeight="1">
      <x:c r="A719" s="2"/>
      <x:c r="B719" s="2"/>
      <x:c r="C719" s="2" t="str">
        <x:v>Assumptions!F103</x:v>
      </x:c>
      <x:c r="D719" s="2"/>
      <x:c r="E719" s="3" t="n">
        <x:v>0.19</x:v>
      </x:c>
      <x:c r="F719" s="50" t="n">
        <x:f>IF(ISBLANK('Assumptions'!F103),"__BLANK__",'Assumptions'!F103)</x:f>
        <x:v>0.19</x:v>
      </x:c>
      <x:c r="G719" s="50" t="n">
        <x:f>IF(ISBLANK(E719),IF(F719="__BLANK__",0,1),IF(E719=F719,0,1))</x:f>
        <x:v>0</x:v>
      </x:c>
      <x:c r="H719" s="3"/>
      <x:c r="I719" s="3"/>
      <x:c r="J719" s="3"/>
      <x:c r="K719" s="3"/>
      <x:c r="L719" s="3"/>
      <x:c r="M719" s="3"/>
    </x:row>
    <x:row r="720" ht="19" customHeight="1">
      <x:c r="A720" s="2"/>
      <x:c r="B720" s="2"/>
      <x:c r="C720" s="2" t="str">
        <x:v>Assumptions!G103</x:v>
      </x:c>
      <x:c r="D720" s="2"/>
      <x:c r="E720" s="3" t="n">
        <x:v>0.2</x:v>
      </x:c>
      <x:c r="F720" s="50" t="n">
        <x:f>IF(ISBLANK('Assumptions'!G103),"__BLANK__",'Assumptions'!G103)</x:f>
        <x:v>0.2</x:v>
      </x:c>
      <x:c r="G720" s="50" t="n">
        <x:f>IF(ISBLANK(E720),IF(F720="__BLANK__",0,1),IF(E720=F720,0,1))</x:f>
        <x:v>0</x:v>
      </x:c>
      <x:c r="H720" s="3"/>
      <x:c r="I720" s="3"/>
      <x:c r="J720" s="3"/>
      <x:c r="K720" s="3"/>
      <x:c r="L720" s="3"/>
      <x:c r="M720" s="3"/>
    </x:row>
    <x:row r="721" ht="19" customHeight="1">
      <x:c r="A721" s="2"/>
      <x:c r="B721" s="2"/>
      <x:c r="C721" s="2" t="str">
        <x:v>Assumptions!H103</x:v>
      </x:c>
      <x:c r="D721" s="2"/>
      <x:c r="E721" s="3" t="n">
        <x:v>0.2</x:v>
      </x:c>
      <x:c r="F721" s="50" t="n">
        <x:f>IF(ISBLANK('Assumptions'!H103),"__BLANK__",'Assumptions'!H103)</x:f>
        <x:v>0.2</x:v>
      </x:c>
      <x:c r="G721" s="50" t="n">
        <x:f>IF(ISBLANK(E721),IF(F721="__BLANK__",0,1),IF(E721=F721,0,1))</x:f>
        <x:v>0</x:v>
      </x:c>
      <x:c r="H721" s="3"/>
      <x:c r="I721" s="3"/>
      <x:c r="J721" s="3"/>
      <x:c r="K721" s="3"/>
      <x:c r="L721" s="3"/>
      <x:c r="M721" s="3"/>
    </x:row>
    <x:row r="722" ht="19" customHeight="1">
      <x:c r="A722" s="2"/>
      <x:c r="B722" s="2"/>
      <x:c r="C722" s="2" t="str">
        <x:v>Assumptions!F104</x:v>
      </x:c>
      <x:c r="D722" s="2"/>
      <x:c r="E722" s="3" t="n">
        <x:v>0</x:v>
      </x:c>
      <x:c r="F722" s="50" t="n">
        <x:f>IF(ISBLANK('Assumptions'!F104),"__BLANK__",'Assumptions'!F104)</x:f>
        <x:v>0</x:v>
      </x:c>
      <x:c r="G722" s="50" t="n">
        <x:f>IF(ISBLANK(E722),IF(F722="__BLANK__",0,1),IF(E722=F722,0,1))</x:f>
        <x:v>0</x:v>
      </x:c>
      <x:c r="H722" s="3"/>
      <x:c r="I722" s="3"/>
      <x:c r="J722" s="3"/>
      <x:c r="K722" s="3"/>
      <x:c r="L722" s="3"/>
      <x:c r="M722" s="3"/>
    </x:row>
    <x:row r="723" ht="19" customHeight="1">
      <x:c r="A723" s="2"/>
      <x:c r="B723" s="2"/>
      <x:c r="C723" s="2" t="str">
        <x:v>Assumptions!G104</x:v>
      </x:c>
      <x:c r="D723" s="2"/>
      <x:c r="E723" s="3" t="n">
        <x:v>0.0038</x:v>
      </x:c>
      <x:c r="F723" s="50" t="n">
        <x:f>IF(ISBLANK('Assumptions'!G104),"__BLANK__",'Assumptions'!G104)</x:f>
        <x:v>0.0038</x:v>
      </x:c>
      <x:c r="G723" s="50" t="n">
        <x:f>IF(ISBLANK(E723),IF(F723="__BLANK__",0,1),IF(E723=F723,0,1))</x:f>
        <x:v>0</x:v>
      </x:c>
      <x:c r="H723" s="3"/>
      <x:c r="I723" s="3"/>
      <x:c r="J723" s="3"/>
      <x:c r="K723" s="3"/>
      <x:c r="L723" s="3"/>
      <x:c r="M723" s="3"/>
    </x:row>
    <x:row r="724" ht="19" customHeight="1">
      <x:c r="A724" s="2"/>
      <x:c r="B724" s="2"/>
      <x:c r="C724" s="2" t="str">
        <x:v>Assumptions!H104</x:v>
      </x:c>
      <x:c r="D724" s="2"/>
      <x:c r="E724" s="3" t="n">
        <x:v>0.0077</x:v>
      </x:c>
      <x:c r="F724" s="50" t="n">
        <x:f>IF(ISBLANK('Assumptions'!H104),"__BLANK__",'Assumptions'!H104)</x:f>
        <x:v>0.0077</x:v>
      </x:c>
      <x:c r="G724" s="50" t="n">
        <x:f>IF(ISBLANK(E724),IF(F724="__BLANK__",0,1),IF(E724=F724,0,1))</x:f>
        <x:v>0</x:v>
      </x:c>
      <x:c r="H724" s="3"/>
      <x:c r="I724" s="3"/>
      <x:c r="J724" s="3"/>
      <x:c r="K724" s="3"/>
      <x:c r="L724" s="3"/>
      <x:c r="M724" s="3"/>
    </x:row>
    <x:row r="725" ht="19" customHeight="1">
      <x:c r="A725" s="2"/>
      <x:c r="B725" s="2"/>
      <x:c r="C725" s="2" t="str">
        <x:v>Assumptions!F105</x:v>
      </x:c>
      <x:c r="D725" s="2"/>
      <x:c r="E725" s="3" t="n">
        <x:v>4200</x:v>
      </x:c>
      <x:c r="F725" s="50" t="n">
        <x:f>IF(ISBLANK('Assumptions'!F105),"__BLANK__",'Assumptions'!F105)</x:f>
        <x:v>4200</x:v>
      </x:c>
      <x:c r="G725" s="50" t="n">
        <x:f>IF(ISBLANK(E725),IF(F725="__BLANK__",0,1),IF(E725=F725,0,1))</x:f>
        <x:v>0</x:v>
      </x:c>
      <x:c r="H725" s="3"/>
      <x:c r="I725" s="3"/>
      <x:c r="J725" s="3"/>
      <x:c r="K725" s="3"/>
      <x:c r="L725" s="3"/>
      <x:c r="M725" s="3"/>
    </x:row>
    <x:row r="726" ht="19" customHeight="1">
      <x:c r="A726" s="2"/>
      <x:c r="B726" s="2"/>
      <x:c r="C726" s="2" t="str">
        <x:v>Assumptions!G105</x:v>
      </x:c>
      <x:c r="D726" s="2"/>
      <x:c r="E726" s="3" t="n">
        <x:v>4000</x:v>
      </x:c>
      <x:c r="F726" s="50" t="n">
        <x:f>IF(ISBLANK('Assumptions'!G105),"__BLANK__",'Assumptions'!G105)</x:f>
        <x:v>4000</x:v>
      </x:c>
      <x:c r="G726" s="50" t="n">
        <x:f>IF(ISBLANK(E726),IF(F726="__BLANK__",0,1),IF(E726=F726,0,1))</x:f>
        <x:v>0</x:v>
      </x:c>
      <x:c r="H726" s="3"/>
      <x:c r="I726" s="3"/>
      <x:c r="J726" s="3"/>
      <x:c r="K726" s="3"/>
      <x:c r="L726" s="3"/>
      <x:c r="M726" s="3"/>
    </x:row>
    <x:row r="727" ht="19" customHeight="1">
      <x:c r="A727" s="2"/>
      <x:c r="B727" s="2"/>
      <x:c r="C727" s="2" t="str">
        <x:v>Assumptions!H105</x:v>
      </x:c>
      <x:c r="D727" s="2"/>
      <x:c r="E727" s="3" t="n">
        <x:v>4000</x:v>
      </x:c>
      <x:c r="F727" s="50" t="n">
        <x:f>IF(ISBLANK('Assumptions'!H105),"__BLANK__",'Assumptions'!H105)</x:f>
        <x:v>4000</x:v>
      </x:c>
      <x:c r="G727" s="50" t="n">
        <x:f>IF(ISBLANK(E727),IF(F727="__BLANK__",0,1),IF(E727=F727,0,1))</x:f>
        <x:v>0</x:v>
      </x:c>
      <x:c r="H727" s="3"/>
      <x:c r="I727" s="3"/>
      <x:c r="J727" s="3"/>
      <x:c r="K727" s="3"/>
      <x:c r="L727" s="3"/>
      <x:c r="M727" s="3"/>
    </x:row>
    <x:row r="728" ht="19" customHeight="1">
      <x:c r="A728" s="2"/>
      <x:c r="B728" s="2"/>
      <x:c r="C728" s="2" t="str">
        <x:v>Assumptions!F106</x:v>
      </x:c>
      <x:c r="D728" s="2"/>
      <x:c r="E728" s="3" t="n">
        <x:v>0.003</x:v>
      </x:c>
      <x:c r="F728" s="50" t="n">
        <x:f>IF(ISBLANK('Assumptions'!F106),"__BLANK__",'Assumptions'!F106)</x:f>
        <x:v>0.003</x:v>
      </x:c>
      <x:c r="G728" s="50" t="n">
        <x:f>IF(ISBLANK(E728),IF(F728="__BLANK__",0,1),IF(E728=F728,0,1))</x:f>
        <x:v>0</x:v>
      </x:c>
      <x:c r="H728" s="3"/>
      <x:c r="I728" s="3"/>
      <x:c r="J728" s="3"/>
      <x:c r="K728" s="3"/>
      <x:c r="L728" s="3"/>
      <x:c r="M728" s="3"/>
    </x:row>
    <x:row r="729" ht="19" customHeight="1">
      <x:c r="A729" s="2"/>
      <x:c r="B729" s="2"/>
      <x:c r="C729" s="2" t="str">
        <x:v>Assumptions!G106</x:v>
      </x:c>
      <x:c r="D729" s="2"/>
      <x:c r="E729" s="3" t="n">
        <x:v>0.003</x:v>
      </x:c>
      <x:c r="F729" s="50" t="n">
        <x:f>IF(ISBLANK('Assumptions'!G106),"__BLANK__",'Assumptions'!G106)</x:f>
        <x:v>0.003</x:v>
      </x:c>
      <x:c r="G729" s="50" t="n">
        <x:f>IF(ISBLANK(E729),IF(F729="__BLANK__",0,1),IF(E729=F729,0,1))</x:f>
        <x:v>0</x:v>
      </x:c>
      <x:c r="H729" s="3"/>
      <x:c r="I729" s="3"/>
      <x:c r="J729" s="3"/>
      <x:c r="K729" s="3"/>
      <x:c r="L729" s="3"/>
      <x:c r="M729" s="3"/>
    </x:row>
    <x:row r="730" ht="19" customHeight="1">
      <x:c r="A730" s="2"/>
      <x:c r="B730" s="2"/>
      <x:c r="C730" s="2" t="str">
        <x:v>Assumptions!H106</x:v>
      </x:c>
      <x:c r="D730" s="2"/>
      <x:c r="E730" s="3" t="n">
        <x:v>0.003</x:v>
      </x:c>
      <x:c r="F730" s="50" t="n">
        <x:f>IF(ISBLANK('Assumptions'!H106),"__BLANK__",'Assumptions'!H106)</x:f>
        <x:v>0.003</x:v>
      </x:c>
      <x:c r="G730" s="50" t="n">
        <x:f>IF(ISBLANK(E730),IF(F730="__BLANK__",0,1),IF(E730=F730,0,1))</x:f>
        <x:v>0</x:v>
      </x:c>
      <x:c r="H730" s="3"/>
      <x:c r="I730" s="3"/>
      <x:c r="J730" s="3"/>
      <x:c r="K730" s="3"/>
      <x:c r="L730" s="3"/>
      <x:c r="M730" s="3"/>
    </x:row>
    <x:row r="731" ht="19" customHeight="1">
      <x:c r="A731" s="2"/>
      <x:c r="B731" s="2"/>
      <x:c r="C731" s="2" t="str">
        <x:v>Assumptions!F107</x:v>
      </x:c>
      <x:c r="D731" s="2"/>
      <x:c r="E731" s="3" t="n">
        <x:v>-0.011</x:v>
      </x:c>
      <x:c r="F731" s="50" t="n">
        <x:f>IF(ISBLANK('Assumptions'!F107),"__BLANK__",'Assumptions'!F107)</x:f>
        <x:v>-0.011</x:v>
      </x:c>
      <x:c r="G731" s="50" t="n">
        <x:f>IF(ISBLANK(E731),IF(F731="__BLANK__",0,1),IF(E731=F731,0,1))</x:f>
        <x:v>0</x:v>
      </x:c>
      <x:c r="H731" s="3"/>
      <x:c r="I731" s="3"/>
      <x:c r="J731" s="3"/>
      <x:c r="K731" s="3"/>
      <x:c r="L731" s="3"/>
      <x:c r="M731" s="3"/>
    </x:row>
    <x:row r="732" ht="19" customHeight="1">
      <x:c r="A732" s="2"/>
      <x:c r="B732" s="2"/>
      <x:c r="C732" s="2" t="str">
        <x:v>Assumptions!G107</x:v>
      </x:c>
      <x:c r="D732" s="2"/>
      <x:c r="E732" s="3" t="n">
        <x:v>-0.011</x:v>
      </x:c>
      <x:c r="F732" s="50" t="n">
        <x:f>IF(ISBLANK('Assumptions'!G107),"__BLANK__",'Assumptions'!G107)</x:f>
        <x:v>-0.011</x:v>
      </x:c>
      <x:c r="G732" s="50" t="n">
        <x:f>IF(ISBLANK(E732),IF(F732="__BLANK__",0,1),IF(E732=F732,0,1))</x:f>
        <x:v>0</x:v>
      </x:c>
      <x:c r="H732" s="3"/>
      <x:c r="I732" s="3"/>
      <x:c r="J732" s="3"/>
      <x:c r="K732" s="3"/>
      <x:c r="L732" s="3"/>
      <x:c r="M732" s="3"/>
    </x:row>
    <x:row r="733" ht="19" customHeight="1">
      <x:c r="A733" s="2"/>
      <x:c r="B733" s="2"/>
      <x:c r="C733" s="2" t="str">
        <x:v>Assumptions!H107</x:v>
      </x:c>
      <x:c r="D733" s="2"/>
      <x:c r="E733" s="3" t="n">
        <x:v>-0.011</x:v>
      </x:c>
      <x:c r="F733" s="50" t="n">
        <x:f>IF(ISBLANK('Assumptions'!H107),"__BLANK__",'Assumptions'!H107)</x:f>
        <x:v>-0.011</x:v>
      </x:c>
      <x:c r="G733" s="50" t="n">
        <x:f>IF(ISBLANK(E733),IF(F733="__BLANK__",0,1),IF(E733=F733,0,1))</x:f>
        <x:v>0</x:v>
      </x:c>
      <x:c r="H733" s="3"/>
      <x:c r="I733" s="3"/>
      <x:c r="J733" s="3"/>
      <x:c r="K733" s="3"/>
      <x:c r="L733" s="3"/>
      <x:c r="M733" s="3"/>
    </x:row>
    <x:row r="734" ht="19" customHeight="1">
      <x:c r="A734" s="2"/>
      <x:c r="B734" s="2"/>
      <x:c r="C734" s="2" t="str">
        <x:v>Assumptions!F108</x:v>
      </x:c>
      <x:c r="D734" s="2"/>
      <x:c r="E734" s="3" t="n">
        <x:v>0.007</x:v>
      </x:c>
      <x:c r="F734" s="50" t="n">
        <x:f>IF(ISBLANK('Assumptions'!F108),"__BLANK__",'Assumptions'!F108)</x:f>
        <x:v>0.007</x:v>
      </x:c>
      <x:c r="G734" s="50" t="n">
        <x:f>IF(ISBLANK(E734),IF(F734="__BLANK__",0,1),IF(E734=F734,0,1))</x:f>
        <x:v>0</x:v>
      </x:c>
      <x:c r="H734" s="3"/>
      <x:c r="I734" s="3"/>
      <x:c r="J734" s="3"/>
      <x:c r="K734" s="3"/>
      <x:c r="L734" s="3"/>
      <x:c r="M734" s="3"/>
    </x:row>
    <x:row r="735" ht="19" customHeight="1">
      <x:c r="A735" s="2"/>
      <x:c r="B735" s="2"/>
      <x:c r="C735" s="2" t="str">
        <x:v>Assumptions!G108</x:v>
      </x:c>
      <x:c r="D735" s="2"/>
      <x:c r="E735" s="3" t="n">
        <x:v>0.007</x:v>
      </x:c>
      <x:c r="F735" s="50" t="n">
        <x:f>IF(ISBLANK('Assumptions'!G108),"__BLANK__",'Assumptions'!G108)</x:f>
        <x:v>0.007</x:v>
      </x:c>
      <x:c r="G735" s="50" t="n">
        <x:f>IF(ISBLANK(E735),IF(F735="__BLANK__",0,1),IF(E735=F735,0,1))</x:f>
        <x:v>0</x:v>
      </x:c>
      <x:c r="H735" s="3"/>
      <x:c r="I735" s="3"/>
      <x:c r="J735" s="3"/>
      <x:c r="K735" s="3"/>
      <x:c r="L735" s="3"/>
      <x:c r="M735" s="3"/>
    </x:row>
    <x:row r="736" ht="19" customHeight="1">
      <x:c r="A736" s="2"/>
      <x:c r="B736" s="2"/>
      <x:c r="C736" s="2" t="str">
        <x:v>Assumptions!H108</x:v>
      </x:c>
      <x:c r="D736" s="2"/>
      <x:c r="E736" s="3" t="n">
        <x:v>0.007</x:v>
      </x:c>
      <x:c r="F736" s="50" t="n">
        <x:f>IF(ISBLANK('Assumptions'!H108),"__BLANK__",'Assumptions'!H108)</x:f>
        <x:v>0.007</x:v>
      </x:c>
      <x:c r="G736" s="50" t="n">
        <x:f>IF(ISBLANK(E736),IF(F736="__BLANK__",0,1),IF(E736=F736,0,1))</x:f>
        <x:v>0</x:v>
      </x:c>
      <x:c r="H736" s="3"/>
      <x:c r="I736" s="3"/>
      <x:c r="J736" s="3"/>
      <x:c r="K736" s="3"/>
      <x:c r="L736" s="3"/>
      <x:c r="M736" s="3"/>
    </x:row>
    <x:row r="737" ht="19" customHeight="1">
      <x:c r="A737" s="2"/>
      <x:c r="B737" s="2"/>
      <x:c r="C737" s="2" t="str">
        <x:v>Assumptions!F109</x:v>
      </x:c>
      <x:c r="D737" s="2"/>
      <x:c r="E737" s="3"/>
      <x:c r="F737" s="50" t="str">
        <x:f>IF(ISBLANK('Assumptions'!F109),"__BLANK__",'Assumptions'!F109)</x:f>
        <x:v>__BLANK__</x:v>
      </x:c>
      <x:c r="G737" s="50" t="n">
        <x:f>IF(ISBLANK(E737),IF(F737="__BLANK__",0,1),IF(E737=F737,0,1))</x:f>
        <x:v>0</x:v>
      </x:c>
      <x:c r="H737" s="3"/>
      <x:c r="I737" s="3"/>
      <x:c r="J737" s="3"/>
      <x:c r="K737" s="3"/>
      <x:c r="L737" s="3"/>
      <x:c r="M737" s="3"/>
    </x:row>
    <x:row r="738" ht="19" customHeight="1">
      <x:c r="A738" s="2"/>
      <x:c r="B738" s="2"/>
      <x:c r="C738" s="2" t="str">
        <x:v>Assumptions!G109</x:v>
      </x:c>
      <x:c r="D738" s="2"/>
      <x:c r="E738" s="3"/>
      <x:c r="F738" s="50" t="str">
        <x:f>IF(ISBLANK('Assumptions'!G109),"__BLANK__",'Assumptions'!G109)</x:f>
        <x:v>__BLANK__</x:v>
      </x:c>
      <x:c r="G738" s="50" t="n">
        <x:f>IF(ISBLANK(E738),IF(F738="__BLANK__",0,1),IF(E738=F738,0,1))</x:f>
        <x:v>0</x:v>
      </x:c>
      <x:c r="H738" s="3"/>
      <x:c r="I738" s="3"/>
      <x:c r="J738" s="3"/>
      <x:c r="K738" s="3"/>
      <x:c r="L738" s="3"/>
      <x:c r="M738" s="3"/>
    </x:row>
    <x:row r="739" ht="19" customHeight="1">
      <x:c r="A739" s="2"/>
      <x:c r="B739" s="2"/>
      <x:c r="C739" s="2" t="str">
        <x:v>Assumptions!H109</x:v>
      </x:c>
      <x:c r="D739" s="2"/>
      <x:c r="E739" s="3" t="n">
        <x:v>0.13288064259639487</x:v>
      </x:c>
      <x:c r="F739" s="50" t="n">
        <x:f>IF(ISBLANK('Assumptions'!H109),"__BLANK__",'Assumptions'!H109)</x:f>
        <x:v>0.13288064259639487</x:v>
      </x:c>
      <x:c r="G739" s="50" t="n">
        <x:f>IF(ISBLANK(E739),IF(F739="__BLANK__",0,1),IF(E739=F739,0,1))</x:f>
        <x:v>0</x:v>
      </x:c>
      <x:c r="H739" s="3"/>
      <x:c r="I739" s="3"/>
      <x:c r="J739" s="3"/>
      <x:c r="K739" s="3"/>
      <x:c r="L739" s="3"/>
      <x:c r="M739" s="3"/>
    </x:row>
    <x:row r="740" ht="19" customHeight="1">
      <x:c r="A740" s="2"/>
      <x:c r="B740" s="2"/>
      <x:c r="C740" s="2" t="str">
        <x:v>Assumptions!F110</x:v>
      </x:c>
      <x:c r="D740" s="2"/>
      <x:c r="E740" s="3"/>
      <x:c r="F740" s="50" t="str">
        <x:f>IF(ISBLANK('Assumptions'!F110),"__BLANK__",'Assumptions'!F110)</x:f>
        <x:v>__BLANK__</x:v>
      </x:c>
      <x:c r="G740" s="50" t="n">
        <x:f>IF(ISBLANK(E740),IF(F740="__BLANK__",0,1),IF(E740=F740,0,1))</x:f>
        <x:v>0</x:v>
      </x:c>
      <x:c r="H740" s="3"/>
      <x:c r="I740" s="3"/>
      <x:c r="J740" s="3"/>
      <x:c r="K740" s="3"/>
      <x:c r="L740" s="3"/>
      <x:c r="M740" s="3"/>
    </x:row>
    <x:row r="741" ht="19" customHeight="1">
      <x:c r="A741" s="2"/>
      <x:c r="B741" s="2"/>
      <x:c r="C741" s="2" t="str">
        <x:v>Assumptions!G110</x:v>
      </x:c>
      <x:c r="D741" s="2"/>
      <x:c r="E741" s="3"/>
      <x:c r="F741" s="50" t="str">
        <x:f>IF(ISBLANK('Assumptions'!G110),"__BLANK__",'Assumptions'!G110)</x:f>
        <x:v>__BLANK__</x:v>
      </x:c>
      <x:c r="G741" s="50" t="n">
        <x:f>IF(ISBLANK(E741),IF(F741="__BLANK__",0,1),IF(E741=F741,0,1))</x:f>
        <x:v>0</x:v>
      </x:c>
      <x:c r="H741" s="3"/>
      <x:c r="I741" s="3"/>
      <x:c r="J741" s="3"/>
      <x:c r="K741" s="3"/>
      <x:c r="L741" s="3"/>
      <x:c r="M741" s="3"/>
    </x:row>
    <x:row r="742" ht="19" customHeight="1">
      <x:c r="A742" s="2"/>
      <x:c r="B742" s="2"/>
      <x:c r="C742" s="2" t="str">
        <x:v>Assumptions!H110</x:v>
      </x:c>
      <x:c r="D742" s="2"/>
      <x:c r="E742" s="3" t="n">
        <x:v>0.07451225678632123</x:v>
      </x:c>
      <x:c r="F742" s="50" t="n">
        <x:f>IF(ISBLANK('Assumptions'!H110),"__BLANK__",'Assumptions'!H110)</x:f>
        <x:v>0.07451225678632123</x:v>
      </x:c>
      <x:c r="G742" s="50" t="n">
        <x:f>IF(ISBLANK(E742),IF(F742="__BLANK__",0,1),IF(E742=F742,0,1))</x:f>
        <x:v>0</x:v>
      </x:c>
      <x:c r="H742" s="3"/>
      <x:c r="I742" s="3"/>
      <x:c r="J742" s="3"/>
      <x:c r="K742" s="3"/>
      <x:c r="L742" s="3"/>
      <x:c r="M742" s="3"/>
    </x:row>
    <x:row r="743" ht="19" customHeight="1">
      <x:c r="A743" s="2"/>
      <x:c r="B743" s="2"/>
      <x:c r="C743" s="2" t="str">
        <x:v>Assumptions!F111</x:v>
      </x:c>
      <x:c r="D743" s="2"/>
      <x:c r="E743" s="3"/>
      <x:c r="F743" s="50" t="str">
        <x:f>IF(ISBLANK('Assumptions'!F111),"__BLANK__",'Assumptions'!F111)</x:f>
        <x:v>__BLANK__</x:v>
      </x:c>
      <x:c r="G743" s="50" t="n">
        <x:f>IF(ISBLANK(E743),IF(F743="__BLANK__",0,1),IF(E743=F743,0,1))</x:f>
        <x:v>0</x:v>
      </x:c>
      <x:c r="H743" s="3"/>
      <x:c r="I743" s="3"/>
      <x:c r="J743" s="3"/>
      <x:c r="K743" s="3"/>
      <x:c r="L743" s="3"/>
      <x:c r="M743" s="3"/>
    </x:row>
    <x:row r="744" ht="19" customHeight="1">
      <x:c r="A744" s="2"/>
      <x:c r="B744" s="2"/>
      <x:c r="C744" s="2" t="str">
        <x:v>Assumptions!G111</x:v>
      </x:c>
      <x:c r="D744" s="2"/>
      <x:c r="E744" s="3"/>
      <x:c r="F744" s="50" t="str">
        <x:f>IF(ISBLANK('Assumptions'!G111),"__BLANK__",'Assumptions'!G111)</x:f>
        <x:v>__BLANK__</x:v>
      </x:c>
      <x:c r="G744" s="50" t="n">
        <x:f>IF(ISBLANK(E744),IF(F744="__BLANK__",0,1),IF(E744=F744,0,1))</x:f>
        <x:v>0</x:v>
      </x:c>
      <x:c r="H744" s="3"/>
      <x:c r="I744" s="3"/>
      <x:c r="J744" s="3"/>
      <x:c r="K744" s="3"/>
      <x:c r="L744" s="3"/>
      <x:c r="M744" s="3"/>
    </x:row>
    <x:row r="745" ht="19" customHeight="1">
      <x:c r="A745" s="2"/>
      <x:c r="B745" s="2"/>
      <x:c r="C745" s="2" t="str">
        <x:v>Assumptions!H111</x:v>
      </x:c>
      <x:c r="D745" s="2"/>
      <x:c r="E745" s="3" t="n">
        <x:v>0.10137506320597933</x:v>
      </x:c>
      <x:c r="F745" s="50" t="n">
        <x:f>IF(ISBLANK('Assumptions'!H111),"__BLANK__",'Assumptions'!H111)</x:f>
        <x:v>0.10137506320597933</x:v>
      </x:c>
      <x:c r="G745" s="50" t="n">
        <x:f>IF(ISBLANK(E745),IF(F745="__BLANK__",0,1),IF(E745=F745,0,1))</x:f>
        <x:v>0</x:v>
      </x:c>
      <x:c r="H745" s="3"/>
      <x:c r="I745" s="3"/>
      <x:c r="J745" s="3"/>
      <x:c r="K745" s="3"/>
      <x:c r="L745" s="3"/>
      <x:c r="M745" s="3"/>
    </x:row>
    <x:row r="746" ht="19" customHeight="1">
      <x:c r="A746" s="2"/>
      <x:c r="B746" s="2"/>
      <x:c r="C746" s="2" t="str">
        <x:v>Assumptions!F112</x:v>
      </x:c>
      <x:c r="D746" s="2"/>
      <x:c r="E746" s="3" t="n">
        <x:v>8.422559940396688</x:v>
      </x:c>
      <x:c r="F746" s="50" t="n">
        <x:f>IF(ISBLANK('Assumptions'!F112),"__BLANK__",'Assumptions'!F112)</x:f>
        <x:v>8.422559940396688</x:v>
      </x:c>
      <x:c r="G746" s="50" t="n">
        <x:f>IF(ISBLANK(E746),IF(F746="__BLANK__",0,1),IF(E746=F746,0,1))</x:f>
        <x:v>0</x:v>
      </x:c>
      <x:c r="H746" s="3"/>
      <x:c r="I746" s="3"/>
      <x:c r="J746" s="3"/>
      <x:c r="K746" s="3"/>
      <x:c r="L746" s="3"/>
      <x:c r="M746" s="3"/>
    </x:row>
    <x:row r="747" ht="19" customHeight="1">
      <x:c r="A747" s="2"/>
      <x:c r="B747" s="2"/>
      <x:c r="C747" s="2" t="str">
        <x:v>Assumptions!G112</x:v>
      </x:c>
      <x:c r="D747" s="2"/>
      <x:c r="E747" s="3" t="n">
        <x:v>58.998795545192756</x:v>
      </x:c>
      <x:c r="F747" s="50" t="n">
        <x:f>IF(ISBLANK('Assumptions'!G112),"__BLANK__",'Assumptions'!G112)</x:f>
        <x:v>58.998795545192756</x:v>
      </x:c>
      <x:c r="G747" s="50" t="n">
        <x:f>IF(ISBLANK(E747),IF(F747="__BLANK__",0,1),IF(E747=F747,0,1))</x:f>
        <x:v>0</x:v>
      </x:c>
      <x:c r="H747" s="3"/>
      <x:c r="I747" s="3"/>
      <x:c r="J747" s="3"/>
      <x:c r="K747" s="3"/>
      <x:c r="L747" s="3"/>
      <x:c r="M747" s="3"/>
    </x:row>
    <x:row r="748" ht="19" customHeight="1">
      <x:c r="A748" s="2"/>
      <x:c r="B748" s="2"/>
      <x:c r="C748" s="2" t="str">
        <x:v>Assumptions!H112</x:v>
      </x:c>
      <x:c r="D748" s="2"/>
      <x:c r="E748" s="3" t="n">
        <x:v>149.66858377950746</x:v>
      </x:c>
      <x:c r="F748" s="50" t="n">
        <x:f>IF(ISBLANK('Assumptions'!H112),"__BLANK__",'Assumptions'!H112)</x:f>
        <x:v>149.66858377950746</x:v>
      </x:c>
      <x:c r="G748" s="50" t="n">
        <x:f>IF(ISBLANK(E748),IF(F748="__BLANK__",0,1),IF(E748=F748,0,1))</x:f>
        <x:v>0</x:v>
      </x:c>
      <x:c r="H748" s="3"/>
      <x:c r="I748" s="3"/>
      <x:c r="J748" s="3"/>
      <x:c r="K748" s="3"/>
      <x:c r="L748" s="3"/>
      <x:c r="M748" s="3"/>
    </x:row>
    <x:row r="749" ht="19" customHeight="1">
      <x:c r="A749" s="2"/>
      <x:c r="B749" s="2"/>
      <x:c r="C749" s="2" t="str">
        <x:v>Assumptions!F119</x:v>
      </x:c>
      <x:c r="D749" s="2"/>
      <x:c r="E749" s="3" t="n">
        <x:v>181.94</x:v>
      </x:c>
      <x:c r="F749" s="50" t="n">
        <x:f>IF(ISBLANK('Assumptions'!F119),"__BLANK__",'Assumptions'!F119)</x:f>
        <x:v>181.94</x:v>
      </x:c>
      <x:c r="G749" s="50" t="n">
        <x:f>IF(ISBLANK(E749),IF(F749="__BLANK__",0,1),IF(E749=F749,0,1))</x:f>
        <x:v>0</x:v>
      </x:c>
      <x:c r="H749" s="3"/>
      <x:c r="I749" s="3"/>
      <x:c r="J749" s="3"/>
      <x:c r="K749" s="3"/>
      <x:c r="L749" s="3"/>
      <x:c r="M749" s="3"/>
    </x:row>
    <x:row r="750" ht="19" customHeight="1">
      <x:c r="A750" s="2"/>
      <x:c r="B750" s="2"/>
      <x:c r="C750" s="2" t="str">
        <x:v>Assumptions!F120</x:v>
      </x:c>
      <x:c r="D750" s="2"/>
      <x:c r="E750" s="3" t="n">
        <x:v>9593</x:v>
      </x:c>
      <x:c r="F750" s="50" t="n">
        <x:f>IF(ISBLANK('Assumptions'!F120),"__BLANK__",'Assumptions'!F120)</x:f>
        <x:v>9593</x:v>
      </x:c>
      <x:c r="G750" s="50" t="n">
        <x:f>IF(ISBLANK(E750),IF(F750="__BLANK__",0,1),IF(E750=F750,0,1))</x:f>
        <x:v>0</x:v>
      </x:c>
      <x:c r="H750" s="3"/>
      <x:c r="I750" s="3"/>
      <x:c r="J750" s="3"/>
      <x:c r="K750" s="3"/>
      <x:c r="L750" s="3"/>
      <x:c r="M750" s="3"/>
    </x:row>
    <x:row r="751" ht="19" customHeight="1">
      <x:c r="A751" s="2"/>
      <x:c r="B751" s="2"/>
      <x:c r="C751" s="2" t="str">
        <x:v>Assumptions!F121</x:v>
      </x:c>
      <x:c r="D751" s="2"/>
      <x:c r="E751" s="3" t="n">
        <x:v>597</x:v>
      </x:c>
      <x:c r="F751" s="50" t="n">
        <x:f>IF(ISBLANK('Assumptions'!F121),"__BLANK__",'Assumptions'!F121)</x:f>
        <x:v>597</x:v>
      </x:c>
      <x:c r="G751" s="50" t="n">
        <x:f>IF(ISBLANK(E751),IF(F751="__BLANK__",0,1),IF(E751=F751,0,1))</x:f>
        <x:v>0</x:v>
      </x:c>
      <x:c r="H751" s="3"/>
      <x:c r="I751" s="3"/>
      <x:c r="J751" s="3"/>
      <x:c r="K751" s="3"/>
      <x:c r="L751" s="3"/>
      <x:c r="M751" s="3"/>
    </x:row>
    <x:row r="752" ht="19" customHeight="1">
      <x:c r="A752" s="2"/>
      <x:c r="B752" s="2"/>
      <x:c r="C752" s="2" t="str">
        <x:v>Assumptions!F122</x:v>
      </x:c>
      <x:c r="D752" s="2"/>
      <x:c r="E752" s="3" t="n">
        <x:v>0.105</x:v>
      </x:c>
      <x:c r="F752" s="50" t="n">
        <x:f>IF(ISBLANK('Assumptions'!F122),"__BLANK__",'Assumptions'!F122)</x:f>
        <x:v>0.105</x:v>
      </x:c>
      <x:c r="G752" s="50" t="n">
        <x:f>IF(ISBLANK(E752),IF(F752="__BLANK__",0,1),IF(E752=F752,0,1))</x:f>
        <x:v>0</x:v>
      </x:c>
      <x:c r="H752" s="3"/>
      <x:c r="I752" s="3"/>
      <x:c r="J752" s="3"/>
      <x:c r="K752" s="3"/>
      <x:c r="L752" s="3"/>
      <x:c r="M752" s="3"/>
    </x:row>
    <x:row r="753" ht="19" customHeight="1">
      <x:c r="A753" s="2"/>
      <x:c r="B753" s="2"/>
      <x:c r="C753" s="2" t="str">
        <x:v>Assumptions!F123</x:v>
      </x:c>
      <x:c r="D753" s="2"/>
      <x:c r="E753" s="3" t="n">
        <x:v>0.03</x:v>
      </x:c>
      <x:c r="F753" s="50" t="n">
        <x:f>IF(ISBLANK('Assumptions'!F123),"__BLANK__",'Assumptions'!F123)</x:f>
        <x:v>0.03</x:v>
      </x:c>
      <x:c r="G753" s="50" t="n">
        <x:f>IF(ISBLANK(E753),IF(F753="__BLANK__",0,1),IF(E753=F753,0,1))</x:f>
        <x:v>0</x:v>
      </x:c>
      <x:c r="H753" s="3"/>
      <x:c r="I753" s="3"/>
      <x:c r="J753" s="3"/>
      <x:c r="K753" s="3"/>
      <x:c r="L753" s="3"/>
      <x:c r="M753" s="3"/>
    </x:row>
    <x:row r="754" ht="19" customHeight="1">
      <x:c r="A754" s="2"/>
      <x:c r="B754" s="2"/>
      <x:c r="C754" s="2" t="str">
        <x:v>Assumptions!F124</x:v>
      </x:c>
      <x:c r="D754" s="2"/>
      <x:c r="E754" s="3" t="n">
        <x:v>0.09</x:v>
      </x:c>
      <x:c r="F754" s="50" t="n">
        <x:f>IF(ISBLANK('Assumptions'!F124),"__BLANK__",'Assumptions'!F124)</x:f>
        <x:v>0.09</x:v>
      </x:c>
      <x:c r="G754" s="50" t="n">
        <x:f>IF(ISBLANK(E754),IF(F754="__BLANK__",0,1),IF(E754=F754,0,1))</x:f>
        <x:v>0</x:v>
      </x:c>
      <x:c r="H754" s="3"/>
      <x:c r="I754" s="3"/>
      <x:c r="J754" s="3"/>
      <x:c r="K754" s="3"/>
      <x:c r="L754" s="3"/>
      <x:c r="M754" s="3"/>
    </x:row>
    <x:row r="755" ht="19" customHeight="1">
      <x:c r="A755" s="2"/>
      <x:c r="B755" s="2"/>
      <x:c r="C755" s="2" t="str">
        <x:v>Assumptions!F125</x:v>
      </x:c>
      <x:c r="D755" s="2"/>
      <x:c r="E755" s="3" t="n">
        <x:v>16.5</x:v>
      </x:c>
      <x:c r="F755" s="50" t="n">
        <x:f>IF(ISBLANK('Assumptions'!F125),"__BLANK__",'Assumptions'!F125)</x:f>
        <x:v>16.5</x:v>
      </x:c>
      <x:c r="G755" s="50" t="n">
        <x:f>IF(ISBLANK(E755),IF(F755="__BLANK__",0,1),IF(E755=F755,0,1))</x:f>
        <x:v>0</x:v>
      </x:c>
      <x:c r="H755" s="3"/>
      <x:c r="I755" s="3"/>
      <x:c r="J755" s="3"/>
      <x:c r="K755" s="3"/>
      <x:c r="L755" s="3"/>
      <x:c r="M755" s="3"/>
    </x:row>
    <x:row r="756" ht="19" customHeight="1">
      <x:c r="A756" s="2"/>
      <x:c r="B756" s="2"/>
      <x:c r="C756" s="2" t="str">
        <x:v>Assumptions!F126</x:v>
      </x:c>
      <x:c r="D756" s="2"/>
      <x:c r="E756" s="3" t="n">
        <x:v>14.3</x:v>
      </x:c>
      <x:c r="F756" s="50" t="n">
        <x:f>IF(ISBLANK('Assumptions'!F126),"__BLANK__",'Assumptions'!F126)</x:f>
        <x:v>14.3</x:v>
      </x:c>
      <x:c r="G756" s="50" t="n">
        <x:f>IF(ISBLANK(E756),IF(F756="__BLANK__",0,1),IF(E756=F756,0,1))</x:f>
        <x:v>0</x:v>
      </x:c>
      <x:c r="H756" s="3"/>
      <x:c r="I756" s="3"/>
      <x:c r="J756" s="3"/>
      <x:c r="K756" s="3"/>
      <x:c r="L756" s="3"/>
      <x:c r="M756" s="3"/>
    </x:row>
    <x:row r="757" ht="19" customHeight="1">
      <x:c r="A757" s="2"/>
      <x:c r="B757" s="2"/>
      <x:c r="C757" s="2" t="str">
        <x:v>Assumptions!F127</x:v>
      </x:c>
      <x:c r="D757" s="2"/>
      <x:c r="E757" s="3" t="n">
        <x:v>19.5</x:v>
      </x:c>
      <x:c r="F757" s="50" t="n">
        <x:f>IF(ISBLANK('Assumptions'!F127),"__BLANK__",'Assumptions'!F127)</x:f>
        <x:v>19.5</x:v>
      </x:c>
      <x:c r="G757" s="50" t="n">
        <x:f>IF(ISBLANK(E757),IF(F757="__BLANK__",0,1),IF(E757=F757,0,1))</x:f>
        <x:v>0</x:v>
      </x:c>
      <x:c r="H757" s="3"/>
      <x:c r="I757" s="3"/>
      <x:c r="J757" s="3"/>
      <x:c r="K757" s="3"/>
      <x:c r="L757" s="3"/>
      <x:c r="M757" s="3"/>
    </x:row>
    <x:row r="758" ht="19" customHeight="1">
      <x:c r="A758" s="2"/>
      <x:c r="B758" s="2"/>
      <x:c r="C758" s="2" t="str">
        <x:v>Assumptions!F128</x:v>
      </x:c>
      <x:c r="D758" s="2"/>
      <x:c r="E758" s="3" t="n">
        <x:v>19.5</x:v>
      </x:c>
      <x:c r="F758" s="50" t="n">
        <x:f>IF(ISBLANK('Assumptions'!F128),"__BLANK__",'Assumptions'!F128)</x:f>
        <x:v>19.5</x:v>
      </x:c>
      <x:c r="G758" s="50" t="n">
        <x:f>IF(ISBLANK(E758),IF(F758="__BLANK__",0,1),IF(E758=F758,0,1))</x:f>
        <x:v>0</x:v>
      </x:c>
      <x:c r="H758" s="3"/>
      <x:c r="I758" s="3"/>
      <x:c r="J758" s="3"/>
      <x:c r="K758" s="3"/>
      <x:c r="L758" s="3"/>
      <x:c r="M758" s="3"/>
    </x:row>
    <x:row r="759" ht="19" customHeight="1">
      <x:c r="A759" s="2"/>
      <x:c r="B759" s="2"/>
      <x:c r="C759" s="2" t="str">
        <x:v>Assumptions!F129</x:v>
      </x:c>
      <x:c r="D759" s="2"/>
      <x:c r="E759" s="3" t="n">
        <x:v>0.35</x:v>
      </x:c>
      <x:c r="F759" s="50" t="n">
        <x:f>IF(ISBLANK('Assumptions'!F129),"__BLANK__",'Assumptions'!F129)</x:f>
        <x:v>0.35</x:v>
      </x:c>
      <x:c r="G759" s="50" t="n">
        <x:f>IF(ISBLANK(E759),IF(F759="__BLANK__",0,1),IF(E759=F759,0,1))</x:f>
        <x:v>0</x:v>
      </x:c>
      <x:c r="H759" s="3"/>
      <x:c r="I759" s="3"/>
      <x:c r="J759" s="3"/>
      <x:c r="K759" s="3"/>
      <x:c r="L759" s="3"/>
      <x:c r="M759" s="3"/>
    </x:row>
    <x:row r="760" ht="19" customHeight="1">
      <x:c r="A760" s="2"/>
      <x:c r="B760" s="2"/>
      <x:c r="C760" s="2" t="str">
        <x:v>Assumptions!F130</x:v>
      </x:c>
      <x:c r="D760" s="2"/>
      <x:c r="E760" s="3" t="n">
        <x:v>0.05</x:v>
      </x:c>
      <x:c r="F760" s="50" t="n">
        <x:f>IF(ISBLANK('Assumptions'!F130),"__BLANK__",'Assumptions'!F130)</x:f>
        <x:v>0.05</x:v>
      </x:c>
      <x:c r="G760" s="50" t="n">
        <x:f>IF(ISBLANK(E760),IF(F760="__BLANK__",0,1),IF(E760=F760,0,1))</x:f>
        <x:v>0</x:v>
      </x:c>
      <x:c r="H760" s="3"/>
      <x:c r="I760" s="3"/>
      <x:c r="J760" s="3"/>
      <x:c r="K760" s="3"/>
      <x:c r="L760" s="3"/>
      <x:c r="M760" s="3"/>
    </x:row>
    <x:row r="761" ht="19" customHeight="1">
      <x:c r="A761" s="2"/>
      <x:c r="B761" s="2"/>
      <x:c r="C761" s="2" t="str">
        <x:v>Assumptions!F131</x:v>
      </x:c>
      <x:c r="D761" s="2"/>
      <x:c r="E761" s="3" t="n">
        <x:v>0.38</x:v>
      </x:c>
      <x:c r="F761" s="50" t="n">
        <x:f>IF(ISBLANK('Assumptions'!F131),"__BLANK__",'Assumptions'!F131)</x:f>
        <x:v>0.38</x:v>
      </x:c>
      <x:c r="G761" s="50" t="n">
        <x:f>IF(ISBLANK(E761),IF(F761="__BLANK__",0,1),IF(E761=F761,0,1))</x:f>
        <x:v>0</x:v>
      </x:c>
      <x:c r="H761" s="3"/>
      <x:c r="I761" s="3"/>
      <x:c r="J761" s="3"/>
      <x:c r="K761" s="3"/>
      <x:c r="L761" s="3"/>
      <x:c r="M761" s="3"/>
    </x:row>
    <x:row r="762" ht="19" customHeight="1">
      <x:c r="A762" s="2"/>
      <x:c r="B762" s="2"/>
      <x:c r="C762" s="2" t="str">
        <x:v>Assumptions!F140</x:v>
      </x:c>
      <x:c r="D762" s="2"/>
      <x:c r="E762" s="3" t="n">
        <x:v>0.6666666666666666</x:v>
      </x:c>
      <x:c r="F762" s="50" t="n">
        <x:f>IF(ISBLANK('Assumptions'!F140),"__BLANK__",'Assumptions'!F140)</x:f>
        <x:v>0.6666666666666666</x:v>
      </x:c>
      <x:c r="G762" s="50" t="n">
        <x:f>IF(ISBLANK(E762),IF(F762="__BLANK__",0,1),IF(E762=F762,0,1))</x:f>
        <x:v>0</x:v>
      </x:c>
      <x:c r="H762" s="3"/>
      <x:c r="I762" s="3"/>
      <x:c r="J762" s="3"/>
      <x:c r="K762" s="3"/>
      <x:c r="L762" s="3"/>
      <x:c r="M762" s="3"/>
    </x:row>
    <x:row r="763" ht="19" customHeight="1">
      <x:c r="A763" s="2"/>
      <x:c r="B763" s="2"/>
      <x:c r="C763" s="2"/>
      <x:c r="D763" s="2"/>
      <x:c r="E763" s="3"/>
      <x:c r="F763" s="3"/>
      <x:c r="G763" s="3"/>
      <x:c r="H763" s="3"/>
      <x:c r="I763" s="3"/>
      <x:c r="J763" s="3"/>
      <x:c r="K763" s="3"/>
      <x:c r="L763" s="3"/>
      <x:c r="M763" s="3"/>
    </x:row>
    <x:row r="764" ht="19" customHeight="1">
      <x:c r="A764" s="2"/>
      <x:c r="B764" s="2"/>
      <x:c r="C764" s="2"/>
      <x:c r="D764" s="2"/>
      <x:c r="E764" s="3"/>
      <x:c r="F764" s="3"/>
      <x:c r="G764" s="3"/>
      <x:c r="H764" s="3"/>
      <x:c r="I764" s="3"/>
      <x:c r="J764" s="3"/>
      <x:c r="K764" s="3"/>
      <x:c r="L764" s="3"/>
      <x:c r="M764" s="3"/>
    </x:row>
    <x:row r="765" ht="19" customHeight="1">
      <x:c r="A765" s="2"/>
      <x:c r="B765" s="2"/>
      <x:c r="C765" s="2"/>
      <x:c r="D765" s="2"/>
      <x:c r="E765" s="3"/>
      <x:c r="F765" s="3"/>
      <x:c r="G765" s="3"/>
      <x:c r="H765" s="3"/>
      <x:c r="I765" s="3"/>
      <x:c r="J765" s="3"/>
      <x:c r="K765" s="3"/>
      <x:c r="L765" s="3"/>
      <x:c r="M765" s="3"/>
    </x:row>
    <x:row r="766" ht="19" customHeight="1">
      <x:c r="A766" s="2"/>
      <x:c r="B766" s="2"/>
      <x:c r="C766" s="2"/>
      <x:c r="D766" s="2"/>
      <x:c r="E766" s="3"/>
      <x:c r="F766" s="3"/>
      <x:c r="G766" s="3"/>
      <x:c r="H766" s="3"/>
      <x:c r="I766" s="3"/>
      <x:c r="J766" s="3"/>
      <x:c r="K766" s="3"/>
      <x:c r="L766" s="3"/>
      <x:c r="M766" s="3"/>
    </x:row>
    <x:row r="767" ht="19" customHeight="1">
      <x:c r="A767" s="2"/>
      <x:c r="B767" s="2"/>
      <x:c r="C767" s="2"/>
      <x:c r="D767" s="2"/>
      <x:c r="E767" s="3"/>
      <x:c r="F767" s="3"/>
      <x:c r="G767" s="3"/>
      <x:c r="H767" s="3"/>
      <x:c r="I767" s="3"/>
      <x:c r="J767" s="3"/>
      <x:c r="K767" s="3"/>
      <x:c r="L767" s="3"/>
      <x:c r="M767" s="3"/>
    </x:row>
    <x:row r="768" ht="19" customHeight="1">
      <x:c r="A768" s="2"/>
      <x:c r="B768" s="2"/>
      <x:c r="C768" s="2"/>
      <x:c r="D768" s="2"/>
      <x:c r="E768" s="3"/>
      <x:c r="F768" s="3"/>
      <x:c r="G768" s="3"/>
      <x:c r="H768" s="3"/>
      <x:c r="I768" s="3"/>
      <x:c r="J768" s="3"/>
      <x:c r="K768" s="3"/>
      <x:c r="L768" s="3"/>
      <x:c r="M768" s="3"/>
    </x:row>
    <x:row r="769" ht="19" customHeight="1">
      <x:c r="A769" s="2"/>
      <x:c r="B769" s="2"/>
      <x:c r="C769" s="2"/>
      <x:c r="D769" s="2"/>
      <x:c r="E769" s="3"/>
      <x:c r="F769" s="3"/>
      <x:c r="G769" s="3"/>
      <x:c r="H769" s="3"/>
      <x:c r="I769" s="3"/>
      <x:c r="J769" s="3"/>
      <x:c r="K769" s="3"/>
      <x:c r="L769" s="3"/>
      <x:c r="M769" s="3"/>
    </x:row>
    <x:row r="770" ht="19" customHeight="1">
      <x:c r="A770" s="2"/>
      <x:c r="B770" s="2"/>
      <x:c r="C770" s="2"/>
      <x:c r="D770" s="2"/>
      <x:c r="E770" s="3"/>
      <x:c r="F770" s="3"/>
      <x:c r="G770" s="3"/>
      <x:c r="H770" s="3"/>
      <x:c r="I770" s="3"/>
      <x:c r="J770" s="3"/>
      <x:c r="K770" s="3"/>
      <x:c r="L770" s="3"/>
      <x:c r="M770" s="3"/>
    </x:row>
    <x:row r="771" ht="19" customHeight="1">
      <x:c r="A771" s="2"/>
      <x:c r="B771" s="2"/>
      <x:c r="C771" s="2"/>
      <x:c r="D771" s="2"/>
      <x:c r="E771" s="3"/>
      <x:c r="F771" s="3"/>
      <x:c r="G771" s="3"/>
      <x:c r="H771" s="3"/>
      <x:c r="I771" s="3"/>
      <x:c r="J771" s="3"/>
      <x:c r="K771" s="3"/>
      <x:c r="L771" s="3"/>
      <x:c r="M771" s="3"/>
    </x:row>
    <x:row r="772" ht="19" customHeight="1">
      <x:c r="A772" s="2"/>
      <x:c r="B772" s="2"/>
      <x:c r="C772" s="2"/>
      <x:c r="D772" s="2"/>
      <x:c r="E772" s="3"/>
      <x:c r="F772" s="3"/>
      <x:c r="G772" s="3"/>
      <x:c r="H772" s="3"/>
      <x:c r="I772" s="3"/>
      <x:c r="J772" s="3"/>
      <x:c r="K772" s="3"/>
      <x:c r="L772" s="3"/>
      <x:c r="M772" s="3"/>
    </x:row>
    <x:row r="773" ht="19" customHeight="1">
      <x:c r="A773" s="2"/>
      <x:c r="B773" s="2"/>
      <x:c r="C773" s="2"/>
      <x:c r="D773" s="2"/>
      <x:c r="E773" s="3"/>
      <x:c r="F773" s="3"/>
      <x:c r="G773" s="3"/>
      <x:c r="H773" s="3"/>
      <x:c r="I773" s="3"/>
      <x:c r="J773" s="3"/>
      <x:c r="K773" s="3"/>
      <x:c r="L773" s="3"/>
      <x:c r="M773" s="3"/>
    </x:row>
    <x:row r="774" ht="19" customHeight="1">
      <x:c r="A774" s="2"/>
      <x:c r="B774" s="2"/>
      <x:c r="C774" s="2"/>
      <x:c r="D774" s="2"/>
      <x:c r="E774" s="3"/>
      <x:c r="F774" s="3"/>
      <x:c r="G774" s="3"/>
      <x:c r="H774" s="3"/>
      <x:c r="I774" s="3"/>
      <x:c r="J774" s="3"/>
      <x:c r="K774" s="3"/>
      <x:c r="L774" s="3"/>
      <x:c r="M774" s="3"/>
    </x:row>
    <x:row r="775" ht="19" customHeight="1">
      <x:c r="A775" s="2"/>
      <x:c r="B775" s="2"/>
      <x:c r="C775" s="2"/>
      <x:c r="D775" s="2"/>
      <x:c r="E775" s="3"/>
      <x:c r="F775" s="3"/>
      <x:c r="G775" s="3"/>
      <x:c r="H775" s="3"/>
      <x:c r="I775" s="3"/>
      <x:c r="J775" s="3"/>
      <x:c r="K775" s="3"/>
      <x:c r="L775" s="3"/>
      <x:c r="M775" s="3"/>
    </x:row>
    <x:row r="776" ht="19" customHeight="1">
      <x:c r="A776" s="2"/>
      <x:c r="B776" s="2"/>
      <x:c r="C776" s="2"/>
      <x:c r="D776" s="2"/>
      <x:c r="E776" s="3"/>
      <x:c r="F776" s="3"/>
      <x:c r="G776" s="3"/>
      <x:c r="H776" s="3"/>
      <x:c r="I776" s="3"/>
      <x:c r="J776" s="3"/>
      <x:c r="K776" s="3"/>
      <x:c r="L776" s="3"/>
      <x:c r="M776" s="3"/>
    </x:row>
    <x:row r="777" ht="19" customHeight="1">
      <x:c r="A777" s="2"/>
      <x:c r="B777" s="2"/>
      <x:c r="C777" s="2"/>
      <x:c r="D777" s="2"/>
      <x:c r="E777" s="3"/>
      <x:c r="F777" s="3"/>
      <x:c r="G777" s="3"/>
      <x:c r="H777" s="3"/>
      <x:c r="I777" s="3"/>
      <x:c r="J777" s="3"/>
      <x:c r="K777" s="3"/>
      <x:c r="L777" s="3"/>
      <x:c r="M777" s="3"/>
    </x:row>
    <x:row r="778" ht="19" customHeight="1">
      <x:c r="A778" s="2"/>
      <x:c r="B778" s="2"/>
      <x:c r="C778" s="2"/>
      <x:c r="D778" s="2"/>
      <x:c r="E778" s="3"/>
      <x:c r="F778" s="3"/>
      <x:c r="G778" s="3"/>
      <x:c r="H778" s="3"/>
      <x:c r="I778" s="3"/>
      <x:c r="J778" s="3"/>
      <x:c r="K778" s="3"/>
      <x:c r="L778" s="3"/>
      <x:c r="M778" s="3"/>
    </x:row>
    <x:row r="779" ht="19" customHeight="1">
      <x:c r="A779" s="2"/>
      <x:c r="B779" s="2"/>
      <x:c r="C779" s="2"/>
      <x:c r="D779" s="2"/>
      <x:c r="E779" s="3"/>
      <x:c r="F779" s="3"/>
      <x:c r="G779" s="3"/>
      <x:c r="H779" s="3"/>
      <x:c r="I779" s="3"/>
      <x:c r="J779" s="3"/>
      <x:c r="K779" s="3"/>
      <x:c r="L779" s="3"/>
      <x:c r="M779" s="3"/>
    </x:row>
    <x:row r="780" ht="19" customHeight="1">
      <x:c r="A780" s="2"/>
      <x:c r="B780" s="2"/>
      <x:c r="C780" s="2"/>
      <x:c r="D780" s="2"/>
      <x:c r="E780" s="3"/>
      <x:c r="F780" s="3"/>
      <x:c r="G780" s="3"/>
      <x:c r="H780" s="3"/>
      <x:c r="I780" s="3"/>
      <x:c r="J780" s="3"/>
      <x:c r="K780" s="3"/>
      <x:c r="L780" s="3"/>
      <x:c r="M780" s="3"/>
    </x:row>
    <x:row r="781" ht="19" customHeight="1">
      <x:c r="A781" s="2"/>
      <x:c r="B781" s="2"/>
      <x:c r="C781" s="2"/>
      <x:c r="D781" s="2"/>
      <x:c r="E781" s="3"/>
      <x:c r="F781" s="3"/>
      <x:c r="G781" s="3"/>
      <x:c r="H781" s="3"/>
      <x:c r="I781" s="3"/>
      <x:c r="J781" s="3"/>
      <x:c r="K781" s="3"/>
      <x:c r="L781" s="3"/>
      <x:c r="M781" s="3"/>
    </x:row>
    <x:row r="782" ht="19" customHeight="1">
      <x:c r="A782" s="2"/>
      <x:c r="B782" s="2"/>
      <x:c r="C782" s="2"/>
      <x:c r="D782" s="2"/>
      <x:c r="E782" s="3"/>
      <x:c r="F782" s="3"/>
      <x:c r="G782" s="3"/>
      <x:c r="H782" s="3"/>
      <x:c r="I782" s="3"/>
      <x:c r="J782" s="3"/>
      <x:c r="K782" s="3"/>
      <x:c r="L782" s="3"/>
      <x:c r="M782" s="3"/>
    </x:row>
    <x:row r="783" ht="19" customHeight="1">
      <x:c r="A783" s="2"/>
      <x:c r="B783" s="2"/>
      <x:c r="C783" s="2"/>
      <x:c r="D783" s="2"/>
      <x:c r="E783" s="3"/>
      <x:c r="F783" s="3"/>
      <x:c r="G783" s="3"/>
      <x:c r="H783" s="3"/>
      <x:c r="I783" s="3"/>
      <x:c r="J783" s="3"/>
      <x:c r="K783" s="3"/>
      <x:c r="L783" s="3"/>
      <x:c r="M783" s="3"/>
    </x:row>
    <x:row r="784" ht="19" customHeight="1">
      <x:c r="A784" s="2"/>
      <x:c r="B784" s="2"/>
      <x:c r="C784" s="2"/>
      <x:c r="D784" s="2"/>
      <x:c r="E784" s="3"/>
      <x:c r="F784" s="3"/>
      <x:c r="G784" s="3"/>
      <x:c r="H784" s="3"/>
      <x:c r="I784" s="3"/>
      <x:c r="J784" s="3"/>
      <x:c r="K784" s="3"/>
      <x:c r="L784" s="3"/>
      <x:c r="M784" s="3"/>
    </x:row>
    <x:row r="785" ht="19" customHeight="1">
      <x:c r="A785" s="2"/>
      <x:c r="B785" s="2"/>
      <x:c r="C785" s="2"/>
      <x:c r="D785" s="2"/>
      <x:c r="E785" s="3"/>
      <x:c r="F785" s="3"/>
      <x:c r="G785" s="3"/>
      <x:c r="H785" s="3"/>
      <x:c r="I785" s="3"/>
      <x:c r="J785" s="3"/>
      <x:c r="K785" s="3"/>
      <x:c r="L785" s="3"/>
      <x:c r="M785" s="3"/>
    </x:row>
    <x:row r="786" ht="19" customHeight="1">
      <x:c r="A786" s="2"/>
      <x:c r="B786" s="2"/>
      <x:c r="C786" s="2"/>
      <x:c r="D786" s="2"/>
      <x:c r="E786" s="3"/>
      <x:c r="F786" s="3"/>
      <x:c r="G786" s="3"/>
      <x:c r="H786" s="3"/>
      <x:c r="I786" s="3"/>
      <x:c r="J786" s="3"/>
      <x:c r="K786" s="3"/>
      <x:c r="L786" s="3"/>
      <x:c r="M786" s="3"/>
    </x:row>
    <x:row r="787" ht="19" customHeight="1">
      <x:c r="A787" s="2"/>
      <x:c r="B787" s="2"/>
      <x:c r="C787" s="2"/>
      <x:c r="D787" s="2"/>
      <x:c r="E787" s="3"/>
      <x:c r="F787" s="3"/>
      <x:c r="G787" s="3"/>
      <x:c r="H787" s="3"/>
      <x:c r="I787" s="3"/>
      <x:c r="J787" s="3"/>
      <x:c r="K787" s="3"/>
      <x:c r="L787" s="3"/>
      <x:c r="M787" s="3"/>
    </x:row>
    <x:row r="788" ht="19" customHeight="1">
      <x:c r="A788" s="2"/>
      <x:c r="B788" s="2"/>
      <x:c r="C788" s="2"/>
      <x:c r="D788" s="2"/>
      <x:c r="E788" s="3"/>
      <x:c r="F788" s="3"/>
      <x:c r="G788" s="3"/>
      <x:c r="H788" s="3"/>
      <x:c r="I788" s="3"/>
      <x:c r="J788" s="3"/>
      <x:c r="K788" s="3"/>
      <x:c r="L788" s="3"/>
      <x:c r="M788" s="3"/>
    </x:row>
    <x:row r="789" ht="19" customHeight="1">
      <x:c r="A789" s="2"/>
      <x:c r="B789" s="2"/>
      <x:c r="C789" s="2"/>
      <x:c r="D789" s="2"/>
      <x:c r="E789" s="3"/>
      <x:c r="F789" s="3"/>
      <x:c r="G789" s="3"/>
      <x:c r="H789" s="3"/>
      <x:c r="I789" s="3"/>
      <x:c r="J789" s="3"/>
      <x:c r="K789" s="3"/>
      <x:c r="L789" s="3"/>
      <x:c r="M789" s="3"/>
    </x:row>
    <x:row r="790" ht="19" customHeight="1">
      <x:c r="A790" s="2"/>
      <x:c r="B790" s="2"/>
      <x:c r="C790" s="2"/>
      <x:c r="D790" s="2"/>
      <x:c r="E790" s="3"/>
      <x:c r="F790" s="3"/>
      <x:c r="G790" s="3"/>
      <x:c r="H790" s="3"/>
      <x:c r="I790" s="3"/>
      <x:c r="J790" s="3"/>
      <x:c r="K790" s="3"/>
      <x:c r="L790" s="3"/>
      <x:c r="M790" s="3"/>
    </x:row>
    <x:row r="791" ht="19" customHeight="1">
      <x:c r="A791" s="2"/>
      <x:c r="B791" s="2"/>
      <x:c r="C791" s="2"/>
      <x:c r="D791" s="2"/>
      <x:c r="E791" s="3"/>
      <x:c r="F791" s="3"/>
      <x:c r="G791" s="3"/>
      <x:c r="H791" s="3"/>
      <x:c r="I791" s="3"/>
      <x:c r="J791" s="3"/>
      <x:c r="K791" s="3"/>
      <x:c r="L791" s="3"/>
      <x:c r="M791" s="3"/>
    </x:row>
    <x:row r="792" ht="19" customHeight="1">
      <x:c r="A792" s="2"/>
      <x:c r="B792" s="2"/>
      <x:c r="C792" s="2"/>
      <x:c r="D792" s="2"/>
      <x:c r="E792" s="3"/>
      <x:c r="F792" s="3"/>
      <x:c r="G792" s="3"/>
      <x:c r="H792" s="3"/>
      <x:c r="I792" s="3"/>
      <x:c r="J792" s="3"/>
      <x:c r="K792" s="3"/>
      <x:c r="L792" s="3"/>
      <x:c r="M792" s="3"/>
    </x:row>
    <x:row r="793" ht="19" customHeight="1">
      <x:c r="A793" s="2"/>
      <x:c r="B793" s="2"/>
      <x:c r="C793" s="2"/>
      <x:c r="D793" s="2"/>
      <x:c r="E793" s="3"/>
      <x:c r="F793" s="3"/>
      <x:c r="G793" s="3"/>
      <x:c r="H793" s="3"/>
      <x:c r="I793" s="3"/>
      <x:c r="J793" s="3"/>
      <x:c r="K793" s="3"/>
      <x:c r="L793" s="3"/>
      <x:c r="M793" s="3"/>
    </x:row>
    <x:row r="794" ht="19" customHeight="1">
      <x:c r="A794" s="2"/>
      <x:c r="B794" s="2"/>
      <x:c r="C794" s="2"/>
      <x:c r="D794" s="2"/>
      <x:c r="E794" s="3"/>
      <x:c r="F794" s="3"/>
      <x:c r="G794" s="3"/>
      <x:c r="H794" s="3"/>
      <x:c r="I794" s="3"/>
      <x:c r="J794" s="3"/>
      <x:c r="K794" s="3"/>
      <x:c r="L794" s="3"/>
      <x:c r="M794" s="3"/>
    </x:row>
    <x:row r="795" ht="19" customHeight="1">
      <x:c r="A795" s="2"/>
      <x:c r="B795" s="2"/>
      <x:c r="C795" s="2"/>
      <x:c r="D795" s="2"/>
      <x:c r="E795" s="3"/>
      <x:c r="F795" s="3"/>
      <x:c r="G795" s="3"/>
      <x:c r="H795" s="3"/>
      <x:c r="I795" s="3"/>
      <x:c r="J795" s="3"/>
      <x:c r="K795" s="3"/>
      <x:c r="L795" s="3"/>
      <x:c r="M795" s="3"/>
    </x:row>
    <x:row r="796" ht="19" customHeight="1">
      <x:c r="A796" s="2"/>
      <x:c r="B796" s="2"/>
      <x:c r="C796" s="2"/>
      <x:c r="D796" s="2"/>
      <x:c r="E796" s="3"/>
      <x:c r="F796" s="3"/>
      <x:c r="G796" s="3"/>
      <x:c r="H796" s="3"/>
      <x:c r="I796" s="3"/>
      <x:c r="J796" s="3"/>
      <x:c r="K796" s="3"/>
      <x:c r="L796" s="3"/>
      <x:c r="M796" s="3"/>
    </x:row>
    <x:row r="797" ht="19" customHeight="1">
      <x:c r="A797" s="2"/>
      <x:c r="B797" s="2"/>
      <x:c r="C797" s="2"/>
      <x:c r="D797" s="2"/>
      <x:c r="E797" s="3"/>
      <x:c r="F797" s="3"/>
      <x:c r="G797" s="3"/>
      <x:c r="H797" s="3"/>
      <x:c r="I797" s="3"/>
      <x:c r="J797" s="3"/>
      <x:c r="K797" s="3"/>
      <x:c r="L797" s="3"/>
      <x:c r="M797" s="3"/>
    </x:row>
    <x:row r="798" ht="19" customHeight="1">
      <x:c r="A798" s="2"/>
      <x:c r="B798" s="2"/>
      <x:c r="C798" s="2"/>
      <x:c r="D798" s="2"/>
      <x:c r="E798" s="3"/>
      <x:c r="F798" s="3"/>
      <x:c r="G798" s="3"/>
      <x:c r="H798" s="3"/>
      <x:c r="I798" s="3"/>
      <x:c r="J798" s="3"/>
      <x:c r="K798" s="3"/>
      <x:c r="L798" s="3"/>
      <x:c r="M798" s="3"/>
    </x:row>
    <x:row r="799" ht="19" customHeight="1">
      <x:c r="A799" s="2"/>
      <x:c r="B799" s="2"/>
      <x:c r="C799" s="2"/>
      <x:c r="D799" s="2"/>
      <x:c r="E799" s="3"/>
      <x:c r="F799" s="3"/>
      <x:c r="G799" s="3"/>
      <x:c r="H799" s="3"/>
      <x:c r="I799" s="3"/>
      <x:c r="J799" s="3"/>
      <x:c r="K799" s="3"/>
      <x:c r="L799" s="3"/>
      <x:c r="M799" s="3"/>
    </x:row>
    <x:row r="800" ht="19" customHeight="1">
      <x:c r="A800" s="2"/>
      <x:c r="B800" s="2"/>
      <x:c r="C800" s="2"/>
      <x:c r="D800" s="2"/>
      <x:c r="E800" s="3"/>
      <x:c r="F800" s="3"/>
      <x:c r="G800" s="3"/>
      <x:c r="H800" s="3"/>
      <x:c r="I800" s="3"/>
      <x:c r="J800" s="3"/>
      <x:c r="K800" s="3"/>
      <x:c r="L800" s="3"/>
      <x:c r="M800" s="3"/>
    </x:row>
    <x:row r="801" ht="19" customHeight="1">
      <x:c r="A801" s="2"/>
      <x:c r="B801" s="2"/>
      <x:c r="C801" s="2"/>
      <x:c r="D801" s="2"/>
      <x:c r="E801" s="3"/>
      <x:c r="F801" s="3"/>
      <x:c r="G801" s="3"/>
      <x:c r="H801" s="3"/>
      <x:c r="I801" s="3"/>
      <x:c r="J801" s="3"/>
      <x:c r="K801" s="3"/>
      <x:c r="L801" s="3"/>
      <x:c r="M801" s="3"/>
    </x:row>
    <x:row r="802" ht="19" customHeight="1">
      <x:c r="A802" s="2"/>
      <x:c r="B802" s="2"/>
      <x:c r="C802" s="2"/>
      <x:c r="D802" s="2"/>
      <x:c r="E802" s="3"/>
      <x:c r="F802" s="3"/>
      <x:c r="G802" s="3"/>
      <x:c r="H802" s="3"/>
      <x:c r="I802" s="3"/>
      <x:c r="J802" s="3"/>
      <x:c r="K802" s="3"/>
      <x:c r="L802" s="3"/>
      <x:c r="M802" s="3"/>
    </x:row>
    <x:row r="803" ht="19" customHeight="1">
      <x:c r="A803" s="2"/>
      <x:c r="B803" s="2"/>
      <x:c r="C803" s="2"/>
      <x:c r="D803" s="2"/>
      <x:c r="E803" s="3"/>
      <x:c r="F803" s="3"/>
      <x:c r="G803" s="3"/>
      <x:c r="H803" s="3"/>
      <x:c r="I803" s="3"/>
      <x:c r="J803" s="3"/>
      <x:c r="K803" s="3"/>
      <x:c r="L803" s="3"/>
      <x:c r="M803" s="3"/>
    </x:row>
    <x:row r="804" ht="19" customHeight="1">
      <x:c r="A804" s="2"/>
      <x:c r="B804" s="2"/>
      <x:c r="C804" s="2"/>
      <x:c r="D804" s="2"/>
      <x:c r="E804" s="3"/>
      <x:c r="F804" s="3"/>
      <x:c r="G804" s="3"/>
      <x:c r="H804" s="3"/>
      <x:c r="I804" s="3"/>
      <x:c r="J804" s="3"/>
      <x:c r="K804" s="3"/>
      <x:c r="L804" s="3"/>
      <x:c r="M804" s="3"/>
    </x:row>
    <x:row r="805" ht="19" customHeight="1">
      <x:c r="A805" s="2"/>
      <x:c r="B805" s="2"/>
      <x:c r="C805" s="2"/>
      <x:c r="D805" s="2"/>
      <x:c r="E805" s="3"/>
      <x:c r="F805" s="3"/>
      <x:c r="G805" s="3"/>
      <x:c r="H805" s="3"/>
      <x:c r="I805" s="3"/>
      <x:c r="J805" s="3"/>
      <x:c r="K805" s="3"/>
      <x:c r="L805" s="3"/>
      <x:c r="M805" s="3"/>
    </x:row>
    <x:row r="806" ht="19" customHeight="1">
      <x:c r="A806" s="2"/>
      <x:c r="B806" s="2"/>
      <x:c r="C806" s="2"/>
      <x:c r="D806" s="2"/>
      <x:c r="E806" s="3"/>
      <x:c r="F806" s="3"/>
      <x:c r="G806" s="3"/>
      <x:c r="H806" s="3"/>
      <x:c r="I806" s="3"/>
      <x:c r="J806" s="3"/>
      <x:c r="K806" s="3"/>
      <x:c r="L806" s="3"/>
      <x:c r="M806" s="3"/>
    </x:row>
    <x:row r="807" ht="19" customHeight="1">
      <x:c r="A807" s="2"/>
      <x:c r="B807" s="2"/>
      <x:c r="C807" s="2"/>
      <x:c r="D807" s="2"/>
      <x:c r="E807" s="3"/>
      <x:c r="F807" s="3"/>
      <x:c r="G807" s="3"/>
      <x:c r="H807" s="3"/>
      <x:c r="I807" s="3"/>
      <x:c r="J807" s="3"/>
      <x:c r="K807" s="3"/>
      <x:c r="L807" s="3"/>
      <x:c r="M807" s="3"/>
    </x:row>
    <x:row r="808" ht="19" customHeight="1">
      <x:c r="A808" s="2"/>
      <x:c r="B808" s="2"/>
      <x:c r="C808" s="2"/>
      <x:c r="D808" s="2"/>
      <x:c r="E808" s="3"/>
      <x:c r="F808" s="3"/>
      <x:c r="G808" s="3"/>
      <x:c r="H808" s="3"/>
      <x:c r="I808" s="3"/>
      <x:c r="J808" s="3"/>
      <x:c r="K808" s="3"/>
      <x:c r="L808" s="3"/>
      <x:c r="M808" s="3"/>
    </x:row>
    <x:row r="809" ht="19" customHeight="1">
      <x:c r="A809" s="2"/>
      <x:c r="B809" s="2"/>
      <x:c r="C809" s="2"/>
      <x:c r="D809" s="2"/>
      <x:c r="E809" s="3"/>
      <x:c r="F809" s="3"/>
      <x:c r="G809" s="3"/>
      <x:c r="H809" s="3"/>
      <x:c r="I809" s="3"/>
      <x:c r="J809" s="3"/>
      <x:c r="K809" s="3"/>
      <x:c r="L809" s="3"/>
      <x:c r="M809" s="3"/>
    </x:row>
    <x:row r="810" ht="19" customHeight="1">
      <x:c r="A810" s="2"/>
      <x:c r="B810" s="2"/>
      <x:c r="C810" s="2"/>
      <x:c r="D810" s="2"/>
      <x:c r="E810" s="3"/>
      <x:c r="F810" s="3"/>
      <x:c r="G810" s="3"/>
      <x:c r="H810" s="3"/>
      <x:c r="I810" s="3"/>
      <x:c r="J810" s="3"/>
      <x:c r="K810" s="3"/>
      <x:c r="L810" s="3"/>
      <x:c r="M810" s="3"/>
    </x:row>
    <x:row r="811" ht="19" customHeight="1">
      <x:c r="A811" s="2"/>
      <x:c r="B811" s="2"/>
      <x:c r="C811" s="2"/>
      <x:c r="D811" s="2"/>
      <x:c r="E811" s="3"/>
      <x:c r="F811" s="3"/>
      <x:c r="G811" s="3"/>
      <x:c r="H811" s="3"/>
      <x:c r="I811" s="3"/>
      <x:c r="J811" s="3"/>
      <x:c r="K811" s="3"/>
      <x:c r="L811" s="3"/>
      <x:c r="M811" s="3"/>
    </x:row>
    <x:row r="812" ht="19" customHeight="1">
      <x:c r="A812" s="2"/>
      <x:c r="B812" s="2"/>
      <x:c r="C812" s="2"/>
      <x:c r="D812" s="2"/>
      <x:c r="E812" s="3"/>
      <x:c r="F812" s="3"/>
      <x:c r="G812" s="3"/>
      <x:c r="H812" s="3"/>
      <x:c r="I812" s="3"/>
      <x:c r="J812" s="3"/>
      <x:c r="K812" s="3"/>
      <x:c r="L812" s="3"/>
      <x:c r="M812" s="3"/>
    </x:row>
    <x:row r="813" ht="19" customHeight="1">
      <x:c r="A813" s="2"/>
      <x:c r="B813" s="2"/>
      <x:c r="C813" s="2"/>
      <x:c r="D813" s="2"/>
      <x:c r="E813" s="3"/>
      <x:c r="F813" s="3"/>
      <x:c r="G813" s="3"/>
      <x:c r="H813" s="3"/>
      <x:c r="I813" s="3"/>
      <x:c r="J813" s="3"/>
      <x:c r="K813" s="3"/>
      <x:c r="L813" s="3"/>
      <x:c r="M813" s="3"/>
    </x:row>
    <x:row r="814" ht="19" customHeight="1">
      <x:c r="A814" s="2"/>
      <x:c r="B814" s="2"/>
      <x:c r="C814" s="2"/>
      <x:c r="D814" s="2"/>
      <x:c r="E814" s="3"/>
      <x:c r="F814" s="3"/>
      <x:c r="G814" s="3"/>
      <x:c r="H814" s="3"/>
      <x:c r="I814" s="3"/>
      <x:c r="J814" s="3"/>
      <x:c r="K814" s="3"/>
      <x:c r="L814" s="3"/>
      <x:c r="M814" s="3"/>
    </x:row>
    <x:row r="815" ht="19" customHeight="1">
      <x:c r="A815" s="2"/>
      <x:c r="B815" s="2"/>
      <x:c r="C815" s="2"/>
      <x:c r="D815" s="2"/>
      <x:c r="E815" s="3"/>
      <x:c r="F815" s="3"/>
      <x:c r="G815" s="3"/>
      <x:c r="H815" s="3"/>
      <x:c r="I815" s="3"/>
      <x:c r="J815" s="3"/>
      <x:c r="K815" s="3"/>
      <x:c r="L815" s="3"/>
      <x:c r="M815" s="3"/>
    </x:row>
    <x:row r="816" ht="19" customHeight="1">
      <x:c r="A816" s="2"/>
      <x:c r="B816" s="2"/>
      <x:c r="C816" s="2"/>
      <x:c r="D816" s="2"/>
      <x:c r="E816" s="3"/>
      <x:c r="F816" s="3"/>
      <x:c r="G816" s="3"/>
      <x:c r="H816" s="3"/>
      <x:c r="I816" s="3"/>
      <x:c r="J816" s="3"/>
      <x:c r="K816" s="3"/>
      <x:c r="L816" s="3"/>
      <x:c r="M816" s="3"/>
    </x:row>
    <x:row r="817" ht="19" customHeight="1">
      <x:c r="A817" s="2"/>
      <x:c r="B817" s="2"/>
      <x:c r="C817" s="2"/>
      <x:c r="D817" s="2"/>
      <x:c r="E817" s="3"/>
      <x:c r="F817" s="3"/>
      <x:c r="G817" s="3"/>
      <x:c r="H817" s="3"/>
      <x:c r="I817" s="3"/>
      <x:c r="J817" s="3"/>
      <x:c r="K817" s="3"/>
      <x:c r="L817" s="3"/>
      <x:c r="M817" s="3"/>
    </x:row>
    <x:row r="818" ht="19" customHeight="1">
      <x:c r="A818" s="2"/>
      <x:c r="B818" s="2"/>
      <x:c r="C818" s="2"/>
      <x:c r="D818" s="2"/>
      <x:c r="E818" s="3"/>
      <x:c r="F818" s="3"/>
      <x:c r="G818" s="3"/>
      <x:c r="H818" s="3"/>
      <x:c r="I818" s="3"/>
      <x:c r="J818" s="3"/>
      <x:c r="K818" s="3"/>
      <x:c r="L818" s="3"/>
      <x:c r="M818" s="3"/>
    </x:row>
    <x:row r="819" ht="19" customHeight="1">
      <x:c r="A819" s="2"/>
      <x:c r="B819" s="2"/>
      <x:c r="C819" s="2"/>
      <x:c r="D819" s="2"/>
      <x:c r="E819" s="3"/>
      <x:c r="F819" s="3"/>
      <x:c r="G819" s="3"/>
      <x:c r="H819" s="3"/>
      <x:c r="I819" s="3"/>
      <x:c r="J819" s="3"/>
      <x:c r="K819" s="3"/>
      <x:c r="L819" s="3"/>
      <x:c r="M819" s="3"/>
    </x:row>
    <x:row r="820" ht="19" customHeight="1">
      <x:c r="A820" s="2"/>
      <x:c r="B820" s="2"/>
      <x:c r="C820" s="2"/>
      <x:c r="D820" s="2"/>
      <x:c r="E820" s="3"/>
      <x:c r="F820" s="3"/>
      <x:c r="G820" s="3"/>
      <x:c r="H820" s="3"/>
      <x:c r="I820" s="3"/>
      <x:c r="J820" s="3"/>
      <x:c r="K820" s="3"/>
      <x:c r="L820" s="3"/>
      <x:c r="M820" s="3"/>
    </x:row>
    <x:row r="821" ht="19" customHeight="1">
      <x:c r="A821" s="2"/>
      <x:c r="B821" s="2"/>
      <x:c r="C821" s="2"/>
      <x:c r="D821" s="2"/>
      <x:c r="E821" s="3"/>
      <x:c r="F821" s="3"/>
      <x:c r="G821" s="3"/>
      <x:c r="H821" s="3"/>
      <x:c r="I821" s="3"/>
      <x:c r="J821" s="3"/>
      <x:c r="K821" s="3"/>
      <x:c r="L821" s="3"/>
      <x:c r="M821" s="3"/>
    </x:row>
    <x:row r="822" ht="19" customHeight="1">
      <x:c r="A822" s="2"/>
      <x:c r="B822" s="2"/>
      <x:c r="C822" s="2"/>
      <x:c r="D822" s="2"/>
      <x:c r="E822" s="3"/>
      <x:c r="F822" s="3"/>
      <x:c r="G822" s="3"/>
      <x:c r="H822" s="3"/>
      <x:c r="I822" s="3"/>
      <x:c r="J822" s="3"/>
      <x:c r="K822" s="3"/>
      <x:c r="L822" s="3"/>
      <x:c r="M822" s="3"/>
    </x:row>
    <x:row r="823" ht="19" customHeight="1">
      <x:c r="A823" s="2"/>
      <x:c r="B823" s="2"/>
      <x:c r="C823" s="2"/>
      <x:c r="D823" s="2"/>
      <x:c r="E823" s="3"/>
      <x:c r="F823" s="3"/>
      <x:c r="G823" s="3"/>
      <x:c r="H823" s="3"/>
      <x:c r="I823" s="3"/>
      <x:c r="J823" s="3"/>
      <x:c r="K823" s="3"/>
      <x:c r="L823" s="3"/>
      <x:c r="M823" s="3"/>
    </x:row>
    <x:row r="824" ht="19" customHeight="1">
      <x:c r="A824" s="2"/>
      <x:c r="B824" s="2"/>
      <x:c r="C824" s="2"/>
      <x:c r="D824" s="2"/>
      <x:c r="E824" s="3"/>
      <x:c r="F824" s="3"/>
      <x:c r="G824" s="3"/>
      <x:c r="H824" s="3"/>
      <x:c r="I824" s="3"/>
      <x:c r="J824" s="3"/>
      <x:c r="K824" s="3"/>
      <x:c r="L824" s="3"/>
      <x:c r="M824" s="3"/>
    </x:row>
    <x:row r="825" ht="19" customHeight="1">
      <x:c r="A825" s="2"/>
      <x:c r="B825" s="2"/>
      <x:c r="C825" s="2"/>
      <x:c r="D825" s="2"/>
      <x:c r="E825" s="3"/>
      <x:c r="F825" s="3"/>
      <x:c r="G825" s="3"/>
      <x:c r="H825" s="3"/>
      <x:c r="I825" s="3"/>
      <x:c r="J825" s="3"/>
      <x:c r="K825" s="3"/>
      <x:c r="L825" s="3"/>
      <x:c r="M825" s="3"/>
    </x:row>
    <x:row r="826" ht="19" customHeight="1">
      <x:c r="A826" s="2"/>
      <x:c r="B826" s="2"/>
      <x:c r="C826" s="2"/>
      <x:c r="D826" s="2"/>
      <x:c r="E826" s="3"/>
      <x:c r="F826" s="3"/>
      <x:c r="G826" s="3"/>
      <x:c r="H826" s="3"/>
      <x:c r="I826" s="3"/>
      <x:c r="J826" s="3"/>
      <x:c r="K826" s="3"/>
      <x:c r="L826" s="3"/>
      <x:c r="M826" s="3"/>
    </x:row>
    <x:row r="827" ht="19" customHeight="1">
      <x:c r="A827" s="2"/>
      <x:c r="B827" s="2"/>
      <x:c r="C827" s="2"/>
      <x:c r="D827" s="2"/>
      <x:c r="E827" s="3"/>
      <x:c r="F827" s="3"/>
      <x:c r="G827" s="3"/>
      <x:c r="H827" s="3"/>
      <x:c r="I827" s="3"/>
      <x:c r="J827" s="3"/>
      <x:c r="K827" s="3"/>
      <x:c r="L827" s="3"/>
      <x:c r="M827" s="3"/>
    </x:row>
    <x:row r="828" ht="19" customHeight="1">
      <x:c r="A828" s="2"/>
      <x:c r="B828" s="2"/>
      <x:c r="C828" s="2"/>
      <x:c r="D828" s="2"/>
      <x:c r="E828" s="3"/>
      <x:c r="F828" s="3"/>
      <x:c r="G828" s="3"/>
      <x:c r="H828" s="3"/>
      <x:c r="I828" s="3"/>
      <x:c r="J828" s="3"/>
      <x:c r="K828" s="3"/>
      <x:c r="L828" s="3"/>
      <x:c r="M828" s="3"/>
    </x:row>
    <x:row r="829" ht="19" customHeight="1">
      <x:c r="A829" s="2"/>
      <x:c r="B829" s="2"/>
      <x:c r="C829" s="2"/>
      <x:c r="D829" s="2"/>
      <x:c r="E829" s="3"/>
      <x:c r="F829" s="3"/>
      <x:c r="G829" s="3"/>
      <x:c r="H829" s="3"/>
      <x:c r="I829" s="3"/>
      <x:c r="J829" s="3"/>
      <x:c r="K829" s="3"/>
      <x:c r="L829" s="3"/>
      <x:c r="M829" s="3"/>
    </x:row>
    <x:row r="830" ht="19" customHeight="1">
      <x:c r="A830" s="2"/>
      <x:c r="B830" s="2"/>
      <x:c r="C830" s="2"/>
      <x:c r="D830" s="2"/>
      <x:c r="E830" s="3"/>
      <x:c r="F830" s="3"/>
      <x:c r="G830" s="3"/>
      <x:c r="H830" s="3"/>
      <x:c r="I830" s="3"/>
      <x:c r="J830" s="3"/>
      <x:c r="K830" s="3"/>
      <x:c r="L830" s="3"/>
      <x:c r="M830" s="3"/>
    </x:row>
    <x:row r="831" ht="19" customHeight="1">
      <x:c r="A831" s="2"/>
      <x:c r="B831" s="2"/>
      <x:c r="C831" s="2"/>
      <x:c r="D831" s="2"/>
      <x:c r="E831" s="3"/>
      <x:c r="F831" s="3"/>
      <x:c r="G831" s="3"/>
      <x:c r="H831" s="3"/>
      <x:c r="I831" s="3"/>
      <x:c r="J831" s="3"/>
      <x:c r="K831" s="3"/>
      <x:c r="L831" s="3"/>
      <x:c r="M831" s="3"/>
    </x:row>
    <x:row r="832" ht="19" customHeight="1">
      <x:c r="A832" s="2"/>
      <x:c r="B832" s="2"/>
      <x:c r="C832" s="2"/>
      <x:c r="D832" s="2"/>
      <x:c r="E832" s="3"/>
      <x:c r="F832" s="3"/>
      <x:c r="G832" s="3"/>
      <x:c r="H832" s="3"/>
      <x:c r="I832" s="3"/>
      <x:c r="J832" s="3"/>
      <x:c r="K832" s="3"/>
      <x:c r="L832" s="3"/>
      <x:c r="M832" s="3"/>
    </x:row>
    <x:row r="833" ht="19" customHeight="1">
      <x:c r="A833" s="2"/>
      <x:c r="B833" s="2"/>
      <x:c r="C833" s="2"/>
      <x:c r="D833" s="2"/>
      <x:c r="E833" s="3"/>
      <x:c r="F833" s="3"/>
      <x:c r="G833" s="3"/>
      <x:c r="H833" s="3"/>
      <x:c r="I833" s="3"/>
      <x:c r="J833" s="3"/>
      <x:c r="K833" s="3"/>
      <x:c r="L833" s="3"/>
      <x:c r="M833" s="3"/>
    </x:row>
    <x:row r="834" ht="19" customHeight="1">
      <x:c r="A834" s="2"/>
      <x:c r="B834" s="2"/>
      <x:c r="C834" s="2"/>
      <x:c r="D834" s="2"/>
      <x:c r="E834" s="3"/>
      <x:c r="F834" s="3"/>
      <x:c r="G834" s="3"/>
      <x:c r="H834" s="3"/>
      <x:c r="I834" s="3"/>
      <x:c r="J834" s="3"/>
      <x:c r="K834" s="3"/>
      <x:c r="L834" s="3"/>
      <x:c r="M834" s="3"/>
    </x:row>
    <x:row r="835" ht="19" customHeight="1">
      <x:c r="A835" s="2"/>
      <x:c r="B835" s="2"/>
      <x:c r="C835" s="2"/>
      <x:c r="D835" s="2"/>
      <x:c r="E835" s="3"/>
      <x:c r="F835" s="3"/>
      <x:c r="G835" s="3"/>
      <x:c r="H835" s="3"/>
      <x:c r="I835" s="3"/>
      <x:c r="J835" s="3"/>
      <x:c r="K835" s="3"/>
      <x:c r="L835" s="3"/>
      <x:c r="M835" s="3"/>
    </x:row>
    <x:row r="836" ht="19" customHeight="1">
      <x:c r="A836" s="2"/>
      <x:c r="B836" s="2"/>
      <x:c r="C836" s="2"/>
      <x:c r="D836" s="2"/>
      <x:c r="E836" s="3"/>
      <x:c r="F836" s="3"/>
      <x:c r="G836" s="3"/>
      <x:c r="H836" s="3"/>
      <x:c r="I836" s="3"/>
      <x:c r="J836" s="3"/>
      <x:c r="K836" s="3"/>
      <x:c r="L836" s="3"/>
      <x:c r="M836" s="3"/>
    </x:row>
    <x:row r="837" ht="19" customHeight="1">
      <x:c r="A837" s="2"/>
      <x:c r="B837" s="2"/>
      <x:c r="C837" s="2"/>
      <x:c r="D837" s="2"/>
      <x:c r="E837" s="3"/>
      <x:c r="F837" s="3"/>
      <x:c r="G837" s="3"/>
      <x:c r="H837" s="3"/>
      <x:c r="I837" s="3"/>
      <x:c r="J837" s="3"/>
      <x:c r="K837" s="3"/>
      <x:c r="L837" s="3"/>
      <x:c r="M837" s="3"/>
    </x:row>
    <x:row r="838" ht="19" customHeight="1">
      <x:c r="A838" s="2"/>
      <x:c r="B838" s="2"/>
      <x:c r="C838" s="2"/>
      <x:c r="D838" s="2"/>
      <x:c r="E838" s="3"/>
      <x:c r="F838" s="3"/>
      <x:c r="G838" s="3"/>
      <x:c r="H838" s="3"/>
      <x:c r="I838" s="3"/>
      <x:c r="J838" s="3"/>
      <x:c r="K838" s="3"/>
      <x:c r="L838" s="3"/>
      <x:c r="M838" s="3"/>
    </x:row>
    <x:row r="839" ht="19" customHeight="1">
      <x:c r="A839" s="2"/>
      <x:c r="B839" s="2"/>
      <x:c r="C839" s="2"/>
      <x:c r="D839" s="2"/>
      <x:c r="E839" s="3"/>
      <x:c r="F839" s="3"/>
      <x:c r="G839" s="3"/>
      <x:c r="H839" s="3"/>
      <x:c r="I839" s="3"/>
      <x:c r="J839" s="3"/>
      <x:c r="K839" s="3"/>
      <x:c r="L839" s="3"/>
      <x:c r="M839" s="3"/>
    </x:row>
    <x:row r="840" ht="19" customHeight="1">
      <x:c r="A840" s="2"/>
      <x:c r="B840" s="2"/>
      <x:c r="C840" s="2"/>
      <x:c r="D840" s="2"/>
      <x:c r="E840" s="3"/>
      <x:c r="F840" s="3"/>
      <x:c r="G840" s="3"/>
      <x:c r="H840" s="3"/>
      <x:c r="I840" s="3"/>
      <x:c r="J840" s="3"/>
      <x:c r="K840" s="3"/>
      <x:c r="L840" s="3"/>
      <x:c r="M840" s="3"/>
    </x:row>
    <x:row r="841" ht="19" customHeight="1">
      <x:c r="A841" s="2"/>
      <x:c r="B841" s="2"/>
      <x:c r="C841" s="2"/>
      <x:c r="D841" s="2"/>
      <x:c r="E841" s="3"/>
      <x:c r="F841" s="3"/>
      <x:c r="G841" s="3"/>
      <x:c r="H841" s="3"/>
      <x:c r="I841" s="3"/>
      <x:c r="J841" s="3"/>
      <x:c r="K841" s="3"/>
      <x:c r="L841" s="3"/>
      <x:c r="M841" s="3"/>
    </x:row>
    <x:row r="842" ht="19" customHeight="1">
      <x:c r="A842" s="2"/>
      <x:c r="B842" s="2"/>
      <x:c r="C842" s="2"/>
      <x:c r="D842" s="2"/>
      <x:c r="E842" s="3"/>
      <x:c r="F842" s="3"/>
      <x:c r="G842" s="3"/>
      <x:c r="H842" s="3"/>
      <x:c r="I842" s="3"/>
      <x:c r="J842" s="3"/>
      <x:c r="K842" s="3"/>
      <x:c r="L842" s="3"/>
      <x:c r="M842" s="3"/>
    </x:row>
    <x:row r="843" ht="19" customHeight="1">
      <x:c r="A843" s="2"/>
      <x:c r="B843" s="2"/>
      <x:c r="C843" s="2"/>
      <x:c r="D843" s="2"/>
      <x:c r="E843" s="3"/>
      <x:c r="F843" s="3"/>
      <x:c r="G843" s="3"/>
      <x:c r="H843" s="3"/>
      <x:c r="I843" s="3"/>
      <x:c r="J843" s="3"/>
      <x:c r="K843" s="3"/>
      <x:c r="L843" s="3"/>
      <x:c r="M843" s="3"/>
    </x:row>
    <x:row r="844" ht="19" customHeight="1">
      <x:c r="A844" s="2"/>
      <x:c r="B844" s="2"/>
      <x:c r="C844" s="2"/>
      <x:c r="D844" s="2"/>
      <x:c r="E844" s="3"/>
      <x:c r="F844" s="3"/>
      <x:c r="G844" s="3"/>
      <x:c r="H844" s="3"/>
      <x:c r="I844" s="3"/>
      <x:c r="J844" s="3"/>
      <x:c r="K844" s="3"/>
      <x:c r="L844" s="3"/>
      <x:c r="M844" s="3"/>
    </x:row>
    <x:row r="845" ht="19" customHeight="1">
      <x:c r="A845" s="2"/>
      <x:c r="B845" s="2"/>
      <x:c r="C845" s="2"/>
      <x:c r="D845" s="2"/>
      <x:c r="E845" s="3"/>
      <x:c r="F845" s="3"/>
      <x:c r="G845" s="3"/>
      <x:c r="H845" s="3"/>
      <x:c r="I845" s="3"/>
      <x:c r="J845" s="3"/>
      <x:c r="K845" s="3"/>
      <x:c r="L845" s="3"/>
      <x:c r="M845" s="3"/>
    </x:row>
    <x:row r="846" ht="19" customHeight="1">
      <x:c r="A846" s="2"/>
      <x:c r="B846" s="2"/>
      <x:c r="C846" s="2"/>
      <x:c r="D846" s="2"/>
      <x:c r="E846" s="3"/>
      <x:c r="F846" s="3"/>
      <x:c r="G846" s="3"/>
      <x:c r="H846" s="3"/>
      <x:c r="I846" s="3"/>
      <x:c r="J846" s="3"/>
      <x:c r="K846" s="3"/>
      <x:c r="L846" s="3"/>
      <x:c r="M846" s="3"/>
    </x:row>
    <x:row r="847" ht="19" customHeight="1">
      <x:c r="A847" s="2"/>
      <x:c r="B847" s="2"/>
      <x:c r="C847" s="2"/>
      <x:c r="D847" s="2"/>
      <x:c r="E847" s="3"/>
      <x:c r="F847" s="3"/>
      <x:c r="G847" s="3"/>
      <x:c r="H847" s="3"/>
      <x:c r="I847" s="3"/>
      <x:c r="J847" s="3"/>
      <x:c r="K847" s="3"/>
      <x:c r="L847" s="3"/>
      <x:c r="M847" s="3"/>
    </x:row>
    <x:row r="848" ht="19" customHeight="1">
      <x:c r="A848" s="2"/>
      <x:c r="B848" s="2"/>
      <x:c r="C848" s="2"/>
      <x:c r="D848" s="2"/>
      <x:c r="E848" s="3"/>
      <x:c r="F848" s="3"/>
      <x:c r="G848" s="3"/>
      <x:c r="H848" s="3"/>
      <x:c r="I848" s="3"/>
      <x:c r="J848" s="3"/>
      <x:c r="K848" s="3"/>
      <x:c r="L848" s="3"/>
      <x:c r="M848" s="3"/>
    </x:row>
    <x:row r="849" ht="19" customHeight="1">
      <x:c r="A849" s="2"/>
      <x:c r="B849" s="2"/>
      <x:c r="C849" s="2"/>
      <x:c r="D849" s="2"/>
      <x:c r="E849" s="3"/>
      <x:c r="F849" s="3"/>
      <x:c r="G849" s="3"/>
      <x:c r="H849" s="3"/>
      <x:c r="I849" s="3"/>
      <x:c r="J849" s="3"/>
      <x:c r="K849" s="3"/>
      <x:c r="L849" s="3"/>
      <x:c r="M849" s="3"/>
    </x:row>
    <x:row r="850" ht="19" customHeight="1">
      <x:c r="A850" s="2"/>
      <x:c r="B850" s="2"/>
      <x:c r="C850" s="2"/>
      <x:c r="D850" s="2"/>
      <x:c r="E850" s="3"/>
      <x:c r="F850" s="3"/>
      <x:c r="G850" s="3"/>
      <x:c r="H850" s="3"/>
      <x:c r="I850" s="3"/>
      <x:c r="J850" s="3"/>
      <x:c r="K850" s="3"/>
      <x:c r="L850" s="3"/>
      <x:c r="M850" s="3"/>
    </x:row>
    <x:row r="851" ht="19" customHeight="1">
      <x:c r="A851" s="2"/>
      <x:c r="B851" s="2"/>
      <x:c r="C851" s="2"/>
      <x:c r="D851" s="2"/>
      <x:c r="E851" s="3"/>
      <x:c r="F851" s="3"/>
      <x:c r="G851" s="3"/>
      <x:c r="H851" s="3"/>
      <x:c r="I851" s="3"/>
      <x:c r="J851" s="3"/>
      <x:c r="K851" s="3"/>
      <x:c r="L851" s="3"/>
      <x:c r="M851" s="3"/>
    </x:row>
    <x:row r="852" ht="19" customHeight="1">
      <x:c r="A852" s="2"/>
      <x:c r="B852" s="2"/>
      <x:c r="C852" s="2"/>
      <x:c r="D852" s="2"/>
      <x:c r="E852" s="3"/>
      <x:c r="F852" s="3"/>
      <x:c r="G852" s="3"/>
      <x:c r="H852" s="3"/>
      <x:c r="I852" s="3"/>
      <x:c r="J852" s="3"/>
      <x:c r="K852" s="3"/>
      <x:c r="L852" s="3"/>
      <x:c r="M852" s="3"/>
    </x:row>
    <x:row r="853" ht="19" customHeight="1">
      <x:c r="A853" s="2"/>
      <x:c r="B853" s="2"/>
      <x:c r="C853" s="2"/>
      <x:c r="D853" s="2"/>
      <x:c r="E853" s="3"/>
      <x:c r="F853" s="3"/>
      <x:c r="G853" s="3"/>
      <x:c r="H853" s="3"/>
      <x:c r="I853" s="3"/>
      <x:c r="J853" s="3"/>
      <x:c r="K853" s="3"/>
      <x:c r="L853" s="3"/>
      <x:c r="M853" s="3"/>
    </x:row>
    <x:row r="854" ht="19" customHeight="1">
      <x:c r="A854" s="2"/>
      <x:c r="B854" s="2"/>
      <x:c r="C854" s="2"/>
      <x:c r="D854" s="2"/>
      <x:c r="E854" s="3"/>
      <x:c r="F854" s="3"/>
      <x:c r="G854" s="3"/>
      <x:c r="H854" s="3"/>
      <x:c r="I854" s="3"/>
      <x:c r="J854" s="3"/>
      <x:c r="K854" s="3"/>
      <x:c r="L854" s="3"/>
      <x:c r="M854" s="3"/>
    </x:row>
    <x:row r="855" ht="19" customHeight="1">
      <x:c r="A855" s="2"/>
      <x:c r="B855" s="2"/>
      <x:c r="C855" s="2"/>
      <x:c r="D855" s="2"/>
      <x:c r="E855" s="3"/>
      <x:c r="F855" s="3"/>
      <x:c r="G855" s="3"/>
      <x:c r="H855" s="3"/>
      <x:c r="I855" s="3"/>
      <x:c r="J855" s="3"/>
      <x:c r="K855" s="3"/>
      <x:c r="L855" s="3"/>
      <x:c r="M855" s="3"/>
    </x:row>
    <x:row r="856" ht="19" customHeight="1">
      <x:c r="A856" s="2"/>
      <x:c r="B856" s="2"/>
      <x:c r="C856" s="2"/>
      <x:c r="D856" s="2"/>
      <x:c r="E856" s="3"/>
      <x:c r="F856" s="3"/>
      <x:c r="G856" s="3"/>
      <x:c r="H856" s="3"/>
      <x:c r="I856" s="3"/>
      <x:c r="J856" s="3"/>
      <x:c r="K856" s="3"/>
      <x:c r="L856" s="3"/>
      <x:c r="M856" s="3"/>
    </x:row>
    <x:row r="857" ht="19" customHeight="1">
      <x:c r="A857" s="2"/>
      <x:c r="B857" s="2"/>
      <x:c r="C857" s="2"/>
      <x:c r="D857" s="2"/>
      <x:c r="E857" s="3"/>
      <x:c r="F857" s="3"/>
      <x:c r="G857" s="3"/>
      <x:c r="H857" s="3"/>
      <x:c r="I857" s="3"/>
      <x:c r="J857" s="3"/>
      <x:c r="K857" s="3"/>
      <x:c r="L857" s="3"/>
      <x:c r="M857" s="3"/>
    </x:row>
    <x:row r="858" ht="19" customHeight="1">
      <x:c r="A858" s="2"/>
      <x:c r="B858" s="2"/>
      <x:c r="C858" s="2"/>
      <x:c r="D858" s="2"/>
      <x:c r="E858" s="3"/>
      <x:c r="F858" s="3"/>
      <x:c r="G858" s="3"/>
      <x:c r="H858" s="3"/>
      <x:c r="I858" s="3"/>
      <x:c r="J858" s="3"/>
      <x:c r="K858" s="3"/>
      <x:c r="L858" s="3"/>
      <x:c r="M858" s="3"/>
    </x:row>
    <x:row r="859" ht="19" customHeight="1">
      <x:c r="A859" s="2"/>
      <x:c r="B859" s="2"/>
      <x:c r="C859" s="2"/>
      <x:c r="D859" s="2"/>
      <x:c r="E859" s="3"/>
      <x:c r="F859" s="3"/>
      <x:c r="G859" s="3"/>
      <x:c r="H859" s="3"/>
      <x:c r="I859" s="3"/>
      <x:c r="J859" s="3"/>
      <x:c r="K859" s="3"/>
      <x:c r="L859" s="3"/>
      <x:c r="M859" s="3"/>
    </x:row>
    <x:row r="860" ht="19" customHeight="1">
      <x:c r="A860" s="2"/>
      <x:c r="B860" s="2"/>
      <x:c r="C860" s="2"/>
      <x:c r="D860" s="2"/>
      <x:c r="E860" s="3"/>
      <x:c r="F860" s="3"/>
      <x:c r="G860" s="3"/>
      <x:c r="H860" s="3"/>
      <x:c r="I860" s="3"/>
      <x:c r="J860" s="3"/>
      <x:c r="K860" s="3"/>
      <x:c r="L860" s="3"/>
      <x:c r="M860" s="3"/>
    </x:row>
    <x:row r="861" ht="19" customHeight="1">
      <x:c r="A861" s="2"/>
      <x:c r="B861" s="2"/>
      <x:c r="C861" s="2"/>
      <x:c r="D861" s="2"/>
      <x:c r="E861" s="3"/>
      <x:c r="F861" s="3"/>
      <x:c r="G861" s="3"/>
      <x:c r="H861" s="3"/>
      <x:c r="I861" s="3"/>
      <x:c r="J861" s="3"/>
      <x:c r="K861" s="3"/>
      <x:c r="L861" s="3"/>
      <x:c r="M861" s="3"/>
    </x:row>
    <x:row r="862" ht="19" customHeight="1">
      <x:c r="A862" s="2"/>
      <x:c r="B862" s="2"/>
      <x:c r="C862" s="2"/>
      <x:c r="D862" s="2"/>
      <x:c r="E862" s="3"/>
      <x:c r="F862" s="3"/>
      <x:c r="G862" s="3"/>
      <x:c r="H862" s="3"/>
      <x:c r="I862" s="3"/>
      <x:c r="J862" s="3"/>
      <x:c r="K862" s="3"/>
      <x:c r="L862" s="3"/>
      <x:c r="M862" s="3"/>
    </x:row>
    <x:row r="863" ht="19" customHeight="1">
      <x:c r="A863" s="2"/>
      <x:c r="B863" s="2"/>
      <x:c r="C863" s="2"/>
      <x:c r="D863" s="2"/>
      <x:c r="E863" s="3"/>
      <x:c r="F863" s="3"/>
      <x:c r="G863" s="3"/>
      <x:c r="H863" s="3"/>
      <x:c r="I863" s="3"/>
      <x:c r="J863" s="3"/>
      <x:c r="K863" s="3"/>
      <x:c r="L863" s="3"/>
      <x:c r="M863" s="3"/>
    </x:row>
    <x:row r="864" ht="19" customHeight="1">
      <x:c r="A864" s="2"/>
      <x:c r="B864" s="2"/>
      <x:c r="C864" s="2"/>
      <x:c r="D864" s="2"/>
      <x:c r="E864" s="3"/>
      <x:c r="F864" s="3"/>
      <x:c r="G864" s="3"/>
      <x:c r="H864" s="3"/>
      <x:c r="I864" s="3"/>
      <x:c r="J864" s="3"/>
      <x:c r="K864" s="3"/>
      <x:c r="L864" s="3"/>
      <x:c r="M864" s="3"/>
    </x:row>
    <x:row r="865" ht="19" customHeight="1">
      <x:c r="A865" s="2"/>
      <x:c r="B865" s="2"/>
      <x:c r="C865" s="2"/>
      <x:c r="D865" s="2"/>
      <x:c r="E865" s="3"/>
      <x:c r="F865" s="3"/>
      <x:c r="G865" s="3"/>
      <x:c r="H865" s="3"/>
      <x:c r="I865" s="3"/>
      <x:c r="J865" s="3"/>
      <x:c r="K865" s="3"/>
      <x:c r="L865" s="3"/>
      <x:c r="M865" s="3"/>
    </x:row>
    <x:row r="866" ht="19" customHeight="1">
      <x:c r="A866" s="2"/>
      <x:c r="B866" s="2"/>
      <x:c r="C866" s="2"/>
      <x:c r="D866" s="2"/>
      <x:c r="E866" s="3"/>
      <x:c r="F866" s="3"/>
      <x:c r="G866" s="3"/>
      <x:c r="H866" s="3"/>
      <x:c r="I866" s="3"/>
      <x:c r="J866" s="3"/>
      <x:c r="K866" s="3"/>
      <x:c r="L866" s="3"/>
      <x:c r="M866" s="3"/>
    </x:row>
    <x:row r="867" ht="19" customHeight="1">
      <x:c r="A867" s="2"/>
      <x:c r="B867" s="2"/>
      <x:c r="C867" s="2"/>
      <x:c r="D867" s="2"/>
      <x:c r="E867" s="3"/>
      <x:c r="F867" s="3"/>
      <x:c r="G867" s="3"/>
      <x:c r="H867" s="3"/>
      <x:c r="I867" s="3"/>
      <x:c r="J867" s="3"/>
      <x:c r="K867" s="3"/>
      <x:c r="L867" s="3"/>
      <x:c r="M867" s="3"/>
    </x:row>
    <x:row r="868" ht="19" customHeight="1">
      <x:c r="A868" s="2"/>
      <x:c r="B868" s="2"/>
      <x:c r="C868" s="2"/>
      <x:c r="D868" s="2"/>
      <x:c r="E868" s="3"/>
      <x:c r="F868" s="3"/>
      <x:c r="G868" s="3"/>
      <x:c r="H868" s="3"/>
      <x:c r="I868" s="3"/>
      <x:c r="J868" s="3"/>
      <x:c r="K868" s="3"/>
      <x:c r="L868" s="3"/>
      <x:c r="M868" s="3"/>
    </x:row>
    <x:row r="869" ht="19" customHeight="1">
      <x:c r="A869" s="2"/>
      <x:c r="B869" s="2"/>
      <x:c r="C869" s="2"/>
      <x:c r="D869" s="2"/>
      <x:c r="E869" s="3"/>
      <x:c r="F869" s="3"/>
      <x:c r="G869" s="3"/>
      <x:c r="H869" s="3"/>
      <x:c r="I869" s="3"/>
      <x:c r="J869" s="3"/>
      <x:c r="K869" s="3"/>
      <x:c r="L869" s="3"/>
      <x:c r="M869" s="3"/>
    </x:row>
    <x:row r="870" ht="19" customHeight="1">
      <x:c r="A870" s="2"/>
      <x:c r="B870" s="2"/>
      <x:c r="C870" s="2"/>
      <x:c r="D870" s="2"/>
      <x:c r="E870" s="3"/>
      <x:c r="F870" s="3"/>
      <x:c r="G870" s="3"/>
      <x:c r="H870" s="3"/>
      <x:c r="I870" s="3"/>
      <x:c r="J870" s="3"/>
      <x:c r="K870" s="3"/>
      <x:c r="L870" s="3"/>
      <x:c r="M870" s="3"/>
    </x:row>
    <x:row r="871" ht="19" customHeight="1">
      <x:c r="A871" s="2"/>
      <x:c r="B871" s="2"/>
      <x:c r="C871" s="2"/>
      <x:c r="D871" s="2"/>
      <x:c r="E871" s="3"/>
      <x:c r="F871" s="3"/>
      <x:c r="G871" s="3"/>
      <x:c r="H871" s="3"/>
      <x:c r="I871" s="3"/>
      <x:c r="J871" s="3"/>
      <x:c r="K871" s="3"/>
      <x:c r="L871" s="3"/>
      <x:c r="M871" s="3"/>
    </x:row>
    <x:row r="872" ht="19" customHeight="1">
      <x:c r="A872" s="2"/>
      <x:c r="B872" s="2"/>
      <x:c r="C872" s="2"/>
      <x:c r="D872" s="2"/>
      <x:c r="E872" s="3"/>
      <x:c r="F872" s="3"/>
      <x:c r="G872" s="3"/>
      <x:c r="H872" s="3"/>
      <x:c r="I872" s="3"/>
      <x:c r="J872" s="3"/>
      <x:c r="K872" s="3"/>
      <x:c r="L872" s="3"/>
      <x:c r="M872" s="3"/>
    </x:row>
    <x:row r="873" ht="19" customHeight="1">
      <x:c r="A873" s="2"/>
      <x:c r="B873" s="2"/>
      <x:c r="C873" s="2"/>
      <x:c r="D873" s="2"/>
      <x:c r="E873" s="3"/>
      <x:c r="F873" s="3"/>
      <x:c r="G873" s="3"/>
      <x:c r="H873" s="3"/>
      <x:c r="I873" s="3"/>
      <x:c r="J873" s="3"/>
      <x:c r="K873" s="3"/>
      <x:c r="L873" s="3"/>
      <x:c r="M873" s="3"/>
    </x:row>
    <x:row r="874" ht="19" customHeight="1">
      <x:c r="A874" s="2"/>
      <x:c r="B874" s="2"/>
      <x:c r="C874" s="2"/>
      <x:c r="D874" s="2"/>
      <x:c r="E874" s="3"/>
      <x:c r="F874" s="3"/>
      <x:c r="G874" s="3"/>
      <x:c r="H874" s="3"/>
      <x:c r="I874" s="3"/>
      <x:c r="J874" s="3"/>
      <x:c r="K874" s="3"/>
      <x:c r="L874" s="3"/>
      <x:c r="M874" s="3"/>
    </x:row>
    <x:row r="875" ht="19" customHeight="1">
      <x:c r="A875" s="2"/>
      <x:c r="B875" s="2"/>
      <x:c r="C875" s="2"/>
      <x:c r="D875" s="2"/>
      <x:c r="E875" s="3"/>
      <x:c r="F875" s="3"/>
      <x:c r="G875" s="3"/>
      <x:c r="H875" s="3"/>
      <x:c r="I875" s="3"/>
      <x:c r="J875" s="3"/>
      <x:c r="K875" s="3"/>
      <x:c r="L875" s="3"/>
      <x:c r="M875" s="3"/>
    </x:row>
    <x:row r="876" ht="19" customHeight="1">
      <x:c r="A876" s="2"/>
      <x:c r="B876" s="2"/>
      <x:c r="C876" s="2"/>
      <x:c r="D876" s="2"/>
      <x:c r="E876" s="3"/>
      <x:c r="F876" s="3"/>
      <x:c r="G876" s="3"/>
      <x:c r="H876" s="3"/>
      <x:c r="I876" s="3"/>
      <x:c r="J876" s="3"/>
      <x:c r="K876" s="3"/>
      <x:c r="L876" s="3"/>
      <x:c r="M876" s="3"/>
    </x:row>
    <x:row r="877" ht="19" customHeight="1">
      <x:c r="A877" s="2"/>
      <x:c r="B877" s="2"/>
      <x:c r="C877" s="2"/>
      <x:c r="D877" s="2"/>
      <x:c r="E877" s="3"/>
      <x:c r="F877" s="3"/>
      <x:c r="G877" s="3"/>
      <x:c r="H877" s="3"/>
      <x:c r="I877" s="3"/>
      <x:c r="J877" s="3"/>
      <x:c r="K877" s="3"/>
      <x:c r="L877" s="3"/>
      <x:c r="M877" s="3"/>
    </x:row>
    <x:row r="878" ht="19" customHeight="1">
      <x:c r="A878" s="2"/>
      <x:c r="B878" s="2"/>
      <x:c r="C878" s="2"/>
      <x:c r="D878" s="2"/>
      <x:c r="E878" s="3"/>
      <x:c r="F878" s="3"/>
      <x:c r="G878" s="3"/>
      <x:c r="H878" s="3"/>
      <x:c r="I878" s="3"/>
      <x:c r="J878" s="3"/>
      <x:c r="K878" s="3"/>
      <x:c r="L878" s="3"/>
      <x:c r="M878" s="3"/>
    </x:row>
    <x:row r="879" ht="19" customHeight="1">
      <x:c r="A879" s="2"/>
      <x:c r="B879" s="2"/>
      <x:c r="C879" s="2"/>
      <x:c r="D879" s="2"/>
      <x:c r="E879" s="3"/>
      <x:c r="F879" s="3"/>
      <x:c r="G879" s="3"/>
      <x:c r="H879" s="3"/>
      <x:c r="I879" s="3"/>
      <x:c r="J879" s="3"/>
      <x:c r="K879" s="3"/>
      <x:c r="L879" s="3"/>
      <x:c r="M879" s="3"/>
    </x:row>
    <x:row r="880" ht="19" customHeight="1">
      <x:c r="A880" s="2"/>
      <x:c r="B880" s="2"/>
      <x:c r="C880" s="2"/>
      <x:c r="D880" s="2"/>
      <x:c r="E880" s="3"/>
      <x:c r="F880" s="3"/>
      <x:c r="G880" s="3"/>
      <x:c r="H880" s="3"/>
      <x:c r="I880" s="3"/>
      <x:c r="J880" s="3"/>
      <x:c r="K880" s="3"/>
      <x:c r="L880" s="3"/>
      <x:c r="M880" s="3"/>
    </x:row>
    <x:row r="881" ht="19" customHeight="1">
      <x:c r="A881" s="2"/>
      <x:c r="B881" s="2"/>
      <x:c r="C881" s="2"/>
      <x:c r="D881" s="2"/>
      <x:c r="E881" s="3"/>
      <x:c r="F881" s="3"/>
      <x:c r="G881" s="3"/>
      <x:c r="H881" s="3"/>
      <x:c r="I881" s="3"/>
      <x:c r="J881" s="3"/>
      <x:c r="K881" s="3"/>
      <x:c r="L881" s="3"/>
      <x:c r="M881" s="3"/>
    </x:row>
    <x:row r="882" ht="19" customHeight="1">
      <x:c r="A882" s="2"/>
      <x:c r="B882" s="2"/>
      <x:c r="C882" s="2"/>
      <x:c r="D882" s="2"/>
      <x:c r="E882" s="3"/>
      <x:c r="F882" s="3"/>
      <x:c r="G882" s="3"/>
      <x:c r="H882" s="3"/>
      <x:c r="I882" s="3"/>
      <x:c r="J882" s="3"/>
      <x:c r="K882" s="3"/>
      <x:c r="L882" s="3"/>
      <x:c r="M882" s="3"/>
    </x:row>
    <x:row r="883" ht="19" customHeight="1">
      <x:c r="A883" s="2"/>
      <x:c r="B883" s="2"/>
      <x:c r="C883" s="2"/>
      <x:c r="D883" s="2"/>
      <x:c r="E883" s="3"/>
      <x:c r="F883" s="3"/>
      <x:c r="G883" s="3"/>
      <x:c r="H883" s="3"/>
      <x:c r="I883" s="3"/>
      <x:c r="J883" s="3"/>
      <x:c r="K883" s="3"/>
      <x:c r="L883" s="3"/>
      <x:c r="M883" s="3"/>
    </x:row>
    <x:row r="884" ht="19" customHeight="1">
      <x:c r="A884" s="2"/>
      <x:c r="B884" s="2"/>
      <x:c r="C884" s="2"/>
      <x:c r="D884" s="2"/>
      <x:c r="E884" s="3"/>
      <x:c r="F884" s="3"/>
      <x:c r="G884" s="3"/>
      <x:c r="H884" s="3"/>
      <x:c r="I884" s="3"/>
      <x:c r="J884" s="3"/>
      <x:c r="K884" s="3"/>
      <x:c r="L884" s="3"/>
      <x:c r="M884" s="3"/>
    </x:row>
    <x:row r="885" ht="19" customHeight="1">
      <x:c r="A885" s="2"/>
      <x:c r="B885" s="2"/>
      <x:c r="C885" s="2"/>
      <x:c r="D885" s="2"/>
      <x:c r="E885" s="3"/>
      <x:c r="F885" s="3"/>
      <x:c r="G885" s="3"/>
      <x:c r="H885" s="3"/>
      <x:c r="I885" s="3"/>
      <x:c r="J885" s="3"/>
      <x:c r="K885" s="3"/>
      <x:c r="L885" s="3"/>
      <x:c r="M885" s="3"/>
    </x:row>
    <x:row r="886" ht="19" customHeight="1">
      <x:c r="A886" s="2"/>
      <x:c r="B886" s="2"/>
      <x:c r="C886" s="2"/>
      <x:c r="D886" s="2"/>
      <x:c r="E886" s="3"/>
      <x:c r="F886" s="3"/>
      <x:c r="G886" s="3"/>
      <x:c r="H886" s="3"/>
      <x:c r="I886" s="3"/>
      <x:c r="J886" s="3"/>
      <x:c r="K886" s="3"/>
      <x:c r="L886" s="3"/>
      <x:c r="M886" s="3"/>
    </x:row>
    <x:row r="887" ht="19" customHeight="1">
      <x:c r="A887" s="2"/>
      <x:c r="B887" s="2"/>
      <x:c r="C887" s="2"/>
      <x:c r="D887" s="2"/>
      <x:c r="E887" s="3"/>
      <x:c r="F887" s="3"/>
      <x:c r="G887" s="3"/>
      <x:c r="H887" s="3"/>
      <x:c r="I887" s="3"/>
      <x:c r="J887" s="3"/>
      <x:c r="K887" s="3"/>
      <x:c r="L887" s="3"/>
      <x:c r="M887" s="3"/>
    </x:row>
    <x:row r="888" ht="19" customHeight="1">
      <x:c r="A888" s="2"/>
      <x:c r="B888" s="2"/>
      <x:c r="C888" s="2"/>
      <x:c r="D888" s="2"/>
      <x:c r="E888" s="3"/>
      <x:c r="F888" s="3"/>
      <x:c r="G888" s="3"/>
      <x:c r="H888" s="3"/>
      <x:c r="I888" s="3"/>
      <x:c r="J888" s="3"/>
      <x:c r="K888" s="3"/>
      <x:c r="L888" s="3"/>
      <x:c r="M888" s="3"/>
    </x:row>
    <x:row r="889" ht="19" customHeight="1">
      <x:c r="A889" s="2"/>
      <x:c r="B889" s="2"/>
      <x:c r="C889" s="2"/>
      <x:c r="D889" s="2"/>
      <x:c r="E889" s="3"/>
      <x:c r="F889" s="3"/>
      <x:c r="G889" s="3"/>
      <x:c r="H889" s="3"/>
      <x:c r="I889" s="3"/>
      <x:c r="J889" s="3"/>
      <x:c r="K889" s="3"/>
      <x:c r="L889" s="3"/>
      <x:c r="M889" s="3"/>
    </x:row>
    <x:row r="890" ht="19" customHeight="1">
      <x:c r="A890" s="2"/>
      <x:c r="B890" s="2"/>
      <x:c r="C890" s="2"/>
      <x:c r="D890" s="2"/>
      <x:c r="E890" s="3"/>
      <x:c r="F890" s="3"/>
      <x:c r="G890" s="3"/>
      <x:c r="H890" s="3"/>
      <x:c r="I890" s="3"/>
      <x:c r="J890" s="3"/>
      <x:c r="K890" s="3"/>
      <x:c r="L890" s="3"/>
      <x:c r="M890" s="3"/>
    </x:row>
    <x:row r="891" ht="19" customHeight="1">
      <x:c r="A891" s="2"/>
      <x:c r="B891" s="2"/>
      <x:c r="C891" s="2"/>
      <x:c r="D891" s="2"/>
      <x:c r="E891" s="3"/>
      <x:c r="F891" s="3"/>
      <x:c r="G891" s="3"/>
      <x:c r="H891" s="3"/>
      <x:c r="I891" s="3"/>
      <x:c r="J891" s="3"/>
      <x:c r="K891" s="3"/>
      <x:c r="L891" s="3"/>
      <x:c r="M891" s="3"/>
    </x:row>
    <x:row r="892" ht="19" customHeight="1">
      <x:c r="A892" s="2"/>
      <x:c r="B892" s="2"/>
      <x:c r="C892" s="2"/>
      <x:c r="D892" s="2"/>
      <x:c r="E892" s="3"/>
      <x:c r="F892" s="3"/>
      <x:c r="G892" s="3"/>
      <x:c r="H892" s="3"/>
      <x:c r="I892" s="3"/>
      <x:c r="J892" s="3"/>
      <x:c r="K892" s="3"/>
      <x:c r="L892" s="3"/>
      <x:c r="M892" s="3"/>
    </x:row>
    <x:row r="893" ht="19" customHeight="1">
      <x:c r="A893" s="2"/>
      <x:c r="B893" s="2"/>
      <x:c r="C893" s="2"/>
      <x:c r="D893" s="2"/>
      <x:c r="E893" s="3"/>
      <x:c r="F893" s="3"/>
      <x:c r="G893" s="3"/>
      <x:c r="H893" s="3"/>
      <x:c r="I893" s="3"/>
      <x:c r="J893" s="3"/>
      <x:c r="K893" s="3"/>
      <x:c r="L893" s="3"/>
      <x:c r="M893" s="3"/>
    </x:row>
    <x:row r="894" ht="19" customHeight="1">
      <x:c r="A894" s="2"/>
      <x:c r="B894" s="2"/>
      <x:c r="C894" s="2"/>
      <x:c r="D894" s="2"/>
      <x:c r="E894" s="3"/>
      <x:c r="F894" s="3"/>
      <x:c r="G894" s="3"/>
      <x:c r="H894" s="3"/>
      <x:c r="I894" s="3"/>
      <x:c r="J894" s="3"/>
      <x:c r="K894" s="3"/>
      <x:c r="L894" s="3"/>
      <x:c r="M894" s="3"/>
    </x:row>
    <x:row r="895" ht="19" customHeight="1">
      <x:c r="A895" s="2"/>
      <x:c r="B895" s="2"/>
      <x:c r="C895" s="2"/>
      <x:c r="D895" s="2"/>
      <x:c r="E895" s="3"/>
      <x:c r="F895" s="3"/>
      <x:c r="G895" s="3"/>
      <x:c r="H895" s="3"/>
      <x:c r="I895" s="3"/>
      <x:c r="J895" s="3"/>
      <x:c r="K895" s="3"/>
      <x:c r="L895" s="3"/>
      <x:c r="M895" s="3"/>
    </x:row>
    <x:row r="896" ht="19" customHeight="1">
      <x:c r="A896" s="2"/>
      <x:c r="B896" s="2"/>
      <x:c r="C896" s="2"/>
      <x:c r="D896" s="2"/>
      <x:c r="E896" s="3"/>
      <x:c r="F896" s="3"/>
      <x:c r="G896" s="3"/>
      <x:c r="H896" s="3"/>
      <x:c r="I896" s="3"/>
      <x:c r="J896" s="3"/>
      <x:c r="K896" s="3"/>
      <x:c r="L896" s="3"/>
      <x:c r="M896" s="3"/>
    </x:row>
    <x:row r="897" ht="19" customHeight="1">
      <x:c r="A897" s="2"/>
      <x:c r="B897" s="2"/>
      <x:c r="C897" s="2"/>
      <x:c r="D897" s="2"/>
      <x:c r="E897" s="3"/>
      <x:c r="F897" s="3"/>
      <x:c r="G897" s="3"/>
      <x:c r="H897" s="3"/>
      <x:c r="I897" s="3"/>
      <x:c r="J897" s="3"/>
      <x:c r="K897" s="3"/>
      <x:c r="L897" s="3"/>
      <x:c r="M897" s="3"/>
    </x:row>
    <x:row r="898" ht="19" customHeight="1">
      <x:c r="A898" s="2"/>
      <x:c r="B898" s="2"/>
      <x:c r="C898" s="2"/>
      <x:c r="D898" s="2"/>
      <x:c r="E898" s="3"/>
      <x:c r="F898" s="3"/>
      <x:c r="G898" s="3"/>
      <x:c r="H898" s="3"/>
      <x:c r="I898" s="3"/>
      <x:c r="J898" s="3"/>
      <x:c r="K898" s="3"/>
      <x:c r="L898" s="3"/>
      <x:c r="M898" s="3"/>
    </x:row>
    <x:row r="899" ht="19" customHeight="1">
      <x:c r="A899" s="2"/>
      <x:c r="B899" s="2"/>
      <x:c r="C899" s="2"/>
      <x:c r="D899" s="2"/>
      <x:c r="E899" s="3"/>
      <x:c r="F899" s="3"/>
      <x:c r="G899" s="3"/>
      <x:c r="H899" s="3"/>
      <x:c r="I899" s="3"/>
      <x:c r="J899" s="3"/>
      <x:c r="K899" s="3"/>
      <x:c r="L899" s="3"/>
      <x:c r="M899" s="3"/>
    </x:row>
    <x:row r="900" ht="19" customHeight="1">
      <x:c r="A900" s="2"/>
      <x:c r="B900" s="2"/>
      <x:c r="C900" s="2"/>
      <x:c r="D900" s="2"/>
      <x:c r="E900" s="3"/>
      <x:c r="F900" s="3"/>
      <x:c r="G900" s="3"/>
      <x:c r="H900" s="3"/>
      <x:c r="I900" s="3"/>
      <x:c r="J900" s="3"/>
      <x:c r="K900" s="3"/>
      <x:c r="L900" s="3"/>
      <x:c r="M900" s="3"/>
    </x:row>
  </x:sheetData>
  <x:conditionalFormatting sqref="E22:H22">
    <x:cfRule type="containsText" dxfId="0" priority="1" operator="containsText" text="STALE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4" ySplit="7" topLeftCell="E8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8" hidden="0" customWidth="1"/>
    <x:col min="4" max="4" width="9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19" customHeight="1">
      <x:c r="A1" s="2"/>
      <x:c r="B1" s="2"/>
      <x:c r="C1" s="2"/>
      <x:c r="D1" s="2"/>
      <x:c r="E1" s="3"/>
      <x:c r="F1" s="3"/>
      <x:c r="G1" s="3"/>
      <x:c r="H1" s="3"/>
      <x:c r="I1" s="3"/>
      <x:c r="J1" s="3"/>
      <x:c r="K1" s="3"/>
      <x:c r="L1" s="3"/>
    </x:row>
    <x:row r="2" ht="27" customHeight="1">
      <x:c r="A2" s="2"/>
      <x:c r="B2" s="2"/>
      <x:c r="C2" s="6" t="str">
        <x:v>Read-only source inputs and provenance</x:v>
      </x:c>
      <x:c r="D2" s="6"/>
      <x:c r="E2" s="7"/>
      <x:c r="F2" s="7"/>
      <x:c r="G2" s="7"/>
      <x:c r="H2" s="7"/>
      <x:c r="I2" s="7"/>
      <x:c r="J2" s="7"/>
      <x:c r="K2" s="7"/>
      <x:c r="L2" s="7"/>
    </x:row>
    <x:row r="3" ht="19" customHeight="1">
      <x:c r="A3" s="2"/>
      <x:c r="B3" s="2"/>
      <x:c r="C3" s="2"/>
      <x:c r="D3" s="2"/>
      <x:c r="E3" s="3"/>
      <x:c r="F3" s="3"/>
      <x:c r="G3" s="3"/>
      <x:c r="H3" s="3"/>
      <x:c r="I3" s="3"/>
      <x:c r="J3" s="3"/>
      <x:c r="K3" s="3"/>
      <x:c r="L3" s="3"/>
    </x:row>
    <x:row r="4" ht="19" customHeight="1">
      <x:c r="A4" s="2"/>
      <x:c r="B4" s="2"/>
      <x:c r="C4" s="2" t="str">
        <x:v>Case selected:</x:v>
      </x:c>
      <x:c r="D4" s="2"/>
      <x:c r="E4" s="8" t="str">
        <x:f>'Assumptions'!G4</x:f>
        <x:v>Review with fee mechanics</x:v>
      </x:c>
      <x:c r="F4" s="8"/>
      <x:c r="G4" s="8"/>
      <x:c r="H4" s="8"/>
      <x:c r="I4" s="3"/>
      <x:c r="J4" s="3"/>
      <x:c r="K4" s="3"/>
      <x:c r="L4" s="3"/>
    </x:row>
    <x:row r="5" ht="19" customHeight="1">
      <x:c r="A5" s="2"/>
      <x:c r="B5" s="2"/>
      <x:c r="C5" s="2"/>
      <x:c r="D5" s="2"/>
      <x:c r="E5" s="3"/>
      <x:c r="F5" s="3"/>
      <x:c r="G5" s="3"/>
      <x:c r="H5" s="3"/>
      <x:c r="I5" s="3"/>
      <x:c r="J5" s="3"/>
      <x:c r="K5" s="3"/>
      <x:c r="L5" s="3"/>
    </x:row>
    <x:row r="6" ht="19" customHeight="1">
      <x:c r="A6" s="2"/>
      <x:c r="B6" s="2"/>
      <x:c r="C6" s="2"/>
      <x:c r="D6" s="2"/>
      <x:c r="E6" s="3"/>
      <x:c r="F6" s="3"/>
      <x:c r="G6" s="3"/>
      <x:c r="H6" s="3"/>
      <x:c r="I6" s="3"/>
      <x:c r="J6" s="3"/>
      <x:c r="K6" s="3"/>
      <x:c r="L6" s="3"/>
    </x:row>
    <x:row r="7" ht="19" customHeight="1">
      <x:c r="A7" s="2"/>
      <x:c r="B7" s="2"/>
      <x:c r="C7" s="2" t="str">
        <x:v>FY2025 source anchors</x:v>
      </x:c>
      <x:c r="D7" s="2" t="str">
        <x:v>USD m</x:v>
      </x:c>
      <x:c r="E7" s="3"/>
      <x:c r="F7" s="3"/>
      <x:c r="G7" s="3"/>
      <x:c r="H7" s="3"/>
      <x:c r="I7" s="3"/>
      <x:c r="J7" s="3"/>
      <x:c r="K7" s="3"/>
      <x:c r="L7" s="3"/>
    </x:row>
    <x:row r="8" ht="19" customHeight="1">
      <x:c r="A8" s="2"/>
      <x:c r="B8" s="2"/>
      <x:c r="C8" s="2"/>
      <x:c r="D8" s="2"/>
      <x:c r="E8" s="3"/>
      <x:c r="F8" s="3"/>
      <x:c r="G8" s="3"/>
      <x:c r="H8" s="3"/>
      <x:c r="I8" s="3"/>
      <x:c r="J8" s="3"/>
      <x:c r="K8" s="3"/>
      <x:c r="L8" s="3"/>
    </x:row>
    <x:row r="9" ht="19" customHeight="1">
      <x:c r="A9" s="2"/>
      <x:c r="B9" s="2"/>
      <x:c r="C9" s="2" t="str">
        <x:v>Revenue</x:v>
      </x:c>
      <x:c r="D9" s="2"/>
      <x:c r="E9" s="3" t="n">
        <x:v>12241</x:v>
      </x:c>
      <x:c r="F9" s="3"/>
      <x:c r="G9" s="3"/>
      <x:c r="H9" s="3"/>
      <x:c r="I9" s="3"/>
      <x:c r="J9" s="3"/>
      <x:c r="K9" s="3"/>
      <x:c r="L9" s="3"/>
    </x:row>
    <x:row r="10" ht="19" customHeight="1">
      <x:c r="A10" s="2"/>
      <x:c r="B10" s="2"/>
      <x:c r="C10" s="2" t="str">
        <x:v>Nights (millions)</x:v>
      </x:c>
      <x:c r="D10" s="2"/>
      <x:c r="E10" s="3" t="n">
        <x:v>533</x:v>
      </x:c>
      <x:c r="F10" s="3"/>
      <x:c r="G10" s="3"/>
      <x:c r="H10" s="3"/>
      <x:c r="I10" s="3"/>
      <x:c r="J10" s="3"/>
      <x:c r="K10" s="3"/>
      <x:c r="L10" s="3"/>
    </x:row>
    <x:row r="11" ht="19" customHeight="1">
      <x:c r="A11" s="2"/>
      <x:c r="B11" s="2"/>
      <x:c r="C11" s="2" t="str">
        <x:v>Booked GBV</x:v>
      </x:c>
      <x:c r="D11" s="2"/>
      <x:c r="E11" s="3" t="n">
        <x:v>91300</x:v>
      </x:c>
      <x:c r="F11" s="3"/>
      <x:c r="G11" s="3"/>
      <x:c r="H11" s="3"/>
      <x:c r="I11" s="3"/>
      <x:c r="J11" s="3"/>
      <x:c r="K11" s="3"/>
      <x:c r="L11" s="3"/>
    </x:row>
    <x:row r="12" ht="19" customHeight="1">
      <x:c r="A12" s="2"/>
      <x:c r="B12" s="2"/>
      <x:c r="C12" s="2" t="str">
        <x:v>Cost of revenue</x:v>
      </x:c>
      <x:c r="D12" s="2"/>
      <x:c r="E12" s="3" t="n">
        <x:v>2086</x:v>
      </x:c>
      <x:c r="F12" s="3"/>
      <x:c r="G12" s="3"/>
      <x:c r="H12" s="3"/>
      <x:c r="I12" s="3"/>
      <x:c r="J12" s="3"/>
      <x:c r="K12" s="3"/>
      <x:c r="L12" s="3"/>
    </x:row>
    <x:row r="13" ht="19" customHeight="1">
      <x:c r="A13" s="2"/>
      <x:c r="B13" s="2"/>
      <x:c r="C13" s="2" t="str">
        <x:v>Operations and support</x:v>
      </x:c>
      <x:c r="D13" s="2"/>
      <x:c r="E13" s="3" t="n">
        <x:v>1237</x:v>
      </x:c>
      <x:c r="F13" s="3"/>
      <x:c r="G13" s="3"/>
      <x:c r="H13" s="3"/>
      <x:c r="I13" s="3"/>
      <x:c r="J13" s="3"/>
      <x:c r="K13" s="3"/>
      <x:c r="L13" s="3"/>
    </x:row>
    <x:row r="14" ht="19" customHeight="1">
      <x:c r="A14" s="2"/>
      <x:c r="B14" s="2"/>
      <x:c r="C14" s="2" t="str">
        <x:v>Product development excluding SBC</x:v>
      </x:c>
      <x:c r="D14" s="2"/>
      <x:c r="E14" s="3" t="n">
        <x:v>1337</x:v>
      </x:c>
      <x:c r="F14" s="3"/>
      <x:c r="G14" s="3"/>
      <x:c r="H14" s="3"/>
      <x:c r="I14" s="3"/>
      <x:c r="J14" s="3"/>
      <x:c r="K14" s="3"/>
      <x:c r="L14" s="3"/>
    </x:row>
    <x:row r="15" ht="19" customHeight="1">
      <x:c r="A15" s="2"/>
      <x:c r="B15" s="2"/>
      <x:c r="C15" s="2" t="str">
        <x:v>Brand/performance marketing</x:v>
      </x:c>
      <x:c r="D15" s="2"/>
      <x:c r="E15" s="3" t="n">
        <x:v>1595</x:v>
      </x:c>
      <x:c r="F15" s="3"/>
      <x:c r="G15" s="3"/>
      <x:c r="H15" s="3"/>
      <x:c r="I15" s="3"/>
      <x:c r="J15" s="3"/>
      <x:c r="K15" s="3"/>
      <x:c r="L15" s="3"/>
    </x:row>
    <x:row r="16" ht="19" customHeight="1">
      <x:c r="A16" s="2"/>
      <x:c r="B16" s="2"/>
      <x:c r="C16" s="2" t="str">
        <x:v>Field operations and policy</x:v>
      </x:c>
      <x:c r="D16" s="2"/>
      <x:c r="E16" s="3" t="n">
        <x:v>781</x:v>
      </x:c>
      <x:c r="F16" s="3"/>
      <x:c r="G16" s="3"/>
      <x:c r="H16" s="3"/>
      <x:c r="I16" s="3"/>
      <x:c r="J16" s="3"/>
      <x:c r="K16" s="3"/>
      <x:c r="L16" s="3"/>
    </x:row>
    <x:row r="17" ht="19" customHeight="1">
      <x:c r="A17" s="2"/>
      <x:c r="B17" s="2"/>
      <x:c r="C17" s="2" t="str">
        <x:v>G&amp;A excluding SBC</x:v>
      </x:c>
      <x:c r="D17" s="2"/>
      <x:c r="E17" s="3" t="n">
        <x:v>1069</x:v>
      </x:c>
      <x:c r="F17" s="3"/>
      <x:c r="G17" s="3"/>
      <x:c r="H17" s="3"/>
      <x:c r="I17" s="3"/>
      <x:c r="J17" s="3"/>
      <x:c r="K17" s="3"/>
      <x:c r="L17" s="3"/>
    </x:row>
    <x:row r="18" ht="19" customHeight="1">
      <x:c r="A18" s="2"/>
      <x:c r="B18" s="2"/>
      <x:c r="C18" s="2" t="str">
        <x:v>Stock-based compensation</x:v>
      </x:c>
      <x:c r="D18" s="2"/>
      <x:c r="E18" s="3" t="n">
        <x:v>1581</x:v>
      </x:c>
      <x:c r="F18" s="3"/>
      <x:c r="G18" s="3"/>
      <x:c r="H18" s="3"/>
      <x:c r="I18" s="3"/>
      <x:c r="J18" s="3"/>
      <x:c r="K18" s="3"/>
      <x:c r="L18" s="3"/>
    </x:row>
    <x:row r="19" ht="19" customHeight="1">
      <x:c r="A19" s="2"/>
      <x:c r="B19" s="2"/>
      <x:c r="C19" s="2" t="str">
        <x:v>Adjusted EBITDA</x:v>
      </x:c>
      <x:c r="D19" s="2"/>
      <x:c r="E19" s="3" t="n">
        <x:v>4297</x:v>
      </x:c>
      <x:c r="F19" s="3"/>
      <x:c r="G19" s="3"/>
      <x:c r="H19" s="3"/>
      <x:c r="I19" s="3"/>
      <x:c r="J19" s="3"/>
      <x:c r="K19" s="3"/>
      <x:c r="L19" s="3"/>
    </x:row>
    <x:row r="20" ht="19" customHeight="1">
      <x:c r="A20" s="2"/>
      <x:c r="B20" s="2"/>
      <x:c r="C20" s="2"/>
      <x:c r="D20" s="2"/>
      <x:c r="E20" s="3"/>
      <x:c r="F20" s="3"/>
      <x:c r="G20" s="3"/>
      <x:c r="H20" s="3"/>
      <x:c r="I20" s="3"/>
      <x:c r="J20" s="3"/>
      <x:c r="K20" s="3"/>
      <x:c r="L20" s="3"/>
    </x:row>
    <x:row r="21" ht="19" customHeight="1">
      <x:c r="A21" s="2"/>
      <x:c r="B21" s="2"/>
      <x:c r="C21" s="2"/>
      <x:c r="D21" s="2"/>
      <x:c r="E21" s="3"/>
      <x:c r="F21" s="3"/>
      <x:c r="G21" s="3"/>
      <x:c r="H21" s="3"/>
      <x:c r="I21" s="3"/>
      <x:c r="J21" s="3"/>
      <x:c r="K21" s="3"/>
      <x:c r="L21" s="3"/>
    </x:row>
    <x:row r="22" ht="19" customHeight="1">
      <x:c r="A22" s="2"/>
      <x:c r="B22" s="2"/>
      <x:c r="C22" s="2"/>
      <x:c r="D22" s="2"/>
      <x:c r="E22" s="3"/>
      <x:c r="F22" s="3"/>
      <x:c r="G22" s="3"/>
      <x:c r="H22" s="3"/>
      <x:c r="I22" s="3"/>
      <x:c r="J22" s="3"/>
      <x:c r="K22" s="3"/>
      <x:c r="L22" s="3"/>
    </x:row>
    <x:row r="23" ht="19" customHeight="1">
      <x:c r="A23" s="2"/>
      <x:c r="B23" s="2"/>
      <x:c r="C23" s="2" t="str">
        <x:v>First-half 2026 actuals</x:v>
      </x:c>
      <x:c r="D23" s="2"/>
      <x:c r="E23" s="3"/>
      <x:c r="F23" s="3"/>
      <x:c r="G23" s="3"/>
      <x:c r="H23" s="3"/>
      <x:c r="I23" s="3"/>
      <x:c r="J23" s="3"/>
      <x:c r="K23" s="3"/>
      <x:c r="L23" s="3"/>
    </x:row>
    <x:row r="24" ht="19" customHeight="1">
      <x:c r="A24" s="2"/>
      <x:c r="B24" s="2"/>
      <x:c r="C24" s="2"/>
      <x:c r="D24" s="2"/>
      <x:c r="E24" s="3"/>
      <x:c r="F24" s="3"/>
      <x:c r="G24" s="3"/>
      <x:c r="H24" s="3"/>
      <x:c r="I24" s="3"/>
      <x:c r="J24" s="3"/>
      <x:c r="K24" s="3"/>
      <x:c r="L24" s="3"/>
    </x:row>
    <x:row r="25" ht="19" customHeight="1">
      <x:c r="A25" s="2"/>
      <x:c r="B25" s="2"/>
      <x:c r="C25" s="2" t="str">
        <x:v>Revenue</x:v>
      </x:c>
      <x:c r="D25" s="2"/>
      <x:c r="E25" s="3" t="n">
        <x:v>6286</x:v>
      </x:c>
      <x:c r="F25" s="3"/>
      <x:c r="G25" s="3"/>
      <x:c r="H25" s="3"/>
      <x:c r="I25" s="3"/>
      <x:c r="J25" s="3"/>
      <x:c r="K25" s="3"/>
      <x:c r="L25" s="3"/>
    </x:row>
    <x:row r="26" ht="19" customHeight="1">
      <x:c r="A26" s="2"/>
      <x:c r="B26" s="2"/>
      <x:c r="C26" s="2" t="str">
        <x:v>Nights (millions)</x:v>
      </x:c>
      <x:c r="D26" s="2"/>
      <x:c r="E26" s="3" t="n">
        <x:v>304.5</x:v>
      </x:c>
      <x:c r="F26" s="3"/>
      <x:c r="G26" s="3"/>
      <x:c r="H26" s="3"/>
      <x:c r="I26" s="3"/>
      <x:c r="J26" s="3"/>
      <x:c r="K26" s="3"/>
      <x:c r="L26" s="3"/>
    </x:row>
    <x:row r="27" ht="19" customHeight="1">
      <x:c r="A27" s="2"/>
      <x:c r="B27" s="2"/>
      <x:c r="C27" s="2" t="str">
        <x:v>Booked GBV</x:v>
      </x:c>
      <x:c r="D27" s="2"/>
      <x:c r="E27" s="3" t="n">
        <x:v>56400</x:v>
      </x:c>
      <x:c r="F27" s="3"/>
      <x:c r="G27" s="3"/>
      <x:c r="H27" s="3"/>
      <x:c r="I27" s="3"/>
      <x:c r="J27" s="3"/>
      <x:c r="K27" s="3"/>
      <x:c r="L27" s="3"/>
    </x:row>
    <x:row r="28" ht="19" customHeight="1">
      <x:c r="A28" s="2"/>
      <x:c r="B28" s="2"/>
      <x:c r="C28" s="2" t="str">
        <x:v>Free cash flow</x:v>
      </x:c>
      <x:c r="D28" s="2"/>
      <x:c r="E28" s="3" t="n">
        <x:v>2957</x:v>
      </x:c>
      <x:c r="F28" s="3"/>
      <x:c r="G28" s="3"/>
      <x:c r="H28" s="3"/>
      <x:c r="I28" s="3"/>
      <x:c r="J28" s="3"/>
      <x:c r="K28" s="3"/>
      <x:c r="L28" s="3"/>
    </x:row>
    <x:row r="29" ht="19" customHeight="1">
      <x:c r="A29" s="2"/>
      <x:c r="B29" s="2"/>
      <x:c r="C29" s="2" t="str">
        <x:v>Share repurchases</x:v>
      </x:c>
      <x:c r="D29" s="2"/>
      <x:c r="E29" s="3" t="n">
        <x:v>2139</x:v>
      </x:c>
      <x:c r="F29" s="3"/>
      <x:c r="G29" s="3"/>
      <x:c r="H29" s="3"/>
      <x:c r="I29" s="3"/>
      <x:c r="J29" s="3"/>
      <x:c r="K29" s="3"/>
      <x:c r="L29" s="3"/>
    </x:row>
    <x:row r="30" ht="19" customHeight="1">
      <x:c r="A30" s="2"/>
      <x:c r="B30" s="2"/>
      <x:c r="C30" s="2" t="str">
        <x:v>RSU withholding</x:v>
      </x:c>
      <x:c r="D30" s="2"/>
      <x:c r="E30" s="3" t="n">
        <x:v>305</x:v>
      </x:c>
      <x:c r="F30" s="3"/>
      <x:c r="G30" s="3"/>
      <x:c r="H30" s="3"/>
      <x:c r="I30" s="3"/>
      <x:c r="J30" s="3"/>
      <x:c r="K30" s="3"/>
      <x:c r="L30" s="3"/>
    </x:row>
    <x:row r="31" ht="19" customHeight="1">
      <x:c r="A31" s="2"/>
      <x:c r="B31" s="2"/>
      <x:c r="C31" s="2" t="str">
        <x:v>Stock-based compensation</x:v>
      </x:c>
      <x:c r="D31" s="2"/>
      <x:c r="E31" s="3" t="n">
        <x:v>897</x:v>
      </x:c>
      <x:c r="F31" s="3"/>
      <x:c r="G31" s="3"/>
      <x:c r="H31" s="3"/>
      <x:c r="I31" s="3"/>
      <x:c r="J31" s="3"/>
      <x:c r="K31" s="3"/>
      <x:c r="L31" s="3"/>
    </x:row>
    <x:row r="32" ht="19" customHeight="1">
      <x:c r="A32" s="2"/>
      <x:c r="B32" s="2"/>
      <x:c r="C32" s="2"/>
      <x:c r="D32" s="2"/>
      <x:c r="E32" s="3"/>
      <x:c r="F32" s="3"/>
      <x:c r="G32" s="3"/>
      <x:c r="H32" s="3"/>
      <x:c r="I32" s="3"/>
      <x:c r="J32" s="3"/>
      <x:c r="K32" s="3"/>
      <x:c r="L32" s="3"/>
    </x:row>
    <x:row r="33" ht="19" customHeight="1">
      <x:c r="A33" s="2"/>
      <x:c r="B33" s="2"/>
      <x:c r="C33" s="2"/>
      <x:c r="D33" s="2"/>
      <x:c r="E33" s="3"/>
      <x:c r="F33" s="3"/>
      <x:c r="G33" s="3"/>
      <x:c r="H33" s="3"/>
      <x:c r="I33" s="3"/>
      <x:c r="J33" s="3"/>
      <x:c r="K33" s="3"/>
      <x:c r="L33" s="3"/>
    </x:row>
    <x:row r="34" ht="19" customHeight="1">
      <x:c r="A34" s="2"/>
      <x:c r="B34" s="2"/>
      <x:c r="C34" s="2" t="str">
        <x:v>Reported quarter</x:v>
      </x:c>
      <x:c r="D34" s="2"/>
      <x:c r="E34" s="3" t="str">
        <x:v>Q1:26</x:v>
      </x:c>
      <x:c r="F34" s="3" t="str">
        <x:v>Q2:26</x:v>
      </x:c>
      <x:c r="G34" s="3"/>
      <x:c r="H34" s="3"/>
      <x:c r="I34" s="3"/>
      <x:c r="J34" s="3"/>
      <x:c r="K34" s="3"/>
      <x:c r="L34" s="3"/>
    </x:row>
    <x:row r="35" ht="19" customHeight="1">
      <x:c r="A35" s="2"/>
      <x:c r="B35" s="2"/>
      <x:c r="C35" s="2" t="str">
        <x:v>nights</x:v>
      </x:c>
      <x:c r="D35" s="2"/>
      <x:c r="E35" s="3" t="n">
        <x:v>156.2</x:v>
      </x:c>
      <x:c r="F35" s="3" t="n">
        <x:v>148.3</x:v>
      </x:c>
      <x:c r="G35" s="3"/>
      <x:c r="H35" s="3"/>
      <x:c r="I35" s="3"/>
      <x:c r="J35" s="3"/>
      <x:c r="K35" s="3"/>
      <x:c r="L35" s="3"/>
    </x:row>
    <x:row r="36" ht="19" customHeight="1">
      <x:c r="A36" s="2"/>
      <x:c r="B36" s="2"/>
      <x:c r="C36" s="2" t="str">
        <x:v>gbv</x:v>
      </x:c>
      <x:c r="D36" s="2"/>
      <x:c r="E36" s="3" t="n">
        <x:v>29200</x:v>
      </x:c>
      <x:c r="F36" s="3" t="n">
        <x:v>27200</x:v>
      </x:c>
      <x:c r="G36" s="3"/>
      <x:c r="H36" s="3"/>
      <x:c r="I36" s="3"/>
      <x:c r="J36" s="3"/>
      <x:c r="K36" s="3"/>
      <x:c r="L36" s="3"/>
    </x:row>
    <x:row r="37" ht="19" customHeight="1">
      <x:c r="A37" s="2"/>
      <x:c r="B37" s="2"/>
      <x:c r="C37" s="2" t="str">
        <x:v>revenue</x:v>
      </x:c>
      <x:c r="D37" s="2"/>
      <x:c r="E37" s="3" t="n">
        <x:v>2678</x:v>
      </x:c>
      <x:c r="F37" s="3" t="n">
        <x:v>3608</x:v>
      </x:c>
      <x:c r="G37" s="3"/>
      <x:c r="H37" s="3"/>
      <x:c r="I37" s="3"/>
      <x:c r="J37" s="3"/>
      <x:c r="K37" s="3"/>
      <x:c r="L37" s="3"/>
    </x:row>
    <x:row r="38" ht="19" customHeight="1">
      <x:c r="A38" s="2"/>
      <x:c r="B38" s="2"/>
      <x:c r="C38" s="2"/>
      <x:c r="D38" s="2"/>
      <x:c r="E38" s="3"/>
      <x:c r="F38" s="3"/>
      <x:c r="G38" s="3"/>
      <x:c r="H38" s="3"/>
      <x:c r="I38" s="3"/>
      <x:c r="J38" s="3"/>
      <x:c r="K38" s="3"/>
      <x:c r="L38" s="3"/>
    </x:row>
    <x:row r="39" ht="19" customHeight="1">
      <x:c r="A39" s="2"/>
      <x:c r="B39" s="2"/>
      <x:c r="C39" s="2"/>
      <x:c r="D39" s="2"/>
      <x:c r="E39" s="3"/>
      <x:c r="F39" s="3"/>
      <x:c r="G39" s="3"/>
      <x:c r="H39" s="3"/>
      <x:c r="I39" s="3"/>
      <x:c r="J39" s="3"/>
      <x:c r="K39" s="3"/>
      <x:c r="L39" s="3"/>
    </x:row>
    <x:row r="40" ht="19" customHeight="1">
      <x:c r="A40" s="2"/>
      <x:c r="B40" s="2"/>
      <x:c r="C40" s="2" t="str">
        <x:v>Sources: 13_driver_model.py FY25/H1_26 and reported KPI panel; copied with source hash.</x:v>
      </x:c>
      <x:c r="D40" s="2"/>
      <x:c r="E40" s="3"/>
      <x:c r="F40" s="3"/>
      <x:c r="G40" s="3"/>
      <x:c r="H40" s="3"/>
      <x:c r="I40" s="3"/>
      <x:c r="J40" s="3"/>
      <x:c r="K40" s="3"/>
      <x:c r="L40" s="3"/>
    </x:row>
    <x:row r="41" ht="19" customHeight="1">
      <x:c r="A41" s="2"/>
      <x:c r="B41" s="2"/>
      <x:c r="C41" s="2" t="str">
        <x:v>Opening net cash excludes $12,224m customer funds matched by liabilities. Net debt financing held unchanged.</x:v>
      </x:c>
      <x:c r="D41" s="2"/>
      <x:c r="E41" s="3"/>
      <x:c r="F41" s="3"/>
      <x:c r="G41" s="3"/>
      <x:c r="H41" s="3"/>
      <x:c r="I41" s="3"/>
      <x:c r="J41" s="3"/>
      <x:c r="K41" s="3"/>
      <x:c r="L41" s="3"/>
    </x:row>
    <x:row r="42" ht="19" customHeight="1">
      <x:c r="A42" s="2"/>
      <x:c r="B42" s="2"/>
      <x:c r="C42" s="2" t="str">
        <x:v>597m shares: Q2:26 diluted weighted-average proxy for period-end fully diluted shares.</x:v>
      </x:c>
      <x:c r="D42" s="2"/>
      <x:c r="E42" s="3"/>
      <x:c r="F42" s="3"/>
      <x:c r="G42" s="3"/>
      <x:c r="H42" s="3"/>
      <x:c r="I42" s="3"/>
      <x:c r="J42" s="3"/>
      <x:c r="K42" s="3"/>
      <x:c r="L42" s="3"/>
    </x:row>
    <x:row r="43" ht="19" customHeight="1">
      <x:c r="A43" s="2"/>
      <x:c r="B43" s="2"/>
      <x:c r="C43" s="2" t="str">
        <x:v>Issuance uses SBC / assumed price after withholding. EPS uses ending shares; it is an earnings proxy.</x:v>
      </x:c>
      <x:c r="D43" s="2"/>
      <x:c r="E43" s="3"/>
      <x:c r="F43" s="3"/>
      <x:c r="G43" s="3"/>
      <x:c r="H43" s="3"/>
      <x:c r="I43" s="3"/>
      <x:c r="J43" s="3"/>
      <x:c r="K43" s="3"/>
      <x:c r="L43" s="3"/>
    </x:row>
    <x:row r="44" ht="19" customHeight="1">
      <x:c r="A44" s="2"/>
      <x:c r="B44" s="2"/>
      <x:c r="C44" s="2" t="str">
        <x:v>Legacy price anchor is the 4 Sep 2026 close, $181.94, for repurchases/issuance only; not a current quote.</x:v>
      </x:c>
      <x:c r="D44" s="2"/>
      <x:c r="E44" s="3"/>
      <x:c r="F44" s="3"/>
      <x:c r="G44" s="3"/>
      <x:c r="H44" s="3"/>
      <x:c r="I44" s="3"/>
      <x:c r="J44" s="3"/>
      <x:c r="K44" s="3"/>
      <x:c r="L44" s="3"/>
    </x:row>
    <x:row r="45" ht="19" customHeight="1">
      <x:c r="A45" s="2"/>
      <x:c r="B45" s="2"/>
      <x:c r="C45" s="2" t="str">
        <x:v>Financial inputs inherited from model/assumptions.md and 13_driver_model.py, completed model vintage 7 Sep 2026.</x:v>
      </x:c>
      <x:c r="D45" s="2"/>
      <x:c r="E45" s="3"/>
      <x:c r="F45" s="3"/>
      <x:c r="G45" s="3"/>
      <x:c r="H45" s="3"/>
      <x:c r="I45" s="3"/>
      <x:c r="J45" s="3"/>
      <x:c r="K45" s="3"/>
      <x:c r="L45" s="3"/>
    </x:row>
    <x:row r="46" ht="19" customHeight="1">
      <x:c r="A46" s="2"/>
      <x:c r="B46" s="2"/>
      <x:c r="C46" s="2" t="str">
        <x:v>Revenue: L4 v2 bridge. Immutable L3 bundle 8821961853e4 verified; incremental FX application remains ineligible.</x:v>
      </x:c>
      <x:c r="D46" s="2"/>
      <x:c r="E46" s="3"/>
      <x:c r="F46" s="3"/>
      <x:c r="G46" s="3"/>
      <x:c r="H46" s="3"/>
      <x:c r="I46" s="3"/>
      <x:c r="J46" s="3"/>
      <x:c r="K46" s="3"/>
      <x:c r="L46" s="3"/>
    </x:row>
    <x:row r="47" ht="19" customHeight="1">
      <x:c r="A47" s="2"/>
      <x:c r="B47" s="2"/>
      <x:c r="C47" s="2"/>
      <x:c r="D47" s="2"/>
      <x:c r="E47" s="3"/>
      <x:c r="F47" s="3"/>
      <x:c r="G47" s="3"/>
      <x:c r="H47" s="3"/>
      <x:c r="I47" s="3"/>
      <x:c r="J47" s="3"/>
      <x:c r="K47" s="3"/>
      <x:c r="L47" s="3"/>
    </x:row>
    <x:row r="48" ht="19" customHeight="1">
      <x:c r="A48" s="2"/>
      <x:c r="B48" s="2"/>
      <x:c r="C48" s="2" t="str">
        <x:v>Legacy base model inputs for arithmetic reproduction</x:v>
      </x:c>
      <x:c r="D48" s="2"/>
      <x:c r="E48" s="3"/>
      <x:c r="F48" s="3"/>
      <x:c r="G48" s="3"/>
      <x:c r="H48" s="3"/>
      <x:c r="I48" s="3"/>
      <x:c r="J48" s="3"/>
      <x:c r="K48" s="3"/>
      <x:c r="L48" s="3"/>
    </x:row>
    <x:row r="49" ht="19" customHeight="1">
      <x:c r="A49" s="2"/>
      <x:c r="B49" s="2"/>
      <x:c r="C49" s="2"/>
      <x:c r="D49" s="2"/>
      <x:c r="E49" s="3" t="str">
        <x:v>FY:27</x:v>
      </x:c>
      <x:c r="F49" s="3" t="str">
        <x:v>FY:28</x:v>
      </x:c>
      <x:c r="G49" s="3"/>
      <x:c r="H49" s="3"/>
      <x:c r="I49" s="3"/>
      <x:c r="J49" s="3"/>
      <x:c r="K49" s="3"/>
      <x:c r="L49" s="3"/>
    </x:row>
    <x:row r="50" ht="19" customHeight="1">
      <x:c r="A50" s="2"/>
      <x:c r="B50" s="2"/>
      <x:c r="C50" s="2" t="str">
        <x:v>Adjusted EBITDA</x:v>
      </x:c>
      <x:c r="D50" s="2"/>
      <x:c r="E50" s="3" t="n">
        <x:v>5685.769805030302</x:v>
      </x:c>
      <x:c r="F50" s="3" t="n">
        <x:v>6703.852254375575</x:v>
      </x:c>
      <x:c r="G50" s="3"/>
      <x:c r="H50" s="3"/>
      <x:c r="I50" s="3"/>
      <x:c r="J50" s="3"/>
      <x:c r="K50" s="3"/>
      <x:c r="L50" s="3"/>
    </x:row>
    <x:row r="51" ht="19" customHeight="1">
      <x:c r="A51" s="2"/>
      <x:c r="B51" s="2"/>
      <x:c r="C51" s="2" t="str">
        <x:v>Free cash flow</x:v>
      </x:c>
      <x:c r="D51" s="2"/>
      <x:c r="E51" s="3" t="n">
        <x:v>5420.3520813257965</x:v>
      </x:c>
      <x:c r="F51" s="3" t="n">
        <x:v>6199.706919969521</x:v>
      </x:c>
      <x:c r="G51" s="3"/>
      <x:c r="H51" s="3"/>
      <x:c r="I51" s="3"/>
      <x:c r="J51" s="3"/>
      <x:c r="K51" s="3"/>
      <x:c r="L51" s="3"/>
    </x:row>
    <x:row r="52" ht="19" customHeight="1">
      <x:c r="A52" s="2"/>
      <x:c r="B52" s="2"/>
      <x:c r="C52" s="2" t="str">
        <x:v>SBC-adjusted free cash flow</x:v>
      </x:c>
      <x:c r="D52" s="2"/>
      <x:c r="E52" s="3" t="n">
        <x:v>3455.1690813257965</x:v>
      </x:c>
      <x:c r="F52" s="3" t="n">
        <x:v>4077.309279969521</x:v>
      </x:c>
      <x:c r="G52" s="3"/>
      <x:c r="H52" s="3"/>
      <x:c r="I52" s="3"/>
      <x:c r="J52" s="3"/>
      <x:c r="K52" s="3"/>
      <x:c r="L52" s="3"/>
    </x:row>
    <x:row r="53" ht="19" customHeight="1">
      <x:c r="A53" s="2"/>
      <x:c r="B53" s="2"/>
      <x:c r="C53" s="2" t="str">
        <x:v>Net income</x:v>
      </x:c>
      <x:c r="D53" s="2"/>
      <x:c r="E53" s="3" t="n">
        <x:v>3258.406785468567</x:v>
      </x:c>
      <x:c r="F53" s="3" t="n">
        <x:v>3907.9443135796537</x:v>
      </x:c>
      <x:c r="G53" s="3"/>
      <x:c r="H53" s="3"/>
      <x:c r="I53" s="3"/>
      <x:c r="J53" s="3"/>
      <x:c r="K53" s="3"/>
      <x:c r="L53" s="3"/>
    </x:row>
    <x:row r="54" ht="19" customHeight="1">
      <x:c r="A54" s="2"/>
      <x:c r="B54" s="2"/>
      <x:c r="C54" s="2" t="str">
        <x:v>Net cash ex customer funds</x:v>
      </x:c>
      <x:c r="D54" s="2"/>
      <x:c r="E54" s="3" t="n">
        <x:v>10115.98687591534</x:v>
      </x:c>
      <x:c r="F54" s="3" t="n">
        <x:v>11572.85462188486</x:v>
      </x:c>
      <x:c r="G54" s="3"/>
      <x:c r="H54" s="3"/>
      <x:c r="I54" s="3"/>
      <x:c r="J54" s="3"/>
      <x:c r="K54" s="3"/>
      <x:c r="L54" s="3"/>
    </x:row>
    <x:row r="55" ht="19" customHeight="1">
      <x:c r="A55" s="2"/>
      <x:c r="B55" s="2"/>
      <x:c r="C55" s="2" t="str">
        <x:v>Ending diluted share proxy (millions)</x:v>
      </x:c>
      <x:c r="D55" s="2"/>
      <x:c r="E55" s="3" t="n">
        <x:v>574.5981782324891</x:v>
      </x:c>
      <x:c r="F55" s="3" t="n">
        <x:v>561.5344334929384</x:v>
      </x:c>
      <x:c r="G55" s="3"/>
      <x:c r="H55" s="3"/>
      <x:c r="I55" s="3"/>
      <x:c r="J55" s="3"/>
      <x:c r="K55" s="3"/>
      <x:c r="L55" s="3"/>
    </x:row>
    <x:row r="56" ht="19" customHeight="1">
      <x:c r="A56" s="2"/>
      <x:c r="B56" s="2"/>
      <x:c r="C56" s="2"/>
      <x:c r="D56" s="2"/>
      <x:c r="E56" s="3"/>
      <x:c r="F56" s="3"/>
      <x:c r="G56" s="3"/>
      <x:c r="H56" s="3"/>
      <x:c r="I56" s="3"/>
      <x:c r="J56" s="3"/>
      <x:c r="K56" s="3"/>
      <x:c r="L56" s="3"/>
    </x:row>
    <x:row r="57" ht="19" customHeight="1">
      <x:c r="A57" s="2"/>
      <x:c r="B57" s="2"/>
      <x:c r="C57" s="2"/>
      <x:c r="D57" s="2"/>
      <x:c r="E57" s="3"/>
      <x:c r="F57" s="3"/>
      <x:c r="G57" s="3"/>
      <x:c r="H57" s="3"/>
      <x:c r="I57" s="3"/>
      <x:c r="J57" s="3"/>
      <x:c r="K57" s="3"/>
      <x:c r="L57" s="3"/>
    </x:row>
    <x:row r="58" ht="19" customHeight="1">
      <x:c r="A58" s="2"/>
      <x:c r="B58" s="2"/>
      <x:c r="C58" s="2" t="str">
        <x:v>Legacy EV/EBITDA</x:v>
      </x:c>
      <x:c r="D58" s="2"/>
      <x:c r="E58" s="3" t="n">
        <x:v>16.5</x:v>
      </x:c>
      <x:c r="F58" s="3"/>
      <x:c r="G58" s="3"/>
      <x:c r="H58" s="3"/>
      <x:c r="I58" s="3"/>
      <x:c r="J58" s="3"/>
      <x:c r="K58" s="3"/>
      <x:c r="L58" s="3"/>
    </x:row>
    <x:row r="59" ht="19" customHeight="1">
      <x:c r="A59" s="2"/>
      <x:c r="B59" s="2"/>
      <x:c r="C59" s="2" t="str">
        <x:v>Legacy EV/FCF</x:v>
      </x:c>
      <x:c r="D59" s="2"/>
      <x:c r="E59" s="3" t="n">
        <x:v>14.3</x:v>
      </x:c>
      <x:c r="F59" s="3"/>
      <x:c r="G59" s="3"/>
      <x:c r="H59" s="3"/>
      <x:c r="I59" s="3"/>
      <x:c r="J59" s="3"/>
      <x:c r="K59" s="3"/>
      <x:c r="L59" s="3"/>
    </x:row>
    <x:row r="60" ht="19" customHeight="1">
      <x:c r="A60" s="2"/>
      <x:c r="B60" s="2"/>
      <x:c r="C60" s="2" t="str">
        <x:v>Legacy P/FCF and P/E</x:v>
      </x:c>
      <x:c r="D60" s="2"/>
      <x:c r="E60" s="3" t="n">
        <x:v>19.5</x:v>
      </x:c>
      <x:c r="F60" s="3"/>
      <x:c r="G60" s="3"/>
      <x:c r="H60" s="3"/>
      <x:c r="I60" s="3"/>
      <x:c r="J60" s="3"/>
      <x:c r="K60" s="3"/>
      <x:c r="L60" s="3"/>
    </x:row>
    <x:row r="61" ht="19" customHeight="1">
      <x:c r="A61" s="2"/>
      <x:c r="B61" s="2"/>
      <x:c r="C61" s="2" t="str">
        <x:v>Legacy cost of equity</x:v>
      </x:c>
      <x:c r="D61" s="2"/>
      <x:c r="E61" s="33" t="n">
        <x:v>0.105</x:v>
      </x:c>
      <x:c r="F61" s="3"/>
      <x:c r="G61" s="3"/>
      <x:c r="H61" s="3"/>
      <x:c r="I61" s="3"/>
      <x:c r="J61" s="3"/>
      <x:c r="K61" s="3"/>
      <x:c r="L61" s="3"/>
    </x:row>
    <x:row r="62" ht="19" customHeight="1">
      <x:c r="A62" s="2"/>
      <x:c r="B62" s="2"/>
      <x:c r="C62" s="2" t="str">
        <x:v>Legacy DCF start growth</x:v>
      </x:c>
      <x:c r="D62" s="2"/>
      <x:c r="E62" s="33" t="n">
        <x:v>0.09</x:v>
      </x:c>
      <x:c r="F62" s="3"/>
      <x:c r="G62" s="3"/>
      <x:c r="H62" s="3"/>
      <x:c r="I62" s="3"/>
      <x:c r="J62" s="3"/>
      <x:c r="K62" s="3"/>
      <x:c r="L62" s="3"/>
    </x:row>
    <x:row r="63" ht="19" customHeight="1">
      <x:c r="A63" s="2"/>
      <x:c r="B63" s="2"/>
      <x:c r="C63" s="2" t="str">
        <x:v>Legacy terminal growth</x:v>
      </x:c>
      <x:c r="D63" s="2"/>
      <x:c r="E63" s="33" t="n">
        <x:v>0.03</x:v>
      </x:c>
      <x:c r="F63" s="3"/>
      <x:c r="G63" s="3"/>
      <x:c r="H63" s="3"/>
      <x:c r="I63" s="3"/>
      <x:c r="J63" s="3"/>
      <x:c r="K63" s="3"/>
      <x:c r="L63" s="3"/>
    </x:row>
    <x:row r="64" ht="19" customHeight="1">
      <x:c r="A64" s="2"/>
      <x:c r="B64" s="2"/>
      <x:c r="C64" s="2"/>
      <x:c r="D64" s="2"/>
      <x:c r="E64" s="3"/>
      <x:c r="F64" s="3"/>
      <x:c r="G64" s="3"/>
      <x:c r="H64" s="3"/>
      <x:c r="I64" s="3"/>
      <x:c r="J64" s="3"/>
      <x:c r="K64" s="3"/>
      <x:c r="L64" s="3"/>
    </x:row>
    <x:row r="65" ht="19" customHeight="1">
      <x:c r="A65" s="2"/>
      <x:c r="B65" s="2"/>
      <x:c r="C65" s="2"/>
      <x:c r="D65" s="2"/>
      <x:c r="E65" s="3"/>
      <x:c r="F65" s="3"/>
      <x:c r="G65" s="3"/>
      <x:c r="H65" s="3"/>
      <x:c r="I65" s="3"/>
      <x:c r="J65" s="3"/>
      <x:c r="K65" s="3"/>
      <x:c r="L65" s="3"/>
    </x:row>
    <x:row r="66" ht="19" customHeight="1">
      <x:c r="A66" s="2"/>
      <x:c r="B66" s="2"/>
      <x:c r="C66" s="2"/>
      <x:c r="D66" s="2"/>
      <x:c r="E66" s="3"/>
      <x:c r="F66" s="3"/>
      <x:c r="G66" s="3"/>
      <x:c r="H66" s="3"/>
      <x:c r="I66" s="3"/>
      <x:c r="J66" s="3"/>
      <x:c r="K66" s="3"/>
      <x:c r="L66" s="3"/>
    </x:row>
    <x:row r="67" ht="19" customHeight="1">
      <x:c r="A67" s="2"/>
      <x:c r="B67" s="2"/>
      <x:c r="C67" s="2" t="str">
        <x:v>Q4 revenue consensus, Yahoo / LSEG family</x:v>
      </x:c>
      <x:c r="D67" s="2"/>
      <x:c r="E67" s="3" t="n">
        <x:v>3161.02149</x:v>
      </x:c>
      <x:c r="F67" s="3"/>
      <x:c r="G67" s="3"/>
      <x:c r="H67" s="3"/>
      <x:c r="I67" s="3"/>
      <x:c r="J67" s="3"/>
      <x:c r="K67" s="3"/>
      <x:c r="L67" s="3"/>
    </x:row>
    <x:row r="68" ht="19" customHeight="1">
      <x:c r="A68" s="2"/>
      <x:c r="B68" s="2"/>
      <x:c r="C68" s="2" t="str">
        <x:v>Captured 13 Sep 2026 15:20 UTC; not explicit expectations for management guide.</x:v>
      </x:c>
      <x:c r="D68" s="2"/>
      <x:c r="E68" s="3"/>
      <x:c r="F68" s="3"/>
      <x:c r="G68" s="3"/>
      <x:c r="H68" s="3"/>
      <x:c r="I68" s="3"/>
      <x:c r="J68" s="3"/>
      <x:c r="K68" s="3"/>
      <x:c r="L68" s="3"/>
    </x:row>
    <x:row r="69" ht="19" customHeight="1">
      <x:c r="A69" s="2"/>
      <x:c r="B69" s="2"/>
      <x:c r="C69" s="2"/>
      <x:c r="D69" s="2"/>
      <x:c r="E69" s="3"/>
      <x:c r="F69" s="3"/>
      <x:c r="G69" s="3"/>
      <x:c r="H69" s="3"/>
      <x:c r="I69" s="3"/>
      <x:c r="J69" s="3"/>
      <x:c r="K69" s="3"/>
      <x:c r="L69" s="3"/>
    </x:row>
    <x:row r="70" ht="19" customHeight="1">
      <x:c r="A70" s="2"/>
      <x:c r="B70" s="2"/>
      <x:c r="C70" s="2"/>
      <x:c r="D70" s="2"/>
      <x:c r="E70" s="3"/>
      <x:c r="F70" s="3"/>
      <x:c r="G70" s="3"/>
      <x:c r="H70" s="3"/>
      <x:c r="I70" s="3"/>
      <x:c r="J70" s="3"/>
      <x:c r="K70" s="3"/>
      <x:c r="L70" s="3"/>
    </x:row>
    <x:row r="71" ht="19" customHeight="1">
      <x:c r="A71" s="2"/>
      <x:c r="B71" s="2"/>
      <x:c r="C71" s="2"/>
      <x:c r="D71" s="2"/>
      <x:c r="E71" s="3"/>
      <x:c r="F71" s="3"/>
      <x:c r="G71" s="3"/>
      <x:c r="H71" s="3"/>
      <x:c r="I71" s="3"/>
      <x:c r="J71" s="3"/>
      <x:c r="K71" s="3"/>
      <x:c r="L71" s="3"/>
    </x:row>
    <x:row r="72" ht="19" customHeight="1">
      <x:c r="A72" s="2"/>
      <x:c r="B72" s="2"/>
      <x:c r="C72" s="2"/>
      <x:c r="D72" s="2"/>
      <x:c r="E72" s="3"/>
      <x:c r="F72" s="3"/>
      <x:c r="G72" s="3"/>
      <x:c r="H72" s="3"/>
      <x:c r="I72" s="3"/>
      <x:c r="J72" s="3"/>
      <x:c r="K72" s="3"/>
      <x:c r="L72" s="3"/>
    </x:row>
    <x:row r="73" ht="19" customHeight="1">
      <x:c r="A73" s="2"/>
      <x:c r="B73" s="2"/>
      <x:c r="C73" s="2"/>
      <x:c r="D73" s="2"/>
      <x:c r="E73" s="3"/>
      <x:c r="F73" s="3"/>
      <x:c r="G73" s="3"/>
      <x:c r="H73" s="3"/>
      <x:c r="I73" s="3"/>
      <x:c r="J73" s="3"/>
      <x:c r="K73" s="3"/>
      <x:c r="L73" s="3"/>
    </x:row>
    <x:row r="74" ht="19" customHeight="1">
      <x:c r="A74" s="2"/>
      <x:c r="B74" s="2"/>
      <x:c r="C74" s="2"/>
      <x:c r="D74" s="2"/>
      <x:c r="E74" s="3"/>
      <x:c r="F74" s="3"/>
      <x:c r="G74" s="3"/>
      <x:c r="H74" s="3"/>
      <x:c r="I74" s="3"/>
      <x:c r="J74" s="3"/>
      <x:c r="K74" s="3"/>
      <x:c r="L74" s="3"/>
    </x:row>
    <x:row r="75" ht="19" customHeight="1">
      <x:c r="A75" s="2"/>
      <x:c r="B75" s="2"/>
      <x:c r="C75" s="2"/>
      <x:c r="D75" s="2"/>
      <x:c r="E75" s="3"/>
      <x:c r="F75" s="3"/>
      <x:c r="G75" s="3"/>
      <x:c r="H75" s="3"/>
      <x:c r="I75" s="3"/>
      <x:c r="J75" s="3"/>
      <x:c r="K75" s="3"/>
      <x:c r="L75" s="3"/>
    </x:row>
    <x:row r="76" ht="19" customHeight="1">
      <x:c r="A76" s="2"/>
      <x:c r="B76" s="2"/>
      <x:c r="C76" s="2"/>
      <x:c r="D76" s="2"/>
      <x:c r="E76" s="3"/>
      <x:c r="F76" s="3"/>
      <x:c r="G76" s="3"/>
      <x:c r="H76" s="3"/>
      <x:c r="I76" s="3"/>
      <x:c r="J76" s="3"/>
      <x:c r="K76" s="3"/>
      <x:c r="L76" s="3"/>
    </x:row>
    <x:row r="77" ht="19" customHeight="1">
      <x:c r="A77" s="2"/>
      <x:c r="B77" s="2"/>
      <x:c r="C77" s="2"/>
      <x:c r="D77" s="2"/>
      <x:c r="E77" s="3"/>
      <x:c r="F77" s="3"/>
      <x:c r="G77" s="3"/>
      <x:c r="H77" s="3"/>
      <x:c r="I77" s="3"/>
      <x:c r="J77" s="3"/>
      <x:c r="K77" s="3"/>
      <x:c r="L77" s="3"/>
    </x:row>
    <x:row r="78" ht="19" customHeight="1">
      <x:c r="A78" s="2"/>
      <x:c r="B78" s="2"/>
      <x:c r="C78" s="2"/>
      <x:c r="D78" s="2"/>
      <x:c r="E78" s="3"/>
      <x:c r="F78" s="3"/>
      <x:c r="G78" s="3"/>
      <x:c r="H78" s="3"/>
      <x:c r="I78" s="3"/>
      <x:c r="J78" s="3"/>
      <x:c r="K78" s="3"/>
      <x:c r="L78" s="3"/>
    </x:row>
  </x:sheetData>
  <x:pageMargins left="0.7" right="0.7" top="0.75" bottom="0.75" header="0.3" footer="0.3"/>
</x:worksheet>
</file>