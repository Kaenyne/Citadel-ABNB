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Revenue" sheetId="3" state="visible" r:id="rId3"/>
    <sheet xmlns:r="http://schemas.openxmlformats.org/officeDocument/2006/relationships" name="Costs" sheetId="4" state="visible" r:id="rId4"/>
    <sheet xmlns:r="http://schemas.openxmlformats.org/officeDocument/2006/relationships" name="Cash" sheetId="5" state="visible" r:id="rId5"/>
    <sheet xmlns:r="http://schemas.openxmlformats.org/officeDocument/2006/relationships" name="Valuation" sheetId="6" state="visible" r:id="rId6"/>
    <sheet xmlns:r="http://schemas.openxmlformats.org/officeDocument/2006/relationships" name="Street" sheetId="7" state="visible" r:id="rId7"/>
    <sheet xmlns:r="http://schemas.openxmlformats.org/officeDocument/2006/relationships" name="Card_5Nov" sheetId="8" state="visible" r:id="rId8"/>
    <sheet xmlns:r="http://schemas.openxmlformats.org/officeDocument/2006/relationships" name="Recon" sheetId="9" state="visible" r:id="rId9"/>
  </sheets>
  <definedNames>
    <definedName name="Scenario">Inputs!$B$4</definedName>
    <definedName name="SharePrice">Inputs!$F$8</definedName>
    <definedName name="CostOfEquity">Inputs!$F$11</definedName>
    <definedName name="ExitMultiple">Inputs!$F$14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&quot;x&quot;"/>
    <numFmt numFmtId="165" formatCode="#,##0.0"/>
    <numFmt numFmtId="166" formatCode="0.0%"/>
    <numFmt numFmtId="167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8"/>
    </font>
    <font>
      <b val="1"/>
      <sz val="10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1F3864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5" fillId="4" borderId="0" pivotButton="0" quotePrefix="0" xfId="0"/>
    <xf numFmtId="4" fontId="0" fillId="2" borderId="0" pivotButton="0" quotePrefix="0" xfId="0"/>
    <xf numFmtId="4" fontId="0" fillId="0" borderId="0" pivotButton="0" quotePrefix="0" xfId="0"/>
    <xf numFmtId="10" fontId="0" fillId="2" borderId="0" pivotButton="0" quotePrefix="0" xfId="0"/>
    <xf numFmtId="10" fontId="0" fillId="0" borderId="0" pivotButton="0" quotePrefix="0" xfId="0"/>
    <xf numFmtId="164" fontId="0" fillId="2" borderId="0" pivotButton="0" quotePrefix="0" xfId="0"/>
    <xf numFmtId="164" fontId="0" fillId="0" borderId="0" pivotButton="0" quotePrefix="0" xfId="0"/>
    <xf numFmtId="165" fontId="0" fillId="2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6" fontId="0" fillId="2" borderId="0" pivotButton="0" quotePrefix="0" xfId="0"/>
    <xf numFmtId="165" fontId="0" fillId="5" borderId="0" pivotButton="0" quotePrefix="0" xfId="0"/>
    <xf numFmtId="166" fontId="0" fillId="0" borderId="0" pivotButton="0" quotePrefix="0" xfId="0"/>
    <xf numFmtId="3" fontId="0" fillId="0" borderId="0" pivotButton="0" quotePrefix="0" xfId="0"/>
    <xf numFmtId="3" fontId="0" fillId="5" borderId="0" pivotButton="0" quotePrefix="0" xfId="0"/>
    <xf numFmtId="166" fontId="0" fillId="5" borderId="0" pivotButton="0" quotePrefix="0" xfId="0"/>
    <xf numFmtId="4" fontId="0" fillId="5" borderId="0" pivotButton="0" quotePrefix="0" xfId="0"/>
    <xf numFmtId="0" fontId="2" fillId="3" borderId="0" pivotButton="0" quotePrefix="0" xfId="0"/>
    <xf numFmtId="166" fontId="5" fillId="2" borderId="0" pivotButton="0" quotePrefix="0" xfId="0"/>
    <xf numFmtId="10" fontId="0" fillId="5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10" customWidth="1" min="7" max="7"/>
  </cols>
  <sheetData>
    <row r="1">
      <c r="A1" s="1" t="inlineStr">
        <is>
          <t>ABNB driver model - Inputs</t>
        </is>
      </c>
    </row>
    <row r="2">
      <c r="A2" s="2" t="inlineStr">
        <is>
          <t>Overnight run 6-7 Sep 2026 (workstream 13). Yellow cells are inputs; everything downstream is a live formula. The other hard numbers in the file are the History actuals table, the external Street / Card bars (each with its vendor and date) and the Recon sheet's Python-mirror column. Sources name the workstream that supplied the value.</t>
        </is>
      </c>
    </row>
    <row r="4">
      <c r="A4" s="3" t="inlineStr">
        <is>
          <t>SCENARIO SELECTOR  (1 = Bear, 2 = Base, 3 = Bull)</t>
        </is>
      </c>
      <c r="B4" s="4" t="n">
        <v>2</v>
      </c>
      <c r="G4" s="2" t="inlineStr">
        <is>
          <t>Drives the Active column here and the Active column on Valuation (sections 1-4) and Card_5Nov. All three scenarios are computed in full on Revenue / Costs / Cash, so the Bear / Base / Bull columns never move when this cell changes.</t>
        </is>
      </c>
    </row>
    <row r="6">
      <c r="A6" s="5" t="inlineStr">
        <is>
          <t>A. VALUATION AND CONTROL INPUTS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</row>
    <row r="7">
      <c r="A7" s="7" t="inlineStr">
        <is>
          <t>Parameter</t>
        </is>
      </c>
      <c r="B7" s="7" t="inlineStr">
        <is>
          <t>Unit</t>
        </is>
      </c>
      <c r="C7" s="7" t="inlineStr">
        <is>
          <t>Bear</t>
        </is>
      </c>
      <c r="D7" s="7" t="inlineStr">
        <is>
          <t>Base</t>
        </is>
      </c>
      <c r="E7" s="7" t="inlineStr">
        <is>
          <t>Bull</t>
        </is>
      </c>
      <c r="F7" s="7" t="inlineStr">
        <is>
          <t>Active</t>
        </is>
      </c>
      <c r="G7" s="7" t="inlineStr">
        <is>
          <t>Source</t>
        </is>
      </c>
    </row>
    <row r="8">
      <c r="A8" t="inlineStr">
        <is>
          <t>Share price (4 Sep 2026 close)</t>
        </is>
      </c>
      <c r="B8" t="inlineStr">
        <is>
          <t>$</t>
        </is>
      </c>
      <c r="C8" s="8" t="n">
        <v>181.94</v>
      </c>
      <c r="D8" s="8" t="n">
        <v>181.94</v>
      </c>
      <c r="E8" s="8" t="n">
        <v>181.94</v>
      </c>
      <c r="F8" s="9">
        <f>CHOOSE(Inputs!$B$4,C8,D8,E8)</f>
        <v/>
      </c>
      <c r="G8" s="2" t="inlineStr">
        <is>
          <t>Close 4 Sep 2026</t>
        </is>
      </c>
    </row>
    <row r="9">
      <c r="A9" t="inlineStr">
        <is>
          <t>Net cash ex float, 30 Jun 2026 ($M)</t>
        </is>
      </c>
      <c r="B9" t="inlineStr">
        <is>
          <t>$M</t>
        </is>
      </c>
      <c r="C9" s="8" t="n">
        <v>9593</v>
      </c>
      <c r="D9" s="8" t="n">
        <v>9593</v>
      </c>
      <c r="E9" s="8" t="n">
        <v>9593</v>
      </c>
      <c r="F9" s="9">
        <f>CHOOSE(Inputs!$B$4,C9,D9,E9)</f>
        <v/>
      </c>
      <c r="G9" s="2" t="inlineStr">
        <is>
          <t>WS12; 2Q26 XBRL. Funds held for clients ($12,224M) excluded</t>
        </is>
      </c>
    </row>
    <row r="10">
      <c r="A10" t="inlineStr">
        <is>
          <t>Diluted shares, 2Q26 (M)</t>
        </is>
      </c>
      <c r="B10" t="inlineStr">
        <is>
          <t>M</t>
        </is>
      </c>
      <c r="C10" s="8" t="n">
        <v>597</v>
      </c>
      <c r="D10" s="8" t="n">
        <v>597</v>
      </c>
      <c r="E10" s="8" t="n">
        <v>597</v>
      </c>
      <c r="F10" s="9">
        <f>CHOOSE(Inputs!$B$4,C10,D10,E10)</f>
        <v/>
      </c>
      <c r="G10" s="2" t="inlineStr">
        <is>
          <t>2Q26 diluted weighted-average (XBRL)</t>
        </is>
      </c>
    </row>
    <row r="11">
      <c r="A11" t="inlineStr">
        <is>
          <t>Cost of equity</t>
        </is>
      </c>
      <c r="B11" t="inlineStr"/>
      <c r="C11" s="10" t="n">
        <v>0.115</v>
      </c>
      <c r="D11" s="10" t="n">
        <v>0.105</v>
      </c>
      <c r="E11" s="10" t="n">
        <v>0.103</v>
      </c>
      <c r="F11" s="11">
        <f>CHOOSE(Inputs!$B$4,C11,D11,E11)</f>
        <v/>
      </c>
      <c r="G11" s="2" t="inlineStr">
        <is>
          <t>WS09 10.5-11.5% (Rf 4.78% + beta 1.2-1.3 x ERP 4.5-5.5%); WS12 CAPM 10.3%</t>
        </is>
      </c>
    </row>
    <row r="12">
      <c r="A12" t="inlineStr">
        <is>
          <t>Terminal growth</t>
        </is>
      </c>
      <c r="B12" t="inlineStr"/>
      <c r="C12" s="10" t="n">
        <v>0.025</v>
      </c>
      <c r="D12" s="10" t="n">
        <v>0.03</v>
      </c>
      <c r="E12" s="10" t="n">
        <v>0.03</v>
      </c>
      <c r="F12" s="11">
        <f>CHOOSE(Inputs!$B$4,C12,D12,E12)</f>
        <v/>
      </c>
      <c r="G12" s="2" t="inlineStr">
        <is>
          <t>WS12 2.5-3.0%</t>
        </is>
      </c>
    </row>
    <row r="13">
      <c r="A13" t="inlineStr">
        <is>
          <t>DCF start growth (year-1 FCF growth, fades to terminal)</t>
        </is>
      </c>
      <c r="B13" t="inlineStr"/>
      <c r="C13" s="10" t="n">
        <v>0</v>
      </c>
      <c r="D13" s="10" t="n">
        <v>0.09</v>
      </c>
      <c r="E13" s="10" t="n">
        <v>0.15</v>
      </c>
      <c r="F13" s="11">
        <f>CHOOSE(Inputs!$B$4,C13,D13,E13)</f>
        <v/>
      </c>
      <c r="G13" s="2" t="inlineStr">
        <is>
          <t>a round number just under the model's own FY2026E-FY2028E FCF CAGR of 9.9%, clipped to 0-15%. A ten-year fade started from a single scenario year's FCF growth (-21% bear, +26% bull) is an extrapolation artefact, not a valuation</t>
        </is>
      </c>
    </row>
    <row r="14">
      <c r="A14" t="inlineStr">
        <is>
          <t>Exit EV / FY27E adj. EBITDA (x)</t>
        </is>
      </c>
      <c r="B14" t="inlineStr">
        <is>
          <t>x</t>
        </is>
      </c>
      <c r="C14" s="12" t="n">
        <v>13.5</v>
      </c>
      <c r="D14" s="12" t="n">
        <v>16.5</v>
      </c>
      <c r="E14" s="12" t="n">
        <v>18.5</v>
      </c>
      <c r="F14" s="13">
        <f>CHOOSE(Inputs!$B$4,C14,D14,E14)</f>
        <v/>
      </c>
      <c r="G14" s="2" t="inlineStr">
        <is>
          <t>WS12 12_exit_multiple_recommendation.csv (time-series / cross-section / intrinsic blend)</t>
        </is>
      </c>
    </row>
    <row r="15">
      <c r="A15" t="inlineStr">
        <is>
          <t>Exit EV / FY27E FCF (x)</t>
        </is>
      </c>
      <c r="B15" t="inlineStr">
        <is>
          <t>x</t>
        </is>
      </c>
      <c r="C15" s="12" t="n">
        <v>11.3</v>
      </c>
      <c r="D15" s="12" t="n">
        <v>14.3</v>
      </c>
      <c r="E15" s="12" t="n">
        <v>17.3</v>
      </c>
      <c r="F15" s="13">
        <f>CHOOSE(Inputs!$B$4,C15,D15,E15)</f>
        <v/>
      </c>
      <c r="G15" s="2" t="inlineStr">
        <is>
          <t>5 Sep set (15/19/23x) rescaled by WS12's 0.75x haircut to the EBITDA multiple</t>
        </is>
      </c>
    </row>
    <row r="16">
      <c r="A16" t="inlineStr">
        <is>
          <t>Exit P / FY27E SBC-adj. FCF (x)</t>
        </is>
      </c>
      <c r="B16" t="inlineStr">
        <is>
          <t>x</t>
        </is>
      </c>
      <c r="C16" s="12" t="n">
        <v>15</v>
      </c>
      <c r="D16" s="12" t="n">
        <v>19.5</v>
      </c>
      <c r="E16" s="12" t="n">
        <v>24</v>
      </c>
      <c r="F16" s="13">
        <f>CHOOSE(Inputs!$B$4,C16,D16,E16)</f>
        <v/>
      </c>
      <c r="G16" s="2" t="inlineStr">
        <is>
          <t>same 0.75x haircut on the 5 Sep 20/26/32x</t>
        </is>
      </c>
    </row>
    <row r="17">
      <c r="A17" t="inlineStr">
        <is>
          <t>Exit P / FY27E earnings proxy (x)</t>
        </is>
      </c>
      <c r="B17" t="inlineStr">
        <is>
          <t>x</t>
        </is>
      </c>
      <c r="C17" s="12" t="n">
        <v>15</v>
      </c>
      <c r="D17" s="12" t="n">
        <v>19.5</v>
      </c>
      <c r="E17" s="12" t="n">
        <v>24</v>
      </c>
      <c r="F17" s="13">
        <f>CHOOSE(Inputs!$B$4,C17,D17,E17)</f>
        <v/>
      </c>
      <c r="G17" s="2" t="inlineStr">
        <is>
          <t>same 0.75x haircut on the 5 Sep 20/26/32x</t>
        </is>
      </c>
    </row>
    <row r="18">
      <c r="A18" t="inlineStr">
        <is>
          <t>RSU tax withholding, % of SBC</t>
        </is>
      </c>
      <c r="B18" t="inlineStr"/>
      <c r="C18" s="10" t="n">
        <v>0.35</v>
      </c>
      <c r="D18" s="10" t="n">
        <v>0.35</v>
      </c>
      <c r="E18" s="10" t="n">
        <v>0.35</v>
      </c>
      <c r="F18" s="11">
        <f>CHOOSE(Inputs!$B$4,C18,D18,E18)</f>
        <v/>
      </c>
      <c r="G18" s="2" t="inlineStr">
        <is>
          <t>FY2025 withholding $561M on SBC $1,581M = 35.5%</t>
        </is>
      </c>
    </row>
    <row r="19">
      <c r="A19" t="inlineStr">
        <is>
          <t>Share price growth used for buyback/issuance math</t>
        </is>
      </c>
      <c r="B19" t="inlineStr"/>
      <c r="C19" s="10" t="n">
        <v>0.05</v>
      </c>
      <c r="D19" s="10" t="n">
        <v>0.05</v>
      </c>
      <c r="E19" s="10" t="n">
        <v>0.05</v>
      </c>
      <c r="F19" s="11">
        <f>CHOOSE(Inputs!$B$4,C19,D19,E19)</f>
        <v/>
      </c>
      <c r="G19" s="2" t="inlineStr">
        <is>
          <t>5 Sep convention: buybacks and RSU issuance at a price rising 5% a year</t>
        </is>
      </c>
    </row>
    <row r="20">
      <c r="A20" t="inlineStr">
        <is>
          <t>Incremental EBITDA margin on new-business revenue</t>
        </is>
      </c>
      <c r="B20" t="inlineStr"/>
      <c r="C20" s="10" t="n">
        <v>0.7</v>
      </c>
      <c r="D20" s="10" t="n">
        <v>0.7</v>
      </c>
      <c r="E20" s="10" t="n">
        <v>0.7</v>
      </c>
      <c r="F20" s="11">
        <f>CHOOSE(Inputs!$B$4,C20,D20,E20)</f>
        <v/>
      </c>
      <c r="G20" s="2" t="inlineStr">
        <is>
          <t>incremental margin on sponsored listings and Services; ads near 100%, Services lower</t>
        </is>
      </c>
    </row>
    <row r="21">
      <c r="A21" t="inlineStr">
        <is>
          <t>Adj. EBITDA margin cap</t>
        </is>
      </c>
      <c r="B21" t="inlineStr"/>
      <c r="C21" s="10" t="n">
        <v>0.38</v>
      </c>
      <c r="D21" s="10" t="n">
        <v>0.38</v>
      </c>
      <c r="E21" s="10" t="n">
        <v>0.38</v>
      </c>
      <c r="F21" s="11">
        <f>CHOOSE(Inputs!$B$4,C21,D21,E21)</f>
        <v/>
      </c>
      <c r="G21" s="2" t="inlineStr">
        <is>
          <t>WS07: the realistic adj. EBITDA ceiling is 38%, against BKNG's five-year EBITDA-proxy range of 30.0-37.4%. Binds only in the bull case</t>
        </is>
      </c>
    </row>
    <row r="22">
      <c r="A22" t="inlineStr">
        <is>
          <t>DCF fade period (years)</t>
        </is>
      </c>
      <c r="B22" t="inlineStr">
        <is>
          <t>yrs</t>
        </is>
      </c>
      <c r="C22" s="8" t="n">
        <v>10</v>
      </c>
      <c r="D22" s="8" t="n">
        <v>10</v>
      </c>
      <c r="E22" s="8" t="n">
        <v>10</v>
      </c>
      <c r="F22" s="9">
        <f>CHOOSE(Inputs!$B$4,C22,D22,E22)</f>
        <v/>
      </c>
      <c r="G22" s="2" t="inlineStr">
        <is>
          <t>5 Sep reverse-DCF convention: 10-year fade to terminal. LAYOUT-FIXED: the DCF grid on Valuation section 3 is ten written-out rows, so changing this cell does not resize the grid and has no effect on any output</t>
        </is>
      </c>
    </row>
    <row r="24">
      <c r="A24" s="5" t="inlineStr">
        <is>
          <t>B. ANNUAL DRIVERS BY FISCAL YEAR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</row>
    <row r="25">
      <c r="A25" s="7" t="inlineStr">
        <is>
          <t>FY2026E driver</t>
        </is>
      </c>
      <c r="B25" s="7" t="inlineStr">
        <is>
          <t>Unit</t>
        </is>
      </c>
      <c r="C25" s="7" t="inlineStr">
        <is>
          <t>Bear</t>
        </is>
      </c>
      <c r="D25" s="7" t="inlineStr">
        <is>
          <t>Base</t>
        </is>
      </c>
      <c r="E25" s="7" t="inlineStr">
        <is>
          <t>Bull</t>
        </is>
      </c>
      <c r="F25" s="7" t="inlineStr">
        <is>
          <t>Active</t>
        </is>
      </c>
      <c r="G25" s="7" t="inlineStr">
        <is>
          <t>Source</t>
        </is>
      </c>
    </row>
    <row r="26">
      <c r="A26" t="inlineStr">
        <is>
          <t>Take rate change vs prior year (bps)</t>
        </is>
      </c>
      <c r="B26" t="inlineStr">
        <is>
          <t>bps</t>
        </is>
      </c>
      <c r="C26" s="8" t="n">
        <v>-5</v>
      </c>
      <c r="D26" s="8" t="n">
        <v>0</v>
      </c>
      <c r="E26" s="8" t="n">
        <v>5</v>
      </c>
      <c r="F26" s="9">
        <f>CHOOSE(Inputs!$B$4,C26,D26,E26)</f>
        <v/>
      </c>
      <c r="G26" s="2" t="inlineStr">
        <is>
          <t>WS07 lever; management guided FY26 take rate flat (2Q26 call)</t>
        </is>
      </c>
    </row>
    <row r="27">
      <c r="A27" t="inlineStr">
        <is>
          <t>Cost of revenue per $ GBV, y/y change</t>
        </is>
      </c>
      <c r="B27" t="inlineStr">
        <is>
          <t>y/y</t>
        </is>
      </c>
      <c r="C27" s="10" t="n">
        <v>0.005</v>
      </c>
      <c r="D27" s="10" t="n">
        <v>0</v>
      </c>
      <c r="E27" s="10" t="n">
        <v>-0.005</v>
      </c>
      <c r="F27" s="11">
        <f>CHOOSE(Inputs!$B$4,C27,D27,E27)</f>
        <v/>
      </c>
      <c r="G27" s="2" t="inlineStr">
        <is>
          <t>WS07 lever; 2Q26 10-Q merchant fees and chargebacks</t>
        </is>
      </c>
    </row>
    <row r="28">
      <c r="A28" t="inlineStr">
        <is>
          <t>Operations &amp; support cash per night, y/y change</t>
        </is>
      </c>
      <c r="B28" t="inlineStr">
        <is>
          <t>y/y</t>
        </is>
      </c>
      <c r="C28" s="10" t="n">
        <v>-0.04</v>
      </c>
      <c r="D28" s="10" t="n">
        <v>-0.05</v>
      </c>
      <c r="E28" s="10" t="n">
        <v>-0.06</v>
      </c>
      <c r="F28" s="11">
        <f>CHOOSE(Inputs!$B$4,C28,D28,E28)</f>
        <v/>
      </c>
      <c r="G28" s="2" t="inlineStr">
        <is>
          <t>WS07 lever; 1H26 -3.8%, support cost per booking -16%</t>
        </is>
      </c>
    </row>
    <row r="29">
      <c r="A29" t="inlineStr">
        <is>
          <t>Product development cash (ex-SBC), y/y growth</t>
        </is>
      </c>
      <c r="B29" t="inlineStr">
        <is>
          <t>y/y</t>
        </is>
      </c>
      <c r="C29" s="10" t="n">
        <v>0.115</v>
      </c>
      <c r="D29" s="10" t="n">
        <v>0.11</v>
      </c>
      <c r="E29" s="10" t="n">
        <v>0.105</v>
      </c>
      <c r="F29" s="11">
        <f>CHOOSE(Inputs!$B$4,C29,D29,E29)</f>
        <v/>
      </c>
      <c r="G29" s="2" t="inlineStr">
        <is>
          <t>WS07 lever; 1H26 +11%</t>
        </is>
      </c>
    </row>
    <row r="30">
      <c r="A30" t="inlineStr">
        <is>
          <t>Brand &amp; performance marketing, y/y growth</t>
        </is>
      </c>
      <c r="B30" t="inlineStr">
        <is>
          <t>y/y</t>
        </is>
      </c>
      <c r="C30" s="10" t="n">
        <v>0.28</v>
      </c>
      <c r="D30" s="10" t="n">
        <v>0.25</v>
      </c>
      <c r="E30" s="10" t="n">
        <v>0.23</v>
      </c>
      <c r="F30" s="11">
        <f>CHOOSE(Inputs!$B$4,C30,D30,E30)</f>
        <v/>
      </c>
      <c r="G30" s="2" t="inlineStr">
        <is>
          <t>WS07 lever; 1H26 brand+performance +32%</t>
        </is>
      </c>
    </row>
    <row r="31">
      <c r="A31" t="inlineStr">
        <is>
          <t>Field operations &amp; policy cash (new-business investment), y/y growth</t>
        </is>
      </c>
      <c r="B31" t="inlineStr">
        <is>
          <t>y/y</t>
        </is>
      </c>
      <c r="C31" s="10" t="n">
        <v>0.2</v>
      </c>
      <c r="D31" s="10" t="n">
        <v>0.18</v>
      </c>
      <c r="E31" s="10" t="n">
        <v>0.16</v>
      </c>
      <c r="F31" s="11">
        <f>CHOOSE(Inputs!$B$4,C31,D31,E31)</f>
        <v/>
      </c>
      <c r="G31" s="2" t="inlineStr">
        <is>
          <t>WS07 lever; field ops +24% in 1H26</t>
        </is>
      </c>
    </row>
    <row r="32">
      <c r="A32" t="inlineStr">
        <is>
          <t>G&amp;A cash, y/y growth</t>
        </is>
      </c>
      <c r="B32" t="inlineStr">
        <is>
          <t>y/y</t>
        </is>
      </c>
      <c r="C32" s="10" t="n">
        <v>0.03</v>
      </c>
      <c r="D32" s="10" t="n">
        <v>0.02</v>
      </c>
      <c r="E32" s="10" t="n">
        <v>0</v>
      </c>
      <c r="F32" s="11">
        <f>CHOOSE(Inputs!$B$4,C32,D32,E32)</f>
        <v/>
      </c>
      <c r="G32" s="2" t="inlineStr">
        <is>
          <t>WS07 lever; 1H26 +1%</t>
        </is>
      </c>
    </row>
    <row r="33">
      <c r="A33" t="inlineStr">
        <is>
          <t>D&amp;A + other add-backs, % of revenue</t>
        </is>
      </c>
      <c r="B33" t="inlineStr">
        <is>
          <t>% rev</t>
        </is>
      </c>
      <c r="C33" s="10" t="n">
        <v>0.008999999999999999</v>
      </c>
      <c r="D33" s="10" t="n">
        <v>0.008999999999999999</v>
      </c>
      <c r="E33" s="10" t="n">
        <v>0.008999999999999999</v>
      </c>
      <c r="F33" s="11">
        <f>CHOOSE(Inputs!$B$4,C33,D33,E33)</f>
        <v/>
      </c>
      <c r="G33" s="2" t="inlineStr">
        <is>
          <t>WS07 lever</t>
        </is>
      </c>
    </row>
    <row r="34">
      <c r="A34" t="inlineStr">
        <is>
          <t>SBC, y/y growth</t>
        </is>
      </c>
      <c r="B34" t="inlineStr">
        <is>
          <t>y/y</t>
        </is>
      </c>
      <c r="C34" s="10" t="n">
        <v>0.16</v>
      </c>
      <c r="D34" s="10" t="n">
        <v>0.13</v>
      </c>
      <c r="E34" s="10" t="n">
        <v>0.1</v>
      </c>
      <c r="F34" s="11">
        <f>CHOOSE(Inputs!$B$4,C34,D34,E34)</f>
        <v/>
      </c>
      <c r="G34" s="2" t="inlineStr">
        <is>
          <t>WS07 lever; 1H26 +14.7%, guided below FY25</t>
        </is>
      </c>
    </row>
    <row r="35">
      <c r="A35" t="inlineStr">
        <is>
          <t>Interest income ($M)</t>
        </is>
      </c>
      <c r="B35" t="inlineStr">
        <is>
          <t>$M</t>
        </is>
      </c>
      <c r="C35" s="14" t="n">
        <v>620</v>
      </c>
      <c r="D35" s="14" t="n">
        <v>660</v>
      </c>
      <c r="E35" s="14" t="n">
        <v>700</v>
      </c>
      <c r="F35" s="15">
        <f>CHOOSE(Inputs!$B$4,C35,D35,E35)</f>
        <v/>
      </c>
      <c r="G35" s="2" t="inlineStr">
        <is>
          <t>WS07 lever; $12.1bn cash + ST investments</t>
        </is>
      </c>
    </row>
    <row r="36">
      <c r="A36" t="inlineStr">
        <is>
          <t>Interest expense ($M)</t>
        </is>
      </c>
      <c r="B36" t="inlineStr">
        <is>
          <t>$M</t>
        </is>
      </c>
      <c r="C36" s="14" t="n">
        <v>125</v>
      </c>
      <c r="D36" s="14" t="n">
        <v>120</v>
      </c>
      <c r="E36" s="14" t="n">
        <v>115</v>
      </c>
      <c r="F36" s="15">
        <f>CHOOSE(Inputs!$B$4,C36,D36,E36)</f>
        <v/>
      </c>
      <c r="G36" s="2" t="inlineStr">
        <is>
          <t>WS07 lever; $2.5bn notes at 4.40-5.25%</t>
        </is>
      </c>
    </row>
    <row r="37">
      <c r="A37" t="inlineStr">
        <is>
          <t>Cash taxes, % of revenue</t>
        </is>
      </c>
      <c r="B37" t="inlineStr">
        <is>
          <t>% rev</t>
        </is>
      </c>
      <c r="C37" s="10" t="n">
        <v>0.035</v>
      </c>
      <c r="D37" s="10" t="n">
        <v>0.026</v>
      </c>
      <c r="E37" s="10" t="n">
        <v>0.02</v>
      </c>
      <c r="F37" s="11">
        <f>CHOOSE(Inputs!$B$4,C37,D37,E37)</f>
        <v/>
      </c>
      <c r="G37" s="2" t="inlineStr">
        <is>
          <t>WS07 lever; FY25 cash taxes 1.9% of revenue</t>
        </is>
      </c>
    </row>
    <row r="38">
      <c r="A38" t="inlineStr">
        <is>
          <t>Change in unearned fees, % of revenue</t>
        </is>
      </c>
      <c r="B38" t="inlineStr">
        <is>
          <t>% rev</t>
        </is>
      </c>
      <c r="C38" s="10" t="n">
        <v>-0.005</v>
      </c>
      <c r="D38" s="10" t="n">
        <v>0</v>
      </c>
      <c r="E38" s="10" t="n">
        <v>0.005</v>
      </c>
      <c r="F38" s="11">
        <f>CHOOSE(Inputs!$B$4,C38,D38,E38)</f>
        <v/>
      </c>
      <c r="G38" s="2" t="inlineStr">
        <is>
          <t>WS07 lever; RNPL has switched the float off</t>
        </is>
      </c>
    </row>
    <row r="39">
      <c r="A39" t="inlineStr">
        <is>
          <t>Effective tax rate (net income)</t>
        </is>
      </c>
      <c r="B39" t="inlineStr">
        <is>
          <t>% pretax</t>
        </is>
      </c>
      <c r="C39" s="10" t="n">
        <v>0.21</v>
      </c>
      <c r="D39" s="10" t="n">
        <v>0.19</v>
      </c>
      <c r="E39" s="10" t="n">
        <v>0.18</v>
      </c>
      <c r="F39" s="11">
        <f>CHOOSE(Inputs!$B$4,C39,D39,E39)</f>
        <v/>
      </c>
      <c r="G39" s="2" t="inlineStr">
        <is>
          <t>WS02: FY26 guide 17-19%, guides run ~50bp hot; FY25 actual 20.0%</t>
        </is>
      </c>
    </row>
    <row r="40">
      <c r="A40" t="inlineStr">
        <is>
          <t>AI referral cost, % of revenue</t>
        </is>
      </c>
      <c r="B40" t="inlineStr">
        <is>
          <t>% rev</t>
        </is>
      </c>
      <c r="C40" s="10" t="n">
        <v>0</v>
      </c>
      <c r="D40" s="10" t="n">
        <v>0</v>
      </c>
      <c r="E40" s="10" t="n">
        <v>0</v>
      </c>
      <c r="F40" s="11">
        <f>CHOOSE(Inputs!$B$4,C40,D40,E40)</f>
        <v/>
      </c>
      <c r="G40" s="2" t="inlineStr">
        <is>
          <t>WS11: zero in 2026 in every case</t>
        </is>
      </c>
    </row>
    <row r="41">
      <c r="A41" t="inlineStr">
        <is>
          <t>New business outside GBV x take (ads + Services), $M</t>
        </is>
      </c>
      <c r="B41" t="inlineStr">
        <is>
          <t>$M</t>
        </is>
      </c>
      <c r="C41" s="14" t="n">
        <v>24</v>
      </c>
      <c r="D41" s="14" t="n">
        <v>42</v>
      </c>
      <c r="E41" s="14" t="n">
        <v>60</v>
      </c>
      <c r="F41" s="15">
        <f>CHOOSE(Inputs!$B$4,C41,D41,E41)</f>
        <v/>
      </c>
      <c r="G41" s="2" t="inlineStr">
        <is>
          <t>WS11 11_new_business_scenarios: Services + sponsored listings only</t>
        </is>
      </c>
    </row>
    <row r="42">
      <c r="A42" t="inlineStr">
        <is>
          <t>Buybacks ($M)</t>
        </is>
      </c>
      <c r="B42" t="inlineStr">
        <is>
          <t>$M</t>
        </is>
      </c>
      <c r="C42" s="14" t="n">
        <v>4200</v>
      </c>
      <c r="D42" s="14" t="n">
        <v>4200</v>
      </c>
      <c r="E42" s="14" t="n">
        <v>4200</v>
      </c>
      <c r="F42" s="15">
        <f>CHOOSE(Inputs!$B$4,C42,D42,E42)</f>
        <v/>
      </c>
      <c r="G42" s="2" t="inlineStr">
        <is>
          <t>1H26 actual $2,139M + H2 at the 1H run rate; $3.4bn authorisation left</t>
        </is>
      </c>
    </row>
    <row r="43">
      <c r="A43" t="inlineStr">
        <is>
          <t>Regulatory drag multiplier (x WS11 median)</t>
        </is>
      </c>
      <c r="B43" t="inlineStr">
        <is>
          <t>x</t>
        </is>
      </c>
      <c r="C43" s="8" t="n">
        <v>1.67</v>
      </c>
      <c r="D43" s="8" t="n">
        <v>1.67</v>
      </c>
      <c r="E43" s="8" t="n">
        <v>0</v>
      </c>
      <c r="F43" s="9">
        <f>CHOOSE(Inputs!$B$4,C43,D43,E43)</f>
        <v/>
      </c>
      <c r="G43" s="2" t="inlineStr">
        <is>
          <t>WS11 says use the mean in the base and the p95 in the bear; mean/median = 0.251/0.150 = 1.67, p95/median = 6.10. The bear keeps the mean because WS10's demand bear and WS05's strong-dollar bear already carry the tail; the p95 is a documented alternative</t>
        </is>
      </c>
    </row>
    <row r="44">
      <c r="A44" t="inlineStr">
        <is>
          <t>Capex, % of revenue</t>
        </is>
      </c>
      <c r="B44" t="inlineStr">
        <is>
          <t>% rev</t>
        </is>
      </c>
      <c r="C44" s="10" t="n">
        <v>0.003</v>
      </c>
      <c r="D44" s="10" t="n">
        <v>0.003</v>
      </c>
      <c r="E44" s="10" t="n">
        <v>0.003</v>
      </c>
      <c r="F44" s="11">
        <f>CHOOSE(Inputs!$B$4,C44,D44,E44)</f>
        <v/>
      </c>
      <c r="G44" s="2" t="inlineStr">
        <is>
          <t>WS07; $33-34M a year</t>
        </is>
      </c>
    </row>
    <row r="45">
      <c r="A45" t="inlineStr">
        <is>
          <t>Working-capital residual, % of revenue</t>
        </is>
      </c>
      <c r="B45" t="inlineStr">
        <is>
          <t>% rev</t>
        </is>
      </c>
      <c r="C45" s="10" t="n">
        <v>-0.011</v>
      </c>
      <c r="D45" s="10" t="n">
        <v>-0.011</v>
      </c>
      <c r="E45" s="10" t="n">
        <v>-0.011</v>
      </c>
      <c r="F45" s="11">
        <f>CHOOSE(Inputs!$B$4,C45,D45,E45)</f>
        <v/>
      </c>
      <c r="G45" s="2" t="inlineStr">
        <is>
          <t>WS07; FY24 and FY25 both -$140M</t>
        </is>
      </c>
    </row>
    <row r="46">
      <c r="A46" t="inlineStr">
        <is>
          <t>D&amp;A, % of revenue</t>
        </is>
      </c>
      <c r="B46" t="inlineStr">
        <is>
          <t>% rev</t>
        </is>
      </c>
      <c r="C46" s="10" t="n">
        <v>0.007</v>
      </c>
      <c r="D46" s="10" t="n">
        <v>0.007</v>
      </c>
      <c r="E46" s="10" t="n">
        <v>0.007</v>
      </c>
      <c r="F46" s="11">
        <f>CHOOSE(Inputs!$B$4,C46,D46,E46)</f>
        <v/>
      </c>
      <c r="G46" s="2" t="inlineStr">
        <is>
          <t>WS07; D&amp;A 0.6-0.8% of revenue since 2023</t>
        </is>
      </c>
    </row>
    <row r="48">
      <c r="A48" s="7" t="inlineStr">
        <is>
          <t>FY2027E driver</t>
        </is>
      </c>
      <c r="B48" s="7" t="inlineStr">
        <is>
          <t>Unit</t>
        </is>
      </c>
      <c r="C48" s="7" t="inlineStr">
        <is>
          <t>Bear</t>
        </is>
      </c>
      <c r="D48" s="7" t="inlineStr">
        <is>
          <t>Base</t>
        </is>
      </c>
      <c r="E48" s="7" t="inlineStr">
        <is>
          <t>Bull</t>
        </is>
      </c>
      <c r="F48" s="7" t="inlineStr">
        <is>
          <t>Active</t>
        </is>
      </c>
      <c r="G48" s="7" t="inlineStr">
        <is>
          <t>Source</t>
        </is>
      </c>
    </row>
    <row r="49">
      <c r="A49" t="inlineStr">
        <is>
          <t>Take rate change vs prior year (bps)</t>
        </is>
      </c>
      <c r="B49" t="inlineStr">
        <is>
          <t>bps</t>
        </is>
      </c>
      <c r="C49" s="8" t="n">
        <v>-15</v>
      </c>
      <c r="D49" s="8" t="n">
        <v>0</v>
      </c>
      <c r="E49" s="8" t="n">
        <v>15</v>
      </c>
      <c r="F49" s="9">
        <f>CHOOSE(Inputs!$B$4,C49,D49,E49)</f>
        <v/>
      </c>
      <c r="G49" s="2" t="inlineStr">
        <is>
          <t>WS07 lever; single fee vs the 6-10% direct-link pilot (WS11)</t>
        </is>
      </c>
    </row>
    <row r="50">
      <c r="A50" t="inlineStr">
        <is>
          <t>Cost of revenue per $ GBV, y/y change</t>
        </is>
      </c>
      <c r="B50" t="inlineStr">
        <is>
          <t>y/y</t>
        </is>
      </c>
      <c r="C50" s="10" t="n">
        <v>0.015</v>
      </c>
      <c r="D50" s="10" t="n">
        <v>0</v>
      </c>
      <c r="E50" s="10" t="n">
        <v>-0.01</v>
      </c>
      <c r="F50" s="11">
        <f>CHOOSE(Inputs!$B$4,C50,D50,E50)</f>
        <v/>
      </c>
      <c r="G50" s="2" t="inlineStr">
        <is>
          <t>WS07 lever</t>
        </is>
      </c>
    </row>
    <row r="51">
      <c r="A51" t="inlineStr">
        <is>
          <t>Operations &amp; support cash per night, y/y change</t>
        </is>
      </c>
      <c r="B51" t="inlineStr">
        <is>
          <t>y/y</t>
        </is>
      </c>
      <c r="C51" s="10" t="n">
        <v>-0.02</v>
      </c>
      <c r="D51" s="10" t="n">
        <v>-0.05</v>
      </c>
      <c r="E51" s="10" t="n">
        <v>-0.07000000000000001</v>
      </c>
      <c r="F51" s="11">
        <f>CHOOSE(Inputs!$B$4,C51,D51,E51)</f>
        <v/>
      </c>
      <c r="G51" s="2" t="inlineStr">
        <is>
          <t>WS07 lever</t>
        </is>
      </c>
    </row>
    <row r="52">
      <c r="A52" t="inlineStr">
        <is>
          <t>Product development cash (ex-SBC), y/y growth</t>
        </is>
      </c>
      <c r="B52" t="inlineStr">
        <is>
          <t>y/y</t>
        </is>
      </c>
      <c r="C52" s="10" t="n">
        <v>0.09</v>
      </c>
      <c r="D52" s="10" t="n">
        <v>0.1</v>
      </c>
      <c r="E52" s="10" t="n">
        <v>0.1</v>
      </c>
      <c r="F52" s="11">
        <f>CHOOSE(Inputs!$B$4,C52,D52,E52)</f>
        <v/>
      </c>
      <c r="G52" s="2" t="inlineStr">
        <is>
          <t>WS07 lever</t>
        </is>
      </c>
    </row>
    <row r="53">
      <c r="A53" t="inlineStr">
        <is>
          <t>Brand &amp; performance marketing, y/y growth</t>
        </is>
      </c>
      <c r="B53" t="inlineStr">
        <is>
          <t>y/y</t>
        </is>
      </c>
      <c r="C53" s="10" t="n">
        <v>0.12</v>
      </c>
      <c r="D53" s="10" t="n">
        <v>0.16</v>
      </c>
      <c r="E53" s="10" t="n">
        <v>0.145</v>
      </c>
      <c r="F53" s="11">
        <f>CHOOSE(Inputs!$B$4,C53,D53,E53)</f>
        <v/>
      </c>
      <c r="G53" s="2" t="inlineStr">
        <is>
          <t>WS07 lever</t>
        </is>
      </c>
    </row>
    <row r="54">
      <c r="A54" t="inlineStr">
        <is>
          <t>Field operations &amp; policy cash (new-business investment), y/y growth</t>
        </is>
      </c>
      <c r="B54" t="inlineStr">
        <is>
          <t>y/y</t>
        </is>
      </c>
      <c r="C54" s="10" t="n">
        <v>0.1</v>
      </c>
      <c r="D54" s="10" t="n">
        <v>0.14</v>
      </c>
      <c r="E54" s="10" t="n">
        <v>0.12</v>
      </c>
      <c r="F54" s="11">
        <f>CHOOSE(Inputs!$B$4,C54,D54,E54)</f>
        <v/>
      </c>
      <c r="G54" s="2" t="inlineStr">
        <is>
          <t>WS07 lever</t>
        </is>
      </c>
    </row>
    <row r="55">
      <c r="A55" t="inlineStr">
        <is>
          <t>G&amp;A cash, y/y growth</t>
        </is>
      </c>
      <c r="B55" t="inlineStr">
        <is>
          <t>y/y</t>
        </is>
      </c>
      <c r="C55" s="10" t="n">
        <v>0.05</v>
      </c>
      <c r="D55" s="10" t="n">
        <v>0.055</v>
      </c>
      <c r="E55" s="10" t="n">
        <v>0.045</v>
      </c>
      <c r="F55" s="11">
        <f>CHOOSE(Inputs!$B$4,C55,D55,E55)</f>
        <v/>
      </c>
      <c r="G55" s="2" t="inlineStr">
        <is>
          <t>WS07 lever</t>
        </is>
      </c>
    </row>
    <row r="56">
      <c r="A56" t="inlineStr">
        <is>
          <t>D&amp;A + other add-backs, % of revenue</t>
        </is>
      </c>
      <c r="B56" t="inlineStr">
        <is>
          <t>% rev</t>
        </is>
      </c>
      <c r="C56" s="10" t="n">
        <v>0.008999999999999999</v>
      </c>
      <c r="D56" s="10" t="n">
        <v>0.008999999999999999</v>
      </c>
      <c r="E56" s="10" t="n">
        <v>0.008999999999999999</v>
      </c>
      <c r="F56" s="11">
        <f>CHOOSE(Inputs!$B$4,C56,D56,E56)</f>
        <v/>
      </c>
      <c r="G56" s="2" t="inlineStr">
        <is>
          <t>WS07 lever</t>
        </is>
      </c>
    </row>
    <row r="57">
      <c r="A57" t="inlineStr">
        <is>
          <t>SBC, y/y growth</t>
        </is>
      </c>
      <c r="B57" t="inlineStr">
        <is>
          <t>y/y</t>
        </is>
      </c>
      <c r="C57" s="10" t="n">
        <v>0.14</v>
      </c>
      <c r="D57" s="10" t="n">
        <v>0.1</v>
      </c>
      <c r="E57" s="10" t="n">
        <v>0.06</v>
      </c>
      <c r="F57" s="11">
        <f>CHOOSE(Inputs!$B$4,C57,D57,E57)</f>
        <v/>
      </c>
      <c r="G57" s="2" t="inlineStr">
        <is>
          <t>WS07 lever</t>
        </is>
      </c>
    </row>
    <row r="58">
      <c r="A58" t="inlineStr">
        <is>
          <t>Interest income ($M)</t>
        </is>
      </c>
      <c r="B58" t="inlineStr">
        <is>
          <t>$M</t>
        </is>
      </c>
      <c r="C58" s="14" t="n">
        <v>540</v>
      </c>
      <c r="D58" s="14" t="n">
        <v>620</v>
      </c>
      <c r="E58" s="14" t="n">
        <v>690</v>
      </c>
      <c r="F58" s="15">
        <f>CHOOSE(Inputs!$B$4,C58,D58,E58)</f>
        <v/>
      </c>
      <c r="G58" s="2" t="inlineStr">
        <is>
          <t>WS07 lever</t>
        </is>
      </c>
    </row>
    <row r="59">
      <c r="A59" t="inlineStr">
        <is>
          <t>Interest expense ($M)</t>
        </is>
      </c>
      <c r="B59" t="inlineStr">
        <is>
          <t>$M</t>
        </is>
      </c>
      <c r="C59" s="14" t="n">
        <v>128</v>
      </c>
      <c r="D59" s="14" t="n">
        <v>125</v>
      </c>
      <c r="E59" s="14" t="n">
        <v>122</v>
      </c>
      <c r="F59" s="15">
        <f>CHOOSE(Inputs!$B$4,C59,D59,E59)</f>
        <v/>
      </c>
      <c r="G59" s="2" t="inlineStr">
        <is>
          <t>WS07 lever</t>
        </is>
      </c>
    </row>
    <row r="60">
      <c r="A60" t="inlineStr">
        <is>
          <t>Cash taxes, % of revenue</t>
        </is>
      </c>
      <c r="B60" t="inlineStr">
        <is>
          <t>% rev</t>
        </is>
      </c>
      <c r="C60" s="10" t="n">
        <v>0.045</v>
      </c>
      <c r="D60" s="10" t="n">
        <v>0.034</v>
      </c>
      <c r="E60" s="10" t="n">
        <v>0.026</v>
      </c>
      <c r="F60" s="11">
        <f>CHOOSE(Inputs!$B$4,C60,D60,E60)</f>
        <v/>
      </c>
      <c r="G60" s="2" t="inlineStr">
        <is>
          <t>WS07 lever</t>
        </is>
      </c>
    </row>
    <row r="61">
      <c r="A61" t="inlineStr">
        <is>
          <t>Change in unearned fees, % of revenue</t>
        </is>
      </c>
      <c r="B61" t="inlineStr">
        <is>
          <t>% rev</t>
        </is>
      </c>
      <c r="C61" s="10" t="n">
        <v>-0.005</v>
      </c>
      <c r="D61" s="10" t="n">
        <v>0</v>
      </c>
      <c r="E61" s="10" t="n">
        <v>0.003</v>
      </c>
      <c r="F61" s="11">
        <f>CHOOSE(Inputs!$B$4,C61,D61,E61)</f>
        <v/>
      </c>
      <c r="G61" s="2" t="inlineStr">
        <is>
          <t>WS07 lever</t>
        </is>
      </c>
    </row>
    <row r="62">
      <c r="A62" t="inlineStr">
        <is>
          <t>Effective tax rate (net income)</t>
        </is>
      </c>
      <c r="B62" t="inlineStr">
        <is>
          <t>% pretax</t>
        </is>
      </c>
      <c r="C62" s="10" t="n">
        <v>0.21</v>
      </c>
      <c r="D62" s="10" t="n">
        <v>0.2</v>
      </c>
      <c r="E62" s="10" t="n">
        <v>0.19</v>
      </c>
      <c r="F62" s="11">
        <f>CHOOSE(Inputs!$B$4,C62,D62,E62)</f>
        <v/>
      </c>
      <c r="G62" s="2" t="inlineStr">
        <is>
          <t>WS02; FY25 actual 20.0%</t>
        </is>
      </c>
    </row>
    <row r="63">
      <c r="A63" t="inlineStr">
        <is>
          <t>AI referral cost, % of revenue</t>
        </is>
      </c>
      <c r="B63" t="inlineStr">
        <is>
          <t>% rev</t>
        </is>
      </c>
      <c r="C63" s="10" t="n">
        <v>0.0228</v>
      </c>
      <c r="D63" s="10" t="n">
        <v>0.0038</v>
      </c>
      <c r="E63" s="10" t="n">
        <v>0</v>
      </c>
      <c r="F63" s="11">
        <f>CHOOSE(Inputs!$B$4,C63,D63,E63)</f>
        <v/>
      </c>
      <c r="G63" s="2" t="inlineStr">
        <is>
          <t>WS11 11_ai_exposure_scenarios, high/low/zero at a 5% referral fee</t>
        </is>
      </c>
    </row>
    <row r="64">
      <c r="A64" t="inlineStr">
        <is>
          <t>New business outside GBV x take (ads + Services), $M</t>
        </is>
      </c>
      <c r="B64" t="inlineStr">
        <is>
          <t>$M</t>
        </is>
      </c>
      <c r="C64" s="14" t="n">
        <v>38</v>
      </c>
      <c r="D64" s="14" t="n">
        <v>212</v>
      </c>
      <c r="E64" s="14" t="n">
        <v>430</v>
      </c>
      <c r="F64" s="15">
        <f>CHOOSE(Inputs!$B$4,C64,D64,E64)</f>
        <v/>
      </c>
      <c r="G64" s="2" t="inlineStr">
        <is>
          <t>WS11 Services + sponsored listings</t>
        </is>
      </c>
    </row>
    <row r="65">
      <c r="A65" t="inlineStr">
        <is>
          <t>Buybacks ($M)</t>
        </is>
      </c>
      <c r="B65" t="inlineStr">
        <is>
          <t>$M</t>
        </is>
      </c>
      <c r="C65" s="14" t="n">
        <v>3000</v>
      </c>
      <c r="D65" s="14" t="n">
        <v>4000</v>
      </c>
      <c r="E65" s="14" t="n">
        <v>4500</v>
      </c>
      <c r="F65" s="15">
        <f>CHOOSE(Inputs!$B$4,C65,D65,E65)</f>
        <v/>
      </c>
      <c r="G65" s="2" t="inlineStr">
        <is>
          <t>model/assumptions.md; FY24 $3.4bn, FY25 $3.8bn</t>
        </is>
      </c>
    </row>
    <row r="66">
      <c r="A66" t="inlineStr">
        <is>
          <t>Regulatory drag multiplier (x WS11 median)</t>
        </is>
      </c>
      <c r="B66" t="inlineStr">
        <is>
          <t>x</t>
        </is>
      </c>
      <c r="C66" s="8" t="n">
        <v>1.67</v>
      </c>
      <c r="D66" s="8" t="n">
        <v>1.67</v>
      </c>
      <c r="E66" s="8" t="n">
        <v>0</v>
      </c>
      <c r="F66" s="9">
        <f>CHOOSE(Inputs!$B$4,C66,D66,E66)</f>
        <v/>
      </c>
      <c r="G66" s="2" t="inlineStr">
        <is>
          <t>WS11 mean/median = 0.752/0.451 = 1.67 (p95/median = 6.08, the documented alternative)</t>
        </is>
      </c>
    </row>
    <row r="67">
      <c r="A67" t="inlineStr">
        <is>
          <t>Capex, % of revenue</t>
        </is>
      </c>
      <c r="B67" t="inlineStr">
        <is>
          <t>% rev</t>
        </is>
      </c>
      <c r="C67" s="10" t="n">
        <v>0.003</v>
      </c>
      <c r="D67" s="10" t="n">
        <v>0.003</v>
      </c>
      <c r="E67" s="10" t="n">
        <v>0.003</v>
      </c>
      <c r="F67" s="11">
        <f>CHOOSE(Inputs!$B$4,C67,D67,E67)</f>
        <v/>
      </c>
      <c r="G67" s="2" t="inlineStr">
        <is>
          <t>WS07</t>
        </is>
      </c>
    </row>
    <row r="68">
      <c r="A68" t="inlineStr">
        <is>
          <t>Working-capital residual, % of revenue</t>
        </is>
      </c>
      <c r="B68" t="inlineStr">
        <is>
          <t>% rev</t>
        </is>
      </c>
      <c r="C68" s="10" t="n">
        <v>-0.011</v>
      </c>
      <c r="D68" s="10" t="n">
        <v>-0.011</v>
      </c>
      <c r="E68" s="10" t="n">
        <v>-0.011</v>
      </c>
      <c r="F68" s="11">
        <f>CHOOSE(Inputs!$B$4,C68,D68,E68)</f>
        <v/>
      </c>
      <c r="G68" s="2" t="inlineStr">
        <is>
          <t>WS07</t>
        </is>
      </c>
    </row>
    <row r="69">
      <c r="A69" t="inlineStr">
        <is>
          <t>D&amp;A, % of revenue</t>
        </is>
      </c>
      <c r="B69" t="inlineStr">
        <is>
          <t>% rev</t>
        </is>
      </c>
      <c r="C69" s="10" t="n">
        <v>0.007</v>
      </c>
      <c r="D69" s="10" t="n">
        <v>0.007</v>
      </c>
      <c r="E69" s="10" t="n">
        <v>0.007</v>
      </c>
      <c r="F69" s="11">
        <f>CHOOSE(Inputs!$B$4,C69,D69,E69)</f>
        <v/>
      </c>
      <c r="G69" s="2" t="inlineStr">
        <is>
          <t>WS07</t>
        </is>
      </c>
    </row>
    <row r="71">
      <c r="A71" s="7" t="inlineStr">
        <is>
          <t>FY2028E driver</t>
        </is>
      </c>
      <c r="B71" s="7" t="inlineStr">
        <is>
          <t>Unit</t>
        </is>
      </c>
      <c r="C71" s="7" t="inlineStr">
        <is>
          <t>Bear</t>
        </is>
      </c>
      <c r="D71" s="7" t="inlineStr">
        <is>
          <t>Base</t>
        </is>
      </c>
      <c r="E71" s="7" t="inlineStr">
        <is>
          <t>Bull</t>
        </is>
      </c>
      <c r="F71" s="7" t="inlineStr">
        <is>
          <t>Active</t>
        </is>
      </c>
      <c r="G71" s="7" t="inlineStr">
        <is>
          <t>Source</t>
        </is>
      </c>
    </row>
    <row r="72">
      <c r="A72" t="inlineStr">
        <is>
          <t>Take rate change vs prior year (bps)</t>
        </is>
      </c>
      <c r="B72" t="inlineStr">
        <is>
          <t>bps</t>
        </is>
      </c>
      <c r="C72" s="8" t="n">
        <v>-10</v>
      </c>
      <c r="D72" s="8" t="n">
        <v>5</v>
      </c>
      <c r="E72" s="8" t="n">
        <v>20</v>
      </c>
      <c r="F72" s="9">
        <f>CHOOSE(Inputs!$B$4,C72,D72,E72)</f>
        <v/>
      </c>
      <c r="G72" s="2" t="inlineStr">
        <is>
          <t>WS07 lever; bull is the sponsored-listings case</t>
        </is>
      </c>
    </row>
    <row r="73">
      <c r="A73" t="inlineStr">
        <is>
          <t>Cost of revenue per $ GBV, y/y change</t>
        </is>
      </c>
      <c r="B73" t="inlineStr">
        <is>
          <t>y/y</t>
        </is>
      </c>
      <c r="C73" s="10" t="n">
        <v>0.01</v>
      </c>
      <c r="D73" s="10" t="n">
        <v>-0.005</v>
      </c>
      <c r="E73" s="10" t="n">
        <v>-0.015</v>
      </c>
      <c r="F73" s="11">
        <f>CHOOSE(Inputs!$B$4,C73,D73,E73)</f>
        <v/>
      </c>
      <c r="G73" s="2" t="inlineStr">
        <is>
          <t>WS07 lever</t>
        </is>
      </c>
    </row>
    <row r="74">
      <c r="A74" t="inlineStr">
        <is>
          <t>Operations &amp; support cash per night, y/y change</t>
        </is>
      </c>
      <c r="B74" t="inlineStr">
        <is>
          <t>y/y</t>
        </is>
      </c>
      <c r="C74" s="10" t="n">
        <v>-0.02</v>
      </c>
      <c r="D74" s="10" t="n">
        <v>-0.05</v>
      </c>
      <c r="E74" s="10" t="n">
        <v>-0.07000000000000001</v>
      </c>
      <c r="F74" s="11">
        <f>CHOOSE(Inputs!$B$4,C74,D74,E74)</f>
        <v/>
      </c>
      <c r="G74" s="2" t="inlineStr">
        <is>
          <t>WS07 lever</t>
        </is>
      </c>
    </row>
    <row r="75">
      <c r="A75" t="inlineStr">
        <is>
          <t>Product development cash (ex-SBC), y/y growth</t>
        </is>
      </c>
      <c r="B75" t="inlineStr">
        <is>
          <t>y/y</t>
        </is>
      </c>
      <c r="C75" s="10" t="n">
        <v>0.08500000000000001</v>
      </c>
      <c r="D75" s="10" t="n">
        <v>0.095</v>
      </c>
      <c r="E75" s="10" t="n">
        <v>0.095</v>
      </c>
      <c r="F75" s="11">
        <f>CHOOSE(Inputs!$B$4,C75,D75,E75)</f>
        <v/>
      </c>
      <c r="G75" s="2" t="inlineStr">
        <is>
          <t>WS07 lever</t>
        </is>
      </c>
    </row>
    <row r="76">
      <c r="A76" t="inlineStr">
        <is>
          <t>Brand &amp; performance marketing, y/y growth</t>
        </is>
      </c>
      <c r="B76" t="inlineStr">
        <is>
          <t>y/y</t>
        </is>
      </c>
      <c r="C76" s="10" t="n">
        <v>0.11</v>
      </c>
      <c r="D76" s="10" t="n">
        <v>0.135</v>
      </c>
      <c r="E76" s="10" t="n">
        <v>0.125</v>
      </c>
      <c r="F76" s="11">
        <f>CHOOSE(Inputs!$B$4,C76,D76,E76)</f>
        <v/>
      </c>
      <c r="G76" s="2" t="inlineStr">
        <is>
          <t>WS07 lever</t>
        </is>
      </c>
    </row>
    <row r="77">
      <c r="A77" t="inlineStr">
        <is>
          <t>Field operations &amp; policy cash (new-business investment), y/y growth</t>
        </is>
      </c>
      <c r="B77" t="inlineStr">
        <is>
          <t>y/y</t>
        </is>
      </c>
      <c r="C77" s="10" t="n">
        <v>0.09</v>
      </c>
      <c r="D77" s="10" t="n">
        <v>0.12</v>
      </c>
      <c r="E77" s="10" t="n">
        <v>0.105</v>
      </c>
      <c r="F77" s="11">
        <f>CHOOSE(Inputs!$B$4,C77,D77,E77)</f>
        <v/>
      </c>
      <c r="G77" s="2" t="inlineStr">
        <is>
          <t>WS07 lever</t>
        </is>
      </c>
    </row>
    <row r="78">
      <c r="A78" t="inlineStr">
        <is>
          <t>G&amp;A cash, y/y growth</t>
        </is>
      </c>
      <c r="B78" t="inlineStr">
        <is>
          <t>y/y</t>
        </is>
      </c>
      <c r="C78" s="10" t="n">
        <v>0.05</v>
      </c>
      <c r="D78" s="10" t="n">
        <v>0.05</v>
      </c>
      <c r="E78" s="10" t="n">
        <v>0.04</v>
      </c>
      <c r="F78" s="11">
        <f>CHOOSE(Inputs!$B$4,C78,D78,E78)</f>
        <v/>
      </c>
      <c r="G78" s="2" t="inlineStr">
        <is>
          <t>WS07 lever</t>
        </is>
      </c>
    </row>
    <row r="79">
      <c r="A79" t="inlineStr">
        <is>
          <t>D&amp;A + other add-backs, % of revenue</t>
        </is>
      </c>
      <c r="B79" t="inlineStr">
        <is>
          <t>% rev</t>
        </is>
      </c>
      <c r="C79" s="10" t="n">
        <v>0.008999999999999999</v>
      </c>
      <c r="D79" s="10" t="n">
        <v>0.008999999999999999</v>
      </c>
      <c r="E79" s="10" t="n">
        <v>0.008999999999999999</v>
      </c>
      <c r="F79" s="11">
        <f>CHOOSE(Inputs!$B$4,C79,D79,E79)</f>
        <v/>
      </c>
      <c r="G79" s="2" t="inlineStr">
        <is>
          <t>WS07 lever</t>
        </is>
      </c>
    </row>
    <row r="80">
      <c r="A80" t="inlineStr">
        <is>
          <t>SBC, y/y growth</t>
        </is>
      </c>
      <c r="B80" t="inlineStr">
        <is>
          <t>y/y</t>
        </is>
      </c>
      <c r="C80" s="10" t="n">
        <v>0.12</v>
      </c>
      <c r="D80" s="10" t="n">
        <v>0.08</v>
      </c>
      <c r="E80" s="10" t="n">
        <v>0.04</v>
      </c>
      <c r="F80" s="11">
        <f>CHOOSE(Inputs!$B$4,C80,D80,E80)</f>
        <v/>
      </c>
      <c r="G80" s="2" t="inlineStr">
        <is>
          <t>WS07 lever</t>
        </is>
      </c>
    </row>
    <row r="81">
      <c r="A81" t="inlineStr">
        <is>
          <t>Interest income ($M)</t>
        </is>
      </c>
      <c r="B81" t="inlineStr">
        <is>
          <t>$M</t>
        </is>
      </c>
      <c r="C81" s="14" t="n">
        <v>500</v>
      </c>
      <c r="D81" s="14" t="n">
        <v>590</v>
      </c>
      <c r="E81" s="14" t="n">
        <v>680</v>
      </c>
      <c r="F81" s="15">
        <f>CHOOSE(Inputs!$B$4,C81,D81,E81)</f>
        <v/>
      </c>
      <c r="G81" s="2" t="inlineStr">
        <is>
          <t>WS07 lever</t>
        </is>
      </c>
    </row>
    <row r="82">
      <c r="A82" t="inlineStr">
        <is>
          <t>Interest expense ($M)</t>
        </is>
      </c>
      <c r="B82" t="inlineStr">
        <is>
          <t>$M</t>
        </is>
      </c>
      <c r="C82" s="14" t="n">
        <v>128</v>
      </c>
      <c r="D82" s="14" t="n">
        <v>125</v>
      </c>
      <c r="E82" s="14" t="n">
        <v>122</v>
      </c>
      <c r="F82" s="15">
        <f>CHOOSE(Inputs!$B$4,C82,D82,E82)</f>
        <v/>
      </c>
      <c r="G82" s="2" t="inlineStr">
        <is>
          <t>WS07 lever</t>
        </is>
      </c>
    </row>
    <row r="83">
      <c r="A83" t="inlineStr">
        <is>
          <t>Cash taxes, % of revenue</t>
        </is>
      </c>
      <c r="B83" t="inlineStr">
        <is>
          <t>% rev</t>
        </is>
      </c>
      <c r="C83" s="10" t="n">
        <v>0.052</v>
      </c>
      <c r="D83" s="10" t="n">
        <v>0.04</v>
      </c>
      <c r="E83" s="10" t="n">
        <v>0.032</v>
      </c>
      <c r="F83" s="11">
        <f>CHOOSE(Inputs!$B$4,C83,D83,E83)</f>
        <v/>
      </c>
      <c r="G83" s="2" t="inlineStr">
        <is>
          <t>WS07 lever</t>
        </is>
      </c>
    </row>
    <row r="84">
      <c r="A84" t="inlineStr">
        <is>
          <t>Change in unearned fees, % of revenue</t>
        </is>
      </c>
      <c r="B84" t="inlineStr">
        <is>
          <t>% rev</t>
        </is>
      </c>
      <c r="C84" s="10" t="n">
        <v>-0.005</v>
      </c>
      <c r="D84" s="10" t="n">
        <v>0</v>
      </c>
      <c r="E84" s="10" t="n">
        <v>0.003</v>
      </c>
      <c r="F84" s="11">
        <f>CHOOSE(Inputs!$B$4,C84,D84,E84)</f>
        <v/>
      </c>
      <c r="G84" s="2" t="inlineStr">
        <is>
          <t>WS07 lever</t>
        </is>
      </c>
    </row>
    <row r="85">
      <c r="A85" t="inlineStr">
        <is>
          <t>Effective tax rate (net income)</t>
        </is>
      </c>
      <c r="B85" t="inlineStr">
        <is>
          <t>% pretax</t>
        </is>
      </c>
      <c r="C85" s="10" t="n">
        <v>0.21</v>
      </c>
      <c r="D85" s="10" t="n">
        <v>0.2</v>
      </c>
      <c r="E85" s="10" t="n">
        <v>0.19</v>
      </c>
      <c r="F85" s="11">
        <f>CHOOSE(Inputs!$B$4,C85,D85,E85)</f>
        <v/>
      </c>
      <c r="G85" s="2" t="inlineStr">
        <is>
          <t>WS02</t>
        </is>
      </c>
    </row>
    <row r="86">
      <c r="A86" t="inlineStr">
        <is>
          <t>AI referral cost, % of revenue</t>
        </is>
      </c>
      <c r="B86" t="inlineStr">
        <is>
          <t>% rev</t>
        </is>
      </c>
      <c r="C86" s="10" t="n">
        <v>0.0383</v>
      </c>
      <c r="D86" s="10" t="n">
        <v>0.0077</v>
      </c>
      <c r="E86" s="10" t="n">
        <v>0</v>
      </c>
      <c r="F86" s="11">
        <f>CHOOSE(Inputs!$B$4,C86,D86,E86)</f>
        <v/>
      </c>
      <c r="G86" s="2" t="inlineStr">
        <is>
          <t>WS11 11_ai_exposure_scenarios</t>
        </is>
      </c>
    </row>
    <row r="87">
      <c r="A87" t="inlineStr">
        <is>
          <t>New business outside GBV x take (ads + Services), $M</t>
        </is>
      </c>
      <c r="B87" t="inlineStr">
        <is>
          <t>$M</t>
        </is>
      </c>
      <c r="C87" s="14" t="n">
        <v>114</v>
      </c>
      <c r="D87" s="14" t="n">
        <v>516</v>
      </c>
      <c r="E87" s="14" t="n">
        <v>1096</v>
      </c>
      <c r="F87" s="15">
        <f>CHOOSE(Inputs!$B$4,C87,D87,E87)</f>
        <v/>
      </c>
      <c r="G87" s="2" t="inlineStr">
        <is>
          <t>WS11 Services + sponsored listings</t>
        </is>
      </c>
    </row>
    <row r="88">
      <c r="A88" t="inlineStr">
        <is>
          <t>Buybacks ($M)</t>
        </is>
      </c>
      <c r="B88" t="inlineStr">
        <is>
          <t>$M</t>
        </is>
      </c>
      <c r="C88" s="14" t="n">
        <v>3000</v>
      </c>
      <c r="D88" s="14" t="n">
        <v>4000</v>
      </c>
      <c r="E88" s="14" t="n">
        <v>4500</v>
      </c>
      <c r="F88" s="15">
        <f>CHOOSE(Inputs!$B$4,C88,D88,E88)</f>
        <v/>
      </c>
      <c r="G88" s="2" t="inlineStr">
        <is>
          <t>model/assumptions.md</t>
        </is>
      </c>
    </row>
    <row r="89">
      <c r="A89" t="inlineStr">
        <is>
          <t>Regulatory drag multiplier (x WS11 median)</t>
        </is>
      </c>
      <c r="B89" t="inlineStr">
        <is>
          <t>x</t>
        </is>
      </c>
      <c r="C89" s="8" t="n">
        <v>1.42</v>
      </c>
      <c r="D89" s="8" t="n">
        <v>1.42</v>
      </c>
      <c r="E89" s="8" t="n">
        <v>0</v>
      </c>
      <c r="F89" s="9">
        <f>CHOOSE(Inputs!$B$4,C89,D89,E89)</f>
        <v/>
      </c>
      <c r="G89" s="2" t="inlineStr">
        <is>
          <t>WS11 mean/median = 1.230/0.868 = 1.42 (p95/median = 4.56, the documented alternative)</t>
        </is>
      </c>
    </row>
    <row r="90">
      <c r="A90" t="inlineStr">
        <is>
          <t>Capex, % of revenue</t>
        </is>
      </c>
      <c r="B90" t="inlineStr">
        <is>
          <t>% rev</t>
        </is>
      </c>
      <c r="C90" s="10" t="n">
        <v>0.003</v>
      </c>
      <c r="D90" s="10" t="n">
        <v>0.003</v>
      </c>
      <c r="E90" s="10" t="n">
        <v>0.003</v>
      </c>
      <c r="F90" s="11">
        <f>CHOOSE(Inputs!$B$4,C90,D90,E90)</f>
        <v/>
      </c>
      <c r="G90" s="2" t="inlineStr">
        <is>
          <t>WS07</t>
        </is>
      </c>
    </row>
    <row r="91">
      <c r="A91" t="inlineStr">
        <is>
          <t>Working-capital residual, % of revenue</t>
        </is>
      </c>
      <c r="B91" t="inlineStr">
        <is>
          <t>% rev</t>
        </is>
      </c>
      <c r="C91" s="10" t="n">
        <v>-0.011</v>
      </c>
      <c r="D91" s="10" t="n">
        <v>-0.011</v>
      </c>
      <c r="E91" s="10" t="n">
        <v>-0.011</v>
      </c>
      <c r="F91" s="11">
        <f>CHOOSE(Inputs!$B$4,C91,D91,E91)</f>
        <v/>
      </c>
      <c r="G91" s="2" t="inlineStr">
        <is>
          <t>WS07</t>
        </is>
      </c>
    </row>
    <row r="92">
      <c r="A92" t="inlineStr">
        <is>
          <t>D&amp;A, % of revenue</t>
        </is>
      </c>
      <c r="B92" t="inlineStr">
        <is>
          <t>% rev</t>
        </is>
      </c>
      <c r="C92" s="10" t="n">
        <v>0.007</v>
      </c>
      <c r="D92" s="10" t="n">
        <v>0.007</v>
      </c>
      <c r="E92" s="10" t="n">
        <v>0.007</v>
      </c>
      <c r="F92" s="11">
        <f>CHOOSE(Inputs!$B$4,C92,D92,E92)</f>
        <v/>
      </c>
      <c r="G92" s="2" t="inlineStr">
        <is>
          <t>WS07</t>
        </is>
      </c>
    </row>
    <row r="93">
      <c r="A93" t="inlineStr">
        <is>
          <t>Total nights growth, FY2028E</t>
        </is>
      </c>
      <c r="B93" t="inlineStr">
        <is>
          <t>y/y</t>
        </is>
      </c>
      <c r="C93" s="10" t="n">
        <v>0.05</v>
      </c>
      <c r="D93" s="10" t="n">
        <v>0.08</v>
      </c>
      <c r="E93" s="10" t="n">
        <v>0.095</v>
      </c>
      <c r="F93" s="11">
        <f>CHOOSE(Inputs!$B$4,C93,D93,E93)</f>
        <v/>
      </c>
      <c r="G93" s="2" t="inlineStr">
        <is>
          <t>WS07 lever: no regional build exists three years out</t>
        </is>
      </c>
    </row>
    <row r="94">
      <c r="A94" t="inlineStr">
        <is>
          <t>ADR ex-FX growth, FY2028E</t>
        </is>
      </c>
      <c r="B94" t="inlineStr">
        <is>
          <t>y/y</t>
        </is>
      </c>
      <c r="C94" s="10" t="n">
        <v>0.01</v>
      </c>
      <c r="D94" s="10" t="n">
        <v>0.025</v>
      </c>
      <c r="E94" s="10" t="n">
        <v>0.035</v>
      </c>
      <c r="F94" s="11">
        <f>CHOOSE(Inputs!$B$4,C94,D94,E94)</f>
        <v/>
      </c>
      <c r="G94" s="2" t="inlineStr">
        <is>
          <t>WS07 lever</t>
        </is>
      </c>
    </row>
    <row r="95">
      <c r="A95" t="inlineStr">
        <is>
          <t>FX effect on revenue, FY2028E</t>
        </is>
      </c>
      <c r="B95" t="inlineStr">
        <is>
          <t>y/y</t>
        </is>
      </c>
      <c r="C95" s="10" t="n">
        <v>0</v>
      </c>
      <c r="D95" s="10" t="n">
        <v>0</v>
      </c>
      <c r="E95" s="10" t="n">
        <v>0</v>
      </c>
      <c r="F95" s="11">
        <f>CHOOSE(Inputs!$B$4,C95,D95,E95)</f>
        <v/>
      </c>
      <c r="G95" s="2" t="inlineStr">
        <is>
          <t>WS07: no FX view three years out; zero in every case so FX does not flatter the path. UNIT: a fraction, percent-formatted (0.015 = +1.5pp), NOT the plain percentage-point number used by the quarterly FX rows in section C</t>
        </is>
      </c>
    </row>
    <row r="96">
      <c r="A96" t="inlineStr">
        <is>
          <t>FX effect on ADR, FY2028E</t>
        </is>
      </c>
      <c r="B96" t="inlineStr">
        <is>
          <t>y/y</t>
        </is>
      </c>
      <c r="C96" s="10" t="n">
        <v>0</v>
      </c>
      <c r="D96" s="10" t="n">
        <v>0</v>
      </c>
      <c r="E96" s="10" t="n">
        <v>0</v>
      </c>
      <c r="F96" s="11">
        <f>CHOOSE(Inputs!$B$4,C96,D96,E96)</f>
        <v/>
      </c>
      <c r="G96" s="2" t="inlineStr">
        <is>
          <t>same; a fraction, percent-formatted, not a percentage-point number</t>
        </is>
      </c>
    </row>
    <row r="98">
      <c r="A98" s="5" t="inlineStr">
        <is>
          <t>C. QUARTERLY DRIVERS 3Q26 - 4Q27</t>
        </is>
      </c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</row>
    <row r="99">
      <c r="A99" s="7" t="inlineStr">
        <is>
          <t>Quarter / driver</t>
        </is>
      </c>
      <c r="B99" s="7" t="inlineStr">
        <is>
          <t>Unit</t>
        </is>
      </c>
      <c r="C99" s="7" t="inlineStr">
        <is>
          <t>Bear</t>
        </is>
      </c>
      <c r="D99" s="7" t="inlineStr">
        <is>
          <t>Base</t>
        </is>
      </c>
      <c r="E99" s="7" t="inlineStr">
        <is>
          <t>Bull</t>
        </is>
      </c>
      <c r="F99" s="7" t="inlineStr">
        <is>
          <t>Active</t>
        </is>
      </c>
      <c r="G99" s="7" t="inlineStr">
        <is>
          <t>Source</t>
        </is>
      </c>
    </row>
    <row r="100">
      <c r="A100" t="inlineStr">
        <is>
          <t>3Q26  North America nights growth</t>
        </is>
      </c>
      <c r="B100" t="inlineStr">
        <is>
          <t>y/y %</t>
        </is>
      </c>
      <c r="C100" s="8" t="n">
        <v>5</v>
      </c>
      <c r="D100" s="8" t="n">
        <v>7</v>
      </c>
      <c r="E100" s="8" t="n">
        <v>9</v>
      </c>
      <c r="F100" s="9">
        <f>CHOOSE(Inputs!$B$4,C100,D100,E100)</f>
        <v/>
      </c>
      <c r="G100" s="2" t="inlineStr">
        <is>
          <t>WS10 10_regional_forecast.csv</t>
        </is>
      </c>
    </row>
    <row r="101">
      <c r="A101" t="inlineStr">
        <is>
          <t>3Q26  EMEA nights growth</t>
        </is>
      </c>
      <c r="B101" t="inlineStr">
        <is>
          <t>y/y %</t>
        </is>
      </c>
      <c r="C101" s="8" t="n">
        <v>6</v>
      </c>
      <c r="D101" s="8" t="n">
        <v>8</v>
      </c>
      <c r="E101" s="8" t="n">
        <v>10</v>
      </c>
      <c r="F101" s="9">
        <f>CHOOSE(Inputs!$B$4,C101,D101,E101)</f>
        <v/>
      </c>
      <c r="G101" s="2" t="inlineStr">
        <is>
          <t>WS10 10_regional_forecast.csv</t>
        </is>
      </c>
    </row>
    <row r="102">
      <c r="A102" t="inlineStr">
        <is>
          <t>3Q26  Latin America nights growth</t>
        </is>
      </c>
      <c r="B102" t="inlineStr">
        <is>
          <t>y/y %</t>
        </is>
      </c>
      <c r="C102" s="8" t="n">
        <v>15</v>
      </c>
      <c r="D102" s="8" t="n">
        <v>18</v>
      </c>
      <c r="E102" s="8" t="n">
        <v>21</v>
      </c>
      <c r="F102" s="9">
        <f>CHOOSE(Inputs!$B$4,C102,D102,E102)</f>
        <v/>
      </c>
      <c r="G102" s="2" t="inlineStr">
        <is>
          <t>WS10 10_regional_forecast.csv</t>
        </is>
      </c>
    </row>
    <row r="103">
      <c r="A103" t="inlineStr">
        <is>
          <t>3Q26  Asia Pacific nights growth</t>
        </is>
      </c>
      <c r="B103" t="inlineStr">
        <is>
          <t>y/y %</t>
        </is>
      </c>
      <c r="C103" s="8" t="n">
        <v>14</v>
      </c>
      <c r="D103" s="8" t="n">
        <v>17</v>
      </c>
      <c r="E103" s="8" t="n">
        <v>19</v>
      </c>
      <c r="F103" s="9">
        <f>CHOOSE(Inputs!$B$4,C103,D103,E103)</f>
        <v/>
      </c>
      <c r="G103" s="2" t="inlineStr">
        <is>
          <t>WS10 10_regional_forecast.csv</t>
        </is>
      </c>
    </row>
    <row r="104">
      <c r="A104" t="inlineStr">
        <is>
          <t>3Q26  ADR ex-FX growth</t>
        </is>
      </c>
      <c r="B104" t="inlineStr">
        <is>
          <t>y/y %</t>
        </is>
      </c>
      <c r="C104" s="8" t="n">
        <v>2</v>
      </c>
      <c r="D104" s="8" t="n">
        <v>3</v>
      </c>
      <c r="E104" s="8" t="n">
        <v>4</v>
      </c>
      <c r="F104" s="9">
        <f>CHOOSE(Inputs!$B$4,C104,D104,E104)</f>
        <v/>
      </c>
      <c r="G104" s="2" t="inlineStr">
        <is>
          <t>WS10 (2026 quarters); WS06 and WS07 both +2.5% base for FY27</t>
        </is>
      </c>
    </row>
    <row r="105">
      <c r="A105" t="inlineStr">
        <is>
          <t>3Q26  FX effect on revenue</t>
        </is>
      </c>
      <c r="B105" t="inlineStr">
        <is>
          <t>pp</t>
        </is>
      </c>
      <c r="C105" s="8" t="n">
        <v>3</v>
      </c>
      <c r="D105" s="8" t="n">
        <v>3</v>
      </c>
      <c r="E105" s="8" t="n">
        <v>3</v>
      </c>
      <c r="F105" s="9">
        <f>CHOOSE(Inputs!$B$4,C105,D105,E105)</f>
        <v/>
      </c>
      <c r="G105" s="2" t="inlineStr">
        <is>
          <t>2Q26 letter guide (+3.0pp); WS05 lagged fit says +2.19pp</t>
        </is>
      </c>
    </row>
    <row r="106">
      <c r="A106" t="inlineStr">
        <is>
          <t>3Q26  FX effect on ADR</t>
        </is>
      </c>
      <c r="B106" t="inlineStr">
        <is>
          <t>pp</t>
        </is>
      </c>
      <c r="C106" s="8" t="n">
        <v>0.8</v>
      </c>
      <c r="D106" s="8" t="n">
        <v>0.8</v>
      </c>
      <c r="E106" s="8" t="n">
        <v>0.8</v>
      </c>
      <c r="F106" s="9">
        <f>CHOOSE(Inputs!$B$4,C106,D106,E106)</f>
        <v/>
      </c>
      <c r="G106" s="2" t="inlineStr">
        <is>
          <t>WS05 05_fx_schedule.csv broad-USD ADR fit, re-estimated by WS08 (r 0.96)</t>
        </is>
      </c>
    </row>
    <row r="107">
      <c r="A107" t="inlineStr">
        <is>
          <t>3Q26  Adj. EBITDA margin (2026 quarters only)</t>
        </is>
      </c>
      <c r="B107" t="inlineStr">
        <is>
          <t>%</t>
        </is>
      </c>
      <c r="C107" s="8" t="n">
        <v>48.3</v>
      </c>
      <c r="D107" s="8" t="n">
        <v>49</v>
      </c>
      <c r="E107" s="8" t="n">
        <v>50.2</v>
      </c>
      <c r="F107" s="9">
        <f>CHOOSE(Inputs!$B$4,C107,D107,E107)</f>
        <v/>
      </c>
      <c r="G107" s="2" t="inlineStr">
        <is>
          <t>WS07 5 Nov card: guide is 'down slightly' from 3Q25's 50.1%</t>
        </is>
      </c>
    </row>
    <row r="108">
      <c r="A108" t="inlineStr">
        <is>
          <t>4Q26  North America nights growth</t>
        </is>
      </c>
      <c r="B108" t="inlineStr">
        <is>
          <t>y/y %</t>
        </is>
      </c>
      <c r="C108" s="8" t="n">
        <v>4</v>
      </c>
      <c r="D108" s="8" t="n">
        <v>7</v>
      </c>
      <c r="E108" s="8" t="n">
        <v>9</v>
      </c>
      <c r="F108" s="9">
        <f>CHOOSE(Inputs!$B$4,C108,D108,E108)</f>
        <v/>
      </c>
      <c r="G108" s="2" t="inlineStr">
        <is>
          <t>WS10 10_regional_forecast.csv</t>
        </is>
      </c>
    </row>
    <row r="109">
      <c r="A109" t="inlineStr">
        <is>
          <t>4Q26  EMEA nights growth</t>
        </is>
      </c>
      <c r="B109" t="inlineStr">
        <is>
          <t>y/y %</t>
        </is>
      </c>
      <c r="C109" s="8" t="n">
        <v>5</v>
      </c>
      <c r="D109" s="8" t="n">
        <v>7</v>
      </c>
      <c r="E109" s="8" t="n">
        <v>9</v>
      </c>
      <c r="F109" s="9">
        <f>CHOOSE(Inputs!$B$4,C109,D109,E109)</f>
        <v/>
      </c>
      <c r="G109" s="2" t="inlineStr">
        <is>
          <t>WS10 10_regional_forecast.csv</t>
        </is>
      </c>
    </row>
    <row r="110">
      <c r="A110" t="inlineStr">
        <is>
          <t>4Q26  Latin America nights growth</t>
        </is>
      </c>
      <c r="B110" t="inlineStr">
        <is>
          <t>y/y %</t>
        </is>
      </c>
      <c r="C110" s="8" t="n">
        <v>14</v>
      </c>
      <c r="D110" s="8" t="n">
        <v>18</v>
      </c>
      <c r="E110" s="8" t="n">
        <v>21</v>
      </c>
      <c r="F110" s="9">
        <f>CHOOSE(Inputs!$B$4,C110,D110,E110)</f>
        <v/>
      </c>
      <c r="G110" s="2" t="inlineStr">
        <is>
          <t>WS10 10_regional_forecast.csv</t>
        </is>
      </c>
    </row>
    <row r="111">
      <c r="A111" t="inlineStr">
        <is>
          <t>4Q26  Asia Pacific nights growth</t>
        </is>
      </c>
      <c r="B111" t="inlineStr">
        <is>
          <t>y/y %</t>
        </is>
      </c>
      <c r="C111" s="8" t="n">
        <v>13</v>
      </c>
      <c r="D111" s="8" t="n">
        <v>17</v>
      </c>
      <c r="E111" s="8" t="n">
        <v>19</v>
      </c>
      <c r="F111" s="9">
        <f>CHOOSE(Inputs!$B$4,C111,D111,E111)</f>
        <v/>
      </c>
      <c r="G111" s="2" t="inlineStr">
        <is>
          <t>WS10 10_regional_forecast.csv</t>
        </is>
      </c>
    </row>
    <row r="112">
      <c r="A112" t="inlineStr">
        <is>
          <t>4Q26  ADR ex-FX growth</t>
        </is>
      </c>
      <c r="B112" t="inlineStr">
        <is>
          <t>y/y %</t>
        </is>
      </c>
      <c r="C112" s="8" t="n">
        <v>2</v>
      </c>
      <c r="D112" s="8" t="n">
        <v>3</v>
      </c>
      <c r="E112" s="8" t="n">
        <v>4</v>
      </c>
      <c r="F112" s="9">
        <f>CHOOSE(Inputs!$B$4,C112,D112,E112)</f>
        <v/>
      </c>
      <c r="G112" s="2" t="inlineStr">
        <is>
          <t>WS10 (2026 quarters); WS06 and WS07 both +2.5% base for FY27</t>
        </is>
      </c>
    </row>
    <row r="113">
      <c r="A113" t="inlineStr">
        <is>
          <t>4Q26  FX effect on revenue</t>
        </is>
      </c>
      <c r="B113" t="inlineStr">
        <is>
          <t>pp</t>
        </is>
      </c>
      <c r="C113" s="8" t="n">
        <v>-0.43</v>
      </c>
      <c r="D113" s="8" t="n">
        <v>-0.43</v>
      </c>
      <c r="E113" s="8" t="n">
        <v>-0.43</v>
      </c>
      <c r="F113" s="9">
        <f>CHOOSE(Inputs!$B$4,C113,D113,E113)</f>
        <v/>
      </c>
      <c r="G113" s="2" t="inlineStr">
        <is>
          <t>WS05 05_fx_schedule.csv, lagged fit; bear = strong_usd, bull = weak_usd</t>
        </is>
      </c>
    </row>
    <row r="114">
      <c r="A114" t="inlineStr">
        <is>
          <t>4Q26  FX effect on ADR</t>
        </is>
      </c>
      <c r="B114" t="inlineStr">
        <is>
          <t>pp</t>
        </is>
      </c>
      <c r="C114" s="8" t="n">
        <v>-1.42</v>
      </c>
      <c r="D114" s="8" t="n">
        <v>-0.36</v>
      </c>
      <c r="E114" s="8" t="n">
        <v>0.7</v>
      </c>
      <c r="F114" s="9">
        <f>CHOOSE(Inputs!$B$4,C114,D114,E114)</f>
        <v/>
      </c>
      <c r="G114" s="2" t="inlineStr">
        <is>
          <t>WS05 05_fx_schedule.csv broad-USD ADR fit, re-estimated by WS08 (r 0.96)</t>
        </is>
      </c>
    </row>
    <row r="115">
      <c r="A115" t="inlineStr">
        <is>
          <t>4Q26  Adj. EBITDA margin (2026 quarters only)</t>
        </is>
      </c>
      <c r="B115" t="inlineStr">
        <is>
          <t>%</t>
        </is>
      </c>
      <c r="C115" s="8" t="n">
        <v>26.5</v>
      </c>
      <c r="D115" s="8" t="n">
        <v>32.5</v>
      </c>
      <c r="E115" s="8" t="n">
        <v>36.8</v>
      </c>
      <c r="F115" s="9">
        <f>CHOOSE(Inputs!$B$4,C115,D115,E115)</f>
        <v/>
      </c>
      <c r="G115" s="2" t="inlineStr">
        <is>
          <t>WS07 implied-Q4 table</t>
        </is>
      </c>
    </row>
    <row r="116">
      <c r="A116" t="inlineStr">
        <is>
          <t>1Q27  North America nights growth</t>
        </is>
      </c>
      <c r="B116" t="inlineStr">
        <is>
          <t>y/y %</t>
        </is>
      </c>
      <c r="C116" s="8" t="n">
        <v>3</v>
      </c>
      <c r="D116" s="8" t="n">
        <v>6</v>
      </c>
      <c r="E116" s="8" t="n">
        <v>8</v>
      </c>
      <c r="F116" s="9">
        <f>CHOOSE(Inputs!$B$4,C116,D116,E116)</f>
        <v/>
      </c>
      <c r="G116" s="2" t="inlineStr">
        <is>
          <t>WS10 10_regional_forecast.csv</t>
        </is>
      </c>
    </row>
    <row r="117">
      <c r="A117" t="inlineStr">
        <is>
          <t>1Q27  EMEA nights growth</t>
        </is>
      </c>
      <c r="B117" t="inlineStr">
        <is>
          <t>y/y %</t>
        </is>
      </c>
      <c r="C117" s="8" t="n">
        <v>4</v>
      </c>
      <c r="D117" s="8" t="n">
        <v>7</v>
      </c>
      <c r="E117" s="8" t="n">
        <v>9</v>
      </c>
      <c r="F117" s="9">
        <f>CHOOSE(Inputs!$B$4,C117,D117,E117)</f>
        <v/>
      </c>
      <c r="G117" s="2" t="inlineStr">
        <is>
          <t>WS10 10_regional_forecast.csv</t>
        </is>
      </c>
    </row>
    <row r="118">
      <c r="A118" t="inlineStr">
        <is>
          <t>1Q27  Latin America nights growth</t>
        </is>
      </c>
      <c r="B118" t="inlineStr">
        <is>
          <t>y/y %</t>
        </is>
      </c>
      <c r="C118" s="8" t="n">
        <v>12</v>
      </c>
      <c r="D118" s="8" t="n">
        <v>16</v>
      </c>
      <c r="E118" s="8" t="n">
        <v>19</v>
      </c>
      <c r="F118" s="9">
        <f>CHOOSE(Inputs!$B$4,C118,D118,E118)</f>
        <v/>
      </c>
      <c r="G118" s="2" t="inlineStr">
        <is>
          <t>WS10 10_regional_forecast.csv</t>
        </is>
      </c>
    </row>
    <row r="119">
      <c r="A119" t="inlineStr">
        <is>
          <t>1Q27  Asia Pacific nights growth</t>
        </is>
      </c>
      <c r="B119" t="inlineStr">
        <is>
          <t>y/y %</t>
        </is>
      </c>
      <c r="C119" s="8" t="n">
        <v>11</v>
      </c>
      <c r="D119" s="8" t="n">
        <v>15</v>
      </c>
      <c r="E119" s="8" t="n">
        <v>18</v>
      </c>
      <c r="F119" s="9">
        <f>CHOOSE(Inputs!$B$4,C119,D119,E119)</f>
        <v/>
      </c>
      <c r="G119" s="2" t="inlineStr">
        <is>
          <t>WS10 10_regional_forecast.csv</t>
        </is>
      </c>
    </row>
    <row r="120">
      <c r="A120" t="inlineStr">
        <is>
          <t>1Q27  ADR ex-FX growth</t>
        </is>
      </c>
      <c r="B120" t="inlineStr">
        <is>
          <t>y/y %</t>
        </is>
      </c>
      <c r="C120" s="8" t="n">
        <v>1</v>
      </c>
      <c r="D120" s="8" t="n">
        <v>2.5</v>
      </c>
      <c r="E120" s="8" t="n">
        <v>3.5</v>
      </c>
      <c r="F120" s="9">
        <f>CHOOSE(Inputs!$B$4,C120,D120,E120)</f>
        <v/>
      </c>
      <c r="G120" s="2" t="inlineStr">
        <is>
          <t>WS10 (2026 quarters); WS06 and WS07 both +2.5% base for FY27</t>
        </is>
      </c>
    </row>
    <row r="121">
      <c r="A121" t="inlineStr">
        <is>
          <t>1Q27  FX effect on revenue</t>
        </is>
      </c>
      <c r="B121" t="inlineStr">
        <is>
          <t>pp</t>
        </is>
      </c>
      <c r="C121" s="8" t="n">
        <v>-1.56</v>
      </c>
      <c r="D121" s="8" t="n">
        <v>-1.03</v>
      </c>
      <c r="E121" s="8" t="n">
        <v>-0.5</v>
      </c>
      <c r="F121" s="9">
        <f>CHOOSE(Inputs!$B$4,C121,D121,E121)</f>
        <v/>
      </c>
      <c r="G121" s="2" t="inlineStr">
        <is>
          <t>WS05 05_fx_schedule.csv, lagged fit; bear = strong_usd, bull = weak_usd</t>
        </is>
      </c>
    </row>
    <row r="122">
      <c r="A122" t="inlineStr">
        <is>
          <t>1Q27  FX effect on ADR</t>
        </is>
      </c>
      <c r="B122" t="inlineStr">
        <is>
          <t>pp</t>
        </is>
      </c>
      <c r="C122" s="8" t="n">
        <v>-2.68</v>
      </c>
      <c r="D122" s="8" t="n">
        <v>-0.4</v>
      </c>
      <c r="E122" s="8" t="n">
        <v>1.18</v>
      </c>
      <c r="F122" s="9">
        <f>CHOOSE(Inputs!$B$4,C122,D122,E122)</f>
        <v/>
      </c>
      <c r="G122" s="2" t="inlineStr">
        <is>
          <t>WS05 05_fx_schedule.csv broad-USD ADR fit, re-estimated by WS08 (r 0.96)</t>
        </is>
      </c>
    </row>
    <row r="124">
      <c r="A124" t="inlineStr">
        <is>
          <t>2Q27  North America nights growth</t>
        </is>
      </c>
      <c r="B124" t="inlineStr">
        <is>
          <t>y/y %</t>
        </is>
      </c>
      <c r="C124" s="8" t="n">
        <v>3</v>
      </c>
      <c r="D124" s="8" t="n">
        <v>6</v>
      </c>
      <c r="E124" s="8" t="n">
        <v>8</v>
      </c>
      <c r="F124" s="9">
        <f>CHOOSE(Inputs!$B$4,C124,D124,E124)</f>
        <v/>
      </c>
      <c r="G124" s="2" t="inlineStr">
        <is>
          <t>WS10 10_regional_forecast.csv</t>
        </is>
      </c>
    </row>
    <row r="125">
      <c r="A125" t="inlineStr">
        <is>
          <t>2Q27  EMEA nights growth</t>
        </is>
      </c>
      <c r="B125" t="inlineStr">
        <is>
          <t>y/y %</t>
        </is>
      </c>
      <c r="C125" s="8" t="n">
        <v>4</v>
      </c>
      <c r="D125" s="8" t="n">
        <v>7</v>
      </c>
      <c r="E125" s="8" t="n">
        <v>9</v>
      </c>
      <c r="F125" s="9">
        <f>CHOOSE(Inputs!$B$4,C125,D125,E125)</f>
        <v/>
      </c>
      <c r="G125" s="2" t="inlineStr">
        <is>
          <t>WS10 10_regional_forecast.csv</t>
        </is>
      </c>
    </row>
    <row r="126">
      <c r="A126" t="inlineStr">
        <is>
          <t>2Q27  Latin America nights growth</t>
        </is>
      </c>
      <c r="B126" t="inlineStr">
        <is>
          <t>y/y %</t>
        </is>
      </c>
      <c r="C126" s="8" t="n">
        <v>12</v>
      </c>
      <c r="D126" s="8" t="n">
        <v>16</v>
      </c>
      <c r="E126" s="8" t="n">
        <v>19</v>
      </c>
      <c r="F126" s="9">
        <f>CHOOSE(Inputs!$B$4,C126,D126,E126)</f>
        <v/>
      </c>
      <c r="G126" s="2" t="inlineStr">
        <is>
          <t>WS10 10_regional_forecast.csv</t>
        </is>
      </c>
    </row>
    <row r="127">
      <c r="A127" t="inlineStr">
        <is>
          <t>2Q27  Asia Pacific nights growth</t>
        </is>
      </c>
      <c r="B127" t="inlineStr">
        <is>
          <t>y/y %</t>
        </is>
      </c>
      <c r="C127" s="8" t="n">
        <v>11</v>
      </c>
      <c r="D127" s="8" t="n">
        <v>15</v>
      </c>
      <c r="E127" s="8" t="n">
        <v>18</v>
      </c>
      <c r="F127" s="9">
        <f>CHOOSE(Inputs!$B$4,C127,D127,E127)</f>
        <v/>
      </c>
      <c r="G127" s="2" t="inlineStr">
        <is>
          <t>WS10 10_regional_forecast.csv</t>
        </is>
      </c>
    </row>
    <row r="128">
      <c r="A128" t="inlineStr">
        <is>
          <t>2Q27  ADR ex-FX growth</t>
        </is>
      </c>
      <c r="B128" t="inlineStr">
        <is>
          <t>y/y %</t>
        </is>
      </c>
      <c r="C128" s="8" t="n">
        <v>1</v>
      </c>
      <c r="D128" s="8" t="n">
        <v>2.5</v>
      </c>
      <c r="E128" s="8" t="n">
        <v>3.5</v>
      </c>
      <c r="F128" s="9">
        <f>CHOOSE(Inputs!$B$4,C128,D128,E128)</f>
        <v/>
      </c>
      <c r="G128" s="2" t="inlineStr">
        <is>
          <t>WS10 (2026 quarters); WS06 and WS07 both +2.5% base for FY27</t>
        </is>
      </c>
    </row>
    <row r="129">
      <c r="A129" t="inlineStr">
        <is>
          <t>2Q27  FX effect on revenue</t>
        </is>
      </c>
      <c r="B129" t="inlineStr">
        <is>
          <t>pp</t>
        </is>
      </c>
      <c r="C129" s="8" t="n">
        <v>-2.48</v>
      </c>
      <c r="D129" s="8" t="n">
        <v>-0.8</v>
      </c>
      <c r="E129" s="8" t="n">
        <v>0.53</v>
      </c>
      <c r="F129" s="9">
        <f>CHOOSE(Inputs!$B$4,C129,D129,E129)</f>
        <v/>
      </c>
      <c r="G129" s="2" t="inlineStr">
        <is>
          <t>WS05 05_fx_schedule.csv, lagged fit; bear = strong_usd, bull = weak_usd</t>
        </is>
      </c>
    </row>
    <row r="130">
      <c r="A130" t="inlineStr">
        <is>
          <t>2Q27  FX effect on ADR</t>
        </is>
      </c>
      <c r="B130" t="inlineStr">
        <is>
          <t>pp</t>
        </is>
      </c>
      <c r="C130" s="8" t="n">
        <v>-2.81</v>
      </c>
      <c r="D130" s="8" t="n">
        <v>0.02</v>
      </c>
      <c r="E130" s="8" t="n">
        <v>2.15</v>
      </c>
      <c r="F130" s="9">
        <f>CHOOSE(Inputs!$B$4,C130,D130,E130)</f>
        <v/>
      </c>
      <c r="G130" s="2" t="inlineStr">
        <is>
          <t>WS05 05_fx_schedule.csv broad-USD ADR fit, re-estimated by WS08 (r 0.96)</t>
        </is>
      </c>
    </row>
    <row r="132">
      <c r="A132" t="inlineStr">
        <is>
          <t>3Q27  North America nights growth</t>
        </is>
      </c>
      <c r="B132" t="inlineStr">
        <is>
          <t>y/y %</t>
        </is>
      </c>
      <c r="C132" s="8" t="n">
        <v>3</v>
      </c>
      <c r="D132" s="8" t="n">
        <v>6</v>
      </c>
      <c r="E132" s="8" t="n">
        <v>8</v>
      </c>
      <c r="F132" s="9">
        <f>CHOOSE(Inputs!$B$4,C132,D132,E132)</f>
        <v/>
      </c>
      <c r="G132" s="2" t="inlineStr">
        <is>
          <t>WS10 10_regional_forecast.csv</t>
        </is>
      </c>
    </row>
    <row r="133">
      <c r="A133" t="inlineStr">
        <is>
          <t>3Q27  EMEA nights growth</t>
        </is>
      </c>
      <c r="B133" t="inlineStr">
        <is>
          <t>y/y %</t>
        </is>
      </c>
      <c r="C133" s="8" t="n">
        <v>4</v>
      </c>
      <c r="D133" s="8" t="n">
        <v>7</v>
      </c>
      <c r="E133" s="8" t="n">
        <v>9</v>
      </c>
      <c r="F133" s="9">
        <f>CHOOSE(Inputs!$B$4,C133,D133,E133)</f>
        <v/>
      </c>
      <c r="G133" s="2" t="inlineStr">
        <is>
          <t>WS10 10_regional_forecast.csv</t>
        </is>
      </c>
    </row>
    <row r="134">
      <c r="A134" t="inlineStr">
        <is>
          <t>3Q27  Latin America nights growth</t>
        </is>
      </c>
      <c r="B134" t="inlineStr">
        <is>
          <t>y/y %</t>
        </is>
      </c>
      <c r="C134" s="8" t="n">
        <v>12</v>
      </c>
      <c r="D134" s="8" t="n">
        <v>16</v>
      </c>
      <c r="E134" s="8" t="n">
        <v>19</v>
      </c>
      <c r="F134" s="9">
        <f>CHOOSE(Inputs!$B$4,C134,D134,E134)</f>
        <v/>
      </c>
      <c r="G134" s="2" t="inlineStr">
        <is>
          <t>WS10 10_regional_forecast.csv</t>
        </is>
      </c>
    </row>
    <row r="135">
      <c r="A135" t="inlineStr">
        <is>
          <t>3Q27  Asia Pacific nights growth</t>
        </is>
      </c>
      <c r="B135" t="inlineStr">
        <is>
          <t>y/y %</t>
        </is>
      </c>
      <c r="C135" s="8" t="n">
        <v>11</v>
      </c>
      <c r="D135" s="8" t="n">
        <v>15</v>
      </c>
      <c r="E135" s="8" t="n">
        <v>18</v>
      </c>
      <c r="F135" s="9">
        <f>CHOOSE(Inputs!$B$4,C135,D135,E135)</f>
        <v/>
      </c>
      <c r="G135" s="2" t="inlineStr">
        <is>
          <t>WS10 10_regional_forecast.csv</t>
        </is>
      </c>
    </row>
    <row r="136">
      <c r="A136" t="inlineStr">
        <is>
          <t>3Q27  ADR ex-FX growth</t>
        </is>
      </c>
      <c r="B136" t="inlineStr">
        <is>
          <t>y/y %</t>
        </is>
      </c>
      <c r="C136" s="8" t="n">
        <v>1</v>
      </c>
      <c r="D136" s="8" t="n">
        <v>2.5</v>
      </c>
      <c r="E136" s="8" t="n">
        <v>3.5</v>
      </c>
      <c r="F136" s="9">
        <f>CHOOSE(Inputs!$B$4,C136,D136,E136)</f>
        <v/>
      </c>
      <c r="G136" s="2" t="inlineStr">
        <is>
          <t>WS10 (2026 quarters); WS06 and WS07 both +2.5% base for FY27</t>
        </is>
      </c>
    </row>
    <row r="137">
      <c r="A137" t="inlineStr">
        <is>
          <t>3Q27  FX effect on revenue</t>
        </is>
      </c>
      <c r="B137" t="inlineStr">
        <is>
          <t>pp</t>
        </is>
      </c>
      <c r="C137" s="8" t="n">
        <v>-3.18</v>
      </c>
      <c r="D137" s="8" t="n">
        <v>-0.61</v>
      </c>
      <c r="E137" s="8" t="n">
        <v>1.25</v>
      </c>
      <c r="F137" s="9">
        <f>CHOOSE(Inputs!$B$4,C137,D137,E137)</f>
        <v/>
      </c>
      <c r="G137" s="2" t="inlineStr">
        <is>
          <t>WS05 05_fx_schedule.csv, lagged fit; bear = strong_usd, bull = weak_usd</t>
        </is>
      </c>
    </row>
    <row r="138">
      <c r="A138" t="inlineStr">
        <is>
          <t>3Q27  FX effect on ADR</t>
        </is>
      </c>
      <c r="B138" t="inlineStr">
        <is>
          <t>pp</t>
        </is>
      </c>
      <c r="C138" s="8" t="n">
        <v>-2.38</v>
      </c>
      <c r="D138" s="8" t="n">
        <v>0.66</v>
      </c>
      <c r="E138" s="8" t="n">
        <v>2.99</v>
      </c>
      <c r="F138" s="9">
        <f>CHOOSE(Inputs!$B$4,C138,D138,E138)</f>
        <v/>
      </c>
      <c r="G138" s="2" t="inlineStr">
        <is>
          <t>WS05 05_fx_schedule.csv broad-USD ADR fit, re-estimated by WS08 (r 0.96)</t>
        </is>
      </c>
    </row>
    <row r="140">
      <c r="A140" t="inlineStr">
        <is>
          <t>4Q27  North America nights growth</t>
        </is>
      </c>
      <c r="B140" t="inlineStr">
        <is>
          <t>y/y %</t>
        </is>
      </c>
      <c r="C140" s="8" t="n">
        <v>3</v>
      </c>
      <c r="D140" s="8" t="n">
        <v>6</v>
      </c>
      <c r="E140" s="8" t="n">
        <v>8</v>
      </c>
      <c r="F140" s="9">
        <f>CHOOSE(Inputs!$B$4,C140,D140,E140)</f>
        <v/>
      </c>
      <c r="G140" s="2" t="inlineStr">
        <is>
          <t>WS10 10_regional_forecast.csv</t>
        </is>
      </c>
    </row>
    <row r="141">
      <c r="A141" t="inlineStr">
        <is>
          <t>4Q27  EMEA nights growth</t>
        </is>
      </c>
      <c r="B141" t="inlineStr">
        <is>
          <t>y/y %</t>
        </is>
      </c>
      <c r="C141" s="8" t="n">
        <v>4</v>
      </c>
      <c r="D141" s="8" t="n">
        <v>7</v>
      </c>
      <c r="E141" s="8" t="n">
        <v>9</v>
      </c>
      <c r="F141" s="9">
        <f>CHOOSE(Inputs!$B$4,C141,D141,E141)</f>
        <v/>
      </c>
      <c r="G141" s="2" t="inlineStr">
        <is>
          <t>WS10 10_regional_forecast.csv</t>
        </is>
      </c>
    </row>
    <row r="142">
      <c r="A142" t="inlineStr">
        <is>
          <t>4Q27  Latin America nights growth</t>
        </is>
      </c>
      <c r="B142" t="inlineStr">
        <is>
          <t>y/y %</t>
        </is>
      </c>
      <c r="C142" s="8" t="n">
        <v>12</v>
      </c>
      <c r="D142" s="8" t="n">
        <v>16</v>
      </c>
      <c r="E142" s="8" t="n">
        <v>19</v>
      </c>
      <c r="F142" s="9">
        <f>CHOOSE(Inputs!$B$4,C142,D142,E142)</f>
        <v/>
      </c>
      <c r="G142" s="2" t="inlineStr">
        <is>
          <t>WS10 10_regional_forecast.csv</t>
        </is>
      </c>
    </row>
    <row r="143">
      <c r="A143" t="inlineStr">
        <is>
          <t>4Q27  Asia Pacific nights growth</t>
        </is>
      </c>
      <c r="B143" t="inlineStr">
        <is>
          <t>y/y %</t>
        </is>
      </c>
      <c r="C143" s="8" t="n">
        <v>11</v>
      </c>
      <c r="D143" s="8" t="n">
        <v>15</v>
      </c>
      <c r="E143" s="8" t="n">
        <v>18</v>
      </c>
      <c r="F143" s="9">
        <f>CHOOSE(Inputs!$B$4,C143,D143,E143)</f>
        <v/>
      </c>
      <c r="G143" s="2" t="inlineStr">
        <is>
          <t>WS10 10_regional_forecast.csv</t>
        </is>
      </c>
    </row>
    <row r="144">
      <c r="A144" t="inlineStr">
        <is>
          <t>4Q27  ADR ex-FX growth</t>
        </is>
      </c>
      <c r="B144" t="inlineStr">
        <is>
          <t>y/y %</t>
        </is>
      </c>
      <c r="C144" s="8" t="n">
        <v>1</v>
      </c>
      <c r="D144" s="8" t="n">
        <v>2.5</v>
      </c>
      <c r="E144" s="8" t="n">
        <v>3.5</v>
      </c>
      <c r="F144" s="9">
        <f>CHOOSE(Inputs!$B$4,C144,D144,E144)</f>
        <v/>
      </c>
      <c r="G144" s="2" t="inlineStr">
        <is>
          <t>WS10 (2026 quarters); WS06 and WS07 both +2.5% base for FY27</t>
        </is>
      </c>
    </row>
    <row r="145">
      <c r="A145" t="inlineStr">
        <is>
          <t>4Q27  FX effect on revenue</t>
        </is>
      </c>
      <c r="B145" t="inlineStr">
        <is>
          <t>pp</t>
        </is>
      </c>
      <c r="C145" s="8" t="n">
        <v>-3.02</v>
      </c>
      <c r="D145" s="8" t="n">
        <v>-0.07000000000000001</v>
      </c>
      <c r="E145" s="8" t="n">
        <v>2.16</v>
      </c>
      <c r="F145" s="9">
        <f>CHOOSE(Inputs!$B$4,C145,D145,E145)</f>
        <v/>
      </c>
      <c r="G145" s="2" t="inlineStr">
        <is>
          <t>WS05 05_fx_schedule.csv, lagged fit; bear = strong_usd, bull = weak_usd</t>
        </is>
      </c>
    </row>
    <row r="146">
      <c r="A146" t="inlineStr">
        <is>
          <t>4Q27  FX effect on ADR</t>
        </is>
      </c>
      <c r="B146" t="inlineStr">
        <is>
          <t>pp</t>
        </is>
      </c>
      <c r="C146" s="8" t="n">
        <v>-1.31</v>
      </c>
      <c r="D146" s="8" t="n">
        <v>0.49</v>
      </c>
      <c r="E146" s="8" t="n">
        <v>1.86</v>
      </c>
      <c r="F146" s="9">
        <f>CHOOSE(Inputs!$B$4,C146,D146,E146)</f>
        <v/>
      </c>
      <c r="G146" s="2" t="inlineStr">
        <is>
          <t>WS05 05_fx_schedule.csv broad-USD ADR fit, re-estimated by WS08 (r 0.96)</t>
        </is>
      </c>
    </row>
    <row r="149">
      <c r="A149" s="5" t="inlineStr">
        <is>
          <t>D. REGULATORY NIGHTS DRAG (WS11 median, incremental pp of y/y growth)</t>
        </is>
      </c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</row>
    <row r="150">
      <c r="A150" s="7" t="inlineStr">
        <is>
          <t>Year / region</t>
        </is>
      </c>
      <c r="B150" s="7" t="inlineStr">
        <is>
          <t>Unit</t>
        </is>
      </c>
      <c r="C150" s="7" t="inlineStr">
        <is>
          <t>Value</t>
        </is>
      </c>
      <c r="D150" s="7" t="inlineStr"/>
      <c r="E150" s="7" t="inlineStr"/>
      <c r="F150" s="7" t="inlineStr"/>
      <c r="G150" s="7" t="inlineStr">
        <is>
          <t>Source</t>
        </is>
      </c>
    </row>
    <row r="151">
      <c r="A151" t="inlineStr">
        <is>
          <t>FY2026  North America</t>
        </is>
      </c>
      <c r="B151" t="inlineStr">
        <is>
          <t>pp</t>
        </is>
      </c>
      <c r="C151" s="8" t="n">
        <v>0.03</v>
      </c>
      <c r="G151" s="2" t="inlineStr">
        <is>
          <t>WS11 11_regulatory_overlay.csv, regenerated after the WS22 (audit A06) conditional-dependency repair; cumulative run-rate loss vs the 2Q26 baseline (EMEA 0.36 / 1.07 / 2.03%, NA 0.03 / 0.08 / 0.15%), differenced into a y/y growth drag. Scaled by the 'Regulatory drag multiplier' above.</t>
        </is>
      </c>
    </row>
    <row r="152">
      <c r="A152" t="inlineStr">
        <is>
          <t>FY2026  EMEA</t>
        </is>
      </c>
      <c r="B152" t="inlineStr">
        <is>
          <t>pp</t>
        </is>
      </c>
      <c r="C152" s="8" t="n">
        <v>0.36</v>
      </c>
      <c r="G152" s="2" t="inlineStr">
        <is>
          <t>WS11 11_regulatory_overlay.csv, regenerated after the WS22 (audit A06) conditional-dependency repair; cumulative run-rate loss vs the 2Q26 baseline (EMEA 0.36 / 1.07 / 2.03%, NA 0.03 / 0.08 / 0.15%), differenced into a y/y growth drag. Scaled by the 'Regulatory drag multiplier' above.</t>
        </is>
      </c>
    </row>
    <row r="153">
      <c r="A153" t="inlineStr">
        <is>
          <t>FY2026  Latin America</t>
        </is>
      </c>
      <c r="B153" t="inlineStr">
        <is>
          <t>pp</t>
        </is>
      </c>
      <c r="C153" s="8" t="n">
        <v>0</v>
      </c>
      <c r="G153" s="2" t="inlineStr">
        <is>
          <t>WS11 11_regulatory_overlay.csv, regenerated after the WS22 (audit A06) conditional-dependency repair; cumulative run-rate loss vs the 2Q26 baseline (EMEA 0.36 / 1.07 / 2.03%, NA 0.03 / 0.08 / 0.15%), differenced into a y/y growth drag. Scaled by the 'Regulatory drag multiplier' above.</t>
        </is>
      </c>
    </row>
    <row r="154">
      <c r="A154" t="inlineStr">
        <is>
          <t>FY2026  Asia Pacific</t>
        </is>
      </c>
      <c r="B154" t="inlineStr">
        <is>
          <t>pp</t>
        </is>
      </c>
      <c r="C154" s="8" t="n">
        <v>0</v>
      </c>
      <c r="G154" s="2" t="inlineStr">
        <is>
          <t>WS11 11_regulatory_overlay.csv, regenerated after the WS22 (audit A06) conditional-dependency repair; cumulative run-rate loss vs the 2Q26 baseline (EMEA 0.36 / 1.07 / 2.03%, NA 0.03 / 0.08 / 0.15%), differenced into a y/y growth drag. Scaled by the 'Regulatory drag multiplier' above.</t>
        </is>
      </c>
    </row>
    <row r="155">
      <c r="A155" t="inlineStr">
        <is>
          <t>FY2027  North America</t>
        </is>
      </c>
      <c r="B155" t="inlineStr">
        <is>
          <t>pp</t>
        </is>
      </c>
      <c r="C155" s="8" t="n">
        <v>0.05</v>
      </c>
      <c r="G155" s="2" t="inlineStr">
        <is>
          <t>WS11 11_regulatory_overlay.csv, regenerated after the WS22 (audit A06) conditional-dependency repair; cumulative run-rate loss vs the 2Q26 baseline (EMEA 0.36 / 1.07 / 2.03%, NA 0.03 / 0.08 / 0.15%), differenced into a y/y growth drag. Scaled by the 'Regulatory drag multiplier' above.</t>
        </is>
      </c>
    </row>
    <row r="156">
      <c r="A156" t="inlineStr">
        <is>
          <t>FY2027  EMEA</t>
        </is>
      </c>
      <c r="B156" t="inlineStr">
        <is>
          <t>pp</t>
        </is>
      </c>
      <c r="C156" s="8" t="n">
        <v>0.71</v>
      </c>
      <c r="G156" s="2" t="inlineStr">
        <is>
          <t>WS11 11_regulatory_overlay.csv, regenerated after the WS22 (audit A06) conditional-dependency repair; cumulative run-rate loss vs the 2Q26 baseline (EMEA 0.36 / 1.07 / 2.03%, NA 0.03 / 0.08 / 0.15%), differenced into a y/y growth drag. Scaled by the 'Regulatory drag multiplier' above.</t>
        </is>
      </c>
    </row>
    <row r="157">
      <c r="A157" t="inlineStr">
        <is>
          <t>FY2027  Latin America</t>
        </is>
      </c>
      <c r="B157" t="inlineStr">
        <is>
          <t>pp</t>
        </is>
      </c>
      <c r="C157" s="8" t="n">
        <v>0</v>
      </c>
      <c r="G157" s="2" t="inlineStr">
        <is>
          <t>WS11 11_regulatory_overlay.csv, regenerated after the WS22 (audit A06) conditional-dependency repair; cumulative run-rate loss vs the 2Q26 baseline (EMEA 0.36 / 1.07 / 2.03%, NA 0.03 / 0.08 / 0.15%), differenced into a y/y growth drag. Scaled by the 'Regulatory drag multiplier' above.</t>
        </is>
      </c>
    </row>
    <row r="158">
      <c r="A158" t="inlineStr">
        <is>
          <t>FY2027  Asia Pacific</t>
        </is>
      </c>
      <c r="B158" t="inlineStr">
        <is>
          <t>pp</t>
        </is>
      </c>
      <c r="C158" s="8" t="n">
        <v>0</v>
      </c>
      <c r="G158" s="2" t="inlineStr">
        <is>
          <t>WS11 11_regulatory_overlay.csv, regenerated after the WS22 (audit A06) conditional-dependency repair; cumulative run-rate loss vs the 2Q26 baseline (EMEA 0.36 / 1.07 / 2.03%, NA 0.03 / 0.08 / 0.15%), differenced into a y/y growth drag. Scaled by the 'Regulatory drag multiplier' above.</t>
        </is>
      </c>
    </row>
    <row r="159">
      <c r="A159" t="inlineStr">
        <is>
          <t>FY2028  North America</t>
        </is>
      </c>
      <c r="B159" t="inlineStr">
        <is>
          <t>pp</t>
        </is>
      </c>
      <c r="C159" s="8" t="n">
        <v>0.07000000000000001</v>
      </c>
      <c r="G159" s="2" t="inlineStr">
        <is>
          <t>WS11 11_regulatory_overlay.csv, regenerated after the WS22 (audit A06) conditional-dependency repair; cumulative run-rate loss vs the 2Q26 baseline (EMEA 0.36 / 1.07 / 2.03%, NA 0.03 / 0.08 / 0.15%), differenced into a y/y growth drag. Scaled by the 'Regulatory drag multiplier' above.</t>
        </is>
      </c>
    </row>
    <row r="160">
      <c r="A160" t="inlineStr">
        <is>
          <t>FY2028  EMEA</t>
        </is>
      </c>
      <c r="B160" t="inlineStr">
        <is>
          <t>pp</t>
        </is>
      </c>
      <c r="C160" s="8" t="n">
        <v>0.96</v>
      </c>
      <c r="G160" s="2" t="inlineStr">
        <is>
          <t>WS11 11_regulatory_overlay.csv, regenerated after the WS22 (audit A06) conditional-dependency repair; cumulative run-rate loss vs the 2Q26 baseline (EMEA 0.36 / 1.07 / 2.03%, NA 0.03 / 0.08 / 0.15%), differenced into a y/y growth drag. Scaled by the 'Regulatory drag multiplier' above.</t>
        </is>
      </c>
    </row>
    <row r="161">
      <c r="A161" t="inlineStr">
        <is>
          <t>FY2028  Latin America</t>
        </is>
      </c>
      <c r="B161" t="inlineStr">
        <is>
          <t>pp</t>
        </is>
      </c>
      <c r="C161" s="8" t="n">
        <v>0</v>
      </c>
      <c r="G161" s="2" t="inlineStr">
        <is>
          <t>WS11 11_regulatory_overlay.csv, regenerated after the WS22 (audit A06) conditional-dependency repair; cumulative run-rate loss vs the 2Q26 baseline (EMEA 0.36 / 1.07 / 2.03%, NA 0.03 / 0.08 / 0.15%), differenced into a y/y growth drag. Scaled by the 'Regulatory drag multiplier' above.</t>
        </is>
      </c>
    </row>
    <row r="162">
      <c r="A162" t="inlineStr">
        <is>
          <t>FY2028  Asia Pacific</t>
        </is>
      </c>
      <c r="B162" t="inlineStr">
        <is>
          <t>pp</t>
        </is>
      </c>
      <c r="C162" s="8" t="n">
        <v>0</v>
      </c>
      <c r="G162" s="2" t="inlineStr">
        <is>
          <t>WS11 11_regulatory_overlay.csv, regenerated after the WS22 (audit A06) conditional-dependency repair; cumulative run-rate loss vs the 2Q26 baseline (EMEA 0.36 / 1.07 / 2.03%, NA 0.03 / 0.08 / 0.15%), differenced into a y/y growth drag. Scaled by the 'Regulatory drag multiplier' above.</t>
        </is>
      </c>
    </row>
    <row r="164">
      <c r="A164" s="5" t="inlineStr">
        <is>
          <t>E. DOCUMENTED ALTERNATIVES - values a workstream supplied that lost the base-case argument. Not referenced by any formula; swap them in deliberately.</t>
        </is>
      </c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</row>
    <row r="165">
      <c r="A165" s="7" t="inlineStr">
        <is>
          <t>Item</t>
        </is>
      </c>
      <c r="B165" s="7" t="inlineStr">
        <is>
          <t>Alternative (not used)</t>
        </is>
      </c>
      <c r="C165" s="7" t="inlineStr">
        <is>
          <t>In the base case</t>
        </is>
      </c>
      <c r="D165" s="7" t="inlineStr"/>
      <c r="E165" s="7" t="inlineStr"/>
      <c r="F165" s="7" t="inlineStr"/>
      <c r="G165" s="7" t="inlineStr">
        <is>
          <t>Why the base wins</t>
        </is>
      </c>
    </row>
    <row r="166">
      <c r="A166" s="16" t="inlineStr">
        <is>
          <t>FY27 revenue FX</t>
        </is>
      </c>
      <c r="B166" s="16" t="inlineStr">
        <is>
          <t>0.0 pp -- contemporaneous FX (WS10, and the 5 Sep driver model)</t>
        </is>
      </c>
      <c r="C166" s="16" t="inlineStr">
        <is>
          <t>-0.63 pp -- WS05 lagged fit (in the base)</t>
        </is>
      </c>
      <c r="G166" s="17" t="inlineStr">
        <is>
          <t>WS05 fits revenue FX on the mean EUR/USD y/y at t-1 and t-2 (n 17, r 0.80) and validates it against the guided +3.0pp for 3Q26. The contemporaneous version has no such validation and 84% of the 4Q26 driver is already realised.</t>
        </is>
      </c>
    </row>
    <row r="167">
      <c r="A167" s="16" t="inlineStr">
        <is>
          <t>3Q26 revenue FX</t>
        </is>
      </c>
      <c r="B167" s="16" t="inlineStr">
        <is>
          <t>+2.19 pp -- WS05 lagged fit</t>
        </is>
      </c>
      <c r="C167" s="16" t="inlineStr">
        <is>
          <t>+3.00 pp -- 2Q26 letter guide (in the base)</t>
        </is>
      </c>
      <c r="G167" s="17" t="inlineStr">
        <is>
          <t>The company quantified it; the fit's +/-0.8pp error band covers the guide.</t>
        </is>
      </c>
    </row>
    <row r="168">
      <c r="A168" s="16" t="inlineStr">
        <is>
          <t>FY27 ADR FX</t>
        </is>
      </c>
      <c r="B168" s="16" t="inlineStr">
        <is>
          <t>-0.11 pp -- WS05 EUR/USD-basis ADR fit</t>
        </is>
      </c>
      <c r="C168" s="16" t="inlineStr">
        <is>
          <t>+0.19 pp -- broad-USD-basis fit (in the base)</t>
        </is>
      </c>
      <c r="G168" s="17" t="inlineStr">
        <is>
          <t>WS08 re-estimated the broad-USD version on 2022Q2-2026Q2 (r 0.96) and walk-forward tested it at 0.44x the naive error. The choice moves the ADR/GBV display only; revenue runs off the revenue-FX line.</t>
        </is>
      </c>
    </row>
    <row r="169">
      <c r="A169" s="16" t="inlineStr">
        <is>
          <t>FY27 revenue growth</t>
        </is>
      </c>
      <c r="B169" s="16" t="inlineStr">
        <is>
          <t>+12.4% (WS10 regional build, gross of regulation, FX 0); +10.3% (WS05 probability-weighted); +11.2% (WS07 levers)</t>
        </is>
      </c>
      <c r="C169" s="16" t="inlineStr">
        <is>
          <t>model output (WS10 nights net of WS11 regulation, WS06/WS07 ADR ex-FX, WS05 FX)</t>
        </is>
      </c>
      <c r="G169" s="17" t="inlineStr">
        <is>
          <t>The base takes the only bottom-up nights build (WS10), the ADR ex-FX that two workstreams agree on (WS06 and WS07 both +2.5% against WS10's +3.0%), WS05's FX schedule and WS11's regulatory drag.</t>
        </is>
      </c>
    </row>
    <row r="170">
      <c r="A170" s="16" t="inlineStr">
        <is>
          <t>FY27 adj. EBITDA margin</t>
        </is>
      </c>
      <c r="B170" s="16" t="inlineStr">
        <is>
          <t>36.4% -- WS05 probability-weighted macro scenarios</t>
        </is>
      </c>
      <c r="C170" s="16" t="inlineStr">
        <is>
          <t>model output -- WS07 lever build (36.6% on WS07's own revenue)</t>
        </is>
      </c>
      <c r="G170" s="17" t="inlineStr">
        <is>
          <t>WS05's figure is a sensitivity-weighted overlay on WS07's base; WS07's is bottom-up by cost line. The gap is 0.2pp.</t>
        </is>
      </c>
    </row>
    <row r="171">
      <c r="A171" s="16" t="inlineStr">
        <is>
          <t>Exit multiple, FY27E EV / adj. EBITDA</t>
        </is>
      </c>
      <c r="B171" s="16" t="inlineStr">
        <is>
          <t>18 / 22 / 25.5x -- model/assumptions.md, 5 Sep</t>
        </is>
      </c>
      <c r="C171" s="16" t="inlineStr">
        <is>
          <t>13.5 / 16.5 / 18.5x -- WS12 (in the base)</t>
        </is>
      </c>
      <c r="G171" s="17" t="inlineStr">
        <is>
          <t>The 5 Sep set held today's LTM multiple flat. WS12 blends a time-series regression (+0.48 turns per point of NTM growth), a peer cross-section and an intrinsic fade DCF; all three land below 22x.</t>
        </is>
      </c>
    </row>
    <row r="172">
      <c r="A172" s="16" t="inlineStr">
        <is>
          <t>Cost of equity</t>
        </is>
      </c>
      <c r="B172" s="16" t="inlineStr">
        <is>
          <t>10.3% -- WS12 CAPM on beta 1.161</t>
        </is>
      </c>
      <c r="C172" s="16" t="inlineStr">
        <is>
          <t>10.5% -- WS09 low end (in the base)</t>
        </is>
      </c>
      <c r="G172" s="17" t="inlineStr">
        <is>
          <t>WS09 estimated beta over several windows and factor models (1.16-1.32) and recommends 10.5-11.5%.</t>
        </is>
      </c>
    </row>
    <row r="173">
      <c r="A173" s="16" t="inlineStr">
        <is>
          <t>FY27 AI referral cost</t>
        </is>
      </c>
      <c r="B173" s="16" t="inlineStr">
        <is>
          <t>1.14% of revenue -- WS11 mid</t>
        </is>
      </c>
      <c r="C173" s="16" t="inlineStr">
        <is>
          <t>0.38% -- WS11 low (in the base)</t>
        </is>
      </c>
      <c r="G173" s="17" t="inlineStr">
        <is>
          <t>WS11's own evidence (Booking put AI tools at &lt;1% of room nights in 2Q26; the Third Bridge AI expert sees no EBITDA impact for 12-24 months) puts the mid case beyond 2027.</t>
        </is>
      </c>
    </row>
    <row r="174">
      <c r="A174" s="16" t="inlineStr">
        <is>
          <t>New-business uplift</t>
        </is>
      </c>
      <c r="B174" s="16" t="inlineStr">
        <is>
          <t>the full WS11 incremental column ($412M FY27 base)</t>
        </is>
      </c>
      <c r="C174" s="16" t="inlineStr">
        <is>
          <t>sponsored listings + Services only (in the base)</t>
        </is>
      </c>
      <c r="G174" s="17" t="inlineStr">
        <is>
          <t>Hotel and Experiences nights are already inside 'nights and experiences booked' and therefore inside the nights build; only ads and Services sit outside GBV x take rate.</t>
        </is>
      </c>
    </row>
    <row r="175">
      <c r="A175" s="16" t="inlineStr">
        <is>
          <t>Regulatory drag</t>
        </is>
      </c>
      <c r="B175" s="16" t="inlineStr">
        <is>
          <t>0.75% of FY27 revenue -- WS11 mean, applied globally</t>
        </is>
      </c>
      <c r="C175" s="16" t="inlineStr">
        <is>
          <t>regional nights drag: EMEA -0.71pp, NA -0.05pp of FY27 nights growth -- WS11 median</t>
        </is>
      </c>
      <c r="G175" s="17" t="inlineStr">
        <is>
          <t>WS01's census recommends applying the drag to EMEA nights rather than to global revenue; they are the same loss expressed differently.</t>
        </is>
      </c>
    </row>
    <row r="176">
      <c r="A176" s="16" t="inlineStr">
        <is>
          <t>FY26 nights growth</t>
        </is>
      </c>
      <c r="B176" s="16" t="inlineStr">
        <is>
          <t>+10.0% -- WS07 lever; +9.9% -- WS10 gross of regulation</t>
        </is>
      </c>
      <c r="C176" s="16" t="inlineStr">
        <is>
          <t>model output (WS10 build net of WS11 regulation)</t>
        </is>
      </c>
      <c r="G176" s="17" t="inlineStr">
        <is>
          <t>Difference is the 0.15pp regulatory drag.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1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</cols>
  <sheetData>
    <row r="1">
      <c r="A1" s="1" t="inlineStr">
        <is>
          <t>History - quarterly KPIs and cost lines, 1Q21 to 2Q26</t>
        </is>
      </c>
    </row>
    <row r="2">
      <c r="A2" s="2" t="inlineStr">
        <is>
          <t>Source: data/processed/overnight/02_kpi_panel_quarterly.csv (WS02), data/processed/abnb_capital_return_quarterly.csv. Actuals, not formulas.</t>
        </is>
      </c>
    </row>
    <row r="4">
      <c r="A4" s="7" t="inlineStr">
        <is>
          <t>Quarter</t>
        </is>
      </c>
      <c r="B4" s="7" t="inlineStr">
        <is>
          <t>Nights &amp; experiences booked (M)</t>
        </is>
      </c>
      <c r="C4" s="7" t="inlineStr">
        <is>
          <t>GBV ($M)</t>
        </is>
      </c>
      <c r="D4" s="7" t="inlineStr">
        <is>
          <t>ADR ($)</t>
        </is>
      </c>
      <c r="E4" s="7" t="inlineStr">
        <is>
          <t>Revenue ($M)</t>
        </is>
      </c>
      <c r="F4" s="7" t="inlineStr">
        <is>
          <t>Take rate (%)</t>
        </is>
      </c>
      <c r="G4" s="7" t="inlineStr">
        <is>
          <t>Adj. EBITDA ($M)</t>
        </is>
      </c>
      <c r="H4" s="7" t="inlineStr">
        <is>
          <t>Adj. EBITDA margin (%)</t>
        </is>
      </c>
      <c r="I4" s="7" t="inlineStr">
        <is>
          <t>SBC ($M)</t>
        </is>
      </c>
      <c r="J4" s="7" t="inlineStr">
        <is>
          <t>FCF ($M)</t>
        </is>
      </c>
      <c r="K4" s="7" t="inlineStr">
        <is>
          <t>Buybacks ($M)</t>
        </is>
      </c>
      <c r="L4" s="7" t="inlineStr">
        <is>
          <t>RSU tax withholding ($M)</t>
        </is>
      </c>
      <c r="M4" s="7" t="inlineStr">
        <is>
          <t>Diluted WA shares (M)</t>
        </is>
      </c>
      <c r="N4" s="7" t="inlineStr">
        <is>
          <t>Net income ($M)</t>
        </is>
      </c>
      <c r="O4" s="7" t="inlineStr">
        <is>
          <t>Cost of revenue, GAAP ($M)</t>
        </is>
      </c>
      <c r="P4" s="7" t="inlineStr">
        <is>
          <t>Ops &amp; support, GAAP ($M)</t>
        </is>
      </c>
      <c r="Q4" s="7" t="inlineStr">
        <is>
          <t>Product development, GAAP ($M)</t>
        </is>
      </c>
      <c r="R4" s="7" t="inlineStr">
        <is>
          <t>Sales &amp; marketing, GAAP ($M)</t>
        </is>
      </c>
      <c r="S4" s="7" t="inlineStr">
        <is>
          <t>G&amp;A, GAAP ($M)</t>
        </is>
      </c>
      <c r="T4" s="7" t="inlineStr">
        <is>
          <t>Cost of revenue, cash ($M)</t>
        </is>
      </c>
      <c r="U4" s="7" t="inlineStr">
        <is>
          <t>Ops &amp; support, cash ($M)</t>
        </is>
      </c>
      <c r="V4" s="7" t="inlineStr">
        <is>
          <t>Product development, cash ($M)</t>
        </is>
      </c>
      <c r="W4" s="7" t="inlineStr">
        <is>
          <t>Sales &amp; marketing, cash ($M)</t>
        </is>
      </c>
      <c r="X4" s="7" t="inlineStr">
        <is>
          <t>G&amp;A, cash ($M)</t>
        </is>
      </c>
    </row>
    <row r="5">
      <c r="A5" t="inlineStr">
        <is>
          <t>1Q21</t>
        </is>
      </c>
      <c r="B5" s="15" t="n">
        <v>64.40000000000001</v>
      </c>
      <c r="C5" s="15" t="n">
        <v>10300</v>
      </c>
      <c r="D5" s="9" t="n">
        <v>159.82</v>
      </c>
      <c r="E5" s="15" t="n">
        <v>887</v>
      </c>
      <c r="F5" s="9" t="n">
        <v>8.609999999999999</v>
      </c>
      <c r="G5" s="15" t="n">
        <v>-59</v>
      </c>
      <c r="H5" s="9" t="n">
        <v>-6.7</v>
      </c>
      <c r="I5" s="15" t="n">
        <v>229.5</v>
      </c>
      <c r="J5" s="15" t="n">
        <v>598.7</v>
      </c>
      <c r="K5" s="15" t="n"/>
      <c r="L5" s="15" t="n">
        <v>130.4</v>
      </c>
      <c r="M5" s="15" t="n">
        <v>601</v>
      </c>
      <c r="N5" s="15" t="n">
        <v>-1172.2</v>
      </c>
      <c r="O5" s="15" t="n">
        <v>254.5</v>
      </c>
      <c r="P5" s="15" t="n">
        <v>185.4</v>
      </c>
      <c r="Q5" s="15" t="n">
        <v>363.1</v>
      </c>
      <c r="R5" s="15" t="n">
        <v>229.1</v>
      </c>
      <c r="S5" s="15" t="n">
        <v>189.8</v>
      </c>
      <c r="T5" s="15" t="n">
        <v>254.5</v>
      </c>
      <c r="U5" s="15" t="n">
        <v>174</v>
      </c>
      <c r="V5" s="15" t="n">
        <v>219.4</v>
      </c>
      <c r="W5" s="15" t="n">
        <v>203.2</v>
      </c>
      <c r="X5" s="15" t="n">
        <v>141.3</v>
      </c>
    </row>
    <row r="6">
      <c r="A6" t="inlineStr">
        <is>
          <t>2Q21</t>
        </is>
      </c>
      <c r="B6" s="15" t="n">
        <v>83.09999999999999</v>
      </c>
      <c r="C6" s="15" t="n">
        <v>13400</v>
      </c>
      <c r="D6" s="9" t="n">
        <v>161.45</v>
      </c>
      <c r="E6" s="15" t="n">
        <v>1335</v>
      </c>
      <c r="F6" s="9" t="n">
        <v>9.960000000000001</v>
      </c>
      <c r="G6" s="15" t="n">
        <v>217</v>
      </c>
      <c r="H6" s="9" t="n">
        <v>16.3</v>
      </c>
      <c r="I6" s="15" t="n">
        <v>232.9</v>
      </c>
      <c r="J6" s="15" t="n">
        <v>782</v>
      </c>
      <c r="K6" s="15" t="n"/>
      <c r="L6" s="15" t="n">
        <v>8.5</v>
      </c>
      <c r="M6" s="15" t="n">
        <v>611.7</v>
      </c>
      <c r="N6" s="15" t="n">
        <v>-68.2</v>
      </c>
      <c r="O6" s="15" t="n">
        <v>294.4</v>
      </c>
      <c r="P6" s="15" t="n">
        <v>208.1</v>
      </c>
      <c r="Q6" s="15" t="n">
        <v>349.7</v>
      </c>
      <c r="R6" s="15" t="n">
        <v>315.3</v>
      </c>
      <c r="S6" s="15" t="n">
        <v>218.3</v>
      </c>
      <c r="T6" s="15" t="n">
        <v>294.4</v>
      </c>
      <c r="U6" s="15" t="n">
        <v>193.9</v>
      </c>
      <c r="V6" s="15" t="n">
        <v>205.9</v>
      </c>
      <c r="W6" s="15" t="n">
        <v>291.2</v>
      </c>
      <c r="X6" s="15" t="n">
        <v>167.6</v>
      </c>
    </row>
    <row r="7">
      <c r="A7" t="inlineStr">
        <is>
          <t>3Q21</t>
        </is>
      </c>
      <c r="B7" s="15" t="n">
        <v>79.7</v>
      </c>
      <c r="C7" s="15" t="n">
        <v>11900</v>
      </c>
      <c r="D7" s="9" t="n">
        <v>149.15</v>
      </c>
      <c r="E7" s="15" t="n">
        <v>2237</v>
      </c>
      <c r="F7" s="9" t="n">
        <v>18.8</v>
      </c>
      <c r="G7" s="15" t="n">
        <v>1101</v>
      </c>
      <c r="H7" s="9" t="n">
        <v>49.2</v>
      </c>
      <c r="I7" s="15" t="n">
        <v>210.8</v>
      </c>
      <c r="J7" s="15" t="n">
        <v>529.2</v>
      </c>
      <c r="K7" s="15" t="n"/>
      <c r="L7" s="15" t="n">
        <v>15.7</v>
      </c>
      <c r="M7" s="15" t="n">
        <v>681.9</v>
      </c>
      <c r="N7" s="15" t="n">
        <v>833.9</v>
      </c>
      <c r="O7" s="15" t="n">
        <v>311.6</v>
      </c>
      <c r="P7" s="15" t="n">
        <v>228.3</v>
      </c>
      <c r="Q7" s="15" t="n">
        <v>344.4</v>
      </c>
      <c r="R7" s="15" t="n">
        <v>290.9</v>
      </c>
      <c r="S7" s="15" t="n">
        <v>210.7</v>
      </c>
      <c r="T7" s="15" t="n">
        <v>311.6</v>
      </c>
      <c r="U7" s="15" t="n">
        <v>217.1</v>
      </c>
      <c r="V7" s="15" t="n">
        <v>213.1</v>
      </c>
      <c r="W7" s="15" t="n">
        <v>267.2</v>
      </c>
      <c r="X7" s="15" t="n">
        <v>166</v>
      </c>
    </row>
    <row r="8">
      <c r="A8" t="inlineStr">
        <is>
          <t>4Q21</t>
        </is>
      </c>
      <c r="B8" s="15" t="n">
        <v>73.40000000000001</v>
      </c>
      <c r="C8" s="15" t="n">
        <v>11300</v>
      </c>
      <c r="D8" s="9" t="n">
        <v>153.61</v>
      </c>
      <c r="E8" s="15" t="n">
        <v>1532</v>
      </c>
      <c r="F8" s="9" t="n">
        <v>13.56</v>
      </c>
      <c r="G8" s="15" t="n">
        <v>333</v>
      </c>
      <c r="H8" s="9" t="n">
        <v>21.7</v>
      </c>
      <c r="I8" s="15" t="n">
        <v>225.9</v>
      </c>
      <c r="J8" s="15" t="n">
        <v>378.1</v>
      </c>
      <c r="K8" s="15" t="n">
        <v>0</v>
      </c>
      <c r="L8" s="15" t="n">
        <v>22.4</v>
      </c>
      <c r="M8" s="15" t="n">
        <v>569.4</v>
      </c>
      <c r="N8" s="15" t="n">
        <v>54.5</v>
      </c>
      <c r="O8" s="15" t="n">
        <v>295.5</v>
      </c>
      <c r="P8" s="15" t="n">
        <v>225.1</v>
      </c>
      <c r="Q8" s="15" t="n">
        <v>367.8</v>
      </c>
      <c r="R8" s="15" t="n">
        <v>350.7</v>
      </c>
      <c r="S8" s="15" t="n">
        <v>217.2</v>
      </c>
      <c r="T8" s="15" t="n">
        <v>295.5</v>
      </c>
      <c r="U8" s="15" t="n">
        <v>213.4</v>
      </c>
      <c r="V8" s="15" t="n">
        <v>241.5</v>
      </c>
      <c r="W8" s="15" t="n">
        <v>324.4</v>
      </c>
      <c r="X8" s="15" t="n">
        <v>155.8</v>
      </c>
    </row>
    <row r="9">
      <c r="A9" t="inlineStr">
        <is>
          <t>1Q22</t>
        </is>
      </c>
      <c r="B9" s="15" t="n">
        <v>102.1</v>
      </c>
      <c r="C9" s="15" t="n">
        <v>17200</v>
      </c>
      <c r="D9" s="9" t="n">
        <v>168.07</v>
      </c>
      <c r="E9" s="15" t="n">
        <v>1509</v>
      </c>
      <c r="F9" s="9" t="n">
        <v>8.77</v>
      </c>
      <c r="G9" s="15" t="n">
        <v>229</v>
      </c>
      <c r="H9" s="9" t="n">
        <v>15.2</v>
      </c>
      <c r="I9" s="15" t="n">
        <v>195</v>
      </c>
      <c r="J9" s="15" t="n">
        <v>1196</v>
      </c>
      <c r="K9" s="15" t="n">
        <v>0</v>
      </c>
      <c r="L9" s="15" t="n">
        <v>205</v>
      </c>
      <c r="M9" s="15" t="n">
        <v>635</v>
      </c>
      <c r="N9" s="15" t="n">
        <v>-19</v>
      </c>
      <c r="O9" s="15" t="n">
        <v>363</v>
      </c>
      <c r="P9" s="15" t="n">
        <v>232.7</v>
      </c>
      <c r="Q9" s="15" t="n">
        <v>363</v>
      </c>
      <c r="R9" s="15" t="n">
        <v>345</v>
      </c>
      <c r="S9" s="15" t="n">
        <v>210</v>
      </c>
      <c r="T9" s="15" t="n">
        <v>363</v>
      </c>
      <c r="U9" s="15" t="n">
        <v>221</v>
      </c>
      <c r="V9" s="15" t="n">
        <v>245.1</v>
      </c>
      <c r="W9" s="15" t="n">
        <v>323.8</v>
      </c>
      <c r="X9" s="15" t="n">
        <v>165.9</v>
      </c>
    </row>
    <row r="10">
      <c r="A10" t="inlineStr">
        <is>
          <t>2Q22</t>
        </is>
      </c>
      <c r="B10" s="15" t="n">
        <v>103.7</v>
      </c>
      <c r="C10" s="15" t="n">
        <v>17000</v>
      </c>
      <c r="D10" s="9" t="n">
        <v>163.74</v>
      </c>
      <c r="E10" s="15" t="n">
        <v>2104</v>
      </c>
      <c r="F10" s="9" t="n">
        <v>12.38</v>
      </c>
      <c r="G10" s="15" t="n">
        <v>711</v>
      </c>
      <c r="H10" s="9" t="n">
        <v>33.8</v>
      </c>
      <c r="I10" s="15" t="n">
        <v>247</v>
      </c>
      <c r="J10" s="15" t="n">
        <v>796</v>
      </c>
      <c r="K10" s="15" t="n">
        <v>0</v>
      </c>
      <c r="L10" s="15" t="n">
        <v>140</v>
      </c>
      <c r="M10" s="15" t="n">
        <v>684</v>
      </c>
      <c r="N10" s="15" t="n">
        <v>379</v>
      </c>
      <c r="O10" s="15" t="n">
        <v>390</v>
      </c>
      <c r="P10" s="15" t="n">
        <v>258</v>
      </c>
      <c r="Q10" s="15" t="n">
        <v>375</v>
      </c>
      <c r="R10" s="15" t="n">
        <v>379</v>
      </c>
      <c r="S10" s="15" t="n">
        <v>244</v>
      </c>
      <c r="T10" s="15" t="n">
        <v>390</v>
      </c>
      <c r="U10" s="15" t="n">
        <v>241.1</v>
      </c>
      <c r="V10" s="15" t="n">
        <v>230.1</v>
      </c>
      <c r="W10" s="15" t="n">
        <v>349.9</v>
      </c>
      <c r="X10" s="15" t="n">
        <v>187.8</v>
      </c>
    </row>
    <row r="11">
      <c r="A11" t="inlineStr">
        <is>
          <t>3Q22</t>
        </is>
      </c>
      <c r="B11" s="15" t="n">
        <v>99.7</v>
      </c>
      <c r="C11" s="15" t="n">
        <v>15600</v>
      </c>
      <c r="D11" s="9" t="n">
        <v>156.44</v>
      </c>
      <c r="E11" s="15" t="n">
        <v>2884</v>
      </c>
      <c r="F11" s="9" t="n">
        <v>18.49</v>
      </c>
      <c r="G11" s="15" t="n">
        <v>1457</v>
      </c>
      <c r="H11" s="9" t="n">
        <v>50.5</v>
      </c>
      <c r="I11" s="15" t="n">
        <v>234</v>
      </c>
      <c r="J11" s="15" t="n">
        <v>958</v>
      </c>
      <c r="K11" s="15" t="n">
        <v>1000</v>
      </c>
      <c r="L11" s="15" t="n">
        <v>146</v>
      </c>
      <c r="M11" s="15" t="n">
        <v>680</v>
      </c>
      <c r="N11" s="15" t="n">
        <v>1214</v>
      </c>
      <c r="O11" s="15" t="n">
        <v>401</v>
      </c>
      <c r="P11" s="15" t="n">
        <v>290</v>
      </c>
      <c r="Q11" s="15" t="n">
        <v>366</v>
      </c>
      <c r="R11" s="15" t="n">
        <v>384</v>
      </c>
      <c r="S11" s="15" t="n">
        <v>240</v>
      </c>
      <c r="T11" s="15" t="n">
        <v>401</v>
      </c>
      <c r="U11" s="15" t="n">
        <v>272.1</v>
      </c>
      <c r="V11" s="15" t="n">
        <v>230.1</v>
      </c>
      <c r="W11" s="15" t="n">
        <v>356.6</v>
      </c>
      <c r="X11" s="15" t="n">
        <v>186.9</v>
      </c>
    </row>
    <row r="12">
      <c r="A12" t="inlineStr">
        <is>
          <t>4Q22</t>
        </is>
      </c>
      <c r="B12" s="15" t="n">
        <v>88.2</v>
      </c>
      <c r="C12" s="15" t="n">
        <v>13500</v>
      </c>
      <c r="D12" s="9" t="n">
        <v>152.81</v>
      </c>
      <c r="E12" s="15" t="n">
        <v>1902</v>
      </c>
      <c r="F12" s="9" t="n">
        <v>14.09</v>
      </c>
      <c r="G12" s="15" t="n">
        <v>506</v>
      </c>
      <c r="H12" s="9" t="n">
        <v>26.6</v>
      </c>
      <c r="I12" s="15" t="n">
        <v>254</v>
      </c>
      <c r="J12" s="15" t="n">
        <v>455</v>
      </c>
      <c r="K12" s="15" t="n">
        <v>500</v>
      </c>
      <c r="L12" s="15" t="n">
        <v>116</v>
      </c>
      <c r="M12" s="15" t="n">
        <v>721</v>
      </c>
      <c r="N12" s="15" t="n">
        <v>319.1</v>
      </c>
      <c r="O12" s="15" t="n">
        <v>345</v>
      </c>
      <c r="P12" s="15" t="n">
        <v>260</v>
      </c>
      <c r="Q12" s="15" t="n">
        <v>398</v>
      </c>
      <c r="R12" s="15" t="n">
        <v>408</v>
      </c>
      <c r="S12" s="15" t="n">
        <v>256</v>
      </c>
      <c r="T12" s="15" t="n">
        <v>345</v>
      </c>
      <c r="U12" s="15" t="n">
        <v>243</v>
      </c>
      <c r="V12" s="15" t="n">
        <v>249</v>
      </c>
      <c r="W12" s="15" t="n">
        <v>372</v>
      </c>
      <c r="X12" s="15" t="n">
        <v>204</v>
      </c>
    </row>
    <row r="13">
      <c r="A13" t="inlineStr">
        <is>
          <t>1Q23</t>
        </is>
      </c>
      <c r="B13" s="15" t="n">
        <v>121.1</v>
      </c>
      <c r="C13" s="15" t="n">
        <v>20400</v>
      </c>
      <c r="D13" s="9" t="n">
        <v>168.43</v>
      </c>
      <c r="E13" s="15" t="n">
        <v>1818</v>
      </c>
      <c r="F13" s="9" t="n">
        <v>8.91</v>
      </c>
      <c r="G13" s="15" t="n">
        <v>262</v>
      </c>
      <c r="H13" s="9" t="n">
        <v>14.4</v>
      </c>
      <c r="I13" s="15" t="n">
        <v>240</v>
      </c>
      <c r="J13" s="15" t="n">
        <v>1581</v>
      </c>
      <c r="K13" s="15" t="n">
        <v>493</v>
      </c>
      <c r="L13" s="15" t="n">
        <v>151</v>
      </c>
      <c r="M13" s="15" t="n">
        <v>670</v>
      </c>
      <c r="N13" s="15" t="n">
        <v>117</v>
      </c>
      <c r="O13" s="15" t="n">
        <v>428</v>
      </c>
      <c r="P13" s="15" t="n">
        <v>282</v>
      </c>
      <c r="Q13" s="15" t="n">
        <v>420</v>
      </c>
      <c r="R13" s="15" t="n">
        <v>450</v>
      </c>
      <c r="S13" s="15" t="n">
        <v>243</v>
      </c>
      <c r="T13" s="15" t="n">
        <v>428</v>
      </c>
      <c r="U13" s="15" t="n">
        <v>267</v>
      </c>
      <c r="V13" s="15" t="n">
        <v>271</v>
      </c>
      <c r="W13" s="15" t="n">
        <v>422</v>
      </c>
      <c r="X13" s="15" t="n">
        <v>195</v>
      </c>
    </row>
    <row r="14">
      <c r="A14" t="inlineStr">
        <is>
          <t>2Q23</t>
        </is>
      </c>
      <c r="B14" s="15" t="n">
        <v>115.1</v>
      </c>
      <c r="C14" s="15" t="n">
        <v>19100</v>
      </c>
      <c r="D14" s="9" t="n">
        <v>166.01</v>
      </c>
      <c r="E14" s="15" t="n">
        <v>2484</v>
      </c>
      <c r="F14" s="9" t="n">
        <v>13.01</v>
      </c>
      <c r="G14" s="15" t="n">
        <v>819</v>
      </c>
      <c r="H14" s="9" t="n">
        <v>33</v>
      </c>
      <c r="I14" s="15" t="n">
        <v>304</v>
      </c>
      <c r="J14" s="15" t="n">
        <v>900</v>
      </c>
      <c r="K14" s="15" t="n">
        <v>507</v>
      </c>
      <c r="L14" s="15" t="n">
        <v>721</v>
      </c>
      <c r="M14" s="15" t="n">
        <v>665</v>
      </c>
      <c r="N14" s="15" t="n">
        <v>650</v>
      </c>
      <c r="O14" s="15" t="n">
        <v>432</v>
      </c>
      <c r="P14" s="15" t="n">
        <v>317</v>
      </c>
      <c r="Q14" s="15" t="n">
        <v>451</v>
      </c>
      <c r="R14" s="15" t="n">
        <v>486</v>
      </c>
      <c r="S14" s="15" t="n">
        <v>275</v>
      </c>
      <c r="T14" s="15" t="n">
        <v>432</v>
      </c>
      <c r="U14" s="15" t="n">
        <v>298</v>
      </c>
      <c r="V14" s="15" t="n">
        <v>260</v>
      </c>
      <c r="W14" s="15" t="n">
        <v>450</v>
      </c>
      <c r="X14" s="15" t="n">
        <v>217</v>
      </c>
    </row>
    <row r="15">
      <c r="A15" t="inlineStr">
        <is>
          <t>3Q23</t>
        </is>
      </c>
      <c r="B15" s="15" t="n">
        <v>113.2</v>
      </c>
      <c r="C15" s="15" t="n">
        <v>18300</v>
      </c>
      <c r="D15" s="9" t="n">
        <v>161.38</v>
      </c>
      <c r="E15" s="15" t="n">
        <v>3397</v>
      </c>
      <c r="F15" s="9" t="n">
        <v>18.56</v>
      </c>
      <c r="G15" s="15" t="n">
        <v>1834</v>
      </c>
      <c r="H15" s="9" t="n">
        <v>54</v>
      </c>
      <c r="I15" s="15" t="n">
        <v>286</v>
      </c>
      <c r="J15" s="15" t="n">
        <v>1310</v>
      </c>
      <c r="K15" s="15" t="n">
        <v>500</v>
      </c>
      <c r="L15" s="15" t="n">
        <v>151</v>
      </c>
      <c r="M15" s="15" t="n">
        <v>660</v>
      </c>
      <c r="N15" s="15" t="n">
        <v>4374</v>
      </c>
      <c r="O15" s="15" t="n">
        <v>459</v>
      </c>
      <c r="P15" s="15" t="n">
        <v>316</v>
      </c>
      <c r="Q15" s="15" t="n">
        <v>419</v>
      </c>
      <c r="R15" s="15" t="n">
        <v>403</v>
      </c>
      <c r="S15" s="15" t="n">
        <v>304</v>
      </c>
      <c r="T15" s="15" t="n">
        <v>459</v>
      </c>
      <c r="U15" s="15" t="n">
        <v>299</v>
      </c>
      <c r="V15" s="15" t="n">
        <v>244</v>
      </c>
      <c r="W15" s="15" t="n">
        <v>370</v>
      </c>
      <c r="X15" s="15" t="n">
        <v>243</v>
      </c>
    </row>
    <row r="16">
      <c r="A16" t="inlineStr">
        <is>
          <t>4Q23</t>
        </is>
      </c>
      <c r="B16" s="15" t="n">
        <v>98.8</v>
      </c>
      <c r="C16" s="15" t="n">
        <v>15500</v>
      </c>
      <c r="D16" s="9" t="n">
        <v>156.73</v>
      </c>
      <c r="E16" s="15" t="n">
        <v>2218</v>
      </c>
      <c r="F16" s="9" t="n">
        <v>14.31</v>
      </c>
      <c r="G16" s="15" t="n">
        <v>738</v>
      </c>
      <c r="H16" s="9" t="n">
        <v>33.3</v>
      </c>
      <c r="I16" s="15" t="n">
        <v>270</v>
      </c>
      <c r="J16" s="15" t="n">
        <v>46</v>
      </c>
      <c r="K16" s="15" t="n">
        <v>752</v>
      </c>
      <c r="L16" s="15" t="n">
        <v>201</v>
      </c>
      <c r="M16" s="15" t="n">
        <v>653</v>
      </c>
      <c r="N16" s="15" t="n">
        <v>-349.2</v>
      </c>
      <c r="O16" s="15" t="n">
        <v>384</v>
      </c>
      <c r="P16" s="15" t="n">
        <v>271</v>
      </c>
      <c r="Q16" s="15" t="n">
        <v>432</v>
      </c>
      <c r="R16" s="15" t="n">
        <v>424</v>
      </c>
      <c r="S16" s="15" t="n">
        <v>1203</v>
      </c>
      <c r="T16" s="15" t="n">
        <v>384</v>
      </c>
      <c r="U16" s="15" t="n">
        <v>254</v>
      </c>
      <c r="V16" s="15" t="n">
        <v>253</v>
      </c>
      <c r="W16" s="15" t="n">
        <v>391</v>
      </c>
      <c r="X16" s="15" t="n">
        <v>1142</v>
      </c>
    </row>
    <row r="17">
      <c r="A17" t="inlineStr">
        <is>
          <t>1Q24</t>
        </is>
      </c>
      <c r="B17" s="15" t="n">
        <v>132.6</v>
      </c>
      <c r="C17" s="15" t="n">
        <v>22900</v>
      </c>
      <c r="D17" s="9" t="n">
        <v>172.88</v>
      </c>
      <c r="E17" s="15" t="n">
        <v>2142</v>
      </c>
      <c r="F17" s="9" t="n">
        <v>9.35</v>
      </c>
      <c r="G17" s="15" t="n">
        <v>424</v>
      </c>
      <c r="H17" s="9" t="n">
        <v>19.8</v>
      </c>
      <c r="I17" s="15" t="n">
        <v>295</v>
      </c>
      <c r="J17" s="15" t="n">
        <v>1909</v>
      </c>
      <c r="K17" s="15" t="n">
        <v>750</v>
      </c>
      <c r="L17" s="15" t="n">
        <v>155</v>
      </c>
      <c r="M17" s="15" t="n">
        <v>654</v>
      </c>
      <c r="N17" s="15" t="n">
        <v>264</v>
      </c>
      <c r="O17" s="15" t="n">
        <v>480</v>
      </c>
      <c r="P17" s="15" t="n">
        <v>285</v>
      </c>
      <c r="Q17" s="15" t="n">
        <v>475</v>
      </c>
      <c r="R17" s="15" t="n">
        <v>514</v>
      </c>
      <c r="S17" s="15" t="n">
        <v>287</v>
      </c>
      <c r="T17" s="15" t="n">
        <v>480</v>
      </c>
      <c r="U17" s="15" t="n">
        <v>266</v>
      </c>
      <c r="V17" s="15" t="n">
        <v>290</v>
      </c>
      <c r="W17" s="15" t="n">
        <v>479</v>
      </c>
      <c r="X17" s="15" t="n">
        <v>231</v>
      </c>
    </row>
    <row r="18">
      <c r="A18" t="inlineStr">
        <is>
          <t>2Q24</t>
        </is>
      </c>
      <c r="B18" s="15" t="n">
        <v>125.1</v>
      </c>
      <c r="C18" s="15" t="n">
        <v>21200</v>
      </c>
      <c r="D18" s="9" t="n">
        <v>169.53</v>
      </c>
      <c r="E18" s="15" t="n">
        <v>2748</v>
      </c>
      <c r="F18" s="9" t="n">
        <v>12.96</v>
      </c>
      <c r="G18" s="15" t="n">
        <v>894</v>
      </c>
      <c r="H18" s="9" t="n">
        <v>32.5</v>
      </c>
      <c r="I18" s="15" t="n">
        <v>382</v>
      </c>
      <c r="J18" s="15" t="n">
        <v>1043</v>
      </c>
      <c r="K18" s="15" t="n">
        <v>749</v>
      </c>
      <c r="L18" s="15" t="n">
        <v>154</v>
      </c>
      <c r="M18" s="15" t="n">
        <v>649</v>
      </c>
      <c r="N18" s="15" t="n">
        <v>555</v>
      </c>
      <c r="O18" s="15" t="n">
        <v>506</v>
      </c>
      <c r="P18" s="15" t="n">
        <v>338</v>
      </c>
      <c r="Q18" s="15" t="n">
        <v>519</v>
      </c>
      <c r="R18" s="15" t="n">
        <v>573</v>
      </c>
      <c r="S18" s="15" t="n">
        <v>315</v>
      </c>
      <c r="T18" s="15" t="n">
        <v>506</v>
      </c>
      <c r="U18" s="15" t="n">
        <v>314</v>
      </c>
      <c r="V18" s="15" t="n">
        <v>280</v>
      </c>
      <c r="W18" s="15" t="n">
        <v>527</v>
      </c>
      <c r="X18" s="15" t="n">
        <v>242</v>
      </c>
    </row>
    <row r="19">
      <c r="A19" t="inlineStr">
        <is>
          <t>3Q24</t>
        </is>
      </c>
      <c r="B19" s="15" t="n">
        <v>122.8</v>
      </c>
      <c r="C19" s="15" t="n">
        <v>20100</v>
      </c>
      <c r="D19" s="9" t="n">
        <v>163.64</v>
      </c>
      <c r="E19" s="15" t="n">
        <v>3732</v>
      </c>
      <c r="F19" s="9" t="n">
        <v>18.57</v>
      </c>
      <c r="G19" s="15" t="n">
        <v>1958</v>
      </c>
      <c r="H19" s="9" t="n">
        <v>52.5</v>
      </c>
      <c r="I19" s="15" t="n">
        <v>362</v>
      </c>
      <c r="J19" s="15" t="n">
        <v>1074</v>
      </c>
      <c r="K19" s="15" t="n">
        <v>1093</v>
      </c>
      <c r="L19" s="15" t="n">
        <v>113</v>
      </c>
      <c r="M19" s="15" t="n">
        <v>642</v>
      </c>
      <c r="N19" s="15" t="n">
        <v>1368</v>
      </c>
      <c r="O19" s="15" t="n">
        <v>465</v>
      </c>
      <c r="P19" s="15" t="n">
        <v>369</v>
      </c>
      <c r="Q19" s="15" t="n">
        <v>524</v>
      </c>
      <c r="R19" s="15" t="n">
        <v>514</v>
      </c>
      <c r="S19" s="15" t="n">
        <v>335</v>
      </c>
      <c r="T19" s="15" t="n">
        <v>465</v>
      </c>
      <c r="U19" s="15" t="n">
        <v>347</v>
      </c>
      <c r="V19" s="15" t="n">
        <v>294</v>
      </c>
      <c r="W19" s="15" t="n">
        <v>471</v>
      </c>
      <c r="X19" s="15" t="n">
        <v>268</v>
      </c>
    </row>
    <row r="20">
      <c r="A20" t="inlineStr">
        <is>
          <t>4Q24</t>
        </is>
      </c>
      <c r="B20" s="15" t="n">
        <v>111</v>
      </c>
      <c r="C20" s="15" t="n">
        <v>17600</v>
      </c>
      <c r="D20" s="9" t="n">
        <v>158.13</v>
      </c>
      <c r="E20" s="15" t="n">
        <v>2480</v>
      </c>
      <c r="F20" s="9" t="n">
        <v>14.09</v>
      </c>
      <c r="G20" s="15" t="n">
        <v>765</v>
      </c>
      <c r="H20" s="9" t="n">
        <v>30.8</v>
      </c>
      <c r="I20" s="15" t="n">
        <v>400</v>
      </c>
      <c r="J20" s="15" t="n">
        <v>458</v>
      </c>
      <c r="K20" s="15" t="n">
        <v>838</v>
      </c>
      <c r="L20" s="15" t="n">
        <v>208</v>
      </c>
      <c r="M20" s="15" t="n">
        <v>635</v>
      </c>
      <c r="N20" s="15" t="n">
        <v>461.3</v>
      </c>
      <c r="O20" s="15" t="n">
        <v>427</v>
      </c>
      <c r="P20" s="15" t="n">
        <v>290</v>
      </c>
      <c r="Q20" s="15" t="n">
        <v>538</v>
      </c>
      <c r="R20" s="15" t="n">
        <v>547</v>
      </c>
      <c r="S20" s="15" t="n">
        <v>248</v>
      </c>
      <c r="T20" s="15" t="n">
        <v>427</v>
      </c>
      <c r="U20" s="15" t="n">
        <v>265</v>
      </c>
      <c r="V20" s="15" t="n">
        <v>306</v>
      </c>
      <c r="W20" s="15" t="n">
        <v>501</v>
      </c>
      <c r="X20" s="15" t="n">
        <v>183</v>
      </c>
    </row>
    <row r="21">
      <c r="A21" t="inlineStr">
        <is>
          <t>1Q25</t>
        </is>
      </c>
      <c r="B21" s="15" t="n">
        <v>143.1</v>
      </c>
      <c r="C21" s="15" t="n">
        <v>24500</v>
      </c>
      <c r="D21" s="9" t="n">
        <v>171.34</v>
      </c>
      <c r="E21" s="15" t="n">
        <v>2272</v>
      </c>
      <c r="F21" s="9" t="n">
        <v>9.27</v>
      </c>
      <c r="G21" s="15" t="n">
        <v>417</v>
      </c>
      <c r="H21" s="9" t="n">
        <v>18.4</v>
      </c>
      <c r="I21" s="15" t="n">
        <v>358</v>
      </c>
      <c r="J21" s="15" t="n">
        <v>1781</v>
      </c>
      <c r="K21" s="15" t="n">
        <v>807</v>
      </c>
      <c r="L21" s="15" t="n">
        <v>152</v>
      </c>
      <c r="M21" s="15" t="n">
        <v>632</v>
      </c>
      <c r="N21" s="15" t="n">
        <v>154</v>
      </c>
      <c r="O21" s="15" t="n">
        <v>506</v>
      </c>
      <c r="P21" s="15" t="n">
        <v>303</v>
      </c>
      <c r="Q21" s="15" t="n">
        <v>568</v>
      </c>
      <c r="R21" s="15" t="n">
        <v>563</v>
      </c>
      <c r="S21" s="15" t="n">
        <v>294</v>
      </c>
      <c r="T21" s="15" t="n">
        <v>506</v>
      </c>
      <c r="U21" s="15" t="n">
        <v>282</v>
      </c>
      <c r="V21" s="15" t="n">
        <v>338</v>
      </c>
      <c r="W21" s="15" t="n">
        <v>519</v>
      </c>
      <c r="X21" s="15" t="n">
        <v>231</v>
      </c>
    </row>
    <row r="22">
      <c r="A22" t="inlineStr">
        <is>
          <t>2Q25</t>
        </is>
      </c>
      <c r="B22" s="15" t="n">
        <v>134.4</v>
      </c>
      <c r="C22" s="15" t="n">
        <v>23500</v>
      </c>
      <c r="D22" s="9" t="n">
        <v>174.48</v>
      </c>
      <c r="E22" s="15" t="n">
        <v>3096</v>
      </c>
      <c r="F22" s="9" t="n">
        <v>13.17</v>
      </c>
      <c r="G22" s="15" t="n">
        <v>1043</v>
      </c>
      <c r="H22" s="9" t="n">
        <v>33.7</v>
      </c>
      <c r="I22" s="15" t="n">
        <v>424</v>
      </c>
      <c r="J22" s="15" t="n">
        <v>962</v>
      </c>
      <c r="K22" s="15" t="n">
        <v>1010</v>
      </c>
      <c r="L22" s="15" t="n">
        <v>143</v>
      </c>
      <c r="M22" s="15" t="n">
        <v>626</v>
      </c>
      <c r="N22" s="15" t="n">
        <v>642</v>
      </c>
      <c r="O22" s="15" t="n">
        <v>544</v>
      </c>
      <c r="P22" s="15" t="n">
        <v>332</v>
      </c>
      <c r="Q22" s="15" t="n">
        <v>610</v>
      </c>
      <c r="R22" s="15" t="n">
        <v>691</v>
      </c>
      <c r="S22" s="15" t="n">
        <v>307</v>
      </c>
      <c r="T22" s="15" t="n">
        <v>544</v>
      </c>
      <c r="U22" s="15" t="n">
        <v>309</v>
      </c>
      <c r="V22" s="15" t="n">
        <v>331</v>
      </c>
      <c r="W22" s="15" t="n">
        <v>639</v>
      </c>
      <c r="X22" s="15" t="n">
        <v>237</v>
      </c>
    </row>
    <row r="23">
      <c r="A23" t="inlineStr">
        <is>
          <t>3Q25</t>
        </is>
      </c>
      <c r="B23" s="15" t="n">
        <v>133.6</v>
      </c>
      <c r="C23" s="15" t="n">
        <v>22900</v>
      </c>
      <c r="D23" s="9" t="n">
        <v>171.29</v>
      </c>
      <c r="E23" s="15" t="n">
        <v>4095</v>
      </c>
      <c r="F23" s="9" t="n">
        <v>17.88</v>
      </c>
      <c r="G23" s="15" t="n">
        <v>2051</v>
      </c>
      <c r="H23" s="9" t="n">
        <v>50.1</v>
      </c>
      <c r="I23" s="15" t="n">
        <v>399</v>
      </c>
      <c r="J23" s="15" t="n">
        <v>1349</v>
      </c>
      <c r="K23" s="15" t="n">
        <v>877</v>
      </c>
      <c r="L23" s="15" t="n">
        <v>136</v>
      </c>
      <c r="M23" s="15" t="n">
        <v>621</v>
      </c>
      <c r="N23" s="15" t="n">
        <v>1374</v>
      </c>
      <c r="O23" s="15" t="n">
        <v>549</v>
      </c>
      <c r="P23" s="15" t="n">
        <v>365</v>
      </c>
      <c r="Q23" s="15" t="n">
        <v>587</v>
      </c>
      <c r="R23" s="15" t="n">
        <v>639</v>
      </c>
      <c r="S23" s="15" t="n">
        <v>330</v>
      </c>
      <c r="T23" s="15" t="n">
        <v>549</v>
      </c>
      <c r="U23" s="15" t="n">
        <v>343</v>
      </c>
      <c r="V23" s="15" t="n">
        <v>333</v>
      </c>
      <c r="W23" s="15" t="n">
        <v>585</v>
      </c>
      <c r="X23" s="15" t="n">
        <v>261</v>
      </c>
    </row>
    <row r="24">
      <c r="A24" t="inlineStr">
        <is>
          <t>4Q25</t>
        </is>
      </c>
      <c r="B24" s="15" t="n">
        <v>121.9</v>
      </c>
      <c r="C24" s="15" t="n">
        <v>20400</v>
      </c>
      <c r="D24" s="9" t="n">
        <v>167.51</v>
      </c>
      <c r="E24" s="15" t="n">
        <v>2778</v>
      </c>
      <c r="F24" s="9" t="n">
        <v>13.62</v>
      </c>
      <c r="G24" s="15" t="n">
        <v>786</v>
      </c>
      <c r="H24" s="9" t="n">
        <v>28.3</v>
      </c>
      <c r="I24" s="15" t="n">
        <v>400</v>
      </c>
      <c r="J24" s="15" t="n">
        <v>521</v>
      </c>
      <c r="K24" s="15" t="n">
        <v>1095</v>
      </c>
      <c r="L24" s="15" t="n">
        <v>130</v>
      </c>
      <c r="M24" s="15" t="n">
        <v>613</v>
      </c>
      <c r="N24" s="15" t="n">
        <v>341.3</v>
      </c>
      <c r="O24" s="15" t="n">
        <v>487</v>
      </c>
      <c r="P24" s="15" t="n">
        <v>327</v>
      </c>
      <c r="Q24" s="15" t="n">
        <v>589</v>
      </c>
      <c r="R24" s="15" t="n">
        <v>695</v>
      </c>
      <c r="S24" s="15" t="n">
        <v>411</v>
      </c>
      <c r="T24" s="15" t="n">
        <v>487</v>
      </c>
      <c r="U24" s="15" t="n">
        <v>303</v>
      </c>
      <c r="V24" s="15" t="n">
        <v>335</v>
      </c>
      <c r="W24" s="15" t="n">
        <v>633</v>
      </c>
      <c r="X24" s="15" t="n">
        <v>340</v>
      </c>
    </row>
    <row r="25">
      <c r="A25" t="inlineStr">
        <is>
          <t>1Q26</t>
        </is>
      </c>
      <c r="B25" s="15" t="n">
        <v>156.2</v>
      </c>
      <c r="C25" s="15" t="n">
        <v>29200</v>
      </c>
      <c r="D25" s="9" t="n">
        <v>186.82</v>
      </c>
      <c r="E25" s="15" t="n">
        <v>2678</v>
      </c>
      <c r="F25" s="9" t="n">
        <v>9.17</v>
      </c>
      <c r="G25" s="15" t="n">
        <v>519</v>
      </c>
      <c r="H25" s="9" t="n">
        <v>19.4</v>
      </c>
      <c r="I25" s="15" t="n">
        <v>410</v>
      </c>
      <c r="J25" s="15" t="n">
        <v>1704</v>
      </c>
      <c r="K25" s="15" t="n">
        <v>1088</v>
      </c>
      <c r="L25" s="15" t="n">
        <v>140</v>
      </c>
      <c r="M25" s="15" t="n">
        <v>608</v>
      </c>
      <c r="N25" s="15" t="n">
        <v>160</v>
      </c>
      <c r="O25" s="15" t="n">
        <v>581</v>
      </c>
      <c r="P25" s="15" t="n">
        <v>326</v>
      </c>
      <c r="Q25" s="15" t="n">
        <v>638</v>
      </c>
      <c r="R25" s="15" t="n">
        <v>751</v>
      </c>
      <c r="S25" s="15" t="n">
        <v>296</v>
      </c>
      <c r="T25" s="15" t="n">
        <v>581</v>
      </c>
      <c r="U25" s="15" t="n">
        <v>301</v>
      </c>
      <c r="V25" s="15" t="n">
        <v>375</v>
      </c>
      <c r="W25" s="15" t="n">
        <v>696</v>
      </c>
      <c r="X25" s="15" t="n">
        <v>229</v>
      </c>
    </row>
    <row r="26">
      <c r="A26" t="inlineStr">
        <is>
          <t>2Q26</t>
        </is>
      </c>
      <c r="B26" s="15" t="n">
        <v>148.3</v>
      </c>
      <c r="C26" s="15" t="n">
        <v>27200</v>
      </c>
      <c r="D26" s="9" t="n">
        <v>183.73</v>
      </c>
      <c r="E26" s="15" t="n">
        <v>3608</v>
      </c>
      <c r="F26" s="9" t="n">
        <v>13.26</v>
      </c>
      <c r="G26" s="15" t="n">
        <v>1261</v>
      </c>
      <c r="H26" s="9" t="n">
        <v>35</v>
      </c>
      <c r="I26" s="15" t="n">
        <v>487</v>
      </c>
      <c r="J26" s="15" t="n">
        <v>1253</v>
      </c>
      <c r="K26" s="15" t="n">
        <v>1051</v>
      </c>
      <c r="L26" s="15" t="n">
        <v>165</v>
      </c>
      <c r="M26" s="15" t="n">
        <v>597</v>
      </c>
      <c r="N26" s="15" t="n">
        <v>816</v>
      </c>
      <c r="O26" s="15" t="n">
        <v>633</v>
      </c>
      <c r="P26" s="15" t="n">
        <v>361</v>
      </c>
      <c r="Q26" s="15" t="n">
        <v>672</v>
      </c>
      <c r="R26" s="15" t="n">
        <v>875</v>
      </c>
      <c r="S26" s="15" t="n">
        <v>309</v>
      </c>
      <c r="T26" s="15" t="n">
        <v>633</v>
      </c>
      <c r="U26" s="15" t="n">
        <v>323</v>
      </c>
      <c r="V26" s="15" t="n">
        <v>374</v>
      </c>
      <c r="W26" s="15" t="n">
        <v>808</v>
      </c>
      <c r="X26" s="15" t="n">
        <v>225</v>
      </c>
    </row>
    <row r="28">
      <c r="A28" s="5" t="inlineStr">
        <is>
          <t>MODEL ANCHORS - the actuals the forecast grows off (formulas over the table above)</t>
        </is>
      </c>
      <c r="B28" s="6" t="n"/>
      <c r="C28" s="6" t="n"/>
      <c r="D28" s="6" t="n"/>
      <c r="E28" s="6" t="n"/>
      <c r="F28" s="6" t="n"/>
      <c r="G28" s="6" t="n"/>
      <c r="H28" s="6" t="n"/>
    </row>
    <row r="29">
      <c r="A29" s="7" t="inlineStr">
        <is>
          <t>Item</t>
        </is>
      </c>
      <c r="B29" s="7" t="inlineStr">
        <is>
          <t>Value</t>
        </is>
      </c>
      <c r="C29" s="7" t="inlineStr">
        <is>
          <t>Source / formula</t>
        </is>
      </c>
    </row>
    <row r="30">
      <c r="A30" t="inlineStr">
        <is>
          <t>FY2025 nights (M)</t>
        </is>
      </c>
      <c r="B30" s="15">
        <f>B21+B22+B23+B24</f>
        <v/>
      </c>
      <c r="C30" s="2" t="inlineStr"/>
    </row>
    <row r="31">
      <c r="A31" t="inlineStr">
        <is>
          <t>FY2025 GBV ($M)</t>
        </is>
      </c>
      <c r="B31" s="15">
        <f>C21+C22+C23+C24</f>
        <v/>
      </c>
      <c r="C31" s="2" t="inlineStr"/>
    </row>
    <row r="32">
      <c r="A32" t="inlineStr">
        <is>
          <t>FY2025 revenue ($M)</t>
        </is>
      </c>
      <c r="B32" s="15">
        <f>E21+E22+E23+E24</f>
        <v/>
      </c>
      <c r="C32" s="2" t="inlineStr"/>
    </row>
    <row r="33">
      <c r="A33" t="inlineStr">
        <is>
          <t>FY2025 ADR ($)</t>
        </is>
      </c>
      <c r="B33" s="9">
        <f>History!$B$31/History!$B$30</f>
        <v/>
      </c>
      <c r="C33" s="2" t="inlineStr"/>
    </row>
    <row r="34">
      <c r="A34" t="inlineStr">
        <is>
          <t>FY2025 take rate</t>
        </is>
      </c>
      <c r="B34" s="11">
        <f>History!$B$32/History!$B$31</f>
        <v/>
      </c>
      <c r="C34" s="2" t="inlineStr"/>
    </row>
    <row r="35">
      <c r="A35" t="inlineStr">
        <is>
          <t>FY2025 adj. EBITDA ($M)</t>
        </is>
      </c>
      <c r="B35" s="15">
        <f>G21+G22+G23+G24</f>
        <v/>
      </c>
      <c r="C35" s="2" t="inlineStr"/>
    </row>
    <row r="36">
      <c r="A36" t="inlineStr">
        <is>
          <t>FY2025 SBC ($M)</t>
        </is>
      </c>
      <c r="B36" s="15">
        <f>I21+I22+I23+I24</f>
        <v/>
      </c>
      <c r="C36" s="2" t="inlineStr"/>
    </row>
    <row r="37">
      <c r="A37" t="inlineStr">
        <is>
          <t>FY2025 cost of revenue, cash ($M)</t>
        </is>
      </c>
      <c r="B37" s="14" t="n">
        <v>2086</v>
      </c>
      <c r="C37" s="2" t="inlineStr">
        <is>
          <t>WS07 actuals()</t>
        </is>
      </c>
    </row>
    <row r="38">
      <c r="A38" t="inlineStr">
        <is>
          <t>FY2025 ops &amp; support, cash ($M)</t>
        </is>
      </c>
      <c r="B38" s="14" t="n">
        <v>1237</v>
      </c>
      <c r="C38" s="2" t="inlineStr">
        <is>
          <t>WS07 actuals()</t>
        </is>
      </c>
    </row>
    <row r="39">
      <c r="A39" t="inlineStr">
        <is>
          <t>FY2025 product development, cash ($M)</t>
        </is>
      </c>
      <c r="B39" s="14" t="n">
        <v>1337</v>
      </c>
      <c r="C39" s="2" t="inlineStr">
        <is>
          <t>WS07 actuals()</t>
        </is>
      </c>
    </row>
    <row r="40">
      <c r="A40" t="inlineStr">
        <is>
          <t>FY2025 brand &amp; performance marketing ($M)</t>
        </is>
      </c>
      <c r="B40" s="14" t="n">
        <v>1595</v>
      </c>
      <c r="C40" s="2" t="inlineStr">
        <is>
          <t>WS07 07_cost_lines_per_night.csv</t>
        </is>
      </c>
    </row>
    <row r="41">
      <c r="A41" t="inlineStr">
        <is>
          <t>FY2025 field operations &amp; policy, cash ($M)</t>
        </is>
      </c>
      <c r="B41" s="14" t="n">
        <v>781</v>
      </c>
      <c r="C41" s="2" t="inlineStr">
        <is>
          <t>S&amp;M cash less brand &amp; performance</t>
        </is>
      </c>
    </row>
    <row r="42">
      <c r="A42" t="inlineStr">
        <is>
          <t>FY2025 G&amp;A, cash ($M)</t>
        </is>
      </c>
      <c r="B42" s="14" t="n">
        <v>1069</v>
      </c>
      <c r="C42" s="2" t="inlineStr">
        <is>
          <t>WS07 actuals()</t>
        </is>
      </c>
    </row>
    <row r="43">
      <c r="A43" t="inlineStr">
        <is>
          <t>FY2025 new-business revenue outside GBV x take ($M)</t>
        </is>
      </c>
      <c r="B43" s="14" t="n">
        <v>12</v>
      </c>
      <c r="C43" s="2" t="inlineStr">
        <is>
          <t>WS11: Services $12M; sponsored listings did not exist</t>
        </is>
      </c>
    </row>
    <row r="44">
      <c r="A44" t="inlineStr">
        <is>
          <t>1H2026 nights (M)</t>
        </is>
      </c>
      <c r="B44" s="15">
        <f>B25+B26</f>
        <v/>
      </c>
      <c r="C44" s="2" t="inlineStr">
        <is>
          <t>actual</t>
        </is>
      </c>
    </row>
    <row r="45">
      <c r="A45" t="inlineStr">
        <is>
          <t>1H2026 GBV ($M)</t>
        </is>
      </c>
      <c r="B45" s="15">
        <f>C25+C26</f>
        <v/>
      </c>
      <c r="C45" s="2" t="inlineStr">
        <is>
          <t>actual</t>
        </is>
      </c>
    </row>
    <row r="46">
      <c r="A46" t="inlineStr">
        <is>
          <t>1H2026 revenue ($M)</t>
        </is>
      </c>
      <c r="B46" s="15">
        <f>E25+E26</f>
        <v/>
      </c>
      <c r="C46" s="2" t="inlineStr">
        <is>
          <t>actual</t>
        </is>
      </c>
    </row>
    <row r="47">
      <c r="A47" t="inlineStr">
        <is>
          <t>1H2026 FCF ($M)</t>
        </is>
      </c>
      <c r="B47" s="15">
        <f>J25+J26</f>
        <v/>
      </c>
      <c r="C47" s="2" t="inlineStr">
        <is>
          <t>actual</t>
        </is>
      </c>
    </row>
    <row r="48">
      <c r="A48" t="inlineStr">
        <is>
          <t>1H2026 buybacks ($M)</t>
        </is>
      </c>
      <c r="B48" s="15">
        <f>K25+K26</f>
        <v/>
      </c>
      <c r="C48" s="2" t="inlineStr">
        <is>
          <t>actual</t>
        </is>
      </c>
    </row>
    <row r="49">
      <c r="A49" t="inlineStr">
        <is>
          <t>1H2026 RSU withholding ($M)</t>
        </is>
      </c>
      <c r="B49" s="15">
        <f>L25+L26</f>
        <v/>
      </c>
      <c r="C49" s="2" t="inlineStr">
        <is>
          <t>actual</t>
        </is>
      </c>
    </row>
    <row r="50">
      <c r="A50" t="inlineStr">
        <is>
          <t>1H2026 SBC ($M)</t>
        </is>
      </c>
      <c r="B50" s="15">
        <f>I25+I26</f>
        <v/>
      </c>
      <c r="C50" s="2" t="inlineStr">
        <is>
          <t>actual; used by the 2H26 share roll</t>
        </is>
      </c>
    </row>
    <row r="51">
      <c r="A51" t="inlineStr">
        <is>
          <t>3Q25 nights (M)</t>
        </is>
      </c>
      <c r="B51" s="15">
        <f>B23</f>
        <v/>
      </c>
      <c r="C51" s="2" t="inlineStr"/>
    </row>
    <row r="52">
      <c r="A52" t="inlineStr">
        <is>
          <t>3Q25 GBV ($M)</t>
        </is>
      </c>
      <c r="B52" s="15">
        <f>C23</f>
        <v/>
      </c>
      <c r="C52" s="2" t="inlineStr"/>
    </row>
    <row r="53">
      <c r="A53" t="inlineStr">
        <is>
          <t>3Q25 ADR ($)</t>
        </is>
      </c>
      <c r="B53" s="9">
        <f>D23</f>
        <v/>
      </c>
      <c r="C53" s="2" t="inlineStr"/>
    </row>
    <row r="54">
      <c r="A54" t="inlineStr">
        <is>
          <t>3Q25 revenue ($M)</t>
        </is>
      </c>
      <c r="B54" s="15">
        <f>E23</f>
        <v/>
      </c>
      <c r="C54" s="2" t="inlineStr"/>
    </row>
    <row r="55">
      <c r="A55" t="inlineStr">
        <is>
          <t>3Q25 take rate</t>
        </is>
      </c>
      <c r="B55" s="11">
        <f>F23/100</f>
        <v/>
      </c>
      <c r="C55" s="2" t="inlineStr"/>
    </row>
    <row r="56">
      <c r="A56" t="inlineStr">
        <is>
          <t>3Q25 North America share of nights</t>
        </is>
      </c>
      <c r="B56" s="10" t="n">
        <v>0.307</v>
      </c>
      <c r="C56" s="2" t="inlineStr">
        <is>
          <t>WS10 10_regional_panel_quarterly.csv, normalised to 100%</t>
        </is>
      </c>
    </row>
    <row r="57">
      <c r="A57" t="inlineStr">
        <is>
          <t>3Q25 EMEA share of nights</t>
        </is>
      </c>
      <c r="B57" s="10" t="n">
        <v>0.4</v>
      </c>
      <c r="C57" s="2" t="inlineStr">
        <is>
          <t>WS10 10_regional_panel_quarterly.csv, normalised to 100%</t>
        </is>
      </c>
    </row>
    <row r="58">
      <c r="A58" t="inlineStr">
        <is>
          <t>3Q25 Latin America share of nights</t>
        </is>
      </c>
      <c r="B58" s="10" t="n">
        <v>0.135</v>
      </c>
      <c r="C58" s="2" t="inlineStr">
        <is>
          <t>WS10 10_regional_panel_quarterly.csv, normalised to 100%</t>
        </is>
      </c>
    </row>
    <row r="59">
      <c r="A59" t="inlineStr">
        <is>
          <t>3Q25 Asia Pacific share of nights</t>
        </is>
      </c>
      <c r="B59" s="10" t="n">
        <v>0.158</v>
      </c>
      <c r="C59" s="2" t="inlineStr">
        <is>
          <t>WS10 10_regional_panel_quarterly.csv, normalised to 100%</t>
        </is>
      </c>
    </row>
    <row r="60">
      <c r="A60" t="inlineStr">
        <is>
          <t>4Q25 nights (M)</t>
        </is>
      </c>
      <c r="B60" s="15">
        <f>B24</f>
        <v/>
      </c>
      <c r="C60" s="2" t="inlineStr"/>
    </row>
    <row r="61">
      <c r="A61" t="inlineStr">
        <is>
          <t>4Q25 GBV ($M)</t>
        </is>
      </c>
      <c r="B61" s="15">
        <f>C24</f>
        <v/>
      </c>
      <c r="C61" s="2" t="inlineStr"/>
    </row>
    <row r="62">
      <c r="A62" t="inlineStr">
        <is>
          <t>4Q25 ADR ($)</t>
        </is>
      </c>
      <c r="B62" s="9">
        <f>D24</f>
        <v/>
      </c>
      <c r="C62" s="2" t="inlineStr"/>
    </row>
    <row r="63">
      <c r="A63" t="inlineStr">
        <is>
          <t>4Q25 revenue ($M)</t>
        </is>
      </c>
      <c r="B63" s="15">
        <f>E24</f>
        <v/>
      </c>
      <c r="C63" s="2" t="inlineStr"/>
    </row>
    <row r="64">
      <c r="A64" t="inlineStr">
        <is>
          <t>4Q25 take rate</t>
        </is>
      </c>
      <c r="B64" s="11">
        <f>F24/100</f>
        <v/>
      </c>
      <c r="C64" s="2" t="inlineStr"/>
    </row>
    <row r="65">
      <c r="A65" t="inlineStr">
        <is>
          <t>4Q25 North America share of nights</t>
        </is>
      </c>
      <c r="B65" s="10" t="n">
        <v>0.2997002997002997</v>
      </c>
      <c r="C65" s="2" t="inlineStr">
        <is>
          <t>WS10 10_regional_panel_quarterly.csv, normalised to 100%</t>
        </is>
      </c>
    </row>
    <row r="66">
      <c r="A66" t="inlineStr">
        <is>
          <t>4Q25 EMEA share of nights</t>
        </is>
      </c>
      <c r="B66" s="10" t="n">
        <v>0.3996003996003996</v>
      </c>
      <c r="C66" s="2" t="inlineStr">
        <is>
          <t>WS10 10_regional_panel_quarterly.csv, normalised to 100%</t>
        </is>
      </c>
    </row>
    <row r="67">
      <c r="A67" t="inlineStr">
        <is>
          <t>4Q25 Latin America share of nights</t>
        </is>
      </c>
      <c r="B67" s="10" t="n">
        <v>0.1398601398601399</v>
      </c>
      <c r="C67" s="2" t="inlineStr">
        <is>
          <t>WS10 10_regional_panel_quarterly.csv, normalised to 100%</t>
        </is>
      </c>
    </row>
    <row r="68">
      <c r="A68" t="inlineStr">
        <is>
          <t>4Q25 Asia Pacific share of nights</t>
        </is>
      </c>
      <c r="B68" s="10" t="n">
        <v>0.1608391608391609</v>
      </c>
      <c r="C68" s="2" t="inlineStr">
        <is>
          <t>WS10 10_regional_panel_quarterly.csv, normalised to 100%</t>
        </is>
      </c>
    </row>
    <row r="69">
      <c r="A69" t="inlineStr">
        <is>
          <t>1Q26 nights (M)</t>
        </is>
      </c>
      <c r="B69" s="15">
        <f>B25</f>
        <v/>
      </c>
      <c r="C69" s="2" t="inlineStr"/>
    </row>
    <row r="70">
      <c r="A70" t="inlineStr">
        <is>
          <t>1Q26 GBV ($M)</t>
        </is>
      </c>
      <c r="B70" s="15">
        <f>C25</f>
        <v/>
      </c>
      <c r="C70" s="2" t="inlineStr"/>
    </row>
    <row r="71">
      <c r="A71" t="inlineStr">
        <is>
          <t>1Q26 ADR ($)</t>
        </is>
      </c>
      <c r="B71" s="9">
        <f>D25</f>
        <v/>
      </c>
      <c r="C71" s="2" t="inlineStr"/>
    </row>
    <row r="72">
      <c r="A72" t="inlineStr">
        <is>
          <t>1Q26 revenue ($M)</t>
        </is>
      </c>
      <c r="B72" s="15">
        <f>E25</f>
        <v/>
      </c>
      <c r="C72" s="2" t="inlineStr"/>
    </row>
    <row r="73">
      <c r="A73" t="inlineStr">
        <is>
          <t>1Q26 take rate</t>
        </is>
      </c>
      <c r="B73" s="11">
        <f>F25/100</f>
        <v/>
      </c>
      <c r="C73" s="2" t="inlineStr"/>
    </row>
    <row r="74">
      <c r="A74" t="inlineStr">
        <is>
          <t>1Q26 North America share of nights</t>
        </is>
      </c>
      <c r="B74" s="10" t="n">
        <v>0.293</v>
      </c>
      <c r="C74" s="2" t="inlineStr">
        <is>
          <t>WS10 10_regional_panel_quarterly.csv, normalised to 100%</t>
        </is>
      </c>
    </row>
    <row r="75">
      <c r="A75" t="inlineStr">
        <is>
          <t>1Q26 EMEA share of nights</t>
        </is>
      </c>
      <c r="B75" s="10" t="n">
        <v>0.397</v>
      </c>
      <c r="C75" s="2" t="inlineStr">
        <is>
          <t>WS10 10_regional_panel_quarterly.csv, normalised to 100%</t>
        </is>
      </c>
    </row>
    <row r="76">
      <c r="A76" t="inlineStr">
        <is>
          <t>1Q26 Latin America share of nights</t>
        </is>
      </c>
      <c r="B76" s="10" t="n">
        <v>0.147</v>
      </c>
      <c r="C76" s="2" t="inlineStr">
        <is>
          <t>WS10 10_regional_panel_quarterly.csv, normalised to 100%</t>
        </is>
      </c>
    </row>
    <row r="77">
      <c r="A77" t="inlineStr">
        <is>
          <t>1Q26 Asia Pacific share of nights</t>
        </is>
      </c>
      <c r="B77" s="10" t="n">
        <v>0.163</v>
      </c>
      <c r="C77" s="2" t="inlineStr">
        <is>
          <t>WS10 10_regional_panel_quarterly.csv, normalised to 100%</t>
        </is>
      </c>
    </row>
    <row r="78">
      <c r="A78" t="inlineStr">
        <is>
          <t>2Q26 nights (M)</t>
        </is>
      </c>
      <c r="B78" s="15">
        <f>B26</f>
        <v/>
      </c>
      <c r="C78" s="2" t="inlineStr"/>
    </row>
    <row r="79">
      <c r="A79" t="inlineStr">
        <is>
          <t>2Q26 GBV ($M)</t>
        </is>
      </c>
      <c r="B79" s="15">
        <f>C26</f>
        <v/>
      </c>
      <c r="C79" s="2" t="inlineStr"/>
    </row>
    <row r="80">
      <c r="A80" t="inlineStr">
        <is>
          <t>2Q26 ADR ($)</t>
        </is>
      </c>
      <c r="B80" s="9">
        <f>D26</f>
        <v/>
      </c>
      <c r="C80" s="2" t="inlineStr"/>
    </row>
    <row r="81">
      <c r="A81" t="inlineStr">
        <is>
          <t>2Q26 revenue ($M)</t>
        </is>
      </c>
      <c r="B81" s="15">
        <f>E26</f>
        <v/>
      </c>
      <c r="C81" s="2" t="inlineStr"/>
    </row>
    <row r="82">
      <c r="A82" t="inlineStr">
        <is>
          <t>2Q26 take rate</t>
        </is>
      </c>
      <c r="B82" s="11">
        <f>F26/100</f>
        <v/>
      </c>
      <c r="C82" s="2" t="inlineStr"/>
    </row>
    <row r="83">
      <c r="A83" t="inlineStr">
        <is>
          <t>2Q26 North America share of nights</t>
        </is>
      </c>
      <c r="B83" s="10" t="n">
        <v>0.2932932932932933</v>
      </c>
      <c r="C83" s="2" t="inlineStr">
        <is>
          <t>WS10 10_regional_panel_quarterly.csv, normalised to 100%</t>
        </is>
      </c>
    </row>
    <row r="84">
      <c r="A84" t="inlineStr">
        <is>
          <t>2Q26 EMEA share of nights</t>
        </is>
      </c>
      <c r="B84" s="10" t="n">
        <v>0.3963963963963964</v>
      </c>
      <c r="C84" s="2" t="inlineStr">
        <is>
          <t>WS10 10_regional_panel_quarterly.csv, normalised to 100%</t>
        </is>
      </c>
    </row>
    <row r="85">
      <c r="A85" t="inlineStr">
        <is>
          <t>2Q26 Latin America share of nights</t>
        </is>
      </c>
      <c r="B85" s="10" t="n">
        <v>0.1481481481481481</v>
      </c>
      <c r="C85" s="2" t="inlineStr">
        <is>
          <t>WS10 10_regional_panel_quarterly.csv, normalised to 100%</t>
        </is>
      </c>
    </row>
    <row r="86">
      <c r="A86" t="inlineStr">
        <is>
          <t>2Q26 Asia Pacific share of nights</t>
        </is>
      </c>
      <c r="B86" s="10" t="n">
        <v>0.1621621621621621</v>
      </c>
      <c r="C86" s="2" t="inlineStr">
        <is>
          <t>WS10 10_regional_panel_quarterly.csv, normalised to 100%</t>
        </is>
      </c>
    </row>
    <row r="87">
      <c r="A87" t="inlineStr">
        <is>
          <t>FY2025 North America share of nights</t>
        </is>
      </c>
      <c r="B87" s="10" t="n">
        <v>0.3112886198229538</v>
      </c>
      <c r="C87" s="2" t="inlineStr">
        <is>
          <t>nights-weighted mean of the four 2025 quarters (WS10)</t>
        </is>
      </c>
    </row>
    <row r="88">
      <c r="A88" t="inlineStr">
        <is>
          <t>FY2025 EMEA share of nights</t>
        </is>
      </c>
      <c r="B88" s="10" t="n">
        <v>0.3948337306220984</v>
      </c>
      <c r="C88" s="2" t="inlineStr">
        <is>
          <t>nights-weighted mean of the four 2025 quarters (WS10)</t>
        </is>
      </c>
    </row>
    <row r="89">
      <c r="A89" t="inlineStr">
        <is>
          <t>FY2025 Latin America share of nights</t>
        </is>
      </c>
      <c r="B89" s="10" t="n">
        <v>0.1358071197095587</v>
      </c>
      <c r="C89" s="2" t="inlineStr">
        <is>
          <t>nights-weighted mean of the four 2025 quarters (WS10)</t>
        </is>
      </c>
    </row>
    <row r="90">
      <c r="A90" t="inlineStr">
        <is>
          <t>FY2025 Asia Pacific share of nights</t>
        </is>
      </c>
      <c r="B90" s="10" t="n">
        <v>0.1580705298453891</v>
      </c>
      <c r="C90" s="2" t="inlineStr">
        <is>
          <t>nights-weighted mean of the four 2025 quarters (WS10)</t>
        </is>
      </c>
    </row>
    <row r="91">
      <c r="A91" t="inlineStr">
        <is>
          <t>Memo: seasonal adj. EBITDA margin spread, 1Q, 2023-2025 mean (pts vs the full year)</t>
        </is>
      </c>
      <c r="B91" s="10" t="n">
        <v>-0.1857930829959057</v>
      </c>
      <c r="C91" s="2" t="inlineStr">
        <is>
          <t>not used by any formula: the 2027 quarterly margins run off the 2026 spread instead, so 3Q27 stays continuous with the 3Q26 card margin</t>
        </is>
      </c>
    </row>
    <row r="92">
      <c r="A92" t="inlineStr">
        <is>
          <t>Memo: seasonal adj. EBITDA margin spread, 2Q, 2023-2025 mean (pts vs the full year)</t>
        </is>
      </c>
      <c r="B92" s="10" t="n">
        <v>-0.03045974966257241</v>
      </c>
      <c r="C92" s="2" t="inlineStr">
        <is>
          <t>not used by any formula: the 2027 quarterly margins run off the 2026 spread instead, so 3Q27 stays continuous with the 3Q26 card margin</t>
        </is>
      </c>
    </row>
    <row r="93">
      <c r="A93" t="inlineStr">
        <is>
          <t>Memo: seasonal adj. EBITDA margin spread, 3Q, 2023-2025 mean (pts vs the full year)</t>
        </is>
      </c>
      <c r="B93" s="10" t="n">
        <v>0.1608735836707609</v>
      </c>
      <c r="C93" s="2" t="inlineStr">
        <is>
          <t>not used by any formula: the 2027 quarterly margins run off the 2026 spread instead, so 3Q27 stays continuous with the 3Q26 card margin</t>
        </is>
      </c>
    </row>
    <row r="94">
      <c r="A94" t="inlineStr">
        <is>
          <t>Memo: seasonal adj. EBITDA margin spread, 4Q, 2023-2025 mean (pts vs the full year)</t>
        </is>
      </c>
      <c r="B94" s="10" t="n">
        <v>-0.05312641632923909</v>
      </c>
      <c r="C94" s="2" t="inlineStr">
        <is>
          <t>not used by any formula: the 2027 quarterly margins run off the 2026 spread instead, so 3Q27 stays continuous with the 3Q26 card margin</t>
        </is>
      </c>
    </row>
    <row r="95">
      <c r="A95" t="inlineStr">
        <is>
          <t>Seasonal share of full-year nights / revenue, 1Q</t>
        </is>
      </c>
      <c r="B95" s="10" t="n">
        <v>0.269486182357886</v>
      </c>
      <c r="C95" s="2" t="inlineStr">
        <is>
          <t>2023-2025 mean; revenue share 18.7%</t>
        </is>
      </c>
    </row>
    <row r="96">
      <c r="A96" t="inlineStr">
        <is>
          <t>Seasonal share of full-year nights / revenue, 2Q</t>
        </is>
      </c>
      <c r="B96" s="10" t="n">
        <v>0.254496518186287</v>
      </c>
      <c r="C96" s="2" t="inlineStr">
        <is>
          <t>2023-2025 mean; revenue share 25.0%</t>
        </is>
      </c>
    </row>
    <row r="97">
      <c r="A97" t="inlineStr">
        <is>
          <t>Seasonal share of full-year nights / revenue, 3Q</t>
        </is>
      </c>
      <c r="B97" s="10" t="n">
        <v>0.2510232950479808</v>
      </c>
      <c r="C97" s="2" t="inlineStr">
        <is>
          <t>2023-2025 mean; revenue share 33.8%</t>
        </is>
      </c>
    </row>
    <row r="98">
      <c r="A98" t="inlineStr">
        <is>
          <t>Seasonal share of full-year nights / revenue, 4Q</t>
        </is>
      </c>
      <c r="B98" s="10" t="n">
        <v>0.2249940044078461</v>
      </c>
      <c r="C98" s="2" t="inlineStr">
        <is>
          <t>2023-2025 mean; revenue share 22.5%</t>
        </is>
      </c>
    </row>
    <row r="99">
      <c r="A99" t="inlineStr">
        <is>
          <t>1Q26 adj. EBITDA margin (actual)</t>
        </is>
      </c>
      <c r="B99" s="11">
        <f>H25/100</f>
        <v/>
      </c>
      <c r="C99" s="2" t="inlineStr">
        <is>
          <t>actual; used as the 2027 seasonal template</t>
        </is>
      </c>
    </row>
    <row r="100">
      <c r="A100" t="inlineStr">
        <is>
          <t>2Q26 adj. EBITDA margin (actual)</t>
        </is>
      </c>
      <c r="B100" s="11">
        <f>H26/100</f>
        <v/>
      </c>
      <c r="C100" s="2" t="inlineStr">
        <is>
          <t>actual; used as the 2027 seasonal template</t>
        </is>
      </c>
    </row>
    <row r="101">
      <c r="A101" t="inlineStr">
        <is>
          <t>LTM revenue ($M)</t>
        </is>
      </c>
      <c r="B101" s="14" t="n">
        <v>13159</v>
      </c>
      <c r="C101" s="2" t="inlineStr">
        <is>
          <t>3Q25-2Q26</t>
        </is>
      </c>
    </row>
    <row r="102">
      <c r="A102" t="inlineStr">
        <is>
          <t>LTM adj. EBITDA ($M)</t>
        </is>
      </c>
      <c r="B102" s="14" t="n">
        <v>4617</v>
      </c>
      <c r="C102" s="2" t="inlineStr">
        <is>
          <t>3Q25-2Q26</t>
        </is>
      </c>
    </row>
    <row r="103">
      <c r="A103" t="inlineStr">
        <is>
          <t>LTM FCF ($M)</t>
        </is>
      </c>
      <c r="B103" s="14" t="n">
        <v>4827</v>
      </c>
      <c r="C103" s="2" t="inlineStr">
        <is>
          <t>3Q25-2Q26</t>
        </is>
      </c>
    </row>
    <row r="104">
      <c r="A104" t="inlineStr">
        <is>
          <t>LTM SBC ($M)</t>
        </is>
      </c>
      <c r="B104" s="14" t="n">
        <v>1696</v>
      </c>
      <c r="C104" s="2" t="inlineStr">
        <is>
          <t>3Q25-2Q26</t>
        </is>
      </c>
    </row>
    <row r="106">
      <c r="A106" s="5" t="inlineStr">
        <is>
          <t>FY2025 CASH-BRIDGE ANCHORS - the FY2025A memo column on Costs and Cash. No forecast year depends on these.</t>
        </is>
      </c>
      <c r="B106" s="6" t="n"/>
      <c r="C106" s="6" t="n"/>
      <c r="D106" s="6" t="n"/>
      <c r="E106" s="6" t="n"/>
      <c r="F106" s="6" t="n"/>
      <c r="G106" s="6" t="n"/>
      <c r="H106" s="6" t="n"/>
    </row>
    <row r="107">
      <c r="A107" s="7" t="inlineStr">
        <is>
          <t>Item</t>
        </is>
      </c>
      <c r="B107" s="7" t="inlineStr">
        <is>
          <t>Value</t>
        </is>
      </c>
      <c r="C107" s="7" t="inlineStr">
        <is>
          <t>Source / formula</t>
        </is>
      </c>
    </row>
    <row r="108">
      <c r="A108" t="inlineStr">
        <is>
          <t>FY2025 D&amp;A ($M)</t>
        </is>
      </c>
      <c r="B108" s="14" t="n">
        <v>91</v>
      </c>
      <c r="C108" s="2" t="inlineStr">
        <is>
          <t>data/processed/abnb_fcf_bridge.csv, sum of 1Q25-4Q25 (da)</t>
        </is>
      </c>
    </row>
    <row r="109">
      <c r="A109" t="inlineStr">
        <is>
          <t>FY2025 D&amp;A and other add-backs ($M)</t>
        </is>
      </c>
      <c r="B109" s="14" t="n">
        <v>161</v>
      </c>
      <c r="C109" s="2" t="inlineStr">
        <is>
          <t>data/processed/abnb_fcf_bridge.csv, sum of 1Q25-4Q25 (da 91 + other_addbacks 70)</t>
        </is>
      </c>
    </row>
    <row r="110">
      <c r="A110" t="inlineStr">
        <is>
          <t>FY2025 interest income ($M)</t>
        </is>
      </c>
      <c r="B110" s="14" t="n">
        <v>705</v>
      </c>
      <c r="C110" s="2" t="inlineStr">
        <is>
          <t>data/processed/abnb_fcf_bridge.csv, sum of 1Q25-4Q25 (interest_income)</t>
        </is>
      </c>
    </row>
    <row r="111">
      <c r="A111" t="inlineStr">
        <is>
          <t>FY2025 interest expense ($M)</t>
        </is>
      </c>
      <c r="B111" s="14" t="n">
        <v>0</v>
      </c>
      <c r="C111" s="2" t="inlineStr">
        <is>
          <t>data/processed/abnb_fcf_bridge.csv, sum of 1Q25-4Q25 reports zero in every quarter of 2025; the note coupon sits inside other income/(expense) in that bridge. Memo only - the forecast years take interest expense from Inputs</t>
        </is>
      </c>
    </row>
    <row r="112">
      <c r="A112" t="inlineStr">
        <is>
          <t>FY2025 other income / (expense) ($M)</t>
        </is>
      </c>
      <c r="B112" s="14" t="n">
        <v>-112</v>
      </c>
      <c r="C112" s="2" t="inlineStr">
        <is>
          <t>data/processed/abnb_fcf_bridge.csv, sum of 1Q25-4Q25 (other_income_expense)</t>
        </is>
      </c>
    </row>
    <row r="113">
      <c r="A113" t="inlineStr">
        <is>
          <t>FY2025 cash taxes ($M)</t>
        </is>
      </c>
      <c r="B113" s="14" t="n">
        <v>-232</v>
      </c>
      <c r="C113" s="2" t="inlineStr">
        <is>
          <t>WS07: FY2025 cash taxes 1.9% of revenue (0.019 x $12,241M = $232M); the book tax provision was $626M</t>
        </is>
      </c>
    </row>
    <row r="114">
      <c r="A114" t="inlineStr">
        <is>
          <t>FY2025 change in unearned fees ($M)</t>
        </is>
      </c>
      <c r="B114" s="14" t="n">
        <v>127</v>
      </c>
      <c r="C114" s="2" t="inlineStr">
        <is>
          <t>data/processed/abnb_fcf_bridge.csv, sum of 1Q25-4Q25 (change_unearned_fees)</t>
        </is>
      </c>
    </row>
    <row r="115">
      <c r="A115" t="inlineStr">
        <is>
          <t>FY2025 working-capital residual ($M)</t>
        </is>
      </c>
      <c r="B115" s="14" t="n">
        <v>-139</v>
      </c>
      <c r="C115" s="2" t="inlineStr">
        <is>
          <t>WS07: FY24 and FY25 both about -$140M. With the eight lines above this reproduces the reported FY2025 FCF of $4,613M exactly</t>
        </is>
      </c>
    </row>
    <row r="116">
      <c r="A116" t="inlineStr">
        <is>
          <t>FY2025 capex ($M)</t>
        </is>
      </c>
      <c r="B116" s="14" t="n">
        <v>-33</v>
      </c>
      <c r="C116" s="2" t="inlineStr">
        <is>
          <t>data/processed/abnb_fcf_bridge.csv, sum of 1Q25-4Q25 (capex)</t>
        </is>
      </c>
    </row>
    <row r="117">
      <c r="A117" t="inlineStr">
        <is>
          <t>FY2025 buybacks ($M)</t>
        </is>
      </c>
      <c r="B117" s="15">
        <f>K21+K22+K23+K24</f>
        <v/>
      </c>
      <c r="C117" s="2" t="inlineStr">
        <is>
          <t>sum of the 2025 quarters above</t>
        </is>
      </c>
    </row>
    <row r="118">
      <c r="A118" t="inlineStr">
        <is>
          <t>FY2025 RSU tax withholding ($M)</t>
        </is>
      </c>
      <c r="B118" s="15">
        <f>L21+L22+L23+L24</f>
        <v/>
      </c>
      <c r="C118" s="2" t="inlineStr">
        <is>
          <t>sum of the 2025 quarters above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Revenue build - quarterly 3Q26 to 4Q27 and annual FY2026E to FY2028E</t>
        </is>
      </c>
    </row>
    <row r="2">
      <c r="A2" s="2" t="inlineStr">
        <is>
          <t>nights by region x ADR (ex-FX x FX) = GBV; revenue = GBV x take rate x the FX timing wedge, plus new business outside GBV. FY2026 = 1H26 actual + 3Q26 + 4Q26.</t>
        </is>
      </c>
    </row>
    <row r="4">
      <c r="A4" s="5" t="inlineStr">
        <is>
          <t>BEAR CASE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</row>
    <row r="5">
      <c r="A5" s="7" t="inlineStr">
        <is>
          <t>Line</t>
        </is>
      </c>
      <c r="B5" s="7" t="inlineStr">
        <is>
          <t>Unit</t>
        </is>
      </c>
      <c r="C5" s="7" t="inlineStr">
        <is>
          <t>3Q26</t>
        </is>
      </c>
      <c r="D5" s="7" t="inlineStr">
        <is>
          <t>4Q26</t>
        </is>
      </c>
      <c r="E5" s="7" t="inlineStr">
        <is>
          <t>1Q27</t>
        </is>
      </c>
      <c r="F5" s="7" t="inlineStr">
        <is>
          <t>2Q27</t>
        </is>
      </c>
      <c r="G5" s="7" t="inlineStr">
        <is>
          <t>3Q27</t>
        </is>
      </c>
      <c r="H5" s="7" t="inlineStr">
        <is>
          <t>4Q27</t>
        </is>
      </c>
      <c r="I5" s="7" t="inlineStr">
        <is>
          <t>FY2026E</t>
        </is>
      </c>
      <c r="J5" s="7" t="inlineStr">
        <is>
          <t>FY2027E</t>
        </is>
      </c>
      <c r="K5" s="7" t="inlineStr">
        <is>
          <t>FY2028E</t>
        </is>
      </c>
    </row>
    <row r="6">
      <c r="A6" t="inlineStr">
        <is>
          <t xml:space="preserve">  Prior-year nights, North America</t>
        </is>
      </c>
      <c r="B6" t="inlineStr">
        <is>
          <t>M</t>
        </is>
      </c>
      <c r="C6" s="15">
        <f>History!$B$51*History!$B$56</f>
        <v/>
      </c>
      <c r="D6" s="15">
        <f>History!$B$60*History!$B$65</f>
        <v/>
      </c>
      <c r="E6" s="15">
        <f>History!$B$69*History!$B$74</f>
        <v/>
      </c>
      <c r="F6" s="15">
        <f>History!$B$78*History!$B$83</f>
        <v/>
      </c>
      <c r="G6" s="15">
        <f>C18</f>
        <v/>
      </c>
      <c r="H6" s="15">
        <f>D18</f>
        <v/>
      </c>
    </row>
    <row r="7">
      <c r="A7" t="inlineStr">
        <is>
          <t xml:space="preserve">  Prior-year nights, EMEA</t>
        </is>
      </c>
      <c r="B7" t="inlineStr">
        <is>
          <t>M</t>
        </is>
      </c>
      <c r="C7" s="15">
        <f>History!$B$51*History!$B$57</f>
        <v/>
      </c>
      <c r="D7" s="15">
        <f>History!$B$60*History!$B$66</f>
        <v/>
      </c>
      <c r="E7" s="15">
        <f>History!$B$69*History!$B$75</f>
        <v/>
      </c>
      <c r="F7" s="15">
        <f>History!$B$78*History!$B$84</f>
        <v/>
      </c>
      <c r="G7" s="15">
        <f>C19</f>
        <v/>
      </c>
      <c r="H7" s="15">
        <f>D19</f>
        <v/>
      </c>
    </row>
    <row r="8">
      <c r="A8" t="inlineStr">
        <is>
          <t xml:space="preserve">  Prior-year nights, Latin America</t>
        </is>
      </c>
      <c r="B8" t="inlineStr">
        <is>
          <t>M</t>
        </is>
      </c>
      <c r="C8" s="15">
        <f>History!$B$51*History!$B$58</f>
        <v/>
      </c>
      <c r="D8" s="15">
        <f>History!$B$60*History!$B$67</f>
        <v/>
      </c>
      <c r="E8" s="15">
        <f>History!$B$69*History!$B$76</f>
        <v/>
      </c>
      <c r="F8" s="15">
        <f>History!$B$78*History!$B$85</f>
        <v/>
      </c>
      <c r="G8" s="15">
        <f>C20</f>
        <v/>
      </c>
      <c r="H8" s="15">
        <f>D20</f>
        <v/>
      </c>
    </row>
    <row r="9">
      <c r="A9" t="inlineStr">
        <is>
          <t xml:space="preserve">  Prior-year nights, Asia Pacific</t>
        </is>
      </c>
      <c r="B9" t="inlineStr">
        <is>
          <t>M</t>
        </is>
      </c>
      <c r="C9" s="15">
        <f>History!$B$51*History!$B$59</f>
        <v/>
      </c>
      <c r="D9" s="15">
        <f>History!$B$60*History!$B$68</f>
        <v/>
      </c>
      <c r="E9" s="15">
        <f>History!$B$69*History!$B$77</f>
        <v/>
      </c>
      <c r="F9" s="15">
        <f>History!$B$78*History!$B$86</f>
        <v/>
      </c>
      <c r="G9" s="15">
        <f>C21</f>
        <v/>
      </c>
      <c r="H9" s="15">
        <f>D21</f>
        <v/>
      </c>
    </row>
    <row r="10">
      <c r="A10" t="inlineStr">
        <is>
          <t xml:space="preserve">  Nights growth, North America</t>
        </is>
      </c>
      <c r="B10" t="inlineStr">
        <is>
          <t>y/y</t>
        </is>
      </c>
      <c r="C10" s="18">
        <f>Inputs!$C$100/100</f>
        <v/>
      </c>
      <c r="D10" s="18">
        <f>Inputs!$C$108/100</f>
        <v/>
      </c>
      <c r="E10" s="18">
        <f>Inputs!$C$116/100</f>
        <v/>
      </c>
      <c r="F10" s="18">
        <f>Inputs!$C$124/100</f>
        <v/>
      </c>
      <c r="G10" s="18">
        <f>Inputs!$C$132/100</f>
        <v/>
      </c>
      <c r="H10" s="18">
        <f>Inputs!$C$140/100</f>
        <v/>
      </c>
    </row>
    <row r="11">
      <c r="A11" t="inlineStr">
        <is>
          <t xml:space="preserve">  Nights growth, EMEA</t>
        </is>
      </c>
      <c r="B11" t="inlineStr">
        <is>
          <t>y/y</t>
        </is>
      </c>
      <c r="C11" s="18">
        <f>Inputs!$C$101/100</f>
        <v/>
      </c>
      <c r="D11" s="18">
        <f>Inputs!$C$109/100</f>
        <v/>
      </c>
      <c r="E11" s="18">
        <f>Inputs!$C$117/100</f>
        <v/>
      </c>
      <c r="F11" s="18">
        <f>Inputs!$C$125/100</f>
        <v/>
      </c>
      <c r="G11" s="18">
        <f>Inputs!$C$133/100</f>
        <v/>
      </c>
      <c r="H11" s="18">
        <f>Inputs!$C$141/100</f>
        <v/>
      </c>
    </row>
    <row r="12">
      <c r="A12" t="inlineStr">
        <is>
          <t xml:space="preserve">  Nights growth, Latin America</t>
        </is>
      </c>
      <c r="B12" t="inlineStr">
        <is>
          <t>y/y</t>
        </is>
      </c>
      <c r="C12" s="18">
        <f>Inputs!$C$102/100</f>
        <v/>
      </c>
      <c r="D12" s="18">
        <f>Inputs!$C$110/100</f>
        <v/>
      </c>
      <c r="E12" s="18">
        <f>Inputs!$C$118/100</f>
        <v/>
      </c>
      <c r="F12" s="18">
        <f>Inputs!$C$126/100</f>
        <v/>
      </c>
      <c r="G12" s="18">
        <f>Inputs!$C$134/100</f>
        <v/>
      </c>
      <c r="H12" s="18">
        <f>Inputs!$C$142/100</f>
        <v/>
      </c>
    </row>
    <row r="13">
      <c r="A13" t="inlineStr">
        <is>
          <t xml:space="preserve">  Nights growth, Asia Pacific</t>
        </is>
      </c>
      <c r="B13" t="inlineStr">
        <is>
          <t>y/y</t>
        </is>
      </c>
      <c r="C13" s="18">
        <f>Inputs!$C$103/100</f>
        <v/>
      </c>
      <c r="D13" s="18">
        <f>Inputs!$C$111/100</f>
        <v/>
      </c>
      <c r="E13" s="18">
        <f>Inputs!$C$119/100</f>
        <v/>
      </c>
      <c r="F13" s="18">
        <f>Inputs!$C$127/100</f>
        <v/>
      </c>
      <c r="G13" s="18">
        <f>Inputs!$C$135/100</f>
        <v/>
      </c>
      <c r="H13" s="18">
        <f>Inputs!$C$143/100</f>
        <v/>
      </c>
    </row>
    <row r="14">
      <c r="A14" t="inlineStr">
        <is>
          <t xml:space="preserve">  Regulatory drag, North America</t>
        </is>
      </c>
      <c r="B14" t="inlineStr">
        <is>
          <t>pp</t>
        </is>
      </c>
      <c r="C14" s="11">
        <f>Inputs!$C$43*Inputs!$C$151/100</f>
        <v/>
      </c>
      <c r="D14" s="11">
        <f>Inputs!$C$43*Inputs!$C$151/100</f>
        <v/>
      </c>
      <c r="E14" s="11">
        <f>Inputs!$C$66*Inputs!$C$155/100</f>
        <v/>
      </c>
      <c r="F14" s="11">
        <f>Inputs!$C$66*Inputs!$C$155/100</f>
        <v/>
      </c>
      <c r="G14" s="11">
        <f>Inputs!$C$66*Inputs!$C$155/100</f>
        <v/>
      </c>
      <c r="H14" s="11">
        <f>Inputs!$C$66*Inputs!$C$155/100</f>
        <v/>
      </c>
      <c r="K14" s="11">
        <f>Inputs!$C$89*Inputs!$C$159/100</f>
        <v/>
      </c>
    </row>
    <row r="15">
      <c r="A15" t="inlineStr">
        <is>
          <t xml:space="preserve">  Regulatory drag, EMEA</t>
        </is>
      </c>
      <c r="B15" t="inlineStr">
        <is>
          <t>pp</t>
        </is>
      </c>
      <c r="C15" s="11">
        <f>Inputs!$C$43*Inputs!$C$152/100</f>
        <v/>
      </c>
      <c r="D15" s="11">
        <f>Inputs!$C$43*Inputs!$C$152/100</f>
        <v/>
      </c>
      <c r="E15" s="11">
        <f>Inputs!$C$66*Inputs!$C$156/100</f>
        <v/>
      </c>
      <c r="F15" s="11">
        <f>Inputs!$C$66*Inputs!$C$156/100</f>
        <v/>
      </c>
      <c r="G15" s="11">
        <f>Inputs!$C$66*Inputs!$C$156/100</f>
        <v/>
      </c>
      <c r="H15" s="11">
        <f>Inputs!$C$66*Inputs!$C$156/100</f>
        <v/>
      </c>
      <c r="K15" s="11">
        <f>Inputs!$C$89*Inputs!$C$160/100</f>
        <v/>
      </c>
    </row>
    <row r="16">
      <c r="A16" t="inlineStr">
        <is>
          <t xml:space="preserve">  Regulatory drag, Latin America</t>
        </is>
      </c>
      <c r="B16" t="inlineStr">
        <is>
          <t>pp</t>
        </is>
      </c>
      <c r="C16" s="11">
        <f>Inputs!$C$43*Inputs!$C$153/100</f>
        <v/>
      </c>
      <c r="D16" s="11">
        <f>Inputs!$C$43*Inputs!$C$153/100</f>
        <v/>
      </c>
      <c r="E16" s="11">
        <f>Inputs!$C$66*Inputs!$C$157/100</f>
        <v/>
      </c>
      <c r="F16" s="11">
        <f>Inputs!$C$66*Inputs!$C$157/100</f>
        <v/>
      </c>
      <c r="G16" s="11">
        <f>Inputs!$C$66*Inputs!$C$157/100</f>
        <v/>
      </c>
      <c r="H16" s="11">
        <f>Inputs!$C$66*Inputs!$C$157/100</f>
        <v/>
      </c>
      <c r="K16" s="11">
        <f>Inputs!$C$89*Inputs!$C$161/100</f>
        <v/>
      </c>
    </row>
    <row r="17">
      <c r="A17" t="inlineStr">
        <is>
          <t xml:space="preserve">  Regulatory drag, Asia Pacific</t>
        </is>
      </c>
      <c r="B17" t="inlineStr">
        <is>
          <t>pp</t>
        </is>
      </c>
      <c r="C17" s="11">
        <f>Inputs!$C$43*Inputs!$C$154/100</f>
        <v/>
      </c>
      <c r="D17" s="11">
        <f>Inputs!$C$43*Inputs!$C$154/100</f>
        <v/>
      </c>
      <c r="E17" s="11">
        <f>Inputs!$C$66*Inputs!$C$158/100</f>
        <v/>
      </c>
      <c r="F17" s="11">
        <f>Inputs!$C$66*Inputs!$C$158/100</f>
        <v/>
      </c>
      <c r="G17" s="11">
        <f>Inputs!$C$66*Inputs!$C$158/100</f>
        <v/>
      </c>
      <c r="H17" s="11">
        <f>Inputs!$C$66*Inputs!$C$158/100</f>
        <v/>
      </c>
      <c r="K17" s="11">
        <f>Inputs!$C$89*Inputs!$C$162/100</f>
        <v/>
      </c>
    </row>
    <row r="18">
      <c r="A18" t="inlineStr">
        <is>
          <t xml:space="preserve">  Nights, North America</t>
        </is>
      </c>
      <c r="B18" t="inlineStr">
        <is>
          <t>M</t>
        </is>
      </c>
      <c r="C18" s="15">
        <f>C6*(1+C10-C14)</f>
        <v/>
      </c>
      <c r="D18" s="15">
        <f>D6*(1+D10-D14)</f>
        <v/>
      </c>
      <c r="E18" s="15">
        <f>E6*(1+E10-E14)</f>
        <v/>
      </c>
      <c r="F18" s="15">
        <f>F6*(1+F10-F14)</f>
        <v/>
      </c>
      <c r="G18" s="15">
        <f>G6*(1+G10-G14)</f>
        <v/>
      </c>
      <c r="H18" s="15">
        <f>H6*(1+H10-H14)</f>
        <v/>
      </c>
      <c r="I18" s="15">
        <f>D18/D22*I22</f>
        <v/>
      </c>
      <c r="J18" s="15">
        <f>SUM(E18:H18)</f>
        <v/>
      </c>
      <c r="K18" s="15">
        <f>J18/J22*K22</f>
        <v/>
      </c>
    </row>
    <row r="19">
      <c r="A19" t="inlineStr">
        <is>
          <t xml:space="preserve">  Nights, EMEA</t>
        </is>
      </c>
      <c r="B19" t="inlineStr">
        <is>
          <t>M</t>
        </is>
      </c>
      <c r="C19" s="15">
        <f>C7*(1+C11-C15)</f>
        <v/>
      </c>
      <c r="D19" s="15">
        <f>D7*(1+D11-D15)</f>
        <v/>
      </c>
      <c r="E19" s="15">
        <f>E7*(1+E11-E15)</f>
        <v/>
      </c>
      <c r="F19" s="15">
        <f>F7*(1+F11-F15)</f>
        <v/>
      </c>
      <c r="G19" s="15">
        <f>G7*(1+G11-G15)</f>
        <v/>
      </c>
      <c r="H19" s="15">
        <f>H7*(1+H11-H15)</f>
        <v/>
      </c>
      <c r="I19" s="15">
        <f>D19/D22*I22</f>
        <v/>
      </c>
      <c r="J19" s="15">
        <f>SUM(E19:H19)</f>
        <v/>
      </c>
      <c r="K19" s="15">
        <f>J19/J22*K22</f>
        <v/>
      </c>
    </row>
    <row r="20">
      <c r="A20" t="inlineStr">
        <is>
          <t xml:space="preserve">  Nights, Latin America</t>
        </is>
      </c>
      <c r="B20" t="inlineStr">
        <is>
          <t>M</t>
        </is>
      </c>
      <c r="C20" s="15">
        <f>C8*(1+C12-C16)</f>
        <v/>
      </c>
      <c r="D20" s="15">
        <f>D8*(1+D12-D16)</f>
        <v/>
      </c>
      <c r="E20" s="15">
        <f>E8*(1+E12-E16)</f>
        <v/>
      </c>
      <c r="F20" s="15">
        <f>F8*(1+F12-F16)</f>
        <v/>
      </c>
      <c r="G20" s="15">
        <f>G8*(1+G12-G16)</f>
        <v/>
      </c>
      <c r="H20" s="15">
        <f>H8*(1+H12-H16)</f>
        <v/>
      </c>
      <c r="I20" s="15">
        <f>D20/D22*I22</f>
        <v/>
      </c>
      <c r="J20" s="15">
        <f>SUM(E20:H20)</f>
        <v/>
      </c>
      <c r="K20" s="15">
        <f>J20/J22*K22</f>
        <v/>
      </c>
    </row>
    <row r="21">
      <c r="A21" t="inlineStr">
        <is>
          <t xml:space="preserve">  Nights, Asia Pacific</t>
        </is>
      </c>
      <c r="B21" t="inlineStr">
        <is>
          <t>M</t>
        </is>
      </c>
      <c r="C21" s="15">
        <f>C9*(1+C13-C17)</f>
        <v/>
      </c>
      <c r="D21" s="15">
        <f>D9*(1+D13-D17)</f>
        <v/>
      </c>
      <c r="E21" s="15">
        <f>E9*(1+E13-E17)</f>
        <v/>
      </c>
      <c r="F21" s="15">
        <f>F9*(1+F13-F17)</f>
        <v/>
      </c>
      <c r="G21" s="15">
        <f>G9*(1+G13-G17)</f>
        <v/>
      </c>
      <c r="H21" s="15">
        <f>H9*(1+H13-H17)</f>
        <v/>
      </c>
      <c r="I21" s="15">
        <f>D21/D22*I22</f>
        <v/>
      </c>
      <c r="J21" s="15">
        <f>SUM(E21:H21)</f>
        <v/>
      </c>
      <c r="K21" s="15">
        <f>J21/J22*K22</f>
        <v/>
      </c>
    </row>
    <row r="22">
      <c r="A22" t="inlineStr">
        <is>
          <t>Nights &amp; experiences booked</t>
        </is>
      </c>
      <c r="B22" t="inlineStr">
        <is>
          <t>M</t>
        </is>
      </c>
      <c r="C22" s="19">
        <f>C18+C19+C20+C21</f>
        <v/>
      </c>
      <c r="D22" s="19">
        <f>D18+D19+D20+D21</f>
        <v/>
      </c>
      <c r="E22" s="19">
        <f>E18+E19+E20+E21</f>
        <v/>
      </c>
      <c r="F22" s="19">
        <f>F18+F19+F20+F21</f>
        <v/>
      </c>
      <c r="G22" s="19">
        <f>G18+G19+G20+G21</f>
        <v/>
      </c>
      <c r="H22" s="19">
        <f>H18+H19+H20+H21</f>
        <v/>
      </c>
      <c r="I22" s="19">
        <f>History!$B$44+C22+D22</f>
        <v/>
      </c>
      <c r="J22" s="19">
        <f>SUM(E22:H22)</f>
        <v/>
      </c>
      <c r="K22" s="19">
        <f>J22*(1+Inputs!$C$93-J18/J22*K14-J19/J22*K15-J20/J22*K16-J21/J22*K17)</f>
        <v/>
      </c>
    </row>
    <row r="23">
      <c r="A23" t="inlineStr">
        <is>
          <t xml:space="preserve">  Nights growth</t>
        </is>
      </c>
      <c r="B23" t="inlineStr">
        <is>
          <t>y/y</t>
        </is>
      </c>
      <c r="C23" s="20">
        <f>C22/History!$B$51-1</f>
        <v/>
      </c>
      <c r="D23" s="20">
        <f>D22/History!$B$60-1</f>
        <v/>
      </c>
      <c r="E23" s="20">
        <f>E22/History!$B$69-1</f>
        <v/>
      </c>
      <c r="F23" s="20">
        <f>F22/History!$B$78-1</f>
        <v/>
      </c>
      <c r="G23" s="20">
        <f>G22/C22-1</f>
        <v/>
      </c>
      <c r="H23" s="20">
        <f>H22/D22-1</f>
        <v/>
      </c>
      <c r="I23" s="20">
        <f>I22/History!$B$30-1</f>
        <v/>
      </c>
      <c r="J23" s="20">
        <f>J22/I22-1</f>
        <v/>
      </c>
      <c r="K23" s="20">
        <f>K22/J22-1</f>
        <v/>
      </c>
    </row>
    <row r="24">
      <c r="A24" t="inlineStr">
        <is>
          <t>ADR ex-FX growth</t>
        </is>
      </c>
      <c r="B24" t="inlineStr">
        <is>
          <t>y/y</t>
        </is>
      </c>
      <c r="C24" s="18">
        <f>Inputs!$C$104/100</f>
        <v/>
      </c>
      <c r="D24" s="18">
        <f>Inputs!$C$112/100</f>
        <v/>
      </c>
      <c r="E24" s="18">
        <f>Inputs!$C$120/100</f>
        <v/>
      </c>
      <c r="F24" s="18">
        <f>Inputs!$C$128/100</f>
        <v/>
      </c>
      <c r="G24" s="18">
        <f>Inputs!$C$136/100</f>
        <v/>
      </c>
      <c r="H24" s="18">
        <f>Inputs!$C$144/100</f>
        <v/>
      </c>
      <c r="K24" s="18">
        <f>Inputs!$C$94</f>
        <v/>
      </c>
    </row>
    <row r="25">
      <c r="A25" t="inlineStr">
        <is>
          <t>FX effect on ADR</t>
        </is>
      </c>
      <c r="B25" t="inlineStr">
        <is>
          <t>pp</t>
        </is>
      </c>
      <c r="C25" s="10">
        <f>Inputs!$C$106/100</f>
        <v/>
      </c>
      <c r="D25" s="10">
        <f>Inputs!$C$114/100</f>
        <v/>
      </c>
      <c r="E25" s="10">
        <f>Inputs!$C$122/100</f>
        <v/>
      </c>
      <c r="F25" s="10">
        <f>Inputs!$C$130/100</f>
        <v/>
      </c>
      <c r="G25" s="10">
        <f>Inputs!$C$138/100</f>
        <v/>
      </c>
      <c r="H25" s="10">
        <f>Inputs!$C$146/100</f>
        <v/>
      </c>
      <c r="K25" s="10">
        <f>Inputs!$C$96</f>
        <v/>
      </c>
    </row>
    <row r="26">
      <c r="A26" t="inlineStr">
        <is>
          <t>ADR</t>
        </is>
      </c>
      <c r="B26" t="inlineStr">
        <is>
          <t>$</t>
        </is>
      </c>
      <c r="C26" s="9">
        <f>History!$B$53*(1+C24)*(1+C25)</f>
        <v/>
      </c>
      <c r="D26" s="9">
        <f>History!$B$62*(1+D24)*(1+D25)</f>
        <v/>
      </c>
      <c r="E26" s="9">
        <f>History!$B$71*(1+E24)*(1+E25)</f>
        <v/>
      </c>
      <c r="F26" s="9">
        <f>History!$B$80*(1+F24)*(1+F25)</f>
        <v/>
      </c>
      <c r="G26" s="9">
        <f>C26*(1+G24)*(1+G25)</f>
        <v/>
      </c>
      <c r="H26" s="9">
        <f>D26*(1+H24)*(1+H25)</f>
        <v/>
      </c>
      <c r="I26" s="9">
        <f>I28/I22</f>
        <v/>
      </c>
      <c r="J26" s="9">
        <f>J28/J22</f>
        <v/>
      </c>
      <c r="K26" s="9">
        <f>K28/K22</f>
        <v/>
      </c>
    </row>
    <row r="27">
      <c r="A27" t="inlineStr">
        <is>
          <t xml:space="preserve">  ADR growth (reported)</t>
        </is>
      </c>
      <c r="B27" t="inlineStr">
        <is>
          <t>y/y</t>
        </is>
      </c>
      <c r="C27" s="20">
        <f>C26/History!$B$53-1</f>
        <v/>
      </c>
      <c r="D27" s="20">
        <f>D26/History!$B$62-1</f>
        <v/>
      </c>
      <c r="E27" s="20">
        <f>E26/History!$B$71-1</f>
        <v/>
      </c>
      <c r="F27" s="20">
        <f>F26/History!$B$80-1</f>
        <v/>
      </c>
      <c r="G27" s="20">
        <f>G26/C26-1</f>
        <v/>
      </c>
      <c r="H27" s="20">
        <f>H26/D26-1</f>
        <v/>
      </c>
      <c r="I27" s="20">
        <f>I26/History!$B$33-1</f>
        <v/>
      </c>
      <c r="J27" s="20">
        <f>J26/I26-1</f>
        <v/>
      </c>
      <c r="K27" s="20">
        <f>K26/J26-1</f>
        <v/>
      </c>
    </row>
    <row r="28">
      <c r="A28" t="inlineStr">
        <is>
          <t>Gross booking value</t>
        </is>
      </c>
      <c r="B28" t="inlineStr">
        <is>
          <t>$M</t>
        </is>
      </c>
      <c r="C28" s="21">
        <f>C22*C26</f>
        <v/>
      </c>
      <c r="D28" s="21">
        <f>D22*D26</f>
        <v/>
      </c>
      <c r="E28" s="21">
        <f>E22*E26</f>
        <v/>
      </c>
      <c r="F28" s="21">
        <f>F22*F26</f>
        <v/>
      </c>
      <c r="G28" s="21">
        <f>G22*G26</f>
        <v/>
      </c>
      <c r="H28" s="21">
        <f>H22*H26</f>
        <v/>
      </c>
      <c r="I28" s="21">
        <f>History!$B$45+C28+D28</f>
        <v/>
      </c>
      <c r="J28" s="21">
        <f>SUM(E28:H28)</f>
        <v/>
      </c>
      <c r="K28" s="21">
        <f>K22*J26*(1+K24)*(1+K25)</f>
        <v/>
      </c>
    </row>
    <row r="29">
      <c r="A29" t="inlineStr">
        <is>
          <t xml:space="preserve">  GBV growth</t>
        </is>
      </c>
      <c r="B29" t="inlineStr">
        <is>
          <t>y/y</t>
        </is>
      </c>
      <c r="C29" s="20">
        <f>C28/History!$B$52-1</f>
        <v/>
      </c>
      <c r="D29" s="20">
        <f>D28/History!$B$61-1</f>
        <v/>
      </c>
      <c r="E29" s="20">
        <f>E28/History!$B$70-1</f>
        <v/>
      </c>
      <c r="F29" s="20">
        <f>F28/History!$B$79-1</f>
        <v/>
      </c>
      <c r="G29" s="20">
        <f>G28/C28-1</f>
        <v/>
      </c>
      <c r="H29" s="20">
        <f>H28/D28-1</f>
        <v/>
      </c>
      <c r="I29" s="20">
        <f>I28/History!$B$31-1</f>
        <v/>
      </c>
      <c r="J29" s="20">
        <f>J28/I28-1</f>
        <v/>
      </c>
      <c r="K29" s="20">
        <f>K28/J28-1</f>
        <v/>
      </c>
    </row>
    <row r="30">
      <c r="A30" t="inlineStr">
        <is>
          <t>Take rate, assumed (prior-year quarter + bps)</t>
        </is>
      </c>
      <c r="B30" t="inlineStr">
        <is>
          <t>%</t>
        </is>
      </c>
      <c r="C30" s="11">
        <f>History!$B$55+Inputs!$C$26/10000</f>
        <v/>
      </c>
      <c r="D30" s="11">
        <f>History!$B$64+Inputs!$C$26/10000</f>
        <v/>
      </c>
      <c r="E30" s="11">
        <f>History!$B$73+Inputs!$C$49/10000</f>
        <v/>
      </c>
      <c r="F30" s="11">
        <f>History!$B$82+Inputs!$C$49/10000</f>
        <v/>
      </c>
      <c r="G30" s="11">
        <f>C30+Inputs!$C$49/10000</f>
        <v/>
      </c>
      <c r="H30" s="11">
        <f>D30+Inputs!$C$49/10000</f>
        <v/>
      </c>
      <c r="I30" s="11">
        <f>(History!$B$46+C28*C30+D28*D30)/I28</f>
        <v/>
      </c>
      <c r="J30" s="11">
        <f>(E28*E30+F28*F30+G28*G30+H28*H30)/J28</f>
        <v/>
      </c>
      <c r="K30" s="11">
        <f>J30+Inputs!$C$72/10000</f>
        <v/>
      </c>
    </row>
    <row r="31">
      <c r="A31" t="inlineStr">
        <is>
          <t>FX effect on revenue (lagged)</t>
        </is>
      </c>
      <c r="B31" t="inlineStr">
        <is>
          <t>pp</t>
        </is>
      </c>
      <c r="C31" s="10">
        <f>Inputs!$C$105/100</f>
        <v/>
      </c>
      <c r="D31" s="10">
        <f>Inputs!$C$113/100</f>
        <v/>
      </c>
      <c r="E31" s="10">
        <f>Inputs!$C$121/100</f>
        <v/>
      </c>
      <c r="F31" s="10">
        <f>Inputs!$C$129/100</f>
        <v/>
      </c>
      <c r="G31" s="10">
        <f>Inputs!$C$137/100</f>
        <v/>
      </c>
      <c r="H31" s="10">
        <f>Inputs!$C$145/100</f>
        <v/>
      </c>
      <c r="K31" s="10">
        <f>Inputs!$C$95</f>
        <v/>
      </c>
    </row>
    <row r="32">
      <c r="A32" t="inlineStr">
        <is>
          <t xml:space="preserve">  FX timing wedge (revenue FX less ADR FX)</t>
        </is>
      </c>
      <c r="B32" t="inlineStr">
        <is>
          <t>pp</t>
        </is>
      </c>
      <c r="C32" s="11">
        <f>(1+C31)/(1+C25)-1</f>
        <v/>
      </c>
      <c r="D32" s="11">
        <f>(1+D31)/(1+D25)-1</f>
        <v/>
      </c>
      <c r="E32" s="11">
        <f>(1+E31)/(1+E25)-1</f>
        <v/>
      </c>
      <c r="F32" s="11">
        <f>(1+F31)/(1+F25)-1</f>
        <v/>
      </c>
      <c r="G32" s="11">
        <f>(1+G31)/(1+G25)-1</f>
        <v/>
      </c>
      <c r="H32" s="11">
        <f>(1+H31)/(1+H25)-1</f>
        <v/>
      </c>
      <c r="K32" s="11">
        <f>(1+K31)/(1+K25)-1</f>
        <v/>
      </c>
    </row>
    <row r="33">
      <c r="A33" t="inlineStr">
        <is>
          <t>Core revenue (GBV x take x wedge)</t>
        </is>
      </c>
      <c r="B33" t="inlineStr">
        <is>
          <t>$M</t>
        </is>
      </c>
      <c r="C33" s="21">
        <f>C28*C30*(1+C32)</f>
        <v/>
      </c>
      <c r="D33" s="21">
        <f>D28*D30*(1+D32)</f>
        <v/>
      </c>
      <c r="E33" s="21">
        <f>E28*E30*(1+E32)</f>
        <v/>
      </c>
      <c r="F33" s="21">
        <f>F28*F30*(1+F32)</f>
        <v/>
      </c>
      <c r="G33" s="21">
        <f>G28*G30*(1+G32)</f>
        <v/>
      </c>
      <c r="H33" s="21">
        <f>H28*H30*(1+H32)</f>
        <v/>
      </c>
      <c r="I33" s="21">
        <f>History!$B$46+C33+D33</f>
        <v/>
      </c>
      <c r="J33" s="21">
        <f>SUM(E33:H33)</f>
        <v/>
      </c>
      <c r="K33" s="21">
        <f>K28*K30*(1+K32)</f>
        <v/>
      </c>
    </row>
    <row r="34">
      <c r="A34" t="inlineStr">
        <is>
          <t xml:space="preserve">  Implied reported take rate (core revenue / GBV)</t>
        </is>
      </c>
      <c r="B34" t="inlineStr">
        <is>
          <t>%</t>
        </is>
      </c>
      <c r="C34" s="11">
        <f>C33/C28</f>
        <v/>
      </c>
      <c r="D34" s="11">
        <f>D33/D28</f>
        <v/>
      </c>
      <c r="E34" s="11">
        <f>E33/E28</f>
        <v/>
      </c>
      <c r="F34" s="11">
        <f>F33/F28</f>
        <v/>
      </c>
      <c r="G34" s="11">
        <f>G33/G28</f>
        <v/>
      </c>
      <c r="H34" s="11">
        <f>H33/H28</f>
        <v/>
      </c>
      <c r="I34" s="11">
        <f>I33/I28</f>
        <v/>
      </c>
      <c r="J34" s="11">
        <f>J33/J28</f>
        <v/>
      </c>
      <c r="K34" s="11">
        <f>K33/K28</f>
        <v/>
      </c>
    </row>
    <row r="35">
      <c r="A35" t="inlineStr">
        <is>
          <t>New business outside GBV x take, incremental</t>
        </is>
      </c>
      <c r="B35" t="inlineStr">
        <is>
          <t>$M</t>
        </is>
      </c>
      <c r="C35" s="15">
        <f>I35*C33/(C33+D33)</f>
        <v/>
      </c>
      <c r="D35" s="15">
        <f>I35*D33/(C33+D33)</f>
        <v/>
      </c>
      <c r="E35" s="15">
        <f>J35*E33/SUM(E33:H33)</f>
        <v/>
      </c>
      <c r="F35" s="15">
        <f>J35*F33/SUM(E33:H33)</f>
        <v/>
      </c>
      <c r="G35" s="15">
        <f>J35*G33/SUM(E33:H33)</f>
        <v/>
      </c>
      <c r="H35" s="15">
        <f>J35*H33/SUM(E33:H33)</f>
        <v/>
      </c>
      <c r="I35" s="15">
        <f>Inputs!$C$41-History!$B$43*I33/History!$B$32</f>
        <v/>
      </c>
      <c r="J35" s="15">
        <f>Inputs!$C$64-History!$B$43*J33/History!$B$32</f>
        <v/>
      </c>
      <c r="K35" s="15">
        <f>Inputs!$C$87-History!$B$43*K33/History!$B$32</f>
        <v/>
      </c>
    </row>
    <row r="36">
      <c r="A36" t="inlineStr">
        <is>
          <t>REVENUE</t>
        </is>
      </c>
      <c r="B36" t="inlineStr">
        <is>
          <t>$M</t>
        </is>
      </c>
      <c r="C36" s="22">
        <f>C33+C35</f>
        <v/>
      </c>
      <c r="D36" s="22">
        <f>D33+D35</f>
        <v/>
      </c>
      <c r="E36" s="22">
        <f>E33+E35</f>
        <v/>
      </c>
      <c r="F36" s="22">
        <f>F33+F35</f>
        <v/>
      </c>
      <c r="G36" s="22">
        <f>G33+G35</f>
        <v/>
      </c>
      <c r="H36" s="22">
        <f>H33+H35</f>
        <v/>
      </c>
      <c r="I36" s="22">
        <f>I33+I35</f>
        <v/>
      </c>
      <c r="J36" s="22">
        <f>J33+J35</f>
        <v/>
      </c>
      <c r="K36" s="22">
        <f>K33+K35</f>
        <v/>
      </c>
    </row>
    <row r="37">
      <c r="A37" t="inlineStr">
        <is>
          <t xml:space="preserve">  Revenue growth</t>
        </is>
      </c>
      <c r="B37" t="inlineStr">
        <is>
          <t>y/y</t>
        </is>
      </c>
      <c r="C37" s="23">
        <f>C36/History!$B$54-1</f>
        <v/>
      </c>
      <c r="D37" s="23">
        <f>D36/History!$B$63-1</f>
        <v/>
      </c>
      <c r="E37" s="23">
        <f>E36/History!$B$72-1</f>
        <v/>
      </c>
      <c r="F37" s="23">
        <f>F36/History!$B$81-1</f>
        <v/>
      </c>
      <c r="G37" s="23">
        <f>G36/C36-1</f>
        <v/>
      </c>
      <c r="H37" s="23">
        <f>H36/D36-1</f>
        <v/>
      </c>
      <c r="I37" s="23">
        <f>I36/History!$B$32-1</f>
        <v/>
      </c>
      <c r="J37" s="23">
        <f>J36/I36-1</f>
        <v/>
      </c>
      <c r="K37" s="23">
        <f>K36/J36-1</f>
        <v/>
      </c>
    </row>
    <row r="38">
      <c r="A38" t="inlineStr">
        <is>
          <t xml:space="preserve">  Seasonal margin spread vs FY2026 (2027 quarters)</t>
        </is>
      </c>
      <c r="B38" t="inlineStr">
        <is>
          <t>pts</t>
        </is>
      </c>
      <c r="E38" s="11">
        <f>History!$B$99-Costs!$D$22</f>
        <v/>
      </c>
      <c r="F38" s="11">
        <f>History!$B$100-Costs!$D$22</f>
        <v/>
      </c>
      <c r="G38" s="11">
        <f>Inputs!$C$107/100-Costs!$D$22</f>
        <v/>
      </c>
      <c r="H38" s="11">
        <f>Inputs!$C$115/100-Costs!$D$22</f>
        <v/>
      </c>
    </row>
    <row r="39">
      <c r="A39" t="inlineStr">
        <is>
          <t xml:space="preserve">  Correction so the 2027 quarters reproduce the FY2027 margin</t>
        </is>
      </c>
      <c r="B39" t="inlineStr">
        <is>
          <t>pts</t>
        </is>
      </c>
      <c r="E39" s="11">
        <f>-(E38*E36+F38*F36+G38*G36+H38*H36)/SUM(E36:H36)</f>
        <v/>
      </c>
      <c r="F39" s="11">
        <f>-(E38*E36+F38*F36+G38*G36+H38*H36)/SUM(E36:H36)</f>
        <v/>
      </c>
      <c r="G39" s="11">
        <f>-(E38*E36+F38*F36+G38*G36+H38*H36)/SUM(E36:H36)</f>
        <v/>
      </c>
      <c r="H39" s="11">
        <f>-(E38*E36+F38*F36+G38*G36+H38*H36)/SUM(E36:H36)</f>
        <v/>
      </c>
    </row>
    <row r="40">
      <c r="A40" t="inlineStr">
        <is>
          <t>Adj. EBITDA margin</t>
        </is>
      </c>
      <c r="B40" t="inlineStr">
        <is>
          <t>%</t>
        </is>
      </c>
      <c r="C40" s="23">
        <f>Inputs!$C$107/100</f>
        <v/>
      </c>
      <c r="D40" s="23">
        <f>Inputs!$C$115/100</f>
        <v/>
      </c>
      <c r="E40" s="23">
        <f>Costs!$E$22+E38+E39</f>
        <v/>
      </c>
      <c r="F40" s="23">
        <f>Costs!$E$22+F38+F39</f>
        <v/>
      </c>
      <c r="G40" s="23">
        <f>Costs!$E$22+G38+G39</f>
        <v/>
      </c>
      <c r="H40" s="23">
        <f>Costs!$E$22+H38+H39</f>
        <v/>
      </c>
      <c r="I40" s="23">
        <f>Costs!$D$22</f>
        <v/>
      </c>
      <c r="J40" s="23">
        <f>Costs!$E$22</f>
        <v/>
      </c>
      <c r="K40" s="23">
        <f>Costs!$F$22</f>
        <v/>
      </c>
    </row>
    <row r="41">
      <c r="A41" t="inlineStr">
        <is>
          <t>Adj. EBITDA</t>
        </is>
      </c>
      <c r="B41" t="inlineStr">
        <is>
          <t>$M</t>
        </is>
      </c>
      <c r="C41" s="22">
        <f>C36*C40</f>
        <v/>
      </c>
      <c r="D41" s="22">
        <f>D36*D40</f>
        <v/>
      </c>
      <c r="E41" s="22">
        <f>E36*E40</f>
        <v/>
      </c>
      <c r="F41" s="22">
        <f>F36*F40</f>
        <v/>
      </c>
      <c r="G41" s="22">
        <f>G36*G40</f>
        <v/>
      </c>
      <c r="H41" s="22">
        <f>H36*H40</f>
        <v/>
      </c>
      <c r="I41" s="22">
        <f>Costs!$D$21</f>
        <v/>
      </c>
      <c r="J41" s="22">
        <f>Costs!$E$21</f>
        <v/>
      </c>
      <c r="K41" s="22">
        <f>Costs!$F$21</f>
        <v/>
      </c>
    </row>
    <row r="42">
      <c r="A42" t="inlineStr">
        <is>
          <t xml:space="preserve">  Memo: seasonal share of full-year nights</t>
        </is>
      </c>
      <c r="B42" t="inlineStr">
        <is>
          <t>%</t>
        </is>
      </c>
      <c r="C42" s="20">
        <f>C22/I22</f>
        <v/>
      </c>
      <c r="D42" s="20">
        <f>D22/I22</f>
        <v/>
      </c>
      <c r="E42" s="20">
        <f>E22/J22</f>
        <v/>
      </c>
      <c r="F42" s="20">
        <f>F22/J22</f>
        <v/>
      </c>
      <c r="G42" s="20">
        <f>G22/J22</f>
        <v/>
      </c>
      <c r="H42" s="20">
        <f>H22/J22</f>
        <v/>
      </c>
    </row>
    <row r="43">
      <c r="A43" t="inlineStr">
        <is>
          <t xml:space="preserve">  Memo: 2023-2025 mean seasonal share</t>
        </is>
      </c>
      <c r="B43" t="inlineStr">
        <is>
          <t>%</t>
        </is>
      </c>
      <c r="C43" s="20">
        <f>History!$B$97</f>
        <v/>
      </c>
      <c r="D43" s="20">
        <f>History!$B$98</f>
        <v/>
      </c>
      <c r="E43" s="20">
        <f>History!$B$95</f>
        <v/>
      </c>
      <c r="F43" s="20">
        <f>History!$B$96</f>
        <v/>
      </c>
      <c r="G43" s="20">
        <f>History!$B$97</f>
        <v/>
      </c>
      <c r="H43" s="20">
        <f>History!$B$98</f>
        <v/>
      </c>
    </row>
    <row r="45">
      <c r="A45" s="5" t="inlineStr">
        <is>
          <t>BASE CASE</t>
        </is>
      </c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</row>
    <row r="46">
      <c r="A46" s="7" t="inlineStr">
        <is>
          <t>Line</t>
        </is>
      </c>
      <c r="B46" s="7" t="inlineStr">
        <is>
          <t>Unit</t>
        </is>
      </c>
      <c r="C46" s="7" t="inlineStr">
        <is>
          <t>3Q26</t>
        </is>
      </c>
      <c r="D46" s="7" t="inlineStr">
        <is>
          <t>4Q26</t>
        </is>
      </c>
      <c r="E46" s="7" t="inlineStr">
        <is>
          <t>1Q27</t>
        </is>
      </c>
      <c r="F46" s="7" t="inlineStr">
        <is>
          <t>2Q27</t>
        </is>
      </c>
      <c r="G46" s="7" t="inlineStr">
        <is>
          <t>3Q27</t>
        </is>
      </c>
      <c r="H46" s="7" t="inlineStr">
        <is>
          <t>4Q27</t>
        </is>
      </c>
      <c r="I46" s="7" t="inlineStr">
        <is>
          <t>FY2026E</t>
        </is>
      </c>
      <c r="J46" s="7" t="inlineStr">
        <is>
          <t>FY2027E</t>
        </is>
      </c>
      <c r="K46" s="7" t="inlineStr">
        <is>
          <t>FY2028E</t>
        </is>
      </c>
    </row>
    <row r="47">
      <c r="A47" t="inlineStr">
        <is>
          <t xml:space="preserve">  Prior-year nights, North America</t>
        </is>
      </c>
      <c r="B47" t="inlineStr">
        <is>
          <t>M</t>
        </is>
      </c>
      <c r="C47" s="15">
        <f>History!$B$51*History!$B$56</f>
        <v/>
      </c>
      <c r="D47" s="15">
        <f>History!$B$60*History!$B$65</f>
        <v/>
      </c>
      <c r="E47" s="15">
        <f>History!$B$69*History!$B$74</f>
        <v/>
      </c>
      <c r="F47" s="15">
        <f>History!$B$78*History!$B$83</f>
        <v/>
      </c>
      <c r="G47" s="15">
        <f>C59</f>
        <v/>
      </c>
      <c r="H47" s="15">
        <f>D59</f>
        <v/>
      </c>
    </row>
    <row r="48">
      <c r="A48" t="inlineStr">
        <is>
          <t xml:space="preserve">  Prior-year nights, EMEA</t>
        </is>
      </c>
      <c r="B48" t="inlineStr">
        <is>
          <t>M</t>
        </is>
      </c>
      <c r="C48" s="15">
        <f>History!$B$51*History!$B$57</f>
        <v/>
      </c>
      <c r="D48" s="15">
        <f>History!$B$60*History!$B$66</f>
        <v/>
      </c>
      <c r="E48" s="15">
        <f>History!$B$69*History!$B$75</f>
        <v/>
      </c>
      <c r="F48" s="15">
        <f>History!$B$78*History!$B$84</f>
        <v/>
      </c>
      <c r="G48" s="15">
        <f>C60</f>
        <v/>
      </c>
      <c r="H48" s="15">
        <f>D60</f>
        <v/>
      </c>
    </row>
    <row r="49">
      <c r="A49" t="inlineStr">
        <is>
          <t xml:space="preserve">  Prior-year nights, Latin America</t>
        </is>
      </c>
      <c r="B49" t="inlineStr">
        <is>
          <t>M</t>
        </is>
      </c>
      <c r="C49" s="15">
        <f>History!$B$51*History!$B$58</f>
        <v/>
      </c>
      <c r="D49" s="15">
        <f>History!$B$60*History!$B$67</f>
        <v/>
      </c>
      <c r="E49" s="15">
        <f>History!$B$69*History!$B$76</f>
        <v/>
      </c>
      <c r="F49" s="15">
        <f>History!$B$78*History!$B$85</f>
        <v/>
      </c>
      <c r="G49" s="15">
        <f>C61</f>
        <v/>
      </c>
      <c r="H49" s="15">
        <f>D61</f>
        <v/>
      </c>
    </row>
    <row r="50">
      <c r="A50" t="inlineStr">
        <is>
          <t xml:space="preserve">  Prior-year nights, Asia Pacific</t>
        </is>
      </c>
      <c r="B50" t="inlineStr">
        <is>
          <t>M</t>
        </is>
      </c>
      <c r="C50" s="15">
        <f>History!$B$51*History!$B$59</f>
        <v/>
      </c>
      <c r="D50" s="15">
        <f>History!$B$60*History!$B$68</f>
        <v/>
      </c>
      <c r="E50" s="15">
        <f>History!$B$69*History!$B$77</f>
        <v/>
      </c>
      <c r="F50" s="15">
        <f>History!$B$78*History!$B$86</f>
        <v/>
      </c>
      <c r="G50" s="15">
        <f>C62</f>
        <v/>
      </c>
      <c r="H50" s="15">
        <f>D62</f>
        <v/>
      </c>
    </row>
    <row r="51">
      <c r="A51" t="inlineStr">
        <is>
          <t xml:space="preserve">  Nights growth, North America</t>
        </is>
      </c>
      <c r="B51" t="inlineStr">
        <is>
          <t>y/y</t>
        </is>
      </c>
      <c r="C51" s="18">
        <f>Inputs!$D$100/100</f>
        <v/>
      </c>
      <c r="D51" s="18">
        <f>Inputs!$D$108/100</f>
        <v/>
      </c>
      <c r="E51" s="18">
        <f>Inputs!$D$116/100</f>
        <v/>
      </c>
      <c r="F51" s="18">
        <f>Inputs!$D$124/100</f>
        <v/>
      </c>
      <c r="G51" s="18">
        <f>Inputs!$D$132/100</f>
        <v/>
      </c>
      <c r="H51" s="18">
        <f>Inputs!$D$140/100</f>
        <v/>
      </c>
    </row>
    <row r="52">
      <c r="A52" t="inlineStr">
        <is>
          <t xml:space="preserve">  Nights growth, EMEA</t>
        </is>
      </c>
      <c r="B52" t="inlineStr">
        <is>
          <t>y/y</t>
        </is>
      </c>
      <c r="C52" s="18">
        <f>Inputs!$D$101/100</f>
        <v/>
      </c>
      <c r="D52" s="18">
        <f>Inputs!$D$109/100</f>
        <v/>
      </c>
      <c r="E52" s="18">
        <f>Inputs!$D$117/100</f>
        <v/>
      </c>
      <c r="F52" s="18">
        <f>Inputs!$D$125/100</f>
        <v/>
      </c>
      <c r="G52" s="18">
        <f>Inputs!$D$133/100</f>
        <v/>
      </c>
      <c r="H52" s="18">
        <f>Inputs!$D$141/100</f>
        <v/>
      </c>
    </row>
    <row r="53">
      <c r="A53" t="inlineStr">
        <is>
          <t xml:space="preserve">  Nights growth, Latin America</t>
        </is>
      </c>
      <c r="B53" t="inlineStr">
        <is>
          <t>y/y</t>
        </is>
      </c>
      <c r="C53" s="18">
        <f>Inputs!$D$102/100</f>
        <v/>
      </c>
      <c r="D53" s="18">
        <f>Inputs!$D$110/100</f>
        <v/>
      </c>
      <c r="E53" s="18">
        <f>Inputs!$D$118/100</f>
        <v/>
      </c>
      <c r="F53" s="18">
        <f>Inputs!$D$126/100</f>
        <v/>
      </c>
      <c r="G53" s="18">
        <f>Inputs!$D$134/100</f>
        <v/>
      </c>
      <c r="H53" s="18">
        <f>Inputs!$D$142/100</f>
        <v/>
      </c>
    </row>
    <row r="54">
      <c r="A54" t="inlineStr">
        <is>
          <t xml:space="preserve">  Nights growth, Asia Pacific</t>
        </is>
      </c>
      <c r="B54" t="inlineStr">
        <is>
          <t>y/y</t>
        </is>
      </c>
      <c r="C54" s="18">
        <f>Inputs!$D$103/100</f>
        <v/>
      </c>
      <c r="D54" s="18">
        <f>Inputs!$D$111/100</f>
        <v/>
      </c>
      <c r="E54" s="18">
        <f>Inputs!$D$119/100</f>
        <v/>
      </c>
      <c r="F54" s="18">
        <f>Inputs!$D$127/100</f>
        <v/>
      </c>
      <c r="G54" s="18">
        <f>Inputs!$D$135/100</f>
        <v/>
      </c>
      <c r="H54" s="18">
        <f>Inputs!$D$143/100</f>
        <v/>
      </c>
    </row>
    <row r="55">
      <c r="A55" t="inlineStr">
        <is>
          <t xml:space="preserve">  Regulatory drag, North America</t>
        </is>
      </c>
      <c r="B55" t="inlineStr">
        <is>
          <t>pp</t>
        </is>
      </c>
      <c r="C55" s="11">
        <f>Inputs!$D$43*Inputs!$C$151/100</f>
        <v/>
      </c>
      <c r="D55" s="11">
        <f>Inputs!$D$43*Inputs!$C$151/100</f>
        <v/>
      </c>
      <c r="E55" s="11">
        <f>Inputs!$D$66*Inputs!$C$155/100</f>
        <v/>
      </c>
      <c r="F55" s="11">
        <f>Inputs!$D$66*Inputs!$C$155/100</f>
        <v/>
      </c>
      <c r="G55" s="11">
        <f>Inputs!$D$66*Inputs!$C$155/100</f>
        <v/>
      </c>
      <c r="H55" s="11">
        <f>Inputs!$D$66*Inputs!$C$155/100</f>
        <v/>
      </c>
      <c r="K55" s="11">
        <f>Inputs!$D$89*Inputs!$C$159/100</f>
        <v/>
      </c>
    </row>
    <row r="56">
      <c r="A56" t="inlineStr">
        <is>
          <t xml:space="preserve">  Regulatory drag, EMEA</t>
        </is>
      </c>
      <c r="B56" t="inlineStr">
        <is>
          <t>pp</t>
        </is>
      </c>
      <c r="C56" s="11">
        <f>Inputs!$D$43*Inputs!$C$152/100</f>
        <v/>
      </c>
      <c r="D56" s="11">
        <f>Inputs!$D$43*Inputs!$C$152/100</f>
        <v/>
      </c>
      <c r="E56" s="11">
        <f>Inputs!$D$66*Inputs!$C$156/100</f>
        <v/>
      </c>
      <c r="F56" s="11">
        <f>Inputs!$D$66*Inputs!$C$156/100</f>
        <v/>
      </c>
      <c r="G56" s="11">
        <f>Inputs!$D$66*Inputs!$C$156/100</f>
        <v/>
      </c>
      <c r="H56" s="11">
        <f>Inputs!$D$66*Inputs!$C$156/100</f>
        <v/>
      </c>
      <c r="K56" s="11">
        <f>Inputs!$D$89*Inputs!$C$160/100</f>
        <v/>
      </c>
    </row>
    <row r="57">
      <c r="A57" t="inlineStr">
        <is>
          <t xml:space="preserve">  Regulatory drag, Latin America</t>
        </is>
      </c>
      <c r="B57" t="inlineStr">
        <is>
          <t>pp</t>
        </is>
      </c>
      <c r="C57" s="11">
        <f>Inputs!$D$43*Inputs!$C$153/100</f>
        <v/>
      </c>
      <c r="D57" s="11">
        <f>Inputs!$D$43*Inputs!$C$153/100</f>
        <v/>
      </c>
      <c r="E57" s="11">
        <f>Inputs!$D$66*Inputs!$C$157/100</f>
        <v/>
      </c>
      <c r="F57" s="11">
        <f>Inputs!$D$66*Inputs!$C$157/100</f>
        <v/>
      </c>
      <c r="G57" s="11">
        <f>Inputs!$D$66*Inputs!$C$157/100</f>
        <v/>
      </c>
      <c r="H57" s="11">
        <f>Inputs!$D$66*Inputs!$C$157/100</f>
        <v/>
      </c>
      <c r="K57" s="11">
        <f>Inputs!$D$89*Inputs!$C$161/100</f>
        <v/>
      </c>
    </row>
    <row r="58">
      <c r="A58" t="inlineStr">
        <is>
          <t xml:space="preserve">  Regulatory drag, Asia Pacific</t>
        </is>
      </c>
      <c r="B58" t="inlineStr">
        <is>
          <t>pp</t>
        </is>
      </c>
      <c r="C58" s="11">
        <f>Inputs!$D$43*Inputs!$C$154/100</f>
        <v/>
      </c>
      <c r="D58" s="11">
        <f>Inputs!$D$43*Inputs!$C$154/100</f>
        <v/>
      </c>
      <c r="E58" s="11">
        <f>Inputs!$D$66*Inputs!$C$158/100</f>
        <v/>
      </c>
      <c r="F58" s="11">
        <f>Inputs!$D$66*Inputs!$C$158/100</f>
        <v/>
      </c>
      <c r="G58" s="11">
        <f>Inputs!$D$66*Inputs!$C$158/100</f>
        <v/>
      </c>
      <c r="H58" s="11">
        <f>Inputs!$D$66*Inputs!$C$158/100</f>
        <v/>
      </c>
      <c r="K58" s="11">
        <f>Inputs!$D$89*Inputs!$C$162/100</f>
        <v/>
      </c>
    </row>
    <row r="59">
      <c r="A59" t="inlineStr">
        <is>
          <t xml:space="preserve">  Nights, North America</t>
        </is>
      </c>
      <c r="B59" t="inlineStr">
        <is>
          <t>M</t>
        </is>
      </c>
      <c r="C59" s="15">
        <f>C47*(1+C51-C55)</f>
        <v/>
      </c>
      <c r="D59" s="15">
        <f>D47*(1+D51-D55)</f>
        <v/>
      </c>
      <c r="E59" s="15">
        <f>E47*(1+E51-E55)</f>
        <v/>
      </c>
      <c r="F59" s="15">
        <f>F47*(1+F51-F55)</f>
        <v/>
      </c>
      <c r="G59" s="15">
        <f>G47*(1+G51-G55)</f>
        <v/>
      </c>
      <c r="H59" s="15">
        <f>H47*(1+H51-H55)</f>
        <v/>
      </c>
      <c r="I59" s="15">
        <f>D59/D63*I63</f>
        <v/>
      </c>
      <c r="J59" s="15">
        <f>SUM(E59:H59)</f>
        <v/>
      </c>
      <c r="K59" s="15">
        <f>J59/J63*K63</f>
        <v/>
      </c>
    </row>
    <row r="60">
      <c r="A60" t="inlineStr">
        <is>
          <t xml:space="preserve">  Nights, EMEA</t>
        </is>
      </c>
      <c r="B60" t="inlineStr">
        <is>
          <t>M</t>
        </is>
      </c>
      <c r="C60" s="15">
        <f>C48*(1+C52-C56)</f>
        <v/>
      </c>
      <c r="D60" s="15">
        <f>D48*(1+D52-D56)</f>
        <v/>
      </c>
      <c r="E60" s="15">
        <f>E48*(1+E52-E56)</f>
        <v/>
      </c>
      <c r="F60" s="15">
        <f>F48*(1+F52-F56)</f>
        <v/>
      </c>
      <c r="G60" s="15">
        <f>G48*(1+G52-G56)</f>
        <v/>
      </c>
      <c r="H60" s="15">
        <f>H48*(1+H52-H56)</f>
        <v/>
      </c>
      <c r="I60" s="15">
        <f>D60/D63*I63</f>
        <v/>
      </c>
      <c r="J60" s="15">
        <f>SUM(E60:H60)</f>
        <v/>
      </c>
      <c r="K60" s="15">
        <f>J60/J63*K63</f>
        <v/>
      </c>
    </row>
    <row r="61">
      <c r="A61" t="inlineStr">
        <is>
          <t xml:space="preserve">  Nights, Latin America</t>
        </is>
      </c>
      <c r="B61" t="inlineStr">
        <is>
          <t>M</t>
        </is>
      </c>
      <c r="C61" s="15">
        <f>C49*(1+C53-C57)</f>
        <v/>
      </c>
      <c r="D61" s="15">
        <f>D49*(1+D53-D57)</f>
        <v/>
      </c>
      <c r="E61" s="15">
        <f>E49*(1+E53-E57)</f>
        <v/>
      </c>
      <c r="F61" s="15">
        <f>F49*(1+F53-F57)</f>
        <v/>
      </c>
      <c r="G61" s="15">
        <f>G49*(1+G53-G57)</f>
        <v/>
      </c>
      <c r="H61" s="15">
        <f>H49*(1+H53-H57)</f>
        <v/>
      </c>
      <c r="I61" s="15">
        <f>D61/D63*I63</f>
        <v/>
      </c>
      <c r="J61" s="15">
        <f>SUM(E61:H61)</f>
        <v/>
      </c>
      <c r="K61" s="15">
        <f>J61/J63*K63</f>
        <v/>
      </c>
    </row>
    <row r="62">
      <c r="A62" t="inlineStr">
        <is>
          <t xml:space="preserve">  Nights, Asia Pacific</t>
        </is>
      </c>
      <c r="B62" t="inlineStr">
        <is>
          <t>M</t>
        </is>
      </c>
      <c r="C62" s="15">
        <f>C50*(1+C54-C58)</f>
        <v/>
      </c>
      <c r="D62" s="15">
        <f>D50*(1+D54-D58)</f>
        <v/>
      </c>
      <c r="E62" s="15">
        <f>E50*(1+E54-E58)</f>
        <v/>
      </c>
      <c r="F62" s="15">
        <f>F50*(1+F54-F58)</f>
        <v/>
      </c>
      <c r="G62" s="15">
        <f>G50*(1+G54-G58)</f>
        <v/>
      </c>
      <c r="H62" s="15">
        <f>H50*(1+H54-H58)</f>
        <v/>
      </c>
      <c r="I62" s="15">
        <f>D62/D63*I63</f>
        <v/>
      </c>
      <c r="J62" s="15">
        <f>SUM(E62:H62)</f>
        <v/>
      </c>
      <c r="K62" s="15">
        <f>J62/J63*K63</f>
        <v/>
      </c>
    </row>
    <row r="63">
      <c r="A63" t="inlineStr">
        <is>
          <t>Nights &amp; experiences booked</t>
        </is>
      </c>
      <c r="B63" t="inlineStr">
        <is>
          <t>M</t>
        </is>
      </c>
      <c r="C63" s="19">
        <f>C59+C60+C61+C62</f>
        <v/>
      </c>
      <c r="D63" s="19">
        <f>D59+D60+D61+D62</f>
        <v/>
      </c>
      <c r="E63" s="19">
        <f>E59+E60+E61+E62</f>
        <v/>
      </c>
      <c r="F63" s="19">
        <f>F59+F60+F61+F62</f>
        <v/>
      </c>
      <c r="G63" s="19">
        <f>G59+G60+G61+G62</f>
        <v/>
      </c>
      <c r="H63" s="19">
        <f>H59+H60+H61+H62</f>
        <v/>
      </c>
      <c r="I63" s="19">
        <f>History!$B$44+C63+D63</f>
        <v/>
      </c>
      <c r="J63" s="19">
        <f>SUM(E63:H63)</f>
        <v/>
      </c>
      <c r="K63" s="19">
        <f>J63*(1+Inputs!$D$93-J59/J63*K55-J60/J63*K56-J61/J63*K57-J62/J63*K58)</f>
        <v/>
      </c>
    </row>
    <row r="64">
      <c r="A64" t="inlineStr">
        <is>
          <t xml:space="preserve">  Nights growth</t>
        </is>
      </c>
      <c r="B64" t="inlineStr">
        <is>
          <t>y/y</t>
        </is>
      </c>
      <c r="C64" s="20">
        <f>C63/History!$B$51-1</f>
        <v/>
      </c>
      <c r="D64" s="20">
        <f>D63/History!$B$60-1</f>
        <v/>
      </c>
      <c r="E64" s="20">
        <f>E63/History!$B$69-1</f>
        <v/>
      </c>
      <c r="F64" s="20">
        <f>F63/History!$B$78-1</f>
        <v/>
      </c>
      <c r="G64" s="20">
        <f>G63/C63-1</f>
        <v/>
      </c>
      <c r="H64" s="20">
        <f>H63/D63-1</f>
        <v/>
      </c>
      <c r="I64" s="20">
        <f>I63/History!$B$30-1</f>
        <v/>
      </c>
      <c r="J64" s="20">
        <f>J63/I63-1</f>
        <v/>
      </c>
      <c r="K64" s="20">
        <f>K63/J63-1</f>
        <v/>
      </c>
    </row>
    <row r="65">
      <c r="A65" t="inlineStr">
        <is>
          <t>ADR ex-FX growth</t>
        </is>
      </c>
      <c r="B65" t="inlineStr">
        <is>
          <t>y/y</t>
        </is>
      </c>
      <c r="C65" s="18">
        <f>Inputs!$D$104/100</f>
        <v/>
      </c>
      <c r="D65" s="18">
        <f>Inputs!$D$112/100</f>
        <v/>
      </c>
      <c r="E65" s="18">
        <f>Inputs!$D$120/100</f>
        <v/>
      </c>
      <c r="F65" s="18">
        <f>Inputs!$D$128/100</f>
        <v/>
      </c>
      <c r="G65" s="18">
        <f>Inputs!$D$136/100</f>
        <v/>
      </c>
      <c r="H65" s="18">
        <f>Inputs!$D$144/100</f>
        <v/>
      </c>
      <c r="K65" s="18">
        <f>Inputs!$D$94</f>
        <v/>
      </c>
    </row>
    <row r="66">
      <c r="A66" t="inlineStr">
        <is>
          <t>FX effect on ADR</t>
        </is>
      </c>
      <c r="B66" t="inlineStr">
        <is>
          <t>pp</t>
        </is>
      </c>
      <c r="C66" s="10">
        <f>Inputs!$D$106/100</f>
        <v/>
      </c>
      <c r="D66" s="10">
        <f>Inputs!$D$114/100</f>
        <v/>
      </c>
      <c r="E66" s="10">
        <f>Inputs!$D$122/100</f>
        <v/>
      </c>
      <c r="F66" s="10">
        <f>Inputs!$D$130/100</f>
        <v/>
      </c>
      <c r="G66" s="10">
        <f>Inputs!$D$138/100</f>
        <v/>
      </c>
      <c r="H66" s="10">
        <f>Inputs!$D$146/100</f>
        <v/>
      </c>
      <c r="K66" s="10">
        <f>Inputs!$D$96</f>
        <v/>
      </c>
    </row>
    <row r="67">
      <c r="A67" t="inlineStr">
        <is>
          <t>ADR</t>
        </is>
      </c>
      <c r="B67" t="inlineStr">
        <is>
          <t>$</t>
        </is>
      </c>
      <c r="C67" s="9">
        <f>History!$B$53*(1+C65)*(1+C66)</f>
        <v/>
      </c>
      <c r="D67" s="9">
        <f>History!$B$62*(1+D65)*(1+D66)</f>
        <v/>
      </c>
      <c r="E67" s="9">
        <f>History!$B$71*(1+E65)*(1+E66)</f>
        <v/>
      </c>
      <c r="F67" s="9">
        <f>History!$B$80*(1+F65)*(1+F66)</f>
        <v/>
      </c>
      <c r="G67" s="9">
        <f>C67*(1+G65)*(1+G66)</f>
        <v/>
      </c>
      <c r="H67" s="9">
        <f>D67*(1+H65)*(1+H66)</f>
        <v/>
      </c>
      <c r="I67" s="9">
        <f>I69/I63</f>
        <v/>
      </c>
      <c r="J67" s="9">
        <f>J69/J63</f>
        <v/>
      </c>
      <c r="K67" s="9">
        <f>K69/K63</f>
        <v/>
      </c>
    </row>
    <row r="68">
      <c r="A68" t="inlineStr">
        <is>
          <t xml:space="preserve">  ADR growth (reported)</t>
        </is>
      </c>
      <c r="B68" t="inlineStr">
        <is>
          <t>y/y</t>
        </is>
      </c>
      <c r="C68" s="20">
        <f>C67/History!$B$53-1</f>
        <v/>
      </c>
      <c r="D68" s="20">
        <f>D67/History!$B$62-1</f>
        <v/>
      </c>
      <c r="E68" s="20">
        <f>E67/History!$B$71-1</f>
        <v/>
      </c>
      <c r="F68" s="20">
        <f>F67/History!$B$80-1</f>
        <v/>
      </c>
      <c r="G68" s="20">
        <f>G67/C67-1</f>
        <v/>
      </c>
      <c r="H68" s="20">
        <f>H67/D67-1</f>
        <v/>
      </c>
      <c r="I68" s="20">
        <f>I67/History!$B$33-1</f>
        <v/>
      </c>
      <c r="J68" s="20">
        <f>J67/I67-1</f>
        <v/>
      </c>
      <c r="K68" s="20">
        <f>K67/J67-1</f>
        <v/>
      </c>
    </row>
    <row r="69">
      <c r="A69" t="inlineStr">
        <is>
          <t>Gross booking value</t>
        </is>
      </c>
      <c r="B69" t="inlineStr">
        <is>
          <t>$M</t>
        </is>
      </c>
      <c r="C69" s="21">
        <f>C63*C67</f>
        <v/>
      </c>
      <c r="D69" s="21">
        <f>D63*D67</f>
        <v/>
      </c>
      <c r="E69" s="21">
        <f>E63*E67</f>
        <v/>
      </c>
      <c r="F69" s="21">
        <f>F63*F67</f>
        <v/>
      </c>
      <c r="G69" s="21">
        <f>G63*G67</f>
        <v/>
      </c>
      <c r="H69" s="21">
        <f>H63*H67</f>
        <v/>
      </c>
      <c r="I69" s="21">
        <f>History!$B$45+C69+D69</f>
        <v/>
      </c>
      <c r="J69" s="21">
        <f>SUM(E69:H69)</f>
        <v/>
      </c>
      <c r="K69" s="21">
        <f>K63*J67*(1+K65)*(1+K66)</f>
        <v/>
      </c>
    </row>
    <row r="70">
      <c r="A70" t="inlineStr">
        <is>
          <t xml:space="preserve">  GBV growth</t>
        </is>
      </c>
      <c r="B70" t="inlineStr">
        <is>
          <t>y/y</t>
        </is>
      </c>
      <c r="C70" s="20">
        <f>C69/History!$B$52-1</f>
        <v/>
      </c>
      <c r="D70" s="20">
        <f>D69/History!$B$61-1</f>
        <v/>
      </c>
      <c r="E70" s="20">
        <f>E69/History!$B$70-1</f>
        <v/>
      </c>
      <c r="F70" s="20">
        <f>F69/History!$B$79-1</f>
        <v/>
      </c>
      <c r="G70" s="20">
        <f>G69/C69-1</f>
        <v/>
      </c>
      <c r="H70" s="20">
        <f>H69/D69-1</f>
        <v/>
      </c>
      <c r="I70" s="20">
        <f>I69/History!$B$31-1</f>
        <v/>
      </c>
      <c r="J70" s="20">
        <f>J69/I69-1</f>
        <v/>
      </c>
      <c r="K70" s="20">
        <f>K69/J69-1</f>
        <v/>
      </c>
    </row>
    <row r="71">
      <c r="A71" t="inlineStr">
        <is>
          <t>Take rate, assumed (prior-year quarter + bps)</t>
        </is>
      </c>
      <c r="B71" t="inlineStr">
        <is>
          <t>%</t>
        </is>
      </c>
      <c r="C71" s="11">
        <f>History!$B$55+Inputs!$D$26/10000</f>
        <v/>
      </c>
      <c r="D71" s="11">
        <f>History!$B$64+Inputs!$D$26/10000</f>
        <v/>
      </c>
      <c r="E71" s="11">
        <f>History!$B$73+Inputs!$D$49/10000</f>
        <v/>
      </c>
      <c r="F71" s="11">
        <f>History!$B$82+Inputs!$D$49/10000</f>
        <v/>
      </c>
      <c r="G71" s="11">
        <f>C71+Inputs!$D$49/10000</f>
        <v/>
      </c>
      <c r="H71" s="11">
        <f>D71+Inputs!$D$49/10000</f>
        <v/>
      </c>
      <c r="I71" s="11">
        <f>(History!$B$46+C69*C71+D69*D71)/I69</f>
        <v/>
      </c>
      <c r="J71" s="11">
        <f>(E69*E71+F69*F71+G69*G71+H69*H71)/J69</f>
        <v/>
      </c>
      <c r="K71" s="11">
        <f>J71+Inputs!$D$72/10000</f>
        <v/>
      </c>
    </row>
    <row r="72">
      <c r="A72" t="inlineStr">
        <is>
          <t>FX effect on revenue (lagged)</t>
        </is>
      </c>
      <c r="B72" t="inlineStr">
        <is>
          <t>pp</t>
        </is>
      </c>
      <c r="C72" s="10">
        <f>Inputs!$D$105/100</f>
        <v/>
      </c>
      <c r="D72" s="10">
        <f>Inputs!$D$113/100</f>
        <v/>
      </c>
      <c r="E72" s="10">
        <f>Inputs!$D$121/100</f>
        <v/>
      </c>
      <c r="F72" s="10">
        <f>Inputs!$D$129/100</f>
        <v/>
      </c>
      <c r="G72" s="10">
        <f>Inputs!$D$137/100</f>
        <v/>
      </c>
      <c r="H72" s="10">
        <f>Inputs!$D$145/100</f>
        <v/>
      </c>
      <c r="K72" s="10">
        <f>Inputs!$D$95</f>
        <v/>
      </c>
    </row>
    <row r="73">
      <c r="A73" t="inlineStr">
        <is>
          <t xml:space="preserve">  FX timing wedge (revenue FX less ADR FX)</t>
        </is>
      </c>
      <c r="B73" t="inlineStr">
        <is>
          <t>pp</t>
        </is>
      </c>
      <c r="C73" s="11">
        <f>(1+C72)/(1+C66)-1</f>
        <v/>
      </c>
      <c r="D73" s="11">
        <f>(1+D72)/(1+D66)-1</f>
        <v/>
      </c>
      <c r="E73" s="11">
        <f>(1+E72)/(1+E66)-1</f>
        <v/>
      </c>
      <c r="F73" s="11">
        <f>(1+F72)/(1+F66)-1</f>
        <v/>
      </c>
      <c r="G73" s="11">
        <f>(1+G72)/(1+G66)-1</f>
        <v/>
      </c>
      <c r="H73" s="11">
        <f>(1+H72)/(1+H66)-1</f>
        <v/>
      </c>
      <c r="K73" s="11">
        <f>(1+K72)/(1+K66)-1</f>
        <v/>
      </c>
    </row>
    <row r="74">
      <c r="A74" t="inlineStr">
        <is>
          <t>Core revenue (GBV x take x wedge)</t>
        </is>
      </c>
      <c r="B74" t="inlineStr">
        <is>
          <t>$M</t>
        </is>
      </c>
      <c r="C74" s="21">
        <f>C69*C71*(1+C73)</f>
        <v/>
      </c>
      <c r="D74" s="21">
        <f>D69*D71*(1+D73)</f>
        <v/>
      </c>
      <c r="E74" s="21">
        <f>E69*E71*(1+E73)</f>
        <v/>
      </c>
      <c r="F74" s="21">
        <f>F69*F71*(1+F73)</f>
        <v/>
      </c>
      <c r="G74" s="21">
        <f>G69*G71*(1+G73)</f>
        <v/>
      </c>
      <c r="H74" s="21">
        <f>H69*H71*(1+H73)</f>
        <v/>
      </c>
      <c r="I74" s="21">
        <f>History!$B$46+C74+D74</f>
        <v/>
      </c>
      <c r="J74" s="21">
        <f>SUM(E74:H74)</f>
        <v/>
      </c>
      <c r="K74" s="21">
        <f>K69*K71*(1+K73)</f>
        <v/>
      </c>
    </row>
    <row r="75">
      <c r="A75" t="inlineStr">
        <is>
          <t xml:space="preserve">  Implied reported take rate (core revenue / GBV)</t>
        </is>
      </c>
      <c r="B75" t="inlineStr">
        <is>
          <t>%</t>
        </is>
      </c>
      <c r="C75" s="11">
        <f>C74/C69</f>
        <v/>
      </c>
      <c r="D75" s="11">
        <f>D74/D69</f>
        <v/>
      </c>
      <c r="E75" s="11">
        <f>E74/E69</f>
        <v/>
      </c>
      <c r="F75" s="11">
        <f>F74/F69</f>
        <v/>
      </c>
      <c r="G75" s="11">
        <f>G74/G69</f>
        <v/>
      </c>
      <c r="H75" s="11">
        <f>H74/H69</f>
        <v/>
      </c>
      <c r="I75" s="11">
        <f>I74/I69</f>
        <v/>
      </c>
      <c r="J75" s="11">
        <f>J74/J69</f>
        <v/>
      </c>
      <c r="K75" s="11">
        <f>K74/K69</f>
        <v/>
      </c>
    </row>
    <row r="76">
      <c r="A76" t="inlineStr">
        <is>
          <t>New business outside GBV x take, incremental</t>
        </is>
      </c>
      <c r="B76" t="inlineStr">
        <is>
          <t>$M</t>
        </is>
      </c>
      <c r="C76" s="15">
        <f>I76*C74/(C74+D74)</f>
        <v/>
      </c>
      <c r="D76" s="15">
        <f>I76*D74/(C74+D74)</f>
        <v/>
      </c>
      <c r="E76" s="15">
        <f>J76*E74/SUM(E74:H74)</f>
        <v/>
      </c>
      <c r="F76" s="15">
        <f>J76*F74/SUM(E74:H74)</f>
        <v/>
      </c>
      <c r="G76" s="15">
        <f>J76*G74/SUM(E74:H74)</f>
        <v/>
      </c>
      <c r="H76" s="15">
        <f>J76*H74/SUM(E74:H74)</f>
        <v/>
      </c>
      <c r="I76" s="15">
        <f>Inputs!$D$41-History!$B$43*I74/History!$B$32</f>
        <v/>
      </c>
      <c r="J76" s="15">
        <f>Inputs!$D$64-History!$B$43*J74/History!$B$32</f>
        <v/>
      </c>
      <c r="K76" s="15">
        <f>Inputs!$D$87-History!$B$43*K74/History!$B$32</f>
        <v/>
      </c>
    </row>
    <row r="77">
      <c r="A77" t="inlineStr">
        <is>
          <t>REVENUE</t>
        </is>
      </c>
      <c r="B77" t="inlineStr">
        <is>
          <t>$M</t>
        </is>
      </c>
      <c r="C77" s="22">
        <f>C74+C76</f>
        <v/>
      </c>
      <c r="D77" s="22">
        <f>D74+D76</f>
        <v/>
      </c>
      <c r="E77" s="22">
        <f>E74+E76</f>
        <v/>
      </c>
      <c r="F77" s="22">
        <f>F74+F76</f>
        <v/>
      </c>
      <c r="G77" s="22">
        <f>G74+G76</f>
        <v/>
      </c>
      <c r="H77" s="22">
        <f>H74+H76</f>
        <v/>
      </c>
      <c r="I77" s="22">
        <f>I74+I76</f>
        <v/>
      </c>
      <c r="J77" s="22">
        <f>J74+J76</f>
        <v/>
      </c>
      <c r="K77" s="22">
        <f>K74+K76</f>
        <v/>
      </c>
    </row>
    <row r="78">
      <c r="A78" t="inlineStr">
        <is>
          <t xml:space="preserve">  Revenue growth</t>
        </is>
      </c>
      <c r="B78" t="inlineStr">
        <is>
          <t>y/y</t>
        </is>
      </c>
      <c r="C78" s="23">
        <f>C77/History!$B$54-1</f>
        <v/>
      </c>
      <c r="D78" s="23">
        <f>D77/History!$B$63-1</f>
        <v/>
      </c>
      <c r="E78" s="23">
        <f>E77/History!$B$72-1</f>
        <v/>
      </c>
      <c r="F78" s="23">
        <f>F77/History!$B$81-1</f>
        <v/>
      </c>
      <c r="G78" s="23">
        <f>G77/C77-1</f>
        <v/>
      </c>
      <c r="H78" s="23">
        <f>H77/D77-1</f>
        <v/>
      </c>
      <c r="I78" s="23">
        <f>I77/History!$B$32-1</f>
        <v/>
      </c>
      <c r="J78" s="23">
        <f>J77/I77-1</f>
        <v/>
      </c>
      <c r="K78" s="23">
        <f>K77/J77-1</f>
        <v/>
      </c>
    </row>
    <row r="79">
      <c r="A79" t="inlineStr">
        <is>
          <t xml:space="preserve">  Seasonal margin spread vs FY2026 (2027 quarters)</t>
        </is>
      </c>
      <c r="B79" t="inlineStr">
        <is>
          <t>pts</t>
        </is>
      </c>
      <c r="E79" s="11">
        <f>History!$B$99-Costs!$D$52</f>
        <v/>
      </c>
      <c r="F79" s="11">
        <f>History!$B$100-Costs!$D$52</f>
        <v/>
      </c>
      <c r="G79" s="11">
        <f>Inputs!$D$107/100-Costs!$D$52</f>
        <v/>
      </c>
      <c r="H79" s="11">
        <f>Inputs!$D$115/100-Costs!$D$52</f>
        <v/>
      </c>
    </row>
    <row r="80">
      <c r="A80" t="inlineStr">
        <is>
          <t xml:space="preserve">  Correction so the 2027 quarters reproduce the FY2027 margin</t>
        </is>
      </c>
      <c r="B80" t="inlineStr">
        <is>
          <t>pts</t>
        </is>
      </c>
      <c r="E80" s="11">
        <f>-(E79*E77+F79*F77+G79*G77+H79*H77)/SUM(E77:H77)</f>
        <v/>
      </c>
      <c r="F80" s="11">
        <f>-(E79*E77+F79*F77+G79*G77+H79*H77)/SUM(E77:H77)</f>
        <v/>
      </c>
      <c r="G80" s="11">
        <f>-(E79*E77+F79*F77+G79*G77+H79*H77)/SUM(E77:H77)</f>
        <v/>
      </c>
      <c r="H80" s="11">
        <f>-(E79*E77+F79*F77+G79*G77+H79*H77)/SUM(E77:H77)</f>
        <v/>
      </c>
    </row>
    <row r="81">
      <c r="A81" t="inlineStr">
        <is>
          <t>Adj. EBITDA margin</t>
        </is>
      </c>
      <c r="B81" t="inlineStr">
        <is>
          <t>%</t>
        </is>
      </c>
      <c r="C81" s="23">
        <f>Inputs!$D$107/100</f>
        <v/>
      </c>
      <c r="D81" s="23">
        <f>Inputs!$D$115/100</f>
        <v/>
      </c>
      <c r="E81" s="23">
        <f>Costs!$E$52+E79+E80</f>
        <v/>
      </c>
      <c r="F81" s="23">
        <f>Costs!$E$52+F79+F80</f>
        <v/>
      </c>
      <c r="G81" s="23">
        <f>Costs!$E$52+G79+G80</f>
        <v/>
      </c>
      <c r="H81" s="23">
        <f>Costs!$E$52+H79+H80</f>
        <v/>
      </c>
      <c r="I81" s="23">
        <f>Costs!$D$52</f>
        <v/>
      </c>
      <c r="J81" s="23">
        <f>Costs!$E$52</f>
        <v/>
      </c>
      <c r="K81" s="23">
        <f>Costs!$F$52</f>
        <v/>
      </c>
    </row>
    <row r="82">
      <c r="A82" t="inlineStr">
        <is>
          <t>Adj. EBITDA</t>
        </is>
      </c>
      <c r="B82" t="inlineStr">
        <is>
          <t>$M</t>
        </is>
      </c>
      <c r="C82" s="22">
        <f>C77*C81</f>
        <v/>
      </c>
      <c r="D82" s="22">
        <f>D77*D81</f>
        <v/>
      </c>
      <c r="E82" s="22">
        <f>E77*E81</f>
        <v/>
      </c>
      <c r="F82" s="22">
        <f>F77*F81</f>
        <v/>
      </c>
      <c r="G82" s="22">
        <f>G77*G81</f>
        <v/>
      </c>
      <c r="H82" s="22">
        <f>H77*H81</f>
        <v/>
      </c>
      <c r="I82" s="22">
        <f>Costs!$D$51</f>
        <v/>
      </c>
      <c r="J82" s="22">
        <f>Costs!$E$51</f>
        <v/>
      </c>
      <c r="K82" s="22">
        <f>Costs!$F$51</f>
        <v/>
      </c>
    </row>
    <row r="83">
      <c r="A83" t="inlineStr">
        <is>
          <t xml:space="preserve">  Memo: seasonal share of full-year nights</t>
        </is>
      </c>
      <c r="B83" t="inlineStr">
        <is>
          <t>%</t>
        </is>
      </c>
      <c r="C83" s="20">
        <f>C63/I63</f>
        <v/>
      </c>
      <c r="D83" s="20">
        <f>D63/I63</f>
        <v/>
      </c>
      <c r="E83" s="20">
        <f>E63/J63</f>
        <v/>
      </c>
      <c r="F83" s="20">
        <f>F63/J63</f>
        <v/>
      </c>
      <c r="G83" s="20">
        <f>G63/J63</f>
        <v/>
      </c>
      <c r="H83" s="20">
        <f>H63/J63</f>
        <v/>
      </c>
    </row>
    <row r="84">
      <c r="A84" t="inlineStr">
        <is>
          <t xml:space="preserve">  Memo: 2023-2025 mean seasonal share</t>
        </is>
      </c>
      <c r="B84" t="inlineStr">
        <is>
          <t>%</t>
        </is>
      </c>
      <c r="C84" s="20">
        <f>History!$B$97</f>
        <v/>
      </c>
      <c r="D84" s="20">
        <f>History!$B$98</f>
        <v/>
      </c>
      <c r="E84" s="20">
        <f>History!$B$95</f>
        <v/>
      </c>
      <c r="F84" s="20">
        <f>History!$B$96</f>
        <v/>
      </c>
      <c r="G84" s="20">
        <f>History!$B$97</f>
        <v/>
      </c>
      <c r="H84" s="20">
        <f>History!$B$98</f>
        <v/>
      </c>
    </row>
    <row r="86">
      <c r="A86" s="5" t="inlineStr">
        <is>
          <t>BULL CASE</t>
        </is>
      </c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</row>
    <row r="87">
      <c r="A87" s="7" t="inlineStr">
        <is>
          <t>Line</t>
        </is>
      </c>
      <c r="B87" s="7" t="inlineStr">
        <is>
          <t>Unit</t>
        </is>
      </c>
      <c r="C87" s="7" t="inlineStr">
        <is>
          <t>3Q26</t>
        </is>
      </c>
      <c r="D87" s="7" t="inlineStr">
        <is>
          <t>4Q26</t>
        </is>
      </c>
      <c r="E87" s="7" t="inlineStr">
        <is>
          <t>1Q27</t>
        </is>
      </c>
      <c r="F87" s="7" t="inlineStr">
        <is>
          <t>2Q27</t>
        </is>
      </c>
      <c r="G87" s="7" t="inlineStr">
        <is>
          <t>3Q27</t>
        </is>
      </c>
      <c r="H87" s="7" t="inlineStr">
        <is>
          <t>4Q27</t>
        </is>
      </c>
      <c r="I87" s="7" t="inlineStr">
        <is>
          <t>FY2026E</t>
        </is>
      </c>
      <c r="J87" s="7" t="inlineStr">
        <is>
          <t>FY2027E</t>
        </is>
      </c>
      <c r="K87" s="7" t="inlineStr">
        <is>
          <t>FY2028E</t>
        </is>
      </c>
    </row>
    <row r="88">
      <c r="A88" t="inlineStr">
        <is>
          <t xml:space="preserve">  Prior-year nights, North America</t>
        </is>
      </c>
      <c r="B88" t="inlineStr">
        <is>
          <t>M</t>
        </is>
      </c>
      <c r="C88" s="15">
        <f>History!$B$51*History!$B$56</f>
        <v/>
      </c>
      <c r="D88" s="15">
        <f>History!$B$60*History!$B$65</f>
        <v/>
      </c>
      <c r="E88" s="15">
        <f>History!$B$69*History!$B$74</f>
        <v/>
      </c>
      <c r="F88" s="15">
        <f>History!$B$78*History!$B$83</f>
        <v/>
      </c>
      <c r="G88" s="15">
        <f>C100</f>
        <v/>
      </c>
      <c r="H88" s="15">
        <f>D100</f>
        <v/>
      </c>
    </row>
    <row r="89">
      <c r="A89" t="inlineStr">
        <is>
          <t xml:space="preserve">  Prior-year nights, EMEA</t>
        </is>
      </c>
      <c r="B89" t="inlineStr">
        <is>
          <t>M</t>
        </is>
      </c>
      <c r="C89" s="15">
        <f>History!$B$51*History!$B$57</f>
        <v/>
      </c>
      <c r="D89" s="15">
        <f>History!$B$60*History!$B$66</f>
        <v/>
      </c>
      <c r="E89" s="15">
        <f>History!$B$69*History!$B$75</f>
        <v/>
      </c>
      <c r="F89" s="15">
        <f>History!$B$78*History!$B$84</f>
        <v/>
      </c>
      <c r="G89" s="15">
        <f>C101</f>
        <v/>
      </c>
      <c r="H89" s="15">
        <f>D101</f>
        <v/>
      </c>
    </row>
    <row r="90">
      <c r="A90" t="inlineStr">
        <is>
          <t xml:space="preserve">  Prior-year nights, Latin America</t>
        </is>
      </c>
      <c r="B90" t="inlineStr">
        <is>
          <t>M</t>
        </is>
      </c>
      <c r="C90" s="15">
        <f>History!$B$51*History!$B$58</f>
        <v/>
      </c>
      <c r="D90" s="15">
        <f>History!$B$60*History!$B$67</f>
        <v/>
      </c>
      <c r="E90" s="15">
        <f>History!$B$69*History!$B$76</f>
        <v/>
      </c>
      <c r="F90" s="15">
        <f>History!$B$78*History!$B$85</f>
        <v/>
      </c>
      <c r="G90" s="15">
        <f>C102</f>
        <v/>
      </c>
      <c r="H90" s="15">
        <f>D102</f>
        <v/>
      </c>
    </row>
    <row r="91">
      <c r="A91" t="inlineStr">
        <is>
          <t xml:space="preserve">  Prior-year nights, Asia Pacific</t>
        </is>
      </c>
      <c r="B91" t="inlineStr">
        <is>
          <t>M</t>
        </is>
      </c>
      <c r="C91" s="15">
        <f>History!$B$51*History!$B$59</f>
        <v/>
      </c>
      <c r="D91" s="15">
        <f>History!$B$60*History!$B$68</f>
        <v/>
      </c>
      <c r="E91" s="15">
        <f>History!$B$69*History!$B$77</f>
        <v/>
      </c>
      <c r="F91" s="15">
        <f>History!$B$78*History!$B$86</f>
        <v/>
      </c>
      <c r="G91" s="15">
        <f>C103</f>
        <v/>
      </c>
      <c r="H91" s="15">
        <f>D103</f>
        <v/>
      </c>
    </row>
    <row r="92">
      <c r="A92" t="inlineStr">
        <is>
          <t xml:space="preserve">  Nights growth, North America</t>
        </is>
      </c>
      <c r="B92" t="inlineStr">
        <is>
          <t>y/y</t>
        </is>
      </c>
      <c r="C92" s="18">
        <f>Inputs!$E$100/100</f>
        <v/>
      </c>
      <c r="D92" s="18">
        <f>Inputs!$E$108/100</f>
        <v/>
      </c>
      <c r="E92" s="18">
        <f>Inputs!$E$116/100</f>
        <v/>
      </c>
      <c r="F92" s="18">
        <f>Inputs!$E$124/100</f>
        <v/>
      </c>
      <c r="G92" s="18">
        <f>Inputs!$E$132/100</f>
        <v/>
      </c>
      <c r="H92" s="18">
        <f>Inputs!$E$140/100</f>
        <v/>
      </c>
    </row>
    <row r="93">
      <c r="A93" t="inlineStr">
        <is>
          <t xml:space="preserve">  Nights growth, EMEA</t>
        </is>
      </c>
      <c r="B93" t="inlineStr">
        <is>
          <t>y/y</t>
        </is>
      </c>
      <c r="C93" s="18">
        <f>Inputs!$E$101/100</f>
        <v/>
      </c>
      <c r="D93" s="18">
        <f>Inputs!$E$109/100</f>
        <v/>
      </c>
      <c r="E93" s="18">
        <f>Inputs!$E$117/100</f>
        <v/>
      </c>
      <c r="F93" s="18">
        <f>Inputs!$E$125/100</f>
        <v/>
      </c>
      <c r="G93" s="18">
        <f>Inputs!$E$133/100</f>
        <v/>
      </c>
      <c r="H93" s="18">
        <f>Inputs!$E$141/100</f>
        <v/>
      </c>
    </row>
    <row r="94">
      <c r="A94" t="inlineStr">
        <is>
          <t xml:space="preserve">  Nights growth, Latin America</t>
        </is>
      </c>
      <c r="B94" t="inlineStr">
        <is>
          <t>y/y</t>
        </is>
      </c>
      <c r="C94" s="18">
        <f>Inputs!$E$102/100</f>
        <v/>
      </c>
      <c r="D94" s="18">
        <f>Inputs!$E$110/100</f>
        <v/>
      </c>
      <c r="E94" s="18">
        <f>Inputs!$E$118/100</f>
        <v/>
      </c>
      <c r="F94" s="18">
        <f>Inputs!$E$126/100</f>
        <v/>
      </c>
      <c r="G94" s="18">
        <f>Inputs!$E$134/100</f>
        <v/>
      </c>
      <c r="H94" s="18">
        <f>Inputs!$E$142/100</f>
        <v/>
      </c>
    </row>
    <row r="95">
      <c r="A95" t="inlineStr">
        <is>
          <t xml:space="preserve">  Nights growth, Asia Pacific</t>
        </is>
      </c>
      <c r="B95" t="inlineStr">
        <is>
          <t>y/y</t>
        </is>
      </c>
      <c r="C95" s="18">
        <f>Inputs!$E$103/100</f>
        <v/>
      </c>
      <c r="D95" s="18">
        <f>Inputs!$E$111/100</f>
        <v/>
      </c>
      <c r="E95" s="18">
        <f>Inputs!$E$119/100</f>
        <v/>
      </c>
      <c r="F95" s="18">
        <f>Inputs!$E$127/100</f>
        <v/>
      </c>
      <c r="G95" s="18">
        <f>Inputs!$E$135/100</f>
        <v/>
      </c>
      <c r="H95" s="18">
        <f>Inputs!$E$143/100</f>
        <v/>
      </c>
    </row>
    <row r="96">
      <c r="A96" t="inlineStr">
        <is>
          <t xml:space="preserve">  Regulatory drag, North America</t>
        </is>
      </c>
      <c r="B96" t="inlineStr">
        <is>
          <t>pp</t>
        </is>
      </c>
      <c r="C96" s="11">
        <f>Inputs!$E$43*Inputs!$C$151/100</f>
        <v/>
      </c>
      <c r="D96" s="11">
        <f>Inputs!$E$43*Inputs!$C$151/100</f>
        <v/>
      </c>
      <c r="E96" s="11">
        <f>Inputs!$E$66*Inputs!$C$155/100</f>
        <v/>
      </c>
      <c r="F96" s="11">
        <f>Inputs!$E$66*Inputs!$C$155/100</f>
        <v/>
      </c>
      <c r="G96" s="11">
        <f>Inputs!$E$66*Inputs!$C$155/100</f>
        <v/>
      </c>
      <c r="H96" s="11">
        <f>Inputs!$E$66*Inputs!$C$155/100</f>
        <v/>
      </c>
      <c r="K96" s="11">
        <f>Inputs!$E$89*Inputs!$C$159/100</f>
        <v/>
      </c>
    </row>
    <row r="97">
      <c r="A97" t="inlineStr">
        <is>
          <t xml:space="preserve">  Regulatory drag, EMEA</t>
        </is>
      </c>
      <c r="B97" t="inlineStr">
        <is>
          <t>pp</t>
        </is>
      </c>
      <c r="C97" s="11">
        <f>Inputs!$E$43*Inputs!$C$152/100</f>
        <v/>
      </c>
      <c r="D97" s="11">
        <f>Inputs!$E$43*Inputs!$C$152/100</f>
        <v/>
      </c>
      <c r="E97" s="11">
        <f>Inputs!$E$66*Inputs!$C$156/100</f>
        <v/>
      </c>
      <c r="F97" s="11">
        <f>Inputs!$E$66*Inputs!$C$156/100</f>
        <v/>
      </c>
      <c r="G97" s="11">
        <f>Inputs!$E$66*Inputs!$C$156/100</f>
        <v/>
      </c>
      <c r="H97" s="11">
        <f>Inputs!$E$66*Inputs!$C$156/100</f>
        <v/>
      </c>
      <c r="K97" s="11">
        <f>Inputs!$E$89*Inputs!$C$160/100</f>
        <v/>
      </c>
    </row>
    <row r="98">
      <c r="A98" t="inlineStr">
        <is>
          <t xml:space="preserve">  Regulatory drag, Latin America</t>
        </is>
      </c>
      <c r="B98" t="inlineStr">
        <is>
          <t>pp</t>
        </is>
      </c>
      <c r="C98" s="11">
        <f>Inputs!$E$43*Inputs!$C$153/100</f>
        <v/>
      </c>
      <c r="D98" s="11">
        <f>Inputs!$E$43*Inputs!$C$153/100</f>
        <v/>
      </c>
      <c r="E98" s="11">
        <f>Inputs!$E$66*Inputs!$C$157/100</f>
        <v/>
      </c>
      <c r="F98" s="11">
        <f>Inputs!$E$66*Inputs!$C$157/100</f>
        <v/>
      </c>
      <c r="G98" s="11">
        <f>Inputs!$E$66*Inputs!$C$157/100</f>
        <v/>
      </c>
      <c r="H98" s="11">
        <f>Inputs!$E$66*Inputs!$C$157/100</f>
        <v/>
      </c>
      <c r="K98" s="11">
        <f>Inputs!$E$89*Inputs!$C$161/100</f>
        <v/>
      </c>
    </row>
    <row r="99">
      <c r="A99" t="inlineStr">
        <is>
          <t xml:space="preserve">  Regulatory drag, Asia Pacific</t>
        </is>
      </c>
      <c r="B99" t="inlineStr">
        <is>
          <t>pp</t>
        </is>
      </c>
      <c r="C99" s="11">
        <f>Inputs!$E$43*Inputs!$C$154/100</f>
        <v/>
      </c>
      <c r="D99" s="11">
        <f>Inputs!$E$43*Inputs!$C$154/100</f>
        <v/>
      </c>
      <c r="E99" s="11">
        <f>Inputs!$E$66*Inputs!$C$158/100</f>
        <v/>
      </c>
      <c r="F99" s="11">
        <f>Inputs!$E$66*Inputs!$C$158/100</f>
        <v/>
      </c>
      <c r="G99" s="11">
        <f>Inputs!$E$66*Inputs!$C$158/100</f>
        <v/>
      </c>
      <c r="H99" s="11">
        <f>Inputs!$E$66*Inputs!$C$158/100</f>
        <v/>
      </c>
      <c r="K99" s="11">
        <f>Inputs!$E$89*Inputs!$C$162/100</f>
        <v/>
      </c>
    </row>
    <row r="100">
      <c r="A100" t="inlineStr">
        <is>
          <t xml:space="preserve">  Nights, North America</t>
        </is>
      </c>
      <c r="B100" t="inlineStr">
        <is>
          <t>M</t>
        </is>
      </c>
      <c r="C100" s="15">
        <f>C88*(1+C92-C96)</f>
        <v/>
      </c>
      <c r="D100" s="15">
        <f>D88*(1+D92-D96)</f>
        <v/>
      </c>
      <c r="E100" s="15">
        <f>E88*(1+E92-E96)</f>
        <v/>
      </c>
      <c r="F100" s="15">
        <f>F88*(1+F92-F96)</f>
        <v/>
      </c>
      <c r="G100" s="15">
        <f>G88*(1+G92-G96)</f>
        <v/>
      </c>
      <c r="H100" s="15">
        <f>H88*(1+H92-H96)</f>
        <v/>
      </c>
      <c r="I100" s="15">
        <f>D100/D104*I104</f>
        <v/>
      </c>
      <c r="J100" s="15">
        <f>SUM(E100:H100)</f>
        <v/>
      </c>
      <c r="K100" s="15">
        <f>J100/J104*K104</f>
        <v/>
      </c>
    </row>
    <row r="101">
      <c r="A101" t="inlineStr">
        <is>
          <t xml:space="preserve">  Nights, EMEA</t>
        </is>
      </c>
      <c r="B101" t="inlineStr">
        <is>
          <t>M</t>
        </is>
      </c>
      <c r="C101" s="15">
        <f>C89*(1+C93-C97)</f>
        <v/>
      </c>
      <c r="D101" s="15">
        <f>D89*(1+D93-D97)</f>
        <v/>
      </c>
      <c r="E101" s="15">
        <f>E89*(1+E93-E97)</f>
        <v/>
      </c>
      <c r="F101" s="15">
        <f>F89*(1+F93-F97)</f>
        <v/>
      </c>
      <c r="G101" s="15">
        <f>G89*(1+G93-G97)</f>
        <v/>
      </c>
      <c r="H101" s="15">
        <f>H89*(1+H93-H97)</f>
        <v/>
      </c>
      <c r="I101" s="15">
        <f>D101/D104*I104</f>
        <v/>
      </c>
      <c r="J101" s="15">
        <f>SUM(E101:H101)</f>
        <v/>
      </c>
      <c r="K101" s="15">
        <f>J101/J104*K104</f>
        <v/>
      </c>
    </row>
    <row r="102">
      <c r="A102" t="inlineStr">
        <is>
          <t xml:space="preserve">  Nights, Latin America</t>
        </is>
      </c>
      <c r="B102" t="inlineStr">
        <is>
          <t>M</t>
        </is>
      </c>
      <c r="C102" s="15">
        <f>C90*(1+C94-C98)</f>
        <v/>
      </c>
      <c r="D102" s="15">
        <f>D90*(1+D94-D98)</f>
        <v/>
      </c>
      <c r="E102" s="15">
        <f>E90*(1+E94-E98)</f>
        <v/>
      </c>
      <c r="F102" s="15">
        <f>F90*(1+F94-F98)</f>
        <v/>
      </c>
      <c r="G102" s="15">
        <f>G90*(1+G94-G98)</f>
        <v/>
      </c>
      <c r="H102" s="15">
        <f>H90*(1+H94-H98)</f>
        <v/>
      </c>
      <c r="I102" s="15">
        <f>D102/D104*I104</f>
        <v/>
      </c>
      <c r="J102" s="15">
        <f>SUM(E102:H102)</f>
        <v/>
      </c>
      <c r="K102" s="15">
        <f>J102/J104*K104</f>
        <v/>
      </c>
    </row>
    <row r="103">
      <c r="A103" t="inlineStr">
        <is>
          <t xml:space="preserve">  Nights, Asia Pacific</t>
        </is>
      </c>
      <c r="B103" t="inlineStr">
        <is>
          <t>M</t>
        </is>
      </c>
      <c r="C103" s="15">
        <f>C91*(1+C95-C99)</f>
        <v/>
      </c>
      <c r="D103" s="15">
        <f>D91*(1+D95-D99)</f>
        <v/>
      </c>
      <c r="E103" s="15">
        <f>E91*(1+E95-E99)</f>
        <v/>
      </c>
      <c r="F103" s="15">
        <f>F91*(1+F95-F99)</f>
        <v/>
      </c>
      <c r="G103" s="15">
        <f>G91*(1+G95-G99)</f>
        <v/>
      </c>
      <c r="H103" s="15">
        <f>H91*(1+H95-H99)</f>
        <v/>
      </c>
      <c r="I103" s="15">
        <f>D103/D104*I104</f>
        <v/>
      </c>
      <c r="J103" s="15">
        <f>SUM(E103:H103)</f>
        <v/>
      </c>
      <c r="K103" s="15">
        <f>J103/J104*K104</f>
        <v/>
      </c>
    </row>
    <row r="104">
      <c r="A104" t="inlineStr">
        <is>
          <t>Nights &amp; experiences booked</t>
        </is>
      </c>
      <c r="B104" t="inlineStr">
        <is>
          <t>M</t>
        </is>
      </c>
      <c r="C104" s="19">
        <f>C100+C101+C102+C103</f>
        <v/>
      </c>
      <c r="D104" s="19">
        <f>D100+D101+D102+D103</f>
        <v/>
      </c>
      <c r="E104" s="19">
        <f>E100+E101+E102+E103</f>
        <v/>
      </c>
      <c r="F104" s="19">
        <f>F100+F101+F102+F103</f>
        <v/>
      </c>
      <c r="G104" s="19">
        <f>G100+G101+G102+G103</f>
        <v/>
      </c>
      <c r="H104" s="19">
        <f>H100+H101+H102+H103</f>
        <v/>
      </c>
      <c r="I104" s="19">
        <f>History!$B$44+C104+D104</f>
        <v/>
      </c>
      <c r="J104" s="19">
        <f>SUM(E104:H104)</f>
        <v/>
      </c>
      <c r="K104" s="19">
        <f>J104*(1+Inputs!$E$93-J100/J104*K96-J101/J104*K97-J102/J104*K98-J103/J104*K99)</f>
        <v/>
      </c>
    </row>
    <row r="105">
      <c r="A105" t="inlineStr">
        <is>
          <t xml:space="preserve">  Nights growth</t>
        </is>
      </c>
      <c r="B105" t="inlineStr">
        <is>
          <t>y/y</t>
        </is>
      </c>
      <c r="C105" s="20">
        <f>C104/History!$B$51-1</f>
        <v/>
      </c>
      <c r="D105" s="20">
        <f>D104/History!$B$60-1</f>
        <v/>
      </c>
      <c r="E105" s="20">
        <f>E104/History!$B$69-1</f>
        <v/>
      </c>
      <c r="F105" s="20">
        <f>F104/History!$B$78-1</f>
        <v/>
      </c>
      <c r="G105" s="20">
        <f>G104/C104-1</f>
        <v/>
      </c>
      <c r="H105" s="20">
        <f>H104/D104-1</f>
        <v/>
      </c>
      <c r="I105" s="20">
        <f>I104/History!$B$30-1</f>
        <v/>
      </c>
      <c r="J105" s="20">
        <f>J104/I104-1</f>
        <v/>
      </c>
      <c r="K105" s="20">
        <f>K104/J104-1</f>
        <v/>
      </c>
    </row>
    <row r="106">
      <c r="A106" t="inlineStr">
        <is>
          <t>ADR ex-FX growth</t>
        </is>
      </c>
      <c r="B106" t="inlineStr">
        <is>
          <t>y/y</t>
        </is>
      </c>
      <c r="C106" s="18">
        <f>Inputs!$E$104/100</f>
        <v/>
      </c>
      <c r="D106" s="18">
        <f>Inputs!$E$112/100</f>
        <v/>
      </c>
      <c r="E106" s="18">
        <f>Inputs!$E$120/100</f>
        <v/>
      </c>
      <c r="F106" s="18">
        <f>Inputs!$E$128/100</f>
        <v/>
      </c>
      <c r="G106" s="18">
        <f>Inputs!$E$136/100</f>
        <v/>
      </c>
      <c r="H106" s="18">
        <f>Inputs!$E$144/100</f>
        <v/>
      </c>
      <c r="K106" s="18">
        <f>Inputs!$E$94</f>
        <v/>
      </c>
    </row>
    <row r="107">
      <c r="A107" t="inlineStr">
        <is>
          <t>FX effect on ADR</t>
        </is>
      </c>
      <c r="B107" t="inlineStr">
        <is>
          <t>pp</t>
        </is>
      </c>
      <c r="C107" s="10">
        <f>Inputs!$E$106/100</f>
        <v/>
      </c>
      <c r="D107" s="10">
        <f>Inputs!$E$114/100</f>
        <v/>
      </c>
      <c r="E107" s="10">
        <f>Inputs!$E$122/100</f>
        <v/>
      </c>
      <c r="F107" s="10">
        <f>Inputs!$E$130/100</f>
        <v/>
      </c>
      <c r="G107" s="10">
        <f>Inputs!$E$138/100</f>
        <v/>
      </c>
      <c r="H107" s="10">
        <f>Inputs!$E$146/100</f>
        <v/>
      </c>
      <c r="K107" s="10">
        <f>Inputs!$E$96</f>
        <v/>
      </c>
    </row>
    <row r="108">
      <c r="A108" t="inlineStr">
        <is>
          <t>ADR</t>
        </is>
      </c>
      <c r="B108" t="inlineStr">
        <is>
          <t>$</t>
        </is>
      </c>
      <c r="C108" s="9">
        <f>History!$B$53*(1+C106)*(1+C107)</f>
        <v/>
      </c>
      <c r="D108" s="9">
        <f>History!$B$62*(1+D106)*(1+D107)</f>
        <v/>
      </c>
      <c r="E108" s="9">
        <f>History!$B$71*(1+E106)*(1+E107)</f>
        <v/>
      </c>
      <c r="F108" s="9">
        <f>History!$B$80*(1+F106)*(1+F107)</f>
        <v/>
      </c>
      <c r="G108" s="9">
        <f>C108*(1+G106)*(1+G107)</f>
        <v/>
      </c>
      <c r="H108" s="9">
        <f>D108*(1+H106)*(1+H107)</f>
        <v/>
      </c>
      <c r="I108" s="9">
        <f>I110/I104</f>
        <v/>
      </c>
      <c r="J108" s="9">
        <f>J110/J104</f>
        <v/>
      </c>
      <c r="K108" s="9">
        <f>K110/K104</f>
        <v/>
      </c>
    </row>
    <row r="109">
      <c r="A109" t="inlineStr">
        <is>
          <t xml:space="preserve">  ADR growth (reported)</t>
        </is>
      </c>
      <c r="B109" t="inlineStr">
        <is>
          <t>y/y</t>
        </is>
      </c>
      <c r="C109" s="20">
        <f>C108/History!$B$53-1</f>
        <v/>
      </c>
      <c r="D109" s="20">
        <f>D108/History!$B$62-1</f>
        <v/>
      </c>
      <c r="E109" s="20">
        <f>E108/History!$B$71-1</f>
        <v/>
      </c>
      <c r="F109" s="20">
        <f>F108/History!$B$80-1</f>
        <v/>
      </c>
      <c r="G109" s="20">
        <f>G108/C108-1</f>
        <v/>
      </c>
      <c r="H109" s="20">
        <f>H108/D108-1</f>
        <v/>
      </c>
      <c r="I109" s="20">
        <f>I108/History!$B$33-1</f>
        <v/>
      </c>
      <c r="J109" s="20">
        <f>J108/I108-1</f>
        <v/>
      </c>
      <c r="K109" s="20">
        <f>K108/J108-1</f>
        <v/>
      </c>
    </row>
    <row r="110">
      <c r="A110" t="inlineStr">
        <is>
          <t>Gross booking value</t>
        </is>
      </c>
      <c r="B110" t="inlineStr">
        <is>
          <t>$M</t>
        </is>
      </c>
      <c r="C110" s="21">
        <f>C104*C108</f>
        <v/>
      </c>
      <c r="D110" s="21">
        <f>D104*D108</f>
        <v/>
      </c>
      <c r="E110" s="21">
        <f>E104*E108</f>
        <v/>
      </c>
      <c r="F110" s="21">
        <f>F104*F108</f>
        <v/>
      </c>
      <c r="G110" s="21">
        <f>G104*G108</f>
        <v/>
      </c>
      <c r="H110" s="21">
        <f>H104*H108</f>
        <v/>
      </c>
      <c r="I110" s="21">
        <f>History!$B$45+C110+D110</f>
        <v/>
      </c>
      <c r="J110" s="21">
        <f>SUM(E110:H110)</f>
        <v/>
      </c>
      <c r="K110" s="21">
        <f>K104*J108*(1+K106)*(1+K107)</f>
        <v/>
      </c>
    </row>
    <row r="111">
      <c r="A111" t="inlineStr">
        <is>
          <t xml:space="preserve">  GBV growth</t>
        </is>
      </c>
      <c r="B111" t="inlineStr">
        <is>
          <t>y/y</t>
        </is>
      </c>
      <c r="C111" s="20">
        <f>C110/History!$B$52-1</f>
        <v/>
      </c>
      <c r="D111" s="20">
        <f>D110/History!$B$61-1</f>
        <v/>
      </c>
      <c r="E111" s="20">
        <f>E110/History!$B$70-1</f>
        <v/>
      </c>
      <c r="F111" s="20">
        <f>F110/History!$B$79-1</f>
        <v/>
      </c>
      <c r="G111" s="20">
        <f>G110/C110-1</f>
        <v/>
      </c>
      <c r="H111" s="20">
        <f>H110/D110-1</f>
        <v/>
      </c>
      <c r="I111" s="20">
        <f>I110/History!$B$31-1</f>
        <v/>
      </c>
      <c r="J111" s="20">
        <f>J110/I110-1</f>
        <v/>
      </c>
      <c r="K111" s="20">
        <f>K110/J110-1</f>
        <v/>
      </c>
    </row>
    <row r="112">
      <c r="A112" t="inlineStr">
        <is>
          <t>Take rate, assumed (prior-year quarter + bps)</t>
        </is>
      </c>
      <c r="B112" t="inlineStr">
        <is>
          <t>%</t>
        </is>
      </c>
      <c r="C112" s="11">
        <f>History!$B$55+Inputs!$E$26/10000</f>
        <v/>
      </c>
      <c r="D112" s="11">
        <f>History!$B$64+Inputs!$E$26/10000</f>
        <v/>
      </c>
      <c r="E112" s="11">
        <f>History!$B$73+Inputs!$E$49/10000</f>
        <v/>
      </c>
      <c r="F112" s="11">
        <f>History!$B$82+Inputs!$E$49/10000</f>
        <v/>
      </c>
      <c r="G112" s="11">
        <f>C112+Inputs!$E$49/10000</f>
        <v/>
      </c>
      <c r="H112" s="11">
        <f>D112+Inputs!$E$49/10000</f>
        <v/>
      </c>
      <c r="I112" s="11">
        <f>(History!$B$46+C110*C112+D110*D112)/I110</f>
        <v/>
      </c>
      <c r="J112" s="11">
        <f>(E110*E112+F110*F112+G110*G112+H110*H112)/J110</f>
        <v/>
      </c>
      <c r="K112" s="11">
        <f>J112+Inputs!$E$72/10000</f>
        <v/>
      </c>
    </row>
    <row r="113">
      <c r="A113" t="inlineStr">
        <is>
          <t>FX effect on revenue (lagged)</t>
        </is>
      </c>
      <c r="B113" t="inlineStr">
        <is>
          <t>pp</t>
        </is>
      </c>
      <c r="C113" s="10">
        <f>Inputs!$E$105/100</f>
        <v/>
      </c>
      <c r="D113" s="10">
        <f>Inputs!$E$113/100</f>
        <v/>
      </c>
      <c r="E113" s="10">
        <f>Inputs!$E$121/100</f>
        <v/>
      </c>
      <c r="F113" s="10">
        <f>Inputs!$E$129/100</f>
        <v/>
      </c>
      <c r="G113" s="10">
        <f>Inputs!$E$137/100</f>
        <v/>
      </c>
      <c r="H113" s="10">
        <f>Inputs!$E$145/100</f>
        <v/>
      </c>
      <c r="K113" s="10">
        <f>Inputs!$E$95</f>
        <v/>
      </c>
    </row>
    <row r="114">
      <c r="A114" t="inlineStr">
        <is>
          <t xml:space="preserve">  FX timing wedge (revenue FX less ADR FX)</t>
        </is>
      </c>
      <c r="B114" t="inlineStr">
        <is>
          <t>pp</t>
        </is>
      </c>
      <c r="C114" s="11">
        <f>(1+C113)/(1+C107)-1</f>
        <v/>
      </c>
      <c r="D114" s="11">
        <f>(1+D113)/(1+D107)-1</f>
        <v/>
      </c>
      <c r="E114" s="11">
        <f>(1+E113)/(1+E107)-1</f>
        <v/>
      </c>
      <c r="F114" s="11">
        <f>(1+F113)/(1+F107)-1</f>
        <v/>
      </c>
      <c r="G114" s="11">
        <f>(1+G113)/(1+G107)-1</f>
        <v/>
      </c>
      <c r="H114" s="11">
        <f>(1+H113)/(1+H107)-1</f>
        <v/>
      </c>
      <c r="K114" s="11">
        <f>(1+K113)/(1+K107)-1</f>
        <v/>
      </c>
    </row>
    <row r="115">
      <c r="A115" t="inlineStr">
        <is>
          <t>Core revenue (GBV x take x wedge)</t>
        </is>
      </c>
      <c r="B115" t="inlineStr">
        <is>
          <t>$M</t>
        </is>
      </c>
      <c r="C115" s="21">
        <f>C110*C112*(1+C114)</f>
        <v/>
      </c>
      <c r="D115" s="21">
        <f>D110*D112*(1+D114)</f>
        <v/>
      </c>
      <c r="E115" s="21">
        <f>E110*E112*(1+E114)</f>
        <v/>
      </c>
      <c r="F115" s="21">
        <f>F110*F112*(1+F114)</f>
        <v/>
      </c>
      <c r="G115" s="21">
        <f>G110*G112*(1+G114)</f>
        <v/>
      </c>
      <c r="H115" s="21">
        <f>H110*H112*(1+H114)</f>
        <v/>
      </c>
      <c r="I115" s="21">
        <f>History!$B$46+C115+D115</f>
        <v/>
      </c>
      <c r="J115" s="21">
        <f>SUM(E115:H115)</f>
        <v/>
      </c>
      <c r="K115" s="21">
        <f>K110*K112*(1+K114)</f>
        <v/>
      </c>
    </row>
    <row r="116">
      <c r="A116" t="inlineStr">
        <is>
          <t xml:space="preserve">  Implied reported take rate (core revenue / GBV)</t>
        </is>
      </c>
      <c r="B116" t="inlineStr">
        <is>
          <t>%</t>
        </is>
      </c>
      <c r="C116" s="11">
        <f>C115/C110</f>
        <v/>
      </c>
      <c r="D116" s="11">
        <f>D115/D110</f>
        <v/>
      </c>
      <c r="E116" s="11">
        <f>E115/E110</f>
        <v/>
      </c>
      <c r="F116" s="11">
        <f>F115/F110</f>
        <v/>
      </c>
      <c r="G116" s="11">
        <f>G115/G110</f>
        <v/>
      </c>
      <c r="H116" s="11">
        <f>H115/H110</f>
        <v/>
      </c>
      <c r="I116" s="11">
        <f>I115/I110</f>
        <v/>
      </c>
      <c r="J116" s="11">
        <f>J115/J110</f>
        <v/>
      </c>
      <c r="K116" s="11">
        <f>K115/K110</f>
        <v/>
      </c>
    </row>
    <row r="117">
      <c r="A117" t="inlineStr">
        <is>
          <t>New business outside GBV x take, incremental</t>
        </is>
      </c>
      <c r="B117" t="inlineStr">
        <is>
          <t>$M</t>
        </is>
      </c>
      <c r="C117" s="15">
        <f>I117*C115/(C115+D115)</f>
        <v/>
      </c>
      <c r="D117" s="15">
        <f>I117*D115/(C115+D115)</f>
        <v/>
      </c>
      <c r="E117" s="15">
        <f>J117*E115/SUM(E115:H115)</f>
        <v/>
      </c>
      <c r="F117" s="15">
        <f>J117*F115/SUM(E115:H115)</f>
        <v/>
      </c>
      <c r="G117" s="15">
        <f>J117*G115/SUM(E115:H115)</f>
        <v/>
      </c>
      <c r="H117" s="15">
        <f>J117*H115/SUM(E115:H115)</f>
        <v/>
      </c>
      <c r="I117" s="15">
        <f>Inputs!$E$41-History!$B$43*I115/History!$B$32</f>
        <v/>
      </c>
      <c r="J117" s="15">
        <f>Inputs!$E$64-History!$B$43*J115/History!$B$32</f>
        <v/>
      </c>
      <c r="K117" s="15">
        <f>Inputs!$E$87-History!$B$43*K115/History!$B$32</f>
        <v/>
      </c>
    </row>
    <row r="118">
      <c r="A118" t="inlineStr">
        <is>
          <t>REVENUE</t>
        </is>
      </c>
      <c r="B118" t="inlineStr">
        <is>
          <t>$M</t>
        </is>
      </c>
      <c r="C118" s="22">
        <f>C115+C117</f>
        <v/>
      </c>
      <c r="D118" s="22">
        <f>D115+D117</f>
        <v/>
      </c>
      <c r="E118" s="22">
        <f>E115+E117</f>
        <v/>
      </c>
      <c r="F118" s="22">
        <f>F115+F117</f>
        <v/>
      </c>
      <c r="G118" s="22">
        <f>G115+G117</f>
        <v/>
      </c>
      <c r="H118" s="22">
        <f>H115+H117</f>
        <v/>
      </c>
      <c r="I118" s="22">
        <f>I115+I117</f>
        <v/>
      </c>
      <c r="J118" s="22">
        <f>J115+J117</f>
        <v/>
      </c>
      <c r="K118" s="22">
        <f>K115+K117</f>
        <v/>
      </c>
    </row>
    <row r="119">
      <c r="A119" t="inlineStr">
        <is>
          <t xml:space="preserve">  Revenue growth</t>
        </is>
      </c>
      <c r="B119" t="inlineStr">
        <is>
          <t>y/y</t>
        </is>
      </c>
      <c r="C119" s="23">
        <f>C118/History!$B$54-1</f>
        <v/>
      </c>
      <c r="D119" s="23">
        <f>D118/History!$B$63-1</f>
        <v/>
      </c>
      <c r="E119" s="23">
        <f>E118/History!$B$72-1</f>
        <v/>
      </c>
      <c r="F119" s="23">
        <f>F118/History!$B$81-1</f>
        <v/>
      </c>
      <c r="G119" s="23">
        <f>G118/C118-1</f>
        <v/>
      </c>
      <c r="H119" s="23">
        <f>H118/D118-1</f>
        <v/>
      </c>
      <c r="I119" s="23">
        <f>I118/History!$B$32-1</f>
        <v/>
      </c>
      <c r="J119" s="23">
        <f>J118/I118-1</f>
        <v/>
      </c>
      <c r="K119" s="23">
        <f>K118/J118-1</f>
        <v/>
      </c>
    </row>
    <row r="120">
      <c r="A120" t="inlineStr">
        <is>
          <t xml:space="preserve">  Seasonal margin spread vs FY2026 (2027 quarters)</t>
        </is>
      </c>
      <c r="B120" t="inlineStr">
        <is>
          <t>pts</t>
        </is>
      </c>
      <c r="E120" s="11">
        <f>History!$B$99-Costs!$D$82</f>
        <v/>
      </c>
      <c r="F120" s="11">
        <f>History!$B$100-Costs!$D$82</f>
        <v/>
      </c>
      <c r="G120" s="11">
        <f>Inputs!$E$107/100-Costs!$D$82</f>
        <v/>
      </c>
      <c r="H120" s="11">
        <f>Inputs!$E$115/100-Costs!$D$82</f>
        <v/>
      </c>
    </row>
    <row r="121">
      <c r="A121" t="inlineStr">
        <is>
          <t xml:space="preserve">  Correction so the 2027 quarters reproduce the FY2027 margin</t>
        </is>
      </c>
      <c r="B121" t="inlineStr">
        <is>
          <t>pts</t>
        </is>
      </c>
      <c r="E121" s="11">
        <f>-(E120*E118+F120*F118+G120*G118+H120*H118)/SUM(E118:H118)</f>
        <v/>
      </c>
      <c r="F121" s="11">
        <f>-(E120*E118+F120*F118+G120*G118+H120*H118)/SUM(E118:H118)</f>
        <v/>
      </c>
      <c r="G121" s="11">
        <f>-(E120*E118+F120*F118+G120*G118+H120*H118)/SUM(E118:H118)</f>
        <v/>
      </c>
      <c r="H121" s="11">
        <f>-(E120*E118+F120*F118+G120*G118+H120*H118)/SUM(E118:H118)</f>
        <v/>
      </c>
    </row>
    <row r="122">
      <c r="A122" t="inlineStr">
        <is>
          <t>Adj. EBITDA margin</t>
        </is>
      </c>
      <c r="B122" t="inlineStr">
        <is>
          <t>%</t>
        </is>
      </c>
      <c r="C122" s="23">
        <f>Inputs!$E$107/100</f>
        <v/>
      </c>
      <c r="D122" s="23">
        <f>Inputs!$E$115/100</f>
        <v/>
      </c>
      <c r="E122" s="23">
        <f>Costs!$E$82+E120+E121</f>
        <v/>
      </c>
      <c r="F122" s="23">
        <f>Costs!$E$82+F120+F121</f>
        <v/>
      </c>
      <c r="G122" s="23">
        <f>Costs!$E$82+G120+G121</f>
        <v/>
      </c>
      <c r="H122" s="23">
        <f>Costs!$E$82+H120+H121</f>
        <v/>
      </c>
      <c r="I122" s="23">
        <f>Costs!$D$82</f>
        <v/>
      </c>
      <c r="J122" s="23">
        <f>Costs!$E$82</f>
        <v/>
      </c>
      <c r="K122" s="23">
        <f>Costs!$F$82</f>
        <v/>
      </c>
    </row>
    <row r="123">
      <c r="A123" t="inlineStr">
        <is>
          <t>Adj. EBITDA</t>
        </is>
      </c>
      <c r="B123" t="inlineStr">
        <is>
          <t>$M</t>
        </is>
      </c>
      <c r="C123" s="22">
        <f>C118*C122</f>
        <v/>
      </c>
      <c r="D123" s="22">
        <f>D118*D122</f>
        <v/>
      </c>
      <c r="E123" s="22">
        <f>E118*E122</f>
        <v/>
      </c>
      <c r="F123" s="22">
        <f>F118*F122</f>
        <v/>
      </c>
      <c r="G123" s="22">
        <f>G118*G122</f>
        <v/>
      </c>
      <c r="H123" s="22">
        <f>H118*H122</f>
        <v/>
      </c>
      <c r="I123" s="22">
        <f>Costs!$D$81</f>
        <v/>
      </c>
      <c r="J123" s="22">
        <f>Costs!$E$81</f>
        <v/>
      </c>
      <c r="K123" s="22">
        <f>Costs!$F$81</f>
        <v/>
      </c>
    </row>
    <row r="124">
      <c r="A124" t="inlineStr">
        <is>
          <t xml:space="preserve">  Memo: seasonal share of full-year nights</t>
        </is>
      </c>
      <c r="B124" t="inlineStr">
        <is>
          <t>%</t>
        </is>
      </c>
      <c r="C124" s="20">
        <f>C104/I104</f>
        <v/>
      </c>
      <c r="D124" s="20">
        <f>D104/I104</f>
        <v/>
      </c>
      <c r="E124" s="20">
        <f>E104/J104</f>
        <v/>
      </c>
      <c r="F124" s="20">
        <f>F104/J104</f>
        <v/>
      </c>
      <c r="G124" s="20">
        <f>G104/J104</f>
        <v/>
      </c>
      <c r="H124" s="20">
        <f>H104/J104</f>
        <v/>
      </c>
    </row>
    <row r="125">
      <c r="A125" t="inlineStr">
        <is>
          <t xml:space="preserve">  Memo: 2023-2025 mean seasonal share</t>
        </is>
      </c>
      <c r="B125" t="inlineStr">
        <is>
          <t>%</t>
        </is>
      </c>
      <c r="C125" s="20">
        <f>History!$B$97</f>
        <v/>
      </c>
      <c r="D125" s="20">
        <f>History!$B$98</f>
        <v/>
      </c>
      <c r="E125" s="20">
        <f>History!$B$95</f>
        <v/>
      </c>
      <c r="F125" s="20">
        <f>History!$B$96</f>
        <v/>
      </c>
      <c r="G125" s="20">
        <f>History!$B$97</f>
        <v/>
      </c>
      <c r="H125" s="20">
        <f>History!$B$98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9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Cost stack, adj. EBITDA and net income - lever by lever</t>
        </is>
      </c>
    </row>
    <row r="2">
      <c r="A2" s="2" t="inlineStr">
        <is>
          <t>Mechanics from WS07 07_margin_lever_model.py: cost of revenue on GBV dollars, operations &amp; support on nights, the rest on cash growth rates.</t>
        </is>
      </c>
    </row>
    <row r="4">
      <c r="A4" s="5" t="inlineStr">
        <is>
          <t>BEAR CASE</t>
        </is>
      </c>
      <c r="B4" s="6" t="n"/>
      <c r="C4" s="6" t="n"/>
      <c r="D4" s="6" t="n"/>
      <c r="E4" s="6" t="n"/>
      <c r="F4" s="6" t="n"/>
      <c r="G4" s="6" t="n"/>
    </row>
    <row r="5">
      <c r="A5" s="7" t="inlineStr">
        <is>
          <t>Line</t>
        </is>
      </c>
      <c r="B5" s="7" t="inlineStr">
        <is>
          <t>Unit</t>
        </is>
      </c>
      <c r="C5" s="7" t="inlineStr">
        <is>
          <t>FY2025A</t>
        </is>
      </c>
      <c r="D5" s="7" t="inlineStr">
        <is>
          <t>FY2026E</t>
        </is>
      </c>
      <c r="E5" s="7" t="inlineStr">
        <is>
          <t>FY2027E</t>
        </is>
      </c>
      <c r="F5" s="7" t="inlineStr">
        <is>
          <t>FY2028E</t>
        </is>
      </c>
    </row>
    <row r="6">
      <c r="A6" t="inlineStr">
        <is>
          <t>Revenue</t>
        </is>
      </c>
      <c r="B6" t="inlineStr">
        <is>
          <t>$M</t>
        </is>
      </c>
      <c r="C6" s="21">
        <f>History!$B$32</f>
        <v/>
      </c>
      <c r="D6" s="21">
        <f>Revenue!$I$36</f>
        <v/>
      </c>
      <c r="E6" s="21">
        <f>Revenue!$J$36</f>
        <v/>
      </c>
      <c r="F6" s="21">
        <f>Revenue!$K$36</f>
        <v/>
      </c>
    </row>
    <row r="7">
      <c r="A7" t="inlineStr">
        <is>
          <t>GBV</t>
        </is>
      </c>
      <c r="B7" t="inlineStr">
        <is>
          <t>$M</t>
        </is>
      </c>
      <c r="C7" s="21">
        <f>History!$B$31</f>
        <v/>
      </c>
      <c r="D7" s="21">
        <f>Revenue!$I$28</f>
        <v/>
      </c>
      <c r="E7" s="21">
        <f>Revenue!$J$28</f>
        <v/>
      </c>
      <c r="F7" s="21">
        <f>Revenue!$K$28</f>
        <v/>
      </c>
    </row>
    <row r="8">
      <c r="A8" t="inlineStr">
        <is>
          <t>Nights</t>
        </is>
      </c>
      <c r="B8" t="inlineStr">
        <is>
          <t>M</t>
        </is>
      </c>
      <c r="C8" s="15">
        <f>History!$B$30</f>
        <v/>
      </c>
      <c r="D8" s="15">
        <f>Revenue!$I$22</f>
        <v/>
      </c>
      <c r="E8" s="15">
        <f>Revenue!$J$22</f>
        <v/>
      </c>
      <c r="F8" s="15">
        <f>Revenue!$K$22</f>
        <v/>
      </c>
    </row>
    <row r="9">
      <c r="A9" t="inlineStr">
        <is>
          <t>Cost of revenue, cash</t>
        </is>
      </c>
      <c r="B9" t="inlineStr">
        <is>
          <t>$M</t>
        </is>
      </c>
      <c r="C9" s="21">
        <f>History!$B$37</f>
        <v/>
      </c>
      <c r="D9" s="21">
        <f>C9/C7*(1+Inputs!$C$27)*D7</f>
        <v/>
      </c>
      <c r="E9" s="21">
        <f>D9/D7*(1+Inputs!$C$50)*E7</f>
        <v/>
      </c>
      <c r="F9" s="21">
        <f>E9/E7*(1+Inputs!$C$73)*F7</f>
        <v/>
      </c>
    </row>
    <row r="10">
      <c r="A10" t="inlineStr">
        <is>
          <t>Operations &amp; support, cash</t>
        </is>
      </c>
      <c r="B10" t="inlineStr">
        <is>
          <t>$M</t>
        </is>
      </c>
      <c r="C10" s="21">
        <f>History!$B$38</f>
        <v/>
      </c>
      <c r="D10" s="21">
        <f>C10/C8*(1+Inputs!$C$28)*D8</f>
        <v/>
      </c>
      <c r="E10" s="21">
        <f>D10/D8*(1+Inputs!$C$51)*E8</f>
        <v/>
      </c>
      <c r="F10" s="21">
        <f>E10/E8*(1+Inputs!$C$74)*F8</f>
        <v/>
      </c>
    </row>
    <row r="11">
      <c r="A11" t="inlineStr">
        <is>
          <t>Product development, cash (ex-SBC)</t>
        </is>
      </c>
      <c r="B11" t="inlineStr">
        <is>
          <t>$M</t>
        </is>
      </c>
      <c r="C11" s="21">
        <f>History!$B$39</f>
        <v/>
      </c>
      <c r="D11" s="21">
        <f>C11*(1+Inputs!$C$29)</f>
        <v/>
      </c>
      <c r="E11" s="21">
        <f>D11*(1+Inputs!$C$52)</f>
        <v/>
      </c>
      <c r="F11" s="21">
        <f>E11*(1+Inputs!$C$75)</f>
        <v/>
      </c>
    </row>
    <row r="12">
      <c r="A12" t="inlineStr">
        <is>
          <t>Brand &amp; performance marketing</t>
        </is>
      </c>
      <c r="B12" t="inlineStr">
        <is>
          <t>$M</t>
        </is>
      </c>
      <c r="C12" s="21">
        <f>History!$B$40</f>
        <v/>
      </c>
      <c r="D12" s="21">
        <f>C12*(1+Inputs!$C$30)</f>
        <v/>
      </c>
      <c r="E12" s="21">
        <f>D12*(1+Inputs!$C$53)</f>
        <v/>
      </c>
      <c r="F12" s="21">
        <f>E12*(1+Inputs!$C$76)</f>
        <v/>
      </c>
    </row>
    <row r="13">
      <c r="A13" t="inlineStr">
        <is>
          <t>Field operations &amp; policy, cash</t>
        </is>
      </c>
      <c r="B13" t="inlineStr">
        <is>
          <t>$M</t>
        </is>
      </c>
      <c r="C13" s="21">
        <f>History!$B$41</f>
        <v/>
      </c>
      <c r="D13" s="21">
        <f>C13*(1+Inputs!$C$31)</f>
        <v/>
      </c>
      <c r="E13" s="21">
        <f>D13*(1+Inputs!$C$54)</f>
        <v/>
      </c>
      <c r="F13" s="21">
        <f>E13*(1+Inputs!$C$77)</f>
        <v/>
      </c>
    </row>
    <row r="14">
      <c r="A14" t="inlineStr">
        <is>
          <t>G&amp;A, cash</t>
        </is>
      </c>
      <c r="B14" t="inlineStr">
        <is>
          <t>$M</t>
        </is>
      </c>
      <c r="C14" s="21">
        <f>History!$B$42</f>
        <v/>
      </c>
      <c r="D14" s="21">
        <f>C14*(1+Inputs!$C$32)</f>
        <v/>
      </c>
      <c r="E14" s="21">
        <f>D14*(1+Inputs!$C$55)</f>
        <v/>
      </c>
      <c r="F14" s="21">
        <f>E14*(1+Inputs!$C$78)</f>
        <v/>
      </c>
    </row>
    <row r="15">
      <c r="A15" t="inlineStr">
        <is>
          <t>New-business cost of the incremental revenue</t>
        </is>
      </c>
      <c r="B15" t="inlineStr">
        <is>
          <t>$M</t>
        </is>
      </c>
      <c r="C15" s="15">
        <f>0</f>
        <v/>
      </c>
      <c r="D15" s="15">
        <f>Revenue!$I$35*(1-Inputs!$C$20)</f>
        <v/>
      </c>
      <c r="E15" s="15">
        <f>Revenue!$J$35*(1-Inputs!$C$20)</f>
        <v/>
      </c>
      <c r="F15" s="15">
        <f>Revenue!$K$35*(1-Inputs!$C$20)</f>
        <v/>
      </c>
    </row>
    <row r="16">
      <c r="A16" t="inlineStr">
        <is>
          <t>AI referral cost</t>
        </is>
      </c>
      <c r="B16" t="inlineStr">
        <is>
          <t>$M</t>
        </is>
      </c>
      <c r="C16" s="15">
        <f>0</f>
        <v/>
      </c>
      <c r="D16" s="15">
        <f>D6*Inputs!$C$40</f>
        <v/>
      </c>
      <c r="E16" s="15">
        <f>E6*Inputs!$C$63</f>
        <v/>
      </c>
      <c r="F16" s="15">
        <f>F6*Inputs!$C$86</f>
        <v/>
      </c>
    </row>
    <row r="17">
      <c r="A17" t="inlineStr">
        <is>
          <t>Total cash costs</t>
        </is>
      </c>
      <c r="B17" t="inlineStr">
        <is>
          <t>$M</t>
        </is>
      </c>
      <c r="C17" s="21">
        <f>C9+C10+C11+C12+C13+C14+C15+C16</f>
        <v/>
      </c>
      <c r="D17" s="21">
        <f>D9+D10+D11+D12+D13+D14+D15+D16</f>
        <v/>
      </c>
      <c r="E17" s="21">
        <f>E9+E10+E11+E12+E13+E14+E15+E16</f>
        <v/>
      </c>
      <c r="F17" s="21">
        <f>F9+F10+F11+F12+F13+F14+F15+F16</f>
        <v/>
      </c>
    </row>
    <row r="18">
      <c r="A18" t="inlineStr">
        <is>
          <t>D&amp;A and other add-backs</t>
        </is>
      </c>
      <c r="B18" t="inlineStr">
        <is>
          <t>$M</t>
        </is>
      </c>
      <c r="C18" s="15">
        <f>History!$B$109</f>
        <v/>
      </c>
      <c r="D18" s="15">
        <f>D6*Inputs!$C$33</f>
        <v/>
      </c>
      <c r="E18" s="15">
        <f>E6*Inputs!$C$56</f>
        <v/>
      </c>
      <c r="F18" s="15">
        <f>F6*Inputs!$C$79</f>
        <v/>
      </c>
    </row>
    <row r="19">
      <c r="A19" t="inlineStr">
        <is>
          <t xml:space="preserve">  Adj. EBITDA before the WS07 38% ceiling</t>
        </is>
      </c>
      <c r="B19" t="inlineStr">
        <is>
          <t>$M</t>
        </is>
      </c>
      <c r="C19" s="21">
        <f>History!$B$35</f>
        <v/>
      </c>
      <c r="D19" s="21">
        <f>D6-D17+D18</f>
        <v/>
      </c>
      <c r="E19" s="21">
        <f>E6-E17+E18</f>
        <v/>
      </c>
      <c r="F19" s="21">
        <f>F6-F17+F18</f>
        <v/>
      </c>
    </row>
    <row r="20">
      <c r="A20" t="inlineStr">
        <is>
          <t xml:space="preserve">  Margin before the ceiling</t>
        </is>
      </c>
      <c r="B20" t="inlineStr">
        <is>
          <t>%</t>
        </is>
      </c>
      <c r="C20" s="20">
        <f>C19/C6</f>
        <v/>
      </c>
      <c r="D20" s="20">
        <f>D19/D6</f>
        <v/>
      </c>
      <c r="E20" s="20">
        <f>E19/E6</f>
        <v/>
      </c>
      <c r="F20" s="20">
        <f>F19/F6</f>
        <v/>
      </c>
    </row>
    <row r="21">
      <c r="A21" t="inlineStr">
        <is>
          <t>ADJUSTED EBITDA (capped at the WS07 ceiling)</t>
        </is>
      </c>
      <c r="B21" t="inlineStr">
        <is>
          <t>$M</t>
        </is>
      </c>
      <c r="C21" s="21">
        <f>History!$B$35</f>
        <v/>
      </c>
      <c r="D21" s="22">
        <f>MIN(D19,D6*Inputs!$C$21)</f>
        <v/>
      </c>
      <c r="E21" s="22">
        <f>MIN(E19,E6*Inputs!$C$21)</f>
        <v/>
      </c>
      <c r="F21" s="22">
        <f>MIN(F19,F6*Inputs!$C$21)</f>
        <v/>
      </c>
    </row>
    <row r="22">
      <c r="A22" t="inlineStr">
        <is>
          <t xml:space="preserve">  Adj. EBITDA margin</t>
        </is>
      </c>
      <c r="B22" t="inlineStr">
        <is>
          <t>%</t>
        </is>
      </c>
      <c r="C22" s="20">
        <f>C21/C6</f>
        <v/>
      </c>
      <c r="D22" s="23">
        <f>D21/D6</f>
        <v/>
      </c>
      <c r="E22" s="23">
        <f>E21/E6</f>
        <v/>
      </c>
      <c r="F22" s="23">
        <f>F21/F6</f>
        <v/>
      </c>
    </row>
    <row r="23">
      <c r="A23" t="inlineStr">
        <is>
          <t>Stock-based compensation</t>
        </is>
      </c>
      <c r="B23" t="inlineStr">
        <is>
          <t>$M</t>
        </is>
      </c>
      <c r="C23" s="21">
        <f>History!$B$36</f>
        <v/>
      </c>
      <c r="D23" s="21">
        <f>C23*(1+Inputs!$C$34)</f>
        <v/>
      </c>
      <c r="E23" s="21">
        <f>D23*(1+Inputs!$C$57)</f>
        <v/>
      </c>
      <c r="F23" s="21">
        <f>E23*(1+Inputs!$C$80)</f>
        <v/>
      </c>
    </row>
    <row r="24">
      <c r="A24" t="inlineStr">
        <is>
          <t xml:space="preserve">  SBC, % of revenue</t>
        </is>
      </c>
      <c r="B24" t="inlineStr">
        <is>
          <t>%</t>
        </is>
      </c>
      <c r="C24" s="20">
        <f>C23/C6</f>
        <v/>
      </c>
      <c r="D24" s="20">
        <f>D23/D6</f>
        <v/>
      </c>
      <c r="E24" s="20">
        <f>E23/E6</f>
        <v/>
      </c>
      <c r="F24" s="20">
        <f>F23/F6</f>
        <v/>
      </c>
    </row>
    <row r="25">
      <c r="A25" t="inlineStr">
        <is>
          <t>D&amp;A</t>
        </is>
      </c>
      <c r="B25" t="inlineStr">
        <is>
          <t>$M</t>
        </is>
      </c>
      <c r="C25" s="15">
        <f>History!$B$108</f>
        <v/>
      </c>
      <c r="D25" s="15">
        <f>D6*Inputs!$C$46</f>
        <v/>
      </c>
      <c r="E25" s="15">
        <f>E6*Inputs!$C$69</f>
        <v/>
      </c>
      <c r="F25" s="15">
        <f>F6*Inputs!$C$92</f>
        <v/>
      </c>
    </row>
    <row r="26">
      <c r="A26" t="inlineStr">
        <is>
          <t>GAAP operating income</t>
        </is>
      </c>
      <c r="B26" t="inlineStr">
        <is>
          <t>$M</t>
        </is>
      </c>
      <c r="D26" s="21">
        <f>D21-D23-D18</f>
        <v/>
      </c>
      <c r="E26" s="21">
        <f>E21-E23-E18</f>
        <v/>
      </c>
      <c r="F26" s="21">
        <f>F21-F23-F18</f>
        <v/>
      </c>
    </row>
    <row r="27">
      <c r="A27" t="inlineStr">
        <is>
          <t xml:space="preserve">  GAAP operating margin</t>
        </is>
      </c>
      <c r="B27" t="inlineStr">
        <is>
          <t>%</t>
        </is>
      </c>
      <c r="D27" s="20">
        <f>D26/D6</f>
        <v/>
      </c>
      <c r="E27" s="20">
        <f>E26/E6</f>
        <v/>
      </c>
      <c r="F27" s="20">
        <f>F26/F6</f>
        <v/>
      </c>
    </row>
    <row r="28">
      <c r="A28" t="inlineStr">
        <is>
          <t>Interest income</t>
        </is>
      </c>
      <c r="B28" t="inlineStr">
        <is>
          <t>$M</t>
        </is>
      </c>
      <c r="C28" s="15">
        <f>History!$B$110</f>
        <v/>
      </c>
      <c r="D28" s="15">
        <f>Inputs!$C$35</f>
        <v/>
      </c>
      <c r="E28" s="15">
        <f>Inputs!$C$58</f>
        <v/>
      </c>
      <c r="F28" s="15">
        <f>Inputs!$C$81</f>
        <v/>
      </c>
    </row>
    <row r="29">
      <c r="A29" t="inlineStr">
        <is>
          <t>Interest expense</t>
        </is>
      </c>
      <c r="B29" t="inlineStr">
        <is>
          <t>$M</t>
        </is>
      </c>
      <c r="C29" s="15">
        <f>History!$B$111</f>
        <v/>
      </c>
      <c r="D29" s="15">
        <f>Inputs!$C$36</f>
        <v/>
      </c>
      <c r="E29" s="15">
        <f>Inputs!$C$59</f>
        <v/>
      </c>
      <c r="F29" s="15">
        <f>Inputs!$C$82</f>
        <v/>
      </c>
    </row>
    <row r="30">
      <c r="A30" t="inlineStr">
        <is>
          <t>Pre-tax income</t>
        </is>
      </c>
      <c r="B30" t="inlineStr">
        <is>
          <t>$M</t>
        </is>
      </c>
      <c r="D30" s="21">
        <f>D26+D28-D29</f>
        <v/>
      </c>
      <c r="E30" s="21">
        <f>E26+E28-E29</f>
        <v/>
      </c>
      <c r="F30" s="21">
        <f>F26+F28-F29</f>
        <v/>
      </c>
    </row>
    <row r="31">
      <c r="A31" t="inlineStr">
        <is>
          <t xml:space="preserve">  Effective tax rate</t>
        </is>
      </c>
      <c r="B31" t="inlineStr">
        <is>
          <t>%</t>
        </is>
      </c>
      <c r="D31" s="20">
        <f>Inputs!$C$39</f>
        <v/>
      </c>
      <c r="E31" s="20">
        <f>Inputs!$C$62</f>
        <v/>
      </c>
      <c r="F31" s="20">
        <f>Inputs!$C$85</f>
        <v/>
      </c>
    </row>
    <row r="32">
      <c r="A32" t="inlineStr">
        <is>
          <t>Net income</t>
        </is>
      </c>
      <c r="B32" t="inlineStr">
        <is>
          <t>$M</t>
        </is>
      </c>
      <c r="D32" s="22">
        <f>D30*(1-D31)</f>
        <v/>
      </c>
      <c r="E32" s="22">
        <f>E30*(1-E31)</f>
        <v/>
      </c>
      <c r="F32" s="22">
        <f>F30*(1-F31)</f>
        <v/>
      </c>
    </row>
    <row r="34">
      <c r="A34" s="5" t="inlineStr">
        <is>
          <t>BASE CASE</t>
        </is>
      </c>
      <c r="B34" s="6" t="n"/>
      <c r="C34" s="6" t="n"/>
      <c r="D34" s="6" t="n"/>
      <c r="E34" s="6" t="n"/>
      <c r="F34" s="6" t="n"/>
      <c r="G34" s="6" t="n"/>
    </row>
    <row r="35">
      <c r="A35" s="7" t="inlineStr">
        <is>
          <t>Line</t>
        </is>
      </c>
      <c r="B35" s="7" t="inlineStr">
        <is>
          <t>Unit</t>
        </is>
      </c>
      <c r="C35" s="7" t="inlineStr">
        <is>
          <t>FY2025A</t>
        </is>
      </c>
      <c r="D35" s="7" t="inlineStr">
        <is>
          <t>FY2026E</t>
        </is>
      </c>
      <c r="E35" s="7" t="inlineStr">
        <is>
          <t>FY2027E</t>
        </is>
      </c>
      <c r="F35" s="7" t="inlineStr">
        <is>
          <t>FY2028E</t>
        </is>
      </c>
    </row>
    <row r="36">
      <c r="A36" t="inlineStr">
        <is>
          <t>Revenue</t>
        </is>
      </c>
      <c r="B36" t="inlineStr">
        <is>
          <t>$M</t>
        </is>
      </c>
      <c r="C36" s="21">
        <f>History!$B$32</f>
        <v/>
      </c>
      <c r="D36" s="21">
        <f>Revenue!$I$77</f>
        <v/>
      </c>
      <c r="E36" s="21">
        <f>Revenue!$J$77</f>
        <v/>
      </c>
      <c r="F36" s="21">
        <f>Revenue!$K$77</f>
        <v/>
      </c>
    </row>
    <row r="37">
      <c r="A37" t="inlineStr">
        <is>
          <t>GBV</t>
        </is>
      </c>
      <c r="B37" t="inlineStr">
        <is>
          <t>$M</t>
        </is>
      </c>
      <c r="C37" s="21">
        <f>History!$B$31</f>
        <v/>
      </c>
      <c r="D37" s="21">
        <f>Revenue!$I$69</f>
        <v/>
      </c>
      <c r="E37" s="21">
        <f>Revenue!$J$69</f>
        <v/>
      </c>
      <c r="F37" s="21">
        <f>Revenue!$K$69</f>
        <v/>
      </c>
    </row>
    <row r="38">
      <c r="A38" t="inlineStr">
        <is>
          <t>Nights</t>
        </is>
      </c>
      <c r="B38" t="inlineStr">
        <is>
          <t>M</t>
        </is>
      </c>
      <c r="C38" s="15">
        <f>History!$B$30</f>
        <v/>
      </c>
      <c r="D38" s="15">
        <f>Revenue!$I$63</f>
        <v/>
      </c>
      <c r="E38" s="15">
        <f>Revenue!$J$63</f>
        <v/>
      </c>
      <c r="F38" s="15">
        <f>Revenue!$K$63</f>
        <v/>
      </c>
    </row>
    <row r="39">
      <c r="A39" t="inlineStr">
        <is>
          <t>Cost of revenue, cash</t>
        </is>
      </c>
      <c r="B39" t="inlineStr">
        <is>
          <t>$M</t>
        </is>
      </c>
      <c r="C39" s="21">
        <f>History!$B$37</f>
        <v/>
      </c>
      <c r="D39" s="21">
        <f>C39/C37*(1+Inputs!$D$27)*D37</f>
        <v/>
      </c>
      <c r="E39" s="21">
        <f>D39/D37*(1+Inputs!$D$50)*E37</f>
        <v/>
      </c>
      <c r="F39" s="21">
        <f>E39/E37*(1+Inputs!$D$73)*F37</f>
        <v/>
      </c>
    </row>
    <row r="40">
      <c r="A40" t="inlineStr">
        <is>
          <t>Operations &amp; support, cash</t>
        </is>
      </c>
      <c r="B40" t="inlineStr">
        <is>
          <t>$M</t>
        </is>
      </c>
      <c r="C40" s="21">
        <f>History!$B$38</f>
        <v/>
      </c>
      <c r="D40" s="21">
        <f>C40/C38*(1+Inputs!$D$28)*D38</f>
        <v/>
      </c>
      <c r="E40" s="21">
        <f>D40/D38*(1+Inputs!$D$51)*E38</f>
        <v/>
      </c>
      <c r="F40" s="21">
        <f>E40/E38*(1+Inputs!$D$74)*F38</f>
        <v/>
      </c>
    </row>
    <row r="41">
      <c r="A41" t="inlineStr">
        <is>
          <t>Product development, cash (ex-SBC)</t>
        </is>
      </c>
      <c r="B41" t="inlineStr">
        <is>
          <t>$M</t>
        </is>
      </c>
      <c r="C41" s="21">
        <f>History!$B$39</f>
        <v/>
      </c>
      <c r="D41" s="21">
        <f>C41*(1+Inputs!$D$29)</f>
        <v/>
      </c>
      <c r="E41" s="21">
        <f>D41*(1+Inputs!$D$52)</f>
        <v/>
      </c>
      <c r="F41" s="21">
        <f>E41*(1+Inputs!$D$75)</f>
        <v/>
      </c>
    </row>
    <row r="42">
      <c r="A42" t="inlineStr">
        <is>
          <t>Brand &amp; performance marketing</t>
        </is>
      </c>
      <c r="B42" t="inlineStr">
        <is>
          <t>$M</t>
        </is>
      </c>
      <c r="C42" s="21">
        <f>History!$B$40</f>
        <v/>
      </c>
      <c r="D42" s="21">
        <f>C42*(1+Inputs!$D$30)</f>
        <v/>
      </c>
      <c r="E42" s="21">
        <f>D42*(1+Inputs!$D$53)</f>
        <v/>
      </c>
      <c r="F42" s="21">
        <f>E42*(1+Inputs!$D$76)</f>
        <v/>
      </c>
    </row>
    <row r="43">
      <c r="A43" t="inlineStr">
        <is>
          <t>Field operations &amp; policy, cash</t>
        </is>
      </c>
      <c r="B43" t="inlineStr">
        <is>
          <t>$M</t>
        </is>
      </c>
      <c r="C43" s="21">
        <f>History!$B$41</f>
        <v/>
      </c>
      <c r="D43" s="21">
        <f>C43*(1+Inputs!$D$31)</f>
        <v/>
      </c>
      <c r="E43" s="21">
        <f>D43*(1+Inputs!$D$54)</f>
        <v/>
      </c>
      <c r="F43" s="21">
        <f>E43*(1+Inputs!$D$77)</f>
        <v/>
      </c>
    </row>
    <row r="44">
      <c r="A44" t="inlineStr">
        <is>
          <t>G&amp;A, cash</t>
        </is>
      </c>
      <c r="B44" t="inlineStr">
        <is>
          <t>$M</t>
        </is>
      </c>
      <c r="C44" s="21">
        <f>History!$B$42</f>
        <v/>
      </c>
      <c r="D44" s="21">
        <f>C44*(1+Inputs!$D$32)</f>
        <v/>
      </c>
      <c r="E44" s="21">
        <f>D44*(1+Inputs!$D$55)</f>
        <v/>
      </c>
      <c r="F44" s="21">
        <f>E44*(1+Inputs!$D$78)</f>
        <v/>
      </c>
    </row>
    <row r="45">
      <c r="A45" t="inlineStr">
        <is>
          <t>New-business cost of the incremental revenue</t>
        </is>
      </c>
      <c r="B45" t="inlineStr">
        <is>
          <t>$M</t>
        </is>
      </c>
      <c r="C45" s="15">
        <f>0</f>
        <v/>
      </c>
      <c r="D45" s="15">
        <f>Revenue!$I$76*(1-Inputs!$D$20)</f>
        <v/>
      </c>
      <c r="E45" s="15">
        <f>Revenue!$J$76*(1-Inputs!$D$20)</f>
        <v/>
      </c>
      <c r="F45" s="15">
        <f>Revenue!$K$76*(1-Inputs!$D$20)</f>
        <v/>
      </c>
    </row>
    <row r="46">
      <c r="A46" t="inlineStr">
        <is>
          <t>AI referral cost</t>
        </is>
      </c>
      <c r="B46" t="inlineStr">
        <is>
          <t>$M</t>
        </is>
      </c>
      <c r="C46" s="15">
        <f>0</f>
        <v/>
      </c>
      <c r="D46" s="15">
        <f>D36*Inputs!$D$40</f>
        <v/>
      </c>
      <c r="E46" s="15">
        <f>E36*Inputs!$D$63</f>
        <v/>
      </c>
      <c r="F46" s="15">
        <f>F36*Inputs!$D$86</f>
        <v/>
      </c>
    </row>
    <row r="47">
      <c r="A47" t="inlineStr">
        <is>
          <t>Total cash costs</t>
        </is>
      </c>
      <c r="B47" t="inlineStr">
        <is>
          <t>$M</t>
        </is>
      </c>
      <c r="C47" s="21">
        <f>C39+C40+C41+C42+C43+C44+C45+C46</f>
        <v/>
      </c>
      <c r="D47" s="21">
        <f>D39+D40+D41+D42+D43+D44+D45+D46</f>
        <v/>
      </c>
      <c r="E47" s="21">
        <f>E39+E40+E41+E42+E43+E44+E45+E46</f>
        <v/>
      </c>
      <c r="F47" s="21">
        <f>F39+F40+F41+F42+F43+F44+F45+F46</f>
        <v/>
      </c>
    </row>
    <row r="48">
      <c r="A48" t="inlineStr">
        <is>
          <t>D&amp;A and other add-backs</t>
        </is>
      </c>
      <c r="B48" t="inlineStr">
        <is>
          <t>$M</t>
        </is>
      </c>
      <c r="C48" s="15">
        <f>History!$B$109</f>
        <v/>
      </c>
      <c r="D48" s="15">
        <f>D36*Inputs!$D$33</f>
        <v/>
      </c>
      <c r="E48" s="15">
        <f>E36*Inputs!$D$56</f>
        <v/>
      </c>
      <c r="F48" s="15">
        <f>F36*Inputs!$D$79</f>
        <v/>
      </c>
    </row>
    <row r="49">
      <c r="A49" t="inlineStr">
        <is>
          <t xml:space="preserve">  Adj. EBITDA before the WS07 38% ceiling</t>
        </is>
      </c>
      <c r="B49" t="inlineStr">
        <is>
          <t>$M</t>
        </is>
      </c>
      <c r="C49" s="21">
        <f>History!$B$35</f>
        <v/>
      </c>
      <c r="D49" s="21">
        <f>D36-D47+D48</f>
        <v/>
      </c>
      <c r="E49" s="21">
        <f>E36-E47+E48</f>
        <v/>
      </c>
      <c r="F49" s="21">
        <f>F36-F47+F48</f>
        <v/>
      </c>
    </row>
    <row r="50">
      <c r="A50" t="inlineStr">
        <is>
          <t xml:space="preserve">  Margin before the ceiling</t>
        </is>
      </c>
      <c r="B50" t="inlineStr">
        <is>
          <t>%</t>
        </is>
      </c>
      <c r="C50" s="20">
        <f>C49/C36</f>
        <v/>
      </c>
      <c r="D50" s="20">
        <f>D49/D36</f>
        <v/>
      </c>
      <c r="E50" s="20">
        <f>E49/E36</f>
        <v/>
      </c>
      <c r="F50" s="20">
        <f>F49/F36</f>
        <v/>
      </c>
    </row>
    <row r="51">
      <c r="A51" t="inlineStr">
        <is>
          <t>ADJUSTED EBITDA (capped at the WS07 ceiling)</t>
        </is>
      </c>
      <c r="B51" t="inlineStr">
        <is>
          <t>$M</t>
        </is>
      </c>
      <c r="C51" s="21">
        <f>History!$B$35</f>
        <v/>
      </c>
      <c r="D51" s="22">
        <f>MIN(D49,D36*Inputs!$D$21)</f>
        <v/>
      </c>
      <c r="E51" s="22">
        <f>MIN(E49,E36*Inputs!$D$21)</f>
        <v/>
      </c>
      <c r="F51" s="22">
        <f>MIN(F49,F36*Inputs!$D$21)</f>
        <v/>
      </c>
    </row>
    <row r="52">
      <c r="A52" t="inlineStr">
        <is>
          <t xml:space="preserve">  Adj. EBITDA margin</t>
        </is>
      </c>
      <c r="B52" t="inlineStr">
        <is>
          <t>%</t>
        </is>
      </c>
      <c r="C52" s="20">
        <f>C51/C36</f>
        <v/>
      </c>
      <c r="D52" s="23">
        <f>D51/D36</f>
        <v/>
      </c>
      <c r="E52" s="23">
        <f>E51/E36</f>
        <v/>
      </c>
      <c r="F52" s="23">
        <f>F51/F36</f>
        <v/>
      </c>
    </row>
    <row r="53">
      <c r="A53" t="inlineStr">
        <is>
          <t>Stock-based compensation</t>
        </is>
      </c>
      <c r="B53" t="inlineStr">
        <is>
          <t>$M</t>
        </is>
      </c>
      <c r="C53" s="21">
        <f>History!$B$36</f>
        <v/>
      </c>
      <c r="D53" s="21">
        <f>C53*(1+Inputs!$D$34)</f>
        <v/>
      </c>
      <c r="E53" s="21">
        <f>D53*(1+Inputs!$D$57)</f>
        <v/>
      </c>
      <c r="F53" s="21">
        <f>E53*(1+Inputs!$D$80)</f>
        <v/>
      </c>
    </row>
    <row r="54">
      <c r="A54" t="inlineStr">
        <is>
          <t xml:space="preserve">  SBC, % of revenue</t>
        </is>
      </c>
      <c r="B54" t="inlineStr">
        <is>
          <t>%</t>
        </is>
      </c>
      <c r="C54" s="20">
        <f>C53/C36</f>
        <v/>
      </c>
      <c r="D54" s="20">
        <f>D53/D36</f>
        <v/>
      </c>
      <c r="E54" s="20">
        <f>E53/E36</f>
        <v/>
      </c>
      <c r="F54" s="20">
        <f>F53/F36</f>
        <v/>
      </c>
    </row>
    <row r="55">
      <c r="A55" t="inlineStr">
        <is>
          <t>D&amp;A</t>
        </is>
      </c>
      <c r="B55" t="inlineStr">
        <is>
          <t>$M</t>
        </is>
      </c>
      <c r="C55" s="15">
        <f>History!$B$108</f>
        <v/>
      </c>
      <c r="D55" s="15">
        <f>D36*Inputs!$D$46</f>
        <v/>
      </c>
      <c r="E55" s="15">
        <f>E36*Inputs!$D$69</f>
        <v/>
      </c>
      <c r="F55" s="15">
        <f>F36*Inputs!$D$92</f>
        <v/>
      </c>
    </row>
    <row r="56">
      <c r="A56" t="inlineStr">
        <is>
          <t>GAAP operating income</t>
        </is>
      </c>
      <c r="B56" t="inlineStr">
        <is>
          <t>$M</t>
        </is>
      </c>
      <c r="D56" s="21">
        <f>D51-D53-D48</f>
        <v/>
      </c>
      <c r="E56" s="21">
        <f>E51-E53-E48</f>
        <v/>
      </c>
      <c r="F56" s="21">
        <f>F51-F53-F48</f>
        <v/>
      </c>
    </row>
    <row r="57">
      <c r="A57" t="inlineStr">
        <is>
          <t xml:space="preserve">  GAAP operating margin</t>
        </is>
      </c>
      <c r="B57" t="inlineStr">
        <is>
          <t>%</t>
        </is>
      </c>
      <c r="D57" s="20">
        <f>D56/D36</f>
        <v/>
      </c>
      <c r="E57" s="20">
        <f>E56/E36</f>
        <v/>
      </c>
      <c r="F57" s="20">
        <f>F56/F36</f>
        <v/>
      </c>
    </row>
    <row r="58">
      <c r="A58" t="inlineStr">
        <is>
          <t>Interest income</t>
        </is>
      </c>
      <c r="B58" t="inlineStr">
        <is>
          <t>$M</t>
        </is>
      </c>
      <c r="C58" s="15">
        <f>History!$B$110</f>
        <v/>
      </c>
      <c r="D58" s="15">
        <f>Inputs!$D$35</f>
        <v/>
      </c>
      <c r="E58" s="15">
        <f>Inputs!$D$58</f>
        <v/>
      </c>
      <c r="F58" s="15">
        <f>Inputs!$D$81</f>
        <v/>
      </c>
    </row>
    <row r="59">
      <c r="A59" t="inlineStr">
        <is>
          <t>Interest expense</t>
        </is>
      </c>
      <c r="B59" t="inlineStr">
        <is>
          <t>$M</t>
        </is>
      </c>
      <c r="C59" s="15">
        <f>History!$B$111</f>
        <v/>
      </c>
      <c r="D59" s="15">
        <f>Inputs!$D$36</f>
        <v/>
      </c>
      <c r="E59" s="15">
        <f>Inputs!$D$59</f>
        <v/>
      </c>
      <c r="F59" s="15">
        <f>Inputs!$D$82</f>
        <v/>
      </c>
    </row>
    <row r="60">
      <c r="A60" t="inlineStr">
        <is>
          <t>Pre-tax income</t>
        </is>
      </c>
      <c r="B60" t="inlineStr">
        <is>
          <t>$M</t>
        </is>
      </c>
      <c r="D60" s="21">
        <f>D56+D58-D59</f>
        <v/>
      </c>
      <c r="E60" s="21">
        <f>E56+E58-E59</f>
        <v/>
      </c>
      <c r="F60" s="21">
        <f>F56+F58-F59</f>
        <v/>
      </c>
    </row>
    <row r="61">
      <c r="A61" t="inlineStr">
        <is>
          <t xml:space="preserve">  Effective tax rate</t>
        </is>
      </c>
      <c r="B61" t="inlineStr">
        <is>
          <t>%</t>
        </is>
      </c>
      <c r="D61" s="20">
        <f>Inputs!$D$39</f>
        <v/>
      </c>
      <c r="E61" s="20">
        <f>Inputs!$D$62</f>
        <v/>
      </c>
      <c r="F61" s="20">
        <f>Inputs!$D$85</f>
        <v/>
      </c>
    </row>
    <row r="62">
      <c r="A62" t="inlineStr">
        <is>
          <t>Net income</t>
        </is>
      </c>
      <c r="B62" t="inlineStr">
        <is>
          <t>$M</t>
        </is>
      </c>
      <c r="D62" s="22">
        <f>D60*(1-D61)</f>
        <v/>
      </c>
      <c r="E62" s="22">
        <f>E60*(1-E61)</f>
        <v/>
      </c>
      <c r="F62" s="22">
        <f>F60*(1-F61)</f>
        <v/>
      </c>
    </row>
    <row r="64">
      <c r="A64" s="5" t="inlineStr">
        <is>
          <t>BULL CASE</t>
        </is>
      </c>
      <c r="B64" s="6" t="n"/>
      <c r="C64" s="6" t="n"/>
      <c r="D64" s="6" t="n"/>
      <c r="E64" s="6" t="n"/>
      <c r="F64" s="6" t="n"/>
      <c r="G64" s="6" t="n"/>
    </row>
    <row r="65">
      <c r="A65" s="7" t="inlineStr">
        <is>
          <t>Line</t>
        </is>
      </c>
      <c r="B65" s="7" t="inlineStr">
        <is>
          <t>Unit</t>
        </is>
      </c>
      <c r="C65" s="7" t="inlineStr">
        <is>
          <t>FY2025A</t>
        </is>
      </c>
      <c r="D65" s="7" t="inlineStr">
        <is>
          <t>FY2026E</t>
        </is>
      </c>
      <c r="E65" s="7" t="inlineStr">
        <is>
          <t>FY2027E</t>
        </is>
      </c>
      <c r="F65" s="7" t="inlineStr">
        <is>
          <t>FY2028E</t>
        </is>
      </c>
    </row>
    <row r="66">
      <c r="A66" t="inlineStr">
        <is>
          <t>Revenue</t>
        </is>
      </c>
      <c r="B66" t="inlineStr">
        <is>
          <t>$M</t>
        </is>
      </c>
      <c r="C66" s="21">
        <f>History!$B$32</f>
        <v/>
      </c>
      <c r="D66" s="21">
        <f>Revenue!$I$118</f>
        <v/>
      </c>
      <c r="E66" s="21">
        <f>Revenue!$J$118</f>
        <v/>
      </c>
      <c r="F66" s="21">
        <f>Revenue!$K$118</f>
        <v/>
      </c>
    </row>
    <row r="67">
      <c r="A67" t="inlineStr">
        <is>
          <t>GBV</t>
        </is>
      </c>
      <c r="B67" t="inlineStr">
        <is>
          <t>$M</t>
        </is>
      </c>
      <c r="C67" s="21">
        <f>History!$B$31</f>
        <v/>
      </c>
      <c r="D67" s="21">
        <f>Revenue!$I$110</f>
        <v/>
      </c>
      <c r="E67" s="21">
        <f>Revenue!$J$110</f>
        <v/>
      </c>
      <c r="F67" s="21">
        <f>Revenue!$K$110</f>
        <v/>
      </c>
    </row>
    <row r="68">
      <c r="A68" t="inlineStr">
        <is>
          <t>Nights</t>
        </is>
      </c>
      <c r="B68" t="inlineStr">
        <is>
          <t>M</t>
        </is>
      </c>
      <c r="C68" s="15">
        <f>History!$B$30</f>
        <v/>
      </c>
      <c r="D68" s="15">
        <f>Revenue!$I$104</f>
        <v/>
      </c>
      <c r="E68" s="15">
        <f>Revenue!$J$104</f>
        <v/>
      </c>
      <c r="F68" s="15">
        <f>Revenue!$K$104</f>
        <v/>
      </c>
    </row>
    <row r="69">
      <c r="A69" t="inlineStr">
        <is>
          <t>Cost of revenue, cash</t>
        </is>
      </c>
      <c r="B69" t="inlineStr">
        <is>
          <t>$M</t>
        </is>
      </c>
      <c r="C69" s="21">
        <f>History!$B$37</f>
        <v/>
      </c>
      <c r="D69" s="21">
        <f>C69/C67*(1+Inputs!$E$27)*D67</f>
        <v/>
      </c>
      <c r="E69" s="21">
        <f>D69/D67*(1+Inputs!$E$50)*E67</f>
        <v/>
      </c>
      <c r="F69" s="21">
        <f>E69/E67*(1+Inputs!$E$73)*F67</f>
        <v/>
      </c>
    </row>
    <row r="70">
      <c r="A70" t="inlineStr">
        <is>
          <t>Operations &amp; support, cash</t>
        </is>
      </c>
      <c r="B70" t="inlineStr">
        <is>
          <t>$M</t>
        </is>
      </c>
      <c r="C70" s="21">
        <f>History!$B$38</f>
        <v/>
      </c>
      <c r="D70" s="21">
        <f>C70/C68*(1+Inputs!$E$28)*D68</f>
        <v/>
      </c>
      <c r="E70" s="21">
        <f>D70/D68*(1+Inputs!$E$51)*E68</f>
        <v/>
      </c>
      <c r="F70" s="21">
        <f>E70/E68*(1+Inputs!$E$74)*F68</f>
        <v/>
      </c>
    </row>
    <row r="71">
      <c r="A71" t="inlineStr">
        <is>
          <t>Product development, cash (ex-SBC)</t>
        </is>
      </c>
      <c r="B71" t="inlineStr">
        <is>
          <t>$M</t>
        </is>
      </c>
      <c r="C71" s="21">
        <f>History!$B$39</f>
        <v/>
      </c>
      <c r="D71" s="21">
        <f>C71*(1+Inputs!$E$29)</f>
        <v/>
      </c>
      <c r="E71" s="21">
        <f>D71*(1+Inputs!$E$52)</f>
        <v/>
      </c>
      <c r="F71" s="21">
        <f>E71*(1+Inputs!$E$75)</f>
        <v/>
      </c>
    </row>
    <row r="72">
      <c r="A72" t="inlineStr">
        <is>
          <t>Brand &amp; performance marketing</t>
        </is>
      </c>
      <c r="B72" t="inlineStr">
        <is>
          <t>$M</t>
        </is>
      </c>
      <c r="C72" s="21">
        <f>History!$B$40</f>
        <v/>
      </c>
      <c r="D72" s="21">
        <f>C72*(1+Inputs!$E$30)</f>
        <v/>
      </c>
      <c r="E72" s="21">
        <f>D72*(1+Inputs!$E$53)</f>
        <v/>
      </c>
      <c r="F72" s="21">
        <f>E72*(1+Inputs!$E$76)</f>
        <v/>
      </c>
    </row>
    <row r="73">
      <c r="A73" t="inlineStr">
        <is>
          <t>Field operations &amp; policy, cash</t>
        </is>
      </c>
      <c r="B73" t="inlineStr">
        <is>
          <t>$M</t>
        </is>
      </c>
      <c r="C73" s="21">
        <f>History!$B$41</f>
        <v/>
      </c>
      <c r="D73" s="21">
        <f>C73*(1+Inputs!$E$31)</f>
        <v/>
      </c>
      <c r="E73" s="21">
        <f>D73*(1+Inputs!$E$54)</f>
        <v/>
      </c>
      <c r="F73" s="21">
        <f>E73*(1+Inputs!$E$77)</f>
        <v/>
      </c>
    </row>
    <row r="74">
      <c r="A74" t="inlineStr">
        <is>
          <t>G&amp;A, cash</t>
        </is>
      </c>
      <c r="B74" t="inlineStr">
        <is>
          <t>$M</t>
        </is>
      </c>
      <c r="C74" s="21">
        <f>History!$B$42</f>
        <v/>
      </c>
      <c r="D74" s="21">
        <f>C74*(1+Inputs!$E$32)</f>
        <v/>
      </c>
      <c r="E74" s="21">
        <f>D74*(1+Inputs!$E$55)</f>
        <v/>
      </c>
      <c r="F74" s="21">
        <f>E74*(1+Inputs!$E$78)</f>
        <v/>
      </c>
    </row>
    <row r="75">
      <c r="A75" t="inlineStr">
        <is>
          <t>New-business cost of the incremental revenue</t>
        </is>
      </c>
      <c r="B75" t="inlineStr">
        <is>
          <t>$M</t>
        </is>
      </c>
      <c r="C75" s="15">
        <f>0</f>
        <v/>
      </c>
      <c r="D75" s="15">
        <f>Revenue!$I$117*(1-Inputs!$E$20)</f>
        <v/>
      </c>
      <c r="E75" s="15">
        <f>Revenue!$J$117*(1-Inputs!$E$20)</f>
        <v/>
      </c>
      <c r="F75" s="15">
        <f>Revenue!$K$117*(1-Inputs!$E$20)</f>
        <v/>
      </c>
    </row>
    <row r="76">
      <c r="A76" t="inlineStr">
        <is>
          <t>AI referral cost</t>
        </is>
      </c>
      <c r="B76" t="inlineStr">
        <is>
          <t>$M</t>
        </is>
      </c>
      <c r="C76" s="15">
        <f>0</f>
        <v/>
      </c>
      <c r="D76" s="15">
        <f>D66*Inputs!$E$40</f>
        <v/>
      </c>
      <c r="E76" s="15">
        <f>E66*Inputs!$E$63</f>
        <v/>
      </c>
      <c r="F76" s="15">
        <f>F66*Inputs!$E$86</f>
        <v/>
      </c>
    </row>
    <row r="77">
      <c r="A77" t="inlineStr">
        <is>
          <t>Total cash costs</t>
        </is>
      </c>
      <c r="B77" t="inlineStr">
        <is>
          <t>$M</t>
        </is>
      </c>
      <c r="C77" s="21">
        <f>C69+C70+C71+C72+C73+C74+C75+C76</f>
        <v/>
      </c>
      <c r="D77" s="21">
        <f>D69+D70+D71+D72+D73+D74+D75+D76</f>
        <v/>
      </c>
      <c r="E77" s="21">
        <f>E69+E70+E71+E72+E73+E74+E75+E76</f>
        <v/>
      </c>
      <c r="F77" s="21">
        <f>F69+F70+F71+F72+F73+F74+F75+F76</f>
        <v/>
      </c>
    </row>
    <row r="78">
      <c r="A78" t="inlineStr">
        <is>
          <t>D&amp;A and other add-backs</t>
        </is>
      </c>
      <c r="B78" t="inlineStr">
        <is>
          <t>$M</t>
        </is>
      </c>
      <c r="C78" s="15">
        <f>History!$B$109</f>
        <v/>
      </c>
      <c r="D78" s="15">
        <f>D66*Inputs!$E$33</f>
        <v/>
      </c>
      <c r="E78" s="15">
        <f>E66*Inputs!$E$56</f>
        <v/>
      </c>
      <c r="F78" s="15">
        <f>F66*Inputs!$E$79</f>
        <v/>
      </c>
    </row>
    <row r="79">
      <c r="A79" t="inlineStr">
        <is>
          <t xml:space="preserve">  Adj. EBITDA before the WS07 38% ceiling</t>
        </is>
      </c>
      <c r="B79" t="inlineStr">
        <is>
          <t>$M</t>
        </is>
      </c>
      <c r="C79" s="21">
        <f>History!$B$35</f>
        <v/>
      </c>
      <c r="D79" s="21">
        <f>D66-D77+D78</f>
        <v/>
      </c>
      <c r="E79" s="21">
        <f>E66-E77+E78</f>
        <v/>
      </c>
      <c r="F79" s="21">
        <f>F66-F77+F78</f>
        <v/>
      </c>
    </row>
    <row r="80">
      <c r="A80" t="inlineStr">
        <is>
          <t xml:space="preserve">  Margin before the ceiling</t>
        </is>
      </c>
      <c r="B80" t="inlineStr">
        <is>
          <t>%</t>
        </is>
      </c>
      <c r="C80" s="20">
        <f>C79/C66</f>
        <v/>
      </c>
      <c r="D80" s="20">
        <f>D79/D66</f>
        <v/>
      </c>
      <c r="E80" s="20">
        <f>E79/E66</f>
        <v/>
      </c>
      <c r="F80" s="20">
        <f>F79/F66</f>
        <v/>
      </c>
    </row>
    <row r="81">
      <c r="A81" t="inlineStr">
        <is>
          <t>ADJUSTED EBITDA (capped at the WS07 ceiling)</t>
        </is>
      </c>
      <c r="B81" t="inlineStr">
        <is>
          <t>$M</t>
        </is>
      </c>
      <c r="C81" s="21">
        <f>History!$B$35</f>
        <v/>
      </c>
      <c r="D81" s="22">
        <f>MIN(D79,D66*Inputs!$E$21)</f>
        <v/>
      </c>
      <c r="E81" s="22">
        <f>MIN(E79,E66*Inputs!$E$21)</f>
        <v/>
      </c>
      <c r="F81" s="22">
        <f>MIN(F79,F66*Inputs!$E$21)</f>
        <v/>
      </c>
    </row>
    <row r="82">
      <c r="A82" t="inlineStr">
        <is>
          <t xml:space="preserve">  Adj. EBITDA margin</t>
        </is>
      </c>
      <c r="B82" t="inlineStr">
        <is>
          <t>%</t>
        </is>
      </c>
      <c r="C82" s="20">
        <f>C81/C66</f>
        <v/>
      </c>
      <c r="D82" s="23">
        <f>D81/D66</f>
        <v/>
      </c>
      <c r="E82" s="23">
        <f>E81/E66</f>
        <v/>
      </c>
      <c r="F82" s="23">
        <f>F81/F66</f>
        <v/>
      </c>
    </row>
    <row r="83">
      <c r="A83" t="inlineStr">
        <is>
          <t>Stock-based compensation</t>
        </is>
      </c>
      <c r="B83" t="inlineStr">
        <is>
          <t>$M</t>
        </is>
      </c>
      <c r="C83" s="21">
        <f>History!$B$36</f>
        <v/>
      </c>
      <c r="D83" s="21">
        <f>C83*(1+Inputs!$E$34)</f>
        <v/>
      </c>
      <c r="E83" s="21">
        <f>D83*(1+Inputs!$E$57)</f>
        <v/>
      </c>
      <c r="F83" s="21">
        <f>E83*(1+Inputs!$E$80)</f>
        <v/>
      </c>
    </row>
    <row r="84">
      <c r="A84" t="inlineStr">
        <is>
          <t xml:space="preserve">  SBC, % of revenue</t>
        </is>
      </c>
      <c r="B84" t="inlineStr">
        <is>
          <t>%</t>
        </is>
      </c>
      <c r="C84" s="20">
        <f>C83/C66</f>
        <v/>
      </c>
      <c r="D84" s="20">
        <f>D83/D66</f>
        <v/>
      </c>
      <c r="E84" s="20">
        <f>E83/E66</f>
        <v/>
      </c>
      <c r="F84" s="20">
        <f>F83/F66</f>
        <v/>
      </c>
    </row>
    <row r="85">
      <c r="A85" t="inlineStr">
        <is>
          <t>D&amp;A</t>
        </is>
      </c>
      <c r="B85" t="inlineStr">
        <is>
          <t>$M</t>
        </is>
      </c>
      <c r="C85" s="15">
        <f>History!$B$108</f>
        <v/>
      </c>
      <c r="D85" s="15">
        <f>D66*Inputs!$E$46</f>
        <v/>
      </c>
      <c r="E85" s="15">
        <f>E66*Inputs!$E$69</f>
        <v/>
      </c>
      <c r="F85" s="15">
        <f>F66*Inputs!$E$92</f>
        <v/>
      </c>
    </row>
    <row r="86">
      <c r="A86" t="inlineStr">
        <is>
          <t>GAAP operating income</t>
        </is>
      </c>
      <c r="B86" t="inlineStr">
        <is>
          <t>$M</t>
        </is>
      </c>
      <c r="D86" s="21">
        <f>D81-D83-D78</f>
        <v/>
      </c>
      <c r="E86" s="21">
        <f>E81-E83-E78</f>
        <v/>
      </c>
      <c r="F86" s="21">
        <f>F81-F83-F78</f>
        <v/>
      </c>
    </row>
    <row r="87">
      <c r="A87" t="inlineStr">
        <is>
          <t xml:space="preserve">  GAAP operating margin</t>
        </is>
      </c>
      <c r="B87" t="inlineStr">
        <is>
          <t>%</t>
        </is>
      </c>
      <c r="D87" s="20">
        <f>D86/D66</f>
        <v/>
      </c>
      <c r="E87" s="20">
        <f>E86/E66</f>
        <v/>
      </c>
      <c r="F87" s="20">
        <f>F86/F66</f>
        <v/>
      </c>
    </row>
    <row r="88">
      <c r="A88" t="inlineStr">
        <is>
          <t>Interest income</t>
        </is>
      </c>
      <c r="B88" t="inlineStr">
        <is>
          <t>$M</t>
        </is>
      </c>
      <c r="C88" s="15">
        <f>History!$B$110</f>
        <v/>
      </c>
      <c r="D88" s="15">
        <f>Inputs!$E$35</f>
        <v/>
      </c>
      <c r="E88" s="15">
        <f>Inputs!$E$58</f>
        <v/>
      </c>
      <c r="F88" s="15">
        <f>Inputs!$E$81</f>
        <v/>
      </c>
    </row>
    <row r="89">
      <c r="A89" t="inlineStr">
        <is>
          <t>Interest expense</t>
        </is>
      </c>
      <c r="B89" t="inlineStr">
        <is>
          <t>$M</t>
        </is>
      </c>
      <c r="C89" s="15">
        <f>History!$B$111</f>
        <v/>
      </c>
      <c r="D89" s="15">
        <f>Inputs!$E$36</f>
        <v/>
      </c>
      <c r="E89" s="15">
        <f>Inputs!$E$59</f>
        <v/>
      </c>
      <c r="F89" s="15">
        <f>Inputs!$E$82</f>
        <v/>
      </c>
    </row>
    <row r="90">
      <c r="A90" t="inlineStr">
        <is>
          <t>Pre-tax income</t>
        </is>
      </c>
      <c r="B90" t="inlineStr">
        <is>
          <t>$M</t>
        </is>
      </c>
      <c r="D90" s="21">
        <f>D86+D88-D89</f>
        <v/>
      </c>
      <c r="E90" s="21">
        <f>E86+E88-E89</f>
        <v/>
      </c>
      <c r="F90" s="21">
        <f>F86+F88-F89</f>
        <v/>
      </c>
    </row>
    <row r="91">
      <c r="A91" t="inlineStr">
        <is>
          <t xml:space="preserve">  Effective tax rate</t>
        </is>
      </c>
      <c r="B91" t="inlineStr">
        <is>
          <t>%</t>
        </is>
      </c>
      <c r="D91" s="20">
        <f>Inputs!$E$39</f>
        <v/>
      </c>
      <c r="E91" s="20">
        <f>Inputs!$E$62</f>
        <v/>
      </c>
      <c r="F91" s="20">
        <f>Inputs!$E$85</f>
        <v/>
      </c>
    </row>
    <row r="92">
      <c r="A92" t="inlineStr">
        <is>
          <t>Net income</t>
        </is>
      </c>
      <c r="B92" t="inlineStr">
        <is>
          <t>$M</t>
        </is>
      </c>
      <c r="D92" s="22">
        <f>D90*(1-D91)</f>
        <v/>
      </c>
      <c r="E92" s="22">
        <f>E90*(1-E91)</f>
        <v/>
      </c>
      <c r="F92" s="22">
        <f>F90*(1-F91)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9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Free cash flow, buybacks and the share-count path</t>
        </is>
      </c>
    </row>
    <row r="2">
      <c r="A2" s="2" t="inlineStr">
        <is>
          <t>FCF bridge from WS07. Share count: buybacks and RSU issuance at a price growing 5% a year, 35% of SBC withheld for tax. Both roll-forwards start from the same 2Q26 actual (net cash $9,593M, 597M diluted shares) and both consume the SAME flows: for FY2026 only the 2H26 buyback (FY26 less the 1H26 actual $2,139M) and only 2H26 SBC (FY26 less the 1H26 actual $897M); FY2027 and FY2028 take the full year. WS17 finding 3 (the FY2026 share roll applied the FULL-YEAR buyback and SBC to a 30 Jun 2026 count, double-counting the 1H26 repurchase and understating FY2026E shares by 8.55M) was fixed by WS18 here and in 13_driver_model.py. See research/notes/overnight/18_corrections-applied.md.</t>
        </is>
      </c>
    </row>
    <row r="4">
      <c r="A4" s="5" t="inlineStr">
        <is>
          <t>BEAR CASE</t>
        </is>
      </c>
      <c r="B4" s="6" t="n"/>
      <c r="C4" s="6" t="n"/>
      <c r="D4" s="6" t="n"/>
      <c r="E4" s="6" t="n"/>
      <c r="F4" s="6" t="n"/>
      <c r="G4" s="6" t="n"/>
    </row>
    <row r="5">
      <c r="A5" s="7" t="inlineStr">
        <is>
          <t>Line</t>
        </is>
      </c>
      <c r="B5" s="7" t="inlineStr">
        <is>
          <t>Unit</t>
        </is>
      </c>
      <c r="C5" s="7" t="inlineStr">
        <is>
          <t>FY2025A</t>
        </is>
      </c>
      <c r="D5" s="7" t="inlineStr">
        <is>
          <t>FY2026E</t>
        </is>
      </c>
      <c r="E5" s="7" t="inlineStr">
        <is>
          <t>FY2027E</t>
        </is>
      </c>
      <c r="F5" s="7" t="inlineStr">
        <is>
          <t>FY2028E</t>
        </is>
      </c>
    </row>
    <row r="6">
      <c r="A6" t="inlineStr">
        <is>
          <t>Adjusted EBITDA</t>
        </is>
      </c>
      <c r="B6" t="inlineStr">
        <is>
          <t>$M</t>
        </is>
      </c>
      <c r="C6" s="21">
        <f>Costs!$C$21</f>
        <v/>
      </c>
      <c r="D6" s="21">
        <f>Costs!$D$21</f>
        <v/>
      </c>
      <c r="E6" s="21">
        <f>Costs!$E$21</f>
        <v/>
      </c>
      <c r="F6" s="21">
        <f>Costs!$F$21</f>
        <v/>
      </c>
    </row>
    <row r="7">
      <c r="A7" t="inlineStr">
        <is>
          <t>+ Interest income</t>
        </is>
      </c>
      <c r="B7" t="inlineStr">
        <is>
          <t>$M</t>
        </is>
      </c>
      <c r="C7" s="15">
        <f>History!$B$110</f>
        <v/>
      </c>
      <c r="D7" s="15">
        <f>Costs!$D$28</f>
        <v/>
      </c>
      <c r="E7" s="15">
        <f>Costs!$E$28</f>
        <v/>
      </c>
      <c r="F7" s="15">
        <f>Costs!$F$28</f>
        <v/>
      </c>
    </row>
    <row r="8">
      <c r="A8" t="inlineStr">
        <is>
          <t>- Interest expense</t>
        </is>
      </c>
      <c r="B8" t="inlineStr">
        <is>
          <t>$M</t>
        </is>
      </c>
      <c r="C8" s="15">
        <f>-History!$B$111</f>
        <v/>
      </c>
      <c r="D8" s="15">
        <f>-Costs!$D$29</f>
        <v/>
      </c>
      <c r="E8" s="15">
        <f>-Costs!$E$29</f>
        <v/>
      </c>
      <c r="F8" s="15">
        <f>-Costs!$F$29</f>
        <v/>
      </c>
    </row>
    <row r="9">
      <c r="A9" t="inlineStr">
        <is>
          <t>+ Other income / (expense)</t>
        </is>
      </c>
      <c r="B9" t="inlineStr">
        <is>
          <t>$M</t>
        </is>
      </c>
      <c r="C9" s="15">
        <f>History!$B$112</f>
        <v/>
      </c>
      <c r="D9" s="15">
        <f>0</f>
        <v/>
      </c>
      <c r="E9" s="15">
        <f>0</f>
        <v/>
      </c>
      <c r="F9" s="15">
        <f>0</f>
        <v/>
      </c>
    </row>
    <row r="10">
      <c r="A10" t="inlineStr">
        <is>
          <t>- Cash taxes</t>
        </is>
      </c>
      <c r="B10" t="inlineStr">
        <is>
          <t>$M</t>
        </is>
      </c>
      <c r="C10" s="15">
        <f>History!$B$113</f>
        <v/>
      </c>
      <c r="D10" s="15">
        <f>-Costs!$D$6*Inputs!$C$37</f>
        <v/>
      </c>
      <c r="E10" s="15">
        <f>-Costs!$E$6*Inputs!$C$60</f>
        <v/>
      </c>
      <c r="F10" s="15">
        <f>-Costs!$F$6*Inputs!$C$83</f>
        <v/>
      </c>
    </row>
    <row r="11">
      <c r="A11" t="inlineStr">
        <is>
          <t>+ Change in unearned fees</t>
        </is>
      </c>
      <c r="B11" t="inlineStr">
        <is>
          <t>$M</t>
        </is>
      </c>
      <c r="C11" s="15">
        <f>History!$B$114</f>
        <v/>
      </c>
      <c r="D11" s="15">
        <f>Costs!$D$6*Inputs!$C$38</f>
        <v/>
      </c>
      <c r="E11" s="15">
        <f>Costs!$E$6*Inputs!$C$61</f>
        <v/>
      </c>
      <c r="F11" s="15">
        <f>Costs!$F$6*Inputs!$C$84</f>
        <v/>
      </c>
    </row>
    <row r="12">
      <c r="A12" t="inlineStr">
        <is>
          <t>+ Working-capital residual</t>
        </is>
      </c>
      <c r="B12" t="inlineStr">
        <is>
          <t>$M</t>
        </is>
      </c>
      <c r="C12" s="15">
        <f>History!$B$115</f>
        <v/>
      </c>
      <c r="D12" s="15">
        <f>Costs!$D$6*Inputs!$C$45</f>
        <v/>
      </c>
      <c r="E12" s="15">
        <f>Costs!$E$6*Inputs!$C$68</f>
        <v/>
      </c>
      <c r="F12" s="15">
        <f>Costs!$F$6*Inputs!$C$91</f>
        <v/>
      </c>
    </row>
    <row r="13">
      <c r="A13" t="inlineStr">
        <is>
          <t>- Capex</t>
        </is>
      </c>
      <c r="B13" t="inlineStr">
        <is>
          <t>$M</t>
        </is>
      </c>
      <c r="C13" s="15">
        <f>History!$B$116</f>
        <v/>
      </c>
      <c r="D13" s="15">
        <f>-Costs!$D$6*Inputs!$C$44</f>
        <v/>
      </c>
      <c r="E13" s="15">
        <f>-Costs!$E$6*Inputs!$C$67</f>
        <v/>
      </c>
      <c r="F13" s="15">
        <f>-Costs!$F$6*Inputs!$C$90</f>
        <v/>
      </c>
    </row>
    <row r="14">
      <c r="A14" t="inlineStr">
        <is>
          <t>FREE CASH FLOW</t>
        </is>
      </c>
      <c r="B14" t="inlineStr">
        <is>
          <t>$M</t>
        </is>
      </c>
      <c r="C14" s="21">
        <f>C6+C7+C8+C9+C10+C11+C12+C13</f>
        <v/>
      </c>
      <c r="D14" s="22">
        <f>D6+D7+D8+D9+D10+D11+D12+D13</f>
        <v/>
      </c>
      <c r="E14" s="22">
        <f>E6+E7+E8+E9+E10+E11+E12+E13</f>
        <v/>
      </c>
      <c r="F14" s="22">
        <f>F6+F7+F8+F9+F10+F11+F12+F13</f>
        <v/>
      </c>
    </row>
    <row r="15">
      <c r="A15" t="inlineStr">
        <is>
          <t xml:space="preserve">  FCF margin</t>
        </is>
      </c>
      <c r="B15" t="inlineStr">
        <is>
          <t>%</t>
        </is>
      </c>
      <c r="C15" s="20">
        <f>C14/History!$B$32</f>
        <v/>
      </c>
      <c r="D15" s="20">
        <f>D14/Costs!$D$6</f>
        <v/>
      </c>
      <c r="E15" s="20">
        <f>E14/Costs!$E$6</f>
        <v/>
      </c>
      <c r="F15" s="20">
        <f>F14/Costs!$F$6</f>
        <v/>
      </c>
    </row>
    <row r="16">
      <c r="A16" t="inlineStr">
        <is>
          <t xml:space="preserve">  FCF / adj. EBITDA</t>
        </is>
      </c>
      <c r="B16" t="inlineStr">
        <is>
          <t>%</t>
        </is>
      </c>
      <c r="C16" s="20">
        <f>C14/C6</f>
        <v/>
      </c>
      <c r="D16" s="20">
        <f>D14/D6</f>
        <v/>
      </c>
      <c r="E16" s="20">
        <f>E14/E6</f>
        <v/>
      </c>
      <c r="F16" s="20">
        <f>F14/F6</f>
        <v/>
      </c>
    </row>
    <row r="17">
      <c r="A17" t="inlineStr">
        <is>
          <t>SBC</t>
        </is>
      </c>
      <c r="B17" t="inlineStr">
        <is>
          <t>$M</t>
        </is>
      </c>
      <c r="C17" s="21">
        <f>History!$B$36</f>
        <v/>
      </c>
      <c r="D17" s="21">
        <f>Costs!$D$23</f>
        <v/>
      </c>
      <c r="E17" s="21">
        <f>Costs!$E$23</f>
        <v/>
      </c>
      <c r="F17" s="21">
        <f>Costs!$F$23</f>
        <v/>
      </c>
    </row>
    <row r="18">
      <c r="A18" t="inlineStr">
        <is>
          <t>SBC-ADJUSTED FCF</t>
        </is>
      </c>
      <c r="B18" t="inlineStr">
        <is>
          <t>$M</t>
        </is>
      </c>
      <c r="C18" s="21">
        <f>C14-C17</f>
        <v/>
      </c>
      <c r="D18" s="22">
        <f>D14-D17</f>
        <v/>
      </c>
      <c r="E18" s="22">
        <f>E14-E17</f>
        <v/>
      </c>
      <c r="F18" s="22">
        <f>F14-F17</f>
        <v/>
      </c>
    </row>
    <row r="19">
      <c r="A19" t="inlineStr">
        <is>
          <t xml:space="preserve">  SBC-adjusted FCF margin</t>
        </is>
      </c>
      <c r="B19" t="inlineStr">
        <is>
          <t>%</t>
        </is>
      </c>
      <c r="D19" s="20">
        <f>D18/Costs!$D$6</f>
        <v/>
      </c>
      <c r="E19" s="20">
        <f>E18/Costs!$E$6</f>
        <v/>
      </c>
      <c r="F19" s="20">
        <f>F18/Costs!$F$6</f>
        <v/>
      </c>
    </row>
    <row r="20">
      <c r="A20" t="inlineStr">
        <is>
          <t>Share price used for buybacks and issuance</t>
        </is>
      </c>
      <c r="B20" t="inlineStr">
        <is>
          <t>$</t>
        </is>
      </c>
      <c r="C20" s="9">
        <f>Inputs!$C$8</f>
        <v/>
      </c>
      <c r="D20" s="9">
        <f>Inputs!$C$8*(1+Inputs!$C$19)^0</f>
        <v/>
      </c>
      <c r="E20" s="9">
        <f>Inputs!$C$8*(1+Inputs!$C$19)^1</f>
        <v/>
      </c>
      <c r="F20" s="9">
        <f>Inputs!$C$8*(1+Inputs!$C$19)^2</f>
        <v/>
      </c>
    </row>
    <row r="21">
      <c r="A21" t="inlineStr">
        <is>
          <t>Buybacks</t>
        </is>
      </c>
      <c r="B21" t="inlineStr">
        <is>
          <t>$M</t>
        </is>
      </c>
      <c r="C21" s="15">
        <f>History!$B$117</f>
        <v/>
      </c>
      <c r="D21" s="15">
        <f>Inputs!$C$42</f>
        <v/>
      </c>
      <c r="E21" s="15">
        <f>Inputs!$C$65</f>
        <v/>
      </c>
      <c r="F21" s="15">
        <f>Inputs!$C$88</f>
        <v/>
      </c>
    </row>
    <row r="22">
      <c r="A22" t="inlineStr">
        <is>
          <t>RSU tax withholding</t>
        </is>
      </c>
      <c r="B22" t="inlineStr">
        <is>
          <t>$M</t>
        </is>
      </c>
      <c r="C22" s="15">
        <f>History!$B$118</f>
        <v/>
      </c>
      <c r="D22" s="15">
        <f>D17*Inputs!$C$18</f>
        <v/>
      </c>
      <c r="E22" s="15">
        <f>E17*Inputs!$C$18</f>
        <v/>
      </c>
      <c r="F22" s="15">
        <f>F17*Inputs!$C$18</f>
        <v/>
      </c>
    </row>
    <row r="23">
      <c r="A23" t="inlineStr">
        <is>
          <t>Diluted shares, period end (FY2025A col = the 2Q26 actual)</t>
        </is>
      </c>
      <c r="B23" t="inlineStr">
        <is>
          <t>M</t>
        </is>
      </c>
      <c r="C23" s="15">
        <f>Inputs!$C$10</f>
        <v/>
      </c>
      <c r="D23" s="19">
        <f>C23-(D21-History!$B$48)/D20+(D17-History!$B$50)/D20*(1-Inputs!$C$18)</f>
        <v/>
      </c>
      <c r="E23" s="19">
        <f>D23-E21/E20+E17/E20*(1-Inputs!$C$18)</f>
        <v/>
      </c>
      <c r="F23" s="19">
        <f>E23-F21/F20+F17/F20*(1-Inputs!$C$18)</f>
        <v/>
      </c>
    </row>
    <row r="24">
      <c r="A24" t="inlineStr">
        <is>
          <t>FCF per share</t>
        </is>
      </c>
      <c r="B24" t="inlineStr">
        <is>
          <t>$</t>
        </is>
      </c>
      <c r="D24" s="24">
        <f>D14/D23</f>
        <v/>
      </c>
      <c r="E24" s="24">
        <f>E14/E23</f>
        <v/>
      </c>
      <c r="F24" s="24">
        <f>F14/F23</f>
        <v/>
      </c>
    </row>
    <row r="25">
      <c r="A25" t="inlineStr">
        <is>
          <t>SBC-adjusted FCF per share</t>
        </is>
      </c>
      <c r="B25" t="inlineStr">
        <is>
          <t>$</t>
        </is>
      </c>
      <c r="D25" s="24">
        <f>D18/D23</f>
        <v/>
      </c>
      <c r="E25" s="24">
        <f>E18/E23</f>
        <v/>
      </c>
      <c r="F25" s="24">
        <f>F18/F23</f>
        <v/>
      </c>
    </row>
    <row r="26">
      <c r="A26" t="inlineStr">
        <is>
          <t>Earnings proxy per share (net income / shares)</t>
        </is>
      </c>
      <c r="B26" t="inlineStr">
        <is>
          <t>$</t>
        </is>
      </c>
      <c r="D26" s="24">
        <f>Costs!$D$32/D23</f>
        <v/>
      </c>
      <c r="E26" s="24">
        <f>Costs!$E$32/E23</f>
        <v/>
      </c>
      <c r="F26" s="24">
        <f>Costs!$F$32/F23</f>
        <v/>
      </c>
    </row>
    <row r="27">
      <c r="A27" t="inlineStr">
        <is>
          <t>Net cash ex float, period end (FY2025A col = the 30 Jun 2026 actual)</t>
        </is>
      </c>
      <c r="B27" t="inlineStr">
        <is>
          <t>$M</t>
        </is>
      </c>
      <c r="C27" s="21">
        <f>Inputs!$C$9</f>
        <v/>
      </c>
      <c r="D27" s="21">
        <f>C27+(D14-History!$B$47)-(D21-History!$B$48)-(D22-History!$B$49)</f>
        <v/>
      </c>
      <c r="E27" s="21">
        <f>D27+E14-E21-E22</f>
        <v/>
      </c>
      <c r="F27" s="21">
        <f>E27+F14-F21-F22</f>
        <v/>
      </c>
    </row>
    <row r="29">
      <c r="A29" s="5" t="inlineStr">
        <is>
          <t>BASE CASE</t>
        </is>
      </c>
      <c r="B29" s="6" t="n"/>
      <c r="C29" s="6" t="n"/>
      <c r="D29" s="6" t="n"/>
      <c r="E29" s="6" t="n"/>
      <c r="F29" s="6" t="n"/>
      <c r="G29" s="6" t="n"/>
    </row>
    <row r="30">
      <c r="A30" s="7" t="inlineStr">
        <is>
          <t>Line</t>
        </is>
      </c>
      <c r="B30" s="7" t="inlineStr">
        <is>
          <t>Unit</t>
        </is>
      </c>
      <c r="C30" s="7" t="inlineStr">
        <is>
          <t>FY2025A</t>
        </is>
      </c>
      <c r="D30" s="7" t="inlineStr">
        <is>
          <t>FY2026E</t>
        </is>
      </c>
      <c r="E30" s="7" t="inlineStr">
        <is>
          <t>FY2027E</t>
        </is>
      </c>
      <c r="F30" s="7" t="inlineStr">
        <is>
          <t>FY2028E</t>
        </is>
      </c>
    </row>
    <row r="31">
      <c r="A31" t="inlineStr">
        <is>
          <t>Adjusted EBITDA</t>
        </is>
      </c>
      <c r="B31" t="inlineStr">
        <is>
          <t>$M</t>
        </is>
      </c>
      <c r="C31" s="21">
        <f>Costs!$C$51</f>
        <v/>
      </c>
      <c r="D31" s="21">
        <f>Costs!$D$51</f>
        <v/>
      </c>
      <c r="E31" s="21">
        <f>Costs!$E$51</f>
        <v/>
      </c>
      <c r="F31" s="21">
        <f>Costs!$F$51</f>
        <v/>
      </c>
    </row>
    <row r="32">
      <c r="A32" t="inlineStr">
        <is>
          <t>+ Interest income</t>
        </is>
      </c>
      <c r="B32" t="inlineStr">
        <is>
          <t>$M</t>
        </is>
      </c>
      <c r="C32" s="15">
        <f>History!$B$110</f>
        <v/>
      </c>
      <c r="D32" s="15">
        <f>Costs!$D$58</f>
        <v/>
      </c>
      <c r="E32" s="15">
        <f>Costs!$E$58</f>
        <v/>
      </c>
      <c r="F32" s="15">
        <f>Costs!$F$58</f>
        <v/>
      </c>
    </row>
    <row r="33">
      <c r="A33" t="inlineStr">
        <is>
          <t>- Interest expense</t>
        </is>
      </c>
      <c r="B33" t="inlineStr">
        <is>
          <t>$M</t>
        </is>
      </c>
      <c r="C33" s="15">
        <f>-History!$B$111</f>
        <v/>
      </c>
      <c r="D33" s="15">
        <f>-Costs!$D$59</f>
        <v/>
      </c>
      <c r="E33" s="15">
        <f>-Costs!$E$59</f>
        <v/>
      </c>
      <c r="F33" s="15">
        <f>-Costs!$F$59</f>
        <v/>
      </c>
    </row>
    <row r="34">
      <c r="A34" t="inlineStr">
        <is>
          <t>+ Other income / (expense)</t>
        </is>
      </c>
      <c r="B34" t="inlineStr">
        <is>
          <t>$M</t>
        </is>
      </c>
      <c r="C34" s="15">
        <f>History!$B$112</f>
        <v/>
      </c>
      <c r="D34" s="15">
        <f>0</f>
        <v/>
      </c>
      <c r="E34" s="15">
        <f>0</f>
        <v/>
      </c>
      <c r="F34" s="15">
        <f>0</f>
        <v/>
      </c>
    </row>
    <row r="35">
      <c r="A35" t="inlineStr">
        <is>
          <t>- Cash taxes</t>
        </is>
      </c>
      <c r="B35" t="inlineStr">
        <is>
          <t>$M</t>
        </is>
      </c>
      <c r="C35" s="15">
        <f>History!$B$113</f>
        <v/>
      </c>
      <c r="D35" s="15">
        <f>-Costs!$D$36*Inputs!$D$37</f>
        <v/>
      </c>
      <c r="E35" s="15">
        <f>-Costs!$E$36*Inputs!$D$60</f>
        <v/>
      </c>
      <c r="F35" s="15">
        <f>-Costs!$F$36*Inputs!$D$83</f>
        <v/>
      </c>
    </row>
    <row r="36">
      <c r="A36" t="inlineStr">
        <is>
          <t>+ Change in unearned fees</t>
        </is>
      </c>
      <c r="B36" t="inlineStr">
        <is>
          <t>$M</t>
        </is>
      </c>
      <c r="C36" s="15">
        <f>History!$B$114</f>
        <v/>
      </c>
      <c r="D36" s="15">
        <f>Costs!$D$36*Inputs!$D$38</f>
        <v/>
      </c>
      <c r="E36" s="15">
        <f>Costs!$E$36*Inputs!$D$61</f>
        <v/>
      </c>
      <c r="F36" s="15">
        <f>Costs!$F$36*Inputs!$D$84</f>
        <v/>
      </c>
    </row>
    <row r="37">
      <c r="A37" t="inlineStr">
        <is>
          <t>+ Working-capital residual</t>
        </is>
      </c>
      <c r="B37" t="inlineStr">
        <is>
          <t>$M</t>
        </is>
      </c>
      <c r="C37" s="15">
        <f>History!$B$115</f>
        <v/>
      </c>
      <c r="D37" s="15">
        <f>Costs!$D$36*Inputs!$D$45</f>
        <v/>
      </c>
      <c r="E37" s="15">
        <f>Costs!$E$36*Inputs!$D$68</f>
        <v/>
      </c>
      <c r="F37" s="15">
        <f>Costs!$F$36*Inputs!$D$91</f>
        <v/>
      </c>
    </row>
    <row r="38">
      <c r="A38" t="inlineStr">
        <is>
          <t>- Capex</t>
        </is>
      </c>
      <c r="B38" t="inlineStr">
        <is>
          <t>$M</t>
        </is>
      </c>
      <c r="C38" s="15">
        <f>History!$B$116</f>
        <v/>
      </c>
      <c r="D38" s="15">
        <f>-Costs!$D$36*Inputs!$D$44</f>
        <v/>
      </c>
      <c r="E38" s="15">
        <f>-Costs!$E$36*Inputs!$D$67</f>
        <v/>
      </c>
      <c r="F38" s="15">
        <f>-Costs!$F$36*Inputs!$D$90</f>
        <v/>
      </c>
    </row>
    <row r="39">
      <c r="A39" t="inlineStr">
        <is>
          <t>FREE CASH FLOW</t>
        </is>
      </c>
      <c r="B39" t="inlineStr">
        <is>
          <t>$M</t>
        </is>
      </c>
      <c r="C39" s="21">
        <f>C31+C32+C33+C34+C35+C36+C37+C38</f>
        <v/>
      </c>
      <c r="D39" s="22">
        <f>D31+D32+D33+D34+D35+D36+D37+D38</f>
        <v/>
      </c>
      <c r="E39" s="22">
        <f>E31+E32+E33+E34+E35+E36+E37+E38</f>
        <v/>
      </c>
      <c r="F39" s="22">
        <f>F31+F32+F33+F34+F35+F36+F37+F38</f>
        <v/>
      </c>
    </row>
    <row r="40">
      <c r="A40" t="inlineStr">
        <is>
          <t xml:space="preserve">  FCF margin</t>
        </is>
      </c>
      <c r="B40" t="inlineStr">
        <is>
          <t>%</t>
        </is>
      </c>
      <c r="C40" s="20">
        <f>C39/History!$B$32</f>
        <v/>
      </c>
      <c r="D40" s="20">
        <f>D39/Costs!$D$36</f>
        <v/>
      </c>
      <c r="E40" s="20">
        <f>E39/Costs!$E$36</f>
        <v/>
      </c>
      <c r="F40" s="20">
        <f>F39/Costs!$F$36</f>
        <v/>
      </c>
    </row>
    <row r="41">
      <c r="A41" t="inlineStr">
        <is>
          <t xml:space="preserve">  FCF / adj. EBITDA</t>
        </is>
      </c>
      <c r="B41" t="inlineStr">
        <is>
          <t>%</t>
        </is>
      </c>
      <c r="C41" s="20">
        <f>C39/C31</f>
        <v/>
      </c>
      <c r="D41" s="20">
        <f>D39/D31</f>
        <v/>
      </c>
      <c r="E41" s="20">
        <f>E39/E31</f>
        <v/>
      </c>
      <c r="F41" s="20">
        <f>F39/F31</f>
        <v/>
      </c>
    </row>
    <row r="42">
      <c r="A42" t="inlineStr">
        <is>
          <t>SBC</t>
        </is>
      </c>
      <c r="B42" t="inlineStr">
        <is>
          <t>$M</t>
        </is>
      </c>
      <c r="C42" s="21">
        <f>History!$B$36</f>
        <v/>
      </c>
      <c r="D42" s="21">
        <f>Costs!$D$53</f>
        <v/>
      </c>
      <c r="E42" s="21">
        <f>Costs!$E$53</f>
        <v/>
      </c>
      <c r="F42" s="21">
        <f>Costs!$F$53</f>
        <v/>
      </c>
    </row>
    <row r="43">
      <c r="A43" t="inlineStr">
        <is>
          <t>SBC-ADJUSTED FCF</t>
        </is>
      </c>
      <c r="B43" t="inlineStr">
        <is>
          <t>$M</t>
        </is>
      </c>
      <c r="C43" s="21">
        <f>C39-C42</f>
        <v/>
      </c>
      <c r="D43" s="22">
        <f>D39-D42</f>
        <v/>
      </c>
      <c r="E43" s="22">
        <f>E39-E42</f>
        <v/>
      </c>
      <c r="F43" s="22">
        <f>F39-F42</f>
        <v/>
      </c>
    </row>
    <row r="44">
      <c r="A44" t="inlineStr">
        <is>
          <t xml:space="preserve">  SBC-adjusted FCF margin</t>
        </is>
      </c>
      <c r="B44" t="inlineStr">
        <is>
          <t>%</t>
        </is>
      </c>
      <c r="D44" s="20">
        <f>D43/Costs!$D$36</f>
        <v/>
      </c>
      <c r="E44" s="20">
        <f>E43/Costs!$E$36</f>
        <v/>
      </c>
      <c r="F44" s="20">
        <f>F43/Costs!$F$36</f>
        <v/>
      </c>
    </row>
    <row r="45">
      <c r="A45" t="inlineStr">
        <is>
          <t>Share price used for buybacks and issuance</t>
        </is>
      </c>
      <c r="B45" t="inlineStr">
        <is>
          <t>$</t>
        </is>
      </c>
      <c r="C45" s="9">
        <f>Inputs!$D$8</f>
        <v/>
      </c>
      <c r="D45" s="9">
        <f>Inputs!$D$8*(1+Inputs!$D$19)^0</f>
        <v/>
      </c>
      <c r="E45" s="9">
        <f>Inputs!$D$8*(1+Inputs!$D$19)^1</f>
        <v/>
      </c>
      <c r="F45" s="9">
        <f>Inputs!$D$8*(1+Inputs!$D$19)^2</f>
        <v/>
      </c>
    </row>
    <row r="46">
      <c r="A46" t="inlineStr">
        <is>
          <t>Buybacks</t>
        </is>
      </c>
      <c r="B46" t="inlineStr">
        <is>
          <t>$M</t>
        </is>
      </c>
      <c r="C46" s="15">
        <f>History!$B$117</f>
        <v/>
      </c>
      <c r="D46" s="15">
        <f>Inputs!$D$42</f>
        <v/>
      </c>
      <c r="E46" s="15">
        <f>Inputs!$D$65</f>
        <v/>
      </c>
      <c r="F46" s="15">
        <f>Inputs!$D$88</f>
        <v/>
      </c>
    </row>
    <row r="47">
      <c r="A47" t="inlineStr">
        <is>
          <t>RSU tax withholding</t>
        </is>
      </c>
      <c r="B47" t="inlineStr">
        <is>
          <t>$M</t>
        </is>
      </c>
      <c r="C47" s="15">
        <f>History!$B$118</f>
        <v/>
      </c>
      <c r="D47" s="15">
        <f>D42*Inputs!$D$18</f>
        <v/>
      </c>
      <c r="E47" s="15">
        <f>E42*Inputs!$D$18</f>
        <v/>
      </c>
      <c r="F47" s="15">
        <f>F42*Inputs!$D$18</f>
        <v/>
      </c>
    </row>
    <row r="48">
      <c r="A48" t="inlineStr">
        <is>
          <t>Diluted shares, period end (FY2025A col = the 2Q26 actual)</t>
        </is>
      </c>
      <c r="B48" t="inlineStr">
        <is>
          <t>M</t>
        </is>
      </c>
      <c r="C48" s="15">
        <f>Inputs!$D$10</f>
        <v/>
      </c>
      <c r="D48" s="19">
        <f>C48-(D46-History!$B$48)/D45+(D42-History!$B$50)/D45*(1-Inputs!$D$18)</f>
        <v/>
      </c>
      <c r="E48" s="19">
        <f>D48-E46/E45+E42/E45*(1-Inputs!$D$18)</f>
        <v/>
      </c>
      <c r="F48" s="19">
        <f>E48-F46/F45+F42/F45*(1-Inputs!$D$18)</f>
        <v/>
      </c>
    </row>
    <row r="49">
      <c r="A49" t="inlineStr">
        <is>
          <t>FCF per share</t>
        </is>
      </c>
      <c r="B49" t="inlineStr">
        <is>
          <t>$</t>
        </is>
      </c>
      <c r="D49" s="24">
        <f>D39/D48</f>
        <v/>
      </c>
      <c r="E49" s="24">
        <f>E39/E48</f>
        <v/>
      </c>
      <c r="F49" s="24">
        <f>F39/F48</f>
        <v/>
      </c>
    </row>
    <row r="50">
      <c r="A50" t="inlineStr">
        <is>
          <t>SBC-adjusted FCF per share</t>
        </is>
      </c>
      <c r="B50" t="inlineStr">
        <is>
          <t>$</t>
        </is>
      </c>
      <c r="D50" s="24">
        <f>D43/D48</f>
        <v/>
      </c>
      <c r="E50" s="24">
        <f>E43/E48</f>
        <v/>
      </c>
      <c r="F50" s="24">
        <f>F43/F48</f>
        <v/>
      </c>
    </row>
    <row r="51">
      <c r="A51" t="inlineStr">
        <is>
          <t>Earnings proxy per share (net income / shares)</t>
        </is>
      </c>
      <c r="B51" t="inlineStr">
        <is>
          <t>$</t>
        </is>
      </c>
      <c r="D51" s="24">
        <f>Costs!$D$62/D48</f>
        <v/>
      </c>
      <c r="E51" s="24">
        <f>Costs!$E$62/E48</f>
        <v/>
      </c>
      <c r="F51" s="24">
        <f>Costs!$F$62/F48</f>
        <v/>
      </c>
    </row>
    <row r="52">
      <c r="A52" t="inlineStr">
        <is>
          <t>Net cash ex float, period end (FY2025A col = the 30 Jun 2026 actual)</t>
        </is>
      </c>
      <c r="B52" t="inlineStr">
        <is>
          <t>$M</t>
        </is>
      </c>
      <c r="C52" s="21">
        <f>Inputs!$D$9</f>
        <v/>
      </c>
      <c r="D52" s="21">
        <f>C52+(D39-History!$B$47)-(D46-History!$B$48)-(D47-History!$B$49)</f>
        <v/>
      </c>
      <c r="E52" s="21">
        <f>D52+E39-E46-E47</f>
        <v/>
      </c>
      <c r="F52" s="21">
        <f>E52+F39-F46-F47</f>
        <v/>
      </c>
    </row>
    <row r="54">
      <c r="A54" s="5" t="inlineStr">
        <is>
          <t>BULL CASE</t>
        </is>
      </c>
      <c r="B54" s="6" t="n"/>
      <c r="C54" s="6" t="n"/>
      <c r="D54" s="6" t="n"/>
      <c r="E54" s="6" t="n"/>
      <c r="F54" s="6" t="n"/>
      <c r="G54" s="6" t="n"/>
    </row>
    <row r="55">
      <c r="A55" s="7" t="inlineStr">
        <is>
          <t>Line</t>
        </is>
      </c>
      <c r="B55" s="7" t="inlineStr">
        <is>
          <t>Unit</t>
        </is>
      </c>
      <c r="C55" s="7" t="inlineStr">
        <is>
          <t>FY2025A</t>
        </is>
      </c>
      <c r="D55" s="7" t="inlineStr">
        <is>
          <t>FY2026E</t>
        </is>
      </c>
      <c r="E55" s="7" t="inlineStr">
        <is>
          <t>FY2027E</t>
        </is>
      </c>
      <c r="F55" s="7" t="inlineStr">
        <is>
          <t>FY2028E</t>
        </is>
      </c>
    </row>
    <row r="56">
      <c r="A56" t="inlineStr">
        <is>
          <t>Adjusted EBITDA</t>
        </is>
      </c>
      <c r="B56" t="inlineStr">
        <is>
          <t>$M</t>
        </is>
      </c>
      <c r="C56" s="21">
        <f>Costs!$C$81</f>
        <v/>
      </c>
      <c r="D56" s="21">
        <f>Costs!$D$81</f>
        <v/>
      </c>
      <c r="E56" s="21">
        <f>Costs!$E$81</f>
        <v/>
      </c>
      <c r="F56" s="21">
        <f>Costs!$F$81</f>
        <v/>
      </c>
    </row>
    <row r="57">
      <c r="A57" t="inlineStr">
        <is>
          <t>+ Interest income</t>
        </is>
      </c>
      <c r="B57" t="inlineStr">
        <is>
          <t>$M</t>
        </is>
      </c>
      <c r="C57" s="15">
        <f>History!$B$110</f>
        <v/>
      </c>
      <c r="D57" s="15">
        <f>Costs!$D$88</f>
        <v/>
      </c>
      <c r="E57" s="15">
        <f>Costs!$E$88</f>
        <v/>
      </c>
      <c r="F57" s="15">
        <f>Costs!$F$88</f>
        <v/>
      </c>
    </row>
    <row r="58">
      <c r="A58" t="inlineStr">
        <is>
          <t>- Interest expense</t>
        </is>
      </c>
      <c r="B58" t="inlineStr">
        <is>
          <t>$M</t>
        </is>
      </c>
      <c r="C58" s="15">
        <f>-History!$B$111</f>
        <v/>
      </c>
      <c r="D58" s="15">
        <f>-Costs!$D$89</f>
        <v/>
      </c>
      <c r="E58" s="15">
        <f>-Costs!$E$89</f>
        <v/>
      </c>
      <c r="F58" s="15">
        <f>-Costs!$F$89</f>
        <v/>
      </c>
    </row>
    <row r="59">
      <c r="A59" t="inlineStr">
        <is>
          <t>+ Other income / (expense)</t>
        </is>
      </c>
      <c r="B59" t="inlineStr">
        <is>
          <t>$M</t>
        </is>
      </c>
      <c r="C59" s="15">
        <f>History!$B$112</f>
        <v/>
      </c>
      <c r="D59" s="15">
        <f>0</f>
        <v/>
      </c>
      <c r="E59" s="15">
        <f>0</f>
        <v/>
      </c>
      <c r="F59" s="15">
        <f>0</f>
        <v/>
      </c>
    </row>
    <row r="60">
      <c r="A60" t="inlineStr">
        <is>
          <t>- Cash taxes</t>
        </is>
      </c>
      <c r="B60" t="inlineStr">
        <is>
          <t>$M</t>
        </is>
      </c>
      <c r="C60" s="15">
        <f>History!$B$113</f>
        <v/>
      </c>
      <c r="D60" s="15">
        <f>-Costs!$D$66*Inputs!$E$37</f>
        <v/>
      </c>
      <c r="E60" s="15">
        <f>-Costs!$E$66*Inputs!$E$60</f>
        <v/>
      </c>
      <c r="F60" s="15">
        <f>-Costs!$F$66*Inputs!$E$83</f>
        <v/>
      </c>
    </row>
    <row r="61">
      <c r="A61" t="inlineStr">
        <is>
          <t>+ Change in unearned fees</t>
        </is>
      </c>
      <c r="B61" t="inlineStr">
        <is>
          <t>$M</t>
        </is>
      </c>
      <c r="C61" s="15">
        <f>History!$B$114</f>
        <v/>
      </c>
      <c r="D61" s="15">
        <f>Costs!$D$66*Inputs!$E$38</f>
        <v/>
      </c>
      <c r="E61" s="15">
        <f>Costs!$E$66*Inputs!$E$61</f>
        <v/>
      </c>
      <c r="F61" s="15">
        <f>Costs!$F$66*Inputs!$E$84</f>
        <v/>
      </c>
    </row>
    <row r="62">
      <c r="A62" t="inlineStr">
        <is>
          <t>+ Working-capital residual</t>
        </is>
      </c>
      <c r="B62" t="inlineStr">
        <is>
          <t>$M</t>
        </is>
      </c>
      <c r="C62" s="15">
        <f>History!$B$115</f>
        <v/>
      </c>
      <c r="D62" s="15">
        <f>Costs!$D$66*Inputs!$E$45</f>
        <v/>
      </c>
      <c r="E62" s="15">
        <f>Costs!$E$66*Inputs!$E$68</f>
        <v/>
      </c>
      <c r="F62" s="15">
        <f>Costs!$F$66*Inputs!$E$91</f>
        <v/>
      </c>
    </row>
    <row r="63">
      <c r="A63" t="inlineStr">
        <is>
          <t>- Capex</t>
        </is>
      </c>
      <c r="B63" t="inlineStr">
        <is>
          <t>$M</t>
        </is>
      </c>
      <c r="C63" s="15">
        <f>History!$B$116</f>
        <v/>
      </c>
      <c r="D63" s="15">
        <f>-Costs!$D$66*Inputs!$E$44</f>
        <v/>
      </c>
      <c r="E63" s="15">
        <f>-Costs!$E$66*Inputs!$E$67</f>
        <v/>
      </c>
      <c r="F63" s="15">
        <f>-Costs!$F$66*Inputs!$E$90</f>
        <v/>
      </c>
    </row>
    <row r="64">
      <c r="A64" t="inlineStr">
        <is>
          <t>FREE CASH FLOW</t>
        </is>
      </c>
      <c r="B64" t="inlineStr">
        <is>
          <t>$M</t>
        </is>
      </c>
      <c r="C64" s="21">
        <f>C56+C57+C58+C59+C60+C61+C62+C63</f>
        <v/>
      </c>
      <c r="D64" s="22">
        <f>D56+D57+D58+D59+D60+D61+D62+D63</f>
        <v/>
      </c>
      <c r="E64" s="22">
        <f>E56+E57+E58+E59+E60+E61+E62+E63</f>
        <v/>
      </c>
      <c r="F64" s="22">
        <f>F56+F57+F58+F59+F60+F61+F62+F63</f>
        <v/>
      </c>
    </row>
    <row r="65">
      <c r="A65" t="inlineStr">
        <is>
          <t xml:space="preserve">  FCF margin</t>
        </is>
      </c>
      <c r="B65" t="inlineStr">
        <is>
          <t>%</t>
        </is>
      </c>
      <c r="C65" s="20">
        <f>C64/History!$B$32</f>
        <v/>
      </c>
      <c r="D65" s="20">
        <f>D64/Costs!$D$66</f>
        <v/>
      </c>
      <c r="E65" s="20">
        <f>E64/Costs!$E$66</f>
        <v/>
      </c>
      <c r="F65" s="20">
        <f>F64/Costs!$F$66</f>
        <v/>
      </c>
    </row>
    <row r="66">
      <c r="A66" t="inlineStr">
        <is>
          <t xml:space="preserve">  FCF / adj. EBITDA</t>
        </is>
      </c>
      <c r="B66" t="inlineStr">
        <is>
          <t>%</t>
        </is>
      </c>
      <c r="C66" s="20">
        <f>C64/C56</f>
        <v/>
      </c>
      <c r="D66" s="20">
        <f>D64/D56</f>
        <v/>
      </c>
      <c r="E66" s="20">
        <f>E64/E56</f>
        <v/>
      </c>
      <c r="F66" s="20">
        <f>F64/F56</f>
        <v/>
      </c>
    </row>
    <row r="67">
      <c r="A67" t="inlineStr">
        <is>
          <t>SBC</t>
        </is>
      </c>
      <c r="B67" t="inlineStr">
        <is>
          <t>$M</t>
        </is>
      </c>
      <c r="C67" s="21">
        <f>History!$B$36</f>
        <v/>
      </c>
      <c r="D67" s="21">
        <f>Costs!$D$83</f>
        <v/>
      </c>
      <c r="E67" s="21">
        <f>Costs!$E$83</f>
        <v/>
      </c>
      <c r="F67" s="21">
        <f>Costs!$F$83</f>
        <v/>
      </c>
    </row>
    <row r="68">
      <c r="A68" t="inlineStr">
        <is>
          <t>SBC-ADJUSTED FCF</t>
        </is>
      </c>
      <c r="B68" t="inlineStr">
        <is>
          <t>$M</t>
        </is>
      </c>
      <c r="C68" s="21">
        <f>C64-C67</f>
        <v/>
      </c>
      <c r="D68" s="22">
        <f>D64-D67</f>
        <v/>
      </c>
      <c r="E68" s="22">
        <f>E64-E67</f>
        <v/>
      </c>
      <c r="F68" s="22">
        <f>F64-F67</f>
        <v/>
      </c>
    </row>
    <row r="69">
      <c r="A69" t="inlineStr">
        <is>
          <t xml:space="preserve">  SBC-adjusted FCF margin</t>
        </is>
      </c>
      <c r="B69" t="inlineStr">
        <is>
          <t>%</t>
        </is>
      </c>
      <c r="D69" s="20">
        <f>D68/Costs!$D$66</f>
        <v/>
      </c>
      <c r="E69" s="20">
        <f>E68/Costs!$E$66</f>
        <v/>
      </c>
      <c r="F69" s="20">
        <f>F68/Costs!$F$66</f>
        <v/>
      </c>
    </row>
    <row r="70">
      <c r="A70" t="inlineStr">
        <is>
          <t>Share price used for buybacks and issuance</t>
        </is>
      </c>
      <c r="B70" t="inlineStr">
        <is>
          <t>$</t>
        </is>
      </c>
      <c r="C70" s="9">
        <f>Inputs!$E$8</f>
        <v/>
      </c>
      <c r="D70" s="9">
        <f>Inputs!$E$8*(1+Inputs!$E$19)^0</f>
        <v/>
      </c>
      <c r="E70" s="9">
        <f>Inputs!$E$8*(1+Inputs!$E$19)^1</f>
        <v/>
      </c>
      <c r="F70" s="9">
        <f>Inputs!$E$8*(1+Inputs!$E$19)^2</f>
        <v/>
      </c>
    </row>
    <row r="71">
      <c r="A71" t="inlineStr">
        <is>
          <t>Buybacks</t>
        </is>
      </c>
      <c r="B71" t="inlineStr">
        <is>
          <t>$M</t>
        </is>
      </c>
      <c r="C71" s="15">
        <f>History!$B$117</f>
        <v/>
      </c>
      <c r="D71" s="15">
        <f>Inputs!$E$42</f>
        <v/>
      </c>
      <c r="E71" s="15">
        <f>Inputs!$E$65</f>
        <v/>
      </c>
      <c r="F71" s="15">
        <f>Inputs!$E$88</f>
        <v/>
      </c>
    </row>
    <row r="72">
      <c r="A72" t="inlineStr">
        <is>
          <t>RSU tax withholding</t>
        </is>
      </c>
      <c r="B72" t="inlineStr">
        <is>
          <t>$M</t>
        </is>
      </c>
      <c r="C72" s="15">
        <f>History!$B$118</f>
        <v/>
      </c>
      <c r="D72" s="15">
        <f>D67*Inputs!$E$18</f>
        <v/>
      </c>
      <c r="E72" s="15">
        <f>E67*Inputs!$E$18</f>
        <v/>
      </c>
      <c r="F72" s="15">
        <f>F67*Inputs!$E$18</f>
        <v/>
      </c>
    </row>
    <row r="73">
      <c r="A73" t="inlineStr">
        <is>
          <t>Diluted shares, period end (FY2025A col = the 2Q26 actual)</t>
        </is>
      </c>
      <c r="B73" t="inlineStr">
        <is>
          <t>M</t>
        </is>
      </c>
      <c r="C73" s="15">
        <f>Inputs!$E$10</f>
        <v/>
      </c>
      <c r="D73" s="19">
        <f>C73-(D71-History!$B$48)/D70+(D67-History!$B$50)/D70*(1-Inputs!$E$18)</f>
        <v/>
      </c>
      <c r="E73" s="19">
        <f>D73-E71/E70+E67/E70*(1-Inputs!$E$18)</f>
        <v/>
      </c>
      <c r="F73" s="19">
        <f>E73-F71/F70+F67/F70*(1-Inputs!$E$18)</f>
        <v/>
      </c>
    </row>
    <row r="74">
      <c r="A74" t="inlineStr">
        <is>
          <t>FCF per share</t>
        </is>
      </c>
      <c r="B74" t="inlineStr">
        <is>
          <t>$</t>
        </is>
      </c>
      <c r="D74" s="24">
        <f>D64/D73</f>
        <v/>
      </c>
      <c r="E74" s="24">
        <f>E64/E73</f>
        <v/>
      </c>
      <c r="F74" s="24">
        <f>F64/F73</f>
        <v/>
      </c>
    </row>
    <row r="75">
      <c r="A75" t="inlineStr">
        <is>
          <t>SBC-adjusted FCF per share</t>
        </is>
      </c>
      <c r="B75" t="inlineStr">
        <is>
          <t>$</t>
        </is>
      </c>
      <c r="D75" s="24">
        <f>D68/D73</f>
        <v/>
      </c>
      <c r="E75" s="24">
        <f>E68/E73</f>
        <v/>
      </c>
      <c r="F75" s="24">
        <f>F68/F73</f>
        <v/>
      </c>
    </row>
    <row r="76">
      <c r="A76" t="inlineStr">
        <is>
          <t>Earnings proxy per share (net income / shares)</t>
        </is>
      </c>
      <c r="B76" t="inlineStr">
        <is>
          <t>$</t>
        </is>
      </c>
      <c r="D76" s="24">
        <f>Costs!$D$92/D73</f>
        <v/>
      </c>
      <c r="E76" s="24">
        <f>Costs!$E$92/E73</f>
        <v/>
      </c>
      <c r="F76" s="24">
        <f>Costs!$F$92/F73</f>
        <v/>
      </c>
    </row>
    <row r="77">
      <c r="A77" t="inlineStr">
        <is>
          <t>Net cash ex float, period end (FY2025A col = the 30 Jun 2026 actual)</t>
        </is>
      </c>
      <c r="B77" t="inlineStr">
        <is>
          <t>$M</t>
        </is>
      </c>
      <c r="C77" s="21">
        <f>Inputs!$E$9</f>
        <v/>
      </c>
      <c r="D77" s="21">
        <f>C77+(D64-History!$B$47)-(D71-History!$B$48)-(D72-History!$B$49)</f>
        <v/>
      </c>
      <c r="E77" s="21">
        <f>D77+E64-E71-E72</f>
        <v/>
      </c>
      <c r="F77" s="21">
        <f>E77+F64-F71-F72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Valuation - exit multiples, DCF, football field, reverse DCF</t>
        </is>
      </c>
    </row>
    <row r="2">
      <c r="A2" s="2" t="inlineStr">
        <is>
          <t>Exit multiples from WS12; cost of equity from WS09/WS12. Every price is a live formula off Costs and Cash.</t>
        </is>
      </c>
    </row>
    <row r="4">
      <c r="A4" s="5" t="inlineStr">
        <is>
          <t>1. FY2027E BASIS</t>
        </is>
      </c>
      <c r="B4" s="6" t="n"/>
      <c r="C4" s="6" t="n"/>
      <c r="D4" s="6" t="n"/>
      <c r="E4" s="6" t="n"/>
      <c r="F4" s="6" t="n"/>
      <c r="G4" s="6" t="n"/>
    </row>
    <row r="5">
      <c r="A5" s="7" t="inlineStr">
        <is>
          <t>Item</t>
        </is>
      </c>
      <c r="B5" s="7" t="inlineStr">
        <is>
          <t>Bear</t>
        </is>
      </c>
      <c r="C5" s="7" t="inlineStr">
        <is>
          <t>Base</t>
        </is>
      </c>
      <c r="D5" s="7" t="inlineStr">
        <is>
          <t>Bull</t>
        </is>
      </c>
      <c r="E5" s="7" t="inlineStr">
        <is>
          <t>Active (Inputs!B4)</t>
        </is>
      </c>
    </row>
    <row r="6">
      <c r="A6" t="inlineStr">
        <is>
          <t>Adj. EBITDA, FY2027E ($M)</t>
        </is>
      </c>
      <c r="B6" s="21">
        <f>Costs!$E$21</f>
        <v/>
      </c>
      <c r="C6" s="21">
        <f>Costs!$E$51</f>
        <v/>
      </c>
      <c r="D6" s="21">
        <f>Costs!$E$81</f>
        <v/>
      </c>
      <c r="E6" s="21">
        <f>CHOOSE(Inputs!$B$4,B6,C6,D6)</f>
        <v/>
      </c>
    </row>
    <row r="7">
      <c r="A7" t="inlineStr">
        <is>
          <t>FCF, FY2027E ($M)</t>
        </is>
      </c>
      <c r="B7" s="21">
        <f>Cash!$E$14</f>
        <v/>
      </c>
      <c r="C7" s="21">
        <f>Cash!$E$39</f>
        <v/>
      </c>
      <c r="D7" s="21">
        <f>Cash!$E$64</f>
        <v/>
      </c>
      <c r="E7" s="21">
        <f>CHOOSE(Inputs!$B$4,B7,C7,D7)</f>
        <v/>
      </c>
    </row>
    <row r="8">
      <c r="A8" t="inlineStr">
        <is>
          <t>SBC-adjusted FCF, FY2027E ($M)</t>
        </is>
      </c>
      <c r="B8" s="21">
        <f>Cash!$E$18</f>
        <v/>
      </c>
      <c r="C8" s="21">
        <f>Cash!$E$43</f>
        <v/>
      </c>
      <c r="D8" s="21">
        <f>Cash!$E$68</f>
        <v/>
      </c>
      <c r="E8" s="21">
        <f>CHOOSE(Inputs!$B$4,B8,C8,D8)</f>
        <v/>
      </c>
    </row>
    <row r="9">
      <c r="A9" t="inlineStr">
        <is>
          <t>Earnings proxy per share, FY2027E ($)</t>
        </is>
      </c>
      <c r="B9" s="9">
        <f>Cash!$E$26</f>
        <v/>
      </c>
      <c r="C9" s="9">
        <f>Cash!$E$51</f>
        <v/>
      </c>
      <c r="D9" s="9">
        <f>Cash!$E$76</f>
        <v/>
      </c>
      <c r="E9" s="9">
        <f>CHOOSE(Inputs!$B$4,B9,C9,D9)</f>
        <v/>
      </c>
    </row>
    <row r="10">
      <c r="A10" t="inlineStr">
        <is>
          <t>Net cash ex float, FY2027E ($M)</t>
        </is>
      </c>
      <c r="B10" s="21">
        <f>Cash!$E$27</f>
        <v/>
      </c>
      <c r="C10" s="21">
        <f>Cash!$E$52</f>
        <v/>
      </c>
      <c r="D10" s="21">
        <f>Cash!$E$77</f>
        <v/>
      </c>
      <c r="E10" s="21">
        <f>CHOOSE(Inputs!$B$4,B10,C10,D10)</f>
        <v/>
      </c>
    </row>
    <row r="11">
      <c r="A11" t="inlineStr">
        <is>
          <t>Diluted shares, FY2027E (M)</t>
        </is>
      </c>
      <c r="B11" s="15">
        <f>Cash!$E$23</f>
        <v/>
      </c>
      <c r="C11" s="15">
        <f>Cash!$E$48</f>
        <v/>
      </c>
      <c r="D11" s="15">
        <f>Cash!$E$73</f>
        <v/>
      </c>
      <c r="E11" s="15">
        <f>CHOOSE(Inputs!$B$4,B11,C11,D11)</f>
        <v/>
      </c>
    </row>
    <row r="12">
      <c r="A12" t="inlineStr">
        <is>
          <t>Adj. EBITDA, FY2028E ($M)</t>
        </is>
      </c>
      <c r="B12" s="21">
        <f>Costs!$F$21</f>
        <v/>
      </c>
      <c r="C12" s="21">
        <f>Costs!$F$51</f>
        <v/>
      </c>
      <c r="D12" s="21">
        <f>Costs!$F$81</f>
        <v/>
      </c>
      <c r="E12" s="21">
        <f>CHOOSE(Inputs!$B$4,B12,C12,D12)</f>
        <v/>
      </c>
    </row>
    <row r="13">
      <c r="A13" t="inlineStr">
        <is>
          <t>Net cash ex float, FY2028E ($M)</t>
        </is>
      </c>
      <c r="B13" s="21">
        <f>Cash!$F$27</f>
        <v/>
      </c>
      <c r="C13" s="21">
        <f>Cash!$F$52</f>
        <v/>
      </c>
      <c r="D13" s="21">
        <f>Cash!$F$77</f>
        <v/>
      </c>
      <c r="E13" s="21">
        <f>CHOOSE(Inputs!$B$4,B13,C13,D13)</f>
        <v/>
      </c>
    </row>
    <row r="14">
      <c r="A14" t="inlineStr">
        <is>
          <t>Diluted shares, FY2028E (M)</t>
        </is>
      </c>
      <c r="B14" s="15">
        <f>Cash!$F$23</f>
        <v/>
      </c>
      <c r="C14" s="15">
        <f>Cash!$F$48</f>
        <v/>
      </c>
      <c r="D14" s="15">
        <f>Cash!$F$73</f>
        <v/>
      </c>
      <c r="E14" s="15">
        <f>CHOOSE(Inputs!$B$4,B14,C14,D14)</f>
        <v/>
      </c>
    </row>
    <row r="15">
      <c r="A15" t="inlineStr">
        <is>
          <t>FCF, FY2028E ($M)</t>
        </is>
      </c>
      <c r="B15" s="21">
        <f>Cash!$F$14</f>
        <v/>
      </c>
      <c r="C15" s="21">
        <f>Cash!$F$39</f>
        <v/>
      </c>
      <c r="D15" s="21">
        <f>Cash!$F$64</f>
        <v/>
      </c>
      <c r="E15" s="21">
        <f>CHOOSE(Inputs!$B$4,B15,C15,D15)</f>
        <v/>
      </c>
    </row>
    <row r="17">
      <c r="A17" s="5" t="inlineStr">
        <is>
          <t>2. PRICE PER LENS</t>
        </is>
      </c>
      <c r="B17" s="6" t="n"/>
      <c r="C17" s="6" t="n"/>
      <c r="D17" s="6" t="n"/>
      <c r="E17" s="6" t="n"/>
      <c r="F17" s="6" t="n"/>
      <c r="G17" s="6" t="n"/>
    </row>
    <row r="18">
      <c r="A18" s="7" t="inlineStr">
        <is>
          <t>Lens</t>
        </is>
      </c>
      <c r="B18" s="7" t="inlineStr">
        <is>
          <t>Bear</t>
        </is>
      </c>
      <c r="C18" s="7" t="inlineStr">
        <is>
          <t>Base</t>
        </is>
      </c>
      <c r="D18" s="7" t="inlineStr">
        <is>
          <t>Bull</t>
        </is>
      </c>
      <c r="E18" s="7" t="inlineStr">
        <is>
          <t>Active (Inputs!B4)</t>
        </is>
      </c>
      <c r="F18" s="7" t="inlineStr">
        <is>
          <t>Multiple source</t>
        </is>
      </c>
    </row>
    <row r="19">
      <c r="A19" t="inlineStr">
        <is>
          <t>EV / adj. EBITDA, FY2027E</t>
        </is>
      </c>
      <c r="B19" s="24">
        <f>(Inputs!$C$14*B6+B10)/B11</f>
        <v/>
      </c>
      <c r="C19" s="24">
        <f>(Inputs!$D$14*C6+C10)/C11</f>
        <v/>
      </c>
      <c r="D19" s="24">
        <f>(Inputs!$E$14*D6+D10)/D11</f>
        <v/>
      </c>
      <c r="E19" s="24">
        <f>CHOOSE(Inputs!$B$4,B19,C19,D19)</f>
        <v/>
      </c>
      <c r="F19" s="2" t="inlineStr">
        <is>
          <t>WS12 13.5 / 16.5 / 18.5x</t>
        </is>
      </c>
    </row>
    <row r="20">
      <c r="A20" t="inlineStr">
        <is>
          <t>EV / FCF, FY2027E</t>
        </is>
      </c>
      <c r="B20" s="24">
        <f>(Inputs!$C$15*B7+B10)/B11</f>
        <v/>
      </c>
      <c r="C20" s="24">
        <f>(Inputs!$D$15*C7+C10)/C11</f>
        <v/>
      </c>
      <c r="D20" s="24">
        <f>(Inputs!$E$15*D7+D10)/D11</f>
        <v/>
      </c>
      <c r="E20" s="24">
        <f>CHOOSE(Inputs!$B$4,B20,C20,D20)</f>
        <v/>
      </c>
      <c r="F20" s="2" t="inlineStr">
        <is>
          <t>5 Sep 15/19/23x rescaled by WS12's 0.75x haircut</t>
        </is>
      </c>
    </row>
    <row r="21">
      <c r="A21" t="inlineStr">
        <is>
          <t>P / SBC-adjusted FCF, FY2027E</t>
        </is>
      </c>
      <c r="B21" s="24">
        <f>Inputs!$C$16*B8/B11</f>
        <v/>
      </c>
      <c r="C21" s="24">
        <f>Inputs!$D$16*C8/C11</f>
        <v/>
      </c>
      <c r="D21" s="24">
        <f>Inputs!$E$16*D8/D11</f>
        <v/>
      </c>
      <c r="E21" s="24">
        <f>CHOOSE(Inputs!$B$4,B21,C21,D21)</f>
        <v/>
      </c>
      <c r="F21" s="2" t="inlineStr">
        <is>
          <t>same 0.75x haircut on 20/26/32x</t>
        </is>
      </c>
    </row>
    <row r="22">
      <c r="A22" t="inlineStr">
        <is>
          <t>P / earnings proxy, FY2027E</t>
        </is>
      </c>
      <c r="B22" s="24">
        <f>Inputs!$C$17*B9</f>
        <v/>
      </c>
      <c r="C22" s="24">
        <f>Inputs!$D$17*C9</f>
        <v/>
      </c>
      <c r="D22" s="24">
        <f>Inputs!$E$17*D9</f>
        <v/>
      </c>
      <c r="E22" s="24">
        <f>CHOOSE(Inputs!$B$4,B22,C22,D22)</f>
        <v/>
      </c>
      <c r="F22" s="2" t="inlineStr">
        <is>
          <t>same</t>
        </is>
      </c>
    </row>
    <row r="23">
      <c r="A23" t="inlineStr">
        <is>
          <t>EV / adj. EBITDA, FY2028E (discounted 1 yr at the cost of equity)</t>
        </is>
      </c>
      <c r="B23" s="24">
        <f>(Inputs!$C$14*B12+B13)/B14/(1+Inputs!$C$11)</f>
        <v/>
      </c>
      <c r="C23" s="24">
        <f>(Inputs!$D$14*C12+C13)/C14/(1+Inputs!$D$11)</f>
        <v/>
      </c>
      <c r="D23" s="24">
        <f>(Inputs!$E$14*D12+D13)/D14/(1+Inputs!$E$11)</f>
        <v/>
      </c>
      <c r="E23" s="24">
        <f>CHOOSE(Inputs!$B$4,B23,C23,D23)</f>
        <v/>
      </c>
      <c r="F23" s="2" t="inlineStr">
        <is>
          <t>WS12 multiples on the FY28 basis, discounted to the ~Sep-2027 target date</t>
        </is>
      </c>
    </row>
    <row r="24">
      <c r="A24" t="inlineStr">
        <is>
          <t>Sensitivity (not in the football field): EV / adj. EBITDA, FY2028E, UNDISCOUNTED (value as of end-FY2028)</t>
        </is>
      </c>
      <c r="B24" s="9">
        <f>(Inputs!$C$14*B12+B13)/B14</f>
        <v/>
      </c>
      <c r="C24" s="9">
        <f>(Inputs!$D$14*C12+C13)/C14</f>
        <v/>
      </c>
      <c r="D24" s="9">
        <f>(Inputs!$E$14*D12+D13)/D14</f>
        <v/>
      </c>
      <c r="E24" s="9">
        <f>CHOOSE(Inputs!$B$4,B24,C24,D24)</f>
        <v/>
      </c>
      <c r="F24" s="2" t="inlineStr">
        <is>
          <t>date-mixing sensitivity; see model/assumptions.md</t>
        </is>
      </c>
    </row>
    <row r="26">
      <c r="A26" s="5" t="inlineStr">
        <is>
          <t>3. DCF ON FY2027E FCF - 10-year fade to terminal growth, discounted at the cost of equity</t>
        </is>
      </c>
      <c r="B26" s="6" t="n"/>
      <c r="C26" s="6" t="n"/>
      <c r="D26" s="6" t="n"/>
      <c r="E26" s="6" t="n"/>
      <c r="F26" s="6" t="n"/>
      <c r="G26" s="6" t="n"/>
      <c r="H26" s="25" t="inlineStr">
        <is>
          <t>start growth = the 'DCF start growth' input, fading linearly to terminal growth</t>
        </is>
      </c>
    </row>
    <row r="27">
      <c r="A27" s="7" t="inlineStr">
        <is>
          <t>Year</t>
        </is>
      </c>
      <c r="B27" s="7" t="inlineStr">
        <is>
          <t>Bear: FCF ($M)</t>
        </is>
      </c>
      <c r="C27" s="7" t="inlineStr">
        <is>
          <t>Base: FCF ($M)</t>
        </is>
      </c>
      <c r="D27" s="7" t="inlineStr">
        <is>
          <t>Bull: FCF ($M)</t>
        </is>
      </c>
      <c r="E27" s="7" t="inlineStr">
        <is>
          <t>Bear: PV ($M)</t>
        </is>
      </c>
      <c r="F27" s="7" t="inlineStr">
        <is>
          <t>Base: PV ($M)</t>
        </is>
      </c>
      <c r="G27" s="7" t="inlineStr">
        <is>
          <t>Bull: PV ($M)</t>
        </is>
      </c>
    </row>
    <row r="28">
      <c r="A28" t="n">
        <v>1</v>
      </c>
      <c r="B28" s="21">
        <f>B7*(1+(Inputs!$C$13+(Inputs!$C$12-Inputs!$C$13)*($A28-1)/9))</f>
        <v/>
      </c>
      <c r="C28" s="21">
        <f>C7*(1+(Inputs!$D$13+(Inputs!$D$12-Inputs!$D$13)*($A28-1)/9))</f>
        <v/>
      </c>
      <c r="D28" s="21">
        <f>D7*(1+(Inputs!$E$13+(Inputs!$E$12-Inputs!$E$13)*($A28-1)/9))</f>
        <v/>
      </c>
      <c r="E28" s="21">
        <f>B28/(1+Inputs!$C$11)^$A28</f>
        <v/>
      </c>
      <c r="F28" s="21">
        <f>C28/(1+Inputs!$D$11)^$A28</f>
        <v/>
      </c>
      <c r="G28" s="21">
        <f>D28/(1+Inputs!$E$11)^$A28</f>
        <v/>
      </c>
    </row>
    <row r="29">
      <c r="A29" t="n">
        <v>2</v>
      </c>
      <c r="B29" s="21">
        <f>B28*(1+(Inputs!$C$13+(Inputs!$C$12-Inputs!$C$13)*($A29-1)/9))</f>
        <v/>
      </c>
      <c r="C29" s="21">
        <f>C28*(1+(Inputs!$D$13+(Inputs!$D$12-Inputs!$D$13)*($A29-1)/9))</f>
        <v/>
      </c>
      <c r="D29" s="21">
        <f>D28*(1+(Inputs!$E$13+(Inputs!$E$12-Inputs!$E$13)*($A29-1)/9))</f>
        <v/>
      </c>
      <c r="E29" s="21">
        <f>B29/(1+Inputs!$C$11)^$A29</f>
        <v/>
      </c>
      <c r="F29" s="21">
        <f>C29/(1+Inputs!$D$11)^$A29</f>
        <v/>
      </c>
      <c r="G29" s="21">
        <f>D29/(1+Inputs!$E$11)^$A29</f>
        <v/>
      </c>
    </row>
    <row r="30">
      <c r="A30" t="n">
        <v>3</v>
      </c>
      <c r="B30" s="21">
        <f>B29*(1+(Inputs!$C$13+(Inputs!$C$12-Inputs!$C$13)*($A30-1)/9))</f>
        <v/>
      </c>
      <c r="C30" s="21">
        <f>C29*(1+(Inputs!$D$13+(Inputs!$D$12-Inputs!$D$13)*($A30-1)/9))</f>
        <v/>
      </c>
      <c r="D30" s="21">
        <f>D29*(1+(Inputs!$E$13+(Inputs!$E$12-Inputs!$E$13)*($A30-1)/9))</f>
        <v/>
      </c>
      <c r="E30" s="21">
        <f>B30/(1+Inputs!$C$11)^$A30</f>
        <v/>
      </c>
      <c r="F30" s="21">
        <f>C30/(1+Inputs!$D$11)^$A30</f>
        <v/>
      </c>
      <c r="G30" s="21">
        <f>D30/(1+Inputs!$E$11)^$A30</f>
        <v/>
      </c>
    </row>
    <row r="31">
      <c r="A31" t="n">
        <v>4</v>
      </c>
      <c r="B31" s="21">
        <f>B30*(1+(Inputs!$C$13+(Inputs!$C$12-Inputs!$C$13)*($A31-1)/9))</f>
        <v/>
      </c>
      <c r="C31" s="21">
        <f>C30*(1+(Inputs!$D$13+(Inputs!$D$12-Inputs!$D$13)*($A31-1)/9))</f>
        <v/>
      </c>
      <c r="D31" s="21">
        <f>D30*(1+(Inputs!$E$13+(Inputs!$E$12-Inputs!$E$13)*($A31-1)/9))</f>
        <v/>
      </c>
      <c r="E31" s="21">
        <f>B31/(1+Inputs!$C$11)^$A31</f>
        <v/>
      </c>
      <c r="F31" s="21">
        <f>C31/(1+Inputs!$D$11)^$A31</f>
        <v/>
      </c>
      <c r="G31" s="21">
        <f>D31/(1+Inputs!$E$11)^$A31</f>
        <v/>
      </c>
    </row>
    <row r="32">
      <c r="A32" t="n">
        <v>5</v>
      </c>
      <c r="B32" s="21">
        <f>B31*(1+(Inputs!$C$13+(Inputs!$C$12-Inputs!$C$13)*($A32-1)/9))</f>
        <v/>
      </c>
      <c r="C32" s="21">
        <f>C31*(1+(Inputs!$D$13+(Inputs!$D$12-Inputs!$D$13)*($A32-1)/9))</f>
        <v/>
      </c>
      <c r="D32" s="21">
        <f>D31*(1+(Inputs!$E$13+(Inputs!$E$12-Inputs!$E$13)*($A32-1)/9))</f>
        <v/>
      </c>
      <c r="E32" s="21">
        <f>B32/(1+Inputs!$C$11)^$A32</f>
        <v/>
      </c>
      <c r="F32" s="21">
        <f>C32/(1+Inputs!$D$11)^$A32</f>
        <v/>
      </c>
      <c r="G32" s="21">
        <f>D32/(1+Inputs!$E$11)^$A32</f>
        <v/>
      </c>
    </row>
    <row r="33">
      <c r="A33" t="n">
        <v>6</v>
      </c>
      <c r="B33" s="21">
        <f>B32*(1+(Inputs!$C$13+(Inputs!$C$12-Inputs!$C$13)*($A33-1)/9))</f>
        <v/>
      </c>
      <c r="C33" s="21">
        <f>C32*(1+(Inputs!$D$13+(Inputs!$D$12-Inputs!$D$13)*($A33-1)/9))</f>
        <v/>
      </c>
      <c r="D33" s="21">
        <f>D32*(1+(Inputs!$E$13+(Inputs!$E$12-Inputs!$E$13)*($A33-1)/9))</f>
        <v/>
      </c>
      <c r="E33" s="21">
        <f>B33/(1+Inputs!$C$11)^$A33</f>
        <v/>
      </c>
      <c r="F33" s="21">
        <f>C33/(1+Inputs!$D$11)^$A33</f>
        <v/>
      </c>
      <c r="G33" s="21">
        <f>D33/(1+Inputs!$E$11)^$A33</f>
        <v/>
      </c>
    </row>
    <row r="34">
      <c r="A34" t="n">
        <v>7</v>
      </c>
      <c r="B34" s="21">
        <f>B33*(1+(Inputs!$C$13+(Inputs!$C$12-Inputs!$C$13)*($A34-1)/9))</f>
        <v/>
      </c>
      <c r="C34" s="21">
        <f>C33*(1+(Inputs!$D$13+(Inputs!$D$12-Inputs!$D$13)*($A34-1)/9))</f>
        <v/>
      </c>
      <c r="D34" s="21">
        <f>D33*(1+(Inputs!$E$13+(Inputs!$E$12-Inputs!$E$13)*($A34-1)/9))</f>
        <v/>
      </c>
      <c r="E34" s="21">
        <f>B34/(1+Inputs!$C$11)^$A34</f>
        <v/>
      </c>
      <c r="F34" s="21">
        <f>C34/(1+Inputs!$D$11)^$A34</f>
        <v/>
      </c>
      <c r="G34" s="21">
        <f>D34/(1+Inputs!$E$11)^$A34</f>
        <v/>
      </c>
    </row>
    <row r="35">
      <c r="A35" t="n">
        <v>8</v>
      </c>
      <c r="B35" s="21">
        <f>B34*(1+(Inputs!$C$13+(Inputs!$C$12-Inputs!$C$13)*($A35-1)/9))</f>
        <v/>
      </c>
      <c r="C35" s="21">
        <f>C34*(1+(Inputs!$D$13+(Inputs!$D$12-Inputs!$D$13)*($A35-1)/9))</f>
        <v/>
      </c>
      <c r="D35" s="21">
        <f>D34*(1+(Inputs!$E$13+(Inputs!$E$12-Inputs!$E$13)*($A35-1)/9))</f>
        <v/>
      </c>
      <c r="E35" s="21">
        <f>B35/(1+Inputs!$C$11)^$A35</f>
        <v/>
      </c>
      <c r="F35" s="21">
        <f>C35/(1+Inputs!$D$11)^$A35</f>
        <v/>
      </c>
      <c r="G35" s="21">
        <f>D35/(1+Inputs!$E$11)^$A35</f>
        <v/>
      </c>
    </row>
    <row r="36">
      <c r="A36" t="n">
        <v>9</v>
      </c>
      <c r="B36" s="21">
        <f>B35*(1+(Inputs!$C$13+(Inputs!$C$12-Inputs!$C$13)*($A36-1)/9))</f>
        <v/>
      </c>
      <c r="C36" s="21">
        <f>C35*(1+(Inputs!$D$13+(Inputs!$D$12-Inputs!$D$13)*($A36-1)/9))</f>
        <v/>
      </c>
      <c r="D36" s="21">
        <f>D35*(1+(Inputs!$E$13+(Inputs!$E$12-Inputs!$E$13)*($A36-1)/9))</f>
        <v/>
      </c>
      <c r="E36" s="21">
        <f>B36/(1+Inputs!$C$11)^$A36</f>
        <v/>
      </c>
      <c r="F36" s="21">
        <f>C36/(1+Inputs!$D$11)^$A36</f>
        <v/>
      </c>
      <c r="G36" s="21">
        <f>D36/(1+Inputs!$E$11)^$A36</f>
        <v/>
      </c>
    </row>
    <row r="37">
      <c r="A37" t="n">
        <v>10</v>
      </c>
      <c r="B37" s="21">
        <f>B36*(1+(Inputs!$C$13+(Inputs!$C$12-Inputs!$C$13)*($A37-1)/9))</f>
        <v/>
      </c>
      <c r="C37" s="21">
        <f>C36*(1+(Inputs!$D$13+(Inputs!$D$12-Inputs!$D$13)*($A37-1)/9))</f>
        <v/>
      </c>
      <c r="D37" s="21">
        <f>D36*(1+(Inputs!$E$13+(Inputs!$E$12-Inputs!$E$13)*($A37-1)/9))</f>
        <v/>
      </c>
      <c r="E37" s="21">
        <f>B37/(1+Inputs!$C$11)^$A37</f>
        <v/>
      </c>
      <c r="F37" s="21">
        <f>C37/(1+Inputs!$D$11)^$A37</f>
        <v/>
      </c>
      <c r="G37" s="21">
        <f>D37/(1+Inputs!$E$11)^$A37</f>
        <v/>
      </c>
    </row>
    <row r="38">
      <c r="A38" t="inlineStr">
        <is>
          <t>Terminal value (Gordon), discounted</t>
        </is>
      </c>
      <c r="E38" s="21">
        <f>B37*(1+Inputs!$C$12)/(Inputs!$C$11-Inputs!$C$12)/(1+Inputs!$C$11)^$A37</f>
        <v/>
      </c>
      <c r="F38" s="21">
        <f>C37*(1+Inputs!$D$12)/(Inputs!$D$11-Inputs!$D$12)/(1+Inputs!$D$11)^$A37</f>
        <v/>
      </c>
      <c r="G38" s="21">
        <f>D37*(1+Inputs!$E$12)/(Inputs!$E$11-Inputs!$E$12)/(1+Inputs!$E$11)^$A37</f>
        <v/>
      </c>
    </row>
    <row r="39">
      <c r="A39" t="inlineStr">
        <is>
          <t>Enterprise value ($M)</t>
        </is>
      </c>
      <c r="E39" s="21">
        <f>SUM(E28:E37)+E38</f>
        <v/>
      </c>
      <c r="F39" s="21">
        <f>SUM(F28:F37)+F38</f>
        <v/>
      </c>
      <c r="G39" s="21">
        <f>SUM(G28:G37)+G38</f>
        <v/>
      </c>
    </row>
    <row r="40">
      <c r="A40" t="inlineStr">
        <is>
          <t>DCF value per share ($)</t>
        </is>
      </c>
      <c r="B40" s="24">
        <f>(E39+B10)/B11</f>
        <v/>
      </c>
      <c r="C40" s="24">
        <f>(F39+C10)/C11</f>
        <v/>
      </c>
      <c r="D40" s="24">
        <f>(G39+D10)/D11</f>
        <v/>
      </c>
      <c r="E40" s="24">
        <f>CHOOSE(Inputs!$B$4,B40,C40,D40)</f>
        <v/>
      </c>
      <c r="H40" s="2" t="inlineStr">
        <is>
          <t>column E on this row is the Active (Inputs!B4) selection, not a PV</t>
        </is>
      </c>
    </row>
    <row r="42">
      <c r="A42" s="5" t="inlineStr">
        <is>
          <t>4. FOOTBALL FIELD AND IMPLIED UPSIDE</t>
        </is>
      </c>
      <c r="B42" s="6" t="n"/>
      <c r="C42" s="6" t="n"/>
      <c r="D42" s="6" t="n"/>
      <c r="E42" s="6" t="n"/>
      <c r="F42" s="6" t="n"/>
      <c r="G42" s="6" t="n"/>
    </row>
    <row r="43">
      <c r="A43" s="7" t="inlineStr">
        <is>
          <t>Measure</t>
        </is>
      </c>
      <c r="B43" s="7" t="inlineStr">
        <is>
          <t>Bear</t>
        </is>
      </c>
      <c r="C43" s="7" t="inlineStr">
        <is>
          <t>Base</t>
        </is>
      </c>
      <c r="D43" s="7" t="inlineStr">
        <is>
          <t>Bull</t>
        </is>
      </c>
      <c r="E43" s="7" t="inlineStr">
        <is>
          <t>Active (Inputs!B4)</t>
        </is>
      </c>
    </row>
    <row r="44">
      <c r="A44" t="inlineStr">
        <is>
          <t>Football field: Low</t>
        </is>
      </c>
      <c r="B44" s="24">
        <f>MIN(B19,B20,B21,B22,B23,B40)</f>
        <v/>
      </c>
      <c r="C44" s="24">
        <f>MIN(C19,C20,C21,C22,C23,C40)</f>
        <v/>
      </c>
      <c r="D44" s="24">
        <f>MIN(D19,D20,D21,D22,D23,D40)</f>
        <v/>
      </c>
      <c r="E44" s="24">
        <f>CHOOSE(Inputs!$B$4,B44,C44,D44)</f>
        <v/>
      </c>
    </row>
    <row r="45">
      <c r="A45" t="inlineStr">
        <is>
          <t>Football field: High</t>
        </is>
      </c>
      <c r="B45" s="24">
        <f>MAX(B19,B20,B21,B22,B23,B40)</f>
        <v/>
      </c>
      <c r="C45" s="24">
        <f>MAX(C19,C20,C21,C22,C23,C40)</f>
        <v/>
      </c>
      <c r="D45" s="24">
        <f>MAX(D19,D20,D21,D22,D23,D40)</f>
        <v/>
      </c>
      <c r="E45" s="24">
        <f>CHOOSE(Inputs!$B$4,B45,C45,D45)</f>
        <v/>
      </c>
    </row>
    <row r="46">
      <c r="A46" t="inlineStr">
        <is>
          <t>Football field: Mean of lenses</t>
        </is>
      </c>
      <c r="B46" s="24">
        <f>AVERAGE(B19,B20,B21,B22,B23,B40)</f>
        <v/>
      </c>
      <c r="C46" s="24">
        <f>AVERAGE(C19,C20,C21,C22,C23,C40)</f>
        <v/>
      </c>
      <c r="D46" s="24">
        <f>AVERAGE(D19,D20,D21,D22,D23,D40)</f>
        <v/>
      </c>
      <c r="E46" s="24">
        <f>CHOOSE(Inputs!$B$4,B46,C46,D46)</f>
        <v/>
      </c>
    </row>
    <row r="47">
      <c r="A47" t="inlineStr">
        <is>
          <t>Spot price ($)</t>
        </is>
      </c>
      <c r="B47" s="9">
        <f>Inputs!$C$8</f>
        <v/>
      </c>
      <c r="C47" s="9">
        <f>Inputs!$D$8</f>
        <v/>
      </c>
      <c r="D47" s="9">
        <f>Inputs!$E$8</f>
        <v/>
      </c>
      <c r="E47" s="9">
        <f>CHOOSE(Inputs!$B$4,B47,C47,D47)</f>
        <v/>
      </c>
    </row>
    <row r="48">
      <c r="A48" t="inlineStr">
        <is>
          <t>Implied upside vs spot: Low</t>
        </is>
      </c>
      <c r="B48" s="23">
        <f>B44/B47-1</f>
        <v/>
      </c>
      <c r="C48" s="23">
        <f>C44/C47-1</f>
        <v/>
      </c>
      <c r="D48" s="23">
        <f>D44/D47-1</f>
        <v/>
      </c>
      <c r="E48" s="23">
        <f>E44/E47-1</f>
        <v/>
      </c>
    </row>
    <row r="49">
      <c r="A49" t="inlineStr">
        <is>
          <t>Implied upside vs spot: High</t>
        </is>
      </c>
      <c r="B49" s="23">
        <f>B45/B47-1</f>
        <v/>
      </c>
      <c r="C49" s="23">
        <f>C45/C47-1</f>
        <v/>
      </c>
      <c r="D49" s="23">
        <f>D45/D47-1</f>
        <v/>
      </c>
      <c r="E49" s="23">
        <f>E45/E47-1</f>
        <v/>
      </c>
    </row>
    <row r="50">
      <c r="A50" t="inlineStr">
        <is>
          <t>Implied upside vs spot: Mean of lenses</t>
        </is>
      </c>
      <c r="B50" s="23">
        <f>B46/B47-1</f>
        <v/>
      </c>
      <c r="C50" s="23">
        <f>C46/C47-1</f>
        <v/>
      </c>
      <c r="D50" s="23">
        <f>D46/D47-1</f>
        <v/>
      </c>
      <c r="E50" s="23">
        <f>E46/E47-1</f>
        <v/>
      </c>
    </row>
    <row r="51">
      <c r="A51" t="inlineStr">
        <is>
          <t>Memo: price on the 5 Sep exit multiples (18 / 22 / 25.5x)</t>
        </is>
      </c>
      <c r="B51" s="9">
        <f>(18.0*B6+B10)/B11</f>
        <v/>
      </c>
      <c r="C51" s="9">
        <f>(22.0*C6+C10)/C11</f>
        <v/>
      </c>
      <c r="D51" s="9">
        <f>(25.5*D6+D10)/D11</f>
        <v/>
      </c>
    </row>
    <row r="53">
      <c r="A53" s="5" t="inlineStr">
        <is>
          <t>5. REVERSE DCF - what growth the spot price discounts</t>
        </is>
      </c>
      <c r="B53" s="6" t="n"/>
      <c r="C53" s="6" t="n"/>
      <c r="D53" s="6" t="n"/>
      <c r="E53" s="6" t="n"/>
      <c r="F53" s="6" t="n"/>
      <c r="G53" s="6" t="n"/>
      <c r="H53" s="6" t="n"/>
    </row>
    <row r="54">
      <c r="A54" s="7" t="inlineStr">
        <is>
          <t>Assumed 10-year FCF growth</t>
        </is>
      </c>
      <c r="B54" s="7" t="inlineStr">
        <is>
          <t>Value per share, reported FCF</t>
        </is>
      </c>
      <c r="C54" s="7" t="inlineStr">
        <is>
          <t>Value per share, SBC-adjusted FCF</t>
        </is>
      </c>
      <c r="E54" s="2" t="inlineStr">
        <is>
          <t>Constant growth for ten years then a Gordon terminal - the 5 Sep note's convention, so the two are comparable. Reads off the base-case cost of equity and terminal growth; the implied growth is where the value column crosses spot ($181.94).</t>
        </is>
      </c>
    </row>
    <row r="55">
      <c r="A55" s="20" t="n">
        <v>0.03</v>
      </c>
      <c r="B55" s="9">
        <f>(History!$B$103*(((1+A55)/(1+Inputs!$D$11))^1+((1+A55)/(1+Inputs!$D$11))^2+((1+A55)/(1+Inputs!$D$11))^3+((1+A55)/(1+Inputs!$D$11))^4+((1+A55)/(1+Inputs!$D$11))^5+((1+A55)/(1+Inputs!$D$11))^6+((1+A55)/(1+Inputs!$D$11))^7+((1+A55)/(1+Inputs!$D$11))^8+((1+A55)/(1+Inputs!$D$11))^9+((1+A55)/(1+Inputs!$D$11))^10)+History!$B$103*(1+A55)^10*(1+Inputs!$D$12)/(Inputs!$D$11-Inputs!$D$12)/(1+Inputs!$D$11)^10+Inputs!$D$9)/Inputs!$D$10</f>
        <v/>
      </c>
      <c r="C55" s="9">
        <f>((History!$B$103-History!$B$104)*(((1+A55)/(1+Inputs!$D$11))^1+((1+A55)/(1+Inputs!$D$11))^2+((1+A55)/(1+Inputs!$D$11))^3+((1+A55)/(1+Inputs!$D$11))^4+((1+A55)/(1+Inputs!$D$11))^5+((1+A55)/(1+Inputs!$D$11))^6+((1+A55)/(1+Inputs!$D$11))^7+((1+A55)/(1+Inputs!$D$11))^8+((1+A55)/(1+Inputs!$D$11))^9+((1+A55)/(1+Inputs!$D$11))^10)+(History!$B$103-History!$B$104)*(1+A55)^10*(1+Inputs!$D$12)/(Inputs!$D$11-Inputs!$D$12)/(1+Inputs!$D$11)^10+Inputs!$D$9)/Inputs!$D$10</f>
        <v/>
      </c>
    </row>
    <row r="56">
      <c r="A56" s="20" t="n">
        <v>0.05</v>
      </c>
      <c r="B56" s="9">
        <f>(History!$B$103*(((1+A56)/(1+Inputs!$D$11))^1+((1+A56)/(1+Inputs!$D$11))^2+((1+A56)/(1+Inputs!$D$11))^3+((1+A56)/(1+Inputs!$D$11))^4+((1+A56)/(1+Inputs!$D$11))^5+((1+A56)/(1+Inputs!$D$11))^6+((1+A56)/(1+Inputs!$D$11))^7+((1+A56)/(1+Inputs!$D$11))^8+((1+A56)/(1+Inputs!$D$11))^9+((1+A56)/(1+Inputs!$D$11))^10)+History!$B$103*(1+A56)^10*(1+Inputs!$D$12)/(Inputs!$D$11-Inputs!$D$12)/(1+Inputs!$D$11)^10+Inputs!$D$9)/Inputs!$D$10</f>
        <v/>
      </c>
      <c r="C56" s="9">
        <f>((History!$B$103-History!$B$104)*(((1+A56)/(1+Inputs!$D$11))^1+((1+A56)/(1+Inputs!$D$11))^2+((1+A56)/(1+Inputs!$D$11))^3+((1+A56)/(1+Inputs!$D$11))^4+((1+A56)/(1+Inputs!$D$11))^5+((1+A56)/(1+Inputs!$D$11))^6+((1+A56)/(1+Inputs!$D$11))^7+((1+A56)/(1+Inputs!$D$11))^8+((1+A56)/(1+Inputs!$D$11))^9+((1+A56)/(1+Inputs!$D$11))^10)+(History!$B$103-History!$B$104)*(1+A56)^10*(1+Inputs!$D$12)/(Inputs!$D$11-Inputs!$D$12)/(1+Inputs!$D$11)^10+Inputs!$D$9)/Inputs!$D$10</f>
        <v/>
      </c>
    </row>
    <row r="57">
      <c r="A57" s="20" t="n">
        <v>0.07000000000000001</v>
      </c>
      <c r="B57" s="9">
        <f>(History!$B$103*(((1+A57)/(1+Inputs!$D$11))^1+((1+A57)/(1+Inputs!$D$11))^2+((1+A57)/(1+Inputs!$D$11))^3+((1+A57)/(1+Inputs!$D$11))^4+((1+A57)/(1+Inputs!$D$11))^5+((1+A57)/(1+Inputs!$D$11))^6+((1+A57)/(1+Inputs!$D$11))^7+((1+A57)/(1+Inputs!$D$11))^8+((1+A57)/(1+Inputs!$D$11))^9+((1+A57)/(1+Inputs!$D$11))^10)+History!$B$103*(1+A57)^10*(1+Inputs!$D$12)/(Inputs!$D$11-Inputs!$D$12)/(1+Inputs!$D$11)^10+Inputs!$D$9)/Inputs!$D$10</f>
        <v/>
      </c>
      <c r="C57" s="9">
        <f>((History!$B$103-History!$B$104)*(((1+A57)/(1+Inputs!$D$11))^1+((1+A57)/(1+Inputs!$D$11))^2+((1+A57)/(1+Inputs!$D$11))^3+((1+A57)/(1+Inputs!$D$11))^4+((1+A57)/(1+Inputs!$D$11))^5+((1+A57)/(1+Inputs!$D$11))^6+((1+A57)/(1+Inputs!$D$11))^7+((1+A57)/(1+Inputs!$D$11))^8+((1+A57)/(1+Inputs!$D$11))^9+((1+A57)/(1+Inputs!$D$11))^10)+(History!$B$103-History!$B$104)*(1+A57)^10*(1+Inputs!$D$12)/(Inputs!$D$11-Inputs!$D$12)/(1+Inputs!$D$11)^10+Inputs!$D$9)/Inputs!$D$10</f>
        <v/>
      </c>
    </row>
    <row r="58">
      <c r="A58" s="20" t="n">
        <v>0.075</v>
      </c>
      <c r="B58" s="9">
        <f>(History!$B$103*(((1+A58)/(1+Inputs!$D$11))^1+((1+A58)/(1+Inputs!$D$11))^2+((1+A58)/(1+Inputs!$D$11))^3+((1+A58)/(1+Inputs!$D$11))^4+((1+A58)/(1+Inputs!$D$11))^5+((1+A58)/(1+Inputs!$D$11))^6+((1+A58)/(1+Inputs!$D$11))^7+((1+A58)/(1+Inputs!$D$11))^8+((1+A58)/(1+Inputs!$D$11))^9+((1+A58)/(1+Inputs!$D$11))^10)+History!$B$103*(1+A58)^10*(1+Inputs!$D$12)/(Inputs!$D$11-Inputs!$D$12)/(1+Inputs!$D$11)^10+Inputs!$D$9)/Inputs!$D$10</f>
        <v/>
      </c>
      <c r="C58" s="9">
        <f>((History!$B$103-History!$B$104)*(((1+A58)/(1+Inputs!$D$11))^1+((1+A58)/(1+Inputs!$D$11))^2+((1+A58)/(1+Inputs!$D$11))^3+((1+A58)/(1+Inputs!$D$11))^4+((1+A58)/(1+Inputs!$D$11))^5+((1+A58)/(1+Inputs!$D$11))^6+((1+A58)/(1+Inputs!$D$11))^7+((1+A58)/(1+Inputs!$D$11))^8+((1+A58)/(1+Inputs!$D$11))^9+((1+A58)/(1+Inputs!$D$11))^10)+(History!$B$103-History!$B$104)*(1+A58)^10*(1+Inputs!$D$12)/(Inputs!$D$11-Inputs!$D$12)/(1+Inputs!$D$11)^10+Inputs!$D$9)/Inputs!$D$10</f>
        <v/>
      </c>
    </row>
    <row r="59">
      <c r="A59" s="20" t="n">
        <v>0.09</v>
      </c>
      <c r="B59" s="9">
        <f>(History!$B$103*(((1+A59)/(1+Inputs!$D$11))^1+((1+A59)/(1+Inputs!$D$11))^2+((1+A59)/(1+Inputs!$D$11))^3+((1+A59)/(1+Inputs!$D$11))^4+((1+A59)/(1+Inputs!$D$11))^5+((1+A59)/(1+Inputs!$D$11))^6+((1+A59)/(1+Inputs!$D$11))^7+((1+A59)/(1+Inputs!$D$11))^8+((1+A59)/(1+Inputs!$D$11))^9+((1+A59)/(1+Inputs!$D$11))^10)+History!$B$103*(1+A59)^10*(1+Inputs!$D$12)/(Inputs!$D$11-Inputs!$D$12)/(1+Inputs!$D$11)^10+Inputs!$D$9)/Inputs!$D$10</f>
        <v/>
      </c>
      <c r="C59" s="9">
        <f>((History!$B$103-History!$B$104)*(((1+A59)/(1+Inputs!$D$11))^1+((1+A59)/(1+Inputs!$D$11))^2+((1+A59)/(1+Inputs!$D$11))^3+((1+A59)/(1+Inputs!$D$11))^4+((1+A59)/(1+Inputs!$D$11))^5+((1+A59)/(1+Inputs!$D$11))^6+((1+A59)/(1+Inputs!$D$11))^7+((1+A59)/(1+Inputs!$D$11))^8+((1+A59)/(1+Inputs!$D$11))^9+((1+A59)/(1+Inputs!$D$11))^10)+(History!$B$103-History!$B$104)*(1+A59)^10*(1+Inputs!$D$12)/(Inputs!$D$11-Inputs!$D$12)/(1+Inputs!$D$11)^10+Inputs!$D$9)/Inputs!$D$10</f>
        <v/>
      </c>
    </row>
    <row r="60">
      <c r="A60" s="20" t="n">
        <v>0.11</v>
      </c>
      <c r="B60" s="9">
        <f>(History!$B$103*(((1+A60)/(1+Inputs!$D$11))^1+((1+A60)/(1+Inputs!$D$11))^2+((1+A60)/(1+Inputs!$D$11))^3+((1+A60)/(1+Inputs!$D$11))^4+((1+A60)/(1+Inputs!$D$11))^5+((1+A60)/(1+Inputs!$D$11))^6+((1+A60)/(1+Inputs!$D$11))^7+((1+A60)/(1+Inputs!$D$11))^8+((1+A60)/(1+Inputs!$D$11))^9+((1+A60)/(1+Inputs!$D$11))^10)+History!$B$103*(1+A60)^10*(1+Inputs!$D$12)/(Inputs!$D$11-Inputs!$D$12)/(1+Inputs!$D$11)^10+Inputs!$D$9)/Inputs!$D$10</f>
        <v/>
      </c>
      <c r="C60" s="9">
        <f>((History!$B$103-History!$B$104)*(((1+A60)/(1+Inputs!$D$11))^1+((1+A60)/(1+Inputs!$D$11))^2+((1+A60)/(1+Inputs!$D$11))^3+((1+A60)/(1+Inputs!$D$11))^4+((1+A60)/(1+Inputs!$D$11))^5+((1+A60)/(1+Inputs!$D$11))^6+((1+A60)/(1+Inputs!$D$11))^7+((1+A60)/(1+Inputs!$D$11))^8+((1+A60)/(1+Inputs!$D$11))^9+((1+A60)/(1+Inputs!$D$11))^10)+(History!$B$103-History!$B$104)*(1+A60)^10*(1+Inputs!$D$12)/(Inputs!$D$11-Inputs!$D$12)/(1+Inputs!$D$11)^10+Inputs!$D$9)/Inputs!$D$10</f>
        <v/>
      </c>
    </row>
    <row r="61">
      <c r="A61" s="20" t="n">
        <v>0.13</v>
      </c>
      <c r="B61" s="9">
        <f>(History!$B$103*(((1+A61)/(1+Inputs!$D$11))^1+((1+A61)/(1+Inputs!$D$11))^2+((1+A61)/(1+Inputs!$D$11))^3+((1+A61)/(1+Inputs!$D$11))^4+((1+A61)/(1+Inputs!$D$11))^5+((1+A61)/(1+Inputs!$D$11))^6+((1+A61)/(1+Inputs!$D$11))^7+((1+A61)/(1+Inputs!$D$11))^8+((1+A61)/(1+Inputs!$D$11))^9+((1+A61)/(1+Inputs!$D$11))^10)+History!$B$103*(1+A61)^10*(1+Inputs!$D$12)/(Inputs!$D$11-Inputs!$D$12)/(1+Inputs!$D$11)^10+Inputs!$D$9)/Inputs!$D$10</f>
        <v/>
      </c>
      <c r="C61" s="9">
        <f>((History!$B$103-History!$B$104)*(((1+A61)/(1+Inputs!$D$11))^1+((1+A61)/(1+Inputs!$D$11))^2+((1+A61)/(1+Inputs!$D$11))^3+((1+A61)/(1+Inputs!$D$11))^4+((1+A61)/(1+Inputs!$D$11))^5+((1+A61)/(1+Inputs!$D$11))^6+((1+A61)/(1+Inputs!$D$11))^7+((1+A61)/(1+Inputs!$D$11))^8+((1+A61)/(1+Inputs!$D$11))^9+((1+A61)/(1+Inputs!$D$11))^10)+(History!$B$103-History!$B$104)*(1+A61)^10*(1+Inputs!$D$12)/(Inputs!$D$11-Inputs!$D$12)/(1+Inputs!$D$11)^10+Inputs!$D$9)/Inputs!$D$10</f>
        <v/>
      </c>
    </row>
    <row r="62">
      <c r="A62" s="20" t="n">
        <v>0.135</v>
      </c>
      <c r="B62" s="9">
        <f>(History!$B$103*(((1+A62)/(1+Inputs!$D$11))^1+((1+A62)/(1+Inputs!$D$11))^2+((1+A62)/(1+Inputs!$D$11))^3+((1+A62)/(1+Inputs!$D$11))^4+((1+A62)/(1+Inputs!$D$11))^5+((1+A62)/(1+Inputs!$D$11))^6+((1+A62)/(1+Inputs!$D$11))^7+((1+A62)/(1+Inputs!$D$11))^8+((1+A62)/(1+Inputs!$D$11))^9+((1+A62)/(1+Inputs!$D$11))^10)+History!$B$103*(1+A62)^10*(1+Inputs!$D$12)/(Inputs!$D$11-Inputs!$D$12)/(1+Inputs!$D$11)^10+Inputs!$D$9)/Inputs!$D$10</f>
        <v/>
      </c>
      <c r="C62" s="9">
        <f>((History!$B$103-History!$B$104)*(((1+A62)/(1+Inputs!$D$11))^1+((1+A62)/(1+Inputs!$D$11))^2+((1+A62)/(1+Inputs!$D$11))^3+((1+A62)/(1+Inputs!$D$11))^4+((1+A62)/(1+Inputs!$D$11))^5+((1+A62)/(1+Inputs!$D$11))^6+((1+A62)/(1+Inputs!$D$11))^7+((1+A62)/(1+Inputs!$D$11))^8+((1+A62)/(1+Inputs!$D$11))^9+((1+A62)/(1+Inputs!$D$11))^10)+(History!$B$103-History!$B$104)*(1+A62)^10*(1+Inputs!$D$12)/(Inputs!$D$11-Inputs!$D$12)/(1+Inputs!$D$11)^10+Inputs!$D$9)/Inputs!$D$10</f>
        <v/>
      </c>
    </row>
    <row r="63">
      <c r="A63" s="20" t="n">
        <v>0.15</v>
      </c>
      <c r="B63" s="9">
        <f>(History!$B$103*(((1+A63)/(1+Inputs!$D$11))^1+((1+A63)/(1+Inputs!$D$11))^2+((1+A63)/(1+Inputs!$D$11))^3+((1+A63)/(1+Inputs!$D$11))^4+((1+A63)/(1+Inputs!$D$11))^5+((1+A63)/(1+Inputs!$D$11))^6+((1+A63)/(1+Inputs!$D$11))^7+((1+A63)/(1+Inputs!$D$11))^8+((1+A63)/(1+Inputs!$D$11))^9+((1+A63)/(1+Inputs!$D$11))^10)+History!$B$103*(1+A63)^10*(1+Inputs!$D$12)/(Inputs!$D$11-Inputs!$D$12)/(1+Inputs!$D$11)^10+Inputs!$D$9)/Inputs!$D$10</f>
        <v/>
      </c>
      <c r="C63" s="9">
        <f>((History!$B$103-History!$B$104)*(((1+A63)/(1+Inputs!$D$11))^1+((1+A63)/(1+Inputs!$D$11))^2+((1+A63)/(1+Inputs!$D$11))^3+((1+A63)/(1+Inputs!$D$11))^4+((1+A63)/(1+Inputs!$D$11))^5+((1+A63)/(1+Inputs!$D$11))^6+((1+A63)/(1+Inputs!$D$11))^7+((1+A63)/(1+Inputs!$D$11))^8+((1+A63)/(1+Inputs!$D$11))^9+((1+A63)/(1+Inputs!$D$11))^10)+(History!$B$103-History!$B$104)*(1+A63)^10*(1+Inputs!$D$12)/(Inputs!$D$11-Inputs!$D$12)/(1+Inputs!$D$11)^10+Inputs!$D$9)/Inputs!$D$10</f>
        <v/>
      </c>
    </row>
    <row r="64">
      <c r="A64" s="20" t="n">
        <v>0.17</v>
      </c>
      <c r="B64" s="9">
        <f>(History!$B$103*(((1+A64)/(1+Inputs!$D$11))^1+((1+A64)/(1+Inputs!$D$11))^2+((1+A64)/(1+Inputs!$D$11))^3+((1+A64)/(1+Inputs!$D$11))^4+((1+A64)/(1+Inputs!$D$11))^5+((1+A64)/(1+Inputs!$D$11))^6+((1+A64)/(1+Inputs!$D$11))^7+((1+A64)/(1+Inputs!$D$11))^8+((1+A64)/(1+Inputs!$D$11))^9+((1+A64)/(1+Inputs!$D$11))^10)+History!$B$103*(1+A64)^10*(1+Inputs!$D$12)/(Inputs!$D$11-Inputs!$D$12)/(1+Inputs!$D$11)^10+Inputs!$D$9)/Inputs!$D$10</f>
        <v/>
      </c>
      <c r="C64" s="9">
        <f>((History!$B$103-History!$B$104)*(((1+A64)/(1+Inputs!$D$11))^1+((1+A64)/(1+Inputs!$D$11))^2+((1+A64)/(1+Inputs!$D$11))^3+((1+A64)/(1+Inputs!$D$11))^4+((1+A64)/(1+Inputs!$D$11))^5+((1+A64)/(1+Inputs!$D$11))^6+((1+A64)/(1+Inputs!$D$11))^7+((1+A64)/(1+Inputs!$D$11))^8+((1+A64)/(1+Inputs!$D$11))^9+((1+A64)/(1+Inputs!$D$11))^10)+(History!$B$103-History!$B$104)*(1+A64)^10*(1+Inputs!$D$12)/(Inputs!$D$11-Inputs!$D$12)/(1+Inputs!$D$11)^10+Inputs!$D$9)/Inputs!$D$10</f>
        <v/>
      </c>
    </row>
    <row r="65">
      <c r="A65" s="3" t="inlineStr">
        <is>
          <t>Solved implied 10-year growth at spot (constant growth, then terminal):</t>
        </is>
      </c>
      <c r="B65" s="18" t="n">
        <v>0.08511676475842622</v>
      </c>
      <c r="C65" s="18" t="n">
        <v>0.1441642817145657</v>
      </c>
      <c r="E65" s="2" t="inlineStr">
        <is>
          <t>Reported FCF (LTM $4827M)</t>
        </is>
      </c>
      <c r="F65" s="2" t="inlineStr">
        <is>
          <t>SBC-adjusted FCF (LTM $3131M)</t>
        </is>
      </c>
    </row>
    <row r="66">
      <c r="A66" s="3" t="inlineStr">
        <is>
          <t xml:space="preserve">  Check: value per share at the solved growth, less spot (0.00 = still current)</t>
        </is>
      </c>
      <c r="B66" s="9">
        <f>(History!$B$103*(((1+B65)/(1+Inputs!$D$11))^1+((1+B65)/(1+Inputs!$D$11))^2+((1+B65)/(1+Inputs!$D$11))^3+((1+B65)/(1+Inputs!$D$11))^4+((1+B65)/(1+Inputs!$D$11))^5+((1+B65)/(1+Inputs!$D$11))^6+((1+B65)/(1+Inputs!$D$11))^7+((1+B65)/(1+Inputs!$D$11))^8+((1+B65)/(1+Inputs!$D$11))^9+((1+B65)/(1+Inputs!$D$11))^10)+History!$B$103*(1+B65)^10*(1+Inputs!$D$12)/(Inputs!$D$11-Inputs!$D$12)/(1+Inputs!$D$11)^10+Inputs!$D$9)/Inputs!$D$10-Inputs!$D$8</f>
        <v/>
      </c>
      <c r="C66" s="9">
        <f>((History!$B$103-History!$B$104)*(((1+C65)/(1+Inputs!$D$11))^1+((1+C65)/(1+Inputs!$D$11))^2+((1+C65)/(1+Inputs!$D$11))^3+((1+C65)/(1+Inputs!$D$11))^4+((1+C65)/(1+Inputs!$D$11))^5+((1+C65)/(1+Inputs!$D$11))^6+((1+C65)/(1+Inputs!$D$11))^7+((1+C65)/(1+Inputs!$D$11))^8+((1+C65)/(1+Inputs!$D$11))^9+((1+C65)/(1+Inputs!$D$11))^10)+(History!$B$103-History!$B$104)*(1+C65)^10*(1+Inputs!$D$12)/(Inputs!$D$11-Inputs!$D$12)/(1+Inputs!$D$11)^10+Inputs!$D$9)/Inputs!$D$10-Inputs!$D$8</f>
        <v/>
      </c>
      <c r="E66" s="2" t="inlineStr">
        <is>
          <t>The solved cells above are yellow because they are an input, not a formula: a bisection run in analysis/src/overnight/13_driver_model.py. If this row stops reading 0.00, re-run that script - the cost of equity or the terminal growth moved.</t>
        </is>
      </c>
    </row>
    <row r="68">
      <c r="A68" s="5" t="inlineStr">
        <is>
          <t>6. SCENARIO GRID - FY2027E revenue growth x adj. EBITDA margin x exit multiple</t>
        </is>
      </c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</row>
    <row r="69">
      <c r="A69" s="2" t="inlineStr">
        <is>
          <t>Price at the base exit multiple; rows = FY27 revenue growth, columns = FY27 margin</t>
        </is>
      </c>
    </row>
    <row r="70">
      <c r="A70" s="7" t="inlineStr">
        <is>
          <t>Revenue growth \ margin</t>
        </is>
      </c>
      <c r="B70" s="26" t="n">
        <v>0.32</v>
      </c>
      <c r="C70" s="26" t="n">
        <v>0.34</v>
      </c>
      <c r="D70" s="26" t="n">
        <v>0.355</v>
      </c>
      <c r="E70" s="26" t="n">
        <v>0.365</v>
      </c>
      <c r="F70" s="26" t="n">
        <v>0.375</v>
      </c>
      <c r="G70" s="26" t="n">
        <v>0.39</v>
      </c>
      <c r="H70" s="26" t="n">
        <v>0.41</v>
      </c>
    </row>
    <row r="71">
      <c r="A71" s="18" t="n">
        <v>0.04</v>
      </c>
      <c r="B71" s="9">
        <f>(Inputs!$D$14*Revenue!$I$77*(1+$A71)*B$70+Cash!$E$52)/Cash!$E$48</f>
        <v/>
      </c>
      <c r="C71" s="9">
        <f>(Inputs!$D$14*Revenue!$I$77*(1+$A71)*C$70+Cash!$E$52)/Cash!$E$48</f>
        <v/>
      </c>
      <c r="D71" s="9">
        <f>(Inputs!$D$14*Revenue!$I$77*(1+$A71)*D$70+Cash!$E$52)/Cash!$E$48</f>
        <v/>
      </c>
      <c r="E71" s="9">
        <f>(Inputs!$D$14*Revenue!$I$77*(1+$A71)*E$70+Cash!$E$52)/Cash!$E$48</f>
        <v/>
      </c>
      <c r="F71" s="9">
        <f>(Inputs!$D$14*Revenue!$I$77*(1+$A71)*F$70+Cash!$E$52)/Cash!$E$48</f>
        <v/>
      </c>
      <c r="G71" s="9">
        <f>(Inputs!$D$14*Revenue!$I$77*(1+$A71)*G$70+Cash!$E$52)/Cash!$E$48</f>
        <v/>
      </c>
      <c r="H71" s="9">
        <f>(Inputs!$D$14*Revenue!$I$77*(1+$A71)*H$70+Cash!$E$52)/Cash!$E$48</f>
        <v/>
      </c>
    </row>
    <row r="72">
      <c r="A72" s="18" t="n">
        <v>0.06</v>
      </c>
      <c r="B72" s="9">
        <f>(Inputs!$D$14*Revenue!$I$77*(1+$A72)*B$70+Cash!$E$52)/Cash!$E$48</f>
        <v/>
      </c>
      <c r="C72" s="9">
        <f>(Inputs!$D$14*Revenue!$I$77*(1+$A72)*C$70+Cash!$E$52)/Cash!$E$48</f>
        <v/>
      </c>
      <c r="D72" s="9">
        <f>(Inputs!$D$14*Revenue!$I$77*(1+$A72)*D$70+Cash!$E$52)/Cash!$E$48</f>
        <v/>
      </c>
      <c r="E72" s="9">
        <f>(Inputs!$D$14*Revenue!$I$77*(1+$A72)*E$70+Cash!$E$52)/Cash!$E$48</f>
        <v/>
      </c>
      <c r="F72" s="9">
        <f>(Inputs!$D$14*Revenue!$I$77*(1+$A72)*F$70+Cash!$E$52)/Cash!$E$48</f>
        <v/>
      </c>
      <c r="G72" s="9">
        <f>(Inputs!$D$14*Revenue!$I$77*(1+$A72)*G$70+Cash!$E$52)/Cash!$E$48</f>
        <v/>
      </c>
      <c r="H72" s="9">
        <f>(Inputs!$D$14*Revenue!$I$77*(1+$A72)*H$70+Cash!$E$52)/Cash!$E$48</f>
        <v/>
      </c>
    </row>
    <row r="73">
      <c r="A73" s="18" t="n">
        <v>0.08</v>
      </c>
      <c r="B73" s="9">
        <f>(Inputs!$D$14*Revenue!$I$77*(1+$A73)*B$70+Cash!$E$52)/Cash!$E$48</f>
        <v/>
      </c>
      <c r="C73" s="9">
        <f>(Inputs!$D$14*Revenue!$I$77*(1+$A73)*C$70+Cash!$E$52)/Cash!$E$48</f>
        <v/>
      </c>
      <c r="D73" s="9">
        <f>(Inputs!$D$14*Revenue!$I$77*(1+$A73)*D$70+Cash!$E$52)/Cash!$E$48</f>
        <v/>
      </c>
      <c r="E73" s="9">
        <f>(Inputs!$D$14*Revenue!$I$77*(1+$A73)*E$70+Cash!$E$52)/Cash!$E$48</f>
        <v/>
      </c>
      <c r="F73" s="9">
        <f>(Inputs!$D$14*Revenue!$I$77*(1+$A73)*F$70+Cash!$E$52)/Cash!$E$48</f>
        <v/>
      </c>
      <c r="G73" s="9">
        <f>(Inputs!$D$14*Revenue!$I$77*(1+$A73)*G$70+Cash!$E$52)/Cash!$E$48</f>
        <v/>
      </c>
      <c r="H73" s="9">
        <f>(Inputs!$D$14*Revenue!$I$77*(1+$A73)*H$70+Cash!$E$52)/Cash!$E$48</f>
        <v/>
      </c>
    </row>
    <row r="74">
      <c r="A74" s="18" t="n">
        <v>0.1</v>
      </c>
      <c r="B74" s="9">
        <f>(Inputs!$D$14*Revenue!$I$77*(1+$A74)*B$70+Cash!$E$52)/Cash!$E$48</f>
        <v/>
      </c>
      <c r="C74" s="9">
        <f>(Inputs!$D$14*Revenue!$I$77*(1+$A74)*C$70+Cash!$E$52)/Cash!$E$48</f>
        <v/>
      </c>
      <c r="D74" s="9">
        <f>(Inputs!$D$14*Revenue!$I$77*(1+$A74)*D$70+Cash!$E$52)/Cash!$E$48</f>
        <v/>
      </c>
      <c r="E74" s="9">
        <f>(Inputs!$D$14*Revenue!$I$77*(1+$A74)*E$70+Cash!$E$52)/Cash!$E$48</f>
        <v/>
      </c>
      <c r="F74" s="9">
        <f>(Inputs!$D$14*Revenue!$I$77*(1+$A74)*F$70+Cash!$E$52)/Cash!$E$48</f>
        <v/>
      </c>
      <c r="G74" s="9">
        <f>(Inputs!$D$14*Revenue!$I$77*(1+$A74)*G$70+Cash!$E$52)/Cash!$E$48</f>
        <v/>
      </c>
      <c r="H74" s="9">
        <f>(Inputs!$D$14*Revenue!$I$77*(1+$A74)*H$70+Cash!$E$52)/Cash!$E$48</f>
        <v/>
      </c>
    </row>
    <row r="75">
      <c r="A75" s="18" t="n">
        <v>0.12</v>
      </c>
      <c r="B75" s="9">
        <f>(Inputs!$D$14*Revenue!$I$77*(1+$A75)*B$70+Cash!$E$52)/Cash!$E$48</f>
        <v/>
      </c>
      <c r="C75" s="9">
        <f>(Inputs!$D$14*Revenue!$I$77*(1+$A75)*C$70+Cash!$E$52)/Cash!$E$48</f>
        <v/>
      </c>
      <c r="D75" s="9">
        <f>(Inputs!$D$14*Revenue!$I$77*(1+$A75)*D$70+Cash!$E$52)/Cash!$E$48</f>
        <v/>
      </c>
      <c r="E75" s="9">
        <f>(Inputs!$D$14*Revenue!$I$77*(1+$A75)*E$70+Cash!$E$52)/Cash!$E$48</f>
        <v/>
      </c>
      <c r="F75" s="9">
        <f>(Inputs!$D$14*Revenue!$I$77*(1+$A75)*F$70+Cash!$E$52)/Cash!$E$48</f>
        <v/>
      </c>
      <c r="G75" s="9">
        <f>(Inputs!$D$14*Revenue!$I$77*(1+$A75)*G$70+Cash!$E$52)/Cash!$E$48</f>
        <v/>
      </c>
      <c r="H75" s="9">
        <f>(Inputs!$D$14*Revenue!$I$77*(1+$A75)*H$70+Cash!$E$52)/Cash!$E$48</f>
        <v/>
      </c>
    </row>
    <row r="76">
      <c r="A76" s="18" t="n">
        <v>0.14</v>
      </c>
      <c r="B76" s="9">
        <f>(Inputs!$D$14*Revenue!$I$77*(1+$A76)*B$70+Cash!$E$52)/Cash!$E$48</f>
        <v/>
      </c>
      <c r="C76" s="9">
        <f>(Inputs!$D$14*Revenue!$I$77*(1+$A76)*C$70+Cash!$E$52)/Cash!$E$48</f>
        <v/>
      </c>
      <c r="D76" s="9">
        <f>(Inputs!$D$14*Revenue!$I$77*(1+$A76)*D$70+Cash!$E$52)/Cash!$E$48</f>
        <v/>
      </c>
      <c r="E76" s="9">
        <f>(Inputs!$D$14*Revenue!$I$77*(1+$A76)*E$70+Cash!$E$52)/Cash!$E$48</f>
        <v/>
      </c>
      <c r="F76" s="9">
        <f>(Inputs!$D$14*Revenue!$I$77*(1+$A76)*F$70+Cash!$E$52)/Cash!$E$48</f>
        <v/>
      </c>
      <c r="G76" s="9">
        <f>(Inputs!$D$14*Revenue!$I$77*(1+$A76)*G$70+Cash!$E$52)/Cash!$E$48</f>
        <v/>
      </c>
      <c r="H76" s="9">
        <f>(Inputs!$D$14*Revenue!$I$77*(1+$A76)*H$70+Cash!$E$52)/Cash!$E$48</f>
        <v/>
      </c>
    </row>
    <row r="77">
      <c r="A77" s="18" t="n">
        <v>0.16</v>
      </c>
      <c r="B77" s="9">
        <f>(Inputs!$D$14*Revenue!$I$77*(1+$A77)*B$70+Cash!$E$52)/Cash!$E$48</f>
        <v/>
      </c>
      <c r="C77" s="9">
        <f>(Inputs!$D$14*Revenue!$I$77*(1+$A77)*C$70+Cash!$E$52)/Cash!$E$48</f>
        <v/>
      </c>
      <c r="D77" s="9">
        <f>(Inputs!$D$14*Revenue!$I$77*(1+$A77)*D$70+Cash!$E$52)/Cash!$E$48</f>
        <v/>
      </c>
      <c r="E77" s="9">
        <f>(Inputs!$D$14*Revenue!$I$77*(1+$A77)*E$70+Cash!$E$52)/Cash!$E$48</f>
        <v/>
      </c>
      <c r="F77" s="9">
        <f>(Inputs!$D$14*Revenue!$I$77*(1+$A77)*F$70+Cash!$E$52)/Cash!$E$48</f>
        <v/>
      </c>
      <c r="G77" s="9">
        <f>(Inputs!$D$14*Revenue!$I$77*(1+$A77)*G$70+Cash!$E$52)/Cash!$E$48</f>
        <v/>
      </c>
      <c r="H77" s="9">
        <f>(Inputs!$D$14*Revenue!$I$77*(1+$A77)*H$70+Cash!$E$52)/Cash!$E$48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70" customWidth="1" min="7" max="7"/>
  </cols>
  <sheetData>
    <row r="1">
      <c r="A1" s="1" t="inlineStr">
        <is>
          <t>Street consensus versus our base case</t>
        </is>
      </c>
    </row>
    <row r="2">
      <c r="A2" s="2" t="inlineStr">
        <is>
          <t>Consensus from WS04 04_current_consensus.csv (Zacks and S&amp;P Global Market Intelligence, 3-4 Sep 2026). The bull case has to differ from these, not from LTM actuals.</t>
        </is>
      </c>
    </row>
    <row r="4">
      <c r="A4" s="7" t="inlineStr">
        <is>
          <t>Line</t>
        </is>
      </c>
      <c r="B4" s="7" t="inlineStr">
        <is>
          <t>Street</t>
        </is>
      </c>
      <c r="C4" s="7" t="inlineStr">
        <is>
          <t>n / range</t>
        </is>
      </c>
      <c r="D4" s="7" t="inlineStr">
        <is>
          <t>Our base</t>
        </is>
      </c>
      <c r="E4" s="7" t="inlineStr">
        <is>
          <t>Delta ($ or x)</t>
        </is>
      </c>
      <c r="F4" s="7" t="inlineStr">
        <is>
          <t>Delta (%)</t>
        </is>
      </c>
      <c r="G4" s="7" t="inlineStr">
        <is>
          <t>Vendor</t>
        </is>
      </c>
    </row>
    <row r="5">
      <c r="A5" t="inlineStr">
        <is>
          <t>FY2026 revenue ($M)</t>
        </is>
      </c>
      <c r="B5" s="21" t="n">
        <v>14100</v>
      </c>
      <c r="C5" t="inlineStr">
        <is>
          <t>8 est, 13,960-14,210</t>
        </is>
      </c>
      <c r="D5" s="22">
        <f>Revenue!$I$77</f>
        <v/>
      </c>
      <c r="E5" s="9">
        <f>D5-B5</f>
        <v/>
      </c>
      <c r="F5" s="20">
        <f>D5/B5-1</f>
        <v/>
      </c>
      <c r="G5" s="2" t="inlineStr">
        <is>
          <t>Zacks 4 Sep 26</t>
        </is>
      </c>
    </row>
    <row r="6">
      <c r="A6" t="inlineStr">
        <is>
          <t>FY2026 revenue ($M), second source</t>
        </is>
      </c>
      <c r="B6" s="21" t="n">
        <v>14160</v>
      </c>
      <c r="C6" t="inlineStr">
        <is>
          <t>43 est, 13,800-14,300</t>
        </is>
      </c>
      <c r="D6" s="22">
        <f>Revenue!$I$77</f>
        <v/>
      </c>
      <c r="E6" s="9">
        <f>D6-B6</f>
        <v/>
      </c>
      <c r="F6" s="20">
        <f>D6/B6-1</f>
        <v/>
      </c>
      <c r="G6" s="2" t="inlineStr">
        <is>
          <t>S&amp;P Global 3 Sep 26</t>
        </is>
      </c>
    </row>
    <row r="7">
      <c r="A7" t="inlineStr">
        <is>
          <t>FY2026 adj. EPS ($)</t>
        </is>
      </c>
      <c r="B7" s="9" t="n">
        <v>5.23</v>
      </c>
      <c r="C7" t="inlineStr">
        <is>
          <t>13 est, 4.85-5.74</t>
        </is>
      </c>
      <c r="D7" s="24">
        <f>Cash!$D$51</f>
        <v/>
      </c>
      <c r="E7" s="9">
        <f>D7-B7</f>
        <v/>
      </c>
      <c r="F7" s="20">
        <f>D7/B7-1</f>
        <v/>
      </c>
      <c r="G7" s="2" t="inlineStr">
        <is>
          <t>Zacks 4 Sep 26</t>
        </is>
      </c>
    </row>
    <row r="8">
      <c r="A8" t="inlineStr">
        <is>
          <t>FY2026 FCF ($M)</t>
        </is>
      </c>
      <c r="B8" s="21" t="n">
        <v>5350</v>
      </c>
      <c r="C8" t="inlineStr">
        <is>
          <t>-</t>
        </is>
      </c>
      <c r="D8" s="22">
        <f>Cash!$D$39</f>
        <v/>
      </c>
      <c r="E8" s="9">
        <f>D8-B8</f>
        <v/>
      </c>
      <c r="F8" s="20">
        <f>D8/B8-1</f>
        <v/>
      </c>
      <c r="G8" s="2" t="inlineStr">
        <is>
          <t>S&amp;P Global 3 Sep 26</t>
        </is>
      </c>
    </row>
    <row r="9">
      <c r="A9" t="inlineStr">
        <is>
          <t>FY2027 revenue ($M)</t>
        </is>
      </c>
      <c r="B9" s="21" t="n">
        <v>15730</v>
      </c>
      <c r="C9" t="inlineStr">
        <is>
          <t>13 est, 14,990-16,290</t>
        </is>
      </c>
      <c r="D9" s="22">
        <f>Revenue!$J$77</f>
        <v/>
      </c>
      <c r="E9" s="9">
        <f>D9-B9</f>
        <v/>
      </c>
      <c r="F9" s="20">
        <f>D9/B9-1</f>
        <v/>
      </c>
      <c r="G9" s="2" t="inlineStr">
        <is>
          <t>Zacks 4 Sep 26</t>
        </is>
      </c>
    </row>
    <row r="10">
      <c r="A10" t="inlineStr">
        <is>
          <t>FY2027 revenue ($M), second source</t>
        </is>
      </c>
      <c r="B10" s="21" t="n">
        <v>15760</v>
      </c>
      <c r="C10" t="inlineStr">
        <is>
          <t>43 est</t>
        </is>
      </c>
      <c r="D10" s="22">
        <f>Revenue!$J$77</f>
        <v/>
      </c>
      <c r="E10" s="9">
        <f>D10-B10</f>
        <v/>
      </c>
      <c r="F10" s="20">
        <f>D10/B10-1</f>
        <v/>
      </c>
      <c r="G10" s="2" t="inlineStr">
        <is>
          <t>S&amp;P Global 3 Sep 26</t>
        </is>
      </c>
    </row>
    <row r="11">
      <c r="A11" t="inlineStr">
        <is>
          <t>FY2027 adj. EPS ($)</t>
        </is>
      </c>
      <c r="B11" s="9" t="n">
        <v>6.02</v>
      </c>
      <c r="C11" t="inlineStr">
        <is>
          <t>13 est, 5.35-6.80</t>
        </is>
      </c>
      <c r="D11" s="24">
        <f>Cash!$E$51</f>
        <v/>
      </c>
      <c r="E11" s="9">
        <f>D11-B11</f>
        <v/>
      </c>
      <c r="F11" s="20">
        <f>D11/B11-1</f>
        <v/>
      </c>
      <c r="G11" s="2" t="inlineStr">
        <is>
          <t>Zacks 4 Sep 26</t>
        </is>
      </c>
    </row>
    <row r="12">
      <c r="A12" t="inlineStr">
        <is>
          <t>3Q2026 revenue ($M)</t>
        </is>
      </c>
      <c r="B12" s="21" t="n">
        <v>4740</v>
      </c>
      <c r="C12" t="inlineStr">
        <is>
          <t>7 est, 4,720-4,770</t>
        </is>
      </c>
      <c r="D12" s="22">
        <f>Revenue!$C$77</f>
        <v/>
      </c>
      <c r="E12" s="9">
        <f>D12-B12</f>
        <v/>
      </c>
      <c r="F12" s="20">
        <f>D12/B12-1</f>
        <v/>
      </c>
      <c r="G12" s="2" t="inlineStr">
        <is>
          <t>Zacks 4 Sep 26</t>
        </is>
      </c>
    </row>
    <row r="13">
      <c r="A13" t="inlineStr">
        <is>
          <t>3Q2026 adj. EPS ($)</t>
        </is>
      </c>
      <c r="B13" s="9" t="n">
        <v>2.87</v>
      </c>
      <c r="C13" t="inlineStr">
        <is>
          <t>11 est, 2.52-3.28</t>
        </is>
      </c>
      <c r="G13" s="2" t="inlineStr">
        <is>
          <t>Zacks 4 Sep 26</t>
        </is>
      </c>
    </row>
    <row r="14">
      <c r="A14" t="inlineStr">
        <is>
          <t>4Q2026 revenue ($M)</t>
        </is>
      </c>
      <c r="B14" s="21" t="n">
        <v>3200</v>
      </c>
      <c r="C14" t="inlineStr">
        <is>
          <t>10 est, 3,050-3,700</t>
        </is>
      </c>
      <c r="D14" s="22">
        <f>Revenue!$D$77</f>
        <v/>
      </c>
      <c r="E14" s="9">
        <f>D14-B14</f>
        <v/>
      </c>
      <c r="F14" s="20">
        <f>D14/B14-1</f>
        <v/>
      </c>
      <c r="G14" s="2" t="inlineStr">
        <is>
          <t>Zacks 4 Sep 26</t>
        </is>
      </c>
    </row>
    <row r="15">
      <c r="A15" t="inlineStr">
        <is>
          <t>Mean price target ($)</t>
        </is>
      </c>
      <c r="B15" s="21" t="n">
        <v>178.96</v>
      </c>
      <c r="C15" t="inlineStr">
        <is>
          <t>46 analysts, 125-220</t>
        </is>
      </c>
      <c r="D15" s="22">
        <f>Valuation!$C$46</f>
        <v/>
      </c>
      <c r="E15" s="9">
        <f>D15-B15</f>
        <v/>
      </c>
      <c r="F15" s="20">
        <f>D15/B15-1</f>
        <v/>
      </c>
      <c r="G15" s="2" t="inlineStr">
        <is>
          <t>S&amp;P Global / TipRanks 3 Sep 26</t>
        </is>
      </c>
    </row>
    <row r="17">
      <c r="A17" s="3" t="inlineStr">
        <is>
          <t>Historical beat behaviour (WS02, WS04) - how to read our base against the guide</t>
        </is>
      </c>
    </row>
    <row r="18">
      <c r="A18" t="inlineStr">
        <is>
          <t>Median revenue beat vs guide midpoint, all 19 guided prints</t>
        </is>
      </c>
      <c r="B18" s="11" t="n">
        <v>0.0252</v>
      </c>
      <c r="G18" s="2" t="inlineStr">
        <is>
          <t>WS02 02_guidance_cushion_series.csv</t>
        </is>
      </c>
    </row>
    <row r="19">
      <c r="A19" t="inlineStr">
        <is>
          <t>Median revenue beat vs guide midpoint, last 8 prints</t>
        </is>
      </c>
      <c r="B19" s="11" t="n">
        <v>0.0179</v>
      </c>
      <c r="G19" s="2" t="inlineStr">
        <is>
          <t>WS02; the cushion has halved</t>
        </is>
      </c>
    </row>
    <row r="20">
      <c r="A20" t="inlineStr">
        <is>
          <t>Median revenue beat vs Street, post-2022 (n 14)</t>
        </is>
      </c>
      <c r="B20" s="11" t="n">
        <v>0.017</v>
      </c>
      <c r="G20" s="2" t="inlineStr">
        <is>
          <t>WS04 04_consensus_at_print.csv</t>
        </is>
      </c>
    </row>
    <row r="21">
      <c r="A21" t="inlineStr">
        <is>
          <t>Probability the print lands above the top of the guide range</t>
        </is>
      </c>
      <c r="B21" s="11" t="n">
        <v>0.7894736842105263</v>
      </c>
      <c r="G21" s="2" t="inlineStr">
        <is>
          <t>WS02: 15 of 19</t>
        </is>
      </c>
    </row>
    <row r="22">
      <c r="A22" t="inlineStr">
        <is>
          <t>Day-1 excess return explained by the beat</t>
        </is>
      </c>
      <c r="B22" s="11" t="n">
        <v>0.04</v>
      </c>
      <c r="G22" s="2" t="inlineStr">
        <is>
          <t>WS04 / the 5 Sep note: R-squared 0.04, LOO negative</t>
        </is>
      </c>
    </row>
    <row r="23">
      <c r="A23" t="inlineStr">
        <is>
          <t>20-day drift zero-crossing, nights surprise vs Street</t>
        </is>
      </c>
      <c r="B23" s="11" t="n">
        <v>0.0183</v>
      </c>
      <c r="G23" s="2" t="inlineStr">
        <is>
          <t>WS04 post-2022 fit: excess_20d = -5.19 + 2.834 x nights surprise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76" customWidth="1" min="8" max="8"/>
  </cols>
  <sheetData>
    <row r="1">
      <c r="A1" s="1" t="inlineStr">
        <is>
          <t>5 November 2026 card - the Q3 2026 print</t>
        </is>
      </c>
    </row>
    <row r="2">
      <c r="A2" s="2" t="inlineStr">
        <is>
          <t>Model columns are live formulas off the Revenue and Costs sheets; the Active column follows the scenario selector on Inputs!B4. External bars are constants with their source. Q3 2026 reports 5 Nov 2026 (Zacks expected date).</t>
        </is>
      </c>
    </row>
    <row r="4">
      <c r="A4" s="7" t="inlineStr">
        <is>
          <t>Line</t>
        </is>
      </c>
      <c r="B4" s="7" t="inlineStr">
        <is>
          <t>Bear</t>
        </is>
      </c>
      <c r="C4" s="7" t="inlineStr">
        <is>
          <t>Base</t>
        </is>
      </c>
      <c r="D4" s="7" t="inlineStr">
        <is>
          <t>Bull</t>
        </is>
      </c>
      <c r="E4" s="7" t="inlineStr">
        <is>
          <t>Active (Inputs!B4)</t>
        </is>
      </c>
      <c r="F4" s="7" t="inlineStr">
        <is>
          <t>Company guide</t>
        </is>
      </c>
      <c r="G4" s="7" t="inlineStr">
        <is>
          <t>Street / cushion bar</t>
        </is>
      </c>
      <c r="H4" s="7" t="inlineStr">
        <is>
          <t>Source of the bar</t>
        </is>
      </c>
    </row>
    <row r="5">
      <c r="A5" t="inlineStr">
        <is>
          <t>3Q26 revenue ($M)</t>
        </is>
      </c>
      <c r="B5" s="21">
        <f>Revenue!$C$36</f>
        <v/>
      </c>
      <c r="C5" s="22">
        <f>Revenue!$C$77</f>
        <v/>
      </c>
      <c r="D5" s="21">
        <f>Revenue!$C$118</f>
        <v/>
      </c>
      <c r="E5" s="22">
        <f>CHOOSE(Inputs!$B$4,B5,C5,D5)</f>
        <v/>
      </c>
      <c r="F5" t="inlineStr">
        <is>
          <t>$4,690-4,770m (+15-17%)</t>
        </is>
      </c>
      <c r="G5" t="inlineStr">
        <is>
          <t>Street $4,740m; cushion-adj $4,815m</t>
        </is>
      </c>
      <c r="H5" s="2" t="inlineStr">
        <is>
          <t>2Q26 letter; WS04 Zacks 7 est; WS02 02_q3_2026_guide_card.csv (last-8 median cushion +1.79%)</t>
        </is>
      </c>
    </row>
    <row r="6">
      <c r="A6" t="inlineStr">
        <is>
          <t xml:space="preserve">  revenue growth y/y</t>
        </is>
      </c>
      <c r="B6" s="20">
        <f>Revenue!$C$37</f>
        <v/>
      </c>
      <c r="C6" s="23">
        <f>Revenue!$C$78</f>
        <v/>
      </c>
      <c r="D6" s="20">
        <f>Revenue!$C$119</f>
        <v/>
      </c>
      <c r="E6" s="23">
        <f>CHOOSE(Inputs!$B$4,B6,C6,D6)</f>
        <v/>
      </c>
      <c r="F6" t="inlineStr">
        <is>
          <t>+15% to +17%</t>
        </is>
      </c>
      <c r="G6" t="inlineStr">
        <is>
          <t>+15.79% (Street)</t>
        </is>
      </c>
      <c r="H6" s="2" t="inlineStr">
        <is>
          <t>WS02, WS04</t>
        </is>
      </c>
    </row>
    <row r="7">
      <c r="A7" t="inlineStr">
        <is>
          <t>3Q26 nights (M)</t>
        </is>
      </c>
      <c r="B7" s="15">
        <f>Revenue!$C$22</f>
        <v/>
      </c>
      <c r="C7" s="19">
        <f>Revenue!$C$63</f>
        <v/>
      </c>
      <c r="D7" s="15">
        <f>Revenue!$C$104</f>
        <v/>
      </c>
      <c r="E7" s="19">
        <f>CHOOSE(Inputs!$B$4,B7,C7,D7)</f>
        <v/>
      </c>
      <c r="F7" t="inlineStr">
        <is>
          <t>low double-digit growth</t>
        </is>
      </c>
      <c r="G7" t="inlineStr">
        <is>
          <t>144-146m (derived)</t>
        </is>
      </c>
      <c r="H7" s="2" t="inlineStr">
        <is>
          <t>WS04 04_q3_2026_breakeven.csv; WS02 puts the cushion-adjusted range at 150-154m</t>
        </is>
      </c>
    </row>
    <row r="8">
      <c r="A8" t="inlineStr">
        <is>
          <t xml:space="preserve">  nights growth y/y</t>
        </is>
      </c>
      <c r="B8" s="20">
        <f>Revenue!$C$23</f>
        <v/>
      </c>
      <c r="C8" s="23">
        <f>Revenue!$C$64</f>
        <v/>
      </c>
      <c r="D8" s="20">
        <f>Revenue!$C$105</f>
        <v/>
      </c>
      <c r="E8" s="23">
        <f>CHOOSE(Inputs!$B$4,B8,C8,D8)</f>
        <v/>
      </c>
      <c r="F8" t="inlineStr">
        <is>
          <t>'low double digit' (10-12%)</t>
        </is>
      </c>
      <c r="G8" t="inlineStr">
        <is>
          <t>WS08 nowcast +12.1% (9.3-14.9)</t>
        </is>
      </c>
      <c r="H8" s="2" t="inlineStr">
        <is>
          <t>WS08 08_q3_2026_nowcast.csv demand_eq; naive baseline +10.3%</t>
        </is>
      </c>
    </row>
    <row r="9">
      <c r="A9" t="inlineStr">
        <is>
          <t>3Q26 ADR ($)</t>
        </is>
      </c>
      <c r="B9" s="9">
        <f>Revenue!$C$26</f>
        <v/>
      </c>
      <c r="C9" s="24">
        <f>Revenue!$C$67</f>
        <v/>
      </c>
      <c r="D9" s="9">
        <f>Revenue!$C$108</f>
        <v/>
      </c>
      <c r="E9" s="24">
        <f>CHOOSE(Inputs!$B$4,B9,C9,D9)</f>
        <v/>
      </c>
      <c r="F9" t="inlineStr">
        <is>
          <t>'up moderately'</t>
        </is>
      </c>
      <c r="G9" t="inlineStr">
        <is>
          <t>-</t>
        </is>
      </c>
      <c r="H9" s="2" t="inlineStr">
        <is>
          <t>2Q26 letter</t>
        </is>
      </c>
    </row>
    <row r="10">
      <c r="A10" t="inlineStr">
        <is>
          <t xml:space="preserve">  ADR growth y/y</t>
        </is>
      </c>
      <c r="B10" s="20">
        <f>Revenue!$C$27</f>
        <v/>
      </c>
      <c r="C10" s="23">
        <f>Revenue!$C$68</f>
        <v/>
      </c>
      <c r="D10" s="20">
        <f>Revenue!$C$109</f>
        <v/>
      </c>
      <c r="E10" s="23">
        <f>CHOOSE(Inputs!$B$4,B10,C10,D10)</f>
        <v/>
      </c>
      <c r="F10" t="inlineStr">
        <is>
          <t>-</t>
        </is>
      </c>
      <c r="G10" t="inlineStr">
        <is>
          <t>+4.05% (WS08)</t>
        </is>
      </c>
      <c r="H10" s="2" t="inlineStr">
        <is>
          <t>WS08: ex-FX run-rate +3.25% plus FX +0.80pp; r 0.96, walk-forward 0.44x naive</t>
        </is>
      </c>
    </row>
    <row r="11">
      <c r="A11" t="inlineStr">
        <is>
          <t xml:space="preserve">  of which FX</t>
        </is>
      </c>
      <c r="B11" s="11">
        <f>Revenue!$C$25</f>
        <v/>
      </c>
      <c r="C11" s="27">
        <f>Revenue!$C$66</f>
        <v/>
      </c>
      <c r="D11" s="11">
        <f>Revenue!$C$107</f>
        <v/>
      </c>
      <c r="E11" s="27">
        <f>CHOOSE(Inputs!$B$4,B11,C11,D11)</f>
        <v/>
      </c>
      <c r="F11" t="inlineStr">
        <is>
          <t>-</t>
        </is>
      </c>
      <c r="G11" t="inlineStr">
        <is>
          <t>+0.80pp</t>
        </is>
      </c>
      <c r="H11" s="2" t="inlineStr">
        <is>
          <t>WS05 05_fx_schedule.csv broad-USD fit; WS08 refit</t>
        </is>
      </c>
    </row>
    <row r="12">
      <c r="A12" t="inlineStr">
        <is>
          <t>3Q26 GBV ($M)</t>
        </is>
      </c>
      <c r="B12" s="21">
        <f>Revenue!$C$28</f>
        <v/>
      </c>
      <c r="C12" s="22">
        <f>Revenue!$C$69</f>
        <v/>
      </c>
      <c r="D12" s="21">
        <f>Revenue!$C$110</f>
        <v/>
      </c>
      <c r="E12" s="22">
        <f>CHOOSE(Inputs!$B$4,B12,C12,D12)</f>
        <v/>
      </c>
      <c r="F12" t="inlineStr">
        <is>
          <t>mid-teens growth</t>
        </is>
      </c>
      <c r="G12" t="inlineStr">
        <is>
          <t>$26.6-27.2bn (WS02 cushion)</t>
        </is>
      </c>
      <c r="H12" s="2" t="inlineStr">
        <is>
          <t>2Q26 letter; WS02</t>
        </is>
      </c>
    </row>
    <row r="13">
      <c r="A13" t="inlineStr">
        <is>
          <t xml:space="preserve">  GBV growth y/y</t>
        </is>
      </c>
      <c r="B13" s="20">
        <f>Revenue!$C$29</f>
        <v/>
      </c>
      <c r="C13" s="23">
        <f>Revenue!$C$70</f>
        <v/>
      </c>
      <c r="D13" s="20">
        <f>Revenue!$C$111</f>
        <v/>
      </c>
      <c r="E13" s="23">
        <f>CHOOSE(Inputs!$B$4,B13,C13,D13)</f>
        <v/>
      </c>
      <c r="F13" t="inlineStr">
        <is>
          <t>mid teens (14-16%)</t>
        </is>
      </c>
      <c r="G13" t="inlineStr">
        <is>
          <t>16-19%</t>
        </is>
      </c>
      <c r="H13" s="2" t="inlineStr">
        <is>
          <t>WS02</t>
        </is>
      </c>
    </row>
    <row r="14">
      <c r="A14" t="inlineStr">
        <is>
          <t>3Q26 take rate</t>
        </is>
      </c>
      <c r="B14" s="11">
        <f>Revenue!$C$30</f>
        <v/>
      </c>
      <c r="C14" s="27">
        <f>Revenue!$C$71</f>
        <v/>
      </c>
      <c r="D14" s="11">
        <f>Revenue!$C$112</f>
        <v/>
      </c>
      <c r="E14" s="27">
        <f>CHOOSE(Inputs!$B$4,B14,C14,D14)</f>
        <v/>
      </c>
      <c r="F14" t="inlineStr">
        <is>
          <t>'relatively in line y/y'</t>
        </is>
      </c>
      <c r="G14" t="inlineStr">
        <is>
          <t>17.9% +/- 0.2pt</t>
        </is>
      </c>
      <c r="H14" s="2" t="inlineStr">
        <is>
          <t>2Q26 call; WS02. 3Q25 actual 17.88%</t>
        </is>
      </c>
    </row>
    <row r="15">
      <c r="A15" t="inlineStr">
        <is>
          <t>3Q26 adj. EBITDA margin</t>
        </is>
      </c>
      <c r="B15" s="20">
        <f>Revenue!$C$40</f>
        <v/>
      </c>
      <c r="C15" s="23">
        <f>Revenue!$C$81</f>
        <v/>
      </c>
      <c r="D15" s="20">
        <f>Revenue!$C$122</f>
        <v/>
      </c>
      <c r="E15" s="23">
        <f>CHOOSE(Inputs!$B$4,B15,C15,D15)</f>
        <v/>
      </c>
      <c r="F15" t="inlineStr">
        <is>
          <t>'down slightly' vs 50.1%</t>
        </is>
      </c>
      <c r="G15" t="inlineStr">
        <is>
          <t>48.7-50.0%</t>
        </is>
      </c>
      <c r="H15" s="2" t="inlineStr">
        <is>
          <t>WS07 5 Nov card (bear 48.3 / base 49.0 / bull 50.2); WS02 says 9 of 10 such ceilings were met</t>
        </is>
      </c>
    </row>
    <row r="16">
      <c r="A16" t="inlineStr">
        <is>
          <t>3Q26 adj. EBITDA ($M)</t>
        </is>
      </c>
      <c r="B16" s="21">
        <f>Revenue!$C$41</f>
        <v/>
      </c>
      <c r="C16" s="22">
        <f>Revenue!$C$82</f>
        <v/>
      </c>
      <c r="D16" s="21">
        <f>Revenue!$C$123</f>
        <v/>
      </c>
      <c r="E16" s="22">
        <f>CHOOSE(Inputs!$B$4,B16,C16,D16)</f>
        <v/>
      </c>
      <c r="F16" t="inlineStr">
        <is>
          <t>up y/y</t>
        </is>
      </c>
      <c r="G16" t="inlineStr">
        <is>
          <t>$2,300-2,400m (derived)</t>
        </is>
      </c>
      <c r="H16" s="2" t="inlineStr">
        <is>
          <t>WS04 04_q3_2026_breakeven.csv</t>
        </is>
      </c>
    </row>
    <row r="18">
      <c r="A18" s="3" t="inlineStr">
        <is>
          <t>THE Q4 GUIDE - what the print's reaction actually runs on</t>
        </is>
      </c>
    </row>
    <row r="19">
      <c r="A19" t="inlineStr">
        <is>
          <t>4Q26 revenue ($M), our forecast</t>
        </is>
      </c>
      <c r="B19" s="21">
        <f>Revenue!$D$36</f>
        <v/>
      </c>
      <c r="C19" s="22">
        <f>Revenue!$D$77</f>
        <v/>
      </c>
      <c r="D19" s="21">
        <f>Revenue!$D$118</f>
        <v/>
      </c>
      <c r="E19" s="22">
        <f>CHOOSE(Inputs!$B$4,B19,C19,D19)</f>
        <v/>
      </c>
      <c r="F19" t="inlineStr">
        <is>
          <t>no guide yet</t>
        </is>
      </c>
      <c r="G19" t="inlineStr">
        <is>
          <t>Street $3,200m (3,050-3,700)</t>
        </is>
      </c>
      <c r="H19" s="2" t="inlineStr">
        <is>
          <t>WS04 Zacks 10 est - the widest spread in the table (21% high-low)</t>
        </is>
      </c>
    </row>
    <row r="20">
      <c r="A20" t="inlineStr">
        <is>
          <t xml:space="preserve">  4Q26 revenue growth</t>
        </is>
      </c>
      <c r="B20" s="20">
        <f>Revenue!$D$37</f>
        <v/>
      </c>
      <c r="C20" s="23">
        <f>Revenue!$D$78</f>
        <v/>
      </c>
      <c r="D20" s="20">
        <f>Revenue!$D$119</f>
        <v/>
      </c>
      <c r="E20" s="23">
        <f>CHOOSE(Inputs!$B$4,B20,C20,D20)</f>
        <v/>
      </c>
      <c r="F20" t="inlineStr">
        <is>
          <t>-</t>
        </is>
      </c>
      <c r="G20" t="inlineStr">
        <is>
          <t>+11-13% expected</t>
        </is>
      </c>
      <c r="H20" s="2" t="inlineStr">
        <is>
          <t>WS05: FX goes from about +3pp in Q3 to -0.4pp in Q4 and 84% of it is already realised</t>
        </is>
      </c>
    </row>
    <row r="21">
      <c r="A21" t="inlineStr">
        <is>
          <t xml:space="preserve">  4Q26 nights growth</t>
        </is>
      </c>
      <c r="B21" s="20">
        <f>Revenue!$D$23</f>
        <v/>
      </c>
      <c r="C21" s="23">
        <f>Revenue!$D$64</f>
        <v/>
      </c>
      <c r="D21" s="20">
        <f>Revenue!$D$105</f>
        <v/>
      </c>
      <c r="E21" s="23">
        <f>CHOOSE(Inputs!$B$4,B21,C21,D21)</f>
        <v/>
      </c>
      <c r="F21" t="inlineStr">
        <is>
          <t>-</t>
        </is>
      </c>
      <c r="G21" t="inlineStr">
        <is>
          <t>accelerating vs Q3 is the bull tell</t>
        </is>
      </c>
      <c r="H21" s="2" t="inlineStr">
        <is>
          <t>WS05: post-2022 an accelerating nights guide averaged +6.7% day-1 (n 5), a decelerating one -5.4% (n 9)</t>
        </is>
      </c>
    </row>
    <row r="22">
      <c r="A22" t="inlineStr">
        <is>
          <t>FY26 revenue ($M)</t>
        </is>
      </c>
      <c r="B22" s="21">
        <f>Revenue!$I$36</f>
        <v/>
      </c>
      <c r="C22" s="22">
        <f>Revenue!$I$77</f>
        <v/>
      </c>
      <c r="D22" s="21">
        <f>Revenue!$I$118</f>
        <v/>
      </c>
      <c r="E22" s="22">
        <f>CHOOSE(Inputs!$B$4,B22,C22,D22)</f>
        <v/>
      </c>
      <c r="F22" t="inlineStr">
        <is>
          <t>'at least mid teens' growth</t>
        </is>
      </c>
      <c r="G22" t="inlineStr">
        <is>
          <t>Street $14,100-14,160m</t>
        </is>
      </c>
      <c r="H22" s="2" t="inlineStr">
        <is>
          <t>2Q26 letter; WS04</t>
        </is>
      </c>
    </row>
    <row r="23">
      <c r="A23" t="inlineStr">
        <is>
          <t xml:space="preserve">  FY26 revenue growth</t>
        </is>
      </c>
      <c r="B23" s="20">
        <f>Revenue!$I$37</f>
        <v/>
      </c>
      <c r="C23" s="23">
        <f>Revenue!$I$78</f>
        <v/>
      </c>
      <c r="D23" s="20">
        <f>Revenue!$I$119</f>
        <v/>
      </c>
      <c r="E23" s="23">
        <f>CHOOSE(Inputs!$B$4,B23,C23,D23)</f>
        <v/>
      </c>
      <c r="F23" t="inlineStr">
        <is>
          <t>at least +14-16%</t>
        </is>
      </c>
      <c r="G23" t="inlineStr">
        <is>
          <t>+15.2% to +15.6%</t>
        </is>
      </c>
      <c r="H23" s="2" t="inlineStr">
        <is>
          <t>WS04</t>
        </is>
      </c>
    </row>
    <row r="24">
      <c r="A24" t="inlineStr">
        <is>
          <t>FY26 adj. EBITDA margin</t>
        </is>
      </c>
      <c r="B24" s="20">
        <f>Costs!$D$22</f>
        <v/>
      </c>
      <c r="C24" s="23">
        <f>Costs!$D$52</f>
        <v/>
      </c>
      <c r="D24" s="20">
        <f>Costs!$D$82</f>
        <v/>
      </c>
      <c r="E24" s="23">
        <f>CHOOSE(Inputs!$B$4,B24,C24,D24)</f>
        <v/>
      </c>
      <c r="F24" t="inlineStr">
        <is>
          <t>'at least 35.5%'</t>
        </is>
      </c>
      <c r="G24" t="inlineStr">
        <is>
          <t>36.1-36.9% on the FY24/FY25 cushion</t>
        </is>
      </c>
      <c r="H24" s="2" t="inlineStr">
        <is>
          <t>WS02: FY24 beat the floor by 140bp, FY25 by 60bp</t>
        </is>
      </c>
    </row>
    <row r="26">
      <c r="A26" s="3" t="inlineStr">
        <is>
          <t>CONTEXT AND BASE RATES</t>
        </is>
      </c>
    </row>
    <row r="27">
      <c r="A27" t="inlineStr">
        <is>
          <t>Alt-data demand index, 3Q26 to date (z)</t>
        </is>
      </c>
      <c r="C27" s="9" t="n">
        <v>-0.325</v>
      </c>
      <c r="H27" s="17" t="inlineStr">
        <is>
          <t>WS08 08_demand_index_quarterly.csv, demand_eq; 2Q26 was -0.509, so the index improved. Only 4 of 7 components are populated for 3Q26 and no composite beat a naive baseline walk-forward.</t>
        </is>
      </c>
    </row>
    <row r="28">
      <c r="A28" t="inlineStr">
        <is>
          <t>Funds-held backlog nowcast, 3Q26 revenue growth</t>
        </is>
      </c>
      <c r="C28" s="20" t="n">
        <v>0.12</v>
      </c>
      <c r="H28" s="17" t="inlineStr">
        <is>
          <t>WS08 08_backlog_tests.csv: funds held +10.46% y/y at 2Q26 x slope 0.60. Under-shot 1Q26 by 3.4pp and 2Q26 by 2.8pp because RNPL defers guest cash to check-in; add ~3pp.</t>
        </is>
      </c>
    </row>
    <row r="29">
      <c r="A29" t="inlineStr">
        <is>
          <t>Mean absolute day-1 move on a print</t>
        </is>
      </c>
      <c r="C29" s="20" t="n">
        <v>0.0707</v>
      </c>
      <c r="H29" s="17" t="inlineStr">
        <is>
          <t>WS09, n 23; median 6.87%</t>
        </is>
      </c>
    </row>
    <row r="30">
      <c r="A30" t="inlineStr">
        <is>
          <t>Mean 20-session post-print excess drift</t>
        </is>
      </c>
      <c r="C30" s="20" t="n">
        <v>-0.037</v>
      </c>
      <c r="H30" s="17" t="inlineStr">
        <is>
          <t>WS09, n 23, t -2.16</t>
        </is>
      </c>
    </row>
    <row r="31">
      <c r="A31" t="inlineStr">
        <is>
          <t>Nights-acceleration sign rule hit rate</t>
        </is>
      </c>
      <c r="C31" s="20" t="n">
        <v>0.8095238095238095</v>
      </c>
      <c r="H31" s="17" t="inlineStr">
        <is>
          <t>WS01/predictive study: the sign of the nights-growth acceleration has set the day-1 direction in 17 of 21 prints</t>
        </is>
      </c>
    </row>
    <row r="32">
      <c r="A32" t="inlineStr">
        <is>
          <t>Share of day-1 move that is re-rating, not estimates</t>
        </is>
      </c>
      <c r="C32" s="11" t="n">
        <v>0.97</v>
      </c>
      <c r="H32" s="17" t="inlineStr">
        <is>
          <t>WS12: day-1 move correlates +0.97 with the change in the EV/NTM-revenue multiple, +0.09 with the estimate change</t>
        </is>
      </c>
    </row>
    <row r="33">
      <c r="A33" t="inlineStr">
        <is>
          <t>One turn of EV / NTM EBITDA</t>
        </is>
      </c>
      <c r="C33" s="9" t="n">
        <v>9.109999999999999</v>
      </c>
      <c r="H33" s="17" t="inlineStr">
        <is>
          <t>WS12: $9.11 per share = 5.0% at $181.94</t>
        </is>
      </c>
    </row>
    <row r="34">
      <c r="A34" t="inlineStr">
        <is>
          <t>November excess return vs QQQ, 2021-2025</t>
        </is>
      </c>
      <c r="C34" s="20" t="n">
        <v>-0.051</v>
      </c>
      <c r="H34" s="17" t="inlineStr">
        <is>
          <t>WS09: ABNB has underperformed in every November since 2021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2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  <col width="18" customWidth="1" min="5" max="5"/>
    <col width="40" customWidth="1" min="6" max="6"/>
  </cols>
  <sheetData>
    <row r="1">
      <c r="A1" s="1" t="inlineStr">
        <is>
          <t>Reconciliation: the Python mirror against this workbook</t>
        </is>
      </c>
    </row>
    <row r="2">
      <c r="A2" s="17" t="inlineStr">
        <is>
          <t>Column B is the Python mirror (13_driver_model.py), column C is this workbook and column D is a live Excel formula, so Excel re-checks the difference every time the file is opened. Every |delta| should be 0.00. The same 216 outputs are also checked outside Excel by analysis/src/overnight/13_xlsx_eval.py. Workstream 17 then rebuilt the file in Excel 16.0 itself (Application.CalculateFullRebuild via COM): 0 error cells in 5,544, no circular reference, all 216 outputs and all 2,348 formula cells agreeing with the mirror to better than 1e-6 relative (worst 4.2e-15). Full results: data/processed/overnight/13_reconciliation.csv and 17_excel_vs_python.csv; the audit is research/notes/overnight/17_excel-audit.md.</t>
        </is>
      </c>
    </row>
    <row r="4">
      <c r="A4" s="7" t="inlineStr">
        <is>
          <t>Item</t>
        </is>
      </c>
      <c r="B4" s="7" t="inlineStr">
        <is>
          <t>Python mirror</t>
        </is>
      </c>
      <c r="C4" s="7" t="inlineStr">
        <is>
          <t>Workbook cell</t>
        </is>
      </c>
      <c r="D4" s="7" t="inlineStr">
        <is>
          <t>Delta</t>
        </is>
      </c>
      <c r="E4" s="7" t="inlineStr">
        <is>
          <t>Cell reference</t>
        </is>
      </c>
    </row>
    <row r="5">
      <c r="A5" t="inlineStr">
        <is>
          <t>Bear FY2026 revenue ($M)</t>
        </is>
      </c>
      <c r="B5" s="21" t="n">
        <v>13933.34896091384</v>
      </c>
      <c r="C5" s="21">
        <f>Revenue!$I$36</f>
        <v/>
      </c>
      <c r="D5" s="28">
        <f>C5-B5</f>
        <v/>
      </c>
      <c r="E5" s="2" t="inlineStr">
        <is>
          <t>Revenue!$I$36</t>
        </is>
      </c>
    </row>
    <row r="6">
      <c r="A6" t="inlineStr">
        <is>
          <t>Bear FY2026 nights (M)</t>
        </is>
      </c>
      <c r="B6" s="15" t="n">
        <v>579.0973809959089</v>
      </c>
      <c r="C6" s="15">
        <f>Revenue!$I$22</f>
        <v/>
      </c>
      <c r="D6" s="28">
        <f>C6-B6</f>
        <v/>
      </c>
      <c r="E6" s="2" t="inlineStr">
        <is>
          <t>Revenue!$I$22</t>
        </is>
      </c>
    </row>
    <row r="7">
      <c r="A7" t="inlineStr">
        <is>
          <t>Bear FY2026 GBV ($M)</t>
        </is>
      </c>
      <c r="B7" s="21" t="n">
        <v>103758.7364424403</v>
      </c>
      <c r="C7" s="21">
        <f>Revenue!$I$28</f>
        <v/>
      </c>
      <c r="D7" s="28">
        <f>C7-B7</f>
        <v/>
      </c>
      <c r="E7" s="2" t="inlineStr">
        <is>
          <t>Revenue!$I$28</t>
        </is>
      </c>
    </row>
    <row r="8">
      <c r="A8" t="inlineStr">
        <is>
          <t>Bear FY2026 adj. EBITDA ($M)</t>
        </is>
      </c>
      <c r="B8" s="21" t="n">
        <v>4812.286723168386</v>
      </c>
      <c r="C8" s="21">
        <f>Costs!$D$21</f>
        <v/>
      </c>
      <c r="D8" s="28">
        <f>C8-B8</f>
        <v/>
      </c>
      <c r="E8" s="2" t="inlineStr">
        <is>
          <t>Costs!$D$21</t>
        </is>
      </c>
    </row>
    <row r="9">
      <c r="A9" t="inlineStr">
        <is>
          <t>Bear FY2026 adj. EBITDA margin</t>
        </is>
      </c>
      <c r="B9" s="11" t="n">
        <v>0.345379042516478</v>
      </c>
      <c r="C9" s="11">
        <f>Costs!$D$22</f>
        <v/>
      </c>
      <c r="D9" s="28">
        <f>C9-B9</f>
        <v/>
      </c>
      <c r="E9" s="2" t="inlineStr">
        <is>
          <t>Costs!$D$22</t>
        </is>
      </c>
    </row>
    <row r="10">
      <c r="A10" t="inlineStr">
        <is>
          <t>Bear FY2026 net income ($M)</t>
        </is>
      </c>
      <c r="B10" s="21" t="n">
        <v>2644.862000190928</v>
      </c>
      <c r="C10" s="21">
        <f>Costs!$D$32</f>
        <v/>
      </c>
      <c r="D10" s="28">
        <f>C10-B10</f>
        <v/>
      </c>
      <c r="E10" s="2" t="inlineStr">
        <is>
          <t>Costs!$D$32</t>
        </is>
      </c>
    </row>
    <row r="11">
      <c r="A11" t="inlineStr">
        <is>
          <t>Bear FY2026 FCF ($M)</t>
        </is>
      </c>
      <c r="B11" s="21" t="n">
        <v>4554.885879279038</v>
      </c>
      <c r="C11" s="21">
        <f>Cash!$D$14</f>
        <v/>
      </c>
      <c r="D11" s="28">
        <f>C11-B11</f>
        <v/>
      </c>
      <c r="E11" s="2" t="inlineStr">
        <is>
          <t>Cash!$D$14</t>
        </is>
      </c>
    </row>
    <row r="12">
      <c r="A12" t="inlineStr">
        <is>
          <t>Bear FY2026 SBC-adj FCF ($M)</t>
        </is>
      </c>
      <c r="B12" s="21" t="n">
        <v>2720.925879279038</v>
      </c>
      <c r="C12" s="21">
        <f>Cash!$D$18</f>
        <v/>
      </c>
      <c r="D12" s="28">
        <f>C12-B12</f>
        <v/>
      </c>
      <c r="E12" s="2" t="inlineStr">
        <is>
          <t>Cash!$D$18</t>
        </is>
      </c>
    </row>
    <row r="13">
      <c r="A13" t="inlineStr">
        <is>
          <t>Bear FY2026 diluted shares (M)</t>
        </is>
      </c>
      <c r="B13" s="15" t="n">
        <v>589.0194789491042</v>
      </c>
      <c r="C13" s="15">
        <f>Cash!$D$23</f>
        <v/>
      </c>
      <c r="D13" s="28">
        <f>C13-B13</f>
        <v/>
      </c>
      <c r="E13" s="2" t="inlineStr">
        <is>
          <t>Cash!$D$23</t>
        </is>
      </c>
    </row>
    <row r="14">
      <c r="A14" t="inlineStr">
        <is>
          <t>Bear FY2026 FCF per share ($)</t>
        </is>
      </c>
      <c r="B14" s="9" t="n">
        <v>7.732997026525528</v>
      </c>
      <c r="C14" s="9">
        <f>Cash!$D$24</f>
        <v/>
      </c>
      <c r="D14" s="28">
        <f>C14-B14</f>
        <v/>
      </c>
      <c r="E14" s="2" t="inlineStr">
        <is>
          <t>Cash!$D$24</t>
        </is>
      </c>
    </row>
    <row r="15">
      <c r="A15" t="inlineStr">
        <is>
          <t>Bear FY2026 net cash ($M)</t>
        </is>
      </c>
      <c r="B15" s="21" t="n">
        <v>8792.999879279037</v>
      </c>
      <c r="C15" s="21">
        <f>Cash!$D$27</f>
        <v/>
      </c>
      <c r="D15" s="28">
        <f>C15-B15</f>
        <v/>
      </c>
      <c r="E15" s="2" t="inlineStr">
        <is>
          <t>Cash!$D$27</t>
        </is>
      </c>
    </row>
    <row r="16">
      <c r="A16" t="inlineStr">
        <is>
          <t>Bear FY2027 revenue ($M)</t>
        </is>
      </c>
      <c r="B16" s="21" t="n">
        <v>14180.9741306969</v>
      </c>
      <c r="C16" s="21">
        <f>Revenue!$J$36</f>
        <v/>
      </c>
      <c r="D16" s="28">
        <f>C16-B16</f>
        <v/>
      </c>
      <c r="E16" s="2" t="inlineStr">
        <is>
          <t>Revenue!$J$36</t>
        </is>
      </c>
    </row>
    <row r="17">
      <c r="A17" t="inlineStr">
        <is>
          <t>Bear FY2027 nights (M)</t>
        </is>
      </c>
      <c r="B17" s="15" t="n">
        <v>611.2228428485834</v>
      </c>
      <c r="C17" s="15">
        <f>Revenue!$J$22</f>
        <v/>
      </c>
      <c r="D17" s="28">
        <f>C17-B17</f>
        <v/>
      </c>
      <c r="E17" s="2" t="inlineStr">
        <is>
          <t>Revenue!$J$22</t>
        </is>
      </c>
    </row>
    <row r="18">
      <c r="A18" t="inlineStr">
        <is>
          <t>Bear FY2027 GBV ($M)</t>
        </is>
      </c>
      <c r="B18" s="21" t="n">
        <v>108038.4774090846</v>
      </c>
      <c r="C18" s="21">
        <f>Revenue!$J$28</f>
        <v/>
      </c>
      <c r="D18" s="28">
        <f>C18-B18</f>
        <v/>
      </c>
      <c r="E18" s="2" t="inlineStr">
        <is>
          <t>Revenue!$J$28</t>
        </is>
      </c>
    </row>
    <row r="19">
      <c r="A19" t="inlineStr">
        <is>
          <t>Bear FY2027 adj. EBITDA ($M)</t>
        </is>
      </c>
      <c r="B19" s="21" t="n">
        <v>4026.927278538237</v>
      </c>
      <c r="C19" s="21">
        <f>Costs!$E$21</f>
        <v/>
      </c>
      <c r="D19" s="28">
        <f>C19-B19</f>
        <v/>
      </c>
      <c r="E19" s="2" t="inlineStr">
        <is>
          <t>Costs!$E$21</t>
        </is>
      </c>
    </row>
    <row r="20">
      <c r="A20" t="inlineStr">
        <is>
          <t>Bear FY2027 adj. EBITDA margin</t>
        </is>
      </c>
      <c r="B20" s="11" t="n">
        <v>0.2839669011045817</v>
      </c>
      <c r="C20" s="11">
        <f>Costs!$E$22</f>
        <v/>
      </c>
      <c r="D20" s="28">
        <f>C20-B20</f>
        <v/>
      </c>
      <c r="E20" s="2" t="inlineStr">
        <is>
          <t>Costs!$E$22</t>
        </is>
      </c>
    </row>
    <row r="21">
      <c r="A21" t="inlineStr">
        <is>
          <t>Bear FY2027 net income ($M)</t>
        </is>
      </c>
      <c r="B21" s="21" t="n">
        <v>1754.261447975953</v>
      </c>
      <c r="C21" s="21">
        <f>Costs!$E$32</f>
        <v/>
      </c>
      <c r="D21" s="28">
        <f>C21-B21</f>
        <v/>
      </c>
      <c r="E21" s="2" t="inlineStr">
        <is>
          <t>Costs!$E$32</t>
        </is>
      </c>
    </row>
    <row r="22">
      <c r="A22" t="inlineStr">
        <is>
          <t>Bear FY2027 FCF ($M)</t>
        </is>
      </c>
      <c r="B22" s="21" t="n">
        <v>3531.344934173636</v>
      </c>
      <c r="C22" s="21">
        <f>Cash!$E$14</f>
        <v/>
      </c>
      <c r="D22" s="28">
        <f>C22-B22</f>
        <v/>
      </c>
      <c r="E22" s="2" t="inlineStr">
        <is>
          <t>Cash!$E$14</t>
        </is>
      </c>
    </row>
    <row r="23">
      <c r="A23" t="inlineStr">
        <is>
          <t>Bear FY2027 SBC-adj FCF ($M)</t>
        </is>
      </c>
      <c r="B23" s="21" t="n">
        <v>1440.630534173636</v>
      </c>
      <c r="C23" s="21">
        <f>Cash!$E$18</f>
        <v/>
      </c>
      <c r="D23" s="28">
        <f>C23-B23</f>
        <v/>
      </c>
      <c r="E23" s="2" t="inlineStr">
        <is>
          <t>Cash!$E$18</t>
        </is>
      </c>
    </row>
    <row r="24">
      <c r="A24" t="inlineStr">
        <is>
          <t>Bear FY2027 diluted shares (M)</t>
        </is>
      </c>
      <c r="B24" s="15" t="n">
        <v>580.42933337521</v>
      </c>
      <c r="C24" s="15">
        <f>Cash!$E$23</f>
        <v/>
      </c>
      <c r="D24" s="28">
        <f>C24-B24</f>
        <v/>
      </c>
      <c r="E24" s="2" t="inlineStr">
        <is>
          <t>Cash!$E$23</t>
        </is>
      </c>
    </row>
    <row r="25">
      <c r="A25" t="inlineStr">
        <is>
          <t>Bear FY2027 FCF per share ($)</t>
        </is>
      </c>
      <c r="B25" s="9" t="n">
        <v>6.084022173102078</v>
      </c>
      <c r="C25" s="9">
        <f>Cash!$E$24</f>
        <v/>
      </c>
      <c r="D25" s="28">
        <f>C25-B25</f>
        <v/>
      </c>
      <c r="E25" s="2" t="inlineStr">
        <is>
          <t>Cash!$E$24</t>
        </is>
      </c>
    </row>
    <row r="26">
      <c r="A26" t="inlineStr">
        <is>
          <t>Bear FY2027 net cash ($M)</t>
        </is>
      </c>
      <c r="B26" s="21" t="n">
        <v>8592.594773452674</v>
      </c>
      <c r="C26" s="21">
        <f>Cash!$E$27</f>
        <v/>
      </c>
      <c r="D26" s="28">
        <f>C26-B26</f>
        <v/>
      </c>
      <c r="E26" s="2" t="inlineStr">
        <is>
          <t>Cash!$E$27</t>
        </is>
      </c>
    </row>
    <row r="27">
      <c r="A27" t="inlineStr">
        <is>
          <t>Bear FY2028 revenue ($M)</t>
        </is>
      </c>
      <c r="B27" s="21" t="n">
        <v>14970.67087931568</v>
      </c>
      <c r="C27" s="21">
        <f>Revenue!$K$36</f>
        <v/>
      </c>
      <c r="D27" s="28">
        <f>C27-B27</f>
        <v/>
      </c>
      <c r="E27" s="2" t="inlineStr">
        <is>
          <t>Revenue!$K$36</t>
        </is>
      </c>
    </row>
    <row r="28">
      <c r="A28" t="inlineStr">
        <is>
          <t>Bear FY2028 nights (M)</t>
        </is>
      </c>
      <c r="B28" s="15" t="n">
        <v>638.4145540090698</v>
      </c>
      <c r="C28" s="15">
        <f>Revenue!$K$22</f>
        <v/>
      </c>
      <c r="D28" s="28">
        <f>C28-B28</f>
        <v/>
      </c>
      <c r="E28" s="2" t="inlineStr">
        <is>
          <t>Revenue!$K$22</t>
        </is>
      </c>
    </row>
    <row r="29">
      <c r="A29" t="inlineStr">
        <is>
          <t>Bear FY2028 GBV ($M)</t>
        </is>
      </c>
      <c r="B29" s="21" t="n">
        <v>113973.2759495484</v>
      </c>
      <c r="C29" s="21">
        <f>Revenue!$K$28</f>
        <v/>
      </c>
      <c r="D29" s="28">
        <f>C29-B29</f>
        <v/>
      </c>
      <c r="E29" s="2" t="inlineStr">
        <is>
          <t>Revenue!$K$28</t>
        </is>
      </c>
    </row>
    <row r="30">
      <c r="A30" t="inlineStr">
        <is>
          <t>Bear FY2028 adj. EBITDA ($M)</t>
        </is>
      </c>
      <c r="B30" s="21" t="n">
        <v>3814.483779672486</v>
      </c>
      <c r="C30" s="21">
        <f>Costs!$F$21</f>
        <v/>
      </c>
      <c r="D30" s="28">
        <f>C30-B30</f>
        <v/>
      </c>
      <c r="E30" s="2" t="inlineStr">
        <is>
          <t>Costs!$F$21</t>
        </is>
      </c>
    </row>
    <row r="31">
      <c r="A31" t="inlineStr">
        <is>
          <t>Bear FY2028 adj. EBITDA margin</t>
        </is>
      </c>
      <c r="B31" s="11" t="n">
        <v>0.2547971170044751</v>
      </c>
      <c r="C31" s="11">
        <f>Costs!$F$22</f>
        <v/>
      </c>
      <c r="D31" s="28">
        <f>C31-B31</f>
        <v/>
      </c>
      <c r="E31" s="2" t="inlineStr">
        <is>
          <t>Costs!$F$22</t>
        </is>
      </c>
    </row>
    <row r="32">
      <c r="A32" t="inlineStr">
        <is>
          <t>Bear FY2028 net income ($M)</t>
        </is>
      </c>
      <c r="B32" s="21" t="n">
        <v>1351.01661486933</v>
      </c>
      <c r="C32" s="21">
        <f>Costs!$F$32</f>
        <v/>
      </c>
      <c r="D32" s="28">
        <f>C32-B32</f>
        <v/>
      </c>
      <c r="E32" s="2" t="inlineStr">
        <is>
          <t>Costs!$F$32</t>
        </is>
      </c>
    </row>
    <row r="33">
      <c r="A33" t="inlineStr">
        <is>
          <t>Bear FY2028 FCF ($M)</t>
        </is>
      </c>
      <c r="B33" s="21" t="n">
        <v>3123.566147241072</v>
      </c>
      <c r="C33" s="21">
        <f>Cash!$F$14</f>
        <v/>
      </c>
      <c r="D33" s="28">
        <f>C33-B33</f>
        <v/>
      </c>
      <c r="E33" s="2" t="inlineStr">
        <is>
          <t>Cash!$F$14</t>
        </is>
      </c>
    </row>
    <row r="34">
      <c r="A34" t="inlineStr">
        <is>
          <t>Bear FY2028 SBC-adj FCF ($M)</t>
        </is>
      </c>
      <c r="B34" s="21" t="n">
        <v>781.966019241072</v>
      </c>
      <c r="C34" s="21">
        <f>Cash!$F$18</f>
        <v/>
      </c>
      <c r="D34" s="28">
        <f>C34-B34</f>
        <v/>
      </c>
      <c r="E34" s="2" t="inlineStr">
        <is>
          <t>Cash!$F$18</t>
        </is>
      </c>
    </row>
    <row r="35">
      <c r="A35" t="inlineStr">
        <is>
          <t>Bear FY2028 diluted shares (M)</t>
        </is>
      </c>
      <c r="B35" s="15" t="n">
        <v>573.0612273374118</v>
      </c>
      <c r="C35" s="15">
        <f>Cash!$F$23</f>
        <v/>
      </c>
      <c r="D35" s="28">
        <f>C35-B35</f>
        <v/>
      </c>
      <c r="E35" s="2" t="inlineStr">
        <is>
          <t>Cash!$F$23</t>
        </is>
      </c>
    </row>
    <row r="36">
      <c r="A36" t="inlineStr">
        <is>
          <t>Bear FY2028 FCF per share ($)</t>
        </is>
      </c>
      <c r="B36" s="9" t="n">
        <v>5.450667395094857</v>
      </c>
      <c r="C36" s="9">
        <f>Cash!$F$24</f>
        <v/>
      </c>
      <c r="D36" s="28">
        <f>C36-B36</f>
        <v/>
      </c>
      <c r="E36" s="2" t="inlineStr">
        <is>
          <t>Cash!$F$24</t>
        </is>
      </c>
    </row>
    <row r="37">
      <c r="A37" t="inlineStr">
        <is>
          <t>Bear FY2028 net cash ($M)</t>
        </is>
      </c>
      <c r="B37" s="21" t="n">
        <v>7896.600875893746</v>
      </c>
      <c r="C37" s="21">
        <f>Cash!$F$27</f>
        <v/>
      </c>
      <c r="D37" s="28">
        <f>C37-B37</f>
        <v/>
      </c>
      <c r="E37" s="2" t="inlineStr">
        <is>
          <t>Cash!$F$27</t>
        </is>
      </c>
    </row>
    <row r="38">
      <c r="A38" t="inlineStr">
        <is>
          <t>Bear 3Q26 revenue ($M)</t>
        </is>
      </c>
      <c r="B38" s="21" t="n">
        <v>4632.355142107168</v>
      </c>
      <c r="C38" s="21">
        <f>Revenue!$C$36</f>
        <v/>
      </c>
      <c r="D38" s="28">
        <f>C38-B38</f>
        <v/>
      </c>
      <c r="E38" s="2" t="inlineStr">
        <is>
          <t>Revenue!$C$36</t>
        </is>
      </c>
    </row>
    <row r="39">
      <c r="A39" t="inlineStr">
        <is>
          <t>Bear 3Q26 nights (M)</t>
        </is>
      </c>
      <c r="B39" s="15" t="n">
        <v>144.1759621048</v>
      </c>
      <c r="C39" s="15">
        <f>Revenue!$C$22</f>
        <v/>
      </c>
      <c r="D39" s="28">
        <f>C39-B39</f>
        <v/>
      </c>
      <c r="E39" s="2" t="inlineStr">
        <is>
          <t>Revenue!$C$22</t>
        </is>
      </c>
    </row>
    <row r="40">
      <c r="A40" t="inlineStr">
        <is>
          <t>Bear 3Q26 ADR ($)</t>
        </is>
      </c>
      <c r="B40" s="9" t="n">
        <v>176.1135264</v>
      </c>
      <c r="C40" s="9">
        <f>Revenue!$C$26</f>
        <v/>
      </c>
      <c r="D40" s="28">
        <f>C40-B40</f>
        <v/>
      </c>
      <c r="E40" s="2" t="inlineStr">
        <is>
          <t>Revenue!$C$26</t>
        </is>
      </c>
    </row>
    <row r="41">
      <c r="A41" t="inlineStr">
        <is>
          <t>Bear 3Q26 adj. EBITDA ($M)</t>
        </is>
      </c>
      <c r="B41" s="21" t="n">
        <v>2237.427533637762</v>
      </c>
      <c r="C41" s="21">
        <f>Revenue!$C$41</f>
        <v/>
      </c>
      <c r="D41" s="28">
        <f>C41-B41</f>
        <v/>
      </c>
      <c r="E41" s="2" t="inlineStr">
        <is>
          <t>Revenue!$C$41</t>
        </is>
      </c>
    </row>
    <row r="42">
      <c r="A42" t="inlineStr">
        <is>
          <t>Bear 3Q26 adj. EBITDA margin</t>
        </is>
      </c>
      <c r="B42" s="11" t="n">
        <v>0.483</v>
      </c>
      <c r="C42" s="11">
        <f>Revenue!$C$40</f>
        <v/>
      </c>
      <c r="D42" s="28">
        <f>C42-B42</f>
        <v/>
      </c>
      <c r="E42" s="2" t="inlineStr">
        <is>
          <t>Revenue!$C$40</t>
        </is>
      </c>
    </row>
    <row r="43">
      <c r="A43" t="inlineStr">
        <is>
          <t>Bear 4Q26 revenue ($M)</t>
        </is>
      </c>
      <c r="B43" s="21" t="n">
        <v>3014.993818806672</v>
      </c>
      <c r="C43" s="21">
        <f>Revenue!$D$36</f>
        <v/>
      </c>
      <c r="D43" s="28">
        <f>C43-B43</f>
        <v/>
      </c>
      <c r="E43" s="2" t="inlineStr">
        <is>
          <t>Revenue!$D$36</t>
        </is>
      </c>
    </row>
    <row r="44">
      <c r="A44" t="inlineStr">
        <is>
          <t>Bear 4Q26 nights (M)</t>
        </is>
      </c>
      <c r="B44" s="15" t="n">
        <v>130.4214188911089</v>
      </c>
      <c r="C44" s="15">
        <f>Revenue!$D$22</f>
        <v/>
      </c>
      <c r="D44" s="28">
        <f>C44-B44</f>
        <v/>
      </c>
      <c r="E44" s="2" t="inlineStr">
        <is>
          <t>Revenue!$D$22</t>
        </is>
      </c>
    </row>
    <row r="45">
      <c r="A45" t="inlineStr">
        <is>
          <t>Bear 4Q26 ADR ($)</t>
        </is>
      </c>
      <c r="B45" s="9" t="n">
        <v>168.43398516</v>
      </c>
      <c r="C45" s="9">
        <f>Revenue!$D$26</f>
        <v/>
      </c>
      <c r="D45" s="28">
        <f>C45-B45</f>
        <v/>
      </c>
      <c r="E45" s="2" t="inlineStr">
        <is>
          <t>Revenue!$D$26</t>
        </is>
      </c>
    </row>
    <row r="46">
      <c r="A46" t="inlineStr">
        <is>
          <t>Bear 4Q26 adj. EBITDA ($M)</t>
        </is>
      </c>
      <c r="B46" s="21" t="n">
        <v>798.9733619837681</v>
      </c>
      <c r="C46" s="21">
        <f>Revenue!$D$41</f>
        <v/>
      </c>
      <c r="D46" s="28">
        <f>C46-B46</f>
        <v/>
      </c>
      <c r="E46" s="2" t="inlineStr">
        <is>
          <t>Revenue!$D$41</t>
        </is>
      </c>
    </row>
    <row r="47">
      <c r="A47" t="inlineStr">
        <is>
          <t>Bear 4Q26 adj. EBITDA margin</t>
        </is>
      </c>
      <c r="B47" s="11" t="n">
        <v>0.265</v>
      </c>
      <c r="C47" s="11">
        <f>Revenue!$D$40</f>
        <v/>
      </c>
      <c r="D47" s="28">
        <f>C47-B47</f>
        <v/>
      </c>
      <c r="E47" s="2" t="inlineStr">
        <is>
          <t>Revenue!$D$40</t>
        </is>
      </c>
    </row>
    <row r="48">
      <c r="A48" t="inlineStr">
        <is>
          <t>Bear 1Q27 revenue ($M)</t>
        </is>
      </c>
      <c r="B48" s="21" t="n">
        <v>2766.395859340008</v>
      </c>
      <c r="C48" s="21">
        <f>Revenue!$E$36</f>
        <v/>
      </c>
      <c r="D48" s="28">
        <f>C48-B48</f>
        <v/>
      </c>
      <c r="E48" s="2" t="inlineStr">
        <is>
          <t>Revenue!$E$36</t>
        </is>
      </c>
    </row>
    <row r="49">
      <c r="A49" t="inlineStr">
        <is>
          <t>Bear 1Q27 nights (M)</t>
        </is>
      </c>
      <c r="B49" s="15" t="n">
        <v>164.8360037192</v>
      </c>
      <c r="C49" s="15">
        <f>Revenue!$E$22</f>
        <v/>
      </c>
      <c r="D49" s="28">
        <f>C49-B49</f>
        <v/>
      </c>
      <c r="E49" s="2" t="inlineStr">
        <is>
          <t>Revenue!$E$22</t>
        </is>
      </c>
    </row>
    <row r="50">
      <c r="A50" t="inlineStr">
        <is>
          <t>Bear 1Q27 ADR ($)</t>
        </is>
      </c>
      <c r="B50" s="9" t="n">
        <v>183.63135624</v>
      </c>
      <c r="C50" s="9">
        <f>Revenue!$E$26</f>
        <v/>
      </c>
      <c r="D50" s="28">
        <f>C50-B50</f>
        <v/>
      </c>
      <c r="E50" s="2" t="inlineStr">
        <is>
          <t>Revenue!$E$26</t>
        </is>
      </c>
    </row>
    <row r="51">
      <c r="A51" t="inlineStr">
        <is>
          <t>Bear 1Q27 adj. EBITDA ($M)</t>
        </is>
      </c>
      <c r="B51" s="21" t="n">
        <v>368.44079687913</v>
      </c>
      <c r="C51" s="21">
        <f>Revenue!$E$41</f>
        <v/>
      </c>
      <c r="D51" s="28">
        <f>C51-B51</f>
        <v/>
      </c>
      <c r="E51" s="2" t="inlineStr">
        <is>
          <t>Revenue!$E$41</t>
        </is>
      </c>
    </row>
    <row r="52">
      <c r="A52" t="inlineStr">
        <is>
          <t>Bear 1Q27 adj. EBITDA margin</t>
        </is>
      </c>
      <c r="B52" s="11" t="n">
        <v>0.1331844087443908</v>
      </c>
      <c r="C52" s="11">
        <f>Revenue!$E$40</f>
        <v/>
      </c>
      <c r="D52" s="28">
        <f>C52-B52</f>
        <v/>
      </c>
      <c r="E52" s="2" t="inlineStr">
        <is>
          <t>Revenue!$E$40</t>
        </is>
      </c>
    </row>
    <row r="53">
      <c r="A53" t="inlineStr">
        <is>
          <t>Bear 2Q27 revenue ($M)</t>
        </is>
      </c>
      <c r="B53" s="21" t="n">
        <v>3719.329871901169</v>
      </c>
      <c r="C53" s="21">
        <f>Revenue!$F$36</f>
        <v/>
      </c>
      <c r="D53" s="28">
        <f>C53-B53</f>
        <v/>
      </c>
      <c r="E53" s="2" t="inlineStr">
        <is>
          <t>Revenue!$F$36</t>
        </is>
      </c>
    </row>
    <row r="54">
      <c r="A54" t="inlineStr">
        <is>
          <t>Bear 2Q27 nights (M)</t>
        </is>
      </c>
      <c r="B54" s="15" t="n">
        <v>156.5047417376376</v>
      </c>
      <c r="C54" s="15">
        <f>Revenue!$F$22</f>
        <v/>
      </c>
      <c r="D54" s="28">
        <f>C54-B54</f>
        <v/>
      </c>
      <c r="E54" s="2" t="inlineStr">
        <is>
          <t>Revenue!$F$22</t>
        </is>
      </c>
    </row>
    <row r="55">
      <c r="A55" t="inlineStr">
        <is>
          <t>Bear 2Q27 ADR ($)</t>
        </is>
      </c>
      <c r="B55" s="9" t="n">
        <v>180.35285887</v>
      </c>
      <c r="C55" s="9">
        <f>Revenue!$F$26</f>
        <v/>
      </c>
      <c r="D55" s="28">
        <f>C55-B55</f>
        <v/>
      </c>
      <c r="E55" s="2" t="inlineStr">
        <is>
          <t>Revenue!$F$26</t>
        </is>
      </c>
    </row>
    <row r="56">
      <c r="A56" t="inlineStr">
        <is>
          <t>Bear 2Q27 adj. EBITDA ($M)</t>
        </is>
      </c>
      <c r="B56" s="21" t="n">
        <v>1075.57220993109</v>
      </c>
      <c r="C56" s="21">
        <f>Revenue!$F$41</f>
        <v/>
      </c>
      <c r="D56" s="28">
        <f>C56-B56</f>
        <v/>
      </c>
      <c r="E56" s="2" t="inlineStr">
        <is>
          <t>Revenue!$F$41</t>
        </is>
      </c>
    </row>
    <row r="57">
      <c r="A57" t="inlineStr">
        <is>
          <t>Bear 2Q27 adj. EBITDA margin</t>
        </is>
      </c>
      <c r="B57" s="11" t="n">
        <v>0.2891844087443908</v>
      </c>
      <c r="C57" s="11">
        <f>Revenue!$F$40</f>
        <v/>
      </c>
      <c r="D57" s="28">
        <f>C57-B57</f>
        <v/>
      </c>
      <c r="E57" s="2" t="inlineStr">
        <is>
          <t>Revenue!$F$40</t>
        </is>
      </c>
    </row>
    <row r="58">
      <c r="A58" t="inlineStr">
        <is>
          <t>Bear 3Q27 revenue ($M)</t>
        </is>
      </c>
      <c r="B58" s="21" t="n">
        <v>4640.662968550142</v>
      </c>
      <c r="C58" s="21">
        <f>Revenue!$G$36</f>
        <v/>
      </c>
      <c r="D58" s="28">
        <f>C58-B58</f>
        <v/>
      </c>
      <c r="E58" s="2" t="inlineStr">
        <is>
          <t>Revenue!$G$36</t>
        </is>
      </c>
    </row>
    <row r="59">
      <c r="A59" t="inlineStr">
        <is>
          <t>Bear 3Q27 nights (M)</t>
        </is>
      </c>
      <c r="B59" s="15" t="n">
        <v>152.1525508639747</v>
      </c>
      <c r="C59" s="15">
        <f>Revenue!$G$22</f>
        <v/>
      </c>
      <c r="D59" s="28">
        <f>C59-B59</f>
        <v/>
      </c>
      <c r="E59" s="2" t="inlineStr">
        <is>
          <t>Revenue!$G$22</t>
        </is>
      </c>
    </row>
    <row r="60">
      <c r="A60" t="inlineStr">
        <is>
          <t>Bear 3Q27 ADR ($)</t>
        </is>
      </c>
      <c r="B60" s="9" t="n">
        <v>173.6412447163968</v>
      </c>
      <c r="C60" s="9">
        <f>Revenue!$G$26</f>
        <v/>
      </c>
      <c r="D60" s="28">
        <f>C60-B60</f>
        <v/>
      </c>
      <c r="E60" s="2" t="inlineStr">
        <is>
          <t>Revenue!$G$26</t>
        </is>
      </c>
    </row>
    <row r="61">
      <c r="A61" t="inlineStr">
        <is>
          <t>Bear 3Q27 adj. EBITDA ($M)</t>
        </is>
      </c>
      <c r="B61" s="21" t="n">
        <v>1959.215551559331</v>
      </c>
      <c r="C61" s="21">
        <f>Revenue!$G$41</f>
        <v/>
      </c>
      <c r="D61" s="28">
        <f>C61-B61</f>
        <v/>
      </c>
      <c r="E61" s="2" t="inlineStr">
        <is>
          <t>Revenue!$G$41</t>
        </is>
      </c>
    </row>
    <row r="62">
      <c r="A62" t="inlineStr">
        <is>
          <t>Bear 3Q27 adj. EBITDA margin</t>
        </is>
      </c>
      <c r="B62" s="11" t="n">
        <v>0.4221844087443907</v>
      </c>
      <c r="C62" s="11">
        <f>Revenue!$G$40</f>
        <v/>
      </c>
      <c r="D62" s="28">
        <f>C62-B62</f>
        <v/>
      </c>
      <c r="E62" s="2" t="inlineStr">
        <is>
          <t>Revenue!$G$40</t>
        </is>
      </c>
    </row>
    <row r="63">
      <c r="A63" t="inlineStr">
        <is>
          <t>Bear 4Q27 revenue ($M)</t>
        </is>
      </c>
      <c r="B63" s="21" t="n">
        <v>3054.585430905578</v>
      </c>
      <c r="C63" s="21">
        <f>Revenue!$H$36</f>
        <v/>
      </c>
      <c r="D63" s="28">
        <f>C63-B63</f>
        <v/>
      </c>
      <c r="E63" s="2" t="inlineStr">
        <is>
          <t>Revenue!$H$36</t>
        </is>
      </c>
    </row>
    <row r="64">
      <c r="A64" t="inlineStr">
        <is>
          <t>Bear 4Q27 nights (M)</t>
        </is>
      </c>
      <c r="B64" s="15" t="n">
        <v>137.729546527771</v>
      </c>
      <c r="C64" s="15">
        <f>Revenue!$H$22</f>
        <v/>
      </c>
      <c r="D64" s="28">
        <f>C64-B64</f>
        <v/>
      </c>
      <c r="E64" s="2" t="inlineStr">
        <is>
          <t>Revenue!$H$22</t>
        </is>
      </c>
    </row>
    <row r="65">
      <c r="A65" t="inlineStr">
        <is>
          <t>Bear 4Q27 ADR ($)</t>
        </is>
      </c>
      <c r="B65" s="9" t="n">
        <v>167.889774953948</v>
      </c>
      <c r="C65" s="9">
        <f>Revenue!$H$26</f>
        <v/>
      </c>
      <c r="D65" s="28">
        <f>C65-B65</f>
        <v/>
      </c>
      <c r="E65" s="2" t="inlineStr">
        <is>
          <t>Revenue!$H$26</t>
        </is>
      </c>
    </row>
    <row r="66">
      <c r="A66" t="inlineStr">
        <is>
          <t>Bear 4Q27 adj. EBITDA ($M)</t>
        </is>
      </c>
      <c r="B66" s="21" t="n">
        <v>623.6987201686857</v>
      </c>
      <c r="C66" s="21">
        <f>Revenue!$H$41</f>
        <v/>
      </c>
      <c r="D66" s="28">
        <f>C66-B66</f>
        <v/>
      </c>
      <c r="E66" s="2" t="inlineStr">
        <is>
          <t>Revenue!$H$41</t>
        </is>
      </c>
    </row>
    <row r="67">
      <c r="A67" t="inlineStr">
        <is>
          <t>Bear 4Q27 adj. EBITDA margin</t>
        </is>
      </c>
      <c r="B67" s="11" t="n">
        <v>0.2041844087443908</v>
      </c>
      <c r="C67" s="11">
        <f>Revenue!$H$40</f>
        <v/>
      </c>
      <c r="D67" s="28">
        <f>C67-B67</f>
        <v/>
      </c>
      <c r="E67" s="2" t="inlineStr">
        <is>
          <t>Revenue!$H$40</t>
        </is>
      </c>
    </row>
    <row r="68">
      <c r="A68" t="inlineStr">
        <is>
          <t>Bear Football field low</t>
        </is>
      </c>
      <c r="B68" s="9" t="n">
        <v>37.23012737303444</v>
      </c>
      <c r="C68" s="9">
        <f>Valuation!$B$44</f>
        <v/>
      </c>
      <c r="D68" s="28">
        <f>C68-B68</f>
        <v/>
      </c>
      <c r="E68" s="2" t="inlineStr">
        <is>
          <t>Valuation!$B$44</t>
        </is>
      </c>
    </row>
    <row r="69">
      <c r="A69" t="inlineStr">
        <is>
          <t>Bear Football field high</t>
        </is>
      </c>
      <c r="B69" s="9" t="n">
        <v>108.4647336267925</v>
      </c>
      <c r="C69" s="9">
        <f>Valuation!$B$45</f>
        <v/>
      </c>
      <c r="D69" s="28">
        <f>C69-B69</f>
        <v/>
      </c>
      <c r="E69" s="2" t="inlineStr">
        <is>
          <t>Valuation!$B$45</t>
        </is>
      </c>
    </row>
    <row r="70">
      <c r="A70" t="inlineStr">
        <is>
          <t>Bear Football field mean</t>
        </is>
      </c>
      <c r="B70" s="9" t="n">
        <v>74.17821596363943</v>
      </c>
      <c r="C70" s="9">
        <f>Valuation!$B$46</f>
        <v/>
      </c>
      <c r="D70" s="28">
        <f>C70-B70</f>
        <v/>
      </c>
      <c r="E70" s="2" t="inlineStr">
        <is>
          <t>Valuation!$B$46</t>
        </is>
      </c>
    </row>
    <row r="71">
      <c r="A71" t="inlineStr">
        <is>
          <t>Bear price: EV / adj. EBITDA, FY27E</t>
        </is>
      </c>
      <c r="B71" s="9" t="n">
        <v>108.4647336267925</v>
      </c>
      <c r="C71" s="9">
        <f>Valuation!$B$19</f>
        <v/>
      </c>
      <c r="D71" s="28">
        <f>C71-B71</f>
        <v/>
      </c>
      <c r="E71" s="2" t="inlineStr">
        <is>
          <t>Valuation!$B$19</t>
        </is>
      </c>
    </row>
    <row r="72">
      <c r="A72" t="inlineStr">
        <is>
          <t>Bear price: EV / FCF, FY27E</t>
        </is>
      </c>
      <c r="B72" s="9" t="n">
        <v>83.55331087008436</v>
      </c>
      <c r="C72" s="9">
        <f>Valuation!$B$20</f>
        <v/>
      </c>
      <c r="D72" s="28">
        <f>C72-B72</f>
        <v/>
      </c>
      <c r="E72" s="2" t="inlineStr">
        <is>
          <t>Valuation!$B$20</t>
        </is>
      </c>
    </row>
    <row r="73">
      <c r="A73" t="inlineStr">
        <is>
          <t>Bear price: P / SBC-adjusted FCF, FY27E</t>
        </is>
      </c>
      <c r="B73" s="9" t="n">
        <v>37.23012737303444</v>
      </c>
      <c r="C73" s="9">
        <f>Valuation!$B$21</f>
        <v/>
      </c>
      <c r="D73" s="28">
        <f>C73-B73</f>
        <v/>
      </c>
      <c r="E73" s="2" t="inlineStr">
        <is>
          <t>Valuation!$B$21</t>
        </is>
      </c>
    </row>
    <row r="74">
      <c r="A74" t="inlineStr">
        <is>
          <t>Bear price: P / earnings proxy, FY27E</t>
        </is>
      </c>
      <c r="B74" s="9" t="n">
        <v>45.33527202462913</v>
      </c>
      <c r="C74" s="9">
        <f>Valuation!$B$22</f>
        <v/>
      </c>
      <c r="D74" s="28">
        <f>C74-B74</f>
        <v/>
      </c>
      <c r="E74" s="2" t="inlineStr">
        <is>
          <t>Valuation!$B$22</t>
        </is>
      </c>
    </row>
    <row r="75">
      <c r="A75" t="inlineStr">
        <is>
          <t>Bear price: EV / adj. EBITDA, FY28E</t>
        </is>
      </c>
      <c r="B75" s="9" t="n">
        <v>92.95077640792191</v>
      </c>
      <c r="C75" s="9">
        <f>Valuation!$B$23</f>
        <v/>
      </c>
      <c r="D75" s="28">
        <f>C75-B75</f>
        <v/>
      </c>
      <c r="E75" s="2" t="inlineStr">
        <is>
          <t>Valuation!$B$23</t>
        </is>
      </c>
    </row>
    <row r="76">
      <c r="A76" t="inlineStr">
        <is>
          <t>Bear price: DCF on FCF</t>
        </is>
      </c>
      <c r="B76" s="9" t="n">
        <v>77.53507547937431</v>
      </c>
      <c r="C76" s="9">
        <f>Valuation!$B$40</f>
        <v/>
      </c>
      <c r="D76" s="28">
        <f>C76-B76</f>
        <v/>
      </c>
      <c r="E76" s="2" t="inlineStr">
        <is>
          <t>Valuation!$B$40</t>
        </is>
      </c>
    </row>
    <row r="77">
      <c r="A77" t="inlineStr">
        <is>
          <t>Base FY2026 revenue ($M)</t>
        </is>
      </c>
      <c r="B77" s="21" t="n">
        <v>14232.53180246914</v>
      </c>
      <c r="C77" s="21">
        <f>Revenue!$I$77</f>
        <v/>
      </c>
      <c r="D77" s="28">
        <f>C77-B77</f>
        <v/>
      </c>
      <c r="E77" s="2" t="inlineStr">
        <is>
          <t>Revenue!$I$77</t>
        </is>
      </c>
    </row>
    <row r="78">
      <c r="A78" t="inlineStr">
        <is>
          <t>Base FY2026 nights (M)</t>
        </is>
      </c>
      <c r="B78" s="15" t="n">
        <v>585.6972685563485</v>
      </c>
      <c r="C78" s="15">
        <f>Revenue!$I$63</f>
        <v/>
      </c>
      <c r="D78" s="28">
        <f>C78-B78</f>
        <v/>
      </c>
      <c r="E78" s="2" t="inlineStr">
        <is>
          <t>Revenue!$I$63</t>
        </is>
      </c>
    </row>
    <row r="79">
      <c r="A79" t="inlineStr">
        <is>
          <t>Base FY2026 GBV ($M)</t>
        </is>
      </c>
      <c r="B79" s="21" t="n">
        <v>105614.3302170976</v>
      </c>
      <c r="C79" s="21">
        <f>Revenue!$I$69</f>
        <v/>
      </c>
      <c r="D79" s="28">
        <f>C79-B79</f>
        <v/>
      </c>
      <c r="E79" s="2" t="inlineStr">
        <is>
          <t>Revenue!$I$69</t>
        </is>
      </c>
    </row>
    <row r="80">
      <c r="A80" t="inlineStr">
        <is>
          <t>Base FY2026 adj. EBITDA ($M)</t>
        </is>
      </c>
      <c r="B80" s="21" t="n">
        <v>5158.035616688309</v>
      </c>
      <c r="C80" s="21">
        <f>Costs!$D$51</f>
        <v/>
      </c>
      <c r="D80" s="28">
        <f>C80-B80</f>
        <v/>
      </c>
      <c r="E80" s="2" t="inlineStr">
        <is>
          <t>Costs!$D$51</t>
        </is>
      </c>
    </row>
    <row r="81">
      <c r="A81" t="inlineStr">
        <is>
          <t>Base FY2026 adj. EBITDA margin</t>
        </is>
      </c>
      <c r="B81" s="11" t="n">
        <v>0.3624116698473467</v>
      </c>
      <c r="C81" s="11">
        <f>Costs!$D$52</f>
        <v/>
      </c>
      <c r="D81" s="28">
        <f>C81-B81</f>
        <v/>
      </c>
      <c r="E81" s="2" t="inlineStr">
        <is>
          <t>Costs!$D$52</t>
        </is>
      </c>
    </row>
    <row r="82">
      <c r="A82" t="inlineStr">
        <is>
          <t>Base FY2026 net income ($M)</t>
        </is>
      </c>
      <c r="B82" s="21" t="n">
        <v>3064.564392677531</v>
      </c>
      <c r="C82" s="21">
        <f>Costs!$D$62</f>
        <v/>
      </c>
      <c r="D82" s="28">
        <f>C82-B82</f>
        <v/>
      </c>
      <c r="E82" s="2" t="inlineStr">
        <is>
          <t>Costs!$D$62</t>
        </is>
      </c>
    </row>
    <row r="83">
      <c r="A83" t="inlineStr">
        <is>
          <t>Base FY2026 FCF ($M)</t>
        </is>
      </c>
      <c r="B83" s="21" t="n">
        <v>5128.734344589543</v>
      </c>
      <c r="C83" s="21">
        <f>Cash!$D$39</f>
        <v/>
      </c>
      <c r="D83" s="28">
        <f>C83-B83</f>
        <v/>
      </c>
      <c r="E83" s="2" t="inlineStr">
        <is>
          <t>Cash!$D$39</t>
        </is>
      </c>
    </row>
    <row r="84">
      <c r="A84" t="inlineStr">
        <is>
          <t>Base FY2026 SBC-adj FCF ($M)</t>
        </is>
      </c>
      <c r="B84" s="21" t="n">
        <v>3342.204344589543</v>
      </c>
      <c r="C84" s="21">
        <f>Cash!$D$43</f>
        <v/>
      </c>
      <c r="D84" s="28">
        <f>C84-B84</f>
        <v/>
      </c>
      <c r="E84" s="2" t="inlineStr">
        <is>
          <t>Cash!$D$43</t>
        </is>
      </c>
    </row>
    <row r="85">
      <c r="A85" t="inlineStr">
        <is>
          <t>Base FY2026 diluted shares (M)</t>
        </is>
      </c>
      <c r="B85" s="15" t="n">
        <v>588.8500302297462</v>
      </c>
      <c r="C85" s="15">
        <f>Cash!$D$48</f>
        <v/>
      </c>
      <c r="D85" s="28">
        <f>C85-B85</f>
        <v/>
      </c>
      <c r="E85" s="2" t="inlineStr">
        <is>
          <t>Cash!$D$48</t>
        </is>
      </c>
    </row>
    <row r="86">
      <c r="A86" t="inlineStr">
        <is>
          <t>Base FY2026 FCF per share ($)</t>
        </is>
      </c>
      <c r="B86" s="9" t="n">
        <v>8.709746253368642</v>
      </c>
      <c r="C86" s="9">
        <f>Cash!$D$49</f>
        <v/>
      </c>
      <c r="D86" s="28">
        <f>C86-B86</f>
        <v/>
      </c>
      <c r="E86" s="2" t="inlineStr">
        <is>
          <t>Cash!$D$49</t>
        </is>
      </c>
    </row>
    <row r="87">
      <c r="A87" t="inlineStr">
        <is>
          <t>Base FY2026 net cash ($M)</t>
        </is>
      </c>
      <c r="B87" s="21" t="n">
        <v>9383.448844589542</v>
      </c>
      <c r="C87" s="21">
        <f>Cash!$D$52</f>
        <v/>
      </c>
      <c r="D87" s="28">
        <f>C87-B87</f>
        <v/>
      </c>
      <c r="E87" s="2" t="inlineStr">
        <is>
          <t>Cash!$D$52</t>
        </is>
      </c>
    </row>
    <row r="88">
      <c r="A88" t="inlineStr">
        <is>
          <t>Base FY2027 revenue ($M)</t>
        </is>
      </c>
      <c r="B88" s="21" t="n">
        <v>15842.03591051054</v>
      </c>
      <c r="C88" s="21">
        <f>Revenue!$J$77</f>
        <v/>
      </c>
      <c r="D88" s="28">
        <f>C88-B88</f>
        <v/>
      </c>
      <c r="E88" s="2" t="inlineStr">
        <is>
          <t>Revenue!$J$77</t>
        </is>
      </c>
    </row>
    <row r="89">
      <c r="A89" t="inlineStr">
        <is>
          <t>Base FY2027 nights (M)</t>
        </is>
      </c>
      <c r="B89" s="15" t="n">
        <v>637.644504969055</v>
      </c>
      <c r="C89" s="15">
        <f>Revenue!$J$63</f>
        <v/>
      </c>
      <c r="D89" s="28">
        <f>C89-B89</f>
        <v/>
      </c>
      <c r="E89" s="2" t="inlineStr">
        <is>
          <t>Revenue!$J$63</t>
        </is>
      </c>
    </row>
    <row r="90">
      <c r="A90" t="inlineStr">
        <is>
          <t>Base FY2027 GBV ($M)</t>
        </is>
      </c>
      <c r="B90" s="21" t="n">
        <v>118081.2604916455</v>
      </c>
      <c r="C90" s="21">
        <f>Revenue!$J$69</f>
        <v/>
      </c>
      <c r="D90" s="28">
        <f>C90-B90</f>
        <v/>
      </c>
      <c r="E90" s="2" t="inlineStr">
        <is>
          <t>Revenue!$J$69</t>
        </is>
      </c>
    </row>
    <row r="91">
      <c r="A91" t="inlineStr">
        <is>
          <t>Base FY2027 adj. EBITDA ($M)</t>
        </is>
      </c>
      <c r="B91" s="21" t="n">
        <v>5685.769805030302</v>
      </c>
      <c r="C91" s="21">
        <f>Costs!$E$51</f>
        <v/>
      </c>
      <c r="D91" s="28">
        <f>C91-B91</f>
        <v/>
      </c>
      <c r="E91" s="2" t="inlineStr">
        <is>
          <t>Costs!$E$51</t>
        </is>
      </c>
    </row>
    <row r="92">
      <c r="A92" t="inlineStr">
        <is>
          <t>Base FY2027 adj. EBITDA margin</t>
        </is>
      </c>
      <c r="B92" s="11" t="n">
        <v>0.3589039841311071</v>
      </c>
      <c r="C92" s="11">
        <f>Costs!$E$52</f>
        <v/>
      </c>
      <c r="D92" s="28">
        <f>C92-B92</f>
        <v/>
      </c>
      <c r="E92" s="2" t="inlineStr">
        <is>
          <t>Costs!$E$52</t>
        </is>
      </c>
    </row>
    <row r="93">
      <c r="A93" t="inlineStr">
        <is>
          <t>Base FY2027 net income ($M)</t>
        </is>
      </c>
      <c r="B93" s="21" t="n">
        <v>3258.406785468567</v>
      </c>
      <c r="C93" s="21">
        <f>Costs!$E$62</f>
        <v/>
      </c>
      <c r="D93" s="28">
        <f>C93-B93</f>
        <v/>
      </c>
      <c r="E93" s="2" t="inlineStr">
        <is>
          <t>Costs!$E$62</t>
        </is>
      </c>
    </row>
    <row r="94">
      <c r="A94" t="inlineStr">
        <is>
          <t>Base FY2027 FCF ($M)</t>
        </is>
      </c>
      <c r="B94" s="21" t="n">
        <v>5420.352081325796</v>
      </c>
      <c r="C94" s="21">
        <f>Cash!$E$39</f>
        <v/>
      </c>
      <c r="D94" s="28">
        <f>C94-B94</f>
        <v/>
      </c>
      <c r="E94" s="2" t="inlineStr">
        <is>
          <t>Cash!$E$39</t>
        </is>
      </c>
    </row>
    <row r="95">
      <c r="A95" t="inlineStr">
        <is>
          <t>Base FY2027 SBC-adj FCF ($M)</t>
        </is>
      </c>
      <c r="B95" s="21" t="n">
        <v>3455.169081325796</v>
      </c>
      <c r="C95" s="21">
        <f>Cash!$E$43</f>
        <v/>
      </c>
      <c r="D95" s="28">
        <f>C95-B95</f>
        <v/>
      </c>
      <c r="E95" s="2" t="inlineStr">
        <is>
          <t>Cash!$E$43</t>
        </is>
      </c>
    </row>
    <row r="96">
      <c r="A96" t="inlineStr">
        <is>
          <t>Base FY2027 diluted shares (M)</t>
        </is>
      </c>
      <c r="B96" s="15" t="n">
        <v>574.5981782324891</v>
      </c>
      <c r="C96" s="15">
        <f>Cash!$E$48</f>
        <v/>
      </c>
      <c r="D96" s="28">
        <f>C96-B96</f>
        <v/>
      </c>
      <c r="E96" s="2" t="inlineStr">
        <is>
          <t>Cash!$E$48</t>
        </is>
      </c>
    </row>
    <row r="97">
      <c r="A97" t="inlineStr">
        <is>
          <t>Base FY2027 FCF per share ($)</t>
        </is>
      </c>
      <c r="B97" s="9" t="n">
        <v>9.433291448990044</v>
      </c>
      <c r="C97" s="9">
        <f>Cash!$E$49</f>
        <v/>
      </c>
      <c r="D97" s="28">
        <f>C97-B97</f>
        <v/>
      </c>
      <c r="E97" s="2" t="inlineStr">
        <is>
          <t>Cash!$E$49</t>
        </is>
      </c>
    </row>
    <row r="98">
      <c r="A98" t="inlineStr">
        <is>
          <t>Base FY2027 net cash ($M)</t>
        </is>
      </c>
      <c r="B98" s="21" t="n">
        <v>10115.98687591534</v>
      </c>
      <c r="C98" s="21">
        <f>Cash!$E$52</f>
        <v/>
      </c>
      <c r="D98" s="28">
        <f>C98-B98</f>
        <v/>
      </c>
      <c r="E98" s="2" t="inlineStr">
        <is>
          <t>Cash!$E$52</t>
        </is>
      </c>
    </row>
    <row r="99">
      <c r="A99" t="inlineStr">
        <is>
          <t>Base FY2028 revenue ($M)</t>
        </is>
      </c>
      <c r="B99" s="21" t="n">
        <v>17947.13582233434</v>
      </c>
      <c r="C99" s="21">
        <f>Revenue!$K$77</f>
        <v/>
      </c>
      <c r="D99" s="28">
        <f>C99-B99</f>
        <v/>
      </c>
      <c r="E99" s="2" t="inlineStr">
        <is>
          <t>Revenue!$K$77</t>
        </is>
      </c>
    </row>
    <row r="100">
      <c r="A100" t="inlineStr">
        <is>
          <t>Base FY2028 nights (M)</t>
        </is>
      </c>
      <c r="B100" s="15" t="n">
        <v>685.1568360616959</v>
      </c>
      <c r="C100" s="15">
        <f>Revenue!$K$63</f>
        <v/>
      </c>
      <c r="D100" s="28">
        <f>C100-B100</f>
        <v/>
      </c>
      <c r="E100" s="2" t="inlineStr">
        <is>
          <t>Revenue!$K$63</t>
        </is>
      </c>
    </row>
    <row r="101">
      <c r="A101" t="inlineStr">
        <is>
          <t>Base FY2028 GBV ($M)</t>
        </is>
      </c>
      <c r="B101" s="21" t="n">
        <v>130051.7557374278</v>
      </c>
      <c r="C101" s="21">
        <f>Revenue!$K$69</f>
        <v/>
      </c>
      <c r="D101" s="28">
        <f>C101-B101</f>
        <v/>
      </c>
      <c r="E101" s="2" t="inlineStr">
        <is>
          <t>Revenue!$K$69</t>
        </is>
      </c>
    </row>
    <row r="102">
      <c r="A102" t="inlineStr">
        <is>
          <t>Base FY2028 adj. EBITDA ($M)</t>
        </is>
      </c>
      <c r="B102" s="21" t="n">
        <v>6703.852254375575</v>
      </c>
      <c r="C102" s="21">
        <f>Costs!$F$51</f>
        <v/>
      </c>
      <c r="D102" s="28">
        <f>C102-B102</f>
        <v/>
      </c>
      <c r="E102" s="2" t="inlineStr">
        <is>
          <t>Costs!$F$51</t>
        </is>
      </c>
    </row>
    <row r="103">
      <c r="A103" t="inlineStr">
        <is>
          <t>Base FY2028 adj. EBITDA margin</t>
        </is>
      </c>
      <c r="B103" s="11" t="n">
        <v>0.3735332657388682</v>
      </c>
      <c r="C103" s="11">
        <f>Costs!$F$52</f>
        <v/>
      </c>
      <c r="D103" s="28">
        <f>C103-B103</f>
        <v/>
      </c>
      <c r="E103" s="2" t="inlineStr">
        <is>
          <t>Costs!$F$52</t>
        </is>
      </c>
    </row>
    <row r="104">
      <c r="A104" t="inlineStr">
        <is>
          <t>Base FY2028 net income ($M)</t>
        </is>
      </c>
      <c r="B104" s="21" t="n">
        <v>3907.944313579654</v>
      </c>
      <c r="C104" s="21">
        <f>Costs!$F$62</f>
        <v/>
      </c>
      <c r="D104" s="28">
        <f>C104-B104</f>
        <v/>
      </c>
      <c r="E104" s="2" t="inlineStr">
        <is>
          <t>Costs!$F$62</t>
        </is>
      </c>
    </row>
    <row r="105">
      <c r="A105" t="inlineStr">
        <is>
          <t>Base FY2028 FCF ($M)</t>
        </is>
      </c>
      <c r="B105" s="21" t="n">
        <v>6199.706919969521</v>
      </c>
      <c r="C105" s="21">
        <f>Cash!$F$39</f>
        <v/>
      </c>
      <c r="D105" s="28">
        <f>C105-B105</f>
        <v/>
      </c>
      <c r="E105" s="2" t="inlineStr">
        <is>
          <t>Cash!$F$39</t>
        </is>
      </c>
    </row>
    <row r="106">
      <c r="A106" t="inlineStr">
        <is>
          <t>Base FY2028 SBC-adj FCF ($M)</t>
        </is>
      </c>
      <c r="B106" s="21" t="n">
        <v>4077.309279969521</v>
      </c>
      <c r="C106" s="21">
        <f>Cash!$F$43</f>
        <v/>
      </c>
      <c r="D106" s="28">
        <f>C106-B106</f>
        <v/>
      </c>
      <c r="E106" s="2" t="inlineStr">
        <is>
          <t>Cash!$F$43</t>
        </is>
      </c>
    </row>
    <row r="107">
      <c r="A107" t="inlineStr">
        <is>
          <t>Base FY2028 diluted shares (M)</t>
        </is>
      </c>
      <c r="B107" s="15" t="n">
        <v>561.5344334929384</v>
      </c>
      <c r="C107" s="15">
        <f>Cash!$F$48</f>
        <v/>
      </c>
      <c r="D107" s="28">
        <f>C107-B107</f>
        <v/>
      </c>
      <c r="E107" s="2" t="inlineStr">
        <is>
          <t>Cash!$F$48</t>
        </is>
      </c>
    </row>
    <row r="108">
      <c r="A108" t="inlineStr">
        <is>
          <t>Base FY2028 FCF per share ($)</t>
        </is>
      </c>
      <c r="B108" s="9" t="n">
        <v>11.04065316423287</v>
      </c>
      <c r="C108" s="9">
        <f>Cash!$F$49</f>
        <v/>
      </c>
      <c r="D108" s="28">
        <f>C108-B108</f>
        <v/>
      </c>
      <c r="E108" s="2" t="inlineStr">
        <is>
          <t>Cash!$F$49</t>
        </is>
      </c>
    </row>
    <row r="109">
      <c r="A109" t="inlineStr">
        <is>
          <t>Base FY2028 net cash ($M)</t>
        </is>
      </c>
      <c r="B109" s="21" t="n">
        <v>11572.85462188486</v>
      </c>
      <c r="C109" s="21">
        <f>Cash!$F$52</f>
        <v/>
      </c>
      <c r="D109" s="28">
        <f>C109-B109</f>
        <v/>
      </c>
      <c r="E109" s="2" t="inlineStr">
        <is>
          <t>Cash!$F$52</t>
        </is>
      </c>
    </row>
    <row r="110">
      <c r="A110" t="inlineStr">
        <is>
          <t>Base 3Q26 revenue ($M)</t>
        </is>
      </c>
      <c r="B110" s="21" t="n">
        <v>4801.037818366705</v>
      </c>
      <c r="C110" s="21">
        <f>Revenue!$C$77</f>
        <v/>
      </c>
      <c r="D110" s="28">
        <f>C110-B110</f>
        <v/>
      </c>
      <c r="E110" s="2" t="inlineStr">
        <is>
          <t>Revenue!$C$77</t>
        </is>
      </c>
    </row>
    <row r="111">
      <c r="A111" t="inlineStr">
        <is>
          <t>Base 3Q26 nights (M)</t>
        </is>
      </c>
      <c r="B111" s="15" t="n">
        <v>147.2394101048</v>
      </c>
      <c r="C111" s="15">
        <f>Revenue!$C$63</f>
        <v/>
      </c>
      <c r="D111" s="28">
        <f>C111-B111</f>
        <v/>
      </c>
      <c r="E111" s="2" t="inlineStr">
        <is>
          <t>Revenue!$C$63</t>
        </is>
      </c>
    </row>
    <row r="112">
      <c r="A112" t="inlineStr">
        <is>
          <t>Base 3Q26 ADR ($)</t>
        </is>
      </c>
      <c r="B112" s="9" t="n">
        <v>177.8401296</v>
      </c>
      <c r="C112" s="9">
        <f>Revenue!$C$67</f>
        <v/>
      </c>
      <c r="D112" s="28">
        <f>C112-B112</f>
        <v/>
      </c>
      <c r="E112" s="2" t="inlineStr">
        <is>
          <t>Revenue!$C$67</t>
        </is>
      </c>
    </row>
    <row r="113">
      <c r="A113" t="inlineStr">
        <is>
          <t>Base 3Q26 adj. EBITDA ($M)</t>
        </is>
      </c>
      <c r="B113" s="21" t="n">
        <v>2352.508530999686</v>
      </c>
      <c r="C113" s="21">
        <f>Revenue!$C$82</f>
        <v/>
      </c>
      <c r="D113" s="28">
        <f>C113-B113</f>
        <v/>
      </c>
      <c r="E113" s="2" t="inlineStr">
        <is>
          <t>Revenue!$C$82</t>
        </is>
      </c>
    </row>
    <row r="114">
      <c r="A114" t="inlineStr">
        <is>
          <t>Base 3Q26 adj. EBITDA margin</t>
        </is>
      </c>
      <c r="B114" s="11" t="n">
        <v>0.49</v>
      </c>
      <c r="C114" s="11">
        <f>Revenue!$C$81</f>
        <v/>
      </c>
      <c r="D114" s="28">
        <f>C114-B114</f>
        <v/>
      </c>
      <c r="E114" s="2" t="inlineStr">
        <is>
          <t>Revenue!$C$81</t>
        </is>
      </c>
    </row>
    <row r="115">
      <c r="A115" t="inlineStr">
        <is>
          <t>Base 4Q26 revenue ($M)</t>
        </is>
      </c>
      <c r="B115" s="21" t="n">
        <v>3145.493984102436</v>
      </c>
      <c r="C115" s="21">
        <f>Revenue!$D$77</f>
        <v/>
      </c>
      <c r="D115" s="28">
        <f>C115-B115</f>
        <v/>
      </c>
      <c r="E115" s="2" t="inlineStr">
        <is>
          <t>Revenue!$D$77</t>
        </is>
      </c>
    </row>
    <row r="116">
      <c r="A116" t="inlineStr">
        <is>
          <t>Base 4Q26 nights (M)</t>
        </is>
      </c>
      <c r="B116" s="15" t="n">
        <v>133.9578584515485</v>
      </c>
      <c r="C116" s="15">
        <f>Revenue!$D$63</f>
        <v/>
      </c>
      <c r="D116" s="28">
        <f>C116-B116</f>
        <v/>
      </c>
      <c r="E116" s="2" t="inlineStr">
        <is>
          <t>Revenue!$D$63</t>
        </is>
      </c>
    </row>
    <row r="117">
      <c r="A117" t="inlineStr">
        <is>
          <t>Base 4Q26 ADR ($)</t>
        </is>
      </c>
      <c r="B117" s="9" t="n">
        <v>171.91417292</v>
      </c>
      <c r="C117" s="9">
        <f>Revenue!$D$67</f>
        <v/>
      </c>
      <c r="D117" s="28">
        <f>C117-B117</f>
        <v/>
      </c>
      <c r="E117" s="2" t="inlineStr">
        <is>
          <t>Revenue!$D$67</t>
        </is>
      </c>
    </row>
    <row r="118">
      <c r="A118" t="inlineStr">
        <is>
          <t>Base 4Q26 adj. EBITDA ($M)</t>
        </is>
      </c>
      <c r="B118" s="21" t="n">
        <v>1022.285544833292</v>
      </c>
      <c r="C118" s="21">
        <f>Revenue!$D$82</f>
        <v/>
      </c>
      <c r="D118" s="28">
        <f>C118-B118</f>
        <v/>
      </c>
      <c r="E118" s="2" t="inlineStr">
        <is>
          <t>Revenue!$D$82</t>
        </is>
      </c>
    </row>
    <row r="119">
      <c r="A119" t="inlineStr">
        <is>
          <t>Base 4Q26 adj. EBITDA margin</t>
        </is>
      </c>
      <c r="B119" s="11" t="n">
        <v>0.325</v>
      </c>
      <c r="C119" s="11">
        <f>Revenue!$D$81</f>
        <v/>
      </c>
      <c r="D119" s="28">
        <f>C119-B119</f>
        <v/>
      </c>
      <c r="E119" s="2" t="inlineStr">
        <is>
          <t>Revenue!$D$81</t>
        </is>
      </c>
    </row>
    <row r="120">
      <c r="A120" t="inlineStr">
        <is>
          <t>Base 1Q27 revenue ($M)</t>
        </is>
      </c>
      <c r="B120" s="21" t="n">
        <v>2991.644773781581</v>
      </c>
      <c r="C120" s="21">
        <f>Revenue!$E$77</f>
        <v/>
      </c>
      <c r="D120" s="28">
        <f>C120-B120</f>
        <v/>
      </c>
      <c r="E120" s="2" t="inlineStr">
        <is>
          <t>Revenue!$E$77</t>
        </is>
      </c>
    </row>
    <row r="121">
      <c r="A121" t="inlineStr">
        <is>
          <t>Base 1Q27 nights (M)</t>
        </is>
      </c>
      <c r="B121" s="15" t="n">
        <v>170.0062237192</v>
      </c>
      <c r="C121" s="15">
        <f>Revenue!$E$63</f>
        <v/>
      </c>
      <c r="D121" s="28">
        <f>C121-B121</f>
        <v/>
      </c>
      <c r="E121" s="2" t="inlineStr">
        <is>
          <t>Revenue!$E$63</t>
        </is>
      </c>
    </row>
    <row r="122">
      <c r="A122" t="inlineStr">
        <is>
          <t>Base 1Q27 ADR ($)</t>
        </is>
      </c>
      <c r="B122" s="9" t="n">
        <v>190.724538</v>
      </c>
      <c r="C122" s="9">
        <f>Revenue!$E$67</f>
        <v/>
      </c>
      <c r="D122" s="28">
        <f>C122-B122</f>
        <v/>
      </c>
      <c r="E122" s="2" t="inlineStr">
        <is>
          <t>Revenue!$E$67</t>
        </is>
      </c>
    </row>
    <row r="123">
      <c r="A123" t="inlineStr">
        <is>
          <t>Base 1Q27 adj. EBITDA ($M)</t>
        </is>
      </c>
      <c r="B123" s="21" t="n">
        <v>572.8858127219833</v>
      </c>
      <c r="C123" s="21">
        <f>Revenue!$E$82</f>
        <v/>
      </c>
      <c r="D123" s="28">
        <f>C123-B123</f>
        <v/>
      </c>
      <c r="E123" s="2" t="inlineStr">
        <is>
          <t>Revenue!$E$82</t>
        </is>
      </c>
    </row>
    <row r="124">
      <c r="A124" t="inlineStr">
        <is>
          <t>Base 1Q27 adj. EBITDA margin</t>
        </is>
      </c>
      <c r="B124" s="11" t="n">
        <v>0.1914952663306441</v>
      </c>
      <c r="C124" s="11">
        <f>Revenue!$E$81</f>
        <v/>
      </c>
      <c r="D124" s="28">
        <f>C124-B124</f>
        <v/>
      </c>
      <c r="E124" s="2" t="inlineStr">
        <is>
          <t>Revenue!$E$81</t>
        </is>
      </c>
    </row>
    <row r="125">
      <c r="A125" t="inlineStr">
        <is>
          <t>Base 2Q27 revenue ($M)</t>
        </is>
      </c>
      <c r="B125" s="21" t="n">
        <v>4048.789686655286</v>
      </c>
      <c r="C125" s="21">
        <f>Revenue!$F$77</f>
        <v/>
      </c>
      <c r="D125" s="28">
        <f>C125-B125</f>
        <v/>
      </c>
      <c r="E125" s="2" t="inlineStr">
        <is>
          <t>Revenue!$F$77</t>
        </is>
      </c>
    </row>
    <row r="126">
      <c r="A126" t="inlineStr">
        <is>
          <t>Base 2Q27 nights (M)</t>
        </is>
      </c>
      <c r="B126" s="15" t="n">
        <v>161.4139319278279</v>
      </c>
      <c r="C126" s="15">
        <f>Revenue!$F$63</f>
        <v/>
      </c>
      <c r="D126" s="28">
        <f>C126-B126</f>
        <v/>
      </c>
      <c r="E126" s="2" t="inlineStr">
        <is>
          <t>Revenue!$F$63</t>
        </is>
      </c>
    </row>
    <row r="127">
      <c r="A127" t="inlineStr">
        <is>
          <t>Base 2Q27 ADR ($)</t>
        </is>
      </c>
      <c r="B127" s="9" t="n">
        <v>188.36091465</v>
      </c>
      <c r="C127" s="9">
        <f>Revenue!$F$67</f>
        <v/>
      </c>
      <c r="D127" s="28">
        <f>C127-B127</f>
        <v/>
      </c>
      <c r="E127" s="2" t="inlineStr">
        <is>
          <t>Revenue!$F$67</t>
        </is>
      </c>
    </row>
    <row r="128">
      <c r="A128" t="inlineStr">
        <is>
          <t>Base 2Q27 adj. EBITDA ($M)</t>
        </is>
      </c>
      <c r="B128" s="21" t="n">
        <v>1406.935250481044</v>
      </c>
      <c r="C128" s="21">
        <f>Revenue!$F$82</f>
        <v/>
      </c>
      <c r="D128" s="28">
        <f>C128-B128</f>
        <v/>
      </c>
      <c r="E128" s="2" t="inlineStr">
        <is>
          <t>Revenue!$F$82</t>
        </is>
      </c>
    </row>
    <row r="129">
      <c r="A129" t="inlineStr">
        <is>
          <t>Base 2Q27 adj. EBITDA margin</t>
        </is>
      </c>
      <c r="B129" s="11" t="n">
        <v>0.347495266330644</v>
      </c>
      <c r="C129" s="11">
        <f>Revenue!$F$81</f>
        <v/>
      </c>
      <c r="D129" s="28">
        <f>C129-B129</f>
        <v/>
      </c>
      <c r="E129" s="2" t="inlineStr">
        <is>
          <t>Revenue!$F$81</t>
        </is>
      </c>
    </row>
    <row r="130">
      <c r="A130" t="inlineStr">
        <is>
          <t>Base 3Q27 revenue ($M)</t>
        </is>
      </c>
      <c r="B130" s="21" t="n">
        <v>5257.417806361116</v>
      </c>
      <c r="C130" s="21">
        <f>Revenue!$G$77</f>
        <v/>
      </c>
      <c r="D130" s="28">
        <f>C130-B130</f>
        <v/>
      </c>
      <c r="E130" s="2" t="inlineStr">
        <is>
          <t>Revenue!$G$77</t>
        </is>
      </c>
    </row>
    <row r="131">
      <c r="A131" t="inlineStr">
        <is>
          <t>Base 3Q27 nights (M)</t>
        </is>
      </c>
      <c r="B131" s="15" t="n">
        <v>160.2815709716787</v>
      </c>
      <c r="C131" s="15">
        <f>Revenue!$G$63</f>
        <v/>
      </c>
      <c r="D131" s="28">
        <f>C131-B131</f>
        <v/>
      </c>
      <c r="E131" s="2" t="inlineStr">
        <is>
          <t>Revenue!$G$63</t>
        </is>
      </c>
    </row>
    <row r="132">
      <c r="A132" t="inlineStr">
        <is>
          <t>Base 3Q27 ADR ($)</t>
        </is>
      </c>
      <c r="B132" s="9" t="n">
        <v>183.489221316744</v>
      </c>
      <c r="C132" s="9">
        <f>Revenue!$G$67</f>
        <v/>
      </c>
      <c r="D132" s="28">
        <f>C132-B132</f>
        <v/>
      </c>
      <c r="E132" s="2" t="inlineStr">
        <is>
          <t>Revenue!$G$67</t>
        </is>
      </c>
    </row>
    <row r="133">
      <c r="A133" t="inlineStr">
        <is>
          <t>Base 3Q27 adj. EBITDA ($M)</t>
        </is>
      </c>
      <c r="B133" s="21" t="n">
        <v>2562.966293723483</v>
      </c>
      <c r="C133" s="21">
        <f>Revenue!$G$82</f>
        <v/>
      </c>
      <c r="D133" s="28">
        <f>C133-B133</f>
        <v/>
      </c>
      <c r="E133" s="2" t="inlineStr">
        <is>
          <t>Revenue!$G$82</t>
        </is>
      </c>
    </row>
    <row r="134">
      <c r="A134" t="inlineStr">
        <is>
          <t>Base 3Q27 adj. EBITDA margin</t>
        </is>
      </c>
      <c r="B134" s="11" t="n">
        <v>0.4874952663306441</v>
      </c>
      <c r="C134" s="11">
        <f>Revenue!$G$81</f>
        <v/>
      </c>
      <c r="D134" s="28">
        <f>C134-B134</f>
        <v/>
      </c>
      <c r="E134" s="2" t="inlineStr">
        <is>
          <t>Revenue!$G$81</t>
        </is>
      </c>
    </row>
    <row r="135">
      <c r="A135" t="inlineStr">
        <is>
          <t>Base 4Q27 revenue ($M)</t>
        </is>
      </c>
      <c r="B135" s="21" t="n">
        <v>3544.183643712553</v>
      </c>
      <c r="C135" s="21">
        <f>Revenue!$H$77</f>
        <v/>
      </c>
      <c r="D135" s="28">
        <f>C135-B135</f>
        <v/>
      </c>
      <c r="E135" s="2" t="inlineStr">
        <is>
          <t>Revenue!$H$77</t>
        </is>
      </c>
    </row>
    <row r="136">
      <c r="A136" t="inlineStr">
        <is>
          <t>Base 4Q27 nights (M)</t>
        </is>
      </c>
      <c r="B136" s="15" t="n">
        <v>145.9427783503485</v>
      </c>
      <c r="C136" s="15">
        <f>Revenue!$H$63</f>
        <v/>
      </c>
      <c r="D136" s="28">
        <f>C136-B136</f>
        <v/>
      </c>
      <c r="E136" s="2" t="inlineStr">
        <is>
          <t>Revenue!$H$63</t>
        </is>
      </c>
    </row>
    <row r="137">
      <c r="A137" t="inlineStr">
        <is>
          <t>Base 4Q27 ADR ($)</t>
        </is>
      </c>
      <c r="B137" s="9" t="n">
        <v>177.0754661764907</v>
      </c>
      <c r="C137" s="9">
        <f>Revenue!$H$67</f>
        <v/>
      </c>
      <c r="D137" s="28">
        <f>C137-B137</f>
        <v/>
      </c>
      <c r="E137" s="2" t="inlineStr">
        <is>
          <t>Revenue!$H$67</t>
        </is>
      </c>
    </row>
    <row r="138">
      <c r="A138" t="inlineStr">
        <is>
          <t>Base 4Q27 adj. EBITDA ($M)</t>
        </is>
      </c>
      <c r="B138" s="21" t="n">
        <v>1142.982448103792</v>
      </c>
      <c r="C138" s="21">
        <f>Revenue!$H$82</f>
        <v/>
      </c>
      <c r="D138" s="28">
        <f>C138-B138</f>
        <v/>
      </c>
      <c r="E138" s="2" t="inlineStr">
        <is>
          <t>Revenue!$H$82</t>
        </is>
      </c>
    </row>
    <row r="139">
      <c r="A139" t="inlineStr">
        <is>
          <t>Base 4Q27 adj. EBITDA margin</t>
        </is>
      </c>
      <c r="B139" s="11" t="n">
        <v>0.3224952663306441</v>
      </c>
      <c r="C139" s="11">
        <f>Revenue!$H$81</f>
        <v/>
      </c>
      <c r="D139" s="28">
        <f>C139-B139</f>
        <v/>
      </c>
      <c r="E139" s="2" t="inlineStr">
        <is>
          <t>Revenue!$H$81</t>
        </is>
      </c>
    </row>
    <row r="140">
      <c r="A140" t="inlineStr">
        <is>
          <t>Base Football field low</t>
        </is>
      </c>
      <c r="B140" s="9" t="n">
        <v>110.5797663892496</v>
      </c>
      <c r="C140" s="9">
        <f>Valuation!$C$44</f>
        <v/>
      </c>
      <c r="D140" s="28">
        <f>C140-B140</f>
        <v/>
      </c>
      <c r="E140" s="2" t="inlineStr">
        <is>
          <t>Valuation!$C$44</t>
        </is>
      </c>
    </row>
    <row r="141">
      <c r="A141" t="inlineStr">
        <is>
          <t>Base Football field high</t>
        </is>
      </c>
      <c r="B141" s="9" t="n">
        <v>196.9174750956551</v>
      </c>
      <c r="C141" s="9">
        <f>Valuation!$C$45</f>
        <v/>
      </c>
      <c r="D141" s="28">
        <f>C141-B141</f>
        <v/>
      </c>
      <c r="E141" s="2" t="inlineStr">
        <is>
          <t>Valuation!$C$45</t>
        </is>
      </c>
    </row>
    <row r="142">
      <c r="A142" t="inlineStr">
        <is>
          <t>Base Football field mean</t>
        </is>
      </c>
      <c r="B142" s="9" t="n">
        <v>156.7868471197903</v>
      </c>
      <c r="C142" s="9">
        <f>Valuation!$C$46</f>
        <v/>
      </c>
      <c r="D142" s="28">
        <f>C142-B142</f>
        <v/>
      </c>
      <c r="E142" s="2" t="inlineStr">
        <is>
          <t>Valuation!$C$46</t>
        </is>
      </c>
    </row>
    <row r="143">
      <c r="A143" t="inlineStr">
        <is>
          <t>Base price: EV / adj. EBITDA, FY27E</t>
        </is>
      </c>
      <c r="B143" s="9" t="n">
        <v>180.8762933753395</v>
      </c>
      <c r="C143" s="9">
        <f>Valuation!$C$19</f>
        <v/>
      </c>
      <c r="D143" s="28">
        <f>C143-B143</f>
        <v/>
      </c>
      <c r="E143" s="2" t="inlineStr">
        <is>
          <t>Valuation!$C$19</t>
        </is>
      </c>
    </row>
    <row r="144">
      <c r="A144" t="inlineStr">
        <is>
          <t>Base price: EV / FCF, FY27E</t>
        </is>
      </c>
      <c r="B144" s="9" t="n">
        <v>152.5013913347621</v>
      </c>
      <c r="C144" s="9">
        <f>Valuation!$C$20</f>
        <v/>
      </c>
      <c r="D144" s="28">
        <f>C144-B144</f>
        <v/>
      </c>
      <c r="E144" s="2" t="inlineStr">
        <is>
          <t>Valuation!$C$20</t>
        </is>
      </c>
    </row>
    <row r="145">
      <c r="A145" t="inlineStr">
        <is>
          <t>Base price: P / SBC-adjusted FCF, FY27E</t>
        </is>
      </c>
      <c r="B145" s="9" t="n">
        <v>117.25724103948</v>
      </c>
      <c r="C145" s="9">
        <f>Valuation!$C$21</f>
        <v/>
      </c>
      <c r="D145" s="28">
        <f>C145-B145</f>
        <v/>
      </c>
      <c r="E145" s="2" t="inlineStr">
        <is>
          <t>Valuation!$C$21</t>
        </is>
      </c>
    </row>
    <row r="146">
      <c r="A146" t="inlineStr">
        <is>
          <t>Base price: P / earnings proxy, FY27E</t>
        </is>
      </c>
      <c r="B146" s="9" t="n">
        <v>110.5797663892496</v>
      </c>
      <c r="C146" s="9">
        <f>Valuation!$C$22</f>
        <v/>
      </c>
      <c r="D146" s="28">
        <f>C146-B146</f>
        <v/>
      </c>
      <c r="E146" s="2" t="inlineStr">
        <is>
          <t>Valuation!$C$22</t>
        </is>
      </c>
    </row>
    <row r="147">
      <c r="A147" t="inlineStr">
        <is>
          <t>Base price: EV / adj. EBITDA, FY28E</t>
        </is>
      </c>
      <c r="B147" s="9" t="n">
        <v>196.9174750956551</v>
      </c>
      <c r="C147" s="9">
        <f>Valuation!$C$23</f>
        <v/>
      </c>
      <c r="D147" s="28">
        <f>C147-B147</f>
        <v/>
      </c>
      <c r="E147" s="2" t="inlineStr">
        <is>
          <t>Valuation!$C$23</t>
        </is>
      </c>
    </row>
    <row r="148">
      <c r="A148" t="inlineStr">
        <is>
          <t>Base price: DCF on FCF</t>
        </is>
      </c>
      <c r="B148" s="9" t="n">
        <v>182.5889154842552</v>
      </c>
      <c r="C148" s="9">
        <f>Valuation!$C$40</f>
        <v/>
      </c>
      <c r="D148" s="28">
        <f>C148-B148</f>
        <v/>
      </c>
      <c r="E148" s="2" t="inlineStr">
        <is>
          <t>Valuation!$C$40</t>
        </is>
      </c>
    </row>
    <row r="149">
      <c r="A149" t="inlineStr">
        <is>
          <t>Bull FY2026 revenue ($M)</t>
        </is>
      </c>
      <c r="B149" s="21" t="n">
        <v>14526.58234767154</v>
      </c>
      <c r="C149" s="21">
        <f>Revenue!$I$118</f>
        <v/>
      </c>
      <c r="D149" s="28">
        <f>C149-B149</f>
        <v/>
      </c>
      <c r="E149" s="2" t="inlineStr">
        <is>
          <t>Revenue!$I$118</t>
        </is>
      </c>
    </row>
    <row r="150">
      <c r="A150" t="inlineStr">
        <is>
          <t>Bull FY2026 nights (M)</t>
        </is>
      </c>
      <c r="B150" s="15" t="n">
        <v>591.8111034965035</v>
      </c>
      <c r="C150" s="15">
        <f>Revenue!$I$104</f>
        <v/>
      </c>
      <c r="D150" s="28">
        <f>C150-B150</f>
        <v/>
      </c>
      <c r="E150" s="2" t="inlineStr">
        <is>
          <t>Revenue!$I$104</t>
        </is>
      </c>
    </row>
    <row r="151">
      <c r="A151" t="inlineStr">
        <is>
          <t>Bull FY2026 GBV ($M)</t>
        </is>
      </c>
      <c r="B151" s="21" t="n">
        <v>107425.2730829152</v>
      </c>
      <c r="C151" s="21">
        <f>Revenue!$I$110</f>
        <v/>
      </c>
      <c r="D151" s="28">
        <f>C151-B151</f>
        <v/>
      </c>
      <c r="E151" s="2" t="inlineStr">
        <is>
          <t>Revenue!$I$110</t>
        </is>
      </c>
    </row>
    <row r="152">
      <c r="A152" t="inlineStr">
        <is>
          <t>Bull FY2026 adj. EBITDA ($M)</t>
        </is>
      </c>
      <c r="B152" s="21" t="n">
        <v>5496.150250462604</v>
      </c>
      <c r="C152" s="21">
        <f>Costs!$D$81</f>
        <v/>
      </c>
      <c r="D152" s="28">
        <f>C152-B152</f>
        <v/>
      </c>
      <c r="E152" s="2" t="inlineStr">
        <is>
          <t>Costs!$D$81</t>
        </is>
      </c>
    </row>
    <row r="153">
      <c r="A153" t="inlineStr">
        <is>
          <t>Bull FY2026 adj. EBITDA margin</t>
        </is>
      </c>
      <c r="B153" s="11" t="n">
        <v>0.3783512266629996</v>
      </c>
      <c r="C153" s="11">
        <f>Costs!$D$82</f>
        <v/>
      </c>
      <c r="D153" s="28">
        <f>C153-B153</f>
        <v/>
      </c>
      <c r="E153" s="2" t="inlineStr">
        <is>
          <t>Costs!$D$82</t>
        </is>
      </c>
    </row>
    <row r="154">
      <c r="A154" t="inlineStr">
        <is>
          <t>Bull FY2026 net income ($M)</t>
        </is>
      </c>
      <c r="B154" s="21" t="n">
        <v>3453.275027653519</v>
      </c>
      <c r="C154" s="21">
        <f>Costs!$D$92</f>
        <v/>
      </c>
      <c r="D154" s="28">
        <f>C154-B154</f>
        <v/>
      </c>
      <c r="E154" s="2" t="inlineStr">
        <is>
          <t>Costs!$D$92</t>
        </is>
      </c>
    </row>
    <row r="155">
      <c r="A155" t="inlineStr">
        <is>
          <t>Bull FY2026 FCF ($M)</t>
        </is>
      </c>
      <c r="B155" s="21" t="n">
        <v>5659.879362380129</v>
      </c>
      <c r="C155" s="21">
        <f>Cash!$D$64</f>
        <v/>
      </c>
      <c r="D155" s="28">
        <f>C155-B155</f>
        <v/>
      </c>
      <c r="E155" s="2" t="inlineStr">
        <is>
          <t>Cash!$D$64</t>
        </is>
      </c>
    </row>
    <row r="156">
      <c r="A156" t="inlineStr">
        <is>
          <t>Bull FY2026 SBC-adj FCF ($M)</t>
        </is>
      </c>
      <c r="B156" s="21" t="n">
        <v>3920.779362380129</v>
      </c>
      <c r="C156" s="21">
        <f>Cash!$D$68</f>
        <v/>
      </c>
      <c r="D156" s="28">
        <f>C156-B156</f>
        <v/>
      </c>
      <c r="E156" s="2" t="inlineStr">
        <is>
          <t>Cash!$D$68</t>
        </is>
      </c>
    </row>
    <row r="157">
      <c r="A157" t="inlineStr">
        <is>
          <t>Bull FY2026 diluted shares (M)</t>
        </is>
      </c>
      <c r="B157" s="15" t="n">
        <v>588.680581510388</v>
      </c>
      <c r="C157" s="15">
        <f>Cash!$D$73</f>
        <v/>
      </c>
      <c r="D157" s="28">
        <f>C157-B157</f>
        <v/>
      </c>
      <c r="E157" s="2" t="inlineStr">
        <is>
          <t>Cash!$D$73</t>
        </is>
      </c>
    </row>
    <row r="158">
      <c r="A158" t="inlineStr">
        <is>
          <t>Bull FY2026 FCF per share ($)</t>
        </is>
      </c>
      <c r="B158" s="9" t="n">
        <v>9.614516836717254</v>
      </c>
      <c r="C158" s="9">
        <f>Cash!$D$74</f>
        <v/>
      </c>
      <c r="D158" s="28">
        <f>C158-B158</f>
        <v/>
      </c>
      <c r="E158" s="2" t="inlineStr">
        <is>
          <t>Cash!$D$74</t>
        </is>
      </c>
    </row>
    <row r="159">
      <c r="A159" t="inlineStr">
        <is>
          <t>Bull FY2026 net cash ($M)</t>
        </is>
      </c>
      <c r="B159" s="21" t="n">
        <v>9931.194362380129</v>
      </c>
      <c r="C159" s="21">
        <f>Cash!$D$77</f>
        <v/>
      </c>
      <c r="D159" s="28">
        <f>C159-B159</f>
        <v/>
      </c>
      <c r="E159" s="2" t="inlineStr">
        <is>
          <t>Cash!$D$77</t>
        </is>
      </c>
    </row>
    <row r="160">
      <c r="A160" t="inlineStr">
        <is>
          <t>Bull FY2027 revenue ($M)</t>
        </is>
      </c>
      <c r="B160" s="21" t="n">
        <v>17420.63249368946</v>
      </c>
      <c r="C160" s="21">
        <f>Revenue!$J$118</f>
        <v/>
      </c>
      <c r="D160" s="28">
        <f>C160-B160</f>
        <v/>
      </c>
      <c r="E160" s="2" t="inlineStr">
        <is>
          <t>Revenue!$J$118</t>
        </is>
      </c>
    </row>
    <row r="161">
      <c r="A161" t="inlineStr">
        <is>
          <t>Bull FY2027 nights (M)</t>
        </is>
      </c>
      <c r="B161" s="15" t="n">
        <v>660.8910774203026</v>
      </c>
      <c r="C161" s="15">
        <f>Revenue!$J$104</f>
        <v/>
      </c>
      <c r="D161" s="28">
        <f>C161-B161</f>
        <v/>
      </c>
      <c r="E161" s="2" t="inlineStr">
        <is>
          <t>Revenue!$J$104</t>
        </is>
      </c>
    </row>
    <row r="162">
      <c r="A162" t="inlineStr">
        <is>
          <t>Bull FY2027 GBV ($M)</t>
        </is>
      </c>
      <c r="B162" s="21" t="n">
        <v>126720.1276760472</v>
      </c>
      <c r="C162" s="21">
        <f>Revenue!$J$110</f>
        <v/>
      </c>
      <c r="D162" s="28">
        <f>C162-B162</f>
        <v/>
      </c>
      <c r="E162" s="2" t="inlineStr">
        <is>
          <t>Revenue!$J$110</t>
        </is>
      </c>
    </row>
    <row r="163">
      <c r="A163" t="inlineStr">
        <is>
          <t>Bull FY2027 adj. EBITDA ($M)</t>
        </is>
      </c>
      <c r="B163" s="21" t="n">
        <v>6619.840347601995</v>
      </c>
      <c r="C163" s="21">
        <f>Costs!$E$81</f>
        <v/>
      </c>
      <c r="D163" s="28">
        <f>C163-B163</f>
        <v/>
      </c>
      <c r="E163" s="2" t="inlineStr">
        <is>
          <t>Costs!$E$81</t>
        </is>
      </c>
    </row>
    <row r="164">
      <c r="A164" t="inlineStr">
        <is>
          <t>Bull FY2027 adj. EBITDA margin</t>
        </is>
      </c>
      <c r="B164" s="11" t="n">
        <v>0.38</v>
      </c>
      <c r="C164" s="11">
        <f>Costs!$E$82</f>
        <v/>
      </c>
      <c r="D164" s="28">
        <f>C164-B164</f>
        <v/>
      </c>
      <c r="E164" s="2" t="inlineStr">
        <is>
          <t>Costs!$E$82</t>
        </is>
      </c>
    </row>
    <row r="165">
      <c r="A165" t="inlineStr">
        <is>
          <t>Bull FY2027 net income ($M)</t>
        </is>
      </c>
      <c r="B165" s="21" t="n">
        <v>4201.96301067862</v>
      </c>
      <c r="C165" s="21">
        <f>Costs!$E$92</f>
        <v/>
      </c>
      <c r="D165" s="28">
        <f>C165-B165</f>
        <v/>
      </c>
      <c r="E165" s="2" t="inlineStr">
        <is>
          <t>Costs!$E$92</t>
        </is>
      </c>
    </row>
    <row r="166">
      <c r="A166" t="inlineStr">
        <is>
          <t>Bull FY2027 FCF ($M)</t>
        </is>
      </c>
      <c r="B166" s="21" t="n">
        <v>6543.276945335485</v>
      </c>
      <c r="C166" s="21">
        <f>Cash!$E$64</f>
        <v/>
      </c>
      <c r="D166" s="28">
        <f>C166-B166</f>
        <v/>
      </c>
      <c r="E166" s="2" t="inlineStr">
        <is>
          <t>Cash!$E$64</t>
        </is>
      </c>
    </row>
    <row r="167">
      <c r="A167" t="inlineStr">
        <is>
          <t>Bull FY2027 SBC-adj FCF ($M)</t>
        </is>
      </c>
      <c r="B167" s="21" t="n">
        <v>4699.830945335485</v>
      </c>
      <c r="C167" s="21">
        <f>Cash!$E$68</f>
        <v/>
      </c>
      <c r="D167" s="28">
        <f>C167-B167</f>
        <v/>
      </c>
      <c r="E167" s="2" t="inlineStr">
        <is>
          <t>Cash!$E$68</t>
        </is>
      </c>
    </row>
    <row r="168">
      <c r="A168" t="inlineStr">
        <is>
          <t>Bull FY2027 diluted shares (M)</t>
        </is>
      </c>
      <c r="B168" s="15" t="n">
        <v>571.3972275004319</v>
      </c>
      <c r="C168" s="15">
        <f>Cash!$E$73</f>
        <v/>
      </c>
      <c r="D168" s="28">
        <f>C168-B168</f>
        <v/>
      </c>
      <c r="E168" s="2" t="inlineStr">
        <is>
          <t>Cash!$E$73</t>
        </is>
      </c>
    </row>
    <row r="169">
      <c r="A169" t="inlineStr">
        <is>
          <t>Bull FY2027 FCF per share ($)</t>
        </is>
      </c>
      <c r="B169" s="9" t="n">
        <v>11.4513627830484</v>
      </c>
      <c r="C169" s="9">
        <f>Cash!$E$74</f>
        <v/>
      </c>
      <c r="D169" s="28">
        <f>C169-B169</f>
        <v/>
      </c>
      <c r="E169" s="2" t="inlineStr">
        <is>
          <t>Cash!$E$74</t>
        </is>
      </c>
    </row>
    <row r="170">
      <c r="A170" t="inlineStr">
        <is>
          <t>Bull FY2027 net cash ($M)</t>
        </is>
      </c>
      <c r="B170" s="21" t="n">
        <v>11329.26520771561</v>
      </c>
      <c r="C170" s="21">
        <f>Cash!$E$77</f>
        <v/>
      </c>
      <c r="D170" s="28">
        <f>C170-B170</f>
        <v/>
      </c>
      <c r="E170" s="2" t="inlineStr">
        <is>
          <t>Cash!$E$77</t>
        </is>
      </c>
    </row>
    <row r="171">
      <c r="A171" t="inlineStr">
        <is>
          <t>Bull FY2028 revenue ($M)</t>
        </is>
      </c>
      <c r="B171" s="21" t="n">
        <v>20874.23149316893</v>
      </c>
      <c r="C171" s="21">
        <f>Revenue!$K$118</f>
        <v/>
      </c>
      <c r="D171" s="28">
        <f>C171-B171</f>
        <v/>
      </c>
      <c r="E171" s="2" t="inlineStr">
        <is>
          <t>Revenue!$K$118</t>
        </is>
      </c>
    </row>
    <row r="172">
      <c r="A172" t="inlineStr">
        <is>
          <t>Bull FY2028 nights (M)</t>
        </is>
      </c>
      <c r="B172" s="15" t="n">
        <v>723.6757297752314</v>
      </c>
      <c r="C172" s="15">
        <f>Revenue!$K$104</f>
        <v/>
      </c>
      <c r="D172" s="28">
        <f>C172-B172</f>
        <v/>
      </c>
      <c r="E172" s="2" t="inlineStr">
        <is>
          <t>Revenue!$K$104</t>
        </is>
      </c>
    </row>
    <row r="173">
      <c r="A173" t="inlineStr">
        <is>
          <t>Bull FY2028 GBV ($M)</t>
        </is>
      </c>
      <c r="B173" s="21" t="n">
        <v>143615.0886984562</v>
      </c>
      <c r="C173" s="21">
        <f>Revenue!$K$110</f>
        <v/>
      </c>
      <c r="D173" s="28">
        <f>C173-B173</f>
        <v/>
      </c>
      <c r="E173" s="2" t="inlineStr">
        <is>
          <t>Revenue!$K$110</t>
        </is>
      </c>
    </row>
    <row r="174">
      <c r="A174" t="inlineStr">
        <is>
          <t>Bull FY2028 adj. EBITDA ($M)</t>
        </is>
      </c>
      <c r="B174" s="21" t="n">
        <v>7932.207967404194</v>
      </c>
      <c r="C174" s="21">
        <f>Costs!$F$81</f>
        <v/>
      </c>
      <c r="D174" s="28">
        <f>C174-B174</f>
        <v/>
      </c>
      <c r="E174" s="2" t="inlineStr">
        <is>
          <t>Costs!$F$81</t>
        </is>
      </c>
    </row>
    <row r="175">
      <c r="A175" t="inlineStr">
        <is>
          <t>Bull FY2028 adj. EBITDA margin</t>
        </is>
      </c>
      <c r="B175" s="11" t="n">
        <v>0.38</v>
      </c>
      <c r="C175" s="11">
        <f>Costs!$F$82</f>
        <v/>
      </c>
      <c r="D175" s="28">
        <f>C175-B175</f>
        <v/>
      </c>
      <c r="E175" s="2" t="inlineStr">
        <is>
          <t>Costs!$F$82</t>
        </is>
      </c>
    </row>
    <row r="176">
      <c r="A176" t="inlineStr">
        <is>
          <t>Bull FY2028 net income ($M)</t>
        </is>
      </c>
      <c r="B176" s="21" t="n">
        <v>5171.976395612196</v>
      </c>
      <c r="C176" s="21">
        <f>Costs!$F$92</f>
        <v/>
      </c>
      <c r="D176" s="28">
        <f>C176-B176</f>
        <v/>
      </c>
      <c r="E176" s="2" t="inlineStr">
        <is>
          <t>Costs!$F$92</t>
        </is>
      </c>
    </row>
    <row r="177">
      <c r="A177" t="inlineStr">
        <is>
          <t>Bull FY2028 FCF ($M)</t>
        </is>
      </c>
      <c r="B177" s="21" t="n">
        <v>7592.61601319793</v>
      </c>
      <c r="C177" s="21">
        <f>Cash!$F$64</f>
        <v/>
      </c>
      <c r="D177" s="28">
        <f>C177-B177</f>
        <v/>
      </c>
      <c r="E177" s="2" t="inlineStr">
        <is>
          <t>Cash!$F$64</t>
        </is>
      </c>
    </row>
    <row r="178">
      <c r="A178" t="inlineStr">
        <is>
          <t>Bull FY2028 SBC-adj FCF ($M)</t>
        </is>
      </c>
      <c r="B178" s="21" t="n">
        <v>5675.432173197931</v>
      </c>
      <c r="C178" s="21">
        <f>Cash!$F$68</f>
        <v/>
      </c>
      <c r="D178" s="28">
        <f>C178-B178</f>
        <v/>
      </c>
      <c r="E178" s="2" t="inlineStr">
        <is>
          <t>Cash!$F$68</t>
        </is>
      </c>
    </row>
    <row r="179">
      <c r="A179" t="inlineStr">
        <is>
          <t>Bull FY2028 diluted shares (M)</t>
        </is>
      </c>
      <c r="B179" s="15" t="n">
        <v>555.1758348158435</v>
      </c>
      <c r="C179" s="15">
        <f>Cash!$F$73</f>
        <v/>
      </c>
      <c r="D179" s="28">
        <f>C179-B179</f>
        <v/>
      </c>
      <c r="E179" s="2" t="inlineStr">
        <is>
          <t>Cash!$F$73</t>
        </is>
      </c>
    </row>
    <row r="180">
      <c r="A180" t="inlineStr">
        <is>
          <t>Bull FY2028 FCF per share ($)</t>
        </is>
      </c>
      <c r="B180" s="9" t="n">
        <v>13.67605637179159</v>
      </c>
      <c r="C180" s="9">
        <f>Cash!$F$74</f>
        <v/>
      </c>
      <c r="D180" s="28">
        <f>C180-B180</f>
        <v/>
      </c>
      <c r="E180" s="2" t="inlineStr">
        <is>
          <t>Cash!$F$74</t>
        </is>
      </c>
    </row>
    <row r="181">
      <c r="A181" t="inlineStr">
        <is>
          <t>Bull FY2028 net cash ($M)</t>
        </is>
      </c>
      <c r="B181" s="21" t="n">
        <v>13750.86687691354</v>
      </c>
      <c r="C181" s="21">
        <f>Cash!$F$77</f>
        <v/>
      </c>
      <c r="D181" s="28">
        <f>C181-B181</f>
        <v/>
      </c>
      <c r="E181" s="2" t="inlineStr">
        <is>
          <t>Cash!$F$77</t>
        </is>
      </c>
    </row>
    <row r="182">
      <c r="A182" t="inlineStr">
        <is>
          <t>Bull 3Q26 revenue ($M)</t>
        </is>
      </c>
      <c r="B182" s="21" t="n">
        <v>4976.779745198066</v>
      </c>
      <c r="C182" s="21">
        <f>Revenue!$C$118</f>
        <v/>
      </c>
      <c r="D182" s="28">
        <f>C182-B182</f>
        <v/>
      </c>
      <c r="E182" s="2" t="inlineStr">
        <is>
          <t>Revenue!$C$118</t>
        </is>
      </c>
    </row>
    <row r="183">
      <c r="A183" t="inlineStr">
        <is>
          <t>Bull 3Q26 nights (M)</t>
        </is>
      </c>
      <c r="B183" s="15" t="n">
        <v>150.4336</v>
      </c>
      <c r="C183" s="15">
        <f>Revenue!$C$104</f>
        <v/>
      </c>
      <c r="D183" s="28">
        <f>C183-B183</f>
        <v/>
      </c>
      <c r="E183" s="2" t="inlineStr">
        <is>
          <t>Revenue!$C$104</t>
        </is>
      </c>
    </row>
    <row r="184">
      <c r="A184" t="inlineStr">
        <is>
          <t>Bull 3Q26 ADR ($)</t>
        </is>
      </c>
      <c r="B184" s="9" t="n">
        <v>179.5667328</v>
      </c>
      <c r="C184" s="9">
        <f>Revenue!$C$108</f>
        <v/>
      </c>
      <c r="D184" s="28">
        <f>C184-B184</f>
        <v/>
      </c>
      <c r="E184" s="2" t="inlineStr">
        <is>
          <t>Revenue!$C$108</t>
        </is>
      </c>
    </row>
    <row r="185">
      <c r="A185" t="inlineStr">
        <is>
          <t>Bull 3Q26 adj. EBITDA ($M)</t>
        </is>
      </c>
      <c r="B185" s="21" t="n">
        <v>2498.343432089429</v>
      </c>
      <c r="C185" s="21">
        <f>Revenue!$C$123</f>
        <v/>
      </c>
      <c r="D185" s="28">
        <f>C185-B185</f>
        <v/>
      </c>
      <c r="E185" s="2" t="inlineStr">
        <is>
          <t>Revenue!$C$123</t>
        </is>
      </c>
    </row>
    <row r="186">
      <c r="A186" t="inlineStr">
        <is>
          <t>Bull 3Q26 adj. EBITDA margin</t>
        </is>
      </c>
      <c r="B186" s="11" t="n">
        <v>0.502</v>
      </c>
      <c r="C186" s="11">
        <f>Revenue!$C$122</f>
        <v/>
      </c>
      <c r="D186" s="28">
        <f>C186-B186</f>
        <v/>
      </c>
      <c r="E186" s="2" t="inlineStr">
        <is>
          <t>Revenue!$C$122</t>
        </is>
      </c>
    </row>
    <row r="187">
      <c r="A187" t="inlineStr">
        <is>
          <t>Bull 4Q26 revenue ($M)</t>
        </is>
      </c>
      <c r="B187" s="21" t="n">
        <v>3263.802602473472</v>
      </c>
      <c r="C187" s="21">
        <f>Revenue!$D$118</f>
        <v/>
      </c>
      <c r="D187" s="28">
        <f>C187-B187</f>
        <v/>
      </c>
      <c r="E187" s="2" t="inlineStr">
        <is>
          <t>Revenue!$D$118</t>
        </is>
      </c>
    </row>
    <row r="188">
      <c r="A188" t="inlineStr">
        <is>
          <t>Bull 4Q26 nights (M)</t>
        </is>
      </c>
      <c r="B188" s="15" t="n">
        <v>136.8775034965035</v>
      </c>
      <c r="C188" s="15">
        <f>Revenue!$D$104</f>
        <v/>
      </c>
      <c r="D188" s="28">
        <f>C188-B188</f>
        <v/>
      </c>
      <c r="E188" s="2" t="inlineStr">
        <is>
          <t>Revenue!$D$104</t>
        </is>
      </c>
    </row>
    <row r="189">
      <c r="A189" t="inlineStr">
        <is>
          <t>Bull 4Q26 ADR ($)</t>
        </is>
      </c>
      <c r="B189" s="9" t="n">
        <v>175.4298728</v>
      </c>
      <c r="C189" s="9">
        <f>Revenue!$D$108</f>
        <v/>
      </c>
      <c r="D189" s="28">
        <f>C189-B189</f>
        <v/>
      </c>
      <c r="E189" s="2" t="inlineStr">
        <is>
          <t>Revenue!$D$108</t>
        </is>
      </c>
    </row>
    <row r="190">
      <c r="A190" t="inlineStr">
        <is>
          <t>Bull 4Q26 adj. EBITDA ($M)</t>
        </is>
      </c>
      <c r="B190" s="21" t="n">
        <v>1201.079357710238</v>
      </c>
      <c r="C190" s="21">
        <f>Revenue!$D$123</f>
        <v/>
      </c>
      <c r="D190" s="28">
        <f>C190-B190</f>
        <v/>
      </c>
      <c r="E190" s="2" t="inlineStr">
        <is>
          <t>Revenue!$D$123</t>
        </is>
      </c>
    </row>
    <row r="191">
      <c r="A191" t="inlineStr">
        <is>
          <t>Bull 4Q26 adj. EBITDA margin</t>
        </is>
      </c>
      <c r="B191" s="11" t="n">
        <v>0.368</v>
      </c>
      <c r="C191" s="11">
        <f>Revenue!$D$122</f>
        <v/>
      </c>
      <c r="D191" s="28">
        <f>C191-B191</f>
        <v/>
      </c>
      <c r="E191" s="2" t="inlineStr">
        <is>
          <t>Revenue!$D$122</t>
        </is>
      </c>
    </row>
    <row r="192">
      <c r="A192" t="inlineStr">
        <is>
          <t>Bull 1Q27 revenue ($M)</t>
        </is>
      </c>
      <c r="B192" s="21" t="n">
        <v>3202.930743211836</v>
      </c>
      <c r="C192" s="21">
        <f>Revenue!$E$118</f>
        <v/>
      </c>
      <c r="D192" s="28">
        <f>C192-B192</f>
        <v/>
      </c>
      <c r="E192" s="2" t="inlineStr">
        <is>
          <t>Revenue!$E$118</t>
        </is>
      </c>
    </row>
    <row r="193">
      <c r="A193" t="inlineStr">
        <is>
          <t>Bull 1Q27 nights (M)</t>
        </is>
      </c>
      <c r="B193" s="15" t="n">
        <v>174.387928</v>
      </c>
      <c r="C193" s="15">
        <f>Revenue!$E$104</f>
        <v/>
      </c>
      <c r="D193" s="28">
        <f>C193-B193</f>
        <v/>
      </c>
      <c r="E193" s="2" t="inlineStr">
        <is>
          <t>Revenue!$E$104</t>
        </is>
      </c>
    </row>
    <row r="194">
      <c r="A194" t="inlineStr">
        <is>
          <t>Bull 1Q27 ADR ($)</t>
        </is>
      </c>
      <c r="B194" s="9" t="n">
        <v>195.64033266</v>
      </c>
      <c r="C194" s="9">
        <f>Revenue!$E$108</f>
        <v/>
      </c>
      <c r="D194" s="28">
        <f>C194-B194</f>
        <v/>
      </c>
      <c r="E194" s="2" t="inlineStr">
        <is>
          <t>Revenue!$E$108</t>
        </is>
      </c>
    </row>
    <row r="195">
      <c r="A195" t="inlineStr">
        <is>
          <t>Bull 1Q27 adj. EBITDA ($M)</t>
        </is>
      </c>
      <c r="B195" s="21" t="n">
        <v>632.4454059502814</v>
      </c>
      <c r="C195" s="21">
        <f>Revenue!$E$123</f>
        <v/>
      </c>
      <c r="D195" s="28">
        <f>C195-B195</f>
        <v/>
      </c>
      <c r="E195" s="2" t="inlineStr">
        <is>
          <t>Revenue!$E$123</t>
        </is>
      </c>
    </row>
    <row r="196">
      <c r="A196" t="inlineStr">
        <is>
          <t>Bull 1Q27 adj. EBITDA margin</t>
        </is>
      </c>
      <c r="B196" s="11" t="n">
        <v>0.1974583457012491</v>
      </c>
      <c r="C196" s="11">
        <f>Revenue!$E$122</f>
        <v/>
      </c>
      <c r="D196" s="28">
        <f>C196-B196</f>
        <v/>
      </c>
      <c r="E196" s="2" t="inlineStr">
        <is>
          <t>Revenue!$E$122</t>
        </is>
      </c>
    </row>
    <row r="197">
      <c r="A197" t="inlineStr">
        <is>
          <t>Bull 2Q27 revenue ($M)</t>
        </is>
      </c>
      <c r="B197" s="21" t="n">
        <v>4347.744688730419</v>
      </c>
      <c r="C197" s="21">
        <f>Revenue!$F$118</f>
        <v/>
      </c>
      <c r="D197" s="28">
        <f>C197-B197</f>
        <v/>
      </c>
      <c r="E197" s="2" t="inlineStr">
        <is>
          <t>Revenue!$F$118</t>
        </is>
      </c>
    </row>
    <row r="198">
      <c r="A198" t="inlineStr">
        <is>
          <t>Bull 2Q27 nights (M)</t>
        </is>
      </c>
      <c r="B198" s="15" t="n">
        <v>165.5734614614614</v>
      </c>
      <c r="C198" s="15">
        <f>Revenue!$F$104</f>
        <v/>
      </c>
      <c r="D198" s="28">
        <f>C198-B198</f>
        <v/>
      </c>
      <c r="E198" s="2" t="inlineStr">
        <is>
          <t>Revenue!$F$104</t>
        </is>
      </c>
    </row>
    <row r="199">
      <c r="A199" t="inlineStr">
        <is>
          <t>Bull 2Q27 ADR ($)</t>
        </is>
      </c>
      <c r="B199" s="9" t="n">
        <v>194.249001825</v>
      </c>
      <c r="C199" s="9">
        <f>Revenue!$F$108</f>
        <v/>
      </c>
      <c r="D199" s="28">
        <f>C199-B199</f>
        <v/>
      </c>
      <c r="E199" s="2" t="inlineStr">
        <is>
          <t>Revenue!$F$108</t>
        </is>
      </c>
    </row>
    <row r="200">
      <c r="A200" t="inlineStr">
        <is>
          <t>Bull 2Q27 adj. EBITDA ($M)</t>
        </is>
      </c>
      <c r="B200" s="21" t="n">
        <v>1536.746645210046</v>
      </c>
      <c r="C200" s="21">
        <f>Revenue!$F$123</f>
        <v/>
      </c>
      <c r="D200" s="28">
        <f>C200-B200</f>
        <v/>
      </c>
      <c r="E200" s="2" t="inlineStr">
        <is>
          <t>Revenue!$F$123</t>
        </is>
      </c>
    </row>
    <row r="201">
      <c r="A201" t="inlineStr">
        <is>
          <t>Bull 2Q27 adj. EBITDA margin</t>
        </is>
      </c>
      <c r="B201" s="11" t="n">
        <v>0.3534583457012491</v>
      </c>
      <c r="C201" s="11">
        <f>Revenue!$F$122</f>
        <v/>
      </c>
      <c r="D201" s="28">
        <f>C201-B201</f>
        <v/>
      </c>
      <c r="E201" s="2" t="inlineStr">
        <is>
          <t>Revenue!$F$122</t>
        </is>
      </c>
    </row>
    <row r="202">
      <c r="A202" t="inlineStr">
        <is>
          <t>Bull 3Q27 revenue ($M)</t>
        </is>
      </c>
      <c r="B202" s="21" t="n">
        <v>5853.510254796187</v>
      </c>
      <c r="C202" s="21">
        <f>Revenue!$G$118</f>
        <v/>
      </c>
      <c r="D202" s="28">
        <f>C202-B202</f>
        <v/>
      </c>
      <c r="E202" s="2" t="inlineStr">
        <is>
          <t>Revenue!$G$118</t>
        </is>
      </c>
    </row>
    <row r="203">
      <c r="A203" t="inlineStr">
        <is>
          <t>Bull 3Q27 nights (M)</t>
        </is>
      </c>
      <c r="B203" s="15" t="n">
        <v>167.9686668</v>
      </c>
      <c r="C203" s="15">
        <f>Revenue!$G$104</f>
        <v/>
      </c>
      <c r="D203" s="28">
        <f>C203-B203</f>
        <v/>
      </c>
      <c r="E203" s="2" t="inlineStr">
        <is>
          <t>Revenue!$G$104</t>
        </is>
      </c>
    </row>
    <row r="204">
      <c r="A204" t="inlineStr">
        <is>
          <t>Bull 3Q27 ADR ($)</t>
        </is>
      </c>
      <c r="B204" s="9" t="n">
        <v>191.4085303445952</v>
      </c>
      <c r="C204" s="9">
        <f>Revenue!$G$108</f>
        <v/>
      </c>
      <c r="D204" s="28">
        <f>C204-B204</f>
        <v/>
      </c>
      <c r="E204" s="2" t="inlineStr">
        <is>
          <t>Revenue!$G$108</t>
        </is>
      </c>
    </row>
    <row r="205">
      <c r="A205" t="inlineStr">
        <is>
          <t>Bull 3Q27 adj. EBITDA ($M)</t>
        </is>
      </c>
      <c r="B205" s="21" t="n">
        <v>2958.705609934578</v>
      </c>
      <c r="C205" s="21">
        <f>Revenue!$G$123</f>
        <v/>
      </c>
      <c r="D205" s="28">
        <f>C205-B205</f>
        <v/>
      </c>
      <c r="E205" s="2" t="inlineStr">
        <is>
          <t>Revenue!$G$123</t>
        </is>
      </c>
    </row>
    <row r="206">
      <c r="A206" t="inlineStr">
        <is>
          <t>Bull 3Q27 adj. EBITDA margin</t>
        </is>
      </c>
      <c r="B206" s="11" t="n">
        <v>0.5054583457012491</v>
      </c>
      <c r="C206" s="11">
        <f>Revenue!$G$122</f>
        <v/>
      </c>
      <c r="D206" s="28">
        <f>C206-B206</f>
        <v/>
      </c>
      <c r="E206" s="2" t="inlineStr">
        <is>
          <t>Revenue!$G$122</t>
        </is>
      </c>
    </row>
    <row r="207">
      <c r="A207" t="inlineStr">
        <is>
          <t>Bull 4Q27 revenue ($M)</t>
        </is>
      </c>
      <c r="B207" s="21" t="n">
        <v>4016.446806951018</v>
      </c>
      <c r="C207" s="21">
        <f>Revenue!$H$118</f>
        <v/>
      </c>
      <c r="D207" s="28">
        <f>C207-B207</f>
        <v/>
      </c>
      <c r="E207" s="2" t="inlineStr">
        <is>
          <t>Revenue!$H$118</t>
        </is>
      </c>
    </row>
    <row r="208">
      <c r="A208" t="inlineStr">
        <is>
          <t>Bull 4Q27 nights (M)</t>
        </is>
      </c>
      <c r="B208" s="15" t="n">
        <v>152.9610211588412</v>
      </c>
      <c r="C208" s="15">
        <f>Revenue!$H$104</f>
        <v/>
      </c>
      <c r="D208" s="28">
        <f>C208-B208</f>
        <v/>
      </c>
      <c r="E208" s="2" t="inlineStr">
        <is>
          <t>Revenue!$H$104</t>
        </is>
      </c>
    </row>
    <row r="209">
      <c r="A209" t="inlineStr">
        <is>
          <t>Bull 4Q27 ADR ($)</t>
        </is>
      </c>
      <c r="B209" s="9" t="n">
        <v>184.9471188292727</v>
      </c>
      <c r="C209" s="9">
        <f>Revenue!$H$108</f>
        <v/>
      </c>
      <c r="D209" s="28">
        <f>C209-B209</f>
        <v/>
      </c>
      <c r="E209" s="2" t="inlineStr">
        <is>
          <t>Revenue!$H$108</t>
        </is>
      </c>
    </row>
    <row r="210">
      <c r="A210" t="inlineStr">
        <is>
          <t>Bull 4Q27 adj. EBITDA ($M)</t>
        </is>
      </c>
      <c r="B210" s="21" t="n">
        <v>1491.942686507089</v>
      </c>
      <c r="C210" s="21">
        <f>Revenue!$H$123</f>
        <v/>
      </c>
      <c r="D210" s="28">
        <f>C210-B210</f>
        <v/>
      </c>
      <c r="E210" s="2" t="inlineStr">
        <is>
          <t>Revenue!$H$123</t>
        </is>
      </c>
    </row>
    <row r="211">
      <c r="A211" t="inlineStr">
        <is>
          <t>Bull 4Q27 adj. EBITDA margin</t>
        </is>
      </c>
      <c r="B211" s="11" t="n">
        <v>0.371458345701249</v>
      </c>
      <c r="C211" s="11">
        <f>Revenue!$H$122</f>
        <v/>
      </c>
      <c r="D211" s="28">
        <f>C211-B211</f>
        <v/>
      </c>
      <c r="E211" s="2" t="inlineStr">
        <is>
          <t>Revenue!$H$122</t>
        </is>
      </c>
    </row>
    <row r="212">
      <c r="A212" t="inlineStr">
        <is>
          <t>Bull Football field low</t>
        </is>
      </c>
      <c r="B212" s="9" t="n">
        <v>176.4921273724778</v>
      </c>
      <c r="C212" s="9">
        <f>Valuation!$D$44</f>
        <v/>
      </c>
      <c r="D212" s="28">
        <f>C212-B212</f>
        <v/>
      </c>
      <c r="E212" s="2" t="inlineStr">
        <is>
          <t>Valuation!$D$44</t>
        </is>
      </c>
    </row>
    <row r="213">
      <c r="A213" t="inlineStr">
        <is>
          <t>Bull Football field high</t>
        </is>
      </c>
      <c r="B213" s="9" t="n">
        <v>281.0113765217127</v>
      </c>
      <c r="C213" s="9">
        <f>Valuation!$D$45</f>
        <v/>
      </c>
      <c r="D213" s="28">
        <f>C213-B213</f>
        <v/>
      </c>
      <c r="E213" s="2" t="inlineStr">
        <is>
          <t>Valuation!$D$45</t>
        </is>
      </c>
    </row>
    <row r="214">
      <c r="A214" t="inlineStr">
        <is>
          <t>Bull Football field mean</t>
        </is>
      </c>
      <c r="B214" s="9" t="n">
        <v>228.1825515441133</v>
      </c>
      <c r="C214" s="9">
        <f>Valuation!$D$46</f>
        <v/>
      </c>
      <c r="D214" s="28">
        <f>C214-B214</f>
        <v/>
      </c>
      <c r="E214" s="2" t="inlineStr">
        <is>
          <t>Valuation!$D$46</t>
        </is>
      </c>
    </row>
    <row r="215">
      <c r="A215" t="inlineStr">
        <is>
          <t>Bull price: EV / adj. EBITDA, FY27E</t>
        </is>
      </c>
      <c r="B215" s="9" t="n">
        <v>234.1563892839354</v>
      </c>
      <c r="C215" s="9">
        <f>Valuation!$D$19</f>
        <v/>
      </c>
      <c r="D215" s="28">
        <f>C215-B215</f>
        <v/>
      </c>
      <c r="E215" s="2" t="inlineStr">
        <is>
          <t>Valuation!$D$19</t>
        </is>
      </c>
    </row>
    <row r="216">
      <c r="A216" t="inlineStr">
        <is>
          <t>Bull price: EV / FCF, FY27E</t>
        </is>
      </c>
      <c r="B216" s="9" t="n">
        <v>217.9358778248979</v>
      </c>
      <c r="C216" s="9">
        <f>Valuation!$D$20</f>
        <v/>
      </c>
      <c r="D216" s="28">
        <f>C216-B216</f>
        <v/>
      </c>
      <c r="E216" s="2" t="inlineStr">
        <is>
          <t>Valuation!$D$20</t>
        </is>
      </c>
    </row>
    <row r="217">
      <c r="A217" t="inlineStr">
        <is>
          <t>Bull price: P / SBC-adjusted FCF, FY27E</t>
        </is>
      </c>
      <c r="B217" s="9" t="n">
        <v>197.4037276685358</v>
      </c>
      <c r="C217" s="9">
        <f>Valuation!$D$21</f>
        <v/>
      </c>
      <c r="D217" s="28">
        <f>C217-B217</f>
        <v/>
      </c>
      <c r="E217" s="2" t="inlineStr">
        <is>
          <t>Valuation!$D$21</t>
        </is>
      </c>
    </row>
    <row r="218">
      <c r="A218" t="inlineStr">
        <is>
          <t>Bull price: P / earnings proxy, FY27E</t>
        </is>
      </c>
      <c r="B218" s="9" t="n">
        <v>176.4921273724778</v>
      </c>
      <c r="C218" s="9">
        <f>Valuation!$D$22</f>
        <v/>
      </c>
      <c r="D218" s="28">
        <f>C218-B218</f>
        <v/>
      </c>
      <c r="E218" s="2" t="inlineStr">
        <is>
          <t>Valuation!$D$22</t>
        </is>
      </c>
    </row>
    <row r="219">
      <c r="A219" t="inlineStr">
        <is>
          <t>Bull price: EV / adj. EBITDA, FY28E</t>
        </is>
      </c>
      <c r="B219" s="9" t="n">
        <v>262.0958105931203</v>
      </c>
      <c r="C219" s="9">
        <f>Valuation!$D$23</f>
        <v/>
      </c>
      <c r="D219" s="28">
        <f>C219-B219</f>
        <v/>
      </c>
      <c r="E219" s="2" t="inlineStr">
        <is>
          <t>Valuation!$D$23</t>
        </is>
      </c>
    </row>
    <row r="220">
      <c r="A220" t="inlineStr">
        <is>
          <t>Bull price: DCF on FCF</t>
        </is>
      </c>
      <c r="B220" s="9" t="n">
        <v>281.0113765217127</v>
      </c>
      <c r="C220" s="9">
        <f>Valuation!$D$40</f>
        <v/>
      </c>
      <c r="D220" s="28">
        <f>C220-B220</f>
        <v/>
      </c>
      <c r="E220" s="2" t="inlineStr">
        <is>
          <t>Valuation!$D$40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2026-09-06T19:49:49Z</dcterms:created>
  <dcterms:modified xmlns:dcterms="http://purl.org/dc/terms/" xmlns:xsi="http://www.w3.org/2001/XMLSchema-instance" xsi:type="dcterms:W3CDTF">2026-09-06T19:49:49Z</dcterms:modified>
</cp:coreProperties>
</file>