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ar" sheetId="2" r:id="rId2"/>
    <sheet name="Base" sheetId="3" r:id="rId3"/>
    <sheet name="Bull" sheetId="4" r:id="rId4"/>
    <sheet name="Annual" sheetId="5" r:id="rId5"/>
  </sheets>
  <calcPr calcId="124519" fullCalcOnLoad="1"/>
</workbook>
</file>

<file path=xl/sharedStrings.xml><?xml version="1.0" encoding="utf-8"?>
<sst xmlns="http://schemas.openxmlformats.org/spreadsheetml/2006/main" count="192" uniqueCount="85">
  <si>
    <t>ABNB revenue by business line (WS14). Python mirror: analysis/src/overnight/14_revenue_by_line.py.</t>
  </si>
  <si>
    <t>Each case sheet: yellow cells are inputs, blue cells are formulas. Rows are forecast quarters 3Q26-4Q27.</t>
  </si>
  <si>
    <t>Lines: stays (home nights x home ADR x stays take), hotels (nights x hotel ADR x 11%), experiences (seats x $75 x 20%), services (seats x $120 x 15%), ads (outside GBV). Printed KPIs (Nights and Seats, GBV, blended ADR, blended take) are outputs.</t>
  </si>
  <si>
    <t>Printed Nights and Seats per quarter is the driver model's regional build (13). Home nights are the residual after hotels and seats.</t>
  </si>
  <si>
    <t>Home ADR ex-FX defaults to 13's blended ADR ex-FX plus the seats-dilution drag (15), so the printed ADR reconciles to 13. Overwrite the yellow home-ADR cells with the ADR workbook path (5_Forecast ex the new-business row) to run the ADR build through.</t>
  </si>
  <si>
    <t>Hotel nights, seats and tickets are assumptions (Airbnb discloses none of them); see 15_seats_dilution and 11_new_business_scenarios.</t>
  </si>
  <si>
    <t>Bear case: revenue by line, 3Q26-4Q27</t>
  </si>
  <si>
    <t>Inputs</t>
  </si>
  <si>
    <t>3Q26</t>
  </si>
  <si>
    <t>4Q26</t>
  </si>
  <si>
    <t>1Q27</t>
  </si>
  <si>
    <t>2Q27</t>
  </si>
  <si>
    <t>3Q27</t>
  </si>
  <si>
    <t>4Q27</t>
  </si>
  <si>
    <t>Nights and Seats Booked, M (from 13)</t>
  </si>
  <si>
    <t>Hotel nights, M</t>
  </si>
  <si>
    <t>Experiences seats, M</t>
  </si>
  <si>
    <t>Services seats, M</t>
  </si>
  <si>
    <t>Prior-year home ADR, $</t>
  </si>
  <si>
    <t>Home ADR ex-FX y/y, %</t>
  </si>
  <si>
    <t>ADR FX, pp</t>
  </si>
  <si>
    <t>Prior-year hotel ADR, $</t>
  </si>
  <si>
    <t>Experiences ticket, $/seat</t>
  </si>
  <si>
    <t>Services ticket, $/seat</t>
  </si>
  <si>
    <t>Stays take rate, %</t>
  </si>
  <si>
    <t>Hotel commission, %</t>
  </si>
  <si>
    <t>Experiences host fee, %</t>
  </si>
  <si>
    <t>Services host fee, %</t>
  </si>
  <si>
    <t>Revenue-FX wedge, ratio</t>
  </si>
  <si>
    <t>Ads revenue, $M</t>
  </si>
  <si>
    <t>By line</t>
  </si>
  <si>
    <t>Home nights, M</t>
  </si>
  <si>
    <t>Home ADR, $</t>
  </si>
  <si>
    <t>Home GBV, $M</t>
  </si>
  <si>
    <t>Stays revenue, $M</t>
  </si>
  <si>
    <t>Hotel ADR, $</t>
  </si>
  <si>
    <t>Hotel GBV, $M</t>
  </si>
  <si>
    <t>Hotels revenue, $M</t>
  </si>
  <si>
    <t>Experiences GBV, $M</t>
  </si>
  <si>
    <t>Experiences revenue, $M</t>
  </si>
  <si>
    <t>Services GBV, $M</t>
  </si>
  <si>
    <t>Services revenue, $M</t>
  </si>
  <si>
    <t>Total revenue, $M</t>
  </si>
  <si>
    <t>GBV, $M (printed)</t>
  </si>
  <si>
    <t>Blended ADR, $ (printed)</t>
  </si>
  <si>
    <t>Blended take rate, % (printed)</t>
  </si>
  <si>
    <t>Seats share of denominator, %</t>
  </si>
  <si>
    <t>New-business share of revenue, %</t>
  </si>
  <si>
    <t>Driver model (13) for reconciliation</t>
  </si>
  <si>
    <t>13 revenue (core), $M</t>
  </si>
  <si>
    <t>13 blended ADR, $</t>
  </si>
  <si>
    <t>13 GBV, $M</t>
  </si>
  <si>
    <t>Base case: revenue by line, 3Q26-4Q27</t>
  </si>
  <si>
    <t>Bull case: revenue by line, 3Q26-4Q27</t>
  </si>
  <si>
    <t>scenario</t>
  </si>
  <si>
    <t>year</t>
  </si>
  <si>
    <t>basis</t>
  </si>
  <si>
    <t>nights_total</t>
  </si>
  <si>
    <t>home_nights</t>
  </si>
  <si>
    <t>hotel_nights</t>
  </si>
  <si>
    <t>exp_seats</t>
  </si>
  <si>
    <t>svc_seats</t>
  </si>
  <si>
    <t>home_adr</t>
  </si>
  <si>
    <t>blended_adr</t>
  </si>
  <si>
    <t>gbv_total</t>
  </si>
  <si>
    <t>stays_take_pct</t>
  </si>
  <si>
    <t>blended_take_pct</t>
  </si>
  <si>
    <t>stays_rev</t>
  </si>
  <si>
    <t>hotels_rev</t>
  </si>
  <si>
    <t>experiences_rev</t>
  </si>
  <si>
    <t>services_rev</t>
  </si>
  <si>
    <t>ads_rev</t>
  </si>
  <si>
    <t>rev_total</t>
  </si>
  <si>
    <t>rev_total_yoy_pct</t>
  </si>
  <si>
    <t>new_business_rev_share_pct</t>
  </si>
  <si>
    <t>seats_share_pct</t>
  </si>
  <si>
    <t>dm13_revenue</t>
  </si>
  <si>
    <t>rev_vs_dm13_musd</t>
  </si>
  <si>
    <t>Bear</t>
  </si>
  <si>
    <t>actual total; line split assumed</t>
  </si>
  <si>
    <t>1H26 actual + forecast</t>
  </si>
  <si>
    <t>forecast</t>
  </si>
  <si>
    <t>annual growth (13 FY28 conventions)</t>
  </si>
  <si>
    <t>Base</t>
  </si>
  <si>
    <t>Bull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</si>
</sst>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#,##0.0"/>
    <numFmt numFmtId="166" formatCode="0.0"/>
  </numFmts>
  <fonts count="4">
    <font>
      <sz val="11"/>
      <color theme="1"/>
      <name val="Calibri"/>
      <family val="2"/>
      <scheme val="minor"/>
    </font>
    <font>
      <i/>
      <sz val="11"/>
      <color rgb="FF4A556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D374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/>
    <xf numFmtId="164" fontId="0" fillId="3" borderId="1" xfId="0" applyNumberFormat="1" applyFill="1" applyBorder="1"/>
    <xf numFmtId="165" fontId="0" fillId="4" borderId="1" xfId="0" applyNumberFormat="1" applyFill="1" applyBorder="1"/>
    <xf numFmtId="166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cols>
    <col min="1" max="1" width="34.7109375" customWidth="1"/>
    <col min="2" max="8" width="13.7109375" customWidth="1"/>
  </cols>
  <sheetData>
    <row r="1" spans="1:7">
      <c r="A1" s="2" t="s">
        <v>6</v>
      </c>
    </row>
    <row r="3" spans="1:7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>
      <c r="A4" t="s">
        <v>14</v>
      </c>
      <c r="B4" s="4">
        <v>144.1759621048</v>
      </c>
      <c r="C4" s="4">
        <v>130.4214188911089</v>
      </c>
      <c r="D4" s="4">
        <v>164.8360037192</v>
      </c>
      <c r="E4" s="4">
        <v>156.5047417376376</v>
      </c>
      <c r="F4" s="4">
        <v>152.1525508639747</v>
      </c>
      <c r="G4" s="4">
        <v>137.729546527771</v>
      </c>
    </row>
    <row r="5" spans="1:7">
      <c r="A5" t="s">
        <v>15</v>
      </c>
      <c r="B5" s="4">
        <v>5.632962740876688</v>
      </c>
      <c r="C5" s="4">
        <v>5.048865458912067</v>
      </c>
      <c r="D5" s="4">
        <v>7.014833121248715</v>
      </c>
      <c r="E5" s="4">
        <v>6.624646166996325</v>
      </c>
      <c r="F5" s="4">
        <v>6.534236779416958</v>
      </c>
      <c r="G5" s="4">
        <v>5.856683932337997</v>
      </c>
    </row>
    <row r="6" spans="1:7">
      <c r="A6" t="s">
        <v>16</v>
      </c>
      <c r="B6" s="4">
        <v>1.87430726969159</v>
      </c>
      <c r="C6" s="4">
        <v>1.679955232911918</v>
      </c>
      <c r="D6" s="4">
        <v>2.425375641220974</v>
      </c>
      <c r="E6" s="4">
        <v>2.290468663676584</v>
      </c>
      <c r="F6" s="4">
        <v>2.259209655431827</v>
      </c>
      <c r="G6" s="4">
        <v>2.024946039670615</v>
      </c>
    </row>
    <row r="7" spans="1:7">
      <c r="A7" t="s">
        <v>17</v>
      </c>
      <c r="B7" s="4">
        <v>0.334697726730641</v>
      </c>
      <c r="C7" s="4">
        <v>0.2999920058771282</v>
      </c>
      <c r="D7" s="4">
        <v>0.5689152738666483</v>
      </c>
      <c r="E7" s="4">
        <v>0.5372704272821616</v>
      </c>
      <c r="F7" s="4">
        <v>0.529938067323515</v>
      </c>
      <c r="G7" s="4">
        <v>0.4749873426387863</v>
      </c>
    </row>
    <row r="8" spans="1:7">
      <c r="A8" t="s">
        <v>18</v>
      </c>
      <c r="B8" s="4">
        <v>173.7749218956459</v>
      </c>
      <c r="C8" s="4">
        <v>169.5867386206238</v>
      </c>
      <c r="D8" s="4">
        <v>190.0282874529734</v>
      </c>
      <c r="E8" s="4">
        <v>186.3860420997574</v>
      </c>
      <c r="F8" s="4">
        <v>179.0647224318913</v>
      </c>
      <c r="G8" s="4">
        <v>170.9004088809718</v>
      </c>
    </row>
    <row r="9" spans="1:7">
      <c r="A9" t="s">
        <v>19</v>
      </c>
      <c r="B9" s="4">
        <v>2.226242948818178</v>
      </c>
      <c r="C9" s="4">
        <v>2.226242948818178</v>
      </c>
      <c r="D9" s="4">
        <v>1.201261616147119</v>
      </c>
      <c r="E9" s="4">
        <v>1.201261616147119</v>
      </c>
      <c r="F9" s="4">
        <v>1.201261616147119</v>
      </c>
      <c r="G9" s="4">
        <v>1.201261616147119</v>
      </c>
    </row>
    <row r="10" spans="1:7">
      <c r="A10" t="s">
        <v>20</v>
      </c>
      <c r="B10" s="4">
        <v>0.8</v>
      </c>
      <c r="C10" s="4">
        <v>-1.42</v>
      </c>
      <c r="D10" s="4">
        <v>-2.68</v>
      </c>
      <c r="E10" s="4">
        <v>-2.81</v>
      </c>
      <c r="F10" s="4">
        <v>-2.38</v>
      </c>
      <c r="G10" s="4">
        <v>-1.31</v>
      </c>
    </row>
    <row r="11" spans="1:7">
      <c r="A11" t="s">
        <v>21</v>
      </c>
      <c r="B11" s="4">
        <v>139.996273822563</v>
      </c>
      <c r="C11" s="4">
        <v>136.9068587075575</v>
      </c>
      <c r="D11" s="4">
        <v>152.6890295728368</v>
      </c>
      <c r="E11" s="4">
        <v>150.1635553121577</v>
      </c>
      <c r="F11" s="4">
        <v>144.2578344451231</v>
      </c>
      <c r="G11" s="4">
        <v>137.96738071644</v>
      </c>
    </row>
    <row r="12" spans="1:7">
      <c r="A12" t="s">
        <v>22</v>
      </c>
      <c r="B12" s="4">
        <v>75</v>
      </c>
      <c r="C12" s="4">
        <v>75</v>
      </c>
      <c r="D12" s="4">
        <v>75</v>
      </c>
      <c r="E12" s="4">
        <v>75</v>
      </c>
      <c r="F12" s="4">
        <v>75</v>
      </c>
      <c r="G12" s="4">
        <v>75</v>
      </c>
    </row>
    <row r="13" spans="1:7">
      <c r="A13" t="s">
        <v>23</v>
      </c>
      <c r="B13" s="4">
        <v>120</v>
      </c>
      <c r="C13" s="4">
        <v>120</v>
      </c>
      <c r="D13" s="4">
        <v>120</v>
      </c>
      <c r="E13" s="4">
        <v>120</v>
      </c>
      <c r="F13" s="4">
        <v>120</v>
      </c>
      <c r="G13" s="4">
        <v>120</v>
      </c>
    </row>
    <row r="14" spans="1:7">
      <c r="A14" t="s">
        <v>24</v>
      </c>
      <c r="B14" s="4">
        <v>18.0284473578869</v>
      </c>
      <c r="C14" s="4">
        <v>13.61011097005804</v>
      </c>
      <c r="D14" s="4">
        <v>8.893961528767989</v>
      </c>
      <c r="E14" s="4">
        <v>13.14955332974414</v>
      </c>
      <c r="F14" s="4">
        <v>17.87844735788689</v>
      </c>
      <c r="G14" s="4">
        <v>13.46011097005804</v>
      </c>
    </row>
    <row r="15" spans="1:7">
      <c r="A15" t="s">
        <v>25</v>
      </c>
      <c r="B15" s="4">
        <v>11</v>
      </c>
      <c r="C15" s="4">
        <v>11</v>
      </c>
      <c r="D15" s="4">
        <v>11</v>
      </c>
      <c r="E15" s="4">
        <v>11</v>
      </c>
      <c r="F15" s="4">
        <v>11</v>
      </c>
      <c r="G15" s="4">
        <v>11</v>
      </c>
    </row>
    <row r="16" spans="1:7">
      <c r="A16" t="s">
        <v>26</v>
      </c>
      <c r="B16" s="4">
        <v>20</v>
      </c>
      <c r="C16" s="4">
        <v>20</v>
      </c>
      <c r="D16" s="4">
        <v>20</v>
      </c>
      <c r="E16" s="4">
        <v>20</v>
      </c>
      <c r="F16" s="4">
        <v>20</v>
      </c>
      <c r="G16" s="4">
        <v>20</v>
      </c>
    </row>
    <row r="17" spans="1:7">
      <c r="A17" t="s">
        <v>27</v>
      </c>
      <c r="B17" s="4">
        <v>15</v>
      </c>
      <c r="C17" s="4">
        <v>15</v>
      </c>
      <c r="D17" s="4">
        <v>15</v>
      </c>
      <c r="E17" s="4">
        <v>15</v>
      </c>
      <c r="F17" s="4">
        <v>15</v>
      </c>
      <c r="G17" s="4">
        <v>15</v>
      </c>
    </row>
    <row r="18" spans="1:7">
      <c r="A18" t="s">
        <v>28</v>
      </c>
      <c r="B18" s="4">
        <v>1.021825396825397</v>
      </c>
      <c r="C18" s="4">
        <v>1.01004260499087</v>
      </c>
      <c r="D18" s="4">
        <v>1.011508425811755</v>
      </c>
      <c r="E18" s="4">
        <v>1.00339541105052</v>
      </c>
      <c r="F18" s="4">
        <v>0.9918049580004098</v>
      </c>
      <c r="G18" s="4">
        <v>0.9826730165163644</v>
      </c>
    </row>
    <row r="19" spans="1:7">
      <c r="A19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</row>
    <row r="21" spans="1:7">
      <c r="A21" s="3" t="s">
        <v>30</v>
      </c>
    </row>
    <row r="22" spans="1:7">
      <c r="A22" t="s">
        <v>31</v>
      </c>
      <c r="B22" s="5">
        <f>B4-B5-B6-B7</f>
        <v>0</v>
      </c>
      <c r="C22" s="5">
        <f>C4-C5-C6-C7</f>
        <v>0</v>
      </c>
      <c r="D22" s="5">
        <f>D4-D5-D6-D7</f>
        <v>0</v>
      </c>
      <c r="E22" s="5">
        <f>E4-E5-E6-E7</f>
        <v>0</v>
      </c>
      <c r="F22" s="5">
        <f>F4-F5-F6-F7</f>
        <v>0</v>
      </c>
      <c r="G22" s="5">
        <f>G4-G5-G6-G7</f>
        <v>0</v>
      </c>
    </row>
    <row r="23" spans="1:7">
      <c r="A23" t="s">
        <v>32</v>
      </c>
      <c r="B23" s="5">
        <f>B8*(1+B9/100)*(1+B10/100)</f>
        <v>0</v>
      </c>
      <c r="C23" s="5">
        <f>C8*(1+C9/100)*(1+C10/100)</f>
        <v>0</v>
      </c>
      <c r="D23" s="5">
        <f>D8*(1+D9/100)*(1+D10/100)</f>
        <v>0</v>
      </c>
      <c r="E23" s="5">
        <f>E8*(1+E9/100)*(1+E10/100)</f>
        <v>0</v>
      </c>
      <c r="F23" s="5">
        <f>F8*(1+F9/100)*(1+F10/100)</f>
        <v>0</v>
      </c>
      <c r="G23" s="5">
        <f>G8*(1+G9/100)*(1+G10/100)</f>
        <v>0</v>
      </c>
    </row>
    <row r="24" spans="1:7">
      <c r="A24" t="s">
        <v>33</v>
      </c>
      <c r="B24" s="5">
        <f>B22*B23</f>
        <v>0</v>
      </c>
      <c r="C24" s="5">
        <f>C22*C23</f>
        <v>0</v>
      </c>
      <c r="D24" s="5">
        <f>D22*D23</f>
        <v>0</v>
      </c>
      <c r="E24" s="5">
        <f>E22*E23</f>
        <v>0</v>
      </c>
      <c r="F24" s="5">
        <f>F22*F23</f>
        <v>0</v>
      </c>
      <c r="G24" s="5">
        <f>G22*G23</f>
        <v>0</v>
      </c>
    </row>
    <row r="25" spans="1:7">
      <c r="A25" t="s">
        <v>34</v>
      </c>
      <c r="B25" s="5">
        <f>B24*B14/100*B18</f>
        <v>0</v>
      </c>
      <c r="C25" s="5">
        <f>C24*C14/100*C18</f>
        <v>0</v>
      </c>
      <c r="D25" s="5">
        <f>D24*D14/100*D18</f>
        <v>0</v>
      </c>
      <c r="E25" s="5">
        <f>E24*E14/100*E18</f>
        <v>0</v>
      </c>
      <c r="F25" s="5">
        <f>F24*F14/100*F18</f>
        <v>0</v>
      </c>
      <c r="G25" s="5">
        <f>G24*G14/100*G18</f>
        <v>0</v>
      </c>
    </row>
    <row r="26" spans="1:7">
      <c r="A26" t="s">
        <v>35</v>
      </c>
      <c r="B26" s="5">
        <f>B11*(1+B9/100)*(1+B10/100)</f>
        <v>0</v>
      </c>
      <c r="C26" s="5">
        <f>C11*(1+C9/100)*(1+C10/100)</f>
        <v>0</v>
      </c>
      <c r="D26" s="5">
        <f>D11*(1+D9/100)*(1+D10/100)</f>
        <v>0</v>
      </c>
      <c r="E26" s="5">
        <f>E11*(1+E9/100)*(1+E10/100)</f>
        <v>0</v>
      </c>
      <c r="F26" s="5">
        <f>F11*(1+F9/100)*(1+F10/100)</f>
        <v>0</v>
      </c>
      <c r="G26" s="5">
        <f>G11*(1+G9/100)*(1+G10/100)</f>
        <v>0</v>
      </c>
    </row>
    <row r="27" spans="1:7">
      <c r="A27" t="s">
        <v>36</v>
      </c>
      <c r="B27" s="5">
        <f>B5*B26</f>
        <v>0</v>
      </c>
      <c r="C27" s="5">
        <f>C5*C26</f>
        <v>0</v>
      </c>
      <c r="D27" s="5">
        <f>D5*D26</f>
        <v>0</v>
      </c>
      <c r="E27" s="5">
        <f>E5*E26</f>
        <v>0</v>
      </c>
      <c r="F27" s="5">
        <f>F5*F26</f>
        <v>0</v>
      </c>
      <c r="G27" s="5">
        <f>G5*G26</f>
        <v>0</v>
      </c>
    </row>
    <row r="28" spans="1:7">
      <c r="A28" t="s">
        <v>37</v>
      </c>
      <c r="B28" s="5">
        <f>B27*B15/100*B18</f>
        <v>0</v>
      </c>
      <c r="C28" s="5">
        <f>C27*C15/100*C18</f>
        <v>0</v>
      </c>
      <c r="D28" s="5">
        <f>D27*D15/100*D18</f>
        <v>0</v>
      </c>
      <c r="E28" s="5">
        <f>E27*E15/100*E18</f>
        <v>0</v>
      </c>
      <c r="F28" s="5">
        <f>F27*F15/100*F18</f>
        <v>0</v>
      </c>
      <c r="G28" s="5">
        <f>G27*G15/100*G18</f>
        <v>0</v>
      </c>
    </row>
    <row r="29" spans="1:7">
      <c r="A29" t="s">
        <v>38</v>
      </c>
      <c r="B29" s="5">
        <f>B6*B12</f>
        <v>0</v>
      </c>
      <c r="C29" s="5">
        <f>C6*C12</f>
        <v>0</v>
      </c>
      <c r="D29" s="5">
        <f>D6*D12</f>
        <v>0</v>
      </c>
      <c r="E29" s="5">
        <f>E6*E12</f>
        <v>0</v>
      </c>
      <c r="F29" s="5">
        <f>F6*F12</f>
        <v>0</v>
      </c>
      <c r="G29" s="5">
        <f>G6*G12</f>
        <v>0</v>
      </c>
    </row>
    <row r="30" spans="1:7">
      <c r="A30" t="s">
        <v>39</v>
      </c>
      <c r="B30" s="5">
        <f>B29*B16/100</f>
        <v>0</v>
      </c>
      <c r="C30" s="5">
        <f>C29*C16/100</f>
        <v>0</v>
      </c>
      <c r="D30" s="5">
        <f>D29*D16/100</f>
        <v>0</v>
      </c>
      <c r="E30" s="5">
        <f>E29*E16/100</f>
        <v>0</v>
      </c>
      <c r="F30" s="5">
        <f>F29*F16/100</f>
        <v>0</v>
      </c>
      <c r="G30" s="5">
        <f>G29*G16/100</f>
        <v>0</v>
      </c>
    </row>
    <row r="31" spans="1:7">
      <c r="A31" t="s">
        <v>40</v>
      </c>
      <c r="B31" s="5">
        <f>B7*B13</f>
        <v>0</v>
      </c>
      <c r="C31" s="5">
        <f>C7*C13</f>
        <v>0</v>
      </c>
      <c r="D31" s="5">
        <f>D7*D13</f>
        <v>0</v>
      </c>
      <c r="E31" s="5">
        <f>E7*E13</f>
        <v>0</v>
      </c>
      <c r="F31" s="5">
        <f>F7*F13</f>
        <v>0</v>
      </c>
      <c r="G31" s="5">
        <f>G7*G13</f>
        <v>0</v>
      </c>
    </row>
    <row r="32" spans="1:7">
      <c r="A32" t="s">
        <v>41</v>
      </c>
      <c r="B32" s="5">
        <f>B31*B17/100</f>
        <v>0</v>
      </c>
      <c r="C32" s="5">
        <f>C31*C17/100</f>
        <v>0</v>
      </c>
      <c r="D32" s="5">
        <f>D31*D17/100</f>
        <v>0</v>
      </c>
      <c r="E32" s="5">
        <f>E31*E17/100</f>
        <v>0</v>
      </c>
      <c r="F32" s="5">
        <f>F31*F17/100</f>
        <v>0</v>
      </c>
      <c r="G32" s="5">
        <f>G31*G17/100</f>
        <v>0</v>
      </c>
    </row>
    <row r="33" spans="1:7">
      <c r="A33" t="s">
        <v>42</v>
      </c>
      <c r="B33" s="5">
        <f>B25+B28+B30+B32+B19</f>
        <v>0</v>
      </c>
      <c r="C33" s="5">
        <f>C25+C28+C30+C32+C19</f>
        <v>0</v>
      </c>
      <c r="D33" s="5">
        <f>D25+D28+D30+D32+D19</f>
        <v>0</v>
      </c>
      <c r="E33" s="5">
        <f>E25+E28+E30+E32+E19</f>
        <v>0</v>
      </c>
      <c r="F33" s="5">
        <f>F25+F28+F30+F32+F19</f>
        <v>0</v>
      </c>
      <c r="G33" s="5">
        <f>G25+G28+G30+G32+G19</f>
        <v>0</v>
      </c>
    </row>
    <row r="34" spans="1:7">
      <c r="A34" t="s">
        <v>43</v>
      </c>
      <c r="B34" s="5">
        <f>B24+B27+B29+B31</f>
        <v>0</v>
      </c>
      <c r="C34" s="5">
        <f>C24+C27+C29+C31</f>
        <v>0</v>
      </c>
      <c r="D34" s="5">
        <f>D24+D27+D29+D31</f>
        <v>0</v>
      </c>
      <c r="E34" s="5">
        <f>E24+E27+E29+E31</f>
        <v>0</v>
      </c>
      <c r="F34" s="5">
        <f>F24+F27+F29+F31</f>
        <v>0</v>
      </c>
      <c r="G34" s="5">
        <f>G24+G27+G29+G31</f>
        <v>0</v>
      </c>
    </row>
    <row r="35" spans="1:7">
      <c r="A35" t="s">
        <v>44</v>
      </c>
      <c r="B35" s="5">
        <f>B34/B4</f>
        <v>0</v>
      </c>
      <c r="C35" s="5">
        <f>C34/C4</f>
        <v>0</v>
      </c>
      <c r="D35" s="5">
        <f>D34/D4</f>
        <v>0</v>
      </c>
      <c r="E35" s="5">
        <f>E34/E4</f>
        <v>0</v>
      </c>
      <c r="F35" s="5">
        <f>F34/F4</f>
        <v>0</v>
      </c>
      <c r="G35" s="5">
        <f>G34/G4</f>
        <v>0</v>
      </c>
    </row>
    <row r="36" spans="1:7">
      <c r="A36" t="s">
        <v>45</v>
      </c>
      <c r="B36" s="6">
        <f>(B33-B19)/B34*100</f>
        <v>0</v>
      </c>
      <c r="C36" s="6">
        <f>(C33-C19)/C34*100</f>
        <v>0</v>
      </c>
      <c r="D36" s="6">
        <f>(D33-D19)/D34*100</f>
        <v>0</v>
      </c>
      <c r="E36" s="6">
        <f>(E33-E19)/E34*100</f>
        <v>0</v>
      </c>
      <c r="F36" s="6">
        <f>(F33-F19)/F34*100</f>
        <v>0</v>
      </c>
      <c r="G36" s="6">
        <f>(G33-G19)/G34*100</f>
        <v>0</v>
      </c>
    </row>
    <row r="37" spans="1:7">
      <c r="A37" t="s">
        <v>46</v>
      </c>
      <c r="B37" s="6">
        <f>(B6+B7)/B4*100</f>
        <v>0</v>
      </c>
      <c r="C37" s="6">
        <f>(C6+C7)/C4*100</f>
        <v>0</v>
      </c>
      <c r="D37" s="6">
        <f>(D6+D7)/D4*100</f>
        <v>0</v>
      </c>
      <c r="E37" s="6">
        <f>(E6+E7)/E4*100</f>
        <v>0</v>
      </c>
      <c r="F37" s="6">
        <f>(F6+F7)/F4*100</f>
        <v>0</v>
      </c>
      <c r="G37" s="6">
        <f>(G6+G7)/G4*100</f>
        <v>0</v>
      </c>
    </row>
    <row r="38" spans="1:7">
      <c r="A38" t="s">
        <v>47</v>
      </c>
      <c r="B38" s="6">
        <f>(B33-B25)/B33*100</f>
        <v>0</v>
      </c>
      <c r="C38" s="6">
        <f>(C33-C25)/C33*100</f>
        <v>0</v>
      </c>
      <c r="D38" s="6">
        <f>(D33-D25)/D33*100</f>
        <v>0</v>
      </c>
      <c r="E38" s="6">
        <f>(E33-E25)/E33*100</f>
        <v>0</v>
      </c>
      <c r="F38" s="6">
        <f>(F33-F25)/F33*100</f>
        <v>0</v>
      </c>
      <c r="G38" s="6">
        <f>(G33-G25)/G33*100</f>
        <v>0</v>
      </c>
    </row>
    <row r="40" spans="1:7">
      <c r="A40" s="3" t="s">
        <v>48</v>
      </c>
    </row>
    <row r="41" spans="1:7">
      <c r="A41" t="s">
        <v>49</v>
      </c>
      <c r="B41" s="5">
        <v>4626.084988708877</v>
      </c>
      <c r="C41" s="5">
        <v>3010.912854986136</v>
      </c>
      <c r="D41" s="5">
        <v>2761.690214147941</v>
      </c>
      <c r="E41" s="5">
        <v>3713.003283943652</v>
      </c>
      <c r="F41" s="5">
        <v>4632.769191051801</v>
      </c>
      <c r="G41" s="5">
        <v>3049.389574644381</v>
      </c>
    </row>
    <row r="42" spans="1:7">
      <c r="A42" t="s">
        <v>50</v>
      </c>
      <c r="B42" s="5">
        <v>176.1135264</v>
      </c>
      <c r="C42" s="5">
        <v>168.43398516</v>
      </c>
      <c r="D42" s="5">
        <v>183.63135624</v>
      </c>
      <c r="E42" s="5">
        <v>180.35285887</v>
      </c>
      <c r="F42" s="5">
        <v>173.6412447163968</v>
      </c>
      <c r="G42" s="5">
        <v>167.889774953948</v>
      </c>
    </row>
    <row r="43" spans="1:7">
      <c r="A43" t="s">
        <v>51</v>
      </c>
      <c r="B43" s="5">
        <v>25391.3371083891</v>
      </c>
      <c r="C43" s="5">
        <v>21967.39933405118</v>
      </c>
      <c r="D43" s="5">
        <v>30269.05892013838</v>
      </c>
      <c r="E43" s="5">
        <v>28226.07759909395</v>
      </c>
      <c r="F43" s="5">
        <v>26419.95831879543</v>
      </c>
      <c r="G43" s="5">
        <v>23123.3825710568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cols>
    <col min="1" max="1" width="34.7109375" customWidth="1"/>
    <col min="2" max="8" width="13.7109375" customWidth="1"/>
  </cols>
  <sheetData>
    <row r="1" spans="1:7">
      <c r="A1" s="2" t="s">
        <v>52</v>
      </c>
    </row>
    <row r="3" spans="1:7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>
      <c r="A4" t="s">
        <v>14</v>
      </c>
      <c r="B4" s="4">
        <v>147.2394101048</v>
      </c>
      <c r="C4" s="4">
        <v>133.9578584515485</v>
      </c>
      <c r="D4" s="4">
        <v>170.0062237192</v>
      </c>
      <c r="E4" s="4">
        <v>161.4139319278279</v>
      </c>
      <c r="F4" s="4">
        <v>160.2815709716787</v>
      </c>
      <c r="G4" s="4">
        <v>145.9427783503485</v>
      </c>
    </row>
    <row r="5" spans="1:7">
      <c r="A5" t="s">
        <v>15</v>
      </c>
      <c r="B5" s="4">
        <v>6.337083083486275</v>
      </c>
      <c r="C5" s="4">
        <v>5.679973641276076</v>
      </c>
      <c r="D5" s="4">
        <v>8.844132275712282</v>
      </c>
      <c r="E5" s="4">
        <v>8.352193982096662</v>
      </c>
      <c r="F5" s="4">
        <v>8.238208008532157</v>
      </c>
      <c r="G5" s="4">
        <v>7.383965733658899</v>
      </c>
    </row>
    <row r="6" spans="1:7">
      <c r="A6" t="s">
        <v>16</v>
      </c>
      <c r="B6" s="4">
        <v>2.259209655431827</v>
      </c>
      <c r="C6" s="4">
        <v>2.024946039670615</v>
      </c>
      <c r="D6" s="4">
        <v>3.521286116143044</v>
      </c>
      <c r="E6" s="4">
        <v>3.325421170967484</v>
      </c>
      <c r="F6" s="4">
        <v>3.280037721960282</v>
      </c>
      <c r="G6" s="4">
        <v>2.939921657595856</v>
      </c>
    </row>
    <row r="7" spans="1:7">
      <c r="A7" t="s">
        <v>17</v>
      </c>
      <c r="B7" s="4">
        <v>0.5857210217786218</v>
      </c>
      <c r="C7" s="4">
        <v>0.5249860102849744</v>
      </c>
      <c r="D7" s="4">
        <v>1.377373820940306</v>
      </c>
      <c r="E7" s="4">
        <v>1.300759981841023</v>
      </c>
      <c r="F7" s="4">
        <v>1.283007952467457</v>
      </c>
      <c r="G7" s="4">
        <v>1.149969355862325</v>
      </c>
    </row>
    <row r="8" spans="1:7">
      <c r="A8" t="s">
        <v>18</v>
      </c>
      <c r="B8" s="4">
        <v>173.7749218956459</v>
      </c>
      <c r="C8" s="4">
        <v>169.5867386206238</v>
      </c>
      <c r="D8" s="4">
        <v>190.6749056214559</v>
      </c>
      <c r="E8" s="4">
        <v>187.0063620349037</v>
      </c>
      <c r="F8" s="4">
        <v>181.2653695003875</v>
      </c>
      <c r="G8" s="4">
        <v>174.860941984337</v>
      </c>
    </row>
    <row r="9" spans="1:7">
      <c r="A9" t="s">
        <v>19</v>
      </c>
      <c r="B9" s="4">
        <v>3.482570151705752</v>
      </c>
      <c r="C9" s="4">
        <v>3.482570151705752</v>
      </c>
      <c r="D9" s="4">
        <v>3.065078176680844</v>
      </c>
      <c r="E9" s="4">
        <v>3.065078176680844</v>
      </c>
      <c r="F9" s="4">
        <v>3.065078176680844</v>
      </c>
      <c r="G9" s="4">
        <v>3.065078176680844</v>
      </c>
    </row>
    <row r="10" spans="1:7">
      <c r="A10" t="s">
        <v>20</v>
      </c>
      <c r="B10" s="4">
        <v>0.8</v>
      </c>
      <c r="C10" s="4">
        <v>-0.36</v>
      </c>
      <c r="D10" s="4">
        <v>-0.4</v>
      </c>
      <c r="E10" s="4">
        <v>0.02</v>
      </c>
      <c r="F10" s="4">
        <v>0.66</v>
      </c>
      <c r="G10" s="4">
        <v>0.49</v>
      </c>
    </row>
    <row r="11" spans="1:7">
      <c r="A11" t="s">
        <v>21</v>
      </c>
      <c r="B11" s="4">
        <v>139.996273822563</v>
      </c>
      <c r="C11" s="4">
        <v>136.9068587075575</v>
      </c>
      <c r="D11" s="4">
        <v>152.6890295728368</v>
      </c>
      <c r="E11" s="4">
        <v>150.1635553121577</v>
      </c>
      <c r="F11" s="4">
        <v>146.0307162063534</v>
      </c>
      <c r="G11" s="4">
        <v>141.1647070545685</v>
      </c>
    </row>
    <row r="12" spans="1:7">
      <c r="A12" t="s">
        <v>22</v>
      </c>
      <c r="B12" s="4">
        <v>75</v>
      </c>
      <c r="C12" s="4">
        <v>75</v>
      </c>
      <c r="D12" s="4">
        <v>75</v>
      </c>
      <c r="E12" s="4">
        <v>75</v>
      </c>
      <c r="F12" s="4">
        <v>75</v>
      </c>
      <c r="G12" s="4">
        <v>75</v>
      </c>
    </row>
    <row r="13" spans="1:7">
      <c r="A13" t="s">
        <v>23</v>
      </c>
      <c r="B13" s="4">
        <v>120</v>
      </c>
      <c r="C13" s="4">
        <v>120</v>
      </c>
      <c r="D13" s="4">
        <v>120</v>
      </c>
      <c r="E13" s="4">
        <v>120</v>
      </c>
      <c r="F13" s="4">
        <v>120</v>
      </c>
      <c r="G13" s="4">
        <v>120</v>
      </c>
    </row>
    <row r="14" spans="1:7">
      <c r="A14" t="s">
        <v>24</v>
      </c>
      <c r="B14" s="4">
        <v>18.07844735788689</v>
      </c>
      <c r="C14" s="4">
        <v>13.66011097005804</v>
      </c>
      <c r="D14" s="4">
        <v>9.016800064333841</v>
      </c>
      <c r="E14" s="4">
        <v>13.29949445551311</v>
      </c>
      <c r="F14" s="4">
        <v>18.07844735788689</v>
      </c>
      <c r="G14" s="4">
        <v>13.66011097005804</v>
      </c>
    </row>
    <row r="15" spans="1:7">
      <c r="A15" t="s">
        <v>25</v>
      </c>
      <c r="B15" s="4">
        <v>11</v>
      </c>
      <c r="C15" s="4">
        <v>11</v>
      </c>
      <c r="D15" s="4">
        <v>11</v>
      </c>
      <c r="E15" s="4">
        <v>11</v>
      </c>
      <c r="F15" s="4">
        <v>11</v>
      </c>
      <c r="G15" s="4">
        <v>11</v>
      </c>
    </row>
    <row r="16" spans="1:7">
      <c r="A16" t="s">
        <v>26</v>
      </c>
      <c r="B16" s="4">
        <v>20</v>
      </c>
      <c r="C16" s="4">
        <v>20</v>
      </c>
      <c r="D16" s="4">
        <v>20</v>
      </c>
      <c r="E16" s="4">
        <v>20</v>
      </c>
      <c r="F16" s="4">
        <v>20</v>
      </c>
      <c r="G16" s="4">
        <v>20</v>
      </c>
    </row>
    <row r="17" spans="1:7">
      <c r="A17" t="s">
        <v>27</v>
      </c>
      <c r="B17" s="4">
        <v>15</v>
      </c>
      <c r="C17" s="4">
        <v>15</v>
      </c>
      <c r="D17" s="4">
        <v>15</v>
      </c>
      <c r="E17" s="4">
        <v>15</v>
      </c>
      <c r="F17" s="4">
        <v>15</v>
      </c>
      <c r="G17" s="4">
        <v>15</v>
      </c>
    </row>
    <row r="18" spans="1:7">
      <c r="A18" t="s">
        <v>28</v>
      </c>
      <c r="B18" s="4">
        <v>1.021825396825397</v>
      </c>
      <c r="C18" s="4">
        <v>0.9992974708952229</v>
      </c>
      <c r="D18" s="4">
        <v>0.9936746987951808</v>
      </c>
      <c r="E18" s="4">
        <v>0.9918016396720656</v>
      </c>
      <c r="F18" s="4">
        <v>0.9873832704152593</v>
      </c>
      <c r="G18" s="4">
        <v>0.9944273061996219</v>
      </c>
    </row>
    <row r="19" spans="1:7">
      <c r="A19" t="s">
        <v>29</v>
      </c>
      <c r="B19" s="4">
        <v>0</v>
      </c>
      <c r="C19" s="4">
        <v>0</v>
      </c>
      <c r="D19" s="4">
        <v>32.33834188294632</v>
      </c>
      <c r="E19" s="4">
        <v>30.53958218235444</v>
      </c>
      <c r="F19" s="4">
        <v>30.12279540575769</v>
      </c>
      <c r="G19" s="4">
        <v>26.99928052894154</v>
      </c>
    </row>
    <row r="21" spans="1:7">
      <c r="A21" s="3" t="s">
        <v>30</v>
      </c>
    </row>
    <row r="22" spans="1:7">
      <c r="A22" t="s">
        <v>31</v>
      </c>
      <c r="B22" s="5">
        <f>B4-B5-B6-B7</f>
        <v>0</v>
      </c>
      <c r="C22" s="5">
        <f>C4-C5-C6-C7</f>
        <v>0</v>
      </c>
      <c r="D22" s="5">
        <f>D4-D5-D6-D7</f>
        <v>0</v>
      </c>
      <c r="E22" s="5">
        <f>E4-E5-E6-E7</f>
        <v>0</v>
      </c>
      <c r="F22" s="5">
        <f>F4-F5-F6-F7</f>
        <v>0</v>
      </c>
      <c r="G22" s="5">
        <f>G4-G5-G6-G7</f>
        <v>0</v>
      </c>
    </row>
    <row r="23" spans="1:7">
      <c r="A23" t="s">
        <v>32</v>
      </c>
      <c r="B23" s="5">
        <f>B8*(1+B9/100)*(1+B10/100)</f>
        <v>0</v>
      </c>
      <c r="C23" s="5">
        <f>C8*(1+C9/100)*(1+C10/100)</f>
        <v>0</v>
      </c>
      <c r="D23" s="5">
        <f>D8*(1+D9/100)*(1+D10/100)</f>
        <v>0</v>
      </c>
      <c r="E23" s="5">
        <f>E8*(1+E9/100)*(1+E10/100)</f>
        <v>0</v>
      </c>
      <c r="F23" s="5">
        <f>F8*(1+F9/100)*(1+F10/100)</f>
        <v>0</v>
      </c>
      <c r="G23" s="5">
        <f>G8*(1+G9/100)*(1+G10/100)</f>
        <v>0</v>
      </c>
    </row>
    <row r="24" spans="1:7">
      <c r="A24" t="s">
        <v>33</v>
      </c>
      <c r="B24" s="5">
        <f>B22*B23</f>
        <v>0</v>
      </c>
      <c r="C24" s="5">
        <f>C22*C23</f>
        <v>0</v>
      </c>
      <c r="D24" s="5">
        <f>D22*D23</f>
        <v>0</v>
      </c>
      <c r="E24" s="5">
        <f>E22*E23</f>
        <v>0</v>
      </c>
      <c r="F24" s="5">
        <f>F22*F23</f>
        <v>0</v>
      </c>
      <c r="G24" s="5">
        <f>G22*G23</f>
        <v>0</v>
      </c>
    </row>
    <row r="25" spans="1:7">
      <c r="A25" t="s">
        <v>34</v>
      </c>
      <c r="B25" s="5">
        <f>B24*B14/100*B18</f>
        <v>0</v>
      </c>
      <c r="C25" s="5">
        <f>C24*C14/100*C18</f>
        <v>0</v>
      </c>
      <c r="D25" s="5">
        <f>D24*D14/100*D18</f>
        <v>0</v>
      </c>
      <c r="E25" s="5">
        <f>E24*E14/100*E18</f>
        <v>0</v>
      </c>
      <c r="F25" s="5">
        <f>F24*F14/100*F18</f>
        <v>0</v>
      </c>
      <c r="G25" s="5">
        <f>G24*G14/100*G18</f>
        <v>0</v>
      </c>
    </row>
    <row r="26" spans="1:7">
      <c r="A26" t="s">
        <v>35</v>
      </c>
      <c r="B26" s="5">
        <f>B11*(1+B9/100)*(1+B10/100)</f>
        <v>0</v>
      </c>
      <c r="C26" s="5">
        <f>C11*(1+C9/100)*(1+C10/100)</f>
        <v>0</v>
      </c>
      <c r="D26" s="5">
        <f>D11*(1+D9/100)*(1+D10/100)</f>
        <v>0</v>
      </c>
      <c r="E26" s="5">
        <f>E11*(1+E9/100)*(1+E10/100)</f>
        <v>0</v>
      </c>
      <c r="F26" s="5">
        <f>F11*(1+F9/100)*(1+F10/100)</f>
        <v>0</v>
      </c>
      <c r="G26" s="5">
        <f>G11*(1+G9/100)*(1+G10/100)</f>
        <v>0</v>
      </c>
    </row>
    <row r="27" spans="1:7">
      <c r="A27" t="s">
        <v>36</v>
      </c>
      <c r="B27" s="5">
        <f>B5*B26</f>
        <v>0</v>
      </c>
      <c r="C27" s="5">
        <f>C5*C26</f>
        <v>0</v>
      </c>
      <c r="D27" s="5">
        <f>D5*D26</f>
        <v>0</v>
      </c>
      <c r="E27" s="5">
        <f>E5*E26</f>
        <v>0</v>
      </c>
      <c r="F27" s="5">
        <f>F5*F26</f>
        <v>0</v>
      </c>
      <c r="G27" s="5">
        <f>G5*G26</f>
        <v>0</v>
      </c>
    </row>
    <row r="28" spans="1:7">
      <c r="A28" t="s">
        <v>37</v>
      </c>
      <c r="B28" s="5">
        <f>B27*B15/100*B18</f>
        <v>0</v>
      </c>
      <c r="C28" s="5">
        <f>C27*C15/100*C18</f>
        <v>0</v>
      </c>
      <c r="D28" s="5">
        <f>D27*D15/100*D18</f>
        <v>0</v>
      </c>
      <c r="E28" s="5">
        <f>E27*E15/100*E18</f>
        <v>0</v>
      </c>
      <c r="F28" s="5">
        <f>F27*F15/100*F18</f>
        <v>0</v>
      </c>
      <c r="G28" s="5">
        <f>G27*G15/100*G18</f>
        <v>0</v>
      </c>
    </row>
    <row r="29" spans="1:7">
      <c r="A29" t="s">
        <v>38</v>
      </c>
      <c r="B29" s="5">
        <f>B6*B12</f>
        <v>0</v>
      </c>
      <c r="C29" s="5">
        <f>C6*C12</f>
        <v>0</v>
      </c>
      <c r="D29" s="5">
        <f>D6*D12</f>
        <v>0</v>
      </c>
      <c r="E29" s="5">
        <f>E6*E12</f>
        <v>0</v>
      </c>
      <c r="F29" s="5">
        <f>F6*F12</f>
        <v>0</v>
      </c>
      <c r="G29" s="5">
        <f>G6*G12</f>
        <v>0</v>
      </c>
    </row>
    <row r="30" spans="1:7">
      <c r="A30" t="s">
        <v>39</v>
      </c>
      <c r="B30" s="5">
        <f>B29*B16/100</f>
        <v>0</v>
      </c>
      <c r="C30" s="5">
        <f>C29*C16/100</f>
        <v>0</v>
      </c>
      <c r="D30" s="5">
        <f>D29*D16/100</f>
        <v>0</v>
      </c>
      <c r="E30" s="5">
        <f>E29*E16/100</f>
        <v>0</v>
      </c>
      <c r="F30" s="5">
        <f>F29*F16/100</f>
        <v>0</v>
      </c>
      <c r="G30" s="5">
        <f>G29*G16/100</f>
        <v>0</v>
      </c>
    </row>
    <row r="31" spans="1:7">
      <c r="A31" t="s">
        <v>40</v>
      </c>
      <c r="B31" s="5">
        <f>B7*B13</f>
        <v>0</v>
      </c>
      <c r="C31" s="5">
        <f>C7*C13</f>
        <v>0</v>
      </c>
      <c r="D31" s="5">
        <f>D7*D13</f>
        <v>0</v>
      </c>
      <c r="E31" s="5">
        <f>E7*E13</f>
        <v>0</v>
      </c>
      <c r="F31" s="5">
        <f>F7*F13</f>
        <v>0</v>
      </c>
      <c r="G31" s="5">
        <f>G7*G13</f>
        <v>0</v>
      </c>
    </row>
    <row r="32" spans="1:7">
      <c r="A32" t="s">
        <v>41</v>
      </c>
      <c r="B32" s="5">
        <f>B31*B17/100</f>
        <v>0</v>
      </c>
      <c r="C32" s="5">
        <f>C31*C17/100</f>
        <v>0</v>
      </c>
      <c r="D32" s="5">
        <f>D31*D17/100</f>
        <v>0</v>
      </c>
      <c r="E32" s="5">
        <f>E31*E17/100</f>
        <v>0</v>
      </c>
      <c r="F32" s="5">
        <f>F31*F17/100</f>
        <v>0</v>
      </c>
      <c r="G32" s="5">
        <f>G31*G17/100</f>
        <v>0</v>
      </c>
    </row>
    <row r="33" spans="1:7">
      <c r="A33" t="s">
        <v>42</v>
      </c>
      <c r="B33" s="5">
        <f>B25+B28+B30+B32+B19</f>
        <v>0</v>
      </c>
      <c r="C33" s="5">
        <f>C25+C28+C30+C32+C19</f>
        <v>0</v>
      </c>
      <c r="D33" s="5">
        <f>D25+D28+D30+D32+D19</f>
        <v>0</v>
      </c>
      <c r="E33" s="5">
        <f>E25+E28+E30+E32+E19</f>
        <v>0</v>
      </c>
      <c r="F33" s="5">
        <f>F25+F28+F30+F32+F19</f>
        <v>0</v>
      </c>
      <c r="G33" s="5">
        <f>G25+G28+G30+G32+G19</f>
        <v>0</v>
      </c>
    </row>
    <row r="34" spans="1:7">
      <c r="A34" t="s">
        <v>43</v>
      </c>
      <c r="B34" s="5">
        <f>B24+B27+B29+B31</f>
        <v>0</v>
      </c>
      <c r="C34" s="5">
        <f>C24+C27+C29+C31</f>
        <v>0</v>
      </c>
      <c r="D34" s="5">
        <f>D24+D27+D29+D31</f>
        <v>0</v>
      </c>
      <c r="E34" s="5">
        <f>E24+E27+E29+E31</f>
        <v>0</v>
      </c>
      <c r="F34" s="5">
        <f>F24+F27+F29+F31</f>
        <v>0</v>
      </c>
      <c r="G34" s="5">
        <f>G24+G27+G29+G31</f>
        <v>0</v>
      </c>
    </row>
    <row r="35" spans="1:7">
      <c r="A35" t="s">
        <v>44</v>
      </c>
      <c r="B35" s="5">
        <f>B34/B4</f>
        <v>0</v>
      </c>
      <c r="C35" s="5">
        <f>C34/C4</f>
        <v>0</v>
      </c>
      <c r="D35" s="5">
        <f>D34/D4</f>
        <v>0</v>
      </c>
      <c r="E35" s="5">
        <f>E34/E4</f>
        <v>0</v>
      </c>
      <c r="F35" s="5">
        <f>F34/F4</f>
        <v>0</v>
      </c>
      <c r="G35" s="5">
        <f>G34/G4</f>
        <v>0</v>
      </c>
    </row>
    <row r="36" spans="1:7">
      <c r="A36" t="s">
        <v>45</v>
      </c>
      <c r="B36" s="6">
        <f>(B33-B19)/B34*100</f>
        <v>0</v>
      </c>
      <c r="C36" s="6">
        <f>(C33-C19)/C34*100</f>
        <v>0</v>
      </c>
      <c r="D36" s="6">
        <f>(D33-D19)/D34*100</f>
        <v>0</v>
      </c>
      <c r="E36" s="6">
        <f>(E33-E19)/E34*100</f>
        <v>0</v>
      </c>
      <c r="F36" s="6">
        <f>(F33-F19)/F34*100</f>
        <v>0</v>
      </c>
      <c r="G36" s="6">
        <f>(G33-G19)/G34*100</f>
        <v>0</v>
      </c>
    </row>
    <row r="37" spans="1:7">
      <c r="A37" t="s">
        <v>46</v>
      </c>
      <c r="B37" s="6">
        <f>(B6+B7)/B4*100</f>
        <v>0</v>
      </c>
      <c r="C37" s="6">
        <f>(C6+C7)/C4*100</f>
        <v>0</v>
      </c>
      <c r="D37" s="6">
        <f>(D6+D7)/D4*100</f>
        <v>0</v>
      </c>
      <c r="E37" s="6">
        <f>(E6+E7)/E4*100</f>
        <v>0</v>
      </c>
      <c r="F37" s="6">
        <f>(F6+F7)/F4*100</f>
        <v>0</v>
      </c>
      <c r="G37" s="6">
        <f>(G6+G7)/G4*100</f>
        <v>0</v>
      </c>
    </row>
    <row r="38" spans="1:7">
      <c r="A38" t="s">
        <v>47</v>
      </c>
      <c r="B38" s="6">
        <f>(B33-B25)/B33*100</f>
        <v>0</v>
      </c>
      <c r="C38" s="6">
        <f>(C33-C25)/C33*100</f>
        <v>0</v>
      </c>
      <c r="D38" s="6">
        <f>(D33-D25)/D33*100</f>
        <v>0</v>
      </c>
      <c r="E38" s="6">
        <f>(E33-E25)/E33*100</f>
        <v>0</v>
      </c>
      <c r="F38" s="6">
        <f>(F33-F25)/F33*100</f>
        <v>0</v>
      </c>
      <c r="G38" s="6">
        <f>(G33-G25)/G33*100</f>
        <v>0</v>
      </c>
    </row>
    <row r="40" spans="1:7">
      <c r="A40" s="3" t="s">
        <v>48</v>
      </c>
    </row>
    <row r="41" spans="1:7">
      <c r="A41" t="s">
        <v>49</v>
      </c>
      <c r="B41" s="5">
        <v>4784.07568955946</v>
      </c>
      <c r="C41" s="5">
        <v>3134.380913108358</v>
      </c>
      <c r="D41" s="5">
        <v>2954.506567692998</v>
      </c>
      <c r="E41" s="5">
        <v>3998.528109107672</v>
      </c>
      <c r="F41" s="5">
        <v>5192.152348477352</v>
      </c>
      <c r="G41" s="5">
        <v>3500.186233415205</v>
      </c>
    </row>
    <row r="42" spans="1:7">
      <c r="A42" t="s">
        <v>50</v>
      </c>
      <c r="B42" s="5">
        <v>177.8401296</v>
      </c>
      <c r="C42" s="5">
        <v>171.91417292</v>
      </c>
      <c r="D42" s="5">
        <v>190.724538</v>
      </c>
      <c r="E42" s="5">
        <v>188.36091465</v>
      </c>
      <c r="F42" s="5">
        <v>183.489221316744</v>
      </c>
      <c r="G42" s="5">
        <v>177.0754661764907</v>
      </c>
    </row>
    <row r="43" spans="1:7">
      <c r="A43" t="s">
        <v>51</v>
      </c>
      <c r="B43" s="5">
        <v>26185.07577526518</v>
      </c>
      <c r="C43" s="5">
        <v>23029.25444183239</v>
      </c>
      <c r="D43" s="5">
        <v>32424.35847596906</v>
      </c>
      <c r="E43" s="5">
        <v>30404.07585517849</v>
      </c>
      <c r="F43" s="5">
        <v>29409.94064901775</v>
      </c>
      <c r="G43" s="5">
        <v>25842.88551148021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cols>
    <col min="1" max="1" width="34.7109375" customWidth="1"/>
    <col min="2" max="8" width="13.7109375" customWidth="1"/>
  </cols>
  <sheetData>
    <row r="1" spans="1:7">
      <c r="A1" s="2" t="s">
        <v>53</v>
      </c>
    </row>
    <row r="3" spans="1:7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>
      <c r="A4" t="s">
        <v>14</v>
      </c>
      <c r="B4" s="4">
        <v>150.4336</v>
      </c>
      <c r="C4" s="4">
        <v>136.8775034965035</v>
      </c>
      <c r="D4" s="4">
        <v>174.387928</v>
      </c>
      <c r="E4" s="4">
        <v>165.5734614614614</v>
      </c>
      <c r="F4" s="4">
        <v>167.9686668</v>
      </c>
      <c r="G4" s="4">
        <v>152.9610211588412</v>
      </c>
    </row>
    <row r="5" spans="1:7">
      <c r="A5" t="s">
        <v>15</v>
      </c>
      <c r="B5" s="4">
        <v>7.041203426095859</v>
      </c>
      <c r="C5" s="4">
        <v>6.311081823640084</v>
      </c>
      <c r="D5" s="4">
        <v>10.96067675195112</v>
      </c>
      <c r="E5" s="4">
        <v>10.35100963593176</v>
      </c>
      <c r="F5" s="4">
        <v>10.209744967839</v>
      </c>
      <c r="G5" s="4">
        <v>9.151068644278121</v>
      </c>
    </row>
    <row r="6" spans="1:7">
      <c r="A6" t="s">
        <v>16</v>
      </c>
      <c r="B6" s="4">
        <v>2.711051586518193</v>
      </c>
      <c r="C6" s="4">
        <v>2.429935247604738</v>
      </c>
      <c r="D6" s="4">
        <v>4.940580009894576</v>
      </c>
      <c r="E6" s="4">
        <v>4.665769500081929</v>
      </c>
      <c r="F6" s="4">
        <v>4.602093742546313</v>
      </c>
      <c r="G6" s="4">
        <v>4.124890080810513</v>
      </c>
    </row>
    <row r="7" spans="1:7">
      <c r="A7" t="s">
        <v>17</v>
      </c>
      <c r="B7" s="4">
        <v>0.8367443168266026</v>
      </c>
      <c r="C7" s="4">
        <v>0.7499800146928205</v>
      </c>
      <c r="D7" s="4">
        <v>2.69486182357886</v>
      </c>
      <c r="E7" s="4">
        <v>2.54496518186287</v>
      </c>
      <c r="F7" s="4">
        <v>2.510232950479808</v>
      </c>
      <c r="G7" s="4">
        <v>2.249940044078461</v>
      </c>
    </row>
    <row r="8" spans="1:7">
      <c r="A8" t="s">
        <v>18</v>
      </c>
      <c r="B8" s="4">
        <v>173.7749218956459</v>
      </c>
      <c r="C8" s="4">
        <v>169.5867386206238</v>
      </c>
      <c r="D8" s="4">
        <v>191.3920859460066</v>
      </c>
      <c r="E8" s="4">
        <v>187.6944975125268</v>
      </c>
      <c r="F8" s="4">
        <v>183.4860019936617</v>
      </c>
      <c r="G8" s="4">
        <v>178.8861274546918</v>
      </c>
    </row>
    <row r="9" spans="1:7">
      <c r="A9" t="s">
        <v>19</v>
      </c>
      <c r="B9" s="4">
        <v>4.750306831909886</v>
      </c>
      <c r="C9" s="4">
        <v>4.750306831909886</v>
      </c>
      <c r="D9" s="4">
        <v>4.554145181863276</v>
      </c>
      <c r="E9" s="4">
        <v>4.554145181863276</v>
      </c>
      <c r="F9" s="4">
        <v>4.554145181863276</v>
      </c>
      <c r="G9" s="4">
        <v>4.554145181863276</v>
      </c>
    </row>
    <row r="10" spans="1:7">
      <c r="A10" t="s">
        <v>20</v>
      </c>
      <c r="B10" s="4">
        <v>0.8</v>
      </c>
      <c r="C10" s="4">
        <v>0.7</v>
      </c>
      <c r="D10" s="4">
        <v>1.18</v>
      </c>
      <c r="E10" s="4">
        <v>2.15</v>
      </c>
      <c r="F10" s="4">
        <v>2.99</v>
      </c>
      <c r="G10" s="4">
        <v>1.86</v>
      </c>
    </row>
    <row r="11" spans="1:7">
      <c r="A11" t="s">
        <v>21</v>
      </c>
      <c r="B11" s="4">
        <v>139.996273822563</v>
      </c>
      <c r="C11" s="4">
        <v>136.9068587075575</v>
      </c>
      <c r="D11" s="4">
        <v>152.6890295728368</v>
      </c>
      <c r="E11" s="4">
        <v>150.1635553121577</v>
      </c>
      <c r="F11" s="4">
        <v>147.8196985934345</v>
      </c>
      <c r="G11" s="4">
        <v>144.4142270520865</v>
      </c>
    </row>
    <row r="12" spans="1:7">
      <c r="A12" t="s">
        <v>22</v>
      </c>
      <c r="B12" s="4">
        <v>75</v>
      </c>
      <c r="C12" s="4">
        <v>75</v>
      </c>
      <c r="D12" s="4">
        <v>75</v>
      </c>
      <c r="E12" s="4">
        <v>75</v>
      </c>
      <c r="F12" s="4">
        <v>75</v>
      </c>
      <c r="G12" s="4">
        <v>75</v>
      </c>
    </row>
    <row r="13" spans="1:7">
      <c r="A13" t="s">
        <v>23</v>
      </c>
      <c r="B13" s="4">
        <v>120</v>
      </c>
      <c r="C13" s="4">
        <v>120</v>
      </c>
      <c r="D13" s="4">
        <v>120</v>
      </c>
      <c r="E13" s="4">
        <v>120</v>
      </c>
      <c r="F13" s="4">
        <v>120</v>
      </c>
      <c r="G13" s="4">
        <v>120</v>
      </c>
    </row>
    <row r="14" spans="1:7">
      <c r="A14" t="s">
        <v>24</v>
      </c>
      <c r="B14" s="4">
        <v>18.12844735788689</v>
      </c>
      <c r="C14" s="4">
        <v>13.71011097005804</v>
      </c>
      <c r="D14" s="4">
        <v>9.13714748879074</v>
      </c>
      <c r="E14" s="4">
        <v>13.44811393365669</v>
      </c>
      <c r="F14" s="4">
        <v>18.2784473578869</v>
      </c>
      <c r="G14" s="4">
        <v>13.86011097005804</v>
      </c>
    </row>
    <row r="15" spans="1:7">
      <c r="A15" t="s">
        <v>25</v>
      </c>
      <c r="B15" s="4">
        <v>11</v>
      </c>
      <c r="C15" s="4">
        <v>11</v>
      </c>
      <c r="D15" s="4">
        <v>11</v>
      </c>
      <c r="E15" s="4">
        <v>11</v>
      </c>
      <c r="F15" s="4">
        <v>11</v>
      </c>
      <c r="G15" s="4">
        <v>11</v>
      </c>
    </row>
    <row r="16" spans="1:7">
      <c r="A16" t="s">
        <v>26</v>
      </c>
      <c r="B16" s="4">
        <v>20</v>
      </c>
      <c r="C16" s="4">
        <v>20</v>
      </c>
      <c r="D16" s="4">
        <v>20</v>
      </c>
      <c r="E16" s="4">
        <v>20</v>
      </c>
      <c r="F16" s="4">
        <v>20</v>
      </c>
      <c r="G16" s="4">
        <v>20</v>
      </c>
    </row>
    <row r="17" spans="1:7">
      <c r="A17" t="s">
        <v>27</v>
      </c>
      <c r="B17" s="4">
        <v>15</v>
      </c>
      <c r="C17" s="4">
        <v>15</v>
      </c>
      <c r="D17" s="4">
        <v>15</v>
      </c>
      <c r="E17" s="4">
        <v>15</v>
      </c>
      <c r="F17" s="4">
        <v>15</v>
      </c>
      <c r="G17" s="4">
        <v>15</v>
      </c>
    </row>
    <row r="18" spans="1:7">
      <c r="A18" t="s">
        <v>28</v>
      </c>
      <c r="B18" s="4">
        <v>1.021825396825397</v>
      </c>
      <c r="C18" s="4">
        <v>0.9887785501489574</v>
      </c>
      <c r="D18" s="4">
        <v>0.9833959280490215</v>
      </c>
      <c r="E18" s="4">
        <v>0.9841409691629956</v>
      </c>
      <c r="F18" s="4">
        <v>0.9831051558403727</v>
      </c>
      <c r="G18" s="4">
        <v>1.00294521892794</v>
      </c>
    </row>
    <row r="19" spans="1:7">
      <c r="A19" t="s">
        <v>29</v>
      </c>
      <c r="B19" s="4">
        <v>0</v>
      </c>
      <c r="C19" s="4">
        <v>0</v>
      </c>
      <c r="D19" s="4">
        <v>67.37154558947151</v>
      </c>
      <c r="E19" s="4">
        <v>63.62412954657176</v>
      </c>
      <c r="F19" s="4">
        <v>62.75582376199519</v>
      </c>
      <c r="G19" s="4">
        <v>56.24850110196154</v>
      </c>
    </row>
    <row r="21" spans="1:7">
      <c r="A21" s="3" t="s">
        <v>30</v>
      </c>
    </row>
    <row r="22" spans="1:7">
      <c r="A22" t="s">
        <v>31</v>
      </c>
      <c r="B22" s="5">
        <f>B4-B5-B6-B7</f>
        <v>0</v>
      </c>
      <c r="C22" s="5">
        <f>C4-C5-C6-C7</f>
        <v>0</v>
      </c>
      <c r="D22" s="5">
        <f>D4-D5-D6-D7</f>
        <v>0</v>
      </c>
      <c r="E22" s="5">
        <f>E4-E5-E6-E7</f>
        <v>0</v>
      </c>
      <c r="F22" s="5">
        <f>F4-F5-F6-F7</f>
        <v>0</v>
      </c>
      <c r="G22" s="5">
        <f>G4-G5-G6-G7</f>
        <v>0</v>
      </c>
    </row>
    <row r="23" spans="1:7">
      <c r="A23" t="s">
        <v>32</v>
      </c>
      <c r="B23" s="5">
        <f>B8*(1+B9/100)*(1+B10/100)</f>
        <v>0</v>
      </c>
      <c r="C23" s="5">
        <f>C8*(1+C9/100)*(1+C10/100)</f>
        <v>0</v>
      </c>
      <c r="D23" s="5">
        <f>D8*(1+D9/100)*(1+D10/100)</f>
        <v>0</v>
      </c>
      <c r="E23" s="5">
        <f>E8*(1+E9/100)*(1+E10/100)</f>
        <v>0</v>
      </c>
      <c r="F23" s="5">
        <f>F8*(1+F9/100)*(1+F10/100)</f>
        <v>0</v>
      </c>
      <c r="G23" s="5">
        <f>G8*(1+G9/100)*(1+G10/100)</f>
        <v>0</v>
      </c>
    </row>
    <row r="24" spans="1:7">
      <c r="A24" t="s">
        <v>33</v>
      </c>
      <c r="B24" s="5">
        <f>B22*B23</f>
        <v>0</v>
      </c>
      <c r="C24" s="5">
        <f>C22*C23</f>
        <v>0</v>
      </c>
      <c r="D24" s="5">
        <f>D22*D23</f>
        <v>0</v>
      </c>
      <c r="E24" s="5">
        <f>E22*E23</f>
        <v>0</v>
      </c>
      <c r="F24" s="5">
        <f>F22*F23</f>
        <v>0</v>
      </c>
      <c r="G24" s="5">
        <f>G22*G23</f>
        <v>0</v>
      </c>
    </row>
    <row r="25" spans="1:7">
      <c r="A25" t="s">
        <v>34</v>
      </c>
      <c r="B25" s="5">
        <f>B24*B14/100*B18</f>
        <v>0</v>
      </c>
      <c r="C25" s="5">
        <f>C24*C14/100*C18</f>
        <v>0</v>
      </c>
      <c r="D25" s="5">
        <f>D24*D14/100*D18</f>
        <v>0</v>
      </c>
      <c r="E25" s="5">
        <f>E24*E14/100*E18</f>
        <v>0</v>
      </c>
      <c r="F25" s="5">
        <f>F24*F14/100*F18</f>
        <v>0</v>
      </c>
      <c r="G25" s="5">
        <f>G24*G14/100*G18</f>
        <v>0</v>
      </c>
    </row>
    <row r="26" spans="1:7">
      <c r="A26" t="s">
        <v>35</v>
      </c>
      <c r="B26" s="5">
        <f>B11*(1+B9/100)*(1+B10/100)</f>
        <v>0</v>
      </c>
      <c r="C26" s="5">
        <f>C11*(1+C9/100)*(1+C10/100)</f>
        <v>0</v>
      </c>
      <c r="D26" s="5">
        <f>D11*(1+D9/100)*(1+D10/100)</f>
        <v>0</v>
      </c>
      <c r="E26" s="5">
        <f>E11*(1+E9/100)*(1+E10/100)</f>
        <v>0</v>
      </c>
      <c r="F26" s="5">
        <f>F11*(1+F9/100)*(1+F10/100)</f>
        <v>0</v>
      </c>
      <c r="G26" s="5">
        <f>G11*(1+G9/100)*(1+G10/100)</f>
        <v>0</v>
      </c>
    </row>
    <row r="27" spans="1:7">
      <c r="A27" t="s">
        <v>36</v>
      </c>
      <c r="B27" s="5">
        <f>B5*B26</f>
        <v>0</v>
      </c>
      <c r="C27" s="5">
        <f>C5*C26</f>
        <v>0</v>
      </c>
      <c r="D27" s="5">
        <f>D5*D26</f>
        <v>0</v>
      </c>
      <c r="E27" s="5">
        <f>E5*E26</f>
        <v>0</v>
      </c>
      <c r="F27" s="5">
        <f>F5*F26</f>
        <v>0</v>
      </c>
      <c r="G27" s="5">
        <f>G5*G26</f>
        <v>0</v>
      </c>
    </row>
    <row r="28" spans="1:7">
      <c r="A28" t="s">
        <v>37</v>
      </c>
      <c r="B28" s="5">
        <f>B27*B15/100*B18</f>
        <v>0</v>
      </c>
      <c r="C28" s="5">
        <f>C27*C15/100*C18</f>
        <v>0</v>
      </c>
      <c r="D28" s="5">
        <f>D27*D15/100*D18</f>
        <v>0</v>
      </c>
      <c r="E28" s="5">
        <f>E27*E15/100*E18</f>
        <v>0</v>
      </c>
      <c r="F28" s="5">
        <f>F27*F15/100*F18</f>
        <v>0</v>
      </c>
      <c r="G28" s="5">
        <f>G27*G15/100*G18</f>
        <v>0</v>
      </c>
    </row>
    <row r="29" spans="1:7">
      <c r="A29" t="s">
        <v>38</v>
      </c>
      <c r="B29" s="5">
        <f>B6*B12</f>
        <v>0</v>
      </c>
      <c r="C29" s="5">
        <f>C6*C12</f>
        <v>0</v>
      </c>
      <c r="D29" s="5">
        <f>D6*D12</f>
        <v>0</v>
      </c>
      <c r="E29" s="5">
        <f>E6*E12</f>
        <v>0</v>
      </c>
      <c r="F29" s="5">
        <f>F6*F12</f>
        <v>0</v>
      </c>
      <c r="G29" s="5">
        <f>G6*G12</f>
        <v>0</v>
      </c>
    </row>
    <row r="30" spans="1:7">
      <c r="A30" t="s">
        <v>39</v>
      </c>
      <c r="B30" s="5">
        <f>B29*B16/100</f>
        <v>0</v>
      </c>
      <c r="C30" s="5">
        <f>C29*C16/100</f>
        <v>0</v>
      </c>
      <c r="D30" s="5">
        <f>D29*D16/100</f>
        <v>0</v>
      </c>
      <c r="E30" s="5">
        <f>E29*E16/100</f>
        <v>0</v>
      </c>
      <c r="F30" s="5">
        <f>F29*F16/100</f>
        <v>0</v>
      </c>
      <c r="G30" s="5">
        <f>G29*G16/100</f>
        <v>0</v>
      </c>
    </row>
    <row r="31" spans="1:7">
      <c r="A31" t="s">
        <v>40</v>
      </c>
      <c r="B31" s="5">
        <f>B7*B13</f>
        <v>0</v>
      </c>
      <c r="C31" s="5">
        <f>C7*C13</f>
        <v>0</v>
      </c>
      <c r="D31" s="5">
        <f>D7*D13</f>
        <v>0</v>
      </c>
      <c r="E31" s="5">
        <f>E7*E13</f>
        <v>0</v>
      </c>
      <c r="F31" s="5">
        <f>F7*F13</f>
        <v>0</v>
      </c>
      <c r="G31" s="5">
        <f>G7*G13</f>
        <v>0</v>
      </c>
    </row>
    <row r="32" spans="1:7">
      <c r="A32" t="s">
        <v>41</v>
      </c>
      <c r="B32" s="5">
        <f>B31*B17/100</f>
        <v>0</v>
      </c>
      <c r="C32" s="5">
        <f>C31*C17/100</f>
        <v>0</v>
      </c>
      <c r="D32" s="5">
        <f>D31*D17/100</f>
        <v>0</v>
      </c>
      <c r="E32" s="5">
        <f>E31*E17/100</f>
        <v>0</v>
      </c>
      <c r="F32" s="5">
        <f>F31*F17/100</f>
        <v>0</v>
      </c>
      <c r="G32" s="5">
        <f>G31*G17/100</f>
        <v>0</v>
      </c>
    </row>
    <row r="33" spans="1:7">
      <c r="A33" t="s">
        <v>42</v>
      </c>
      <c r="B33" s="5">
        <f>B25+B28+B30+B32+B19</f>
        <v>0</v>
      </c>
      <c r="C33" s="5">
        <f>C25+C28+C30+C32+C19</f>
        <v>0</v>
      </c>
      <c r="D33" s="5">
        <f>D25+D28+D30+D32+D19</f>
        <v>0</v>
      </c>
      <c r="E33" s="5">
        <f>E25+E28+E30+E32+E19</f>
        <v>0</v>
      </c>
      <c r="F33" s="5">
        <f>F25+F28+F30+F32+F19</f>
        <v>0</v>
      </c>
      <c r="G33" s="5">
        <f>G25+G28+G30+G32+G19</f>
        <v>0</v>
      </c>
    </row>
    <row r="34" spans="1:7">
      <c r="A34" t="s">
        <v>43</v>
      </c>
      <c r="B34" s="5">
        <f>B24+B27+B29+B31</f>
        <v>0</v>
      </c>
      <c r="C34" s="5">
        <f>C24+C27+C29+C31</f>
        <v>0</v>
      </c>
      <c r="D34" s="5">
        <f>D24+D27+D29+D31</f>
        <v>0</v>
      </c>
      <c r="E34" s="5">
        <f>E24+E27+E29+E31</f>
        <v>0</v>
      </c>
      <c r="F34" s="5">
        <f>F24+F27+F29+F31</f>
        <v>0</v>
      </c>
      <c r="G34" s="5">
        <f>G24+G27+G29+G31</f>
        <v>0</v>
      </c>
    </row>
    <row r="35" spans="1:7">
      <c r="A35" t="s">
        <v>44</v>
      </c>
      <c r="B35" s="5">
        <f>B34/B4</f>
        <v>0</v>
      </c>
      <c r="C35" s="5">
        <f>C34/C4</f>
        <v>0</v>
      </c>
      <c r="D35" s="5">
        <f>D34/D4</f>
        <v>0</v>
      </c>
      <c r="E35" s="5">
        <f>E34/E4</f>
        <v>0</v>
      </c>
      <c r="F35" s="5">
        <f>F34/F4</f>
        <v>0</v>
      </c>
      <c r="G35" s="5">
        <f>G34/G4</f>
        <v>0</v>
      </c>
    </row>
    <row r="36" spans="1:7">
      <c r="A36" t="s">
        <v>45</v>
      </c>
      <c r="B36" s="6">
        <f>(B33-B19)/B34*100</f>
        <v>0</v>
      </c>
      <c r="C36" s="6">
        <f>(C33-C19)/C34*100</f>
        <v>0</v>
      </c>
      <c r="D36" s="6">
        <f>(D33-D19)/D34*100</f>
        <v>0</v>
      </c>
      <c r="E36" s="6">
        <f>(E33-E19)/E34*100</f>
        <v>0</v>
      </c>
      <c r="F36" s="6">
        <f>(F33-F19)/F34*100</f>
        <v>0</v>
      </c>
      <c r="G36" s="6">
        <f>(G33-G19)/G34*100</f>
        <v>0</v>
      </c>
    </row>
    <row r="37" spans="1:7">
      <c r="A37" t="s">
        <v>46</v>
      </c>
      <c r="B37" s="6">
        <f>(B6+B7)/B4*100</f>
        <v>0</v>
      </c>
      <c r="C37" s="6">
        <f>(C6+C7)/C4*100</f>
        <v>0</v>
      </c>
      <c r="D37" s="6">
        <f>(D6+D7)/D4*100</f>
        <v>0</v>
      </c>
      <c r="E37" s="6">
        <f>(E6+E7)/E4*100</f>
        <v>0</v>
      </c>
      <c r="F37" s="6">
        <f>(F6+F7)/F4*100</f>
        <v>0</v>
      </c>
      <c r="G37" s="6">
        <f>(G6+G7)/G4*100</f>
        <v>0</v>
      </c>
    </row>
    <row r="38" spans="1:7">
      <c r="A38" t="s">
        <v>47</v>
      </c>
      <c r="B38" s="6">
        <f>(B33-B25)/B33*100</f>
        <v>0</v>
      </c>
      <c r="C38" s="6">
        <f>(C33-C25)/C33*100</f>
        <v>0</v>
      </c>
      <c r="D38" s="6">
        <f>(D33-D25)/D33*100</f>
        <v>0</v>
      </c>
      <c r="E38" s="6">
        <f>(E33-E25)/E33*100</f>
        <v>0</v>
      </c>
      <c r="F38" s="6">
        <f>(F33-F25)/F33*100</f>
        <v>0</v>
      </c>
      <c r="G38" s="6">
        <f>(G33-G25)/G33*100</f>
        <v>0</v>
      </c>
    </row>
    <row r="40" spans="1:7">
      <c r="A40" s="3" t="s">
        <v>48</v>
      </c>
    </row>
    <row r="41" spans="1:7">
      <c r="A41" t="s">
        <v>49</v>
      </c>
      <c r="B41" s="5">
        <v>4949.116893800118</v>
      </c>
      <c r="C41" s="5">
        <v>3245.661135298524</v>
      </c>
      <c r="D41" s="5">
        <v>3126.936977468641</v>
      </c>
      <c r="E41" s="5">
        <v>4244.588698833716</v>
      </c>
      <c r="F41" s="5">
        <v>5714.627986417101</v>
      </c>
      <c r="G41" s="5">
        <v>3921.151297232514</v>
      </c>
    </row>
    <row r="42" spans="1:7">
      <c r="A42" t="s">
        <v>50</v>
      </c>
      <c r="B42" s="5">
        <v>179.5667328</v>
      </c>
      <c r="C42" s="5">
        <v>175.4298728</v>
      </c>
      <c r="D42" s="5">
        <v>195.64033266</v>
      </c>
      <c r="E42" s="5">
        <v>194.249001825</v>
      </c>
      <c r="F42" s="5">
        <v>191.4085303445952</v>
      </c>
      <c r="G42" s="5">
        <v>184.9471188292727</v>
      </c>
    </row>
    <row r="43" spans="1:7">
      <c r="A43" t="s">
        <v>51</v>
      </c>
      <c r="B43" s="5">
        <v>27012.87005534208</v>
      </c>
      <c r="C43" s="5">
        <v>24012.40302757316</v>
      </c>
      <c r="D43" s="5">
        <v>34117.31224580813</v>
      </c>
      <c r="E43" s="5">
        <v>32162.47961759899</v>
      </c>
      <c r="F43" s="5">
        <v>32150.635656129</v>
      </c>
      <c r="G43" s="5">
        <v>28289.7001565111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FormatPr defaultRowHeight="15"/>
  <cols>
    <col min="1" max="1" width="12.7109375" customWidth="1"/>
    <col min="2" max="26" width="13.7109375" customWidth="1"/>
  </cols>
  <sheetData>
    <row r="1" spans="1:24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68</v>
      </c>
      <c r="P1" s="3" t="s">
        <v>69</v>
      </c>
      <c r="Q1" s="3" t="s">
        <v>70</v>
      </c>
      <c r="R1" s="3" t="s">
        <v>71</v>
      </c>
      <c r="S1" s="3" t="s">
        <v>72</v>
      </c>
      <c r="T1" s="3" t="s">
        <v>73</v>
      </c>
      <c r="U1" s="3" t="s">
        <v>74</v>
      </c>
      <c r="V1" s="3" t="s">
        <v>75</v>
      </c>
      <c r="W1" s="3" t="s">
        <v>76</v>
      </c>
      <c r="X1" s="3" t="s">
        <v>77</v>
      </c>
    </row>
    <row r="2" spans="1:24">
      <c r="A2" t="s">
        <v>78</v>
      </c>
      <c r="B2" s="5">
        <v>2025</v>
      </c>
      <c r="C2" t="s">
        <v>79</v>
      </c>
      <c r="D2" s="5">
        <v>533</v>
      </c>
      <c r="E2" s="5">
        <v>507.6333333333333</v>
      </c>
      <c r="F2" s="5">
        <v>18.7</v>
      </c>
      <c r="G2" s="5">
        <v>6</v>
      </c>
      <c r="H2" s="5">
        <v>0.6666666666666666</v>
      </c>
      <c r="I2" s="5">
        <v>173.6528990741349</v>
      </c>
      <c r="J2" s="5">
        <v>171.2945590994372</v>
      </c>
      <c r="K2" s="5">
        <v>91300</v>
      </c>
      <c r="L2" s="5">
        <v>13.44384699156003</v>
      </c>
      <c r="M2" s="5">
        <v>13.40744797371303</v>
      </c>
      <c r="N2" s="5">
        <v>11851.02</v>
      </c>
      <c r="O2" s="5">
        <v>287.98</v>
      </c>
      <c r="P2" s="5">
        <v>90</v>
      </c>
      <c r="Q2" s="5">
        <v>12</v>
      </c>
      <c r="R2" s="5">
        <v>0</v>
      </c>
      <c r="S2" s="5">
        <v>12241</v>
      </c>
      <c r="W2" s="5">
        <v>12241</v>
      </c>
    </row>
    <row r="3" spans="1:24">
      <c r="A3" t="s">
        <v>78</v>
      </c>
      <c r="B3" s="5">
        <v>2026</v>
      </c>
      <c r="C3" t="s">
        <v>80</v>
      </c>
      <c r="D3" s="5">
        <v>579.0973809959089</v>
      </c>
      <c r="E3" s="5">
        <v>547.8573809959089</v>
      </c>
      <c r="F3" s="5">
        <v>22.44</v>
      </c>
      <c r="G3" s="5">
        <v>7.466666666666667</v>
      </c>
      <c r="H3" s="5">
        <v>1.333333333333333</v>
      </c>
      <c r="I3" s="5">
        <v>182.0588177146252</v>
      </c>
      <c r="J3" s="5">
        <v>179.1622088454855</v>
      </c>
      <c r="K3" s="5">
        <v>103752.3659158627</v>
      </c>
      <c r="L3" s="5">
        <v>13.44967629442194</v>
      </c>
      <c r="M3" s="5">
        <v>13.41236239126262</v>
      </c>
      <c r="N3" s="5">
        <v>13415.0120483344</v>
      </c>
      <c r="O3" s="5">
        <v>364.6312578099469</v>
      </c>
      <c r="P3" s="5">
        <v>112</v>
      </c>
      <c r="Q3" s="5">
        <v>24</v>
      </c>
      <c r="R3" s="5">
        <v>0</v>
      </c>
      <c r="S3" s="5">
        <v>13915.64330614434</v>
      </c>
      <c r="T3" s="5">
        <v>13.68060866060241</v>
      </c>
      <c r="U3" s="5">
        <v>3.59761490572913</v>
      </c>
      <c r="V3" s="5">
        <v>1.519606250828851</v>
      </c>
      <c r="W3" s="5">
        <v>13933.34896091384</v>
      </c>
      <c r="X3" s="5">
        <v>-17.70565476949741</v>
      </c>
    </row>
    <row r="4" spans="1:24">
      <c r="A4" t="s">
        <v>78</v>
      </c>
      <c r="B4" s="5">
        <v>2027</v>
      </c>
      <c r="C4" t="s">
        <v>81</v>
      </c>
      <c r="D4" s="5">
        <v>611.2228428485834</v>
      </c>
      <c r="E4" s="5">
        <v>574.0813317374723</v>
      </c>
      <c r="F4" s="5">
        <v>26.0304</v>
      </c>
      <c r="G4" s="5">
        <v>9</v>
      </c>
      <c r="H4" s="5">
        <v>2.111111111111111</v>
      </c>
      <c r="I4" s="5">
        <v>179.9126953674674</v>
      </c>
      <c r="J4" s="5">
        <v>176.669540655423</v>
      </c>
      <c r="K4" s="5">
        <v>107984.4588841611</v>
      </c>
      <c r="L4" s="5">
        <v>13.13353639328028</v>
      </c>
      <c r="M4" s="5">
        <v>13.10569133655617</v>
      </c>
      <c r="N4" s="5">
        <v>13564.90999038945</v>
      </c>
      <c r="O4" s="5">
        <v>414.1998824191061</v>
      </c>
      <c r="P4" s="5">
        <v>135</v>
      </c>
      <c r="Q4" s="5">
        <v>38</v>
      </c>
      <c r="R4" s="5">
        <v>0</v>
      </c>
      <c r="S4" s="5">
        <v>14152.10987280856</v>
      </c>
      <c r="T4" s="5">
        <v>1.699285914865389</v>
      </c>
      <c r="U4" s="5">
        <v>4.149203812693218</v>
      </c>
      <c r="V4" s="5">
        <v>1.817849453945169</v>
      </c>
      <c r="W4" s="5">
        <v>14180.9741306969</v>
      </c>
      <c r="X4" s="5">
        <v>-28.86425788833731</v>
      </c>
    </row>
    <row r="5" spans="1:24">
      <c r="A5" t="s">
        <v>78</v>
      </c>
      <c r="B5" s="5">
        <v>2028</v>
      </c>
      <c r="C5" t="s">
        <v>82</v>
      </c>
      <c r="D5" s="5">
        <v>641.7839849910125</v>
      </c>
      <c r="E5" s="5">
        <v>598.2553876576792</v>
      </c>
      <c r="F5" s="5">
        <v>30.19526399999999</v>
      </c>
      <c r="G5" s="5">
        <v>10.33333333333333</v>
      </c>
      <c r="H5" s="5">
        <v>3</v>
      </c>
      <c r="I5" s="5">
        <v>182.0274080164631</v>
      </c>
      <c r="J5" s="5">
        <v>178.3471820652791</v>
      </c>
      <c r="K5" s="5">
        <v>114460.3652177725</v>
      </c>
      <c r="L5" s="5">
        <v>13.03353639328028</v>
      </c>
      <c r="M5" s="5">
        <v>13.00824827216204</v>
      </c>
      <c r="N5" s="5">
        <v>14193.37483698956</v>
      </c>
      <c r="O5" s="5">
        <v>486.9136437616859</v>
      </c>
      <c r="P5" s="5">
        <v>155</v>
      </c>
      <c r="Q5" s="5">
        <v>54</v>
      </c>
      <c r="R5" s="5">
        <v>60</v>
      </c>
      <c r="S5" s="5">
        <v>14949.28848075124</v>
      </c>
      <c r="T5" s="5">
        <v>5.632931167912703</v>
      </c>
      <c r="U5" s="5">
        <v>5.056519209827298</v>
      </c>
      <c r="V5" s="5">
        <v>2.077542233080194</v>
      </c>
      <c r="W5" s="5">
        <v>14970.67087931568</v>
      </c>
      <c r="X5" s="5">
        <v>-21.38239856444125</v>
      </c>
    </row>
    <row r="6" spans="1:24">
      <c r="A6" t="s">
        <v>83</v>
      </c>
      <c r="B6" s="5">
        <v>2025</v>
      </c>
      <c r="C6" t="s">
        <v>79</v>
      </c>
      <c r="D6" s="5">
        <v>533</v>
      </c>
      <c r="E6" s="5">
        <v>507.6333333333333</v>
      </c>
      <c r="F6" s="5">
        <v>18.7</v>
      </c>
      <c r="G6" s="5">
        <v>6</v>
      </c>
      <c r="H6" s="5">
        <v>0.6666666666666666</v>
      </c>
      <c r="I6" s="5">
        <v>173.6528990741349</v>
      </c>
      <c r="J6" s="5">
        <v>171.2945590994372</v>
      </c>
      <c r="K6" s="5">
        <v>91300</v>
      </c>
      <c r="L6" s="5">
        <v>13.44384699156003</v>
      </c>
      <c r="M6" s="5">
        <v>13.40744797371303</v>
      </c>
      <c r="N6" s="5">
        <v>11851.02</v>
      </c>
      <c r="O6" s="5">
        <v>287.98</v>
      </c>
      <c r="P6" s="5">
        <v>90</v>
      </c>
      <c r="Q6" s="5">
        <v>12</v>
      </c>
      <c r="R6" s="5">
        <v>0</v>
      </c>
      <c r="S6" s="5">
        <v>12241</v>
      </c>
      <c r="W6" s="5">
        <v>12241</v>
      </c>
    </row>
    <row r="7" spans="1:24">
      <c r="A7" t="s">
        <v>83</v>
      </c>
      <c r="B7" s="5">
        <v>2026</v>
      </c>
      <c r="C7" t="s">
        <v>80</v>
      </c>
      <c r="D7" s="5">
        <v>585.6972685563485</v>
      </c>
      <c r="E7" s="5">
        <v>549.1189352230151</v>
      </c>
      <c r="F7" s="5">
        <v>25.245</v>
      </c>
      <c r="G7" s="5">
        <v>9</v>
      </c>
      <c r="H7" s="5">
        <v>2.333333333333333</v>
      </c>
      <c r="I7" s="5">
        <v>183.7598141642983</v>
      </c>
      <c r="J7" s="5">
        <v>180.2838360365637</v>
      </c>
      <c r="K7" s="5">
        <v>105591.7503314759</v>
      </c>
      <c r="L7" s="5">
        <v>13.47471610558902</v>
      </c>
      <c r="M7" s="5">
        <v>13.43508287086663</v>
      </c>
      <c r="N7" s="5">
        <v>13596.79615639308</v>
      </c>
      <c r="O7" s="5">
        <v>412.5430054393032</v>
      </c>
      <c r="P7" s="5">
        <v>135</v>
      </c>
      <c r="Q7" s="5">
        <v>42</v>
      </c>
      <c r="R7" s="5">
        <v>0</v>
      </c>
      <c r="S7" s="5">
        <v>14186.33916183238</v>
      </c>
      <c r="T7" s="5">
        <v>15.89199544017956</v>
      </c>
      <c r="U7" s="5">
        <v>4.155709226418599</v>
      </c>
      <c r="V7" s="5">
        <v>1.935015568924919</v>
      </c>
      <c r="W7" s="5">
        <v>14232.53180246914</v>
      </c>
      <c r="X7" s="5">
        <v>-46.19264063676019</v>
      </c>
    </row>
    <row r="8" spans="1:24">
      <c r="A8" t="s">
        <v>83</v>
      </c>
      <c r="B8" s="5">
        <v>2027</v>
      </c>
      <c r="C8" t="s">
        <v>81</v>
      </c>
      <c r="D8" s="5">
        <v>637.644504969055</v>
      </c>
      <c r="E8" s="5">
        <v>586.6482271912773</v>
      </c>
      <c r="F8" s="5">
        <v>32.8185</v>
      </c>
      <c r="G8" s="5">
        <v>13.06666666666667</v>
      </c>
      <c r="H8" s="5">
        <v>5.111111111111111</v>
      </c>
      <c r="I8" s="5">
        <v>189.701399688513</v>
      </c>
      <c r="J8" s="5">
        <v>184.8806047111597</v>
      </c>
      <c r="K8" s="5">
        <v>117888.101669427</v>
      </c>
      <c r="L8" s="5">
        <v>13.27513033062822</v>
      </c>
      <c r="M8" s="5">
        <v>13.23954386948284</v>
      </c>
      <c r="N8" s="5">
        <v>14773.62569133555</v>
      </c>
      <c r="O8" s="5">
        <v>546.2212460887637</v>
      </c>
      <c r="P8" s="5">
        <v>196</v>
      </c>
      <c r="Q8" s="5">
        <v>92</v>
      </c>
      <c r="R8" s="5">
        <v>120</v>
      </c>
      <c r="S8" s="5">
        <v>15727.84693742431</v>
      </c>
      <c r="T8" s="5">
        <v>10.86614212452555</v>
      </c>
      <c r="U8" s="5">
        <v>6.06708120879661</v>
      </c>
      <c r="V8" s="5">
        <v>2.850769925267363</v>
      </c>
      <c r="W8" s="5">
        <v>15842.03591051054</v>
      </c>
      <c r="X8" s="5">
        <v>-114.1889730862222</v>
      </c>
    </row>
    <row r="9" spans="1:24">
      <c r="A9" t="s">
        <v>83</v>
      </c>
      <c r="B9" s="5">
        <v>2028</v>
      </c>
      <c r="C9" t="s">
        <v>82</v>
      </c>
      <c r="D9" s="5">
        <v>688.6560653665795</v>
      </c>
      <c r="E9" s="5">
        <v>620.1440514776906</v>
      </c>
      <c r="F9" s="5">
        <v>41.023125</v>
      </c>
      <c r="G9" s="5">
        <v>18.26666666666667</v>
      </c>
      <c r="H9" s="5">
        <v>9.222222222222223</v>
      </c>
      <c r="I9" s="5">
        <v>195.6145235033206</v>
      </c>
      <c r="J9" s="5">
        <v>189.1211163700214</v>
      </c>
      <c r="K9" s="5">
        <v>130239.4038771139</v>
      </c>
      <c r="L9" s="5">
        <v>13.32513033062822</v>
      </c>
      <c r="M9" s="5">
        <v>13.29436191243175</v>
      </c>
      <c r="N9" s="5">
        <v>16164.60675552298</v>
      </c>
      <c r="O9" s="5">
        <v>709.8909484942091</v>
      </c>
      <c r="P9" s="5">
        <v>274</v>
      </c>
      <c r="Q9" s="5">
        <v>166</v>
      </c>
      <c r="R9" s="5">
        <v>350</v>
      </c>
      <c r="S9" s="5">
        <v>17664.49770401719</v>
      </c>
      <c r="T9" s="5">
        <v>12.31351483962266</v>
      </c>
      <c r="U9" s="5">
        <v>8.490991216541127</v>
      </c>
      <c r="V9" s="5">
        <v>3.991671644430553</v>
      </c>
      <c r="W9" s="5">
        <v>17947.13582233434</v>
      </c>
      <c r="X9" s="5">
        <v>-282.638118317147</v>
      </c>
    </row>
    <row r="10" spans="1:24">
      <c r="A10" t="s">
        <v>84</v>
      </c>
      <c r="B10" s="5">
        <v>2025</v>
      </c>
      <c r="C10" t="s">
        <v>79</v>
      </c>
      <c r="D10" s="5">
        <v>533</v>
      </c>
      <c r="E10" s="5">
        <v>507.6333333333333</v>
      </c>
      <c r="F10" s="5">
        <v>18.7</v>
      </c>
      <c r="G10" s="5">
        <v>6</v>
      </c>
      <c r="H10" s="5">
        <v>0.6666666666666666</v>
      </c>
      <c r="I10" s="5">
        <v>173.6528990741349</v>
      </c>
      <c r="J10" s="5">
        <v>171.2945590994372</v>
      </c>
      <c r="K10" s="5">
        <v>91300</v>
      </c>
      <c r="L10" s="5">
        <v>13.44384699156003</v>
      </c>
      <c r="M10" s="5">
        <v>13.40744797371303</v>
      </c>
      <c r="N10" s="5">
        <v>11851.02</v>
      </c>
      <c r="O10" s="5">
        <v>287.98</v>
      </c>
      <c r="P10" s="5">
        <v>90</v>
      </c>
      <c r="Q10" s="5">
        <v>12</v>
      </c>
      <c r="R10" s="5">
        <v>0</v>
      </c>
      <c r="S10" s="5">
        <v>12241</v>
      </c>
      <c r="W10" s="5">
        <v>12241</v>
      </c>
    </row>
    <row r="11" spans="1:24">
      <c r="A11" t="s">
        <v>84</v>
      </c>
      <c r="B11" s="5">
        <v>2026</v>
      </c>
      <c r="C11" t="s">
        <v>80</v>
      </c>
      <c r="D11" s="5">
        <v>591.8111034965035</v>
      </c>
      <c r="E11" s="5">
        <v>549.6277701631702</v>
      </c>
      <c r="F11" s="5">
        <v>28.05</v>
      </c>
      <c r="G11" s="5">
        <v>10.8</v>
      </c>
      <c r="H11" s="5">
        <v>3.333333333333333</v>
      </c>
      <c r="I11" s="5">
        <v>185.5565540633236</v>
      </c>
      <c r="J11" s="5">
        <v>181.4352998258496</v>
      </c>
      <c r="K11" s="5">
        <v>107375.425003155</v>
      </c>
      <c r="L11" s="5">
        <v>13.49892700994845</v>
      </c>
      <c r="M11" s="5">
        <v>13.45759713867865</v>
      </c>
      <c r="N11" s="5">
        <v>13767.1554208732</v>
      </c>
      <c r="O11" s="5">
        <v>460.9967019954282</v>
      </c>
      <c r="P11" s="5">
        <v>162</v>
      </c>
      <c r="Q11" s="5">
        <v>60</v>
      </c>
      <c r="R11" s="5">
        <v>0</v>
      </c>
      <c r="S11" s="5">
        <v>14450.15212286863</v>
      </c>
      <c r="T11" s="5">
        <v>18.04715401412165</v>
      </c>
      <c r="U11" s="5">
        <v>4.72657101591703</v>
      </c>
      <c r="V11" s="5">
        <v>2.388149402711711</v>
      </c>
      <c r="W11" s="5">
        <v>14526.58234767154</v>
      </c>
      <c r="X11" s="5">
        <v>-76.43022480290892</v>
      </c>
    </row>
    <row r="12" spans="1:24">
      <c r="A12" t="s">
        <v>84</v>
      </c>
      <c r="B12" s="5">
        <v>2027</v>
      </c>
      <c r="C12" t="s">
        <v>81</v>
      </c>
      <c r="D12" s="5">
        <v>660.8910774203026</v>
      </c>
      <c r="E12" s="5">
        <v>591.8852440869694</v>
      </c>
      <c r="F12" s="5">
        <v>40.67249999999999</v>
      </c>
      <c r="G12" s="5">
        <v>18.33333333333333</v>
      </c>
      <c r="H12" s="5">
        <v>10</v>
      </c>
      <c r="I12" s="5">
        <v>197.9459195644582</v>
      </c>
      <c r="J12" s="5">
        <v>190.9532861211347</v>
      </c>
      <c r="K12" s="5">
        <v>126199.323001544</v>
      </c>
      <c r="L12" s="5">
        <v>13.4424991321818</v>
      </c>
      <c r="M12" s="5">
        <v>13.39677924736131</v>
      </c>
      <c r="N12" s="5">
        <v>15749.40255747856</v>
      </c>
      <c r="O12" s="5">
        <v>702.242156702757</v>
      </c>
      <c r="P12" s="5">
        <v>275</v>
      </c>
      <c r="Q12" s="5">
        <v>180</v>
      </c>
      <c r="R12" s="5">
        <v>250</v>
      </c>
      <c r="S12" s="5">
        <v>17156.64471418132</v>
      </c>
      <c r="T12" s="5">
        <v>18.72985535584384</v>
      </c>
      <c r="U12" s="5">
        <v>8.202315663385862</v>
      </c>
      <c r="V12" s="5">
        <v>4.287141149480879</v>
      </c>
      <c r="W12" s="5">
        <v>17420.63249368946</v>
      </c>
      <c r="X12" s="5">
        <v>-263.9877795081375</v>
      </c>
    </row>
    <row r="13" spans="1:24">
      <c r="A13" t="s">
        <v>84</v>
      </c>
      <c r="B13" s="5">
        <v>2028</v>
      </c>
      <c r="C13" t="s">
        <v>82</v>
      </c>
      <c r="D13" s="5">
        <v>723.6757297752314</v>
      </c>
      <c r="E13" s="5">
        <v>615.3342297752314</v>
      </c>
      <c r="F13" s="5">
        <v>56.94149999999998</v>
      </c>
      <c r="G13" s="5">
        <v>29.4</v>
      </c>
      <c r="H13" s="5">
        <v>22</v>
      </c>
      <c r="I13" s="5">
        <v>207.4787238718729</v>
      </c>
      <c r="J13" s="5">
        <v>196.2174261019721</v>
      </c>
      <c r="K13" s="5">
        <v>141997.7890289622</v>
      </c>
      <c r="L13" s="5">
        <v>13.6424991321818</v>
      </c>
      <c r="M13" s="5">
        <v>13.58996701286303</v>
      </c>
      <c r="N13" s="5">
        <v>17417.20957717411</v>
      </c>
      <c r="O13" s="5">
        <v>1043.243110856692</v>
      </c>
      <c r="P13" s="5">
        <v>441</v>
      </c>
      <c r="Q13" s="5">
        <v>396</v>
      </c>
      <c r="R13" s="5">
        <v>700</v>
      </c>
      <c r="S13" s="5">
        <v>19997.4526880308</v>
      </c>
      <c r="T13" s="5">
        <v>16.55806261174908</v>
      </c>
      <c r="U13" s="5">
        <v>12.90285893463352</v>
      </c>
      <c r="V13" s="5">
        <v>7.102628689228597</v>
      </c>
      <c r="W13" s="5">
        <v>20874.23149316893</v>
      </c>
      <c r="X13" s="5">
        <v>-876.7788051381285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Bear</vt:lpstr>
      <vt:lpstr>Base</vt:lpstr>
      <vt:lpstr>Bull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2026-09-09T18:41:11Z</dcterms:created>
  <dcterms:modified xsi:type="dcterms:W3CDTF">2026-09-09T18:41:11Z</dcterms:modified>
</cp:coreProperties>
</file>