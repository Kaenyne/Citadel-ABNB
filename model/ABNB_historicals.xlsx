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rish\AppData\Local\Temp\claude\C--Users-krish-citadel-abnb\8174dcf0-4ca2-40db-b156-253f549bdb54\scratchpad\"/>
    </mc:Choice>
  </mc:AlternateContent>
  <xr:revisionPtr revIDLastSave="0" documentId="13_ncr:1_{E548465A-F595-4980-B67C-4487B0B82BF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istoricals" sheetId="1" r:id="rId1"/>
    <sheet name="Earnings" sheetId="2" r:id="rId2"/>
    <sheet name="Regressions" sheetId="3" r:id="rId3"/>
    <sheet name="Guidance vs move" sheetId="4" r:id="rId4"/>
    <sheet name="FY guides" sheetId="5" r:id="rId5"/>
    <sheet name="Sourc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6" i="2" l="1"/>
  <c r="D55" i="2"/>
  <c r="D54" i="2"/>
  <c r="D53" i="2"/>
  <c r="D52" i="2"/>
  <c r="D51" i="2"/>
  <c r="D50" i="2"/>
  <c r="D49" i="2"/>
  <c r="D48" i="2"/>
  <c r="D45" i="2"/>
  <c r="D34" i="2"/>
  <c r="D33" i="2"/>
  <c r="D32" i="2"/>
  <c r="D31" i="2"/>
  <c r="AU27" i="2"/>
  <c r="AQ27" i="2"/>
  <c r="AR27" i="2" s="1"/>
  <c r="AI27" i="2"/>
  <c r="AG27" i="2"/>
  <c r="AH27" i="2" s="1"/>
  <c r="AB27" i="2"/>
  <c r="V27" i="2"/>
  <c r="W27" i="2" s="1"/>
  <c r="P27" i="2"/>
  <c r="Q27" i="2" s="1"/>
  <c r="K27" i="2"/>
  <c r="L27" i="2" s="1"/>
  <c r="H27" i="2"/>
  <c r="G27" i="2"/>
  <c r="AU26" i="2"/>
  <c r="AQ26" i="2"/>
  <c r="AR26" i="2" s="1"/>
  <c r="AI26" i="2"/>
  <c r="AG26" i="2"/>
  <c r="AH26" i="2" s="1"/>
  <c r="AB26" i="2"/>
  <c r="V26" i="2"/>
  <c r="W26" i="2" s="1"/>
  <c r="P26" i="2"/>
  <c r="Q26" i="2" s="1"/>
  <c r="K26" i="2"/>
  <c r="L26" i="2" s="1"/>
  <c r="H26" i="2"/>
  <c r="G26" i="2"/>
  <c r="AU25" i="2"/>
  <c r="AQ25" i="2"/>
  <c r="AR25" i="2" s="1"/>
  <c r="AI25" i="2"/>
  <c r="AG25" i="2"/>
  <c r="AH25" i="2" s="1"/>
  <c r="AB25" i="2"/>
  <c r="V25" i="2"/>
  <c r="W25" i="2" s="1"/>
  <c r="P25" i="2"/>
  <c r="Q25" i="2" s="1"/>
  <c r="K25" i="2"/>
  <c r="L25" i="2" s="1"/>
  <c r="H25" i="2"/>
  <c r="G25" i="2"/>
  <c r="AU24" i="2"/>
  <c r="AQ24" i="2"/>
  <c r="AR24" i="2" s="1"/>
  <c r="AI24" i="2"/>
  <c r="AG24" i="2"/>
  <c r="AH24" i="2" s="1"/>
  <c r="AB24" i="2"/>
  <c r="V24" i="2"/>
  <c r="W24" i="2" s="1"/>
  <c r="P24" i="2"/>
  <c r="Q24" i="2" s="1"/>
  <c r="K24" i="2"/>
  <c r="L24" i="2" s="1"/>
  <c r="H24" i="2"/>
  <c r="G24" i="2"/>
  <c r="AU23" i="2"/>
  <c r="AQ23" i="2"/>
  <c r="AR23" i="2" s="1"/>
  <c r="AI23" i="2"/>
  <c r="AG23" i="2"/>
  <c r="AH23" i="2" s="1"/>
  <c r="AB23" i="2"/>
  <c r="V23" i="2"/>
  <c r="W23" i="2" s="1"/>
  <c r="P23" i="2"/>
  <c r="Q23" i="2" s="1"/>
  <c r="K23" i="2"/>
  <c r="L23" i="2" s="1"/>
  <c r="H23" i="2"/>
  <c r="G23" i="2"/>
  <c r="AU22" i="2"/>
  <c r="AQ22" i="2"/>
  <c r="AR22" i="2" s="1"/>
  <c r="AI22" i="2"/>
  <c r="AG22" i="2"/>
  <c r="AH22" i="2" s="1"/>
  <c r="AB22" i="2"/>
  <c r="V22" i="2"/>
  <c r="W22" i="2" s="1"/>
  <c r="P22" i="2"/>
  <c r="Q22" i="2" s="1"/>
  <c r="K22" i="2"/>
  <c r="L22" i="2" s="1"/>
  <c r="H22" i="2"/>
  <c r="G22" i="2"/>
  <c r="AU21" i="2"/>
  <c r="AQ21" i="2"/>
  <c r="AR21" i="2" s="1"/>
  <c r="AI21" i="2"/>
  <c r="AG21" i="2"/>
  <c r="AH21" i="2" s="1"/>
  <c r="AB21" i="2"/>
  <c r="V21" i="2"/>
  <c r="W21" i="2" s="1"/>
  <c r="P21" i="2"/>
  <c r="Q21" i="2" s="1"/>
  <c r="K21" i="2"/>
  <c r="L21" i="2" s="1"/>
  <c r="H21" i="2"/>
  <c r="G21" i="2"/>
  <c r="AU20" i="2"/>
  <c r="AQ20" i="2"/>
  <c r="AR20" i="2" s="1"/>
  <c r="AI20" i="2"/>
  <c r="AG20" i="2"/>
  <c r="AH20" i="2" s="1"/>
  <c r="AB20" i="2"/>
  <c r="V20" i="2"/>
  <c r="W20" i="2" s="1"/>
  <c r="P20" i="2"/>
  <c r="Q20" i="2" s="1"/>
  <c r="K20" i="2"/>
  <c r="L20" i="2" s="1"/>
  <c r="H20" i="2"/>
  <c r="G20" i="2"/>
  <c r="AU19" i="2"/>
  <c r="AQ19" i="2"/>
  <c r="AR19" i="2" s="1"/>
  <c r="AI19" i="2"/>
  <c r="AG19" i="2"/>
  <c r="AH19" i="2" s="1"/>
  <c r="AB19" i="2"/>
  <c r="V19" i="2"/>
  <c r="W19" i="2" s="1"/>
  <c r="P19" i="2"/>
  <c r="Q19" i="2" s="1"/>
  <c r="K19" i="2"/>
  <c r="L19" i="2" s="1"/>
  <c r="H19" i="2"/>
  <c r="G19" i="2"/>
  <c r="AU18" i="2"/>
  <c r="AQ18" i="2"/>
  <c r="AR18" i="2" s="1"/>
  <c r="AI18" i="2"/>
  <c r="AG18" i="2"/>
  <c r="AH18" i="2" s="1"/>
  <c r="AB18" i="2"/>
  <c r="V18" i="2"/>
  <c r="W18" i="2" s="1"/>
  <c r="P18" i="2"/>
  <c r="Q18" i="2" s="1"/>
  <c r="K18" i="2"/>
  <c r="L18" i="2" s="1"/>
  <c r="H18" i="2"/>
  <c r="G18" i="2"/>
  <c r="AU17" i="2"/>
  <c r="AQ17" i="2"/>
  <c r="AR17" i="2" s="1"/>
  <c r="AI17" i="2"/>
  <c r="AG17" i="2"/>
  <c r="AH17" i="2" s="1"/>
  <c r="AB17" i="2"/>
  <c r="V17" i="2"/>
  <c r="W17" i="2" s="1"/>
  <c r="P17" i="2"/>
  <c r="Q17" i="2" s="1"/>
  <c r="K17" i="2"/>
  <c r="L17" i="2" s="1"/>
  <c r="H17" i="2"/>
  <c r="G17" i="2"/>
  <c r="AU16" i="2"/>
  <c r="AQ16" i="2"/>
  <c r="AR16" i="2" s="1"/>
  <c r="AI16" i="2"/>
  <c r="AG16" i="2"/>
  <c r="AH16" i="2" s="1"/>
  <c r="AB16" i="2"/>
  <c r="V16" i="2"/>
  <c r="W16" i="2" s="1"/>
  <c r="P16" i="2"/>
  <c r="Q16" i="2" s="1"/>
  <c r="L16" i="2"/>
  <c r="K16" i="2"/>
  <c r="H16" i="2"/>
  <c r="G16" i="2"/>
  <c r="AU15" i="2"/>
  <c r="AQ15" i="2"/>
  <c r="AR15" i="2" s="1"/>
  <c r="AI15" i="2"/>
  <c r="AG15" i="2"/>
  <c r="AH15" i="2" s="1"/>
  <c r="AB15" i="2"/>
  <c r="V15" i="2"/>
  <c r="W15" i="2" s="1"/>
  <c r="P15" i="2"/>
  <c r="Q15" i="2" s="1"/>
  <c r="K15" i="2"/>
  <c r="L15" i="2" s="1"/>
  <c r="H15" i="2"/>
  <c r="G15" i="2"/>
  <c r="AU14" i="2"/>
  <c r="AQ14" i="2"/>
  <c r="AR14" i="2" s="1"/>
  <c r="AI14" i="2"/>
  <c r="AG14" i="2"/>
  <c r="AH14" i="2" s="1"/>
  <c r="AB14" i="2"/>
  <c r="V14" i="2"/>
  <c r="W14" i="2" s="1"/>
  <c r="Q14" i="2"/>
  <c r="P14" i="2"/>
  <c r="K14" i="2"/>
  <c r="L14" i="2" s="1"/>
  <c r="H14" i="2"/>
  <c r="G14" i="2"/>
  <c r="AU13" i="2"/>
  <c r="AQ13" i="2"/>
  <c r="AR13" i="2" s="1"/>
  <c r="AI13" i="2"/>
  <c r="AG13" i="2"/>
  <c r="AH13" i="2" s="1"/>
  <c r="AB13" i="2"/>
  <c r="V13" i="2"/>
  <c r="W13" i="2" s="1"/>
  <c r="P13" i="2"/>
  <c r="Q13" i="2" s="1"/>
  <c r="K13" i="2"/>
  <c r="L13" i="2" s="1"/>
  <c r="H13" i="2"/>
  <c r="G13" i="2"/>
  <c r="AU12" i="2"/>
  <c r="AR12" i="2"/>
  <c r="AQ12" i="2"/>
  <c r="AI12" i="2"/>
  <c r="AG12" i="2"/>
  <c r="AH12" i="2" s="1"/>
  <c r="AB12" i="2"/>
  <c r="V12" i="2"/>
  <c r="W12" i="2" s="1"/>
  <c r="P12" i="2"/>
  <c r="Q12" i="2" s="1"/>
  <c r="K12" i="2"/>
  <c r="L12" i="2" s="1"/>
  <c r="H12" i="2"/>
  <c r="G12" i="2"/>
  <c r="AU11" i="2"/>
  <c r="AQ11" i="2"/>
  <c r="AR11" i="2" s="1"/>
  <c r="AI11" i="2"/>
  <c r="AG11" i="2"/>
  <c r="AH11" i="2" s="1"/>
  <c r="AB11" i="2"/>
  <c r="V11" i="2"/>
  <c r="W11" i="2" s="1"/>
  <c r="P11" i="2"/>
  <c r="Q11" i="2" s="1"/>
  <c r="K11" i="2"/>
  <c r="L11" i="2" s="1"/>
  <c r="H11" i="2"/>
  <c r="G11" i="2"/>
  <c r="AU10" i="2"/>
  <c r="AQ10" i="2"/>
  <c r="AR10" i="2" s="1"/>
  <c r="AI10" i="2"/>
  <c r="AG10" i="2"/>
  <c r="AH10" i="2" s="1"/>
  <c r="AB10" i="2"/>
  <c r="V10" i="2"/>
  <c r="W10" i="2" s="1"/>
  <c r="P10" i="2"/>
  <c r="Q10" i="2" s="1"/>
  <c r="K10" i="2"/>
  <c r="L10" i="2" s="1"/>
  <c r="H10" i="2"/>
  <c r="G10" i="2"/>
  <c r="AU9" i="2"/>
  <c r="AQ9" i="2"/>
  <c r="AR9" i="2" s="1"/>
  <c r="AI9" i="2"/>
  <c r="AG9" i="2"/>
  <c r="AH9" i="2" s="1"/>
  <c r="AB9" i="2"/>
  <c r="V9" i="2"/>
  <c r="W9" i="2" s="1"/>
  <c r="Q9" i="2"/>
  <c r="P9" i="2"/>
  <c r="L9" i="2"/>
  <c r="K9" i="2"/>
  <c r="H9" i="2"/>
  <c r="G9" i="2"/>
  <c r="AU8" i="2"/>
  <c r="AQ8" i="2"/>
  <c r="AR8" i="2" s="1"/>
  <c r="AI8" i="2"/>
  <c r="AG8" i="2"/>
  <c r="AH8" i="2" s="1"/>
  <c r="AB8" i="2"/>
  <c r="W8" i="2"/>
  <c r="V8" i="2"/>
  <c r="P8" i="2"/>
  <c r="Q8" i="2" s="1"/>
  <c r="K8" i="2"/>
  <c r="L8" i="2" s="1"/>
  <c r="H8" i="2"/>
  <c r="G8" i="2"/>
  <c r="AU7" i="2"/>
  <c r="AQ7" i="2"/>
  <c r="AR7" i="2" s="1"/>
  <c r="AI7" i="2"/>
  <c r="AG7" i="2"/>
  <c r="AH7" i="2" s="1"/>
  <c r="AB7" i="2"/>
  <c r="V7" i="2"/>
  <c r="W7" i="2" s="1"/>
  <c r="Q7" i="2"/>
  <c r="P7" i="2"/>
  <c r="K7" i="2"/>
  <c r="L7" i="2" s="1"/>
  <c r="H7" i="2"/>
  <c r="G7" i="2"/>
  <c r="AU6" i="2"/>
  <c r="AQ6" i="2"/>
  <c r="AR6" i="2" s="1"/>
  <c r="AI6" i="2"/>
  <c r="AG6" i="2"/>
  <c r="AH6" i="2" s="1"/>
  <c r="AB6" i="2"/>
  <c r="V6" i="2"/>
  <c r="W6" i="2" s="1"/>
  <c r="Q6" i="2"/>
  <c r="P6" i="2"/>
  <c r="K6" i="2"/>
  <c r="L6" i="2" s="1"/>
  <c r="H6" i="2"/>
  <c r="G6" i="2"/>
  <c r="AU5" i="2"/>
  <c r="AQ5" i="2"/>
  <c r="AR5" i="2" s="1"/>
  <c r="AI5" i="2"/>
  <c r="AG5" i="2"/>
  <c r="AH5" i="2" s="1"/>
  <c r="AB5" i="2"/>
  <c r="V5" i="2"/>
  <c r="W5" i="2" s="1"/>
  <c r="Q5" i="2"/>
  <c r="P5" i="2"/>
  <c r="K5" i="2"/>
  <c r="L5" i="2" s="1"/>
  <c r="H5" i="2"/>
  <c r="G5" i="2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AE155" i="1"/>
  <c r="AD155" i="1"/>
  <c r="AC155" i="1"/>
  <c r="AB155" i="1"/>
  <c r="AA155" i="1"/>
  <c r="Z155" i="1"/>
  <c r="AE154" i="1"/>
  <c r="AD154" i="1"/>
  <c r="AC154" i="1"/>
  <c r="AB154" i="1"/>
  <c r="AA154" i="1"/>
  <c r="Z154" i="1"/>
  <c r="AE153" i="1"/>
  <c r="AD153" i="1"/>
  <c r="AC153" i="1"/>
  <c r="AB153" i="1"/>
  <c r="AA153" i="1"/>
  <c r="Z153" i="1"/>
  <c r="AE152" i="1"/>
  <c r="AD152" i="1"/>
  <c r="AC152" i="1"/>
  <c r="AB152" i="1"/>
  <c r="AA152" i="1"/>
  <c r="Z152" i="1"/>
  <c r="AA147" i="1"/>
  <c r="AA148" i="1" s="1"/>
  <c r="X141" i="1"/>
  <c r="K126" i="1"/>
  <c r="D126" i="1"/>
  <c r="C126" i="1"/>
  <c r="I125" i="1"/>
  <c r="T124" i="1"/>
  <c r="S124" i="1"/>
  <c r="C124" i="1"/>
  <c r="Q123" i="1"/>
  <c r="D123" i="1"/>
  <c r="C123" i="1"/>
  <c r="X118" i="1"/>
  <c r="J112" i="1"/>
  <c r="G112" i="1"/>
  <c r="S109" i="1"/>
  <c r="X108" i="1"/>
  <c r="W108" i="1"/>
  <c r="W118" i="1" s="1"/>
  <c r="V108" i="1"/>
  <c r="U108" i="1"/>
  <c r="U118" i="1" s="1"/>
  <c r="T108" i="1"/>
  <c r="T118" i="1" s="1"/>
  <c r="S108" i="1"/>
  <c r="R108" i="1"/>
  <c r="R118" i="1" s="1"/>
  <c r="Q108" i="1"/>
  <c r="P108" i="1"/>
  <c r="O108" i="1"/>
  <c r="N108" i="1"/>
  <c r="M108" i="1"/>
  <c r="M118" i="1" s="1"/>
  <c r="L108" i="1"/>
  <c r="L118" i="1" s="1"/>
  <c r="K108" i="1"/>
  <c r="K118" i="1" s="1"/>
  <c r="J108" i="1"/>
  <c r="I108" i="1"/>
  <c r="H108" i="1"/>
  <c r="G108" i="1"/>
  <c r="F108" i="1"/>
  <c r="E108" i="1"/>
  <c r="I118" i="1" s="1"/>
  <c r="D108" i="1"/>
  <c r="C108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X106" i="1"/>
  <c r="M106" i="1"/>
  <c r="L106" i="1"/>
  <c r="K106" i="1"/>
  <c r="AC105" i="1"/>
  <c r="S105" i="1"/>
  <c r="R105" i="1"/>
  <c r="K105" i="1"/>
  <c r="E105" i="1"/>
  <c r="D105" i="1"/>
  <c r="T104" i="1"/>
  <c r="P104" i="1"/>
  <c r="T115" i="1" s="1"/>
  <c r="H104" i="1"/>
  <c r="O103" i="1"/>
  <c r="M103" i="1"/>
  <c r="C103" i="1"/>
  <c r="X102" i="1"/>
  <c r="W102" i="1"/>
  <c r="P102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AD96" i="1"/>
  <c r="AB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AD95" i="1"/>
  <c r="AC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AE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AD92" i="1"/>
  <c r="AC92" i="1"/>
  <c r="X92" i="1"/>
  <c r="W92" i="1"/>
  <c r="V92" i="1"/>
  <c r="U92" i="1"/>
  <c r="T92" i="1"/>
  <c r="S92" i="1"/>
  <c r="S112" i="1" s="1"/>
  <c r="R92" i="1"/>
  <c r="R112" i="1" s="1"/>
  <c r="Q92" i="1"/>
  <c r="Q112" i="1" s="1"/>
  <c r="P92" i="1"/>
  <c r="O92" i="1"/>
  <c r="N92" i="1"/>
  <c r="N112" i="1" s="1"/>
  <c r="M92" i="1"/>
  <c r="M112" i="1" s="1"/>
  <c r="L92" i="1"/>
  <c r="K92" i="1"/>
  <c r="J92" i="1"/>
  <c r="I92" i="1"/>
  <c r="H92" i="1"/>
  <c r="G92" i="1"/>
  <c r="F92" i="1"/>
  <c r="E92" i="1"/>
  <c r="D92" i="1"/>
  <c r="C92" i="1"/>
  <c r="AE89" i="1"/>
  <c r="AE95" i="1" s="1"/>
  <c r="AD89" i="1"/>
  <c r="AC89" i="1"/>
  <c r="AB89" i="1"/>
  <c r="AA89" i="1"/>
  <c r="Z89" i="1"/>
  <c r="AE87" i="1"/>
  <c r="AD87" i="1"/>
  <c r="AC87" i="1"/>
  <c r="AB87" i="1"/>
  <c r="AA87" i="1"/>
  <c r="Z87" i="1"/>
  <c r="AE86" i="1"/>
  <c r="AD86" i="1"/>
  <c r="AD108" i="1" s="1"/>
  <c r="AC86" i="1"/>
  <c r="AB86" i="1"/>
  <c r="AA86" i="1"/>
  <c r="Z86" i="1"/>
  <c r="AE85" i="1"/>
  <c r="AE108" i="1" s="1"/>
  <c r="AD85" i="1"/>
  <c r="AC85" i="1"/>
  <c r="AB85" i="1"/>
  <c r="AB108" i="1" s="1"/>
  <c r="AA85" i="1"/>
  <c r="Z85" i="1"/>
  <c r="X81" i="1"/>
  <c r="X127" i="1" s="1"/>
  <c r="W81" i="1"/>
  <c r="W106" i="1" s="1"/>
  <c r="V81" i="1"/>
  <c r="U81" i="1"/>
  <c r="T81" i="1"/>
  <c r="T106" i="1" s="1"/>
  <c r="S81" i="1"/>
  <c r="S106" i="1" s="1"/>
  <c r="R81" i="1"/>
  <c r="Q81" i="1"/>
  <c r="Q106" i="1" s="1"/>
  <c r="Q117" i="1" s="1"/>
  <c r="P81" i="1"/>
  <c r="P106" i="1" s="1"/>
  <c r="P117" i="1" s="1"/>
  <c r="O81" i="1"/>
  <c r="O106" i="1" s="1"/>
  <c r="O117" i="1" s="1"/>
  <c r="N81" i="1"/>
  <c r="N127" i="1" s="1"/>
  <c r="M81" i="1"/>
  <c r="M127" i="1" s="1"/>
  <c r="L81" i="1"/>
  <c r="L127" i="1" s="1"/>
  <c r="K81" i="1"/>
  <c r="K127" i="1" s="1"/>
  <c r="J81" i="1"/>
  <c r="I81" i="1"/>
  <c r="H81" i="1"/>
  <c r="H127" i="1" s="1"/>
  <c r="G81" i="1"/>
  <c r="G127" i="1" s="1"/>
  <c r="F81" i="1"/>
  <c r="E81" i="1"/>
  <c r="D81" i="1"/>
  <c r="D127" i="1" s="1"/>
  <c r="C81" i="1"/>
  <c r="C127" i="1" s="1"/>
  <c r="X80" i="1"/>
  <c r="X105" i="1" s="1"/>
  <c r="W80" i="1"/>
  <c r="W126" i="1" s="1"/>
  <c r="V80" i="1"/>
  <c r="U80" i="1"/>
  <c r="T80" i="1"/>
  <c r="S80" i="1"/>
  <c r="S126" i="1" s="1"/>
  <c r="R80" i="1"/>
  <c r="R126" i="1" s="1"/>
  <c r="Q80" i="1"/>
  <c r="Q105" i="1" s="1"/>
  <c r="P80" i="1"/>
  <c r="P105" i="1" s="1"/>
  <c r="O80" i="1"/>
  <c r="O126" i="1" s="1"/>
  <c r="N80" i="1"/>
  <c r="N84" i="1" s="1"/>
  <c r="M80" i="1"/>
  <c r="M84" i="1" s="1"/>
  <c r="L80" i="1"/>
  <c r="L126" i="1" s="1"/>
  <c r="K80" i="1"/>
  <c r="J80" i="1"/>
  <c r="J105" i="1" s="1"/>
  <c r="I80" i="1"/>
  <c r="I105" i="1" s="1"/>
  <c r="H80" i="1"/>
  <c r="G80" i="1"/>
  <c r="G126" i="1" s="1"/>
  <c r="F80" i="1"/>
  <c r="F126" i="1" s="1"/>
  <c r="E80" i="1"/>
  <c r="E126" i="1" s="1"/>
  <c r="D80" i="1"/>
  <c r="C80" i="1"/>
  <c r="C105" i="1" s="1"/>
  <c r="X79" i="1"/>
  <c r="X104" i="1" s="1"/>
  <c r="X115" i="1" s="1"/>
  <c r="W79" i="1"/>
  <c r="W104" i="1" s="1"/>
  <c r="V79" i="1"/>
  <c r="V104" i="1" s="1"/>
  <c r="U79" i="1"/>
  <c r="U125" i="1" s="1"/>
  <c r="T79" i="1"/>
  <c r="T125" i="1" s="1"/>
  <c r="S79" i="1"/>
  <c r="S125" i="1" s="1"/>
  <c r="R79" i="1"/>
  <c r="Q79" i="1"/>
  <c r="P79" i="1"/>
  <c r="P125" i="1" s="1"/>
  <c r="O79" i="1"/>
  <c r="O125" i="1" s="1"/>
  <c r="N79" i="1"/>
  <c r="M79" i="1"/>
  <c r="M125" i="1" s="1"/>
  <c r="L79" i="1"/>
  <c r="L104" i="1" s="1"/>
  <c r="K79" i="1"/>
  <c r="K125" i="1" s="1"/>
  <c r="K137" i="1" s="1"/>
  <c r="J79" i="1"/>
  <c r="J104" i="1" s="1"/>
  <c r="I79" i="1"/>
  <c r="I104" i="1" s="1"/>
  <c r="H79" i="1"/>
  <c r="H125" i="1" s="1"/>
  <c r="G79" i="1"/>
  <c r="G104" i="1" s="1"/>
  <c r="F79" i="1"/>
  <c r="E79" i="1"/>
  <c r="D79" i="1"/>
  <c r="D125" i="1" s="1"/>
  <c r="C79" i="1"/>
  <c r="C125" i="1" s="1"/>
  <c r="AD78" i="1"/>
  <c r="AC78" i="1"/>
  <c r="X78" i="1"/>
  <c r="X103" i="1" s="1"/>
  <c r="X114" i="1" s="1"/>
  <c r="W78" i="1"/>
  <c r="W103" i="1" s="1"/>
  <c r="V78" i="1"/>
  <c r="U78" i="1"/>
  <c r="T78" i="1"/>
  <c r="T103" i="1" s="1"/>
  <c r="S78" i="1"/>
  <c r="S103" i="1" s="1"/>
  <c r="R78" i="1"/>
  <c r="Q78" i="1"/>
  <c r="Q84" i="1" s="1"/>
  <c r="P78" i="1"/>
  <c r="P103" i="1" s="1"/>
  <c r="O78" i="1"/>
  <c r="O124" i="1" s="1"/>
  <c r="N78" i="1"/>
  <c r="N124" i="1" s="1"/>
  <c r="M78" i="1"/>
  <c r="M124" i="1" s="1"/>
  <c r="L78" i="1"/>
  <c r="L124" i="1" s="1"/>
  <c r="K78" i="1"/>
  <c r="K124" i="1" s="1"/>
  <c r="J78" i="1"/>
  <c r="I78" i="1"/>
  <c r="I103" i="1" s="1"/>
  <c r="H78" i="1"/>
  <c r="H103" i="1" s="1"/>
  <c r="G78" i="1"/>
  <c r="G103" i="1" s="1"/>
  <c r="G114" i="1" s="1"/>
  <c r="F78" i="1"/>
  <c r="F124" i="1" s="1"/>
  <c r="E78" i="1"/>
  <c r="D78" i="1"/>
  <c r="C78" i="1"/>
  <c r="X77" i="1"/>
  <c r="X109" i="1" s="1"/>
  <c r="W77" i="1"/>
  <c r="V77" i="1"/>
  <c r="U77" i="1"/>
  <c r="T77" i="1"/>
  <c r="S77" i="1"/>
  <c r="S123" i="1" s="1"/>
  <c r="R77" i="1"/>
  <c r="R109" i="1" s="1"/>
  <c r="Q77" i="1"/>
  <c r="Q102" i="1" s="1"/>
  <c r="P77" i="1"/>
  <c r="P109" i="1" s="1"/>
  <c r="O77" i="1"/>
  <c r="O109" i="1" s="1"/>
  <c r="N77" i="1"/>
  <c r="N109" i="1" s="1"/>
  <c r="M77" i="1"/>
  <c r="M109" i="1" s="1"/>
  <c r="L77" i="1"/>
  <c r="L123" i="1" s="1"/>
  <c r="L133" i="1" s="1"/>
  <c r="K77" i="1"/>
  <c r="J77" i="1"/>
  <c r="I77" i="1"/>
  <c r="H77" i="1"/>
  <c r="G77" i="1"/>
  <c r="G123" i="1" s="1"/>
  <c r="F77" i="1"/>
  <c r="F123" i="1" s="1"/>
  <c r="E77" i="1"/>
  <c r="E102" i="1" s="1"/>
  <c r="D77" i="1"/>
  <c r="D109" i="1" s="1"/>
  <c r="C77" i="1"/>
  <c r="C109" i="1" s="1"/>
  <c r="AE76" i="1"/>
  <c r="AD76" i="1"/>
  <c r="AC76" i="1"/>
  <c r="AB76" i="1"/>
  <c r="AA76" i="1"/>
  <c r="Z76" i="1"/>
  <c r="AE75" i="1"/>
  <c r="AD75" i="1"/>
  <c r="AC75" i="1"/>
  <c r="AB75" i="1"/>
  <c r="AA75" i="1"/>
  <c r="Z75" i="1"/>
  <c r="AE74" i="1"/>
  <c r="AD74" i="1"/>
  <c r="AC74" i="1"/>
  <c r="AB74" i="1"/>
  <c r="AA74" i="1"/>
  <c r="Z74" i="1"/>
  <c r="Z79" i="1" s="1"/>
  <c r="AE73" i="1"/>
  <c r="AE78" i="1" s="1"/>
  <c r="AD73" i="1"/>
  <c r="AC73" i="1"/>
  <c r="AB73" i="1"/>
  <c r="AA73" i="1"/>
  <c r="Z73" i="1"/>
  <c r="AE72" i="1"/>
  <c r="AD72" i="1"/>
  <c r="AC72" i="1"/>
  <c r="AB72" i="1"/>
  <c r="AA72" i="1"/>
  <c r="Z72" i="1"/>
  <c r="Z77" i="1" s="1"/>
  <c r="AE71" i="1"/>
  <c r="AD71" i="1"/>
  <c r="AC71" i="1"/>
  <c r="AB71" i="1"/>
  <c r="AA71" i="1"/>
  <c r="Z71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AE65" i="1"/>
  <c r="AD65" i="1"/>
  <c r="AC65" i="1"/>
  <c r="AB65" i="1"/>
  <c r="AA65" i="1"/>
  <c r="Z65" i="1"/>
  <c r="AE64" i="1"/>
  <c r="AD64" i="1"/>
  <c r="AC64" i="1"/>
  <c r="AB64" i="1"/>
  <c r="AA64" i="1"/>
  <c r="Z64" i="1"/>
  <c r="AE63" i="1"/>
  <c r="AD63" i="1"/>
  <c r="AC63" i="1"/>
  <c r="AB63" i="1"/>
  <c r="AA63" i="1"/>
  <c r="Z63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AE61" i="1"/>
  <c r="AE93" i="1" s="1"/>
  <c r="AD61" i="1"/>
  <c r="AD93" i="1" s="1"/>
  <c r="AC61" i="1"/>
  <c r="AC93" i="1" s="1"/>
  <c r="AB61" i="1"/>
  <c r="AB93" i="1" s="1"/>
  <c r="AA61" i="1"/>
  <c r="Z61" i="1"/>
  <c r="AE60" i="1"/>
  <c r="AD60" i="1"/>
  <c r="AC60" i="1"/>
  <c r="AB60" i="1"/>
  <c r="AA60" i="1"/>
  <c r="Z60" i="1"/>
  <c r="AE59" i="1"/>
  <c r="AE101" i="1" s="1"/>
  <c r="AD59" i="1"/>
  <c r="AD101" i="1" s="1"/>
  <c r="AC59" i="1"/>
  <c r="AC81" i="1" s="1"/>
  <c r="AB59" i="1"/>
  <c r="AA59" i="1"/>
  <c r="Z59" i="1"/>
  <c r="AE58" i="1"/>
  <c r="AD58" i="1"/>
  <c r="AD80" i="1" s="1"/>
  <c r="AD105" i="1" s="1"/>
  <c r="AD116" i="1" s="1"/>
  <c r="AC58" i="1"/>
  <c r="AC80" i="1" s="1"/>
  <c r="AB58" i="1"/>
  <c r="AB80" i="1" s="1"/>
  <c r="AA58" i="1"/>
  <c r="Z58" i="1"/>
  <c r="AE57" i="1"/>
  <c r="AD57" i="1"/>
  <c r="AD99" i="1" s="1"/>
  <c r="AC57" i="1"/>
  <c r="AB57" i="1"/>
  <c r="AA57" i="1"/>
  <c r="Z57" i="1"/>
  <c r="AE56" i="1"/>
  <c r="AD56" i="1"/>
  <c r="AC56" i="1"/>
  <c r="AB56" i="1"/>
  <c r="AA56" i="1"/>
  <c r="Z56" i="1"/>
  <c r="AE55" i="1"/>
  <c r="AD55" i="1"/>
  <c r="AC55" i="1"/>
  <c r="AC77" i="1" s="1"/>
  <c r="AB55" i="1"/>
  <c r="AA55" i="1"/>
  <c r="Z55" i="1"/>
  <c r="AA34" i="1"/>
  <c r="W33" i="1"/>
  <c r="P31" i="1"/>
  <c r="X30" i="1"/>
  <c r="W30" i="1"/>
  <c r="V30" i="1"/>
  <c r="V31" i="1" s="1"/>
  <c r="U30" i="1"/>
  <c r="T30" i="1"/>
  <c r="T31" i="1" s="1"/>
  <c r="S30" i="1"/>
  <c r="S31" i="1" s="1"/>
  <c r="R30" i="1"/>
  <c r="Q30" i="1"/>
  <c r="P30" i="1"/>
  <c r="O30" i="1"/>
  <c r="N30" i="1"/>
  <c r="M30" i="1"/>
  <c r="L30" i="1"/>
  <c r="K30" i="1"/>
  <c r="J30" i="1"/>
  <c r="I30" i="1"/>
  <c r="I31" i="1" s="1"/>
  <c r="H30" i="1"/>
  <c r="H31" i="1" s="1"/>
  <c r="G30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G26" i="1"/>
  <c r="T24" i="1"/>
  <c r="Q24" i="1"/>
  <c r="P24" i="1"/>
  <c r="P33" i="1" s="1"/>
  <c r="K20" i="1"/>
  <c r="L19" i="1"/>
  <c r="X18" i="1"/>
  <c r="X31" i="1" s="1"/>
  <c r="W18" i="1"/>
  <c r="W24" i="1" s="1"/>
  <c r="V18" i="1"/>
  <c r="V24" i="1" s="1"/>
  <c r="U18" i="1"/>
  <c r="U24" i="1" s="1"/>
  <c r="T18" i="1"/>
  <c r="S18" i="1"/>
  <c r="S24" i="1" s="1"/>
  <c r="R18" i="1"/>
  <c r="R24" i="1" s="1"/>
  <c r="Q18" i="1"/>
  <c r="P18" i="1"/>
  <c r="O18" i="1"/>
  <c r="O24" i="1" s="1"/>
  <c r="N18" i="1"/>
  <c r="N24" i="1" s="1"/>
  <c r="N33" i="1" s="1"/>
  <c r="M18" i="1"/>
  <c r="M31" i="1" s="1"/>
  <c r="L18" i="1"/>
  <c r="L31" i="1" s="1"/>
  <c r="K18" i="1"/>
  <c r="K24" i="1" s="1"/>
  <c r="K33" i="1" s="1"/>
  <c r="J18" i="1"/>
  <c r="J24" i="1" s="1"/>
  <c r="J33" i="1" s="1"/>
  <c r="I18" i="1"/>
  <c r="I24" i="1" s="1"/>
  <c r="H18" i="1"/>
  <c r="H24" i="1" s="1"/>
  <c r="G18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AE12" i="1"/>
  <c r="AD12" i="1"/>
  <c r="X12" i="1"/>
  <c r="W12" i="1"/>
  <c r="V12" i="1"/>
  <c r="U12" i="1"/>
  <c r="T12" i="1"/>
  <c r="S12" i="1"/>
  <c r="R12" i="1"/>
  <c r="Q12" i="1"/>
  <c r="Q145" i="1" s="1"/>
  <c r="P12" i="1"/>
  <c r="T145" i="1" s="1"/>
  <c r="O12" i="1"/>
  <c r="O145" i="1" s="1"/>
  <c r="N12" i="1"/>
  <c r="M12" i="1"/>
  <c r="L12" i="1"/>
  <c r="K12" i="1"/>
  <c r="J12" i="1"/>
  <c r="J20" i="1" s="1"/>
  <c r="I12" i="1"/>
  <c r="M20" i="1" s="1"/>
  <c r="H12" i="1"/>
  <c r="G12" i="1"/>
  <c r="F12" i="1"/>
  <c r="E12" i="1"/>
  <c r="D12" i="1"/>
  <c r="C12" i="1"/>
  <c r="X11" i="1"/>
  <c r="X19" i="1" s="1"/>
  <c r="W11" i="1"/>
  <c r="V11" i="1"/>
  <c r="U11" i="1"/>
  <c r="U19" i="1" s="1"/>
  <c r="T11" i="1"/>
  <c r="S11" i="1"/>
  <c r="R11" i="1"/>
  <c r="Q11" i="1"/>
  <c r="P11" i="1"/>
  <c r="O11" i="1"/>
  <c r="O19" i="1" s="1"/>
  <c r="N11" i="1"/>
  <c r="M11" i="1"/>
  <c r="L11" i="1"/>
  <c r="K11" i="1"/>
  <c r="J11" i="1"/>
  <c r="N19" i="1" s="1"/>
  <c r="I11" i="1"/>
  <c r="I19" i="1" s="1"/>
  <c r="H11" i="1"/>
  <c r="G11" i="1"/>
  <c r="F11" i="1"/>
  <c r="E11" i="1"/>
  <c r="D11" i="1"/>
  <c r="C11" i="1"/>
  <c r="AE10" i="1"/>
  <c r="AE11" i="1" s="1"/>
  <c r="AD10" i="1"/>
  <c r="AD11" i="1" s="1"/>
  <c r="AC10" i="1"/>
  <c r="AD29" i="1" s="1"/>
  <c r="AB10" i="1"/>
  <c r="AB30" i="1" s="1"/>
  <c r="AA10" i="1"/>
  <c r="Z10" i="1"/>
  <c r="Z101" i="1" s="1"/>
  <c r="AA9" i="1"/>
  <c r="X9" i="1"/>
  <c r="X17" i="1" s="1"/>
  <c r="X26" i="1" s="1"/>
  <c r="W9" i="1"/>
  <c r="W32" i="1" s="1"/>
  <c r="V9" i="1"/>
  <c r="U9" i="1"/>
  <c r="T9" i="1"/>
  <c r="S9" i="1"/>
  <c r="S17" i="1" s="1"/>
  <c r="S26" i="1" s="1"/>
  <c r="R9" i="1"/>
  <c r="V17" i="1" s="1"/>
  <c r="V26" i="1" s="1"/>
  <c r="Q9" i="1"/>
  <c r="Q32" i="1" s="1"/>
  <c r="P9" i="1"/>
  <c r="O9" i="1"/>
  <c r="N9" i="1"/>
  <c r="M9" i="1"/>
  <c r="L9" i="1"/>
  <c r="L17" i="1" s="1"/>
  <c r="L26" i="1" s="1"/>
  <c r="K9" i="1"/>
  <c r="K17" i="1" s="1"/>
  <c r="K26" i="1" s="1"/>
  <c r="J9" i="1"/>
  <c r="I9" i="1"/>
  <c r="H9" i="1"/>
  <c r="G9" i="1"/>
  <c r="G17" i="1" s="1"/>
  <c r="F9" i="1"/>
  <c r="J17" i="1" s="1"/>
  <c r="J26" i="1" s="1"/>
  <c r="E9" i="1"/>
  <c r="I17" i="1" s="1"/>
  <c r="I26" i="1" s="1"/>
  <c r="D9" i="1"/>
  <c r="C9" i="1"/>
  <c r="AE8" i="1"/>
  <c r="AD8" i="1"/>
  <c r="AD16" i="1" s="1"/>
  <c r="AC8" i="1"/>
  <c r="AC9" i="1" s="1"/>
  <c r="AB8" i="1"/>
  <c r="AB16" i="1" s="1"/>
  <c r="AA8" i="1"/>
  <c r="Z8" i="1"/>
  <c r="AE7" i="1"/>
  <c r="AD7" i="1"/>
  <c r="AD126" i="1" s="1"/>
  <c r="AC7" i="1"/>
  <c r="AB7" i="1"/>
  <c r="AA7" i="1"/>
  <c r="Z7" i="1"/>
  <c r="D42" i="2" l="1"/>
  <c r="L32" i="1"/>
  <c r="X84" i="1"/>
  <c r="S104" i="1"/>
  <c r="W115" i="1" s="1"/>
  <c r="V112" i="1"/>
  <c r="E123" i="1"/>
  <c r="X124" i="1"/>
  <c r="P126" i="1"/>
  <c r="P138" i="1" s="1"/>
  <c r="K104" i="1"/>
  <c r="D38" i="2"/>
  <c r="AD15" i="1"/>
  <c r="W84" i="1"/>
  <c r="X24" i="1"/>
  <c r="X33" i="1" s="1"/>
  <c r="U35" i="1"/>
  <c r="M17" i="1"/>
  <c r="M26" i="1" s="1"/>
  <c r="AB12" i="1"/>
  <c r="Z100" i="1"/>
  <c r="AB94" i="1"/>
  <c r="S117" i="1"/>
  <c r="O112" i="1"/>
  <c r="K103" i="1"/>
  <c r="O114" i="1" s="1"/>
  <c r="C106" i="1"/>
  <c r="O123" i="1"/>
  <c r="O133" i="1" s="1"/>
  <c r="G125" i="1"/>
  <c r="Q126" i="1"/>
  <c r="M19" i="1"/>
  <c r="V32" i="1"/>
  <c r="Z94" i="1"/>
  <c r="K84" i="1"/>
  <c r="Z93" i="1"/>
  <c r="W124" i="1"/>
  <c r="U17" i="1"/>
  <c r="U26" i="1" s="1"/>
  <c r="M145" i="1"/>
  <c r="X32" i="1"/>
  <c r="AC12" i="1"/>
  <c r="AD20" i="1" s="1"/>
  <c r="AA78" i="1"/>
  <c r="AA103" i="1" s="1"/>
  <c r="P112" i="1"/>
  <c r="L103" i="1"/>
  <c r="P114" i="1" s="1"/>
  <c r="D106" i="1"/>
  <c r="P123" i="1"/>
  <c r="P132" i="1" s="1"/>
  <c r="X126" i="1"/>
  <c r="AC127" i="1"/>
  <c r="AB100" i="1"/>
  <c r="W34" i="1"/>
  <c r="AC100" i="1"/>
  <c r="L125" i="1"/>
  <c r="L136" i="1" s="1"/>
  <c r="AB78" i="1"/>
  <c r="AB103" i="1" s="1"/>
  <c r="I116" i="1"/>
  <c r="K112" i="1"/>
  <c r="AD100" i="1"/>
  <c r="C102" i="1"/>
  <c r="P127" i="1"/>
  <c r="AE9" i="1"/>
  <c r="AB9" i="1"/>
  <c r="R19" i="1"/>
  <c r="O31" i="1"/>
  <c r="AE98" i="1"/>
  <c r="AE92" i="1"/>
  <c r="L112" i="1"/>
  <c r="X112" i="1"/>
  <c r="D102" i="1"/>
  <c r="L105" i="1"/>
  <c r="P116" i="1" s="1"/>
  <c r="N106" i="1"/>
  <c r="N118" i="1"/>
  <c r="I124" i="1"/>
  <c r="M134" i="1" s="1"/>
  <c r="T127" i="1"/>
  <c r="X140" i="1" s="1"/>
  <c r="G136" i="1"/>
  <c r="O127" i="1"/>
  <c r="O140" i="1" s="1"/>
  <c r="N31" i="1"/>
  <c r="G19" i="1"/>
  <c r="S19" i="1"/>
  <c r="AC16" i="1"/>
  <c r="L24" i="1"/>
  <c r="L33" i="1" s="1"/>
  <c r="L34" i="1" s="1"/>
  <c r="Z81" i="1"/>
  <c r="Z106" i="1" s="1"/>
  <c r="AE81" i="1"/>
  <c r="AE127" i="1" s="1"/>
  <c r="Z108" i="1"/>
  <c r="U112" i="1"/>
  <c r="K102" i="1"/>
  <c r="O105" i="1"/>
  <c r="O116" i="1" s="1"/>
  <c r="G118" i="1"/>
  <c r="K109" i="1"/>
  <c r="V125" i="1"/>
  <c r="V137" i="1" s="1"/>
  <c r="Z12" i="1"/>
  <c r="K135" i="1"/>
  <c r="H17" i="1"/>
  <c r="H26" i="1" s="1"/>
  <c r="P32" i="1"/>
  <c r="P34" i="1" s="1"/>
  <c r="AD9" i="1"/>
  <c r="AD17" i="1" s="1"/>
  <c r="H19" i="1"/>
  <c r="T35" i="1"/>
  <c r="Q31" i="1"/>
  <c r="Q36" i="1" s="1"/>
  <c r="U31" i="1"/>
  <c r="AA93" i="1"/>
  <c r="AE96" i="1"/>
  <c r="L84" i="1"/>
  <c r="L88" i="1" s="1"/>
  <c r="AA108" i="1"/>
  <c r="AA118" i="1" s="1"/>
  <c r="AA95" i="1"/>
  <c r="O102" i="1"/>
  <c r="O113" i="1" s="1"/>
  <c r="H118" i="1"/>
  <c r="P118" i="1"/>
  <c r="L109" i="1"/>
  <c r="W125" i="1"/>
  <c r="W137" i="1" s="1"/>
  <c r="AB118" i="1"/>
  <c r="T33" i="1"/>
  <c r="T34" i="1" s="1"/>
  <c r="R139" i="1"/>
  <c r="H140" i="1"/>
  <c r="H141" i="1"/>
  <c r="T117" i="1"/>
  <c r="X117" i="1"/>
  <c r="K139" i="1"/>
  <c r="O129" i="1"/>
  <c r="K129" i="1"/>
  <c r="O138" i="1"/>
  <c r="K138" i="1"/>
  <c r="U32" i="1"/>
  <c r="U36" i="1" s="1"/>
  <c r="G129" i="1"/>
  <c r="G138" i="1"/>
  <c r="G139" i="1"/>
  <c r="S139" i="1"/>
  <c r="S129" i="1"/>
  <c r="S138" i="1"/>
  <c r="AC106" i="1"/>
  <c r="S118" i="1"/>
  <c r="O118" i="1"/>
  <c r="F127" i="1"/>
  <c r="F106" i="1"/>
  <c r="AB114" i="1"/>
  <c r="L116" i="1"/>
  <c r="G140" i="1"/>
  <c r="G141" i="1"/>
  <c r="N145" i="1"/>
  <c r="N20" i="1"/>
  <c r="O20" i="1"/>
  <c r="O139" i="1"/>
  <c r="S33" i="1"/>
  <c r="AD33" i="1"/>
  <c r="AC116" i="1"/>
  <c r="G137" i="1"/>
  <c r="N17" i="1"/>
  <c r="N26" i="1" s="1"/>
  <c r="N32" i="1"/>
  <c r="AB17" i="1"/>
  <c r="AE80" i="1"/>
  <c r="T114" i="1"/>
  <c r="I137" i="1"/>
  <c r="Q88" i="1"/>
  <c r="Q122" i="1"/>
  <c r="K116" i="1"/>
  <c r="R127" i="1"/>
  <c r="R106" i="1"/>
  <c r="R117" i="1" s="1"/>
  <c r="R33" i="1"/>
  <c r="P35" i="1"/>
  <c r="P36" i="1" s="1"/>
  <c r="P19" i="1"/>
  <c r="P145" i="1"/>
  <c r="P20" i="1"/>
  <c r="P137" i="1"/>
  <c r="G24" i="1"/>
  <c r="G31" i="1"/>
  <c r="I36" i="1"/>
  <c r="Q19" i="1"/>
  <c r="Q35" i="1"/>
  <c r="J31" i="1"/>
  <c r="J32" i="1"/>
  <c r="S114" i="1"/>
  <c r="W114" i="1"/>
  <c r="H136" i="1"/>
  <c r="N34" i="1"/>
  <c r="Z127" i="1"/>
  <c r="G132" i="1"/>
  <c r="U103" i="1"/>
  <c r="U124" i="1"/>
  <c r="AA77" i="1"/>
  <c r="AA97" i="1"/>
  <c r="AA99" i="1"/>
  <c r="AA79" i="1"/>
  <c r="AA81" i="1"/>
  <c r="AA101" i="1"/>
  <c r="AE124" i="1"/>
  <c r="AE103" i="1"/>
  <c r="H102" i="1"/>
  <c r="H113" i="1" s="1"/>
  <c r="H109" i="1"/>
  <c r="H84" i="1"/>
  <c r="H123" i="1"/>
  <c r="T123" i="1"/>
  <c r="T102" i="1"/>
  <c r="T113" i="1" s="1"/>
  <c r="T84" i="1"/>
  <c r="T109" i="1"/>
  <c r="Z102" i="1"/>
  <c r="Z109" i="1"/>
  <c r="Z123" i="1"/>
  <c r="Z125" i="1"/>
  <c r="Z104" i="1"/>
  <c r="M88" i="1"/>
  <c r="M122" i="1"/>
  <c r="I135" i="1"/>
  <c r="L115" i="1"/>
  <c r="P115" i="1"/>
  <c r="N122" i="1"/>
  <c r="N88" i="1"/>
  <c r="U106" i="1"/>
  <c r="U117" i="1" s="1"/>
  <c r="U127" i="1"/>
  <c r="I33" i="1"/>
  <c r="I34" i="1" s="1"/>
  <c r="H33" i="1"/>
  <c r="W31" i="1"/>
  <c r="G35" i="1"/>
  <c r="AC109" i="1"/>
  <c r="AC123" i="1"/>
  <c r="AC84" i="1"/>
  <c r="AC122" i="1" s="1"/>
  <c r="AC102" i="1"/>
  <c r="AC99" i="1"/>
  <c r="AC79" i="1"/>
  <c r="J109" i="1"/>
  <c r="J84" i="1"/>
  <c r="J123" i="1"/>
  <c r="V102" i="1"/>
  <c r="V84" i="1"/>
  <c r="V109" i="1"/>
  <c r="U126" i="1"/>
  <c r="U105" i="1"/>
  <c r="U116" i="1" s="1"/>
  <c r="AD112" i="1"/>
  <c r="AC101" i="1"/>
  <c r="K117" i="1"/>
  <c r="S130" i="1"/>
  <c r="S135" i="1"/>
  <c r="S134" i="1"/>
  <c r="AC17" i="1"/>
  <c r="AB99" i="1"/>
  <c r="AB79" i="1"/>
  <c r="U102" i="1"/>
  <c r="U113" i="1" s="1"/>
  <c r="U84" i="1"/>
  <c r="U109" i="1"/>
  <c r="U123" i="1"/>
  <c r="U137" i="1"/>
  <c r="T126" i="1"/>
  <c r="T105" i="1"/>
  <c r="T116" i="1" s="1"/>
  <c r="X88" i="1"/>
  <c r="X122" i="1"/>
  <c r="T137" i="1"/>
  <c r="H35" i="1"/>
  <c r="AD77" i="1"/>
  <c r="AD97" i="1"/>
  <c r="K122" i="1"/>
  <c r="K88" i="1"/>
  <c r="W88" i="1"/>
  <c r="W122" i="1"/>
  <c r="K136" i="1"/>
  <c r="V126" i="1"/>
  <c r="V105" i="1"/>
  <c r="V116" i="1" s="1"/>
  <c r="K140" i="1"/>
  <c r="K141" i="1"/>
  <c r="W117" i="1"/>
  <c r="K115" i="1"/>
  <c r="T134" i="1"/>
  <c r="T135" i="1"/>
  <c r="W136" i="1"/>
  <c r="R17" i="1"/>
  <c r="R26" i="1" s="1"/>
  <c r="R32" i="1"/>
  <c r="AA29" i="1"/>
  <c r="Z92" i="1"/>
  <c r="Z11" i="1"/>
  <c r="H145" i="1"/>
  <c r="H20" i="1"/>
  <c r="T20" i="1"/>
  <c r="M24" i="1"/>
  <c r="O36" i="1"/>
  <c r="I32" i="1"/>
  <c r="I35" i="1"/>
  <c r="AE77" i="1"/>
  <c r="AE97" i="1"/>
  <c r="AE99" i="1"/>
  <c r="AE79" i="1"/>
  <c r="AA94" i="1"/>
  <c r="L132" i="1"/>
  <c r="M135" i="1"/>
  <c r="M130" i="1"/>
  <c r="AC124" i="1"/>
  <c r="AC103" i="1"/>
  <c r="AC114" i="1" s="1"/>
  <c r="W138" i="1"/>
  <c r="W139" i="1"/>
  <c r="AC96" i="1"/>
  <c r="Z97" i="1"/>
  <c r="X125" i="1"/>
  <c r="D37" i="2"/>
  <c r="Q139" i="1"/>
  <c r="O17" i="1"/>
  <c r="O26" i="1" s="1"/>
  <c r="O32" i="1"/>
  <c r="U33" i="1"/>
  <c r="AB77" i="1"/>
  <c r="AB97" i="1"/>
  <c r="AB81" i="1"/>
  <c r="AB101" i="1"/>
  <c r="I109" i="1"/>
  <c r="I84" i="1"/>
  <c r="I123" i="1"/>
  <c r="H126" i="1"/>
  <c r="H105" i="1"/>
  <c r="H116" i="1" s="1"/>
  <c r="I106" i="1"/>
  <c r="M117" i="1" s="1"/>
  <c r="I127" i="1"/>
  <c r="R145" i="1"/>
  <c r="P17" i="1"/>
  <c r="P26" i="1" s="1"/>
  <c r="G145" i="1"/>
  <c r="G20" i="1"/>
  <c r="S145" i="1"/>
  <c r="S137" i="1"/>
  <c r="S20" i="1"/>
  <c r="S32" i="1"/>
  <c r="AB29" i="1"/>
  <c r="AA12" i="1"/>
  <c r="AA92" i="1"/>
  <c r="AA112" i="1" s="1"/>
  <c r="AA30" i="1"/>
  <c r="AA31" i="1" s="1"/>
  <c r="AA11" i="1"/>
  <c r="J19" i="1"/>
  <c r="N35" i="1"/>
  <c r="J35" i="1"/>
  <c r="T17" i="1"/>
  <c r="T26" i="1" s="1"/>
  <c r="AA18" i="1"/>
  <c r="W19" i="1"/>
  <c r="Q20" i="1"/>
  <c r="Z78" i="1"/>
  <c r="Z98" i="1"/>
  <c r="M102" i="1"/>
  <c r="M123" i="1"/>
  <c r="N135" i="1"/>
  <c r="AD124" i="1"/>
  <c r="AD103" i="1"/>
  <c r="M136" i="1"/>
  <c r="M137" i="1"/>
  <c r="L129" i="1"/>
  <c r="L138" i="1"/>
  <c r="L139" i="1"/>
  <c r="AC97" i="1"/>
  <c r="I102" i="1"/>
  <c r="I113" i="1" s="1"/>
  <c r="M114" i="1"/>
  <c r="M104" i="1"/>
  <c r="M115" i="1" s="1"/>
  <c r="J118" i="1"/>
  <c r="P133" i="1"/>
  <c r="O141" i="1"/>
  <c r="H32" i="1"/>
  <c r="H36" i="1" s="1"/>
  <c r="T32" i="1"/>
  <c r="T36" i="1" s="1"/>
  <c r="AB95" i="1"/>
  <c r="AB11" i="1"/>
  <c r="O35" i="1"/>
  <c r="K35" i="1"/>
  <c r="W35" i="1"/>
  <c r="J145" i="1"/>
  <c r="V145" i="1"/>
  <c r="AB18" i="1"/>
  <c r="AB31" i="1" s="1"/>
  <c r="R20" i="1"/>
  <c r="AC29" i="1"/>
  <c r="AC33" i="1" s="1"/>
  <c r="K32" i="1"/>
  <c r="K34" i="1" s="1"/>
  <c r="AA124" i="1"/>
  <c r="AA100" i="1"/>
  <c r="AC94" i="1"/>
  <c r="O135" i="1"/>
  <c r="O130" i="1"/>
  <c r="O134" i="1"/>
  <c r="N125" i="1"/>
  <c r="N104" i="1"/>
  <c r="N115" i="1" s="1"/>
  <c r="M126" i="1"/>
  <c r="M105" i="1"/>
  <c r="M116" i="1" s="1"/>
  <c r="Z80" i="1"/>
  <c r="AD81" i="1"/>
  <c r="J102" i="1"/>
  <c r="L122" i="1"/>
  <c r="Q133" i="1"/>
  <c r="P141" i="1"/>
  <c r="P140" i="1"/>
  <c r="D40" i="2"/>
  <c r="V33" i="1"/>
  <c r="AB15" i="1"/>
  <c r="Q17" i="1"/>
  <c r="Q26" i="1" s="1"/>
  <c r="T19" i="1"/>
  <c r="I145" i="1"/>
  <c r="V118" i="1"/>
  <c r="Z9" i="1"/>
  <c r="L35" i="1"/>
  <c r="L36" i="1" s="1"/>
  <c r="V20" i="1"/>
  <c r="K31" i="1"/>
  <c r="K36" i="1" s="1"/>
  <c r="R35" i="1"/>
  <c r="AB98" i="1"/>
  <c r="D124" i="1"/>
  <c r="D103" i="1"/>
  <c r="H114" i="1" s="1"/>
  <c r="D84" i="1"/>
  <c r="O137" i="1"/>
  <c r="AB92" i="1"/>
  <c r="AB112" i="1" s="1"/>
  <c r="V123" i="1"/>
  <c r="Q127" i="1"/>
  <c r="W129" i="1"/>
  <c r="J34" i="1"/>
  <c r="V19" i="1"/>
  <c r="V35" i="1"/>
  <c r="AC30" i="1"/>
  <c r="AC98" i="1"/>
  <c r="AC18" i="1"/>
  <c r="AC32" i="1" s="1"/>
  <c r="X35" i="1"/>
  <c r="Q33" i="1"/>
  <c r="Q34" i="1" s="1"/>
  <c r="R31" i="1"/>
  <c r="AB126" i="1"/>
  <c r="P124" i="1"/>
  <c r="P84" i="1"/>
  <c r="AD79" i="1"/>
  <c r="AA16" i="1"/>
  <c r="AD30" i="1"/>
  <c r="M35" i="1"/>
  <c r="M36" i="1" s="1"/>
  <c r="AC11" i="1"/>
  <c r="L145" i="1"/>
  <c r="L20" i="1"/>
  <c r="L135" i="1"/>
  <c r="X20" i="1"/>
  <c r="X145" i="1"/>
  <c r="AA15" i="1"/>
  <c r="W17" i="1"/>
  <c r="W26" i="1" s="1"/>
  <c r="W20" i="1"/>
  <c r="M32" i="1"/>
  <c r="O33" i="1"/>
  <c r="S35" i="1"/>
  <c r="AC126" i="1"/>
  <c r="E124" i="1"/>
  <c r="I134" i="1" s="1"/>
  <c r="E103" i="1"/>
  <c r="I114" i="1" s="1"/>
  <c r="Q124" i="1"/>
  <c r="Q103" i="1"/>
  <c r="Q114" i="1" s="1"/>
  <c r="E84" i="1"/>
  <c r="AC108" i="1"/>
  <c r="S116" i="1"/>
  <c r="T112" i="1"/>
  <c r="I126" i="1"/>
  <c r="T140" i="1"/>
  <c r="T141" i="1"/>
  <c r="O136" i="1"/>
  <c r="X139" i="1"/>
  <c r="G32" i="1"/>
  <c r="AC15" i="1"/>
  <c r="K19" i="1"/>
  <c r="AB124" i="1"/>
  <c r="F103" i="1"/>
  <c r="F84" i="1"/>
  <c r="R124" i="1"/>
  <c r="R84" i="1"/>
  <c r="R103" i="1"/>
  <c r="E104" i="1"/>
  <c r="I115" i="1" s="1"/>
  <c r="E125" i="1"/>
  <c r="I136" i="1" s="1"/>
  <c r="Q104" i="1"/>
  <c r="Q125" i="1"/>
  <c r="E127" i="1"/>
  <c r="E106" i="1"/>
  <c r="Z95" i="1"/>
  <c r="I112" i="1"/>
  <c r="AB105" i="1"/>
  <c r="H137" i="1"/>
  <c r="J126" i="1"/>
  <c r="D43" i="2"/>
  <c r="C84" i="1"/>
  <c r="O84" i="1"/>
  <c r="AE100" i="1"/>
  <c r="L102" i="1"/>
  <c r="N103" i="1"/>
  <c r="N114" i="1" s="1"/>
  <c r="H112" i="1"/>
  <c r="W112" i="1"/>
  <c r="R123" i="1"/>
  <c r="G124" i="1"/>
  <c r="W134" i="1"/>
  <c r="W130" i="1"/>
  <c r="W135" i="1"/>
  <c r="J125" i="1"/>
  <c r="O104" i="1"/>
  <c r="Q118" i="1"/>
  <c r="Q109" i="1"/>
  <c r="H124" i="1"/>
  <c r="X134" i="1"/>
  <c r="X130" i="1"/>
  <c r="S127" i="1"/>
  <c r="V124" i="1"/>
  <c r="V103" i="1"/>
  <c r="R125" i="1"/>
  <c r="R104" i="1"/>
  <c r="N126" i="1"/>
  <c r="R138" i="1" s="1"/>
  <c r="N105" i="1"/>
  <c r="N116" i="1" s="1"/>
  <c r="J127" i="1"/>
  <c r="N140" i="1" s="1"/>
  <c r="J106" i="1"/>
  <c r="J117" i="1" s="1"/>
  <c r="C104" i="1"/>
  <c r="G115" i="1" s="1"/>
  <c r="E109" i="1"/>
  <c r="K134" i="1"/>
  <c r="K130" i="1"/>
  <c r="Z96" i="1"/>
  <c r="G84" i="1"/>
  <c r="S84" i="1"/>
  <c r="AA98" i="1"/>
  <c r="R102" i="1"/>
  <c r="D104" i="1"/>
  <c r="H115" i="1" s="1"/>
  <c r="F105" i="1"/>
  <c r="J116" i="1" s="1"/>
  <c r="F109" i="1"/>
  <c r="X123" i="1"/>
  <c r="W127" i="1"/>
  <c r="T136" i="1"/>
  <c r="D44" i="2"/>
  <c r="U145" i="1"/>
  <c r="N123" i="1"/>
  <c r="N102" i="1"/>
  <c r="N113" i="1" s="1"/>
  <c r="J124" i="1"/>
  <c r="J103" i="1"/>
  <c r="F125" i="1"/>
  <c r="F104" i="1"/>
  <c r="J115" i="1" s="1"/>
  <c r="AA80" i="1"/>
  <c r="V127" i="1"/>
  <c r="V106" i="1"/>
  <c r="W123" i="1"/>
  <c r="AD18" i="1"/>
  <c r="K145" i="1"/>
  <c r="W145" i="1"/>
  <c r="I20" i="1"/>
  <c r="U20" i="1"/>
  <c r="AA96" i="1"/>
  <c r="L140" i="1"/>
  <c r="L141" i="1"/>
  <c r="S102" i="1"/>
  <c r="S113" i="1" s="1"/>
  <c r="U104" i="1"/>
  <c r="U115" i="1" s="1"/>
  <c r="G105" i="1"/>
  <c r="G116" i="1" s="1"/>
  <c r="G106" i="1"/>
  <c r="G109" i="1"/>
  <c r="AD98" i="1"/>
  <c r="M141" i="1"/>
  <c r="AD94" i="1"/>
  <c r="F102" i="1"/>
  <c r="H106" i="1"/>
  <c r="W109" i="1"/>
  <c r="K123" i="1"/>
  <c r="S136" i="1"/>
  <c r="M140" i="1"/>
  <c r="N141" i="1"/>
  <c r="G102" i="1"/>
  <c r="W105" i="1"/>
  <c r="W116" i="1" s="1"/>
  <c r="P129" i="1"/>
  <c r="X135" i="1"/>
  <c r="Z99" i="1"/>
  <c r="G133" i="1"/>
  <c r="S133" i="1"/>
  <c r="L117" i="1"/>
  <c r="D36" i="2"/>
  <c r="D35" i="2"/>
  <c r="D41" i="2"/>
  <c r="D39" i="2"/>
  <c r="D47" i="2"/>
  <c r="D46" i="2"/>
  <c r="L113" i="1" l="1"/>
  <c r="L119" i="1" s="1"/>
  <c r="P136" i="1"/>
  <c r="K114" i="1"/>
  <c r="L114" i="1"/>
  <c r="AA32" i="1"/>
  <c r="S132" i="1"/>
  <c r="M113" i="1"/>
  <c r="M119" i="1" s="1"/>
  <c r="AC141" i="1"/>
  <c r="AD139" i="1"/>
  <c r="H117" i="1"/>
  <c r="R113" i="1"/>
  <c r="R36" i="1"/>
  <c r="AE106" i="1"/>
  <c r="X116" i="1"/>
  <c r="AB145" i="1"/>
  <c r="L137" i="1"/>
  <c r="L143" i="1" s="1"/>
  <c r="AC20" i="1"/>
  <c r="X36" i="1"/>
  <c r="W36" i="1"/>
  <c r="V136" i="1"/>
  <c r="AC31" i="1"/>
  <c r="AD145" i="1"/>
  <c r="G113" i="1"/>
  <c r="G119" i="1" s="1"/>
  <c r="G117" i="1"/>
  <c r="P139" i="1"/>
  <c r="O34" i="1"/>
  <c r="AD32" i="1"/>
  <c r="V36" i="1"/>
  <c r="V34" i="1"/>
  <c r="AC145" i="1"/>
  <c r="N36" i="1"/>
  <c r="X34" i="1"/>
  <c r="J36" i="1"/>
  <c r="S36" i="1"/>
  <c r="P113" i="1"/>
  <c r="P119" i="1" s="1"/>
  <c r="AA17" i="1"/>
  <c r="Q116" i="1"/>
  <c r="AC35" i="1"/>
  <c r="AC19" i="1"/>
  <c r="AD35" i="1"/>
  <c r="AD19" i="1"/>
  <c r="AA35" i="1"/>
  <c r="AA36" i="1" s="1"/>
  <c r="AA19" i="1"/>
  <c r="AE126" i="1"/>
  <c r="AE105" i="1"/>
  <c r="AC138" i="1"/>
  <c r="AC139" i="1"/>
  <c r="AC129" i="1"/>
  <c r="T133" i="1"/>
  <c r="T132" i="1"/>
  <c r="AA123" i="1"/>
  <c r="AA102" i="1"/>
  <c r="AA113" i="1" s="1"/>
  <c r="AA109" i="1"/>
  <c r="AA84" i="1"/>
  <c r="G36" i="1"/>
  <c r="AB32" i="1"/>
  <c r="AB36" i="1" s="1"/>
  <c r="O143" i="1"/>
  <c r="AC133" i="1"/>
  <c r="N137" i="1"/>
  <c r="N136" i="1"/>
  <c r="H133" i="1"/>
  <c r="H132" i="1"/>
  <c r="G33" i="1"/>
  <c r="G34" i="1" s="1"/>
  <c r="M138" i="1"/>
  <c r="M139" i="1"/>
  <c r="M129" i="1"/>
  <c r="V138" i="1"/>
  <c r="V139" i="1"/>
  <c r="V129" i="1"/>
  <c r="Q138" i="1"/>
  <c r="T119" i="1"/>
  <c r="AB130" i="1"/>
  <c r="AB135" i="1"/>
  <c r="AB134" i="1"/>
  <c r="N138" i="1"/>
  <c r="N129" i="1"/>
  <c r="N139" i="1"/>
  <c r="AA20" i="1"/>
  <c r="AA145" i="1"/>
  <c r="AB127" i="1"/>
  <c r="AB106" i="1"/>
  <c r="X136" i="1"/>
  <c r="X137" i="1"/>
  <c r="T129" i="1"/>
  <c r="T139" i="1"/>
  <c r="T138" i="1"/>
  <c r="V122" i="1"/>
  <c r="V88" i="1"/>
  <c r="H122" i="1"/>
  <c r="H128" i="1" s="1"/>
  <c r="H88" i="1"/>
  <c r="R141" i="1"/>
  <c r="R140" i="1"/>
  <c r="AD129" i="1"/>
  <c r="R129" i="1"/>
  <c r="X133" i="1"/>
  <c r="X143" i="1" s="1"/>
  <c r="X132" i="1"/>
  <c r="AA126" i="1"/>
  <c r="AA105" i="1"/>
  <c r="AA116" i="1" s="1"/>
  <c r="H119" i="1"/>
  <c r="I138" i="1"/>
  <c r="I139" i="1"/>
  <c r="I129" i="1"/>
  <c r="L146" i="1"/>
  <c r="M33" i="1"/>
  <c r="M34" i="1" s="1"/>
  <c r="K133" i="1"/>
  <c r="K143" i="1" s="1"/>
  <c r="K132" i="1"/>
  <c r="K142" i="1" s="1"/>
  <c r="K149" i="1" s="1"/>
  <c r="H134" i="1"/>
  <c r="H130" i="1"/>
  <c r="L134" i="1"/>
  <c r="L142" i="1" s="1"/>
  <c r="L149" i="1" s="1"/>
  <c r="H135" i="1"/>
  <c r="Q113" i="1"/>
  <c r="Z124" i="1"/>
  <c r="AA130" i="1" s="1"/>
  <c r="Z103" i="1"/>
  <c r="AA114" i="1" s="1"/>
  <c r="J114" i="1"/>
  <c r="J135" i="1"/>
  <c r="J134" i="1"/>
  <c r="J130" i="1"/>
  <c r="N134" i="1"/>
  <c r="R115" i="1"/>
  <c r="V115" i="1"/>
  <c r="O115" i="1"/>
  <c r="O119" i="1" s="1"/>
  <c r="S115" i="1"/>
  <c r="S119" i="1" s="1"/>
  <c r="Q136" i="1"/>
  <c r="Q137" i="1"/>
  <c r="AC88" i="1"/>
  <c r="AD125" i="1"/>
  <c r="AD104" i="1"/>
  <c r="AD115" i="1" s="1"/>
  <c r="AB33" i="1"/>
  <c r="L130" i="1"/>
  <c r="O132" i="1"/>
  <c r="O142" i="1" s="1"/>
  <c r="U136" i="1"/>
  <c r="V113" i="1"/>
  <c r="H34" i="1"/>
  <c r="Z84" i="1"/>
  <c r="AC117" i="1"/>
  <c r="AD138" i="1"/>
  <c r="S122" i="1"/>
  <c r="S128" i="1" s="1"/>
  <c r="S88" i="1"/>
  <c r="R136" i="1"/>
  <c r="R137" i="1"/>
  <c r="J137" i="1"/>
  <c r="J136" i="1"/>
  <c r="O122" i="1"/>
  <c r="O128" i="1" s="1"/>
  <c r="O88" i="1"/>
  <c r="Q115" i="1"/>
  <c r="AD118" i="1"/>
  <c r="AC118" i="1"/>
  <c r="P122" i="1"/>
  <c r="P128" i="1" s="1"/>
  <c r="P88" i="1"/>
  <c r="J113" i="1"/>
  <c r="J119" i="1" s="1"/>
  <c r="AC112" i="1"/>
  <c r="AB123" i="1"/>
  <c r="AC132" i="1" s="1"/>
  <c r="AB84" i="1"/>
  <c r="AB109" i="1"/>
  <c r="AB102" i="1"/>
  <c r="AE125" i="1"/>
  <c r="AE104" i="1"/>
  <c r="J132" i="1"/>
  <c r="J133" i="1"/>
  <c r="U135" i="1"/>
  <c r="U134" i="1"/>
  <c r="U130" i="1"/>
  <c r="N132" i="1"/>
  <c r="N133" i="1"/>
  <c r="G122" i="1"/>
  <c r="K128" i="1" s="1"/>
  <c r="G88" i="1"/>
  <c r="V114" i="1"/>
  <c r="C122" i="1"/>
  <c r="C88" i="1"/>
  <c r="E122" i="1"/>
  <c r="E88" i="1"/>
  <c r="P130" i="1"/>
  <c r="P135" i="1"/>
  <c r="P143" i="1" s="1"/>
  <c r="P134" i="1"/>
  <c r="P142" i="1" s="1"/>
  <c r="T130" i="1"/>
  <c r="D122" i="1"/>
  <c r="D88" i="1"/>
  <c r="N117" i="1"/>
  <c r="N119" i="1" s="1"/>
  <c r="AD114" i="1"/>
  <c r="AD31" i="1"/>
  <c r="I140" i="1"/>
  <c r="I141" i="1"/>
  <c r="U34" i="1"/>
  <c r="AD109" i="1"/>
  <c r="AD123" i="1"/>
  <c r="AD102" i="1"/>
  <c r="AD113" i="1" s="1"/>
  <c r="AD119" i="1" s="1"/>
  <c r="AD84" i="1"/>
  <c r="U133" i="1"/>
  <c r="U132" i="1"/>
  <c r="J122" i="1"/>
  <c r="J88" i="1"/>
  <c r="U114" i="1"/>
  <c r="U119" i="1" s="1"/>
  <c r="Q128" i="1"/>
  <c r="F122" i="1"/>
  <c r="F88" i="1"/>
  <c r="I122" i="1"/>
  <c r="I128" i="1" s="1"/>
  <c r="I88" i="1"/>
  <c r="U139" i="1"/>
  <c r="U138" i="1"/>
  <c r="U129" i="1"/>
  <c r="J141" i="1"/>
  <c r="J140" i="1"/>
  <c r="V135" i="1"/>
  <c r="V134" i="1"/>
  <c r="V130" i="1"/>
  <c r="Q140" i="1"/>
  <c r="Q141" i="1"/>
  <c r="AD135" i="1"/>
  <c r="AD134" i="1"/>
  <c r="AD130" i="1"/>
  <c r="I117" i="1"/>
  <c r="I119" i="1" s="1"/>
  <c r="R114" i="1"/>
  <c r="AE109" i="1"/>
  <c r="AE84" i="1"/>
  <c r="AE123" i="1"/>
  <c r="AE102" i="1"/>
  <c r="U122" i="1"/>
  <c r="U128" i="1" s="1"/>
  <c r="U88" i="1"/>
  <c r="AC125" i="1"/>
  <c r="AC104" i="1"/>
  <c r="R34" i="1"/>
  <c r="AD34" i="1"/>
  <c r="X113" i="1"/>
  <c r="X119" i="1" s="1"/>
  <c r="V141" i="1"/>
  <c r="V140" i="1"/>
  <c r="J139" i="1"/>
  <c r="J129" i="1"/>
  <c r="J138" i="1"/>
  <c r="V133" i="1"/>
  <c r="V132" i="1"/>
  <c r="AD127" i="1"/>
  <c r="AD106" i="1"/>
  <c r="AD117" i="1" s="1"/>
  <c r="I133" i="1"/>
  <c r="I132" i="1"/>
  <c r="I142" i="1" s="1"/>
  <c r="U140" i="1"/>
  <c r="U141" i="1"/>
  <c r="T88" i="1"/>
  <c r="T122" i="1"/>
  <c r="AC135" i="1"/>
  <c r="AC134" i="1"/>
  <c r="AC130" i="1"/>
  <c r="AB138" i="1"/>
  <c r="AB139" i="1"/>
  <c r="AB129" i="1"/>
  <c r="AA135" i="1"/>
  <c r="AA134" i="1"/>
  <c r="S141" i="1"/>
  <c r="S143" i="1" s="1"/>
  <c r="S140" i="1"/>
  <c r="S142" i="1" s="1"/>
  <c r="AB35" i="1"/>
  <c r="AB19" i="1"/>
  <c r="W132" i="1"/>
  <c r="W133" i="1"/>
  <c r="G134" i="1"/>
  <c r="G142" i="1" s="1"/>
  <c r="G130" i="1"/>
  <c r="G135" i="1"/>
  <c r="G143" i="1" s="1"/>
  <c r="R122" i="1"/>
  <c r="R128" i="1" s="1"/>
  <c r="R88" i="1"/>
  <c r="Q130" i="1"/>
  <c r="Q134" i="1"/>
  <c r="Q135" i="1"/>
  <c r="Q143" i="1" s="1"/>
  <c r="R116" i="1"/>
  <c r="Z105" i="1"/>
  <c r="Z126" i="1"/>
  <c r="N130" i="1"/>
  <c r="H139" i="1"/>
  <c r="H138" i="1"/>
  <c r="H129" i="1"/>
  <c r="X138" i="1"/>
  <c r="I130" i="1"/>
  <c r="AA127" i="1"/>
  <c r="AA106" i="1"/>
  <c r="AA117" i="1" s="1"/>
  <c r="S34" i="1"/>
  <c r="W113" i="1"/>
  <c r="W119" i="1" s="1"/>
  <c r="V117" i="1"/>
  <c r="W140" i="1"/>
  <c r="W141" i="1"/>
  <c r="R133" i="1"/>
  <c r="R132" i="1"/>
  <c r="AB116" i="1"/>
  <c r="R134" i="1"/>
  <c r="R135" i="1"/>
  <c r="R130" i="1"/>
  <c r="K113" i="1"/>
  <c r="K119" i="1" s="1"/>
  <c r="AC34" i="1"/>
  <c r="M132" i="1"/>
  <c r="M133" i="1"/>
  <c r="M143" i="1" s="1"/>
  <c r="M146" i="1" s="1"/>
  <c r="Q132" i="1"/>
  <c r="Q142" i="1" s="1"/>
  <c r="Q129" i="1"/>
  <c r="L147" i="1"/>
  <c r="AB125" i="1"/>
  <c r="AB104" i="1"/>
  <c r="AB115" i="1" s="1"/>
  <c r="AC113" i="1"/>
  <c r="X129" i="1"/>
  <c r="AA125" i="1"/>
  <c r="AA104" i="1"/>
  <c r="AA115" i="1" s="1"/>
  <c r="AB20" i="1"/>
  <c r="AA119" i="1" l="1"/>
  <c r="Q119" i="1"/>
  <c r="P149" i="1"/>
  <c r="AB113" i="1"/>
  <c r="T128" i="1"/>
  <c r="J128" i="1"/>
  <c r="T142" i="1"/>
  <c r="AC36" i="1"/>
  <c r="G128" i="1"/>
  <c r="T143" i="1"/>
  <c r="T146" i="1" s="1"/>
  <c r="L148" i="1"/>
  <c r="O149" i="1"/>
  <c r="R119" i="1"/>
  <c r="U143" i="1"/>
  <c r="N143" i="1"/>
  <c r="N146" i="1" s="1"/>
  <c r="S146" i="1"/>
  <c r="S147" i="1"/>
  <c r="G146" i="1"/>
  <c r="G147" i="1"/>
  <c r="G148" i="1" s="1"/>
  <c r="G149" i="1"/>
  <c r="S149" i="1"/>
  <c r="AE122" i="1"/>
  <c r="AE88" i="1"/>
  <c r="Q146" i="1"/>
  <c r="Q147" i="1"/>
  <c r="U142" i="1"/>
  <c r="U149" i="1" s="1"/>
  <c r="N147" i="1"/>
  <c r="P146" i="1"/>
  <c r="P147" i="1"/>
  <c r="P148" i="1" s="1"/>
  <c r="AB34" i="1"/>
  <c r="V128" i="1"/>
  <c r="L128" i="1"/>
  <c r="W128" i="1"/>
  <c r="R142" i="1"/>
  <c r="R149" i="1" s="1"/>
  <c r="AD122" i="1"/>
  <c r="AD128" i="1" s="1"/>
  <c r="AD88" i="1"/>
  <c r="AD140" i="1"/>
  <c r="AD141" i="1"/>
  <c r="AA138" i="1"/>
  <c r="AA139" i="1"/>
  <c r="AA129" i="1"/>
  <c r="I143" i="1"/>
  <c r="Q149" i="1"/>
  <c r="AA133" i="1"/>
  <c r="AA132" i="1"/>
  <c r="U146" i="1"/>
  <c r="U147" i="1"/>
  <c r="R143" i="1"/>
  <c r="AD132" i="1"/>
  <c r="AD133" i="1"/>
  <c r="AC115" i="1"/>
  <c r="AC119" i="1" s="1"/>
  <c r="X142" i="1"/>
  <c r="X149" i="1" s="1"/>
  <c r="O146" i="1"/>
  <c r="O147" i="1"/>
  <c r="O148" i="1" s="1"/>
  <c r="M128" i="1"/>
  <c r="AB132" i="1"/>
  <c r="AB133" i="1"/>
  <c r="AB143" i="1" s="1"/>
  <c r="AB146" i="1" s="1"/>
  <c r="N142" i="1"/>
  <c r="V142" i="1"/>
  <c r="W143" i="1"/>
  <c r="V143" i="1"/>
  <c r="AD137" i="1"/>
  <c r="AD136" i="1"/>
  <c r="K146" i="1"/>
  <c r="K147" i="1"/>
  <c r="K148" i="1" s="1"/>
  <c r="M142" i="1"/>
  <c r="M149" i="1" s="1"/>
  <c r="W142" i="1"/>
  <c r="W149" i="1" s="1"/>
  <c r="AC136" i="1"/>
  <c r="AC142" i="1" s="1"/>
  <c r="AC137" i="1"/>
  <c r="AC143" i="1" s="1"/>
  <c r="J143" i="1"/>
  <c r="X146" i="1"/>
  <c r="X147" i="1"/>
  <c r="X148" i="1" s="1"/>
  <c r="J142" i="1"/>
  <c r="J149" i="1" s="1"/>
  <c r="Z122" i="1"/>
  <c r="Z88" i="1"/>
  <c r="H142" i="1"/>
  <c r="M147" i="1"/>
  <c r="M148" i="1" s="1"/>
  <c r="H143" i="1"/>
  <c r="AA122" i="1"/>
  <c r="AA128" i="1" s="1"/>
  <c r="AA88" i="1"/>
  <c r="X128" i="1"/>
  <c r="AB122" i="1"/>
  <c r="AB88" i="1"/>
  <c r="AB137" i="1"/>
  <c r="AB136" i="1"/>
  <c r="AD36" i="1"/>
  <c r="V119" i="1"/>
  <c r="AB117" i="1"/>
  <c r="N128" i="1"/>
  <c r="AA137" i="1"/>
  <c r="AA136" i="1"/>
  <c r="AA140" i="1"/>
  <c r="AA141" i="1"/>
  <c r="AB141" i="1"/>
  <c r="AB140" i="1"/>
  <c r="AC140" i="1"/>
  <c r="AB142" i="1" l="1"/>
  <c r="AB149" i="1" s="1"/>
  <c r="AB119" i="1"/>
  <c r="T149" i="1"/>
  <c r="S148" i="1"/>
  <c r="N148" i="1"/>
  <c r="T147" i="1"/>
  <c r="N149" i="1"/>
  <c r="AC146" i="1"/>
  <c r="AC147" i="1"/>
  <c r="AC148" i="1" s="1"/>
  <c r="AC149" i="1"/>
  <c r="I146" i="1"/>
  <c r="I147" i="1"/>
  <c r="V146" i="1"/>
  <c r="V147" i="1"/>
  <c r="V148" i="1" s="1"/>
  <c r="H146" i="1"/>
  <c r="H147" i="1"/>
  <c r="AA142" i="1"/>
  <c r="Q148" i="1"/>
  <c r="AA143" i="1"/>
  <c r="AA146" i="1" s="1"/>
  <c r="H149" i="1"/>
  <c r="AD143" i="1"/>
  <c r="I149" i="1"/>
  <c r="AD142" i="1"/>
  <c r="AD149" i="1" s="1"/>
  <c r="W146" i="1"/>
  <c r="W147" i="1"/>
  <c r="R146" i="1"/>
  <c r="R147" i="1"/>
  <c r="R148" i="1" s="1"/>
  <c r="AB147" i="1"/>
  <c r="AB148" i="1" s="1"/>
  <c r="V149" i="1"/>
  <c r="AB128" i="1"/>
  <c r="AC128" i="1"/>
  <c r="J146" i="1"/>
  <c r="J147" i="1"/>
  <c r="J148" i="1" s="1"/>
  <c r="T148" i="1"/>
  <c r="U148" i="1"/>
  <c r="H148" i="1" l="1"/>
  <c r="W148" i="1"/>
  <c r="AD146" i="1"/>
  <c r="AD147" i="1"/>
  <c r="AD148" i="1" s="1"/>
  <c r="AA149" i="1"/>
  <c r="I148" i="1"/>
</calcChain>
</file>

<file path=xl/sharedStrings.xml><?xml version="1.0" encoding="utf-8"?>
<sst xmlns="http://schemas.openxmlformats.org/spreadsheetml/2006/main" count="3282" uniqueCount="697">
  <si>
    <t>Airbnb (ABNB): historical P&amp;L, KPIs, growth decomposition and margin decomposition, 1Q21 to 2Q26</t>
  </si>
  <si>
    <t>Blue = value taken from the source CSVs (shareholder letters, 10-Q/10-K XBRL, call transcripts). Black = Excel formula. 2021 columns are shown only as the base year for 2022 growth. $ in millions unless stated. Nothing here is forward-looking.</t>
  </si>
  <si>
    <t>Line</t>
  </si>
  <si>
    <t>Unit</t>
  </si>
  <si>
    <t>1Q21</t>
  </si>
  <si>
    <t>2Q21</t>
  </si>
  <si>
    <t>3Q21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</si>
  <si>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</si>
  <si>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</si>
  <si>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</si>
  <si>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</si>
  <si>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</si>
  <si>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</si>
  <si>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</si>
  <si>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</si>
  <si>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</si>
  <si>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</si>
  <si>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</si>
  <si>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</si>
  <si>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</si>
  <si>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1Q25</t>
  </si>
  <si>
    <t>2Q25</t>
  </si>
  <si>
    <t>3Q25</t>
  </si>
  <si>
    <t>4Q25</t>
  </si>
  <si>
    <t>1Q26</t>
  </si>
  <si>
    <t>2Q26</t>
  </si>
  <si>
    <t>FY2021</t>
  </si>
  <si>
    <t>FY2022</t>
  </si>
  <si>
    <t>FY2023</t>
  </si>
  <si>
    <t>FY2024</t>
  </si>
  <si>
    <t>FY2025</t>
  </si>
  <si>
    <t>LTM 2Q26</t>
  </si>
  <si>
    <t>A. Volume, price and revenue (letters)</t>
  </si>
  <si>
    <t>Nights &amp; Seats Booked</t>
  </si>
  <si>
    <t>M</t>
  </si>
  <si>
    <t>Renamed from Nights &amp; Experiences Booked in 2025; seats immaterial per CFO.</t>
  </si>
  <si>
    <t>Gross Booking Value</t>
  </si>
  <si>
    <t>$M</t>
  </si>
  <si>
    <t>ADR (GBV / nights)</t>
  </si>
  <si>
    <t>$</t>
  </si>
  <si>
    <t>Revenue</t>
  </si>
  <si>
    <t>Take rate (revenue / GBV)</t>
  </si>
  <si>
    <t>%</t>
  </si>
  <si>
    <t>Seasonal: revenue recognised at check-in, GBV at booking. Compare same quarter only.</t>
  </si>
  <si>
    <t>Revenue per night</t>
  </si>
  <si>
    <t>B. Year-over-year growth</t>
  </si>
  <si>
    <t>Nights y/y</t>
  </si>
  <si>
    <t>GBV y/y</t>
  </si>
  <si>
    <t>ADR y/y (reported)</t>
  </si>
  <si>
    <t>Revenue y/y (reported)</t>
  </si>
  <si>
    <t>Take rate y/y change</t>
  </si>
  <si>
    <t>pts</t>
  </si>
  <si>
    <t>Revenue per night y/y</t>
  </si>
  <si>
    <t>C. FX, as disclosed by the company (shareholder letters)</t>
  </si>
  <si>
    <t>Revenue y/y ex-FX (letter)</t>
  </si>
  <si>
    <t>Company-stated constant-currency revenue growth.</t>
  </si>
  <si>
    <t>FX effect on revenue growth (reported minus ex-FX)</t>
  </si>
  <si>
    <t>Letters round both growth rates to whole points, so FX is a whole-point figure.</t>
  </si>
  <si>
    <t>ADR y/y ex-FX (letter)</t>
  </si>
  <si>
    <t>Company-stated. Disclosed from 2Q22; approximate ('roughly flat' = 0.5) in some quarters.</t>
  </si>
  <si>
    <t>FX effect on ADR growth (reported minus ex-FX)</t>
  </si>
  <si>
    <t>D. Revenue growth decomposition (points of reported y/y growth; exact log-share attribution)</t>
  </si>
  <si>
    <t xml:space="preserve">  memo: prior-year quarter revenue</t>
  </si>
  <si>
    <t>ln(revenue / prior-year revenue)</t>
  </si>
  <si>
    <t xml:space="preserve">  from nights</t>
  </si>
  <si>
    <t xml:space="preserve">  from ADR (reported, incl. FX)</t>
  </si>
  <si>
    <t xml:space="preserve">    of which FX (letter)</t>
  </si>
  <si>
    <t>Annual FX = quarterly FX points weighted by prior-year quarterly revenue (FY2022 omitted: 1H21 FX not disclosed).</t>
  </si>
  <si>
    <t xml:space="preserve">    of which ADR ex-FX (residual)</t>
  </si>
  <si>
    <t xml:space="preserve">  from take rate (booking-to-stay timing and fee mix)</t>
  </si>
  <si>
    <t xml:space="preserve">  check: nights + ADR + take rate = reported growth</t>
  </si>
  <si>
    <t>Should read 0.0. Method: each factor's share of log growth times reported growth.</t>
  </si>
  <si>
    <t>E. Regional and mix disclosures (letters; growth bands as stated)</t>
  </si>
  <si>
    <t>Nights y/y: North America</t>
  </si>
  <si>
    <t>Nights y/y: EMEA</t>
  </si>
  <si>
    <t>Nights y/y: Latin America</t>
  </si>
  <si>
    <t>Nights y/y: Asia Pacific</t>
  </si>
  <si>
    <t>Management gives bands ('high single digits'); the panel stores the midpoint. Blank = not disclosed.</t>
  </si>
  <si>
    <t>ADR y/y: North America</t>
  </si>
  <si>
    <t>ADR y/y: EMEA</t>
  </si>
  <si>
    <t>ADR y/y: Latin America</t>
  </si>
  <si>
    <t>ADR y/y: Asia Pacific</t>
  </si>
  <si>
    <t>Bedroom nights booked y/y</t>
  </si>
  <si>
    <t>First disclosed 2Q26.</t>
  </si>
  <si>
    <t>Cross-border share of nights</t>
  </si>
  <si>
    <t>Disclosure stopped after 1Q24.</t>
  </si>
  <si>
    <t>Urban share of nights</t>
  </si>
  <si>
    <t>Stopped after 4Q23.</t>
  </si>
  <si>
    <t>Long-term stays (28+ nights) share</t>
  </si>
  <si>
    <t>Stopped after 1Q24.</t>
  </si>
  <si>
    <t>App share of nights</t>
  </si>
  <si>
    <t>Active listings</t>
  </si>
  <si>
    <t>Disclosed irregularly.</t>
  </si>
  <si>
    <t>F. GAAP cost lines and profit (10-Q/10-K; Q4 = FY less nine months)</t>
  </si>
  <si>
    <t>Cost of revenue</t>
  </si>
  <si>
    <t>Operations and support</t>
  </si>
  <si>
    <t>Product development</t>
  </si>
  <si>
    <t>Sales and marketing</t>
  </si>
  <si>
    <t>General and administrative</t>
  </si>
  <si>
    <t>Restructuring charges</t>
  </si>
  <si>
    <t>Blank = none reported.</t>
  </si>
  <si>
    <t>Operating income (reported)</t>
  </si>
  <si>
    <t xml:space="preserve">  check: revenue less lines less restructuring</t>
  </si>
  <si>
    <t>Small differences = rounding in the letter/XBRL lines.</t>
  </si>
  <si>
    <t>Interest income</t>
  </si>
  <si>
    <t>Income tax provision (benefit)</t>
  </si>
  <si>
    <t>3Q23 = $2.7bn valuation-allowance release.</t>
  </si>
  <si>
    <t>Net income (loss)</t>
  </si>
  <si>
    <t>Diluted weighted-average shares</t>
  </si>
  <si>
    <t>Annual columns blank on purpose: Q4 counts are derived and the FY average is in the 10-K.</t>
  </si>
  <si>
    <t>GAAP diluted EPS (net income / diluted shares)</t>
  </si>
  <si>
    <t>Adjusted EPS as reported in press / vendor basis</t>
  </si>
  <si>
    <t>Basis differs by quarter (see Earnings sheet); GAAP incl. one-offs before 4Q21 and in 3Q23/4Q23.</t>
  </si>
  <si>
    <t>G. Stock-based compensation by line (letters) and cash (ex-SBC) cost lines</t>
  </si>
  <si>
    <t>SBC total</t>
  </si>
  <si>
    <t xml:space="preserve">  SBC in cost of revenue</t>
  </si>
  <si>
    <t xml:space="preserve">  SBC in operations and support</t>
  </si>
  <si>
    <t xml:space="preserve">  SBC in product development</t>
  </si>
  <si>
    <t xml:space="preserve">  SBC in sales and marketing</t>
  </si>
  <si>
    <t xml:space="preserve">  SBC in G&amp;A</t>
  </si>
  <si>
    <t>Cost of revenue, cash</t>
  </si>
  <si>
    <t>Operations and support, cash</t>
  </si>
  <si>
    <t>Product development, cash</t>
  </si>
  <si>
    <t>Sales and marketing, cash</t>
  </si>
  <si>
    <t>G&amp;A, cash</t>
  </si>
  <si>
    <t xml:space="preserve">  S&amp;M: brand and performance marketing</t>
  </si>
  <si>
    <t>10-K/10-Q split; quarterly from 2023 where disclosed. Cash basis approximated by the filing split.</t>
  </si>
  <si>
    <t xml:space="preserve">  S&amp;M: field operations and policy</t>
  </si>
  <si>
    <t>Total cash cost</t>
  </si>
  <si>
    <t>Depreciation and amortisation</t>
  </si>
  <si>
    <t>Other Adjusted EBITDA add-backs (net)</t>
  </si>
  <si>
    <t>Lodging-tax reserves, restructuring, acquisition costs. 4Q23 = $928M Italy withholding settlement (sits in G&amp;A cash).</t>
  </si>
  <si>
    <t>Adjusted EBITDA (reported)</t>
  </si>
  <si>
    <t xml:space="preserve">  check: revenue less cash cost plus D&amp;A and add-backs, minus reported</t>
  </si>
  <si>
    <t>0 from 3Q22. 1Q21 (-113) and 2Q22 (-90): letters' SBC-by-line footnotes do not tie.</t>
  </si>
  <si>
    <t>Free cash flow (letter)</t>
  </si>
  <si>
    <t>H. Margins and cost ratios (% of revenue)</t>
  </si>
  <si>
    <t>Adjusted EBITDA margin</t>
  </si>
  <si>
    <t>GAAP operating margin</t>
  </si>
  <si>
    <t>Net margin</t>
  </si>
  <si>
    <t>FCF margin</t>
  </si>
  <si>
    <t>SBC % revenue</t>
  </si>
  <si>
    <t>Cost of revenue (GAAP)</t>
  </si>
  <si>
    <t>Operations and support (GAAP)</t>
  </si>
  <si>
    <t>Product development (GAAP)</t>
  </si>
  <si>
    <t>Sales and marketing (GAAP)</t>
  </si>
  <si>
    <t>G&amp;A (GAAP)</t>
  </si>
  <si>
    <t>Cost of revenue (cash)</t>
  </si>
  <si>
    <t>Operations and support (cash)</t>
  </si>
  <si>
    <t>Product development (cash)</t>
  </si>
  <si>
    <t>Sales and marketing (cash)</t>
  </si>
  <si>
    <t>G&amp;A (cash)</t>
  </si>
  <si>
    <t xml:space="preserve">  Brand and performance marketing</t>
  </si>
  <si>
    <t>D&amp;A plus add-backs</t>
  </si>
  <si>
    <t>Cost of revenue (cash) per $100 of GBV</t>
  </si>
  <si>
    <t>Payments cost scales with GBV, not revenue.</t>
  </si>
  <si>
    <t>I. What moved the Adjusted EBITDA margin: y/y change in margin points, by line (cash basis)</t>
  </si>
  <si>
    <t>Change in Adjusted EBITDA margin y/y</t>
  </si>
  <si>
    <t xml:space="preserve">  Cost of revenue (lower ratio = positive)</t>
  </si>
  <si>
    <t xml:space="preserve">  Operations and support (lower ratio = positive)</t>
  </si>
  <si>
    <t xml:space="preserve">  Product development (lower ratio = positive)</t>
  </si>
  <si>
    <t xml:space="preserve">  Sales and marketing (lower ratio = positive)</t>
  </si>
  <si>
    <t xml:space="preserve">  G&amp;A (lower ratio = positive)</t>
  </si>
  <si>
    <t xml:space="preserve">  D&amp;A and add-backs</t>
  </si>
  <si>
    <t xml:space="preserve">  Residual (identity gaps)</t>
  </si>
  <si>
    <t>4Q23: the $928M Italy settlement inflates cash G&amp;A and the add-back equally; both lines swing, net zero.</t>
  </si>
  <si>
    <t>J. Per-night economics: revenue per night vs cash cost per night (why the ratio moved)</t>
  </si>
  <si>
    <t>Cash cost per night, total</t>
  </si>
  <si>
    <t xml:space="preserve">  Cost of revenue per night</t>
  </si>
  <si>
    <t xml:space="preserve">  Operations and support per night</t>
  </si>
  <si>
    <t xml:space="preserve">  Product development per night</t>
  </si>
  <si>
    <t xml:space="preserve">  Sales and marketing per night</t>
  </si>
  <si>
    <t xml:space="preserve">  G&amp;A per night</t>
  </si>
  <si>
    <t>Cash cost per night y/y</t>
  </si>
  <si>
    <t xml:space="preserve">  S&amp;M cash per night y/y</t>
  </si>
  <si>
    <t xml:space="preserve">  Ops &amp; support cash per night y/y</t>
  </si>
  <si>
    <t>Split of each line's margin contribution into (a) unit cost per night and (b) revenue per night. Exact identity: -delta(c/p) = -(c1-c0)/p0 - c1*(1/p1-1/p0).</t>
  </si>
  <si>
    <t xml:space="preserve">  Cost of revenue: unit-cost effect</t>
  </si>
  <si>
    <t xml:space="preserve">  Cost of revenue: revenue-per-night effect</t>
  </si>
  <si>
    <t xml:space="preserve">  Operations and support: unit-cost effect</t>
  </si>
  <si>
    <t xml:space="preserve">  Operations and support: revenue-per-night effect</t>
  </si>
  <si>
    <t xml:space="preserve">  Product development: unit-cost effect</t>
  </si>
  <si>
    <t xml:space="preserve">  Product development: revenue-per-night effect</t>
  </si>
  <si>
    <t xml:space="preserve">  Sales and marketing: unit-cost effect</t>
  </si>
  <si>
    <t xml:space="preserve">  Sales and marketing: revenue-per-night effect</t>
  </si>
  <si>
    <t xml:space="preserve">  G&amp;A: unit-cost effect</t>
  </si>
  <si>
    <t xml:space="preserve">  G&amp;A: revenue-per-night effect</t>
  </si>
  <si>
    <t>Total unit-cost effect (all lines)</t>
  </si>
  <si>
    <t>Total revenue-per-night effect (all lines)</t>
  </si>
  <si>
    <t>Revenue-per-night effect split by log weights of its drivers: revenue per night = ADR x take rate; ADR split into FX (letter) and ADR ex-FX. Quarterly where the letter gives FX; annual on the weighted FX.</t>
  </si>
  <si>
    <t xml:space="preserve">  memo: ln(revenue per night / prior)</t>
  </si>
  <si>
    <t xml:space="preserve">  of which take rate</t>
  </si>
  <si>
    <t xml:space="preserve">  of which FX</t>
  </si>
  <si>
    <t xml:space="preserve">  of which ADR ex-FX</t>
  </si>
  <si>
    <t>Check: unit cost + revenue per night + D&amp;A/add-backs = margin change</t>
  </si>
  <si>
    <t>0.0 where the EBITDA identity holds (from 3Q22).</t>
  </si>
  <si>
    <t>K. Cash flow and capital return (letters, XBRL)</t>
  </si>
  <si>
    <t>Cash from operations</t>
  </si>
  <si>
    <t>Capex</t>
  </si>
  <si>
    <t>Share repurchases</t>
  </si>
  <si>
    <t>RSU tax withholding (net share settlement)</t>
  </si>
  <si>
    <t>Unearned fees (quarter end)</t>
  </si>
  <si>
    <t>Funds held for clients (quarter end)</t>
  </si>
  <si>
    <t>Unearned fees y/y</t>
  </si>
  <si>
    <t>Funds held y/y</t>
  </si>
  <si>
    <t>ABNB earnings prints: reported vs management guidance and vs consensus, with the stock move</t>
  </si>
  <si>
    <t>Consensus reconstructed from dated press and vendor quotes at each print (LSEG/Refinitiv, StreetAccount, Zacks, FactSet); vendor noted. Beat / meet / miss vs consensus uses +/-0.5% (revenue, EBITDA, GBV), +/-1.0% (nights), +/-3% (EPS). Guide outcome is against the company's own range/floor/ceiling/point for that quarter, issued at the prior print. Stock moves: close-to-close on the reaction day (prints are after the close) and on an executable next-open entry.</t>
  </si>
  <si>
    <t>Print</t>
  </si>
  <si>
    <t>Print date</t>
  </si>
  <si>
    <t>Reaction date</t>
  </si>
  <si>
    <t>Rev guide low</t>
  </si>
  <si>
    <t>Rev guide high</t>
  </si>
  <si>
    <t>Rev actual</t>
  </si>
  <si>
    <t>vs guide mid</t>
  </si>
  <si>
    <t>vs guide top</t>
  </si>
  <si>
    <t>Rev guide outcome</t>
  </si>
  <si>
    <t>Rev consensus</t>
  </si>
  <si>
    <t>Rev surprise</t>
  </si>
  <si>
    <t>Rev vs Street</t>
  </si>
  <si>
    <t>Rev vendor</t>
  </si>
  <si>
    <t>Nights cons (M)</t>
  </si>
  <si>
    <t>Nights actual</t>
  </si>
  <si>
    <t>Nights surprise</t>
  </si>
  <si>
    <t>Nights vs Street</t>
  </si>
  <si>
    <t>Nights guide</t>
  </si>
  <si>
    <t>Nights guide outcome</t>
  </si>
  <si>
    <t>GBV cons ($B)</t>
  </si>
  <si>
    <t>GBV actual</t>
  </si>
  <si>
    <t>GBV surprise</t>
  </si>
  <si>
    <t>GBV vs Street</t>
  </si>
  <si>
    <t>GBV guide</t>
  </si>
  <si>
    <t>GBV guide outcome</t>
  </si>
  <si>
    <t>ADR cons</t>
  </si>
  <si>
    <t>ADR actual</t>
  </si>
  <si>
    <t>ADR surprise</t>
  </si>
  <si>
    <t>ADR guide (y/y)</t>
  </si>
  <si>
    <t>ADR guide outcome</t>
  </si>
  <si>
    <t>EBITDA cons</t>
  </si>
  <si>
    <t>EBITDA actual</t>
  </si>
  <si>
    <t>EBITDA surprise</t>
  </si>
  <si>
    <t>EBITDA vs Street</t>
  </si>
  <si>
    <t>Margin actual</t>
  </si>
  <si>
    <t>Margin guide</t>
  </si>
  <si>
    <t>Margin guide outcome</t>
  </si>
  <si>
    <t>Take-rate guide</t>
  </si>
  <si>
    <t>Take-rate outcome</t>
  </si>
  <si>
    <t>EPS cons</t>
  </si>
  <si>
    <t>EPS actual</t>
  </si>
  <si>
    <t>EPS basis</t>
  </si>
  <si>
    <t>EPS surprise</t>
  </si>
  <si>
    <t>EPS vs Street</t>
  </si>
  <si>
    <t>Next-Q rev consensus</t>
  </si>
  <si>
    <t>Next-Q guide mid</t>
  </si>
  <si>
    <t>Guide vs Street</t>
  </si>
  <si>
    <t>ABNB 1d</t>
  </si>
  <si>
    <t>QQQ 1d</t>
  </si>
  <si>
    <t>Excess 1d</t>
  </si>
  <si>
    <t>ABNB 5d</t>
  </si>
  <si>
    <t>Excess 5d</t>
  </si>
  <si>
    <t>ABNB 20d</t>
  </si>
  <si>
    <t>Excess 20d</t>
  </si>
  <si>
    <t>Gap at open</t>
  </si>
  <si>
    <t>Open-to-close 1d</t>
  </si>
  <si>
    <t>Open entry 5d</t>
  </si>
  <si>
    <t>Open entry 20d</t>
  </si>
  <si>
    <t>4Q20</t>
  </si>
  <si>
    <t>2021-02-25</t>
  </si>
  <si>
    <t>2021-02-26</t>
  </si>
  <si>
    <t>Yahoo/unattributed</t>
  </si>
  <si>
    <t>GAAP incl. IPO stock-comp (FactSet basis)</t>
  </si>
  <si>
    <t>2021-05-13</t>
  </si>
  <si>
    <t>2021-05-14</t>
  </si>
  <si>
    <t>Refinitiv</t>
  </si>
  <si>
    <t>between_2020_and_2019</t>
  </si>
  <si>
    <t>n/a (2019 base not in panel)</t>
  </si>
  <si>
    <t>seasonal_low</t>
  </si>
  <si>
    <t>qualitative</t>
  </si>
  <si>
    <t>GAAP (FactSet survey of 27)</t>
  </si>
  <si>
    <t>2021-08-12</t>
  </si>
  <si>
    <t>2021-08-13</t>
  </si>
  <si>
    <t>above vs 8.1</t>
  </si>
  <si>
    <t>met</t>
  </si>
  <si>
    <t>GAAP (press consensus; low confidence)</t>
  </si>
  <si>
    <t>2021-11-04</t>
  </si>
  <si>
    <t>2021-11-05</t>
  </si>
  <si>
    <t>below vs 83.1</t>
  </si>
  <si>
    <t>below vs 13.4</t>
  </si>
  <si>
    <t>above vs 37.3</t>
  </si>
  <si>
    <t>above vs 9.96</t>
  </si>
  <si>
    <t>GAAP diluted, flagged not comparable</t>
  </si>
  <si>
    <t>2022-02-15</t>
  </si>
  <si>
    <t>2022-02-16</t>
  </si>
  <si>
    <t>above_range</t>
  </si>
  <si>
    <t>approx vs 76</t>
  </si>
  <si>
    <t>above vs 5.91</t>
  </si>
  <si>
    <t>approx_seq vs 149.15</t>
  </si>
  <si>
    <t>above vs 11.9</t>
  </si>
  <si>
    <t>below_seq vs 18.8</t>
  </si>
  <si>
    <t>adjusted</t>
  </si>
  <si>
    <t>2022-05-03</t>
  </si>
  <si>
    <t>2022-05-04</t>
  </si>
  <si>
    <t>above vs 83.1</t>
  </si>
  <si>
    <t>above vs 13.4</t>
  </si>
  <si>
    <t>about 4 pct</t>
  </si>
  <si>
    <t>beat</t>
  </si>
  <si>
    <t>above vs 0</t>
  </si>
  <si>
    <t>below_seq vs 13.56</t>
  </si>
  <si>
    <t>2022-08-02</t>
  </si>
  <si>
    <t>2022-08-03</t>
  </si>
  <si>
    <t>within_range</t>
  </si>
  <si>
    <t>approx_vs2019</t>
  </si>
  <si>
    <t>about 0 pct</t>
  </si>
  <si>
    <t>at least 10 pts</t>
  </si>
  <si>
    <t>above_seq vs 8.77</t>
  </si>
  <si>
    <t>2022-11-01</t>
  </si>
  <si>
    <t>2022-11-02</t>
  </si>
  <si>
    <t>stable vs 24.6</t>
  </si>
  <si>
    <t>above vs 26.9</t>
  </si>
  <si>
    <t>at most 49 pct</t>
  </si>
  <si>
    <t>not_met</t>
  </si>
  <si>
    <t>adjusted (Zacks basis)</t>
  </si>
  <si>
    <t>2023-02-14</t>
  </si>
  <si>
    <t>2023-02-15</t>
  </si>
  <si>
    <t>below vs 25.1</t>
  </si>
  <si>
    <t>below vs 4.9</t>
  </si>
  <si>
    <t>at least 22 pct</t>
  </si>
  <si>
    <t>below_seq vs 18.49</t>
  </si>
  <si>
    <t>2023-05-09</t>
  </si>
  <si>
    <t>2023-05-10</t>
  </si>
  <si>
    <t>approx vs 20.2</t>
  </si>
  <si>
    <t>below vs 0</t>
  </si>
  <si>
    <t>at most 0 pts</t>
  </si>
  <si>
    <t>about 0 pts</t>
  </si>
  <si>
    <t>at_point</t>
  </si>
  <si>
    <t>2023-08-03</t>
  </si>
  <si>
    <t>2023-08-04</t>
  </si>
  <si>
    <t>below_revenue_growth</t>
  </si>
  <si>
    <t>at least 0 pts</t>
  </si>
  <si>
    <t>2023-11-01</t>
  </si>
  <si>
    <t>2023-11-02</t>
  </si>
  <si>
    <t>LSEG</t>
  </si>
  <si>
    <t>above vs 11</t>
  </si>
  <si>
    <t>at least 0 pct</t>
  </si>
  <si>
    <t>GAAP incl. tax valuation allowance release - not comparable</t>
  </si>
  <si>
    <t>2024-02-13</t>
  </si>
  <si>
    <t>2024-02-14</t>
  </si>
  <si>
    <t>below vs 13.5</t>
  </si>
  <si>
    <t>at least -0.5 pct</t>
  </si>
  <si>
    <t>GAAP loss - not comparable</t>
  </si>
  <si>
    <t>2024-05-08</t>
  </si>
  <si>
    <t>2024-05-09</t>
  </si>
  <si>
    <t>below vs 12</t>
  </si>
  <si>
    <t>2024-08-06</t>
  </si>
  <si>
    <t>2024-08-07</t>
  </si>
  <si>
    <t>stable vs 9.5</t>
  </si>
  <si>
    <t>2024-11-07</t>
  </si>
  <si>
    <t>2024-11-08</t>
  </si>
  <si>
    <t>below vs 8.7</t>
  </si>
  <si>
    <t>2025-02-13</t>
  </si>
  <si>
    <t>2025-02-14</t>
  </si>
  <si>
    <t>above vs 8.5</t>
  </si>
  <si>
    <t>2025-05-01</t>
  </si>
  <si>
    <t>2025-05-02</t>
  </si>
  <si>
    <t>stable vs 8.5</t>
  </si>
  <si>
    <t>at most 0 pct</t>
  </si>
  <si>
    <t>2025-08-06</t>
  </si>
  <si>
    <t>2025-08-07</t>
  </si>
  <si>
    <t>below vs 7.9</t>
  </si>
  <si>
    <t>2025-11-06</t>
  </si>
  <si>
    <t>2025-11-07</t>
  </si>
  <si>
    <t>stable vs 7.4</t>
  </si>
  <si>
    <t>miss</t>
  </si>
  <si>
    <t>2026-02-12</t>
  </si>
  <si>
    <t>2026-02-13</t>
  </si>
  <si>
    <t>4 to 6 pct (nan)</t>
  </si>
  <si>
    <t>10 to 12 pct (nan)</t>
  </si>
  <si>
    <t>2026-05-07</t>
  </si>
  <si>
    <t>2026-05-08</t>
  </si>
  <si>
    <t>7 to 9 pct (nan)</t>
  </si>
  <si>
    <t>12 to 14 pct (nan)</t>
  </si>
  <si>
    <t>2026-08-06</t>
  </si>
  <si>
    <t>2026-08-07</t>
  </si>
  <si>
    <t>below vs 9.1</t>
  </si>
  <si>
    <t>below vs 8</t>
  </si>
  <si>
    <t>20-session move computed from daily closes 2026-08-06 to 2026-09-03</t>
  </si>
  <si>
    <t>Summary across prints</t>
  </si>
  <si>
    <t>Prints with a numeric revenue range</t>
  </si>
  <si>
    <t xml:space="preserve">  above the range</t>
  </si>
  <si>
    <t xml:space="preserve">  within the range</t>
  </si>
  <si>
    <t xml:space="preserve">  below the range</t>
  </si>
  <si>
    <t xml:space="preserve">  mean beat vs guide midpoint</t>
  </si>
  <si>
    <t xml:space="preserve">  median beat vs guide midpoint</t>
  </si>
  <si>
    <t>Revenue vs consensus: beat / meet / miss</t>
  </si>
  <si>
    <t xml:space="preserve">  mean revenue surprise</t>
  </si>
  <si>
    <t xml:space="preserve">  median revenue surprise</t>
  </si>
  <si>
    <t>Nights vs consensus: beat / meet / miss</t>
  </si>
  <si>
    <t xml:space="preserve">  median nights surprise</t>
  </si>
  <si>
    <t>GBV vs consensus: beat / meet / miss</t>
  </si>
  <si>
    <t>EBITDA vs consensus: beat / meet / miss</t>
  </si>
  <si>
    <t>EPS vs consensus: beat / meet / miss</t>
  </si>
  <si>
    <t>Margin guide: met / not met</t>
  </si>
  <si>
    <t>Guide below Street (next-quarter midpoint under consensus)</t>
  </si>
  <si>
    <t xml:space="preserve">  of which 20-day excess negative</t>
  </si>
  <si>
    <t>Day-1 excess return: mean</t>
  </si>
  <si>
    <t>Day-1 excess return: positive count</t>
  </si>
  <si>
    <t>Day-1 absolute move: mean</t>
  </si>
  <si>
    <t>Day-1 absolute move: median</t>
  </si>
  <si>
    <t>Prints with |day-1 move| &gt; 7%</t>
  </si>
  <si>
    <t>20-day excess return: mean</t>
  </si>
  <si>
    <t>20-day excess return: positive count</t>
  </si>
  <si>
    <t>Open-to-close day 1 (executable): mean</t>
  </si>
  <si>
    <t>Sum of |overnight gap| over sum of |day-1 move|</t>
  </si>
  <si>
    <t>OLS of the post-print stock move on each earnings item: consensus surprise, beat dummy, and y/y growth</t>
  </si>
  <si>
    <t>Univariate OLS per row on the prints where both sides exist (n shown). Slope = return points per unit of the feature (per 1% surprise, per 1% growth, per $1 of EPS surprise, or the beat-minus-not difference for a 1/0 dummy). Two windows: all 23 prints, and 1Q23 onward (drops the 2021-22 reopening growth rates). Values, not formulas; the pairs are listed below so any row can be re-run with LINEST. Descriptive only: no out-of-sample test.</t>
  </si>
  <si>
    <t>Item</t>
  </si>
  <si>
    <t>Feature</t>
  </si>
  <si>
    <t>Return horizon</t>
  </si>
  <si>
    <t>Window</t>
  </si>
  <si>
    <t>n</t>
  </si>
  <si>
    <t>Slope</t>
  </si>
  <si>
    <t>t</t>
  </si>
  <si>
    <t>p</t>
  </si>
  <si>
    <t>R2</t>
  </si>
  <si>
    <t>Spearman</t>
  </si>
  <si>
    <t>Mean return if 1 (%)</t>
  </si>
  <si>
    <t>n(1)</t>
  </si>
  <si>
    <t>Mean return if 0 (%)</t>
  </si>
  <si>
    <t>n(0)</t>
  </si>
  <si>
    <t>Welch p (1 vs 0)</t>
  </si>
  <si>
    <t>Sign agreement</t>
  </si>
  <si>
    <t>Slope, 2nd var</t>
  </si>
  <si>
    <t>t, 2nd var</t>
  </si>
  <si>
    <t>p, 2nd var</t>
  </si>
  <si>
    <t>Adj. R2</t>
  </si>
  <si>
    <t>surprise vs consensus (%)</t>
  </si>
  <si>
    <t>Day 1, raw</t>
  </si>
  <si>
    <t>all prints</t>
  </si>
  <si>
    <t>Day 1, excess vs QQQ</t>
  </si>
  <si>
    <t>5 sessions, raw</t>
  </si>
  <si>
    <t>5 sessions, excess vs QQQ</t>
  </si>
  <si>
    <t>beat consensus (1/0, &gt;0.5%)</t>
  </si>
  <si>
    <t>y/y growth (%)</t>
  </si>
  <si>
    <t>acceleration vs prior quarter (pts)</t>
  </si>
  <si>
    <t>EPS</t>
  </si>
  <si>
    <t>surprise vs consensus ($/share)</t>
  </si>
  <si>
    <t>beat consensus (1/0, &gt;$0.03)</t>
  </si>
  <si>
    <t>y/y growth, adjusted basis (%)</t>
  </si>
  <si>
    <t>GBV</t>
  </si>
  <si>
    <t>Nights</t>
  </si>
  <si>
    <t>beat consensus (1/0, &gt;1%)</t>
  </si>
  <si>
    <t>Adj. EBITDA</t>
  </si>
  <si>
    <t>Adj. EBITDA margin</t>
  </si>
  <si>
    <t>y/y change (pts)</t>
  </si>
  <si>
    <t>ADR</t>
  </si>
  <si>
    <t>Take rate</t>
  </si>
  <si>
    <t>Next-quarter revenue guide</t>
  </si>
  <si>
    <t>guide midpoint vs Street (%)</t>
  </si>
  <si>
    <t>guide below Street (1/0)</t>
  </si>
  <si>
    <t>2023 onward</t>
  </si>
  <si>
    <t>Bivariate</t>
  </si>
  <si>
    <t>Revenue surprise + nights growth</t>
  </si>
  <si>
    <t>Nights surprise + nights acceleration</t>
  </si>
  <si>
    <t>Revenue beat + guide below Street</t>
  </si>
  <si>
    <t>EPS surprise ($) + revenue surprise</t>
  </si>
  <si>
    <t>Nights growth + margin change</t>
  </si>
  <si>
    <t>Underlying pairs (one row per print; returns in %, surprises in %, EPS surprise in $)</t>
  </si>
  <si>
    <t>print_quarter</t>
  </si>
  <si>
    <t>print_date</t>
  </si>
  <si>
    <t>ret_1d</t>
  </si>
  <si>
    <t>exc_1d</t>
  </si>
  <si>
    <t>ret_5d</t>
  </si>
  <si>
    <t>exc_5d</t>
  </si>
  <si>
    <t>rev_surprise</t>
  </si>
  <si>
    <t>rev_beat</t>
  </si>
  <si>
    <t>rev_growth</t>
  </si>
  <si>
    <t>rev_accel_pts</t>
  </si>
  <si>
    <t>eps_surprise_usd</t>
  </si>
  <si>
    <t>eps_beat</t>
  </si>
  <si>
    <t>eps_growth</t>
  </si>
  <si>
    <t>gbv_surprise</t>
  </si>
  <si>
    <t>gbv_beat</t>
  </si>
  <si>
    <t>gbv_growth</t>
  </si>
  <si>
    <t>nights_surprise</t>
  </si>
  <si>
    <t>nights_beat</t>
  </si>
  <si>
    <t>nights_growth</t>
  </si>
  <si>
    <t>nights_accel_pts</t>
  </si>
  <si>
    <t>ebitda_surprise</t>
  </si>
  <si>
    <t>ebitda_beat</t>
  </si>
  <si>
    <t>ebitda_growth</t>
  </si>
  <si>
    <t>margin_change_pts</t>
  </si>
  <si>
    <t>adr_surprise</t>
  </si>
  <si>
    <t>adr_growth</t>
  </si>
  <si>
    <t>take_rate_change_pts</t>
  </si>
  <si>
    <t>guide_vs_street</t>
  </si>
  <si>
    <t>guide_below_street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</si>
  <si>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</si>
  <si>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</si>
  <si>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</si>
  <si>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</si>
  <si>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</si>
  <si>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</si>
  <si>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</si>
  <si>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</si>
  <si>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</si>
  <si>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</si>
  <si>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</si>
  <si>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</si>
  <si>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</si>
  <si>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</si>
  <si>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</si>
  <si>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</si>
  <si>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</si>
  <si>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</si>
  <si>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</si>
  <si>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</si>
  <si>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</si>
  <si>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</si>
  <si>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</si>
  <si>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Which guidance items move the stock: day-1 and 5-session moves regressed on the guidance issued at each print</t>
  </si>
  <si>
    <t>Features built from the guidance ledger for statements issued AT the print (next-quarter revenue range, nights / margin / ADR / take-rate direction, full-year margin and revenue guides and their revisions). +1/0/-1 columns show the mean return when the guide was up / flat / down. Reported-quarter beats are included at the bottom for comparison. Two windows: all prints and 1Q23 onward. Values, not formulas; pairs below.</t>
  </si>
  <si>
    <t>Mean if +1 / yes (%)</t>
  </si>
  <si>
    <t>Mean if 0 / no (%)</t>
  </si>
  <si>
    <t>Mean if -1 (%)</t>
  </si>
  <si>
    <t>Welch p (+1 vs rest)</t>
  </si>
  <si>
    <t>Var 1</t>
  </si>
  <si>
    <t>Coef 1</t>
  </si>
  <si>
    <t>t 1</t>
  </si>
  <si>
    <t>Var 2</t>
  </si>
  <si>
    <t>Coef 2</t>
  </si>
  <si>
    <t>t 2</t>
  </si>
  <si>
    <t>Var 3</t>
  </si>
  <si>
    <t>Coef 3</t>
  </si>
  <si>
    <t>t 3</t>
  </si>
  <si>
    <t>Next-Q revenue guide</t>
  </si>
  <si>
    <t>guided revenue growth (%)</t>
  </si>
  <si>
    <t>guided growth minus just-reported growth (pts)</t>
  </si>
  <si>
    <t>range width (% of mid)</t>
  </si>
  <si>
    <t>Next-Q nights guide</t>
  </si>
  <si>
    <t>implied nights acceleration (pts; +/-2 for above/below)</t>
  </si>
  <si>
    <t>direction (+1 above, 0 stable, -1 below)</t>
  </si>
  <si>
    <t>Next-Q margin guide</t>
  </si>
  <si>
    <t>direction (+1 up, 0 flat, -1 down)</t>
  </si>
  <si>
    <t>guided y/y margin change (pts)</t>
  </si>
  <si>
    <t>Next-Q ADR guide</t>
  </si>
  <si>
    <t>Next-Q take-rate guide</t>
  </si>
  <si>
    <t>Next-Q GBV guide</t>
  </si>
  <si>
    <t>direction (+1 up, 0 flat, -1 below)</t>
  </si>
  <si>
    <t>FY margin guide</t>
  </si>
  <si>
    <t>change vs prior statement (pts; first = 0)</t>
  </si>
  <si>
    <t>raised (1) vs reiterated/first/lowered (0)</t>
  </si>
  <si>
    <t>FY floor minus prior FY actual margin (pts)</t>
  </si>
  <si>
    <t>FY revenue guide</t>
  </si>
  <si>
    <t>raised (1) vs other (0)</t>
  </si>
  <si>
    <t>FY framework</t>
  </si>
  <si>
    <t>any numeric FY guide issued (1/0)</t>
  </si>
  <si>
    <t>number of FY guidance items issued</t>
  </si>
  <si>
    <t>FY investment budget</t>
  </si>
  <si>
    <t>new-business investment budget announced (1/0)</t>
  </si>
  <si>
    <t>Reported quarter (for comparison)</t>
  </si>
  <si>
    <t>nights beat consensus (1/0)</t>
  </si>
  <si>
    <t>revenue beat consensus (1/0)</t>
  </si>
  <si>
    <t>Multivariate</t>
  </si>
  <si>
    <t>Guide vs Street + nights beat</t>
  </si>
  <si>
    <t>guide_vs_street_pct</t>
  </si>
  <si>
    <t>Guide acceleration + nights beat</t>
  </si>
  <si>
    <t>nq_guide_accel_pts</t>
  </si>
  <si>
    <t>Guide vs Street + FY margin delta</t>
  </si>
  <si>
    <t>fy_margin_delta_pts</t>
  </si>
  <si>
    <t>Guide vs Street + nights guide</t>
  </si>
  <si>
    <t>nq_nights_guide_pts</t>
  </si>
  <si>
    <t>Guide vs Street + revenue beat</t>
  </si>
  <si>
    <t>Nights guide + FY margin delta + guide vs Street</t>
  </si>
  <si>
    <t>Underlying pairs (one row per print; returns in %)</t>
  </si>
  <si>
    <t>nq_rev_guide_mid</t>
  </si>
  <si>
    <t>nq_rev_guide_growth</t>
  </si>
  <si>
    <t>nq_range_width_pct</t>
  </si>
  <si>
    <t>nq_nights_dir</t>
  </si>
  <si>
    <t>nq_margin_dir</t>
  </si>
  <si>
    <t>nq_margin_guide_pts</t>
  </si>
  <si>
    <t>nq_adr_dir</t>
  </si>
  <si>
    <t>nq_take_rate_dir</t>
  </si>
  <si>
    <t>nq_gbv_dir</t>
  </si>
  <si>
    <t>fy_margin_action</t>
  </si>
  <si>
    <t>fy_margin_floor_vs_prior_fy</t>
  </si>
  <si>
    <t>fy_rev_action</t>
  </si>
  <si>
    <t>fy_rev_delta_pts</t>
  </si>
  <si>
    <t>fy_rev_guide_mid</t>
  </si>
  <si>
    <t>fy_numeric_present</t>
  </si>
  <si>
    <t>fy_items_count</t>
  </si>
  <si>
    <t>new_investment_flag</t>
  </si>
  <si>
    <t>sbc_guide_pct</t>
  </si>
  <si>
    <t>first</t>
  </si>
  <si>
    <t>none</t>
  </si>
  <si>
    <t>reiterated</t>
  </si>
  <si>
    <t>raised</t>
  </si>
  <si>
    <t>Full-year guidance and revisions vs actual (Adjusted EBITDA margin, revenue growth, SBC, S&amp;M ratio)</t>
  </si>
  <si>
    <t>Each row is one guide statement as issued at a print; the same target period appears once per print at which it was stated or revised.</t>
  </si>
  <si>
    <t>Target</t>
  </si>
  <si>
    <t>Metric</t>
  </si>
  <si>
    <t>Issued at print</t>
  </si>
  <si>
    <t>Guide type</t>
  </si>
  <si>
    <t>Low</t>
  </si>
  <si>
    <t>High</t>
  </si>
  <si>
    <t>Mid</t>
  </si>
  <si>
    <t>Actual</t>
  </si>
  <si>
    <t>Outcome</t>
  </si>
  <si>
    <t>Cushion</t>
  </si>
  <si>
    <t>Quote</t>
  </si>
  <si>
    <t>adj_ebitda_margin_pct</t>
  </si>
  <si>
    <t>narrative</t>
  </si>
  <si>
    <t>we expect our Adjusted EBITDA margins to be lower in the first half of 2021 than the second half</t>
  </si>
  <si>
    <t>adr_yoy_pct</t>
  </si>
  <si>
    <t>not_scoreable</t>
  </si>
  <si>
    <t>If our business mix changes as travel recovers, we may see a decline in our ADR in the future</t>
  </si>
  <si>
    <t>capex_usd_m</t>
  </si>
  <si>
    <t>directional</t>
  </si>
  <si>
    <t>level</t>
  </si>
  <si>
    <t>we anticipate capital expenditures in 2021 will be higher than that of 2020, but significantly lower than 2019</t>
  </si>
  <si>
    <t>we continue to expect capital expenditures in 2021 will be higher than that of 2020, but significantly lower than 2019</t>
  </si>
  <si>
    <t>sm_pct_rev_yoy_bps</t>
  </si>
  <si>
    <t>We expect that sales and marketing expenses as a percentage of revenue in the first half of 2021 will be higher than that of the second half</t>
  </si>
  <si>
    <t>adj_ebitda_margin_yoy_pts</t>
  </si>
  <si>
    <t>point</t>
  </si>
  <si>
    <t>we would expect Adjusted EBITDA margin to be directionally in-line with 2021</t>
  </si>
  <si>
    <t>floor</t>
  </si>
  <si>
    <t>We currently anticipate delivering modest Adjusted EBITDA margin expansion for the full-year 2022 relative to 2021</t>
  </si>
  <si>
    <t>We continue to forecast delivering Adjusted EBITDA margin expansion for the full-year 2022 relative to 2021</t>
  </si>
  <si>
    <t>bps</t>
  </si>
  <si>
    <t>sales and marketing expense as a percent of revenue is expected to remain relatively flat</t>
  </si>
  <si>
    <t>we currently expect sales and marketing expense as a percent of revenue to remain relatively flat compared to 2021</t>
  </si>
  <si>
    <t>For the full year 2023, we expect to maintain the strong Adjusted EBITDA margin we delivered in 2022</t>
  </si>
  <si>
    <t>We continue to anticipate a full year Adjusted EBITDA margin that is broadly in-line with full-year 2022</t>
  </si>
  <si>
    <t>For the full-year 2023, we expect an Adjusted EBITDA margin that is modestly higher than the full-year 2022</t>
  </si>
  <si>
    <t>we expect an Adjusted EBITDA margin for full-year 2023 that is approximately 150 bps higher than full-year 2022</t>
  </si>
  <si>
    <t>For the remainder of the year, we expect ADR will face increasing downward pressure from mix shift, as well as new and improved pricing and discountin</t>
  </si>
  <si>
    <t>sbc_yoy_pct</t>
  </si>
  <si>
    <t>pct</t>
  </si>
  <si>
    <t>For full-year 2023, we expect our stock-based compensation (“SBC”) expense to be approximately 20% higher than in full-year 2022</t>
  </si>
  <si>
    <t>but flat as a percent of revenue for the full year</t>
  </si>
  <si>
    <t>For the full-year 2024, we expect to maintain an Adjusted EBITDA Margin of at least 35%</t>
  </si>
  <si>
    <t>For the full-year 2024, consistent with our prior guidance, we expect to grow Adjusted EBITDA on a nominal basis and to deliver an Adjusted EBITDA Mar</t>
  </si>
  <si>
    <t>For the full-year 2024, we now expect to deliver an Adjusted EBITDA Margin of approximately 35.5%</t>
  </si>
  <si>
    <t>fcf_margin_minus_ebitda_margin_pts</t>
  </si>
  <si>
    <t>We also expect to continue to deliver a full-year 2024 Free Cash Flow margin several points above our EBITDA margin</t>
  </si>
  <si>
    <t>we expect to deliver a full-year 2024 Free Cash Flow Margin several points above our Adjusted EBITDA Margin</t>
  </si>
  <si>
    <t>For full-year 2024, we expect our stock-based compensation (“SBC”) expense to be approximately 20% higher than in full-year 2023</t>
  </si>
  <si>
    <t>For full-year 2024, we expect our stock-based compensation (“SBC”) expense to be approximately 25% higher than in full-year 2023</t>
  </si>
  <si>
    <t>tax_rate_pct</t>
  </si>
  <si>
    <t>range</t>
  </si>
  <si>
    <t>we expect our effective tax rate to approximate the mid-to-high teens in the near-term</t>
  </si>
  <si>
    <t>For the full-year 2024, we anticipate our effective tax rate to be approximately 20%</t>
  </si>
  <si>
    <t>we expect to deliver a full-year Adjusted EBITDA Margin of at least 34.5%</t>
  </si>
  <si>
    <t>For full-year 2025, consistent with our prior guidance, we expect to deliver a full-year Adjusted EBITDA Margin of at least 34.5%</t>
  </si>
  <si>
    <t>For 2025, consistent with our prior guidance, we expect to deliver a full-year Adjusted EBITDA Margin of at least 34.5%</t>
  </si>
  <si>
    <t>For the full-year 2025, we now expect to deliver an Adjusted EBITDA Margin of approximately 35%</t>
  </si>
  <si>
    <t>new_business_investment_usd_m</t>
  </si>
  <si>
    <t>USD m</t>
  </si>
  <si>
    <t>we plan to invest $200 million to $250 million towards launching and scaling new businesses to be introduced later this year</t>
  </si>
  <si>
    <t>we plan to invest $200 million to $250 million towards launching and scaling new businesses in 2025</t>
  </si>
  <si>
    <t>This includes investing approximately $200 million towards services and experiences in 2025</t>
  </si>
  <si>
    <t>Consistent with our prior update, this includes investing approximately $200 million towards services and experiences in 2025</t>
  </si>
  <si>
    <t>ceiling</t>
  </si>
  <si>
    <t>For the full-year 2025, we anticipate our effective tax rate to slightly below our long-term effective tax rate of approximately 20%</t>
  </si>
  <si>
    <t>FY2026</t>
  </si>
  <si>
    <t>pending</t>
  </si>
  <si>
    <t>For 2026, we now expect our Adjusted EBITDA Margin to be at least 35%</t>
  </si>
  <si>
    <t>For 2026, we now expect to deliver a full-year Adjusted EBITDA Margin of at least 35.5%</t>
  </si>
  <si>
    <t>For 2026, we expect our Adjusted EBITDA Margin to be stable year-over-year</t>
  </si>
  <si>
    <t>revenue_yoy_pct</t>
  </si>
  <si>
    <t>bucket</t>
  </si>
  <si>
    <t>For 2026, we expect year-over-year revenue growth to accelerate to at least low double digits</t>
  </si>
  <si>
    <t>For 2026, we are raising our guidance and now expect year-over-year revenue growth to accelerate to low to mid teens</t>
  </si>
  <si>
    <t>we now expect year-over-year revenue growth to improve to at least mid teens</t>
  </si>
  <si>
    <t>we anticipate that the One Big Beautiful Bill will materially reduce our effective tax rate</t>
  </si>
  <si>
    <t>we expect the One Big Beautiful Bill Act to materially reduce our effective tax rate to the mid to high-teens</t>
  </si>
  <si>
    <t>For the full-year 2026, we expect our effective tax rate to be in the high teens</t>
  </si>
  <si>
    <t>For the full-year 2026, we expect our ee ff ctive tax rate to be in the high teens</t>
  </si>
  <si>
    <t>Workbook</t>
  </si>
  <si>
    <t>model/ABNB_historicals.xlsx, built by analysis/src/abnb_historicals_workbook.py. Historical only; no forecasts.</t>
  </si>
  <si>
    <t>KPIs, revenue, FX splits, shares, net income</t>
  </si>
  <si>
    <t>data/processed/overnight/02_kpi_panel_quarterly.csv: 23 shareholder letters (SEC 8-K Ex. 99.1), 10-Q/10-K XBRL (CIK 1559720), call transcripts. 342 verbatim quotes re-verified.</t>
  </si>
  <si>
    <t>Cost lines, SBC by line, D&amp;A, add-backs, FCF</t>
  </si>
  <si>
    <t>data/processed/overnight/07_cost_lines_per_night.csv: GAAP lines from XBRL (Q4 = FY less 9M), SBC-by-function footnotes from each letter, Adjusted EBITDA reconciliation from each letter. Cash line = GAAP line less that line's SBC.</t>
  </si>
  <si>
    <t>Management guidance</t>
  </si>
  <si>
    <t>data/processed/overnight/02_guidance_ledger.csv (194 statements) and 02_fy_guide_revisions.csv: Outlook sections of the letters, quoted verbatim, scored against the reported actual.</t>
  </si>
  <si>
    <t>Consensus at each print</t>
  </si>
  <si>
    <t>data/processed/overnight/16_consensus_at_print_merged.csv: 145 dated press/vendor quotes (Yahoo, Reuters/LSEG, StreetAccount via press, Zacks, FactSet). Vendors disagree by up to 2%; vendor kept per row. EPS basis varies (GAAP before 4Q21 and for 3Q23/4Q23 one-offs).</t>
  </si>
  <si>
    <t>Regressions</t>
  </si>
  <si>
    <t>analysis/src/abnb_earnings_regressions.py: univariate OLS of day-1 and 5-session moves on each item's consensus surprise, beat dummy and y/y growth; results also in data/processed/abnb_earnings_regressions.csv with the pairs in abnb_earnings_regression_panel.csv.</t>
  </si>
  <si>
    <t>Guidance vs move</t>
  </si>
  <si>
    <t>analysis/src/abnb_guidance_reaction.py: OLS of day-1 and 5-session moves on the guidance issued at each print; results in data/processed/abnb_guidance_reaction_results.csv, pairs in abnb_guidance_reaction_panel.csv.</t>
  </si>
  <si>
    <t>Stock moves</t>
  </si>
  <si>
    <t>data/processed/abnb_earnings_reactions.csv (close-to-close, reaction day = day after the after-close print; QQQ excess) and data/processed/overnight/20_executable_returns.csv (next-open entry: gap, open-to-close, 5 and 20 sessions).</t>
  </si>
  <si>
    <t>Definitions</t>
  </si>
  <si>
    <t>ADR = GBV / nights. Take rate = revenue / GBV (revenue at check-in, GBV at booking, so seasonal). FX effect = company-stated reported minus constant-currency growth. Adjusted EBITDA = operating income + SBC + D&amp;A + other add-backs (company definition).</t>
  </si>
  <si>
    <t>Known data caveats</t>
  </si>
  <si>
    <t>1Q21 and 2Q22 cash stacks do not tie to Adjusted EBITDA (SBC footnote gaps). 4Q23 G&amp;A cash includes the $928M Italy withholding settlement, added back in Adjusted EBITDA. ADR ex-FX before 4Q25 is approximate where the letter said 'roughly flat'. 2Q26 20-session move taken from the overnight WS09 note (reactions CSV predates it).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</si>
</sst>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;\(#,##0.0\)"/>
    <numFmt numFmtId="165" formatCode="#,##0;\(#,##0\)"/>
    <numFmt numFmtId="166" formatCode="\$#,##0.00"/>
    <numFmt numFmtId="167" formatCode="0.0%;\(0.0%\)"/>
    <numFmt numFmtId="168" formatCode="0.0;\(0.0\)"/>
    <numFmt numFmtId="169" formatCode="0.00;\(0.00\)"/>
    <numFmt numFmtId="170" formatCode="0.000"/>
  </numFmts>
  <fonts count="7" x14ac:knownFonts="1">
    <font>
      <sz val="11"/>
      <color theme="1"/>
      <name val="Calibri"/>
      <family val="2"/>
      <scheme val="minor"/>
    </font>
    <font>
      <b/>
      <sz val="13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b/>
      <sz val="11"/>
      <name val="Calibri"/>
    </font>
    <font>
      <sz val="11"/>
      <color rgb="FF0000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DCE6F1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0" xfId="0" applyFill="1"/>
    <xf numFmtId="0" fontId="4" fillId="3" borderId="0" xfId="0" applyFont="1" applyFill="1"/>
    <xf numFmtId="0" fontId="0" fillId="3" borderId="0" xfId="0" applyFill="1"/>
    <xf numFmtId="164" fontId="5" fillId="4" borderId="0" xfId="0" applyNumberFormat="1" applyFont="1" applyFill="1"/>
    <xf numFmtId="164" fontId="5" fillId="0" borderId="0" xfId="0" applyNumberFormat="1" applyFont="1"/>
    <xf numFmtId="164" fontId="6" fillId="0" borderId="0" xfId="0" applyNumberFormat="1" applyFont="1"/>
    <xf numFmtId="164" fontId="0" fillId="0" borderId="0" xfId="0" applyNumberFormat="1"/>
    <xf numFmtId="165" fontId="5" fillId="4" borderId="0" xfId="0" applyNumberFormat="1" applyFont="1" applyFill="1"/>
    <xf numFmtId="165" fontId="5" fillId="0" borderId="0" xfId="0" applyNumberFormat="1" applyFont="1"/>
    <xf numFmtId="165" fontId="6" fillId="0" borderId="0" xfId="0" applyNumberFormat="1" applyFont="1"/>
    <xf numFmtId="165" fontId="0" fillId="0" borderId="0" xfId="0" applyNumberFormat="1"/>
    <xf numFmtId="166" fontId="6" fillId="4" borderId="0" xfId="0" applyNumberFormat="1" applyFont="1" applyFill="1"/>
    <xf numFmtId="166" fontId="6" fillId="0" borderId="0" xfId="0" applyNumberFormat="1" applyFont="1"/>
    <xf numFmtId="166" fontId="0" fillId="0" borderId="0" xfId="0" applyNumberFormat="1"/>
    <xf numFmtId="167" fontId="6" fillId="4" borderId="0" xfId="0" applyNumberFormat="1" applyFont="1" applyFill="1"/>
    <xf numFmtId="167" fontId="6" fillId="0" borderId="0" xfId="0" applyNumberFormat="1" applyFont="1"/>
    <xf numFmtId="167" fontId="0" fillId="0" borderId="0" xfId="0" applyNumberFormat="1"/>
    <xf numFmtId="168" fontId="6" fillId="0" borderId="0" xfId="0" applyNumberFormat="1" applyFont="1"/>
    <xf numFmtId="167" fontId="5" fillId="4" borderId="0" xfId="0" applyNumberFormat="1" applyFont="1" applyFill="1"/>
    <xf numFmtId="167" fontId="5" fillId="0" borderId="0" xfId="0" applyNumberFormat="1" applyFont="1"/>
    <xf numFmtId="2" fontId="6" fillId="0" borderId="0" xfId="0" applyNumberFormat="1" applyFont="1"/>
    <xf numFmtId="2" fontId="5" fillId="4" borderId="0" xfId="0" applyNumberFormat="1" applyFont="1" applyFill="1"/>
    <xf numFmtId="2" fontId="5" fillId="0" borderId="0" xfId="0" applyNumberFormat="1" applyFont="1"/>
    <xf numFmtId="165" fontId="6" fillId="4" borderId="0" xfId="0" applyNumberFormat="1" applyFont="1" applyFill="1"/>
    <xf numFmtId="166" fontId="5" fillId="4" borderId="0" xfId="0" applyNumberFormat="1" applyFont="1" applyFill="1"/>
    <xf numFmtId="166" fontId="5" fillId="0" borderId="0" xfId="0" applyNumberFormat="1" applyFont="1"/>
    <xf numFmtId="0" fontId="3" fillId="2" borderId="0" xfId="0" applyFont="1" applyFill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3" fillId="2" borderId="0" xfId="0" applyFont="1" applyFill="1" applyAlignment="1">
      <alignment vertical="center" wrapText="1"/>
    </xf>
    <xf numFmtId="169" fontId="0" fillId="0" borderId="0" xfId="0" applyNumberFormat="1"/>
    <xf numFmtId="170" fontId="0" fillId="0" borderId="0" xfId="0" applyNumberFormat="1"/>
    <xf numFmtId="170" fontId="4" fillId="0" borderId="0" xfId="0" applyNumberFormat="1" applyFont="1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59"/>
  <sheetViews>
    <sheetView tabSelected="1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8" customWidth="1"/>
    <col min="2" max="2" width="6" customWidth="1"/>
    <col min="3" max="24" width="10.44140625" customWidth="1"/>
    <col min="25" max="25" width="2" customWidth="1"/>
    <col min="26" max="31" width="10.44140625" customWidth="1"/>
    <col min="32" max="32" width="90" customWidth="1"/>
  </cols>
  <sheetData>
    <row r="1" spans="1:32" ht="17.399999999999999" x14ac:dyDescent="0.35">
      <c r="A1" s="1" t="s">
        <v>0</v>
      </c>
    </row>
    <row r="2" spans="1:32" x14ac:dyDescent="0.3">
      <c r="A2" s="2" t="s">
        <v>1</v>
      </c>
    </row>
    <row r="4" spans="1:32" x14ac:dyDescent="0.3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5"/>
      <c r="Z4" s="4" t="s">
        <v>26</v>
      </c>
      <c r="AA4" s="4" t="s">
        <v>27</v>
      </c>
      <c r="AB4" s="4" t="s">
        <v>28</v>
      </c>
      <c r="AC4" s="4" t="s">
        <v>29</v>
      </c>
      <c r="AD4" s="4" t="s">
        <v>30</v>
      </c>
      <c r="AE4" s="4" t="s">
        <v>31</v>
      </c>
    </row>
    <row r="6" spans="1:32" x14ac:dyDescent="0.3">
      <c r="A6" s="6" t="s">
        <v>32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spans="1:32" x14ac:dyDescent="0.3">
      <c r="A7" t="s">
        <v>33</v>
      </c>
      <c r="B7" s="2" t="s">
        <v>34</v>
      </c>
      <c r="C7" s="8">
        <v>64.400000000000006</v>
      </c>
      <c r="D7" s="8">
        <v>83.1</v>
      </c>
      <c r="E7" s="8">
        <v>79.7</v>
      </c>
      <c r="F7" s="8">
        <v>73.400000000000006</v>
      </c>
      <c r="G7" s="9">
        <v>102.1</v>
      </c>
      <c r="H7" s="9">
        <v>103.7</v>
      </c>
      <c r="I7" s="9">
        <v>99.7</v>
      </c>
      <c r="J7" s="9">
        <v>88.2</v>
      </c>
      <c r="K7" s="9">
        <v>121.1</v>
      </c>
      <c r="L7" s="9">
        <v>115.1</v>
      </c>
      <c r="M7" s="9">
        <v>113.2</v>
      </c>
      <c r="N7" s="9">
        <v>98.8</v>
      </c>
      <c r="O7" s="9">
        <v>132.6</v>
      </c>
      <c r="P7" s="9">
        <v>125.1</v>
      </c>
      <c r="Q7" s="9">
        <v>122.8</v>
      </c>
      <c r="R7" s="9">
        <v>111</v>
      </c>
      <c r="S7" s="9">
        <v>143.1</v>
      </c>
      <c r="T7" s="9">
        <v>134.4</v>
      </c>
      <c r="U7" s="9">
        <v>133.6</v>
      </c>
      <c r="V7" s="9">
        <v>121.9</v>
      </c>
      <c r="W7" s="9">
        <v>156.19999999999999</v>
      </c>
      <c r="X7" s="9">
        <v>148.30000000000001</v>
      </c>
      <c r="Z7" s="10">
        <f>SUM(C7:F7)</f>
        <v>300.60000000000002</v>
      </c>
      <c r="AA7" s="10">
        <f>SUM(G7:J7)</f>
        <v>393.7</v>
      </c>
      <c r="AB7" s="10">
        <f>SUM(K7:N7)</f>
        <v>448.2</v>
      </c>
      <c r="AC7" s="10">
        <f>SUM(O7:R7)</f>
        <v>491.5</v>
      </c>
      <c r="AD7" s="10">
        <f>SUM(S7:V7)</f>
        <v>533</v>
      </c>
      <c r="AE7" s="11">
        <f>SUM(U7:X7)</f>
        <v>560</v>
      </c>
      <c r="AF7" s="2" t="s">
        <v>35</v>
      </c>
    </row>
    <row r="8" spans="1:32" x14ac:dyDescent="0.3">
      <c r="A8" t="s">
        <v>36</v>
      </c>
      <c r="B8" s="2" t="s">
        <v>37</v>
      </c>
      <c r="C8" s="12">
        <v>10300</v>
      </c>
      <c r="D8" s="12">
        <v>13400</v>
      </c>
      <c r="E8" s="12">
        <v>11900</v>
      </c>
      <c r="F8" s="12">
        <v>11300</v>
      </c>
      <c r="G8" s="13">
        <v>17200</v>
      </c>
      <c r="H8" s="13">
        <v>17000</v>
      </c>
      <c r="I8" s="13">
        <v>15600</v>
      </c>
      <c r="J8" s="13">
        <v>13500</v>
      </c>
      <c r="K8" s="13">
        <v>20400</v>
      </c>
      <c r="L8" s="13">
        <v>19100</v>
      </c>
      <c r="M8" s="13">
        <v>18300</v>
      </c>
      <c r="N8" s="13">
        <v>15500</v>
      </c>
      <c r="O8" s="13">
        <v>22900</v>
      </c>
      <c r="P8" s="13">
        <v>21200</v>
      </c>
      <c r="Q8" s="13">
        <v>20100</v>
      </c>
      <c r="R8" s="13">
        <v>17600</v>
      </c>
      <c r="S8" s="13">
        <v>24500</v>
      </c>
      <c r="T8" s="13">
        <v>23500</v>
      </c>
      <c r="U8" s="13">
        <v>22900</v>
      </c>
      <c r="V8" s="13">
        <v>20400</v>
      </c>
      <c r="W8" s="13">
        <v>29200</v>
      </c>
      <c r="X8" s="13">
        <v>27200</v>
      </c>
      <c r="Z8" s="14">
        <f>SUM(C8:F8)</f>
        <v>46900</v>
      </c>
      <c r="AA8" s="14">
        <f>SUM(G8:J8)</f>
        <v>63300</v>
      </c>
      <c r="AB8" s="14">
        <f>SUM(K8:N8)</f>
        <v>73300</v>
      </c>
      <c r="AC8" s="14">
        <f>SUM(O8:R8)</f>
        <v>81800</v>
      </c>
      <c r="AD8" s="14">
        <f>SUM(S8:V8)</f>
        <v>91300</v>
      </c>
      <c r="AE8" s="15">
        <f>SUM(U8:X8)</f>
        <v>99700</v>
      </c>
    </row>
    <row r="9" spans="1:32" x14ac:dyDescent="0.3">
      <c r="A9" t="s">
        <v>38</v>
      </c>
      <c r="B9" s="2" t="s">
        <v>39</v>
      </c>
      <c r="C9" s="16">
        <f t="shared" ref="C9:X9" si="0">C8/C7</f>
        <v>159.93788819875775</v>
      </c>
      <c r="D9" s="16">
        <f t="shared" si="0"/>
        <v>161.25150421179302</v>
      </c>
      <c r="E9" s="16">
        <f t="shared" si="0"/>
        <v>149.3099121706399</v>
      </c>
      <c r="F9" s="16">
        <f t="shared" si="0"/>
        <v>153.95095367847409</v>
      </c>
      <c r="G9" s="17">
        <f t="shared" si="0"/>
        <v>168.46229187071501</v>
      </c>
      <c r="H9" s="17">
        <f t="shared" si="0"/>
        <v>163.9344262295082</v>
      </c>
      <c r="I9" s="17">
        <f t="shared" si="0"/>
        <v>156.46940822467403</v>
      </c>
      <c r="J9" s="17">
        <f t="shared" si="0"/>
        <v>153.0612244897959</v>
      </c>
      <c r="K9" s="17">
        <f t="shared" si="0"/>
        <v>168.4558216350124</v>
      </c>
      <c r="L9" s="17">
        <f t="shared" si="0"/>
        <v>165.94265855777584</v>
      </c>
      <c r="M9" s="17">
        <f t="shared" si="0"/>
        <v>161.66077738515901</v>
      </c>
      <c r="N9" s="17">
        <f t="shared" si="0"/>
        <v>156.88259109311741</v>
      </c>
      <c r="O9" s="17">
        <f t="shared" si="0"/>
        <v>172.6998491704374</v>
      </c>
      <c r="P9" s="17">
        <f t="shared" si="0"/>
        <v>169.46442845723422</v>
      </c>
      <c r="Q9" s="17">
        <f t="shared" si="0"/>
        <v>163.68078175895766</v>
      </c>
      <c r="R9" s="17">
        <f t="shared" si="0"/>
        <v>158.55855855855856</v>
      </c>
      <c r="S9" s="17">
        <f t="shared" si="0"/>
        <v>171.20894479385046</v>
      </c>
      <c r="T9" s="17">
        <f t="shared" si="0"/>
        <v>174.85119047619048</v>
      </c>
      <c r="U9" s="17">
        <f t="shared" si="0"/>
        <v>171.40718562874252</v>
      </c>
      <c r="V9" s="17">
        <f t="shared" si="0"/>
        <v>167.35028712059065</v>
      </c>
      <c r="W9" s="17">
        <f t="shared" si="0"/>
        <v>186.93982074263766</v>
      </c>
      <c r="X9" s="17">
        <f t="shared" si="0"/>
        <v>183.41200269723532</v>
      </c>
      <c r="Z9" s="17">
        <f t="shared" ref="Z9:AE9" si="1">Z8/Z7</f>
        <v>156.02129075182967</v>
      </c>
      <c r="AA9" s="17">
        <f t="shared" si="1"/>
        <v>160.78232156464313</v>
      </c>
      <c r="AB9" s="17">
        <f t="shared" si="1"/>
        <v>163.54306113342258</v>
      </c>
      <c r="AC9" s="17">
        <f t="shared" si="1"/>
        <v>166.42929806714142</v>
      </c>
      <c r="AD9" s="17">
        <f t="shared" si="1"/>
        <v>171.29455909943715</v>
      </c>
      <c r="AE9" s="18">
        <f t="shared" si="1"/>
        <v>178.03571428571428</v>
      </c>
    </row>
    <row r="10" spans="1:32" x14ac:dyDescent="0.3">
      <c r="A10" t="s">
        <v>40</v>
      </c>
      <c r="B10" s="2" t="s">
        <v>37</v>
      </c>
      <c r="C10" s="12">
        <v>887</v>
      </c>
      <c r="D10" s="12">
        <v>1335</v>
      </c>
      <c r="E10" s="12">
        <v>2237</v>
      </c>
      <c r="F10" s="12">
        <v>1532</v>
      </c>
      <c r="G10" s="13">
        <v>1509</v>
      </c>
      <c r="H10" s="13">
        <v>2104</v>
      </c>
      <c r="I10" s="13">
        <v>2884</v>
      </c>
      <c r="J10" s="13">
        <v>1902</v>
      </c>
      <c r="K10" s="13">
        <v>1818</v>
      </c>
      <c r="L10" s="13">
        <v>2484</v>
      </c>
      <c r="M10" s="13">
        <v>3397</v>
      </c>
      <c r="N10" s="13">
        <v>2218</v>
      </c>
      <c r="O10" s="13">
        <v>2142</v>
      </c>
      <c r="P10" s="13">
        <v>2748</v>
      </c>
      <c r="Q10" s="13">
        <v>3732</v>
      </c>
      <c r="R10" s="13">
        <v>2480</v>
      </c>
      <c r="S10" s="13">
        <v>2272</v>
      </c>
      <c r="T10" s="13">
        <v>3096</v>
      </c>
      <c r="U10" s="13">
        <v>4095</v>
      </c>
      <c r="V10" s="13">
        <v>2778</v>
      </c>
      <c r="W10" s="13">
        <v>2678</v>
      </c>
      <c r="X10" s="13">
        <v>3608</v>
      </c>
      <c r="Z10" s="14">
        <f>SUM(C10:F10)</f>
        <v>5991</v>
      </c>
      <c r="AA10" s="14">
        <f>SUM(G10:J10)</f>
        <v>8399</v>
      </c>
      <c r="AB10" s="14">
        <f>SUM(K10:N10)</f>
        <v>9917</v>
      </c>
      <c r="AC10" s="14">
        <f>SUM(O10:R10)</f>
        <v>11102</v>
      </c>
      <c r="AD10" s="14">
        <f>SUM(S10:V10)</f>
        <v>12241</v>
      </c>
      <c r="AE10" s="15">
        <f>SUM(U10:X10)</f>
        <v>13159</v>
      </c>
    </row>
    <row r="11" spans="1:32" x14ac:dyDescent="0.3">
      <c r="A11" t="s">
        <v>41</v>
      </c>
      <c r="B11" s="2" t="s">
        <v>42</v>
      </c>
      <c r="C11" s="19">
        <f t="shared" ref="C11:X11" si="2">C10/C8</f>
        <v>8.6116504854368933E-2</v>
      </c>
      <c r="D11" s="19">
        <f t="shared" si="2"/>
        <v>9.9626865671641793E-2</v>
      </c>
      <c r="E11" s="19">
        <f t="shared" si="2"/>
        <v>0.18798319327731092</v>
      </c>
      <c r="F11" s="19">
        <f t="shared" si="2"/>
        <v>0.13557522123893806</v>
      </c>
      <c r="G11" s="20">
        <f t="shared" si="2"/>
        <v>8.7732558139534886E-2</v>
      </c>
      <c r="H11" s="20">
        <f t="shared" si="2"/>
        <v>0.12376470588235294</v>
      </c>
      <c r="I11" s="20">
        <f t="shared" si="2"/>
        <v>0.18487179487179486</v>
      </c>
      <c r="J11" s="20">
        <f t="shared" si="2"/>
        <v>0.1408888888888889</v>
      </c>
      <c r="K11" s="20">
        <f t="shared" si="2"/>
        <v>8.9117647058823524E-2</v>
      </c>
      <c r="L11" s="20">
        <f t="shared" si="2"/>
        <v>0.13005235602094239</v>
      </c>
      <c r="M11" s="20">
        <f t="shared" si="2"/>
        <v>0.18562841530054644</v>
      </c>
      <c r="N11" s="20">
        <f t="shared" si="2"/>
        <v>0.14309677419354838</v>
      </c>
      <c r="O11" s="20">
        <f t="shared" si="2"/>
        <v>9.3537117903930128E-2</v>
      </c>
      <c r="P11" s="20">
        <f t="shared" si="2"/>
        <v>0.12962264150943395</v>
      </c>
      <c r="Q11" s="20">
        <f t="shared" si="2"/>
        <v>0.18567164179104478</v>
      </c>
      <c r="R11" s="20">
        <f t="shared" si="2"/>
        <v>0.1409090909090909</v>
      </c>
      <c r="S11" s="20">
        <f t="shared" si="2"/>
        <v>9.2734693877551025E-2</v>
      </c>
      <c r="T11" s="20">
        <f t="shared" si="2"/>
        <v>0.13174468085106383</v>
      </c>
      <c r="U11" s="20">
        <f t="shared" si="2"/>
        <v>0.17882096069868997</v>
      </c>
      <c r="V11" s="20">
        <f t="shared" si="2"/>
        <v>0.13617647058823529</v>
      </c>
      <c r="W11" s="20">
        <f t="shared" si="2"/>
        <v>9.1712328767123291E-2</v>
      </c>
      <c r="X11" s="20">
        <f t="shared" si="2"/>
        <v>0.13264705882352942</v>
      </c>
      <c r="Z11" s="20">
        <f t="shared" ref="Z11:AE11" si="3">Z10/Z8</f>
        <v>0.12773987206823029</v>
      </c>
      <c r="AA11" s="20">
        <f t="shared" si="3"/>
        <v>0.13268562401263823</v>
      </c>
      <c r="AB11" s="20">
        <f t="shared" si="3"/>
        <v>0.13529331514324694</v>
      </c>
      <c r="AC11" s="20">
        <f t="shared" si="3"/>
        <v>0.13572127139364304</v>
      </c>
      <c r="AD11" s="20">
        <f t="shared" si="3"/>
        <v>0.13407447973713035</v>
      </c>
      <c r="AE11" s="21">
        <f t="shared" si="3"/>
        <v>0.13198595787362086</v>
      </c>
      <c r="AF11" s="2" t="s">
        <v>43</v>
      </c>
    </row>
    <row r="12" spans="1:32" x14ac:dyDescent="0.3">
      <c r="A12" t="s">
        <v>44</v>
      </c>
      <c r="B12" s="2" t="s">
        <v>39</v>
      </c>
      <c r="C12" s="16">
        <f t="shared" ref="C12:X12" si="4">C10/C7</f>
        <v>13.773291925465838</v>
      </c>
      <c r="D12" s="16">
        <f t="shared" si="4"/>
        <v>16.064981949458485</v>
      </c>
      <c r="E12" s="16">
        <f t="shared" si="4"/>
        <v>28.067754077791719</v>
      </c>
      <c r="F12" s="16">
        <f t="shared" si="4"/>
        <v>20.871934604904631</v>
      </c>
      <c r="G12" s="17">
        <f t="shared" si="4"/>
        <v>14.779627815866798</v>
      </c>
      <c r="H12" s="17">
        <f t="shared" si="4"/>
        <v>20.289296046287365</v>
      </c>
      <c r="I12" s="17">
        <f t="shared" si="4"/>
        <v>28.926780341023068</v>
      </c>
      <c r="J12" s="17">
        <f t="shared" si="4"/>
        <v>21.564625850340136</v>
      </c>
      <c r="K12" s="17">
        <f t="shared" si="4"/>
        <v>15.012386457473163</v>
      </c>
      <c r="L12" s="17">
        <f t="shared" si="4"/>
        <v>21.58123370981755</v>
      </c>
      <c r="M12" s="17">
        <f t="shared" si="4"/>
        <v>30.008833922261484</v>
      </c>
      <c r="N12" s="17">
        <f t="shared" si="4"/>
        <v>22.449392712550608</v>
      </c>
      <c r="O12" s="17">
        <f t="shared" si="4"/>
        <v>16.153846153846153</v>
      </c>
      <c r="P12" s="17">
        <f t="shared" si="4"/>
        <v>21.966426858513191</v>
      </c>
      <c r="Q12" s="17">
        <f t="shared" si="4"/>
        <v>30.390879478827362</v>
      </c>
      <c r="R12" s="17">
        <f t="shared" si="4"/>
        <v>22.342342342342342</v>
      </c>
      <c r="S12" s="17">
        <f t="shared" si="4"/>
        <v>15.877009084556255</v>
      </c>
      <c r="T12" s="17">
        <f t="shared" si="4"/>
        <v>23.035714285714285</v>
      </c>
      <c r="U12" s="17">
        <f t="shared" si="4"/>
        <v>30.651197604790422</v>
      </c>
      <c r="V12" s="17">
        <f t="shared" si="4"/>
        <v>22.789171452009843</v>
      </c>
      <c r="W12" s="17">
        <f t="shared" si="4"/>
        <v>17.144686299615877</v>
      </c>
      <c r="X12" s="17">
        <f t="shared" si="4"/>
        <v>24.329062710721509</v>
      </c>
      <c r="Z12" s="17">
        <f t="shared" ref="Z12:AE12" si="5">Z10/Z7</f>
        <v>19.930139720558881</v>
      </c>
      <c r="AA12" s="17">
        <f t="shared" si="5"/>
        <v>21.333502667005334</v>
      </c>
      <c r="AB12" s="17">
        <f t="shared" si="5"/>
        <v>22.126282909415441</v>
      </c>
      <c r="AC12" s="17">
        <f t="shared" si="5"/>
        <v>22.587995930824007</v>
      </c>
      <c r="AD12" s="17">
        <f t="shared" si="5"/>
        <v>22.966228893058162</v>
      </c>
      <c r="AE12" s="18">
        <f t="shared" si="5"/>
        <v>23.498214285714287</v>
      </c>
    </row>
    <row r="14" spans="1:32" x14ac:dyDescent="0.3">
      <c r="A14" s="6" t="s">
        <v>45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spans="1:32" x14ac:dyDescent="0.3">
      <c r="A15" t="s">
        <v>46</v>
      </c>
      <c r="B15" s="2" t="s">
        <v>42</v>
      </c>
      <c r="G15" s="20">
        <f t="shared" ref="G15:P18" si="6">G7/C7-1</f>
        <v>0.58540372670807428</v>
      </c>
      <c r="H15" s="20">
        <f t="shared" si="6"/>
        <v>0.24789410348977148</v>
      </c>
      <c r="I15" s="20">
        <f t="shared" si="6"/>
        <v>0.25094102885821834</v>
      </c>
      <c r="J15" s="20">
        <f t="shared" si="6"/>
        <v>0.20163487738419605</v>
      </c>
      <c r="K15" s="20">
        <f t="shared" si="6"/>
        <v>0.18609206660137123</v>
      </c>
      <c r="L15" s="20">
        <f t="shared" si="6"/>
        <v>0.10993249758919954</v>
      </c>
      <c r="M15" s="20">
        <f t="shared" si="6"/>
        <v>0.13540621865596791</v>
      </c>
      <c r="N15" s="20">
        <f t="shared" si="6"/>
        <v>0.1201814058956916</v>
      </c>
      <c r="O15" s="20">
        <f t="shared" si="6"/>
        <v>9.4962840627580425E-2</v>
      </c>
      <c r="P15" s="20">
        <f t="shared" si="6"/>
        <v>8.6880973066898459E-2</v>
      </c>
      <c r="Q15" s="20">
        <f t="shared" ref="Q15:Z18" si="7">Q7/M7-1</f>
        <v>8.4805653710247286E-2</v>
      </c>
      <c r="R15" s="20">
        <f t="shared" si="7"/>
        <v>0.12348178137651833</v>
      </c>
      <c r="S15" s="20">
        <f t="shared" si="7"/>
        <v>7.9185520361990891E-2</v>
      </c>
      <c r="T15" s="20">
        <f t="shared" si="7"/>
        <v>7.4340527577937854E-2</v>
      </c>
      <c r="U15" s="20">
        <f t="shared" si="7"/>
        <v>8.7947882736156391E-2</v>
      </c>
      <c r="V15" s="20">
        <f t="shared" si="7"/>
        <v>9.8198198198198305E-2</v>
      </c>
      <c r="W15" s="20">
        <f t="shared" si="7"/>
        <v>9.1544374563242492E-2</v>
      </c>
      <c r="X15" s="20">
        <f t="shared" si="7"/>
        <v>0.10342261904761907</v>
      </c>
      <c r="AA15" s="20">
        <f t="shared" ref="AA15:AD18" si="8">AA7/Z7-1</f>
        <v>0.30971390552228861</v>
      </c>
      <c r="AB15" s="20">
        <f t="shared" si="8"/>
        <v>0.13843027686055365</v>
      </c>
      <c r="AC15" s="20">
        <f t="shared" si="8"/>
        <v>9.6608656849620722E-2</v>
      </c>
      <c r="AD15" s="20">
        <f t="shared" si="8"/>
        <v>8.4435401831129298E-2</v>
      </c>
    </row>
    <row r="16" spans="1:32" x14ac:dyDescent="0.3">
      <c r="A16" t="s">
        <v>47</v>
      </c>
      <c r="B16" s="2" t="s">
        <v>42</v>
      </c>
      <c r="G16" s="20">
        <f t="shared" si="6"/>
        <v>0.66990291262135915</v>
      </c>
      <c r="H16" s="20">
        <f t="shared" si="6"/>
        <v>0.26865671641791056</v>
      </c>
      <c r="I16" s="20">
        <f t="shared" si="6"/>
        <v>0.31092436974789917</v>
      </c>
      <c r="J16" s="20">
        <f t="shared" si="6"/>
        <v>0.19469026548672574</v>
      </c>
      <c r="K16" s="20">
        <f t="shared" si="6"/>
        <v>0.18604651162790709</v>
      </c>
      <c r="L16" s="20">
        <f t="shared" si="6"/>
        <v>0.12352941176470589</v>
      </c>
      <c r="M16" s="20">
        <f t="shared" si="6"/>
        <v>0.17307692307692313</v>
      </c>
      <c r="N16" s="20">
        <f t="shared" si="6"/>
        <v>0.14814814814814814</v>
      </c>
      <c r="O16" s="20">
        <f t="shared" si="6"/>
        <v>0.12254901960784315</v>
      </c>
      <c r="P16" s="20">
        <f t="shared" si="6"/>
        <v>0.10994764397905765</v>
      </c>
      <c r="Q16" s="20">
        <f t="shared" si="7"/>
        <v>9.8360655737705027E-2</v>
      </c>
      <c r="R16" s="20">
        <f t="shared" si="7"/>
        <v>0.13548387096774195</v>
      </c>
      <c r="S16" s="20">
        <f t="shared" si="7"/>
        <v>6.9868995633187714E-2</v>
      </c>
      <c r="T16" s="20">
        <f t="shared" si="7"/>
        <v>0.10849056603773577</v>
      </c>
      <c r="U16" s="20">
        <f t="shared" si="7"/>
        <v>0.13930348258706471</v>
      </c>
      <c r="V16" s="20">
        <f t="shared" si="7"/>
        <v>0.15909090909090917</v>
      </c>
      <c r="W16" s="20">
        <f t="shared" si="7"/>
        <v>0.19183673469387763</v>
      </c>
      <c r="X16" s="20">
        <f t="shared" si="7"/>
        <v>0.15744680851063819</v>
      </c>
      <c r="AA16" s="20">
        <f t="shared" si="8"/>
        <v>0.34968017057569289</v>
      </c>
      <c r="AB16" s="20">
        <f t="shared" si="8"/>
        <v>0.15797788309636651</v>
      </c>
      <c r="AC16" s="20">
        <f t="shared" si="8"/>
        <v>0.1159618008185539</v>
      </c>
      <c r="AD16" s="20">
        <f t="shared" si="8"/>
        <v>0.11613691931540338</v>
      </c>
    </row>
    <row r="17" spans="1:32" x14ac:dyDescent="0.3">
      <c r="A17" t="s">
        <v>48</v>
      </c>
      <c r="B17" s="2" t="s">
        <v>42</v>
      </c>
      <c r="G17" s="20">
        <f t="shared" si="6"/>
        <v>5.3298213249907578E-2</v>
      </c>
      <c r="H17" s="20">
        <f t="shared" si="6"/>
        <v>1.6638120871054651E-2</v>
      </c>
      <c r="I17" s="20">
        <f t="shared" si="6"/>
        <v>4.7950574412312541E-2</v>
      </c>
      <c r="J17" s="20">
        <f t="shared" si="6"/>
        <v>-5.7793028715911188E-3</v>
      </c>
      <c r="K17" s="20">
        <f t="shared" si="6"/>
        <v>-3.8407620071900794E-5</v>
      </c>
      <c r="L17" s="20">
        <f t="shared" si="6"/>
        <v>1.2250217202432578E-2</v>
      </c>
      <c r="M17" s="20">
        <f t="shared" si="6"/>
        <v>3.3178173416689383E-2</v>
      </c>
      <c r="N17" s="20">
        <f t="shared" si="6"/>
        <v>2.4966261808367252E-2</v>
      </c>
      <c r="O17" s="20">
        <f t="shared" si="6"/>
        <v>2.5193712477449504E-2</v>
      </c>
      <c r="P17" s="20">
        <f t="shared" si="6"/>
        <v>2.1222812326055385E-2</v>
      </c>
      <c r="Q17" s="20">
        <f t="shared" si="7"/>
        <v>1.2495327601858452E-2</v>
      </c>
      <c r="R17" s="20">
        <f t="shared" si="7"/>
        <v>1.0682941005521585E-2</v>
      </c>
      <c r="S17" s="20">
        <f t="shared" si="7"/>
        <v>-8.6329222853899212E-3</v>
      </c>
      <c r="T17" s="20">
        <f t="shared" si="7"/>
        <v>3.1786977762803259E-2</v>
      </c>
      <c r="U17" s="20">
        <f t="shared" si="7"/>
        <v>4.720409926415825E-2</v>
      </c>
      <c r="V17" s="20">
        <f t="shared" si="7"/>
        <v>5.5447833544634229E-2</v>
      </c>
      <c r="W17" s="20">
        <f t="shared" si="7"/>
        <v>9.1881157072303932E-2</v>
      </c>
      <c r="X17" s="20">
        <f t="shared" si="7"/>
        <v>4.8960560106741546E-2</v>
      </c>
      <c r="AA17" s="20">
        <f t="shared" si="8"/>
        <v>3.0515263589162567E-2</v>
      </c>
      <c r="AB17" s="20">
        <f t="shared" si="8"/>
        <v>1.7170666164746828E-2</v>
      </c>
      <c r="AC17" s="20">
        <f t="shared" si="8"/>
        <v>1.7648177267295839E-2</v>
      </c>
      <c r="AD17" s="20">
        <f t="shared" si="8"/>
        <v>2.9233200456886932E-2</v>
      </c>
    </row>
    <row r="18" spans="1:32" x14ac:dyDescent="0.3">
      <c r="A18" t="s">
        <v>49</v>
      </c>
      <c r="B18" s="2" t="s">
        <v>42</v>
      </c>
      <c r="G18" s="20">
        <f t="shared" si="6"/>
        <v>0.70124013528748597</v>
      </c>
      <c r="H18" s="20">
        <f t="shared" si="6"/>
        <v>0.57602996254681638</v>
      </c>
      <c r="I18" s="20">
        <f t="shared" si="6"/>
        <v>0.28922664282521238</v>
      </c>
      <c r="J18" s="20">
        <f t="shared" si="6"/>
        <v>0.24151436031331586</v>
      </c>
      <c r="K18" s="20">
        <f t="shared" si="6"/>
        <v>0.20477137176938376</v>
      </c>
      <c r="L18" s="20">
        <f t="shared" si="6"/>
        <v>0.18060836501901134</v>
      </c>
      <c r="M18" s="20">
        <f t="shared" si="6"/>
        <v>0.17787794729542306</v>
      </c>
      <c r="N18" s="20">
        <f t="shared" si="6"/>
        <v>0.16614090431125139</v>
      </c>
      <c r="O18" s="20">
        <f t="shared" si="6"/>
        <v>0.17821782178217815</v>
      </c>
      <c r="P18" s="20">
        <f t="shared" si="6"/>
        <v>0.106280193236715</v>
      </c>
      <c r="Q18" s="20">
        <f t="shared" si="7"/>
        <v>9.8616426258463452E-2</v>
      </c>
      <c r="R18" s="20">
        <f t="shared" si="7"/>
        <v>0.11812443642921555</v>
      </c>
      <c r="S18" s="20">
        <f t="shared" si="7"/>
        <v>6.0690943043884227E-2</v>
      </c>
      <c r="T18" s="20">
        <f t="shared" si="7"/>
        <v>0.1266375545851528</v>
      </c>
      <c r="U18" s="20">
        <f t="shared" si="7"/>
        <v>9.726688102893899E-2</v>
      </c>
      <c r="V18" s="20">
        <f t="shared" si="7"/>
        <v>0.12016129032258061</v>
      </c>
      <c r="W18" s="20">
        <f t="shared" si="7"/>
        <v>0.17869718309859151</v>
      </c>
      <c r="X18" s="20">
        <f t="shared" si="7"/>
        <v>0.1653746770025839</v>
      </c>
      <c r="AA18" s="20">
        <f t="shared" si="8"/>
        <v>0.40193623768986808</v>
      </c>
      <c r="AB18" s="20">
        <f t="shared" si="8"/>
        <v>0.18073580188117644</v>
      </c>
      <c r="AC18" s="20">
        <f t="shared" si="8"/>
        <v>0.11949178178884745</v>
      </c>
      <c r="AD18" s="20">
        <f t="shared" si="8"/>
        <v>0.10259412718429117</v>
      </c>
    </row>
    <row r="19" spans="1:32" x14ac:dyDescent="0.3">
      <c r="A19" t="s">
        <v>50</v>
      </c>
      <c r="B19" s="2" t="s">
        <v>51</v>
      </c>
      <c r="G19" s="22">
        <f t="shared" ref="G19:X19" si="9">(G11-C11)*100</f>
        <v>0.16160532851659526</v>
      </c>
      <c r="H19" s="22">
        <f t="shared" si="9"/>
        <v>2.4137840210711152</v>
      </c>
      <c r="I19" s="22">
        <f t="shared" si="9"/>
        <v>-0.31113984055160526</v>
      </c>
      <c r="J19" s="22">
        <f t="shared" si="9"/>
        <v>0.53136676499508373</v>
      </c>
      <c r="K19" s="22">
        <f t="shared" si="9"/>
        <v>0.13850889192886379</v>
      </c>
      <c r="L19" s="22">
        <f t="shared" si="9"/>
        <v>0.62876501385894512</v>
      </c>
      <c r="M19" s="22">
        <f t="shared" si="9"/>
        <v>7.5662042875157542E-2</v>
      </c>
      <c r="N19" s="22">
        <f t="shared" si="9"/>
        <v>0.22078853046594848</v>
      </c>
      <c r="O19" s="22">
        <f t="shared" si="9"/>
        <v>0.44194708451066045</v>
      </c>
      <c r="P19" s="22">
        <f t="shared" si="9"/>
        <v>-4.2971451150844442E-2</v>
      </c>
      <c r="Q19" s="22">
        <f t="shared" si="9"/>
        <v>4.3226490498343706E-3</v>
      </c>
      <c r="R19" s="22">
        <f t="shared" si="9"/>
        <v>-0.21876832844574812</v>
      </c>
      <c r="S19" s="22">
        <f t="shared" si="9"/>
        <v>-8.0242402637910326E-2</v>
      </c>
      <c r="T19" s="22">
        <f t="shared" si="9"/>
        <v>0.21220393416298833</v>
      </c>
      <c r="U19" s="22">
        <f t="shared" si="9"/>
        <v>-0.68506810923548156</v>
      </c>
      <c r="V19" s="22">
        <f t="shared" si="9"/>
        <v>-0.47326203208556128</v>
      </c>
      <c r="W19" s="22">
        <f t="shared" si="9"/>
        <v>-0.10223651104277337</v>
      </c>
      <c r="X19" s="22">
        <f t="shared" si="9"/>
        <v>9.0237797246559004E-2</v>
      </c>
      <c r="AA19" s="22">
        <f>(AA11-Z11)*100</f>
        <v>0.4945751944407939</v>
      </c>
      <c r="AB19" s="22">
        <f>(AB11-AA11)*100</f>
        <v>0.26076911306087136</v>
      </c>
      <c r="AC19" s="22">
        <f>(AC11-AB11)*100</f>
        <v>4.2795625039609986E-2</v>
      </c>
      <c r="AD19" s="22">
        <f>(AD11-AC11)*100</f>
        <v>-0.16467916565126861</v>
      </c>
    </row>
    <row r="20" spans="1:32" x14ac:dyDescent="0.3">
      <c r="A20" t="s">
        <v>52</v>
      </c>
      <c r="B20" s="2" t="s">
        <v>42</v>
      </c>
      <c r="G20" s="20">
        <f t="shared" ref="G20:X20" si="10">G12/C12-1</f>
        <v>7.3064296890441804E-2</v>
      </c>
      <c r="H20" s="20">
        <f t="shared" si="10"/>
        <v>0.26295168647676403</v>
      </c>
      <c r="I20" s="20">
        <f t="shared" si="10"/>
        <v>3.0605450683745428E-2</v>
      </c>
      <c r="J20" s="20">
        <f t="shared" si="10"/>
        <v>3.3187687607680205E-2</v>
      </c>
      <c r="K20" s="20">
        <f t="shared" si="10"/>
        <v>1.5748613192849481E-2</v>
      </c>
      <c r="L20" s="20">
        <f t="shared" si="10"/>
        <v>6.3675824956311855E-2</v>
      </c>
      <c r="M20" s="20">
        <f t="shared" si="10"/>
        <v>3.7406637326445891E-2</v>
      </c>
      <c r="N20" s="20">
        <f t="shared" si="10"/>
        <v>4.102862105518601E-2</v>
      </c>
      <c r="O20" s="20">
        <f t="shared" si="10"/>
        <v>7.6034526529576096E-2</v>
      </c>
      <c r="P20" s="20">
        <f t="shared" si="10"/>
        <v>1.784852311387608E-2</v>
      </c>
      <c r="Q20" s="20">
        <f t="shared" si="10"/>
        <v>1.2731103033045921E-2</v>
      </c>
      <c r="R20" s="20">
        <f t="shared" si="10"/>
        <v>-4.7685196467884827E-3</v>
      </c>
      <c r="S20" s="20">
        <f t="shared" si="10"/>
        <v>-1.7137532860803217E-2</v>
      </c>
      <c r="T20" s="20">
        <f t="shared" si="10"/>
        <v>4.8678259513412314E-2</v>
      </c>
      <c r="U20" s="20">
        <f t="shared" si="10"/>
        <v>8.5656660954618324E-3</v>
      </c>
      <c r="V20" s="20">
        <f t="shared" si="10"/>
        <v>1.99992061181824E-2</v>
      </c>
      <c r="W20" s="20">
        <f t="shared" si="10"/>
        <v>7.9843578114010549E-2</v>
      </c>
      <c r="X20" s="20">
        <f t="shared" si="10"/>
        <v>5.6145357984809685E-2</v>
      </c>
      <c r="AA20" s="20">
        <f>AA12/Z12-1</f>
        <v>7.0414104774128461E-2</v>
      </c>
      <c r="AB20" s="20">
        <f>AB12/AA12-1</f>
        <v>3.7161278894732641E-2</v>
      </c>
      <c r="AC20" s="20">
        <f>AC12/AB12-1</f>
        <v>2.0867175173471697E-2</v>
      </c>
      <c r="AD20" s="20">
        <f>AD12/AC12-1</f>
        <v>1.6744865874444903E-2</v>
      </c>
    </row>
    <row r="22" spans="1:32" x14ac:dyDescent="0.3">
      <c r="A22" s="6" t="s">
        <v>53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spans="1:32" x14ac:dyDescent="0.3">
      <c r="A23" t="s">
        <v>54</v>
      </c>
      <c r="B23" s="2" t="s">
        <v>42</v>
      </c>
      <c r="C23" s="23">
        <v>0.03</v>
      </c>
      <c r="E23" s="23">
        <v>0.64</v>
      </c>
      <c r="F23" s="23">
        <v>0.79</v>
      </c>
      <c r="G23" s="24">
        <v>0.74</v>
      </c>
      <c r="H23" s="24">
        <v>0.64</v>
      </c>
      <c r="I23" s="24">
        <v>0.36</v>
      </c>
      <c r="J23" s="24">
        <v>0.31</v>
      </c>
      <c r="K23" s="24">
        <v>0.24</v>
      </c>
      <c r="L23" s="24">
        <v>0.19</v>
      </c>
      <c r="M23" s="24">
        <v>0.14000000000000001</v>
      </c>
      <c r="N23" s="24">
        <v>0.14000000000000001</v>
      </c>
      <c r="O23" s="24">
        <v>0.18</v>
      </c>
      <c r="P23" s="24">
        <v>0.11</v>
      </c>
      <c r="Q23" s="24">
        <v>0.1</v>
      </c>
      <c r="R23" s="24">
        <v>0.12</v>
      </c>
      <c r="S23" s="24">
        <v>0.08</v>
      </c>
      <c r="T23" s="24">
        <v>0.13</v>
      </c>
      <c r="U23" s="24">
        <v>0.1</v>
      </c>
      <c r="V23" s="24">
        <v>0.11</v>
      </c>
      <c r="W23" s="24">
        <v>0.15</v>
      </c>
      <c r="X23" s="24">
        <v>0.13</v>
      </c>
      <c r="AF23" s="2" t="s">
        <v>55</v>
      </c>
    </row>
    <row r="24" spans="1:32" x14ac:dyDescent="0.3">
      <c r="A24" t="s">
        <v>56</v>
      </c>
      <c r="B24" s="2" t="s">
        <v>51</v>
      </c>
      <c r="G24" s="22">
        <f t="shared" ref="G24:X24" si="11">IF(G23="","",ROUND(G18*100,0)-G23*100)</f>
        <v>-4</v>
      </c>
      <c r="H24" s="22">
        <f t="shared" si="11"/>
        <v>-6</v>
      </c>
      <c r="I24" s="22">
        <f t="shared" si="11"/>
        <v>-7</v>
      </c>
      <c r="J24" s="22">
        <f t="shared" si="11"/>
        <v>-7</v>
      </c>
      <c r="K24" s="22">
        <f t="shared" si="11"/>
        <v>-4</v>
      </c>
      <c r="L24" s="22">
        <f t="shared" si="11"/>
        <v>-1</v>
      </c>
      <c r="M24" s="22">
        <f t="shared" si="11"/>
        <v>3.9999999999999982</v>
      </c>
      <c r="N24" s="22">
        <f t="shared" si="11"/>
        <v>2.9999999999999982</v>
      </c>
      <c r="O24" s="22">
        <f t="shared" si="11"/>
        <v>0</v>
      </c>
      <c r="P24" s="22">
        <f t="shared" si="11"/>
        <v>0</v>
      </c>
      <c r="Q24" s="22">
        <f t="shared" si="11"/>
        <v>0</v>
      </c>
      <c r="R24" s="22">
        <f t="shared" si="11"/>
        <v>0</v>
      </c>
      <c r="S24" s="22">
        <f t="shared" si="11"/>
        <v>-2</v>
      </c>
      <c r="T24" s="22">
        <f t="shared" si="11"/>
        <v>0</v>
      </c>
      <c r="U24" s="22">
        <f t="shared" si="11"/>
        <v>0</v>
      </c>
      <c r="V24" s="22">
        <f t="shared" si="11"/>
        <v>1</v>
      </c>
      <c r="W24" s="22">
        <f t="shared" si="11"/>
        <v>3</v>
      </c>
      <c r="X24" s="22">
        <f t="shared" si="11"/>
        <v>4</v>
      </c>
      <c r="AF24" s="2" t="s">
        <v>57</v>
      </c>
    </row>
    <row r="25" spans="1:32" x14ac:dyDescent="0.3">
      <c r="A25" t="s">
        <v>58</v>
      </c>
      <c r="B25" s="2" t="s">
        <v>42</v>
      </c>
      <c r="H25" s="24">
        <v>7.0000000000000007E-2</v>
      </c>
      <c r="I25" s="24">
        <v>0.12</v>
      </c>
      <c r="J25" s="24">
        <v>0.05</v>
      </c>
      <c r="K25" s="24">
        <v>0.03</v>
      </c>
      <c r="L25" s="24">
        <v>0.02</v>
      </c>
      <c r="M25" s="24">
        <v>5.0000000000000001E-3</v>
      </c>
      <c r="N25" s="24">
        <v>5.0000000000000001E-3</v>
      </c>
      <c r="O25" s="24">
        <v>0.02</v>
      </c>
      <c r="P25" s="24">
        <v>0.03</v>
      </c>
      <c r="Q25" s="24">
        <v>0.02</v>
      </c>
      <c r="R25" s="24">
        <v>0.02</v>
      </c>
      <c r="S25" s="24">
        <v>0.01</v>
      </c>
      <c r="T25" s="24">
        <v>0.01</v>
      </c>
      <c r="U25" s="24">
        <v>0.02</v>
      </c>
      <c r="V25" s="24">
        <v>0.03</v>
      </c>
      <c r="W25" s="24">
        <v>0.04</v>
      </c>
      <c r="X25" s="24">
        <v>0.04</v>
      </c>
      <c r="AF25" s="2" t="s">
        <v>59</v>
      </c>
    </row>
    <row r="26" spans="1:32" x14ac:dyDescent="0.3">
      <c r="A26" t="s">
        <v>60</v>
      </c>
      <c r="B26" s="2" t="s">
        <v>51</v>
      </c>
      <c r="G26" s="22" t="str">
        <f t="shared" ref="G26:X26" si="12">IF(G25="","",(G17-G25)*100)</f>
        <v/>
      </c>
      <c r="H26" s="22">
        <f t="shared" si="12"/>
        <v>-5.3361879128945358</v>
      </c>
      <c r="I26" s="22">
        <f t="shared" si="12"/>
        <v>-7.2049425587687459</v>
      </c>
      <c r="J26" s="22">
        <f t="shared" si="12"/>
        <v>-5.5779302871591119</v>
      </c>
      <c r="K26" s="22">
        <f t="shared" si="12"/>
        <v>-3.0038407620071901</v>
      </c>
      <c r="L26" s="22">
        <f t="shared" si="12"/>
        <v>-0.77497827975674216</v>
      </c>
      <c r="M26" s="22">
        <f t="shared" si="12"/>
        <v>2.8178173416689383</v>
      </c>
      <c r="N26" s="22">
        <f t="shared" si="12"/>
        <v>1.9966261808367252</v>
      </c>
      <c r="O26" s="22">
        <f t="shared" si="12"/>
        <v>0.51937124774495036</v>
      </c>
      <c r="P26" s="22">
        <f t="shared" si="12"/>
        <v>-0.87771876739446142</v>
      </c>
      <c r="Q26" s="22">
        <f t="shared" si="12"/>
        <v>-0.75046723981415475</v>
      </c>
      <c r="R26" s="22">
        <f t="shared" si="12"/>
        <v>-0.93170589944784155</v>
      </c>
      <c r="S26" s="22">
        <f t="shared" si="12"/>
        <v>-1.8632922285389923</v>
      </c>
      <c r="T26" s="22">
        <f t="shared" si="12"/>
        <v>2.1786977762803259</v>
      </c>
      <c r="U26" s="22">
        <f t="shared" si="12"/>
        <v>2.720409926415825</v>
      </c>
      <c r="V26" s="22">
        <f t="shared" si="12"/>
        <v>2.5447833544634229</v>
      </c>
      <c r="W26" s="22">
        <f t="shared" si="12"/>
        <v>5.1881157072303932</v>
      </c>
      <c r="X26" s="22">
        <f t="shared" si="12"/>
        <v>0.89605601067415452</v>
      </c>
    </row>
    <row r="28" spans="1:32" x14ac:dyDescent="0.3">
      <c r="A28" s="6" t="s">
        <v>61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spans="1:32" x14ac:dyDescent="0.3">
      <c r="A29" t="s">
        <v>62</v>
      </c>
      <c r="B29" s="2" t="s">
        <v>37</v>
      </c>
      <c r="G29" s="14">
        <f t="shared" ref="G29:X29" si="13">C10</f>
        <v>887</v>
      </c>
      <c r="H29" s="14">
        <f t="shared" si="13"/>
        <v>1335</v>
      </c>
      <c r="I29" s="14">
        <f t="shared" si="13"/>
        <v>2237</v>
      </c>
      <c r="J29" s="14">
        <f t="shared" si="13"/>
        <v>1532</v>
      </c>
      <c r="K29" s="14">
        <f t="shared" si="13"/>
        <v>1509</v>
      </c>
      <c r="L29" s="14">
        <f t="shared" si="13"/>
        <v>2104</v>
      </c>
      <c r="M29" s="14">
        <f t="shared" si="13"/>
        <v>2884</v>
      </c>
      <c r="N29" s="14">
        <f t="shared" si="13"/>
        <v>1902</v>
      </c>
      <c r="O29" s="14">
        <f t="shared" si="13"/>
        <v>1818</v>
      </c>
      <c r="P29" s="14">
        <f t="shared" si="13"/>
        <v>2484</v>
      </c>
      <c r="Q29" s="14">
        <f t="shared" si="13"/>
        <v>3397</v>
      </c>
      <c r="R29" s="14">
        <f t="shared" si="13"/>
        <v>2218</v>
      </c>
      <c r="S29" s="14">
        <f t="shared" si="13"/>
        <v>2142</v>
      </c>
      <c r="T29" s="14">
        <f t="shared" si="13"/>
        <v>2748</v>
      </c>
      <c r="U29" s="14">
        <f t="shared" si="13"/>
        <v>3732</v>
      </c>
      <c r="V29" s="14">
        <f t="shared" si="13"/>
        <v>2480</v>
      </c>
      <c r="W29" s="14">
        <f t="shared" si="13"/>
        <v>2272</v>
      </c>
      <c r="X29" s="14">
        <f t="shared" si="13"/>
        <v>3096</v>
      </c>
      <c r="AA29" s="14">
        <f>Z10</f>
        <v>5991</v>
      </c>
      <c r="AB29" s="14">
        <f>AA10</f>
        <v>8399</v>
      </c>
      <c r="AC29" s="14">
        <f>AB10</f>
        <v>9917</v>
      </c>
      <c r="AD29" s="14">
        <f>AC10</f>
        <v>11102</v>
      </c>
    </row>
    <row r="30" spans="1:32" x14ac:dyDescent="0.3">
      <c r="A30" t="s">
        <v>63</v>
      </c>
      <c r="B30" s="2"/>
      <c r="G30" s="25">
        <f t="shared" ref="G30:X30" si="14">LN(G10/C10)</f>
        <v>0.53135747645826947</v>
      </c>
      <c r="H30" s="25">
        <f t="shared" si="14"/>
        <v>0.45490900302325049</v>
      </c>
      <c r="I30" s="25">
        <f t="shared" si="14"/>
        <v>0.25404253691471013</v>
      </c>
      <c r="J30" s="25">
        <f t="shared" si="14"/>
        <v>0.21633189280479895</v>
      </c>
      <c r="K30" s="25">
        <f t="shared" si="14"/>
        <v>0.18628981596957531</v>
      </c>
      <c r="L30" s="25">
        <f t="shared" si="14"/>
        <v>0.16602986919576884</v>
      </c>
      <c r="M30" s="25">
        <f t="shared" si="14"/>
        <v>0.16371446975574425</v>
      </c>
      <c r="N30" s="25">
        <f t="shared" si="14"/>
        <v>0.1536999248049768</v>
      </c>
      <c r="O30" s="25">
        <f t="shared" si="14"/>
        <v>0.16400297627026988</v>
      </c>
      <c r="P30" s="25">
        <f t="shared" si="14"/>
        <v>0.1010032102888706</v>
      </c>
      <c r="Q30" s="25">
        <f t="shared" si="14"/>
        <v>9.4051593806650624E-2</v>
      </c>
      <c r="R30" s="25">
        <f t="shared" si="14"/>
        <v>0.11165267124871556</v>
      </c>
      <c r="S30" s="25">
        <f t="shared" si="14"/>
        <v>5.8920528833347897E-2</v>
      </c>
      <c r="T30" s="25">
        <f t="shared" si="14"/>
        <v>0.11923758136737775</v>
      </c>
      <c r="U30" s="25">
        <f t="shared" si="14"/>
        <v>9.2822434319935435E-2</v>
      </c>
      <c r="V30" s="25">
        <f t="shared" si="14"/>
        <v>0.11347268415526118</v>
      </c>
      <c r="W30" s="25">
        <f t="shared" si="14"/>
        <v>0.1644097464100758</v>
      </c>
      <c r="X30" s="25">
        <f t="shared" si="14"/>
        <v>0.15304264647289648</v>
      </c>
      <c r="AA30" s="25">
        <f>LN(AA10/Z10)</f>
        <v>0.33785430804170219</v>
      </c>
      <c r="AB30" s="25">
        <f>LN(AB10/AA10)</f>
        <v>0.16613780506049805</v>
      </c>
      <c r="AC30" s="25">
        <f>LN(AC10/AB10)</f>
        <v>0.11287481606398153</v>
      </c>
      <c r="AD30" s="25">
        <f>LN(AD10/AC10)</f>
        <v>9.7665700825405918E-2</v>
      </c>
    </row>
    <row r="31" spans="1:32" x14ac:dyDescent="0.3">
      <c r="A31" t="s">
        <v>64</v>
      </c>
      <c r="B31" s="2" t="s">
        <v>51</v>
      </c>
      <c r="G31" s="22">
        <f t="shared" ref="G31:X31" si="15">LN(G7/C7)/G30*G18*100</f>
        <v>60.817600500538873</v>
      </c>
      <c r="H31" s="22">
        <f t="shared" si="15"/>
        <v>28.042114946901979</v>
      </c>
      <c r="I31" s="22">
        <f t="shared" si="15"/>
        <v>25.490500755390073</v>
      </c>
      <c r="J31" s="22">
        <f t="shared" si="15"/>
        <v>20.506495036812538</v>
      </c>
      <c r="K31" s="22">
        <f t="shared" si="15"/>
        <v>18.759525812749438</v>
      </c>
      <c r="L31" s="22">
        <f t="shared" si="15"/>
        <v>11.345734454264329</v>
      </c>
      <c r="M31" s="22">
        <f t="shared" si="15"/>
        <v>13.797685389518414</v>
      </c>
      <c r="N31" s="22">
        <f t="shared" si="15"/>
        <v>12.267694908537889</v>
      </c>
      <c r="O31" s="22">
        <f t="shared" si="15"/>
        <v>9.8583558012936745</v>
      </c>
      <c r="P31" s="22">
        <f t="shared" si="15"/>
        <v>8.7664800426587597</v>
      </c>
      <c r="Q31" s="22">
        <f t="shared" si="15"/>
        <v>8.5351673384476836</v>
      </c>
      <c r="R31" s="22">
        <f t="shared" si="15"/>
        <v>12.318142232197319</v>
      </c>
      <c r="S31" s="22">
        <f t="shared" si="15"/>
        <v>7.8496426397935037</v>
      </c>
      <c r="T31" s="22">
        <f t="shared" si="15"/>
        <v>7.6157201168536446</v>
      </c>
      <c r="U31" s="22">
        <f t="shared" si="15"/>
        <v>8.8329304557821686</v>
      </c>
      <c r="V31" s="22">
        <f t="shared" si="15"/>
        <v>9.91922285438147</v>
      </c>
      <c r="W31" s="22">
        <f t="shared" si="15"/>
        <v>9.5205552803652491</v>
      </c>
      <c r="X31" s="22">
        <f t="shared" si="15"/>
        <v>10.634715465696807</v>
      </c>
      <c r="AA31" s="22">
        <f>LN(AA7/Z7)/AA30*AA18*100</f>
        <v>32.098422155647569</v>
      </c>
      <c r="AB31" s="22">
        <f>LN(AB7/AA7)/AB30*AB18*100</f>
        <v>14.104232560342906</v>
      </c>
      <c r="AC31" s="22">
        <f>LN(AC7/AB7)/AC30*AC18*100</f>
        <v>9.7628653393450691</v>
      </c>
      <c r="AD31" s="22">
        <f>LN(AD7/AC7)/AD30*AD18*100</f>
        <v>8.5149924692795178</v>
      </c>
    </row>
    <row r="32" spans="1:32" x14ac:dyDescent="0.3">
      <c r="A32" t="s">
        <v>65</v>
      </c>
      <c r="B32" s="2" t="s">
        <v>51</v>
      </c>
      <c r="G32" s="22">
        <f t="shared" ref="G32:X32" si="16">LN(G9/C9)/G30*G18*100</f>
        <v>6.8528015387762071</v>
      </c>
      <c r="H32" s="22">
        <f t="shared" si="16"/>
        <v>2.0894726684402154</v>
      </c>
      <c r="I32" s="22">
        <f t="shared" si="16"/>
        <v>5.3323122737736401</v>
      </c>
      <c r="J32" s="22">
        <f t="shared" si="16"/>
        <v>-0.64707683947225958</v>
      </c>
      <c r="K32" s="22">
        <f t="shared" si="16"/>
        <v>-4.2218797872630408E-3</v>
      </c>
      <c r="L32" s="22">
        <f t="shared" si="16"/>
        <v>1.3244903621232147</v>
      </c>
      <c r="M32" s="22">
        <f t="shared" si="16"/>
        <v>3.5463420912031349</v>
      </c>
      <c r="N32" s="22">
        <f t="shared" si="16"/>
        <v>2.6655734032272607</v>
      </c>
      <c r="O32" s="22">
        <f t="shared" si="16"/>
        <v>2.7038176620773626</v>
      </c>
      <c r="P32" s="22">
        <f t="shared" si="16"/>
        <v>2.2097943398190401</v>
      </c>
      <c r="Q32" s="22">
        <f t="shared" si="16"/>
        <v>1.3020613369141829</v>
      </c>
      <c r="R32" s="22">
        <f t="shared" si="16"/>
        <v>1.1242216658332203</v>
      </c>
      <c r="S32" s="22">
        <f t="shared" si="16"/>
        <v>-0.89309256629895339</v>
      </c>
      <c r="T32" s="22">
        <f t="shared" si="16"/>
        <v>3.3234247914074686</v>
      </c>
      <c r="U32" s="22">
        <f t="shared" si="16"/>
        <v>4.8332313989532834</v>
      </c>
      <c r="V32" s="22">
        <f t="shared" si="16"/>
        <v>5.7146120607479105</v>
      </c>
      <c r="W32" s="22">
        <f t="shared" si="16"/>
        <v>9.5540851056123781</v>
      </c>
      <c r="X32" s="22">
        <f t="shared" si="16"/>
        <v>5.1651387852710995</v>
      </c>
      <c r="AA32" s="22">
        <f>LN(AA9/Z9)/AA30*AA18*100</f>
        <v>3.5760309039664686</v>
      </c>
      <c r="AB32" s="22">
        <f>LN(AB9/AA9)/AB30*AB18*100</f>
        <v>1.8520841195054243</v>
      </c>
      <c r="AC32" s="22">
        <f>LN(AC9/AB9)/AC30*AC18*100</f>
        <v>1.8519807629697584</v>
      </c>
      <c r="AD32" s="22">
        <f>LN(AD9/AC9)/AD30*AD18*100</f>
        <v>3.026808031059979</v>
      </c>
    </row>
    <row r="33" spans="1:32" x14ac:dyDescent="0.3">
      <c r="A33" t="s">
        <v>66</v>
      </c>
      <c r="B33" s="2" t="s">
        <v>51</v>
      </c>
      <c r="G33" s="22">
        <f t="shared" ref="G33:X33" si="17">IF(G24="","",G24)</f>
        <v>-4</v>
      </c>
      <c r="H33" s="22">
        <f t="shared" si="17"/>
        <v>-6</v>
      </c>
      <c r="I33" s="22">
        <f t="shared" si="17"/>
        <v>-7</v>
      </c>
      <c r="J33" s="22">
        <f t="shared" si="17"/>
        <v>-7</v>
      </c>
      <c r="K33" s="22">
        <f t="shared" si="17"/>
        <v>-4</v>
      </c>
      <c r="L33" s="22">
        <f t="shared" si="17"/>
        <v>-1</v>
      </c>
      <c r="M33" s="22">
        <f t="shared" si="17"/>
        <v>3.9999999999999982</v>
      </c>
      <c r="N33" s="22">
        <f t="shared" si="17"/>
        <v>2.9999999999999982</v>
      </c>
      <c r="O33" s="22">
        <f t="shared" si="17"/>
        <v>0</v>
      </c>
      <c r="P33" s="22">
        <f t="shared" si="17"/>
        <v>0</v>
      </c>
      <c r="Q33" s="22">
        <f t="shared" si="17"/>
        <v>0</v>
      </c>
      <c r="R33" s="22">
        <f t="shared" si="17"/>
        <v>0</v>
      </c>
      <c r="S33" s="22">
        <f t="shared" si="17"/>
        <v>-2</v>
      </c>
      <c r="T33" s="22">
        <f t="shared" si="17"/>
        <v>0</v>
      </c>
      <c r="U33" s="22">
        <f t="shared" si="17"/>
        <v>0</v>
      </c>
      <c r="V33" s="22">
        <f t="shared" si="17"/>
        <v>1</v>
      </c>
      <c r="W33" s="22">
        <f t="shared" si="17"/>
        <v>3</v>
      </c>
      <c r="X33" s="22">
        <f t="shared" si="17"/>
        <v>4</v>
      </c>
      <c r="AB33" s="22">
        <f>SUMPRODUCT(K24:N24,K29:N29)/AB29</f>
        <v>1.0837004405286332</v>
      </c>
      <c r="AC33" s="22">
        <f>SUMPRODUCT(O24:R24,O29:R29)/AC29</f>
        <v>0</v>
      </c>
      <c r="AD33" s="22">
        <f>SUMPRODUCT(S24:V24,S29:V29)/AD29</f>
        <v>-0.16249324446045757</v>
      </c>
      <c r="AF33" s="2" t="s">
        <v>67</v>
      </c>
    </row>
    <row r="34" spans="1:32" x14ac:dyDescent="0.3">
      <c r="A34" t="s">
        <v>68</v>
      </c>
      <c r="B34" s="2" t="s">
        <v>51</v>
      </c>
      <c r="G34" s="22">
        <f t="shared" ref="G34:X34" si="18">IF(G33="","",G32-G33)</f>
        <v>10.852801538776207</v>
      </c>
      <c r="H34" s="22">
        <f t="shared" si="18"/>
        <v>8.0894726684402158</v>
      </c>
      <c r="I34" s="22">
        <f t="shared" si="18"/>
        <v>12.33231227377364</v>
      </c>
      <c r="J34" s="22">
        <f t="shared" si="18"/>
        <v>6.3529231605277401</v>
      </c>
      <c r="K34" s="22">
        <f t="shared" si="18"/>
        <v>3.9957781202127372</v>
      </c>
      <c r="L34" s="22">
        <f t="shared" si="18"/>
        <v>2.3244903621232149</v>
      </c>
      <c r="M34" s="22">
        <f t="shared" si="18"/>
        <v>-0.4536579087968633</v>
      </c>
      <c r="N34" s="22">
        <f t="shared" si="18"/>
        <v>-0.33442659677273756</v>
      </c>
      <c r="O34" s="22">
        <f t="shared" si="18"/>
        <v>2.7038176620773626</v>
      </c>
      <c r="P34" s="22">
        <f t="shared" si="18"/>
        <v>2.2097943398190401</v>
      </c>
      <c r="Q34" s="22">
        <f t="shared" si="18"/>
        <v>1.3020613369141829</v>
      </c>
      <c r="R34" s="22">
        <f t="shared" si="18"/>
        <v>1.1242216658332203</v>
      </c>
      <c r="S34" s="22">
        <f t="shared" si="18"/>
        <v>1.1069074337010467</v>
      </c>
      <c r="T34" s="22">
        <f t="shared" si="18"/>
        <v>3.3234247914074686</v>
      </c>
      <c r="U34" s="22">
        <f t="shared" si="18"/>
        <v>4.8332313989532834</v>
      </c>
      <c r="V34" s="22">
        <f t="shared" si="18"/>
        <v>4.7146120607479105</v>
      </c>
      <c r="W34" s="22">
        <f t="shared" si="18"/>
        <v>6.5540851056123781</v>
      </c>
      <c r="X34" s="22">
        <f t="shared" si="18"/>
        <v>1.1651387852710995</v>
      </c>
      <c r="AA34" s="22" t="str">
        <f>IF(AA33="","",AA32-AA33)</f>
        <v/>
      </c>
      <c r="AB34" s="22">
        <f>IF(AB33="","",AB32-AB33)</f>
        <v>0.76838367897679105</v>
      </c>
      <c r="AC34" s="22">
        <f>IF(AC33="","",AC32-AC33)</f>
        <v>1.8519807629697584</v>
      </c>
      <c r="AD34" s="22">
        <f>IF(AD33="","",AD32-AD33)</f>
        <v>3.1893012755204366</v>
      </c>
    </row>
    <row r="35" spans="1:32" x14ac:dyDescent="0.3">
      <c r="A35" t="s">
        <v>69</v>
      </c>
      <c r="B35" s="2" t="s">
        <v>51</v>
      </c>
      <c r="G35" s="22">
        <f t="shared" ref="G35:X35" si="19">LN(G11/C11)/G30*G18*100</f>
        <v>2.4536114894335186</v>
      </c>
      <c r="H35" s="22">
        <f t="shared" si="19"/>
        <v>27.471408639339483</v>
      </c>
      <c r="I35" s="22">
        <f t="shared" si="19"/>
        <v>-1.9001487466424807</v>
      </c>
      <c r="J35" s="22">
        <f t="shared" si="19"/>
        <v>4.2920178339913067</v>
      </c>
      <c r="K35" s="22">
        <f t="shared" si="19"/>
        <v>1.7218332439761734</v>
      </c>
      <c r="L35" s="22">
        <f t="shared" si="19"/>
        <v>5.3906116855135675</v>
      </c>
      <c r="M35" s="22">
        <f t="shared" si="19"/>
        <v>0.44376724882077045</v>
      </c>
      <c r="N35" s="22">
        <f t="shared" si="19"/>
        <v>1.6808221193599899</v>
      </c>
      <c r="O35" s="22">
        <f t="shared" si="19"/>
        <v>5.2596087148467836</v>
      </c>
      <c r="P35" s="22">
        <f t="shared" si="19"/>
        <v>-0.34825505880629676</v>
      </c>
      <c r="Q35" s="22">
        <f t="shared" si="19"/>
        <v>2.4413950484482201E-2</v>
      </c>
      <c r="R35" s="22">
        <f t="shared" si="19"/>
        <v>-1.6299202551089864</v>
      </c>
      <c r="S35" s="22">
        <f t="shared" si="19"/>
        <v>-0.8874557691061179</v>
      </c>
      <c r="T35" s="22">
        <f t="shared" si="19"/>
        <v>1.7246105502542113</v>
      </c>
      <c r="U35" s="22">
        <f t="shared" si="19"/>
        <v>-3.9394737518415539</v>
      </c>
      <c r="V35" s="22">
        <f t="shared" si="19"/>
        <v>-3.6177058828713027</v>
      </c>
      <c r="W35" s="22">
        <f t="shared" si="19"/>
        <v>-1.2049220761184716</v>
      </c>
      <c r="X35" s="22">
        <f t="shared" si="19"/>
        <v>0.73761344929049966</v>
      </c>
      <c r="AA35" s="22">
        <f>LN(AA11/Z11)/AA30*AA18*100</f>
        <v>4.5191707093727471</v>
      </c>
      <c r="AB35" s="22">
        <f>LN(AB11/AA11)/AB30*AB18*100</f>
        <v>2.1172635082693141</v>
      </c>
      <c r="AC35" s="22">
        <f>LN(AC11/AB11)/AC30*AC18*100</f>
        <v>0.33433207656993608</v>
      </c>
      <c r="AD35" s="22">
        <f>LN(AD11/AC11)/AD30*AD18*100</f>
        <v>-1.2823877819103828</v>
      </c>
    </row>
    <row r="36" spans="1:32" x14ac:dyDescent="0.3">
      <c r="A36" t="s">
        <v>70</v>
      </c>
      <c r="B36" s="2" t="s">
        <v>51</v>
      </c>
      <c r="G36" s="22">
        <f t="shared" ref="G36:X36" si="20">G31+G32+G35-G18*100</f>
        <v>0</v>
      </c>
      <c r="H36" s="22">
        <f t="shared" si="20"/>
        <v>0</v>
      </c>
      <c r="I36" s="22">
        <f t="shared" si="20"/>
        <v>0</v>
      </c>
      <c r="J36" s="22">
        <f t="shared" si="20"/>
        <v>0</v>
      </c>
      <c r="K36" s="22">
        <f t="shared" si="20"/>
        <v>-2.8421709430404007E-14</v>
      </c>
      <c r="L36" s="22">
        <f t="shared" si="20"/>
        <v>0</v>
      </c>
      <c r="M36" s="22">
        <f t="shared" si="20"/>
        <v>0</v>
      </c>
      <c r="N36" s="22">
        <f t="shared" si="20"/>
        <v>0</v>
      </c>
      <c r="O36" s="22">
        <f t="shared" si="20"/>
        <v>0</v>
      </c>
      <c r="P36" s="22">
        <f t="shared" si="20"/>
        <v>0</v>
      </c>
      <c r="Q36" s="22">
        <f t="shared" si="20"/>
        <v>0</v>
      </c>
      <c r="R36" s="22">
        <f t="shared" si="20"/>
        <v>0</v>
      </c>
      <c r="S36" s="22">
        <f t="shared" si="20"/>
        <v>9.7699626167013776E-15</v>
      </c>
      <c r="T36" s="22">
        <f t="shared" si="20"/>
        <v>4.6185277824406512E-14</v>
      </c>
      <c r="U36" s="22">
        <f t="shared" si="20"/>
        <v>0</v>
      </c>
      <c r="V36" s="22">
        <f t="shared" si="20"/>
        <v>1.7763568394002505E-14</v>
      </c>
      <c r="W36" s="22">
        <f t="shared" si="20"/>
        <v>0</v>
      </c>
      <c r="X36" s="22">
        <f t="shared" si="20"/>
        <v>0</v>
      </c>
      <c r="AA36" s="22">
        <f>AA31+AA32+AA35-AA18*100</f>
        <v>0</v>
      </c>
      <c r="AB36" s="22">
        <f>AB31+AB32+AB35-AB18*100</f>
        <v>0</v>
      </c>
      <c r="AC36" s="22">
        <f>AC31+AC32+AC35-AC18*100</f>
        <v>1.7763568394002505E-14</v>
      </c>
      <c r="AD36" s="22">
        <f>AD31+AD32+AD35-AD18*100</f>
        <v>0</v>
      </c>
      <c r="AF36" s="2" t="s">
        <v>71</v>
      </c>
    </row>
    <row r="38" spans="1:32" x14ac:dyDescent="0.3">
      <c r="A38" s="6" t="s">
        <v>72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spans="1:32" x14ac:dyDescent="0.3">
      <c r="A39" t="s">
        <v>73</v>
      </c>
      <c r="B39" s="2" t="s">
        <v>42</v>
      </c>
      <c r="I39" s="24">
        <v>0.2</v>
      </c>
      <c r="R39" s="24">
        <v>0.05</v>
      </c>
      <c r="S39" s="24">
        <v>0.02</v>
      </c>
      <c r="T39" s="24">
        <v>0.02</v>
      </c>
      <c r="U39" s="24">
        <v>0.05</v>
      </c>
      <c r="V39" s="24">
        <v>0.05</v>
      </c>
      <c r="W39" s="24">
        <v>0.08</v>
      </c>
      <c r="X39" s="24">
        <v>0.08</v>
      </c>
    </row>
    <row r="40" spans="1:32" x14ac:dyDescent="0.3">
      <c r="A40" t="s">
        <v>74</v>
      </c>
      <c r="B40" s="2" t="s">
        <v>42</v>
      </c>
      <c r="I40" s="24">
        <v>0.2</v>
      </c>
      <c r="J40" s="24">
        <v>0.25</v>
      </c>
      <c r="R40" s="24">
        <v>0.11</v>
      </c>
      <c r="S40" s="24">
        <v>0.05</v>
      </c>
      <c r="T40" s="24">
        <v>0.05</v>
      </c>
      <c r="U40" s="24">
        <v>0.05</v>
      </c>
      <c r="V40" s="24">
        <v>0.08</v>
      </c>
      <c r="W40" s="24">
        <v>0.05</v>
      </c>
      <c r="X40" s="24">
        <v>0.08</v>
      </c>
    </row>
    <row r="41" spans="1:32" x14ac:dyDescent="0.3">
      <c r="A41" t="s">
        <v>75</v>
      </c>
      <c r="B41" s="2" t="s">
        <v>42</v>
      </c>
      <c r="I41" s="24">
        <v>0.33</v>
      </c>
      <c r="L41" s="24">
        <v>0.22</v>
      </c>
      <c r="M41" s="24">
        <v>0.24</v>
      </c>
      <c r="N41" s="24">
        <v>0.22</v>
      </c>
      <c r="O41" s="24">
        <v>0.19</v>
      </c>
      <c r="P41" s="24">
        <v>0.17</v>
      </c>
      <c r="Q41" s="24">
        <v>0.15</v>
      </c>
      <c r="R41" s="24">
        <v>0.22</v>
      </c>
      <c r="S41" s="24">
        <v>0.22</v>
      </c>
      <c r="T41" s="24">
        <v>0.18</v>
      </c>
      <c r="U41" s="24">
        <v>0.22</v>
      </c>
      <c r="V41" s="24">
        <v>0.18</v>
      </c>
      <c r="W41" s="24">
        <v>0.18</v>
      </c>
      <c r="X41" s="24">
        <v>0.2</v>
      </c>
    </row>
    <row r="42" spans="1:32" x14ac:dyDescent="0.3">
      <c r="A42" t="s">
        <v>76</v>
      </c>
      <c r="B42" s="2" t="s">
        <v>42</v>
      </c>
      <c r="I42" s="24">
        <v>0.65</v>
      </c>
      <c r="J42" s="24">
        <v>0.4</v>
      </c>
      <c r="K42" s="24">
        <v>0.48</v>
      </c>
      <c r="L42" s="24">
        <v>0.24</v>
      </c>
      <c r="M42" s="24">
        <v>0.27</v>
      </c>
      <c r="N42" s="24">
        <v>0.22</v>
      </c>
      <c r="O42" s="24">
        <v>0.21</v>
      </c>
      <c r="P42" s="24">
        <v>0.19</v>
      </c>
      <c r="Q42" s="24">
        <v>0.19</v>
      </c>
      <c r="R42" s="24">
        <v>0.22</v>
      </c>
      <c r="S42" s="24">
        <v>0.15</v>
      </c>
      <c r="T42" s="24">
        <v>0.15</v>
      </c>
      <c r="U42" s="24">
        <v>0.15</v>
      </c>
      <c r="V42" s="24">
        <v>0.15</v>
      </c>
      <c r="W42" s="24">
        <v>0.18</v>
      </c>
      <c r="X42" s="24">
        <v>0.18</v>
      </c>
      <c r="AF42" s="2" t="s">
        <v>77</v>
      </c>
    </row>
    <row r="43" spans="1:32" x14ac:dyDescent="0.3">
      <c r="A43" t="s">
        <v>78</v>
      </c>
      <c r="B43" s="2" t="s">
        <v>42</v>
      </c>
      <c r="L43" s="24">
        <v>-0.01</v>
      </c>
      <c r="M43" s="24">
        <v>-0.01</v>
      </c>
      <c r="N43" s="24">
        <v>0</v>
      </c>
      <c r="O43" s="24">
        <v>0.03</v>
      </c>
      <c r="P43" s="24">
        <v>0.04</v>
      </c>
      <c r="Q43" s="24">
        <v>0.03</v>
      </c>
      <c r="R43" s="24">
        <v>0.03</v>
      </c>
      <c r="S43" s="24">
        <v>0.02</v>
      </c>
      <c r="T43" s="24">
        <v>0.03</v>
      </c>
      <c r="U43" s="24">
        <v>0.05</v>
      </c>
      <c r="V43" s="24">
        <v>0.05</v>
      </c>
      <c r="W43" s="24">
        <v>7.0000000000000007E-2</v>
      </c>
      <c r="X43" s="24">
        <v>7.0000000000000007E-2</v>
      </c>
    </row>
    <row r="44" spans="1:32" x14ac:dyDescent="0.3">
      <c r="A44" t="s">
        <v>79</v>
      </c>
      <c r="B44" s="2" t="s">
        <v>42</v>
      </c>
      <c r="L44" s="24">
        <v>0.08</v>
      </c>
      <c r="O44" s="24">
        <v>7.0000000000000007E-2</v>
      </c>
      <c r="P44" s="24">
        <v>0.04</v>
      </c>
      <c r="Q44" s="24">
        <v>0.06</v>
      </c>
      <c r="R44" s="24">
        <v>0.06</v>
      </c>
      <c r="S44" s="24">
        <v>0.02</v>
      </c>
      <c r="T44" s="24">
        <v>0.09</v>
      </c>
      <c r="U44" s="24">
        <v>0.1</v>
      </c>
      <c r="V44" s="24">
        <v>0.12</v>
      </c>
      <c r="W44" s="24">
        <v>0.15</v>
      </c>
      <c r="X44" s="24">
        <v>7.0000000000000007E-2</v>
      </c>
    </row>
    <row r="45" spans="1:32" x14ac:dyDescent="0.3">
      <c r="A45" t="s">
        <v>80</v>
      </c>
      <c r="B45" s="2" t="s">
        <v>42</v>
      </c>
      <c r="S45" s="24">
        <v>-7.0000000000000007E-2</v>
      </c>
      <c r="T45" s="24">
        <v>-0.03</v>
      </c>
      <c r="U45" s="24">
        <v>0.04</v>
      </c>
      <c r="V45" s="24">
        <v>0.09</v>
      </c>
      <c r="W45" s="24">
        <v>0.1</v>
      </c>
      <c r="X45" s="24">
        <v>0.09</v>
      </c>
    </row>
    <row r="46" spans="1:32" x14ac:dyDescent="0.3">
      <c r="A46" t="s">
        <v>81</v>
      </c>
      <c r="B46" s="2" t="s">
        <v>42</v>
      </c>
      <c r="S46" s="24">
        <v>-0.01</v>
      </c>
      <c r="T46" s="24">
        <v>0.02</v>
      </c>
      <c r="U46" s="24">
        <v>0.02</v>
      </c>
      <c r="V46" s="24">
        <v>0.02</v>
      </c>
      <c r="W46" s="24">
        <v>0.06</v>
      </c>
      <c r="X46" s="24">
        <v>0.01</v>
      </c>
    </row>
    <row r="47" spans="1:32" x14ac:dyDescent="0.3">
      <c r="A47" t="s">
        <v>82</v>
      </c>
      <c r="B47" s="2" t="s">
        <v>42</v>
      </c>
      <c r="X47" s="24">
        <v>0.12</v>
      </c>
      <c r="AF47" s="2" t="s">
        <v>83</v>
      </c>
    </row>
    <row r="48" spans="1:32" x14ac:dyDescent="0.3">
      <c r="A48" t="s">
        <v>84</v>
      </c>
      <c r="B48" s="2" t="s">
        <v>42</v>
      </c>
      <c r="C48" s="23">
        <v>0.2</v>
      </c>
      <c r="D48" s="23">
        <v>0.27</v>
      </c>
      <c r="E48" s="23">
        <v>0.33</v>
      </c>
      <c r="F48" s="23">
        <v>0.35</v>
      </c>
      <c r="G48" s="24">
        <v>0.39</v>
      </c>
      <c r="H48" s="24">
        <v>0.43</v>
      </c>
      <c r="I48" s="24">
        <v>0.43</v>
      </c>
      <c r="J48" s="24">
        <v>0.44</v>
      </c>
      <c r="K48" s="24">
        <v>0.45</v>
      </c>
      <c r="L48" s="24">
        <v>0.45</v>
      </c>
      <c r="M48" s="24">
        <v>0.45</v>
      </c>
      <c r="N48" s="24">
        <v>0.44</v>
      </c>
      <c r="O48" s="24">
        <v>0.46</v>
      </c>
      <c r="AF48" s="2" t="s">
        <v>85</v>
      </c>
    </row>
    <row r="49" spans="1:32" x14ac:dyDescent="0.3">
      <c r="A49" t="s">
        <v>86</v>
      </c>
      <c r="B49" s="2" t="s">
        <v>42</v>
      </c>
      <c r="C49" s="23">
        <v>0.41</v>
      </c>
      <c r="D49" s="23">
        <v>0.4</v>
      </c>
      <c r="E49" s="23">
        <v>0.46</v>
      </c>
      <c r="F49" s="23">
        <v>0.49</v>
      </c>
      <c r="G49" s="24">
        <v>0.46</v>
      </c>
      <c r="H49" s="24">
        <v>0.47</v>
      </c>
      <c r="I49" s="24">
        <v>0.48</v>
      </c>
      <c r="J49" s="24">
        <v>0.51</v>
      </c>
      <c r="K49" s="24">
        <v>0.48</v>
      </c>
      <c r="L49" s="24">
        <v>0.48</v>
      </c>
      <c r="M49" s="24">
        <v>0.49</v>
      </c>
      <c r="N49" s="24">
        <v>0.51</v>
      </c>
      <c r="AF49" s="2" t="s">
        <v>87</v>
      </c>
    </row>
    <row r="50" spans="1:32" x14ac:dyDescent="0.3">
      <c r="A50" t="s">
        <v>88</v>
      </c>
      <c r="B50" s="2" t="s">
        <v>42</v>
      </c>
      <c r="C50" s="23">
        <v>0.24</v>
      </c>
      <c r="E50" s="23">
        <v>0.2</v>
      </c>
      <c r="F50" s="23">
        <v>0.22</v>
      </c>
      <c r="G50" s="24">
        <v>0.21</v>
      </c>
      <c r="H50" s="24">
        <v>0.19</v>
      </c>
      <c r="I50" s="24">
        <v>0.2</v>
      </c>
      <c r="J50" s="24">
        <v>0.21</v>
      </c>
      <c r="K50" s="24">
        <v>0.18</v>
      </c>
      <c r="L50" s="24">
        <v>0.18</v>
      </c>
      <c r="M50" s="24">
        <v>0.18</v>
      </c>
      <c r="N50" s="24">
        <v>0.19</v>
      </c>
      <c r="O50" s="24">
        <v>0.17</v>
      </c>
      <c r="AF50" s="2" t="s">
        <v>89</v>
      </c>
    </row>
    <row r="51" spans="1:32" x14ac:dyDescent="0.3">
      <c r="A51" t="s">
        <v>90</v>
      </c>
      <c r="B51" s="2" t="s">
        <v>42</v>
      </c>
      <c r="I51" s="24">
        <v>0.48</v>
      </c>
      <c r="J51" s="24">
        <v>0.5</v>
      </c>
      <c r="K51" s="24">
        <v>0.49</v>
      </c>
      <c r="L51" s="24">
        <v>0.5</v>
      </c>
      <c r="M51" s="24">
        <v>0.53</v>
      </c>
      <c r="N51" s="24">
        <v>0.55000000000000004</v>
      </c>
      <c r="O51" s="24">
        <v>0.54</v>
      </c>
      <c r="P51" s="24">
        <v>0.55000000000000004</v>
      </c>
      <c r="Q51" s="24">
        <v>0.57999999999999996</v>
      </c>
      <c r="R51" s="24">
        <v>0.6</v>
      </c>
      <c r="S51" s="24">
        <v>0.57999999999999996</v>
      </c>
      <c r="T51" s="24">
        <v>0.59</v>
      </c>
      <c r="U51" s="24">
        <v>0.62</v>
      </c>
      <c r="V51" s="24">
        <v>0.64</v>
      </c>
      <c r="W51" s="24">
        <v>0.63</v>
      </c>
      <c r="X51" s="24">
        <v>0.64</v>
      </c>
    </row>
    <row r="52" spans="1:32" x14ac:dyDescent="0.3">
      <c r="A52" t="s">
        <v>91</v>
      </c>
      <c r="B52" s="2" t="s">
        <v>34</v>
      </c>
      <c r="F52" s="26">
        <v>6</v>
      </c>
      <c r="G52" s="27">
        <v>6</v>
      </c>
      <c r="J52" s="27">
        <v>6.6</v>
      </c>
      <c r="L52" s="27">
        <v>7</v>
      </c>
      <c r="M52" s="27">
        <v>7</v>
      </c>
      <c r="N52" s="27">
        <v>7.7</v>
      </c>
      <c r="P52" s="27">
        <v>8</v>
      </c>
      <c r="Q52" s="27">
        <v>8</v>
      </c>
      <c r="R52" s="27">
        <v>8</v>
      </c>
      <c r="V52" s="27">
        <v>9</v>
      </c>
      <c r="AF52" s="2" t="s">
        <v>92</v>
      </c>
    </row>
    <row r="54" spans="1:32" x14ac:dyDescent="0.3">
      <c r="A54" s="6" t="s">
        <v>93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spans="1:32" x14ac:dyDescent="0.3">
      <c r="A55" t="s">
        <v>94</v>
      </c>
      <c r="B55" s="2" t="s">
        <v>37</v>
      </c>
      <c r="C55" s="12">
        <v>254.5</v>
      </c>
      <c r="D55" s="12">
        <v>294.39999999999998</v>
      </c>
      <c r="E55" s="12">
        <v>311.60000000000002</v>
      </c>
      <c r="F55" s="12">
        <v>295.5</v>
      </c>
      <c r="G55" s="13">
        <v>363</v>
      </c>
      <c r="H55" s="13">
        <v>390</v>
      </c>
      <c r="I55" s="13">
        <v>401</v>
      </c>
      <c r="J55" s="13">
        <v>345</v>
      </c>
      <c r="K55" s="13">
        <v>428</v>
      </c>
      <c r="L55" s="13">
        <v>432</v>
      </c>
      <c r="M55" s="13">
        <v>459</v>
      </c>
      <c r="N55" s="13">
        <v>384</v>
      </c>
      <c r="O55" s="13">
        <v>480</v>
      </c>
      <c r="P55" s="13">
        <v>506</v>
      </c>
      <c r="Q55" s="13">
        <v>465</v>
      </c>
      <c r="R55" s="13">
        <v>427</v>
      </c>
      <c r="S55" s="13">
        <v>506</v>
      </c>
      <c r="T55" s="13">
        <v>544</v>
      </c>
      <c r="U55" s="13">
        <v>549</v>
      </c>
      <c r="V55" s="13">
        <v>487</v>
      </c>
      <c r="W55" s="13">
        <v>581</v>
      </c>
      <c r="X55" s="13">
        <v>633</v>
      </c>
      <c r="Z55" s="14">
        <f t="shared" ref="Z55:Z61" si="21">SUM(C55:F55)</f>
        <v>1156</v>
      </c>
      <c r="AA55" s="14">
        <f t="shared" ref="AA55:AA61" si="22">SUM(G55:J55)</f>
        <v>1499</v>
      </c>
      <c r="AB55" s="14">
        <f t="shared" ref="AB55:AB61" si="23">SUM(K55:N55)</f>
        <v>1703</v>
      </c>
      <c r="AC55" s="14">
        <f t="shared" ref="AC55:AC61" si="24">SUM(O55:R55)</f>
        <v>1878</v>
      </c>
      <c r="AD55" s="14">
        <f t="shared" ref="AD55:AD61" si="25">SUM(S55:V55)</f>
        <v>2086</v>
      </c>
      <c r="AE55" s="15">
        <f t="shared" ref="AE55:AE61" si="26">SUM(U55:X55)</f>
        <v>2250</v>
      </c>
    </row>
    <row r="56" spans="1:32" x14ac:dyDescent="0.3">
      <c r="A56" t="s">
        <v>95</v>
      </c>
      <c r="B56" s="2" t="s">
        <v>37</v>
      </c>
      <c r="C56" s="12">
        <v>185.4</v>
      </c>
      <c r="D56" s="12">
        <v>208.1</v>
      </c>
      <c r="E56" s="12">
        <v>228.3</v>
      </c>
      <c r="F56" s="12">
        <v>225.1</v>
      </c>
      <c r="G56" s="13">
        <v>232.7</v>
      </c>
      <c r="H56" s="13">
        <v>258</v>
      </c>
      <c r="I56" s="13">
        <v>290</v>
      </c>
      <c r="J56" s="13">
        <v>260</v>
      </c>
      <c r="K56" s="13">
        <v>282</v>
      </c>
      <c r="L56" s="13">
        <v>317</v>
      </c>
      <c r="M56" s="13">
        <v>316</v>
      </c>
      <c r="N56" s="13">
        <v>271</v>
      </c>
      <c r="O56" s="13">
        <v>285</v>
      </c>
      <c r="P56" s="13">
        <v>338</v>
      </c>
      <c r="Q56" s="13">
        <v>369</v>
      </c>
      <c r="R56" s="13">
        <v>290</v>
      </c>
      <c r="S56" s="13">
        <v>303</v>
      </c>
      <c r="T56" s="13">
        <v>332</v>
      </c>
      <c r="U56" s="13">
        <v>365</v>
      </c>
      <c r="V56" s="13">
        <v>327</v>
      </c>
      <c r="W56" s="13">
        <v>326</v>
      </c>
      <c r="X56" s="13">
        <v>361</v>
      </c>
      <c r="Z56" s="14">
        <f t="shared" si="21"/>
        <v>846.9</v>
      </c>
      <c r="AA56" s="14">
        <f t="shared" si="22"/>
        <v>1040.7</v>
      </c>
      <c r="AB56" s="14">
        <f t="shared" si="23"/>
        <v>1186</v>
      </c>
      <c r="AC56" s="14">
        <f t="shared" si="24"/>
        <v>1282</v>
      </c>
      <c r="AD56" s="14">
        <f t="shared" si="25"/>
        <v>1327</v>
      </c>
      <c r="AE56" s="15">
        <f t="shared" si="26"/>
        <v>1379</v>
      </c>
    </row>
    <row r="57" spans="1:32" x14ac:dyDescent="0.3">
      <c r="A57" t="s">
        <v>96</v>
      </c>
      <c r="B57" s="2" t="s">
        <v>37</v>
      </c>
      <c r="C57" s="12">
        <v>363.1</v>
      </c>
      <c r="D57" s="12">
        <v>349.7</v>
      </c>
      <c r="E57" s="12">
        <v>344.4</v>
      </c>
      <c r="F57" s="12">
        <v>367.8</v>
      </c>
      <c r="G57" s="13">
        <v>363</v>
      </c>
      <c r="H57" s="13">
        <v>375</v>
      </c>
      <c r="I57" s="13">
        <v>366</v>
      </c>
      <c r="J57" s="13">
        <v>398</v>
      </c>
      <c r="K57" s="13">
        <v>420</v>
      </c>
      <c r="L57" s="13">
        <v>451</v>
      </c>
      <c r="M57" s="13">
        <v>419</v>
      </c>
      <c r="N57" s="13">
        <v>432</v>
      </c>
      <c r="O57" s="13">
        <v>475</v>
      </c>
      <c r="P57" s="13">
        <v>519</v>
      </c>
      <c r="Q57" s="13">
        <v>524</v>
      </c>
      <c r="R57" s="13">
        <v>538</v>
      </c>
      <c r="S57" s="13">
        <v>568</v>
      </c>
      <c r="T57" s="13">
        <v>610</v>
      </c>
      <c r="U57" s="13">
        <v>587</v>
      </c>
      <c r="V57" s="13">
        <v>589</v>
      </c>
      <c r="W57" s="13">
        <v>638</v>
      </c>
      <c r="X57" s="13">
        <v>672</v>
      </c>
      <c r="Z57" s="14">
        <f t="shared" si="21"/>
        <v>1424.9999999999998</v>
      </c>
      <c r="AA57" s="14">
        <f t="shared" si="22"/>
        <v>1502</v>
      </c>
      <c r="AB57" s="14">
        <f t="shared" si="23"/>
        <v>1722</v>
      </c>
      <c r="AC57" s="14">
        <f t="shared" si="24"/>
        <v>2056</v>
      </c>
      <c r="AD57" s="14">
        <f t="shared" si="25"/>
        <v>2354</v>
      </c>
      <c r="AE57" s="15">
        <f t="shared" si="26"/>
        <v>2486</v>
      </c>
    </row>
    <row r="58" spans="1:32" x14ac:dyDescent="0.3">
      <c r="A58" t="s">
        <v>97</v>
      </c>
      <c r="B58" s="2" t="s">
        <v>37</v>
      </c>
      <c r="C58" s="12">
        <v>229.1</v>
      </c>
      <c r="D58" s="12">
        <v>315.3</v>
      </c>
      <c r="E58" s="12">
        <v>290.89999999999998</v>
      </c>
      <c r="F58" s="12">
        <v>350.7</v>
      </c>
      <c r="G58" s="13">
        <v>345</v>
      </c>
      <c r="H58" s="13">
        <v>379</v>
      </c>
      <c r="I58" s="13">
        <v>384</v>
      </c>
      <c r="J58" s="13">
        <v>408</v>
      </c>
      <c r="K58" s="13">
        <v>450</v>
      </c>
      <c r="L58" s="13">
        <v>486</v>
      </c>
      <c r="M58" s="13">
        <v>403</v>
      </c>
      <c r="N58" s="13">
        <v>424</v>
      </c>
      <c r="O58" s="13">
        <v>514</v>
      </c>
      <c r="P58" s="13">
        <v>573</v>
      </c>
      <c r="Q58" s="13">
        <v>514</v>
      </c>
      <c r="R58" s="13">
        <v>547</v>
      </c>
      <c r="S58" s="13">
        <v>563</v>
      </c>
      <c r="T58" s="13">
        <v>691</v>
      </c>
      <c r="U58" s="13">
        <v>639</v>
      </c>
      <c r="V58" s="13">
        <v>695</v>
      </c>
      <c r="W58" s="13">
        <v>751</v>
      </c>
      <c r="X58" s="13">
        <v>875</v>
      </c>
      <c r="Z58" s="14">
        <f t="shared" si="21"/>
        <v>1186</v>
      </c>
      <c r="AA58" s="14">
        <f t="shared" si="22"/>
        <v>1516</v>
      </c>
      <c r="AB58" s="14">
        <f t="shared" si="23"/>
        <v>1763</v>
      </c>
      <c r="AC58" s="14">
        <f t="shared" si="24"/>
        <v>2148</v>
      </c>
      <c r="AD58" s="14">
        <f t="shared" si="25"/>
        <v>2588</v>
      </c>
      <c r="AE58" s="15">
        <f t="shared" si="26"/>
        <v>2960</v>
      </c>
    </row>
    <row r="59" spans="1:32" x14ac:dyDescent="0.3">
      <c r="A59" t="s">
        <v>98</v>
      </c>
      <c r="B59" s="2" t="s">
        <v>37</v>
      </c>
      <c r="C59" s="12">
        <v>189.8</v>
      </c>
      <c r="D59" s="12">
        <v>218.3</v>
      </c>
      <c r="E59" s="12">
        <v>210.7</v>
      </c>
      <c r="F59" s="12">
        <v>217.2</v>
      </c>
      <c r="G59" s="13">
        <v>210</v>
      </c>
      <c r="H59" s="13">
        <v>244</v>
      </c>
      <c r="I59" s="13">
        <v>240</v>
      </c>
      <c r="J59" s="13">
        <v>256</v>
      </c>
      <c r="K59" s="13">
        <v>243</v>
      </c>
      <c r="L59" s="13">
        <v>275</v>
      </c>
      <c r="M59" s="13">
        <v>304</v>
      </c>
      <c r="N59" s="13">
        <v>1203</v>
      </c>
      <c r="O59" s="13">
        <v>287</v>
      </c>
      <c r="P59" s="13">
        <v>315</v>
      </c>
      <c r="Q59" s="13">
        <v>335</v>
      </c>
      <c r="R59" s="13">
        <v>248</v>
      </c>
      <c r="S59" s="13">
        <v>294</v>
      </c>
      <c r="T59" s="13">
        <v>307</v>
      </c>
      <c r="U59" s="13">
        <v>330</v>
      </c>
      <c r="V59" s="13">
        <v>411</v>
      </c>
      <c r="W59" s="13">
        <v>296</v>
      </c>
      <c r="X59" s="13">
        <v>309</v>
      </c>
      <c r="Z59" s="14">
        <f t="shared" si="21"/>
        <v>836</v>
      </c>
      <c r="AA59" s="14">
        <f t="shared" si="22"/>
        <v>950</v>
      </c>
      <c r="AB59" s="14">
        <f t="shared" si="23"/>
        <v>2025</v>
      </c>
      <c r="AC59" s="14">
        <f t="shared" si="24"/>
        <v>1185</v>
      </c>
      <c r="AD59" s="14">
        <f t="shared" si="25"/>
        <v>1342</v>
      </c>
      <c r="AE59" s="15">
        <f t="shared" si="26"/>
        <v>1346</v>
      </c>
    </row>
    <row r="60" spans="1:32" x14ac:dyDescent="0.3">
      <c r="A60" t="s">
        <v>99</v>
      </c>
      <c r="B60" s="2" t="s">
        <v>37</v>
      </c>
      <c r="C60" s="12">
        <v>112</v>
      </c>
      <c r="D60" s="12">
        <v>0.6</v>
      </c>
      <c r="E60" s="12">
        <v>-0.5</v>
      </c>
      <c r="F60" s="12">
        <v>0.9</v>
      </c>
      <c r="G60" s="13">
        <v>0.3</v>
      </c>
      <c r="H60" s="13">
        <v>89</v>
      </c>
      <c r="I60" s="13">
        <v>0</v>
      </c>
      <c r="J60" s="13">
        <v>0</v>
      </c>
      <c r="L60" s="13">
        <v>0</v>
      </c>
      <c r="M60" s="13">
        <v>0</v>
      </c>
      <c r="N60" s="13">
        <v>0</v>
      </c>
      <c r="Z60" s="14">
        <f t="shared" si="21"/>
        <v>113</v>
      </c>
      <c r="AA60" s="14">
        <f t="shared" si="22"/>
        <v>89.3</v>
      </c>
      <c r="AB60" s="14">
        <f t="shared" si="23"/>
        <v>0</v>
      </c>
      <c r="AC60" s="14">
        <f t="shared" si="24"/>
        <v>0</v>
      </c>
      <c r="AD60" s="14">
        <f t="shared" si="25"/>
        <v>0</v>
      </c>
      <c r="AE60" s="15">
        <f t="shared" si="26"/>
        <v>0</v>
      </c>
      <c r="AF60" s="2" t="s">
        <v>100</v>
      </c>
    </row>
    <row r="61" spans="1:32" x14ac:dyDescent="0.3">
      <c r="A61" t="s">
        <v>101</v>
      </c>
      <c r="B61" s="2" t="s">
        <v>37</v>
      </c>
      <c r="C61" s="12">
        <v>-446.9</v>
      </c>
      <c r="D61" s="12">
        <v>-51.3</v>
      </c>
      <c r="E61" s="12">
        <v>852</v>
      </c>
      <c r="F61" s="12">
        <v>75.2</v>
      </c>
      <c r="G61" s="13">
        <v>-5</v>
      </c>
      <c r="H61" s="13">
        <v>369</v>
      </c>
      <c r="I61" s="13">
        <v>1203</v>
      </c>
      <c r="J61" s="13">
        <v>235</v>
      </c>
      <c r="K61" s="13">
        <v>-5</v>
      </c>
      <c r="L61" s="13">
        <v>523</v>
      </c>
      <c r="M61" s="13">
        <v>1496</v>
      </c>
      <c r="N61" s="13">
        <v>-496</v>
      </c>
      <c r="O61" s="13">
        <v>101</v>
      </c>
      <c r="P61" s="13">
        <v>497</v>
      </c>
      <c r="Q61" s="13">
        <v>1525</v>
      </c>
      <c r="R61" s="13">
        <v>430</v>
      </c>
      <c r="S61" s="13">
        <v>38</v>
      </c>
      <c r="T61" s="13">
        <v>612</v>
      </c>
      <c r="U61" s="13">
        <v>1625</v>
      </c>
      <c r="V61" s="13">
        <v>269</v>
      </c>
      <c r="W61" s="13">
        <v>86</v>
      </c>
      <c r="X61" s="13">
        <v>758</v>
      </c>
      <c r="Z61" s="14">
        <f t="shared" si="21"/>
        <v>429</v>
      </c>
      <c r="AA61" s="14">
        <f t="shared" si="22"/>
        <v>1802</v>
      </c>
      <c r="AB61" s="14">
        <f t="shared" si="23"/>
        <v>1518</v>
      </c>
      <c r="AC61" s="14">
        <f t="shared" si="24"/>
        <v>2553</v>
      </c>
      <c r="AD61" s="14">
        <f t="shared" si="25"/>
        <v>2544</v>
      </c>
      <c r="AE61" s="15">
        <f t="shared" si="26"/>
        <v>2738</v>
      </c>
    </row>
    <row r="62" spans="1:32" x14ac:dyDescent="0.3">
      <c r="A62" t="s">
        <v>102</v>
      </c>
      <c r="B62" s="2" t="s">
        <v>37</v>
      </c>
      <c r="C62" s="28">
        <f t="shared" ref="C62:X62" si="27">C10-C55-C56-C57-C58-C59-N(C60)-C61</f>
        <v>0</v>
      </c>
      <c r="D62" s="28">
        <f t="shared" si="27"/>
        <v>-0.10000000000012932</v>
      </c>
      <c r="E62" s="28">
        <f t="shared" si="27"/>
        <v>-0.39999999999986358</v>
      </c>
      <c r="F62" s="28">
        <f t="shared" si="27"/>
        <v>-0.40000000000007674</v>
      </c>
      <c r="G62" s="14">
        <f t="shared" si="27"/>
        <v>-4.5297099404706387E-14</v>
      </c>
      <c r="H62" s="14">
        <f t="shared" si="27"/>
        <v>0</v>
      </c>
      <c r="I62" s="14">
        <f t="shared" si="27"/>
        <v>0</v>
      </c>
      <c r="J62" s="14">
        <f t="shared" si="27"/>
        <v>0</v>
      </c>
      <c r="K62" s="14">
        <f t="shared" si="27"/>
        <v>0</v>
      </c>
      <c r="L62" s="14">
        <f t="shared" si="27"/>
        <v>0</v>
      </c>
      <c r="M62" s="14">
        <f t="shared" si="27"/>
        <v>0</v>
      </c>
      <c r="N62" s="14">
        <f t="shared" si="27"/>
        <v>0</v>
      </c>
      <c r="O62" s="14">
        <f t="shared" si="27"/>
        <v>0</v>
      </c>
      <c r="P62" s="14">
        <f t="shared" si="27"/>
        <v>0</v>
      </c>
      <c r="Q62" s="14">
        <f t="shared" si="27"/>
        <v>0</v>
      </c>
      <c r="R62" s="14">
        <f t="shared" si="27"/>
        <v>0</v>
      </c>
      <c r="S62" s="14">
        <f t="shared" si="27"/>
        <v>0</v>
      </c>
      <c r="T62" s="14">
        <f t="shared" si="27"/>
        <v>0</v>
      </c>
      <c r="U62" s="14">
        <f t="shared" si="27"/>
        <v>0</v>
      </c>
      <c r="V62" s="14">
        <f t="shared" si="27"/>
        <v>0</v>
      </c>
      <c r="W62" s="14">
        <f t="shared" si="27"/>
        <v>0</v>
      </c>
      <c r="X62" s="14">
        <f t="shared" si="27"/>
        <v>0</v>
      </c>
      <c r="AF62" s="2" t="s">
        <v>103</v>
      </c>
    </row>
    <row r="63" spans="1:32" x14ac:dyDescent="0.3">
      <c r="A63" t="s">
        <v>104</v>
      </c>
      <c r="B63" s="2" t="s">
        <v>37</v>
      </c>
      <c r="C63" s="12">
        <v>3.1</v>
      </c>
      <c r="D63" s="12">
        <v>2.9</v>
      </c>
      <c r="E63" s="12">
        <v>3</v>
      </c>
      <c r="F63" s="12">
        <v>3.8</v>
      </c>
      <c r="G63" s="13">
        <v>4.7</v>
      </c>
      <c r="H63" s="13">
        <v>20.3</v>
      </c>
      <c r="I63" s="13">
        <v>58.4</v>
      </c>
      <c r="J63" s="13">
        <v>103</v>
      </c>
      <c r="K63" s="13">
        <v>146</v>
      </c>
      <c r="L63" s="13">
        <v>191</v>
      </c>
      <c r="M63" s="13">
        <v>192</v>
      </c>
      <c r="N63" s="13">
        <v>192</v>
      </c>
      <c r="O63" s="13">
        <v>202</v>
      </c>
      <c r="P63" s="13">
        <v>226</v>
      </c>
      <c r="Q63" s="13">
        <v>207</v>
      </c>
      <c r="R63" s="13">
        <v>183</v>
      </c>
      <c r="S63" s="13">
        <v>173</v>
      </c>
      <c r="T63" s="13">
        <v>190</v>
      </c>
      <c r="U63" s="13">
        <v>180</v>
      </c>
      <c r="V63" s="13">
        <v>162</v>
      </c>
      <c r="W63" s="13">
        <v>155</v>
      </c>
      <c r="X63" s="13">
        <v>183</v>
      </c>
      <c r="Z63" s="14">
        <f>SUM(C63:F63)</f>
        <v>12.8</v>
      </c>
      <c r="AA63" s="14">
        <f>SUM(G63:J63)</f>
        <v>186.4</v>
      </c>
      <c r="AB63" s="14">
        <f>SUM(K63:N63)</f>
        <v>721</v>
      </c>
      <c r="AC63" s="14">
        <f>SUM(O63:R63)</f>
        <v>818</v>
      </c>
      <c r="AD63" s="14">
        <f>SUM(S63:V63)</f>
        <v>705</v>
      </c>
      <c r="AE63" s="15">
        <f>SUM(U63:X63)</f>
        <v>680</v>
      </c>
    </row>
    <row r="64" spans="1:32" x14ac:dyDescent="0.3">
      <c r="A64" t="s">
        <v>105</v>
      </c>
      <c r="B64" s="2" t="s">
        <v>37</v>
      </c>
      <c r="C64" s="12">
        <v>6.3</v>
      </c>
      <c r="D64" s="12">
        <v>11.2</v>
      </c>
      <c r="E64" s="12">
        <v>16.600000000000001</v>
      </c>
      <c r="F64" s="12">
        <v>17.899999999999999</v>
      </c>
      <c r="G64" s="13">
        <v>10.7</v>
      </c>
      <c r="H64" s="13">
        <v>4</v>
      </c>
      <c r="I64" s="13">
        <v>56</v>
      </c>
      <c r="J64" s="13">
        <v>25</v>
      </c>
      <c r="K64" s="13">
        <v>13</v>
      </c>
      <c r="L64" s="13">
        <v>26</v>
      </c>
      <c r="M64" s="13">
        <v>-2695</v>
      </c>
      <c r="N64" s="13">
        <v>-34</v>
      </c>
      <c r="O64" s="13">
        <v>29</v>
      </c>
      <c r="P64" s="13">
        <v>126</v>
      </c>
      <c r="Q64" s="13">
        <v>367</v>
      </c>
      <c r="R64" s="13">
        <v>161</v>
      </c>
      <c r="S64" s="13">
        <v>19</v>
      </c>
      <c r="T64" s="13">
        <v>137</v>
      </c>
      <c r="U64" s="13">
        <v>418</v>
      </c>
      <c r="V64" s="13">
        <v>52</v>
      </c>
      <c r="W64" s="13">
        <v>121</v>
      </c>
      <c r="X64" s="13">
        <v>81</v>
      </c>
      <c r="Z64" s="14">
        <f>SUM(C64:F64)</f>
        <v>52</v>
      </c>
      <c r="AA64" s="14">
        <f>SUM(G64:J64)</f>
        <v>95.7</v>
      </c>
      <c r="AB64" s="14">
        <f>SUM(K64:N64)</f>
        <v>-2690</v>
      </c>
      <c r="AC64" s="14">
        <f>SUM(O64:R64)</f>
        <v>683</v>
      </c>
      <c r="AD64" s="14">
        <f>SUM(S64:V64)</f>
        <v>626</v>
      </c>
      <c r="AE64" s="15">
        <f>SUM(U64:X64)</f>
        <v>672</v>
      </c>
      <c r="AF64" s="2" t="s">
        <v>106</v>
      </c>
    </row>
    <row r="65" spans="1:32" x14ac:dyDescent="0.3">
      <c r="A65" t="s">
        <v>107</v>
      </c>
      <c r="B65" s="2" t="s">
        <v>37</v>
      </c>
      <c r="C65" s="12">
        <v>-1172.2</v>
      </c>
      <c r="D65" s="12">
        <v>-68.2</v>
      </c>
      <c r="E65" s="12">
        <v>833.9</v>
      </c>
      <c r="F65" s="12">
        <v>54.5</v>
      </c>
      <c r="G65" s="13">
        <v>-19</v>
      </c>
      <c r="H65" s="13">
        <v>379</v>
      </c>
      <c r="I65" s="13">
        <v>1214</v>
      </c>
      <c r="J65" s="13">
        <v>319.10000000000002</v>
      </c>
      <c r="K65" s="13">
        <v>117</v>
      </c>
      <c r="L65" s="13">
        <v>650</v>
      </c>
      <c r="M65" s="13">
        <v>4374</v>
      </c>
      <c r="N65" s="13">
        <v>-349.2</v>
      </c>
      <c r="O65" s="13">
        <v>264</v>
      </c>
      <c r="P65" s="13">
        <v>555</v>
      </c>
      <c r="Q65" s="13">
        <v>1368</v>
      </c>
      <c r="R65" s="13">
        <v>461.3</v>
      </c>
      <c r="S65" s="13">
        <v>154</v>
      </c>
      <c r="T65" s="13">
        <v>642</v>
      </c>
      <c r="U65" s="13">
        <v>1374</v>
      </c>
      <c r="V65" s="13">
        <v>341.3</v>
      </c>
      <c r="W65" s="13">
        <v>160</v>
      </c>
      <c r="X65" s="13">
        <v>816</v>
      </c>
      <c r="Z65" s="14">
        <f>SUM(C65:F65)</f>
        <v>-352.00000000000011</v>
      </c>
      <c r="AA65" s="14">
        <f>SUM(G65:J65)</f>
        <v>1893.1</v>
      </c>
      <c r="AB65" s="14">
        <f>SUM(K65:N65)</f>
        <v>4791.8</v>
      </c>
      <c r="AC65" s="14">
        <f>SUM(O65:R65)</f>
        <v>2648.3</v>
      </c>
      <c r="AD65" s="14">
        <f>SUM(S65:V65)</f>
        <v>2511.3000000000002</v>
      </c>
      <c r="AE65" s="15">
        <f>SUM(U65:X65)</f>
        <v>2691.3</v>
      </c>
    </row>
    <row r="66" spans="1:32" x14ac:dyDescent="0.3">
      <c r="A66" t="s">
        <v>108</v>
      </c>
      <c r="B66" s="2" t="s">
        <v>34</v>
      </c>
      <c r="C66" s="8">
        <v>601</v>
      </c>
      <c r="D66" s="8">
        <v>611.70000000000005</v>
      </c>
      <c r="E66" s="8">
        <v>681.9</v>
      </c>
      <c r="F66" s="8">
        <v>569.4</v>
      </c>
      <c r="G66" s="9">
        <v>635</v>
      </c>
      <c r="H66" s="9">
        <v>684</v>
      </c>
      <c r="I66" s="9">
        <v>680</v>
      </c>
      <c r="J66" s="9">
        <v>721</v>
      </c>
      <c r="K66" s="9">
        <v>670</v>
      </c>
      <c r="L66" s="9">
        <v>665</v>
      </c>
      <c r="M66" s="9">
        <v>660</v>
      </c>
      <c r="N66" s="9">
        <v>653</v>
      </c>
      <c r="O66" s="9">
        <v>654</v>
      </c>
      <c r="P66" s="9">
        <v>649</v>
      </c>
      <c r="Q66" s="9">
        <v>642</v>
      </c>
      <c r="R66" s="9">
        <v>635</v>
      </c>
      <c r="S66" s="9">
        <v>632</v>
      </c>
      <c r="T66" s="9">
        <v>626</v>
      </c>
      <c r="U66" s="9">
        <v>621</v>
      </c>
      <c r="V66" s="9">
        <v>613</v>
      </c>
      <c r="W66" s="9">
        <v>608</v>
      </c>
      <c r="X66" s="9">
        <v>597</v>
      </c>
      <c r="AF66" s="2" t="s">
        <v>109</v>
      </c>
    </row>
    <row r="67" spans="1:32" x14ac:dyDescent="0.3">
      <c r="A67" t="s">
        <v>110</v>
      </c>
      <c r="B67" s="2" t="s">
        <v>39</v>
      </c>
      <c r="C67" s="16">
        <f t="shared" ref="C67:X67" si="28">IF(C66="","",C65/C66)</f>
        <v>-1.950415973377704</v>
      </c>
      <c r="D67" s="16">
        <f t="shared" si="28"/>
        <v>-0.11149256171325812</v>
      </c>
      <c r="E67" s="16">
        <f t="shared" si="28"/>
        <v>1.2229065845431881</v>
      </c>
      <c r="F67" s="16">
        <f t="shared" si="28"/>
        <v>9.5714787495609424E-2</v>
      </c>
      <c r="G67" s="17">
        <f t="shared" si="28"/>
        <v>-2.9921259842519685E-2</v>
      </c>
      <c r="H67" s="17">
        <f t="shared" si="28"/>
        <v>0.55409356725146197</v>
      </c>
      <c r="I67" s="17">
        <f t="shared" si="28"/>
        <v>1.7852941176470589</v>
      </c>
      <c r="J67" s="17">
        <f t="shared" si="28"/>
        <v>0.44257975034674069</v>
      </c>
      <c r="K67" s="17">
        <f t="shared" si="28"/>
        <v>0.17462686567164179</v>
      </c>
      <c r="L67" s="17">
        <f t="shared" si="28"/>
        <v>0.97744360902255634</v>
      </c>
      <c r="M67" s="17">
        <f t="shared" si="28"/>
        <v>6.627272727272727</v>
      </c>
      <c r="N67" s="17">
        <f t="shared" si="28"/>
        <v>-0.53476263399693724</v>
      </c>
      <c r="O67" s="17">
        <f t="shared" si="28"/>
        <v>0.40366972477064222</v>
      </c>
      <c r="P67" s="17">
        <f t="shared" si="28"/>
        <v>0.85516178736517723</v>
      </c>
      <c r="Q67" s="17">
        <f t="shared" si="28"/>
        <v>2.1308411214953269</v>
      </c>
      <c r="R67" s="17">
        <f t="shared" si="28"/>
        <v>0.72645669291338588</v>
      </c>
      <c r="S67" s="17">
        <f t="shared" si="28"/>
        <v>0.24367088607594936</v>
      </c>
      <c r="T67" s="17">
        <f t="shared" si="28"/>
        <v>1.02555910543131</v>
      </c>
      <c r="U67" s="17">
        <f t="shared" si="28"/>
        <v>2.21256038647343</v>
      </c>
      <c r="V67" s="17">
        <f t="shared" si="28"/>
        <v>0.55676998368678632</v>
      </c>
      <c r="W67" s="17">
        <f t="shared" si="28"/>
        <v>0.26315789473684209</v>
      </c>
      <c r="X67" s="17">
        <f t="shared" si="28"/>
        <v>1.3668341708542713</v>
      </c>
    </row>
    <row r="68" spans="1:32" x14ac:dyDescent="0.3">
      <c r="A68" t="s">
        <v>111</v>
      </c>
      <c r="B68" s="2" t="s">
        <v>39</v>
      </c>
      <c r="C68" s="29">
        <v>-1.95</v>
      </c>
      <c r="D68" s="29">
        <v>-0.11</v>
      </c>
      <c r="E68" s="29">
        <v>1.22</v>
      </c>
      <c r="F68" s="29">
        <v>0.08</v>
      </c>
      <c r="G68" s="30">
        <v>-0.03</v>
      </c>
      <c r="H68" s="30">
        <v>0.56000000000000005</v>
      </c>
      <c r="I68" s="30">
        <v>1.79</v>
      </c>
      <c r="J68" s="30">
        <v>0.48</v>
      </c>
      <c r="K68" s="30">
        <v>0.18</v>
      </c>
      <c r="L68" s="30">
        <v>0.98</v>
      </c>
      <c r="M68" s="30">
        <v>6.63</v>
      </c>
      <c r="N68" s="30">
        <v>-0.55000000000000004</v>
      </c>
      <c r="O68" s="30">
        <v>0.41</v>
      </c>
      <c r="P68" s="30">
        <v>0.86</v>
      </c>
      <c r="Q68" s="30">
        <v>2.13</v>
      </c>
      <c r="R68" s="30">
        <v>0.73</v>
      </c>
      <c r="S68" s="30">
        <v>0.24</v>
      </c>
      <c r="T68" s="30">
        <v>1.03</v>
      </c>
      <c r="U68" s="30">
        <v>2.21</v>
      </c>
      <c r="V68" s="30">
        <v>0.56000000000000005</v>
      </c>
      <c r="W68" s="30">
        <v>0.26</v>
      </c>
      <c r="X68" s="30">
        <v>1.37</v>
      </c>
      <c r="AF68" s="2" t="s">
        <v>112</v>
      </c>
    </row>
    <row r="70" spans="1:32" x14ac:dyDescent="0.3">
      <c r="A70" s="6" t="s">
        <v>113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spans="1:32" x14ac:dyDescent="0.3">
      <c r="A71" t="s">
        <v>114</v>
      </c>
      <c r="B71" s="2" t="s">
        <v>37</v>
      </c>
      <c r="C71" s="12">
        <v>229.5</v>
      </c>
      <c r="D71" s="12">
        <v>232.9</v>
      </c>
      <c r="E71" s="12">
        <v>210.8</v>
      </c>
      <c r="F71" s="12">
        <v>225.9</v>
      </c>
      <c r="G71" s="13">
        <v>195</v>
      </c>
      <c r="H71" s="13">
        <v>247</v>
      </c>
      <c r="I71" s="13">
        <v>234</v>
      </c>
      <c r="J71" s="13">
        <v>254</v>
      </c>
      <c r="K71" s="13">
        <v>240</v>
      </c>
      <c r="L71" s="13">
        <v>304</v>
      </c>
      <c r="M71" s="13">
        <v>286</v>
      </c>
      <c r="N71" s="13">
        <v>270</v>
      </c>
      <c r="O71" s="13">
        <v>295</v>
      </c>
      <c r="P71" s="13">
        <v>382</v>
      </c>
      <c r="Q71" s="13">
        <v>362</v>
      </c>
      <c r="R71" s="13">
        <v>400</v>
      </c>
      <c r="S71" s="13">
        <v>358</v>
      </c>
      <c r="T71" s="13">
        <v>424</v>
      </c>
      <c r="U71" s="13">
        <v>399</v>
      </c>
      <c r="V71" s="13">
        <v>400</v>
      </c>
      <c r="W71" s="13">
        <v>410</v>
      </c>
      <c r="X71" s="13">
        <v>487</v>
      </c>
      <c r="Z71" s="14">
        <f t="shared" ref="Z71:Z76" si="29">SUM(C71:F71)</f>
        <v>899.1</v>
      </c>
      <c r="AA71" s="14">
        <f t="shared" ref="AA71:AA76" si="30">SUM(G71:J71)</f>
        <v>930</v>
      </c>
      <c r="AB71" s="14">
        <f t="shared" ref="AB71:AB76" si="31">SUM(K71:N71)</f>
        <v>1100</v>
      </c>
      <c r="AC71" s="14">
        <f t="shared" ref="AC71:AC76" si="32">SUM(O71:R71)</f>
        <v>1439</v>
      </c>
      <c r="AD71" s="14">
        <f t="shared" ref="AD71:AD76" si="33">SUM(S71:V71)</f>
        <v>1581</v>
      </c>
      <c r="AE71" s="15">
        <f t="shared" ref="AE71:AE76" si="34">SUM(U71:X71)</f>
        <v>1696</v>
      </c>
    </row>
    <row r="72" spans="1:32" x14ac:dyDescent="0.3">
      <c r="A72" t="s">
        <v>115</v>
      </c>
      <c r="B72" s="2" t="s">
        <v>37</v>
      </c>
      <c r="C72" s="12">
        <v>0</v>
      </c>
      <c r="D72" s="12">
        <v>0</v>
      </c>
      <c r="E72" s="12">
        <v>0</v>
      </c>
      <c r="F72" s="12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Z72" s="14">
        <f t="shared" si="29"/>
        <v>0</v>
      </c>
      <c r="AA72" s="14">
        <f t="shared" si="30"/>
        <v>0</v>
      </c>
      <c r="AB72" s="14">
        <f t="shared" si="31"/>
        <v>0</v>
      </c>
      <c r="AC72" s="14">
        <f t="shared" si="32"/>
        <v>0</v>
      </c>
      <c r="AD72" s="14">
        <f t="shared" si="33"/>
        <v>0</v>
      </c>
      <c r="AE72" s="15">
        <f t="shared" si="34"/>
        <v>0</v>
      </c>
    </row>
    <row r="73" spans="1:32" x14ac:dyDescent="0.3">
      <c r="A73" t="s">
        <v>116</v>
      </c>
      <c r="B73" s="2" t="s">
        <v>37</v>
      </c>
      <c r="C73" s="12">
        <v>11.4</v>
      </c>
      <c r="D73" s="12">
        <v>14.2</v>
      </c>
      <c r="E73" s="12">
        <v>11.2</v>
      </c>
      <c r="F73" s="12">
        <v>11.7</v>
      </c>
      <c r="G73" s="13">
        <v>11.7</v>
      </c>
      <c r="H73" s="13">
        <v>16.899999999999999</v>
      </c>
      <c r="I73" s="13">
        <v>17.899999999999999</v>
      </c>
      <c r="J73" s="13">
        <v>17</v>
      </c>
      <c r="K73" s="13">
        <v>15</v>
      </c>
      <c r="L73" s="13">
        <v>19</v>
      </c>
      <c r="M73" s="13">
        <v>17</v>
      </c>
      <c r="N73" s="13">
        <v>17</v>
      </c>
      <c r="O73" s="13">
        <v>19</v>
      </c>
      <c r="P73" s="13">
        <v>24</v>
      </c>
      <c r="Q73" s="13">
        <v>22</v>
      </c>
      <c r="R73" s="13">
        <v>25</v>
      </c>
      <c r="S73" s="13">
        <v>21</v>
      </c>
      <c r="T73" s="13">
        <v>23</v>
      </c>
      <c r="U73" s="13">
        <v>22</v>
      </c>
      <c r="V73" s="13">
        <v>24</v>
      </c>
      <c r="W73" s="13">
        <v>25</v>
      </c>
      <c r="X73" s="13">
        <v>38</v>
      </c>
      <c r="Z73" s="14">
        <f t="shared" si="29"/>
        <v>48.5</v>
      </c>
      <c r="AA73" s="14">
        <f t="shared" si="30"/>
        <v>63.5</v>
      </c>
      <c r="AB73" s="14">
        <f t="shared" si="31"/>
        <v>68</v>
      </c>
      <c r="AC73" s="14">
        <f t="shared" si="32"/>
        <v>90</v>
      </c>
      <c r="AD73" s="14">
        <f t="shared" si="33"/>
        <v>90</v>
      </c>
      <c r="AE73" s="15">
        <f t="shared" si="34"/>
        <v>109</v>
      </c>
    </row>
    <row r="74" spans="1:32" x14ac:dyDescent="0.3">
      <c r="A74" t="s">
        <v>117</v>
      </c>
      <c r="B74" s="2" t="s">
        <v>37</v>
      </c>
      <c r="C74" s="12">
        <v>143.69999999999999</v>
      </c>
      <c r="D74" s="12">
        <v>143.80000000000001</v>
      </c>
      <c r="E74" s="12">
        <v>131.30000000000001</v>
      </c>
      <c r="F74" s="12">
        <v>126.3</v>
      </c>
      <c r="G74" s="13">
        <v>117.9</v>
      </c>
      <c r="H74" s="13">
        <v>144.9</v>
      </c>
      <c r="I74" s="13">
        <v>135.9</v>
      </c>
      <c r="J74" s="13">
        <v>149</v>
      </c>
      <c r="K74" s="13">
        <v>149</v>
      </c>
      <c r="L74" s="13">
        <v>191</v>
      </c>
      <c r="M74" s="13">
        <v>175</v>
      </c>
      <c r="N74" s="13">
        <v>179</v>
      </c>
      <c r="O74" s="13">
        <v>185</v>
      </c>
      <c r="P74" s="13">
        <v>239</v>
      </c>
      <c r="Q74" s="13">
        <v>230</v>
      </c>
      <c r="R74" s="13">
        <v>232</v>
      </c>
      <c r="S74" s="13">
        <v>230</v>
      </c>
      <c r="T74" s="13">
        <v>279</v>
      </c>
      <c r="U74" s="13">
        <v>254</v>
      </c>
      <c r="V74" s="13">
        <v>254</v>
      </c>
      <c r="W74" s="13">
        <v>263</v>
      </c>
      <c r="X74" s="13">
        <v>298</v>
      </c>
      <c r="Z74" s="14">
        <f t="shared" si="29"/>
        <v>545.1</v>
      </c>
      <c r="AA74" s="14">
        <f t="shared" si="30"/>
        <v>547.70000000000005</v>
      </c>
      <c r="AB74" s="14">
        <f t="shared" si="31"/>
        <v>694</v>
      </c>
      <c r="AC74" s="14">
        <f t="shared" si="32"/>
        <v>886</v>
      </c>
      <c r="AD74" s="14">
        <f t="shared" si="33"/>
        <v>1017</v>
      </c>
      <c r="AE74" s="15">
        <f t="shared" si="34"/>
        <v>1069</v>
      </c>
    </row>
    <row r="75" spans="1:32" x14ac:dyDescent="0.3">
      <c r="A75" t="s">
        <v>118</v>
      </c>
      <c r="B75" s="2" t="s">
        <v>37</v>
      </c>
      <c r="C75" s="12">
        <v>25.9</v>
      </c>
      <c r="D75" s="12">
        <v>24.1</v>
      </c>
      <c r="E75" s="12">
        <v>23.7</v>
      </c>
      <c r="F75" s="12">
        <v>26.3</v>
      </c>
      <c r="G75" s="13">
        <v>21.2</v>
      </c>
      <c r="H75" s="13">
        <v>29.1</v>
      </c>
      <c r="I75" s="13">
        <v>27.4</v>
      </c>
      <c r="J75" s="13">
        <v>36</v>
      </c>
      <c r="K75" s="13">
        <v>28</v>
      </c>
      <c r="L75" s="13">
        <v>36</v>
      </c>
      <c r="M75" s="13">
        <v>33</v>
      </c>
      <c r="N75" s="13">
        <v>33</v>
      </c>
      <c r="O75" s="13">
        <v>35</v>
      </c>
      <c r="P75" s="13">
        <v>46</v>
      </c>
      <c r="Q75" s="13">
        <v>43</v>
      </c>
      <c r="R75" s="13">
        <v>46</v>
      </c>
      <c r="S75" s="13">
        <v>44</v>
      </c>
      <c r="T75" s="13">
        <v>52</v>
      </c>
      <c r="U75" s="13">
        <v>54</v>
      </c>
      <c r="V75" s="13">
        <v>62</v>
      </c>
      <c r="W75" s="13">
        <v>55</v>
      </c>
      <c r="X75" s="13">
        <v>67</v>
      </c>
      <c r="Z75" s="14">
        <f t="shared" si="29"/>
        <v>100</v>
      </c>
      <c r="AA75" s="14">
        <f t="shared" si="30"/>
        <v>113.69999999999999</v>
      </c>
      <c r="AB75" s="14">
        <f t="shared" si="31"/>
        <v>130</v>
      </c>
      <c r="AC75" s="14">
        <f t="shared" si="32"/>
        <v>170</v>
      </c>
      <c r="AD75" s="14">
        <f t="shared" si="33"/>
        <v>212</v>
      </c>
      <c r="AE75" s="15">
        <f t="shared" si="34"/>
        <v>238</v>
      </c>
    </row>
    <row r="76" spans="1:32" x14ac:dyDescent="0.3">
      <c r="A76" t="s">
        <v>119</v>
      </c>
      <c r="B76" s="2" t="s">
        <v>37</v>
      </c>
      <c r="C76" s="12">
        <v>48.5</v>
      </c>
      <c r="D76" s="12">
        <v>50.7</v>
      </c>
      <c r="E76" s="12">
        <v>44.7</v>
      </c>
      <c r="F76" s="12">
        <v>61.4</v>
      </c>
      <c r="G76" s="13">
        <v>44.1</v>
      </c>
      <c r="H76" s="13">
        <v>56.2</v>
      </c>
      <c r="I76" s="13">
        <v>53.1</v>
      </c>
      <c r="J76" s="13">
        <v>52</v>
      </c>
      <c r="K76" s="13">
        <v>48</v>
      </c>
      <c r="L76" s="13">
        <v>58</v>
      </c>
      <c r="M76" s="13">
        <v>61</v>
      </c>
      <c r="N76" s="13">
        <v>61</v>
      </c>
      <c r="O76" s="13">
        <v>56</v>
      </c>
      <c r="P76" s="13">
        <v>73</v>
      </c>
      <c r="Q76" s="13">
        <v>67</v>
      </c>
      <c r="R76" s="13">
        <v>65</v>
      </c>
      <c r="S76" s="13">
        <v>63</v>
      </c>
      <c r="T76" s="13">
        <v>70</v>
      </c>
      <c r="U76" s="13">
        <v>69</v>
      </c>
      <c r="V76" s="13">
        <v>71</v>
      </c>
      <c r="W76" s="13">
        <v>67</v>
      </c>
      <c r="X76" s="13">
        <v>84</v>
      </c>
      <c r="Z76" s="14">
        <f t="shared" si="29"/>
        <v>205.3</v>
      </c>
      <c r="AA76" s="14">
        <f t="shared" si="30"/>
        <v>205.4</v>
      </c>
      <c r="AB76" s="14">
        <f t="shared" si="31"/>
        <v>228</v>
      </c>
      <c r="AC76" s="14">
        <f t="shared" si="32"/>
        <v>261</v>
      </c>
      <c r="AD76" s="14">
        <f t="shared" si="33"/>
        <v>273</v>
      </c>
      <c r="AE76" s="15">
        <f t="shared" si="34"/>
        <v>291</v>
      </c>
    </row>
    <row r="77" spans="1:32" x14ac:dyDescent="0.3">
      <c r="A77" t="s">
        <v>120</v>
      </c>
      <c r="B77" s="2" t="s">
        <v>37</v>
      </c>
      <c r="C77" s="28">
        <f t="shared" ref="C77:X77" si="35">C55-C72</f>
        <v>254.5</v>
      </c>
      <c r="D77" s="28">
        <f t="shared" si="35"/>
        <v>294.39999999999998</v>
      </c>
      <c r="E77" s="28">
        <f t="shared" si="35"/>
        <v>311.60000000000002</v>
      </c>
      <c r="F77" s="28">
        <f t="shared" si="35"/>
        <v>295.5</v>
      </c>
      <c r="G77" s="14">
        <f t="shared" si="35"/>
        <v>363</v>
      </c>
      <c r="H77" s="14">
        <f t="shared" si="35"/>
        <v>390</v>
      </c>
      <c r="I77" s="14">
        <f t="shared" si="35"/>
        <v>401</v>
      </c>
      <c r="J77" s="14">
        <f t="shared" si="35"/>
        <v>345</v>
      </c>
      <c r="K77" s="14">
        <f t="shared" si="35"/>
        <v>428</v>
      </c>
      <c r="L77" s="14">
        <f t="shared" si="35"/>
        <v>432</v>
      </c>
      <c r="M77" s="14">
        <f t="shared" si="35"/>
        <v>459</v>
      </c>
      <c r="N77" s="14">
        <f t="shared" si="35"/>
        <v>384</v>
      </c>
      <c r="O77" s="14">
        <f t="shared" si="35"/>
        <v>480</v>
      </c>
      <c r="P77" s="14">
        <f t="shared" si="35"/>
        <v>506</v>
      </c>
      <c r="Q77" s="14">
        <f t="shared" si="35"/>
        <v>465</v>
      </c>
      <c r="R77" s="14">
        <f t="shared" si="35"/>
        <v>427</v>
      </c>
      <c r="S77" s="14">
        <f t="shared" si="35"/>
        <v>506</v>
      </c>
      <c r="T77" s="14">
        <f t="shared" si="35"/>
        <v>544</v>
      </c>
      <c r="U77" s="14">
        <f t="shared" si="35"/>
        <v>549</v>
      </c>
      <c r="V77" s="14">
        <f t="shared" si="35"/>
        <v>487</v>
      </c>
      <c r="W77" s="14">
        <f t="shared" si="35"/>
        <v>581</v>
      </c>
      <c r="X77" s="14">
        <f t="shared" si="35"/>
        <v>633</v>
      </c>
      <c r="Z77" s="14">
        <f t="shared" ref="Z77:AE81" si="36">Z55-Z72</f>
        <v>1156</v>
      </c>
      <c r="AA77" s="14">
        <f t="shared" si="36"/>
        <v>1499</v>
      </c>
      <c r="AB77" s="14">
        <f t="shared" si="36"/>
        <v>1703</v>
      </c>
      <c r="AC77" s="14">
        <f t="shared" si="36"/>
        <v>1878</v>
      </c>
      <c r="AD77" s="14">
        <f t="shared" si="36"/>
        <v>2086</v>
      </c>
      <c r="AE77" s="15">
        <f t="shared" si="36"/>
        <v>2250</v>
      </c>
    </row>
    <row r="78" spans="1:32" x14ac:dyDescent="0.3">
      <c r="A78" t="s">
        <v>121</v>
      </c>
      <c r="B78" s="2" t="s">
        <v>37</v>
      </c>
      <c r="C78" s="28">
        <f t="shared" ref="C78:X78" si="37">C56-C73</f>
        <v>174</v>
      </c>
      <c r="D78" s="28">
        <f t="shared" si="37"/>
        <v>193.9</v>
      </c>
      <c r="E78" s="28">
        <f t="shared" si="37"/>
        <v>217.10000000000002</v>
      </c>
      <c r="F78" s="28">
        <f t="shared" si="37"/>
        <v>213.4</v>
      </c>
      <c r="G78" s="14">
        <f t="shared" si="37"/>
        <v>221</v>
      </c>
      <c r="H78" s="14">
        <f t="shared" si="37"/>
        <v>241.1</v>
      </c>
      <c r="I78" s="14">
        <f t="shared" si="37"/>
        <v>272.10000000000002</v>
      </c>
      <c r="J78" s="14">
        <f t="shared" si="37"/>
        <v>243</v>
      </c>
      <c r="K78" s="14">
        <f t="shared" si="37"/>
        <v>267</v>
      </c>
      <c r="L78" s="14">
        <f t="shared" si="37"/>
        <v>298</v>
      </c>
      <c r="M78" s="14">
        <f t="shared" si="37"/>
        <v>299</v>
      </c>
      <c r="N78" s="14">
        <f t="shared" si="37"/>
        <v>254</v>
      </c>
      <c r="O78" s="14">
        <f t="shared" si="37"/>
        <v>266</v>
      </c>
      <c r="P78" s="14">
        <f t="shared" si="37"/>
        <v>314</v>
      </c>
      <c r="Q78" s="14">
        <f t="shared" si="37"/>
        <v>347</v>
      </c>
      <c r="R78" s="14">
        <f t="shared" si="37"/>
        <v>265</v>
      </c>
      <c r="S78" s="14">
        <f t="shared" si="37"/>
        <v>282</v>
      </c>
      <c r="T78" s="14">
        <f t="shared" si="37"/>
        <v>309</v>
      </c>
      <c r="U78" s="14">
        <f t="shared" si="37"/>
        <v>343</v>
      </c>
      <c r="V78" s="14">
        <f t="shared" si="37"/>
        <v>303</v>
      </c>
      <c r="W78" s="14">
        <f t="shared" si="37"/>
        <v>301</v>
      </c>
      <c r="X78" s="14">
        <f t="shared" si="37"/>
        <v>323</v>
      </c>
      <c r="Z78" s="14">
        <f t="shared" si="36"/>
        <v>798.4</v>
      </c>
      <c r="AA78" s="14">
        <f t="shared" si="36"/>
        <v>977.2</v>
      </c>
      <c r="AB78" s="14">
        <f t="shared" si="36"/>
        <v>1118</v>
      </c>
      <c r="AC78" s="14">
        <f t="shared" si="36"/>
        <v>1192</v>
      </c>
      <c r="AD78" s="14">
        <f t="shared" si="36"/>
        <v>1237</v>
      </c>
      <c r="AE78" s="15">
        <f t="shared" si="36"/>
        <v>1270</v>
      </c>
    </row>
    <row r="79" spans="1:32" x14ac:dyDescent="0.3">
      <c r="A79" t="s">
        <v>122</v>
      </c>
      <c r="B79" s="2" t="s">
        <v>37</v>
      </c>
      <c r="C79" s="28">
        <f t="shared" ref="C79:X79" si="38">C57-C74</f>
        <v>219.40000000000003</v>
      </c>
      <c r="D79" s="28">
        <f t="shared" si="38"/>
        <v>205.89999999999998</v>
      </c>
      <c r="E79" s="28">
        <f t="shared" si="38"/>
        <v>213.09999999999997</v>
      </c>
      <c r="F79" s="28">
        <f t="shared" si="38"/>
        <v>241.5</v>
      </c>
      <c r="G79" s="14">
        <f t="shared" si="38"/>
        <v>245.1</v>
      </c>
      <c r="H79" s="14">
        <f t="shared" si="38"/>
        <v>230.1</v>
      </c>
      <c r="I79" s="14">
        <f t="shared" si="38"/>
        <v>230.1</v>
      </c>
      <c r="J79" s="14">
        <f t="shared" si="38"/>
        <v>249</v>
      </c>
      <c r="K79" s="14">
        <f t="shared" si="38"/>
        <v>271</v>
      </c>
      <c r="L79" s="14">
        <f t="shared" si="38"/>
        <v>260</v>
      </c>
      <c r="M79" s="14">
        <f t="shared" si="38"/>
        <v>244</v>
      </c>
      <c r="N79" s="14">
        <f t="shared" si="38"/>
        <v>253</v>
      </c>
      <c r="O79" s="14">
        <f t="shared" si="38"/>
        <v>290</v>
      </c>
      <c r="P79" s="14">
        <f t="shared" si="38"/>
        <v>280</v>
      </c>
      <c r="Q79" s="14">
        <f t="shared" si="38"/>
        <v>294</v>
      </c>
      <c r="R79" s="14">
        <f t="shared" si="38"/>
        <v>306</v>
      </c>
      <c r="S79" s="14">
        <f t="shared" si="38"/>
        <v>338</v>
      </c>
      <c r="T79" s="14">
        <f t="shared" si="38"/>
        <v>331</v>
      </c>
      <c r="U79" s="14">
        <f t="shared" si="38"/>
        <v>333</v>
      </c>
      <c r="V79" s="14">
        <f t="shared" si="38"/>
        <v>335</v>
      </c>
      <c r="W79" s="14">
        <f t="shared" si="38"/>
        <v>375</v>
      </c>
      <c r="X79" s="14">
        <f t="shared" si="38"/>
        <v>374</v>
      </c>
      <c r="Z79" s="14">
        <f t="shared" si="36"/>
        <v>879.89999999999975</v>
      </c>
      <c r="AA79" s="14">
        <f t="shared" si="36"/>
        <v>954.3</v>
      </c>
      <c r="AB79" s="14">
        <f t="shared" si="36"/>
        <v>1028</v>
      </c>
      <c r="AC79" s="14">
        <f t="shared" si="36"/>
        <v>1170</v>
      </c>
      <c r="AD79" s="14">
        <f t="shared" si="36"/>
        <v>1337</v>
      </c>
      <c r="AE79" s="15">
        <f t="shared" si="36"/>
        <v>1417</v>
      </c>
    </row>
    <row r="80" spans="1:32" x14ac:dyDescent="0.3">
      <c r="A80" t="s">
        <v>123</v>
      </c>
      <c r="B80" s="2" t="s">
        <v>37</v>
      </c>
      <c r="C80" s="28">
        <f t="shared" ref="C80:X80" si="39">C58-C75</f>
        <v>203.2</v>
      </c>
      <c r="D80" s="28">
        <f t="shared" si="39"/>
        <v>291.2</v>
      </c>
      <c r="E80" s="28">
        <f t="shared" si="39"/>
        <v>267.2</v>
      </c>
      <c r="F80" s="28">
        <f t="shared" si="39"/>
        <v>324.39999999999998</v>
      </c>
      <c r="G80" s="14">
        <f t="shared" si="39"/>
        <v>323.8</v>
      </c>
      <c r="H80" s="14">
        <f t="shared" si="39"/>
        <v>349.9</v>
      </c>
      <c r="I80" s="14">
        <f t="shared" si="39"/>
        <v>356.6</v>
      </c>
      <c r="J80" s="14">
        <f t="shared" si="39"/>
        <v>372</v>
      </c>
      <c r="K80" s="14">
        <f t="shared" si="39"/>
        <v>422</v>
      </c>
      <c r="L80" s="14">
        <f t="shared" si="39"/>
        <v>450</v>
      </c>
      <c r="M80" s="14">
        <f t="shared" si="39"/>
        <v>370</v>
      </c>
      <c r="N80" s="14">
        <f t="shared" si="39"/>
        <v>391</v>
      </c>
      <c r="O80" s="14">
        <f t="shared" si="39"/>
        <v>479</v>
      </c>
      <c r="P80" s="14">
        <f t="shared" si="39"/>
        <v>527</v>
      </c>
      <c r="Q80" s="14">
        <f t="shared" si="39"/>
        <v>471</v>
      </c>
      <c r="R80" s="14">
        <f t="shared" si="39"/>
        <v>501</v>
      </c>
      <c r="S80" s="14">
        <f t="shared" si="39"/>
        <v>519</v>
      </c>
      <c r="T80" s="14">
        <f t="shared" si="39"/>
        <v>639</v>
      </c>
      <c r="U80" s="14">
        <f t="shared" si="39"/>
        <v>585</v>
      </c>
      <c r="V80" s="14">
        <f t="shared" si="39"/>
        <v>633</v>
      </c>
      <c r="W80" s="14">
        <f t="shared" si="39"/>
        <v>696</v>
      </c>
      <c r="X80" s="14">
        <f t="shared" si="39"/>
        <v>808</v>
      </c>
      <c r="Z80" s="14">
        <f t="shared" si="36"/>
        <v>1086</v>
      </c>
      <c r="AA80" s="14">
        <f t="shared" si="36"/>
        <v>1402.3</v>
      </c>
      <c r="AB80" s="14">
        <f t="shared" si="36"/>
        <v>1633</v>
      </c>
      <c r="AC80" s="14">
        <f t="shared" si="36"/>
        <v>1978</v>
      </c>
      <c r="AD80" s="14">
        <f t="shared" si="36"/>
        <v>2376</v>
      </c>
      <c r="AE80" s="15">
        <f t="shared" si="36"/>
        <v>2722</v>
      </c>
    </row>
    <row r="81" spans="1:32" x14ac:dyDescent="0.3">
      <c r="A81" t="s">
        <v>124</v>
      </c>
      <c r="B81" s="2" t="s">
        <v>37</v>
      </c>
      <c r="C81" s="28">
        <f t="shared" ref="C81:X81" si="40">C59-C76</f>
        <v>141.30000000000001</v>
      </c>
      <c r="D81" s="28">
        <f t="shared" si="40"/>
        <v>167.60000000000002</v>
      </c>
      <c r="E81" s="28">
        <f t="shared" si="40"/>
        <v>166</v>
      </c>
      <c r="F81" s="28">
        <f t="shared" si="40"/>
        <v>155.79999999999998</v>
      </c>
      <c r="G81" s="14">
        <f t="shared" si="40"/>
        <v>165.9</v>
      </c>
      <c r="H81" s="14">
        <f t="shared" si="40"/>
        <v>187.8</v>
      </c>
      <c r="I81" s="14">
        <f t="shared" si="40"/>
        <v>186.9</v>
      </c>
      <c r="J81" s="14">
        <f t="shared" si="40"/>
        <v>204</v>
      </c>
      <c r="K81" s="14">
        <f t="shared" si="40"/>
        <v>195</v>
      </c>
      <c r="L81" s="14">
        <f t="shared" si="40"/>
        <v>217</v>
      </c>
      <c r="M81" s="14">
        <f t="shared" si="40"/>
        <v>243</v>
      </c>
      <c r="N81" s="14">
        <f t="shared" si="40"/>
        <v>1142</v>
      </c>
      <c r="O81" s="14">
        <f t="shared" si="40"/>
        <v>231</v>
      </c>
      <c r="P81" s="14">
        <f t="shared" si="40"/>
        <v>242</v>
      </c>
      <c r="Q81" s="14">
        <f t="shared" si="40"/>
        <v>268</v>
      </c>
      <c r="R81" s="14">
        <f t="shared" si="40"/>
        <v>183</v>
      </c>
      <c r="S81" s="14">
        <f t="shared" si="40"/>
        <v>231</v>
      </c>
      <c r="T81" s="14">
        <f t="shared" si="40"/>
        <v>237</v>
      </c>
      <c r="U81" s="14">
        <f t="shared" si="40"/>
        <v>261</v>
      </c>
      <c r="V81" s="14">
        <f t="shared" si="40"/>
        <v>340</v>
      </c>
      <c r="W81" s="14">
        <f t="shared" si="40"/>
        <v>229</v>
      </c>
      <c r="X81" s="14">
        <f t="shared" si="40"/>
        <v>225</v>
      </c>
      <c r="Z81" s="14">
        <f t="shared" si="36"/>
        <v>630.70000000000005</v>
      </c>
      <c r="AA81" s="14">
        <f t="shared" si="36"/>
        <v>744.6</v>
      </c>
      <c r="AB81" s="14">
        <f t="shared" si="36"/>
        <v>1797</v>
      </c>
      <c r="AC81" s="14">
        <f t="shared" si="36"/>
        <v>924</v>
      </c>
      <c r="AD81" s="14">
        <f t="shared" si="36"/>
        <v>1069</v>
      </c>
      <c r="AE81" s="15">
        <f t="shared" si="36"/>
        <v>1055</v>
      </c>
    </row>
    <row r="82" spans="1:32" x14ac:dyDescent="0.3">
      <c r="A82" t="s">
        <v>125</v>
      </c>
      <c r="B82" s="2" t="s">
        <v>37</v>
      </c>
      <c r="G82" s="13">
        <v>231</v>
      </c>
      <c r="H82" s="13">
        <v>282</v>
      </c>
      <c r="I82" s="13">
        <v>259</v>
      </c>
      <c r="J82" s="13">
        <v>258</v>
      </c>
      <c r="K82" s="13">
        <v>307</v>
      </c>
      <c r="L82" s="13">
        <v>361</v>
      </c>
      <c r="M82" s="13">
        <v>264</v>
      </c>
      <c r="N82" s="13">
        <v>276</v>
      </c>
      <c r="O82" s="13">
        <v>370</v>
      </c>
      <c r="P82" s="13">
        <v>384</v>
      </c>
      <c r="Q82" s="13">
        <v>332</v>
      </c>
      <c r="R82" s="13">
        <v>369</v>
      </c>
      <c r="S82" s="13">
        <v>378</v>
      </c>
      <c r="T82" s="13">
        <v>446</v>
      </c>
      <c r="U82" s="13">
        <v>380</v>
      </c>
      <c r="V82" s="13">
        <v>391</v>
      </c>
      <c r="W82" s="13">
        <v>512</v>
      </c>
      <c r="X82" s="13">
        <v>579</v>
      </c>
      <c r="AF82" s="2" t="s">
        <v>126</v>
      </c>
    </row>
    <row r="83" spans="1:32" x14ac:dyDescent="0.3">
      <c r="A83" t="s">
        <v>127</v>
      </c>
      <c r="B83" s="2" t="s">
        <v>37</v>
      </c>
      <c r="G83" s="13">
        <v>114</v>
      </c>
      <c r="H83" s="13">
        <v>97</v>
      </c>
      <c r="I83" s="13">
        <v>124</v>
      </c>
      <c r="J83" s="13">
        <v>151</v>
      </c>
      <c r="K83" s="13">
        <v>143</v>
      </c>
      <c r="L83" s="13">
        <v>125</v>
      </c>
      <c r="M83" s="13">
        <v>139</v>
      </c>
      <c r="N83" s="13">
        <v>148</v>
      </c>
      <c r="O83" s="13">
        <v>144</v>
      </c>
      <c r="P83" s="13">
        <v>189</v>
      </c>
      <c r="Q83" s="13">
        <v>182</v>
      </c>
      <c r="R83" s="13">
        <v>178</v>
      </c>
      <c r="S83" s="13">
        <v>185</v>
      </c>
      <c r="T83" s="13">
        <v>245</v>
      </c>
      <c r="U83" s="13">
        <v>259</v>
      </c>
      <c r="V83" s="13">
        <v>304</v>
      </c>
      <c r="W83" s="13">
        <v>239</v>
      </c>
      <c r="X83" s="13">
        <v>296</v>
      </c>
    </row>
    <row r="84" spans="1:32" x14ac:dyDescent="0.3">
      <c r="A84" t="s">
        <v>128</v>
      </c>
      <c r="B84" s="2" t="s">
        <v>37</v>
      </c>
      <c r="C84" s="28">
        <f t="shared" ref="C84:X84" si="41">C77+C78+C79+C80+C81</f>
        <v>992.40000000000009</v>
      </c>
      <c r="D84" s="28">
        <f t="shared" si="41"/>
        <v>1153</v>
      </c>
      <c r="E84" s="28">
        <f t="shared" si="41"/>
        <v>1175</v>
      </c>
      <c r="F84" s="28">
        <f t="shared" si="41"/>
        <v>1230.5999999999999</v>
      </c>
      <c r="G84" s="14">
        <f t="shared" si="41"/>
        <v>1318.8000000000002</v>
      </c>
      <c r="H84" s="14">
        <f t="shared" si="41"/>
        <v>1398.8999999999999</v>
      </c>
      <c r="I84" s="14">
        <f t="shared" si="41"/>
        <v>1446.7000000000003</v>
      </c>
      <c r="J84" s="14">
        <f t="shared" si="41"/>
        <v>1413</v>
      </c>
      <c r="K84" s="14">
        <f t="shared" si="41"/>
        <v>1583</v>
      </c>
      <c r="L84" s="14">
        <f t="shared" si="41"/>
        <v>1657</v>
      </c>
      <c r="M84" s="14">
        <f t="shared" si="41"/>
        <v>1615</v>
      </c>
      <c r="N84" s="14">
        <f t="shared" si="41"/>
        <v>2424</v>
      </c>
      <c r="O84" s="14">
        <f t="shared" si="41"/>
        <v>1746</v>
      </c>
      <c r="P84" s="14">
        <f t="shared" si="41"/>
        <v>1869</v>
      </c>
      <c r="Q84" s="14">
        <f t="shared" si="41"/>
        <v>1845</v>
      </c>
      <c r="R84" s="14">
        <f t="shared" si="41"/>
        <v>1682</v>
      </c>
      <c r="S84" s="14">
        <f t="shared" si="41"/>
        <v>1876</v>
      </c>
      <c r="T84" s="14">
        <f t="shared" si="41"/>
        <v>2060</v>
      </c>
      <c r="U84" s="14">
        <f t="shared" si="41"/>
        <v>2071</v>
      </c>
      <c r="V84" s="14">
        <f t="shared" si="41"/>
        <v>2098</v>
      </c>
      <c r="W84" s="14">
        <f t="shared" si="41"/>
        <v>2182</v>
      </c>
      <c r="X84" s="14">
        <f t="shared" si="41"/>
        <v>2363</v>
      </c>
      <c r="Z84" s="14">
        <f t="shared" ref="Z84:AE84" si="42">Z77+Z78+Z79+Z80+Z81</f>
        <v>4551</v>
      </c>
      <c r="AA84" s="14">
        <f t="shared" si="42"/>
        <v>5577.4000000000005</v>
      </c>
      <c r="AB84" s="14">
        <f t="shared" si="42"/>
        <v>7279</v>
      </c>
      <c r="AC84" s="14">
        <f t="shared" si="42"/>
        <v>7142</v>
      </c>
      <c r="AD84" s="14">
        <f t="shared" si="42"/>
        <v>8105</v>
      </c>
      <c r="AE84" s="15">
        <f t="shared" si="42"/>
        <v>8714</v>
      </c>
    </row>
    <row r="85" spans="1:32" x14ac:dyDescent="0.3">
      <c r="A85" t="s">
        <v>129</v>
      </c>
      <c r="B85" s="2" t="s">
        <v>37</v>
      </c>
      <c r="C85" s="12">
        <v>38</v>
      </c>
      <c r="D85" s="12">
        <v>36</v>
      </c>
      <c r="E85" s="12">
        <v>33.700000000000003</v>
      </c>
      <c r="F85" s="12">
        <v>30</v>
      </c>
      <c r="G85" s="13">
        <v>29</v>
      </c>
      <c r="H85" s="13">
        <v>26</v>
      </c>
      <c r="I85" s="13">
        <v>13</v>
      </c>
      <c r="J85" s="13">
        <v>13</v>
      </c>
      <c r="K85" s="13">
        <v>11</v>
      </c>
      <c r="L85" s="13">
        <v>9</v>
      </c>
      <c r="M85" s="13">
        <v>8</v>
      </c>
      <c r="N85" s="13">
        <v>16</v>
      </c>
      <c r="O85" s="13">
        <v>14</v>
      </c>
      <c r="P85" s="13">
        <v>14</v>
      </c>
      <c r="Q85" s="13">
        <v>15</v>
      </c>
      <c r="R85" s="13">
        <v>22</v>
      </c>
      <c r="S85" s="13">
        <v>25</v>
      </c>
      <c r="T85" s="13">
        <v>21</v>
      </c>
      <c r="U85" s="13">
        <v>22</v>
      </c>
      <c r="V85" s="13">
        <v>23</v>
      </c>
      <c r="W85" s="13">
        <v>22</v>
      </c>
      <c r="X85" s="13">
        <v>17</v>
      </c>
      <c r="Z85" s="14">
        <f>SUM(C85:F85)</f>
        <v>137.69999999999999</v>
      </c>
      <c r="AA85" s="14">
        <f>SUM(G85:J85)</f>
        <v>81</v>
      </c>
      <c r="AB85" s="14">
        <f>SUM(K85:N85)</f>
        <v>44</v>
      </c>
      <c r="AC85" s="14">
        <f>SUM(O85:R85)</f>
        <v>65</v>
      </c>
      <c r="AD85" s="14">
        <f>SUM(S85:V85)</f>
        <v>91</v>
      </c>
      <c r="AE85" s="15">
        <f>SUM(U85:X85)</f>
        <v>84</v>
      </c>
    </row>
    <row r="86" spans="1:32" x14ac:dyDescent="0.3">
      <c r="A86" t="s">
        <v>130</v>
      </c>
      <c r="B86" s="2" t="s">
        <v>37</v>
      </c>
      <c r="C86" s="12">
        <v>121</v>
      </c>
      <c r="D86" s="12">
        <v>0</v>
      </c>
      <c r="E86" s="12">
        <v>4.8</v>
      </c>
      <c r="F86" s="12">
        <v>1.8</v>
      </c>
      <c r="G86" s="13">
        <v>10</v>
      </c>
      <c r="H86" s="13">
        <v>70</v>
      </c>
      <c r="I86" s="13">
        <v>5</v>
      </c>
      <c r="J86" s="13">
        <v>5</v>
      </c>
      <c r="K86" s="13">
        <v>16</v>
      </c>
      <c r="L86" s="13">
        <v>-17</v>
      </c>
      <c r="M86" s="13">
        <v>44</v>
      </c>
      <c r="N86" s="13">
        <v>928</v>
      </c>
      <c r="O86" s="13">
        <v>14</v>
      </c>
      <c r="P86" s="13">
        <v>1</v>
      </c>
      <c r="Q86" s="13">
        <v>56</v>
      </c>
      <c r="R86" s="13">
        <v>-55</v>
      </c>
      <c r="S86" s="13">
        <v>-4</v>
      </c>
      <c r="T86" s="13">
        <v>-14</v>
      </c>
      <c r="U86" s="13">
        <v>5</v>
      </c>
      <c r="V86" s="13">
        <v>83</v>
      </c>
      <c r="W86" s="13">
        <v>1</v>
      </c>
      <c r="X86" s="13">
        <v>-1</v>
      </c>
      <c r="Z86" s="14">
        <f>SUM(C86:F86)</f>
        <v>127.6</v>
      </c>
      <c r="AA86" s="14">
        <f>SUM(G86:J86)</f>
        <v>90</v>
      </c>
      <c r="AB86" s="14">
        <f>SUM(K86:N86)</f>
        <v>971</v>
      </c>
      <c r="AC86" s="14">
        <f>SUM(O86:R86)</f>
        <v>16</v>
      </c>
      <c r="AD86" s="14">
        <f>SUM(S86:V86)</f>
        <v>70</v>
      </c>
      <c r="AE86" s="15">
        <f>SUM(U86:X86)</f>
        <v>88</v>
      </c>
      <c r="AF86" s="2" t="s">
        <v>131</v>
      </c>
    </row>
    <row r="87" spans="1:32" x14ac:dyDescent="0.3">
      <c r="A87" t="s">
        <v>132</v>
      </c>
      <c r="B87" s="2" t="s">
        <v>37</v>
      </c>
      <c r="C87" s="12">
        <v>-59</v>
      </c>
      <c r="D87" s="12">
        <v>217</v>
      </c>
      <c r="E87" s="12">
        <v>1101</v>
      </c>
      <c r="F87" s="12">
        <v>333</v>
      </c>
      <c r="G87" s="13">
        <v>229</v>
      </c>
      <c r="H87" s="13">
        <v>711</v>
      </c>
      <c r="I87" s="13">
        <v>1457</v>
      </c>
      <c r="J87" s="13">
        <v>506</v>
      </c>
      <c r="K87" s="13">
        <v>262</v>
      </c>
      <c r="L87" s="13">
        <v>819</v>
      </c>
      <c r="M87" s="13">
        <v>1834</v>
      </c>
      <c r="N87" s="13">
        <v>738</v>
      </c>
      <c r="O87" s="13">
        <v>424</v>
      </c>
      <c r="P87" s="13">
        <v>894</v>
      </c>
      <c r="Q87" s="13">
        <v>1958</v>
      </c>
      <c r="R87" s="13">
        <v>765</v>
      </c>
      <c r="S87" s="13">
        <v>417</v>
      </c>
      <c r="T87" s="13">
        <v>1043</v>
      </c>
      <c r="U87" s="13">
        <v>2051</v>
      </c>
      <c r="V87" s="13">
        <v>786</v>
      </c>
      <c r="W87" s="13">
        <v>519</v>
      </c>
      <c r="X87" s="13">
        <v>1261</v>
      </c>
      <c r="Z87" s="14">
        <f>SUM(C87:F87)</f>
        <v>1592</v>
      </c>
      <c r="AA87" s="14">
        <f>SUM(G87:J87)</f>
        <v>2903</v>
      </c>
      <c r="AB87" s="14">
        <f>SUM(K87:N87)</f>
        <v>3653</v>
      </c>
      <c r="AC87" s="14">
        <f>SUM(O87:R87)</f>
        <v>4041</v>
      </c>
      <c r="AD87" s="14">
        <f>SUM(S87:V87)</f>
        <v>4297</v>
      </c>
      <c r="AE87" s="15">
        <f>SUM(U87:X87)</f>
        <v>4617</v>
      </c>
    </row>
    <row r="88" spans="1:32" x14ac:dyDescent="0.3">
      <c r="A88" t="s">
        <v>133</v>
      </c>
      <c r="B88" s="2" t="s">
        <v>37</v>
      </c>
      <c r="C88" s="28">
        <f t="shared" ref="C88:X88" si="43">C10-C84+C85+C86-C87</f>
        <v>112.59999999999991</v>
      </c>
      <c r="D88" s="28">
        <f t="shared" si="43"/>
        <v>1</v>
      </c>
      <c r="E88" s="28">
        <f t="shared" si="43"/>
        <v>-0.5</v>
      </c>
      <c r="F88" s="28">
        <f t="shared" si="43"/>
        <v>0.20000000000010232</v>
      </c>
      <c r="G88" s="14">
        <f t="shared" si="43"/>
        <v>0.1999999999998181</v>
      </c>
      <c r="H88" s="14">
        <f t="shared" si="43"/>
        <v>90.100000000000136</v>
      </c>
      <c r="I88" s="14">
        <f t="shared" si="43"/>
        <v>-1.7000000000002728</v>
      </c>
      <c r="J88" s="14">
        <f t="shared" si="43"/>
        <v>1</v>
      </c>
      <c r="K88" s="14">
        <f t="shared" si="43"/>
        <v>0</v>
      </c>
      <c r="L88" s="14">
        <f t="shared" si="43"/>
        <v>0</v>
      </c>
      <c r="M88" s="14">
        <f t="shared" si="43"/>
        <v>0</v>
      </c>
      <c r="N88" s="14">
        <f t="shared" si="43"/>
        <v>0</v>
      </c>
      <c r="O88" s="14">
        <f t="shared" si="43"/>
        <v>0</v>
      </c>
      <c r="P88" s="14">
        <f t="shared" si="43"/>
        <v>0</v>
      </c>
      <c r="Q88" s="14">
        <f t="shared" si="43"/>
        <v>0</v>
      </c>
      <c r="R88" s="14">
        <f t="shared" si="43"/>
        <v>0</v>
      </c>
      <c r="S88" s="14">
        <f t="shared" si="43"/>
        <v>0</v>
      </c>
      <c r="T88" s="14">
        <f t="shared" si="43"/>
        <v>0</v>
      </c>
      <c r="U88" s="14">
        <f t="shared" si="43"/>
        <v>0</v>
      </c>
      <c r="V88" s="14">
        <f t="shared" si="43"/>
        <v>0</v>
      </c>
      <c r="W88" s="14">
        <f t="shared" si="43"/>
        <v>0</v>
      </c>
      <c r="X88" s="14">
        <f t="shared" si="43"/>
        <v>0</v>
      </c>
      <c r="Z88" s="14">
        <f t="shared" ref="Z88:AE88" si="44">Z10-Z84+Z85+Z86-Z87</f>
        <v>113.29999999999995</v>
      </c>
      <c r="AA88" s="14">
        <f t="shared" si="44"/>
        <v>89.599999999999454</v>
      </c>
      <c r="AB88" s="14">
        <f t="shared" si="44"/>
        <v>0</v>
      </c>
      <c r="AC88" s="14">
        <f t="shared" si="44"/>
        <v>0</v>
      </c>
      <c r="AD88" s="14">
        <f t="shared" si="44"/>
        <v>0</v>
      </c>
      <c r="AE88" s="15">
        <f t="shared" si="44"/>
        <v>0</v>
      </c>
      <c r="AF88" s="2" t="s">
        <v>134</v>
      </c>
    </row>
    <row r="89" spans="1:32" x14ac:dyDescent="0.3">
      <c r="A89" t="s">
        <v>135</v>
      </c>
      <c r="B89" s="2" t="s">
        <v>37</v>
      </c>
      <c r="C89" s="12">
        <v>486.7</v>
      </c>
      <c r="D89" s="12">
        <v>783.6</v>
      </c>
      <c r="E89" s="12">
        <v>517.70000000000005</v>
      </c>
      <c r="F89" s="12">
        <v>376.4</v>
      </c>
      <c r="G89" s="13">
        <v>1196</v>
      </c>
      <c r="H89" s="13">
        <v>794.7</v>
      </c>
      <c r="I89" s="13">
        <v>960</v>
      </c>
      <c r="J89" s="13">
        <v>455</v>
      </c>
      <c r="K89" s="13">
        <v>1581</v>
      </c>
      <c r="L89" s="13">
        <v>900</v>
      </c>
      <c r="M89" s="13">
        <v>1310</v>
      </c>
      <c r="N89" s="13">
        <v>46</v>
      </c>
      <c r="O89" s="13">
        <v>1909</v>
      </c>
      <c r="P89" s="13">
        <v>1043</v>
      </c>
      <c r="Q89" s="13">
        <v>1074</v>
      </c>
      <c r="R89" s="13">
        <v>458</v>
      </c>
      <c r="S89" s="13">
        <v>1781</v>
      </c>
      <c r="T89" s="13">
        <v>962</v>
      </c>
      <c r="U89" s="13">
        <v>1349</v>
      </c>
      <c r="V89" s="13">
        <v>521</v>
      </c>
      <c r="W89" s="13">
        <v>1704</v>
      </c>
      <c r="X89" s="13">
        <v>1253</v>
      </c>
      <c r="Z89" s="14">
        <f>SUM(C89:F89)</f>
        <v>2164.4</v>
      </c>
      <c r="AA89" s="14">
        <f>SUM(G89:J89)</f>
        <v>3405.7</v>
      </c>
      <c r="AB89" s="14">
        <f>SUM(K89:N89)</f>
        <v>3837</v>
      </c>
      <c r="AC89" s="14">
        <f>SUM(O89:R89)</f>
        <v>4484</v>
      </c>
      <c r="AD89" s="14">
        <f>SUM(S89:V89)</f>
        <v>4613</v>
      </c>
      <c r="AE89" s="15">
        <f>SUM(U89:X89)</f>
        <v>4827</v>
      </c>
    </row>
    <row r="91" spans="1:32" x14ac:dyDescent="0.3">
      <c r="A91" s="6" t="s">
        <v>136</v>
      </c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spans="1:32" x14ac:dyDescent="0.3">
      <c r="A92" t="s">
        <v>137</v>
      </c>
      <c r="B92" s="2" t="s">
        <v>42</v>
      </c>
      <c r="C92" s="19">
        <f t="shared" ref="C92:X92" si="45">C87/C10</f>
        <v>-6.6516347237880497E-2</v>
      </c>
      <c r="D92" s="19">
        <f t="shared" si="45"/>
        <v>0.16254681647940075</v>
      </c>
      <c r="E92" s="19">
        <f t="shared" si="45"/>
        <v>0.49217702279839071</v>
      </c>
      <c r="F92" s="19">
        <f t="shared" si="45"/>
        <v>0.21736292428198434</v>
      </c>
      <c r="G92" s="20">
        <f t="shared" si="45"/>
        <v>0.15175612988734261</v>
      </c>
      <c r="H92" s="20">
        <f t="shared" si="45"/>
        <v>0.33792775665399238</v>
      </c>
      <c r="I92" s="20">
        <f t="shared" si="45"/>
        <v>0.50520110957004161</v>
      </c>
      <c r="J92" s="20">
        <f t="shared" si="45"/>
        <v>0.26603575184016826</v>
      </c>
      <c r="K92" s="20">
        <f t="shared" si="45"/>
        <v>0.14411441144114412</v>
      </c>
      <c r="L92" s="20">
        <f t="shared" si="45"/>
        <v>0.32971014492753625</v>
      </c>
      <c r="M92" s="20">
        <f t="shared" si="45"/>
        <v>0.53988813659110979</v>
      </c>
      <c r="N92" s="20">
        <f t="shared" si="45"/>
        <v>0.33273219116321012</v>
      </c>
      <c r="O92" s="20">
        <f t="shared" si="45"/>
        <v>0.19794584500466852</v>
      </c>
      <c r="P92" s="20">
        <f t="shared" si="45"/>
        <v>0.32532751091703055</v>
      </c>
      <c r="Q92" s="20">
        <f t="shared" si="45"/>
        <v>0.52465166130760987</v>
      </c>
      <c r="R92" s="20">
        <f t="shared" si="45"/>
        <v>0.30846774193548387</v>
      </c>
      <c r="S92" s="20">
        <f t="shared" si="45"/>
        <v>0.18353873239436619</v>
      </c>
      <c r="T92" s="20">
        <f t="shared" si="45"/>
        <v>0.33688630490956073</v>
      </c>
      <c r="U92" s="20">
        <f t="shared" si="45"/>
        <v>0.50085470085470085</v>
      </c>
      <c r="V92" s="20">
        <f t="shared" si="45"/>
        <v>0.28293736501079914</v>
      </c>
      <c r="W92" s="20">
        <f t="shared" si="45"/>
        <v>0.19380134428678117</v>
      </c>
      <c r="X92" s="20">
        <f t="shared" si="45"/>
        <v>0.3495011086474501</v>
      </c>
      <c r="Z92" s="20">
        <f t="shared" ref="Z92:AE92" si="46">Z87/Z10</f>
        <v>0.26573193123017858</v>
      </c>
      <c r="AA92" s="20">
        <f t="shared" si="46"/>
        <v>0.3456363852839624</v>
      </c>
      <c r="AB92" s="20">
        <f t="shared" si="46"/>
        <v>0.36835736613895331</v>
      </c>
      <c r="AC92" s="20">
        <f t="shared" si="46"/>
        <v>0.3639884705458476</v>
      </c>
      <c r="AD92" s="20">
        <f t="shared" si="46"/>
        <v>0.3510334123029164</v>
      </c>
      <c r="AE92" s="21">
        <f t="shared" si="46"/>
        <v>0.35086252754768599</v>
      </c>
    </row>
    <row r="93" spans="1:32" x14ac:dyDescent="0.3">
      <c r="A93" t="s">
        <v>138</v>
      </c>
      <c r="B93" s="2" t="s">
        <v>42</v>
      </c>
      <c r="C93" s="19">
        <f t="shared" ref="C93:X93" si="47">C61/C10</f>
        <v>-0.50383314543404734</v>
      </c>
      <c r="D93" s="19">
        <f t="shared" si="47"/>
        <v>-3.842696629213483E-2</v>
      </c>
      <c r="E93" s="19">
        <f t="shared" si="47"/>
        <v>0.380867232901207</v>
      </c>
      <c r="F93" s="19">
        <f t="shared" si="47"/>
        <v>4.9086161879895562E-2</v>
      </c>
      <c r="G93" s="20">
        <f t="shared" si="47"/>
        <v>-3.3134526176275677E-3</v>
      </c>
      <c r="H93" s="20">
        <f t="shared" si="47"/>
        <v>0.17538022813688212</v>
      </c>
      <c r="I93" s="20">
        <f t="shared" si="47"/>
        <v>0.41712898751733701</v>
      </c>
      <c r="J93" s="20">
        <f t="shared" si="47"/>
        <v>0.12355415352260778</v>
      </c>
      <c r="K93" s="20">
        <f t="shared" si="47"/>
        <v>-2.7502750275027505E-3</v>
      </c>
      <c r="L93" s="20">
        <f t="shared" si="47"/>
        <v>0.21054750402576489</v>
      </c>
      <c r="M93" s="20">
        <f t="shared" si="47"/>
        <v>0.44038857815719751</v>
      </c>
      <c r="N93" s="20">
        <f t="shared" si="47"/>
        <v>-0.22362488728584309</v>
      </c>
      <c r="O93" s="20">
        <f t="shared" si="47"/>
        <v>4.7152194211017739E-2</v>
      </c>
      <c r="P93" s="20">
        <f t="shared" si="47"/>
        <v>0.18085880640465793</v>
      </c>
      <c r="Q93" s="20">
        <f t="shared" si="47"/>
        <v>0.40862808145766344</v>
      </c>
      <c r="R93" s="20">
        <f t="shared" si="47"/>
        <v>0.17338709677419356</v>
      </c>
      <c r="S93" s="20">
        <f t="shared" si="47"/>
        <v>1.6725352112676055E-2</v>
      </c>
      <c r="T93" s="20">
        <f t="shared" si="47"/>
        <v>0.19767441860465115</v>
      </c>
      <c r="U93" s="20">
        <f t="shared" si="47"/>
        <v>0.3968253968253968</v>
      </c>
      <c r="V93" s="20">
        <f t="shared" si="47"/>
        <v>9.6832253419726427E-2</v>
      </c>
      <c r="W93" s="20">
        <f t="shared" si="47"/>
        <v>3.2113517550410753E-2</v>
      </c>
      <c r="X93" s="20">
        <f t="shared" si="47"/>
        <v>0.21008869179600886</v>
      </c>
      <c r="Z93" s="20">
        <f t="shared" ref="Z93:AE93" si="48">Z61/Z10</f>
        <v>7.1607411116675013E-2</v>
      </c>
      <c r="AA93" s="20">
        <f t="shared" si="48"/>
        <v>0.21454935111322776</v>
      </c>
      <c r="AB93" s="20">
        <f t="shared" si="48"/>
        <v>0.15307048502571341</v>
      </c>
      <c r="AC93" s="20">
        <f t="shared" si="48"/>
        <v>0.2299585660241398</v>
      </c>
      <c r="AD93" s="20">
        <f t="shared" si="48"/>
        <v>0.20782615799362797</v>
      </c>
      <c r="AE93" s="21">
        <f t="shared" si="48"/>
        <v>0.2080705220761456</v>
      </c>
    </row>
    <row r="94" spans="1:32" x14ac:dyDescent="0.3">
      <c r="A94" t="s">
        <v>139</v>
      </c>
      <c r="B94" s="2" t="s">
        <v>42</v>
      </c>
      <c r="C94" s="19">
        <f t="shared" ref="C94:X94" si="49">C65/C10</f>
        <v>-1.321533258173619</v>
      </c>
      <c r="D94" s="19">
        <f t="shared" si="49"/>
        <v>-5.1086142322097378E-2</v>
      </c>
      <c r="E94" s="19">
        <f t="shared" si="49"/>
        <v>0.37277603933839965</v>
      </c>
      <c r="F94" s="19">
        <f t="shared" si="49"/>
        <v>3.5574412532637073E-2</v>
      </c>
      <c r="G94" s="20">
        <f t="shared" si="49"/>
        <v>-1.2591119946984758E-2</v>
      </c>
      <c r="H94" s="20">
        <f t="shared" si="49"/>
        <v>0.18013307984790874</v>
      </c>
      <c r="I94" s="20">
        <f t="shared" si="49"/>
        <v>0.42094313453536752</v>
      </c>
      <c r="J94" s="20">
        <f t="shared" si="49"/>
        <v>0.16777076761303891</v>
      </c>
      <c r="K94" s="20">
        <f t="shared" si="49"/>
        <v>6.4356435643564358E-2</v>
      </c>
      <c r="L94" s="20">
        <f t="shared" si="49"/>
        <v>0.26167471819645732</v>
      </c>
      <c r="M94" s="20">
        <f t="shared" si="49"/>
        <v>1.2876067118045333</v>
      </c>
      <c r="N94" s="20">
        <f t="shared" si="49"/>
        <v>-0.15743913435527501</v>
      </c>
      <c r="O94" s="20">
        <f t="shared" si="49"/>
        <v>0.12324929971988796</v>
      </c>
      <c r="P94" s="20">
        <f t="shared" si="49"/>
        <v>0.20196506550218341</v>
      </c>
      <c r="Q94" s="20">
        <f t="shared" si="49"/>
        <v>0.36655948553054662</v>
      </c>
      <c r="R94" s="20">
        <f t="shared" si="49"/>
        <v>0.18600806451612903</v>
      </c>
      <c r="S94" s="20">
        <f t="shared" si="49"/>
        <v>6.7781690140845077E-2</v>
      </c>
      <c r="T94" s="20">
        <f t="shared" si="49"/>
        <v>0.20736434108527133</v>
      </c>
      <c r="U94" s="20">
        <f t="shared" si="49"/>
        <v>0.3355311355311355</v>
      </c>
      <c r="V94" s="20">
        <f t="shared" si="49"/>
        <v>0.1228581713462923</v>
      </c>
      <c r="W94" s="20">
        <f t="shared" si="49"/>
        <v>5.9746079163554892E-2</v>
      </c>
      <c r="X94" s="20">
        <f t="shared" si="49"/>
        <v>0.22616407982261641</v>
      </c>
      <c r="Z94" s="20">
        <f t="shared" ref="Z94:AE94" si="50">Z65/Z10</f>
        <v>-5.8754798864964132E-2</v>
      </c>
      <c r="AA94" s="20">
        <f t="shared" si="50"/>
        <v>0.22539588046195974</v>
      </c>
      <c r="AB94" s="20">
        <f t="shared" si="50"/>
        <v>0.48319048099223555</v>
      </c>
      <c r="AC94" s="20">
        <f t="shared" si="50"/>
        <v>0.23854260493604756</v>
      </c>
      <c r="AD94" s="20">
        <f t="shared" si="50"/>
        <v>0.20515480761375707</v>
      </c>
      <c r="AE94" s="21">
        <f t="shared" si="50"/>
        <v>0.20452162018390457</v>
      </c>
    </row>
    <row r="95" spans="1:32" x14ac:dyDescent="0.3">
      <c r="A95" t="s">
        <v>140</v>
      </c>
      <c r="B95" s="2" t="s">
        <v>42</v>
      </c>
      <c r="C95" s="19">
        <f t="shared" ref="C95:X95" si="51">C89/C10</f>
        <v>0.54870349492671922</v>
      </c>
      <c r="D95" s="19">
        <f t="shared" si="51"/>
        <v>0.58696629213483142</v>
      </c>
      <c r="E95" s="19">
        <f t="shared" si="51"/>
        <v>0.23142601698703624</v>
      </c>
      <c r="F95" s="19">
        <f t="shared" si="51"/>
        <v>0.24569190600522192</v>
      </c>
      <c r="G95" s="20">
        <f t="shared" si="51"/>
        <v>0.79257786613651426</v>
      </c>
      <c r="H95" s="20">
        <f t="shared" si="51"/>
        <v>0.37770912547528518</v>
      </c>
      <c r="I95" s="20">
        <f t="shared" si="51"/>
        <v>0.33287101248266299</v>
      </c>
      <c r="J95" s="20">
        <f t="shared" si="51"/>
        <v>0.23922187171398529</v>
      </c>
      <c r="K95" s="20">
        <f t="shared" si="51"/>
        <v>0.86963696369636967</v>
      </c>
      <c r="L95" s="20">
        <f t="shared" si="51"/>
        <v>0.36231884057971014</v>
      </c>
      <c r="M95" s="20">
        <f t="shared" si="51"/>
        <v>0.38563438327936417</v>
      </c>
      <c r="N95" s="20">
        <f t="shared" si="51"/>
        <v>2.0739404869251576E-2</v>
      </c>
      <c r="O95" s="20">
        <f t="shared" si="51"/>
        <v>0.89122315592903834</v>
      </c>
      <c r="P95" s="20">
        <f t="shared" si="51"/>
        <v>0.37954876273653565</v>
      </c>
      <c r="Q95" s="20">
        <f t="shared" si="51"/>
        <v>0.28778135048231512</v>
      </c>
      <c r="R95" s="20">
        <f t="shared" si="51"/>
        <v>0.18467741935483872</v>
      </c>
      <c r="S95" s="20">
        <f t="shared" si="51"/>
        <v>0.7838908450704225</v>
      </c>
      <c r="T95" s="20">
        <f t="shared" si="51"/>
        <v>0.31072351421188632</v>
      </c>
      <c r="U95" s="20">
        <f t="shared" si="51"/>
        <v>0.32942612942612942</v>
      </c>
      <c r="V95" s="20">
        <f t="shared" si="51"/>
        <v>0.18754499640028799</v>
      </c>
      <c r="W95" s="20">
        <f t="shared" si="51"/>
        <v>0.63629574309185954</v>
      </c>
      <c r="X95" s="20">
        <f t="shared" si="51"/>
        <v>0.34728381374722839</v>
      </c>
      <c r="Z95" s="20">
        <f t="shared" ref="Z95:AE95" si="52">Z89/Z10</f>
        <v>0.36127524620263729</v>
      </c>
      <c r="AA95" s="20">
        <f t="shared" si="52"/>
        <v>0.40548874866055479</v>
      </c>
      <c r="AB95" s="20">
        <f t="shared" si="52"/>
        <v>0.38691136432388828</v>
      </c>
      <c r="AC95" s="20">
        <f t="shared" si="52"/>
        <v>0.4038911907764367</v>
      </c>
      <c r="AD95" s="20">
        <f t="shared" si="52"/>
        <v>0.3768482967077853</v>
      </c>
      <c r="AE95" s="21">
        <f t="shared" si="52"/>
        <v>0.36682118702029032</v>
      </c>
    </row>
    <row r="96" spans="1:32" x14ac:dyDescent="0.3">
      <c r="A96" t="s">
        <v>141</v>
      </c>
      <c r="B96" s="2" t="s">
        <v>42</v>
      </c>
      <c r="C96" s="19">
        <f t="shared" ref="C96:X96" si="53">C71/C10</f>
        <v>0.25873731679819617</v>
      </c>
      <c r="D96" s="19">
        <f t="shared" si="53"/>
        <v>0.17445692883895131</v>
      </c>
      <c r="E96" s="19">
        <f t="shared" si="53"/>
        <v>9.4233348234242301E-2</v>
      </c>
      <c r="F96" s="19">
        <f t="shared" si="53"/>
        <v>0.14745430809399479</v>
      </c>
      <c r="G96" s="20">
        <f t="shared" si="53"/>
        <v>0.12922465208747516</v>
      </c>
      <c r="H96" s="20">
        <f t="shared" si="53"/>
        <v>0.11739543726235742</v>
      </c>
      <c r="I96" s="20">
        <f t="shared" si="53"/>
        <v>8.1137309292649104E-2</v>
      </c>
      <c r="J96" s="20">
        <f t="shared" si="53"/>
        <v>0.13354363827549948</v>
      </c>
      <c r="K96" s="20">
        <f t="shared" si="53"/>
        <v>0.132013201320132</v>
      </c>
      <c r="L96" s="20">
        <f t="shared" si="53"/>
        <v>0.12238325281803543</v>
      </c>
      <c r="M96" s="20">
        <f t="shared" si="53"/>
        <v>8.4191934059464235E-2</v>
      </c>
      <c r="N96" s="20">
        <f t="shared" si="53"/>
        <v>0.12173128944995491</v>
      </c>
      <c r="O96" s="20">
        <f t="shared" si="53"/>
        <v>0.1377217553688142</v>
      </c>
      <c r="P96" s="20">
        <f t="shared" si="53"/>
        <v>0.13901018922852984</v>
      </c>
      <c r="Q96" s="20">
        <f t="shared" si="53"/>
        <v>9.6998928188638797E-2</v>
      </c>
      <c r="R96" s="20">
        <f t="shared" si="53"/>
        <v>0.16129032258064516</v>
      </c>
      <c r="S96" s="20">
        <f t="shared" si="53"/>
        <v>0.15757042253521128</v>
      </c>
      <c r="T96" s="20">
        <f t="shared" si="53"/>
        <v>0.13695090439276486</v>
      </c>
      <c r="U96" s="20">
        <f t="shared" si="53"/>
        <v>9.7435897435897437E-2</v>
      </c>
      <c r="V96" s="20">
        <f t="shared" si="53"/>
        <v>0.14398848092152627</v>
      </c>
      <c r="W96" s="20">
        <f t="shared" si="53"/>
        <v>0.1530993278566094</v>
      </c>
      <c r="X96" s="20">
        <f t="shared" si="53"/>
        <v>0.13497782705099778</v>
      </c>
      <c r="Z96" s="20">
        <f t="shared" ref="Z96:AE96" si="54">Z71/Z10</f>
        <v>0.1500751126690035</v>
      </c>
      <c r="AA96" s="20">
        <f t="shared" si="54"/>
        <v>0.11072746755566139</v>
      </c>
      <c r="AB96" s="20">
        <f t="shared" si="54"/>
        <v>0.11092064132298074</v>
      </c>
      <c r="AC96" s="20">
        <f t="shared" si="54"/>
        <v>0.12961628535399028</v>
      </c>
      <c r="AD96" s="20">
        <f t="shared" si="54"/>
        <v>0.12915611469651173</v>
      </c>
      <c r="AE96" s="21">
        <f t="shared" si="54"/>
        <v>0.1288851736454138</v>
      </c>
    </row>
    <row r="97" spans="1:32" x14ac:dyDescent="0.3">
      <c r="A97" t="s">
        <v>142</v>
      </c>
      <c r="B97" s="2" t="s">
        <v>42</v>
      </c>
      <c r="C97" s="19">
        <f t="shared" ref="C97:X97" si="55">C55/C10</f>
        <v>0.28692220969560317</v>
      </c>
      <c r="D97" s="19">
        <f t="shared" si="55"/>
        <v>0.22052434456928838</v>
      </c>
      <c r="E97" s="19">
        <f t="shared" si="55"/>
        <v>0.13929369691551186</v>
      </c>
      <c r="F97" s="19">
        <f t="shared" si="55"/>
        <v>0.19288511749347259</v>
      </c>
      <c r="G97" s="20">
        <f t="shared" si="55"/>
        <v>0.24055666003976142</v>
      </c>
      <c r="H97" s="20">
        <f t="shared" si="55"/>
        <v>0.18536121673003803</v>
      </c>
      <c r="I97" s="20">
        <f t="shared" si="55"/>
        <v>0.13904299583911234</v>
      </c>
      <c r="J97" s="20">
        <f t="shared" si="55"/>
        <v>0.18138801261829654</v>
      </c>
      <c r="K97" s="20">
        <f t="shared" si="55"/>
        <v>0.23542354235423543</v>
      </c>
      <c r="L97" s="20">
        <f t="shared" si="55"/>
        <v>0.17391304347826086</v>
      </c>
      <c r="M97" s="20">
        <f t="shared" si="55"/>
        <v>0.1351192228436856</v>
      </c>
      <c r="N97" s="20">
        <f t="shared" si="55"/>
        <v>0.17312894499549145</v>
      </c>
      <c r="O97" s="20">
        <f t="shared" si="55"/>
        <v>0.22408963585434175</v>
      </c>
      <c r="P97" s="20">
        <f t="shared" si="55"/>
        <v>0.18413391557496361</v>
      </c>
      <c r="Q97" s="20">
        <f t="shared" si="55"/>
        <v>0.12459807073954984</v>
      </c>
      <c r="R97" s="20">
        <f t="shared" si="55"/>
        <v>0.17217741935483871</v>
      </c>
      <c r="S97" s="20">
        <f t="shared" si="55"/>
        <v>0.22271126760563381</v>
      </c>
      <c r="T97" s="20">
        <f t="shared" si="55"/>
        <v>0.17571059431524547</v>
      </c>
      <c r="U97" s="20">
        <f t="shared" si="55"/>
        <v>0.13406593406593406</v>
      </c>
      <c r="V97" s="20">
        <f t="shared" si="55"/>
        <v>0.17530597552195826</v>
      </c>
      <c r="W97" s="20">
        <f t="shared" si="55"/>
        <v>0.21695294996265871</v>
      </c>
      <c r="X97" s="20">
        <f t="shared" si="55"/>
        <v>0.17544345898004435</v>
      </c>
      <c r="Z97" s="20">
        <f t="shared" ref="Z97:AE97" si="56">Z55/Z10</f>
        <v>0.19295610081789349</v>
      </c>
      <c r="AA97" s="20">
        <f t="shared" si="56"/>
        <v>0.17847362781283485</v>
      </c>
      <c r="AB97" s="20">
        <f t="shared" si="56"/>
        <v>0.17172532015730563</v>
      </c>
      <c r="AC97" s="20">
        <f t="shared" si="56"/>
        <v>0.1691587101423167</v>
      </c>
      <c r="AD97" s="20">
        <f t="shared" si="56"/>
        <v>0.17041091414100154</v>
      </c>
      <c r="AE97" s="21">
        <f t="shared" si="56"/>
        <v>0.17098563720647467</v>
      </c>
    </row>
    <row r="98" spans="1:32" x14ac:dyDescent="0.3">
      <c r="A98" t="s">
        <v>143</v>
      </c>
      <c r="B98" s="2" t="s">
        <v>42</v>
      </c>
      <c r="C98" s="19">
        <f t="shared" ref="C98:X98" si="57">C56/C10</f>
        <v>0.20901916572717025</v>
      </c>
      <c r="D98" s="19">
        <f t="shared" si="57"/>
        <v>0.15588014981273407</v>
      </c>
      <c r="E98" s="19">
        <f t="shared" si="57"/>
        <v>0.10205632543585159</v>
      </c>
      <c r="F98" s="19">
        <f t="shared" si="57"/>
        <v>0.14693211488250651</v>
      </c>
      <c r="G98" s="20">
        <f t="shared" si="57"/>
        <v>0.154208084824387</v>
      </c>
      <c r="H98" s="20">
        <f t="shared" si="57"/>
        <v>0.12262357414448669</v>
      </c>
      <c r="I98" s="20">
        <f t="shared" si="57"/>
        <v>0.10055478502080444</v>
      </c>
      <c r="J98" s="20">
        <f t="shared" si="57"/>
        <v>0.1366982124079916</v>
      </c>
      <c r="K98" s="20">
        <f t="shared" si="57"/>
        <v>0.15511551155115511</v>
      </c>
      <c r="L98" s="20">
        <f t="shared" si="57"/>
        <v>0.12761674718196458</v>
      </c>
      <c r="M98" s="20">
        <f t="shared" si="57"/>
        <v>9.3023255813953487E-2</v>
      </c>
      <c r="N98" s="20">
        <f t="shared" si="57"/>
        <v>0.12218214607754734</v>
      </c>
      <c r="O98" s="20">
        <f t="shared" si="57"/>
        <v>0.13305322128851541</v>
      </c>
      <c r="P98" s="20">
        <f t="shared" si="57"/>
        <v>0.12299854439592431</v>
      </c>
      <c r="Q98" s="20">
        <f t="shared" si="57"/>
        <v>9.8874598070739547E-2</v>
      </c>
      <c r="R98" s="20">
        <f t="shared" si="57"/>
        <v>0.11693548387096774</v>
      </c>
      <c r="S98" s="20">
        <f t="shared" si="57"/>
        <v>0.13336267605633803</v>
      </c>
      <c r="T98" s="20">
        <f t="shared" si="57"/>
        <v>0.10723514211886305</v>
      </c>
      <c r="U98" s="20">
        <f t="shared" si="57"/>
        <v>8.9133089133089136E-2</v>
      </c>
      <c r="V98" s="20">
        <f t="shared" si="57"/>
        <v>0.11771058315334773</v>
      </c>
      <c r="W98" s="20">
        <f t="shared" si="57"/>
        <v>0.12173263629574309</v>
      </c>
      <c r="X98" s="20">
        <f t="shared" si="57"/>
        <v>0.10005543237250554</v>
      </c>
      <c r="Z98" s="20">
        <f t="shared" ref="Z98:AE98" si="58">Z56/Z10</f>
        <v>0.1413620430645969</v>
      </c>
      <c r="AA98" s="20">
        <f t="shared" si="58"/>
        <v>0.12390760804857721</v>
      </c>
      <c r="AB98" s="20">
        <f t="shared" si="58"/>
        <v>0.11959261873550468</v>
      </c>
      <c r="AC98" s="20">
        <f t="shared" si="58"/>
        <v>0.11547468924518105</v>
      </c>
      <c r="AD98" s="20">
        <f t="shared" si="58"/>
        <v>0.10840617596601584</v>
      </c>
      <c r="AE98" s="21">
        <f t="shared" si="58"/>
        <v>0.10479519720343491</v>
      </c>
    </row>
    <row r="99" spans="1:32" x14ac:dyDescent="0.3">
      <c r="A99" t="s">
        <v>144</v>
      </c>
      <c r="B99" s="2" t="s">
        <v>42</v>
      </c>
      <c r="C99" s="19">
        <f t="shared" ref="C99:X99" si="59">C57/C10</f>
        <v>0.40935738444193914</v>
      </c>
      <c r="D99" s="19">
        <f t="shared" si="59"/>
        <v>0.26194756554307114</v>
      </c>
      <c r="E99" s="19">
        <f t="shared" si="59"/>
        <v>0.15395619132767097</v>
      </c>
      <c r="F99" s="19">
        <f t="shared" si="59"/>
        <v>0.24007832898172324</v>
      </c>
      <c r="G99" s="20">
        <f t="shared" si="59"/>
        <v>0.24055666003976142</v>
      </c>
      <c r="H99" s="20">
        <f t="shared" si="59"/>
        <v>0.17823193916349811</v>
      </c>
      <c r="I99" s="20">
        <f t="shared" si="59"/>
        <v>0.12690707350901526</v>
      </c>
      <c r="J99" s="20">
        <f t="shared" si="59"/>
        <v>0.2092534174553102</v>
      </c>
      <c r="K99" s="20">
        <f t="shared" si="59"/>
        <v>0.23102310231023102</v>
      </c>
      <c r="L99" s="20">
        <f t="shared" si="59"/>
        <v>0.18156199677938809</v>
      </c>
      <c r="M99" s="20">
        <f t="shared" si="59"/>
        <v>0.12334412717103327</v>
      </c>
      <c r="N99" s="20">
        <f t="shared" si="59"/>
        <v>0.19477006311992787</v>
      </c>
      <c r="O99" s="20">
        <f t="shared" si="59"/>
        <v>0.22175536881419233</v>
      </c>
      <c r="P99" s="20">
        <f t="shared" si="59"/>
        <v>0.18886462882096069</v>
      </c>
      <c r="Q99" s="20">
        <f t="shared" si="59"/>
        <v>0.14040728831725616</v>
      </c>
      <c r="R99" s="20">
        <f t="shared" si="59"/>
        <v>0.21693548387096775</v>
      </c>
      <c r="S99" s="20">
        <f t="shared" si="59"/>
        <v>0.25</v>
      </c>
      <c r="T99" s="20">
        <f t="shared" si="59"/>
        <v>0.19702842377260982</v>
      </c>
      <c r="U99" s="20">
        <f t="shared" si="59"/>
        <v>0.14334554334554334</v>
      </c>
      <c r="V99" s="20">
        <f t="shared" si="59"/>
        <v>0.21202303815694745</v>
      </c>
      <c r="W99" s="20">
        <f t="shared" si="59"/>
        <v>0.23823749066467514</v>
      </c>
      <c r="X99" s="20">
        <f t="shared" si="59"/>
        <v>0.18625277161862527</v>
      </c>
      <c r="Z99" s="20">
        <f t="shared" ref="Z99:AE99" si="60">Z57/Z10</f>
        <v>0.23785678517776662</v>
      </c>
      <c r="AA99" s="20">
        <f t="shared" si="60"/>
        <v>0.17883081319204666</v>
      </c>
      <c r="AB99" s="20">
        <f t="shared" si="60"/>
        <v>0.17364122214379349</v>
      </c>
      <c r="AC99" s="20">
        <f t="shared" si="60"/>
        <v>0.18519185732300486</v>
      </c>
      <c r="AD99" s="20">
        <f t="shared" si="60"/>
        <v>0.19230455028183971</v>
      </c>
      <c r="AE99" s="21">
        <f t="shared" si="60"/>
        <v>0.18892013070902045</v>
      </c>
    </row>
    <row r="100" spans="1:32" x14ac:dyDescent="0.3">
      <c r="A100" t="s">
        <v>145</v>
      </c>
      <c r="B100" s="2" t="s">
        <v>42</v>
      </c>
      <c r="C100" s="19">
        <f t="shared" ref="C100:X100" si="61">C58/C10</f>
        <v>0.25828635851183762</v>
      </c>
      <c r="D100" s="19">
        <f t="shared" si="61"/>
        <v>0.2361797752808989</v>
      </c>
      <c r="E100" s="19">
        <f t="shared" si="61"/>
        <v>0.1300402324541797</v>
      </c>
      <c r="F100" s="19">
        <f t="shared" si="61"/>
        <v>0.22891644908616188</v>
      </c>
      <c r="G100" s="20">
        <f t="shared" si="61"/>
        <v>0.22862823061630219</v>
      </c>
      <c r="H100" s="20">
        <f t="shared" si="61"/>
        <v>0.18013307984790874</v>
      </c>
      <c r="I100" s="20">
        <f t="shared" si="61"/>
        <v>0.13314840499306518</v>
      </c>
      <c r="J100" s="20">
        <f t="shared" si="61"/>
        <v>0.21451104100946372</v>
      </c>
      <c r="K100" s="20">
        <f t="shared" si="61"/>
        <v>0.24752475247524752</v>
      </c>
      <c r="L100" s="20">
        <f t="shared" si="61"/>
        <v>0.19565217391304349</v>
      </c>
      <c r="M100" s="20">
        <f t="shared" si="61"/>
        <v>0.11863408890197233</v>
      </c>
      <c r="N100" s="20">
        <f t="shared" si="61"/>
        <v>0.19116321009918846</v>
      </c>
      <c r="O100" s="20">
        <f t="shared" si="61"/>
        <v>0.23996265172735762</v>
      </c>
      <c r="P100" s="20">
        <f t="shared" si="61"/>
        <v>0.20851528384279475</v>
      </c>
      <c r="Q100" s="20">
        <f t="shared" si="61"/>
        <v>0.13772775991425509</v>
      </c>
      <c r="R100" s="20">
        <f t="shared" si="61"/>
        <v>0.22056451612903225</v>
      </c>
      <c r="S100" s="20">
        <f t="shared" si="61"/>
        <v>0.24779929577464788</v>
      </c>
      <c r="T100" s="20">
        <f t="shared" si="61"/>
        <v>0.22319121447028423</v>
      </c>
      <c r="U100" s="20">
        <f t="shared" si="61"/>
        <v>0.15604395604395604</v>
      </c>
      <c r="V100" s="20">
        <f t="shared" si="61"/>
        <v>0.2501799856011519</v>
      </c>
      <c r="W100" s="20">
        <f t="shared" si="61"/>
        <v>0.28043315907393579</v>
      </c>
      <c r="X100" s="20">
        <f t="shared" si="61"/>
        <v>0.24251662971175167</v>
      </c>
      <c r="Z100" s="20">
        <f t="shared" ref="Z100:AE100" si="62">Z58/Z10</f>
        <v>0.19796361208479385</v>
      </c>
      <c r="AA100" s="20">
        <f t="shared" si="62"/>
        <v>0.18049767829503513</v>
      </c>
      <c r="AB100" s="20">
        <f t="shared" si="62"/>
        <v>0.17777553695674095</v>
      </c>
      <c r="AC100" s="20">
        <f t="shared" si="62"/>
        <v>0.19347865249504595</v>
      </c>
      <c r="AD100" s="20">
        <f t="shared" si="62"/>
        <v>0.21142063556898946</v>
      </c>
      <c r="AE100" s="21">
        <f t="shared" si="62"/>
        <v>0.22494110494718444</v>
      </c>
    </row>
    <row r="101" spans="1:32" x14ac:dyDescent="0.3">
      <c r="A101" t="s">
        <v>146</v>
      </c>
      <c r="B101" s="2" t="s">
        <v>42</v>
      </c>
      <c r="C101" s="19">
        <f t="shared" ref="C101:X101" si="63">C59/C10</f>
        <v>0.21397970687711387</v>
      </c>
      <c r="D101" s="19">
        <f t="shared" si="63"/>
        <v>0.16352059925093634</v>
      </c>
      <c r="E101" s="19">
        <f t="shared" si="63"/>
        <v>9.4188645507375948E-2</v>
      </c>
      <c r="F101" s="19">
        <f t="shared" si="63"/>
        <v>0.14177545691906004</v>
      </c>
      <c r="G101" s="20">
        <f t="shared" si="63"/>
        <v>0.13916500994035785</v>
      </c>
      <c r="H101" s="20">
        <f t="shared" si="63"/>
        <v>0.11596958174904944</v>
      </c>
      <c r="I101" s="20">
        <f t="shared" si="63"/>
        <v>8.3217753120665747E-2</v>
      </c>
      <c r="J101" s="20">
        <f t="shared" si="63"/>
        <v>0.13459516298633017</v>
      </c>
      <c r="K101" s="20">
        <f t="shared" si="63"/>
        <v>0.13366336633663367</v>
      </c>
      <c r="L101" s="20">
        <f t="shared" si="63"/>
        <v>0.11070853462157811</v>
      </c>
      <c r="M101" s="20">
        <f t="shared" si="63"/>
        <v>8.9490727112157789E-2</v>
      </c>
      <c r="N101" s="20">
        <f t="shared" si="63"/>
        <v>0.542380522993688</v>
      </c>
      <c r="O101" s="20">
        <f t="shared" si="63"/>
        <v>0.13398692810457516</v>
      </c>
      <c r="P101" s="20">
        <f t="shared" si="63"/>
        <v>0.11462882096069869</v>
      </c>
      <c r="Q101" s="20">
        <f t="shared" si="63"/>
        <v>8.9764201500535906E-2</v>
      </c>
      <c r="R101" s="20">
        <f t="shared" si="63"/>
        <v>0.1</v>
      </c>
      <c r="S101" s="20">
        <f t="shared" si="63"/>
        <v>0.12940140845070422</v>
      </c>
      <c r="T101" s="20">
        <f t="shared" si="63"/>
        <v>9.9160206718346258E-2</v>
      </c>
      <c r="U101" s="20">
        <f t="shared" si="63"/>
        <v>8.0586080586080591E-2</v>
      </c>
      <c r="V101" s="20">
        <f t="shared" si="63"/>
        <v>0.14794816414686826</v>
      </c>
      <c r="W101" s="20">
        <f t="shared" si="63"/>
        <v>0.11053024645257654</v>
      </c>
      <c r="X101" s="20">
        <f t="shared" si="63"/>
        <v>8.5643015521064306E-2</v>
      </c>
      <c r="Z101" s="20">
        <f t="shared" ref="Z101:AE101" si="64">Z59/Z10</f>
        <v>0.13954264730428978</v>
      </c>
      <c r="AA101" s="20">
        <f t="shared" si="64"/>
        <v>0.11310870341707346</v>
      </c>
      <c r="AB101" s="20">
        <f t="shared" si="64"/>
        <v>0.20419481698094183</v>
      </c>
      <c r="AC101" s="20">
        <f t="shared" si="64"/>
        <v>0.10673752477031166</v>
      </c>
      <c r="AD101" s="20">
        <f t="shared" si="64"/>
        <v>0.10963156604852545</v>
      </c>
      <c r="AE101" s="21">
        <f t="shared" si="64"/>
        <v>0.10228740785773995</v>
      </c>
    </row>
    <row r="102" spans="1:32" x14ac:dyDescent="0.3">
      <c r="A102" t="s">
        <v>147</v>
      </c>
      <c r="B102" s="2" t="s">
        <v>42</v>
      </c>
      <c r="C102" s="19">
        <f t="shared" ref="C102:X102" si="65">C77/C10</f>
        <v>0.28692220969560317</v>
      </c>
      <c r="D102" s="19">
        <f t="shared" si="65"/>
        <v>0.22052434456928838</v>
      </c>
      <c r="E102" s="19">
        <f t="shared" si="65"/>
        <v>0.13929369691551186</v>
      </c>
      <c r="F102" s="19">
        <f t="shared" si="65"/>
        <v>0.19288511749347259</v>
      </c>
      <c r="G102" s="20">
        <f t="shared" si="65"/>
        <v>0.24055666003976142</v>
      </c>
      <c r="H102" s="20">
        <f t="shared" si="65"/>
        <v>0.18536121673003803</v>
      </c>
      <c r="I102" s="20">
        <f t="shared" si="65"/>
        <v>0.13904299583911234</v>
      </c>
      <c r="J102" s="20">
        <f t="shared" si="65"/>
        <v>0.18138801261829654</v>
      </c>
      <c r="K102" s="20">
        <f t="shared" si="65"/>
        <v>0.23542354235423543</v>
      </c>
      <c r="L102" s="20">
        <f t="shared" si="65"/>
        <v>0.17391304347826086</v>
      </c>
      <c r="M102" s="20">
        <f t="shared" si="65"/>
        <v>0.1351192228436856</v>
      </c>
      <c r="N102" s="20">
        <f t="shared" si="65"/>
        <v>0.17312894499549145</v>
      </c>
      <c r="O102" s="20">
        <f t="shared" si="65"/>
        <v>0.22408963585434175</v>
      </c>
      <c r="P102" s="20">
        <f t="shared" si="65"/>
        <v>0.18413391557496361</v>
      </c>
      <c r="Q102" s="20">
        <f t="shared" si="65"/>
        <v>0.12459807073954984</v>
      </c>
      <c r="R102" s="20">
        <f t="shared" si="65"/>
        <v>0.17217741935483871</v>
      </c>
      <c r="S102" s="20">
        <f t="shared" si="65"/>
        <v>0.22271126760563381</v>
      </c>
      <c r="T102" s="20">
        <f t="shared" si="65"/>
        <v>0.17571059431524547</v>
      </c>
      <c r="U102" s="20">
        <f t="shared" si="65"/>
        <v>0.13406593406593406</v>
      </c>
      <c r="V102" s="20">
        <f t="shared" si="65"/>
        <v>0.17530597552195826</v>
      </c>
      <c r="W102" s="20">
        <f t="shared" si="65"/>
        <v>0.21695294996265871</v>
      </c>
      <c r="X102" s="20">
        <f t="shared" si="65"/>
        <v>0.17544345898004435</v>
      </c>
      <c r="Z102" s="20">
        <f t="shared" ref="Z102:AE102" si="66">Z77/Z10</f>
        <v>0.19295610081789349</v>
      </c>
      <c r="AA102" s="20">
        <f t="shared" si="66"/>
        <v>0.17847362781283485</v>
      </c>
      <c r="AB102" s="20">
        <f t="shared" si="66"/>
        <v>0.17172532015730563</v>
      </c>
      <c r="AC102" s="20">
        <f t="shared" si="66"/>
        <v>0.1691587101423167</v>
      </c>
      <c r="AD102" s="20">
        <f t="shared" si="66"/>
        <v>0.17041091414100154</v>
      </c>
      <c r="AE102" s="21">
        <f t="shared" si="66"/>
        <v>0.17098563720647467</v>
      </c>
    </row>
    <row r="103" spans="1:32" x14ac:dyDescent="0.3">
      <c r="A103" t="s">
        <v>148</v>
      </c>
      <c r="B103" s="2" t="s">
        <v>42</v>
      </c>
      <c r="C103" s="19">
        <f t="shared" ref="C103:X103" si="67">C78/C10</f>
        <v>0.19616685456595265</v>
      </c>
      <c r="D103" s="19">
        <f t="shared" si="67"/>
        <v>0.14524344569288389</v>
      </c>
      <c r="E103" s="19">
        <f t="shared" si="67"/>
        <v>9.7049620026821645E-2</v>
      </c>
      <c r="F103" s="19">
        <f t="shared" si="67"/>
        <v>0.13929503916449087</v>
      </c>
      <c r="G103" s="20">
        <f t="shared" si="67"/>
        <v>0.14645460569913851</v>
      </c>
      <c r="H103" s="20">
        <f t="shared" si="67"/>
        <v>0.11459125475285172</v>
      </c>
      <c r="I103" s="20">
        <f t="shared" si="67"/>
        <v>9.434812760055479E-2</v>
      </c>
      <c r="J103" s="20">
        <f t="shared" si="67"/>
        <v>0.12776025236593061</v>
      </c>
      <c r="K103" s="20">
        <f t="shared" si="67"/>
        <v>0.14686468646864687</v>
      </c>
      <c r="L103" s="20">
        <f t="shared" si="67"/>
        <v>0.11996779388083736</v>
      </c>
      <c r="M103" s="20">
        <f t="shared" si="67"/>
        <v>8.8018840153076247E-2</v>
      </c>
      <c r="N103" s="20">
        <f t="shared" si="67"/>
        <v>0.11451758340847611</v>
      </c>
      <c r="O103" s="20">
        <f t="shared" si="67"/>
        <v>0.12418300653594772</v>
      </c>
      <c r="P103" s="20">
        <f t="shared" si="67"/>
        <v>0.11426491994177583</v>
      </c>
      <c r="Q103" s="20">
        <f t="shared" si="67"/>
        <v>9.2979635584137188E-2</v>
      </c>
      <c r="R103" s="20">
        <f t="shared" si="67"/>
        <v>0.10685483870967742</v>
      </c>
      <c r="S103" s="20">
        <f t="shared" si="67"/>
        <v>0.12411971830985916</v>
      </c>
      <c r="T103" s="20">
        <f t="shared" si="67"/>
        <v>9.9806201550387594E-2</v>
      </c>
      <c r="U103" s="20">
        <f t="shared" si="67"/>
        <v>8.3760683760683755E-2</v>
      </c>
      <c r="V103" s="20">
        <f t="shared" si="67"/>
        <v>0.10907127429805616</v>
      </c>
      <c r="W103" s="20">
        <f t="shared" si="67"/>
        <v>0.11239731142643763</v>
      </c>
      <c r="X103" s="20">
        <f t="shared" si="67"/>
        <v>8.9523281596452328E-2</v>
      </c>
      <c r="Z103" s="20">
        <f t="shared" ref="Z103:AE103" si="68">Z78/Z10</f>
        <v>0.13326656651644134</v>
      </c>
      <c r="AA103" s="20">
        <f t="shared" si="68"/>
        <v>0.11634718418859388</v>
      </c>
      <c r="AB103" s="20">
        <f t="shared" si="68"/>
        <v>0.11273570636281133</v>
      </c>
      <c r="AC103" s="20">
        <f t="shared" si="68"/>
        <v>0.1073680417942713</v>
      </c>
      <c r="AD103" s="20">
        <f t="shared" si="68"/>
        <v>0.10105383547095825</v>
      </c>
      <c r="AE103" s="21">
        <f t="shared" si="68"/>
        <v>9.6511893000987919E-2</v>
      </c>
    </row>
    <row r="104" spans="1:32" x14ac:dyDescent="0.3">
      <c r="A104" t="s">
        <v>149</v>
      </c>
      <c r="B104" s="2" t="s">
        <v>42</v>
      </c>
      <c r="C104" s="19">
        <f t="shared" ref="C104:X104" si="69">C79/C10</f>
        <v>0.24735062006764377</v>
      </c>
      <c r="D104" s="19">
        <f t="shared" si="69"/>
        <v>0.1542322097378277</v>
      </c>
      <c r="E104" s="19">
        <f t="shared" si="69"/>
        <v>9.526151095216806E-2</v>
      </c>
      <c r="F104" s="19">
        <f t="shared" si="69"/>
        <v>0.15763707571801566</v>
      </c>
      <c r="G104" s="20">
        <f t="shared" si="69"/>
        <v>0.16242544731610337</v>
      </c>
      <c r="H104" s="20">
        <f t="shared" si="69"/>
        <v>0.10936311787072243</v>
      </c>
      <c r="I104" s="20">
        <f t="shared" si="69"/>
        <v>7.9785020804438278E-2</v>
      </c>
      <c r="J104" s="20">
        <f t="shared" si="69"/>
        <v>0.1309148264984227</v>
      </c>
      <c r="K104" s="20">
        <f t="shared" si="69"/>
        <v>0.14906490649064907</v>
      </c>
      <c r="L104" s="20">
        <f t="shared" si="69"/>
        <v>0.10466988727858294</v>
      </c>
      <c r="M104" s="20">
        <f t="shared" si="69"/>
        <v>7.1828083603179271E-2</v>
      </c>
      <c r="N104" s="20">
        <f t="shared" si="69"/>
        <v>0.11406672678088368</v>
      </c>
      <c r="O104" s="20">
        <f t="shared" si="69"/>
        <v>0.13538748832866479</v>
      </c>
      <c r="P104" s="20">
        <f t="shared" si="69"/>
        <v>0.10189228529839883</v>
      </c>
      <c r="Q104" s="20">
        <f t="shared" si="69"/>
        <v>7.8778135048231515E-2</v>
      </c>
      <c r="R104" s="20">
        <f t="shared" si="69"/>
        <v>0.12338709677419354</v>
      </c>
      <c r="S104" s="20">
        <f t="shared" si="69"/>
        <v>0.14876760563380281</v>
      </c>
      <c r="T104" s="20">
        <f t="shared" si="69"/>
        <v>0.10691214470284238</v>
      </c>
      <c r="U104" s="20">
        <f t="shared" si="69"/>
        <v>8.1318681318681321E-2</v>
      </c>
      <c r="V104" s="20">
        <f t="shared" si="69"/>
        <v>0.12059035277177826</v>
      </c>
      <c r="W104" s="20">
        <f t="shared" si="69"/>
        <v>0.14002987303958178</v>
      </c>
      <c r="X104" s="20">
        <f t="shared" si="69"/>
        <v>0.10365853658536585</v>
      </c>
      <c r="Z104" s="20">
        <f t="shared" ref="Z104:AE104" si="70">Z79/Z10</f>
        <v>0.14687030545818724</v>
      </c>
      <c r="AA104" s="20">
        <f t="shared" si="70"/>
        <v>0.11362066912727706</v>
      </c>
      <c r="AB104" s="20">
        <f t="shared" si="70"/>
        <v>0.10366038116365836</v>
      </c>
      <c r="AC104" s="20">
        <f t="shared" si="70"/>
        <v>0.1053864168618267</v>
      </c>
      <c r="AD104" s="20">
        <f t="shared" si="70"/>
        <v>0.10922310268768891</v>
      </c>
      <c r="AE104" s="21">
        <f t="shared" si="70"/>
        <v>0.10768295463181093</v>
      </c>
    </row>
    <row r="105" spans="1:32" x14ac:dyDescent="0.3">
      <c r="A105" t="s">
        <v>150</v>
      </c>
      <c r="B105" s="2" t="s">
        <v>42</v>
      </c>
      <c r="C105" s="19">
        <f t="shared" ref="C105:X105" si="71">C80/C10</f>
        <v>0.229086809470124</v>
      </c>
      <c r="D105" s="19">
        <f t="shared" si="71"/>
        <v>0.21812734082397003</v>
      </c>
      <c r="E105" s="19">
        <f t="shared" si="71"/>
        <v>0.1194456861868574</v>
      </c>
      <c r="F105" s="19">
        <f t="shared" si="71"/>
        <v>0.21174934725848563</v>
      </c>
      <c r="G105" s="20">
        <f t="shared" si="71"/>
        <v>0.2145791915175613</v>
      </c>
      <c r="H105" s="20">
        <f t="shared" si="71"/>
        <v>0.16630228136882128</v>
      </c>
      <c r="I105" s="20">
        <f t="shared" si="71"/>
        <v>0.12364771151178919</v>
      </c>
      <c r="J105" s="20">
        <f t="shared" si="71"/>
        <v>0.19558359621451105</v>
      </c>
      <c r="K105" s="20">
        <f t="shared" si="71"/>
        <v>0.23212321232123212</v>
      </c>
      <c r="L105" s="20">
        <f t="shared" si="71"/>
        <v>0.18115942028985507</v>
      </c>
      <c r="M105" s="20">
        <f t="shared" si="71"/>
        <v>0.10891963497203415</v>
      </c>
      <c r="N105" s="20">
        <f t="shared" si="71"/>
        <v>0.1762849413886384</v>
      </c>
      <c r="O105" s="20">
        <f t="shared" si="71"/>
        <v>0.22362278244631187</v>
      </c>
      <c r="P105" s="20">
        <f t="shared" si="71"/>
        <v>0.19177583697234352</v>
      </c>
      <c r="Q105" s="20">
        <f t="shared" si="71"/>
        <v>0.12620578778135047</v>
      </c>
      <c r="R105" s="20">
        <f t="shared" si="71"/>
        <v>0.20201612903225807</v>
      </c>
      <c r="S105" s="20">
        <f t="shared" si="71"/>
        <v>0.22843309859154928</v>
      </c>
      <c r="T105" s="20">
        <f t="shared" si="71"/>
        <v>0.20639534883720931</v>
      </c>
      <c r="U105" s="20">
        <f t="shared" si="71"/>
        <v>0.14285714285714285</v>
      </c>
      <c r="V105" s="20">
        <f t="shared" si="71"/>
        <v>0.22786177105831534</v>
      </c>
      <c r="W105" s="20">
        <f t="shared" si="71"/>
        <v>0.25989544436146378</v>
      </c>
      <c r="X105" s="20">
        <f t="shared" si="71"/>
        <v>0.22394678492239467</v>
      </c>
      <c r="Z105" s="20">
        <f t="shared" ref="Z105:AE105" si="72">Z80/Z10</f>
        <v>0.1812719078617927</v>
      </c>
      <c r="AA105" s="20">
        <f t="shared" si="72"/>
        <v>0.16696035242290749</v>
      </c>
      <c r="AB105" s="20">
        <f t="shared" si="72"/>
        <v>0.16466673389129777</v>
      </c>
      <c r="AC105" s="20">
        <f t="shared" si="72"/>
        <v>0.17816609619888307</v>
      </c>
      <c r="AD105" s="20">
        <f t="shared" si="72"/>
        <v>0.19410178906952047</v>
      </c>
      <c r="AE105" s="21">
        <f t="shared" si="72"/>
        <v>0.20685462421156622</v>
      </c>
    </row>
    <row r="106" spans="1:32" x14ac:dyDescent="0.3">
      <c r="A106" t="s">
        <v>151</v>
      </c>
      <c r="B106" s="2" t="s">
        <v>42</v>
      </c>
      <c r="C106" s="19">
        <f t="shared" ref="C106:X106" si="73">C81/C10</f>
        <v>0.15930101465614432</v>
      </c>
      <c r="D106" s="19">
        <f t="shared" si="73"/>
        <v>0.12554307116104871</v>
      </c>
      <c r="E106" s="19">
        <f t="shared" si="73"/>
        <v>7.4206526598122491E-2</v>
      </c>
      <c r="F106" s="19">
        <f t="shared" si="73"/>
        <v>0.1016971279373368</v>
      </c>
      <c r="G106" s="20">
        <f t="shared" si="73"/>
        <v>0.10994035785288271</v>
      </c>
      <c r="H106" s="20">
        <f t="shared" si="73"/>
        <v>8.9258555133079856E-2</v>
      </c>
      <c r="I106" s="20">
        <f t="shared" si="73"/>
        <v>6.4805825242718454E-2</v>
      </c>
      <c r="J106" s="20">
        <f t="shared" si="73"/>
        <v>0.10725552050473186</v>
      </c>
      <c r="K106" s="20">
        <f t="shared" si="73"/>
        <v>0.10726072607260725</v>
      </c>
      <c r="L106" s="20">
        <f t="shared" si="73"/>
        <v>8.7359098228663445E-2</v>
      </c>
      <c r="M106" s="20">
        <f t="shared" si="73"/>
        <v>7.1533706211362971E-2</v>
      </c>
      <c r="N106" s="20">
        <f t="shared" si="73"/>
        <v>0.51487826871055009</v>
      </c>
      <c r="O106" s="20">
        <f t="shared" si="73"/>
        <v>0.10784313725490197</v>
      </c>
      <c r="P106" s="20">
        <f t="shared" si="73"/>
        <v>8.8064046579330424E-2</v>
      </c>
      <c r="Q106" s="20">
        <f t="shared" si="73"/>
        <v>7.1811361200428719E-2</v>
      </c>
      <c r="R106" s="20">
        <f t="shared" si="73"/>
        <v>7.3790322580645162E-2</v>
      </c>
      <c r="S106" s="20">
        <f t="shared" si="73"/>
        <v>0.10167253521126761</v>
      </c>
      <c r="T106" s="20">
        <f t="shared" si="73"/>
        <v>7.6550387596899222E-2</v>
      </c>
      <c r="U106" s="20">
        <f t="shared" si="73"/>
        <v>6.3736263736263732E-2</v>
      </c>
      <c r="V106" s="20">
        <f t="shared" si="73"/>
        <v>0.12239020878329733</v>
      </c>
      <c r="W106" s="20">
        <f t="shared" si="73"/>
        <v>8.5511575802837941E-2</v>
      </c>
      <c r="X106" s="20">
        <f t="shared" si="73"/>
        <v>6.2361419068736143E-2</v>
      </c>
      <c r="Z106" s="20">
        <f t="shared" ref="Z106:AE106" si="74">Z81/Z10</f>
        <v>0.10527457853446838</v>
      </c>
      <c r="AA106" s="20">
        <f t="shared" si="74"/>
        <v>8.8653411120371478E-2</v>
      </c>
      <c r="AB106" s="20">
        <f t="shared" si="74"/>
        <v>0.18120399314308763</v>
      </c>
      <c r="AC106" s="20">
        <f t="shared" si="74"/>
        <v>8.3228247162673394E-2</v>
      </c>
      <c r="AD106" s="20">
        <f t="shared" si="74"/>
        <v>8.7329466546850754E-2</v>
      </c>
      <c r="AE106" s="21">
        <f t="shared" si="74"/>
        <v>8.0173265445702566E-2</v>
      </c>
    </row>
    <row r="107" spans="1:32" x14ac:dyDescent="0.3">
      <c r="A107" t="s">
        <v>152</v>
      </c>
      <c r="B107" s="2" t="s">
        <v>42</v>
      </c>
      <c r="C107" s="19" t="str">
        <f t="shared" ref="C107:X107" si="75">IF(C82="","",C82/C10)</f>
        <v/>
      </c>
      <c r="D107" s="19" t="str">
        <f t="shared" si="75"/>
        <v/>
      </c>
      <c r="E107" s="19" t="str">
        <f t="shared" si="75"/>
        <v/>
      </c>
      <c r="F107" s="19" t="str">
        <f t="shared" si="75"/>
        <v/>
      </c>
      <c r="G107" s="20">
        <f t="shared" si="75"/>
        <v>0.15308151093439365</v>
      </c>
      <c r="H107" s="20">
        <f t="shared" si="75"/>
        <v>0.13403041825095058</v>
      </c>
      <c r="I107" s="20">
        <f t="shared" si="75"/>
        <v>8.9805825242718448E-2</v>
      </c>
      <c r="J107" s="20">
        <f t="shared" si="75"/>
        <v>0.13564668769716087</v>
      </c>
      <c r="K107" s="20">
        <f t="shared" si="75"/>
        <v>0.16886688668866887</v>
      </c>
      <c r="L107" s="20">
        <f t="shared" si="75"/>
        <v>0.14533011272141708</v>
      </c>
      <c r="M107" s="20">
        <f t="shared" si="75"/>
        <v>7.7715631439505439E-2</v>
      </c>
      <c r="N107" s="20">
        <f t="shared" si="75"/>
        <v>0.12443642921550947</v>
      </c>
      <c r="O107" s="20">
        <f t="shared" si="75"/>
        <v>0.17273576097105509</v>
      </c>
      <c r="P107" s="20">
        <f t="shared" si="75"/>
        <v>0.13973799126637554</v>
      </c>
      <c r="Q107" s="20">
        <f t="shared" si="75"/>
        <v>8.8960342979635579E-2</v>
      </c>
      <c r="R107" s="20">
        <f t="shared" si="75"/>
        <v>0.14879032258064517</v>
      </c>
      <c r="S107" s="20">
        <f t="shared" si="75"/>
        <v>0.16637323943661972</v>
      </c>
      <c r="T107" s="20">
        <f t="shared" si="75"/>
        <v>0.14405684754521964</v>
      </c>
      <c r="U107" s="20">
        <f t="shared" si="75"/>
        <v>9.2796092796092799E-2</v>
      </c>
      <c r="V107" s="20">
        <f t="shared" si="75"/>
        <v>0.14074874010079194</v>
      </c>
      <c r="W107" s="20">
        <f t="shared" si="75"/>
        <v>0.19118745332337567</v>
      </c>
      <c r="X107" s="20">
        <f t="shared" si="75"/>
        <v>0.16047671840354769</v>
      </c>
    </row>
    <row r="108" spans="1:32" x14ac:dyDescent="0.3">
      <c r="A108" t="s">
        <v>153</v>
      </c>
      <c r="B108" s="2" t="s">
        <v>42</v>
      </c>
      <c r="C108" s="19">
        <f t="shared" ref="C108:X108" si="76">(C85+C86)/C10</f>
        <v>0.17925591882750846</v>
      </c>
      <c r="D108" s="19">
        <f t="shared" si="76"/>
        <v>2.6966292134831461E-2</v>
      </c>
      <c r="E108" s="19">
        <f t="shared" si="76"/>
        <v>1.7210549843540455E-2</v>
      </c>
      <c r="F108" s="19">
        <f t="shared" si="76"/>
        <v>2.0757180156657964E-2</v>
      </c>
      <c r="G108" s="20">
        <f t="shared" si="76"/>
        <v>2.584493041749503E-2</v>
      </c>
      <c r="H108" s="20">
        <f t="shared" si="76"/>
        <v>4.5627376425855515E-2</v>
      </c>
      <c r="I108" s="20">
        <f t="shared" si="76"/>
        <v>6.2413314840499305E-3</v>
      </c>
      <c r="J108" s="20">
        <f t="shared" si="76"/>
        <v>9.4637223974763408E-3</v>
      </c>
      <c r="K108" s="20">
        <f t="shared" si="76"/>
        <v>1.4851485148514851E-2</v>
      </c>
      <c r="L108" s="20">
        <f t="shared" si="76"/>
        <v>-3.2206119162640902E-3</v>
      </c>
      <c r="M108" s="20">
        <f t="shared" si="76"/>
        <v>1.5307624374448043E-2</v>
      </c>
      <c r="N108" s="20">
        <f t="shared" si="76"/>
        <v>0.42560865644724977</v>
      </c>
      <c r="O108" s="20">
        <f t="shared" si="76"/>
        <v>1.3071895424836602E-2</v>
      </c>
      <c r="P108" s="20">
        <f t="shared" si="76"/>
        <v>5.4585152838427945E-3</v>
      </c>
      <c r="Q108" s="20">
        <f t="shared" si="76"/>
        <v>1.9024651661307609E-2</v>
      </c>
      <c r="R108" s="20">
        <f t="shared" si="76"/>
        <v>-1.3306451612903225E-2</v>
      </c>
      <c r="S108" s="20">
        <f t="shared" si="76"/>
        <v>9.2429577464788731E-3</v>
      </c>
      <c r="T108" s="20">
        <f t="shared" si="76"/>
        <v>2.2609819121447027E-3</v>
      </c>
      <c r="U108" s="20">
        <f t="shared" si="76"/>
        <v>6.5934065934065934E-3</v>
      </c>
      <c r="V108" s="20">
        <f t="shared" si="76"/>
        <v>3.8156947444204461E-2</v>
      </c>
      <c r="W108" s="20">
        <f t="shared" si="76"/>
        <v>8.5884988797610157E-3</v>
      </c>
      <c r="X108" s="20">
        <f t="shared" si="76"/>
        <v>4.434589800443459E-3</v>
      </c>
      <c r="Z108" s="20">
        <f t="shared" ref="Z108:AE108" si="77">(Z85+Z86)/Z10</f>
        <v>4.4283091303622089E-2</v>
      </c>
      <c r="AA108" s="20">
        <f t="shared" si="77"/>
        <v>2.0359566615073224E-2</v>
      </c>
      <c r="AB108" s="20">
        <f t="shared" si="77"/>
        <v>0.10234950085711404</v>
      </c>
      <c r="AC108" s="20">
        <f t="shared" si="77"/>
        <v>7.2959827058187718E-3</v>
      </c>
      <c r="AD108" s="20">
        <f t="shared" si="77"/>
        <v>1.3152520218936361E-2</v>
      </c>
      <c r="AE108" s="21">
        <f t="shared" si="77"/>
        <v>1.3070902044228285E-2</v>
      </c>
    </row>
    <row r="109" spans="1:32" x14ac:dyDescent="0.3">
      <c r="A109" t="s">
        <v>154</v>
      </c>
      <c r="B109" s="2" t="s">
        <v>39</v>
      </c>
      <c r="C109" s="16">
        <f t="shared" ref="C109:X109" si="78">C77/C8*100</f>
        <v>2.470873786407767</v>
      </c>
      <c r="D109" s="16">
        <f t="shared" si="78"/>
        <v>2.1970149253731344</v>
      </c>
      <c r="E109" s="16">
        <f t="shared" si="78"/>
        <v>2.6184873949579832</v>
      </c>
      <c r="F109" s="16">
        <f t="shared" si="78"/>
        <v>2.6150442477876106</v>
      </c>
      <c r="G109" s="17">
        <f t="shared" si="78"/>
        <v>2.1104651162790695</v>
      </c>
      <c r="H109" s="17">
        <f t="shared" si="78"/>
        <v>2.2941176470588234</v>
      </c>
      <c r="I109" s="17">
        <f t="shared" si="78"/>
        <v>2.5705128205128207</v>
      </c>
      <c r="J109" s="17">
        <f t="shared" si="78"/>
        <v>2.5555555555555558</v>
      </c>
      <c r="K109" s="17">
        <f t="shared" si="78"/>
        <v>2.0980392156862746</v>
      </c>
      <c r="L109" s="17">
        <f t="shared" si="78"/>
        <v>2.261780104712042</v>
      </c>
      <c r="M109" s="17">
        <f t="shared" si="78"/>
        <v>2.5081967213114753</v>
      </c>
      <c r="N109" s="17">
        <f t="shared" si="78"/>
        <v>2.4774193548387098</v>
      </c>
      <c r="O109" s="17">
        <f t="shared" si="78"/>
        <v>2.0960698689956332</v>
      </c>
      <c r="P109" s="17">
        <f t="shared" si="78"/>
        <v>2.3867924528301887</v>
      </c>
      <c r="Q109" s="17">
        <f t="shared" si="78"/>
        <v>2.3134328358208953</v>
      </c>
      <c r="R109" s="17">
        <f t="shared" si="78"/>
        <v>2.4261363636363638</v>
      </c>
      <c r="S109" s="17">
        <f t="shared" si="78"/>
        <v>2.0653061224489795</v>
      </c>
      <c r="T109" s="17">
        <f t="shared" si="78"/>
        <v>2.3148936170212764</v>
      </c>
      <c r="U109" s="17">
        <f t="shared" si="78"/>
        <v>2.3973799126637556</v>
      </c>
      <c r="V109" s="17">
        <f t="shared" si="78"/>
        <v>2.3872549019607843</v>
      </c>
      <c r="W109" s="17">
        <f t="shared" si="78"/>
        <v>1.9897260273972601</v>
      </c>
      <c r="X109" s="17">
        <f t="shared" si="78"/>
        <v>2.3272058823529411</v>
      </c>
      <c r="Z109" s="17">
        <f t="shared" ref="Z109:AE109" si="79">Z77/Z8*100</f>
        <v>2.464818763326226</v>
      </c>
      <c r="AA109" s="17">
        <f t="shared" si="79"/>
        <v>2.368088467614534</v>
      </c>
      <c r="AB109" s="17">
        <f t="shared" si="79"/>
        <v>2.3233287858117326</v>
      </c>
      <c r="AC109" s="17">
        <f t="shared" si="79"/>
        <v>2.2958435207823964</v>
      </c>
      <c r="AD109" s="17">
        <f t="shared" si="79"/>
        <v>2.2847754654983574</v>
      </c>
      <c r="AE109" s="18">
        <f t="shared" si="79"/>
        <v>2.2567703109327986</v>
      </c>
      <c r="AF109" s="2" t="s">
        <v>155</v>
      </c>
    </row>
    <row r="111" spans="1:32" x14ac:dyDescent="0.3">
      <c r="A111" s="6" t="s">
        <v>156</v>
      </c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 spans="1:32" x14ac:dyDescent="0.3">
      <c r="A112" t="s">
        <v>157</v>
      </c>
      <c r="B112" s="2" t="s">
        <v>51</v>
      </c>
      <c r="G112" s="22">
        <f t="shared" ref="G112:X112" si="80">(G92-C92)*100</f>
        <v>21.827247712522311</v>
      </c>
      <c r="H112" s="22">
        <f t="shared" si="80"/>
        <v>17.538094017459162</v>
      </c>
      <c r="I112" s="22">
        <f t="shared" si="80"/>
        <v>1.30240867716509</v>
      </c>
      <c r="J112" s="22">
        <f t="shared" si="80"/>
        <v>4.8672827558183922</v>
      </c>
      <c r="K112" s="22">
        <f t="shared" si="80"/>
        <v>-0.76417184461984866</v>
      </c>
      <c r="L112" s="22">
        <f t="shared" si="80"/>
        <v>-0.8217611726456131</v>
      </c>
      <c r="M112" s="22">
        <f t="shared" si="80"/>
        <v>3.4687027021068184</v>
      </c>
      <c r="N112" s="22">
        <f t="shared" si="80"/>
        <v>6.6696439323041865</v>
      </c>
      <c r="O112" s="22">
        <f t="shared" si="80"/>
        <v>5.3831433563524405</v>
      </c>
      <c r="P112" s="22">
        <f t="shared" si="80"/>
        <v>-0.43826340105057038</v>
      </c>
      <c r="Q112" s="22">
        <f t="shared" si="80"/>
        <v>-1.5236475283499917</v>
      </c>
      <c r="R112" s="22">
        <f t="shared" si="80"/>
        <v>-2.4264449227726246</v>
      </c>
      <c r="S112" s="22">
        <f t="shared" si="80"/>
        <v>-1.4407112610302337</v>
      </c>
      <c r="T112" s="22">
        <f t="shared" si="80"/>
        <v>1.1558793992530181</v>
      </c>
      <c r="U112" s="22">
        <f t="shared" si="80"/>
        <v>-2.3796960452909022</v>
      </c>
      <c r="V112" s="22">
        <f t="shared" si="80"/>
        <v>-2.5530376924684739</v>
      </c>
      <c r="W112" s="22">
        <f t="shared" si="80"/>
        <v>1.0262611892414979</v>
      </c>
      <c r="X112" s="22">
        <f t="shared" si="80"/>
        <v>1.2614803737889368</v>
      </c>
      <c r="AA112" s="22">
        <f>(AA92-Z92)*100</f>
        <v>7.9904454053783827</v>
      </c>
      <c r="AB112" s="22">
        <f>(AB92-AA92)*100</f>
        <v>2.2720980854990911</v>
      </c>
      <c r="AC112" s="22">
        <f>(AC92-AB92)*100</f>
        <v>-0.4368895593105715</v>
      </c>
      <c r="AD112" s="22">
        <f>(AD92-AC92)*100</f>
        <v>-1.2955058242931194</v>
      </c>
    </row>
    <row r="113" spans="1:32" x14ac:dyDescent="0.3">
      <c r="A113" t="s">
        <v>158</v>
      </c>
      <c r="B113" s="2" t="s">
        <v>51</v>
      </c>
      <c r="G113" s="22">
        <f t="shared" ref="G113:P117" si="81">-(G102-C102)*100</f>
        <v>4.6365549655841747</v>
      </c>
      <c r="H113" s="22">
        <f t="shared" si="81"/>
        <v>3.5163127839250352</v>
      </c>
      <c r="I113" s="22">
        <f t="shared" si="81"/>
        <v>2.5070107639951766E-2</v>
      </c>
      <c r="J113" s="22">
        <f t="shared" si="81"/>
        <v>1.1497104875176052</v>
      </c>
      <c r="K113" s="22">
        <f t="shared" si="81"/>
        <v>0.51331176855259897</v>
      </c>
      <c r="L113" s="22">
        <f t="shared" si="81"/>
        <v>1.1448173251777161</v>
      </c>
      <c r="M113" s="22">
        <f t="shared" si="81"/>
        <v>0.39237729954267331</v>
      </c>
      <c r="N113" s="22">
        <f t="shared" si="81"/>
        <v>0.82590676228050941</v>
      </c>
      <c r="O113" s="22">
        <f t="shared" si="81"/>
        <v>1.1333906499893687</v>
      </c>
      <c r="P113" s="22">
        <f t="shared" si="81"/>
        <v>-1.0220872096702749</v>
      </c>
      <c r="Q113" s="22">
        <f t="shared" ref="Q113:Z117" si="82">-(Q102-M102)*100</f>
        <v>1.052115210413576</v>
      </c>
      <c r="R113" s="22">
        <f t="shared" si="82"/>
        <v>9.5152564065273393E-2</v>
      </c>
      <c r="S113" s="22">
        <f t="shared" si="82"/>
        <v>0.13783682487079341</v>
      </c>
      <c r="T113" s="22">
        <f t="shared" si="82"/>
        <v>0.84233212597181473</v>
      </c>
      <c r="U113" s="22">
        <f t="shared" si="82"/>
        <v>-0.94678633263842182</v>
      </c>
      <c r="V113" s="22">
        <f t="shared" si="82"/>
        <v>-0.3128556167119545</v>
      </c>
      <c r="W113" s="22">
        <f t="shared" si="82"/>
        <v>0.57583176429751026</v>
      </c>
      <c r="X113" s="22">
        <f t="shared" si="82"/>
        <v>2.6713533520111854E-2</v>
      </c>
      <c r="AA113" s="22">
        <f t="shared" ref="AA113:AD117" si="83">-(AA102-Z102)*100</f>
        <v>1.4482473005058645</v>
      </c>
      <c r="AB113" s="22">
        <f t="shared" si="83"/>
        <v>0.67483076555292232</v>
      </c>
      <c r="AC113" s="22">
        <f t="shared" si="83"/>
        <v>0.25666100149889237</v>
      </c>
      <c r="AD113" s="22">
        <f t="shared" si="83"/>
        <v>-0.12522039986848366</v>
      </c>
    </row>
    <row r="114" spans="1:32" x14ac:dyDescent="0.3">
      <c r="A114" t="s">
        <v>159</v>
      </c>
      <c r="B114" s="2" t="s">
        <v>51</v>
      </c>
      <c r="G114" s="22">
        <f t="shared" si="81"/>
        <v>4.9712248866814139</v>
      </c>
      <c r="H114" s="22">
        <f t="shared" si="81"/>
        <v>3.0652190940032171</v>
      </c>
      <c r="I114" s="22">
        <f t="shared" si="81"/>
        <v>0.27014924262668549</v>
      </c>
      <c r="J114" s="22">
        <f t="shared" si="81"/>
        <v>1.1534786798560264</v>
      </c>
      <c r="K114" s="22">
        <f t="shared" si="81"/>
        <v>-4.1008076950835304E-2</v>
      </c>
      <c r="L114" s="22">
        <f t="shared" si="81"/>
        <v>-0.53765391279856489</v>
      </c>
      <c r="M114" s="22">
        <f t="shared" si="81"/>
        <v>0.63292874474785432</v>
      </c>
      <c r="N114" s="22">
        <f t="shared" si="81"/>
        <v>1.3242668957454504</v>
      </c>
      <c r="O114" s="22">
        <f t="shared" si="81"/>
        <v>2.2681679932699153</v>
      </c>
      <c r="P114" s="22">
        <f t="shared" si="81"/>
        <v>0.57028739390615346</v>
      </c>
      <c r="Q114" s="22">
        <f t="shared" si="82"/>
        <v>-0.49607954310609409</v>
      </c>
      <c r="R114" s="22">
        <f t="shared" si="82"/>
        <v>0.76627446987986847</v>
      </c>
      <c r="S114" s="22">
        <f t="shared" si="82"/>
        <v>6.3288226088559218E-3</v>
      </c>
      <c r="T114" s="22">
        <f t="shared" si="82"/>
        <v>1.4458718391388237</v>
      </c>
      <c r="U114" s="22">
        <f t="shared" si="82"/>
        <v>0.9218951823453434</v>
      </c>
      <c r="V114" s="22">
        <f t="shared" si="82"/>
        <v>-0.22164355883787373</v>
      </c>
      <c r="W114" s="22">
        <f t="shared" si="82"/>
        <v>1.1722406883421521</v>
      </c>
      <c r="X114" s="22">
        <f t="shared" si="82"/>
        <v>1.0282919953935266</v>
      </c>
      <c r="AA114" s="22">
        <f t="shared" si="83"/>
        <v>1.6919382327847454</v>
      </c>
      <c r="AB114" s="22">
        <f t="shared" si="83"/>
        <v>0.36114778257825553</v>
      </c>
      <c r="AC114" s="22">
        <f t="shared" si="83"/>
        <v>0.53676645685400293</v>
      </c>
      <c r="AD114" s="22">
        <f t="shared" si="83"/>
        <v>0.63142063233130452</v>
      </c>
    </row>
    <row r="115" spans="1:32" x14ac:dyDescent="0.3">
      <c r="A115" t="s">
        <v>160</v>
      </c>
      <c r="B115" s="2" t="s">
        <v>51</v>
      </c>
      <c r="G115" s="22">
        <f t="shared" si="81"/>
        <v>8.4925172751540412</v>
      </c>
      <c r="H115" s="22">
        <f t="shared" si="81"/>
        <v>4.486909186710526</v>
      </c>
      <c r="I115" s="22">
        <f t="shared" si="81"/>
        <v>1.5476490147729782</v>
      </c>
      <c r="J115" s="22">
        <f t="shared" si="81"/>
        <v>2.672224921959296</v>
      </c>
      <c r="K115" s="22">
        <f t="shared" si="81"/>
        <v>1.3360540825454292</v>
      </c>
      <c r="L115" s="22">
        <f t="shared" si="81"/>
        <v>0.46932305921394968</v>
      </c>
      <c r="M115" s="22">
        <f t="shared" si="81"/>
        <v>0.79569372012590067</v>
      </c>
      <c r="N115" s="22">
        <f t="shared" si="81"/>
        <v>1.684809971753902</v>
      </c>
      <c r="O115" s="22">
        <f t="shared" si="81"/>
        <v>1.3677418161984285</v>
      </c>
      <c r="P115" s="22">
        <f t="shared" si="81"/>
        <v>0.27776019801841051</v>
      </c>
      <c r="Q115" s="22">
        <f t="shared" si="82"/>
        <v>-0.69500514450522433</v>
      </c>
      <c r="R115" s="22">
        <f t="shared" si="82"/>
        <v>-0.93203699933098605</v>
      </c>
      <c r="S115" s="22">
        <f t="shared" si="82"/>
        <v>-1.3380117305138022</v>
      </c>
      <c r="T115" s="22">
        <f t="shared" si="82"/>
        <v>-0.50198594044435496</v>
      </c>
      <c r="U115" s="22">
        <f t="shared" si="82"/>
        <v>-0.25405462704498061</v>
      </c>
      <c r="V115" s="22">
        <f t="shared" si="82"/>
        <v>0.27967440024152801</v>
      </c>
      <c r="W115" s="22">
        <f t="shared" si="82"/>
        <v>0.87377325942210315</v>
      </c>
      <c r="X115" s="22">
        <f t="shared" si="82"/>
        <v>0.32536081174765336</v>
      </c>
      <c r="AA115" s="22">
        <f t="shared" si="83"/>
        <v>3.3249636330910186</v>
      </c>
      <c r="AB115" s="22">
        <f t="shared" si="83"/>
        <v>0.99602879636186969</v>
      </c>
      <c r="AC115" s="22">
        <f t="shared" si="83"/>
        <v>-0.17260356981683433</v>
      </c>
      <c r="AD115" s="22">
        <f t="shared" si="83"/>
        <v>-0.38366858258622044</v>
      </c>
    </row>
    <row r="116" spans="1:32" x14ac:dyDescent="0.3">
      <c r="A116" t="s">
        <v>161</v>
      </c>
      <c r="B116" s="2" t="s">
        <v>51</v>
      </c>
      <c r="G116" s="22">
        <f t="shared" si="81"/>
        <v>1.4507617952562697</v>
      </c>
      <c r="H116" s="22">
        <f t="shared" si="81"/>
        <v>5.1825059455148761</v>
      </c>
      <c r="I116" s="22">
        <f t="shared" si="81"/>
        <v>-0.42020253249317879</v>
      </c>
      <c r="J116" s="22">
        <f t="shared" si="81"/>
        <v>1.6165751043974579</v>
      </c>
      <c r="K116" s="22">
        <f t="shared" si="81"/>
        <v>-1.7544020803670817</v>
      </c>
      <c r="L116" s="22">
        <f t="shared" si="81"/>
        <v>-1.4857138921033797</v>
      </c>
      <c r="M116" s="22">
        <f t="shared" si="81"/>
        <v>1.4728076539755039</v>
      </c>
      <c r="N116" s="22">
        <f t="shared" si="81"/>
        <v>1.9298654825872648</v>
      </c>
      <c r="O116" s="22">
        <f t="shared" si="81"/>
        <v>0.85004298749202511</v>
      </c>
      <c r="P116" s="22">
        <f t="shared" si="81"/>
        <v>-1.0616416682488445</v>
      </c>
      <c r="Q116" s="22">
        <f t="shared" si="82"/>
        <v>-1.7286152809316322</v>
      </c>
      <c r="R116" s="22">
        <f t="shared" si="82"/>
        <v>-2.5731187643619675</v>
      </c>
      <c r="S116" s="22">
        <f t="shared" si="82"/>
        <v>-0.48103161452374144</v>
      </c>
      <c r="T116" s="22">
        <f t="shared" si="82"/>
        <v>-1.4619511864865791</v>
      </c>
      <c r="U116" s="22">
        <f t="shared" si="82"/>
        <v>-1.665135507579238</v>
      </c>
      <c r="V116" s="22">
        <f t="shared" si="82"/>
        <v>-2.5845642026057272</v>
      </c>
      <c r="W116" s="22">
        <f t="shared" si="82"/>
        <v>-3.1462345769914495</v>
      </c>
      <c r="X116" s="22">
        <f t="shared" si="82"/>
        <v>-1.7551436085185363</v>
      </c>
      <c r="AA116" s="22">
        <f t="shared" si="83"/>
        <v>1.4311555438885208</v>
      </c>
      <c r="AB116" s="22">
        <f t="shared" si="83"/>
        <v>0.22936185316097257</v>
      </c>
      <c r="AC116" s="22">
        <f t="shared" si="83"/>
        <v>-1.3499362307585305</v>
      </c>
      <c r="AD116" s="22">
        <f t="shared" si="83"/>
        <v>-1.5935692870637397</v>
      </c>
    </row>
    <row r="117" spans="1:32" x14ac:dyDescent="0.3">
      <c r="A117" t="s">
        <v>162</v>
      </c>
      <c r="B117" s="2" t="s">
        <v>51</v>
      </c>
      <c r="G117" s="22">
        <f t="shared" si="81"/>
        <v>4.9360656803261609</v>
      </c>
      <c r="H117" s="22">
        <f t="shared" si="81"/>
        <v>3.6284516027968854</v>
      </c>
      <c r="I117" s="22">
        <f t="shared" si="81"/>
        <v>0.94007013554040375</v>
      </c>
      <c r="J117" s="22">
        <f t="shared" si="81"/>
        <v>-0.55583925673950563</v>
      </c>
      <c r="K117" s="22">
        <f t="shared" si="81"/>
        <v>0.26796317802754571</v>
      </c>
      <c r="L117" s="22">
        <f t="shared" si="81"/>
        <v>0.18994569044164106</v>
      </c>
      <c r="M117" s="22">
        <f t="shared" si="81"/>
        <v>-0.67278809686445173</v>
      </c>
      <c r="N117" s="22">
        <f t="shared" si="81"/>
        <v>-40.762274820581823</v>
      </c>
      <c r="O117" s="22">
        <f t="shared" si="81"/>
        <v>-5.82411182294712E-2</v>
      </c>
      <c r="P117" s="22">
        <f t="shared" si="81"/>
        <v>-7.0494835066697847E-2</v>
      </c>
      <c r="Q117" s="22">
        <f t="shared" si="82"/>
        <v>-2.7765498906574815E-2</v>
      </c>
      <c r="R117" s="22">
        <f t="shared" si="82"/>
        <v>44.108794612990494</v>
      </c>
      <c r="S117" s="22">
        <f t="shared" si="82"/>
        <v>0.61706020436343567</v>
      </c>
      <c r="T117" s="22">
        <f t="shared" si="82"/>
        <v>1.1513658982431201</v>
      </c>
      <c r="U117" s="22">
        <f t="shared" si="82"/>
        <v>0.80750974641649875</v>
      </c>
      <c r="V117" s="22">
        <f t="shared" si="82"/>
        <v>-4.8599886202652165</v>
      </c>
      <c r="W117" s="22">
        <f t="shared" si="82"/>
        <v>1.6160959408429667</v>
      </c>
      <c r="X117" s="22">
        <f t="shared" si="82"/>
        <v>1.418896852816308</v>
      </c>
      <c r="AA117" s="22">
        <f t="shared" si="83"/>
        <v>1.6621167414096902</v>
      </c>
      <c r="AB117" s="22">
        <f t="shared" si="83"/>
        <v>-9.2550582022716164</v>
      </c>
      <c r="AC117" s="22">
        <f t="shared" si="83"/>
        <v>9.7975745980414235</v>
      </c>
      <c r="AD117" s="22">
        <f t="shared" si="83"/>
        <v>-0.41012193841773598</v>
      </c>
    </row>
    <row r="118" spans="1:32" x14ac:dyDescent="0.3">
      <c r="A118" t="s">
        <v>163</v>
      </c>
      <c r="B118" s="2" t="s">
        <v>51</v>
      </c>
      <c r="G118" s="22">
        <f t="shared" ref="G118:X118" si="84">(G108-C108)*100</f>
        <v>-15.341098841001344</v>
      </c>
      <c r="H118" s="22">
        <f t="shared" si="84"/>
        <v>1.8661084291024053</v>
      </c>
      <c r="I118" s="22">
        <f t="shared" si="84"/>
        <v>-1.0969218359490522</v>
      </c>
      <c r="J118" s="22">
        <f t="shared" si="84"/>
        <v>-1.1293457759181624</v>
      </c>
      <c r="K118" s="22">
        <f t="shared" si="84"/>
        <v>-1.099344526898018</v>
      </c>
      <c r="L118" s="22">
        <f t="shared" si="84"/>
        <v>-4.8847988342119608</v>
      </c>
      <c r="M118" s="22">
        <f t="shared" si="84"/>
        <v>0.90662928903981133</v>
      </c>
      <c r="N118" s="22">
        <f t="shared" si="84"/>
        <v>41.614493404977345</v>
      </c>
      <c r="O118" s="22">
        <f t="shared" si="84"/>
        <v>-0.1779589723678249</v>
      </c>
      <c r="P118" s="22">
        <f t="shared" si="84"/>
        <v>0.86791272001068842</v>
      </c>
      <c r="Q118" s="22">
        <f t="shared" si="84"/>
        <v>0.37170272868595666</v>
      </c>
      <c r="R118" s="22">
        <f t="shared" si="84"/>
        <v>-43.891510806015297</v>
      </c>
      <c r="S118" s="22">
        <f t="shared" si="84"/>
        <v>-0.38289376783577289</v>
      </c>
      <c r="T118" s="22">
        <f t="shared" si="84"/>
        <v>-0.31975333716980919</v>
      </c>
      <c r="U118" s="22">
        <f t="shared" si="84"/>
        <v>-1.2431245067901016</v>
      </c>
      <c r="V118" s="22">
        <f t="shared" si="84"/>
        <v>5.1463399057107688</v>
      </c>
      <c r="W118" s="22">
        <f t="shared" si="84"/>
        <v>-6.5445886671785733E-2</v>
      </c>
      <c r="X118" s="22">
        <f t="shared" si="84"/>
        <v>0.21736078882987564</v>
      </c>
      <c r="AA118" s="22">
        <f>(AA108-Z108)*100</f>
        <v>-2.3923524688548867</v>
      </c>
      <c r="AB118" s="22">
        <f>(AB108-AA108)*100</f>
        <v>8.1989934242040814</v>
      </c>
      <c r="AC118" s="22">
        <f>(AC108-AB108)*100</f>
        <v>-9.5053518151295275</v>
      </c>
      <c r="AD118" s="22">
        <f>(AD108-AC108)*100</f>
        <v>0.5856537513117589</v>
      </c>
    </row>
    <row r="119" spans="1:32" x14ac:dyDescent="0.3">
      <c r="A119" t="s">
        <v>164</v>
      </c>
      <c r="B119" s="2" t="s">
        <v>51</v>
      </c>
      <c r="G119" s="22">
        <f t="shared" ref="G119:X119" si="85">G112-G113-G114-G115-G116-G117-G118</f>
        <v>12.681221950521595</v>
      </c>
      <c r="H119" s="22">
        <f t="shared" si="85"/>
        <v>-4.207413024593782</v>
      </c>
      <c r="I119" s="22">
        <f t="shared" si="85"/>
        <v>3.659454502730175E-2</v>
      </c>
      <c r="J119" s="22">
        <f t="shared" si="85"/>
        <v>-3.9521405254325126E-2</v>
      </c>
      <c r="K119" s="22">
        <f t="shared" si="85"/>
        <v>1.3253810470512439E-2</v>
      </c>
      <c r="L119" s="22">
        <f t="shared" si="85"/>
        <v>4.2823193916349851</v>
      </c>
      <c r="M119" s="22">
        <f t="shared" si="85"/>
        <v>-5.8945908460473095E-2</v>
      </c>
      <c r="N119" s="22">
        <f t="shared" si="85"/>
        <v>5.2576235541536676E-2</v>
      </c>
      <c r="O119" s="22">
        <f t="shared" si="85"/>
        <v>-7.4940054162198066E-16</v>
      </c>
      <c r="P119" s="22">
        <f t="shared" si="85"/>
        <v>-5.5511151231257827E-15</v>
      </c>
      <c r="Q119" s="22">
        <f t="shared" si="85"/>
        <v>1.1657341758564144E-15</v>
      </c>
      <c r="R119" s="22">
        <f t="shared" si="85"/>
        <v>0</v>
      </c>
      <c r="S119" s="22">
        <f t="shared" si="85"/>
        <v>-2.4424906541753444E-15</v>
      </c>
      <c r="T119" s="22">
        <f t="shared" si="85"/>
        <v>2.7200464103316335E-15</v>
      </c>
      <c r="U119" s="22">
        <f t="shared" si="85"/>
        <v>-2.886579864025407E-15</v>
      </c>
      <c r="V119" s="22">
        <f t="shared" si="85"/>
        <v>0</v>
      </c>
      <c r="W119" s="22">
        <f t="shared" si="85"/>
        <v>8.7430063189231078E-16</v>
      </c>
      <c r="X119" s="22">
        <f t="shared" si="85"/>
        <v>-2.2204460492503131E-15</v>
      </c>
      <c r="AA119" s="22">
        <f>AA112-AA113-AA114-AA115-AA116-AA117-AA118</f>
        <v>0.82437642255343002</v>
      </c>
      <c r="AB119" s="22">
        <f>AB112-AB113-AB114-AB115-AB116-AB117-AB118</f>
        <v>1.0667936659126056</v>
      </c>
      <c r="AC119" s="22">
        <f>AC112-AC113-AC114-AC115-AC116-AC117-AC118</f>
        <v>0</v>
      </c>
      <c r="AD119" s="22">
        <f>AD112-AD113-AD114-AD115-AD116-AD117-AD118</f>
        <v>-2.9976021664879227E-15</v>
      </c>
      <c r="AF119" s="2" t="s">
        <v>165</v>
      </c>
    </row>
    <row r="121" spans="1:32" x14ac:dyDescent="0.3">
      <c r="A121" s="6" t="s">
        <v>166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 spans="1:32" x14ac:dyDescent="0.3">
      <c r="A122" t="s">
        <v>167</v>
      </c>
      <c r="B122" s="2" t="s">
        <v>39</v>
      </c>
      <c r="C122" s="16">
        <f t="shared" ref="C122:X122" si="86">C84/C7</f>
        <v>15.409937888198758</v>
      </c>
      <c r="D122" s="16">
        <f t="shared" si="86"/>
        <v>13.874849578820699</v>
      </c>
      <c r="E122" s="16">
        <f t="shared" si="86"/>
        <v>14.742785445420326</v>
      </c>
      <c r="F122" s="16">
        <f t="shared" si="86"/>
        <v>16.765667574931879</v>
      </c>
      <c r="G122" s="17">
        <f t="shared" si="86"/>
        <v>12.916748285994126</v>
      </c>
      <c r="H122" s="17">
        <f t="shared" si="86"/>
        <v>13.489874638379941</v>
      </c>
      <c r="I122" s="17">
        <f t="shared" si="86"/>
        <v>14.510531594784355</v>
      </c>
      <c r="J122" s="17">
        <f t="shared" si="86"/>
        <v>16.020408163265305</v>
      </c>
      <c r="K122" s="17">
        <f t="shared" si="86"/>
        <v>13.071841453344344</v>
      </c>
      <c r="L122" s="17">
        <f t="shared" si="86"/>
        <v>14.396177237185057</v>
      </c>
      <c r="M122" s="17">
        <f t="shared" si="86"/>
        <v>14.26678445229682</v>
      </c>
      <c r="N122" s="17">
        <f t="shared" si="86"/>
        <v>24.534412955465587</v>
      </c>
      <c r="O122" s="17">
        <f t="shared" si="86"/>
        <v>13.167420814479639</v>
      </c>
      <c r="P122" s="17">
        <f t="shared" si="86"/>
        <v>14.940047961630697</v>
      </c>
      <c r="Q122" s="17">
        <f t="shared" si="86"/>
        <v>15.024429967426711</v>
      </c>
      <c r="R122" s="17">
        <f t="shared" si="86"/>
        <v>15.153153153153154</v>
      </c>
      <c r="S122" s="17">
        <f t="shared" si="86"/>
        <v>13.109713487071978</v>
      </c>
      <c r="T122" s="17">
        <f t="shared" si="86"/>
        <v>15.327380952380953</v>
      </c>
      <c r="U122" s="17">
        <f t="shared" si="86"/>
        <v>15.501497005988025</v>
      </c>
      <c r="V122" s="17">
        <f t="shared" si="86"/>
        <v>17.210828547990154</v>
      </c>
      <c r="W122" s="17">
        <f t="shared" si="86"/>
        <v>13.969270166453265</v>
      </c>
      <c r="X122" s="17">
        <f t="shared" si="86"/>
        <v>15.933917734322318</v>
      </c>
      <c r="Z122" s="17">
        <f t="shared" ref="Z122:AE122" si="87">Z84/Z7</f>
        <v>15.139720558882235</v>
      </c>
      <c r="AA122" s="17">
        <f t="shared" si="87"/>
        <v>14.166624333248668</v>
      </c>
      <c r="AB122" s="17">
        <f t="shared" si="87"/>
        <v>16.240517626059795</v>
      </c>
      <c r="AC122" s="17">
        <f t="shared" si="87"/>
        <v>14.531027466937944</v>
      </c>
      <c r="AD122" s="17">
        <f t="shared" si="87"/>
        <v>15.206378986866792</v>
      </c>
      <c r="AE122" s="18">
        <f t="shared" si="87"/>
        <v>15.560714285714285</v>
      </c>
    </row>
    <row r="123" spans="1:32" x14ac:dyDescent="0.3">
      <c r="A123" t="s">
        <v>168</v>
      </c>
      <c r="B123" s="2" t="s">
        <v>39</v>
      </c>
      <c r="C123" s="16">
        <f t="shared" ref="C123:X123" si="88">C77/C7</f>
        <v>3.9518633540372665</v>
      </c>
      <c r="D123" s="16">
        <f t="shared" si="88"/>
        <v>3.542719614921781</v>
      </c>
      <c r="E123" s="16">
        <f t="shared" si="88"/>
        <v>3.9096612296110416</v>
      </c>
      <c r="F123" s="16">
        <f t="shared" si="88"/>
        <v>4.0258855585831057</v>
      </c>
      <c r="G123" s="17">
        <f t="shared" si="88"/>
        <v>3.555337904015671</v>
      </c>
      <c r="H123" s="17">
        <f t="shared" si="88"/>
        <v>3.7608486017357761</v>
      </c>
      <c r="I123" s="17">
        <f t="shared" si="88"/>
        <v>4.0220661985957875</v>
      </c>
      <c r="J123" s="17">
        <f t="shared" si="88"/>
        <v>3.9115646258503398</v>
      </c>
      <c r="K123" s="17">
        <f t="shared" si="88"/>
        <v>3.5342691990090835</v>
      </c>
      <c r="L123" s="17">
        <f t="shared" si="88"/>
        <v>3.753258036490009</v>
      </c>
      <c r="M123" s="17">
        <f t="shared" si="88"/>
        <v>4.0547703180212009</v>
      </c>
      <c r="N123" s="17">
        <f t="shared" si="88"/>
        <v>3.8866396761133606</v>
      </c>
      <c r="O123" s="17">
        <f t="shared" si="88"/>
        <v>3.6199095022624435</v>
      </c>
      <c r="P123" s="17">
        <f t="shared" si="88"/>
        <v>4.044764188649081</v>
      </c>
      <c r="Q123" s="17">
        <f t="shared" si="88"/>
        <v>3.7866449511400653</v>
      </c>
      <c r="R123" s="17">
        <f t="shared" si="88"/>
        <v>3.8468468468468466</v>
      </c>
      <c r="S123" s="17">
        <f t="shared" si="88"/>
        <v>3.5359888190076871</v>
      </c>
      <c r="T123" s="17">
        <f t="shared" si="88"/>
        <v>4.0476190476190474</v>
      </c>
      <c r="U123" s="17">
        <f t="shared" si="88"/>
        <v>4.1092814371257491</v>
      </c>
      <c r="V123" s="17">
        <f t="shared" si="88"/>
        <v>3.9950779327317472</v>
      </c>
      <c r="W123" s="17">
        <f t="shared" si="88"/>
        <v>3.7195902688860438</v>
      </c>
      <c r="X123" s="17">
        <f t="shared" si="88"/>
        <v>4.2683749157113953</v>
      </c>
      <c r="Z123" s="17">
        <f t="shared" ref="Z123:AE123" si="89">Z77/Z7</f>
        <v>3.8456420492348635</v>
      </c>
      <c r="AA123" s="17">
        <f t="shared" si="89"/>
        <v>3.8074676149352298</v>
      </c>
      <c r="AB123" s="17">
        <f t="shared" si="89"/>
        <v>3.7996430165104864</v>
      </c>
      <c r="AC123" s="17">
        <f t="shared" si="89"/>
        <v>3.8209562563580874</v>
      </c>
      <c r="AD123" s="17">
        <f t="shared" si="89"/>
        <v>3.9136960600375232</v>
      </c>
      <c r="AE123" s="18">
        <f t="shared" si="89"/>
        <v>4.0178571428571432</v>
      </c>
    </row>
    <row r="124" spans="1:32" x14ac:dyDescent="0.3">
      <c r="A124" t="s">
        <v>169</v>
      </c>
      <c r="B124" s="2" t="s">
        <v>39</v>
      </c>
      <c r="C124" s="16">
        <f t="shared" ref="C124:X124" si="90">C78/C7</f>
        <v>2.701863354037267</v>
      </c>
      <c r="D124" s="16">
        <f t="shared" si="90"/>
        <v>2.3333333333333335</v>
      </c>
      <c r="E124" s="16">
        <f t="shared" si="90"/>
        <v>2.7239648682559601</v>
      </c>
      <c r="F124" s="16">
        <f t="shared" si="90"/>
        <v>2.9073569482288826</v>
      </c>
      <c r="G124" s="17">
        <f t="shared" si="90"/>
        <v>2.1645445641527914</v>
      </c>
      <c r="H124" s="17">
        <f t="shared" si="90"/>
        <v>2.3249758919961425</v>
      </c>
      <c r="I124" s="17">
        <f t="shared" si="90"/>
        <v>2.7291875626880642</v>
      </c>
      <c r="J124" s="17">
        <f t="shared" si="90"/>
        <v>2.7551020408163263</v>
      </c>
      <c r="K124" s="17">
        <f t="shared" si="90"/>
        <v>2.2047894302229563</v>
      </c>
      <c r="L124" s="17">
        <f t="shared" si="90"/>
        <v>2.589052997393571</v>
      </c>
      <c r="M124" s="17">
        <f t="shared" si="90"/>
        <v>2.6413427561837457</v>
      </c>
      <c r="N124" s="17">
        <f t="shared" si="90"/>
        <v>2.57085020242915</v>
      </c>
      <c r="O124" s="17">
        <f t="shared" si="90"/>
        <v>2.0060331825037707</v>
      </c>
      <c r="P124" s="17">
        <f t="shared" si="90"/>
        <v>2.5099920063948842</v>
      </c>
      <c r="Q124" s="17">
        <f t="shared" si="90"/>
        <v>2.8257328990228014</v>
      </c>
      <c r="R124" s="17">
        <f t="shared" si="90"/>
        <v>2.3873873873873874</v>
      </c>
      <c r="S124" s="17">
        <f t="shared" si="90"/>
        <v>1.9706498951781972</v>
      </c>
      <c r="T124" s="17">
        <f t="shared" si="90"/>
        <v>2.2991071428571428</v>
      </c>
      <c r="U124" s="17">
        <f t="shared" si="90"/>
        <v>2.567365269461078</v>
      </c>
      <c r="V124" s="17">
        <f t="shared" si="90"/>
        <v>2.4856439704675961</v>
      </c>
      <c r="W124" s="17">
        <f t="shared" si="90"/>
        <v>1.9270166453265045</v>
      </c>
      <c r="X124" s="17">
        <f t="shared" si="90"/>
        <v>2.1780175320296693</v>
      </c>
      <c r="Z124" s="17">
        <f t="shared" ref="Z124:AE124" si="91">Z78/Z7</f>
        <v>2.6560212907518292</v>
      </c>
      <c r="AA124" s="17">
        <f t="shared" si="91"/>
        <v>2.4820929641859286</v>
      </c>
      <c r="AB124" s="17">
        <f t="shared" si="91"/>
        <v>2.4944221329763501</v>
      </c>
      <c r="AC124" s="17">
        <f t="shared" si="91"/>
        <v>2.4252288911495423</v>
      </c>
      <c r="AD124" s="17">
        <f t="shared" si="91"/>
        <v>2.3208255159474671</v>
      </c>
      <c r="AE124" s="18">
        <f t="shared" si="91"/>
        <v>2.2678571428571428</v>
      </c>
    </row>
    <row r="125" spans="1:32" x14ac:dyDescent="0.3">
      <c r="A125" t="s">
        <v>170</v>
      </c>
      <c r="B125" s="2" t="s">
        <v>39</v>
      </c>
      <c r="C125" s="16">
        <f t="shared" ref="C125:X125" si="92">C79/C7</f>
        <v>3.4068322981366461</v>
      </c>
      <c r="D125" s="16">
        <f t="shared" si="92"/>
        <v>2.4777376654632972</v>
      </c>
      <c r="E125" s="16">
        <f t="shared" si="92"/>
        <v>2.6737766624843156</v>
      </c>
      <c r="F125" s="16">
        <f t="shared" si="92"/>
        <v>3.2901907356948228</v>
      </c>
      <c r="G125" s="17">
        <f t="shared" si="92"/>
        <v>2.4005876591576887</v>
      </c>
      <c r="H125" s="17">
        <f t="shared" si="92"/>
        <v>2.2189006750241078</v>
      </c>
      <c r="I125" s="17">
        <f t="shared" si="92"/>
        <v>2.3079237713139418</v>
      </c>
      <c r="J125" s="17">
        <f t="shared" si="92"/>
        <v>2.8231292517006801</v>
      </c>
      <c r="K125" s="17">
        <f t="shared" si="92"/>
        <v>2.2378199834847234</v>
      </c>
      <c r="L125" s="17">
        <f t="shared" si="92"/>
        <v>2.2589052997393573</v>
      </c>
      <c r="M125" s="17">
        <f t="shared" si="92"/>
        <v>2.1554770318021199</v>
      </c>
      <c r="N125" s="17">
        <f t="shared" si="92"/>
        <v>2.5607287449392713</v>
      </c>
      <c r="O125" s="17">
        <f t="shared" si="92"/>
        <v>2.1870286576168931</v>
      </c>
      <c r="P125" s="17">
        <f t="shared" si="92"/>
        <v>2.2382094324540369</v>
      </c>
      <c r="Q125" s="17">
        <f t="shared" si="92"/>
        <v>2.3941368078175898</v>
      </c>
      <c r="R125" s="17">
        <f t="shared" si="92"/>
        <v>2.7567567567567566</v>
      </c>
      <c r="S125" s="17">
        <f t="shared" si="92"/>
        <v>2.3619846261355697</v>
      </c>
      <c r="T125" s="17">
        <f t="shared" si="92"/>
        <v>2.4627976190476191</v>
      </c>
      <c r="U125" s="17">
        <f t="shared" si="92"/>
        <v>2.4925149700598803</v>
      </c>
      <c r="V125" s="17">
        <f t="shared" si="92"/>
        <v>2.7481542247744053</v>
      </c>
      <c r="W125" s="17">
        <f t="shared" si="92"/>
        <v>2.4007682458386688</v>
      </c>
      <c r="X125" s="17">
        <f t="shared" si="92"/>
        <v>2.5219150370869858</v>
      </c>
      <c r="Z125" s="17">
        <f t="shared" ref="Z125:AE125" si="93">Z79/Z7</f>
        <v>2.9271457085828332</v>
      </c>
      <c r="AA125" s="17">
        <f t="shared" si="93"/>
        <v>2.4239268478536955</v>
      </c>
      <c r="AB125" s="17">
        <f t="shared" si="93"/>
        <v>2.2936189201249442</v>
      </c>
      <c r="AC125" s="17">
        <f t="shared" si="93"/>
        <v>2.3804679552390642</v>
      </c>
      <c r="AD125" s="17">
        <f t="shared" si="93"/>
        <v>2.5084427767354596</v>
      </c>
      <c r="AE125" s="18">
        <f t="shared" si="93"/>
        <v>2.530357142857143</v>
      </c>
    </row>
    <row r="126" spans="1:32" x14ac:dyDescent="0.3">
      <c r="A126" t="s">
        <v>171</v>
      </c>
      <c r="B126" s="2" t="s">
        <v>39</v>
      </c>
      <c r="C126" s="16">
        <f t="shared" ref="C126:X126" si="94">C80/C7</f>
        <v>3.1552795031055898</v>
      </c>
      <c r="D126" s="16">
        <f t="shared" si="94"/>
        <v>3.5042117930204575</v>
      </c>
      <c r="E126" s="16">
        <f t="shared" si="94"/>
        <v>3.3525721455457966</v>
      </c>
      <c r="F126" s="16">
        <f t="shared" si="94"/>
        <v>4.4196185286103535</v>
      </c>
      <c r="G126" s="17">
        <f t="shared" si="94"/>
        <v>3.171400587659158</v>
      </c>
      <c r="H126" s="17">
        <f t="shared" si="94"/>
        <v>3.3741562198649948</v>
      </c>
      <c r="I126" s="17">
        <f t="shared" si="94"/>
        <v>3.5767301905717153</v>
      </c>
      <c r="J126" s="17">
        <f t="shared" si="94"/>
        <v>4.2176870748299322</v>
      </c>
      <c r="K126" s="17">
        <f t="shared" si="94"/>
        <v>3.4847233691164328</v>
      </c>
      <c r="L126" s="17">
        <f t="shared" si="94"/>
        <v>3.9096437880104258</v>
      </c>
      <c r="M126" s="17">
        <f t="shared" si="94"/>
        <v>3.2685512367491167</v>
      </c>
      <c r="N126" s="17">
        <f t="shared" si="94"/>
        <v>3.9574898785425101</v>
      </c>
      <c r="O126" s="17">
        <f t="shared" si="94"/>
        <v>3.6123680241327301</v>
      </c>
      <c r="P126" s="17">
        <f t="shared" si="94"/>
        <v>4.2126298960831337</v>
      </c>
      <c r="Q126" s="17">
        <f t="shared" si="94"/>
        <v>3.8355048859934855</v>
      </c>
      <c r="R126" s="17">
        <f t="shared" si="94"/>
        <v>4.5135135135135132</v>
      </c>
      <c r="S126" s="17">
        <f t="shared" si="94"/>
        <v>3.6268343815513626</v>
      </c>
      <c r="T126" s="17">
        <f t="shared" si="94"/>
        <v>4.7544642857142856</v>
      </c>
      <c r="U126" s="17">
        <f t="shared" si="94"/>
        <v>4.3787425149700603</v>
      </c>
      <c r="V126" s="17">
        <f t="shared" si="94"/>
        <v>5.1927809680065629</v>
      </c>
      <c r="W126" s="17">
        <f t="shared" si="94"/>
        <v>4.4558258642765685</v>
      </c>
      <c r="X126" s="17">
        <f t="shared" si="94"/>
        <v>5.4484153742414021</v>
      </c>
      <c r="Z126" s="17">
        <f t="shared" ref="Z126:AE126" si="95">Z80/Z7</f>
        <v>3.6127744510978039</v>
      </c>
      <c r="AA126" s="17">
        <f t="shared" si="95"/>
        <v>3.5618491236982472</v>
      </c>
      <c r="AB126" s="17">
        <f t="shared" si="95"/>
        <v>3.6434627398482822</v>
      </c>
      <c r="AC126" s="17">
        <f t="shared" si="95"/>
        <v>4.0244150559511702</v>
      </c>
      <c r="AD126" s="17">
        <f t="shared" si="95"/>
        <v>4.4577861163227013</v>
      </c>
      <c r="AE126" s="18">
        <f t="shared" si="95"/>
        <v>4.8607142857142858</v>
      </c>
    </row>
    <row r="127" spans="1:32" x14ac:dyDescent="0.3">
      <c r="A127" t="s">
        <v>172</v>
      </c>
      <c r="B127" s="2" t="s">
        <v>39</v>
      </c>
      <c r="C127" s="16">
        <f t="shared" ref="C127:X127" si="96">C81/C7</f>
        <v>2.1940993788819876</v>
      </c>
      <c r="D127" s="16">
        <f t="shared" si="96"/>
        <v>2.0168471720818295</v>
      </c>
      <c r="E127" s="16">
        <f t="shared" si="96"/>
        <v>2.0828105395232122</v>
      </c>
      <c r="F127" s="16">
        <f t="shared" si="96"/>
        <v>2.1226158038147136</v>
      </c>
      <c r="G127" s="17">
        <f t="shared" si="96"/>
        <v>1.624877571008815</v>
      </c>
      <c r="H127" s="17">
        <f t="shared" si="96"/>
        <v>1.8109932497589201</v>
      </c>
      <c r="I127" s="17">
        <f t="shared" si="96"/>
        <v>1.8746238716148445</v>
      </c>
      <c r="J127" s="17">
        <f t="shared" si="96"/>
        <v>2.3129251700680271</v>
      </c>
      <c r="K127" s="17">
        <f t="shared" si="96"/>
        <v>1.6102394715111479</v>
      </c>
      <c r="L127" s="17">
        <f t="shared" si="96"/>
        <v>1.8853171155516943</v>
      </c>
      <c r="M127" s="17">
        <f t="shared" si="96"/>
        <v>2.1466431095406362</v>
      </c>
      <c r="N127" s="17">
        <f t="shared" si="96"/>
        <v>11.558704453441296</v>
      </c>
      <c r="O127" s="17">
        <f t="shared" si="96"/>
        <v>1.7420814479638009</v>
      </c>
      <c r="P127" s="17">
        <f t="shared" si="96"/>
        <v>1.9344524380495605</v>
      </c>
      <c r="Q127" s="17">
        <f t="shared" si="96"/>
        <v>2.1824104234527688</v>
      </c>
      <c r="R127" s="17">
        <f t="shared" si="96"/>
        <v>1.6486486486486487</v>
      </c>
      <c r="S127" s="17">
        <f t="shared" si="96"/>
        <v>1.6142557651991616</v>
      </c>
      <c r="T127" s="17">
        <f t="shared" si="96"/>
        <v>1.763392857142857</v>
      </c>
      <c r="U127" s="17">
        <f t="shared" si="96"/>
        <v>1.9535928143712575</v>
      </c>
      <c r="V127" s="17">
        <f t="shared" si="96"/>
        <v>2.7891714520098438</v>
      </c>
      <c r="W127" s="17">
        <f t="shared" si="96"/>
        <v>1.4660691421254803</v>
      </c>
      <c r="X127" s="17">
        <f t="shared" si="96"/>
        <v>1.5171948752528657</v>
      </c>
      <c r="Z127" s="17">
        <f t="shared" ref="Z127:AE127" si="97">Z81/Z7</f>
        <v>2.0981370592149036</v>
      </c>
      <c r="AA127" s="17">
        <f t="shared" si="97"/>
        <v>1.8912877825755652</v>
      </c>
      <c r="AB127" s="17">
        <f t="shared" si="97"/>
        <v>4.0093708165997324</v>
      </c>
      <c r="AC127" s="17">
        <f t="shared" si="97"/>
        <v>1.8799593082400814</v>
      </c>
      <c r="AD127" s="17">
        <f t="shared" si="97"/>
        <v>2.0056285178236397</v>
      </c>
      <c r="AE127" s="18">
        <f t="shared" si="97"/>
        <v>1.8839285714285714</v>
      </c>
    </row>
    <row r="128" spans="1:32" x14ac:dyDescent="0.3">
      <c r="A128" t="s">
        <v>173</v>
      </c>
      <c r="B128" s="2" t="s">
        <v>42</v>
      </c>
      <c r="G128" s="20">
        <f t="shared" ref="G128:X128" si="98">G122/C122-1</f>
        <v>-0.16179102215032071</v>
      </c>
      <c r="H128" s="20">
        <f t="shared" si="98"/>
        <v>-2.7746242455010339E-2</v>
      </c>
      <c r="I128" s="20">
        <f t="shared" si="98"/>
        <v>-1.5753729272924955E-2</v>
      </c>
      <c r="J128" s="20">
        <f t="shared" si="98"/>
        <v>-4.4451520247299259E-2</v>
      </c>
      <c r="K128" s="20">
        <f t="shared" si="98"/>
        <v>1.2007137084059094E-2</v>
      </c>
      <c r="L128" s="20">
        <f t="shared" si="98"/>
        <v>6.7183915573729713E-2</v>
      </c>
      <c r="M128" s="20">
        <f t="shared" si="98"/>
        <v>-1.6797947125186452E-2</v>
      </c>
      <c r="N128" s="20">
        <f t="shared" si="98"/>
        <v>0.53144743288893492</v>
      </c>
      <c r="O128" s="20">
        <f t="shared" si="98"/>
        <v>7.3118513161618548E-3</v>
      </c>
      <c r="P128" s="20">
        <f t="shared" si="98"/>
        <v>3.7778829440973549E-2</v>
      </c>
      <c r="Q128" s="20">
        <f t="shared" si="98"/>
        <v>5.3105555611581146E-2</v>
      </c>
      <c r="R128" s="20">
        <f t="shared" si="98"/>
        <v>-0.38237148039128233</v>
      </c>
      <c r="S128" s="20">
        <f t="shared" si="98"/>
        <v>-4.3825839715095904E-3</v>
      </c>
      <c r="T128" s="20">
        <f t="shared" si="98"/>
        <v>2.5925819766108527E-2</v>
      </c>
      <c r="U128" s="20">
        <f t="shared" si="98"/>
        <v>3.1752754653294968E-2</v>
      </c>
      <c r="V128" s="20">
        <f t="shared" si="98"/>
        <v>0.13579189585428475</v>
      </c>
      <c r="W128" s="20">
        <f t="shared" si="98"/>
        <v>6.5566397025299539E-2</v>
      </c>
      <c r="X128" s="20">
        <f t="shared" si="98"/>
        <v>3.9572108491708446E-2</v>
      </c>
      <c r="AA128" s="20">
        <f>AA122/Z122-1</f>
        <v>-6.4274384844089205E-2</v>
      </c>
      <c r="AB128" s="20">
        <f>AB122/AA122-1</f>
        <v>0.14639290518516512</v>
      </c>
      <c r="AC128" s="20">
        <f>AC122/AB122-1</f>
        <v>-0.10526081732633785</v>
      </c>
      <c r="AD128" s="20">
        <f>AD122/AC122-1</f>
        <v>4.647651526813612E-2</v>
      </c>
    </row>
    <row r="129" spans="1:30" x14ac:dyDescent="0.3">
      <c r="A129" t="s">
        <v>174</v>
      </c>
      <c r="B129" s="2" t="s">
        <v>42</v>
      </c>
      <c r="G129" s="20">
        <f t="shared" ref="G129:X129" si="99">G126/C126-1</f>
        <v>5.1092413644182599E-3</v>
      </c>
      <c r="H129" s="20">
        <f t="shared" si="99"/>
        <v>-3.7114073245944179E-2</v>
      </c>
      <c r="I129" s="20">
        <f t="shared" si="99"/>
        <v>6.6861512681757995E-2</v>
      </c>
      <c r="J129" s="20">
        <f t="shared" si="99"/>
        <v>-4.5689792563140985E-2</v>
      </c>
      <c r="K129" s="20">
        <f t="shared" si="99"/>
        <v>9.8796343381061691E-2</v>
      </c>
      <c r="L129" s="20">
        <f t="shared" si="99"/>
        <v>0.15870266023629953</v>
      </c>
      <c r="M129" s="20">
        <f t="shared" si="99"/>
        <v>-8.6162203298129736E-2</v>
      </c>
      <c r="N129" s="20">
        <f t="shared" si="99"/>
        <v>-6.1691915893953286E-2</v>
      </c>
      <c r="O129" s="20">
        <f t="shared" si="99"/>
        <v>3.6629781332875755E-2</v>
      </c>
      <c r="P129" s="20">
        <f t="shared" si="99"/>
        <v>7.7497113420374797E-2</v>
      </c>
      <c r="Q129" s="20">
        <f t="shared" si="99"/>
        <v>0.17345717052557452</v>
      </c>
      <c r="R129" s="20">
        <f t="shared" si="99"/>
        <v>0.14049906684177782</v>
      </c>
      <c r="S129" s="20">
        <f t="shared" si="99"/>
        <v>4.0046743083730352E-3</v>
      </c>
      <c r="T129" s="20">
        <f t="shared" si="99"/>
        <v>0.12862140824071555</v>
      </c>
      <c r="U129" s="20">
        <f t="shared" si="99"/>
        <v>0.14163392959304333</v>
      </c>
      <c r="V129" s="20">
        <f t="shared" si="99"/>
        <v>0.15049638213319061</v>
      </c>
      <c r="W129" s="20">
        <f t="shared" si="99"/>
        <v>0.22857164003463759</v>
      </c>
      <c r="X129" s="20">
        <f t="shared" si="99"/>
        <v>0.14595778763387246</v>
      </c>
      <c r="AA129" s="20">
        <f>AA126/Z126-1</f>
        <v>-1.4095905539877274E-2</v>
      </c>
      <c r="AB129" s="20">
        <f>AB126/AA126-1</f>
        <v>2.2913271538378854E-2</v>
      </c>
      <c r="AC129" s="20">
        <f>AC126/AB126-1</f>
        <v>0.10455776367257474</v>
      </c>
      <c r="AD129" s="20">
        <f>AD126/AC126-1</f>
        <v>0.10768547834813313</v>
      </c>
    </row>
    <row r="130" spans="1:30" x14ac:dyDescent="0.3">
      <c r="A130" t="s">
        <v>175</v>
      </c>
      <c r="B130" s="2" t="s">
        <v>42</v>
      </c>
      <c r="G130" s="20">
        <f t="shared" ref="G130:X130" si="100">G124/C124-1</f>
        <v>-0.19886971303770251</v>
      </c>
      <c r="H130" s="20">
        <f t="shared" si="100"/>
        <v>-3.5817605730817936E-3</v>
      </c>
      <c r="I130" s="20">
        <f t="shared" si="100"/>
        <v>1.9173134326977426E-3</v>
      </c>
      <c r="J130" s="20">
        <f t="shared" si="100"/>
        <v>-5.2368838819501606E-2</v>
      </c>
      <c r="K130" s="20">
        <f t="shared" si="100"/>
        <v>1.8592763917483435E-2</v>
      </c>
      <c r="L130" s="20">
        <f t="shared" si="100"/>
        <v>0.113582728451735</v>
      </c>
      <c r="M130" s="20">
        <f t="shared" si="100"/>
        <v>-3.2187163573982214E-2</v>
      </c>
      <c r="N130" s="20">
        <f t="shared" si="100"/>
        <v>-6.6876593192382483E-2</v>
      </c>
      <c r="O130" s="20">
        <f t="shared" si="100"/>
        <v>-9.0147496624694234E-2</v>
      </c>
      <c r="P130" s="20">
        <f t="shared" si="100"/>
        <v>-3.0536644509895461E-2</v>
      </c>
      <c r="Q130" s="20">
        <f t="shared" si="100"/>
        <v>6.9809244713649132E-2</v>
      </c>
      <c r="R130" s="20">
        <f t="shared" si="100"/>
        <v>-7.1362701283961161E-2</v>
      </c>
      <c r="S130" s="20">
        <f t="shared" si="100"/>
        <v>-1.7638435711921252E-2</v>
      </c>
      <c r="T130" s="20">
        <f t="shared" si="100"/>
        <v>-8.4018141492265719E-2</v>
      </c>
      <c r="U130" s="20">
        <f t="shared" si="100"/>
        <v>-9.1433847003399515E-2</v>
      </c>
      <c r="V130" s="20">
        <f t="shared" si="100"/>
        <v>4.115653102604977E-2</v>
      </c>
      <c r="W130" s="20">
        <f t="shared" si="100"/>
        <v>-2.2141553382188706E-2</v>
      </c>
      <c r="X130" s="20">
        <f t="shared" si="100"/>
        <v>-5.2668102573503073E-2</v>
      </c>
      <c r="AA130" s="20">
        <f>AA124/Z124-1</f>
        <v>-6.5484537782702579E-2</v>
      </c>
      <c r="AB130" s="20">
        <f>AB124/AA124-1</f>
        <v>4.9672469840247313E-3</v>
      </c>
      <c r="AC130" s="20">
        <f>AC124/AB124-1</f>
        <v>-2.7739186929137016E-2</v>
      </c>
      <c r="AD130" s="20">
        <f>AD124/AC124-1</f>
        <v>-4.3048874926023495E-2</v>
      </c>
    </row>
    <row r="131" spans="1:30" x14ac:dyDescent="0.3">
      <c r="A131" s="2" t="s">
        <v>176</v>
      </c>
    </row>
    <row r="132" spans="1:30" x14ac:dyDescent="0.3">
      <c r="A132" t="s">
        <v>177</v>
      </c>
      <c r="B132" s="2" t="s">
        <v>51</v>
      </c>
      <c r="G132" s="22">
        <f t="shared" ref="G132:X132" si="101">-(G123-C123)/C12*100</f>
        <v>2.8789446427723511</v>
      </c>
      <c r="H132" s="22">
        <f t="shared" si="101"/>
        <v>-1.3577916707298119</v>
      </c>
      <c r="I132" s="22">
        <f t="shared" si="101"/>
        <v>-0.40047724756746772</v>
      </c>
      <c r="J132" s="22">
        <f t="shared" si="101"/>
        <v>0.5477256176622074</v>
      </c>
      <c r="K132" s="22">
        <f t="shared" si="101"/>
        <v>0.14255233804987244</v>
      </c>
      <c r="L132" s="22">
        <f t="shared" si="101"/>
        <v>3.7411673763595291E-2</v>
      </c>
      <c r="M132" s="22">
        <f t="shared" si="101"/>
        <v>-0.11305827693182097</v>
      </c>
      <c r="N132" s="22">
        <f t="shared" si="101"/>
        <v>0.11558257449009296</v>
      </c>
      <c r="O132" s="22">
        <f t="shared" si="101"/>
        <v>-0.57046428624762846</v>
      </c>
      <c r="P132" s="22">
        <f t="shared" si="101"/>
        <v>-1.3507390544890978</v>
      </c>
      <c r="Q132" s="22">
        <f t="shared" si="101"/>
        <v>0.89348812278317802</v>
      </c>
      <c r="R132" s="22">
        <f t="shared" si="101"/>
        <v>0.17725570475796115</v>
      </c>
      <c r="S132" s="22">
        <f t="shared" si="101"/>
        <v>0.51950899157706298</v>
      </c>
      <c r="T132" s="22">
        <f t="shared" si="101"/>
        <v>-1.2996464961528264E-2</v>
      </c>
      <c r="U132" s="22">
        <f t="shared" si="101"/>
        <v>-1.0616227352369232</v>
      </c>
      <c r="V132" s="22">
        <f t="shared" si="101"/>
        <v>-0.66345365053322414</v>
      </c>
      <c r="W132" s="22">
        <f t="shared" si="101"/>
        <v>-1.1563982164433468</v>
      </c>
      <c r="X132" s="22">
        <f t="shared" si="101"/>
        <v>-0.95832004753267275</v>
      </c>
      <c r="AA132" s="22">
        <f>-(AA123-Z123)/Z12*100</f>
        <v>0.19154122768268908</v>
      </c>
      <c r="AB132" s="22">
        <f>-(AB123-AA123)/AA12*100</f>
        <v>3.6677513987635003E-2</v>
      </c>
      <c r="AC132" s="22">
        <f>-(AC123-AB123)/AB12*100</f>
        <v>-9.6325442166933353E-2</v>
      </c>
      <c r="AD132" s="22">
        <f>-(AD123-AC123)/AC12*100</f>
        <v>-0.41057118995174474</v>
      </c>
    </row>
    <row r="133" spans="1:30" x14ac:dyDescent="0.3">
      <c r="A133" t="s">
        <v>178</v>
      </c>
      <c r="B133" s="2" t="s">
        <v>51</v>
      </c>
      <c r="G133" s="22">
        <f t="shared" ref="G133:X133" si="102">-G123*(1/G12-1/C12)*100</f>
        <v>1.7576103228118201</v>
      </c>
      <c r="H133" s="22">
        <f t="shared" si="102"/>
        <v>4.8741044546548462</v>
      </c>
      <c r="I133" s="22">
        <f t="shared" si="102"/>
        <v>0.42554735520741588</v>
      </c>
      <c r="J133" s="22">
        <f t="shared" si="102"/>
        <v>0.60198486985539768</v>
      </c>
      <c r="K133" s="22">
        <f t="shared" si="102"/>
        <v>0.37075943050272786</v>
      </c>
      <c r="L133" s="22">
        <f t="shared" si="102"/>
        <v>1.1074056514141193</v>
      </c>
      <c r="M133" s="22">
        <f t="shared" si="102"/>
        <v>0.50543557647449766</v>
      </c>
      <c r="N133" s="22">
        <f t="shared" si="102"/>
        <v>0.71032418779041473</v>
      </c>
      <c r="O133" s="22">
        <f t="shared" si="102"/>
        <v>1.7038549362369964</v>
      </c>
      <c r="P133" s="22">
        <f t="shared" si="102"/>
        <v>0.32865184481882437</v>
      </c>
      <c r="Q133" s="22">
        <f t="shared" si="102"/>
        <v>0.15862708763039837</v>
      </c>
      <c r="R133" s="22">
        <f t="shared" si="102"/>
        <v>-8.2103140692689036E-2</v>
      </c>
      <c r="S133" s="22">
        <f t="shared" si="102"/>
        <v>-0.3816721667062673</v>
      </c>
      <c r="T133" s="22">
        <f t="shared" si="102"/>
        <v>0.85532859093334301</v>
      </c>
      <c r="U133" s="22">
        <f t="shared" si="102"/>
        <v>0.11483640259849896</v>
      </c>
      <c r="V133" s="22">
        <f t="shared" si="102"/>
        <v>0.35059803382127036</v>
      </c>
      <c r="W133" s="22">
        <f t="shared" si="102"/>
        <v>1.7322299807408541</v>
      </c>
      <c r="X133" s="22">
        <f t="shared" si="102"/>
        <v>0.98503358105278571</v>
      </c>
      <c r="AA133" s="22">
        <f>-AA123*(1/AA12-1/Z12)*100</f>
        <v>1.2567060728231776</v>
      </c>
      <c r="AB133" s="22">
        <f>-AB123*(1/AB12-1/AA12)*100</f>
        <v>0.63815325156528646</v>
      </c>
      <c r="AC133" s="22">
        <f>-AC123*(1/AC12-1/AB12)*100</f>
        <v>0.35298644366582754</v>
      </c>
      <c r="AD133" s="22">
        <f>-AD123*(1/AD12-1/AC12)*100</f>
        <v>0.28535079008325853</v>
      </c>
    </row>
    <row r="134" spans="1:30" x14ac:dyDescent="0.3">
      <c r="A134" t="s">
        <v>179</v>
      </c>
      <c r="B134" s="2" t="s">
        <v>51</v>
      </c>
      <c r="G134" s="22">
        <f t="shared" ref="G134:X134" si="103">-(G124-C124)/C12*100</f>
        <v>3.9011646075039716</v>
      </c>
      <c r="H134" s="22">
        <f t="shared" si="103"/>
        <v>5.2022724728132505E-2</v>
      </c>
      <c r="I134" s="22">
        <f t="shared" si="103"/>
        <v>-1.860745401156446E-2</v>
      </c>
      <c r="J134" s="22">
        <f t="shared" si="103"/>
        <v>0.72947194543613803</v>
      </c>
      <c r="K134" s="22">
        <f t="shared" si="103"/>
        <v>-0.27229959083922017</v>
      </c>
      <c r="L134" s="22">
        <f t="shared" si="103"/>
        <v>-1.3015587371536754</v>
      </c>
      <c r="M134" s="22">
        <f t="shared" si="103"/>
        <v>0.30367986159780003</v>
      </c>
      <c r="N134" s="22">
        <f t="shared" si="103"/>
        <v>0.85441704236324667</v>
      </c>
      <c r="O134" s="22">
        <f t="shared" si="103"/>
        <v>1.3239483827719125</v>
      </c>
      <c r="P134" s="22">
        <f t="shared" si="103"/>
        <v>0.36634138743755434</v>
      </c>
      <c r="Q134" s="22">
        <f t="shared" si="103"/>
        <v>-0.61445287516576719</v>
      </c>
      <c r="R134" s="22">
        <f t="shared" si="103"/>
        <v>0.81722840965401888</v>
      </c>
      <c r="S134" s="22">
        <f t="shared" si="103"/>
        <v>0.21903939772974071</v>
      </c>
      <c r="T134" s="22">
        <f t="shared" si="103"/>
        <v>0.96003262112705401</v>
      </c>
      <c r="U134" s="22">
        <f t="shared" si="103"/>
        <v>0.85014857744318428</v>
      </c>
      <c r="V134" s="22">
        <f t="shared" si="103"/>
        <v>-0.43977744846383732</v>
      </c>
      <c r="W134" s="22">
        <f t="shared" si="103"/>
        <v>0.27482033687399759</v>
      </c>
      <c r="X134" s="22">
        <f t="shared" si="103"/>
        <v>0.52566032607275315</v>
      </c>
      <c r="AA134" s="22">
        <f>-(AA124-Z124)/Z12*100</f>
        <v>0.87268995102169478</v>
      </c>
      <c r="AB134" s="22">
        <f>-(AB124-AA124)/AA12*100</f>
        <v>-5.7792519976055792E-2</v>
      </c>
      <c r="AC134" s="22">
        <f>-(AC124-AB124)/AB12*100</f>
        <v>0.31271968323863297</v>
      </c>
      <c r="AD134" s="22">
        <f>-(AD124-AC124)/AC12*100</f>
        <v>0.46220734022536453</v>
      </c>
    </row>
    <row r="135" spans="1:30" x14ac:dyDescent="0.3">
      <c r="A135" t="s">
        <v>180</v>
      </c>
      <c r="B135" s="2" t="s">
        <v>51</v>
      </c>
      <c r="G135" s="22">
        <f t="shared" ref="G135:X135" si="104">-G124*(1/G12-1/C12)*100</f>
        <v>1.0700602791774441</v>
      </c>
      <c r="H135" s="22">
        <f t="shared" si="104"/>
        <v>3.0131963692750858</v>
      </c>
      <c r="I135" s="22">
        <f t="shared" si="104"/>
        <v>0.28875669663824904</v>
      </c>
      <c r="J135" s="22">
        <f t="shared" si="104"/>
        <v>0.42400673441988873</v>
      </c>
      <c r="K135" s="22">
        <f t="shared" si="104"/>
        <v>0.23129151388838398</v>
      </c>
      <c r="L135" s="22">
        <f t="shared" si="104"/>
        <v>0.76390482435510998</v>
      </c>
      <c r="M135" s="22">
        <f t="shared" si="104"/>
        <v>0.32924888315005407</v>
      </c>
      <c r="N135" s="22">
        <f t="shared" si="104"/>
        <v>0.46984985338220142</v>
      </c>
      <c r="O135" s="22">
        <f t="shared" si="104"/>
        <v>0.94421961049800207</v>
      </c>
      <c r="P135" s="22">
        <f t="shared" si="104"/>
        <v>0.20394600646859851</v>
      </c>
      <c r="Q135" s="22">
        <f t="shared" si="104"/>
        <v>0.11837333205967362</v>
      </c>
      <c r="R135" s="22">
        <f t="shared" si="104"/>
        <v>-5.0953939774151275E-2</v>
      </c>
      <c r="S135" s="22">
        <f t="shared" si="104"/>
        <v>-0.21271057512088415</v>
      </c>
      <c r="T135" s="22">
        <f t="shared" si="104"/>
        <v>0.48583921801177027</v>
      </c>
      <c r="U135" s="22">
        <f t="shared" si="104"/>
        <v>7.1746604902158728E-2</v>
      </c>
      <c r="V135" s="22">
        <f t="shared" si="104"/>
        <v>0.21813388962596492</v>
      </c>
      <c r="W135" s="22">
        <f t="shared" si="104"/>
        <v>0.89742035146815335</v>
      </c>
      <c r="X135" s="22">
        <f t="shared" si="104"/>
        <v>0.50263166932077374</v>
      </c>
      <c r="AA135" s="22">
        <f>-AA124*(1/AA12-1/Z12)*100</f>
        <v>0.81924828176304831</v>
      </c>
      <c r="AB135" s="22">
        <f>-AB124*(1/AB12-1/AA12)*100</f>
        <v>0.41894030255431025</v>
      </c>
      <c r="AC135" s="22">
        <f>-AC124*(1/AC12-1/AB12)*100</f>
        <v>0.22404677361537087</v>
      </c>
      <c r="AD135" s="22">
        <f>-AD124*(1/AD12-1/AC12)*100</f>
        <v>0.16921329210593999</v>
      </c>
    </row>
    <row r="136" spans="1:30" x14ac:dyDescent="0.3">
      <c r="A136" t="s">
        <v>181</v>
      </c>
      <c r="B136" s="2" t="s">
        <v>51</v>
      </c>
      <c r="G136" s="22">
        <f t="shared" ref="G136:X136" si="105">-(G125-C125)/C12*100</f>
        <v>7.3057671646273805</v>
      </c>
      <c r="H136" s="22">
        <f t="shared" si="105"/>
        <v>1.6111875584641677</v>
      </c>
      <c r="I136" s="22">
        <f t="shared" si="105"/>
        <v>1.303463362819794</v>
      </c>
      <c r="J136" s="22">
        <f t="shared" si="105"/>
        <v>2.2377488854549656</v>
      </c>
      <c r="K136" s="22">
        <f t="shared" si="105"/>
        <v>1.1012975272504804</v>
      </c>
      <c r="L136" s="22">
        <f t="shared" si="105"/>
        <v>-0.19717108284084453</v>
      </c>
      <c r="M136" s="22">
        <f t="shared" si="105"/>
        <v>0.52700901280612478</v>
      </c>
      <c r="N136" s="22">
        <f t="shared" si="105"/>
        <v>1.2168099209440724</v>
      </c>
      <c r="O136" s="22">
        <f t="shared" si="105"/>
        <v>0.33832945888857258</v>
      </c>
      <c r="P136" s="22">
        <f t="shared" si="105"/>
        <v>9.5897517090997308E-2</v>
      </c>
      <c r="Q136" s="22">
        <f t="shared" si="105"/>
        <v>-0.79529839991024975</v>
      </c>
      <c r="R136" s="22">
        <f t="shared" si="105"/>
        <v>-0.87319961981819416</v>
      </c>
      <c r="S136" s="22">
        <f t="shared" si="105"/>
        <v>-1.0830607574965692</v>
      </c>
      <c r="T136" s="22">
        <f t="shared" si="105"/>
        <v>-1.0224156529423991</v>
      </c>
      <c r="U136" s="22">
        <f t="shared" si="105"/>
        <v>-0.32370949419488965</v>
      </c>
      <c r="V136" s="22">
        <f t="shared" si="105"/>
        <v>3.85032681468142E-2</v>
      </c>
      <c r="W136" s="22">
        <f t="shared" si="105"/>
        <v>-0.24427535121098048</v>
      </c>
      <c r="X136" s="22">
        <f t="shared" si="105"/>
        <v>-0.25663375272903405</v>
      </c>
      <c r="AA136" s="22">
        <f>-(AA125-Z125)/Z12*100</f>
        <v>2.5249138630475514</v>
      </c>
      <c r="AB136" s="22">
        <f>-(AB125-AA125)/AA12*100</f>
        <v>0.61081356288616973</v>
      </c>
      <c r="AC136" s="22">
        <f>-(AC125-AB125)/AB12*100</f>
        <v>-0.39251525197286058</v>
      </c>
      <c r="AD136" s="22">
        <f>-(AD125-AC125)/AC12*100</f>
        <v>-0.56656120307582725</v>
      </c>
    </row>
    <row r="137" spans="1:30" x14ac:dyDescent="0.3">
      <c r="A137" t="s">
        <v>182</v>
      </c>
      <c r="B137" s="2" t="s">
        <v>51</v>
      </c>
      <c r="G137" s="22">
        <f t="shared" ref="G137:X137" si="106">-G125*(1/G12-1/C12)*100</f>
        <v>1.1867501105266587</v>
      </c>
      <c r="H137" s="22">
        <f t="shared" si="106"/>
        <v>2.8757216282463594</v>
      </c>
      <c r="I137" s="22">
        <f t="shared" si="106"/>
        <v>0.24418565195318298</v>
      </c>
      <c r="J137" s="22">
        <f t="shared" si="106"/>
        <v>0.43447603650433042</v>
      </c>
      <c r="K137" s="22">
        <f t="shared" si="106"/>
        <v>0.23475655529495154</v>
      </c>
      <c r="L137" s="22">
        <f t="shared" si="106"/>
        <v>0.66649414205479396</v>
      </c>
      <c r="M137" s="22">
        <f t="shared" si="106"/>
        <v>0.26868470731977651</v>
      </c>
      <c r="N137" s="22">
        <f t="shared" si="106"/>
        <v>0.46800005080983059</v>
      </c>
      <c r="O137" s="22">
        <f t="shared" si="106"/>
        <v>1.0294123573098521</v>
      </c>
      <c r="P137" s="22">
        <f t="shared" si="106"/>
        <v>0.1818626809274127</v>
      </c>
      <c r="Q137" s="22">
        <f t="shared" si="106"/>
        <v>0.10029325540502608</v>
      </c>
      <c r="R137" s="22">
        <f t="shared" si="106"/>
        <v>-5.8837379512793553E-2</v>
      </c>
      <c r="S137" s="22">
        <f t="shared" si="106"/>
        <v>-0.25495097301722996</v>
      </c>
      <c r="T137" s="22">
        <f t="shared" si="106"/>
        <v>0.52042971249804515</v>
      </c>
      <c r="U137" s="22">
        <f t="shared" si="106"/>
        <v>6.9654867149909191E-2</v>
      </c>
      <c r="V137" s="22">
        <f t="shared" si="106"/>
        <v>0.24117113209471375</v>
      </c>
      <c r="W137" s="22">
        <f t="shared" si="106"/>
        <v>1.1180486106330816</v>
      </c>
      <c r="X137" s="22">
        <f t="shared" si="106"/>
        <v>0.58199456447668541</v>
      </c>
      <c r="AA137" s="22">
        <f>-AA125*(1/AA12-1/Z12)*100</f>
        <v>0.800049770043468</v>
      </c>
      <c r="AB137" s="22">
        <f>-AB125*(1/AB12-1/AA12)*100</f>
        <v>0.38521523347569847</v>
      </c>
      <c r="AC137" s="22">
        <f>-AC125*(1/AC12-1/AB12)*100</f>
        <v>0.21991168215602677</v>
      </c>
      <c r="AD137" s="22">
        <f>-AD125*(1/AD12-1/AC12)*100</f>
        <v>0.18289262048960531</v>
      </c>
    </row>
    <row r="138" spans="1:30" x14ac:dyDescent="0.3">
      <c r="A138" t="s">
        <v>183</v>
      </c>
      <c r="B138" s="2" t="s">
        <v>51</v>
      </c>
      <c r="G138" s="22">
        <f t="shared" ref="G138:X138" si="107">-(G126-C126)/C12*100</f>
        <v>-0.11704598029873643</v>
      </c>
      <c r="H138" s="22">
        <f t="shared" si="107"/>
        <v>0.80955941042838564</v>
      </c>
      <c r="I138" s="22">
        <f t="shared" si="107"/>
        <v>-0.79863192617638423</v>
      </c>
      <c r="J138" s="22">
        <f t="shared" si="107"/>
        <v>0.96747837516207091</v>
      </c>
      <c r="K138" s="22">
        <f t="shared" si="107"/>
        <v>-2.1199639487599571</v>
      </c>
      <c r="L138" s="22">
        <f t="shared" si="107"/>
        <v>-2.639261445659753</v>
      </c>
      <c r="M138" s="22">
        <f t="shared" si="107"/>
        <v>1.065375925662728</v>
      </c>
      <c r="N138" s="22">
        <f t="shared" si="107"/>
        <v>1.2065926767902539</v>
      </c>
      <c r="O138" s="22">
        <f t="shared" si="107"/>
        <v>-0.85026225096114427</v>
      </c>
      <c r="P138" s="22">
        <f t="shared" si="107"/>
        <v>-1.4039332141372252</v>
      </c>
      <c r="Q138" s="22">
        <f t="shared" si="107"/>
        <v>-1.8892891696927447</v>
      </c>
      <c r="R138" s="22">
        <f t="shared" si="107"/>
        <v>-2.4767869763361183</v>
      </c>
      <c r="S138" s="22">
        <f t="shared" si="107"/>
        <v>-8.9553641162963465E-2</v>
      </c>
      <c r="T138" s="22">
        <f t="shared" si="107"/>
        <v>-2.466647821792471</v>
      </c>
      <c r="U138" s="22">
        <f t="shared" si="107"/>
        <v>-1.7875021660858355</v>
      </c>
      <c r="V138" s="22">
        <f t="shared" si="107"/>
        <v>-3.0402696551906661</v>
      </c>
      <c r="W138" s="22">
        <f t="shared" si="107"/>
        <v>-5.2213327983264506</v>
      </c>
      <c r="X138" s="22">
        <f t="shared" si="107"/>
        <v>-3.0125008494200407</v>
      </c>
      <c r="AA138" s="22">
        <f>-(AA126-Z126)/Z12*100</f>
        <v>0.25551916902531696</v>
      </c>
      <c r="AB138" s="22">
        <f>-(AB126-AA126)/AA12*100</f>
        <v>-0.38256078912095193</v>
      </c>
      <c r="AC138" s="22">
        <f>-(AC126-AB126)/AB12*100</f>
        <v>-1.7217185446941052</v>
      </c>
      <c r="AD138" s="22">
        <f>-(AD126-AC126)/AC12*100</f>
        <v>-1.9185901294596246</v>
      </c>
    </row>
    <row r="139" spans="1:30" x14ac:dyDescent="0.3">
      <c r="A139" t="s">
        <v>184</v>
      </c>
      <c r="B139" s="2" t="s">
        <v>51</v>
      </c>
      <c r="G139" s="22">
        <f t="shared" ref="G139:X139" si="108">-G126*(1/G12-1/C12)*100</f>
        <v>1.5678077755550066</v>
      </c>
      <c r="H139" s="22">
        <f t="shared" si="108"/>
        <v>4.3729465350864887</v>
      </c>
      <c r="I139" s="22">
        <f t="shared" si="108"/>
        <v>0.37842939368320322</v>
      </c>
      <c r="J139" s="22">
        <f t="shared" si="108"/>
        <v>0.64909672923538531</v>
      </c>
      <c r="K139" s="22">
        <f t="shared" si="108"/>
        <v>0.36556186839287652</v>
      </c>
      <c r="L139" s="22">
        <f t="shared" si="108"/>
        <v>1.1535475535563742</v>
      </c>
      <c r="M139" s="22">
        <f t="shared" si="108"/>
        <v>0.40743172831277591</v>
      </c>
      <c r="N139" s="22">
        <f t="shared" si="108"/>
        <v>0.72327280579701081</v>
      </c>
      <c r="O139" s="22">
        <f t="shared" si="108"/>
        <v>1.7003052384531692</v>
      </c>
      <c r="P139" s="22">
        <f t="shared" si="108"/>
        <v>0.34229154588838034</v>
      </c>
      <c r="Q139" s="22">
        <f t="shared" si="108"/>
        <v>0.16067388876111319</v>
      </c>
      <c r="R139" s="22">
        <f t="shared" si="108"/>
        <v>-9.6331788025848256E-2</v>
      </c>
      <c r="S139" s="22">
        <f t="shared" si="108"/>
        <v>-0.39147797336077605</v>
      </c>
      <c r="T139" s="22">
        <f t="shared" si="108"/>
        <v>1.0046966353058937</v>
      </c>
      <c r="U139" s="22">
        <f t="shared" si="108"/>
        <v>0.12236665850659724</v>
      </c>
      <c r="V139" s="22">
        <f t="shared" si="108"/>
        <v>0.45570545258493661</v>
      </c>
      <c r="W139" s="22">
        <f t="shared" si="108"/>
        <v>2.0750982213349989</v>
      </c>
      <c r="X139" s="22">
        <f t="shared" si="108"/>
        <v>1.2573572409015021</v>
      </c>
      <c r="AA139" s="22">
        <f>-AA126*(1/AA12-1/Z12)*100</f>
        <v>1.1756363748632035</v>
      </c>
      <c r="AB139" s="22">
        <f>-AB126*(1/AB12-1/AA12)*100</f>
        <v>0.61192264228192184</v>
      </c>
      <c r="AC139" s="22">
        <f>-AC126*(1/AC12-1/AB12)*100</f>
        <v>0.37178231393557348</v>
      </c>
      <c r="AD139" s="22">
        <f>-AD126*(1/AD12-1/AC12)*100</f>
        <v>0.32502084239588791</v>
      </c>
    </row>
    <row r="140" spans="1:30" x14ac:dyDescent="0.3">
      <c r="A140" t="s">
        <v>185</v>
      </c>
      <c r="B140" s="2" t="s">
        <v>51</v>
      </c>
      <c r="G140" s="22">
        <f t="shared" ref="G140:X140" si="109">-(G127-C127)/C12*100</f>
        <v>4.132794185685718</v>
      </c>
      <c r="H140" s="22">
        <f t="shared" si="109"/>
        <v>1.2813828423246272</v>
      </c>
      <c r="I140" s="22">
        <f t="shared" si="109"/>
        <v>0.74172898669185994</v>
      </c>
      <c r="J140" s="22">
        <f t="shared" si="109"/>
        <v>-0.91179552761052307</v>
      </c>
      <c r="K140" s="22">
        <f t="shared" si="109"/>
        <v>9.9042409457376787E-2</v>
      </c>
      <c r="L140" s="22">
        <f t="shared" si="109"/>
        <v>-0.36632057427332193</v>
      </c>
      <c r="M140" s="22">
        <f t="shared" si="109"/>
        <v>-0.94037163735095142</v>
      </c>
      <c r="N140" s="22">
        <f t="shared" si="109"/>
        <v>-42.874749358229352</v>
      </c>
      <c r="O140" s="22">
        <f t="shared" si="109"/>
        <v>-0.87822130629352491</v>
      </c>
      <c r="P140" s="22">
        <f t="shared" si="109"/>
        <v>-0.22767615215396098</v>
      </c>
      <c r="Q140" s="22">
        <f t="shared" si="109"/>
        <v>-0.11918928274516961</v>
      </c>
      <c r="R140" s="22">
        <f t="shared" si="109"/>
        <v>44.14398167328735</v>
      </c>
      <c r="S140" s="22">
        <f t="shared" si="109"/>
        <v>0.79130184568586259</v>
      </c>
      <c r="T140" s="22">
        <f t="shared" si="109"/>
        <v>0.77873193491370463</v>
      </c>
      <c r="U140" s="22">
        <f t="shared" si="109"/>
        <v>0.75291539108278627</v>
      </c>
      <c r="V140" s="22">
        <f t="shared" si="109"/>
        <v>-5.1047593214956724</v>
      </c>
      <c r="W140" s="22">
        <f t="shared" si="109"/>
        <v>0.93334092261636392</v>
      </c>
      <c r="X140" s="22">
        <f t="shared" si="109"/>
        <v>1.0687664330108151</v>
      </c>
      <c r="AA140" s="22">
        <f>-(AA127-Z127)/Z12*100</f>
        <v>1.0378716834883179</v>
      </c>
      <c r="AB140" s="22">
        <f>-(AB127-AA127)/AA12*100</f>
        <v>-9.9284354148745635</v>
      </c>
      <c r="AC140" s="22">
        <f>-(AC127-AB127)/AB12*100</f>
        <v>9.6239007567489718</v>
      </c>
      <c r="AD140" s="22">
        <f>-(AD127-AC127)/AC12*100</f>
        <v>-0.55635395883911831</v>
      </c>
    </row>
    <row r="141" spans="1:30" x14ac:dyDescent="0.3">
      <c r="A141" t="s">
        <v>186</v>
      </c>
      <c r="B141" s="2" t="s">
        <v>51</v>
      </c>
      <c r="G141" s="22">
        <f t="shared" ref="G141:X141" si="110">-G127*(1/G12-1/C12)*100</f>
        <v>0.80327149464044334</v>
      </c>
      <c r="H141" s="22">
        <f t="shared" si="110"/>
        <v>2.3470687604722573</v>
      </c>
      <c r="I141" s="22">
        <f t="shared" si="110"/>
        <v>0.1983411488485437</v>
      </c>
      <c r="J141" s="22">
        <f t="shared" si="110"/>
        <v>0.35595627087101772</v>
      </c>
      <c r="K141" s="22">
        <f t="shared" si="110"/>
        <v>0.16892076857016808</v>
      </c>
      <c r="L141" s="22">
        <f t="shared" si="110"/>
        <v>0.55626626471496265</v>
      </c>
      <c r="M141" s="22">
        <f t="shared" si="110"/>
        <v>0.26758354048649879</v>
      </c>
      <c r="N141" s="22">
        <f t="shared" si="110"/>
        <v>2.1124745376475356</v>
      </c>
      <c r="O141" s="22">
        <f t="shared" si="110"/>
        <v>0.81998018806405448</v>
      </c>
      <c r="P141" s="22">
        <f t="shared" si="110"/>
        <v>0.15718131708726382</v>
      </c>
      <c r="Q141" s="22">
        <f t="shared" si="110"/>
        <v>9.1423783838595188E-2</v>
      </c>
      <c r="R141" s="22">
        <f t="shared" si="110"/>
        <v>-3.5187060296866732E-2</v>
      </c>
      <c r="S141" s="22">
        <f t="shared" si="110"/>
        <v>-0.17424164132242637</v>
      </c>
      <c r="T141" s="22">
        <f t="shared" si="110"/>
        <v>0.37263396332941595</v>
      </c>
      <c r="U141" s="22">
        <f t="shared" si="110"/>
        <v>5.459435533371261E-2</v>
      </c>
      <c r="V141" s="22">
        <f t="shared" si="110"/>
        <v>0.24477070123045569</v>
      </c>
      <c r="W141" s="22">
        <f t="shared" si="110"/>
        <v>0.68275501822660178</v>
      </c>
      <c r="X141" s="22">
        <f t="shared" si="110"/>
        <v>0.35013041980549253</v>
      </c>
      <c r="AA141" s="22">
        <f>-AA127*(1/AA12-1/Z12)*100</f>
        <v>0.62424505792137297</v>
      </c>
      <c r="AB141" s="22">
        <f>-AB127*(1/AB12-1/AA12)*100</f>
        <v>0.67337721260294769</v>
      </c>
      <c r="AC141" s="22">
        <f>-AC127*(1/AC12-1/AB12)*100</f>
        <v>0.17367384129245189</v>
      </c>
      <c r="AD141" s="22">
        <f>-AD127*(1/AD12-1/AC12)*100</f>
        <v>0.14623202042138225</v>
      </c>
    </row>
    <row r="142" spans="1:30" x14ac:dyDescent="0.3">
      <c r="A142" t="s">
        <v>187</v>
      </c>
      <c r="B142" s="2" t="s">
        <v>51</v>
      </c>
      <c r="G142" s="22">
        <f t="shared" ref="G142:X142" si="111">G132+G134+G136+G138+G140</f>
        <v>18.101624620290686</v>
      </c>
      <c r="H142" s="22">
        <f t="shared" si="111"/>
        <v>2.3963608652155011</v>
      </c>
      <c r="I142" s="22">
        <f t="shared" si="111"/>
        <v>0.82747572175623751</v>
      </c>
      <c r="J142" s="22">
        <f t="shared" si="111"/>
        <v>3.5706292961048591</v>
      </c>
      <c r="K142" s="22">
        <f t="shared" si="111"/>
        <v>-1.0493712648414477</v>
      </c>
      <c r="L142" s="22">
        <f t="shared" si="111"/>
        <v>-4.4669001661639998</v>
      </c>
      <c r="M142" s="22">
        <f t="shared" si="111"/>
        <v>0.84263488578388035</v>
      </c>
      <c r="N142" s="22">
        <f t="shared" si="111"/>
        <v>-39.481347143641685</v>
      </c>
      <c r="O142" s="22">
        <f t="shared" si="111"/>
        <v>-0.63667000184181244</v>
      </c>
      <c r="P142" s="22">
        <f t="shared" si="111"/>
        <v>-2.5201095162517326</v>
      </c>
      <c r="Q142" s="22">
        <f t="shared" si="111"/>
        <v>-2.5247416047307532</v>
      </c>
      <c r="R142" s="22">
        <f t="shared" si="111"/>
        <v>41.788479191545015</v>
      </c>
      <c r="S142" s="22">
        <f t="shared" si="111"/>
        <v>0.35723583633313361</v>
      </c>
      <c r="T142" s="22">
        <f t="shared" si="111"/>
        <v>-1.7632953836556395</v>
      </c>
      <c r="U142" s="22">
        <f t="shared" si="111"/>
        <v>-1.5697704269916777</v>
      </c>
      <c r="V142" s="22">
        <f t="shared" si="111"/>
        <v>-9.2097568075365857</v>
      </c>
      <c r="W142" s="22">
        <f t="shared" si="111"/>
        <v>-5.4138451064904158</v>
      </c>
      <c r="X142" s="22">
        <f t="shared" si="111"/>
        <v>-2.6330278905981794</v>
      </c>
      <c r="AA142" s="22">
        <f t="shared" ref="AA142:AD143" si="112">AA132+AA134+AA136+AA138+AA140</f>
        <v>4.8825358942655708</v>
      </c>
      <c r="AB142" s="22">
        <f t="shared" si="112"/>
        <v>-9.7212976470977672</v>
      </c>
      <c r="AC142" s="22">
        <f t="shared" si="112"/>
        <v>7.7260612011537058</v>
      </c>
      <c r="AD142" s="22">
        <f t="shared" si="112"/>
        <v>-2.9898691411009506</v>
      </c>
    </row>
    <row r="143" spans="1:30" x14ac:dyDescent="0.3">
      <c r="A143" t="s">
        <v>188</v>
      </c>
      <c r="B143" s="2" t="s">
        <v>51</v>
      </c>
      <c r="G143" s="22">
        <f t="shared" ref="G143:X143" si="113">G133+G135+G137+G139+G141</f>
        <v>6.385499982711373</v>
      </c>
      <c r="H143" s="22">
        <f t="shared" si="113"/>
        <v>17.483037747735036</v>
      </c>
      <c r="I143" s="22">
        <f t="shared" si="113"/>
        <v>1.5352602463305947</v>
      </c>
      <c r="J143" s="22">
        <f t="shared" si="113"/>
        <v>2.46552064088602</v>
      </c>
      <c r="K143" s="22">
        <f t="shared" si="113"/>
        <v>1.3712901366491079</v>
      </c>
      <c r="L143" s="22">
        <f t="shared" si="113"/>
        <v>4.2476184360953599</v>
      </c>
      <c r="M143" s="22">
        <f t="shared" si="113"/>
        <v>1.7783844357436029</v>
      </c>
      <c r="N143" s="22">
        <f t="shared" si="113"/>
        <v>4.4839214354269927</v>
      </c>
      <c r="O143" s="22">
        <f t="shared" si="113"/>
        <v>6.1977723305620742</v>
      </c>
      <c r="P143" s="22">
        <f t="shared" si="113"/>
        <v>1.2139333951904798</v>
      </c>
      <c r="Q143" s="22">
        <f t="shared" si="113"/>
        <v>0.62939134769480642</v>
      </c>
      <c r="R143" s="22">
        <f t="shared" si="113"/>
        <v>-0.32341330830234888</v>
      </c>
      <c r="S143" s="22">
        <f t="shared" si="113"/>
        <v>-1.4150533295275838</v>
      </c>
      <c r="T143" s="22">
        <f t="shared" si="113"/>
        <v>3.2389281200784681</v>
      </c>
      <c r="U143" s="22">
        <f t="shared" si="113"/>
        <v>0.43319888849087673</v>
      </c>
      <c r="V143" s="22">
        <f t="shared" si="113"/>
        <v>1.5103792093573412</v>
      </c>
      <c r="W143" s="22">
        <f t="shared" si="113"/>
        <v>6.5055521824036902</v>
      </c>
      <c r="X143" s="22">
        <f t="shared" si="113"/>
        <v>3.6771474755572395</v>
      </c>
      <c r="AA143" s="22">
        <f t="shared" si="112"/>
        <v>4.6758855574142704</v>
      </c>
      <c r="AB143" s="22">
        <f t="shared" si="112"/>
        <v>2.7276086424801647</v>
      </c>
      <c r="AC143" s="22">
        <f t="shared" si="112"/>
        <v>1.3424010546652505</v>
      </c>
      <c r="AD143" s="22">
        <f t="shared" si="112"/>
        <v>1.1087095654960739</v>
      </c>
    </row>
    <row r="144" spans="1:30" x14ac:dyDescent="0.3">
      <c r="A144" s="2" t="s">
        <v>189</v>
      </c>
    </row>
    <row r="145" spans="1:32" x14ac:dyDescent="0.3">
      <c r="A145" t="s">
        <v>190</v>
      </c>
      <c r="B145" s="2"/>
      <c r="G145" s="25">
        <f t="shared" ref="G145:X145" si="114">LN(G12/C12)</f>
        <v>7.0518384397957615E-2</v>
      </c>
      <c r="H145" s="25">
        <f t="shared" si="114"/>
        <v>0.23345158964917129</v>
      </c>
      <c r="I145" s="25">
        <f t="shared" si="114"/>
        <v>3.0146445743086756E-2</v>
      </c>
      <c r="J145" s="25">
        <f t="shared" si="114"/>
        <v>3.2648865412523341E-2</v>
      </c>
      <c r="K145" s="25">
        <f t="shared" si="114"/>
        <v>1.5625890581148522E-2</v>
      </c>
      <c r="L145" s="25">
        <f t="shared" si="114"/>
        <v>6.1730668703413684E-2</v>
      </c>
      <c r="M145" s="25">
        <f t="shared" si="114"/>
        <v>3.6723980954454304E-2</v>
      </c>
      <c r="N145" s="25">
        <f t="shared" si="114"/>
        <v>4.0209283063900335E-2</v>
      </c>
      <c r="O145" s="25">
        <f t="shared" si="114"/>
        <v>7.3282549077554424E-2</v>
      </c>
      <c r="P145" s="25">
        <f t="shared" si="114"/>
        <v>1.7691108543842111E-2</v>
      </c>
      <c r="Q145" s="25">
        <f t="shared" si="114"/>
        <v>1.26507438626909E-2</v>
      </c>
      <c r="R145" s="25">
        <f t="shared" si="114"/>
        <v>-4.7799253097966172E-3</v>
      </c>
      <c r="S145" s="25">
        <f t="shared" si="114"/>
        <v>-1.7286079977295116E-2</v>
      </c>
      <c r="T145" s="25">
        <f t="shared" si="114"/>
        <v>4.7530570751194025E-2</v>
      </c>
      <c r="U145" s="25">
        <f t="shared" si="114"/>
        <v>8.5291889304321133E-3</v>
      </c>
      <c r="V145" s="25">
        <f t="shared" si="114"/>
        <v>1.9801848980369373E-2</v>
      </c>
      <c r="W145" s="25">
        <f t="shared" si="114"/>
        <v>7.6816195566895465E-2</v>
      </c>
      <c r="X145" s="25">
        <f t="shared" si="114"/>
        <v>5.4625825418059229E-2</v>
      </c>
      <c r="AA145" s="25">
        <f>LN(AA12/Z12)</f>
        <v>6.8045587410884525E-2</v>
      </c>
      <c r="AB145" s="25">
        <f>LN(AB12/AA12)</f>
        <v>3.6487441643363282E-2</v>
      </c>
      <c r="AC145" s="25">
        <f>LN(AC12/AB12)</f>
        <v>2.0652437843586738E-2</v>
      </c>
      <c r="AD145" s="25">
        <f>LN(AD12/AC12)</f>
        <v>1.660621624678266E-2</v>
      </c>
    </row>
    <row r="146" spans="1:32" x14ac:dyDescent="0.3">
      <c r="A146" t="s">
        <v>191</v>
      </c>
      <c r="B146" s="2" t="s">
        <v>51</v>
      </c>
      <c r="G146" s="22">
        <f t="shared" ref="G146:X146" si="115">G143*LN(G11/C11)/G145</f>
        <v>1.6835203935035483</v>
      </c>
      <c r="H146" s="22">
        <f t="shared" si="115"/>
        <v>16.247271832813333</v>
      </c>
      <c r="I146" s="22">
        <f t="shared" si="115"/>
        <v>-0.84996615393600461</v>
      </c>
      <c r="J146" s="22">
        <f t="shared" si="115"/>
        <v>2.9032180703799799</v>
      </c>
      <c r="K146" s="22">
        <f t="shared" si="115"/>
        <v>1.3746607606628205</v>
      </c>
      <c r="L146" s="22">
        <f t="shared" si="115"/>
        <v>3.409815876927222</v>
      </c>
      <c r="M146" s="22">
        <f t="shared" si="115"/>
        <v>0.1977862512386418</v>
      </c>
      <c r="N146" s="22">
        <f t="shared" si="115"/>
        <v>1.734005635467748</v>
      </c>
      <c r="O146" s="22">
        <f t="shared" si="115"/>
        <v>4.0934461900621466</v>
      </c>
      <c r="P146" s="22">
        <f t="shared" si="115"/>
        <v>-0.22710154453415057</v>
      </c>
      <c r="Q146" s="22">
        <f t="shared" si="115"/>
        <v>1.1584029754611418E-2</v>
      </c>
      <c r="R146" s="22">
        <f t="shared" si="115"/>
        <v>-1.0423954370304627</v>
      </c>
      <c r="S146" s="22">
        <f t="shared" si="115"/>
        <v>-0.7052868017741164</v>
      </c>
      <c r="T146" s="22">
        <f t="shared" si="115"/>
        <v>1.1065472464706767</v>
      </c>
      <c r="U146" s="22">
        <f t="shared" si="115"/>
        <v>-1.9094389357693606</v>
      </c>
      <c r="V146" s="22">
        <f t="shared" si="115"/>
        <v>-2.6057950559293661</v>
      </c>
      <c r="W146" s="22">
        <f t="shared" si="115"/>
        <v>-0.93885859148136175</v>
      </c>
      <c r="X146" s="22">
        <f t="shared" si="115"/>
        <v>0.45949979352251785</v>
      </c>
      <c r="AA146" s="22">
        <f>AA143*LN(AA11/Z11)/AA145</f>
        <v>2.6103272111995173</v>
      </c>
      <c r="AB146" s="22">
        <f>AB143*LN(AB11/AA11)/AB145</f>
        <v>1.4549157154070751</v>
      </c>
      <c r="AC146" s="22">
        <f>AC143*LN(AC11/AB11)/AC145</f>
        <v>0.20528065521053457</v>
      </c>
      <c r="AD146" s="22">
        <f>AD143*LN(AD11/AC11)/AD145</f>
        <v>-0.81505336868936507</v>
      </c>
    </row>
    <row r="147" spans="1:32" x14ac:dyDescent="0.3">
      <c r="A147" t="s">
        <v>192</v>
      </c>
      <c r="B147" s="2" t="s">
        <v>51</v>
      </c>
      <c r="G147" s="22">
        <f t="shared" ref="G147:X147" si="116">IF(G24="","",G143*LN(1+G24/100)/G145)</f>
        <v>-3.6964664963436502</v>
      </c>
      <c r="H147" s="22">
        <f t="shared" si="116"/>
        <v>-4.6338087501796075</v>
      </c>
      <c r="I147" s="22">
        <f t="shared" si="116"/>
        <v>-3.6957889068412437</v>
      </c>
      <c r="J147" s="22">
        <f t="shared" si="116"/>
        <v>-5.4802682680377259</v>
      </c>
      <c r="K147" s="22">
        <f t="shared" si="116"/>
        <v>-3.5824389114502129</v>
      </c>
      <c r="L147" s="22">
        <f t="shared" si="116"/>
        <v>-0.69155239619042419</v>
      </c>
      <c r="M147" s="22">
        <f t="shared" si="116"/>
        <v>1.8992904368691519</v>
      </c>
      <c r="N147" s="22">
        <f t="shared" si="116"/>
        <v>3.2962375072884993</v>
      </c>
      <c r="O147" s="22">
        <f t="shared" si="116"/>
        <v>0</v>
      </c>
      <c r="P147" s="22">
        <f t="shared" si="116"/>
        <v>0</v>
      </c>
      <c r="Q147" s="22">
        <f t="shared" si="116"/>
        <v>0</v>
      </c>
      <c r="R147" s="22">
        <f t="shared" si="116"/>
        <v>0</v>
      </c>
      <c r="S147" s="22">
        <f t="shared" si="116"/>
        <v>-1.653810944567929</v>
      </c>
      <c r="T147" s="22">
        <f t="shared" si="116"/>
        <v>0</v>
      </c>
      <c r="U147" s="22">
        <f t="shared" si="116"/>
        <v>0</v>
      </c>
      <c r="V147" s="22">
        <f t="shared" si="116"/>
        <v>0.7589580579950288</v>
      </c>
      <c r="W147" s="22">
        <f t="shared" si="116"/>
        <v>2.5033305673704835</v>
      </c>
      <c r="X147" s="22">
        <f t="shared" si="116"/>
        <v>2.6401495127516004</v>
      </c>
      <c r="AA147" s="22" t="str">
        <f>IF(AA33="","",AA143*LN(1+AA33/100)/AA145)</f>
        <v/>
      </c>
      <c r="AB147" s="22">
        <f>IF(AB33="","",AB143*LN(1+AB33/100)/AB145)</f>
        <v>0.80575911292887525</v>
      </c>
      <c r="AC147" s="22">
        <f>IF(AC33="","",AC143*LN(1+AC33/100)/AC145)</f>
        <v>0</v>
      </c>
      <c r="AD147" s="22">
        <f>IF(AD33="","",AD143*LN(1+AD33/100)/AD145)</f>
        <v>-0.1085764166128982</v>
      </c>
    </row>
    <row r="148" spans="1:32" x14ac:dyDescent="0.3">
      <c r="A148" t="s">
        <v>193</v>
      </c>
      <c r="B148" s="2" t="s">
        <v>51</v>
      </c>
      <c r="G148" s="22">
        <f t="shared" ref="G148:X148" si="117">IF(G147="","",G143-G146-G147)</f>
        <v>8.3984460855514751</v>
      </c>
      <c r="H148" s="22">
        <f t="shared" si="117"/>
        <v>5.869574665101311</v>
      </c>
      <c r="I148" s="22">
        <f t="shared" si="117"/>
        <v>6.081015307107843</v>
      </c>
      <c r="J148" s="22">
        <f t="shared" si="117"/>
        <v>5.0425708385437655</v>
      </c>
      <c r="K148" s="22">
        <f t="shared" si="117"/>
        <v>3.5790682874365003</v>
      </c>
      <c r="L148" s="22">
        <f t="shared" si="117"/>
        <v>1.5293549553585621</v>
      </c>
      <c r="M148" s="22">
        <f t="shared" si="117"/>
        <v>-0.31869225236419063</v>
      </c>
      <c r="N148" s="22">
        <f t="shared" si="117"/>
        <v>-0.54632170732925456</v>
      </c>
      <c r="O148" s="22">
        <f t="shared" si="117"/>
        <v>2.1043261404999276</v>
      </c>
      <c r="P148" s="22">
        <f t="shared" si="117"/>
        <v>1.4410349397246305</v>
      </c>
      <c r="Q148" s="22">
        <f t="shared" si="117"/>
        <v>0.61780731794019506</v>
      </c>
      <c r="R148" s="22">
        <f t="shared" si="117"/>
        <v>0.71898212872811373</v>
      </c>
      <c r="S148" s="22">
        <f t="shared" si="117"/>
        <v>0.94404441681446161</v>
      </c>
      <c r="T148" s="22">
        <f t="shared" si="117"/>
        <v>2.1323808736077914</v>
      </c>
      <c r="U148" s="22">
        <f t="shared" si="117"/>
        <v>2.3426378242602373</v>
      </c>
      <c r="V148" s="22">
        <f t="shared" si="117"/>
        <v>3.3572162072916782</v>
      </c>
      <c r="W148" s="22">
        <f t="shared" si="117"/>
        <v>4.9410802065145685</v>
      </c>
      <c r="X148" s="22">
        <f t="shared" si="117"/>
        <v>0.57749816928312114</v>
      </c>
      <c r="AA148" s="22" t="str">
        <f>IF(AA147="","",AA143-AA146-AA147)</f>
        <v/>
      </c>
      <c r="AB148" s="22">
        <f>IF(AB147="","",AB143-AB146-AB147)</f>
        <v>0.46693381414421431</v>
      </c>
      <c r="AC148" s="22">
        <f>IF(AC147="","",AC143-AC146-AC147)</f>
        <v>1.1371203994547159</v>
      </c>
      <c r="AD148" s="22">
        <f>IF(AD147="","",AD143-AD146-AD147)</f>
        <v>2.0323393507983374</v>
      </c>
    </row>
    <row r="149" spans="1:32" x14ac:dyDescent="0.3">
      <c r="A149" t="s">
        <v>194</v>
      </c>
      <c r="B149" s="2" t="s">
        <v>51</v>
      </c>
      <c r="G149" s="22">
        <f t="shared" ref="G149:X149" si="118">G142+G143+G118-G112</f>
        <v>-12.681221950521596</v>
      </c>
      <c r="H149" s="22">
        <f t="shared" si="118"/>
        <v>4.2074130245937802</v>
      </c>
      <c r="I149" s="22">
        <f t="shared" si="118"/>
        <v>-3.6594545027309966E-2</v>
      </c>
      <c r="J149" s="22">
        <f t="shared" si="118"/>
        <v>3.9521405254324904E-2</v>
      </c>
      <c r="K149" s="22">
        <f t="shared" si="118"/>
        <v>-1.3253810470509109E-2</v>
      </c>
      <c r="L149" s="22">
        <f t="shared" si="118"/>
        <v>-4.2823193916349878</v>
      </c>
      <c r="M149" s="22">
        <f t="shared" si="118"/>
        <v>5.8945908460476204E-2</v>
      </c>
      <c r="N149" s="22">
        <f t="shared" si="118"/>
        <v>-5.2576235541533123E-2</v>
      </c>
      <c r="O149" s="22">
        <f t="shared" si="118"/>
        <v>0</v>
      </c>
      <c r="P149" s="22">
        <f t="shared" si="118"/>
        <v>5.9952043329758453E-15</v>
      </c>
      <c r="Q149" s="22">
        <f t="shared" si="118"/>
        <v>0</v>
      </c>
      <c r="R149" s="22">
        <f t="shared" si="118"/>
        <v>-7.1054273576010019E-15</v>
      </c>
      <c r="S149" s="22">
        <f t="shared" si="118"/>
        <v>1.0658141036401503E-14</v>
      </c>
      <c r="T149" s="22">
        <f t="shared" si="118"/>
        <v>0</v>
      </c>
      <c r="U149" s="22">
        <f t="shared" si="118"/>
        <v>0</v>
      </c>
      <c r="V149" s="22">
        <f t="shared" si="118"/>
        <v>0</v>
      </c>
      <c r="W149" s="22">
        <f t="shared" si="118"/>
        <v>-9.3258734068513149E-15</v>
      </c>
      <c r="X149" s="22">
        <f t="shared" si="118"/>
        <v>0</v>
      </c>
      <c r="AA149" s="22">
        <f>AA142+AA143+AA118-AA112</f>
        <v>-0.8243764225534278</v>
      </c>
      <c r="AB149" s="22">
        <f>AB142+AB143+AB118-AB112</f>
        <v>-1.0667936659126118</v>
      </c>
      <c r="AC149" s="22">
        <f>AC142+AC143+AC118-AC112</f>
        <v>-4.4408920985006262E-16</v>
      </c>
      <c r="AD149" s="22">
        <f>AD142+AD143+AD118-AD112</f>
        <v>1.7763568394002505E-15</v>
      </c>
      <c r="AF149" s="2" t="s">
        <v>195</v>
      </c>
    </row>
    <row r="151" spans="1:32" x14ac:dyDescent="0.3">
      <c r="A151" s="6" t="s">
        <v>196</v>
      </c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 spans="1:32" x14ac:dyDescent="0.3">
      <c r="A152" t="s">
        <v>197</v>
      </c>
      <c r="B152" s="2" t="s">
        <v>37</v>
      </c>
      <c r="C152" s="12">
        <v>606.4</v>
      </c>
      <c r="D152" s="12">
        <v>789.7</v>
      </c>
      <c r="E152" s="12">
        <v>534.70000000000005</v>
      </c>
      <c r="F152" s="12">
        <v>382.2</v>
      </c>
      <c r="G152" s="13">
        <v>1202</v>
      </c>
      <c r="H152" s="13">
        <v>801</v>
      </c>
      <c r="I152" s="13">
        <v>964</v>
      </c>
      <c r="J152" s="13">
        <v>463</v>
      </c>
      <c r="K152" s="13">
        <v>1587</v>
      </c>
      <c r="L152" s="13">
        <v>909</v>
      </c>
      <c r="M152" s="13">
        <v>1325</v>
      </c>
      <c r="N152" s="13">
        <v>63</v>
      </c>
      <c r="O152" s="13">
        <v>1923</v>
      </c>
      <c r="P152" s="13">
        <v>1051</v>
      </c>
      <c r="Q152" s="13">
        <v>1078</v>
      </c>
      <c r="R152" s="13">
        <v>466</v>
      </c>
      <c r="S152" s="13">
        <v>1789</v>
      </c>
      <c r="T152" s="13">
        <v>975</v>
      </c>
      <c r="U152" s="13">
        <v>1356</v>
      </c>
      <c r="V152" s="13">
        <v>526</v>
      </c>
      <c r="W152" s="13">
        <v>1708</v>
      </c>
      <c r="X152" s="13">
        <v>1270</v>
      </c>
      <c r="Z152" s="14">
        <f>SUM(C152:F152)</f>
        <v>2313</v>
      </c>
      <c r="AA152" s="14">
        <f>SUM(G152:J152)</f>
        <v>3430</v>
      </c>
      <c r="AB152" s="14">
        <f>SUM(K152:N152)</f>
        <v>3884</v>
      </c>
      <c r="AC152" s="14">
        <f>SUM(O152:R152)</f>
        <v>4518</v>
      </c>
      <c r="AD152" s="14">
        <f>SUM(S152:V152)</f>
        <v>4646</v>
      </c>
      <c r="AE152" s="15">
        <f>SUM(U152:X152)</f>
        <v>4860</v>
      </c>
    </row>
    <row r="153" spans="1:32" x14ac:dyDescent="0.3">
      <c r="A153" t="s">
        <v>198</v>
      </c>
      <c r="B153" s="2" t="s">
        <v>37</v>
      </c>
      <c r="C153" s="12">
        <v>7.7</v>
      </c>
      <c r="D153" s="12">
        <v>7.7</v>
      </c>
      <c r="E153" s="12">
        <v>5.5</v>
      </c>
      <c r="F153" s="12">
        <v>4.0999999999999996</v>
      </c>
      <c r="G153" s="13">
        <v>6</v>
      </c>
      <c r="H153" s="13">
        <v>5</v>
      </c>
      <c r="I153" s="13">
        <v>6</v>
      </c>
      <c r="J153" s="13">
        <v>8</v>
      </c>
      <c r="K153" s="13">
        <v>6</v>
      </c>
      <c r="L153" s="13">
        <v>9</v>
      </c>
      <c r="M153" s="13">
        <v>15</v>
      </c>
      <c r="N153" s="13">
        <v>17</v>
      </c>
      <c r="O153" s="13">
        <v>14</v>
      </c>
      <c r="P153" s="13">
        <v>8</v>
      </c>
      <c r="Q153" s="13">
        <v>4</v>
      </c>
      <c r="R153" s="13">
        <v>8</v>
      </c>
      <c r="S153" s="13">
        <v>8</v>
      </c>
      <c r="T153" s="13">
        <v>13</v>
      </c>
      <c r="U153" s="13">
        <v>7</v>
      </c>
      <c r="V153" s="13">
        <v>5</v>
      </c>
      <c r="W153" s="13">
        <v>4</v>
      </c>
      <c r="X153" s="13">
        <v>17</v>
      </c>
      <c r="Z153" s="14">
        <f>SUM(C153:F153)</f>
        <v>25</v>
      </c>
      <c r="AA153" s="14">
        <f>SUM(G153:J153)</f>
        <v>25</v>
      </c>
      <c r="AB153" s="14">
        <f>SUM(K153:N153)</f>
        <v>47</v>
      </c>
      <c r="AC153" s="14">
        <f>SUM(O153:R153)</f>
        <v>34</v>
      </c>
      <c r="AD153" s="14">
        <f>SUM(S153:V153)</f>
        <v>33</v>
      </c>
      <c r="AE153" s="15">
        <f>SUM(U153:X153)</f>
        <v>33</v>
      </c>
    </row>
    <row r="154" spans="1:32" x14ac:dyDescent="0.3">
      <c r="A154" t="s">
        <v>199</v>
      </c>
      <c r="B154" s="2" t="s">
        <v>37</v>
      </c>
      <c r="F154" s="12">
        <v>0</v>
      </c>
      <c r="G154" s="13">
        <v>0</v>
      </c>
      <c r="H154" s="13">
        <v>0</v>
      </c>
      <c r="I154" s="13">
        <v>1000</v>
      </c>
      <c r="J154" s="13">
        <v>500</v>
      </c>
      <c r="K154" s="13">
        <v>493</v>
      </c>
      <c r="L154" s="13">
        <v>507</v>
      </c>
      <c r="M154" s="13">
        <v>500</v>
      </c>
      <c r="N154" s="13">
        <v>752</v>
      </c>
      <c r="O154" s="13">
        <v>750</v>
      </c>
      <c r="P154" s="13">
        <v>749</v>
      </c>
      <c r="Q154" s="13">
        <v>1093</v>
      </c>
      <c r="R154" s="13">
        <v>838</v>
      </c>
      <c r="S154" s="13">
        <v>807</v>
      </c>
      <c r="T154" s="13">
        <v>1010</v>
      </c>
      <c r="U154" s="13">
        <v>877</v>
      </c>
      <c r="V154" s="13">
        <v>1095</v>
      </c>
      <c r="W154" s="13">
        <v>1088</v>
      </c>
      <c r="X154" s="13">
        <v>1051</v>
      </c>
      <c r="Z154" s="14">
        <f>SUM(C154:F154)</f>
        <v>0</v>
      </c>
      <c r="AA154" s="14">
        <f>SUM(G154:J154)</f>
        <v>1500</v>
      </c>
      <c r="AB154" s="14">
        <f>SUM(K154:N154)</f>
        <v>2252</v>
      </c>
      <c r="AC154" s="14">
        <f>SUM(O154:R154)</f>
        <v>3430</v>
      </c>
      <c r="AD154" s="14">
        <f>SUM(S154:V154)</f>
        <v>3789</v>
      </c>
      <c r="AE154" s="15">
        <f>SUM(U154:X154)</f>
        <v>4111</v>
      </c>
    </row>
    <row r="155" spans="1:32" x14ac:dyDescent="0.3">
      <c r="A155" t="s">
        <v>200</v>
      </c>
      <c r="B155" s="2" t="s">
        <v>37</v>
      </c>
      <c r="C155" s="12">
        <v>130.4</v>
      </c>
      <c r="D155" s="12">
        <v>8.5</v>
      </c>
      <c r="E155" s="12">
        <v>15.7</v>
      </c>
      <c r="F155" s="12">
        <v>22.4</v>
      </c>
      <c r="G155" s="13">
        <v>205</v>
      </c>
      <c r="H155" s="13">
        <v>140</v>
      </c>
      <c r="I155" s="13">
        <v>146</v>
      </c>
      <c r="J155" s="13">
        <v>116</v>
      </c>
      <c r="K155" s="13">
        <v>151</v>
      </c>
      <c r="L155" s="13">
        <v>721</v>
      </c>
      <c r="M155" s="13">
        <v>151</v>
      </c>
      <c r="N155" s="13">
        <v>201</v>
      </c>
      <c r="O155" s="13">
        <v>155</v>
      </c>
      <c r="P155" s="13">
        <v>154</v>
      </c>
      <c r="Q155" s="13">
        <v>113</v>
      </c>
      <c r="R155" s="13">
        <v>208</v>
      </c>
      <c r="S155" s="13">
        <v>152</v>
      </c>
      <c r="T155" s="13">
        <v>143</v>
      </c>
      <c r="U155" s="13">
        <v>136</v>
      </c>
      <c r="V155" s="13">
        <v>130</v>
      </c>
      <c r="W155" s="13">
        <v>140</v>
      </c>
      <c r="X155" s="13">
        <v>165</v>
      </c>
      <c r="Z155" s="14">
        <f>SUM(C155:F155)</f>
        <v>177</v>
      </c>
      <c r="AA155" s="14">
        <f>SUM(G155:J155)</f>
        <v>607</v>
      </c>
      <c r="AB155" s="14">
        <f>SUM(K155:N155)</f>
        <v>1224</v>
      </c>
      <c r="AC155" s="14">
        <f>SUM(O155:R155)</f>
        <v>630</v>
      </c>
      <c r="AD155" s="14">
        <f>SUM(S155:V155)</f>
        <v>561</v>
      </c>
      <c r="AE155" s="15">
        <f>SUM(U155:X155)</f>
        <v>571</v>
      </c>
    </row>
    <row r="156" spans="1:32" x14ac:dyDescent="0.3">
      <c r="A156" t="s">
        <v>201</v>
      </c>
      <c r="B156" s="2" t="s">
        <v>37</v>
      </c>
      <c r="C156" s="12">
        <v>946.2</v>
      </c>
      <c r="D156" s="12">
        <v>1483.9</v>
      </c>
      <c r="E156" s="12">
        <v>892.4</v>
      </c>
      <c r="F156" s="12">
        <v>904</v>
      </c>
      <c r="G156" s="13">
        <v>1747.7</v>
      </c>
      <c r="H156" s="13">
        <v>1980.9</v>
      </c>
      <c r="I156" s="13">
        <v>1220.3</v>
      </c>
      <c r="J156" s="13">
        <v>1182</v>
      </c>
      <c r="K156" s="13">
        <v>2172</v>
      </c>
      <c r="L156" s="13">
        <v>2347</v>
      </c>
      <c r="M156" s="13">
        <v>1467</v>
      </c>
      <c r="N156" s="13">
        <v>1427</v>
      </c>
      <c r="O156" s="13">
        <v>2434</v>
      </c>
      <c r="P156" s="13">
        <v>2621</v>
      </c>
      <c r="Q156" s="13">
        <v>1657</v>
      </c>
      <c r="R156" s="13">
        <v>1616</v>
      </c>
      <c r="S156" s="13">
        <v>2723</v>
      </c>
      <c r="T156" s="13">
        <v>2857</v>
      </c>
      <c r="U156" s="13">
        <v>1820</v>
      </c>
      <c r="V156" s="13">
        <v>1743</v>
      </c>
      <c r="W156" s="13">
        <v>2733</v>
      </c>
      <c r="X156" s="13">
        <v>2831</v>
      </c>
    </row>
    <row r="157" spans="1:32" x14ac:dyDescent="0.3">
      <c r="A157" t="s">
        <v>202</v>
      </c>
      <c r="B157" s="2" t="s">
        <v>37</v>
      </c>
      <c r="C157" s="12">
        <v>4014.9</v>
      </c>
      <c r="D157" s="12">
        <v>6301.7</v>
      </c>
      <c r="E157" s="12">
        <v>3940.5</v>
      </c>
      <c r="F157" s="12">
        <v>3715</v>
      </c>
      <c r="G157" s="13">
        <v>6104.7</v>
      </c>
      <c r="H157" s="13">
        <v>7465.5</v>
      </c>
      <c r="I157" s="13">
        <v>4805.3999999999996</v>
      </c>
      <c r="J157" s="13">
        <v>4783</v>
      </c>
      <c r="K157" s="13">
        <v>7760</v>
      </c>
      <c r="L157" s="13">
        <v>9144</v>
      </c>
      <c r="M157" s="13">
        <v>5986</v>
      </c>
      <c r="N157" s="13">
        <v>5869</v>
      </c>
      <c r="O157" s="13">
        <v>8737</v>
      </c>
      <c r="P157" s="13">
        <v>10342</v>
      </c>
      <c r="Q157" s="13">
        <v>6573</v>
      </c>
      <c r="R157" s="13">
        <v>5931</v>
      </c>
      <c r="S157" s="13">
        <v>9175</v>
      </c>
      <c r="T157" s="13">
        <v>11067</v>
      </c>
      <c r="U157" s="13">
        <v>7209</v>
      </c>
      <c r="V157" s="13">
        <v>6959</v>
      </c>
      <c r="W157" s="13">
        <v>10550</v>
      </c>
      <c r="X157" s="13">
        <v>12224</v>
      </c>
    </row>
    <row r="158" spans="1:32" x14ac:dyDescent="0.3">
      <c r="A158" t="s">
        <v>203</v>
      </c>
      <c r="B158" s="2" t="s">
        <v>42</v>
      </c>
      <c r="G158" s="20">
        <f t="shared" ref="G158:P159" si="119">G156/C156-1</f>
        <v>0.84707250052842942</v>
      </c>
      <c r="H158" s="20">
        <f t="shared" si="119"/>
        <v>0.33492822966507174</v>
      </c>
      <c r="I158" s="20">
        <f t="shared" si="119"/>
        <v>0.36743612729717623</v>
      </c>
      <c r="J158" s="20">
        <f t="shared" si="119"/>
        <v>0.30752212389380529</v>
      </c>
      <c r="K158" s="20">
        <f t="shared" si="119"/>
        <v>0.24277622017508715</v>
      </c>
      <c r="L158" s="20">
        <f t="shared" si="119"/>
        <v>0.18481498308849509</v>
      </c>
      <c r="M158" s="20">
        <f t="shared" si="119"/>
        <v>0.20216340244202247</v>
      </c>
      <c r="N158" s="20">
        <f t="shared" si="119"/>
        <v>0.2072758037225042</v>
      </c>
      <c r="O158" s="20">
        <f t="shared" si="119"/>
        <v>0.12062615101289142</v>
      </c>
      <c r="P158" s="20">
        <f t="shared" si="119"/>
        <v>0.11674478057094162</v>
      </c>
      <c r="Q158" s="20">
        <f t="shared" ref="Q158:Z159" si="120">Q156/M156-1</f>
        <v>0.12951601908657118</v>
      </c>
      <c r="R158" s="20">
        <f t="shared" si="120"/>
        <v>0.13244569025928521</v>
      </c>
      <c r="S158" s="20">
        <f t="shared" si="120"/>
        <v>0.11873459326211999</v>
      </c>
      <c r="T158" s="20">
        <f t="shared" si="120"/>
        <v>9.0041968714231313E-2</v>
      </c>
      <c r="U158" s="20">
        <f t="shared" si="120"/>
        <v>9.8370549185274658E-2</v>
      </c>
      <c r="V158" s="20">
        <f t="shared" si="120"/>
        <v>7.8589108910890992E-2</v>
      </c>
      <c r="W158" s="20">
        <f t="shared" si="120"/>
        <v>3.6724201248623523E-3</v>
      </c>
      <c r="X158" s="20">
        <f t="shared" si="120"/>
        <v>-9.1004550227511416E-3</v>
      </c>
    </row>
    <row r="159" spans="1:32" x14ac:dyDescent="0.3">
      <c r="A159" t="s">
        <v>204</v>
      </c>
      <c r="B159" s="2" t="s">
        <v>42</v>
      </c>
      <c r="G159" s="20">
        <f t="shared" si="119"/>
        <v>0.52051109616677871</v>
      </c>
      <c r="H159" s="20">
        <f t="shared" si="119"/>
        <v>0.1846803243569195</v>
      </c>
      <c r="I159" s="20">
        <f t="shared" si="119"/>
        <v>0.21948991244765881</v>
      </c>
      <c r="J159" s="20">
        <f t="shared" si="119"/>
        <v>0.28748317631224762</v>
      </c>
      <c r="K159" s="20">
        <f t="shared" si="119"/>
        <v>0.27115173554802041</v>
      </c>
      <c r="L159" s="20">
        <f t="shared" si="119"/>
        <v>0.22483423749246545</v>
      </c>
      <c r="M159" s="20">
        <f t="shared" si="119"/>
        <v>0.24568194114954012</v>
      </c>
      <c r="N159" s="20">
        <f t="shared" si="119"/>
        <v>0.22705415011499053</v>
      </c>
      <c r="O159" s="20">
        <f t="shared" si="119"/>
        <v>0.1259020618556701</v>
      </c>
      <c r="P159" s="20">
        <f t="shared" si="119"/>
        <v>0.13101487314085736</v>
      </c>
      <c r="Q159" s="20">
        <f t="shared" si="120"/>
        <v>9.8062145005011647E-2</v>
      </c>
      <c r="R159" s="20">
        <f t="shared" si="120"/>
        <v>1.056398023513383E-2</v>
      </c>
      <c r="S159" s="20">
        <f t="shared" si="120"/>
        <v>5.0131624127274899E-2</v>
      </c>
      <c r="T159" s="20">
        <f t="shared" si="120"/>
        <v>7.010249468187979E-2</v>
      </c>
      <c r="U159" s="20">
        <f t="shared" si="120"/>
        <v>9.6759470561387451E-2</v>
      </c>
      <c r="V159" s="20">
        <f t="shared" si="120"/>
        <v>0.17332658910807619</v>
      </c>
      <c r="W159" s="20">
        <f t="shared" si="120"/>
        <v>0.14986376021798375</v>
      </c>
      <c r="X159" s="20">
        <f t="shared" si="120"/>
        <v>0.10454504382398122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56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3" width="11" customWidth="1"/>
    <col min="4" max="6" width="10" customWidth="1"/>
    <col min="7" max="8" width="9" customWidth="1"/>
    <col min="9" max="9" width="14" customWidth="1"/>
    <col min="10" max="10" width="10" customWidth="1"/>
    <col min="11" max="12" width="9" customWidth="1"/>
    <col min="13" max="13" width="12" customWidth="1"/>
    <col min="14" max="15" width="10" customWidth="1"/>
    <col min="16" max="17" width="9" customWidth="1"/>
    <col min="18" max="18" width="26" customWidth="1"/>
    <col min="19" max="19" width="12" customWidth="1"/>
    <col min="20" max="20" width="10" customWidth="1"/>
    <col min="21" max="23" width="9" customWidth="1"/>
    <col min="24" max="24" width="22" customWidth="1"/>
    <col min="25" max="25" width="12" customWidth="1"/>
    <col min="26" max="28" width="9" customWidth="1"/>
    <col min="29" max="29" width="22" customWidth="1"/>
    <col min="30" max="30" width="12" customWidth="1"/>
    <col min="31" max="32" width="10" customWidth="1"/>
    <col min="33" max="35" width="9" customWidth="1"/>
    <col min="36" max="36" width="22" customWidth="1"/>
    <col min="37" max="37" width="12" customWidth="1"/>
    <col min="38" max="38" width="22" customWidth="1"/>
    <col min="39" max="39" width="12" customWidth="1"/>
    <col min="40" max="41" width="8" customWidth="1"/>
    <col min="42" max="42" width="24" customWidth="1"/>
    <col min="43" max="44" width="9" customWidth="1"/>
    <col min="45" max="46" width="11" customWidth="1"/>
    <col min="47" max="47" width="9" customWidth="1"/>
    <col min="48" max="55" width="8" customWidth="1"/>
    <col min="56" max="58" width="9" customWidth="1"/>
  </cols>
  <sheetData>
    <row r="1" spans="1:58" ht="17.399999999999999" x14ac:dyDescent="0.35">
      <c r="A1" s="1" t="s">
        <v>205</v>
      </c>
    </row>
    <row r="2" spans="1:58" ht="42" customHeight="1" x14ac:dyDescent="0.3">
      <c r="A2" s="39" t="s">
        <v>206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</row>
    <row r="4" spans="1:58" ht="31.95" customHeight="1" x14ac:dyDescent="0.3">
      <c r="A4" s="31" t="s">
        <v>207</v>
      </c>
      <c r="B4" s="31" t="s">
        <v>208</v>
      </c>
      <c r="C4" s="31" t="s">
        <v>209</v>
      </c>
      <c r="D4" s="31" t="s">
        <v>210</v>
      </c>
      <c r="E4" s="31" t="s">
        <v>211</v>
      </c>
      <c r="F4" s="31" t="s">
        <v>212</v>
      </c>
      <c r="G4" s="31" t="s">
        <v>213</v>
      </c>
      <c r="H4" s="31" t="s">
        <v>214</v>
      </c>
      <c r="I4" s="31" t="s">
        <v>215</v>
      </c>
      <c r="J4" s="31" t="s">
        <v>216</v>
      </c>
      <c r="K4" s="31" t="s">
        <v>217</v>
      </c>
      <c r="L4" s="31" t="s">
        <v>218</v>
      </c>
      <c r="M4" s="31" t="s">
        <v>219</v>
      </c>
      <c r="N4" s="31" t="s">
        <v>220</v>
      </c>
      <c r="O4" s="31" t="s">
        <v>221</v>
      </c>
      <c r="P4" s="31" t="s">
        <v>222</v>
      </c>
      <c r="Q4" s="31" t="s">
        <v>223</v>
      </c>
      <c r="R4" s="31" t="s">
        <v>224</v>
      </c>
      <c r="S4" s="31" t="s">
        <v>225</v>
      </c>
      <c r="T4" s="31" t="s">
        <v>226</v>
      </c>
      <c r="U4" s="31" t="s">
        <v>227</v>
      </c>
      <c r="V4" s="31" t="s">
        <v>228</v>
      </c>
      <c r="W4" s="31" t="s">
        <v>229</v>
      </c>
      <c r="X4" s="31" t="s">
        <v>230</v>
      </c>
      <c r="Y4" s="31" t="s">
        <v>231</v>
      </c>
      <c r="Z4" s="31" t="s">
        <v>232</v>
      </c>
      <c r="AA4" s="31" t="s">
        <v>233</v>
      </c>
      <c r="AB4" s="31" t="s">
        <v>234</v>
      </c>
      <c r="AC4" s="31" t="s">
        <v>235</v>
      </c>
      <c r="AD4" s="31" t="s">
        <v>236</v>
      </c>
      <c r="AE4" s="31" t="s">
        <v>237</v>
      </c>
      <c r="AF4" s="31" t="s">
        <v>238</v>
      </c>
      <c r="AG4" s="31" t="s">
        <v>239</v>
      </c>
      <c r="AH4" s="31" t="s">
        <v>240</v>
      </c>
      <c r="AI4" s="31" t="s">
        <v>241</v>
      </c>
      <c r="AJ4" s="31" t="s">
        <v>242</v>
      </c>
      <c r="AK4" s="31" t="s">
        <v>243</v>
      </c>
      <c r="AL4" s="31" t="s">
        <v>244</v>
      </c>
      <c r="AM4" s="31" t="s">
        <v>245</v>
      </c>
      <c r="AN4" s="31" t="s">
        <v>246</v>
      </c>
      <c r="AO4" s="31" t="s">
        <v>247</v>
      </c>
      <c r="AP4" s="31" t="s">
        <v>248</v>
      </c>
      <c r="AQ4" s="31" t="s">
        <v>249</v>
      </c>
      <c r="AR4" s="31" t="s">
        <v>250</v>
      </c>
      <c r="AS4" s="31" t="s">
        <v>251</v>
      </c>
      <c r="AT4" s="31" t="s">
        <v>252</v>
      </c>
      <c r="AU4" s="31" t="s">
        <v>253</v>
      </c>
      <c r="AV4" s="31" t="s">
        <v>254</v>
      </c>
      <c r="AW4" s="31" t="s">
        <v>255</v>
      </c>
      <c r="AX4" s="31" t="s">
        <v>256</v>
      </c>
      <c r="AY4" s="31" t="s">
        <v>257</v>
      </c>
      <c r="AZ4" s="31" t="s">
        <v>258</v>
      </c>
      <c r="BA4" s="31" t="s">
        <v>259</v>
      </c>
      <c r="BB4" s="31" t="s">
        <v>260</v>
      </c>
      <c r="BC4" s="31" t="s">
        <v>261</v>
      </c>
      <c r="BD4" s="31" t="s">
        <v>262</v>
      </c>
      <c r="BE4" s="31" t="s">
        <v>263</v>
      </c>
      <c r="BF4" s="31" t="s">
        <v>264</v>
      </c>
    </row>
    <row r="5" spans="1:58" x14ac:dyDescent="0.3">
      <c r="A5" s="32" t="s">
        <v>265</v>
      </c>
      <c r="B5" s="33" t="s">
        <v>266</v>
      </c>
      <c r="C5" s="33" t="s">
        <v>267</v>
      </c>
      <c r="F5" s="13">
        <v>859</v>
      </c>
      <c r="G5" s="21" t="str">
        <f t="shared" ref="G5:G27" si="0">IF(D5="","",F5/((D5+E5)/2)-1)</f>
        <v/>
      </c>
      <c r="H5" s="21" t="str">
        <f t="shared" ref="H5:H27" si="1">IF(E5="","",F5/E5-1)</f>
        <v/>
      </c>
      <c r="J5" s="13">
        <v>739.7</v>
      </c>
      <c r="K5" s="21">
        <f t="shared" ref="K5:K27" si="2">IF(J5="","",F5/J5-1)</f>
        <v>0.16128160064891173</v>
      </c>
      <c r="L5" t="str">
        <f t="shared" ref="L5:L27" si="3">IF(K5="","",IF(K5&gt;0.005,"beat",IF(K5&lt;-0.005,"miss","meet")))</f>
        <v>beat</v>
      </c>
      <c r="M5" s="33" t="s">
        <v>268</v>
      </c>
      <c r="N5" s="9"/>
      <c r="O5" s="9"/>
      <c r="P5" s="21" t="str">
        <f t="shared" ref="P5:P27" si="4">IF(N5="","",O5/N5-1)</f>
        <v/>
      </c>
      <c r="Q5" t="str">
        <f t="shared" ref="Q5:Q27" si="5">IF(P5="","",IF(P5&gt;0.01,"beat",IF(P5&lt;-0.01,"miss","meet")))</f>
        <v/>
      </c>
      <c r="R5" s="33"/>
      <c r="S5" s="33"/>
      <c r="T5" s="27"/>
      <c r="U5" s="27"/>
      <c r="V5" s="21" t="str">
        <f t="shared" ref="V5:V27" si="6">IF(T5="","",U5/T5-1)</f>
        <v/>
      </c>
      <c r="W5" t="str">
        <f t="shared" ref="W5:W27" si="7">IF(V5="","",IF(V5&gt;0.005,"beat",IF(V5&lt;-0.005,"miss","meet")))</f>
        <v/>
      </c>
      <c r="X5" s="33"/>
      <c r="Y5" s="33"/>
      <c r="Z5" s="30"/>
      <c r="AA5" s="17"/>
      <c r="AB5" s="21" t="str">
        <f t="shared" ref="AB5:AB27" si="8">IF(Z5="","",AA5/Z5-1)</f>
        <v/>
      </c>
      <c r="AC5" s="33"/>
      <c r="AD5" s="33"/>
      <c r="AE5" s="13">
        <v>-132.80000000000001</v>
      </c>
      <c r="AF5" s="13">
        <v>-21</v>
      </c>
      <c r="AG5" s="21">
        <f t="shared" ref="AG5:AG27" si="9">IF(AE5="","",AF5/AE5-1)</f>
        <v>-0.8418674698795181</v>
      </c>
      <c r="AH5" t="str">
        <f t="shared" ref="AH5:AH27" si="10">IF(AG5="","",IF(AG5&gt;0.005,"beat",IF(AG5&lt;-0.005,"miss","meet")))</f>
        <v>miss</v>
      </c>
      <c r="AI5" s="21">
        <f t="shared" ref="AI5:AI27" si="11">IF(AF5="","",AF5/F5)</f>
        <v>-2.4447031431897557E-2</v>
      </c>
      <c r="AJ5" s="33"/>
      <c r="AK5" s="33"/>
      <c r="AL5" s="33"/>
      <c r="AM5" s="33"/>
      <c r="AN5" s="30">
        <v>-8.4</v>
      </c>
      <c r="AO5" s="30">
        <v>-11.24</v>
      </c>
      <c r="AP5" s="33" t="s">
        <v>269</v>
      </c>
      <c r="AQ5" s="21">
        <f t="shared" ref="AQ5:AQ27" si="12">IF(OR(AN5="",AN5=0),"",(AO5-AN5)/ABS(AN5))</f>
        <v>-0.33809523809523806</v>
      </c>
      <c r="AR5" t="str">
        <f t="shared" ref="AR5:AR27" si="13">IF(AQ5="","",IF(AQ5&gt;0.03,"beat",IF(AQ5&lt;-0.03,"miss","meet")))</f>
        <v>miss</v>
      </c>
      <c r="AS5" s="13"/>
      <c r="AT5" s="13"/>
      <c r="AU5" s="21" t="str">
        <f t="shared" ref="AU5:AU27" si="14">IF(OR(AS5="",AT5=""),"",AT5/AS5-1)</f>
        <v/>
      </c>
      <c r="AV5" s="24">
        <v>0.13300000000000001</v>
      </c>
      <c r="AW5" s="24">
        <v>4.0000000000000001E-3</v>
      </c>
      <c r="AX5" s="24">
        <v>0.129</v>
      </c>
      <c r="AY5" s="24">
        <v>-0.01</v>
      </c>
      <c r="AZ5" s="24">
        <v>1.7999999999999999E-2</v>
      </c>
      <c r="BA5" s="24">
        <v>-3.2000000000000001E-2</v>
      </c>
      <c r="BB5" s="24">
        <v>-2.8000000000000001E-2</v>
      </c>
      <c r="BC5" s="24">
        <v>6.6571434031173382E-2</v>
      </c>
      <c r="BD5" s="24">
        <v>6.8087814487666543E-2</v>
      </c>
      <c r="BE5" s="24">
        <v>-3.4639344914616947E-2</v>
      </c>
      <c r="BF5" s="24">
        <v>-7.8489789278176403E-2</v>
      </c>
    </row>
    <row r="6" spans="1:58" x14ac:dyDescent="0.3">
      <c r="A6" s="32" t="s">
        <v>4</v>
      </c>
      <c r="B6" s="33" t="s">
        <v>270</v>
      </c>
      <c r="C6" s="33" t="s">
        <v>271</v>
      </c>
      <c r="F6" s="13">
        <v>887</v>
      </c>
      <c r="G6" s="21" t="str">
        <f t="shared" si="0"/>
        <v/>
      </c>
      <c r="H6" s="21" t="str">
        <f t="shared" si="1"/>
        <v/>
      </c>
      <c r="J6" s="13">
        <v>714.4</v>
      </c>
      <c r="K6" s="21">
        <f t="shared" si="2"/>
        <v>0.24160134378499443</v>
      </c>
      <c r="L6" t="str">
        <f t="shared" si="3"/>
        <v>beat</v>
      </c>
      <c r="M6" s="33" t="s">
        <v>272</v>
      </c>
      <c r="N6" s="9">
        <v>62.5</v>
      </c>
      <c r="O6" s="9">
        <v>64.400000000000006</v>
      </c>
      <c r="P6" s="21">
        <f t="shared" si="4"/>
        <v>3.0399999999999983E-2</v>
      </c>
      <c r="Q6" t="str">
        <f t="shared" si="5"/>
        <v>beat</v>
      </c>
      <c r="R6" s="33" t="s">
        <v>273</v>
      </c>
      <c r="S6" s="33" t="s">
        <v>274</v>
      </c>
      <c r="T6" s="27">
        <v>7.87</v>
      </c>
      <c r="U6" s="27">
        <v>10.3</v>
      </c>
      <c r="V6" s="21">
        <f t="shared" si="6"/>
        <v>0.30876747141041938</v>
      </c>
      <c r="W6" t="str">
        <f t="shared" si="7"/>
        <v>beat</v>
      </c>
      <c r="X6" s="33" t="s">
        <v>273</v>
      </c>
      <c r="Y6" s="33" t="s">
        <v>274</v>
      </c>
      <c r="Z6" s="30"/>
      <c r="AA6" s="17">
        <v>159.93788819875769</v>
      </c>
      <c r="AB6" s="21" t="str">
        <f t="shared" si="8"/>
        <v/>
      </c>
      <c r="AC6" s="33"/>
      <c r="AD6" s="33"/>
      <c r="AE6" s="13"/>
      <c r="AF6" s="13">
        <v>-59</v>
      </c>
      <c r="AG6" s="21" t="str">
        <f t="shared" si="9"/>
        <v/>
      </c>
      <c r="AH6" t="str">
        <f t="shared" si="10"/>
        <v/>
      </c>
      <c r="AI6" s="21">
        <f t="shared" si="11"/>
        <v>-6.6516347237880497E-2</v>
      </c>
      <c r="AJ6" s="33" t="s">
        <v>275</v>
      </c>
      <c r="AK6" s="33" t="s">
        <v>276</v>
      </c>
      <c r="AL6" s="33"/>
      <c r="AM6" s="33"/>
      <c r="AN6" s="30">
        <v>-1.07</v>
      </c>
      <c r="AO6" s="30">
        <v>-1.95</v>
      </c>
      <c r="AP6" s="33" t="s">
        <v>277</v>
      </c>
      <c r="AQ6" s="21">
        <f t="shared" si="12"/>
        <v>-0.82242990654205594</v>
      </c>
      <c r="AR6" t="str">
        <f t="shared" si="13"/>
        <v>miss</v>
      </c>
      <c r="AS6" s="13"/>
      <c r="AT6" s="13"/>
      <c r="AU6" s="21" t="str">
        <f t="shared" si="14"/>
        <v/>
      </c>
      <c r="AV6" s="24">
        <v>0.04</v>
      </c>
      <c r="AW6" s="24">
        <v>2.1999999999999999E-2</v>
      </c>
      <c r="AX6" s="24">
        <v>1.7999999999999999E-2</v>
      </c>
      <c r="AY6" s="24">
        <v>3.0000000000000001E-3</v>
      </c>
      <c r="AZ6" s="24">
        <v>-2.5999999999999999E-2</v>
      </c>
      <c r="BA6" s="24">
        <v>9.3000000000000013E-2</v>
      </c>
      <c r="BB6" s="24">
        <v>2.5000000000000001E-2</v>
      </c>
      <c r="BC6" s="24">
        <v>1.421725728015644E-2</v>
      </c>
      <c r="BD6" s="24">
        <v>1.381824211078508E-2</v>
      </c>
      <c r="BE6" s="24">
        <v>-3.006131412779001E-2</v>
      </c>
      <c r="BF6" s="24">
        <v>2.0371829275411368E-2</v>
      </c>
    </row>
    <row r="7" spans="1:58" x14ac:dyDescent="0.3">
      <c r="A7" s="32" t="s">
        <v>5</v>
      </c>
      <c r="B7" s="33" t="s">
        <v>278</v>
      </c>
      <c r="C7" s="33" t="s">
        <v>279</v>
      </c>
      <c r="F7" s="13">
        <v>1335</v>
      </c>
      <c r="G7" s="21" t="str">
        <f t="shared" si="0"/>
        <v/>
      </c>
      <c r="H7" s="21" t="str">
        <f t="shared" si="1"/>
        <v/>
      </c>
      <c r="J7" s="13">
        <v>1260</v>
      </c>
      <c r="K7" s="21">
        <f t="shared" si="2"/>
        <v>5.9523809523809534E-2</v>
      </c>
      <c r="L7" t="str">
        <f t="shared" si="3"/>
        <v>beat</v>
      </c>
      <c r="M7" s="33" t="s">
        <v>272</v>
      </c>
      <c r="N7" s="9">
        <v>79.2</v>
      </c>
      <c r="O7" s="9">
        <v>83.1</v>
      </c>
      <c r="P7" s="21">
        <f t="shared" si="4"/>
        <v>4.9242424242424088E-2</v>
      </c>
      <c r="Q7" t="str">
        <f t="shared" si="5"/>
        <v>beat</v>
      </c>
      <c r="R7" s="33" t="s">
        <v>273</v>
      </c>
      <c r="S7" s="33" t="s">
        <v>274</v>
      </c>
      <c r="T7" s="27">
        <v>11.56</v>
      </c>
      <c r="U7" s="27">
        <v>13.4</v>
      </c>
      <c r="V7" s="21">
        <f t="shared" si="6"/>
        <v>0.15916955017301038</v>
      </c>
      <c r="W7" t="str">
        <f t="shared" si="7"/>
        <v>beat</v>
      </c>
      <c r="X7" s="33" t="s">
        <v>280</v>
      </c>
      <c r="Y7" s="33" t="s">
        <v>281</v>
      </c>
      <c r="Z7" s="30"/>
      <c r="AA7" s="17">
        <v>161.25150421179299</v>
      </c>
      <c r="AB7" s="21" t="str">
        <f t="shared" si="8"/>
        <v/>
      </c>
      <c r="AC7" s="33"/>
      <c r="AD7" s="33"/>
      <c r="AE7" s="13"/>
      <c r="AF7" s="13">
        <v>217</v>
      </c>
      <c r="AG7" s="21" t="str">
        <f t="shared" si="9"/>
        <v/>
      </c>
      <c r="AH7" t="str">
        <f t="shared" si="10"/>
        <v/>
      </c>
      <c r="AI7" s="21">
        <f t="shared" si="11"/>
        <v>0.16254681647940075</v>
      </c>
      <c r="AJ7" s="33"/>
      <c r="AK7" s="33"/>
      <c r="AL7" s="33"/>
      <c r="AM7" s="33"/>
      <c r="AN7" s="30">
        <v>-0.41</v>
      </c>
      <c r="AO7" s="30">
        <v>-0.11</v>
      </c>
      <c r="AP7" s="33" t="s">
        <v>282</v>
      </c>
      <c r="AQ7" s="21">
        <f t="shared" si="12"/>
        <v>0.73170731707317072</v>
      </c>
      <c r="AR7" t="str">
        <f t="shared" si="13"/>
        <v>beat</v>
      </c>
      <c r="AS7" s="13"/>
      <c r="AT7" s="13"/>
      <c r="AU7" s="21" t="str">
        <f t="shared" si="14"/>
        <v/>
      </c>
      <c r="AV7" s="24">
        <v>1.0999999999999999E-2</v>
      </c>
      <c r="AW7" s="24">
        <v>4.0000000000000001E-3</v>
      </c>
      <c r="AX7" s="24">
        <v>6.9999999999999993E-3</v>
      </c>
      <c r="AY7" s="24">
        <v>-5.5999999999999987E-2</v>
      </c>
      <c r="AZ7" s="24">
        <v>-4.7E-2</v>
      </c>
      <c r="BA7" s="24">
        <v>9.3000000000000013E-2</v>
      </c>
      <c r="BB7" s="24">
        <v>6.8000000000000005E-2</v>
      </c>
      <c r="BC7" s="24">
        <v>-2.9705527063732421E-2</v>
      </c>
      <c r="BD7" s="24">
        <v>3.9064826674199749E-2</v>
      </c>
      <c r="BE7" s="24">
        <v>-1.6659614224246441E-2</v>
      </c>
      <c r="BF7" s="24">
        <v>0.10276646566140871</v>
      </c>
    </row>
    <row r="8" spans="1:58" x14ac:dyDescent="0.3">
      <c r="A8" s="32" t="s">
        <v>6</v>
      </c>
      <c r="B8" s="33" t="s">
        <v>283</v>
      </c>
      <c r="C8" s="33" t="s">
        <v>284</v>
      </c>
      <c r="F8" s="13">
        <v>2237</v>
      </c>
      <c r="G8" s="21" t="str">
        <f t="shared" si="0"/>
        <v/>
      </c>
      <c r="H8" s="21" t="str">
        <f t="shared" si="1"/>
        <v/>
      </c>
      <c r="J8" s="13">
        <v>2050</v>
      </c>
      <c r="K8" s="21">
        <f t="shared" si="2"/>
        <v>9.1219512195122032E-2</v>
      </c>
      <c r="L8" t="str">
        <f t="shared" si="3"/>
        <v>beat</v>
      </c>
      <c r="M8" s="33" t="s">
        <v>272</v>
      </c>
      <c r="N8" s="9">
        <v>80.8</v>
      </c>
      <c r="O8" s="9">
        <v>79.7</v>
      </c>
      <c r="P8" s="21">
        <f t="shared" si="4"/>
        <v>-1.3613861386138515E-2</v>
      </c>
      <c r="Q8" t="str">
        <f t="shared" si="5"/>
        <v>miss</v>
      </c>
      <c r="R8" s="33" t="s">
        <v>285</v>
      </c>
      <c r="S8" s="33" t="s">
        <v>281</v>
      </c>
      <c r="T8" s="27">
        <v>12.31</v>
      </c>
      <c r="U8" s="27">
        <v>11.9</v>
      </c>
      <c r="V8" s="21">
        <f t="shared" si="6"/>
        <v>-3.3306255077172997E-2</v>
      </c>
      <c r="W8" t="str">
        <f t="shared" si="7"/>
        <v>miss</v>
      </c>
      <c r="X8" s="33" t="s">
        <v>286</v>
      </c>
      <c r="Y8" s="33" t="s">
        <v>281</v>
      </c>
      <c r="Z8" s="30"/>
      <c r="AA8" s="17">
        <v>149.3099121706399</v>
      </c>
      <c r="AB8" s="21" t="str">
        <f t="shared" si="8"/>
        <v/>
      </c>
      <c r="AC8" s="33"/>
      <c r="AD8" s="33"/>
      <c r="AE8" s="13"/>
      <c r="AF8" s="13">
        <v>1101</v>
      </c>
      <c r="AG8" s="21" t="str">
        <f t="shared" si="9"/>
        <v/>
      </c>
      <c r="AH8" t="str">
        <f t="shared" si="10"/>
        <v/>
      </c>
      <c r="AI8" s="21">
        <f t="shared" si="11"/>
        <v>0.49217702279839071</v>
      </c>
      <c r="AJ8" s="33" t="s">
        <v>287</v>
      </c>
      <c r="AK8" s="33" t="s">
        <v>281</v>
      </c>
      <c r="AL8" s="33" t="s">
        <v>288</v>
      </c>
      <c r="AM8" s="33" t="s">
        <v>281</v>
      </c>
      <c r="AN8" s="30"/>
      <c r="AO8" s="30">
        <v>1.22</v>
      </c>
      <c r="AP8" s="33" t="s">
        <v>289</v>
      </c>
      <c r="AQ8" s="21" t="str">
        <f t="shared" si="12"/>
        <v/>
      </c>
      <c r="AR8" t="str">
        <f t="shared" si="13"/>
        <v/>
      </c>
      <c r="AS8" s="13"/>
      <c r="AT8" s="13">
        <v>1435</v>
      </c>
      <c r="AU8" s="21" t="str">
        <f t="shared" si="14"/>
        <v/>
      </c>
      <c r="AV8" s="24">
        <v>0.13</v>
      </c>
      <c r="AW8" s="24">
        <v>1E-3</v>
      </c>
      <c r="AX8" s="24">
        <v>0.129</v>
      </c>
      <c r="AY8" s="24">
        <v>7.400000000000001E-2</v>
      </c>
      <c r="AZ8" s="24">
        <v>9.3000000000000013E-2</v>
      </c>
      <c r="BA8" s="24">
        <v>-6.6000000000000003E-2</v>
      </c>
      <c r="BB8" s="24">
        <v>-2.8000000000000001E-2</v>
      </c>
      <c r="BC8" s="24">
        <v>4.314932518869985E-2</v>
      </c>
      <c r="BD8" s="24">
        <v>8.6704678175555383E-2</v>
      </c>
      <c r="BE8" s="24">
        <v>5.295388930346534E-2</v>
      </c>
      <c r="BF8" s="24">
        <v>-6.1946218732235048E-2</v>
      </c>
    </row>
    <row r="9" spans="1:58" x14ac:dyDescent="0.3">
      <c r="A9" s="32" t="s">
        <v>7</v>
      </c>
      <c r="B9" s="33" t="s">
        <v>290</v>
      </c>
      <c r="C9" s="33" t="s">
        <v>291</v>
      </c>
      <c r="D9" s="13">
        <v>1390</v>
      </c>
      <c r="E9" s="13">
        <v>1480</v>
      </c>
      <c r="F9" s="13">
        <v>1532</v>
      </c>
      <c r="G9" s="21">
        <f t="shared" si="0"/>
        <v>6.7595818815330944E-2</v>
      </c>
      <c r="H9" s="21">
        <f t="shared" si="1"/>
        <v>3.513513513513522E-2</v>
      </c>
      <c r="I9" s="33" t="s">
        <v>292</v>
      </c>
      <c r="J9" s="13">
        <v>1460</v>
      </c>
      <c r="K9" s="21">
        <f t="shared" si="2"/>
        <v>4.9315068493150704E-2</v>
      </c>
      <c r="L9" t="str">
        <f t="shared" si="3"/>
        <v>beat</v>
      </c>
      <c r="M9" s="33" t="s">
        <v>272</v>
      </c>
      <c r="N9" s="9">
        <v>74.959999999999994</v>
      </c>
      <c r="O9" s="9">
        <v>73.400000000000006</v>
      </c>
      <c r="P9" s="21">
        <f t="shared" si="4"/>
        <v>-2.0811099252934784E-2</v>
      </c>
      <c r="Q9" t="str">
        <f t="shared" si="5"/>
        <v>miss</v>
      </c>
      <c r="R9" s="33" t="s">
        <v>293</v>
      </c>
      <c r="S9" s="33" t="s">
        <v>281</v>
      </c>
      <c r="T9" s="27">
        <v>11.08</v>
      </c>
      <c r="U9" s="27">
        <v>11.3</v>
      </c>
      <c r="V9" s="21">
        <f t="shared" si="6"/>
        <v>1.9855595667870096E-2</v>
      </c>
      <c r="W9" t="str">
        <f t="shared" si="7"/>
        <v>beat</v>
      </c>
      <c r="X9" s="33" t="s">
        <v>294</v>
      </c>
      <c r="Y9" s="33" t="s">
        <v>281</v>
      </c>
      <c r="Z9" s="30"/>
      <c r="AA9" s="17">
        <v>153.95095367847409</v>
      </c>
      <c r="AB9" s="21" t="str">
        <f t="shared" si="8"/>
        <v/>
      </c>
      <c r="AC9" s="33" t="s">
        <v>295</v>
      </c>
      <c r="AD9" s="33" t="s">
        <v>281</v>
      </c>
      <c r="AE9" s="13"/>
      <c r="AF9" s="13">
        <v>333</v>
      </c>
      <c r="AG9" s="21" t="str">
        <f t="shared" si="9"/>
        <v/>
      </c>
      <c r="AH9" t="str">
        <f t="shared" si="10"/>
        <v/>
      </c>
      <c r="AI9" s="21">
        <f t="shared" si="11"/>
        <v>0.21736292428198434</v>
      </c>
      <c r="AJ9" s="33" t="s">
        <v>296</v>
      </c>
      <c r="AK9" s="33" t="s">
        <v>281</v>
      </c>
      <c r="AL9" s="33" t="s">
        <v>297</v>
      </c>
      <c r="AM9" s="33" t="s">
        <v>281</v>
      </c>
      <c r="AN9" s="30">
        <v>0.03</v>
      </c>
      <c r="AO9" s="30">
        <v>0.08</v>
      </c>
      <c r="AP9" s="33" t="s">
        <v>298</v>
      </c>
      <c r="AQ9" s="21">
        <f t="shared" si="12"/>
        <v>1.6666666666666667</v>
      </c>
      <c r="AR9" t="str">
        <f t="shared" si="13"/>
        <v>beat</v>
      </c>
      <c r="AS9" s="13">
        <v>1240</v>
      </c>
      <c r="AT9" s="13">
        <v>1445</v>
      </c>
      <c r="AU9" s="21">
        <f t="shared" si="14"/>
        <v>0.16532258064516125</v>
      </c>
      <c r="AV9" s="24">
        <v>3.5999999999999997E-2</v>
      </c>
      <c r="AW9" s="24">
        <v>0</v>
      </c>
      <c r="AX9" s="24">
        <v>3.7000000000000012E-2</v>
      </c>
      <c r="AY9" s="24">
        <v>-0.16700000000000001</v>
      </c>
      <c r="AZ9" s="24">
        <v>-9.1999999999999998E-2</v>
      </c>
      <c r="BA9" s="24">
        <v>-0.13500000000000001</v>
      </c>
      <c r="BB9" s="24">
        <v>-9.0999999999999998E-2</v>
      </c>
      <c r="BC9" s="24">
        <v>-9.8573281672472701E-3</v>
      </c>
      <c r="BD9" s="24">
        <v>4.0530080498957677E-2</v>
      </c>
      <c r="BE9" s="24">
        <v>-8.9511745483484173E-2</v>
      </c>
      <c r="BF9" s="24">
        <v>-8.8292738857062569E-2</v>
      </c>
    </row>
    <row r="10" spans="1:58" x14ac:dyDescent="0.3">
      <c r="A10" s="32" t="s">
        <v>8</v>
      </c>
      <c r="B10" s="33" t="s">
        <v>299</v>
      </c>
      <c r="C10" s="33" t="s">
        <v>300</v>
      </c>
      <c r="D10" s="13">
        <v>1410</v>
      </c>
      <c r="E10" s="13">
        <v>1480</v>
      </c>
      <c r="F10" s="13">
        <v>1509</v>
      </c>
      <c r="G10" s="21">
        <f t="shared" si="0"/>
        <v>4.4290657439446379E-2</v>
      </c>
      <c r="H10" s="21">
        <f t="shared" si="1"/>
        <v>1.9594594594594561E-2</v>
      </c>
      <c r="I10" s="33" t="s">
        <v>292</v>
      </c>
      <c r="J10" s="13">
        <v>1450</v>
      </c>
      <c r="K10" s="21">
        <f t="shared" si="2"/>
        <v>4.0689655172413852E-2</v>
      </c>
      <c r="L10" t="str">
        <f t="shared" si="3"/>
        <v>beat</v>
      </c>
      <c r="M10" s="33" t="s">
        <v>272</v>
      </c>
      <c r="N10" s="9">
        <v>100.87</v>
      </c>
      <c r="O10" s="9">
        <v>102.1</v>
      </c>
      <c r="P10" s="21">
        <f t="shared" si="4"/>
        <v>1.219391295727168E-2</v>
      </c>
      <c r="Q10" t="str">
        <f t="shared" si="5"/>
        <v>beat</v>
      </c>
      <c r="R10" s="33" t="s">
        <v>301</v>
      </c>
      <c r="S10" s="33" t="s">
        <v>281</v>
      </c>
      <c r="T10" s="27">
        <v>16.54</v>
      </c>
      <c r="U10" s="27">
        <v>17.2</v>
      </c>
      <c r="V10" s="21">
        <f t="shared" si="6"/>
        <v>3.9903264812575667E-2</v>
      </c>
      <c r="W10" t="str">
        <f t="shared" si="7"/>
        <v>beat</v>
      </c>
      <c r="X10" s="33" t="s">
        <v>302</v>
      </c>
      <c r="Y10" s="33" t="s">
        <v>281</v>
      </c>
      <c r="Z10" s="30"/>
      <c r="AA10" s="17">
        <v>168.46229187071501</v>
      </c>
      <c r="AB10" s="21" t="str">
        <f t="shared" si="8"/>
        <v/>
      </c>
      <c r="AC10" s="33" t="s">
        <v>303</v>
      </c>
      <c r="AD10" s="33" t="s">
        <v>304</v>
      </c>
      <c r="AE10" s="13"/>
      <c r="AF10" s="13">
        <v>229</v>
      </c>
      <c r="AG10" s="21" t="str">
        <f t="shared" si="9"/>
        <v/>
      </c>
      <c r="AH10" t="str">
        <f t="shared" si="10"/>
        <v/>
      </c>
      <c r="AI10" s="21">
        <f t="shared" si="11"/>
        <v>0.15175612988734261</v>
      </c>
      <c r="AJ10" s="33" t="s">
        <v>305</v>
      </c>
      <c r="AK10" s="33" t="s">
        <v>281</v>
      </c>
      <c r="AL10" s="33" t="s">
        <v>306</v>
      </c>
      <c r="AM10" s="33" t="s">
        <v>281</v>
      </c>
      <c r="AN10" s="30">
        <v>-0.28999999999999998</v>
      </c>
      <c r="AO10" s="30">
        <v>-0.03</v>
      </c>
      <c r="AP10" s="33" t="s">
        <v>298</v>
      </c>
      <c r="AQ10" s="21">
        <f t="shared" si="12"/>
        <v>0.89655172413793116</v>
      </c>
      <c r="AR10" t="str">
        <f t="shared" si="13"/>
        <v>beat</v>
      </c>
      <c r="AS10" s="13">
        <v>1960</v>
      </c>
      <c r="AT10" s="13">
        <v>2080</v>
      </c>
      <c r="AU10" s="21">
        <f t="shared" si="14"/>
        <v>6.1224489795918435E-2</v>
      </c>
      <c r="AV10" s="24">
        <v>7.6999999999999999E-2</v>
      </c>
      <c r="AW10" s="24">
        <v>3.4000000000000002E-2</v>
      </c>
      <c r="AX10" s="24">
        <v>4.2999999999999997E-2</v>
      </c>
      <c r="AY10" s="24">
        <v>-0.19900000000000001</v>
      </c>
      <c r="AZ10" s="24">
        <v>-0.14199999999999999</v>
      </c>
      <c r="BA10" s="24">
        <v>-0.19500000000000001</v>
      </c>
      <c r="BB10" s="24">
        <v>-0.155</v>
      </c>
      <c r="BC10" s="24">
        <v>5.2068986563847057E-2</v>
      </c>
      <c r="BD10" s="24">
        <v>-8.4303553519280428E-3</v>
      </c>
      <c r="BE10" s="24">
        <v>-0.18064745206185051</v>
      </c>
      <c r="BF10" s="24">
        <v>-0.1931901961685781</v>
      </c>
    </row>
    <row r="11" spans="1:58" x14ac:dyDescent="0.3">
      <c r="A11" s="32" t="s">
        <v>9</v>
      </c>
      <c r="B11" s="33" t="s">
        <v>307</v>
      </c>
      <c r="C11" s="33" t="s">
        <v>308</v>
      </c>
      <c r="D11" s="13">
        <v>2030</v>
      </c>
      <c r="E11" s="13">
        <v>2130</v>
      </c>
      <c r="F11" s="13">
        <v>2104</v>
      </c>
      <c r="G11" s="21">
        <f t="shared" si="0"/>
        <v>1.1538461538461497E-2</v>
      </c>
      <c r="H11" s="21">
        <f t="shared" si="1"/>
        <v>-1.2206572769953072E-2</v>
      </c>
      <c r="I11" s="33" t="s">
        <v>309</v>
      </c>
      <c r="J11" s="13">
        <v>2110</v>
      </c>
      <c r="K11" s="21">
        <f t="shared" si="2"/>
        <v>-2.8436018957346265E-3</v>
      </c>
      <c r="L11" t="str">
        <f t="shared" si="3"/>
        <v>meet</v>
      </c>
      <c r="M11" s="33" t="s">
        <v>272</v>
      </c>
      <c r="N11" s="9">
        <v>106.4</v>
      </c>
      <c r="O11" s="9">
        <v>103.7</v>
      </c>
      <c r="P11" s="21">
        <f t="shared" si="4"/>
        <v>-2.5375939849624052E-2</v>
      </c>
      <c r="Q11" t="str">
        <f t="shared" si="5"/>
        <v>miss</v>
      </c>
      <c r="R11" s="33" t="s">
        <v>310</v>
      </c>
      <c r="S11" s="33"/>
      <c r="T11" s="27"/>
      <c r="U11" s="27">
        <v>17</v>
      </c>
      <c r="V11" s="21" t="str">
        <f t="shared" si="6"/>
        <v/>
      </c>
      <c r="W11" t="str">
        <f t="shared" si="7"/>
        <v/>
      </c>
      <c r="X11" s="33"/>
      <c r="Y11" s="33"/>
      <c r="Z11" s="30"/>
      <c r="AA11" s="17">
        <v>163.9344262295082</v>
      </c>
      <c r="AB11" s="21" t="str">
        <f t="shared" si="8"/>
        <v/>
      </c>
      <c r="AC11" s="33" t="s">
        <v>311</v>
      </c>
      <c r="AD11" s="33" t="s">
        <v>304</v>
      </c>
      <c r="AE11" s="13"/>
      <c r="AF11" s="13">
        <v>711</v>
      </c>
      <c r="AG11" s="21" t="str">
        <f t="shared" si="9"/>
        <v/>
      </c>
      <c r="AH11" t="str">
        <f t="shared" si="10"/>
        <v/>
      </c>
      <c r="AI11" s="21">
        <f t="shared" si="11"/>
        <v>0.33792775665399238</v>
      </c>
      <c r="AJ11" s="33" t="s">
        <v>312</v>
      </c>
      <c r="AK11" s="33" t="s">
        <v>281</v>
      </c>
      <c r="AL11" s="33" t="s">
        <v>313</v>
      </c>
      <c r="AM11" s="33" t="s">
        <v>281</v>
      </c>
      <c r="AN11" s="30">
        <v>0.43</v>
      </c>
      <c r="AO11" s="30">
        <v>0.56000000000000005</v>
      </c>
      <c r="AP11" s="33" t="s">
        <v>298</v>
      </c>
      <c r="AQ11" s="21">
        <f t="shared" si="12"/>
        <v>0.30232558139534899</v>
      </c>
      <c r="AR11" t="str">
        <f t="shared" si="13"/>
        <v>beat</v>
      </c>
      <c r="AS11" s="13">
        <v>2770</v>
      </c>
      <c r="AT11" s="13">
        <v>2830</v>
      </c>
      <c r="AU11" s="21">
        <f t="shared" si="14"/>
        <v>2.1660649819494671E-2</v>
      </c>
      <c r="AV11" s="24">
        <v>-1.0999999999999999E-2</v>
      </c>
      <c r="AW11" s="24">
        <v>2.7E-2</v>
      </c>
      <c r="AX11" s="24">
        <v>-3.9E-2</v>
      </c>
      <c r="AY11" s="24">
        <v>-1.6E-2</v>
      </c>
      <c r="AZ11" s="24">
        <v>-2.5000000000000001E-2</v>
      </c>
      <c r="BA11" s="24">
        <v>-3.2000000000000001E-2</v>
      </c>
      <c r="BB11" s="24">
        <v>0.01</v>
      </c>
      <c r="BC11" s="24">
        <v>-6.975243355003069E-2</v>
      </c>
      <c r="BD11" s="24">
        <v>4.1143615713822301E-2</v>
      </c>
      <c r="BE11" s="24">
        <v>5.4167720620766691E-2</v>
      </c>
      <c r="BF11" s="24">
        <v>8.7611196627757182E-2</v>
      </c>
    </row>
    <row r="12" spans="1:58" x14ac:dyDescent="0.3">
      <c r="A12" s="32" t="s">
        <v>10</v>
      </c>
      <c r="B12" s="33" t="s">
        <v>314</v>
      </c>
      <c r="C12" s="33" t="s">
        <v>315</v>
      </c>
      <c r="D12" s="13">
        <v>2780</v>
      </c>
      <c r="E12" s="13">
        <v>2880</v>
      </c>
      <c r="F12" s="13">
        <v>2884</v>
      </c>
      <c r="G12" s="21">
        <f t="shared" si="0"/>
        <v>1.90812720848057E-2</v>
      </c>
      <c r="H12" s="21">
        <f t="shared" si="1"/>
        <v>1.388888888888884E-3</v>
      </c>
      <c r="I12" s="33" t="s">
        <v>292</v>
      </c>
      <c r="J12" s="13">
        <v>2800</v>
      </c>
      <c r="K12" s="21">
        <f t="shared" si="2"/>
        <v>3.0000000000000027E-2</v>
      </c>
      <c r="L12" t="str">
        <f t="shared" si="3"/>
        <v>beat</v>
      </c>
      <c r="M12" s="33" t="s">
        <v>272</v>
      </c>
      <c r="N12" s="9"/>
      <c r="O12" s="9">
        <v>99.7</v>
      </c>
      <c r="P12" s="21" t="str">
        <f t="shared" si="4"/>
        <v/>
      </c>
      <c r="Q12" t="str">
        <f t="shared" si="5"/>
        <v/>
      </c>
      <c r="R12" s="33" t="s">
        <v>316</v>
      </c>
      <c r="S12" s="33" t="s">
        <v>281</v>
      </c>
      <c r="T12" s="27"/>
      <c r="U12" s="27">
        <v>15.6</v>
      </c>
      <c r="V12" s="21" t="str">
        <f t="shared" si="6"/>
        <v/>
      </c>
      <c r="W12" t="str">
        <f t="shared" si="7"/>
        <v/>
      </c>
      <c r="X12" s="33" t="s">
        <v>317</v>
      </c>
      <c r="Y12" s="33" t="s">
        <v>281</v>
      </c>
      <c r="Z12" s="30"/>
      <c r="AA12" s="17">
        <v>156.469408224674</v>
      </c>
      <c r="AB12" s="21" t="str">
        <f t="shared" si="8"/>
        <v/>
      </c>
      <c r="AC12" s="33" t="s">
        <v>305</v>
      </c>
      <c r="AD12" s="33" t="s">
        <v>281</v>
      </c>
      <c r="AE12" s="13"/>
      <c r="AF12" s="13">
        <v>1457</v>
      </c>
      <c r="AG12" s="21" t="str">
        <f t="shared" si="9"/>
        <v/>
      </c>
      <c r="AH12" t="str">
        <f t="shared" si="10"/>
        <v/>
      </c>
      <c r="AI12" s="21">
        <f t="shared" si="11"/>
        <v>0.50520110957004161</v>
      </c>
      <c r="AJ12" s="33" t="s">
        <v>318</v>
      </c>
      <c r="AK12" s="33" t="s">
        <v>319</v>
      </c>
      <c r="AL12" s="33"/>
      <c r="AM12" s="33"/>
      <c r="AN12" s="30">
        <v>1.4229000000000001</v>
      </c>
      <c r="AO12" s="30">
        <v>1.79</v>
      </c>
      <c r="AP12" s="33" t="s">
        <v>320</v>
      </c>
      <c r="AQ12" s="21">
        <f t="shared" si="12"/>
        <v>0.25799423712137182</v>
      </c>
      <c r="AR12" t="str">
        <f t="shared" si="13"/>
        <v>beat</v>
      </c>
      <c r="AS12" s="13">
        <v>1850</v>
      </c>
      <c r="AT12" s="13">
        <v>1840</v>
      </c>
      <c r="AU12" s="21">
        <f t="shared" si="14"/>
        <v>-5.4054054054053502E-3</v>
      </c>
      <c r="AV12" s="24">
        <v>-0.13400000000000001</v>
      </c>
      <c r="AW12" s="24">
        <v>-3.4000000000000002E-2</v>
      </c>
      <c r="AX12" s="24">
        <v>-0.1</v>
      </c>
      <c r="AY12" s="24">
        <v>-9.3000000000000013E-2</v>
      </c>
      <c r="AZ12" s="24">
        <v>-7.2999999999999995E-2</v>
      </c>
      <c r="BA12" s="24">
        <v>-6.3E-2</v>
      </c>
      <c r="BB12" s="24">
        <v>-0.13</v>
      </c>
      <c r="BC12" s="24">
        <v>-5.8734582571734799E-2</v>
      </c>
      <c r="BD12" s="24">
        <v>-4.6056047678597722E-2</v>
      </c>
      <c r="BE12" s="24">
        <v>-1.634540924155092E-2</v>
      </c>
      <c r="BF12" s="24">
        <v>-7.1373237037911763E-2</v>
      </c>
    </row>
    <row r="13" spans="1:58" x14ac:dyDescent="0.3">
      <c r="A13" s="32" t="s">
        <v>11</v>
      </c>
      <c r="B13" s="33" t="s">
        <v>321</v>
      </c>
      <c r="C13" s="33" t="s">
        <v>322</v>
      </c>
      <c r="D13" s="13">
        <v>1800</v>
      </c>
      <c r="E13" s="13">
        <v>1880</v>
      </c>
      <c r="F13" s="13">
        <v>1902</v>
      </c>
      <c r="G13" s="21">
        <f t="shared" si="0"/>
        <v>3.3695652173913127E-2</v>
      </c>
      <c r="H13" s="21">
        <f t="shared" si="1"/>
        <v>1.1702127659574568E-2</v>
      </c>
      <c r="I13" s="33" t="s">
        <v>292</v>
      </c>
      <c r="J13" s="13">
        <v>1860</v>
      </c>
      <c r="K13" s="21">
        <f t="shared" si="2"/>
        <v>2.2580645161290214E-2</v>
      </c>
      <c r="L13" t="str">
        <f t="shared" si="3"/>
        <v>beat</v>
      </c>
      <c r="M13" s="33" t="s">
        <v>272</v>
      </c>
      <c r="N13" s="9">
        <v>89.7</v>
      </c>
      <c r="O13" s="9">
        <v>88.2</v>
      </c>
      <c r="P13" s="21">
        <f t="shared" si="4"/>
        <v>-1.6722408026755842E-2</v>
      </c>
      <c r="Q13" t="str">
        <f t="shared" si="5"/>
        <v>miss</v>
      </c>
      <c r="R13" s="33" t="s">
        <v>323</v>
      </c>
      <c r="S13" s="33" t="s">
        <v>281</v>
      </c>
      <c r="T13" s="27"/>
      <c r="U13" s="27">
        <v>13.5</v>
      </c>
      <c r="V13" s="21" t="str">
        <f t="shared" si="6"/>
        <v/>
      </c>
      <c r="W13" t="str">
        <f t="shared" si="7"/>
        <v/>
      </c>
      <c r="X13" s="33"/>
      <c r="Y13" s="33"/>
      <c r="Z13" s="30"/>
      <c r="AA13" s="17">
        <v>153.0612244897959</v>
      </c>
      <c r="AB13" s="21" t="str">
        <f t="shared" si="8"/>
        <v/>
      </c>
      <c r="AC13" s="33" t="s">
        <v>324</v>
      </c>
      <c r="AD13" s="33" t="s">
        <v>281</v>
      </c>
      <c r="AE13" s="13">
        <v>432</v>
      </c>
      <c r="AF13" s="13">
        <v>506</v>
      </c>
      <c r="AG13" s="21">
        <f t="shared" si="9"/>
        <v>0.17129629629629628</v>
      </c>
      <c r="AH13" t="str">
        <f t="shared" si="10"/>
        <v>beat</v>
      </c>
      <c r="AI13" s="21">
        <f t="shared" si="11"/>
        <v>0.26603575184016826</v>
      </c>
      <c r="AJ13" s="33" t="s">
        <v>325</v>
      </c>
      <c r="AK13" s="33" t="s">
        <v>281</v>
      </c>
      <c r="AL13" s="33" t="s">
        <v>326</v>
      </c>
      <c r="AM13" s="33" t="s">
        <v>281</v>
      </c>
      <c r="AN13" s="30">
        <v>0.25</v>
      </c>
      <c r="AO13" s="30">
        <v>0.48</v>
      </c>
      <c r="AP13" s="33" t="s">
        <v>298</v>
      </c>
      <c r="AQ13" s="21">
        <f t="shared" si="12"/>
        <v>0.91999999999999993</v>
      </c>
      <c r="AR13" t="str">
        <f t="shared" si="13"/>
        <v>beat</v>
      </c>
      <c r="AS13" s="13">
        <v>1690</v>
      </c>
      <c r="AT13" s="13">
        <v>1785</v>
      </c>
      <c r="AU13" s="21">
        <f t="shared" si="14"/>
        <v>5.6213017751479244E-2</v>
      </c>
      <c r="AV13" s="24">
        <v>0.13400000000000001</v>
      </c>
      <c r="AW13" s="24">
        <v>8.0000000000000002E-3</v>
      </c>
      <c r="AX13" s="24">
        <v>0.126</v>
      </c>
      <c r="AY13" s="24">
        <v>5.1999999999999998E-2</v>
      </c>
      <c r="AZ13" s="24">
        <v>9.3000000000000013E-2</v>
      </c>
      <c r="BA13" s="24">
        <v>-0.06</v>
      </c>
      <c r="BB13" s="24">
        <v>-3.5000000000000003E-2</v>
      </c>
      <c r="BC13" s="24">
        <v>7.5535675072003317E-2</v>
      </c>
      <c r="BD13" s="24">
        <v>4.0147986156628963E-2</v>
      </c>
      <c r="BE13" s="24">
        <v>1.3467920254149109E-2</v>
      </c>
      <c r="BF13" s="24">
        <v>-0.1067274836007764</v>
      </c>
    </row>
    <row r="14" spans="1:58" x14ac:dyDescent="0.3">
      <c r="A14" s="32" t="s">
        <v>12</v>
      </c>
      <c r="B14" s="33" t="s">
        <v>327</v>
      </c>
      <c r="C14" s="33" t="s">
        <v>328</v>
      </c>
      <c r="D14" s="13">
        <v>1750</v>
      </c>
      <c r="E14" s="13">
        <v>1820</v>
      </c>
      <c r="F14" s="13">
        <v>1818</v>
      </c>
      <c r="G14" s="21">
        <f t="shared" si="0"/>
        <v>1.8487394957983128E-2</v>
      </c>
      <c r="H14" s="21">
        <f t="shared" si="1"/>
        <v>-1.098901098901095E-3</v>
      </c>
      <c r="I14" s="33" t="s">
        <v>309</v>
      </c>
      <c r="J14" s="13">
        <v>1790</v>
      </c>
      <c r="K14" s="21">
        <f t="shared" si="2"/>
        <v>1.5642458100558754E-2</v>
      </c>
      <c r="L14" t="str">
        <f t="shared" si="3"/>
        <v>beat</v>
      </c>
      <c r="M14" s="33" t="s">
        <v>272</v>
      </c>
      <c r="N14" s="9"/>
      <c r="O14" s="9">
        <v>121.1</v>
      </c>
      <c r="P14" s="21" t="str">
        <f t="shared" si="4"/>
        <v/>
      </c>
      <c r="Q14" t="str">
        <f t="shared" si="5"/>
        <v/>
      </c>
      <c r="R14" s="33" t="s">
        <v>329</v>
      </c>
      <c r="S14" s="33" t="s">
        <v>281</v>
      </c>
      <c r="T14" s="27"/>
      <c r="U14" s="27">
        <v>20.399999999999999</v>
      </c>
      <c r="V14" s="21" t="str">
        <f t="shared" si="6"/>
        <v/>
      </c>
      <c r="W14" t="str">
        <f t="shared" si="7"/>
        <v/>
      </c>
      <c r="X14" s="33"/>
      <c r="Y14" s="33"/>
      <c r="Z14" s="30"/>
      <c r="AA14" s="17">
        <v>168.4558216350124</v>
      </c>
      <c r="AB14" s="21" t="str">
        <f t="shared" si="8"/>
        <v/>
      </c>
      <c r="AC14" s="33" t="s">
        <v>330</v>
      </c>
      <c r="AD14" s="33" t="s">
        <v>319</v>
      </c>
      <c r="AE14" s="13"/>
      <c r="AF14" s="13">
        <v>262</v>
      </c>
      <c r="AG14" s="21" t="str">
        <f t="shared" si="9"/>
        <v/>
      </c>
      <c r="AH14" t="str">
        <f t="shared" si="10"/>
        <v/>
      </c>
      <c r="AI14" s="21">
        <f t="shared" si="11"/>
        <v>0.14411441144114412</v>
      </c>
      <c r="AJ14" s="33" t="s">
        <v>331</v>
      </c>
      <c r="AK14" s="33" t="s">
        <v>281</v>
      </c>
      <c r="AL14" s="33" t="s">
        <v>332</v>
      </c>
      <c r="AM14" s="33" t="s">
        <v>333</v>
      </c>
      <c r="AN14" s="30">
        <v>0.09</v>
      </c>
      <c r="AO14" s="30">
        <v>0.18</v>
      </c>
      <c r="AP14" s="33" t="s">
        <v>298</v>
      </c>
      <c r="AQ14" s="21">
        <f t="shared" si="12"/>
        <v>1</v>
      </c>
      <c r="AR14" t="str">
        <f t="shared" si="13"/>
        <v>beat</v>
      </c>
      <c r="AS14" s="13">
        <v>2420</v>
      </c>
      <c r="AT14" s="13">
        <v>2400</v>
      </c>
      <c r="AU14" s="21">
        <f t="shared" si="14"/>
        <v>-8.2644628099173278E-3</v>
      </c>
      <c r="AV14" s="24">
        <v>-0.109</v>
      </c>
      <c r="AW14" s="24">
        <v>1.0999999999999999E-2</v>
      </c>
      <c r="AX14" s="24">
        <v>-0.12</v>
      </c>
      <c r="AY14" s="24">
        <v>-0.17</v>
      </c>
      <c r="AZ14" s="24">
        <v>-0.188</v>
      </c>
      <c r="BA14" s="24">
        <v>-8.3000000000000004E-2</v>
      </c>
      <c r="BB14" s="24">
        <v>-0.16700000000000001</v>
      </c>
      <c r="BC14" s="24">
        <v>-0.13551586733343271</v>
      </c>
      <c r="BD14" s="24">
        <v>2.7258091492776249E-2</v>
      </c>
      <c r="BE14" s="24">
        <v>-4.9797974938998631E-2</v>
      </c>
      <c r="BF14" s="24">
        <v>-1.5214077445124371E-2</v>
      </c>
    </row>
    <row r="15" spans="1:58" x14ac:dyDescent="0.3">
      <c r="A15" s="32" t="s">
        <v>13</v>
      </c>
      <c r="B15" s="33" t="s">
        <v>334</v>
      </c>
      <c r="C15" s="33" t="s">
        <v>335</v>
      </c>
      <c r="D15" s="13">
        <v>2350</v>
      </c>
      <c r="E15" s="13">
        <v>2450</v>
      </c>
      <c r="F15" s="13">
        <v>2484</v>
      </c>
      <c r="G15" s="21">
        <f t="shared" si="0"/>
        <v>3.499999999999992E-2</v>
      </c>
      <c r="H15" s="21">
        <f t="shared" si="1"/>
        <v>1.3877551020408108E-2</v>
      </c>
      <c r="I15" s="33" t="s">
        <v>292</v>
      </c>
      <c r="J15" s="13">
        <v>2420</v>
      </c>
      <c r="K15" s="21">
        <f t="shared" si="2"/>
        <v>2.6446280991735627E-2</v>
      </c>
      <c r="L15" t="str">
        <f t="shared" si="3"/>
        <v>beat</v>
      </c>
      <c r="M15" s="33" t="s">
        <v>272</v>
      </c>
      <c r="N15" s="9">
        <v>117.6</v>
      </c>
      <c r="O15" s="9">
        <v>115.1</v>
      </c>
      <c r="P15" s="21">
        <f t="shared" si="4"/>
        <v>-2.1258503401360596E-2</v>
      </c>
      <c r="Q15" t="str">
        <f t="shared" si="5"/>
        <v>miss</v>
      </c>
      <c r="R15" s="33" t="s">
        <v>336</v>
      </c>
      <c r="S15" s="33" t="s">
        <v>281</v>
      </c>
      <c r="T15" s="27">
        <v>18.989999999999998</v>
      </c>
      <c r="U15" s="27">
        <v>19.100000000000001</v>
      </c>
      <c r="V15" s="21">
        <f t="shared" si="6"/>
        <v>5.7925223802002268E-3</v>
      </c>
      <c r="W15" t="str">
        <f t="shared" si="7"/>
        <v>beat</v>
      </c>
      <c r="X15" s="33"/>
      <c r="Y15" s="33"/>
      <c r="Z15" s="30"/>
      <c r="AA15" s="17">
        <v>165.94265855777579</v>
      </c>
      <c r="AB15" s="21" t="str">
        <f t="shared" si="8"/>
        <v/>
      </c>
      <c r="AC15" s="33" t="s">
        <v>330</v>
      </c>
      <c r="AD15" s="33" t="s">
        <v>319</v>
      </c>
      <c r="AE15" s="13"/>
      <c r="AF15" s="13">
        <v>819</v>
      </c>
      <c r="AG15" s="21" t="str">
        <f t="shared" si="9"/>
        <v/>
      </c>
      <c r="AH15" t="str">
        <f t="shared" si="10"/>
        <v/>
      </c>
      <c r="AI15" s="21">
        <f t="shared" si="11"/>
        <v>0.32971014492753625</v>
      </c>
      <c r="AJ15" s="33" t="s">
        <v>331</v>
      </c>
      <c r="AK15" s="33" t="s">
        <v>281</v>
      </c>
      <c r="AL15" s="33" t="s">
        <v>337</v>
      </c>
      <c r="AM15" s="33" t="s">
        <v>281</v>
      </c>
      <c r="AN15" s="30">
        <v>0.78</v>
      </c>
      <c r="AO15" s="30">
        <v>0.98</v>
      </c>
      <c r="AP15" s="33" t="s">
        <v>298</v>
      </c>
      <c r="AQ15" s="21">
        <f t="shared" si="12"/>
        <v>0.25641025641025633</v>
      </c>
      <c r="AR15" t="str">
        <f t="shared" si="13"/>
        <v>beat</v>
      </c>
      <c r="AS15" s="13">
        <v>3220</v>
      </c>
      <c r="AT15" s="13">
        <v>3350</v>
      </c>
      <c r="AU15" s="21">
        <f t="shared" si="14"/>
        <v>4.0372670807453437E-2</v>
      </c>
      <c r="AV15" s="24">
        <v>-5.0000000000000001E-3</v>
      </c>
      <c r="AW15" s="24">
        <v>-5.0000000000000001E-3</v>
      </c>
      <c r="AX15" s="24">
        <v>0</v>
      </c>
      <c r="AY15" s="24">
        <v>-3.5000000000000003E-2</v>
      </c>
      <c r="AZ15" s="24">
        <v>-2.1000000000000001E-2</v>
      </c>
      <c r="BA15" s="24">
        <v>-6.6000000000000003E-2</v>
      </c>
      <c r="BB15" s="24">
        <v>-7.6999999999999999E-2</v>
      </c>
      <c r="BC15" s="24">
        <v>-2.9103041446543192E-3</v>
      </c>
      <c r="BD15" s="24">
        <v>7.7378543778854336E-3</v>
      </c>
      <c r="BE15" s="24">
        <v>-1.2980077118529439E-2</v>
      </c>
      <c r="BF15" s="24">
        <v>-6.9462474374043959E-2</v>
      </c>
    </row>
    <row r="16" spans="1:58" x14ac:dyDescent="0.3">
      <c r="A16" s="32" t="s">
        <v>14</v>
      </c>
      <c r="B16" s="33" t="s">
        <v>338</v>
      </c>
      <c r="C16" s="33" t="s">
        <v>339</v>
      </c>
      <c r="D16" s="13">
        <v>3300</v>
      </c>
      <c r="E16" s="13">
        <v>3400</v>
      </c>
      <c r="F16" s="13">
        <v>3397</v>
      </c>
      <c r="G16" s="21">
        <f t="shared" si="0"/>
        <v>1.4029850746268613E-2</v>
      </c>
      <c r="H16" s="21">
        <f t="shared" si="1"/>
        <v>-8.8235294117644525E-4</v>
      </c>
      <c r="I16" s="33" t="s">
        <v>309</v>
      </c>
      <c r="J16" s="13">
        <v>3370</v>
      </c>
      <c r="K16" s="21">
        <f t="shared" si="2"/>
        <v>8.0118694362016907E-3</v>
      </c>
      <c r="L16" t="str">
        <f t="shared" si="3"/>
        <v>beat</v>
      </c>
      <c r="M16" s="33" t="s">
        <v>340</v>
      </c>
      <c r="N16" s="9">
        <v>112.9</v>
      </c>
      <c r="O16" s="9">
        <v>113.2</v>
      </c>
      <c r="P16" s="21">
        <f t="shared" si="4"/>
        <v>2.6572187776794376E-3</v>
      </c>
      <c r="Q16" t="str">
        <f t="shared" si="5"/>
        <v>meet</v>
      </c>
      <c r="R16" s="33" t="s">
        <v>341</v>
      </c>
      <c r="S16" s="33" t="s">
        <v>281</v>
      </c>
      <c r="T16" s="27"/>
      <c r="U16" s="27">
        <v>18.3</v>
      </c>
      <c r="V16" s="21" t="str">
        <f t="shared" si="6"/>
        <v/>
      </c>
      <c r="W16" t="str">
        <f t="shared" si="7"/>
        <v/>
      </c>
      <c r="X16" s="33"/>
      <c r="Y16" s="33"/>
      <c r="Z16" s="30"/>
      <c r="AA16" s="17">
        <v>161.66077738515901</v>
      </c>
      <c r="AB16" s="21" t="str">
        <f t="shared" si="8"/>
        <v/>
      </c>
      <c r="AC16" s="33" t="s">
        <v>342</v>
      </c>
      <c r="AD16" s="33" t="s">
        <v>281</v>
      </c>
      <c r="AE16" s="13"/>
      <c r="AF16" s="13">
        <v>1834</v>
      </c>
      <c r="AG16" s="21" t="str">
        <f t="shared" si="9"/>
        <v/>
      </c>
      <c r="AH16" t="str">
        <f t="shared" si="10"/>
        <v/>
      </c>
      <c r="AI16" s="21">
        <f t="shared" si="11"/>
        <v>0.53988813659110979</v>
      </c>
      <c r="AJ16" s="33" t="s">
        <v>337</v>
      </c>
      <c r="AK16" s="33" t="s">
        <v>281</v>
      </c>
      <c r="AL16" s="33" t="s">
        <v>337</v>
      </c>
      <c r="AM16" s="33" t="s">
        <v>281</v>
      </c>
      <c r="AN16" s="30">
        <v>2.1</v>
      </c>
      <c r="AO16" s="30">
        <v>6.63</v>
      </c>
      <c r="AP16" s="33" t="s">
        <v>343</v>
      </c>
      <c r="AQ16" s="21">
        <f t="shared" si="12"/>
        <v>2.1571428571428566</v>
      </c>
      <c r="AR16" t="str">
        <f t="shared" si="13"/>
        <v>beat</v>
      </c>
      <c r="AS16" s="13">
        <v>2180</v>
      </c>
      <c r="AT16" s="13">
        <v>2150</v>
      </c>
      <c r="AU16" s="21">
        <f t="shared" si="14"/>
        <v>-1.3761467889908285E-2</v>
      </c>
      <c r="AV16" s="24">
        <v>-3.3000000000000002E-2</v>
      </c>
      <c r="AW16" s="24">
        <v>1.7999999999999999E-2</v>
      </c>
      <c r="AX16" s="24">
        <v>-5.0999999999999997E-2</v>
      </c>
      <c r="AY16" s="24">
        <v>-1.4999999999999999E-2</v>
      </c>
      <c r="AZ16" s="24">
        <v>-0.06</v>
      </c>
      <c r="BA16" s="24">
        <v>5.8000000000000003E-2</v>
      </c>
      <c r="BB16" s="24">
        <v>-3.2000000000000001E-2</v>
      </c>
      <c r="BC16" s="24">
        <v>2.5445725993686E-2</v>
      </c>
      <c r="BD16" s="24">
        <v>-6.2475115009513298E-2</v>
      </c>
      <c r="BE16" s="24">
        <v>-7.112035495497171E-2</v>
      </c>
      <c r="BF16" s="24">
        <v>-4.4219888775181238E-2</v>
      </c>
    </row>
    <row r="17" spans="1:59" x14ac:dyDescent="0.3">
      <c r="A17" s="32" t="s">
        <v>15</v>
      </c>
      <c r="B17" s="33" t="s">
        <v>344</v>
      </c>
      <c r="C17" s="33" t="s">
        <v>345</v>
      </c>
      <c r="D17" s="13">
        <v>2130</v>
      </c>
      <c r="E17" s="13">
        <v>2170</v>
      </c>
      <c r="F17" s="13">
        <v>2218</v>
      </c>
      <c r="G17" s="21">
        <f t="shared" si="0"/>
        <v>3.1627906976744224E-2</v>
      </c>
      <c r="H17" s="21">
        <f t="shared" si="1"/>
        <v>2.2119815668202758E-2</v>
      </c>
      <c r="I17" s="33" t="s">
        <v>292</v>
      </c>
      <c r="J17" s="13">
        <v>2170</v>
      </c>
      <c r="K17" s="21">
        <f t="shared" si="2"/>
        <v>2.2119815668202758E-2</v>
      </c>
      <c r="L17" t="str">
        <f t="shared" si="3"/>
        <v>beat</v>
      </c>
      <c r="M17" s="33" t="s">
        <v>340</v>
      </c>
      <c r="N17" s="9">
        <v>98</v>
      </c>
      <c r="O17" s="9">
        <v>98.8</v>
      </c>
      <c r="P17" s="21">
        <f t="shared" si="4"/>
        <v>8.1632653061223248E-3</v>
      </c>
      <c r="Q17" t="str">
        <f t="shared" si="5"/>
        <v>meet</v>
      </c>
      <c r="R17" s="33" t="s">
        <v>346</v>
      </c>
      <c r="S17" s="33" t="s">
        <v>281</v>
      </c>
      <c r="T17" s="27"/>
      <c r="U17" s="27">
        <v>15.5</v>
      </c>
      <c r="V17" s="21" t="str">
        <f t="shared" si="6"/>
        <v/>
      </c>
      <c r="W17" t="str">
        <f t="shared" si="7"/>
        <v/>
      </c>
      <c r="X17" s="33"/>
      <c r="Y17" s="33"/>
      <c r="Z17" s="30"/>
      <c r="AA17" s="17">
        <v>156.88259109311741</v>
      </c>
      <c r="AB17" s="21" t="str">
        <f t="shared" si="8"/>
        <v/>
      </c>
      <c r="AC17" s="33" t="s">
        <v>347</v>
      </c>
      <c r="AD17" s="33" t="s">
        <v>281</v>
      </c>
      <c r="AE17" s="13">
        <v>645</v>
      </c>
      <c r="AF17" s="13">
        <v>738</v>
      </c>
      <c r="AG17" s="21">
        <f t="shared" si="9"/>
        <v>0.14418604651162781</v>
      </c>
      <c r="AH17" t="str">
        <f t="shared" si="10"/>
        <v>beat</v>
      </c>
      <c r="AI17" s="21">
        <f t="shared" si="11"/>
        <v>0.33273219116321012</v>
      </c>
      <c r="AJ17" s="33" t="s">
        <v>337</v>
      </c>
      <c r="AK17" s="33" t="s">
        <v>281</v>
      </c>
      <c r="AL17" s="33" t="s">
        <v>337</v>
      </c>
      <c r="AM17" s="33" t="s">
        <v>281</v>
      </c>
      <c r="AN17" s="30">
        <v>0.62</v>
      </c>
      <c r="AO17" s="30">
        <v>-0.55000000000000004</v>
      </c>
      <c r="AP17" s="33" t="s">
        <v>348</v>
      </c>
      <c r="AQ17" s="21">
        <f t="shared" si="12"/>
        <v>-1.8870967741935483</v>
      </c>
      <c r="AR17" t="str">
        <f t="shared" si="13"/>
        <v>miss</v>
      </c>
      <c r="AS17" s="13">
        <v>2030</v>
      </c>
      <c r="AT17" s="13">
        <v>2050</v>
      </c>
      <c r="AU17" s="21">
        <f t="shared" si="14"/>
        <v>9.8522167487684609E-3</v>
      </c>
      <c r="AV17" s="24">
        <v>-1.7000000000000001E-2</v>
      </c>
      <c r="AW17" s="24">
        <v>1.0999999999999999E-2</v>
      </c>
      <c r="AX17" s="24">
        <v>-2.8000000000000001E-2</v>
      </c>
      <c r="AY17" s="24">
        <v>-0.01</v>
      </c>
      <c r="AZ17" s="24">
        <v>-4.0000000000000001E-3</v>
      </c>
      <c r="BA17" s="24">
        <v>9.1999999999999998E-2</v>
      </c>
      <c r="BB17" s="24">
        <v>6.5000000000000002E-2</v>
      </c>
      <c r="BC17" s="24">
        <v>-3.0897781698761891E-2</v>
      </c>
      <c r="BD17" s="24">
        <v>9.4124585437123098E-3</v>
      </c>
      <c r="BE17" s="24">
        <v>3.4174010729639659E-2</v>
      </c>
      <c r="BF17" s="24">
        <v>0.1064118635322682</v>
      </c>
    </row>
    <row r="18" spans="1:59" x14ac:dyDescent="0.3">
      <c r="A18" s="32" t="s">
        <v>16</v>
      </c>
      <c r="B18" s="33" t="s">
        <v>349</v>
      </c>
      <c r="C18" s="33" t="s">
        <v>350</v>
      </c>
      <c r="D18" s="13">
        <v>2030</v>
      </c>
      <c r="E18" s="13">
        <v>2070</v>
      </c>
      <c r="F18" s="13">
        <v>2142</v>
      </c>
      <c r="G18" s="21">
        <f t="shared" si="0"/>
        <v>4.4878048780487845E-2</v>
      </c>
      <c r="H18" s="21">
        <f t="shared" si="1"/>
        <v>3.4782608695652195E-2</v>
      </c>
      <c r="I18" s="33" t="s">
        <v>292</v>
      </c>
      <c r="J18" s="13">
        <v>2060</v>
      </c>
      <c r="K18" s="21">
        <f t="shared" si="2"/>
        <v>3.9805825242718473E-2</v>
      </c>
      <c r="L18" t="str">
        <f t="shared" si="3"/>
        <v>beat</v>
      </c>
      <c r="M18" s="33" t="s">
        <v>340</v>
      </c>
      <c r="N18" s="9">
        <v>132.1</v>
      </c>
      <c r="O18" s="9">
        <v>132.6</v>
      </c>
      <c r="P18" s="21">
        <f t="shared" si="4"/>
        <v>3.7850113550341735E-3</v>
      </c>
      <c r="Q18" t="str">
        <f t="shared" si="5"/>
        <v>meet</v>
      </c>
      <c r="R18" s="33" t="s">
        <v>351</v>
      </c>
      <c r="S18" s="33" t="s">
        <v>281</v>
      </c>
      <c r="T18" s="27"/>
      <c r="U18" s="27">
        <v>22.9</v>
      </c>
      <c r="V18" s="21" t="str">
        <f t="shared" si="6"/>
        <v/>
      </c>
      <c r="W18" t="str">
        <f t="shared" si="7"/>
        <v/>
      </c>
      <c r="X18" s="33"/>
      <c r="Y18" s="33"/>
      <c r="Z18" s="30"/>
      <c r="AA18" s="17">
        <v>172.6998491704374</v>
      </c>
      <c r="AB18" s="21" t="str">
        <f t="shared" si="8"/>
        <v/>
      </c>
      <c r="AC18" s="33" t="s">
        <v>347</v>
      </c>
      <c r="AD18" s="33" t="s">
        <v>281</v>
      </c>
      <c r="AE18" s="13">
        <v>326</v>
      </c>
      <c r="AF18" s="13">
        <v>424</v>
      </c>
      <c r="AG18" s="21">
        <f t="shared" si="9"/>
        <v>0.30061349693251538</v>
      </c>
      <c r="AH18" t="str">
        <f t="shared" si="10"/>
        <v>beat</v>
      </c>
      <c r="AI18" s="21">
        <f t="shared" si="11"/>
        <v>0.19794584500466852</v>
      </c>
      <c r="AJ18" s="33" t="s">
        <v>337</v>
      </c>
      <c r="AK18" s="33" t="s">
        <v>281</v>
      </c>
      <c r="AL18" s="33" t="s">
        <v>337</v>
      </c>
      <c r="AM18" s="33" t="s">
        <v>281</v>
      </c>
      <c r="AN18" s="30">
        <v>0.24</v>
      </c>
      <c r="AO18" s="30">
        <v>0.41</v>
      </c>
      <c r="AP18" s="33" t="s">
        <v>298</v>
      </c>
      <c r="AQ18" s="21">
        <f t="shared" si="12"/>
        <v>0.70833333333333326</v>
      </c>
      <c r="AR18" t="str">
        <f t="shared" si="13"/>
        <v>beat</v>
      </c>
      <c r="AS18" s="13">
        <v>2740</v>
      </c>
      <c r="AT18" s="13">
        <v>2710</v>
      </c>
      <c r="AU18" s="21">
        <f t="shared" si="14"/>
        <v>-1.0948905109489093E-2</v>
      </c>
      <c r="AV18" s="24">
        <v>-6.9000000000000006E-2</v>
      </c>
      <c r="AW18" s="24">
        <v>2E-3</v>
      </c>
      <c r="AX18" s="24">
        <v>-7.0999999999999994E-2</v>
      </c>
      <c r="AY18" s="24">
        <v>-7.6999999999999999E-2</v>
      </c>
      <c r="AZ18" s="24">
        <v>-0.106</v>
      </c>
      <c r="BA18" s="24">
        <v>-6.9000000000000006E-2</v>
      </c>
      <c r="BB18" s="24">
        <v>-0.122</v>
      </c>
      <c r="BC18" s="24">
        <v>-7.1564206648271123E-2</v>
      </c>
      <c r="BD18" s="24">
        <v>1.502543980254955E-3</v>
      </c>
      <c r="BE18" s="24">
        <v>-3.4003835753957379E-2</v>
      </c>
      <c r="BF18" s="24">
        <v>-4.9595942857138857E-2</v>
      </c>
    </row>
    <row r="19" spans="1:59" x14ac:dyDescent="0.3">
      <c r="A19" s="32" t="s">
        <v>17</v>
      </c>
      <c r="B19" s="33" t="s">
        <v>352</v>
      </c>
      <c r="C19" s="33" t="s">
        <v>353</v>
      </c>
      <c r="D19" s="13">
        <v>2680</v>
      </c>
      <c r="E19" s="13">
        <v>2740</v>
      </c>
      <c r="F19" s="13">
        <v>2748</v>
      </c>
      <c r="G19" s="21">
        <f t="shared" si="0"/>
        <v>1.4022140221402246E-2</v>
      </c>
      <c r="H19" s="21">
        <f t="shared" si="1"/>
        <v>2.9197080291971655E-3</v>
      </c>
      <c r="I19" s="33" t="s">
        <v>292</v>
      </c>
      <c r="J19" s="13">
        <v>2740</v>
      </c>
      <c r="K19" s="21">
        <f t="shared" si="2"/>
        <v>2.9197080291971655E-3</v>
      </c>
      <c r="L19" t="str">
        <f t="shared" si="3"/>
        <v>meet</v>
      </c>
      <c r="M19" s="33" t="s">
        <v>340</v>
      </c>
      <c r="N19" s="9"/>
      <c r="O19" s="9">
        <v>125.1</v>
      </c>
      <c r="P19" s="21" t="str">
        <f t="shared" si="4"/>
        <v/>
      </c>
      <c r="Q19" t="str">
        <f t="shared" si="5"/>
        <v/>
      </c>
      <c r="R19" s="33" t="s">
        <v>354</v>
      </c>
      <c r="S19" s="33" t="s">
        <v>281</v>
      </c>
      <c r="T19" s="27"/>
      <c r="U19" s="27">
        <v>21.2</v>
      </c>
      <c r="V19" s="21" t="str">
        <f t="shared" si="6"/>
        <v/>
      </c>
      <c r="W19" t="str">
        <f t="shared" si="7"/>
        <v/>
      </c>
      <c r="X19" s="33"/>
      <c r="Y19" s="33"/>
      <c r="Z19" s="30"/>
      <c r="AA19" s="17">
        <v>169.46442845723419</v>
      </c>
      <c r="AB19" s="21" t="str">
        <f t="shared" si="8"/>
        <v/>
      </c>
      <c r="AC19" s="33" t="s">
        <v>342</v>
      </c>
      <c r="AD19" s="33" t="s">
        <v>281</v>
      </c>
      <c r="AE19" s="13"/>
      <c r="AF19" s="13">
        <v>894</v>
      </c>
      <c r="AG19" s="21" t="str">
        <f t="shared" si="9"/>
        <v/>
      </c>
      <c r="AH19" t="str">
        <f t="shared" si="10"/>
        <v/>
      </c>
      <c r="AI19" s="21">
        <f t="shared" si="11"/>
        <v>0.32532751091703055</v>
      </c>
      <c r="AJ19" s="33" t="s">
        <v>331</v>
      </c>
      <c r="AK19" s="33" t="s">
        <v>281</v>
      </c>
      <c r="AL19" s="33"/>
      <c r="AM19" s="33"/>
      <c r="AN19" s="30">
        <v>0.92</v>
      </c>
      <c r="AO19" s="30">
        <v>0.86</v>
      </c>
      <c r="AP19" s="33" t="s">
        <v>298</v>
      </c>
      <c r="AQ19" s="21">
        <f t="shared" si="12"/>
        <v>-6.521739130434788E-2</v>
      </c>
      <c r="AR19" t="str">
        <f t="shared" si="13"/>
        <v>miss</v>
      </c>
      <c r="AS19" s="13">
        <v>3840</v>
      </c>
      <c r="AT19" s="13">
        <v>3700</v>
      </c>
      <c r="AU19" s="21">
        <f t="shared" si="14"/>
        <v>-3.645833333333337E-2</v>
      </c>
      <c r="AV19" s="24">
        <v>-0.13400000000000001</v>
      </c>
      <c r="AW19" s="24">
        <v>-1.0999999999999999E-2</v>
      </c>
      <c r="AX19" s="24">
        <v>-0.123</v>
      </c>
      <c r="AY19" s="24">
        <v>-0.104</v>
      </c>
      <c r="AZ19" s="24">
        <v>-0.156</v>
      </c>
      <c r="BA19" s="24">
        <v>-0.11700000000000001</v>
      </c>
      <c r="BB19" s="24">
        <v>-0.16500000000000001</v>
      </c>
      <c r="BC19" s="24">
        <v>-0.13819267732509111</v>
      </c>
      <c r="BD19" s="24">
        <v>3.1318558926487612E-2</v>
      </c>
      <c r="BE19" s="24">
        <v>3.6289564828406728E-3</v>
      </c>
      <c r="BF19" s="24">
        <v>-6.9891075403569758E-3</v>
      </c>
    </row>
    <row r="20" spans="1:59" x14ac:dyDescent="0.3">
      <c r="A20" s="32" t="s">
        <v>18</v>
      </c>
      <c r="B20" s="33" t="s">
        <v>355</v>
      </c>
      <c r="C20" s="33" t="s">
        <v>356</v>
      </c>
      <c r="D20" s="13">
        <v>3670</v>
      </c>
      <c r="E20" s="13">
        <v>3730</v>
      </c>
      <c r="F20" s="13">
        <v>3732</v>
      </c>
      <c r="G20" s="21">
        <f t="shared" si="0"/>
        <v>8.6486486486485603E-3</v>
      </c>
      <c r="H20" s="21">
        <f t="shared" si="1"/>
        <v>5.361930294907058E-4</v>
      </c>
      <c r="I20" s="33" t="s">
        <v>292</v>
      </c>
      <c r="J20" s="13">
        <v>3720</v>
      </c>
      <c r="K20" s="21">
        <f t="shared" si="2"/>
        <v>3.225806451612856E-3</v>
      </c>
      <c r="L20" t="str">
        <f t="shared" si="3"/>
        <v>meet</v>
      </c>
      <c r="M20" s="33" t="s">
        <v>340</v>
      </c>
      <c r="N20" s="9">
        <v>121.4</v>
      </c>
      <c r="O20" s="9">
        <v>122.8</v>
      </c>
      <c r="P20" s="21">
        <f t="shared" si="4"/>
        <v>1.1532125205930832E-2</v>
      </c>
      <c r="Q20" t="str">
        <f t="shared" si="5"/>
        <v>beat</v>
      </c>
      <c r="R20" s="33" t="s">
        <v>357</v>
      </c>
      <c r="S20" s="33" t="s">
        <v>281</v>
      </c>
      <c r="T20" s="27">
        <v>19.899999999999999</v>
      </c>
      <c r="U20" s="27">
        <v>20.100000000000001</v>
      </c>
      <c r="V20" s="21">
        <f t="shared" si="6"/>
        <v>1.0050251256281451E-2</v>
      </c>
      <c r="W20" t="str">
        <f t="shared" si="7"/>
        <v>beat</v>
      </c>
      <c r="X20" s="33"/>
      <c r="Y20" s="33"/>
      <c r="Z20" s="30"/>
      <c r="AA20" s="17">
        <v>163.68078175895769</v>
      </c>
      <c r="AB20" s="21" t="str">
        <f t="shared" si="8"/>
        <v/>
      </c>
      <c r="AC20" s="33" t="s">
        <v>342</v>
      </c>
      <c r="AD20" s="33" t="s">
        <v>281</v>
      </c>
      <c r="AE20" s="13">
        <v>1860</v>
      </c>
      <c r="AF20" s="13">
        <v>1958</v>
      </c>
      <c r="AG20" s="21">
        <f t="shared" si="9"/>
        <v>5.2688172043010795E-2</v>
      </c>
      <c r="AH20" t="str">
        <f t="shared" si="10"/>
        <v>beat</v>
      </c>
      <c r="AI20" s="21">
        <f t="shared" si="11"/>
        <v>0.52465166130760987</v>
      </c>
      <c r="AJ20" s="33" t="s">
        <v>331</v>
      </c>
      <c r="AK20" s="33" t="s">
        <v>281</v>
      </c>
      <c r="AL20" s="33" t="s">
        <v>337</v>
      </c>
      <c r="AM20" s="33" t="s">
        <v>281</v>
      </c>
      <c r="AN20" s="30">
        <v>2.14</v>
      </c>
      <c r="AO20" s="30">
        <v>2.13</v>
      </c>
      <c r="AP20" s="33" t="s">
        <v>298</v>
      </c>
      <c r="AQ20" s="21">
        <f t="shared" si="12"/>
        <v>-4.6728971962617903E-3</v>
      </c>
      <c r="AR20" t="str">
        <f t="shared" si="13"/>
        <v>meet</v>
      </c>
      <c r="AS20" s="13">
        <v>2420</v>
      </c>
      <c r="AT20" s="13">
        <v>2415</v>
      </c>
      <c r="AU20" s="21">
        <f t="shared" si="14"/>
        <v>-2.0661157024793875E-3</v>
      </c>
      <c r="AV20" s="24">
        <v>-8.6999999999999994E-2</v>
      </c>
      <c r="AW20" s="24">
        <v>1E-3</v>
      </c>
      <c r="AX20" s="24">
        <v>-8.8000000000000009E-2</v>
      </c>
      <c r="AY20" s="24">
        <v>-8.6999999999999994E-2</v>
      </c>
      <c r="AZ20" s="24">
        <v>-7.6999999999999999E-2</v>
      </c>
      <c r="BA20" s="24">
        <v>-7.0999999999999994E-2</v>
      </c>
      <c r="BB20" s="24">
        <v>-9.6000000000000002E-2</v>
      </c>
      <c r="BC20" s="24">
        <v>-8.6177630243817638E-2</v>
      </c>
      <c r="BD20" s="24">
        <v>-2.5896692088238642E-3</v>
      </c>
      <c r="BE20" s="24">
        <v>7.6620078109028711E-3</v>
      </c>
      <c r="BF20" s="24">
        <v>-9.4892861884179336E-3</v>
      </c>
    </row>
    <row r="21" spans="1:59" x14ac:dyDescent="0.3">
      <c r="A21" s="32" t="s">
        <v>19</v>
      </c>
      <c r="B21" s="33" t="s">
        <v>358</v>
      </c>
      <c r="C21" s="33" t="s">
        <v>359</v>
      </c>
      <c r="D21" s="13">
        <v>2390</v>
      </c>
      <c r="E21" s="13">
        <v>2440</v>
      </c>
      <c r="F21" s="13">
        <v>2480</v>
      </c>
      <c r="G21" s="21">
        <f t="shared" si="0"/>
        <v>2.6915113871635699E-2</v>
      </c>
      <c r="H21" s="21">
        <f t="shared" si="1"/>
        <v>1.6393442622950838E-2</v>
      </c>
      <c r="I21" s="33" t="s">
        <v>292</v>
      </c>
      <c r="J21" s="13">
        <v>2420</v>
      </c>
      <c r="K21" s="21">
        <f t="shared" si="2"/>
        <v>2.4793388429751984E-2</v>
      </c>
      <c r="L21" t="str">
        <f t="shared" si="3"/>
        <v>beat</v>
      </c>
      <c r="M21" s="33" t="s">
        <v>340</v>
      </c>
      <c r="N21" s="9">
        <v>108.7</v>
      </c>
      <c r="O21" s="9">
        <v>111</v>
      </c>
      <c r="P21" s="21">
        <f t="shared" si="4"/>
        <v>2.1159153633854677E-2</v>
      </c>
      <c r="Q21" t="str">
        <f t="shared" si="5"/>
        <v>beat</v>
      </c>
      <c r="R21" s="33" t="s">
        <v>360</v>
      </c>
      <c r="S21" s="33" t="s">
        <v>281</v>
      </c>
      <c r="T21" s="27">
        <v>17.2</v>
      </c>
      <c r="U21" s="27">
        <v>17.600000000000001</v>
      </c>
      <c r="V21" s="21">
        <f t="shared" si="6"/>
        <v>2.3255813953488413E-2</v>
      </c>
      <c r="W21" t="str">
        <f t="shared" si="7"/>
        <v>beat</v>
      </c>
      <c r="X21" s="33"/>
      <c r="Y21" s="33"/>
      <c r="Z21" s="30"/>
      <c r="AA21" s="17">
        <v>158.55855855855859</v>
      </c>
      <c r="AB21" s="21" t="str">
        <f t="shared" si="8"/>
        <v/>
      </c>
      <c r="AC21" s="33" t="s">
        <v>342</v>
      </c>
      <c r="AD21" s="33" t="s">
        <v>281</v>
      </c>
      <c r="AE21" s="13">
        <v>653.5</v>
      </c>
      <c r="AF21" s="13">
        <v>765</v>
      </c>
      <c r="AG21" s="21">
        <f t="shared" si="9"/>
        <v>0.17061973986227996</v>
      </c>
      <c r="AH21" t="str">
        <f t="shared" si="10"/>
        <v>beat</v>
      </c>
      <c r="AI21" s="21">
        <f t="shared" si="11"/>
        <v>0.30846774193548387</v>
      </c>
      <c r="AJ21" s="33" t="s">
        <v>331</v>
      </c>
      <c r="AK21" s="33" t="s">
        <v>281</v>
      </c>
      <c r="AL21" s="33" t="s">
        <v>331</v>
      </c>
      <c r="AM21" s="33" t="s">
        <v>281</v>
      </c>
      <c r="AN21" s="30">
        <v>0.57999999999999996</v>
      </c>
      <c r="AO21" s="30">
        <v>0.73</v>
      </c>
      <c r="AP21" s="33" t="s">
        <v>298</v>
      </c>
      <c r="AQ21" s="21">
        <f t="shared" si="12"/>
        <v>0.25862068965517249</v>
      </c>
      <c r="AR21" t="str">
        <f t="shared" si="13"/>
        <v>beat</v>
      </c>
      <c r="AS21" s="13">
        <v>2300</v>
      </c>
      <c r="AT21" s="13">
        <v>2250</v>
      </c>
      <c r="AU21" s="21">
        <f t="shared" si="14"/>
        <v>-2.1739130434782594E-2</v>
      </c>
      <c r="AV21" s="24">
        <v>0.14399999999999999</v>
      </c>
      <c r="AW21" s="24">
        <v>4.0000000000000001E-3</v>
      </c>
      <c r="AX21" s="24">
        <v>0.14000000000000001</v>
      </c>
      <c r="AY21" s="24">
        <v>3.5999999999999997E-2</v>
      </c>
      <c r="AZ21" s="24">
        <v>5.4000000000000013E-2</v>
      </c>
      <c r="BA21" s="24">
        <v>-0.129</v>
      </c>
      <c r="BB21" s="24">
        <v>-2.4E-2</v>
      </c>
      <c r="BC21" s="24">
        <v>0.1215612952964218</v>
      </c>
      <c r="BD21" s="24">
        <v>1.6458252150856501E-2</v>
      </c>
      <c r="BE21" s="24">
        <v>-5.8061719581357307E-2</v>
      </c>
      <c r="BF21" s="24">
        <v>-0.1181858125823361</v>
      </c>
    </row>
    <row r="22" spans="1:59" x14ac:dyDescent="0.3">
      <c r="A22" s="32" t="s">
        <v>20</v>
      </c>
      <c r="B22" s="33" t="s">
        <v>361</v>
      </c>
      <c r="C22" s="33" t="s">
        <v>362</v>
      </c>
      <c r="D22" s="13">
        <v>2230</v>
      </c>
      <c r="E22" s="13">
        <v>2270</v>
      </c>
      <c r="F22" s="13">
        <v>2272</v>
      </c>
      <c r="G22" s="21">
        <f t="shared" si="0"/>
        <v>9.7777777777778851E-3</v>
      </c>
      <c r="H22" s="21">
        <f t="shared" si="1"/>
        <v>8.8105726872256263E-4</v>
      </c>
      <c r="I22" s="33" t="s">
        <v>292</v>
      </c>
      <c r="J22" s="13">
        <v>2260</v>
      </c>
      <c r="K22" s="21">
        <f t="shared" si="2"/>
        <v>5.3097345132744334E-3</v>
      </c>
      <c r="L22" t="str">
        <f t="shared" si="3"/>
        <v>beat</v>
      </c>
      <c r="M22" s="33" t="s">
        <v>340</v>
      </c>
      <c r="N22" s="9">
        <v>143.4</v>
      </c>
      <c r="O22" s="9">
        <v>143.1</v>
      </c>
      <c r="P22" s="21">
        <f t="shared" si="4"/>
        <v>-2.0920502092051096E-3</v>
      </c>
      <c r="Q22" t="str">
        <f t="shared" si="5"/>
        <v>meet</v>
      </c>
      <c r="R22" s="33" t="s">
        <v>363</v>
      </c>
      <c r="S22" s="33" t="s">
        <v>281</v>
      </c>
      <c r="T22" s="27"/>
      <c r="U22" s="27">
        <v>24.5</v>
      </c>
      <c r="V22" s="21" t="str">
        <f t="shared" si="6"/>
        <v/>
      </c>
      <c r="W22" t="str">
        <f t="shared" si="7"/>
        <v/>
      </c>
      <c r="X22" s="33"/>
      <c r="Y22" s="33"/>
      <c r="Z22" s="30">
        <v>170.55</v>
      </c>
      <c r="AA22" s="17">
        <v>171.20894479385049</v>
      </c>
      <c r="AB22" s="21">
        <f t="shared" si="8"/>
        <v>3.8636458155993925E-3</v>
      </c>
      <c r="AC22" s="33" t="s">
        <v>364</v>
      </c>
      <c r="AD22" s="33" t="s">
        <v>281</v>
      </c>
      <c r="AE22" s="13"/>
      <c r="AF22" s="13">
        <v>417</v>
      </c>
      <c r="AG22" s="21" t="str">
        <f t="shared" si="9"/>
        <v/>
      </c>
      <c r="AH22" t="str">
        <f t="shared" si="10"/>
        <v/>
      </c>
      <c r="AI22" s="21">
        <f t="shared" si="11"/>
        <v>0.18353873239436619</v>
      </c>
      <c r="AJ22" s="33" t="s">
        <v>331</v>
      </c>
      <c r="AK22" s="33" t="s">
        <v>281</v>
      </c>
      <c r="AL22" s="33"/>
      <c r="AM22" s="33"/>
      <c r="AN22" s="30">
        <v>0.24</v>
      </c>
      <c r="AO22" s="30">
        <v>0.24</v>
      </c>
      <c r="AP22" s="33" t="s">
        <v>298</v>
      </c>
      <c r="AQ22" s="21">
        <f t="shared" si="12"/>
        <v>0</v>
      </c>
      <c r="AR22" t="str">
        <f t="shared" si="13"/>
        <v>meet</v>
      </c>
      <c r="AS22" s="13">
        <v>3040</v>
      </c>
      <c r="AT22" s="13">
        <v>3020</v>
      </c>
      <c r="AU22" s="21">
        <f t="shared" si="14"/>
        <v>-6.5789473684210176E-3</v>
      </c>
      <c r="AV22" s="24">
        <v>0.01</v>
      </c>
      <c r="AW22" s="24">
        <v>1.4999999999999999E-2</v>
      </c>
      <c r="AX22" s="24">
        <v>-5.0000000000000001E-3</v>
      </c>
      <c r="AY22" s="24">
        <v>1.9E-2</v>
      </c>
      <c r="AZ22" s="24">
        <v>5.0000000000000001E-3</v>
      </c>
      <c r="BA22" s="24">
        <v>0.04</v>
      </c>
      <c r="BB22" s="24">
        <v>-3.7000000000000012E-2</v>
      </c>
      <c r="BC22" s="24">
        <v>-2.3465878654792771E-2</v>
      </c>
      <c r="BD22" s="24">
        <v>2.9645146824430979E-2</v>
      </c>
      <c r="BE22" s="24">
        <v>4.0086088291062527E-2</v>
      </c>
      <c r="BF22" s="24">
        <v>-1.706675855759787E-3</v>
      </c>
    </row>
    <row r="23" spans="1:59" x14ac:dyDescent="0.3">
      <c r="A23" s="32" t="s">
        <v>21</v>
      </c>
      <c r="B23" s="33" t="s">
        <v>365</v>
      </c>
      <c r="C23" s="33" t="s">
        <v>366</v>
      </c>
      <c r="D23" s="13">
        <v>2990</v>
      </c>
      <c r="E23" s="13">
        <v>3050</v>
      </c>
      <c r="F23" s="13">
        <v>3096</v>
      </c>
      <c r="G23" s="21">
        <f t="shared" si="0"/>
        <v>2.5165562913907369E-2</v>
      </c>
      <c r="H23" s="21">
        <f t="shared" si="1"/>
        <v>1.5081967213114833E-2</v>
      </c>
      <c r="I23" s="33" t="s">
        <v>292</v>
      </c>
      <c r="J23" s="13">
        <v>3040</v>
      </c>
      <c r="K23" s="21">
        <f t="shared" si="2"/>
        <v>1.8421052631578894E-2</v>
      </c>
      <c r="L23" t="str">
        <f t="shared" si="3"/>
        <v>beat</v>
      </c>
      <c r="M23" s="33" t="s">
        <v>340</v>
      </c>
      <c r="N23" s="9">
        <v>133.35</v>
      </c>
      <c r="O23" s="9">
        <v>134.4</v>
      </c>
      <c r="P23" s="21">
        <f t="shared" si="4"/>
        <v>7.8740157480314821E-3</v>
      </c>
      <c r="Q23" t="str">
        <f t="shared" si="5"/>
        <v>meet</v>
      </c>
      <c r="R23" s="33" t="s">
        <v>367</v>
      </c>
      <c r="S23" s="33" t="s">
        <v>281</v>
      </c>
      <c r="T23" s="27">
        <v>22.66</v>
      </c>
      <c r="U23" s="27">
        <v>23.5</v>
      </c>
      <c r="V23" s="21">
        <f t="shared" si="6"/>
        <v>3.7069726390114743E-2</v>
      </c>
      <c r="W23" t="str">
        <f t="shared" si="7"/>
        <v>beat</v>
      </c>
      <c r="X23" s="33"/>
      <c r="Y23" s="33"/>
      <c r="Z23" s="30"/>
      <c r="AA23" s="17">
        <v>174.85119047619051</v>
      </c>
      <c r="AB23" s="21" t="str">
        <f t="shared" si="8"/>
        <v/>
      </c>
      <c r="AC23" s="33" t="s">
        <v>311</v>
      </c>
      <c r="AD23" s="33" t="s">
        <v>304</v>
      </c>
      <c r="AE23" s="13"/>
      <c r="AF23" s="13">
        <v>1043</v>
      </c>
      <c r="AG23" s="21" t="str">
        <f t="shared" si="9"/>
        <v/>
      </c>
      <c r="AH23" t="str">
        <f t="shared" si="10"/>
        <v/>
      </c>
      <c r="AI23" s="21">
        <f t="shared" si="11"/>
        <v>0.33688630490956073</v>
      </c>
      <c r="AJ23" s="33" t="s">
        <v>331</v>
      </c>
      <c r="AK23" s="33" t="s">
        <v>319</v>
      </c>
      <c r="AL23" s="33" t="s">
        <v>337</v>
      </c>
      <c r="AM23" s="33" t="s">
        <v>281</v>
      </c>
      <c r="AN23" s="30">
        <v>0.93</v>
      </c>
      <c r="AO23" s="30">
        <v>1.03</v>
      </c>
      <c r="AP23" s="33" t="s">
        <v>298</v>
      </c>
      <c r="AQ23" s="21">
        <f t="shared" si="12"/>
        <v>0.10752688172043008</v>
      </c>
      <c r="AR23" t="str">
        <f t="shared" si="13"/>
        <v>beat</v>
      </c>
      <c r="AS23" s="13">
        <v>4050</v>
      </c>
      <c r="AT23" s="13">
        <v>4060</v>
      </c>
      <c r="AU23" s="21">
        <f t="shared" si="14"/>
        <v>2.4691358024691024E-3</v>
      </c>
      <c r="AV23" s="24">
        <v>-0.08</v>
      </c>
      <c r="AW23" s="24">
        <v>3.0000000000000001E-3</v>
      </c>
      <c r="AX23" s="24">
        <v>-8.4000000000000005E-2</v>
      </c>
      <c r="AY23" s="24">
        <v>-4.5999999999999999E-2</v>
      </c>
      <c r="AZ23" s="24">
        <v>-6.9000000000000006E-2</v>
      </c>
      <c r="BA23" s="24">
        <v>-3.9E-2</v>
      </c>
      <c r="BB23" s="24">
        <v>-5.2999999999999999E-2</v>
      </c>
      <c r="BC23" s="24">
        <v>-7.7547913766912169E-2</v>
      </c>
      <c r="BD23" s="24">
        <v>1.3432442908970501E-3</v>
      </c>
      <c r="BE23" s="24">
        <v>1.947418500474574E-2</v>
      </c>
      <c r="BF23" s="24">
        <v>3.5224750175411268E-2</v>
      </c>
    </row>
    <row r="24" spans="1:59" x14ac:dyDescent="0.3">
      <c r="A24" s="32" t="s">
        <v>22</v>
      </c>
      <c r="B24" s="33" t="s">
        <v>368</v>
      </c>
      <c r="C24" s="33" t="s">
        <v>369</v>
      </c>
      <c r="D24" s="13">
        <v>4020</v>
      </c>
      <c r="E24" s="13">
        <v>4100</v>
      </c>
      <c r="F24" s="13">
        <v>4095</v>
      </c>
      <c r="G24" s="21">
        <f t="shared" si="0"/>
        <v>8.6206896551723755E-3</v>
      </c>
      <c r="H24" s="21">
        <f t="shared" si="1"/>
        <v>-1.2195121951219523E-3</v>
      </c>
      <c r="I24" s="33" t="s">
        <v>309</v>
      </c>
      <c r="J24" s="13">
        <v>4080</v>
      </c>
      <c r="K24" s="21">
        <f t="shared" si="2"/>
        <v>3.6764705882352811E-3</v>
      </c>
      <c r="L24" t="str">
        <f t="shared" si="3"/>
        <v>meet</v>
      </c>
      <c r="M24" s="33" t="s">
        <v>340</v>
      </c>
      <c r="N24" s="9">
        <v>131.75</v>
      </c>
      <c r="O24" s="9">
        <v>133.6</v>
      </c>
      <c r="P24" s="21">
        <f t="shared" si="4"/>
        <v>1.404174573055017E-2</v>
      </c>
      <c r="Q24" t="str">
        <f t="shared" si="5"/>
        <v>beat</v>
      </c>
      <c r="R24" s="33" t="s">
        <v>370</v>
      </c>
      <c r="S24" s="33" t="s">
        <v>281</v>
      </c>
      <c r="T24" s="27">
        <v>21.9</v>
      </c>
      <c r="U24" s="27">
        <v>22.9</v>
      </c>
      <c r="V24" s="21">
        <f t="shared" si="6"/>
        <v>4.5662100456621113E-2</v>
      </c>
      <c r="W24" t="str">
        <f t="shared" si="7"/>
        <v>beat</v>
      </c>
      <c r="X24" s="33"/>
      <c r="Y24" s="33"/>
      <c r="Z24" s="30">
        <v>166.67</v>
      </c>
      <c r="AA24" s="17">
        <v>171.4071856287425</v>
      </c>
      <c r="AB24" s="21">
        <f t="shared" si="8"/>
        <v>2.8422545321548531E-2</v>
      </c>
      <c r="AC24" s="33" t="s">
        <v>342</v>
      </c>
      <c r="AD24" s="33" t="s">
        <v>281</v>
      </c>
      <c r="AE24" s="13"/>
      <c r="AF24" s="13">
        <v>2051</v>
      </c>
      <c r="AG24" s="21" t="str">
        <f t="shared" si="9"/>
        <v/>
      </c>
      <c r="AH24" t="str">
        <f t="shared" si="10"/>
        <v/>
      </c>
      <c r="AI24" s="21">
        <f t="shared" si="11"/>
        <v>0.50085470085470085</v>
      </c>
      <c r="AJ24" s="33" t="s">
        <v>331</v>
      </c>
      <c r="AK24" s="33" t="s">
        <v>281</v>
      </c>
      <c r="AL24" s="33" t="s">
        <v>332</v>
      </c>
      <c r="AM24" s="33" t="s">
        <v>371</v>
      </c>
      <c r="AN24" s="30">
        <v>2.34</v>
      </c>
      <c r="AO24" s="30">
        <v>2.21</v>
      </c>
      <c r="AP24" s="33" t="s">
        <v>298</v>
      </c>
      <c r="AQ24" s="21">
        <f t="shared" si="12"/>
        <v>-5.5555555555555511E-2</v>
      </c>
      <c r="AR24" t="str">
        <f t="shared" si="13"/>
        <v>miss</v>
      </c>
      <c r="AS24" s="13">
        <v>2670</v>
      </c>
      <c r="AT24" s="13">
        <v>2690</v>
      </c>
      <c r="AU24" s="21">
        <f t="shared" si="14"/>
        <v>7.4906367041198685E-3</v>
      </c>
      <c r="AV24" s="24">
        <v>3.0000000000000001E-3</v>
      </c>
      <c r="AW24" s="24">
        <v>-3.0000000000000001E-3</v>
      </c>
      <c r="AX24" s="24">
        <v>6.0000000000000001E-3</v>
      </c>
      <c r="AY24" s="24">
        <v>5.0000000000000001E-3</v>
      </c>
      <c r="AZ24" s="24">
        <v>1.0999999999999999E-2</v>
      </c>
      <c r="BA24" s="24">
        <v>3.1E-2</v>
      </c>
      <c r="BB24" s="24">
        <v>9.0000000000000011E-3</v>
      </c>
      <c r="BC24" s="24">
        <v>4.1193097300005872E-2</v>
      </c>
      <c r="BD24" s="24">
        <v>-3.9125179515530302E-2</v>
      </c>
      <c r="BE24" s="24">
        <v>-3.4452152253612638E-2</v>
      </c>
      <c r="BF24" s="24">
        <v>-3.7588659123143908E-2</v>
      </c>
    </row>
    <row r="25" spans="1:59" x14ac:dyDescent="0.3">
      <c r="A25" s="32" t="s">
        <v>23</v>
      </c>
      <c r="B25" s="33" t="s">
        <v>372</v>
      </c>
      <c r="C25" s="33" t="s">
        <v>373</v>
      </c>
      <c r="D25" s="13">
        <v>2660</v>
      </c>
      <c r="E25" s="13">
        <v>2720</v>
      </c>
      <c r="F25" s="13">
        <v>2778</v>
      </c>
      <c r="G25" s="21">
        <f t="shared" si="0"/>
        <v>3.2713754646840121E-2</v>
      </c>
      <c r="H25" s="21">
        <f t="shared" si="1"/>
        <v>2.132352941176463E-2</v>
      </c>
      <c r="I25" s="33" t="s">
        <v>292</v>
      </c>
      <c r="J25" s="13">
        <v>2720</v>
      </c>
      <c r="K25" s="21">
        <f t="shared" si="2"/>
        <v>2.132352941176463E-2</v>
      </c>
      <c r="L25" t="str">
        <f t="shared" si="3"/>
        <v>beat</v>
      </c>
      <c r="M25" s="33" t="s">
        <v>340</v>
      </c>
      <c r="N25" s="9">
        <v>117.6</v>
      </c>
      <c r="O25" s="9">
        <v>121.9</v>
      </c>
      <c r="P25" s="21">
        <f t="shared" si="4"/>
        <v>3.656462585034026E-2</v>
      </c>
      <c r="Q25" t="str">
        <f t="shared" si="5"/>
        <v>beat</v>
      </c>
      <c r="R25" s="33" t="s">
        <v>374</v>
      </c>
      <c r="S25" s="33" t="s">
        <v>292</v>
      </c>
      <c r="T25" s="27">
        <v>19.399999999999999</v>
      </c>
      <c r="U25" s="27">
        <v>20.399999999999999</v>
      </c>
      <c r="V25" s="21">
        <f t="shared" si="6"/>
        <v>5.1546391752577359E-2</v>
      </c>
      <c r="W25" t="str">
        <f t="shared" si="7"/>
        <v>beat</v>
      </c>
      <c r="X25" s="33" t="s">
        <v>375</v>
      </c>
      <c r="Y25" s="33" t="s">
        <v>292</v>
      </c>
      <c r="Z25" s="30">
        <v>165.52</v>
      </c>
      <c r="AA25" s="17">
        <v>167.35028712059071</v>
      </c>
      <c r="AB25" s="21">
        <f t="shared" si="8"/>
        <v>1.1057800390228856E-2</v>
      </c>
      <c r="AC25" s="33" t="s">
        <v>342</v>
      </c>
      <c r="AD25" s="33" t="s">
        <v>281</v>
      </c>
      <c r="AE25" s="13"/>
      <c r="AF25" s="13">
        <v>786</v>
      </c>
      <c r="AG25" s="21" t="str">
        <f t="shared" si="9"/>
        <v/>
      </c>
      <c r="AH25" t="str">
        <f t="shared" si="10"/>
        <v/>
      </c>
      <c r="AI25" s="21">
        <f t="shared" si="11"/>
        <v>0.28293736501079914</v>
      </c>
      <c r="AJ25" s="33" t="s">
        <v>331</v>
      </c>
      <c r="AK25" s="33" t="s">
        <v>281</v>
      </c>
      <c r="AL25" s="33" t="s">
        <v>332</v>
      </c>
      <c r="AM25" s="33" t="s">
        <v>333</v>
      </c>
      <c r="AN25" s="30">
        <v>0.66</v>
      </c>
      <c r="AO25" s="30">
        <v>0.56000000000000005</v>
      </c>
      <c r="AP25" s="33" t="s">
        <v>298</v>
      </c>
      <c r="AQ25" s="21">
        <f t="shared" si="12"/>
        <v>-0.15151515151515146</v>
      </c>
      <c r="AR25" t="str">
        <f t="shared" si="13"/>
        <v>miss</v>
      </c>
      <c r="AS25" s="13">
        <v>2530</v>
      </c>
      <c r="AT25" s="13">
        <v>2610</v>
      </c>
      <c r="AU25" s="21">
        <f t="shared" si="14"/>
        <v>3.1620553359683834E-2</v>
      </c>
      <c r="AV25" s="24">
        <v>4.5999999999999999E-2</v>
      </c>
      <c r="AW25" s="24">
        <v>2E-3</v>
      </c>
      <c r="AX25" s="24">
        <v>4.3999999999999997E-2</v>
      </c>
      <c r="AY25" s="24">
        <v>0.10299999999999999</v>
      </c>
      <c r="AZ25" s="24">
        <v>8.900000000000001E-2</v>
      </c>
      <c r="BA25" s="24">
        <v>8.900000000000001E-2</v>
      </c>
      <c r="BB25" s="24">
        <v>0.10100000000000001</v>
      </c>
      <c r="BC25" s="24">
        <v>9.0591560334227564E-2</v>
      </c>
      <c r="BD25" s="24">
        <v>-4.2927496125057092E-2</v>
      </c>
      <c r="BE25" s="24">
        <v>-2.6887084892492918E-3</v>
      </c>
      <c r="BF25" s="24">
        <v>9.8707053203125339E-3</v>
      </c>
    </row>
    <row r="26" spans="1:59" x14ac:dyDescent="0.3">
      <c r="A26" s="32" t="s">
        <v>24</v>
      </c>
      <c r="B26" s="33" t="s">
        <v>376</v>
      </c>
      <c r="C26" s="33" t="s">
        <v>377</v>
      </c>
      <c r="D26" s="13">
        <v>2590</v>
      </c>
      <c r="E26" s="13">
        <v>2630</v>
      </c>
      <c r="F26" s="13">
        <v>2678</v>
      </c>
      <c r="G26" s="21">
        <f t="shared" si="0"/>
        <v>2.6053639846743248E-2</v>
      </c>
      <c r="H26" s="21">
        <f t="shared" si="1"/>
        <v>1.8250950570342095E-2</v>
      </c>
      <c r="I26" s="33" t="s">
        <v>292</v>
      </c>
      <c r="J26" s="13">
        <v>2620</v>
      </c>
      <c r="K26" s="21">
        <f t="shared" si="2"/>
        <v>2.2137404580152564E-2</v>
      </c>
      <c r="L26" t="str">
        <f t="shared" si="3"/>
        <v>beat</v>
      </c>
      <c r="M26" s="33" t="s">
        <v>340</v>
      </c>
      <c r="N26" s="9">
        <v>155.77000000000001</v>
      </c>
      <c r="O26" s="9">
        <v>156.19999999999999</v>
      </c>
      <c r="P26" s="21">
        <f t="shared" si="4"/>
        <v>2.7604801951592872E-3</v>
      </c>
      <c r="Q26" t="str">
        <f t="shared" si="5"/>
        <v>meet</v>
      </c>
      <c r="R26" s="33" t="s">
        <v>378</v>
      </c>
      <c r="S26" s="33" t="s">
        <v>292</v>
      </c>
      <c r="T26" s="27">
        <v>27.82</v>
      </c>
      <c r="U26" s="27">
        <v>29.2</v>
      </c>
      <c r="V26" s="21">
        <f t="shared" si="6"/>
        <v>4.9604601006470128E-2</v>
      </c>
      <c r="W26" t="str">
        <f t="shared" si="7"/>
        <v>beat</v>
      </c>
      <c r="X26" s="33" t="s">
        <v>379</v>
      </c>
      <c r="Y26" s="33" t="s">
        <v>292</v>
      </c>
      <c r="Z26" s="30">
        <v>178.54</v>
      </c>
      <c r="AA26" s="17">
        <v>186.93982074263769</v>
      </c>
      <c r="AB26" s="21">
        <f t="shared" si="8"/>
        <v>4.704727647943141E-2</v>
      </c>
      <c r="AC26" s="33"/>
      <c r="AD26" s="33"/>
      <c r="AE26" s="13">
        <v>485</v>
      </c>
      <c r="AF26" s="13">
        <v>519</v>
      </c>
      <c r="AG26" s="21">
        <f t="shared" si="9"/>
        <v>7.0103092783505128E-2</v>
      </c>
      <c r="AH26" t="str">
        <f t="shared" si="10"/>
        <v>beat</v>
      </c>
      <c r="AI26" s="21">
        <f t="shared" si="11"/>
        <v>0.19380134428678117</v>
      </c>
      <c r="AJ26" s="33" t="s">
        <v>332</v>
      </c>
      <c r="AK26" s="33" t="s">
        <v>304</v>
      </c>
      <c r="AL26" s="33" t="s">
        <v>337</v>
      </c>
      <c r="AM26" s="33" t="s">
        <v>319</v>
      </c>
      <c r="AN26" s="30">
        <v>0.28999999999999998</v>
      </c>
      <c r="AO26" s="30">
        <v>0.26</v>
      </c>
      <c r="AP26" s="33" t="s">
        <v>298</v>
      </c>
      <c r="AQ26" s="21">
        <f t="shared" si="12"/>
        <v>-0.10344827586206887</v>
      </c>
      <c r="AR26" t="str">
        <f t="shared" si="13"/>
        <v>miss</v>
      </c>
      <c r="AS26" s="13">
        <v>3460</v>
      </c>
      <c r="AT26" s="13">
        <v>3570</v>
      </c>
      <c r="AU26" s="21">
        <f t="shared" si="14"/>
        <v>3.1791907514450823E-2</v>
      </c>
      <c r="AV26" s="24">
        <v>6.9999999999999993E-3</v>
      </c>
      <c r="AW26" s="24">
        <v>2.3E-2</v>
      </c>
      <c r="AX26" s="24">
        <v>-1.6E-2</v>
      </c>
      <c r="AY26" s="24">
        <v>-4.8000000000000001E-2</v>
      </c>
      <c r="AZ26" s="24">
        <v>-8.4000000000000005E-2</v>
      </c>
      <c r="BA26" s="24">
        <v>-4.9000000000000002E-2</v>
      </c>
      <c r="BB26" s="24">
        <v>-6.4000000000000001E-2</v>
      </c>
      <c r="BC26" s="24">
        <v>-1.662399688349625E-2</v>
      </c>
      <c r="BD26" s="24">
        <v>8.2030442144989113E-3</v>
      </c>
      <c r="BE26" s="24">
        <v>-6.0642359376729571E-2</v>
      </c>
      <c r="BF26" s="24">
        <v>-4.0538336273419621E-2</v>
      </c>
    </row>
    <row r="27" spans="1:59" x14ac:dyDescent="0.3">
      <c r="A27" s="32" t="s">
        <v>25</v>
      </c>
      <c r="B27" s="33" t="s">
        <v>380</v>
      </c>
      <c r="C27" s="33" t="s">
        <v>381</v>
      </c>
      <c r="D27" s="13">
        <v>3540</v>
      </c>
      <c r="E27" s="13">
        <v>3600</v>
      </c>
      <c r="F27" s="13">
        <v>3608</v>
      </c>
      <c r="G27" s="21">
        <f t="shared" si="0"/>
        <v>1.0644257703081195E-2</v>
      </c>
      <c r="H27" s="21">
        <f t="shared" si="1"/>
        <v>2.2222222222221255E-3</v>
      </c>
      <c r="I27" s="33" t="s">
        <v>292</v>
      </c>
      <c r="J27" s="13">
        <v>3580</v>
      </c>
      <c r="K27" s="21">
        <f t="shared" si="2"/>
        <v>7.8212290502792658E-3</v>
      </c>
      <c r="L27" t="str">
        <f t="shared" si="3"/>
        <v>beat</v>
      </c>
      <c r="M27" s="33" t="s">
        <v>340</v>
      </c>
      <c r="N27" s="9">
        <v>145.44</v>
      </c>
      <c r="O27" s="9">
        <v>148.30000000000001</v>
      </c>
      <c r="P27" s="21">
        <f t="shared" si="4"/>
        <v>1.9664466446644768E-2</v>
      </c>
      <c r="Q27" t="str">
        <f t="shared" si="5"/>
        <v>beat</v>
      </c>
      <c r="R27" s="33" t="s">
        <v>382</v>
      </c>
      <c r="S27" s="33" t="s">
        <v>319</v>
      </c>
      <c r="T27" s="27">
        <v>26.42</v>
      </c>
      <c r="U27" s="27">
        <v>27.2</v>
      </c>
      <c r="V27" s="21">
        <f t="shared" si="6"/>
        <v>2.9523088569265665E-2</v>
      </c>
      <c r="W27" t="str">
        <f t="shared" si="7"/>
        <v>beat</v>
      </c>
      <c r="X27" s="33" t="s">
        <v>375</v>
      </c>
      <c r="Y27" s="33" t="s">
        <v>292</v>
      </c>
      <c r="Z27" s="30">
        <v>181.56</v>
      </c>
      <c r="AA27" s="17">
        <v>183.41200269723529</v>
      </c>
      <c r="AB27" s="21">
        <f t="shared" si="8"/>
        <v>1.0200499544146702E-2</v>
      </c>
      <c r="AC27" s="33" t="s">
        <v>383</v>
      </c>
      <c r="AD27" s="33" t="s">
        <v>281</v>
      </c>
      <c r="AE27" s="13">
        <v>1225.5999999999999</v>
      </c>
      <c r="AF27" s="13">
        <v>1261</v>
      </c>
      <c r="AG27" s="21">
        <f t="shared" si="9"/>
        <v>2.8883812010443988E-2</v>
      </c>
      <c r="AH27" t="str">
        <f t="shared" si="10"/>
        <v>beat</v>
      </c>
      <c r="AI27" s="21">
        <f t="shared" si="11"/>
        <v>0.3495011086474501</v>
      </c>
      <c r="AJ27" s="33" t="s">
        <v>337</v>
      </c>
      <c r="AK27" s="33" t="s">
        <v>281</v>
      </c>
      <c r="AL27" s="33" t="s">
        <v>337</v>
      </c>
      <c r="AM27" s="33" t="s">
        <v>281</v>
      </c>
      <c r="AN27" s="30">
        <v>1.25</v>
      </c>
      <c r="AO27" s="30">
        <v>1.37</v>
      </c>
      <c r="AP27" s="33" t="s">
        <v>298</v>
      </c>
      <c r="AQ27" s="21">
        <f t="shared" si="12"/>
        <v>9.6000000000000085E-2</v>
      </c>
      <c r="AR27" t="str">
        <f t="shared" si="13"/>
        <v>beat</v>
      </c>
      <c r="AS27" s="13">
        <v>4610</v>
      </c>
      <c r="AT27" s="13">
        <v>4730</v>
      </c>
      <c r="AU27" s="21">
        <f t="shared" si="14"/>
        <v>2.6030368763557465E-2</v>
      </c>
      <c r="AV27" s="24">
        <v>0.17399999999999999</v>
      </c>
      <c r="AW27" s="24">
        <v>1.2E-2</v>
      </c>
      <c r="AX27" s="24">
        <v>0.16300000000000001</v>
      </c>
      <c r="AY27" s="24">
        <v>0.221</v>
      </c>
      <c r="AZ27" s="24">
        <v>0.19600000000000001</v>
      </c>
      <c r="BA27" s="24">
        <v>0.22159999999999999</v>
      </c>
      <c r="BB27" s="24">
        <v>0.21740000000000001</v>
      </c>
      <c r="BC27" s="24">
        <v>8.6125017219468969E-2</v>
      </c>
      <c r="BD27" s="24">
        <v>7.7178790229162963E-2</v>
      </c>
      <c r="BE27" s="24">
        <v>0.107491683413522</v>
      </c>
      <c r="BF27" s="24">
        <v>0.12821611865490301</v>
      </c>
      <c r="BG27" s="2" t="s">
        <v>384</v>
      </c>
    </row>
    <row r="30" spans="1:59" x14ac:dyDescent="0.3">
      <c r="A30" s="6" t="s">
        <v>385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</row>
    <row r="31" spans="1:59" x14ac:dyDescent="0.3">
      <c r="A31" t="s">
        <v>386</v>
      </c>
      <c r="D31">
        <f>COUNT(D5:D27)</f>
        <v>19</v>
      </c>
    </row>
    <row r="32" spans="1:59" x14ac:dyDescent="0.3">
      <c r="A32" t="s">
        <v>387</v>
      </c>
      <c r="D32">
        <f>COUNTIF(I5:I27,"above_range")</f>
        <v>15</v>
      </c>
    </row>
    <row r="33" spans="1:4" x14ac:dyDescent="0.3">
      <c r="A33" t="s">
        <v>388</v>
      </c>
      <c r="D33">
        <f>COUNTIF(I5:I27,"within_range")</f>
        <v>4</v>
      </c>
    </row>
    <row r="34" spans="1:4" x14ac:dyDescent="0.3">
      <c r="A34" t="s">
        <v>389</v>
      </c>
      <c r="D34">
        <f>COUNTIF(I5:I27,"below_range")</f>
        <v>0</v>
      </c>
    </row>
    <row r="35" spans="1:4" x14ac:dyDescent="0.3">
      <c r="A35" t="s">
        <v>390</v>
      </c>
      <c r="D35" s="21">
        <f>AVERAGE(G5:G27)</f>
        <v>2.5409823620981584E-2</v>
      </c>
    </row>
    <row r="36" spans="1:4" x14ac:dyDescent="0.3">
      <c r="A36" t="s">
        <v>391</v>
      </c>
      <c r="D36" s="21">
        <f>MEDIAN(G5:G27)</f>
        <v>2.5165562913907369E-2</v>
      </c>
    </row>
    <row r="37" spans="1:4" x14ac:dyDescent="0.3">
      <c r="A37" t="s">
        <v>392</v>
      </c>
      <c r="D37" t="str">
        <f>COUNTIF(L5:L27,"beat")&amp;" / "&amp;COUNTIF(L5:L27,"meet")&amp;" / "&amp;COUNTIF(L5:L27,"miss")</f>
        <v>19 / 4 / 0</v>
      </c>
    </row>
    <row r="38" spans="1:4" x14ac:dyDescent="0.3">
      <c r="A38" t="s">
        <v>393</v>
      </c>
      <c r="D38" s="21">
        <f>AVERAGE(K5:K27)</f>
        <v>3.9783591574314013E-2</v>
      </c>
    </row>
    <row r="39" spans="1:4" x14ac:dyDescent="0.3">
      <c r="A39" t="s">
        <v>394</v>
      </c>
      <c r="D39" s="21">
        <f>MEDIAN(K5:K27)</f>
        <v>2.2137404580152564E-2</v>
      </c>
    </row>
    <row r="40" spans="1:4" x14ac:dyDescent="0.3">
      <c r="A40" t="s">
        <v>395</v>
      </c>
      <c r="D40" t="str">
        <f>COUNTIF(Q5:Q27,"beat")&amp;" / "&amp;COUNTIF(Q5:Q27,"meet")&amp;" / "&amp;COUNTIF(Q5:Q27,"miss")</f>
        <v>8 / 6 / 5</v>
      </c>
    </row>
    <row r="41" spans="1:4" x14ac:dyDescent="0.3">
      <c r="A41" t="s">
        <v>396</v>
      </c>
      <c r="D41" s="21">
        <f>MEDIAN(P5:P27)</f>
        <v>7.8740157480314821E-3</v>
      </c>
    </row>
    <row r="42" spans="1:4" x14ac:dyDescent="0.3">
      <c r="A42" t="s">
        <v>397</v>
      </c>
      <c r="D42" t="str">
        <f>COUNTIF(W5:W27,"beat")&amp;" / "&amp;COUNTIF(W5:W27,"meet")&amp;" / "&amp;COUNTIF(W5:W27,"miss")</f>
        <v>12 / 0 / 1</v>
      </c>
    </row>
    <row r="43" spans="1:4" x14ac:dyDescent="0.3">
      <c r="A43" t="s">
        <v>398</v>
      </c>
      <c r="D43" t="str">
        <f>COUNTIF(AH5:AH27,"beat")&amp;" / "&amp;COUNTIF(AH5:AH27,"meet")&amp;" / "&amp;COUNTIF(AH5:AH27,"miss")</f>
        <v>7 / 0 / 1</v>
      </c>
    </row>
    <row r="44" spans="1:4" x14ac:dyDescent="0.3">
      <c r="A44" t="s">
        <v>399</v>
      </c>
      <c r="D44" t="str">
        <f>COUNTIF(AR5:AR27,"beat")&amp;" / "&amp;COUNTIF(AR5:AR27,"meet")&amp;" / "&amp;COUNTIF(AR5:AR27,"miss")</f>
        <v>13 / 2 / 7</v>
      </c>
    </row>
    <row r="45" spans="1:4" x14ac:dyDescent="0.3">
      <c r="A45" t="s">
        <v>400</v>
      </c>
      <c r="D45" t="str">
        <f>COUNTIF(AK5:AK27,"met")+COUNTIF(AK5:AK27,"beat")+COUNTIF(AK5:AK27,"at_point")&amp;" / "&amp;COUNTIF(AK5:AK27,"not_met")+COUNTIF(AK5:AK27,"miss")</f>
        <v>18 / 2</v>
      </c>
    </row>
    <row r="46" spans="1:4" x14ac:dyDescent="0.3">
      <c r="A46" t="s">
        <v>401</v>
      </c>
      <c r="D46">
        <f>COUNTIF(AU5:AU27,"&lt;0")</f>
        <v>8</v>
      </c>
    </row>
    <row r="47" spans="1:4" x14ac:dyDescent="0.3">
      <c r="A47" t="s">
        <v>402</v>
      </c>
      <c r="D47">
        <f>SUMPRODUCT((AU5:AU27&lt;0)*(AU5:AU27&lt;&gt;"")*(BB5:BB27&lt;0))</f>
        <v>8</v>
      </c>
    </row>
    <row r="48" spans="1:4" x14ac:dyDescent="0.3">
      <c r="A48" t="s">
        <v>403</v>
      </c>
      <c r="D48" s="21">
        <f>AVERAGE(AX5:AX27)</f>
        <v>5.0869565217391355E-3</v>
      </c>
    </row>
    <row r="49" spans="1:4" x14ac:dyDescent="0.3">
      <c r="A49" t="s">
        <v>404</v>
      </c>
      <c r="D49" t="str">
        <f>COUNTIF(AX5:AX27,"&gt;0")&amp;" of "&amp;COUNT(AX5:AX27)</f>
        <v>11 of 23</v>
      </c>
    </row>
    <row r="50" spans="1:4" x14ac:dyDescent="0.3">
      <c r="A50" t="s">
        <v>405</v>
      </c>
      <c r="D50" s="21">
        <f>SUMPRODUCT(ABS(AV5:AV27))/COUNT(AV5:AV27)</f>
        <v>7.0608695652173897E-2</v>
      </c>
    </row>
    <row r="51" spans="1:4" x14ac:dyDescent="0.3">
      <c r="A51" t="s">
        <v>406</v>
      </c>
      <c r="D51" s="21">
        <f>MEDIAN(INDEX(ABS(AV5:AV27),0))</f>
        <v>6.9000000000000006E-2</v>
      </c>
    </row>
    <row r="52" spans="1:4" x14ac:dyDescent="0.3">
      <c r="A52" t="s">
        <v>407</v>
      </c>
      <c r="D52">
        <f>SUMPRODUCT(--(ABS(AV5:AV27)&gt;0.07))</f>
        <v>11</v>
      </c>
    </row>
    <row r="53" spans="1:4" x14ac:dyDescent="0.3">
      <c r="A53" t="s">
        <v>408</v>
      </c>
      <c r="D53" s="21">
        <f>AVERAGE(BB5:BB27)</f>
        <v>-3.5156521739130434E-2</v>
      </c>
    </row>
    <row r="54" spans="1:4" x14ac:dyDescent="0.3">
      <c r="A54" t="s">
        <v>409</v>
      </c>
      <c r="D54" t="str">
        <f>COUNTIF(BB5:BB27,"&gt;0")&amp;" of "&amp;COUNT(BB5:BB27)</f>
        <v>7 of 23</v>
      </c>
    </row>
    <row r="55" spans="1:4" x14ac:dyDescent="0.3">
      <c r="A55" t="s">
        <v>410</v>
      </c>
      <c r="D55" s="21">
        <f>AVERAGE(BD5:BD27)</f>
        <v>1.4693537650396883E-2</v>
      </c>
    </row>
    <row r="56" spans="1:4" x14ac:dyDescent="0.3">
      <c r="A56" t="s">
        <v>411</v>
      </c>
      <c r="D56" s="21">
        <f>SUMPRODUCT(ABS(BC5:BC27))/SUMPRODUCT(ABS(AV5:AV27))</f>
        <v>0.84199846202688766</v>
      </c>
    </row>
  </sheetData>
  <mergeCells count="1">
    <mergeCell ref="A2:AZ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55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24" customWidth="1"/>
    <col min="2" max="2" width="36" customWidth="1"/>
    <col min="3" max="3" width="24" customWidth="1"/>
    <col min="4" max="4" width="12" customWidth="1"/>
    <col min="5" max="5" width="5" customWidth="1"/>
    <col min="6" max="6" width="8" customWidth="1"/>
    <col min="7" max="9" width="7" customWidth="1"/>
    <col min="10" max="10" width="9" customWidth="1"/>
    <col min="11" max="11" width="12" customWidth="1"/>
    <col min="12" max="12" width="5" customWidth="1"/>
    <col min="13" max="13" width="12" customWidth="1"/>
    <col min="14" max="14" width="5" customWidth="1"/>
    <col min="15" max="17" width="10" customWidth="1"/>
    <col min="18" max="20" width="8" customWidth="1"/>
  </cols>
  <sheetData>
    <row r="1" spans="1:20" ht="17.399999999999999" x14ac:dyDescent="0.35">
      <c r="A1" s="1" t="s">
        <v>412</v>
      </c>
    </row>
    <row r="2" spans="1:20" ht="43.95" customHeight="1" x14ac:dyDescent="0.3">
      <c r="A2" s="39" t="s">
        <v>413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</row>
    <row r="4" spans="1:20" ht="30" customHeight="1" x14ac:dyDescent="0.3">
      <c r="A4" s="34" t="s">
        <v>414</v>
      </c>
      <c r="B4" s="34" t="s">
        <v>415</v>
      </c>
      <c r="C4" s="34" t="s">
        <v>416</v>
      </c>
      <c r="D4" s="34" t="s">
        <v>417</v>
      </c>
      <c r="E4" s="34" t="s">
        <v>418</v>
      </c>
      <c r="F4" s="34" t="s">
        <v>419</v>
      </c>
      <c r="G4" s="34" t="s">
        <v>420</v>
      </c>
      <c r="H4" s="34" t="s">
        <v>421</v>
      </c>
      <c r="I4" s="34" t="s">
        <v>422</v>
      </c>
      <c r="J4" s="34" t="s">
        <v>423</v>
      </c>
      <c r="K4" s="34" t="s">
        <v>424</v>
      </c>
      <c r="L4" s="34" t="s">
        <v>425</v>
      </c>
      <c r="M4" s="34" t="s">
        <v>426</v>
      </c>
      <c r="N4" s="34" t="s">
        <v>427</v>
      </c>
      <c r="O4" s="34" t="s">
        <v>428</v>
      </c>
      <c r="P4" s="34" t="s">
        <v>429</v>
      </c>
      <c r="Q4" s="34" t="s">
        <v>430</v>
      </c>
      <c r="R4" s="34" t="s">
        <v>431</v>
      </c>
      <c r="S4" s="34" t="s">
        <v>432</v>
      </c>
      <c r="T4" s="34" t="s">
        <v>433</v>
      </c>
    </row>
    <row r="5" spans="1:20" x14ac:dyDescent="0.3">
      <c r="A5" t="s">
        <v>40</v>
      </c>
      <c r="B5" t="s">
        <v>434</v>
      </c>
      <c r="C5" t="s">
        <v>435</v>
      </c>
      <c r="D5" t="s">
        <v>436</v>
      </c>
      <c r="E5">
        <v>23</v>
      </c>
      <c r="F5" s="35">
        <v>0.50749999999999995</v>
      </c>
      <c r="G5" s="35">
        <v>1.5354000000000001</v>
      </c>
      <c r="H5" s="36">
        <v>0.1396</v>
      </c>
      <c r="I5" s="36">
        <v>0.1009</v>
      </c>
      <c r="J5" s="36">
        <v>0.42699999999999999</v>
      </c>
      <c r="K5" s="35"/>
      <c r="M5" s="35"/>
      <c r="O5" s="36"/>
      <c r="P5" s="36">
        <v>0.60870000000000002</v>
      </c>
      <c r="Q5" s="35"/>
      <c r="R5" s="35"/>
      <c r="S5" s="36"/>
      <c r="T5" s="36"/>
    </row>
    <row r="6" spans="1:20" x14ac:dyDescent="0.3">
      <c r="A6" t="s">
        <v>40</v>
      </c>
      <c r="B6" t="s">
        <v>434</v>
      </c>
      <c r="C6" t="s">
        <v>437</v>
      </c>
      <c r="D6" t="s">
        <v>436</v>
      </c>
      <c r="E6">
        <v>23</v>
      </c>
      <c r="F6" s="35">
        <v>0.47720000000000001</v>
      </c>
      <c r="G6" s="35">
        <v>1.5044999999999999</v>
      </c>
      <c r="H6" s="36">
        <v>0.14729999999999999</v>
      </c>
      <c r="I6" s="36">
        <v>9.7299999999999998E-2</v>
      </c>
      <c r="J6" s="36">
        <v>0.46010000000000001</v>
      </c>
      <c r="K6" s="35"/>
      <c r="M6" s="35"/>
      <c r="O6" s="36"/>
      <c r="P6" s="36">
        <v>0.52170000000000005</v>
      </c>
      <c r="Q6" s="35"/>
      <c r="R6" s="35"/>
      <c r="S6" s="36"/>
      <c r="T6" s="36"/>
    </row>
    <row r="7" spans="1:20" x14ac:dyDescent="0.3">
      <c r="A7" t="s">
        <v>40</v>
      </c>
      <c r="B7" t="s">
        <v>434</v>
      </c>
      <c r="C7" t="s">
        <v>438</v>
      </c>
      <c r="D7" t="s">
        <v>436</v>
      </c>
      <c r="E7">
        <v>23</v>
      </c>
      <c r="F7" s="35">
        <v>6.7299999999999999E-2</v>
      </c>
      <c r="G7" s="35">
        <v>0.18720000000000001</v>
      </c>
      <c r="H7" s="36">
        <v>0.85329999999999995</v>
      </c>
      <c r="I7" s="36">
        <v>1.6999999999999999E-3</v>
      </c>
      <c r="J7" s="36">
        <v>-0.04</v>
      </c>
      <c r="K7" s="35"/>
      <c r="M7" s="35"/>
      <c r="O7" s="36"/>
      <c r="P7" s="36">
        <v>0.39129999999999998</v>
      </c>
      <c r="Q7" s="35"/>
      <c r="R7" s="35"/>
      <c r="S7" s="36"/>
      <c r="T7" s="36"/>
    </row>
    <row r="8" spans="1:20" x14ac:dyDescent="0.3">
      <c r="A8" t="s">
        <v>40</v>
      </c>
      <c r="B8" t="s">
        <v>434</v>
      </c>
      <c r="C8" t="s">
        <v>439</v>
      </c>
      <c r="D8" t="s">
        <v>436</v>
      </c>
      <c r="E8">
        <v>23</v>
      </c>
      <c r="F8" s="35">
        <v>0.12770000000000001</v>
      </c>
      <c r="G8" s="35">
        <v>0.36630000000000001</v>
      </c>
      <c r="H8" s="36">
        <v>0.71779999999999999</v>
      </c>
      <c r="I8" s="36">
        <v>6.3E-3</v>
      </c>
      <c r="J8" s="36">
        <v>5.1400000000000001E-2</v>
      </c>
      <c r="K8" s="35"/>
      <c r="M8" s="35"/>
      <c r="O8" s="36"/>
      <c r="P8" s="36">
        <v>0.39129999999999998</v>
      </c>
      <c r="Q8" s="35"/>
      <c r="R8" s="35"/>
      <c r="S8" s="36"/>
      <c r="T8" s="36"/>
    </row>
    <row r="9" spans="1:20" x14ac:dyDescent="0.3">
      <c r="A9" t="s">
        <v>40</v>
      </c>
      <c r="B9" t="s">
        <v>440</v>
      </c>
      <c r="C9" t="s">
        <v>435</v>
      </c>
      <c r="D9" t="s">
        <v>436</v>
      </c>
      <c r="E9">
        <v>23</v>
      </c>
      <c r="F9" s="35">
        <v>8.3302999999999994</v>
      </c>
      <c r="G9" s="35">
        <v>1.7523</v>
      </c>
      <c r="H9" s="36">
        <v>9.4299999999999995E-2</v>
      </c>
      <c r="I9" s="36">
        <v>0.12759999999999999</v>
      </c>
      <c r="J9" s="36">
        <v>0.38919999999999999</v>
      </c>
      <c r="K9" s="35">
        <v>2.6053000000000002</v>
      </c>
      <c r="L9">
        <v>19</v>
      </c>
      <c r="M9" s="35">
        <v>-5.7249999999999996</v>
      </c>
      <c r="N9">
        <v>4</v>
      </c>
      <c r="O9" s="36">
        <v>7.4499999999999997E-2</v>
      </c>
      <c r="P9" s="36"/>
      <c r="Q9" s="35"/>
      <c r="R9" s="35"/>
      <c r="S9" s="36"/>
      <c r="T9" s="36"/>
    </row>
    <row r="10" spans="1:20" x14ac:dyDescent="0.3">
      <c r="A10" t="s">
        <v>40</v>
      </c>
      <c r="B10" t="s">
        <v>440</v>
      </c>
      <c r="C10" t="s">
        <v>437</v>
      </c>
      <c r="D10" t="s">
        <v>436</v>
      </c>
      <c r="E10">
        <v>23</v>
      </c>
      <c r="F10" s="35">
        <v>8</v>
      </c>
      <c r="G10" s="35">
        <v>1.758</v>
      </c>
      <c r="H10" s="36">
        <v>9.3299999999999994E-2</v>
      </c>
      <c r="I10" s="36">
        <v>0.1283</v>
      </c>
      <c r="J10" s="36">
        <v>0.3805</v>
      </c>
      <c r="K10" s="35">
        <v>1.9</v>
      </c>
      <c r="L10">
        <v>19</v>
      </c>
      <c r="M10" s="35">
        <v>-6.1</v>
      </c>
      <c r="N10">
        <v>4</v>
      </c>
      <c r="O10" s="36">
        <v>5.6500000000000002E-2</v>
      </c>
      <c r="P10" s="36"/>
      <c r="Q10" s="35"/>
      <c r="R10" s="35"/>
      <c r="S10" s="36"/>
      <c r="T10" s="36"/>
    </row>
    <row r="11" spans="1:20" x14ac:dyDescent="0.3">
      <c r="A11" t="s">
        <v>40</v>
      </c>
      <c r="B11" t="s">
        <v>440</v>
      </c>
      <c r="C11" t="s">
        <v>438</v>
      </c>
      <c r="D11" t="s">
        <v>436</v>
      </c>
      <c r="E11">
        <v>23</v>
      </c>
      <c r="F11" s="35">
        <v>2.85</v>
      </c>
      <c r="G11" s="35">
        <v>0.54649999999999999</v>
      </c>
      <c r="H11" s="36">
        <v>0.59050000000000002</v>
      </c>
      <c r="I11" s="36">
        <v>1.4E-2</v>
      </c>
      <c r="J11" s="36">
        <v>0.15570000000000001</v>
      </c>
      <c r="K11" s="35">
        <v>-2.2000000000000002</v>
      </c>
      <c r="L11">
        <v>19</v>
      </c>
      <c r="M11" s="35">
        <v>-5.05</v>
      </c>
      <c r="N11">
        <v>4</v>
      </c>
      <c r="O11" s="36">
        <v>0.43940000000000001</v>
      </c>
      <c r="P11" s="36"/>
      <c r="Q11" s="35"/>
      <c r="R11" s="35"/>
      <c r="S11" s="36"/>
      <c r="T11" s="36"/>
    </row>
    <row r="12" spans="1:20" x14ac:dyDescent="0.3">
      <c r="A12" t="s">
        <v>40</v>
      </c>
      <c r="B12" t="s">
        <v>440</v>
      </c>
      <c r="C12" t="s">
        <v>439</v>
      </c>
      <c r="D12" t="s">
        <v>436</v>
      </c>
      <c r="E12">
        <v>23</v>
      </c>
      <c r="F12" s="35">
        <v>4.2591999999999999</v>
      </c>
      <c r="G12" s="35">
        <v>0.84819999999999995</v>
      </c>
      <c r="H12" s="36">
        <v>0.40589999999999998</v>
      </c>
      <c r="I12" s="36">
        <v>3.3099999999999997E-2</v>
      </c>
      <c r="J12" s="36">
        <v>0.15570000000000001</v>
      </c>
      <c r="K12" s="35">
        <v>-1.9157999999999999</v>
      </c>
      <c r="L12">
        <v>19</v>
      </c>
      <c r="M12" s="35">
        <v>-6.1749999999999998</v>
      </c>
      <c r="N12">
        <v>4</v>
      </c>
      <c r="O12" s="36">
        <v>0.35570000000000002</v>
      </c>
      <c r="P12" s="36"/>
      <c r="Q12" s="35"/>
      <c r="R12" s="35"/>
      <c r="S12" s="36"/>
      <c r="T12" s="36"/>
    </row>
    <row r="13" spans="1:20" x14ac:dyDescent="0.3">
      <c r="A13" t="s">
        <v>40</v>
      </c>
      <c r="B13" t="s">
        <v>441</v>
      </c>
      <c r="C13" t="s">
        <v>435</v>
      </c>
      <c r="D13" t="s">
        <v>436</v>
      </c>
      <c r="E13">
        <v>22</v>
      </c>
      <c r="F13" s="35">
        <v>1.44E-2</v>
      </c>
      <c r="G13" s="35">
        <v>0.45639999999999997</v>
      </c>
      <c r="H13" s="36">
        <v>0.65300000000000002</v>
      </c>
      <c r="I13" s="36">
        <v>1.03E-2</v>
      </c>
      <c r="J13" s="36">
        <v>0.11169999999999999</v>
      </c>
      <c r="K13" s="35"/>
      <c r="M13" s="35"/>
      <c r="O13" s="36"/>
      <c r="P13" s="36">
        <v>0.40910000000000002</v>
      </c>
      <c r="Q13" s="35"/>
      <c r="R13" s="35"/>
      <c r="S13" s="36"/>
      <c r="T13" s="36"/>
    </row>
    <row r="14" spans="1:20" x14ac:dyDescent="0.3">
      <c r="A14" t="s">
        <v>40</v>
      </c>
      <c r="B14" t="s">
        <v>441</v>
      </c>
      <c r="C14" t="s">
        <v>437</v>
      </c>
      <c r="D14" t="s">
        <v>436</v>
      </c>
      <c r="E14">
        <v>22</v>
      </c>
      <c r="F14" s="35">
        <v>1.3899999999999999E-2</v>
      </c>
      <c r="G14" s="35">
        <v>0.46400000000000002</v>
      </c>
      <c r="H14" s="36">
        <v>0.64770000000000005</v>
      </c>
      <c r="I14" s="36">
        <v>1.06E-2</v>
      </c>
      <c r="J14" s="36">
        <v>0.12520000000000001</v>
      </c>
      <c r="K14" s="35"/>
      <c r="M14" s="35"/>
      <c r="O14" s="36"/>
      <c r="P14" s="36">
        <v>0.5</v>
      </c>
      <c r="Q14" s="35"/>
      <c r="R14" s="35"/>
      <c r="S14" s="36"/>
      <c r="T14" s="36"/>
    </row>
    <row r="15" spans="1:20" x14ac:dyDescent="0.3">
      <c r="A15" t="s">
        <v>40</v>
      </c>
      <c r="B15" t="s">
        <v>441</v>
      </c>
      <c r="C15" t="s">
        <v>438</v>
      </c>
      <c r="D15" t="s">
        <v>436</v>
      </c>
      <c r="E15">
        <v>22</v>
      </c>
      <c r="F15" s="35">
        <v>-2.6800000000000001E-2</v>
      </c>
      <c r="G15" s="35">
        <v>-0.79479999999999995</v>
      </c>
      <c r="H15" s="36">
        <v>0.436</v>
      </c>
      <c r="I15" s="36">
        <v>3.0599999999999999E-2</v>
      </c>
      <c r="J15" s="36">
        <v>-0.35589999999999999</v>
      </c>
      <c r="K15" s="35"/>
      <c r="M15" s="35"/>
      <c r="O15" s="36"/>
      <c r="P15" s="36">
        <v>0.2727</v>
      </c>
      <c r="Q15" s="35"/>
      <c r="R15" s="35"/>
      <c r="S15" s="36"/>
      <c r="T15" s="36"/>
    </row>
    <row r="16" spans="1:20" x14ac:dyDescent="0.3">
      <c r="A16" t="s">
        <v>40</v>
      </c>
      <c r="B16" t="s">
        <v>441</v>
      </c>
      <c r="C16" t="s">
        <v>439</v>
      </c>
      <c r="D16" t="s">
        <v>436</v>
      </c>
      <c r="E16">
        <v>22</v>
      </c>
      <c r="F16" s="35">
        <v>-1.18E-2</v>
      </c>
      <c r="G16" s="35">
        <v>-0.35580000000000001</v>
      </c>
      <c r="H16" s="36">
        <v>0.72570000000000001</v>
      </c>
      <c r="I16" s="36">
        <v>6.3E-3</v>
      </c>
      <c r="J16" s="36">
        <v>-0.1961</v>
      </c>
      <c r="K16" s="35"/>
      <c r="M16" s="35"/>
      <c r="O16" s="36"/>
      <c r="P16" s="36">
        <v>0.31819999999999998</v>
      </c>
      <c r="Q16" s="35"/>
      <c r="R16" s="35"/>
      <c r="S16" s="36"/>
      <c r="T16" s="36"/>
    </row>
    <row r="17" spans="1:20" x14ac:dyDescent="0.3">
      <c r="A17" t="s">
        <v>40</v>
      </c>
      <c r="B17" t="s">
        <v>442</v>
      </c>
      <c r="C17" t="s">
        <v>435</v>
      </c>
      <c r="D17" t="s">
        <v>436</v>
      </c>
      <c r="E17">
        <v>21</v>
      </c>
      <c r="F17" s="35">
        <v>-1.61E-2</v>
      </c>
      <c r="G17" s="35">
        <v>-0.66169999999999995</v>
      </c>
      <c r="H17" s="36">
        <v>0.5161</v>
      </c>
      <c r="I17" s="36">
        <v>2.2499999999999999E-2</v>
      </c>
      <c r="J17" s="36">
        <v>0.1295</v>
      </c>
      <c r="K17" s="35"/>
      <c r="M17" s="35"/>
      <c r="O17" s="36"/>
      <c r="P17" s="36">
        <v>0.47620000000000001</v>
      </c>
      <c r="Q17" s="35"/>
      <c r="R17" s="35"/>
      <c r="S17" s="36"/>
      <c r="T17" s="36"/>
    </row>
    <row r="18" spans="1:20" x14ac:dyDescent="0.3">
      <c r="A18" t="s">
        <v>40</v>
      </c>
      <c r="B18" t="s">
        <v>442</v>
      </c>
      <c r="C18" t="s">
        <v>437</v>
      </c>
      <c r="D18" t="s">
        <v>436</v>
      </c>
      <c r="E18">
        <v>21</v>
      </c>
      <c r="F18" s="35">
        <v>-1.7000000000000001E-2</v>
      </c>
      <c r="G18" s="35">
        <v>-0.73570000000000002</v>
      </c>
      <c r="H18" s="36">
        <v>0.47089999999999999</v>
      </c>
      <c r="I18" s="36">
        <v>2.7699999999999999E-2</v>
      </c>
      <c r="J18" s="36">
        <v>0.1268</v>
      </c>
      <c r="K18" s="35"/>
      <c r="M18" s="35"/>
      <c r="O18" s="36"/>
      <c r="P18" s="36">
        <v>0.42859999999999998</v>
      </c>
      <c r="Q18" s="35"/>
      <c r="R18" s="35"/>
      <c r="S18" s="36"/>
      <c r="T18" s="36"/>
    </row>
    <row r="19" spans="1:20" x14ac:dyDescent="0.3">
      <c r="A19" t="s">
        <v>40</v>
      </c>
      <c r="B19" t="s">
        <v>442</v>
      </c>
      <c r="C19" t="s">
        <v>438</v>
      </c>
      <c r="D19" t="s">
        <v>436</v>
      </c>
      <c r="E19">
        <v>21</v>
      </c>
      <c r="F19" s="35">
        <v>-2.12E-2</v>
      </c>
      <c r="G19" s="35">
        <v>-0.81269999999999998</v>
      </c>
      <c r="H19" s="36">
        <v>0.4264</v>
      </c>
      <c r="I19" s="36">
        <v>3.3599999999999998E-2</v>
      </c>
      <c r="J19" s="36">
        <v>6.9999999999999999E-4</v>
      </c>
      <c r="K19" s="35"/>
      <c r="M19" s="35"/>
      <c r="O19" s="36"/>
      <c r="P19" s="36">
        <v>0.38100000000000001</v>
      </c>
      <c r="Q19" s="35"/>
      <c r="R19" s="35"/>
      <c r="S19" s="36"/>
      <c r="T19" s="36"/>
    </row>
    <row r="20" spans="1:20" x14ac:dyDescent="0.3">
      <c r="A20" t="s">
        <v>40</v>
      </c>
      <c r="B20" t="s">
        <v>442</v>
      </c>
      <c r="C20" t="s">
        <v>439</v>
      </c>
      <c r="D20" t="s">
        <v>436</v>
      </c>
      <c r="E20">
        <v>21</v>
      </c>
      <c r="F20" s="35">
        <v>-2.2599999999999999E-2</v>
      </c>
      <c r="G20" s="35">
        <v>-0.89659999999999995</v>
      </c>
      <c r="H20" s="36">
        <v>0.38119999999999998</v>
      </c>
      <c r="I20" s="36">
        <v>4.0599999999999997E-2</v>
      </c>
      <c r="J20" s="36">
        <v>-6.1800000000000001E-2</v>
      </c>
      <c r="K20" s="35"/>
      <c r="M20" s="35"/>
      <c r="O20" s="36"/>
      <c r="P20" s="36">
        <v>0.38100000000000001</v>
      </c>
      <c r="Q20" s="35"/>
      <c r="R20" s="35"/>
      <c r="S20" s="36"/>
      <c r="T20" s="36"/>
    </row>
    <row r="21" spans="1:20" x14ac:dyDescent="0.3">
      <c r="A21" t="s">
        <v>443</v>
      </c>
      <c r="B21" t="s">
        <v>444</v>
      </c>
      <c r="C21" t="s">
        <v>435</v>
      </c>
      <c r="D21" t="s">
        <v>436</v>
      </c>
      <c r="E21">
        <v>20</v>
      </c>
      <c r="F21" s="35">
        <v>-4.0776000000000003</v>
      </c>
      <c r="G21" s="35">
        <v>-1.3648</v>
      </c>
      <c r="H21" s="36">
        <v>0.18909999999999999</v>
      </c>
      <c r="I21" s="36">
        <v>9.3799999999999994E-2</v>
      </c>
      <c r="J21" s="36">
        <v>-3.0800000000000001E-2</v>
      </c>
      <c r="K21" s="35"/>
      <c r="M21" s="35"/>
      <c r="O21" s="36"/>
      <c r="P21" s="36">
        <v>0.4</v>
      </c>
      <c r="Q21" s="35"/>
      <c r="R21" s="35"/>
      <c r="S21" s="36"/>
      <c r="T21" s="36"/>
    </row>
    <row r="22" spans="1:20" x14ac:dyDescent="0.3">
      <c r="A22" t="s">
        <v>443</v>
      </c>
      <c r="B22" t="s">
        <v>444</v>
      </c>
      <c r="C22" t="s">
        <v>437</v>
      </c>
      <c r="D22" t="s">
        <v>436</v>
      </c>
      <c r="E22">
        <v>20</v>
      </c>
      <c r="F22" s="35">
        <v>-3.9281000000000001</v>
      </c>
      <c r="G22" s="35">
        <v>-1.3952</v>
      </c>
      <c r="H22" s="36">
        <v>0.1799</v>
      </c>
      <c r="I22" s="36">
        <v>9.7600000000000006E-2</v>
      </c>
      <c r="J22" s="36">
        <v>-2.41E-2</v>
      </c>
      <c r="K22" s="35"/>
      <c r="M22" s="35"/>
      <c r="O22" s="36"/>
      <c r="P22" s="36">
        <v>0.45</v>
      </c>
      <c r="Q22" s="35"/>
      <c r="R22" s="35"/>
      <c r="S22" s="36"/>
      <c r="T22" s="36"/>
    </row>
    <row r="23" spans="1:20" x14ac:dyDescent="0.3">
      <c r="A23" t="s">
        <v>443</v>
      </c>
      <c r="B23" t="s">
        <v>444</v>
      </c>
      <c r="C23" t="s">
        <v>438</v>
      </c>
      <c r="D23" t="s">
        <v>436</v>
      </c>
      <c r="E23">
        <v>20</v>
      </c>
      <c r="F23" s="35">
        <v>-1.6209</v>
      </c>
      <c r="G23" s="35">
        <v>-0.49459999999999998</v>
      </c>
      <c r="H23" s="36">
        <v>0.62690000000000001</v>
      </c>
      <c r="I23" s="36">
        <v>1.34E-2</v>
      </c>
      <c r="J23" s="36">
        <v>-0.2271</v>
      </c>
      <c r="K23" s="35"/>
      <c r="M23" s="35"/>
      <c r="O23" s="36"/>
      <c r="P23" s="36">
        <v>0.35</v>
      </c>
      <c r="Q23" s="35"/>
      <c r="R23" s="35"/>
      <c r="S23" s="36"/>
      <c r="T23" s="36"/>
    </row>
    <row r="24" spans="1:20" x14ac:dyDescent="0.3">
      <c r="A24" t="s">
        <v>443</v>
      </c>
      <c r="B24" t="s">
        <v>444</v>
      </c>
      <c r="C24" t="s">
        <v>439</v>
      </c>
      <c r="D24" t="s">
        <v>436</v>
      </c>
      <c r="E24">
        <v>20</v>
      </c>
      <c r="F24" s="35">
        <v>-1.7954000000000001</v>
      </c>
      <c r="G24" s="35">
        <v>-0.57440000000000002</v>
      </c>
      <c r="H24" s="36">
        <v>0.57279999999999998</v>
      </c>
      <c r="I24" s="36">
        <v>1.7999999999999999E-2</v>
      </c>
      <c r="J24" s="36">
        <v>-9.0200000000000002E-2</v>
      </c>
      <c r="K24" s="35"/>
      <c r="M24" s="35"/>
      <c r="O24" s="36"/>
      <c r="P24" s="36">
        <v>0.35</v>
      </c>
      <c r="Q24" s="35"/>
      <c r="R24" s="35"/>
      <c r="S24" s="36"/>
      <c r="T24" s="36"/>
    </row>
    <row r="25" spans="1:20" x14ac:dyDescent="0.3">
      <c r="A25" t="s">
        <v>443</v>
      </c>
      <c r="B25" t="s">
        <v>445</v>
      </c>
      <c r="C25" t="s">
        <v>435</v>
      </c>
      <c r="D25" t="s">
        <v>436</v>
      </c>
      <c r="E25">
        <v>20</v>
      </c>
      <c r="F25" s="35">
        <v>1.175</v>
      </c>
      <c r="G25" s="35">
        <v>0.2712</v>
      </c>
      <c r="H25" s="36">
        <v>0.7893</v>
      </c>
      <c r="I25" s="36">
        <v>4.1000000000000003E-3</v>
      </c>
      <c r="J25" s="36">
        <v>4.4299999999999999E-2</v>
      </c>
      <c r="K25" s="35">
        <v>1.4</v>
      </c>
      <c r="L25">
        <v>12</v>
      </c>
      <c r="M25" s="35">
        <v>0.22500000000000001</v>
      </c>
      <c r="N25">
        <v>8</v>
      </c>
      <c r="O25" s="36">
        <v>0.77980000000000005</v>
      </c>
      <c r="P25" s="36"/>
      <c r="Q25" s="35"/>
      <c r="R25" s="35"/>
      <c r="S25" s="36"/>
      <c r="T25" s="36"/>
    </row>
    <row r="26" spans="1:20" x14ac:dyDescent="0.3">
      <c r="A26" t="s">
        <v>443</v>
      </c>
      <c r="B26" t="s">
        <v>445</v>
      </c>
      <c r="C26" t="s">
        <v>437</v>
      </c>
      <c r="D26" t="s">
        <v>436</v>
      </c>
      <c r="E26">
        <v>20</v>
      </c>
      <c r="F26" s="35">
        <v>1.2875000000000001</v>
      </c>
      <c r="G26" s="35">
        <v>0.31490000000000001</v>
      </c>
      <c r="H26" s="36">
        <v>0.75639999999999996</v>
      </c>
      <c r="I26" s="36">
        <v>5.4999999999999997E-3</v>
      </c>
      <c r="J26" s="36">
        <v>7.0800000000000002E-2</v>
      </c>
      <c r="K26" s="35">
        <v>0.85</v>
      </c>
      <c r="L26">
        <v>12</v>
      </c>
      <c r="M26" s="35">
        <v>-0.4375</v>
      </c>
      <c r="N26">
        <v>8</v>
      </c>
      <c r="O26" s="36">
        <v>0.74560000000000004</v>
      </c>
      <c r="P26" s="36"/>
      <c r="Q26" s="35"/>
      <c r="R26" s="35"/>
      <c r="S26" s="36"/>
      <c r="T26" s="36"/>
    </row>
    <row r="27" spans="1:20" x14ac:dyDescent="0.3">
      <c r="A27" t="s">
        <v>443</v>
      </c>
      <c r="B27" t="s">
        <v>445</v>
      </c>
      <c r="C27" t="s">
        <v>438</v>
      </c>
      <c r="D27" t="s">
        <v>436</v>
      </c>
      <c r="E27">
        <v>20</v>
      </c>
      <c r="F27" s="35">
        <v>-3.0958000000000001</v>
      </c>
      <c r="G27" s="35">
        <v>-0.68720000000000003</v>
      </c>
      <c r="H27" s="36">
        <v>0.50070000000000003</v>
      </c>
      <c r="I27" s="36">
        <v>2.5600000000000001E-2</v>
      </c>
      <c r="J27" s="36">
        <v>-0.21240000000000001</v>
      </c>
      <c r="K27" s="35">
        <v>-4.5833000000000004</v>
      </c>
      <c r="L27">
        <v>12</v>
      </c>
      <c r="M27" s="35">
        <v>-1.4875</v>
      </c>
      <c r="N27">
        <v>8</v>
      </c>
      <c r="O27" s="36">
        <v>0.45429999999999998</v>
      </c>
      <c r="P27" s="36"/>
      <c r="Q27" s="35"/>
      <c r="R27" s="35"/>
      <c r="S27" s="36"/>
      <c r="T27" s="36"/>
    </row>
    <row r="28" spans="1:20" x14ac:dyDescent="0.3">
      <c r="A28" t="s">
        <v>443</v>
      </c>
      <c r="B28" t="s">
        <v>445</v>
      </c>
      <c r="C28" t="s">
        <v>439</v>
      </c>
      <c r="D28" t="s">
        <v>436</v>
      </c>
      <c r="E28">
        <v>20</v>
      </c>
      <c r="F28" s="35">
        <v>-0.75</v>
      </c>
      <c r="G28" s="35">
        <v>-0.17199999999999999</v>
      </c>
      <c r="H28" s="36">
        <v>0.86529999999999996</v>
      </c>
      <c r="I28" s="36">
        <v>1.6000000000000001E-3</v>
      </c>
      <c r="J28" s="36">
        <v>-8.8499999999999995E-2</v>
      </c>
      <c r="K28" s="35">
        <v>-3.5</v>
      </c>
      <c r="L28">
        <v>12</v>
      </c>
      <c r="M28" s="35">
        <v>-2.75</v>
      </c>
      <c r="N28">
        <v>8</v>
      </c>
      <c r="O28" s="36">
        <v>0.85599999999999998</v>
      </c>
      <c r="P28" s="36"/>
      <c r="Q28" s="35"/>
      <c r="R28" s="35"/>
      <c r="S28" s="36"/>
      <c r="T28" s="36"/>
    </row>
    <row r="29" spans="1:20" x14ac:dyDescent="0.3">
      <c r="A29" t="s">
        <v>443</v>
      </c>
      <c r="B29" t="s">
        <v>446</v>
      </c>
      <c r="C29" t="s">
        <v>435</v>
      </c>
      <c r="D29" t="s">
        <v>436</v>
      </c>
      <c r="E29">
        <v>10</v>
      </c>
      <c r="F29" s="35">
        <v>2.46E-2</v>
      </c>
      <c r="G29" s="35">
        <v>1.306</v>
      </c>
      <c r="H29" s="36">
        <v>0.22789999999999999</v>
      </c>
      <c r="I29" s="36">
        <v>0.1757</v>
      </c>
      <c r="J29" s="36">
        <v>5.45E-2</v>
      </c>
      <c r="K29" s="35"/>
      <c r="M29" s="35"/>
      <c r="O29" s="36"/>
      <c r="P29" s="36">
        <v>0.3</v>
      </c>
      <c r="Q29" s="35"/>
      <c r="R29" s="35"/>
      <c r="S29" s="36"/>
      <c r="T29" s="36"/>
    </row>
    <row r="30" spans="1:20" x14ac:dyDescent="0.3">
      <c r="A30" t="s">
        <v>443</v>
      </c>
      <c r="B30" t="s">
        <v>446</v>
      </c>
      <c r="C30" t="s">
        <v>437</v>
      </c>
      <c r="D30" t="s">
        <v>436</v>
      </c>
      <c r="E30">
        <v>10</v>
      </c>
      <c r="F30" s="35">
        <v>2.4299999999999999E-2</v>
      </c>
      <c r="G30" s="35">
        <v>1.3601000000000001</v>
      </c>
      <c r="H30" s="36">
        <v>0.2109</v>
      </c>
      <c r="I30" s="36">
        <v>0.18779999999999999</v>
      </c>
      <c r="J30" s="36">
        <v>0.2</v>
      </c>
      <c r="K30" s="35"/>
      <c r="M30" s="35"/>
      <c r="O30" s="36"/>
      <c r="P30" s="36">
        <v>0.5</v>
      </c>
      <c r="Q30" s="35"/>
      <c r="R30" s="35"/>
      <c r="S30" s="36"/>
      <c r="T30" s="36"/>
    </row>
    <row r="31" spans="1:20" x14ac:dyDescent="0.3">
      <c r="A31" t="s">
        <v>443</v>
      </c>
      <c r="B31" t="s">
        <v>446</v>
      </c>
      <c r="C31" t="s">
        <v>438</v>
      </c>
      <c r="D31" t="s">
        <v>436</v>
      </c>
      <c r="E31">
        <v>10</v>
      </c>
      <c r="F31" s="35">
        <v>5.0000000000000001E-3</v>
      </c>
      <c r="G31" s="35">
        <v>0.23369999999999999</v>
      </c>
      <c r="H31" s="36">
        <v>0.82110000000000005</v>
      </c>
      <c r="I31" s="36">
        <v>6.7999999999999996E-3</v>
      </c>
      <c r="J31" s="36">
        <v>-4.24E-2</v>
      </c>
      <c r="K31" s="35"/>
      <c r="M31" s="35"/>
      <c r="O31" s="36"/>
      <c r="P31" s="36">
        <v>0.4</v>
      </c>
      <c r="Q31" s="35"/>
      <c r="R31" s="35"/>
      <c r="S31" s="36"/>
      <c r="T31" s="36"/>
    </row>
    <row r="32" spans="1:20" x14ac:dyDescent="0.3">
      <c r="A32" t="s">
        <v>443</v>
      </c>
      <c r="B32" t="s">
        <v>446</v>
      </c>
      <c r="C32" t="s">
        <v>439</v>
      </c>
      <c r="D32" t="s">
        <v>436</v>
      </c>
      <c r="E32">
        <v>10</v>
      </c>
      <c r="F32" s="35">
        <v>1.6799999999999999E-2</v>
      </c>
      <c r="G32" s="35">
        <v>0.73170000000000002</v>
      </c>
      <c r="H32" s="36">
        <v>0.48520000000000002</v>
      </c>
      <c r="I32" s="36">
        <v>6.2700000000000006E-2</v>
      </c>
      <c r="J32" s="36">
        <v>9.0899999999999995E-2</v>
      </c>
      <c r="K32" s="35"/>
      <c r="M32" s="35"/>
      <c r="O32" s="36"/>
      <c r="P32" s="36">
        <v>0.4</v>
      </c>
      <c r="Q32" s="35"/>
      <c r="R32" s="35"/>
      <c r="S32" s="36"/>
      <c r="T32" s="36"/>
    </row>
    <row r="33" spans="1:20" x14ac:dyDescent="0.3">
      <c r="A33" t="s">
        <v>447</v>
      </c>
      <c r="B33" t="s">
        <v>434</v>
      </c>
      <c r="C33" t="s">
        <v>435</v>
      </c>
      <c r="D33" t="s">
        <v>436</v>
      </c>
      <c r="E33">
        <v>13</v>
      </c>
      <c r="F33" s="35">
        <v>-8.2100000000000006E-2</v>
      </c>
      <c r="G33" s="35">
        <v>-0.30280000000000001</v>
      </c>
      <c r="H33" s="36">
        <v>0.76770000000000005</v>
      </c>
      <c r="I33" s="36">
        <v>8.3000000000000001E-3</v>
      </c>
      <c r="J33" s="36">
        <v>2.1999999999999999E-2</v>
      </c>
      <c r="K33" s="35"/>
      <c r="M33" s="35"/>
      <c r="O33" s="36"/>
      <c r="P33" s="36">
        <v>0.69230000000000003</v>
      </c>
      <c r="Q33" s="35"/>
      <c r="R33" s="35"/>
      <c r="S33" s="36"/>
      <c r="T33" s="36"/>
    </row>
    <row r="34" spans="1:20" x14ac:dyDescent="0.3">
      <c r="A34" t="s">
        <v>447</v>
      </c>
      <c r="B34" t="s">
        <v>434</v>
      </c>
      <c r="C34" t="s">
        <v>437</v>
      </c>
      <c r="D34" t="s">
        <v>436</v>
      </c>
      <c r="E34">
        <v>13</v>
      </c>
      <c r="F34" s="35">
        <v>-0.13500000000000001</v>
      </c>
      <c r="G34" s="35">
        <v>-0.5121</v>
      </c>
      <c r="H34" s="36">
        <v>0.61870000000000003</v>
      </c>
      <c r="I34" s="36">
        <v>2.3300000000000001E-2</v>
      </c>
      <c r="J34" s="36">
        <v>-6.0400000000000002E-2</v>
      </c>
      <c r="K34" s="35"/>
      <c r="M34" s="35"/>
      <c r="O34" s="36"/>
      <c r="P34" s="36">
        <v>0.61539999999999995</v>
      </c>
      <c r="Q34" s="35"/>
      <c r="R34" s="35"/>
      <c r="S34" s="36"/>
      <c r="T34" s="36"/>
    </row>
    <row r="35" spans="1:20" x14ac:dyDescent="0.3">
      <c r="A35" t="s">
        <v>447</v>
      </c>
      <c r="B35" t="s">
        <v>434</v>
      </c>
      <c r="C35" t="s">
        <v>438</v>
      </c>
      <c r="D35" t="s">
        <v>436</v>
      </c>
      <c r="E35">
        <v>13</v>
      </c>
      <c r="F35" s="35">
        <v>-2.98E-2</v>
      </c>
      <c r="G35" s="35">
        <v>-7.7799999999999994E-2</v>
      </c>
      <c r="H35" s="36">
        <v>0.93940000000000001</v>
      </c>
      <c r="I35" s="36">
        <v>5.0000000000000001E-4</v>
      </c>
      <c r="J35" s="36">
        <v>-1.0999999999999999E-2</v>
      </c>
      <c r="K35" s="35"/>
      <c r="M35" s="35"/>
      <c r="O35" s="36"/>
      <c r="P35" s="36">
        <v>0.3846</v>
      </c>
      <c r="Q35" s="35"/>
      <c r="R35" s="35"/>
      <c r="S35" s="36"/>
      <c r="T35" s="36"/>
    </row>
    <row r="36" spans="1:20" x14ac:dyDescent="0.3">
      <c r="A36" t="s">
        <v>447</v>
      </c>
      <c r="B36" t="s">
        <v>434</v>
      </c>
      <c r="C36" t="s">
        <v>439</v>
      </c>
      <c r="D36" t="s">
        <v>436</v>
      </c>
      <c r="E36">
        <v>13</v>
      </c>
      <c r="F36" s="35">
        <v>-0.1646</v>
      </c>
      <c r="G36" s="35">
        <v>-0.51019999999999999</v>
      </c>
      <c r="H36" s="36">
        <v>0.62</v>
      </c>
      <c r="I36" s="36">
        <v>2.3099999999999999E-2</v>
      </c>
      <c r="J36" s="36">
        <v>-0.12640000000000001</v>
      </c>
      <c r="K36" s="35"/>
      <c r="M36" s="35"/>
      <c r="O36" s="36"/>
      <c r="P36" s="36">
        <v>0.30769999999999997</v>
      </c>
      <c r="Q36" s="35"/>
      <c r="R36" s="35"/>
      <c r="S36" s="36"/>
      <c r="T36" s="36"/>
    </row>
    <row r="37" spans="1:20" x14ac:dyDescent="0.3">
      <c r="A37" t="s">
        <v>447</v>
      </c>
      <c r="B37" t="s">
        <v>440</v>
      </c>
      <c r="C37" t="s">
        <v>435</v>
      </c>
      <c r="D37" t="s">
        <v>436</v>
      </c>
      <c r="E37">
        <v>13</v>
      </c>
      <c r="F37" s="35">
        <v>-9.9499999999999993</v>
      </c>
      <c r="G37" s="35">
        <v>-1.244</v>
      </c>
      <c r="H37" s="36">
        <v>0.2394</v>
      </c>
      <c r="I37" s="36">
        <v>0.12330000000000001</v>
      </c>
      <c r="J37" s="36">
        <v>-0.30859999999999999</v>
      </c>
      <c r="K37" s="35">
        <v>3.05</v>
      </c>
      <c r="L37">
        <v>12</v>
      </c>
      <c r="M37" s="35">
        <v>13</v>
      </c>
      <c r="N37">
        <v>1</v>
      </c>
      <c r="O37" s="36"/>
      <c r="P37" s="36"/>
      <c r="Q37" s="35"/>
      <c r="R37" s="35"/>
      <c r="S37" s="36"/>
      <c r="T37" s="36"/>
    </row>
    <row r="38" spans="1:20" x14ac:dyDescent="0.3">
      <c r="A38" t="s">
        <v>447</v>
      </c>
      <c r="B38" t="s">
        <v>440</v>
      </c>
      <c r="C38" t="s">
        <v>437</v>
      </c>
      <c r="D38" t="s">
        <v>436</v>
      </c>
      <c r="E38">
        <v>13</v>
      </c>
      <c r="F38" s="35">
        <v>-10.65</v>
      </c>
      <c r="G38" s="35">
        <v>-1.3773</v>
      </c>
      <c r="H38" s="36">
        <v>0.1958</v>
      </c>
      <c r="I38" s="36">
        <v>0.14710000000000001</v>
      </c>
      <c r="J38" s="36">
        <v>-0.30859999999999999</v>
      </c>
      <c r="K38" s="35">
        <v>2.25</v>
      </c>
      <c r="L38">
        <v>12</v>
      </c>
      <c r="M38" s="35">
        <v>12.9</v>
      </c>
      <c r="N38">
        <v>1</v>
      </c>
      <c r="O38" s="36"/>
      <c r="P38" s="36"/>
      <c r="Q38" s="35"/>
      <c r="R38" s="35"/>
      <c r="S38" s="36"/>
      <c r="T38" s="36"/>
    </row>
    <row r="39" spans="1:20" x14ac:dyDescent="0.3">
      <c r="A39" t="s">
        <v>447</v>
      </c>
      <c r="B39" t="s">
        <v>440</v>
      </c>
      <c r="C39" t="s">
        <v>438</v>
      </c>
      <c r="D39" t="s">
        <v>436</v>
      </c>
      <c r="E39">
        <v>13</v>
      </c>
      <c r="F39" s="35">
        <v>-9.65</v>
      </c>
      <c r="G39" s="35">
        <v>-0.82609999999999995</v>
      </c>
      <c r="H39" s="36">
        <v>0.42630000000000001</v>
      </c>
      <c r="I39" s="36">
        <v>5.8400000000000001E-2</v>
      </c>
      <c r="J39" s="36">
        <v>-0.30859999999999999</v>
      </c>
      <c r="K39" s="35">
        <v>-2.25</v>
      </c>
      <c r="L39">
        <v>12</v>
      </c>
      <c r="M39" s="35">
        <v>7.4</v>
      </c>
      <c r="N39">
        <v>1</v>
      </c>
      <c r="O39" s="36"/>
      <c r="P39" s="36"/>
      <c r="Q39" s="35"/>
      <c r="R39" s="35"/>
      <c r="S39" s="36"/>
      <c r="T39" s="36"/>
    </row>
    <row r="40" spans="1:20" x14ac:dyDescent="0.3">
      <c r="A40" t="s">
        <v>447</v>
      </c>
      <c r="B40" t="s">
        <v>440</v>
      </c>
      <c r="C40" t="s">
        <v>439</v>
      </c>
      <c r="D40" t="s">
        <v>436</v>
      </c>
      <c r="E40">
        <v>13</v>
      </c>
      <c r="F40" s="35">
        <v>-11.033300000000001</v>
      </c>
      <c r="G40" s="35">
        <v>-1.1378999999999999</v>
      </c>
      <c r="H40" s="36">
        <v>0.27939999999999998</v>
      </c>
      <c r="I40" s="36">
        <v>0.1053</v>
      </c>
      <c r="J40" s="36">
        <v>-0.38579999999999998</v>
      </c>
      <c r="K40" s="35">
        <v>-1.7333000000000001</v>
      </c>
      <c r="L40">
        <v>12</v>
      </c>
      <c r="M40" s="35">
        <v>9.3000000000000007</v>
      </c>
      <c r="N40">
        <v>1</v>
      </c>
      <c r="O40" s="36"/>
      <c r="P40" s="36"/>
      <c r="Q40" s="35"/>
      <c r="R40" s="35"/>
      <c r="S40" s="36"/>
      <c r="T40" s="36"/>
    </row>
    <row r="41" spans="1:20" x14ac:dyDescent="0.3">
      <c r="A41" t="s">
        <v>447</v>
      </c>
      <c r="B41" t="s">
        <v>441</v>
      </c>
      <c r="C41" t="s">
        <v>435</v>
      </c>
      <c r="D41" t="s">
        <v>436</v>
      </c>
      <c r="E41">
        <v>20</v>
      </c>
      <c r="F41" s="35">
        <v>0.1109</v>
      </c>
      <c r="G41" s="35">
        <v>1.1224000000000001</v>
      </c>
      <c r="H41" s="36">
        <v>0.27639999999999998</v>
      </c>
      <c r="I41" s="36">
        <v>6.54E-2</v>
      </c>
      <c r="J41" s="36">
        <v>0.30909999999999999</v>
      </c>
      <c r="K41" s="35"/>
      <c r="M41" s="35"/>
      <c r="O41" s="36"/>
      <c r="P41" s="36">
        <v>0.6</v>
      </c>
      <c r="Q41" s="35"/>
      <c r="R41" s="35"/>
      <c r="S41" s="36"/>
      <c r="T41" s="36"/>
    </row>
    <row r="42" spans="1:20" x14ac:dyDescent="0.3">
      <c r="A42" t="s">
        <v>447</v>
      </c>
      <c r="B42" t="s">
        <v>441</v>
      </c>
      <c r="C42" t="s">
        <v>437</v>
      </c>
      <c r="D42" t="s">
        <v>436</v>
      </c>
      <c r="E42">
        <v>20</v>
      </c>
      <c r="F42" s="35">
        <v>0.1041</v>
      </c>
      <c r="G42" s="35">
        <v>1.1034999999999999</v>
      </c>
      <c r="H42" s="36">
        <v>0.2843</v>
      </c>
      <c r="I42" s="36">
        <v>6.3399999999999998E-2</v>
      </c>
      <c r="J42" s="36">
        <v>0.30380000000000001</v>
      </c>
      <c r="K42" s="35"/>
      <c r="M42" s="35"/>
      <c r="O42" s="36"/>
      <c r="P42" s="36">
        <v>0.55000000000000004</v>
      </c>
      <c r="Q42" s="35"/>
      <c r="R42" s="35"/>
      <c r="S42" s="36"/>
      <c r="T42" s="36"/>
    </row>
    <row r="43" spans="1:20" x14ac:dyDescent="0.3">
      <c r="A43" t="s">
        <v>447</v>
      </c>
      <c r="B43" t="s">
        <v>441</v>
      </c>
      <c r="C43" t="s">
        <v>438</v>
      </c>
      <c r="D43" t="s">
        <v>436</v>
      </c>
      <c r="E43">
        <v>20</v>
      </c>
      <c r="F43" s="35">
        <v>-0.1915</v>
      </c>
      <c r="G43" s="35">
        <v>-1.9067000000000001</v>
      </c>
      <c r="H43" s="36">
        <v>7.2700000000000001E-2</v>
      </c>
      <c r="I43" s="36">
        <v>0.16800000000000001</v>
      </c>
      <c r="J43" s="36">
        <v>-0.1338</v>
      </c>
      <c r="K43" s="35"/>
      <c r="M43" s="35"/>
      <c r="O43" s="36"/>
      <c r="P43" s="36">
        <v>0.45</v>
      </c>
      <c r="Q43" s="35"/>
      <c r="R43" s="35"/>
      <c r="S43" s="36"/>
      <c r="T43" s="36"/>
    </row>
    <row r="44" spans="1:20" x14ac:dyDescent="0.3">
      <c r="A44" t="s">
        <v>447</v>
      </c>
      <c r="B44" t="s">
        <v>441</v>
      </c>
      <c r="C44" t="s">
        <v>439</v>
      </c>
      <c r="D44" t="s">
        <v>436</v>
      </c>
      <c r="E44">
        <v>20</v>
      </c>
      <c r="F44" s="35">
        <v>-7.9299999999999995E-2</v>
      </c>
      <c r="G44" s="35">
        <v>-0.75380000000000003</v>
      </c>
      <c r="H44" s="36">
        <v>0.4607</v>
      </c>
      <c r="I44" s="36">
        <v>3.0599999999999999E-2</v>
      </c>
      <c r="J44" s="36">
        <v>-2.63E-2</v>
      </c>
      <c r="K44" s="35"/>
      <c r="M44" s="35"/>
      <c r="O44" s="36"/>
      <c r="P44" s="36">
        <v>0.45</v>
      </c>
      <c r="Q44" s="35"/>
      <c r="R44" s="35"/>
      <c r="S44" s="36"/>
      <c r="T44" s="36"/>
    </row>
    <row r="45" spans="1:20" x14ac:dyDescent="0.3">
      <c r="A45" t="s">
        <v>448</v>
      </c>
      <c r="B45" t="s">
        <v>434</v>
      </c>
      <c r="C45" t="s">
        <v>435</v>
      </c>
      <c r="D45" t="s">
        <v>436</v>
      </c>
      <c r="E45">
        <v>19</v>
      </c>
      <c r="F45" s="35">
        <v>0.1578</v>
      </c>
      <c r="G45" s="35">
        <v>0.17399999999999999</v>
      </c>
      <c r="H45" s="36">
        <v>0.8639</v>
      </c>
      <c r="I45" s="36">
        <v>1.8E-3</v>
      </c>
      <c r="J45" s="36">
        <v>0.24560000000000001</v>
      </c>
      <c r="K45" s="35"/>
      <c r="M45" s="35"/>
      <c r="O45" s="36"/>
      <c r="P45" s="36">
        <v>0.52629999999999999</v>
      </c>
      <c r="Q45" s="35"/>
      <c r="R45" s="35"/>
      <c r="S45" s="36"/>
      <c r="T45" s="36"/>
    </row>
    <row r="46" spans="1:20" x14ac:dyDescent="0.3">
      <c r="A46" t="s">
        <v>448</v>
      </c>
      <c r="B46" t="s">
        <v>434</v>
      </c>
      <c r="C46" t="s">
        <v>437</v>
      </c>
      <c r="D46" t="s">
        <v>436</v>
      </c>
      <c r="E46">
        <v>19</v>
      </c>
      <c r="F46" s="35">
        <v>0.16200000000000001</v>
      </c>
      <c r="G46" s="35">
        <v>0.17860000000000001</v>
      </c>
      <c r="H46" s="36">
        <v>0.86029999999999995</v>
      </c>
      <c r="I46" s="36">
        <v>1.9E-3</v>
      </c>
      <c r="J46" s="36">
        <v>0.25609999999999999</v>
      </c>
      <c r="K46" s="35"/>
      <c r="M46" s="35"/>
      <c r="O46" s="36"/>
      <c r="P46" s="36">
        <v>0.47370000000000001</v>
      </c>
      <c r="Q46" s="35"/>
      <c r="R46" s="35"/>
      <c r="S46" s="36"/>
      <c r="T46" s="36"/>
    </row>
    <row r="47" spans="1:20" x14ac:dyDescent="0.3">
      <c r="A47" t="s">
        <v>448</v>
      </c>
      <c r="B47" t="s">
        <v>434</v>
      </c>
      <c r="C47" t="s">
        <v>438</v>
      </c>
      <c r="D47" t="s">
        <v>436</v>
      </c>
      <c r="E47">
        <v>19</v>
      </c>
      <c r="F47" s="35">
        <v>0.83650000000000002</v>
      </c>
      <c r="G47" s="35">
        <v>0.76219999999999999</v>
      </c>
      <c r="H47" s="36">
        <v>0.45639999999999997</v>
      </c>
      <c r="I47" s="36">
        <v>3.3000000000000002E-2</v>
      </c>
      <c r="J47" s="36">
        <v>0.15440000000000001</v>
      </c>
      <c r="K47" s="35"/>
      <c r="M47" s="35"/>
      <c r="O47" s="36"/>
      <c r="P47" s="36">
        <v>0.42109999999999997</v>
      </c>
      <c r="Q47" s="35"/>
      <c r="R47" s="35"/>
      <c r="S47" s="36"/>
      <c r="T47" s="36"/>
    </row>
    <row r="48" spans="1:20" x14ac:dyDescent="0.3">
      <c r="A48" t="s">
        <v>448</v>
      </c>
      <c r="B48" t="s">
        <v>434</v>
      </c>
      <c r="C48" t="s">
        <v>439</v>
      </c>
      <c r="D48" t="s">
        <v>436</v>
      </c>
      <c r="E48">
        <v>19</v>
      </c>
      <c r="F48" s="35">
        <v>0.38100000000000001</v>
      </c>
      <c r="G48" s="35">
        <v>0.37690000000000001</v>
      </c>
      <c r="H48" s="36">
        <v>0.71089999999999998</v>
      </c>
      <c r="I48" s="36">
        <v>8.3000000000000001E-3</v>
      </c>
      <c r="J48" s="36">
        <v>9.5699999999999993E-2</v>
      </c>
      <c r="K48" s="35"/>
      <c r="M48" s="35"/>
      <c r="O48" s="36"/>
      <c r="P48" s="36">
        <v>0.36840000000000001</v>
      </c>
      <c r="Q48" s="35"/>
      <c r="R48" s="35"/>
      <c r="S48" s="36"/>
      <c r="T48" s="36"/>
    </row>
    <row r="49" spans="1:20" x14ac:dyDescent="0.3">
      <c r="A49" t="s">
        <v>448</v>
      </c>
      <c r="B49" t="s">
        <v>449</v>
      </c>
      <c r="C49" t="s">
        <v>435</v>
      </c>
      <c r="D49" t="s">
        <v>436</v>
      </c>
      <c r="E49">
        <v>19</v>
      </c>
      <c r="F49" s="35">
        <v>4.1726999999999999</v>
      </c>
      <c r="G49" s="35">
        <v>1.1976</v>
      </c>
      <c r="H49" s="36">
        <v>0.2475</v>
      </c>
      <c r="I49" s="36">
        <v>7.7799999999999994E-2</v>
      </c>
      <c r="J49" s="36">
        <v>0.36980000000000002</v>
      </c>
      <c r="K49" s="35">
        <v>5.0999999999999996</v>
      </c>
      <c r="L49">
        <v>8</v>
      </c>
      <c r="M49" s="35">
        <v>0.92730000000000001</v>
      </c>
      <c r="N49">
        <v>11</v>
      </c>
      <c r="O49" s="36">
        <v>0.2646</v>
      </c>
      <c r="P49" s="36"/>
      <c r="Q49" s="35"/>
      <c r="R49" s="35"/>
      <c r="S49" s="36"/>
      <c r="T49" s="36"/>
    </row>
    <row r="50" spans="1:20" x14ac:dyDescent="0.3">
      <c r="A50" t="s">
        <v>448</v>
      </c>
      <c r="B50" t="s">
        <v>449</v>
      </c>
      <c r="C50" t="s">
        <v>437</v>
      </c>
      <c r="D50" t="s">
        <v>436</v>
      </c>
      <c r="E50">
        <v>19</v>
      </c>
      <c r="F50" s="35">
        <v>4.1806999999999999</v>
      </c>
      <c r="G50" s="35">
        <v>1.2010000000000001</v>
      </c>
      <c r="H50" s="36">
        <v>0.2462</v>
      </c>
      <c r="I50" s="36">
        <v>7.8200000000000006E-2</v>
      </c>
      <c r="J50" s="36">
        <v>0.38919999999999999</v>
      </c>
      <c r="K50" s="35">
        <v>4.1624999999999996</v>
      </c>
      <c r="L50">
        <v>8</v>
      </c>
      <c r="M50" s="35">
        <v>-1.8200000000000001E-2</v>
      </c>
      <c r="N50">
        <v>11</v>
      </c>
      <c r="O50" s="36">
        <v>0.25740000000000002</v>
      </c>
      <c r="P50" s="36"/>
      <c r="Q50" s="35"/>
      <c r="R50" s="35"/>
      <c r="S50" s="36"/>
      <c r="T50" s="36"/>
    </row>
    <row r="51" spans="1:20" x14ac:dyDescent="0.3">
      <c r="A51" t="s">
        <v>448</v>
      </c>
      <c r="B51" t="s">
        <v>449</v>
      </c>
      <c r="C51" t="s">
        <v>438</v>
      </c>
      <c r="D51" t="s">
        <v>436</v>
      </c>
      <c r="E51">
        <v>19</v>
      </c>
      <c r="F51" s="35">
        <v>2.7705000000000002</v>
      </c>
      <c r="G51" s="35">
        <v>0.62849999999999995</v>
      </c>
      <c r="H51" s="36">
        <v>0.53810000000000002</v>
      </c>
      <c r="I51" s="36">
        <v>2.2700000000000001E-2</v>
      </c>
      <c r="J51" s="36">
        <v>0.1168</v>
      </c>
      <c r="K51" s="35">
        <v>0.32500000000000001</v>
      </c>
      <c r="L51">
        <v>8</v>
      </c>
      <c r="M51" s="35">
        <v>-2.4455</v>
      </c>
      <c r="N51">
        <v>11</v>
      </c>
      <c r="O51" s="36">
        <v>0.58179999999999998</v>
      </c>
      <c r="P51" s="36"/>
      <c r="Q51" s="35"/>
      <c r="R51" s="35"/>
      <c r="S51" s="36"/>
      <c r="T51" s="36"/>
    </row>
    <row r="52" spans="1:20" x14ac:dyDescent="0.3">
      <c r="A52" t="s">
        <v>448</v>
      </c>
      <c r="B52" t="s">
        <v>449</v>
      </c>
      <c r="C52" t="s">
        <v>439</v>
      </c>
      <c r="D52" t="s">
        <v>436</v>
      </c>
      <c r="E52">
        <v>19</v>
      </c>
      <c r="F52" s="35">
        <v>3.1795</v>
      </c>
      <c r="G52" s="35">
        <v>0.79849999999999999</v>
      </c>
      <c r="H52" s="36">
        <v>0.43559999999999999</v>
      </c>
      <c r="I52" s="36">
        <v>3.6200000000000003E-2</v>
      </c>
      <c r="J52" s="36">
        <v>0.1363</v>
      </c>
      <c r="K52" s="35">
        <v>0.72499999999999998</v>
      </c>
      <c r="L52">
        <v>8</v>
      </c>
      <c r="M52" s="35">
        <v>-2.4544999999999999</v>
      </c>
      <c r="N52">
        <v>11</v>
      </c>
      <c r="O52" s="36">
        <v>0.47120000000000001</v>
      </c>
      <c r="P52" s="36"/>
      <c r="Q52" s="35"/>
      <c r="R52" s="35"/>
      <c r="S52" s="36"/>
      <c r="T52" s="36"/>
    </row>
    <row r="53" spans="1:20" x14ac:dyDescent="0.3">
      <c r="A53" t="s">
        <v>448</v>
      </c>
      <c r="B53" t="s">
        <v>441</v>
      </c>
      <c r="C53" t="s">
        <v>435</v>
      </c>
      <c r="D53" t="s">
        <v>436</v>
      </c>
      <c r="E53">
        <v>20</v>
      </c>
      <c r="F53" s="35">
        <v>0.1426</v>
      </c>
      <c r="G53" s="35">
        <v>1.0215000000000001</v>
      </c>
      <c r="H53" s="36">
        <v>0.32050000000000001</v>
      </c>
      <c r="I53" s="36">
        <v>5.4800000000000001E-2</v>
      </c>
      <c r="J53" s="36">
        <v>0.29110000000000003</v>
      </c>
      <c r="K53" s="35"/>
      <c r="M53" s="35"/>
      <c r="O53" s="36"/>
      <c r="P53" s="36">
        <v>0.5</v>
      </c>
      <c r="Q53" s="35"/>
      <c r="R53" s="35"/>
      <c r="S53" s="36"/>
      <c r="T53" s="36"/>
    </row>
    <row r="54" spans="1:20" x14ac:dyDescent="0.3">
      <c r="A54" t="s">
        <v>448</v>
      </c>
      <c r="B54" t="s">
        <v>441</v>
      </c>
      <c r="C54" t="s">
        <v>437</v>
      </c>
      <c r="D54" t="s">
        <v>436</v>
      </c>
      <c r="E54">
        <v>20</v>
      </c>
      <c r="F54" s="35">
        <v>0.125</v>
      </c>
      <c r="G54" s="35">
        <v>0.93489999999999995</v>
      </c>
      <c r="H54" s="36">
        <v>0.36220000000000002</v>
      </c>
      <c r="I54" s="36">
        <v>4.6300000000000001E-2</v>
      </c>
      <c r="J54" s="36">
        <v>0.30530000000000002</v>
      </c>
      <c r="K54" s="35"/>
      <c r="M54" s="35"/>
      <c r="O54" s="36"/>
      <c r="P54" s="36">
        <v>0.55000000000000004</v>
      </c>
      <c r="Q54" s="35"/>
      <c r="R54" s="35"/>
      <c r="S54" s="36"/>
      <c r="T54" s="36"/>
    </row>
    <row r="55" spans="1:20" x14ac:dyDescent="0.3">
      <c r="A55" t="s">
        <v>448</v>
      </c>
      <c r="B55" t="s">
        <v>441</v>
      </c>
      <c r="C55" t="s">
        <v>438</v>
      </c>
      <c r="D55" t="s">
        <v>436</v>
      </c>
      <c r="E55">
        <v>20</v>
      </c>
      <c r="F55" s="35">
        <v>-0.31680000000000003</v>
      </c>
      <c r="G55" s="35">
        <v>-2.3378000000000001</v>
      </c>
      <c r="H55" s="37">
        <v>3.1099999999999999E-2</v>
      </c>
      <c r="I55" s="36">
        <v>0.2329</v>
      </c>
      <c r="J55" s="36">
        <v>-0.1459</v>
      </c>
      <c r="K55" s="35"/>
      <c r="M55" s="35"/>
      <c r="O55" s="36"/>
      <c r="P55" s="36">
        <v>0.45</v>
      </c>
      <c r="Q55" s="35"/>
      <c r="R55" s="35"/>
      <c r="S55" s="36"/>
      <c r="T55" s="36"/>
    </row>
    <row r="56" spans="1:20" x14ac:dyDescent="0.3">
      <c r="A56" t="s">
        <v>448</v>
      </c>
      <c r="B56" t="s">
        <v>441</v>
      </c>
      <c r="C56" t="s">
        <v>439</v>
      </c>
      <c r="D56" t="s">
        <v>436</v>
      </c>
      <c r="E56">
        <v>20</v>
      </c>
      <c r="F56" s="35">
        <v>-0.15140000000000001</v>
      </c>
      <c r="G56" s="35">
        <v>-1.0371999999999999</v>
      </c>
      <c r="H56" s="36">
        <v>0.31340000000000001</v>
      </c>
      <c r="I56" s="36">
        <v>5.6399999999999999E-2</v>
      </c>
      <c r="J56" s="36">
        <v>-1.1299999999999999E-2</v>
      </c>
      <c r="K56" s="35"/>
      <c r="M56" s="35"/>
      <c r="O56" s="36"/>
      <c r="P56" s="36">
        <v>0.45</v>
      </c>
      <c r="Q56" s="35"/>
      <c r="R56" s="35"/>
      <c r="S56" s="36"/>
      <c r="T56" s="36"/>
    </row>
    <row r="57" spans="1:20" x14ac:dyDescent="0.3">
      <c r="A57" t="s">
        <v>448</v>
      </c>
      <c r="B57" t="s">
        <v>442</v>
      </c>
      <c r="C57" t="s">
        <v>435</v>
      </c>
      <c r="D57" t="s">
        <v>436</v>
      </c>
      <c r="E57">
        <v>19</v>
      </c>
      <c r="F57" s="35">
        <v>9.0999999999999998E-2</v>
      </c>
      <c r="G57" s="35">
        <v>0.45610000000000001</v>
      </c>
      <c r="H57" s="36">
        <v>0.65410000000000001</v>
      </c>
      <c r="I57" s="36">
        <v>1.21E-2</v>
      </c>
      <c r="J57" s="36">
        <v>0.24840000000000001</v>
      </c>
      <c r="K57" s="35"/>
      <c r="M57" s="35"/>
      <c r="O57" s="36"/>
      <c r="P57" s="36">
        <v>0.63160000000000005</v>
      </c>
      <c r="Q57" s="35"/>
      <c r="R57" s="35"/>
      <c r="S57" s="36"/>
      <c r="T57" s="36"/>
    </row>
    <row r="58" spans="1:20" x14ac:dyDescent="0.3">
      <c r="A58" t="s">
        <v>448</v>
      </c>
      <c r="B58" t="s">
        <v>442</v>
      </c>
      <c r="C58" t="s">
        <v>437</v>
      </c>
      <c r="D58" t="s">
        <v>436</v>
      </c>
      <c r="E58">
        <v>19</v>
      </c>
      <c r="F58" s="35">
        <v>0.13370000000000001</v>
      </c>
      <c r="G58" s="35">
        <v>0.71630000000000005</v>
      </c>
      <c r="H58" s="36">
        <v>0.48349999999999999</v>
      </c>
      <c r="I58" s="36">
        <v>2.93E-2</v>
      </c>
      <c r="J58" s="36">
        <v>0.29649999999999999</v>
      </c>
      <c r="K58" s="35"/>
      <c r="M58" s="35"/>
      <c r="O58" s="36"/>
      <c r="P58" s="36">
        <v>0.68420000000000003</v>
      </c>
      <c r="Q58" s="35"/>
      <c r="R58" s="35"/>
      <c r="S58" s="36"/>
      <c r="T58" s="36"/>
    </row>
    <row r="59" spans="1:20" x14ac:dyDescent="0.3">
      <c r="A59" t="s">
        <v>448</v>
      </c>
      <c r="B59" t="s">
        <v>442</v>
      </c>
      <c r="C59" t="s">
        <v>438</v>
      </c>
      <c r="D59" t="s">
        <v>436</v>
      </c>
      <c r="E59">
        <v>19</v>
      </c>
      <c r="F59" s="35">
        <v>-0.18790000000000001</v>
      </c>
      <c r="G59" s="35">
        <v>-0.86609999999999998</v>
      </c>
      <c r="H59" s="36">
        <v>0.39850000000000002</v>
      </c>
      <c r="I59" s="36">
        <v>4.2299999999999997E-2</v>
      </c>
      <c r="J59" s="36">
        <v>4.7399999999999998E-2</v>
      </c>
      <c r="K59" s="35"/>
      <c r="M59" s="35"/>
      <c r="O59" s="36"/>
      <c r="P59" s="36">
        <v>0.57889999999999997</v>
      </c>
      <c r="Q59" s="35"/>
      <c r="R59" s="35"/>
      <c r="S59" s="36"/>
      <c r="T59" s="36"/>
    </row>
    <row r="60" spans="1:20" x14ac:dyDescent="0.3">
      <c r="A60" t="s">
        <v>448</v>
      </c>
      <c r="B60" t="s">
        <v>442</v>
      </c>
      <c r="C60" t="s">
        <v>439</v>
      </c>
      <c r="D60" t="s">
        <v>436</v>
      </c>
      <c r="E60">
        <v>19</v>
      </c>
      <c r="F60" s="35">
        <v>-7.7899999999999997E-2</v>
      </c>
      <c r="G60" s="35">
        <v>-0.36890000000000001</v>
      </c>
      <c r="H60" s="36">
        <v>0.71679999999999999</v>
      </c>
      <c r="I60" s="36">
        <v>7.9000000000000008E-3</v>
      </c>
      <c r="J60" s="36">
        <v>9.6500000000000002E-2</v>
      </c>
      <c r="K60" s="35"/>
      <c r="M60" s="35"/>
      <c r="O60" s="36"/>
      <c r="P60" s="36">
        <v>0.57889999999999997</v>
      </c>
      <c r="Q60" s="35"/>
      <c r="R60" s="35"/>
      <c r="S60" s="36"/>
      <c r="T60" s="36"/>
    </row>
    <row r="61" spans="1:20" x14ac:dyDescent="0.3">
      <c r="A61" t="s">
        <v>450</v>
      </c>
      <c r="B61" t="s">
        <v>434</v>
      </c>
      <c r="C61" t="s">
        <v>435</v>
      </c>
      <c r="D61" t="s">
        <v>436</v>
      </c>
      <c r="E61">
        <v>8</v>
      </c>
      <c r="F61" s="35">
        <v>8.9599999999999999E-2</v>
      </c>
      <c r="G61" s="35">
        <v>0.56759999999999999</v>
      </c>
      <c r="H61" s="36">
        <v>0.59089999999999998</v>
      </c>
      <c r="I61" s="36">
        <v>5.0999999999999997E-2</v>
      </c>
      <c r="J61" s="36">
        <v>-7.1400000000000005E-2</v>
      </c>
      <c r="K61" s="35"/>
      <c r="M61" s="35"/>
      <c r="O61" s="36"/>
      <c r="P61" s="36">
        <v>0.625</v>
      </c>
      <c r="Q61" s="35"/>
      <c r="R61" s="35"/>
      <c r="S61" s="36"/>
      <c r="T61" s="36"/>
    </row>
    <row r="62" spans="1:20" x14ac:dyDescent="0.3">
      <c r="A62" t="s">
        <v>450</v>
      </c>
      <c r="B62" t="s">
        <v>434</v>
      </c>
      <c r="C62" t="s">
        <v>437</v>
      </c>
      <c r="D62" t="s">
        <v>436</v>
      </c>
      <c r="E62">
        <v>8</v>
      </c>
      <c r="F62" s="35">
        <v>9.9099999999999994E-2</v>
      </c>
      <c r="G62" s="35">
        <v>0.6341</v>
      </c>
      <c r="H62" s="36">
        <v>0.5494</v>
      </c>
      <c r="I62" s="36">
        <v>6.2799999999999995E-2</v>
      </c>
      <c r="J62" s="36">
        <v>-2.3800000000000002E-2</v>
      </c>
      <c r="K62" s="35"/>
      <c r="M62" s="35"/>
      <c r="O62" s="36"/>
      <c r="P62" s="36">
        <v>0.5</v>
      </c>
      <c r="Q62" s="35"/>
      <c r="R62" s="35"/>
      <c r="S62" s="36"/>
      <c r="T62" s="36"/>
    </row>
    <row r="63" spans="1:20" x14ac:dyDescent="0.3">
      <c r="A63" t="s">
        <v>450</v>
      </c>
      <c r="B63" t="s">
        <v>434</v>
      </c>
      <c r="C63" t="s">
        <v>438</v>
      </c>
      <c r="D63" t="s">
        <v>436</v>
      </c>
      <c r="E63">
        <v>8</v>
      </c>
      <c r="F63" s="35">
        <v>-7.4700000000000003E-2</v>
      </c>
      <c r="G63" s="35">
        <v>-0.50139999999999996</v>
      </c>
      <c r="H63" s="36">
        <v>0.63400000000000001</v>
      </c>
      <c r="I63" s="36">
        <v>4.02E-2</v>
      </c>
      <c r="J63" s="36">
        <v>-7.1900000000000006E-2</v>
      </c>
      <c r="K63" s="35"/>
      <c r="M63" s="35"/>
      <c r="O63" s="36"/>
      <c r="P63" s="36">
        <v>0.375</v>
      </c>
      <c r="Q63" s="35"/>
      <c r="R63" s="35"/>
      <c r="S63" s="36"/>
      <c r="T63" s="36"/>
    </row>
    <row r="64" spans="1:20" x14ac:dyDescent="0.3">
      <c r="A64" t="s">
        <v>450</v>
      </c>
      <c r="B64" t="s">
        <v>434</v>
      </c>
      <c r="C64" t="s">
        <v>439</v>
      </c>
      <c r="D64" t="s">
        <v>436</v>
      </c>
      <c r="E64">
        <v>8</v>
      </c>
      <c r="F64" s="35">
        <v>-3.3500000000000002E-2</v>
      </c>
      <c r="G64" s="35">
        <v>-0.21299999999999999</v>
      </c>
      <c r="H64" s="36">
        <v>0.83840000000000003</v>
      </c>
      <c r="I64" s="36">
        <v>7.4999999999999997E-3</v>
      </c>
      <c r="J64" s="36">
        <v>-0.16669999999999999</v>
      </c>
      <c r="K64" s="35"/>
      <c r="M64" s="35"/>
      <c r="O64" s="36"/>
      <c r="P64" s="36">
        <v>0.5</v>
      </c>
      <c r="Q64" s="35"/>
      <c r="R64" s="35"/>
      <c r="S64" s="36"/>
      <c r="T64" s="36"/>
    </row>
    <row r="65" spans="1:20" x14ac:dyDescent="0.3">
      <c r="A65" t="s">
        <v>450</v>
      </c>
      <c r="B65" t="s">
        <v>440</v>
      </c>
      <c r="C65" t="s">
        <v>435</v>
      </c>
      <c r="D65" t="s">
        <v>436</v>
      </c>
      <c r="E65">
        <v>8</v>
      </c>
      <c r="F65" s="35"/>
      <c r="G65" s="35"/>
      <c r="H65" s="36"/>
      <c r="I65" s="36"/>
      <c r="J65" s="36"/>
      <c r="K65" s="35"/>
      <c r="M65" s="35"/>
      <c r="O65" s="36"/>
      <c r="P65" s="36"/>
      <c r="Q65" s="35"/>
      <c r="R65" s="35"/>
      <c r="S65" s="36"/>
      <c r="T65" s="36"/>
    </row>
    <row r="66" spans="1:20" x14ac:dyDescent="0.3">
      <c r="A66" t="s">
        <v>450</v>
      </c>
      <c r="B66" t="s">
        <v>440</v>
      </c>
      <c r="C66" t="s">
        <v>437</v>
      </c>
      <c r="D66" t="s">
        <v>436</v>
      </c>
      <c r="E66">
        <v>8</v>
      </c>
      <c r="F66" s="35"/>
      <c r="G66" s="35"/>
      <c r="H66" s="36"/>
      <c r="I66" s="36"/>
      <c r="J66" s="36"/>
      <c r="K66" s="35"/>
      <c r="M66" s="35"/>
      <c r="O66" s="36"/>
      <c r="P66" s="36"/>
      <c r="Q66" s="35"/>
      <c r="R66" s="35"/>
      <c r="S66" s="36"/>
      <c r="T66" s="36"/>
    </row>
    <row r="67" spans="1:20" x14ac:dyDescent="0.3">
      <c r="A67" t="s">
        <v>450</v>
      </c>
      <c r="B67" t="s">
        <v>440</v>
      </c>
      <c r="C67" t="s">
        <v>438</v>
      </c>
      <c r="D67" t="s">
        <v>436</v>
      </c>
      <c r="E67">
        <v>8</v>
      </c>
      <c r="F67" s="35"/>
      <c r="G67" s="35"/>
      <c r="H67" s="36"/>
      <c r="I67" s="36"/>
      <c r="J67" s="36"/>
      <c r="K67" s="35"/>
      <c r="M67" s="35"/>
      <c r="O67" s="36"/>
      <c r="P67" s="36"/>
      <c r="Q67" s="35"/>
      <c r="R67" s="35"/>
      <c r="S67" s="36"/>
      <c r="T67" s="36"/>
    </row>
    <row r="68" spans="1:20" x14ac:dyDescent="0.3">
      <c r="A68" t="s">
        <v>450</v>
      </c>
      <c r="B68" t="s">
        <v>440</v>
      </c>
      <c r="C68" t="s">
        <v>439</v>
      </c>
      <c r="D68" t="s">
        <v>436</v>
      </c>
      <c r="E68">
        <v>8</v>
      </c>
      <c r="F68" s="35"/>
      <c r="G68" s="35"/>
      <c r="H68" s="36"/>
      <c r="I68" s="36"/>
      <c r="J68" s="36"/>
      <c r="K68" s="35"/>
      <c r="M68" s="35"/>
      <c r="O68" s="36"/>
      <c r="P68" s="36"/>
      <c r="Q68" s="35"/>
      <c r="R68" s="35"/>
      <c r="S68" s="36"/>
      <c r="T68" s="36"/>
    </row>
    <row r="69" spans="1:20" x14ac:dyDescent="0.3">
      <c r="A69" t="s">
        <v>450</v>
      </c>
      <c r="B69" t="s">
        <v>441</v>
      </c>
      <c r="C69" t="s">
        <v>435</v>
      </c>
      <c r="D69" t="s">
        <v>436</v>
      </c>
      <c r="E69">
        <v>18</v>
      </c>
      <c r="F69" s="35">
        <v>2.0199999999999999E-2</v>
      </c>
      <c r="G69" s="35">
        <v>0.47270000000000001</v>
      </c>
      <c r="H69" s="36">
        <v>0.64280000000000004</v>
      </c>
      <c r="I69" s="36">
        <v>1.38E-2</v>
      </c>
      <c r="J69" s="36">
        <v>-6.8099999999999994E-2</v>
      </c>
      <c r="K69" s="35"/>
      <c r="M69" s="35"/>
      <c r="O69" s="36"/>
      <c r="P69" s="36">
        <v>0.5</v>
      </c>
      <c r="Q69" s="35"/>
      <c r="R69" s="35"/>
      <c r="S69" s="36"/>
      <c r="T69" s="36"/>
    </row>
    <row r="70" spans="1:20" x14ac:dyDescent="0.3">
      <c r="A70" t="s">
        <v>450</v>
      </c>
      <c r="B70" t="s">
        <v>441</v>
      </c>
      <c r="C70" t="s">
        <v>437</v>
      </c>
      <c r="D70" t="s">
        <v>436</v>
      </c>
      <c r="E70">
        <v>18</v>
      </c>
      <c r="F70" s="35">
        <v>1.17E-2</v>
      </c>
      <c r="G70" s="35">
        <v>0.28339999999999999</v>
      </c>
      <c r="H70" s="36">
        <v>0.78049999999999997</v>
      </c>
      <c r="I70" s="36">
        <v>5.0000000000000001E-3</v>
      </c>
      <c r="J70" s="36">
        <v>-5.2600000000000001E-2</v>
      </c>
      <c r="K70" s="35"/>
      <c r="M70" s="35"/>
      <c r="O70" s="36"/>
      <c r="P70" s="36">
        <v>0.44440000000000002</v>
      </c>
      <c r="Q70" s="35"/>
      <c r="R70" s="35"/>
      <c r="S70" s="36"/>
      <c r="T70" s="36"/>
    </row>
    <row r="71" spans="1:20" x14ac:dyDescent="0.3">
      <c r="A71" t="s">
        <v>450</v>
      </c>
      <c r="B71" t="s">
        <v>441</v>
      </c>
      <c r="C71" t="s">
        <v>438</v>
      </c>
      <c r="D71" t="s">
        <v>436</v>
      </c>
      <c r="E71">
        <v>18</v>
      </c>
      <c r="F71" s="35">
        <v>9.7000000000000003E-3</v>
      </c>
      <c r="G71" s="35">
        <v>0.2427</v>
      </c>
      <c r="H71" s="36">
        <v>0.81130000000000002</v>
      </c>
      <c r="I71" s="36">
        <v>3.7000000000000002E-3</v>
      </c>
      <c r="J71" s="36">
        <v>-4.8500000000000001E-2</v>
      </c>
      <c r="K71" s="35"/>
      <c r="M71" s="35"/>
      <c r="O71" s="36"/>
      <c r="P71" s="36">
        <v>0.44440000000000002</v>
      </c>
      <c r="Q71" s="35"/>
      <c r="R71" s="35"/>
      <c r="S71" s="36"/>
      <c r="T71" s="36"/>
    </row>
    <row r="72" spans="1:20" x14ac:dyDescent="0.3">
      <c r="A72" t="s">
        <v>450</v>
      </c>
      <c r="B72" t="s">
        <v>441</v>
      </c>
      <c r="C72" t="s">
        <v>439</v>
      </c>
      <c r="D72" t="s">
        <v>436</v>
      </c>
      <c r="E72">
        <v>18</v>
      </c>
      <c r="F72" s="35">
        <v>1.5699999999999999E-2</v>
      </c>
      <c r="G72" s="35">
        <v>0.36099999999999999</v>
      </c>
      <c r="H72" s="36">
        <v>0.7228</v>
      </c>
      <c r="I72" s="36">
        <v>8.0999999999999996E-3</v>
      </c>
      <c r="J72" s="36">
        <v>-2.3699999999999999E-2</v>
      </c>
      <c r="K72" s="35"/>
      <c r="M72" s="35"/>
      <c r="O72" s="36"/>
      <c r="P72" s="36">
        <v>0.44440000000000002</v>
      </c>
      <c r="Q72" s="35"/>
      <c r="R72" s="35"/>
      <c r="S72" s="36"/>
      <c r="T72" s="36"/>
    </row>
    <row r="73" spans="1:20" x14ac:dyDescent="0.3">
      <c r="A73" t="s">
        <v>451</v>
      </c>
      <c r="B73" t="s">
        <v>452</v>
      </c>
      <c r="C73" t="s">
        <v>435</v>
      </c>
      <c r="D73" t="s">
        <v>436</v>
      </c>
      <c r="E73">
        <v>20</v>
      </c>
      <c r="F73" s="35">
        <v>0.26669999999999999</v>
      </c>
      <c r="G73" s="35">
        <v>1.0225</v>
      </c>
      <c r="H73" s="36">
        <v>0.3201</v>
      </c>
      <c r="I73" s="36">
        <v>5.4899999999999997E-2</v>
      </c>
      <c r="J73" s="36">
        <v>9.5200000000000007E-2</v>
      </c>
      <c r="K73" s="35"/>
      <c r="M73" s="35"/>
      <c r="O73" s="36"/>
      <c r="P73" s="36">
        <v>0.5</v>
      </c>
      <c r="Q73" s="35"/>
      <c r="R73" s="35"/>
      <c r="S73" s="36"/>
      <c r="T73" s="36"/>
    </row>
    <row r="74" spans="1:20" x14ac:dyDescent="0.3">
      <c r="A74" t="s">
        <v>451</v>
      </c>
      <c r="B74" t="s">
        <v>452</v>
      </c>
      <c r="C74" t="s">
        <v>437</v>
      </c>
      <c r="D74" t="s">
        <v>436</v>
      </c>
      <c r="E74">
        <v>20</v>
      </c>
      <c r="F74" s="35">
        <v>0.19900000000000001</v>
      </c>
      <c r="G74" s="35">
        <v>0.79100000000000004</v>
      </c>
      <c r="H74" s="36">
        <v>0.43930000000000002</v>
      </c>
      <c r="I74" s="36">
        <v>3.3599999999999998E-2</v>
      </c>
      <c r="J74" s="36">
        <v>6.8400000000000002E-2</v>
      </c>
      <c r="K74" s="35"/>
      <c r="M74" s="35"/>
      <c r="O74" s="36"/>
      <c r="P74" s="36">
        <v>0.55000000000000004</v>
      </c>
      <c r="Q74" s="35"/>
      <c r="R74" s="35"/>
      <c r="S74" s="36"/>
      <c r="T74" s="36"/>
    </row>
    <row r="75" spans="1:20" x14ac:dyDescent="0.3">
      <c r="A75" t="s">
        <v>451</v>
      </c>
      <c r="B75" t="s">
        <v>452</v>
      </c>
      <c r="C75" t="s">
        <v>438</v>
      </c>
      <c r="D75" t="s">
        <v>436</v>
      </c>
      <c r="E75">
        <v>20</v>
      </c>
      <c r="F75" s="35">
        <v>-0.44340000000000002</v>
      </c>
      <c r="G75" s="35">
        <v>-1.6446000000000001</v>
      </c>
      <c r="H75" s="36">
        <v>0.1174</v>
      </c>
      <c r="I75" s="36">
        <v>0.13059999999999999</v>
      </c>
      <c r="J75" s="36">
        <v>-0.2399</v>
      </c>
      <c r="K75" s="35"/>
      <c r="M75" s="35"/>
      <c r="O75" s="36"/>
      <c r="P75" s="36">
        <v>0.45</v>
      </c>
      <c r="Q75" s="35"/>
      <c r="R75" s="35"/>
      <c r="S75" s="36"/>
      <c r="T75" s="36"/>
    </row>
    <row r="76" spans="1:20" x14ac:dyDescent="0.3">
      <c r="A76" t="s">
        <v>451</v>
      </c>
      <c r="B76" t="s">
        <v>452</v>
      </c>
      <c r="C76" t="s">
        <v>439</v>
      </c>
      <c r="D76" t="s">
        <v>436</v>
      </c>
      <c r="E76">
        <v>20</v>
      </c>
      <c r="F76" s="35">
        <v>-0.20610000000000001</v>
      </c>
      <c r="G76" s="35">
        <v>-0.74529999999999996</v>
      </c>
      <c r="H76" s="36">
        <v>0.4657</v>
      </c>
      <c r="I76" s="36">
        <v>2.9899999999999999E-2</v>
      </c>
      <c r="J76" s="36">
        <v>-0.17230000000000001</v>
      </c>
      <c r="K76" s="35"/>
      <c r="M76" s="35"/>
      <c r="O76" s="36"/>
      <c r="P76" s="36">
        <v>0.45</v>
      </c>
      <c r="Q76" s="35"/>
      <c r="R76" s="35"/>
      <c r="S76" s="36"/>
      <c r="T76" s="36"/>
    </row>
    <row r="77" spans="1:20" x14ac:dyDescent="0.3">
      <c r="A77" t="s">
        <v>453</v>
      </c>
      <c r="B77" t="s">
        <v>434</v>
      </c>
      <c r="C77" t="s">
        <v>435</v>
      </c>
      <c r="D77" t="s">
        <v>436</v>
      </c>
      <c r="E77">
        <v>5</v>
      </c>
      <c r="F77" s="35"/>
      <c r="G77" s="35"/>
      <c r="H77" s="36"/>
      <c r="I77" s="36"/>
      <c r="J77" s="36"/>
      <c r="K77" s="35"/>
      <c r="M77" s="35"/>
      <c r="O77" s="36"/>
      <c r="P77" s="36"/>
      <c r="Q77" s="35"/>
      <c r="R77" s="35"/>
      <c r="S77" s="36"/>
      <c r="T77" s="36"/>
    </row>
    <row r="78" spans="1:20" x14ac:dyDescent="0.3">
      <c r="A78" t="s">
        <v>453</v>
      </c>
      <c r="B78" t="s">
        <v>434</v>
      </c>
      <c r="C78" t="s">
        <v>437</v>
      </c>
      <c r="D78" t="s">
        <v>436</v>
      </c>
      <c r="E78">
        <v>5</v>
      </c>
      <c r="F78" s="35"/>
      <c r="G78" s="35"/>
      <c r="H78" s="36"/>
      <c r="I78" s="36"/>
      <c r="J78" s="36"/>
      <c r="K78" s="35"/>
      <c r="M78" s="35"/>
      <c r="O78" s="36"/>
      <c r="P78" s="36"/>
      <c r="Q78" s="35"/>
      <c r="R78" s="35"/>
      <c r="S78" s="36"/>
      <c r="T78" s="36"/>
    </row>
    <row r="79" spans="1:20" x14ac:dyDescent="0.3">
      <c r="A79" t="s">
        <v>453</v>
      </c>
      <c r="B79" t="s">
        <v>434</v>
      </c>
      <c r="C79" t="s">
        <v>438</v>
      </c>
      <c r="D79" t="s">
        <v>436</v>
      </c>
      <c r="E79">
        <v>5</v>
      </c>
      <c r="F79" s="35"/>
      <c r="G79" s="35"/>
      <c r="H79" s="36"/>
      <c r="I79" s="36"/>
      <c r="J79" s="36"/>
      <c r="K79" s="35"/>
      <c r="M79" s="35"/>
      <c r="O79" s="36"/>
      <c r="P79" s="36"/>
      <c r="Q79" s="35"/>
      <c r="R79" s="35"/>
      <c r="S79" s="36"/>
      <c r="T79" s="36"/>
    </row>
    <row r="80" spans="1:20" x14ac:dyDescent="0.3">
      <c r="A80" t="s">
        <v>453</v>
      </c>
      <c r="B80" t="s">
        <v>434</v>
      </c>
      <c r="C80" t="s">
        <v>439</v>
      </c>
      <c r="D80" t="s">
        <v>436</v>
      </c>
      <c r="E80">
        <v>5</v>
      </c>
      <c r="F80" s="35"/>
      <c r="G80" s="35"/>
      <c r="H80" s="36"/>
      <c r="I80" s="36"/>
      <c r="J80" s="36"/>
      <c r="K80" s="35"/>
      <c r="M80" s="35"/>
      <c r="O80" s="36"/>
      <c r="P80" s="36"/>
      <c r="Q80" s="35"/>
      <c r="R80" s="35"/>
      <c r="S80" s="36"/>
      <c r="T80" s="36"/>
    </row>
    <row r="81" spans="1:20" x14ac:dyDescent="0.3">
      <c r="A81" t="s">
        <v>453</v>
      </c>
      <c r="B81" t="s">
        <v>441</v>
      </c>
      <c r="C81" t="s">
        <v>435</v>
      </c>
      <c r="D81" t="s">
        <v>436</v>
      </c>
      <c r="E81">
        <v>20</v>
      </c>
      <c r="F81" s="35">
        <v>0.45619999999999999</v>
      </c>
      <c r="G81" s="35">
        <v>1.1253</v>
      </c>
      <c r="H81" s="36">
        <v>0.2752</v>
      </c>
      <c r="I81" s="36">
        <v>6.5699999999999995E-2</v>
      </c>
      <c r="J81" s="36">
        <v>0.22109999999999999</v>
      </c>
      <c r="K81" s="35"/>
      <c r="M81" s="35"/>
      <c r="O81" s="36"/>
      <c r="P81" s="36">
        <v>0.7</v>
      </c>
      <c r="Q81" s="35"/>
      <c r="R81" s="35"/>
      <c r="S81" s="36"/>
      <c r="T81" s="36"/>
    </row>
    <row r="82" spans="1:20" x14ac:dyDescent="0.3">
      <c r="A82" t="s">
        <v>453</v>
      </c>
      <c r="B82" t="s">
        <v>441</v>
      </c>
      <c r="C82" t="s">
        <v>437</v>
      </c>
      <c r="D82" t="s">
        <v>436</v>
      </c>
      <c r="E82">
        <v>20</v>
      </c>
      <c r="F82" s="35">
        <v>0.48570000000000002</v>
      </c>
      <c r="G82" s="35">
        <v>1.2670999999999999</v>
      </c>
      <c r="H82" s="36">
        <v>0.2213</v>
      </c>
      <c r="I82" s="36">
        <v>8.1900000000000001E-2</v>
      </c>
      <c r="J82" s="36">
        <v>0.2707</v>
      </c>
      <c r="K82" s="35"/>
      <c r="M82" s="35"/>
      <c r="O82" s="36"/>
      <c r="P82" s="36">
        <v>0.65</v>
      </c>
      <c r="Q82" s="35"/>
      <c r="R82" s="35"/>
      <c r="S82" s="36"/>
      <c r="T82" s="36"/>
    </row>
    <row r="83" spans="1:20" x14ac:dyDescent="0.3">
      <c r="A83" t="s">
        <v>453</v>
      </c>
      <c r="B83" t="s">
        <v>441</v>
      </c>
      <c r="C83" t="s">
        <v>438</v>
      </c>
      <c r="D83" t="s">
        <v>436</v>
      </c>
      <c r="E83">
        <v>20</v>
      </c>
      <c r="F83" s="35">
        <v>-0.1671</v>
      </c>
      <c r="G83" s="35">
        <v>-0.37119999999999997</v>
      </c>
      <c r="H83" s="36">
        <v>0.71479999999999999</v>
      </c>
      <c r="I83" s="36">
        <v>7.6E-3</v>
      </c>
      <c r="J83" s="36">
        <v>-7.4999999999999997E-3</v>
      </c>
      <c r="K83" s="35"/>
      <c r="M83" s="35"/>
      <c r="O83" s="36"/>
      <c r="P83" s="36">
        <v>0.55000000000000004</v>
      </c>
      <c r="Q83" s="35"/>
      <c r="R83" s="35"/>
      <c r="S83" s="36"/>
      <c r="T83" s="36"/>
    </row>
    <row r="84" spans="1:20" x14ac:dyDescent="0.3">
      <c r="A84" t="s">
        <v>453</v>
      </c>
      <c r="B84" t="s">
        <v>441</v>
      </c>
      <c r="C84" t="s">
        <v>439</v>
      </c>
      <c r="D84" t="s">
        <v>436</v>
      </c>
      <c r="E84">
        <v>20</v>
      </c>
      <c r="F84" s="35">
        <v>9.1499999999999998E-2</v>
      </c>
      <c r="G84" s="35">
        <v>0.20860000000000001</v>
      </c>
      <c r="H84" s="36">
        <v>0.83709999999999996</v>
      </c>
      <c r="I84" s="36">
        <v>2.3999999999999998E-3</v>
      </c>
      <c r="J84" s="36">
        <v>6.7999999999999996E-3</v>
      </c>
      <c r="K84" s="35"/>
      <c r="M84" s="35"/>
      <c r="O84" s="36"/>
      <c r="P84" s="36">
        <v>0.55000000000000004</v>
      </c>
      <c r="Q84" s="35"/>
      <c r="R84" s="35"/>
      <c r="S84" s="36"/>
      <c r="T84" s="36"/>
    </row>
    <row r="85" spans="1:20" x14ac:dyDescent="0.3">
      <c r="A85" t="s">
        <v>454</v>
      </c>
      <c r="B85" t="s">
        <v>452</v>
      </c>
      <c r="C85" t="s">
        <v>435</v>
      </c>
      <c r="D85" t="s">
        <v>436</v>
      </c>
      <c r="E85">
        <v>20</v>
      </c>
      <c r="F85" s="35">
        <v>1.7139</v>
      </c>
      <c r="G85" s="35">
        <v>0.63619999999999999</v>
      </c>
      <c r="H85" s="36">
        <v>0.53269999999999995</v>
      </c>
      <c r="I85" s="36">
        <v>2.1999999999999999E-2</v>
      </c>
      <c r="J85" s="36">
        <v>-4.4999999999999997E-3</v>
      </c>
      <c r="K85" s="35"/>
      <c r="M85" s="35"/>
      <c r="O85" s="36"/>
      <c r="P85" s="36">
        <v>0.4</v>
      </c>
      <c r="Q85" s="35"/>
      <c r="R85" s="35"/>
      <c r="S85" s="36"/>
      <c r="T85" s="36"/>
    </row>
    <row r="86" spans="1:20" x14ac:dyDescent="0.3">
      <c r="A86" t="s">
        <v>454</v>
      </c>
      <c r="B86" t="s">
        <v>452</v>
      </c>
      <c r="C86" t="s">
        <v>437</v>
      </c>
      <c r="D86" t="s">
        <v>436</v>
      </c>
      <c r="E86">
        <v>20</v>
      </c>
      <c r="F86" s="35">
        <v>1.1503000000000001</v>
      </c>
      <c r="G86" s="35">
        <v>0.44519999999999998</v>
      </c>
      <c r="H86" s="36">
        <v>0.66149999999999998</v>
      </c>
      <c r="I86" s="36">
        <v>1.09E-2</v>
      </c>
      <c r="J86" s="36">
        <v>-1.7999999999999999E-2</v>
      </c>
      <c r="K86" s="35"/>
      <c r="M86" s="35"/>
      <c r="O86" s="36"/>
      <c r="P86" s="36">
        <v>0.5</v>
      </c>
      <c r="Q86" s="35"/>
      <c r="R86" s="35"/>
      <c r="S86" s="36"/>
      <c r="T86" s="36"/>
    </row>
    <row r="87" spans="1:20" x14ac:dyDescent="0.3">
      <c r="A87" t="s">
        <v>454</v>
      </c>
      <c r="B87" t="s">
        <v>452</v>
      </c>
      <c r="C87" t="s">
        <v>438</v>
      </c>
      <c r="D87" t="s">
        <v>436</v>
      </c>
      <c r="E87">
        <v>20</v>
      </c>
      <c r="F87" s="35">
        <v>2.4085999999999999</v>
      </c>
      <c r="G87" s="35">
        <v>0.83630000000000004</v>
      </c>
      <c r="H87" s="36">
        <v>0.41399999999999998</v>
      </c>
      <c r="I87" s="36">
        <v>3.7400000000000003E-2</v>
      </c>
      <c r="J87" s="36">
        <v>9.4700000000000006E-2</v>
      </c>
      <c r="K87" s="35"/>
      <c r="M87" s="35"/>
      <c r="O87" s="36"/>
      <c r="P87" s="36">
        <v>0.45</v>
      </c>
      <c r="Q87" s="35"/>
      <c r="R87" s="35"/>
      <c r="S87" s="36"/>
      <c r="T87" s="36"/>
    </row>
    <row r="88" spans="1:20" x14ac:dyDescent="0.3">
      <c r="A88" t="s">
        <v>454</v>
      </c>
      <c r="B88" t="s">
        <v>452</v>
      </c>
      <c r="C88" t="s">
        <v>439</v>
      </c>
      <c r="D88" t="s">
        <v>436</v>
      </c>
      <c r="E88">
        <v>20</v>
      </c>
      <c r="F88" s="35">
        <v>2.0684</v>
      </c>
      <c r="G88" s="35">
        <v>0.73650000000000004</v>
      </c>
      <c r="H88" s="36">
        <v>0.47089999999999999</v>
      </c>
      <c r="I88" s="36">
        <v>2.93E-2</v>
      </c>
      <c r="J88" s="36">
        <v>9.6299999999999997E-2</v>
      </c>
      <c r="K88" s="35"/>
      <c r="M88" s="35"/>
      <c r="O88" s="36"/>
      <c r="P88" s="36">
        <v>0.45</v>
      </c>
      <c r="Q88" s="35"/>
      <c r="R88" s="35"/>
      <c r="S88" s="36"/>
      <c r="T88" s="36"/>
    </row>
    <row r="89" spans="1:20" x14ac:dyDescent="0.3">
      <c r="A89" t="s">
        <v>455</v>
      </c>
      <c r="B89" t="s">
        <v>456</v>
      </c>
      <c r="C89" t="s">
        <v>435</v>
      </c>
      <c r="D89" t="s">
        <v>436</v>
      </c>
      <c r="E89">
        <v>19</v>
      </c>
      <c r="F89" s="35">
        <v>0.83360000000000001</v>
      </c>
      <c r="G89" s="35">
        <v>1.8414999999999999</v>
      </c>
      <c r="H89" s="36">
        <v>8.3099999999999993E-2</v>
      </c>
      <c r="I89" s="36">
        <v>0.1663</v>
      </c>
      <c r="J89" s="36">
        <v>0.5423</v>
      </c>
      <c r="K89" s="35"/>
      <c r="M89" s="35"/>
      <c r="O89" s="36"/>
      <c r="P89" s="36">
        <v>0.68420000000000003</v>
      </c>
      <c r="Q89" s="35"/>
      <c r="R89" s="35"/>
      <c r="S89" s="36"/>
      <c r="T89" s="36"/>
    </row>
    <row r="90" spans="1:20" x14ac:dyDescent="0.3">
      <c r="A90" t="s">
        <v>455</v>
      </c>
      <c r="B90" t="s">
        <v>456</v>
      </c>
      <c r="C90" t="s">
        <v>437</v>
      </c>
      <c r="D90" t="s">
        <v>436</v>
      </c>
      <c r="E90">
        <v>19</v>
      </c>
      <c r="F90" s="35">
        <v>0.78169999999999995</v>
      </c>
      <c r="G90" s="35">
        <v>1.8279000000000001</v>
      </c>
      <c r="H90" s="36">
        <v>8.5199999999999998E-2</v>
      </c>
      <c r="I90" s="36">
        <v>0.1643</v>
      </c>
      <c r="J90" s="36">
        <v>0.55959999999999999</v>
      </c>
      <c r="K90" s="35"/>
      <c r="M90" s="35"/>
      <c r="O90" s="36"/>
      <c r="P90" s="36">
        <v>0.68420000000000003</v>
      </c>
      <c r="Q90" s="35"/>
      <c r="R90" s="35"/>
      <c r="S90" s="36"/>
      <c r="T90" s="36"/>
    </row>
    <row r="91" spans="1:20" x14ac:dyDescent="0.3">
      <c r="A91" t="s">
        <v>455</v>
      </c>
      <c r="B91" t="s">
        <v>456</v>
      </c>
      <c r="C91" t="s">
        <v>438</v>
      </c>
      <c r="D91" t="s">
        <v>436</v>
      </c>
      <c r="E91">
        <v>19</v>
      </c>
      <c r="F91" s="35">
        <v>-0.39140000000000003</v>
      </c>
      <c r="G91" s="35">
        <v>-0.72609999999999997</v>
      </c>
      <c r="H91" s="36">
        <v>0.47770000000000001</v>
      </c>
      <c r="I91" s="36">
        <v>3.0099999999999998E-2</v>
      </c>
      <c r="J91" s="36">
        <v>3.8600000000000002E-2</v>
      </c>
      <c r="K91" s="35"/>
      <c r="M91" s="35"/>
      <c r="O91" s="36"/>
      <c r="P91" s="36">
        <v>0.52629999999999999</v>
      </c>
      <c r="Q91" s="35"/>
      <c r="R91" s="35"/>
      <c r="S91" s="36"/>
      <c r="T91" s="36"/>
    </row>
    <row r="92" spans="1:20" x14ac:dyDescent="0.3">
      <c r="A92" t="s">
        <v>455</v>
      </c>
      <c r="B92" t="s">
        <v>456</v>
      </c>
      <c r="C92" t="s">
        <v>439</v>
      </c>
      <c r="D92" t="s">
        <v>436</v>
      </c>
      <c r="E92">
        <v>19</v>
      </c>
      <c r="F92" s="35">
        <v>0.15820000000000001</v>
      </c>
      <c r="G92" s="35">
        <v>0.30299999999999999</v>
      </c>
      <c r="H92" s="36">
        <v>0.76549999999999996</v>
      </c>
      <c r="I92" s="36">
        <v>5.4000000000000003E-3</v>
      </c>
      <c r="J92" s="36">
        <v>0.19120000000000001</v>
      </c>
      <c r="K92" s="35"/>
      <c r="M92" s="35"/>
      <c r="O92" s="36"/>
      <c r="P92" s="36">
        <v>0.52629999999999999</v>
      </c>
      <c r="Q92" s="35"/>
      <c r="R92" s="35"/>
      <c r="S92" s="36"/>
      <c r="T92" s="36"/>
    </row>
    <row r="93" spans="1:20" x14ac:dyDescent="0.3">
      <c r="A93" t="s">
        <v>455</v>
      </c>
      <c r="B93" t="s">
        <v>457</v>
      </c>
      <c r="C93" t="s">
        <v>435</v>
      </c>
      <c r="D93" t="s">
        <v>436</v>
      </c>
      <c r="E93">
        <v>19</v>
      </c>
      <c r="F93" s="35">
        <v>-8.4590999999999994</v>
      </c>
      <c r="G93" s="35">
        <v>-2.2303999999999999</v>
      </c>
      <c r="H93" s="37">
        <v>3.95E-2</v>
      </c>
      <c r="I93" s="36">
        <v>0.22639999999999999</v>
      </c>
      <c r="J93" s="36">
        <v>-0.50619999999999998</v>
      </c>
      <c r="K93" s="35">
        <v>-5.15</v>
      </c>
      <c r="L93">
        <v>8</v>
      </c>
      <c r="M93" s="35">
        <v>3.3090999999999999</v>
      </c>
      <c r="N93">
        <v>11</v>
      </c>
      <c r="O93" s="36">
        <v>5.2299999999999999E-2</v>
      </c>
      <c r="P93" s="36"/>
      <c r="Q93" s="35"/>
      <c r="R93" s="35"/>
      <c r="S93" s="36"/>
      <c r="T93" s="36"/>
    </row>
    <row r="94" spans="1:20" x14ac:dyDescent="0.3">
      <c r="A94" t="s">
        <v>455</v>
      </c>
      <c r="B94" t="s">
        <v>457</v>
      </c>
      <c r="C94" t="s">
        <v>437</v>
      </c>
      <c r="D94" t="s">
        <v>436</v>
      </c>
      <c r="E94">
        <v>19</v>
      </c>
      <c r="F94" s="35">
        <v>-7.5159000000000002</v>
      </c>
      <c r="G94" s="35">
        <v>-2.0661999999999998</v>
      </c>
      <c r="H94" s="36">
        <v>5.4399999999999997E-2</v>
      </c>
      <c r="I94" s="36">
        <v>0.20069999999999999</v>
      </c>
      <c r="J94" s="36">
        <v>-0.54490000000000005</v>
      </c>
      <c r="K94" s="35">
        <v>-5.2249999999999996</v>
      </c>
      <c r="L94">
        <v>8</v>
      </c>
      <c r="M94" s="35">
        <v>2.2909000000000002</v>
      </c>
      <c r="N94">
        <v>11</v>
      </c>
      <c r="O94" s="36">
        <v>6.6000000000000003E-2</v>
      </c>
      <c r="P94" s="36"/>
      <c r="Q94" s="35"/>
      <c r="R94" s="35"/>
      <c r="S94" s="36"/>
      <c r="T94" s="36"/>
    </row>
    <row r="95" spans="1:20" x14ac:dyDescent="0.3">
      <c r="A95" t="s">
        <v>455</v>
      </c>
      <c r="B95" t="s">
        <v>457</v>
      </c>
      <c r="C95" t="s">
        <v>438</v>
      </c>
      <c r="D95" t="s">
        <v>436</v>
      </c>
      <c r="E95">
        <v>19</v>
      </c>
      <c r="F95" s="35">
        <v>-4.8647999999999998</v>
      </c>
      <c r="G95" s="35">
        <v>-1.0547</v>
      </c>
      <c r="H95" s="36">
        <v>0.30630000000000002</v>
      </c>
      <c r="I95" s="36">
        <v>6.1400000000000003E-2</v>
      </c>
      <c r="J95" s="36">
        <v>-0.253</v>
      </c>
      <c r="K95" s="35">
        <v>-6.1375000000000002</v>
      </c>
      <c r="L95">
        <v>8</v>
      </c>
      <c r="M95" s="35">
        <v>-1.2726999999999999</v>
      </c>
      <c r="N95">
        <v>11</v>
      </c>
      <c r="O95" s="36">
        <v>0.27010000000000001</v>
      </c>
      <c r="P95" s="36"/>
      <c r="Q95" s="35"/>
      <c r="R95" s="35"/>
      <c r="S95" s="36"/>
      <c r="T95" s="36"/>
    </row>
    <row r="96" spans="1:20" x14ac:dyDescent="0.3">
      <c r="A96" t="s">
        <v>455</v>
      </c>
      <c r="B96" t="s">
        <v>457</v>
      </c>
      <c r="C96" t="s">
        <v>439</v>
      </c>
      <c r="D96" t="s">
        <v>436</v>
      </c>
      <c r="E96">
        <v>19</v>
      </c>
      <c r="F96" s="35">
        <v>-7.0761000000000003</v>
      </c>
      <c r="G96" s="35">
        <v>-1.6781999999999999</v>
      </c>
      <c r="H96" s="36">
        <v>0.1116</v>
      </c>
      <c r="I96" s="36">
        <v>0.1421</v>
      </c>
      <c r="J96" s="36">
        <v>-0.3503</v>
      </c>
      <c r="K96" s="35">
        <v>-7.5125000000000002</v>
      </c>
      <c r="L96">
        <v>8</v>
      </c>
      <c r="M96" s="35">
        <v>-0.43640000000000001</v>
      </c>
      <c r="N96">
        <v>11</v>
      </c>
      <c r="O96" s="36">
        <v>0.1002</v>
      </c>
      <c r="P96" s="36"/>
      <c r="Q96" s="35"/>
      <c r="R96" s="35"/>
      <c r="S96" s="36"/>
      <c r="T96" s="36"/>
    </row>
    <row r="97" spans="1:20" x14ac:dyDescent="0.3">
      <c r="A97" t="s">
        <v>40</v>
      </c>
      <c r="B97" t="s">
        <v>434</v>
      </c>
      <c r="C97" t="s">
        <v>435</v>
      </c>
      <c r="D97" t="s">
        <v>458</v>
      </c>
      <c r="E97">
        <v>14</v>
      </c>
      <c r="F97" s="35">
        <v>0.71230000000000004</v>
      </c>
      <c r="G97" s="35">
        <v>0.31019999999999998</v>
      </c>
      <c r="H97" s="36">
        <v>0.76170000000000004</v>
      </c>
      <c r="I97" s="36">
        <v>8.0000000000000002E-3</v>
      </c>
      <c r="J97" s="36">
        <v>0.26590000000000003</v>
      </c>
      <c r="K97" s="35"/>
      <c r="M97" s="35"/>
      <c r="O97" s="36"/>
      <c r="P97" s="36">
        <v>0.42859999999999998</v>
      </c>
      <c r="Q97" s="35"/>
      <c r="R97" s="35"/>
      <c r="S97" s="36"/>
      <c r="T97" s="36"/>
    </row>
    <row r="98" spans="1:20" x14ac:dyDescent="0.3">
      <c r="A98" t="s">
        <v>40</v>
      </c>
      <c r="B98" t="s">
        <v>434</v>
      </c>
      <c r="C98" t="s">
        <v>437</v>
      </c>
      <c r="D98" t="s">
        <v>458</v>
      </c>
      <c r="E98">
        <v>14</v>
      </c>
      <c r="F98" s="35">
        <v>0.68520000000000003</v>
      </c>
      <c r="G98" s="35">
        <v>0.3049</v>
      </c>
      <c r="H98" s="36">
        <v>0.76559999999999995</v>
      </c>
      <c r="I98" s="36">
        <v>7.7000000000000002E-3</v>
      </c>
      <c r="J98" s="36">
        <v>0.2747</v>
      </c>
      <c r="K98" s="35"/>
      <c r="M98" s="35"/>
      <c r="O98" s="36"/>
      <c r="P98" s="36">
        <v>0.28570000000000001</v>
      </c>
      <c r="Q98" s="35"/>
      <c r="R98" s="35"/>
      <c r="S98" s="36"/>
      <c r="T98" s="36"/>
    </row>
    <row r="99" spans="1:20" x14ac:dyDescent="0.3">
      <c r="A99" t="s">
        <v>40</v>
      </c>
      <c r="B99" t="s">
        <v>434</v>
      </c>
      <c r="C99" t="s">
        <v>438</v>
      </c>
      <c r="D99" t="s">
        <v>458</v>
      </c>
      <c r="E99">
        <v>14</v>
      </c>
      <c r="F99" s="35">
        <v>-0.78879999999999995</v>
      </c>
      <c r="G99" s="35">
        <v>-0.31990000000000002</v>
      </c>
      <c r="H99" s="36">
        <v>0.75449999999999995</v>
      </c>
      <c r="I99" s="36">
        <v>8.5000000000000006E-3</v>
      </c>
      <c r="J99" s="36">
        <v>9.01E-2</v>
      </c>
      <c r="K99" s="35"/>
      <c r="M99" s="35"/>
      <c r="O99" s="36"/>
      <c r="P99" s="36">
        <v>0.35709999999999997</v>
      </c>
      <c r="Q99" s="35"/>
      <c r="R99" s="35"/>
      <c r="S99" s="36"/>
      <c r="T99" s="36"/>
    </row>
    <row r="100" spans="1:20" x14ac:dyDescent="0.3">
      <c r="A100" t="s">
        <v>40</v>
      </c>
      <c r="B100" t="s">
        <v>434</v>
      </c>
      <c r="C100" t="s">
        <v>439</v>
      </c>
      <c r="D100" t="s">
        <v>458</v>
      </c>
      <c r="E100">
        <v>14</v>
      </c>
      <c r="F100" s="35">
        <v>-0.49719999999999998</v>
      </c>
      <c r="G100" s="35">
        <v>-0.19089999999999999</v>
      </c>
      <c r="H100" s="36">
        <v>0.8518</v>
      </c>
      <c r="I100" s="36">
        <v>3.0000000000000001E-3</v>
      </c>
      <c r="J100" s="36">
        <v>2.4199999999999999E-2</v>
      </c>
      <c r="K100" s="35"/>
      <c r="M100" s="35"/>
      <c r="O100" s="36"/>
      <c r="P100" s="36">
        <v>0.35709999999999997</v>
      </c>
      <c r="Q100" s="35"/>
      <c r="R100" s="35"/>
      <c r="S100" s="36"/>
      <c r="T100" s="36"/>
    </row>
    <row r="101" spans="1:20" x14ac:dyDescent="0.3">
      <c r="A101" t="s">
        <v>40</v>
      </c>
      <c r="B101" t="s">
        <v>440</v>
      </c>
      <c r="C101" t="s">
        <v>435</v>
      </c>
      <c r="D101" t="s">
        <v>458</v>
      </c>
      <c r="E101">
        <v>14</v>
      </c>
      <c r="F101" s="35">
        <v>7.8848000000000003</v>
      </c>
      <c r="G101" s="35">
        <v>1.4218</v>
      </c>
      <c r="H101" s="36">
        <v>0.18060000000000001</v>
      </c>
      <c r="I101" s="36">
        <v>0.14419999999999999</v>
      </c>
      <c r="J101" s="36">
        <v>0.41020000000000001</v>
      </c>
      <c r="K101" s="35">
        <v>0.61819999999999997</v>
      </c>
      <c r="L101">
        <v>11</v>
      </c>
      <c r="M101" s="35">
        <v>-7.2667000000000002</v>
      </c>
      <c r="N101">
        <v>3</v>
      </c>
      <c r="O101" s="36">
        <v>0.1774</v>
      </c>
      <c r="P101" s="36"/>
      <c r="Q101" s="35"/>
      <c r="R101" s="35"/>
      <c r="S101" s="36"/>
      <c r="T101" s="36"/>
    </row>
    <row r="102" spans="1:20" x14ac:dyDescent="0.3">
      <c r="A102" t="s">
        <v>40</v>
      </c>
      <c r="B102" t="s">
        <v>440</v>
      </c>
      <c r="C102" t="s">
        <v>437</v>
      </c>
      <c r="D102" t="s">
        <v>458</v>
      </c>
      <c r="E102">
        <v>14</v>
      </c>
      <c r="F102" s="35">
        <v>6.5788000000000002</v>
      </c>
      <c r="G102" s="35">
        <v>1.1856</v>
      </c>
      <c r="H102" s="36">
        <v>0.25869999999999999</v>
      </c>
      <c r="I102" s="36">
        <v>0.1048</v>
      </c>
      <c r="J102" s="36">
        <v>0.32390000000000002</v>
      </c>
      <c r="K102" s="35">
        <v>-0.2545</v>
      </c>
      <c r="L102">
        <v>11</v>
      </c>
      <c r="M102" s="35">
        <v>-6.8333000000000004</v>
      </c>
      <c r="N102">
        <v>3</v>
      </c>
      <c r="O102" s="36">
        <v>0.22989999999999999</v>
      </c>
      <c r="P102" s="36"/>
      <c r="Q102" s="35"/>
      <c r="R102" s="35"/>
      <c r="S102" s="36"/>
      <c r="T102" s="36"/>
    </row>
    <row r="103" spans="1:20" x14ac:dyDescent="0.3">
      <c r="A103" t="s">
        <v>40</v>
      </c>
      <c r="B103" t="s">
        <v>440</v>
      </c>
      <c r="C103" t="s">
        <v>438</v>
      </c>
      <c r="D103" t="s">
        <v>458</v>
      </c>
      <c r="E103">
        <v>14</v>
      </c>
      <c r="F103" s="35">
        <v>6</v>
      </c>
      <c r="G103" s="35">
        <v>0.9677</v>
      </c>
      <c r="H103" s="36">
        <v>0.3523</v>
      </c>
      <c r="I103" s="36">
        <v>7.2400000000000006E-2</v>
      </c>
      <c r="J103" s="36">
        <v>0.32390000000000002</v>
      </c>
      <c r="K103" s="35">
        <v>-0.2</v>
      </c>
      <c r="L103">
        <v>11</v>
      </c>
      <c r="M103" s="35">
        <v>-6.2</v>
      </c>
      <c r="N103">
        <v>3</v>
      </c>
      <c r="O103" s="36">
        <v>0.23730000000000001</v>
      </c>
      <c r="P103" s="36"/>
      <c r="Q103" s="35"/>
      <c r="R103" s="35"/>
      <c r="S103" s="36"/>
      <c r="T103" s="36"/>
    </row>
    <row r="104" spans="1:20" x14ac:dyDescent="0.3">
      <c r="A104" t="s">
        <v>40</v>
      </c>
      <c r="B104" t="s">
        <v>440</v>
      </c>
      <c r="C104" t="s">
        <v>439</v>
      </c>
      <c r="D104" t="s">
        <v>458</v>
      </c>
      <c r="E104">
        <v>14</v>
      </c>
      <c r="F104" s="35">
        <v>5.6909000000000001</v>
      </c>
      <c r="G104" s="35">
        <v>0.86480000000000001</v>
      </c>
      <c r="H104" s="36">
        <v>0.40410000000000001</v>
      </c>
      <c r="I104" s="36">
        <v>5.8700000000000002E-2</v>
      </c>
      <c r="J104" s="36">
        <v>0.1943</v>
      </c>
      <c r="K104" s="35">
        <v>-1.7091000000000001</v>
      </c>
      <c r="L104">
        <v>11</v>
      </c>
      <c r="M104" s="35">
        <v>-7.4</v>
      </c>
      <c r="N104">
        <v>3</v>
      </c>
      <c r="O104" s="36">
        <v>0.37990000000000002</v>
      </c>
      <c r="P104" s="36"/>
      <c r="Q104" s="35"/>
      <c r="R104" s="35"/>
      <c r="S104" s="36"/>
      <c r="T104" s="36"/>
    </row>
    <row r="105" spans="1:20" x14ac:dyDescent="0.3">
      <c r="A105" t="s">
        <v>40</v>
      </c>
      <c r="B105" t="s">
        <v>441</v>
      </c>
      <c r="C105" t="s">
        <v>435</v>
      </c>
      <c r="D105" t="s">
        <v>458</v>
      </c>
      <c r="E105">
        <v>14</v>
      </c>
      <c r="F105" s="35">
        <v>-7.8899999999999998E-2</v>
      </c>
      <c r="G105" s="35">
        <v>-0.1303</v>
      </c>
      <c r="H105" s="36">
        <v>0.89849999999999997</v>
      </c>
      <c r="I105" s="36">
        <v>1.4E-3</v>
      </c>
      <c r="J105" s="36">
        <v>-0.16500000000000001</v>
      </c>
      <c r="K105" s="35"/>
      <c r="M105" s="35"/>
      <c r="O105" s="36"/>
      <c r="P105" s="36">
        <v>0.35709999999999997</v>
      </c>
      <c r="Q105" s="35"/>
      <c r="R105" s="35"/>
      <c r="S105" s="36"/>
      <c r="T105" s="36"/>
    </row>
    <row r="106" spans="1:20" x14ac:dyDescent="0.3">
      <c r="A106" t="s">
        <v>40</v>
      </c>
      <c r="B106" t="s">
        <v>441</v>
      </c>
      <c r="C106" t="s">
        <v>437</v>
      </c>
      <c r="D106" t="s">
        <v>458</v>
      </c>
      <c r="E106">
        <v>14</v>
      </c>
      <c r="F106" s="35">
        <v>-0.15049999999999999</v>
      </c>
      <c r="G106" s="35">
        <v>-0.25459999999999999</v>
      </c>
      <c r="H106" s="36">
        <v>0.80330000000000001</v>
      </c>
      <c r="I106" s="36">
        <v>5.4000000000000003E-3</v>
      </c>
      <c r="J106" s="36">
        <v>-0.15160000000000001</v>
      </c>
      <c r="K106" s="35"/>
      <c r="M106" s="35"/>
      <c r="O106" s="36"/>
      <c r="P106" s="36">
        <v>0.35709999999999997</v>
      </c>
      <c r="Q106" s="35"/>
      <c r="R106" s="35"/>
      <c r="S106" s="36"/>
      <c r="T106" s="36"/>
    </row>
    <row r="107" spans="1:20" x14ac:dyDescent="0.3">
      <c r="A107" t="s">
        <v>40</v>
      </c>
      <c r="B107" t="s">
        <v>441</v>
      </c>
      <c r="C107" t="s">
        <v>438</v>
      </c>
      <c r="D107" t="s">
        <v>458</v>
      </c>
      <c r="E107">
        <v>14</v>
      </c>
      <c r="F107" s="35">
        <v>-0.3342</v>
      </c>
      <c r="G107" s="35">
        <v>-0.51949999999999996</v>
      </c>
      <c r="H107" s="36">
        <v>0.61280000000000001</v>
      </c>
      <c r="I107" s="36">
        <v>2.1999999999999999E-2</v>
      </c>
      <c r="J107" s="36">
        <v>-0.31659999999999999</v>
      </c>
      <c r="K107" s="35"/>
      <c r="M107" s="35"/>
      <c r="O107" s="36"/>
      <c r="P107" s="36">
        <v>0.28570000000000001</v>
      </c>
      <c r="Q107" s="35"/>
      <c r="R107" s="35"/>
      <c r="S107" s="36"/>
      <c r="T107" s="36"/>
    </row>
    <row r="108" spans="1:20" x14ac:dyDescent="0.3">
      <c r="A108" t="s">
        <v>40</v>
      </c>
      <c r="B108" t="s">
        <v>441</v>
      </c>
      <c r="C108" t="s">
        <v>439</v>
      </c>
      <c r="D108" t="s">
        <v>458</v>
      </c>
      <c r="E108">
        <v>14</v>
      </c>
      <c r="F108" s="35">
        <v>-0.45219999999999999</v>
      </c>
      <c r="G108" s="35">
        <v>-0.67210000000000003</v>
      </c>
      <c r="H108" s="36">
        <v>0.51429999999999998</v>
      </c>
      <c r="I108" s="36">
        <v>3.6299999999999999E-2</v>
      </c>
      <c r="J108" s="36">
        <v>-0.39019999999999999</v>
      </c>
      <c r="K108" s="35"/>
      <c r="M108" s="35"/>
      <c r="O108" s="36"/>
      <c r="P108" s="36">
        <v>0.28570000000000001</v>
      </c>
      <c r="Q108" s="35"/>
      <c r="R108" s="35"/>
      <c r="S108" s="36"/>
      <c r="T108" s="36"/>
    </row>
    <row r="109" spans="1:20" x14ac:dyDescent="0.3">
      <c r="A109" t="s">
        <v>40</v>
      </c>
      <c r="B109" t="s">
        <v>442</v>
      </c>
      <c r="C109" t="s">
        <v>435</v>
      </c>
      <c r="D109" t="s">
        <v>458</v>
      </c>
      <c r="E109">
        <v>14</v>
      </c>
      <c r="F109" s="35">
        <v>0.46410000000000001</v>
      </c>
      <c r="G109" s="35">
        <v>0.7429</v>
      </c>
      <c r="H109" s="36">
        <v>0.4718</v>
      </c>
      <c r="I109" s="36">
        <v>4.3999999999999997E-2</v>
      </c>
      <c r="J109" s="36">
        <v>0.27850000000000003</v>
      </c>
      <c r="K109" s="35"/>
      <c r="M109" s="35"/>
      <c r="O109" s="36"/>
      <c r="P109" s="36">
        <v>0.42859999999999998</v>
      </c>
      <c r="Q109" s="35"/>
      <c r="R109" s="35"/>
      <c r="S109" s="36"/>
      <c r="T109" s="36"/>
    </row>
    <row r="110" spans="1:20" x14ac:dyDescent="0.3">
      <c r="A110" t="s">
        <v>40</v>
      </c>
      <c r="B110" t="s">
        <v>442</v>
      </c>
      <c r="C110" t="s">
        <v>437</v>
      </c>
      <c r="D110" t="s">
        <v>458</v>
      </c>
      <c r="E110">
        <v>14</v>
      </c>
      <c r="F110" s="35">
        <v>0.38669999999999999</v>
      </c>
      <c r="G110" s="35">
        <v>0.62880000000000003</v>
      </c>
      <c r="H110" s="36">
        <v>0.5413</v>
      </c>
      <c r="I110" s="36">
        <v>3.1899999999999998E-2</v>
      </c>
      <c r="J110" s="36">
        <v>0.22539999999999999</v>
      </c>
      <c r="K110" s="35"/>
      <c r="M110" s="35"/>
      <c r="O110" s="36"/>
      <c r="P110" s="36">
        <v>0.35709999999999997</v>
      </c>
      <c r="Q110" s="35"/>
      <c r="R110" s="35"/>
      <c r="S110" s="36"/>
      <c r="T110" s="36"/>
    </row>
    <row r="111" spans="1:20" x14ac:dyDescent="0.3">
      <c r="A111" t="s">
        <v>40</v>
      </c>
      <c r="B111" t="s">
        <v>442</v>
      </c>
      <c r="C111" t="s">
        <v>438</v>
      </c>
      <c r="D111" t="s">
        <v>458</v>
      </c>
      <c r="E111">
        <v>14</v>
      </c>
      <c r="F111" s="35">
        <v>0.34310000000000002</v>
      </c>
      <c r="G111" s="35">
        <v>0.50539999999999996</v>
      </c>
      <c r="H111" s="36">
        <v>0.62239999999999995</v>
      </c>
      <c r="I111" s="36">
        <v>2.0799999999999999E-2</v>
      </c>
      <c r="J111" s="36">
        <v>0.19889999999999999</v>
      </c>
      <c r="K111" s="35"/>
      <c r="M111" s="35"/>
      <c r="O111" s="36"/>
      <c r="P111" s="36">
        <v>0.35709999999999997</v>
      </c>
      <c r="Q111" s="35"/>
      <c r="R111" s="35"/>
      <c r="S111" s="36"/>
      <c r="T111" s="36"/>
    </row>
    <row r="112" spans="1:20" x14ac:dyDescent="0.3">
      <c r="A112" t="s">
        <v>40</v>
      </c>
      <c r="B112" t="s">
        <v>442</v>
      </c>
      <c r="C112" t="s">
        <v>439</v>
      </c>
      <c r="D112" t="s">
        <v>458</v>
      </c>
      <c r="E112">
        <v>14</v>
      </c>
      <c r="F112" s="35">
        <v>0.33539999999999998</v>
      </c>
      <c r="G112" s="35">
        <v>0.46820000000000001</v>
      </c>
      <c r="H112" s="36">
        <v>0.64800000000000002</v>
      </c>
      <c r="I112" s="36">
        <v>1.7899999999999999E-2</v>
      </c>
      <c r="J112" s="36">
        <v>0.15029999999999999</v>
      </c>
      <c r="K112" s="35"/>
      <c r="M112" s="35"/>
      <c r="O112" s="36"/>
      <c r="P112" s="36">
        <v>0.35709999999999997</v>
      </c>
      <c r="Q112" s="35"/>
      <c r="R112" s="35"/>
      <c r="S112" s="36"/>
      <c r="T112" s="36"/>
    </row>
    <row r="113" spans="1:20" x14ac:dyDescent="0.3">
      <c r="A113" t="s">
        <v>443</v>
      </c>
      <c r="B113" t="s">
        <v>444</v>
      </c>
      <c r="C113" t="s">
        <v>435</v>
      </c>
      <c r="D113" t="s">
        <v>458</v>
      </c>
      <c r="E113">
        <v>12</v>
      </c>
      <c r="F113" s="35">
        <v>14.7263</v>
      </c>
      <c r="G113" s="35">
        <v>0.54530000000000001</v>
      </c>
      <c r="H113" s="36">
        <v>0.59750000000000003</v>
      </c>
      <c r="I113" s="36">
        <v>2.8899999999999999E-2</v>
      </c>
      <c r="J113" s="36">
        <v>0.10489999999999999</v>
      </c>
      <c r="K113" s="35"/>
      <c r="M113" s="35"/>
      <c r="O113" s="36"/>
      <c r="P113" s="36">
        <v>0.33329999999999999</v>
      </c>
      <c r="Q113" s="35"/>
      <c r="R113" s="35"/>
      <c r="S113" s="36"/>
      <c r="T113" s="36"/>
    </row>
    <row r="114" spans="1:20" x14ac:dyDescent="0.3">
      <c r="A114" t="s">
        <v>443</v>
      </c>
      <c r="B114" t="s">
        <v>444</v>
      </c>
      <c r="C114" t="s">
        <v>437</v>
      </c>
      <c r="D114" t="s">
        <v>458</v>
      </c>
      <c r="E114">
        <v>12</v>
      </c>
      <c r="F114" s="35">
        <v>14.317600000000001</v>
      </c>
      <c r="G114" s="35">
        <v>0.54449999999999998</v>
      </c>
      <c r="H114" s="36">
        <v>0.59809999999999997</v>
      </c>
      <c r="I114" s="36">
        <v>2.8799999999999999E-2</v>
      </c>
      <c r="J114" s="36">
        <v>0.1469</v>
      </c>
      <c r="K114" s="35"/>
      <c r="M114" s="35"/>
      <c r="O114" s="36"/>
      <c r="P114" s="36">
        <v>0.41670000000000001</v>
      </c>
      <c r="Q114" s="35"/>
      <c r="R114" s="35"/>
      <c r="S114" s="36"/>
      <c r="T114" s="36"/>
    </row>
    <row r="115" spans="1:20" x14ac:dyDescent="0.3">
      <c r="A115" t="s">
        <v>443</v>
      </c>
      <c r="B115" t="s">
        <v>444</v>
      </c>
      <c r="C115" t="s">
        <v>438</v>
      </c>
      <c r="D115" t="s">
        <v>458</v>
      </c>
      <c r="E115">
        <v>12</v>
      </c>
      <c r="F115" s="35">
        <v>-2.1141999999999999</v>
      </c>
      <c r="G115" s="35">
        <v>-7.17E-2</v>
      </c>
      <c r="H115" s="36">
        <v>0.94430000000000003</v>
      </c>
      <c r="I115" s="36">
        <v>5.0000000000000001E-4</v>
      </c>
      <c r="J115" s="36">
        <v>6.2899999999999998E-2</v>
      </c>
      <c r="K115" s="35"/>
      <c r="M115" s="35"/>
      <c r="O115" s="36"/>
      <c r="P115" s="36">
        <v>0.41670000000000001</v>
      </c>
      <c r="Q115" s="35"/>
      <c r="R115" s="35"/>
      <c r="S115" s="36"/>
      <c r="T115" s="36"/>
    </row>
    <row r="116" spans="1:20" x14ac:dyDescent="0.3">
      <c r="A116" t="s">
        <v>443</v>
      </c>
      <c r="B116" t="s">
        <v>444</v>
      </c>
      <c r="C116" t="s">
        <v>439</v>
      </c>
      <c r="D116" t="s">
        <v>458</v>
      </c>
      <c r="E116">
        <v>12</v>
      </c>
      <c r="F116" s="35">
        <v>1.7216</v>
      </c>
      <c r="G116" s="35">
        <v>5.57E-2</v>
      </c>
      <c r="H116" s="36">
        <v>0.95669999999999999</v>
      </c>
      <c r="I116" s="36">
        <v>2.9999999999999997E-4</v>
      </c>
      <c r="J116" s="36">
        <v>-7.0000000000000001E-3</v>
      </c>
      <c r="K116" s="35"/>
      <c r="M116" s="35"/>
      <c r="O116" s="36"/>
      <c r="P116" s="36">
        <v>0.41670000000000001</v>
      </c>
      <c r="Q116" s="35"/>
      <c r="R116" s="35"/>
      <c r="S116" s="36"/>
      <c r="T116" s="36"/>
    </row>
    <row r="117" spans="1:20" x14ac:dyDescent="0.3">
      <c r="A117" t="s">
        <v>443</v>
      </c>
      <c r="B117" t="s">
        <v>445</v>
      </c>
      <c r="C117" t="s">
        <v>435</v>
      </c>
      <c r="D117" t="s">
        <v>458</v>
      </c>
      <c r="E117">
        <v>12</v>
      </c>
      <c r="F117" s="35">
        <v>3.5</v>
      </c>
      <c r="G117" s="35">
        <v>0.61439999999999995</v>
      </c>
      <c r="H117" s="36">
        <v>0.55269999999999997</v>
      </c>
      <c r="I117" s="36">
        <v>3.6400000000000002E-2</v>
      </c>
      <c r="J117" s="36">
        <v>4.8300000000000003E-2</v>
      </c>
      <c r="K117" s="35">
        <v>0.91669999999999996</v>
      </c>
      <c r="L117">
        <v>6</v>
      </c>
      <c r="M117" s="35">
        <v>-2.5832999999999999</v>
      </c>
      <c r="N117">
        <v>6</v>
      </c>
      <c r="O117" s="36">
        <v>0.55620000000000003</v>
      </c>
      <c r="P117" s="36"/>
      <c r="Q117" s="35"/>
      <c r="R117" s="35"/>
      <c r="S117" s="36"/>
      <c r="T117" s="36"/>
    </row>
    <row r="118" spans="1:20" x14ac:dyDescent="0.3">
      <c r="A118" t="s">
        <v>443</v>
      </c>
      <c r="B118" t="s">
        <v>445</v>
      </c>
      <c r="C118" t="s">
        <v>437</v>
      </c>
      <c r="D118" t="s">
        <v>458</v>
      </c>
      <c r="E118">
        <v>12</v>
      </c>
      <c r="F118" s="35">
        <v>3.5</v>
      </c>
      <c r="G118" s="35">
        <v>0.63149999999999995</v>
      </c>
      <c r="H118" s="36">
        <v>0.54190000000000005</v>
      </c>
      <c r="I118" s="36">
        <v>3.8399999999999997E-2</v>
      </c>
      <c r="J118" s="36">
        <v>0.14480000000000001</v>
      </c>
      <c r="K118" s="35">
        <v>0.4667</v>
      </c>
      <c r="L118">
        <v>6</v>
      </c>
      <c r="M118" s="35">
        <v>-3.0333000000000001</v>
      </c>
      <c r="N118">
        <v>6</v>
      </c>
      <c r="O118" s="36">
        <v>0.5464</v>
      </c>
      <c r="P118" s="36"/>
      <c r="Q118" s="35"/>
      <c r="R118" s="35"/>
      <c r="S118" s="36"/>
      <c r="T118" s="36"/>
    </row>
    <row r="119" spans="1:20" x14ac:dyDescent="0.3">
      <c r="A119" t="s">
        <v>443</v>
      </c>
      <c r="B119" t="s">
        <v>445</v>
      </c>
      <c r="C119" t="s">
        <v>438</v>
      </c>
      <c r="D119" t="s">
        <v>458</v>
      </c>
      <c r="E119">
        <v>12</v>
      </c>
      <c r="F119" s="35">
        <v>0.68330000000000002</v>
      </c>
      <c r="G119" s="35">
        <v>0.1094</v>
      </c>
      <c r="H119" s="36">
        <v>0.91510000000000002</v>
      </c>
      <c r="I119" s="36">
        <v>1.1999999999999999E-3</v>
      </c>
      <c r="J119" s="36">
        <v>4.8300000000000003E-2</v>
      </c>
      <c r="K119" s="35">
        <v>-1.1833</v>
      </c>
      <c r="L119">
        <v>6</v>
      </c>
      <c r="M119" s="35">
        <v>-1.8667</v>
      </c>
      <c r="N119">
        <v>6</v>
      </c>
      <c r="O119" s="36">
        <v>0.91559999999999997</v>
      </c>
      <c r="P119" s="36"/>
      <c r="Q119" s="35"/>
      <c r="R119" s="35"/>
      <c r="S119" s="36"/>
      <c r="T119" s="36"/>
    </row>
    <row r="120" spans="1:20" x14ac:dyDescent="0.3">
      <c r="A120" t="s">
        <v>443</v>
      </c>
      <c r="B120" t="s">
        <v>445</v>
      </c>
      <c r="C120" t="s">
        <v>439</v>
      </c>
      <c r="D120" t="s">
        <v>458</v>
      </c>
      <c r="E120">
        <v>12</v>
      </c>
      <c r="F120" s="35">
        <v>1.3</v>
      </c>
      <c r="G120" s="35">
        <v>0.19900000000000001</v>
      </c>
      <c r="H120" s="36">
        <v>0.84619999999999995</v>
      </c>
      <c r="I120" s="36">
        <v>3.8999999999999998E-3</v>
      </c>
      <c r="J120" s="36">
        <v>0</v>
      </c>
      <c r="K120" s="35">
        <v>-2.2332999999999998</v>
      </c>
      <c r="L120">
        <v>6</v>
      </c>
      <c r="M120" s="35">
        <v>-3.5333000000000001</v>
      </c>
      <c r="N120">
        <v>6</v>
      </c>
      <c r="O120" s="36">
        <v>0.84689999999999999</v>
      </c>
      <c r="P120" s="36"/>
      <c r="Q120" s="35"/>
      <c r="R120" s="35"/>
      <c r="S120" s="36"/>
      <c r="T120" s="36"/>
    </row>
    <row r="121" spans="1:20" x14ac:dyDescent="0.3">
      <c r="A121" t="s">
        <v>443</v>
      </c>
      <c r="B121" t="s">
        <v>446</v>
      </c>
      <c r="C121" t="s">
        <v>435</v>
      </c>
      <c r="D121" t="s">
        <v>458</v>
      </c>
      <c r="E121">
        <v>9</v>
      </c>
      <c r="F121" s="35">
        <v>-1.7299999999999999E-2</v>
      </c>
      <c r="G121" s="35">
        <v>-0.27479999999999999</v>
      </c>
      <c r="H121" s="36">
        <v>0.79139999999999999</v>
      </c>
      <c r="I121" s="36">
        <v>1.0699999999999999E-2</v>
      </c>
      <c r="J121" s="36">
        <v>-0.25</v>
      </c>
      <c r="K121" s="35"/>
      <c r="M121" s="35"/>
      <c r="O121" s="36"/>
      <c r="P121" s="36">
        <v>0.22220000000000001</v>
      </c>
      <c r="Q121" s="35"/>
      <c r="R121" s="35"/>
      <c r="S121" s="36"/>
      <c r="T121" s="36"/>
    </row>
    <row r="122" spans="1:20" x14ac:dyDescent="0.3">
      <c r="A122" t="s">
        <v>443</v>
      </c>
      <c r="B122" t="s">
        <v>446</v>
      </c>
      <c r="C122" t="s">
        <v>437</v>
      </c>
      <c r="D122" t="s">
        <v>458</v>
      </c>
      <c r="E122">
        <v>9</v>
      </c>
      <c r="F122" s="35">
        <v>-1.35E-2</v>
      </c>
      <c r="G122" s="35">
        <v>-0.22550000000000001</v>
      </c>
      <c r="H122" s="36">
        <v>0.82799999999999996</v>
      </c>
      <c r="I122" s="36">
        <v>7.1999999999999998E-3</v>
      </c>
      <c r="J122" s="36">
        <v>-0.05</v>
      </c>
      <c r="K122" s="35"/>
      <c r="M122" s="35"/>
      <c r="O122" s="36"/>
      <c r="P122" s="36">
        <v>0.33329999999999999</v>
      </c>
      <c r="Q122" s="35"/>
      <c r="R122" s="35"/>
      <c r="S122" s="36"/>
      <c r="T122" s="36"/>
    </row>
    <row r="123" spans="1:20" x14ac:dyDescent="0.3">
      <c r="A123" t="s">
        <v>443</v>
      </c>
      <c r="B123" t="s">
        <v>446</v>
      </c>
      <c r="C123" t="s">
        <v>438</v>
      </c>
      <c r="D123" t="s">
        <v>458</v>
      </c>
      <c r="E123">
        <v>9</v>
      </c>
      <c r="F123" s="35">
        <v>-4.19E-2</v>
      </c>
      <c r="G123" s="35">
        <v>-0.58679999999999999</v>
      </c>
      <c r="H123" s="36">
        <v>0.57579999999999998</v>
      </c>
      <c r="I123" s="36">
        <v>4.6899999999999997E-2</v>
      </c>
      <c r="J123" s="36">
        <v>-0.25</v>
      </c>
      <c r="K123" s="35"/>
      <c r="M123" s="35"/>
      <c r="O123" s="36"/>
      <c r="P123" s="36">
        <v>0.22220000000000001</v>
      </c>
      <c r="Q123" s="35"/>
      <c r="R123" s="35"/>
      <c r="S123" s="36"/>
      <c r="T123" s="36"/>
    </row>
    <row r="124" spans="1:20" x14ac:dyDescent="0.3">
      <c r="A124" t="s">
        <v>443</v>
      </c>
      <c r="B124" t="s">
        <v>446</v>
      </c>
      <c r="C124" t="s">
        <v>439</v>
      </c>
      <c r="D124" t="s">
        <v>458</v>
      </c>
      <c r="E124">
        <v>9</v>
      </c>
      <c r="F124" s="35">
        <v>-3.7400000000000003E-2</v>
      </c>
      <c r="G124" s="35">
        <v>-0.48980000000000001</v>
      </c>
      <c r="H124" s="36">
        <v>0.63919999999999999</v>
      </c>
      <c r="I124" s="36">
        <v>3.3099999999999997E-2</v>
      </c>
      <c r="J124" s="36">
        <v>-0.2</v>
      </c>
      <c r="K124" s="35"/>
      <c r="M124" s="35"/>
      <c r="O124" s="36"/>
      <c r="P124" s="36">
        <v>0.22220000000000001</v>
      </c>
      <c r="Q124" s="35"/>
      <c r="R124" s="35"/>
      <c r="S124" s="36"/>
      <c r="T124" s="36"/>
    </row>
    <row r="125" spans="1:20" x14ac:dyDescent="0.3">
      <c r="A125" t="s">
        <v>447</v>
      </c>
      <c r="B125" t="s">
        <v>434</v>
      </c>
      <c r="C125" t="s">
        <v>435</v>
      </c>
      <c r="D125" t="s">
        <v>458</v>
      </c>
      <c r="E125">
        <v>8</v>
      </c>
      <c r="F125" s="35">
        <v>0.50919999999999999</v>
      </c>
      <c r="G125" s="35">
        <v>0.2334</v>
      </c>
      <c r="H125" s="36">
        <v>0.82320000000000004</v>
      </c>
      <c r="I125" s="36">
        <v>8.9999999999999993E-3</v>
      </c>
      <c r="J125" s="36">
        <v>0.3095</v>
      </c>
      <c r="K125" s="35"/>
      <c r="M125" s="35"/>
      <c r="O125" s="36"/>
      <c r="P125" s="36">
        <v>0.625</v>
      </c>
      <c r="Q125" s="35"/>
      <c r="R125" s="35"/>
      <c r="S125" s="36"/>
      <c r="T125" s="36"/>
    </row>
    <row r="126" spans="1:20" x14ac:dyDescent="0.3">
      <c r="A126" t="s">
        <v>447</v>
      </c>
      <c r="B126" t="s">
        <v>434</v>
      </c>
      <c r="C126" t="s">
        <v>437</v>
      </c>
      <c r="D126" t="s">
        <v>458</v>
      </c>
      <c r="E126">
        <v>8</v>
      </c>
      <c r="F126" s="35">
        <v>0.28349999999999997</v>
      </c>
      <c r="G126" s="35">
        <v>0.13200000000000001</v>
      </c>
      <c r="H126" s="36">
        <v>0.89929999999999999</v>
      </c>
      <c r="I126" s="36">
        <v>2.8999999999999998E-3</v>
      </c>
      <c r="J126" s="36">
        <v>0.1429</v>
      </c>
      <c r="K126" s="35"/>
      <c r="M126" s="35"/>
      <c r="O126" s="36"/>
      <c r="P126" s="36">
        <v>0.5</v>
      </c>
      <c r="Q126" s="35"/>
      <c r="R126" s="35"/>
      <c r="S126" s="36"/>
      <c r="T126" s="36"/>
    </row>
    <row r="127" spans="1:20" x14ac:dyDescent="0.3">
      <c r="A127" t="s">
        <v>447</v>
      </c>
      <c r="B127" t="s">
        <v>434</v>
      </c>
      <c r="C127" t="s">
        <v>438</v>
      </c>
      <c r="D127" t="s">
        <v>458</v>
      </c>
      <c r="E127">
        <v>8</v>
      </c>
      <c r="F127" s="35">
        <v>1.4081999999999999</v>
      </c>
      <c r="G127" s="35">
        <v>0.61880000000000002</v>
      </c>
      <c r="H127" s="36">
        <v>0.55879999999999996</v>
      </c>
      <c r="I127" s="36">
        <v>0.06</v>
      </c>
      <c r="J127" s="36">
        <v>0.21429999999999999</v>
      </c>
      <c r="K127" s="35"/>
      <c r="M127" s="35"/>
      <c r="O127" s="36"/>
      <c r="P127" s="36">
        <v>0.5</v>
      </c>
      <c r="Q127" s="35"/>
      <c r="R127" s="35"/>
      <c r="S127" s="36"/>
      <c r="T127" s="36"/>
    </row>
    <row r="128" spans="1:20" x14ac:dyDescent="0.3">
      <c r="A128" t="s">
        <v>447</v>
      </c>
      <c r="B128" t="s">
        <v>434</v>
      </c>
      <c r="C128" t="s">
        <v>439</v>
      </c>
      <c r="D128" t="s">
        <v>458</v>
      </c>
      <c r="E128">
        <v>8</v>
      </c>
      <c r="F128" s="35">
        <v>0.64429999999999998</v>
      </c>
      <c r="G128" s="35">
        <v>0.2863</v>
      </c>
      <c r="H128" s="36">
        <v>0.7843</v>
      </c>
      <c r="I128" s="36">
        <v>1.35E-2</v>
      </c>
      <c r="J128" s="36">
        <v>9.5200000000000007E-2</v>
      </c>
      <c r="K128" s="35"/>
      <c r="M128" s="35"/>
      <c r="O128" s="36"/>
      <c r="P128" s="36">
        <v>0.5</v>
      </c>
      <c r="Q128" s="35"/>
      <c r="R128" s="35"/>
      <c r="S128" s="36"/>
      <c r="T128" s="36"/>
    </row>
    <row r="129" spans="1:20" x14ac:dyDescent="0.3">
      <c r="A129" t="s">
        <v>447</v>
      </c>
      <c r="B129" t="s">
        <v>440</v>
      </c>
      <c r="C129" t="s">
        <v>435</v>
      </c>
      <c r="D129" t="s">
        <v>458</v>
      </c>
      <c r="E129">
        <v>8</v>
      </c>
      <c r="F129" s="35"/>
      <c r="G129" s="35"/>
      <c r="H129" s="36"/>
      <c r="I129" s="36"/>
      <c r="J129" s="36"/>
      <c r="K129" s="35"/>
      <c r="M129" s="35"/>
      <c r="O129" s="36"/>
      <c r="P129" s="36"/>
      <c r="Q129" s="35"/>
      <c r="R129" s="35"/>
      <c r="S129" s="36"/>
      <c r="T129" s="36"/>
    </row>
    <row r="130" spans="1:20" x14ac:dyDescent="0.3">
      <c r="A130" t="s">
        <v>447</v>
      </c>
      <c r="B130" t="s">
        <v>440</v>
      </c>
      <c r="C130" t="s">
        <v>437</v>
      </c>
      <c r="D130" t="s">
        <v>458</v>
      </c>
      <c r="E130">
        <v>8</v>
      </c>
      <c r="F130" s="35"/>
      <c r="G130" s="35"/>
      <c r="H130" s="36"/>
      <c r="I130" s="36"/>
      <c r="J130" s="36"/>
      <c r="K130" s="35"/>
      <c r="M130" s="35"/>
      <c r="O130" s="36"/>
      <c r="P130" s="36"/>
      <c r="Q130" s="35"/>
      <c r="R130" s="35"/>
      <c r="S130" s="36"/>
      <c r="T130" s="36"/>
    </row>
    <row r="131" spans="1:20" x14ac:dyDescent="0.3">
      <c r="A131" t="s">
        <v>447</v>
      </c>
      <c r="B131" t="s">
        <v>440</v>
      </c>
      <c r="C131" t="s">
        <v>438</v>
      </c>
      <c r="D131" t="s">
        <v>458</v>
      </c>
      <c r="E131">
        <v>8</v>
      </c>
      <c r="F131" s="35"/>
      <c r="G131" s="35"/>
      <c r="H131" s="36"/>
      <c r="I131" s="36"/>
      <c r="J131" s="36"/>
      <c r="K131" s="35"/>
      <c r="M131" s="35"/>
      <c r="O131" s="36"/>
      <c r="P131" s="36"/>
      <c r="Q131" s="35"/>
      <c r="R131" s="35"/>
      <c r="S131" s="36"/>
      <c r="T131" s="36"/>
    </row>
    <row r="132" spans="1:20" x14ac:dyDescent="0.3">
      <c r="A132" t="s">
        <v>447</v>
      </c>
      <c r="B132" t="s">
        <v>440</v>
      </c>
      <c r="C132" t="s">
        <v>439</v>
      </c>
      <c r="D132" t="s">
        <v>458</v>
      </c>
      <c r="E132">
        <v>8</v>
      </c>
      <c r="F132" s="35"/>
      <c r="G132" s="35"/>
      <c r="H132" s="36"/>
      <c r="I132" s="36"/>
      <c r="J132" s="36"/>
      <c r="K132" s="35"/>
      <c r="M132" s="35"/>
      <c r="O132" s="36"/>
      <c r="P132" s="36"/>
      <c r="Q132" s="35"/>
      <c r="R132" s="35"/>
      <c r="S132" s="36"/>
      <c r="T132" s="36"/>
    </row>
    <row r="133" spans="1:20" x14ac:dyDescent="0.3">
      <c r="A133" t="s">
        <v>447</v>
      </c>
      <c r="B133" t="s">
        <v>441</v>
      </c>
      <c r="C133" t="s">
        <v>435</v>
      </c>
      <c r="D133" t="s">
        <v>458</v>
      </c>
      <c r="E133">
        <v>14</v>
      </c>
      <c r="F133" s="35">
        <v>0.49390000000000001</v>
      </c>
      <c r="G133" s="35">
        <v>0.68469999999999998</v>
      </c>
      <c r="H133" s="36">
        <v>0.50649999999999995</v>
      </c>
      <c r="I133" s="36">
        <v>3.7600000000000001E-2</v>
      </c>
      <c r="J133" s="36">
        <v>0.23960000000000001</v>
      </c>
      <c r="K133" s="35"/>
      <c r="M133" s="35"/>
      <c r="O133" s="36"/>
      <c r="P133" s="36">
        <v>0.64290000000000003</v>
      </c>
      <c r="Q133" s="35"/>
      <c r="R133" s="35"/>
      <c r="S133" s="36"/>
      <c r="T133" s="36"/>
    </row>
    <row r="134" spans="1:20" x14ac:dyDescent="0.3">
      <c r="A134" t="s">
        <v>447</v>
      </c>
      <c r="B134" t="s">
        <v>441</v>
      </c>
      <c r="C134" t="s">
        <v>437</v>
      </c>
      <c r="D134" t="s">
        <v>458</v>
      </c>
      <c r="E134">
        <v>14</v>
      </c>
      <c r="F134" s="35">
        <v>0.36780000000000002</v>
      </c>
      <c r="G134" s="35">
        <v>0.5171</v>
      </c>
      <c r="H134" s="36">
        <v>0.61450000000000005</v>
      </c>
      <c r="I134" s="36">
        <v>2.18E-2</v>
      </c>
      <c r="J134" s="36">
        <v>0.23080000000000001</v>
      </c>
      <c r="K134" s="35"/>
      <c r="M134" s="35"/>
      <c r="O134" s="36"/>
      <c r="P134" s="36">
        <v>0.57140000000000002</v>
      </c>
      <c r="Q134" s="35"/>
      <c r="R134" s="35"/>
      <c r="S134" s="36"/>
      <c r="T134" s="36"/>
    </row>
    <row r="135" spans="1:20" x14ac:dyDescent="0.3">
      <c r="A135" t="s">
        <v>447</v>
      </c>
      <c r="B135" t="s">
        <v>441</v>
      </c>
      <c r="C135" t="s">
        <v>438</v>
      </c>
      <c r="D135" t="s">
        <v>458</v>
      </c>
      <c r="E135">
        <v>14</v>
      </c>
      <c r="F135" s="35">
        <v>0.1918</v>
      </c>
      <c r="G135" s="35">
        <v>0.24349999999999999</v>
      </c>
      <c r="H135" s="36">
        <v>0.81169999999999998</v>
      </c>
      <c r="I135" s="36">
        <v>4.8999999999999998E-3</v>
      </c>
      <c r="J135" s="36">
        <v>0.1077</v>
      </c>
      <c r="K135" s="35"/>
      <c r="M135" s="35"/>
      <c r="O135" s="36"/>
      <c r="P135" s="36">
        <v>0.57140000000000002</v>
      </c>
      <c r="Q135" s="35"/>
      <c r="R135" s="35"/>
      <c r="S135" s="36"/>
      <c r="T135" s="36"/>
    </row>
    <row r="136" spans="1:20" x14ac:dyDescent="0.3">
      <c r="A136" t="s">
        <v>447</v>
      </c>
      <c r="B136" t="s">
        <v>441</v>
      </c>
      <c r="C136" t="s">
        <v>439</v>
      </c>
      <c r="D136" t="s">
        <v>458</v>
      </c>
      <c r="E136">
        <v>14</v>
      </c>
      <c r="F136" s="35">
        <v>4.3499999999999997E-2</v>
      </c>
      <c r="G136" s="35">
        <v>5.2299999999999999E-2</v>
      </c>
      <c r="H136" s="36">
        <v>0.95909999999999995</v>
      </c>
      <c r="I136" s="36">
        <v>2.0000000000000001E-4</v>
      </c>
      <c r="J136" s="36">
        <v>4.6199999999999998E-2</v>
      </c>
      <c r="K136" s="35"/>
      <c r="M136" s="35"/>
      <c r="O136" s="36"/>
      <c r="P136" s="36">
        <v>0.57140000000000002</v>
      </c>
      <c r="Q136" s="35"/>
      <c r="R136" s="35"/>
      <c r="S136" s="36"/>
      <c r="T136" s="36"/>
    </row>
    <row r="137" spans="1:20" x14ac:dyDescent="0.3">
      <c r="A137" t="s">
        <v>448</v>
      </c>
      <c r="B137" t="s">
        <v>434</v>
      </c>
      <c r="C137" t="s">
        <v>435</v>
      </c>
      <c r="D137" t="s">
        <v>458</v>
      </c>
      <c r="E137">
        <v>12</v>
      </c>
      <c r="F137" s="35">
        <v>2.4390000000000001</v>
      </c>
      <c r="G137" s="35">
        <v>1.4813000000000001</v>
      </c>
      <c r="H137" s="36">
        <v>0.16930000000000001</v>
      </c>
      <c r="I137" s="36">
        <v>0.1799</v>
      </c>
      <c r="J137" s="36">
        <v>0.3846</v>
      </c>
      <c r="K137" s="35"/>
      <c r="M137" s="35"/>
      <c r="O137" s="36"/>
      <c r="P137" s="36">
        <v>0.5</v>
      </c>
      <c r="Q137" s="35"/>
      <c r="R137" s="35"/>
      <c r="S137" s="36"/>
      <c r="T137" s="36"/>
    </row>
    <row r="138" spans="1:20" x14ac:dyDescent="0.3">
      <c r="A138" t="s">
        <v>448</v>
      </c>
      <c r="B138" t="s">
        <v>434</v>
      </c>
      <c r="C138" t="s">
        <v>437</v>
      </c>
      <c r="D138" t="s">
        <v>458</v>
      </c>
      <c r="E138">
        <v>12</v>
      </c>
      <c r="F138" s="35">
        <v>2.4693000000000001</v>
      </c>
      <c r="G138" s="35">
        <v>1.5174000000000001</v>
      </c>
      <c r="H138" s="36">
        <v>0.16009999999999999</v>
      </c>
      <c r="I138" s="36">
        <v>0.18720000000000001</v>
      </c>
      <c r="J138" s="36">
        <v>0.44059999999999999</v>
      </c>
      <c r="K138" s="35"/>
      <c r="M138" s="35"/>
      <c r="O138" s="36"/>
      <c r="P138" s="36">
        <v>0.41670000000000001</v>
      </c>
      <c r="Q138" s="35"/>
      <c r="R138" s="35"/>
      <c r="S138" s="36"/>
      <c r="T138" s="36"/>
    </row>
    <row r="139" spans="1:20" x14ac:dyDescent="0.3">
      <c r="A139" t="s">
        <v>448</v>
      </c>
      <c r="B139" t="s">
        <v>434</v>
      </c>
      <c r="C139" t="s">
        <v>438</v>
      </c>
      <c r="D139" t="s">
        <v>458</v>
      </c>
      <c r="E139">
        <v>12</v>
      </c>
      <c r="F139" s="35">
        <v>3.2557999999999998</v>
      </c>
      <c r="G139" s="35">
        <v>2.0234999999999999</v>
      </c>
      <c r="H139" s="36">
        <v>7.0599999999999996E-2</v>
      </c>
      <c r="I139" s="36">
        <v>0.29049999999999998</v>
      </c>
      <c r="J139" s="36">
        <v>0.4965</v>
      </c>
      <c r="K139" s="35"/>
      <c r="M139" s="35"/>
      <c r="O139" s="36"/>
      <c r="P139" s="36">
        <v>0.41670000000000001</v>
      </c>
      <c r="Q139" s="35"/>
      <c r="R139" s="35"/>
      <c r="S139" s="36"/>
      <c r="T139" s="36"/>
    </row>
    <row r="140" spans="1:20" x14ac:dyDescent="0.3">
      <c r="A140" t="s">
        <v>448</v>
      </c>
      <c r="B140" t="s">
        <v>434</v>
      </c>
      <c r="C140" t="s">
        <v>439</v>
      </c>
      <c r="D140" t="s">
        <v>458</v>
      </c>
      <c r="E140">
        <v>12</v>
      </c>
      <c r="F140" s="35">
        <v>3.2562000000000002</v>
      </c>
      <c r="G140" s="35">
        <v>1.992</v>
      </c>
      <c r="H140" s="36">
        <v>7.4399999999999994E-2</v>
      </c>
      <c r="I140" s="36">
        <v>0.28410000000000002</v>
      </c>
      <c r="J140" s="36">
        <v>0.58040000000000003</v>
      </c>
      <c r="K140" s="35"/>
      <c r="M140" s="35"/>
      <c r="O140" s="36"/>
      <c r="P140" s="36">
        <v>0.41670000000000001</v>
      </c>
      <c r="Q140" s="35"/>
      <c r="R140" s="35"/>
      <c r="S140" s="36"/>
      <c r="T140" s="36"/>
    </row>
    <row r="141" spans="1:20" x14ac:dyDescent="0.3">
      <c r="A141" t="s">
        <v>448</v>
      </c>
      <c r="B141" t="s">
        <v>449</v>
      </c>
      <c r="C141" t="s">
        <v>435</v>
      </c>
      <c r="D141" t="s">
        <v>458</v>
      </c>
      <c r="E141">
        <v>12</v>
      </c>
      <c r="F141" s="35">
        <v>8.2713999999999999</v>
      </c>
      <c r="G141" s="35">
        <v>1.9451000000000001</v>
      </c>
      <c r="H141" s="36">
        <v>8.0399999999999999E-2</v>
      </c>
      <c r="I141" s="36">
        <v>0.27450000000000002</v>
      </c>
      <c r="J141" s="36">
        <v>0.41620000000000001</v>
      </c>
      <c r="K141" s="35">
        <v>5.6</v>
      </c>
      <c r="L141">
        <v>5</v>
      </c>
      <c r="M141" s="35">
        <v>-2.6714000000000002</v>
      </c>
      <c r="N141">
        <v>7</v>
      </c>
      <c r="O141" s="36">
        <v>0.1588</v>
      </c>
      <c r="P141" s="36"/>
      <c r="Q141" s="35"/>
      <c r="R141" s="35"/>
      <c r="S141" s="36"/>
      <c r="T141" s="36"/>
    </row>
    <row r="142" spans="1:20" x14ac:dyDescent="0.3">
      <c r="A142" t="s">
        <v>448</v>
      </c>
      <c r="B142" t="s">
        <v>449</v>
      </c>
      <c r="C142" t="s">
        <v>437</v>
      </c>
      <c r="D142" t="s">
        <v>458</v>
      </c>
      <c r="E142">
        <v>12</v>
      </c>
      <c r="F142" s="35">
        <v>8.9428999999999998</v>
      </c>
      <c r="G142" s="35">
        <v>2.1972999999999998</v>
      </c>
      <c r="H142" s="36">
        <v>5.2699999999999997E-2</v>
      </c>
      <c r="I142" s="36">
        <v>0.3256</v>
      </c>
      <c r="J142" s="36">
        <v>0.5141</v>
      </c>
      <c r="K142" s="35">
        <v>5.3</v>
      </c>
      <c r="L142">
        <v>5</v>
      </c>
      <c r="M142" s="35">
        <v>-3.6429</v>
      </c>
      <c r="N142">
        <v>7</v>
      </c>
      <c r="O142" s="36">
        <v>0.1229</v>
      </c>
      <c r="P142" s="36"/>
      <c r="Q142" s="35"/>
      <c r="R142" s="35"/>
      <c r="S142" s="36"/>
      <c r="T142" s="36"/>
    </row>
    <row r="143" spans="1:20" x14ac:dyDescent="0.3">
      <c r="A143" t="s">
        <v>448</v>
      </c>
      <c r="B143" t="s">
        <v>449</v>
      </c>
      <c r="C143" t="s">
        <v>438</v>
      </c>
      <c r="D143" t="s">
        <v>458</v>
      </c>
      <c r="E143">
        <v>12</v>
      </c>
      <c r="F143" s="35">
        <v>8.5885999999999996</v>
      </c>
      <c r="G143" s="35">
        <v>1.9140999999999999</v>
      </c>
      <c r="H143" s="36">
        <v>8.4599999999999995E-2</v>
      </c>
      <c r="I143" s="36">
        <v>0.2681</v>
      </c>
      <c r="J143" s="36">
        <v>0.4652</v>
      </c>
      <c r="K143" s="35">
        <v>5.56</v>
      </c>
      <c r="L143">
        <v>5</v>
      </c>
      <c r="M143" s="35">
        <v>-3.0286</v>
      </c>
      <c r="N143">
        <v>7</v>
      </c>
      <c r="O143" s="36">
        <v>0.17199999999999999</v>
      </c>
      <c r="P143" s="36"/>
      <c r="Q143" s="35"/>
      <c r="R143" s="35"/>
      <c r="S143" s="36"/>
      <c r="T143" s="36"/>
    </row>
    <row r="144" spans="1:20" x14ac:dyDescent="0.3">
      <c r="A144" t="s">
        <v>448</v>
      </c>
      <c r="B144" t="s">
        <v>449</v>
      </c>
      <c r="C144" t="s">
        <v>439</v>
      </c>
      <c r="D144" t="s">
        <v>458</v>
      </c>
      <c r="E144">
        <v>12</v>
      </c>
      <c r="F144" s="35">
        <v>10.302899999999999</v>
      </c>
      <c r="G144" s="35">
        <v>2.4611000000000001</v>
      </c>
      <c r="H144" s="37">
        <v>3.3599999999999998E-2</v>
      </c>
      <c r="I144" s="36">
        <v>0.37719999999999998</v>
      </c>
      <c r="J144" s="36">
        <v>0.61209999999999998</v>
      </c>
      <c r="K144" s="35">
        <v>5.46</v>
      </c>
      <c r="L144">
        <v>5</v>
      </c>
      <c r="M144" s="35">
        <v>-4.8429000000000002</v>
      </c>
      <c r="N144">
        <v>7</v>
      </c>
      <c r="O144" s="36">
        <v>8.3000000000000004E-2</v>
      </c>
      <c r="P144" s="36"/>
      <c r="Q144" s="35"/>
      <c r="R144" s="35"/>
      <c r="S144" s="36"/>
      <c r="T144" s="36"/>
    </row>
    <row r="145" spans="1:20" x14ac:dyDescent="0.3">
      <c r="A145" t="s">
        <v>448</v>
      </c>
      <c r="B145" t="s">
        <v>441</v>
      </c>
      <c r="C145" t="s">
        <v>435</v>
      </c>
      <c r="D145" t="s">
        <v>458</v>
      </c>
      <c r="E145">
        <v>14</v>
      </c>
      <c r="F145" s="35">
        <v>-9.5899999999999999E-2</v>
      </c>
      <c r="G145" s="35">
        <v>-0.1096</v>
      </c>
      <c r="H145" s="36">
        <v>0.91449999999999998</v>
      </c>
      <c r="I145" s="36">
        <v>1E-3</v>
      </c>
      <c r="J145" s="36">
        <v>0.1429</v>
      </c>
      <c r="K145" s="35"/>
      <c r="M145" s="35"/>
      <c r="O145" s="36"/>
      <c r="P145" s="36">
        <v>0.5</v>
      </c>
      <c r="Q145" s="35"/>
      <c r="R145" s="35"/>
      <c r="S145" s="36"/>
      <c r="T145" s="36"/>
    </row>
    <row r="146" spans="1:20" x14ac:dyDescent="0.3">
      <c r="A146" t="s">
        <v>448</v>
      </c>
      <c r="B146" t="s">
        <v>441</v>
      </c>
      <c r="C146" t="s">
        <v>437</v>
      </c>
      <c r="D146" t="s">
        <v>458</v>
      </c>
      <c r="E146">
        <v>14</v>
      </c>
      <c r="F146" s="35">
        <v>-0.1842</v>
      </c>
      <c r="G146" s="35">
        <v>-0.21560000000000001</v>
      </c>
      <c r="H146" s="36">
        <v>0.83289999999999997</v>
      </c>
      <c r="I146" s="36">
        <v>3.8999999999999998E-3</v>
      </c>
      <c r="J146" s="36">
        <v>0.2044</v>
      </c>
      <c r="K146" s="35"/>
      <c r="M146" s="35"/>
      <c r="O146" s="36"/>
      <c r="P146" s="36">
        <v>0.64290000000000003</v>
      </c>
      <c r="Q146" s="35"/>
      <c r="R146" s="35"/>
      <c r="S146" s="36"/>
      <c r="T146" s="36"/>
    </row>
    <row r="147" spans="1:20" x14ac:dyDescent="0.3">
      <c r="A147" t="s">
        <v>448</v>
      </c>
      <c r="B147" t="s">
        <v>441</v>
      </c>
      <c r="C147" t="s">
        <v>438</v>
      </c>
      <c r="D147" t="s">
        <v>458</v>
      </c>
      <c r="E147">
        <v>14</v>
      </c>
      <c r="F147" s="35">
        <v>-0.8105</v>
      </c>
      <c r="G147" s="35">
        <v>-0.89059999999999995</v>
      </c>
      <c r="H147" s="36">
        <v>0.39069999999999999</v>
      </c>
      <c r="I147" s="36">
        <v>6.2E-2</v>
      </c>
      <c r="J147" s="36">
        <v>0.11650000000000001</v>
      </c>
      <c r="K147" s="35"/>
      <c r="M147" s="35"/>
      <c r="O147" s="36"/>
      <c r="P147" s="36">
        <v>0.57140000000000002</v>
      </c>
      <c r="Q147" s="35"/>
      <c r="R147" s="35"/>
      <c r="S147" s="36"/>
      <c r="T147" s="36"/>
    </row>
    <row r="148" spans="1:20" x14ac:dyDescent="0.3">
      <c r="A148" t="s">
        <v>448</v>
      </c>
      <c r="B148" t="s">
        <v>441</v>
      </c>
      <c r="C148" t="s">
        <v>439</v>
      </c>
      <c r="D148" t="s">
        <v>458</v>
      </c>
      <c r="E148">
        <v>14</v>
      </c>
      <c r="F148" s="35">
        <v>-0.77700000000000002</v>
      </c>
      <c r="G148" s="35">
        <v>-0.80579999999999996</v>
      </c>
      <c r="H148" s="36">
        <v>0.436</v>
      </c>
      <c r="I148" s="36">
        <v>5.1299999999999998E-2</v>
      </c>
      <c r="J148" s="36">
        <v>8.5699999999999998E-2</v>
      </c>
      <c r="K148" s="35"/>
      <c r="M148" s="35"/>
      <c r="O148" s="36"/>
      <c r="P148" s="36">
        <v>0.57140000000000002</v>
      </c>
      <c r="Q148" s="35"/>
      <c r="R148" s="35"/>
      <c r="S148" s="36"/>
      <c r="T148" s="36"/>
    </row>
    <row r="149" spans="1:20" x14ac:dyDescent="0.3">
      <c r="A149" t="s">
        <v>448</v>
      </c>
      <c r="B149" t="s">
        <v>442</v>
      </c>
      <c r="C149" t="s">
        <v>435</v>
      </c>
      <c r="D149" t="s">
        <v>458</v>
      </c>
      <c r="E149">
        <v>14</v>
      </c>
      <c r="F149" s="35">
        <v>1.0547</v>
      </c>
      <c r="G149" s="35">
        <v>1.2751999999999999</v>
      </c>
      <c r="H149" s="36">
        <v>0.22639999999999999</v>
      </c>
      <c r="I149" s="36">
        <v>0.1193</v>
      </c>
      <c r="J149" s="36">
        <v>0.3407</v>
      </c>
      <c r="K149" s="35"/>
      <c r="M149" s="35"/>
      <c r="O149" s="36"/>
      <c r="P149" s="36">
        <v>0.64290000000000003</v>
      </c>
      <c r="Q149" s="35"/>
      <c r="R149" s="35"/>
      <c r="S149" s="36"/>
      <c r="T149" s="36"/>
    </row>
    <row r="150" spans="1:20" x14ac:dyDescent="0.3">
      <c r="A150" t="s">
        <v>448</v>
      </c>
      <c r="B150" t="s">
        <v>442</v>
      </c>
      <c r="C150" t="s">
        <v>437</v>
      </c>
      <c r="D150" t="s">
        <v>458</v>
      </c>
      <c r="E150">
        <v>14</v>
      </c>
      <c r="F150" s="35">
        <v>1.0044</v>
      </c>
      <c r="G150" s="35">
        <v>1.2369000000000001</v>
      </c>
      <c r="H150" s="36">
        <v>0.23980000000000001</v>
      </c>
      <c r="I150" s="36">
        <v>0.11310000000000001</v>
      </c>
      <c r="J150" s="36">
        <v>0.37580000000000002</v>
      </c>
      <c r="K150" s="35"/>
      <c r="M150" s="35"/>
      <c r="O150" s="36"/>
      <c r="P150" s="36">
        <v>0.71430000000000005</v>
      </c>
      <c r="Q150" s="35"/>
      <c r="R150" s="35"/>
      <c r="S150" s="36"/>
      <c r="T150" s="36"/>
    </row>
    <row r="151" spans="1:20" x14ac:dyDescent="0.3">
      <c r="A151" t="s">
        <v>448</v>
      </c>
      <c r="B151" t="s">
        <v>442</v>
      </c>
      <c r="C151" t="s">
        <v>438</v>
      </c>
      <c r="D151" t="s">
        <v>458</v>
      </c>
      <c r="E151">
        <v>14</v>
      </c>
      <c r="F151" s="35">
        <v>1.0485</v>
      </c>
      <c r="G151" s="35">
        <v>1.1693</v>
      </c>
      <c r="H151" s="36">
        <v>0.26500000000000001</v>
      </c>
      <c r="I151" s="36">
        <v>0.1023</v>
      </c>
      <c r="J151" s="36">
        <v>0.44180000000000003</v>
      </c>
      <c r="K151" s="35"/>
      <c r="M151" s="35"/>
      <c r="O151" s="36"/>
      <c r="P151" s="36">
        <v>0.71430000000000005</v>
      </c>
      <c r="Q151" s="35"/>
      <c r="R151" s="35"/>
      <c r="S151" s="36"/>
      <c r="T151" s="36"/>
    </row>
    <row r="152" spans="1:20" x14ac:dyDescent="0.3">
      <c r="A152" t="s">
        <v>448</v>
      </c>
      <c r="B152" t="s">
        <v>442</v>
      </c>
      <c r="C152" t="s">
        <v>439</v>
      </c>
      <c r="D152" t="s">
        <v>458</v>
      </c>
      <c r="E152">
        <v>14</v>
      </c>
      <c r="F152" s="35">
        <v>0.95669999999999999</v>
      </c>
      <c r="G152" s="35">
        <v>0.99850000000000005</v>
      </c>
      <c r="H152" s="36">
        <v>0.3377</v>
      </c>
      <c r="I152" s="36">
        <v>7.6700000000000004E-2</v>
      </c>
      <c r="J152" s="36">
        <v>0.46810000000000002</v>
      </c>
      <c r="K152" s="35"/>
      <c r="M152" s="35"/>
      <c r="O152" s="36"/>
      <c r="P152" s="36">
        <v>0.71430000000000005</v>
      </c>
      <c r="Q152" s="35"/>
      <c r="R152" s="35"/>
      <c r="S152" s="36"/>
      <c r="T152" s="36"/>
    </row>
    <row r="153" spans="1:20" x14ac:dyDescent="0.3">
      <c r="A153" t="s">
        <v>450</v>
      </c>
      <c r="B153" t="s">
        <v>434</v>
      </c>
      <c r="C153" t="s">
        <v>435</v>
      </c>
      <c r="D153" t="s">
        <v>458</v>
      </c>
      <c r="E153">
        <v>6</v>
      </c>
      <c r="F153" s="35">
        <v>-0.33760000000000001</v>
      </c>
      <c r="G153" s="35">
        <v>-0.6542</v>
      </c>
      <c r="H153" s="36">
        <v>0.54869999999999997</v>
      </c>
      <c r="I153" s="36">
        <v>9.6600000000000005E-2</v>
      </c>
      <c r="J153" s="36">
        <v>-0.2571</v>
      </c>
      <c r="K153" s="35"/>
      <c r="M153" s="35"/>
      <c r="O153" s="36"/>
      <c r="P153" s="36">
        <v>0.5</v>
      </c>
      <c r="Q153" s="35"/>
      <c r="R153" s="35"/>
      <c r="S153" s="36"/>
      <c r="T153" s="36"/>
    </row>
    <row r="154" spans="1:20" x14ac:dyDescent="0.3">
      <c r="A154" t="s">
        <v>450</v>
      </c>
      <c r="B154" t="s">
        <v>434</v>
      </c>
      <c r="C154" t="s">
        <v>437</v>
      </c>
      <c r="D154" t="s">
        <v>458</v>
      </c>
      <c r="E154">
        <v>6</v>
      </c>
      <c r="F154" s="35">
        <v>-0.30220000000000002</v>
      </c>
      <c r="G154" s="35">
        <v>-0.58750000000000002</v>
      </c>
      <c r="H154" s="36">
        <v>0.58840000000000003</v>
      </c>
      <c r="I154" s="36">
        <v>7.9399999999999998E-2</v>
      </c>
      <c r="J154" s="36">
        <v>-0.2571</v>
      </c>
      <c r="K154" s="35"/>
      <c r="M154" s="35"/>
      <c r="O154" s="36"/>
      <c r="P154" s="36">
        <v>0.33329999999999999</v>
      </c>
      <c r="Q154" s="35"/>
      <c r="R154" s="35"/>
      <c r="S154" s="36"/>
      <c r="T154" s="36"/>
    </row>
    <row r="155" spans="1:20" x14ac:dyDescent="0.3">
      <c r="A155" t="s">
        <v>450</v>
      </c>
      <c r="B155" t="s">
        <v>434</v>
      </c>
      <c r="C155" t="s">
        <v>438</v>
      </c>
      <c r="D155" t="s">
        <v>458</v>
      </c>
      <c r="E155">
        <v>6</v>
      </c>
      <c r="F155" s="35">
        <v>-0.48280000000000001</v>
      </c>
      <c r="G155" s="35">
        <v>-0.93569999999999998</v>
      </c>
      <c r="H155" s="36">
        <v>0.40239999999999998</v>
      </c>
      <c r="I155" s="36">
        <v>0.17960000000000001</v>
      </c>
      <c r="J155" s="36">
        <v>-0.2</v>
      </c>
      <c r="K155" s="35"/>
      <c r="M155" s="35"/>
      <c r="O155" s="36"/>
      <c r="P155" s="36">
        <v>0.33329999999999999</v>
      </c>
      <c r="Q155" s="35"/>
      <c r="R155" s="35"/>
      <c r="S155" s="36"/>
      <c r="T155" s="36"/>
    </row>
    <row r="156" spans="1:20" x14ac:dyDescent="0.3">
      <c r="A156" t="s">
        <v>450</v>
      </c>
      <c r="B156" t="s">
        <v>434</v>
      </c>
      <c r="C156" t="s">
        <v>439</v>
      </c>
      <c r="D156" t="s">
        <v>458</v>
      </c>
      <c r="E156">
        <v>6</v>
      </c>
      <c r="F156" s="35">
        <v>-0.48949999999999999</v>
      </c>
      <c r="G156" s="35">
        <v>-0.9546</v>
      </c>
      <c r="H156" s="36">
        <v>0.39379999999999998</v>
      </c>
      <c r="I156" s="36">
        <v>0.18559999999999999</v>
      </c>
      <c r="J156" s="36">
        <v>-0.48570000000000002</v>
      </c>
      <c r="K156" s="35"/>
      <c r="M156" s="35"/>
      <c r="O156" s="36"/>
      <c r="P156" s="36">
        <v>0.33329999999999999</v>
      </c>
      <c r="Q156" s="35"/>
      <c r="R156" s="35"/>
      <c r="S156" s="36"/>
      <c r="T156" s="36"/>
    </row>
    <row r="157" spans="1:20" x14ac:dyDescent="0.3">
      <c r="A157" t="s">
        <v>450</v>
      </c>
      <c r="B157" t="s">
        <v>440</v>
      </c>
      <c r="C157" t="s">
        <v>435</v>
      </c>
      <c r="D157" t="s">
        <v>458</v>
      </c>
      <c r="E157">
        <v>6</v>
      </c>
      <c r="F157" s="35"/>
      <c r="G157" s="35"/>
      <c r="H157" s="36"/>
      <c r="I157" s="36"/>
      <c r="J157" s="36"/>
      <c r="K157" s="35"/>
      <c r="M157" s="35"/>
      <c r="O157" s="36"/>
      <c r="P157" s="36"/>
      <c r="Q157" s="35"/>
      <c r="R157" s="35"/>
      <c r="S157" s="36"/>
      <c r="T157" s="36"/>
    </row>
    <row r="158" spans="1:20" x14ac:dyDescent="0.3">
      <c r="A158" t="s">
        <v>450</v>
      </c>
      <c r="B158" t="s">
        <v>440</v>
      </c>
      <c r="C158" t="s">
        <v>437</v>
      </c>
      <c r="D158" t="s">
        <v>458</v>
      </c>
      <c r="E158">
        <v>6</v>
      </c>
      <c r="F158" s="35"/>
      <c r="G158" s="35"/>
      <c r="H158" s="36"/>
      <c r="I158" s="36"/>
      <c r="J158" s="36"/>
      <c r="K158" s="35"/>
      <c r="M158" s="35"/>
      <c r="O158" s="36"/>
      <c r="P158" s="36"/>
      <c r="Q158" s="35"/>
      <c r="R158" s="35"/>
      <c r="S158" s="36"/>
      <c r="T158" s="36"/>
    </row>
    <row r="159" spans="1:20" x14ac:dyDescent="0.3">
      <c r="A159" t="s">
        <v>450</v>
      </c>
      <c r="B159" t="s">
        <v>440</v>
      </c>
      <c r="C159" t="s">
        <v>438</v>
      </c>
      <c r="D159" t="s">
        <v>458</v>
      </c>
      <c r="E159">
        <v>6</v>
      </c>
      <c r="F159" s="35"/>
      <c r="G159" s="35"/>
      <c r="H159" s="36"/>
      <c r="I159" s="36"/>
      <c r="J159" s="36"/>
      <c r="K159" s="35"/>
      <c r="M159" s="35"/>
      <c r="O159" s="36"/>
      <c r="P159" s="36"/>
      <c r="Q159" s="35"/>
      <c r="R159" s="35"/>
      <c r="S159" s="36"/>
      <c r="T159" s="36"/>
    </row>
    <row r="160" spans="1:20" x14ac:dyDescent="0.3">
      <c r="A160" t="s">
        <v>450</v>
      </c>
      <c r="B160" t="s">
        <v>440</v>
      </c>
      <c r="C160" t="s">
        <v>439</v>
      </c>
      <c r="D160" t="s">
        <v>458</v>
      </c>
      <c r="E160">
        <v>6</v>
      </c>
      <c r="F160" s="35"/>
      <c r="G160" s="35"/>
      <c r="H160" s="36"/>
      <c r="I160" s="36"/>
      <c r="J160" s="36"/>
      <c r="K160" s="35"/>
      <c r="M160" s="35"/>
      <c r="O160" s="36"/>
      <c r="P160" s="36"/>
      <c r="Q160" s="35"/>
      <c r="R160" s="35"/>
      <c r="S160" s="36"/>
      <c r="T160" s="36"/>
    </row>
    <row r="161" spans="1:20" x14ac:dyDescent="0.3">
      <c r="A161" t="s">
        <v>450</v>
      </c>
      <c r="B161" t="s">
        <v>441</v>
      </c>
      <c r="C161" t="s">
        <v>435</v>
      </c>
      <c r="D161" t="s">
        <v>458</v>
      </c>
      <c r="E161">
        <v>14</v>
      </c>
      <c r="F161" s="35">
        <v>-8.7999999999999995E-2</v>
      </c>
      <c r="G161" s="35">
        <v>-0.6169</v>
      </c>
      <c r="H161" s="36">
        <v>0.54879999999999995</v>
      </c>
      <c r="I161" s="36">
        <v>3.0700000000000002E-2</v>
      </c>
      <c r="J161" s="36">
        <v>-0.26150000000000001</v>
      </c>
      <c r="K161" s="35"/>
      <c r="M161" s="35"/>
      <c r="O161" s="36"/>
      <c r="P161" s="36">
        <v>0.35709999999999997</v>
      </c>
      <c r="Q161" s="35"/>
      <c r="R161" s="35"/>
      <c r="S161" s="36"/>
      <c r="T161" s="36"/>
    </row>
    <row r="162" spans="1:20" x14ac:dyDescent="0.3">
      <c r="A162" t="s">
        <v>450</v>
      </c>
      <c r="B162" t="s">
        <v>441</v>
      </c>
      <c r="C162" t="s">
        <v>437</v>
      </c>
      <c r="D162" t="s">
        <v>458</v>
      </c>
      <c r="E162">
        <v>14</v>
      </c>
      <c r="F162" s="35">
        <v>-9.8799999999999999E-2</v>
      </c>
      <c r="G162" s="35">
        <v>-0.7117</v>
      </c>
      <c r="H162" s="36">
        <v>0.49030000000000001</v>
      </c>
      <c r="I162" s="36">
        <v>4.0500000000000001E-2</v>
      </c>
      <c r="J162" s="36">
        <v>-0.26150000000000001</v>
      </c>
      <c r="K162" s="35"/>
      <c r="M162" s="35"/>
      <c r="O162" s="36"/>
      <c r="P162" s="36">
        <v>0.35709999999999997</v>
      </c>
      <c r="Q162" s="35"/>
      <c r="R162" s="35"/>
      <c r="S162" s="36"/>
      <c r="T162" s="36"/>
    </row>
    <row r="163" spans="1:20" x14ac:dyDescent="0.3">
      <c r="A163" t="s">
        <v>450</v>
      </c>
      <c r="B163" t="s">
        <v>441</v>
      </c>
      <c r="C163" t="s">
        <v>438</v>
      </c>
      <c r="D163" t="s">
        <v>458</v>
      </c>
      <c r="E163">
        <v>14</v>
      </c>
      <c r="F163" s="35">
        <v>-8.2299999999999998E-2</v>
      </c>
      <c r="G163" s="35">
        <v>-0.53520000000000001</v>
      </c>
      <c r="H163" s="36">
        <v>0.60229999999999995</v>
      </c>
      <c r="I163" s="36">
        <v>2.3300000000000001E-2</v>
      </c>
      <c r="J163" s="36">
        <v>-0.2923</v>
      </c>
      <c r="K163" s="35"/>
      <c r="M163" s="35"/>
      <c r="O163" s="36"/>
      <c r="P163" s="36">
        <v>0.28570000000000001</v>
      </c>
      <c r="Q163" s="35"/>
      <c r="R163" s="35"/>
      <c r="S163" s="36"/>
      <c r="T163" s="36"/>
    </row>
    <row r="164" spans="1:20" x14ac:dyDescent="0.3">
      <c r="A164" t="s">
        <v>450</v>
      </c>
      <c r="B164" t="s">
        <v>441</v>
      </c>
      <c r="C164" t="s">
        <v>439</v>
      </c>
      <c r="D164" t="s">
        <v>458</v>
      </c>
      <c r="E164">
        <v>14</v>
      </c>
      <c r="F164" s="35">
        <v>-0.11269999999999999</v>
      </c>
      <c r="G164" s="35">
        <v>-0.70179999999999998</v>
      </c>
      <c r="H164" s="36">
        <v>0.49619999999999997</v>
      </c>
      <c r="I164" s="36">
        <v>3.9399999999999998E-2</v>
      </c>
      <c r="J164" s="36">
        <v>-0.36259999999999998</v>
      </c>
      <c r="K164" s="35"/>
      <c r="M164" s="35"/>
      <c r="O164" s="36"/>
      <c r="P164" s="36">
        <v>0.28570000000000001</v>
      </c>
      <c r="Q164" s="35"/>
      <c r="R164" s="35"/>
      <c r="S164" s="36"/>
      <c r="T164" s="36"/>
    </row>
    <row r="165" spans="1:20" x14ac:dyDescent="0.3">
      <c r="A165" t="s">
        <v>451</v>
      </c>
      <c r="B165" t="s">
        <v>452</v>
      </c>
      <c r="C165" t="s">
        <v>435</v>
      </c>
      <c r="D165" t="s">
        <v>458</v>
      </c>
      <c r="E165">
        <v>14</v>
      </c>
      <c r="F165" s="35">
        <v>-0.53990000000000005</v>
      </c>
      <c r="G165" s="35">
        <v>-0.62880000000000003</v>
      </c>
      <c r="H165" s="36">
        <v>0.5413</v>
      </c>
      <c r="I165" s="36">
        <v>3.1899999999999998E-2</v>
      </c>
      <c r="J165" s="36">
        <v>-0.26590000000000003</v>
      </c>
      <c r="K165" s="35"/>
      <c r="M165" s="35"/>
      <c r="O165" s="36"/>
      <c r="P165" s="36">
        <v>0.35709999999999997</v>
      </c>
      <c r="Q165" s="35"/>
      <c r="R165" s="35"/>
      <c r="S165" s="36"/>
      <c r="T165" s="36"/>
    </row>
    <row r="166" spans="1:20" x14ac:dyDescent="0.3">
      <c r="A166" t="s">
        <v>451</v>
      </c>
      <c r="B166" t="s">
        <v>452</v>
      </c>
      <c r="C166" t="s">
        <v>437</v>
      </c>
      <c r="D166" t="s">
        <v>458</v>
      </c>
      <c r="E166">
        <v>14</v>
      </c>
      <c r="F166" s="35">
        <v>-0.64810000000000001</v>
      </c>
      <c r="G166" s="35">
        <v>-0.77790000000000004</v>
      </c>
      <c r="H166" s="36">
        <v>0.45169999999999999</v>
      </c>
      <c r="I166" s="36">
        <v>4.8000000000000001E-2</v>
      </c>
      <c r="J166" s="36">
        <v>-0.30109999999999998</v>
      </c>
      <c r="K166" s="35"/>
      <c r="M166" s="35"/>
      <c r="O166" s="36"/>
      <c r="P166" s="36">
        <v>0.28570000000000001</v>
      </c>
      <c r="Q166" s="35"/>
      <c r="R166" s="35"/>
      <c r="S166" s="36"/>
      <c r="T166" s="36"/>
    </row>
    <row r="167" spans="1:20" x14ac:dyDescent="0.3">
      <c r="A167" t="s">
        <v>451</v>
      </c>
      <c r="B167" t="s">
        <v>452</v>
      </c>
      <c r="C167" t="s">
        <v>438</v>
      </c>
      <c r="D167" t="s">
        <v>458</v>
      </c>
      <c r="E167">
        <v>14</v>
      </c>
      <c r="F167" s="35">
        <v>-0.26190000000000002</v>
      </c>
      <c r="G167" s="35">
        <v>-0.28029999999999999</v>
      </c>
      <c r="H167" s="36">
        <v>0.78400000000000003</v>
      </c>
      <c r="I167" s="36">
        <v>6.4999999999999997E-3</v>
      </c>
      <c r="J167" s="36">
        <v>-0.21759999999999999</v>
      </c>
      <c r="K167" s="35"/>
      <c r="M167" s="35"/>
      <c r="O167" s="36"/>
      <c r="P167" s="36">
        <v>0.28570000000000001</v>
      </c>
      <c r="Q167" s="35"/>
      <c r="R167" s="35"/>
      <c r="S167" s="36"/>
      <c r="T167" s="36"/>
    </row>
    <row r="168" spans="1:20" x14ac:dyDescent="0.3">
      <c r="A168" t="s">
        <v>451</v>
      </c>
      <c r="B168" t="s">
        <v>452</v>
      </c>
      <c r="C168" t="s">
        <v>439</v>
      </c>
      <c r="D168" t="s">
        <v>458</v>
      </c>
      <c r="E168">
        <v>14</v>
      </c>
      <c r="F168" s="35">
        <v>-0.49919999999999998</v>
      </c>
      <c r="G168" s="35">
        <v>-0.51100000000000001</v>
      </c>
      <c r="H168" s="36">
        <v>0.61860000000000004</v>
      </c>
      <c r="I168" s="36">
        <v>2.1299999999999999E-2</v>
      </c>
      <c r="J168" s="36">
        <v>-0.30990000000000001</v>
      </c>
      <c r="K168" s="35"/>
      <c r="M168" s="35"/>
      <c r="O168" s="36"/>
      <c r="P168" s="36">
        <v>0.28570000000000001</v>
      </c>
      <c r="Q168" s="35"/>
      <c r="R168" s="35"/>
      <c r="S168" s="36"/>
      <c r="T168" s="36"/>
    </row>
    <row r="169" spans="1:20" x14ac:dyDescent="0.3">
      <c r="A169" t="s">
        <v>453</v>
      </c>
      <c r="B169" t="s">
        <v>434</v>
      </c>
      <c r="C169" t="s">
        <v>435</v>
      </c>
      <c r="D169" t="s">
        <v>458</v>
      </c>
      <c r="E169">
        <v>5</v>
      </c>
      <c r="F169" s="35"/>
      <c r="G169" s="35"/>
      <c r="H169" s="36"/>
      <c r="I169" s="36"/>
      <c r="J169" s="36"/>
      <c r="K169" s="35"/>
      <c r="M169" s="35"/>
      <c r="O169" s="36"/>
      <c r="P169" s="36"/>
      <c r="Q169" s="35"/>
      <c r="R169" s="35"/>
      <c r="S169" s="36"/>
      <c r="T169" s="36"/>
    </row>
    <row r="170" spans="1:20" x14ac:dyDescent="0.3">
      <c r="A170" t="s">
        <v>453</v>
      </c>
      <c r="B170" t="s">
        <v>434</v>
      </c>
      <c r="C170" t="s">
        <v>437</v>
      </c>
      <c r="D170" t="s">
        <v>458</v>
      </c>
      <c r="E170">
        <v>5</v>
      </c>
      <c r="F170" s="35"/>
      <c r="G170" s="35"/>
      <c r="H170" s="36"/>
      <c r="I170" s="36"/>
      <c r="J170" s="36"/>
      <c r="K170" s="35"/>
      <c r="M170" s="35"/>
      <c r="O170" s="36"/>
      <c r="P170" s="36"/>
      <c r="Q170" s="35"/>
      <c r="R170" s="35"/>
      <c r="S170" s="36"/>
      <c r="T170" s="36"/>
    </row>
    <row r="171" spans="1:20" x14ac:dyDescent="0.3">
      <c r="A171" t="s">
        <v>453</v>
      </c>
      <c r="B171" t="s">
        <v>434</v>
      </c>
      <c r="C171" t="s">
        <v>438</v>
      </c>
      <c r="D171" t="s">
        <v>458</v>
      </c>
      <c r="E171">
        <v>5</v>
      </c>
      <c r="F171" s="35"/>
      <c r="G171" s="35"/>
      <c r="H171" s="36"/>
      <c r="I171" s="36"/>
      <c r="J171" s="36"/>
      <c r="K171" s="35"/>
      <c r="M171" s="35"/>
      <c r="O171" s="36"/>
      <c r="P171" s="36"/>
      <c r="Q171" s="35"/>
      <c r="R171" s="35"/>
      <c r="S171" s="36"/>
      <c r="T171" s="36"/>
    </row>
    <row r="172" spans="1:20" x14ac:dyDescent="0.3">
      <c r="A172" t="s">
        <v>453</v>
      </c>
      <c r="B172" t="s">
        <v>434</v>
      </c>
      <c r="C172" t="s">
        <v>439</v>
      </c>
      <c r="D172" t="s">
        <v>458</v>
      </c>
      <c r="E172">
        <v>5</v>
      </c>
      <c r="F172" s="35"/>
      <c r="G172" s="35"/>
      <c r="H172" s="36"/>
      <c r="I172" s="36"/>
      <c r="J172" s="36"/>
      <c r="K172" s="35"/>
      <c r="M172" s="35"/>
      <c r="O172" s="36"/>
      <c r="P172" s="36"/>
      <c r="Q172" s="35"/>
      <c r="R172" s="35"/>
      <c r="S172" s="36"/>
      <c r="T172" s="36"/>
    </row>
    <row r="173" spans="1:20" x14ac:dyDescent="0.3">
      <c r="A173" t="s">
        <v>453</v>
      </c>
      <c r="B173" t="s">
        <v>441</v>
      </c>
      <c r="C173" t="s">
        <v>435</v>
      </c>
      <c r="D173" t="s">
        <v>458</v>
      </c>
      <c r="E173">
        <v>14</v>
      </c>
      <c r="F173" s="35">
        <v>0.9637</v>
      </c>
      <c r="G173" s="35">
        <v>1.0157</v>
      </c>
      <c r="H173" s="36">
        <v>0.32979999999999998</v>
      </c>
      <c r="I173" s="36">
        <v>7.9200000000000007E-2</v>
      </c>
      <c r="J173" s="36">
        <v>0.29670000000000002</v>
      </c>
      <c r="K173" s="35"/>
      <c r="M173" s="35"/>
      <c r="O173" s="36"/>
      <c r="P173" s="36">
        <v>0.64290000000000003</v>
      </c>
      <c r="Q173" s="35"/>
      <c r="R173" s="35"/>
      <c r="S173" s="36"/>
      <c r="T173" s="36"/>
    </row>
    <row r="174" spans="1:20" x14ac:dyDescent="0.3">
      <c r="A174" t="s">
        <v>453</v>
      </c>
      <c r="B174" t="s">
        <v>441</v>
      </c>
      <c r="C174" t="s">
        <v>437</v>
      </c>
      <c r="D174" t="s">
        <v>458</v>
      </c>
      <c r="E174">
        <v>14</v>
      </c>
      <c r="F174" s="35">
        <v>0.86619999999999997</v>
      </c>
      <c r="G174" s="35">
        <v>0.92689999999999995</v>
      </c>
      <c r="H174" s="36">
        <v>0.37230000000000002</v>
      </c>
      <c r="I174" s="36">
        <v>6.6799999999999998E-2</v>
      </c>
      <c r="J174" s="36">
        <v>0.29670000000000002</v>
      </c>
      <c r="K174" s="35"/>
      <c r="M174" s="35"/>
      <c r="O174" s="36"/>
      <c r="P174" s="36">
        <v>0.57140000000000002</v>
      </c>
      <c r="Q174" s="35"/>
      <c r="R174" s="35"/>
      <c r="S174" s="36"/>
      <c r="T174" s="36"/>
    </row>
    <row r="175" spans="1:20" x14ac:dyDescent="0.3">
      <c r="A175" t="s">
        <v>453</v>
      </c>
      <c r="B175" t="s">
        <v>441</v>
      </c>
      <c r="C175" t="s">
        <v>438</v>
      </c>
      <c r="D175" t="s">
        <v>458</v>
      </c>
      <c r="E175">
        <v>14</v>
      </c>
      <c r="F175" s="35">
        <v>1.3435999999999999</v>
      </c>
      <c r="G175" s="35">
        <v>1.3592</v>
      </c>
      <c r="H175" s="36">
        <v>0.1991</v>
      </c>
      <c r="I175" s="36">
        <v>0.13339999999999999</v>
      </c>
      <c r="J175" s="36">
        <v>0.2747</v>
      </c>
      <c r="K175" s="35"/>
      <c r="M175" s="35"/>
      <c r="O175" s="36"/>
      <c r="P175" s="36">
        <v>0.57140000000000002</v>
      </c>
      <c r="Q175" s="35"/>
      <c r="R175" s="35"/>
      <c r="S175" s="36"/>
      <c r="T175" s="36"/>
    </row>
    <row r="176" spans="1:20" x14ac:dyDescent="0.3">
      <c r="A176" t="s">
        <v>453</v>
      </c>
      <c r="B176" t="s">
        <v>441</v>
      </c>
      <c r="C176" t="s">
        <v>439</v>
      </c>
      <c r="D176" t="s">
        <v>458</v>
      </c>
      <c r="E176">
        <v>14</v>
      </c>
      <c r="F176" s="35">
        <v>1.0681</v>
      </c>
      <c r="G176" s="35">
        <v>0.99319999999999997</v>
      </c>
      <c r="H176" s="36">
        <v>0.3402</v>
      </c>
      <c r="I176" s="36">
        <v>7.5999999999999998E-2</v>
      </c>
      <c r="J176" s="36">
        <v>0.23960000000000001</v>
      </c>
      <c r="K176" s="35"/>
      <c r="M176" s="35"/>
      <c r="O176" s="36"/>
      <c r="P176" s="36">
        <v>0.57140000000000002</v>
      </c>
      <c r="Q176" s="35"/>
      <c r="R176" s="35"/>
      <c r="S176" s="36"/>
      <c r="T176" s="36"/>
    </row>
    <row r="177" spans="1:20" x14ac:dyDescent="0.3">
      <c r="A177" t="s">
        <v>454</v>
      </c>
      <c r="B177" t="s">
        <v>452</v>
      </c>
      <c r="C177" t="s">
        <v>435</v>
      </c>
      <c r="D177" t="s">
        <v>458</v>
      </c>
      <c r="E177">
        <v>14</v>
      </c>
      <c r="F177" s="35">
        <v>-7.0986000000000002</v>
      </c>
      <c r="G177" s="35">
        <v>-0.97370000000000001</v>
      </c>
      <c r="H177" s="36">
        <v>0.34939999999999999</v>
      </c>
      <c r="I177" s="36">
        <v>7.3200000000000001E-2</v>
      </c>
      <c r="J177" s="36">
        <v>-0.41539999999999999</v>
      </c>
      <c r="K177" s="35"/>
      <c r="M177" s="35"/>
      <c r="O177" s="36"/>
      <c r="P177" s="36">
        <v>0.21429999999999999</v>
      </c>
      <c r="Q177" s="35"/>
      <c r="R177" s="35"/>
      <c r="S177" s="36"/>
      <c r="T177" s="36"/>
    </row>
    <row r="178" spans="1:20" x14ac:dyDescent="0.3">
      <c r="A178" t="s">
        <v>454</v>
      </c>
      <c r="B178" t="s">
        <v>452</v>
      </c>
      <c r="C178" t="s">
        <v>437</v>
      </c>
      <c r="D178" t="s">
        <v>458</v>
      </c>
      <c r="E178">
        <v>14</v>
      </c>
      <c r="F178" s="35">
        <v>-7.1599000000000004</v>
      </c>
      <c r="G178" s="35">
        <v>-1.0063</v>
      </c>
      <c r="H178" s="36">
        <v>0.33410000000000001</v>
      </c>
      <c r="I178" s="36">
        <v>7.7799999999999994E-2</v>
      </c>
      <c r="J178" s="36">
        <v>-0.36259999999999998</v>
      </c>
      <c r="K178" s="35"/>
      <c r="M178" s="35"/>
      <c r="O178" s="36"/>
      <c r="P178" s="36">
        <v>0.35709999999999997</v>
      </c>
      <c r="Q178" s="35"/>
      <c r="R178" s="35"/>
      <c r="S178" s="36"/>
      <c r="T178" s="36"/>
    </row>
    <row r="179" spans="1:20" x14ac:dyDescent="0.3">
      <c r="A179" t="s">
        <v>454</v>
      </c>
      <c r="B179" t="s">
        <v>452</v>
      </c>
      <c r="C179" t="s">
        <v>438</v>
      </c>
      <c r="D179" t="s">
        <v>458</v>
      </c>
      <c r="E179">
        <v>14</v>
      </c>
      <c r="F179" s="35">
        <v>-8.2556999999999992</v>
      </c>
      <c r="G179" s="35">
        <v>-1.0618000000000001</v>
      </c>
      <c r="H179" s="36">
        <v>0.30919999999999997</v>
      </c>
      <c r="I179" s="36">
        <v>8.5900000000000004E-2</v>
      </c>
      <c r="J179" s="36">
        <v>-0.36699999999999999</v>
      </c>
      <c r="K179" s="35"/>
      <c r="M179" s="35"/>
      <c r="O179" s="36"/>
      <c r="P179" s="36">
        <v>0.28570000000000001</v>
      </c>
      <c r="Q179" s="35"/>
      <c r="R179" s="35"/>
      <c r="S179" s="36"/>
      <c r="T179" s="36"/>
    </row>
    <row r="180" spans="1:20" x14ac:dyDescent="0.3">
      <c r="A180" t="s">
        <v>454</v>
      </c>
      <c r="B180" t="s">
        <v>452</v>
      </c>
      <c r="C180" t="s">
        <v>439</v>
      </c>
      <c r="D180" t="s">
        <v>458</v>
      </c>
      <c r="E180">
        <v>14</v>
      </c>
      <c r="F180" s="35">
        <v>-8.7014999999999993</v>
      </c>
      <c r="G180" s="35">
        <v>-1.0623</v>
      </c>
      <c r="H180" s="36">
        <v>0.309</v>
      </c>
      <c r="I180" s="36">
        <v>8.5999999999999993E-2</v>
      </c>
      <c r="J180" s="36">
        <v>-0.37140000000000001</v>
      </c>
      <c r="K180" s="35"/>
      <c r="M180" s="35"/>
      <c r="O180" s="36"/>
      <c r="P180" s="36">
        <v>0.28570000000000001</v>
      </c>
      <c r="Q180" s="35"/>
      <c r="R180" s="35"/>
      <c r="S180" s="36"/>
      <c r="T180" s="36"/>
    </row>
    <row r="181" spans="1:20" x14ac:dyDescent="0.3">
      <c r="A181" t="s">
        <v>455</v>
      </c>
      <c r="B181" t="s">
        <v>456</v>
      </c>
      <c r="C181" t="s">
        <v>435</v>
      </c>
      <c r="D181" t="s">
        <v>458</v>
      </c>
      <c r="E181">
        <v>14</v>
      </c>
      <c r="F181" s="35">
        <v>1.5589</v>
      </c>
      <c r="G181" s="35">
        <v>1.4895</v>
      </c>
      <c r="H181" s="36">
        <v>0.16220000000000001</v>
      </c>
      <c r="I181" s="36">
        <v>0.156</v>
      </c>
      <c r="J181" s="36">
        <v>0.42859999999999998</v>
      </c>
      <c r="K181" s="35"/>
      <c r="M181" s="35"/>
      <c r="O181" s="36"/>
      <c r="P181" s="36">
        <v>0.64290000000000003</v>
      </c>
      <c r="Q181" s="35"/>
      <c r="R181" s="35"/>
      <c r="S181" s="36"/>
      <c r="T181" s="36"/>
    </row>
    <row r="182" spans="1:20" x14ac:dyDescent="0.3">
      <c r="A182" t="s">
        <v>455</v>
      </c>
      <c r="B182" t="s">
        <v>456</v>
      </c>
      <c r="C182" t="s">
        <v>437</v>
      </c>
      <c r="D182" t="s">
        <v>458</v>
      </c>
      <c r="E182">
        <v>14</v>
      </c>
      <c r="F182" s="35">
        <v>1.4774</v>
      </c>
      <c r="G182" s="35">
        <v>1.4347000000000001</v>
      </c>
      <c r="H182" s="36">
        <v>0.1769</v>
      </c>
      <c r="I182" s="36">
        <v>0.1464</v>
      </c>
      <c r="J182" s="36">
        <v>0.4637</v>
      </c>
      <c r="K182" s="35"/>
      <c r="M182" s="35"/>
      <c r="O182" s="36"/>
      <c r="P182" s="36">
        <v>0.64290000000000003</v>
      </c>
      <c r="Q182" s="35"/>
      <c r="R182" s="35"/>
      <c r="S182" s="36"/>
      <c r="T182" s="36"/>
    </row>
    <row r="183" spans="1:20" x14ac:dyDescent="0.3">
      <c r="A183" t="s">
        <v>455</v>
      </c>
      <c r="B183" t="s">
        <v>456</v>
      </c>
      <c r="C183" t="s">
        <v>438</v>
      </c>
      <c r="D183" t="s">
        <v>458</v>
      </c>
      <c r="E183">
        <v>14</v>
      </c>
      <c r="F183" s="35">
        <v>1.8621000000000001</v>
      </c>
      <c r="G183" s="35">
        <v>1.6943999999999999</v>
      </c>
      <c r="H183" s="36">
        <v>0.11600000000000001</v>
      </c>
      <c r="I183" s="36">
        <v>0.19309999999999999</v>
      </c>
      <c r="J183" s="36">
        <v>0.31430000000000002</v>
      </c>
      <c r="K183" s="35"/>
      <c r="M183" s="35"/>
      <c r="O183" s="36"/>
      <c r="P183" s="36">
        <v>0.57140000000000002</v>
      </c>
      <c r="Q183" s="35"/>
      <c r="R183" s="35"/>
      <c r="S183" s="36"/>
      <c r="T183" s="36"/>
    </row>
    <row r="184" spans="1:20" x14ac:dyDescent="0.3">
      <c r="A184" t="s">
        <v>455</v>
      </c>
      <c r="B184" t="s">
        <v>456</v>
      </c>
      <c r="C184" t="s">
        <v>439</v>
      </c>
      <c r="D184" t="s">
        <v>458</v>
      </c>
      <c r="E184">
        <v>14</v>
      </c>
      <c r="F184" s="35">
        <v>2.1309999999999998</v>
      </c>
      <c r="G184" s="35">
        <v>1.8815</v>
      </c>
      <c r="H184" s="36">
        <v>8.4400000000000003E-2</v>
      </c>
      <c r="I184" s="36">
        <v>0.2278</v>
      </c>
      <c r="J184" s="36">
        <v>0.36259999999999998</v>
      </c>
      <c r="K184" s="35"/>
      <c r="M184" s="35"/>
      <c r="O184" s="36"/>
      <c r="P184" s="36">
        <v>0.57140000000000002</v>
      </c>
      <c r="Q184" s="35"/>
      <c r="R184" s="35"/>
      <c r="S184" s="36"/>
      <c r="T184" s="36"/>
    </row>
    <row r="185" spans="1:20" x14ac:dyDescent="0.3">
      <c r="A185" t="s">
        <v>455</v>
      </c>
      <c r="B185" t="s">
        <v>457</v>
      </c>
      <c r="C185" t="s">
        <v>435</v>
      </c>
      <c r="D185" t="s">
        <v>458</v>
      </c>
      <c r="E185">
        <v>14</v>
      </c>
      <c r="F185" s="35">
        <v>-5.8</v>
      </c>
      <c r="G185" s="35">
        <v>-1.2538</v>
      </c>
      <c r="H185" s="36">
        <v>0.23380000000000001</v>
      </c>
      <c r="I185" s="36">
        <v>0.1158</v>
      </c>
      <c r="J185" s="36">
        <v>-0.40749999999999997</v>
      </c>
      <c r="K185" s="35">
        <v>-3.9714</v>
      </c>
      <c r="L185">
        <v>7</v>
      </c>
      <c r="M185" s="35">
        <v>1.8286</v>
      </c>
      <c r="N185">
        <v>7</v>
      </c>
      <c r="O185" s="36">
        <v>0.23449999999999999</v>
      </c>
      <c r="P185" s="36"/>
      <c r="Q185" s="35"/>
      <c r="R185" s="35"/>
      <c r="S185" s="36"/>
      <c r="T185" s="36"/>
    </row>
    <row r="186" spans="1:20" x14ac:dyDescent="0.3">
      <c r="A186" t="s">
        <v>455</v>
      </c>
      <c r="B186" t="s">
        <v>457</v>
      </c>
      <c r="C186" t="s">
        <v>437</v>
      </c>
      <c r="D186" t="s">
        <v>458</v>
      </c>
      <c r="E186">
        <v>14</v>
      </c>
      <c r="F186" s="35">
        <v>-5.7571000000000003</v>
      </c>
      <c r="G186" s="35">
        <v>-1.2745</v>
      </c>
      <c r="H186" s="36">
        <v>0.2266</v>
      </c>
      <c r="I186" s="36">
        <v>0.1192</v>
      </c>
      <c r="J186" s="36">
        <v>-0.47839999999999999</v>
      </c>
      <c r="K186" s="35">
        <v>-4.5429000000000004</v>
      </c>
      <c r="L186">
        <v>7</v>
      </c>
      <c r="M186" s="35">
        <v>1.2142999999999999</v>
      </c>
      <c r="N186">
        <v>7</v>
      </c>
      <c r="O186" s="36">
        <v>0.2273</v>
      </c>
      <c r="P186" s="36"/>
      <c r="Q186" s="35"/>
      <c r="R186" s="35"/>
      <c r="S186" s="36"/>
      <c r="T186" s="36"/>
    </row>
    <row r="187" spans="1:20" x14ac:dyDescent="0.3">
      <c r="A187" t="s">
        <v>455</v>
      </c>
      <c r="B187" t="s">
        <v>457</v>
      </c>
      <c r="C187" t="s">
        <v>438</v>
      </c>
      <c r="D187" t="s">
        <v>458</v>
      </c>
      <c r="E187">
        <v>14</v>
      </c>
      <c r="F187" s="35">
        <v>-8.4</v>
      </c>
      <c r="G187" s="35">
        <v>-1.7896000000000001</v>
      </c>
      <c r="H187" s="36">
        <v>9.8799999999999999E-2</v>
      </c>
      <c r="I187" s="36">
        <v>0.2107</v>
      </c>
      <c r="J187" s="36">
        <v>-0.40749999999999997</v>
      </c>
      <c r="K187" s="35">
        <v>-5.6856999999999998</v>
      </c>
      <c r="L187">
        <v>7</v>
      </c>
      <c r="M187" s="35">
        <v>2.7143000000000002</v>
      </c>
      <c r="N187">
        <v>7</v>
      </c>
      <c r="O187" s="36">
        <v>0.10100000000000001</v>
      </c>
      <c r="P187" s="36"/>
      <c r="Q187" s="35"/>
      <c r="R187" s="35"/>
      <c r="S187" s="36"/>
      <c r="T187" s="36"/>
    </row>
    <row r="188" spans="1:20" x14ac:dyDescent="0.3">
      <c r="A188" t="s">
        <v>455</v>
      </c>
      <c r="B188" t="s">
        <v>457</v>
      </c>
      <c r="C188" t="s">
        <v>439</v>
      </c>
      <c r="D188" t="s">
        <v>458</v>
      </c>
      <c r="E188">
        <v>14</v>
      </c>
      <c r="F188" s="35">
        <v>-9.2286000000000001</v>
      </c>
      <c r="G188" s="35">
        <v>-1.8884000000000001</v>
      </c>
      <c r="H188" s="36">
        <v>8.3400000000000002E-2</v>
      </c>
      <c r="I188" s="36">
        <v>0.2291</v>
      </c>
      <c r="J188" s="36">
        <v>-0.443</v>
      </c>
      <c r="K188" s="35">
        <v>-7.5429000000000004</v>
      </c>
      <c r="L188">
        <v>7</v>
      </c>
      <c r="M188" s="35">
        <v>1.6857</v>
      </c>
      <c r="N188">
        <v>7</v>
      </c>
      <c r="O188" s="36">
        <v>8.3799999999999999E-2</v>
      </c>
      <c r="P188" s="36"/>
      <c r="Q188" s="35"/>
      <c r="R188" s="35"/>
      <c r="S188" s="36"/>
      <c r="T188" s="36"/>
    </row>
    <row r="189" spans="1:20" x14ac:dyDescent="0.3">
      <c r="A189" t="s">
        <v>459</v>
      </c>
      <c r="B189" t="s">
        <v>460</v>
      </c>
      <c r="C189" t="s">
        <v>435</v>
      </c>
      <c r="D189" t="s">
        <v>436</v>
      </c>
      <c r="E189">
        <v>20</v>
      </c>
      <c r="F189" s="35">
        <v>1.2825</v>
      </c>
      <c r="G189" s="35">
        <v>1.1102000000000001</v>
      </c>
      <c r="H189" s="36">
        <v>0.28239999999999998</v>
      </c>
      <c r="I189" s="36">
        <v>0.1187</v>
      </c>
      <c r="J189" s="36"/>
      <c r="K189" s="35"/>
      <c r="M189" s="35"/>
      <c r="O189" s="36"/>
      <c r="P189" s="36"/>
      <c r="Q189" s="35">
        <v>4.8800000000000003E-2</v>
      </c>
      <c r="R189" s="35">
        <v>0.30059999999999998</v>
      </c>
      <c r="S189" s="36">
        <v>0.76739999999999997</v>
      </c>
      <c r="T189" s="36">
        <v>1.4999999999999999E-2</v>
      </c>
    </row>
    <row r="190" spans="1:20" x14ac:dyDescent="0.3">
      <c r="A190" t="s">
        <v>459</v>
      </c>
      <c r="B190" t="s">
        <v>460</v>
      </c>
      <c r="C190" t="s">
        <v>437</v>
      </c>
      <c r="D190" t="s">
        <v>436</v>
      </c>
      <c r="E190">
        <v>20</v>
      </c>
      <c r="F190" s="35">
        <v>1.5024999999999999</v>
      </c>
      <c r="G190" s="35">
        <v>1.3826000000000001</v>
      </c>
      <c r="H190" s="36">
        <v>0.1847</v>
      </c>
      <c r="I190" s="36">
        <v>0.14269999999999999</v>
      </c>
      <c r="J190" s="36"/>
      <c r="K190" s="35"/>
      <c r="M190" s="35"/>
      <c r="O190" s="36"/>
      <c r="P190" s="36"/>
      <c r="Q190" s="35">
        <v>1.52E-2</v>
      </c>
      <c r="R190" s="35">
        <v>9.9199999999999997E-2</v>
      </c>
      <c r="S190" s="36">
        <v>0.92210000000000003</v>
      </c>
      <c r="T190" s="36">
        <v>4.1799999999999997E-2</v>
      </c>
    </row>
    <row r="191" spans="1:20" x14ac:dyDescent="0.3">
      <c r="A191" t="s">
        <v>459</v>
      </c>
      <c r="B191" t="s">
        <v>460</v>
      </c>
      <c r="C191" t="s">
        <v>438</v>
      </c>
      <c r="D191" t="s">
        <v>436</v>
      </c>
      <c r="E191">
        <v>20</v>
      </c>
      <c r="F191" s="35">
        <v>1.1180000000000001</v>
      </c>
      <c r="G191" s="35">
        <v>0.99</v>
      </c>
      <c r="H191" s="36">
        <v>0.33600000000000002</v>
      </c>
      <c r="I191" s="36">
        <v>0.2747</v>
      </c>
      <c r="J191" s="36"/>
      <c r="K191" s="35"/>
      <c r="M191" s="35"/>
      <c r="O191" s="36"/>
      <c r="P191" s="36"/>
      <c r="Q191" s="35">
        <v>-0.39850000000000002</v>
      </c>
      <c r="R191" s="35">
        <v>-2.5105</v>
      </c>
      <c r="S191" s="36">
        <v>2.2499999999999999E-2</v>
      </c>
      <c r="T191" s="36">
        <v>0.18940000000000001</v>
      </c>
    </row>
    <row r="192" spans="1:20" x14ac:dyDescent="0.3">
      <c r="A192" t="s">
        <v>459</v>
      </c>
      <c r="B192" t="s">
        <v>460</v>
      </c>
      <c r="C192" t="s">
        <v>439</v>
      </c>
      <c r="D192" t="s">
        <v>436</v>
      </c>
      <c r="E192">
        <v>20</v>
      </c>
      <c r="F192" s="35">
        <v>1.3120000000000001</v>
      </c>
      <c r="G192" s="35">
        <v>1.0848</v>
      </c>
      <c r="H192" s="36">
        <v>0.29320000000000002</v>
      </c>
      <c r="I192" s="36">
        <v>0.11749999999999999</v>
      </c>
      <c r="J192" s="36"/>
      <c r="K192" s="35"/>
      <c r="M192" s="35"/>
      <c r="O192" s="36"/>
      <c r="P192" s="36"/>
      <c r="Q192" s="35">
        <v>-0.24729999999999999</v>
      </c>
      <c r="R192" s="35">
        <v>-1.4544999999999999</v>
      </c>
      <c r="S192" s="36">
        <v>0.16400000000000001</v>
      </c>
      <c r="T192" s="36">
        <v>1.37E-2</v>
      </c>
    </row>
    <row r="193" spans="1:20" x14ac:dyDescent="0.3">
      <c r="A193" t="s">
        <v>459</v>
      </c>
      <c r="B193" t="s">
        <v>461</v>
      </c>
      <c r="C193" t="s">
        <v>435</v>
      </c>
      <c r="D193" t="s">
        <v>436</v>
      </c>
      <c r="E193">
        <v>16</v>
      </c>
      <c r="F193" s="35">
        <v>0.62029999999999996</v>
      </c>
      <c r="G193" s="35">
        <v>0.48859999999999998</v>
      </c>
      <c r="H193" s="36">
        <v>0.63319999999999999</v>
      </c>
      <c r="I193" s="36">
        <v>0.04</v>
      </c>
      <c r="J193" s="36"/>
      <c r="K193" s="35"/>
      <c r="M193" s="35"/>
      <c r="O193" s="36"/>
      <c r="P193" s="36"/>
      <c r="Q193" s="35">
        <v>7.8100000000000003E-2</v>
      </c>
      <c r="R193" s="35">
        <v>0.42670000000000002</v>
      </c>
      <c r="S193" s="36">
        <v>0.67659999999999998</v>
      </c>
      <c r="T193" s="36">
        <v>-0.1077</v>
      </c>
    </row>
    <row r="194" spans="1:20" x14ac:dyDescent="0.3">
      <c r="A194" t="s">
        <v>459</v>
      </c>
      <c r="B194" t="s">
        <v>461</v>
      </c>
      <c r="C194" t="s">
        <v>437</v>
      </c>
      <c r="D194" t="s">
        <v>436</v>
      </c>
      <c r="E194">
        <v>16</v>
      </c>
      <c r="F194" s="35">
        <v>0.61780000000000002</v>
      </c>
      <c r="G194" s="35">
        <v>0.497</v>
      </c>
      <c r="H194" s="36">
        <v>0.62749999999999995</v>
      </c>
      <c r="I194" s="36">
        <v>6.2899999999999998E-2</v>
      </c>
      <c r="J194" s="36"/>
      <c r="K194" s="35"/>
      <c r="M194" s="35"/>
      <c r="O194" s="36"/>
      <c r="P194" s="36"/>
      <c r="Q194" s="35">
        <v>0.1181</v>
      </c>
      <c r="R194" s="35">
        <v>0.65890000000000004</v>
      </c>
      <c r="S194" s="36">
        <v>0.52139999999999997</v>
      </c>
      <c r="T194" s="36">
        <v>-8.1299999999999997E-2</v>
      </c>
    </row>
    <row r="195" spans="1:20" x14ac:dyDescent="0.3">
      <c r="A195" t="s">
        <v>459</v>
      </c>
      <c r="B195" t="s">
        <v>461</v>
      </c>
      <c r="C195" t="s">
        <v>438</v>
      </c>
      <c r="D195" t="s">
        <v>436</v>
      </c>
      <c r="E195">
        <v>16</v>
      </c>
      <c r="F195" s="35">
        <v>2.4925999999999999</v>
      </c>
      <c r="G195" s="35">
        <v>1.7352000000000001</v>
      </c>
      <c r="H195" s="36">
        <v>0.10630000000000001</v>
      </c>
      <c r="I195" s="36">
        <v>0.2293</v>
      </c>
      <c r="J195" s="36"/>
      <c r="K195" s="35"/>
      <c r="M195" s="35"/>
      <c r="O195" s="36"/>
      <c r="P195" s="36"/>
      <c r="Q195" s="35">
        <v>-0.26750000000000002</v>
      </c>
      <c r="R195" s="35">
        <v>-1.2912999999999999</v>
      </c>
      <c r="S195" s="36">
        <v>0.21909999999999999</v>
      </c>
      <c r="T195" s="36">
        <v>0.11070000000000001</v>
      </c>
    </row>
    <row r="196" spans="1:20" x14ac:dyDescent="0.3">
      <c r="A196" t="s">
        <v>459</v>
      </c>
      <c r="B196" t="s">
        <v>461</v>
      </c>
      <c r="C196" t="s">
        <v>439</v>
      </c>
      <c r="D196" t="s">
        <v>436</v>
      </c>
      <c r="E196">
        <v>16</v>
      </c>
      <c r="F196" s="35">
        <v>1.7012</v>
      </c>
      <c r="G196" s="35">
        <v>1.2378</v>
      </c>
      <c r="H196" s="36">
        <v>0.23769999999999999</v>
      </c>
      <c r="I196" s="36">
        <v>0.1154</v>
      </c>
      <c r="J196" s="36"/>
      <c r="K196" s="35"/>
      <c r="M196" s="35"/>
      <c r="O196" s="36"/>
      <c r="P196" s="36"/>
      <c r="Q196" s="35">
        <v>-0.13300000000000001</v>
      </c>
      <c r="R196" s="35">
        <v>-0.67090000000000005</v>
      </c>
      <c r="S196" s="36">
        <v>0.51400000000000001</v>
      </c>
      <c r="T196" s="36">
        <v>-2.07E-2</v>
      </c>
    </row>
    <row r="197" spans="1:20" x14ac:dyDescent="0.3">
      <c r="A197" t="s">
        <v>459</v>
      </c>
      <c r="B197" t="s">
        <v>462</v>
      </c>
      <c r="C197" t="s">
        <v>435</v>
      </c>
      <c r="D197" t="s">
        <v>436</v>
      </c>
      <c r="E197">
        <v>19</v>
      </c>
      <c r="F197" s="35">
        <v>6.1275000000000004</v>
      </c>
      <c r="G197" s="35">
        <v>1.3626</v>
      </c>
      <c r="H197" s="36">
        <v>0.19189999999999999</v>
      </c>
      <c r="I197" s="36">
        <v>0.30680000000000002</v>
      </c>
      <c r="J197" s="36"/>
      <c r="K197" s="35"/>
      <c r="M197" s="35"/>
      <c r="O197" s="36"/>
      <c r="P197" s="36"/>
      <c r="Q197" s="35">
        <v>-8.0412999999999997</v>
      </c>
      <c r="R197" s="35">
        <v>-2.1656</v>
      </c>
      <c r="S197" s="36">
        <v>4.58E-2</v>
      </c>
      <c r="T197" s="36">
        <v>0.22020000000000001</v>
      </c>
    </row>
    <row r="198" spans="1:20" x14ac:dyDescent="0.3">
      <c r="A198" t="s">
        <v>459</v>
      </c>
      <c r="B198" t="s">
        <v>462</v>
      </c>
      <c r="C198" t="s">
        <v>437</v>
      </c>
      <c r="D198" t="s">
        <v>436</v>
      </c>
      <c r="E198">
        <v>19</v>
      </c>
      <c r="F198" s="35">
        <v>5.9086999999999996</v>
      </c>
      <c r="G198" s="35">
        <v>1.3709</v>
      </c>
      <c r="H198" s="36">
        <v>0.1893</v>
      </c>
      <c r="I198" s="36">
        <v>0.28470000000000001</v>
      </c>
      <c r="J198" s="36"/>
      <c r="K198" s="35"/>
      <c r="M198" s="35"/>
      <c r="O198" s="36"/>
      <c r="P198" s="36"/>
      <c r="Q198" s="35">
        <v>-7.1130000000000004</v>
      </c>
      <c r="R198" s="35">
        <v>-1.9985999999999999</v>
      </c>
      <c r="S198" s="36">
        <v>6.2899999999999998E-2</v>
      </c>
      <c r="T198" s="36">
        <v>0.1953</v>
      </c>
    </row>
    <row r="199" spans="1:20" x14ac:dyDescent="0.3">
      <c r="A199" t="s">
        <v>459</v>
      </c>
      <c r="B199" t="s">
        <v>462</v>
      </c>
      <c r="C199" t="s">
        <v>438</v>
      </c>
      <c r="D199" t="s">
        <v>436</v>
      </c>
      <c r="E199">
        <v>19</v>
      </c>
      <c r="F199" s="35">
        <v>1.7152000000000001</v>
      </c>
      <c r="G199" s="35">
        <v>0.29770000000000002</v>
      </c>
      <c r="H199" s="36">
        <v>0.76980000000000004</v>
      </c>
      <c r="I199" s="36">
        <v>6.6600000000000006E-2</v>
      </c>
      <c r="J199" s="36"/>
      <c r="K199" s="35"/>
      <c r="M199" s="35"/>
      <c r="O199" s="36"/>
      <c r="P199" s="36"/>
      <c r="Q199" s="35">
        <v>-4.7477999999999998</v>
      </c>
      <c r="R199" s="35">
        <v>-0.998</v>
      </c>
      <c r="S199" s="36">
        <v>0.33310000000000001</v>
      </c>
      <c r="T199" s="36">
        <v>-5.0099999999999999E-2</v>
      </c>
    </row>
    <row r="200" spans="1:20" x14ac:dyDescent="0.3">
      <c r="A200" t="s">
        <v>459</v>
      </c>
      <c r="B200" t="s">
        <v>462</v>
      </c>
      <c r="C200" t="s">
        <v>439</v>
      </c>
      <c r="D200" t="s">
        <v>436</v>
      </c>
      <c r="E200">
        <v>19</v>
      </c>
      <c r="F200" s="35">
        <v>2.8065000000000002</v>
      </c>
      <c r="G200" s="35">
        <v>0.53610000000000002</v>
      </c>
      <c r="H200" s="36">
        <v>0.59930000000000005</v>
      </c>
      <c r="I200" s="36">
        <v>0.1573</v>
      </c>
      <c r="J200" s="36"/>
      <c r="K200" s="35"/>
      <c r="M200" s="35"/>
      <c r="O200" s="36"/>
      <c r="P200" s="36"/>
      <c r="Q200" s="35">
        <v>-6.8848000000000003</v>
      </c>
      <c r="R200" s="35">
        <v>-1.5928</v>
      </c>
      <c r="S200" s="36">
        <v>0.1308</v>
      </c>
      <c r="T200" s="36">
        <v>5.1900000000000002E-2</v>
      </c>
    </row>
    <row r="201" spans="1:20" x14ac:dyDescent="0.3">
      <c r="A201" t="s">
        <v>459</v>
      </c>
      <c r="B201" t="s">
        <v>463</v>
      </c>
      <c r="C201" t="s">
        <v>435</v>
      </c>
      <c r="D201" t="s">
        <v>436</v>
      </c>
      <c r="E201">
        <v>20</v>
      </c>
      <c r="F201" s="35">
        <v>-3.0973999999999999</v>
      </c>
      <c r="G201" s="35">
        <v>-0.73960000000000004</v>
      </c>
      <c r="H201" s="36">
        <v>0.46960000000000002</v>
      </c>
      <c r="I201" s="36">
        <v>0.1</v>
      </c>
      <c r="J201" s="36"/>
      <c r="K201" s="35"/>
      <c r="M201" s="35"/>
      <c r="O201" s="36"/>
      <c r="P201" s="36"/>
      <c r="Q201" s="35">
        <v>0.16900000000000001</v>
      </c>
      <c r="R201" s="35">
        <v>0.34329999999999999</v>
      </c>
      <c r="S201" s="36">
        <v>0.73560000000000003</v>
      </c>
      <c r="T201" s="36">
        <v>-5.8999999999999999E-3</v>
      </c>
    </row>
    <row r="202" spans="1:20" x14ac:dyDescent="0.3">
      <c r="A202" t="s">
        <v>459</v>
      </c>
      <c r="B202" t="s">
        <v>463</v>
      </c>
      <c r="C202" t="s">
        <v>437</v>
      </c>
      <c r="D202" t="s">
        <v>436</v>
      </c>
      <c r="E202">
        <v>20</v>
      </c>
      <c r="F202" s="35">
        <v>-3.2845</v>
      </c>
      <c r="G202" s="35">
        <v>-0.83079999999999998</v>
      </c>
      <c r="H202" s="36">
        <v>0.41760000000000003</v>
      </c>
      <c r="I202" s="36">
        <v>0.10059999999999999</v>
      </c>
      <c r="J202" s="36"/>
      <c r="K202" s="35"/>
      <c r="M202" s="35"/>
      <c r="O202" s="36"/>
      <c r="P202" s="36"/>
      <c r="Q202" s="35">
        <v>0.1109</v>
      </c>
      <c r="R202" s="35">
        <v>0.23880000000000001</v>
      </c>
      <c r="S202" s="36">
        <v>0.81410000000000005</v>
      </c>
      <c r="T202" s="36">
        <v>-5.1999999999999998E-3</v>
      </c>
    </row>
    <row r="203" spans="1:20" x14ac:dyDescent="0.3">
      <c r="A203" t="s">
        <v>459</v>
      </c>
      <c r="B203" t="s">
        <v>463</v>
      </c>
      <c r="C203" t="s">
        <v>438</v>
      </c>
      <c r="D203" t="s">
        <v>436</v>
      </c>
      <c r="E203">
        <v>20</v>
      </c>
      <c r="F203" s="35">
        <v>-2.9937</v>
      </c>
      <c r="G203" s="35">
        <v>-0.65310000000000001</v>
      </c>
      <c r="H203" s="36">
        <v>0.52239999999999998</v>
      </c>
      <c r="I203" s="36">
        <v>2.4500000000000001E-2</v>
      </c>
      <c r="J203" s="36"/>
      <c r="K203" s="35"/>
      <c r="M203" s="35"/>
      <c r="O203" s="36"/>
      <c r="P203" s="36"/>
      <c r="Q203" s="35">
        <v>-0.2366</v>
      </c>
      <c r="R203" s="35">
        <v>-0.43930000000000002</v>
      </c>
      <c r="S203" s="36">
        <v>0.66600000000000004</v>
      </c>
      <c r="T203" s="36">
        <v>-9.0300000000000005E-2</v>
      </c>
    </row>
    <row r="204" spans="1:20" x14ac:dyDescent="0.3">
      <c r="A204" t="s">
        <v>459</v>
      </c>
      <c r="B204" t="s">
        <v>463</v>
      </c>
      <c r="C204" t="s">
        <v>439</v>
      </c>
      <c r="D204" t="s">
        <v>436</v>
      </c>
      <c r="E204">
        <v>20</v>
      </c>
      <c r="F204" s="35">
        <v>-3.0005999999999999</v>
      </c>
      <c r="G204" s="35">
        <v>-0.68569999999999998</v>
      </c>
      <c r="H204" s="36">
        <v>0.50209999999999999</v>
      </c>
      <c r="I204" s="36">
        <v>2.7300000000000001E-2</v>
      </c>
      <c r="J204" s="36"/>
      <c r="K204" s="35"/>
      <c r="M204" s="35"/>
      <c r="O204" s="36"/>
      <c r="P204" s="36"/>
      <c r="Q204" s="35">
        <v>-0.2077</v>
      </c>
      <c r="R204" s="35">
        <v>-0.40400000000000003</v>
      </c>
      <c r="S204" s="36">
        <v>0.69130000000000003</v>
      </c>
      <c r="T204" s="36">
        <v>-8.7099999999999997E-2</v>
      </c>
    </row>
    <row r="205" spans="1:20" x14ac:dyDescent="0.3">
      <c r="A205" t="s">
        <v>459</v>
      </c>
      <c r="B205" t="s">
        <v>464</v>
      </c>
      <c r="C205" t="s">
        <v>435</v>
      </c>
      <c r="D205" t="s">
        <v>436</v>
      </c>
      <c r="E205">
        <v>20</v>
      </c>
      <c r="F205" s="35">
        <v>7.5200000000000003E-2</v>
      </c>
      <c r="G205" s="35">
        <v>0.2452</v>
      </c>
      <c r="H205" s="36">
        <v>0.80920000000000003</v>
      </c>
      <c r="I205" s="36">
        <v>5.8200000000000002E-2</v>
      </c>
      <c r="J205" s="36"/>
      <c r="K205" s="35"/>
      <c r="M205" s="35"/>
      <c r="O205" s="36"/>
      <c r="P205" s="36"/>
      <c r="Q205" s="35">
        <v>0.14249999999999999</v>
      </c>
      <c r="R205" s="35">
        <v>0.24859999999999999</v>
      </c>
      <c r="S205" s="36">
        <v>0.80659999999999998</v>
      </c>
      <c r="T205" s="36">
        <v>-5.2600000000000001E-2</v>
      </c>
    </row>
    <row r="206" spans="1:20" x14ac:dyDescent="0.3">
      <c r="A206" t="s">
        <v>459</v>
      </c>
      <c r="B206" t="s">
        <v>464</v>
      </c>
      <c r="C206" t="s">
        <v>437</v>
      </c>
      <c r="D206" t="s">
        <v>436</v>
      </c>
      <c r="E206">
        <v>20</v>
      </c>
      <c r="F206" s="35">
        <v>0.14130000000000001</v>
      </c>
      <c r="G206" s="35">
        <v>0.48020000000000002</v>
      </c>
      <c r="H206" s="36">
        <v>0.63719999999999999</v>
      </c>
      <c r="I206" s="36">
        <v>4.65E-2</v>
      </c>
      <c r="J206" s="36"/>
      <c r="K206" s="35"/>
      <c r="M206" s="35"/>
      <c r="O206" s="36"/>
      <c r="P206" s="36"/>
      <c r="Q206" s="35">
        <v>-3.4500000000000003E-2</v>
      </c>
      <c r="R206" s="35">
        <v>-6.2700000000000006E-2</v>
      </c>
      <c r="S206" s="36">
        <v>0.95079999999999998</v>
      </c>
      <c r="T206" s="36">
        <v>-6.5600000000000006E-2</v>
      </c>
    </row>
    <row r="207" spans="1:20" x14ac:dyDescent="0.3">
      <c r="A207" t="s">
        <v>459</v>
      </c>
      <c r="B207" t="s">
        <v>464</v>
      </c>
      <c r="C207" t="s">
        <v>438</v>
      </c>
      <c r="D207" t="s">
        <v>436</v>
      </c>
      <c r="E207">
        <v>20</v>
      </c>
      <c r="F207" s="35">
        <v>-0.48980000000000001</v>
      </c>
      <c r="G207" s="35">
        <v>-1.6635</v>
      </c>
      <c r="H207" s="36">
        <v>0.1145</v>
      </c>
      <c r="I207" s="36">
        <v>0.25230000000000002</v>
      </c>
      <c r="J207" s="36"/>
      <c r="K207" s="35"/>
      <c r="M207" s="35"/>
      <c r="O207" s="36"/>
      <c r="P207" s="36"/>
      <c r="Q207" s="35">
        <v>0.36570000000000003</v>
      </c>
      <c r="R207" s="35">
        <v>0.66469999999999996</v>
      </c>
      <c r="S207" s="36">
        <v>0.51519999999999999</v>
      </c>
      <c r="T207" s="36">
        <v>0.16439999999999999</v>
      </c>
    </row>
    <row r="208" spans="1:20" x14ac:dyDescent="0.3">
      <c r="A208" t="s">
        <v>459</v>
      </c>
      <c r="B208" t="s">
        <v>464</v>
      </c>
      <c r="C208" t="s">
        <v>439</v>
      </c>
      <c r="D208" t="s">
        <v>436</v>
      </c>
      <c r="E208">
        <v>20</v>
      </c>
      <c r="F208" s="35">
        <v>-0.2465</v>
      </c>
      <c r="G208" s="35">
        <v>-0.77</v>
      </c>
      <c r="H208" s="36">
        <v>0.45190000000000002</v>
      </c>
      <c r="I208" s="36">
        <v>6.2600000000000003E-2</v>
      </c>
      <c r="J208" s="36"/>
      <c r="K208" s="35"/>
      <c r="M208" s="35"/>
      <c r="O208" s="36"/>
      <c r="P208" s="36"/>
      <c r="Q208" s="35">
        <v>0.2011</v>
      </c>
      <c r="R208" s="35">
        <v>0.3362</v>
      </c>
      <c r="S208" s="36">
        <v>0.7409</v>
      </c>
      <c r="T208" s="36">
        <v>-4.7600000000000003E-2</v>
      </c>
    </row>
    <row r="209" spans="1:20" x14ac:dyDescent="0.3">
      <c r="A209" t="s">
        <v>459</v>
      </c>
      <c r="B209" t="s">
        <v>460</v>
      </c>
      <c r="C209" t="s">
        <v>435</v>
      </c>
      <c r="D209" t="s">
        <v>458</v>
      </c>
      <c r="E209">
        <v>14</v>
      </c>
      <c r="F209" s="35">
        <v>0.76390000000000002</v>
      </c>
      <c r="G209" s="35">
        <v>0.3155</v>
      </c>
      <c r="H209" s="36">
        <v>0.75829999999999997</v>
      </c>
      <c r="I209" s="36">
        <v>0.01</v>
      </c>
      <c r="J209" s="36"/>
      <c r="K209" s="35"/>
      <c r="M209" s="35"/>
      <c r="O209" s="36"/>
      <c r="P209" s="36"/>
      <c r="Q209" s="35">
        <v>-0.13719999999999999</v>
      </c>
      <c r="R209" s="35">
        <v>-0.14929999999999999</v>
      </c>
      <c r="S209" s="36">
        <v>0.88400000000000001</v>
      </c>
      <c r="T209" s="36">
        <v>-0.17</v>
      </c>
    </row>
    <row r="210" spans="1:20" x14ac:dyDescent="0.3">
      <c r="A210" t="s">
        <v>459</v>
      </c>
      <c r="B210" t="s">
        <v>460</v>
      </c>
      <c r="C210" t="s">
        <v>437</v>
      </c>
      <c r="D210" t="s">
        <v>458</v>
      </c>
      <c r="E210">
        <v>14</v>
      </c>
      <c r="F210" s="35">
        <v>0.77010000000000001</v>
      </c>
      <c r="G210" s="35">
        <v>0.32569999999999999</v>
      </c>
      <c r="H210" s="36">
        <v>0.75080000000000002</v>
      </c>
      <c r="I210" s="36">
        <v>1.34E-2</v>
      </c>
      <c r="J210" s="36"/>
      <c r="K210" s="35"/>
      <c r="M210" s="35"/>
      <c r="O210" s="36"/>
      <c r="P210" s="36"/>
      <c r="Q210" s="35">
        <v>-0.22589999999999999</v>
      </c>
      <c r="R210" s="35">
        <v>-0.25169999999999998</v>
      </c>
      <c r="S210" s="36">
        <v>0.80589999999999995</v>
      </c>
      <c r="T210" s="36">
        <v>-0.16600000000000001</v>
      </c>
    </row>
    <row r="211" spans="1:20" x14ac:dyDescent="0.3">
      <c r="A211" t="s">
        <v>459</v>
      </c>
      <c r="B211" t="s">
        <v>460</v>
      </c>
      <c r="C211" t="s">
        <v>438</v>
      </c>
      <c r="D211" t="s">
        <v>458</v>
      </c>
      <c r="E211">
        <v>14</v>
      </c>
      <c r="F211" s="35">
        <v>-0.49430000000000002</v>
      </c>
      <c r="G211" s="35">
        <v>-0.19570000000000001</v>
      </c>
      <c r="H211" s="36">
        <v>0.84840000000000004</v>
      </c>
      <c r="I211" s="36">
        <v>6.5199999999999994E-2</v>
      </c>
      <c r="J211" s="36"/>
      <c r="K211" s="35"/>
      <c r="M211" s="35"/>
      <c r="O211" s="36"/>
      <c r="P211" s="36"/>
      <c r="Q211" s="35">
        <v>-0.78369999999999995</v>
      </c>
      <c r="R211" s="35">
        <v>-0.8175</v>
      </c>
      <c r="S211" s="36">
        <v>0.43099999999999999</v>
      </c>
      <c r="T211" s="36">
        <v>-0.1047</v>
      </c>
    </row>
    <row r="212" spans="1:20" x14ac:dyDescent="0.3">
      <c r="A212" t="s">
        <v>459</v>
      </c>
      <c r="B212" t="s">
        <v>460</v>
      </c>
      <c r="C212" t="s">
        <v>439</v>
      </c>
      <c r="D212" t="s">
        <v>458</v>
      </c>
      <c r="E212">
        <v>14</v>
      </c>
      <c r="F212" s="35">
        <v>-0.20960000000000001</v>
      </c>
      <c r="G212" s="35">
        <v>-7.8200000000000006E-2</v>
      </c>
      <c r="H212" s="36">
        <v>0.93910000000000005</v>
      </c>
      <c r="I212" s="36">
        <v>5.1900000000000002E-2</v>
      </c>
      <c r="J212" s="36"/>
      <c r="K212" s="35"/>
      <c r="M212" s="35"/>
      <c r="O212" s="36"/>
      <c r="P212" s="36"/>
      <c r="Q212" s="35">
        <v>-0.76559999999999995</v>
      </c>
      <c r="R212" s="35">
        <v>-0.75270000000000004</v>
      </c>
      <c r="S212" s="36">
        <v>0.46750000000000003</v>
      </c>
      <c r="T212" s="36">
        <v>-0.1205</v>
      </c>
    </row>
    <row r="213" spans="1:20" x14ac:dyDescent="0.3">
      <c r="A213" t="s">
        <v>459</v>
      </c>
      <c r="B213" t="s">
        <v>461</v>
      </c>
      <c r="C213" t="s">
        <v>435</v>
      </c>
      <c r="D213" t="s">
        <v>458</v>
      </c>
      <c r="E213">
        <v>12</v>
      </c>
      <c r="F213" s="35">
        <v>1.9735</v>
      </c>
      <c r="G213" s="35">
        <v>0.72889999999999999</v>
      </c>
      <c r="H213" s="36">
        <v>0.48459999999999998</v>
      </c>
      <c r="I213" s="36">
        <v>0.1845</v>
      </c>
      <c r="J213" s="36"/>
      <c r="K213" s="35"/>
      <c r="M213" s="35"/>
      <c r="O213" s="36"/>
      <c r="P213" s="36"/>
      <c r="Q213" s="35">
        <v>0.27279999999999999</v>
      </c>
      <c r="R213" s="35">
        <v>0.22359999999999999</v>
      </c>
      <c r="S213" s="36">
        <v>0.82809999999999995</v>
      </c>
      <c r="T213" s="36">
        <v>3.2000000000000002E-3</v>
      </c>
    </row>
    <row r="214" spans="1:20" x14ac:dyDescent="0.3">
      <c r="A214" t="s">
        <v>459</v>
      </c>
      <c r="B214" t="s">
        <v>461</v>
      </c>
      <c r="C214" t="s">
        <v>437</v>
      </c>
      <c r="D214" t="s">
        <v>458</v>
      </c>
      <c r="E214">
        <v>12</v>
      </c>
      <c r="F214" s="35">
        <v>2.2648999999999999</v>
      </c>
      <c r="G214" s="35">
        <v>0.84460000000000002</v>
      </c>
      <c r="H214" s="36">
        <v>0.42020000000000002</v>
      </c>
      <c r="I214" s="36">
        <v>0.188</v>
      </c>
      <c r="J214" s="36"/>
      <c r="K214" s="35"/>
      <c r="M214" s="35"/>
      <c r="O214" s="36"/>
      <c r="P214" s="36"/>
      <c r="Q214" s="35">
        <v>0.1198</v>
      </c>
      <c r="R214" s="35">
        <v>9.9099999999999994E-2</v>
      </c>
      <c r="S214" s="36">
        <v>0.92320000000000002</v>
      </c>
      <c r="T214" s="36">
        <v>7.6E-3</v>
      </c>
    </row>
    <row r="215" spans="1:20" x14ac:dyDescent="0.3">
      <c r="A215" t="s">
        <v>459</v>
      </c>
      <c r="B215" t="s">
        <v>461</v>
      </c>
      <c r="C215" t="s">
        <v>438</v>
      </c>
      <c r="D215" t="s">
        <v>458</v>
      </c>
      <c r="E215">
        <v>12</v>
      </c>
      <c r="F215" s="35">
        <v>4.1765999999999996</v>
      </c>
      <c r="G215" s="35">
        <v>1.5924</v>
      </c>
      <c r="H215" s="36">
        <v>0.14580000000000001</v>
      </c>
      <c r="I215" s="36">
        <v>0.30659999999999998</v>
      </c>
      <c r="J215" s="36"/>
      <c r="K215" s="35"/>
      <c r="M215" s="35"/>
      <c r="O215" s="36"/>
      <c r="P215" s="36"/>
      <c r="Q215" s="35">
        <v>-0.53969999999999996</v>
      </c>
      <c r="R215" s="35">
        <v>-0.45660000000000001</v>
      </c>
      <c r="S215" s="36">
        <v>0.65880000000000005</v>
      </c>
      <c r="T215" s="36">
        <v>0.1525</v>
      </c>
    </row>
    <row r="216" spans="1:20" x14ac:dyDescent="0.3">
      <c r="A216" t="s">
        <v>459</v>
      </c>
      <c r="B216" t="s">
        <v>461</v>
      </c>
      <c r="C216" t="s">
        <v>439</v>
      </c>
      <c r="D216" t="s">
        <v>458</v>
      </c>
      <c r="E216">
        <v>12</v>
      </c>
      <c r="F216" s="35">
        <v>4.6040999999999999</v>
      </c>
      <c r="G216" s="35">
        <v>1.7498</v>
      </c>
      <c r="H216" s="36">
        <v>0.11409999999999999</v>
      </c>
      <c r="I216" s="36">
        <v>0.31769999999999998</v>
      </c>
      <c r="J216" s="36"/>
      <c r="K216" s="35"/>
      <c r="M216" s="35"/>
      <c r="O216" s="36"/>
      <c r="P216" s="36"/>
      <c r="Q216" s="35">
        <v>-0.79</v>
      </c>
      <c r="R216" s="35">
        <v>-0.66610000000000003</v>
      </c>
      <c r="S216" s="36">
        <v>0.52200000000000002</v>
      </c>
      <c r="T216" s="36">
        <v>0.1661</v>
      </c>
    </row>
    <row r="217" spans="1:20" x14ac:dyDescent="0.3">
      <c r="A217" t="s">
        <v>459</v>
      </c>
      <c r="B217" t="s">
        <v>462</v>
      </c>
      <c r="C217" t="s">
        <v>435</v>
      </c>
      <c r="D217" t="s">
        <v>458</v>
      </c>
      <c r="E217">
        <v>14</v>
      </c>
      <c r="F217" s="35">
        <v>6.8624999999999998</v>
      </c>
      <c r="G217" s="35">
        <v>1.2234</v>
      </c>
      <c r="H217" s="36">
        <v>0.2467</v>
      </c>
      <c r="I217" s="36">
        <v>0.22170000000000001</v>
      </c>
      <c r="J217" s="36"/>
      <c r="K217" s="35"/>
      <c r="M217" s="35"/>
      <c r="O217" s="36"/>
      <c r="P217" s="36"/>
      <c r="Q217" s="35">
        <v>-4.8196000000000003</v>
      </c>
      <c r="R217" s="35">
        <v>-1.0469999999999999</v>
      </c>
      <c r="S217" s="36">
        <v>0.31759999999999999</v>
      </c>
      <c r="T217" s="36">
        <v>8.0199999999999994E-2</v>
      </c>
    </row>
    <row r="218" spans="1:20" x14ac:dyDescent="0.3">
      <c r="A218" t="s">
        <v>459</v>
      </c>
      <c r="B218" t="s">
        <v>462</v>
      </c>
      <c r="C218" t="s">
        <v>437</v>
      </c>
      <c r="D218" t="s">
        <v>458</v>
      </c>
      <c r="E218">
        <v>14</v>
      </c>
      <c r="F218" s="35">
        <v>5.5250000000000004</v>
      </c>
      <c r="G218" s="35">
        <v>0.98740000000000006</v>
      </c>
      <c r="H218" s="36">
        <v>0.34470000000000001</v>
      </c>
      <c r="I218" s="36">
        <v>0.19089999999999999</v>
      </c>
      <c r="J218" s="36"/>
      <c r="K218" s="35"/>
      <c r="M218" s="35"/>
      <c r="O218" s="36"/>
      <c r="P218" s="36"/>
      <c r="Q218" s="35">
        <v>-4.9679000000000002</v>
      </c>
      <c r="R218" s="35">
        <v>-1.0819000000000001</v>
      </c>
      <c r="S218" s="36">
        <v>0.30249999999999999</v>
      </c>
      <c r="T218" s="36">
        <v>4.3799999999999999E-2</v>
      </c>
    </row>
    <row r="219" spans="1:20" x14ac:dyDescent="0.3">
      <c r="A219" t="s">
        <v>459</v>
      </c>
      <c r="B219" t="s">
        <v>462</v>
      </c>
      <c r="C219" t="s">
        <v>438</v>
      </c>
      <c r="D219" t="s">
        <v>458</v>
      </c>
      <c r="E219">
        <v>14</v>
      </c>
      <c r="F219" s="35">
        <v>4.3499999999999996</v>
      </c>
      <c r="G219" s="35">
        <v>0.73440000000000005</v>
      </c>
      <c r="H219" s="36">
        <v>0.47810000000000002</v>
      </c>
      <c r="I219" s="36">
        <v>0.24759999999999999</v>
      </c>
      <c r="J219" s="36"/>
      <c r="K219" s="35"/>
      <c r="M219" s="35"/>
      <c r="O219" s="36"/>
      <c r="P219" s="36"/>
      <c r="Q219" s="35">
        <v>-7.7786</v>
      </c>
      <c r="R219" s="35">
        <v>-1.6003000000000001</v>
      </c>
      <c r="S219" s="36">
        <v>0.13780000000000001</v>
      </c>
      <c r="T219" s="36">
        <v>0.1108</v>
      </c>
    </row>
    <row r="220" spans="1:20" x14ac:dyDescent="0.3">
      <c r="A220" t="s">
        <v>459</v>
      </c>
      <c r="B220" t="s">
        <v>462</v>
      </c>
      <c r="C220" t="s">
        <v>439</v>
      </c>
      <c r="D220" t="s">
        <v>458</v>
      </c>
      <c r="E220">
        <v>14</v>
      </c>
      <c r="F220" s="35">
        <v>3.85</v>
      </c>
      <c r="G220" s="35">
        <v>0.62009999999999998</v>
      </c>
      <c r="H220" s="36">
        <v>0.54779999999999995</v>
      </c>
      <c r="I220" s="36">
        <v>0.25509999999999999</v>
      </c>
      <c r="J220" s="36"/>
      <c r="K220" s="35"/>
      <c r="M220" s="35"/>
      <c r="O220" s="36"/>
      <c r="P220" s="36"/>
      <c r="Q220" s="35">
        <v>-8.6785999999999994</v>
      </c>
      <c r="R220" s="35">
        <v>-1.7033</v>
      </c>
      <c r="S220" s="36">
        <v>0.1166</v>
      </c>
      <c r="T220" s="36">
        <v>0.1197</v>
      </c>
    </row>
    <row r="221" spans="1:20" x14ac:dyDescent="0.3">
      <c r="A221" t="s">
        <v>459</v>
      </c>
      <c r="B221" t="s">
        <v>463</v>
      </c>
      <c r="C221" t="s">
        <v>435</v>
      </c>
      <c r="D221" t="s">
        <v>458</v>
      </c>
      <c r="E221">
        <v>12</v>
      </c>
      <c r="F221" s="35">
        <v>16.415299999999998</v>
      </c>
      <c r="G221" s="35">
        <v>0.46160000000000001</v>
      </c>
      <c r="H221" s="36">
        <v>0.65539999999999998</v>
      </c>
      <c r="I221" s="36">
        <v>2.9600000000000001E-2</v>
      </c>
      <c r="J221" s="36"/>
      <c r="K221" s="35"/>
      <c r="M221" s="35"/>
      <c r="O221" s="36"/>
      <c r="P221" s="36"/>
      <c r="Q221" s="35">
        <v>-0.26729999999999998</v>
      </c>
      <c r="R221" s="35">
        <v>-7.9200000000000007E-2</v>
      </c>
      <c r="S221" s="36">
        <v>0.93859999999999999</v>
      </c>
      <c r="T221" s="36">
        <v>-0.18609999999999999</v>
      </c>
    </row>
    <row r="222" spans="1:20" x14ac:dyDescent="0.3">
      <c r="A222" t="s">
        <v>459</v>
      </c>
      <c r="B222" t="s">
        <v>463</v>
      </c>
      <c r="C222" t="s">
        <v>437</v>
      </c>
      <c r="D222" t="s">
        <v>458</v>
      </c>
      <c r="E222">
        <v>12</v>
      </c>
      <c r="F222" s="35">
        <v>16.4908</v>
      </c>
      <c r="G222" s="35">
        <v>0.4763</v>
      </c>
      <c r="H222" s="36">
        <v>0.6452</v>
      </c>
      <c r="I222" s="36">
        <v>0.03</v>
      </c>
      <c r="J222" s="36"/>
      <c r="K222" s="35"/>
      <c r="M222" s="35"/>
      <c r="O222" s="36"/>
      <c r="P222" s="36"/>
      <c r="Q222" s="35">
        <v>-0.34399999999999997</v>
      </c>
      <c r="R222" s="35">
        <v>-0.1046</v>
      </c>
      <c r="S222" s="36">
        <v>0.91900000000000004</v>
      </c>
      <c r="T222" s="36">
        <v>-0.18559999999999999</v>
      </c>
    </row>
    <row r="223" spans="1:20" x14ac:dyDescent="0.3">
      <c r="A223" t="s">
        <v>459</v>
      </c>
      <c r="B223" t="s">
        <v>463</v>
      </c>
      <c r="C223" t="s">
        <v>438</v>
      </c>
      <c r="D223" t="s">
        <v>458</v>
      </c>
      <c r="E223">
        <v>12</v>
      </c>
      <c r="F223" s="35">
        <v>5.2141000000000002</v>
      </c>
      <c r="G223" s="35">
        <v>0.13489999999999999</v>
      </c>
      <c r="H223" s="36">
        <v>0.89570000000000005</v>
      </c>
      <c r="I223" s="36">
        <v>1.15E-2</v>
      </c>
      <c r="J223" s="36"/>
      <c r="K223" s="35"/>
      <c r="M223" s="35"/>
      <c r="O223" s="36"/>
      <c r="P223" s="36"/>
      <c r="Q223" s="35">
        <v>-1.1598999999999999</v>
      </c>
      <c r="R223" s="35">
        <v>-0.316</v>
      </c>
      <c r="S223" s="36">
        <v>0.75919999999999999</v>
      </c>
      <c r="T223" s="36">
        <v>-0.2082</v>
      </c>
    </row>
    <row r="224" spans="1:20" x14ac:dyDescent="0.3">
      <c r="A224" t="s">
        <v>459</v>
      </c>
      <c r="B224" t="s">
        <v>463</v>
      </c>
      <c r="C224" t="s">
        <v>439</v>
      </c>
      <c r="D224" t="s">
        <v>458</v>
      </c>
      <c r="E224">
        <v>12</v>
      </c>
      <c r="F224" s="35">
        <v>10.5739</v>
      </c>
      <c r="G224" s="35">
        <v>0.26169999999999999</v>
      </c>
      <c r="H224" s="36">
        <v>0.79949999999999999</v>
      </c>
      <c r="I224" s="36">
        <v>1.49E-2</v>
      </c>
      <c r="J224" s="36"/>
      <c r="K224" s="35"/>
      <c r="M224" s="35"/>
      <c r="O224" s="36"/>
      <c r="P224" s="36"/>
      <c r="Q224" s="35">
        <v>-1.4012</v>
      </c>
      <c r="R224" s="35">
        <v>-0.36509999999999998</v>
      </c>
      <c r="S224" s="36">
        <v>0.72340000000000004</v>
      </c>
      <c r="T224" s="36">
        <v>-0.20399999999999999</v>
      </c>
    </row>
    <row r="225" spans="1:29" x14ac:dyDescent="0.3">
      <c r="A225" t="s">
        <v>459</v>
      </c>
      <c r="B225" t="s">
        <v>464</v>
      </c>
      <c r="C225" t="s">
        <v>435</v>
      </c>
      <c r="D225" t="s">
        <v>458</v>
      </c>
      <c r="E225">
        <v>14</v>
      </c>
      <c r="F225" s="35">
        <v>-3.9100000000000003E-2</v>
      </c>
      <c r="G225" s="35">
        <v>-4.3200000000000002E-2</v>
      </c>
      <c r="H225" s="36">
        <v>0.96630000000000005</v>
      </c>
      <c r="I225" s="36">
        <v>3.2099999999999997E-2</v>
      </c>
      <c r="J225" s="36"/>
      <c r="K225" s="35"/>
      <c r="M225" s="35"/>
      <c r="O225" s="36"/>
      <c r="P225" s="36"/>
      <c r="Q225" s="35">
        <v>-0.53580000000000005</v>
      </c>
      <c r="R225" s="35">
        <v>-0.59409999999999996</v>
      </c>
      <c r="S225" s="36">
        <v>0.56440000000000001</v>
      </c>
      <c r="T225" s="36">
        <v>-0.1439</v>
      </c>
    </row>
    <row r="226" spans="1:29" x14ac:dyDescent="0.3">
      <c r="A226" t="s">
        <v>459</v>
      </c>
      <c r="B226" t="s">
        <v>464</v>
      </c>
      <c r="C226" t="s">
        <v>437</v>
      </c>
      <c r="D226" t="s">
        <v>458</v>
      </c>
      <c r="E226">
        <v>14</v>
      </c>
      <c r="F226" s="35">
        <v>-0.1168</v>
      </c>
      <c r="G226" s="35">
        <v>-0.1333</v>
      </c>
      <c r="H226" s="36">
        <v>0.89639999999999997</v>
      </c>
      <c r="I226" s="36">
        <v>4.9500000000000002E-2</v>
      </c>
      <c r="J226" s="36"/>
      <c r="K226" s="35"/>
      <c r="M226" s="35"/>
      <c r="O226" s="36"/>
      <c r="P226" s="36"/>
      <c r="Q226" s="35">
        <v>-0.63570000000000004</v>
      </c>
      <c r="R226" s="35">
        <v>-0.72709999999999997</v>
      </c>
      <c r="S226" s="36">
        <v>0.48230000000000001</v>
      </c>
      <c r="T226" s="36">
        <v>-0.12330000000000001</v>
      </c>
    </row>
    <row r="227" spans="1:29" x14ac:dyDescent="0.3">
      <c r="A227" t="s">
        <v>459</v>
      </c>
      <c r="B227" t="s">
        <v>464</v>
      </c>
      <c r="C227" t="s">
        <v>438</v>
      </c>
      <c r="D227" t="s">
        <v>458</v>
      </c>
      <c r="E227">
        <v>14</v>
      </c>
      <c r="F227" s="35">
        <v>-0.79159999999999997</v>
      </c>
      <c r="G227" s="35">
        <v>-0.82940000000000003</v>
      </c>
      <c r="H227" s="36">
        <v>0.42449999999999999</v>
      </c>
      <c r="I227" s="36">
        <v>6.5000000000000002E-2</v>
      </c>
      <c r="J227" s="36"/>
      <c r="K227" s="35"/>
      <c r="M227" s="35"/>
      <c r="O227" s="36"/>
      <c r="P227" s="36"/>
      <c r="Q227" s="35">
        <v>-0.1784</v>
      </c>
      <c r="R227" s="35">
        <v>-0.18740000000000001</v>
      </c>
      <c r="S227" s="36">
        <v>0.85470000000000002</v>
      </c>
      <c r="T227" s="36">
        <v>-0.105</v>
      </c>
    </row>
    <row r="228" spans="1:29" x14ac:dyDescent="0.3">
      <c r="A228" t="s">
        <v>459</v>
      </c>
      <c r="B228" t="s">
        <v>464</v>
      </c>
      <c r="C228" t="s">
        <v>439</v>
      </c>
      <c r="D228" t="s">
        <v>458</v>
      </c>
      <c r="E228">
        <v>14</v>
      </c>
      <c r="F228" s="35">
        <v>-0.73219999999999996</v>
      </c>
      <c r="G228" s="35">
        <v>-0.7288</v>
      </c>
      <c r="H228" s="36">
        <v>0.48139999999999999</v>
      </c>
      <c r="I228" s="36">
        <v>6.6400000000000001E-2</v>
      </c>
      <c r="J228" s="36"/>
      <c r="K228" s="35"/>
      <c r="M228" s="35"/>
      <c r="O228" s="36"/>
      <c r="P228" s="36"/>
      <c r="Q228" s="35">
        <v>-0.42199999999999999</v>
      </c>
      <c r="R228" s="35">
        <v>-0.42109999999999997</v>
      </c>
      <c r="S228" s="36">
        <v>0.68179999999999996</v>
      </c>
      <c r="T228" s="36">
        <v>-0.10340000000000001</v>
      </c>
    </row>
    <row r="231" spans="1:29" x14ac:dyDescent="0.3">
      <c r="A231" s="32" t="s">
        <v>465</v>
      </c>
    </row>
    <row r="232" spans="1:29" ht="30" customHeight="1" x14ac:dyDescent="0.3">
      <c r="A232" s="34" t="s">
        <v>466</v>
      </c>
      <c r="B232" s="34" t="s">
        <v>467</v>
      </c>
      <c r="C232" s="34" t="s">
        <v>468</v>
      </c>
      <c r="D232" s="34" t="s">
        <v>469</v>
      </c>
      <c r="E232" s="34" t="s">
        <v>470</v>
      </c>
      <c r="F232" s="34" t="s">
        <v>471</v>
      </c>
      <c r="G232" s="34" t="s">
        <v>472</v>
      </c>
      <c r="H232" s="34" t="s">
        <v>473</v>
      </c>
      <c r="I232" s="34" t="s">
        <v>474</v>
      </c>
      <c r="J232" s="34" t="s">
        <v>475</v>
      </c>
      <c r="K232" s="34" t="s">
        <v>476</v>
      </c>
      <c r="L232" s="34" t="s">
        <v>477</v>
      </c>
      <c r="M232" s="34" t="s">
        <v>478</v>
      </c>
      <c r="N232" s="34" t="s">
        <v>479</v>
      </c>
      <c r="O232" s="34" t="s">
        <v>480</v>
      </c>
      <c r="P232" s="34" t="s">
        <v>481</v>
      </c>
      <c r="Q232" s="34" t="s">
        <v>482</v>
      </c>
      <c r="R232" s="34" t="s">
        <v>483</v>
      </c>
      <c r="S232" s="34" t="s">
        <v>484</v>
      </c>
      <c r="T232" s="34" t="s">
        <v>485</v>
      </c>
      <c r="U232" s="34" t="s">
        <v>486</v>
      </c>
      <c r="V232" s="34" t="s">
        <v>487</v>
      </c>
      <c r="W232" s="34" t="s">
        <v>488</v>
      </c>
      <c r="X232" s="34" t="s">
        <v>489</v>
      </c>
      <c r="Y232" s="34" t="s">
        <v>490</v>
      </c>
      <c r="Z232" s="34" t="s">
        <v>491</v>
      </c>
      <c r="AA232" s="34" t="s">
        <v>492</v>
      </c>
      <c r="AB232" s="34" t="s">
        <v>493</v>
      </c>
      <c r="AC232" s="34" t="s">
        <v>494</v>
      </c>
    </row>
    <row r="233" spans="1:29" x14ac:dyDescent="0.3">
      <c r="A233" s="33" t="s">
        <v>495</v>
      </c>
      <c r="B233" s="33" t="s">
        <v>266</v>
      </c>
      <c r="C233" s="33">
        <v>13.3</v>
      </c>
      <c r="D233" s="33">
        <v>12.9</v>
      </c>
      <c r="E233" s="33">
        <v>-1</v>
      </c>
      <c r="F233" s="33">
        <v>1.8</v>
      </c>
      <c r="G233" s="33">
        <v>16.128</v>
      </c>
      <c r="H233" s="33">
        <v>1</v>
      </c>
      <c r="I233" s="33"/>
      <c r="J233" s="33"/>
      <c r="K233" s="33">
        <v>-2.84</v>
      </c>
      <c r="L233" s="33">
        <v>0</v>
      </c>
      <c r="M233" s="33"/>
      <c r="N233" s="33"/>
      <c r="O233" s="33"/>
      <c r="P233" s="33"/>
      <c r="Q233" s="33"/>
      <c r="R233" s="33"/>
      <c r="S233" s="33"/>
      <c r="T233" s="33"/>
      <c r="U233" s="33">
        <v>84.186999999999998</v>
      </c>
      <c r="V233" s="33">
        <v>1</v>
      </c>
      <c r="W233" s="33"/>
      <c r="X233" s="33"/>
      <c r="Y233" s="33"/>
      <c r="Z233" s="33"/>
      <c r="AA233" s="33"/>
      <c r="AB233" s="33"/>
      <c r="AC233" s="33"/>
    </row>
    <row r="234" spans="1:29" x14ac:dyDescent="0.3">
      <c r="A234" s="33" t="s">
        <v>496</v>
      </c>
      <c r="B234" s="33" t="s">
        <v>270</v>
      </c>
      <c r="C234" s="33">
        <v>4</v>
      </c>
      <c r="D234" s="33">
        <v>1.8</v>
      </c>
      <c r="E234" s="33">
        <v>0.3</v>
      </c>
      <c r="F234" s="33">
        <v>-2.6</v>
      </c>
      <c r="G234" s="33">
        <v>24.16</v>
      </c>
      <c r="H234" s="33">
        <v>1</v>
      </c>
      <c r="I234" s="33">
        <v>5</v>
      </c>
      <c r="J234" s="33"/>
      <c r="K234" s="33">
        <v>-0.88</v>
      </c>
      <c r="L234" s="33">
        <v>0</v>
      </c>
      <c r="M234" s="33"/>
      <c r="N234" s="33">
        <v>30.876999999999999</v>
      </c>
      <c r="O234" s="33">
        <v>1</v>
      </c>
      <c r="P234" s="33"/>
      <c r="Q234" s="33">
        <v>3.04</v>
      </c>
      <c r="R234" s="33">
        <v>1</v>
      </c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</row>
    <row r="235" spans="1:29" x14ac:dyDescent="0.3">
      <c r="A235" s="33" t="s">
        <v>497</v>
      </c>
      <c r="B235" s="33" t="s">
        <v>278</v>
      </c>
      <c r="C235" s="33">
        <v>1.1000000000000001</v>
      </c>
      <c r="D235" s="33">
        <v>0.7</v>
      </c>
      <c r="E235" s="33">
        <v>-5.6</v>
      </c>
      <c r="F235" s="33">
        <v>-4.7</v>
      </c>
      <c r="G235" s="33">
        <v>5.952</v>
      </c>
      <c r="H235" s="33">
        <v>1</v>
      </c>
      <c r="I235" s="33">
        <v>299</v>
      </c>
      <c r="J235" s="33">
        <v>294</v>
      </c>
      <c r="K235" s="33">
        <v>0.3</v>
      </c>
      <c r="L235" s="33">
        <v>1</v>
      </c>
      <c r="M235" s="33"/>
      <c r="N235" s="33">
        <v>15.917</v>
      </c>
      <c r="O235" s="33">
        <v>1</v>
      </c>
      <c r="P235" s="33"/>
      <c r="Q235" s="33">
        <v>4.9240000000000004</v>
      </c>
      <c r="R235" s="33">
        <v>1</v>
      </c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</row>
    <row r="236" spans="1:29" x14ac:dyDescent="0.3">
      <c r="A236" s="33" t="s">
        <v>498</v>
      </c>
      <c r="B236" s="33" t="s">
        <v>283</v>
      </c>
      <c r="C236" s="33">
        <v>13</v>
      </c>
      <c r="D236" s="33">
        <v>12.9</v>
      </c>
      <c r="E236" s="33">
        <v>7.4</v>
      </c>
      <c r="F236" s="33">
        <v>9.3000000000000007</v>
      </c>
      <c r="G236" s="33">
        <v>9.1219999999999999</v>
      </c>
      <c r="H236" s="33">
        <v>1</v>
      </c>
      <c r="I236" s="33">
        <v>67</v>
      </c>
      <c r="J236" s="33">
        <v>-232</v>
      </c>
      <c r="K236" s="33"/>
      <c r="L236" s="33"/>
      <c r="M236" s="33"/>
      <c r="N236" s="33">
        <v>-3.331</v>
      </c>
      <c r="O236" s="33">
        <v>0</v>
      </c>
      <c r="P236" s="33">
        <v>48.21</v>
      </c>
      <c r="Q236" s="33">
        <v>-1.361</v>
      </c>
      <c r="R236" s="33">
        <v>0</v>
      </c>
      <c r="S236" s="33">
        <v>28.96</v>
      </c>
      <c r="T236" s="33"/>
      <c r="U236" s="33"/>
      <c r="V236" s="33"/>
      <c r="W236" s="33">
        <v>119.76</v>
      </c>
      <c r="X236" s="33">
        <v>11.9</v>
      </c>
      <c r="Y236" s="33"/>
      <c r="Z236" s="33">
        <v>14.8</v>
      </c>
      <c r="AA236" s="33">
        <v>2.08</v>
      </c>
      <c r="AB236" s="33"/>
      <c r="AC236" s="33"/>
    </row>
    <row r="237" spans="1:29" x14ac:dyDescent="0.3">
      <c r="A237" s="33" t="s">
        <v>499</v>
      </c>
      <c r="B237" s="33" t="s">
        <v>290</v>
      </c>
      <c r="C237" s="33">
        <v>3.6</v>
      </c>
      <c r="D237" s="33">
        <v>3.7</v>
      </c>
      <c r="E237" s="33">
        <v>-16.7</v>
      </c>
      <c r="F237" s="33">
        <v>-9.1999999999999993</v>
      </c>
      <c r="G237" s="33">
        <v>4.9320000000000004</v>
      </c>
      <c r="H237" s="33">
        <v>1</v>
      </c>
      <c r="I237" s="33">
        <v>78</v>
      </c>
      <c r="J237" s="33">
        <v>11</v>
      </c>
      <c r="K237" s="33">
        <v>0.05</v>
      </c>
      <c r="L237" s="33">
        <v>1</v>
      </c>
      <c r="M237" s="33"/>
      <c r="N237" s="33">
        <v>1.986</v>
      </c>
      <c r="O237" s="33">
        <v>1</v>
      </c>
      <c r="P237" s="33">
        <v>91.34</v>
      </c>
      <c r="Q237" s="33">
        <v>-2.081</v>
      </c>
      <c r="R237" s="33">
        <v>0</v>
      </c>
      <c r="S237" s="33">
        <v>58.53</v>
      </c>
      <c r="T237" s="33">
        <v>29.57</v>
      </c>
      <c r="U237" s="33"/>
      <c r="V237" s="33"/>
      <c r="W237" s="33"/>
      <c r="X237" s="33">
        <v>24.1</v>
      </c>
      <c r="Y237" s="33"/>
      <c r="Z237" s="33">
        <v>20.43</v>
      </c>
      <c r="AA237" s="33">
        <v>-0.99</v>
      </c>
      <c r="AB237" s="33">
        <v>16.532</v>
      </c>
      <c r="AC237" s="33">
        <v>0</v>
      </c>
    </row>
    <row r="238" spans="1:29" x14ac:dyDescent="0.3">
      <c r="A238" s="33" t="s">
        <v>500</v>
      </c>
      <c r="B238" s="33" t="s">
        <v>299</v>
      </c>
      <c r="C238" s="33">
        <v>7.7</v>
      </c>
      <c r="D238" s="33">
        <v>4.3</v>
      </c>
      <c r="E238" s="33">
        <v>-19.899999999999999</v>
      </c>
      <c r="F238" s="33">
        <v>-14.2</v>
      </c>
      <c r="G238" s="33">
        <v>4.069</v>
      </c>
      <c r="H238" s="33">
        <v>1</v>
      </c>
      <c r="I238" s="33">
        <v>70</v>
      </c>
      <c r="J238" s="33">
        <v>-8</v>
      </c>
      <c r="K238" s="33">
        <v>0.26</v>
      </c>
      <c r="L238" s="33">
        <v>1</v>
      </c>
      <c r="M238" s="33"/>
      <c r="N238" s="33">
        <v>3.99</v>
      </c>
      <c r="O238" s="33">
        <v>1</v>
      </c>
      <c r="P238" s="33">
        <v>66.989999999999995</v>
      </c>
      <c r="Q238" s="33">
        <v>1.2190000000000001</v>
      </c>
      <c r="R238" s="33">
        <v>1</v>
      </c>
      <c r="S238" s="33">
        <v>58.54</v>
      </c>
      <c r="T238" s="33">
        <v>0.01</v>
      </c>
      <c r="U238" s="33"/>
      <c r="V238" s="33"/>
      <c r="W238" s="33"/>
      <c r="X238" s="33">
        <v>21.9</v>
      </c>
      <c r="Y238" s="33"/>
      <c r="Z238" s="33">
        <v>5.16</v>
      </c>
      <c r="AA238" s="33">
        <v>0.16</v>
      </c>
      <c r="AB238" s="33">
        <v>6.1219999999999999</v>
      </c>
      <c r="AC238" s="33">
        <v>0</v>
      </c>
    </row>
    <row r="239" spans="1:29" x14ac:dyDescent="0.3">
      <c r="A239" s="33" t="s">
        <v>501</v>
      </c>
      <c r="B239" s="33" t="s">
        <v>307</v>
      </c>
      <c r="C239" s="33">
        <v>-1.1000000000000001</v>
      </c>
      <c r="D239" s="33">
        <v>-3.9</v>
      </c>
      <c r="E239" s="33">
        <v>-1.6</v>
      </c>
      <c r="F239" s="33">
        <v>-2.5</v>
      </c>
      <c r="G239" s="33">
        <v>-0.28399999999999997</v>
      </c>
      <c r="H239" s="33">
        <v>0</v>
      </c>
      <c r="I239" s="33">
        <v>58</v>
      </c>
      <c r="J239" s="33">
        <v>-12</v>
      </c>
      <c r="K239" s="33">
        <v>0.13</v>
      </c>
      <c r="L239" s="33">
        <v>1</v>
      </c>
      <c r="M239" s="33"/>
      <c r="N239" s="33"/>
      <c r="O239" s="33"/>
      <c r="P239" s="33">
        <v>26.87</v>
      </c>
      <c r="Q239" s="33">
        <v>-2.5379999999999998</v>
      </c>
      <c r="R239" s="33">
        <v>0</v>
      </c>
      <c r="S239" s="33">
        <v>24.79</v>
      </c>
      <c r="T239" s="33">
        <v>-33.75</v>
      </c>
      <c r="U239" s="33"/>
      <c r="V239" s="33"/>
      <c r="W239" s="33">
        <v>227.65</v>
      </c>
      <c r="X239" s="33">
        <v>17.5</v>
      </c>
      <c r="Y239" s="33"/>
      <c r="Z239" s="33">
        <v>1.42</v>
      </c>
      <c r="AA239" s="33">
        <v>2.42</v>
      </c>
      <c r="AB239" s="33">
        <v>2.1659999999999999</v>
      </c>
      <c r="AC239" s="33">
        <v>0</v>
      </c>
    </row>
    <row r="240" spans="1:29" x14ac:dyDescent="0.3">
      <c r="A240" s="33" t="s">
        <v>502</v>
      </c>
      <c r="B240" s="33" t="s">
        <v>314</v>
      </c>
      <c r="C240" s="33">
        <v>-13.4</v>
      </c>
      <c r="D240" s="33">
        <v>-10</v>
      </c>
      <c r="E240" s="33">
        <v>-9.3000000000000007</v>
      </c>
      <c r="F240" s="33">
        <v>-7.3</v>
      </c>
      <c r="G240" s="33">
        <v>3</v>
      </c>
      <c r="H240" s="33">
        <v>1</v>
      </c>
      <c r="I240" s="33">
        <v>29</v>
      </c>
      <c r="J240" s="33">
        <v>-29</v>
      </c>
      <c r="K240" s="33">
        <v>0.36699999999999999</v>
      </c>
      <c r="L240" s="33">
        <v>1</v>
      </c>
      <c r="M240" s="33"/>
      <c r="N240" s="33"/>
      <c r="O240" s="33"/>
      <c r="P240" s="33">
        <v>31.09</v>
      </c>
      <c r="Q240" s="33"/>
      <c r="R240" s="33"/>
      <c r="S240" s="33">
        <v>25.09</v>
      </c>
      <c r="T240" s="33">
        <v>0.3</v>
      </c>
      <c r="U240" s="33"/>
      <c r="V240" s="33"/>
      <c r="W240" s="33">
        <v>32.334000000000003</v>
      </c>
      <c r="X240" s="33">
        <v>1.3</v>
      </c>
      <c r="Y240" s="33"/>
      <c r="Z240" s="33">
        <v>4.8899999999999997</v>
      </c>
      <c r="AA240" s="33">
        <v>-0.31</v>
      </c>
      <c r="AB240" s="33">
        <v>-0.54100000000000004</v>
      </c>
      <c r="AC240" s="33">
        <v>1</v>
      </c>
    </row>
    <row r="241" spans="1:29" x14ac:dyDescent="0.3">
      <c r="A241" s="33" t="s">
        <v>503</v>
      </c>
      <c r="B241" s="33" t="s">
        <v>321</v>
      </c>
      <c r="C241" s="33">
        <v>13.4</v>
      </c>
      <c r="D241" s="33">
        <v>12.6</v>
      </c>
      <c r="E241" s="33">
        <v>5.2</v>
      </c>
      <c r="F241" s="33">
        <v>9.3000000000000007</v>
      </c>
      <c r="G241" s="33">
        <v>2.258</v>
      </c>
      <c r="H241" s="33">
        <v>1</v>
      </c>
      <c r="I241" s="33">
        <v>24</v>
      </c>
      <c r="J241" s="33">
        <v>-5</v>
      </c>
      <c r="K241" s="33">
        <v>0.23</v>
      </c>
      <c r="L241" s="33">
        <v>1</v>
      </c>
      <c r="M241" s="33">
        <v>500</v>
      </c>
      <c r="N241" s="33"/>
      <c r="O241" s="33"/>
      <c r="P241" s="33">
        <v>19.47</v>
      </c>
      <c r="Q241" s="33">
        <v>-1.6719999999999999</v>
      </c>
      <c r="R241" s="33">
        <v>0</v>
      </c>
      <c r="S241" s="33">
        <v>20.16</v>
      </c>
      <c r="T241" s="33">
        <v>-4.93</v>
      </c>
      <c r="U241" s="33">
        <v>17.13</v>
      </c>
      <c r="V241" s="33">
        <v>1</v>
      </c>
      <c r="W241" s="33">
        <v>51.951999999999998</v>
      </c>
      <c r="X241" s="33">
        <v>4.9000000000000004</v>
      </c>
      <c r="Y241" s="33"/>
      <c r="Z241" s="33">
        <v>-0.52</v>
      </c>
      <c r="AA241" s="33">
        <v>0.53</v>
      </c>
      <c r="AB241" s="33">
        <v>5.6210000000000004</v>
      </c>
      <c r="AC241" s="33">
        <v>0</v>
      </c>
    </row>
    <row r="242" spans="1:29" x14ac:dyDescent="0.3">
      <c r="A242" s="33" t="s">
        <v>504</v>
      </c>
      <c r="B242" s="33" t="s">
        <v>327</v>
      </c>
      <c r="C242" s="33">
        <v>-10.9</v>
      </c>
      <c r="D242" s="33">
        <v>-12</v>
      </c>
      <c r="E242" s="33">
        <v>-17</v>
      </c>
      <c r="F242" s="33">
        <v>-18.8</v>
      </c>
      <c r="G242" s="33">
        <v>1.5640000000000001</v>
      </c>
      <c r="H242" s="33">
        <v>1</v>
      </c>
      <c r="I242" s="33">
        <v>20</v>
      </c>
      <c r="J242" s="33">
        <v>-4</v>
      </c>
      <c r="K242" s="33">
        <v>0.09</v>
      </c>
      <c r="L242" s="33">
        <v>1</v>
      </c>
      <c r="M242" s="33"/>
      <c r="N242" s="33"/>
      <c r="O242" s="33"/>
      <c r="P242" s="33">
        <v>18.600000000000001</v>
      </c>
      <c r="Q242" s="33"/>
      <c r="R242" s="33"/>
      <c r="S242" s="33">
        <v>18.61</v>
      </c>
      <c r="T242" s="33">
        <v>-1.55</v>
      </c>
      <c r="U242" s="33"/>
      <c r="V242" s="33"/>
      <c r="W242" s="33">
        <v>14.41</v>
      </c>
      <c r="X242" s="33">
        <v>-0.8</v>
      </c>
      <c r="Y242" s="33"/>
      <c r="Z242" s="33">
        <v>0.21</v>
      </c>
      <c r="AA242" s="33">
        <v>0.14000000000000001</v>
      </c>
      <c r="AB242" s="33">
        <v>-0.82599999999999996</v>
      </c>
      <c r="AC242" s="33">
        <v>1</v>
      </c>
    </row>
    <row r="243" spans="1:29" x14ac:dyDescent="0.3">
      <c r="A243" s="33" t="s">
        <v>505</v>
      </c>
      <c r="B243" s="33" t="s">
        <v>334</v>
      </c>
      <c r="C243" s="33">
        <v>-0.5</v>
      </c>
      <c r="D243" s="33">
        <v>0</v>
      </c>
      <c r="E243" s="33">
        <v>-3.5</v>
      </c>
      <c r="F243" s="33">
        <v>-2.1</v>
      </c>
      <c r="G243" s="33">
        <v>2.645</v>
      </c>
      <c r="H243" s="33">
        <v>1</v>
      </c>
      <c r="I243" s="33">
        <v>18</v>
      </c>
      <c r="J243" s="33">
        <v>-2</v>
      </c>
      <c r="K243" s="33">
        <v>0.2</v>
      </c>
      <c r="L243" s="33">
        <v>1</v>
      </c>
      <c r="M243" s="33">
        <v>75</v>
      </c>
      <c r="N243" s="33">
        <v>0.57899999999999996</v>
      </c>
      <c r="O243" s="33">
        <v>1</v>
      </c>
      <c r="P243" s="33">
        <v>12.35</v>
      </c>
      <c r="Q243" s="33">
        <v>-2.1259999999999999</v>
      </c>
      <c r="R243" s="33">
        <v>0</v>
      </c>
      <c r="S243" s="33">
        <v>10.99</v>
      </c>
      <c r="T243" s="33">
        <v>-7.62</v>
      </c>
      <c r="U243" s="33"/>
      <c r="V243" s="33"/>
      <c r="W243" s="33">
        <v>15.19</v>
      </c>
      <c r="X243" s="33">
        <v>-0.8</v>
      </c>
      <c r="Y243" s="33"/>
      <c r="Z243" s="33">
        <v>1.39</v>
      </c>
      <c r="AA243" s="33">
        <v>0.63</v>
      </c>
      <c r="AB243" s="33">
        <v>4.0369999999999999</v>
      </c>
      <c r="AC243" s="33">
        <v>0</v>
      </c>
    </row>
    <row r="244" spans="1:29" x14ac:dyDescent="0.3">
      <c r="A244" s="33" t="s">
        <v>506</v>
      </c>
      <c r="B244" s="33" t="s">
        <v>338</v>
      </c>
      <c r="C244" s="33">
        <v>-3.3</v>
      </c>
      <c r="D244" s="33">
        <v>-5.0999999999999996</v>
      </c>
      <c r="E244" s="33">
        <v>-1.5</v>
      </c>
      <c r="F244" s="33">
        <v>-6</v>
      </c>
      <c r="G244" s="33">
        <v>0.80100000000000005</v>
      </c>
      <c r="H244" s="33">
        <v>1</v>
      </c>
      <c r="I244" s="33">
        <v>18</v>
      </c>
      <c r="J244" s="33">
        <v>0</v>
      </c>
      <c r="K244" s="33"/>
      <c r="L244" s="33"/>
      <c r="M244" s="33"/>
      <c r="N244" s="33"/>
      <c r="O244" s="33"/>
      <c r="P244" s="33">
        <v>17.309999999999999</v>
      </c>
      <c r="Q244" s="33">
        <v>0.26600000000000001</v>
      </c>
      <c r="R244" s="33">
        <v>0</v>
      </c>
      <c r="S244" s="33">
        <v>13.54</v>
      </c>
      <c r="T244" s="33">
        <v>2.5499999999999998</v>
      </c>
      <c r="U244" s="33"/>
      <c r="V244" s="33"/>
      <c r="W244" s="33">
        <v>25.875</v>
      </c>
      <c r="X244" s="33">
        <v>3.5</v>
      </c>
      <c r="Y244" s="33"/>
      <c r="Z244" s="33">
        <v>3.16</v>
      </c>
      <c r="AA244" s="33">
        <v>7.0000000000000007E-2</v>
      </c>
      <c r="AB244" s="33">
        <v>-1.3759999999999999</v>
      </c>
      <c r="AC244" s="33">
        <v>1</v>
      </c>
    </row>
    <row r="245" spans="1:29" x14ac:dyDescent="0.3">
      <c r="A245" s="33" t="s">
        <v>507</v>
      </c>
      <c r="B245" s="33" t="s">
        <v>344</v>
      </c>
      <c r="C245" s="33">
        <v>-1.7</v>
      </c>
      <c r="D245" s="33">
        <v>-2.8</v>
      </c>
      <c r="E245" s="33">
        <v>-1</v>
      </c>
      <c r="F245" s="33">
        <v>-0.4</v>
      </c>
      <c r="G245" s="33">
        <v>2.2120000000000002</v>
      </c>
      <c r="H245" s="33">
        <v>1</v>
      </c>
      <c r="I245" s="33">
        <v>17</v>
      </c>
      <c r="J245" s="33">
        <v>-1</v>
      </c>
      <c r="K245" s="33"/>
      <c r="L245" s="33"/>
      <c r="M245" s="33"/>
      <c r="N245" s="33"/>
      <c r="O245" s="33"/>
      <c r="P245" s="33">
        <v>14.81</v>
      </c>
      <c r="Q245" s="33">
        <v>0.81599999999999995</v>
      </c>
      <c r="R245" s="33">
        <v>0</v>
      </c>
      <c r="S245" s="33">
        <v>12.02</v>
      </c>
      <c r="T245" s="33">
        <v>-1.52</v>
      </c>
      <c r="U245" s="33">
        <v>14.419</v>
      </c>
      <c r="V245" s="33">
        <v>1</v>
      </c>
      <c r="W245" s="33">
        <v>45.85</v>
      </c>
      <c r="X245" s="33">
        <v>6.7</v>
      </c>
      <c r="Y245" s="33"/>
      <c r="Z245" s="33">
        <v>2.57</v>
      </c>
      <c r="AA245" s="33">
        <v>0.22</v>
      </c>
      <c r="AB245" s="33">
        <v>0.98499999999999999</v>
      </c>
      <c r="AC245" s="33">
        <v>0</v>
      </c>
    </row>
    <row r="246" spans="1:29" x14ac:dyDescent="0.3">
      <c r="A246" s="33" t="s">
        <v>508</v>
      </c>
      <c r="B246" s="33" t="s">
        <v>349</v>
      </c>
      <c r="C246" s="33">
        <v>-6.9</v>
      </c>
      <c r="D246" s="33">
        <v>-7.1</v>
      </c>
      <c r="E246" s="33">
        <v>-7.7</v>
      </c>
      <c r="F246" s="33">
        <v>-10.6</v>
      </c>
      <c r="G246" s="33">
        <v>3.9809999999999999</v>
      </c>
      <c r="H246" s="33">
        <v>1</v>
      </c>
      <c r="I246" s="33">
        <v>18</v>
      </c>
      <c r="J246" s="33">
        <v>1</v>
      </c>
      <c r="K246" s="33">
        <v>0.17</v>
      </c>
      <c r="L246" s="33">
        <v>1</v>
      </c>
      <c r="M246" s="33">
        <v>127.77800000000001</v>
      </c>
      <c r="N246" s="33"/>
      <c r="O246" s="33"/>
      <c r="P246" s="33">
        <v>12.25</v>
      </c>
      <c r="Q246" s="33">
        <v>0.379</v>
      </c>
      <c r="R246" s="33">
        <v>0</v>
      </c>
      <c r="S246" s="33">
        <v>9.5</v>
      </c>
      <c r="T246" s="33">
        <v>-2.52</v>
      </c>
      <c r="U246" s="33">
        <v>30.061</v>
      </c>
      <c r="V246" s="33">
        <v>1</v>
      </c>
      <c r="W246" s="33">
        <v>61.832000000000001</v>
      </c>
      <c r="X246" s="33">
        <v>5.4</v>
      </c>
      <c r="Y246" s="33"/>
      <c r="Z246" s="33">
        <v>2.64</v>
      </c>
      <c r="AA246" s="33">
        <v>0.44</v>
      </c>
      <c r="AB246" s="33">
        <v>-1.095</v>
      </c>
      <c r="AC246" s="33">
        <v>1</v>
      </c>
    </row>
    <row r="247" spans="1:29" x14ac:dyDescent="0.3">
      <c r="A247" s="33" t="s">
        <v>509</v>
      </c>
      <c r="B247" s="33" t="s">
        <v>352</v>
      </c>
      <c r="C247" s="33">
        <v>-13.4</v>
      </c>
      <c r="D247" s="33">
        <v>-12.3</v>
      </c>
      <c r="E247" s="33">
        <v>-10.4</v>
      </c>
      <c r="F247" s="33">
        <v>-15.6</v>
      </c>
      <c r="G247" s="33">
        <v>0.29199999999999998</v>
      </c>
      <c r="H247" s="33">
        <v>0</v>
      </c>
      <c r="I247" s="33">
        <v>11</v>
      </c>
      <c r="J247" s="33">
        <v>-7</v>
      </c>
      <c r="K247" s="33">
        <v>-0.06</v>
      </c>
      <c r="L247" s="33">
        <v>0</v>
      </c>
      <c r="M247" s="33">
        <v>-12.244999999999999</v>
      </c>
      <c r="N247" s="33"/>
      <c r="O247" s="33"/>
      <c r="P247" s="33">
        <v>10.99</v>
      </c>
      <c r="Q247" s="33"/>
      <c r="R247" s="33"/>
      <c r="S247" s="33">
        <v>8.69</v>
      </c>
      <c r="T247" s="33">
        <v>-0.81</v>
      </c>
      <c r="U247" s="33"/>
      <c r="V247" s="33"/>
      <c r="W247" s="33">
        <v>9.1579999999999995</v>
      </c>
      <c r="X247" s="33">
        <v>-0.5</v>
      </c>
      <c r="Y247" s="33"/>
      <c r="Z247" s="33">
        <v>2.12</v>
      </c>
      <c r="AA247" s="33">
        <v>-0.05</v>
      </c>
      <c r="AB247" s="33">
        <v>-3.6459999999999999</v>
      </c>
      <c r="AC247" s="33">
        <v>1</v>
      </c>
    </row>
    <row r="248" spans="1:29" x14ac:dyDescent="0.3">
      <c r="A248" s="33" t="s">
        <v>510</v>
      </c>
      <c r="B248" s="33" t="s">
        <v>355</v>
      </c>
      <c r="C248" s="33">
        <v>-8.6999999999999993</v>
      </c>
      <c r="D248" s="33">
        <v>-8.8000000000000007</v>
      </c>
      <c r="E248" s="33">
        <v>-8.6999999999999993</v>
      </c>
      <c r="F248" s="33">
        <v>-7.7</v>
      </c>
      <c r="G248" s="33">
        <v>0.32300000000000001</v>
      </c>
      <c r="H248" s="33">
        <v>0</v>
      </c>
      <c r="I248" s="33">
        <v>10</v>
      </c>
      <c r="J248" s="33">
        <v>-1</v>
      </c>
      <c r="K248" s="33">
        <v>-0.01</v>
      </c>
      <c r="L248" s="33">
        <v>0</v>
      </c>
      <c r="M248" s="33"/>
      <c r="N248" s="33">
        <v>1.0049999999999999</v>
      </c>
      <c r="O248" s="33">
        <v>1</v>
      </c>
      <c r="P248" s="33">
        <v>9.84</v>
      </c>
      <c r="Q248" s="33">
        <v>1.153</v>
      </c>
      <c r="R248" s="33">
        <v>1</v>
      </c>
      <c r="S248" s="33">
        <v>8.48</v>
      </c>
      <c r="T248" s="33">
        <v>-0.21</v>
      </c>
      <c r="U248" s="33">
        <v>5.2690000000000001</v>
      </c>
      <c r="V248" s="33">
        <v>1</v>
      </c>
      <c r="W248" s="33">
        <v>6.7610000000000001</v>
      </c>
      <c r="X248" s="33">
        <v>-1.5</v>
      </c>
      <c r="Y248" s="33"/>
      <c r="Z248" s="33">
        <v>1.4</v>
      </c>
      <c r="AA248" s="33">
        <v>0.01</v>
      </c>
      <c r="AB248" s="33">
        <v>-0.20699999999999999</v>
      </c>
      <c r="AC248" s="33">
        <v>1</v>
      </c>
    </row>
    <row r="249" spans="1:29" x14ac:dyDescent="0.3">
      <c r="A249" s="33" t="s">
        <v>511</v>
      </c>
      <c r="B249" s="33" t="s">
        <v>358</v>
      </c>
      <c r="C249" s="33">
        <v>14.4</v>
      </c>
      <c r="D249" s="33">
        <v>14</v>
      </c>
      <c r="E249" s="33">
        <v>3.6</v>
      </c>
      <c r="F249" s="33">
        <v>5.4</v>
      </c>
      <c r="G249" s="33">
        <v>2.4790000000000001</v>
      </c>
      <c r="H249" s="33">
        <v>1</v>
      </c>
      <c r="I249" s="33">
        <v>12</v>
      </c>
      <c r="J249" s="33">
        <v>2</v>
      </c>
      <c r="K249" s="33">
        <v>0.15</v>
      </c>
      <c r="L249" s="33">
        <v>1</v>
      </c>
      <c r="M249" s="33"/>
      <c r="N249" s="33">
        <v>2.3260000000000001</v>
      </c>
      <c r="O249" s="33">
        <v>1</v>
      </c>
      <c r="P249" s="33">
        <v>13.55</v>
      </c>
      <c r="Q249" s="33">
        <v>2.1160000000000001</v>
      </c>
      <c r="R249" s="33">
        <v>1</v>
      </c>
      <c r="S249" s="33">
        <v>12.35</v>
      </c>
      <c r="T249" s="33">
        <v>3.87</v>
      </c>
      <c r="U249" s="33">
        <v>17.062000000000001</v>
      </c>
      <c r="V249" s="33">
        <v>1</v>
      </c>
      <c r="W249" s="33">
        <v>3.6589999999999998</v>
      </c>
      <c r="X249" s="33">
        <v>-2.5</v>
      </c>
      <c r="Y249" s="33"/>
      <c r="Z249" s="33">
        <v>0.89</v>
      </c>
      <c r="AA249" s="33">
        <v>-0.22</v>
      </c>
      <c r="AB249" s="33">
        <v>-2.1739999999999999</v>
      </c>
      <c r="AC249" s="33">
        <v>1</v>
      </c>
    </row>
    <row r="250" spans="1:29" x14ac:dyDescent="0.3">
      <c r="A250" s="33" t="s">
        <v>512</v>
      </c>
      <c r="B250" s="33" t="s">
        <v>361</v>
      </c>
      <c r="C250" s="33">
        <v>1</v>
      </c>
      <c r="D250" s="33">
        <v>-0.5</v>
      </c>
      <c r="E250" s="33">
        <v>1.9</v>
      </c>
      <c r="F250" s="33">
        <v>0.5</v>
      </c>
      <c r="G250" s="33">
        <v>0.53100000000000003</v>
      </c>
      <c r="H250" s="33">
        <v>1</v>
      </c>
      <c r="I250" s="33">
        <v>6</v>
      </c>
      <c r="J250" s="33">
        <v>-6</v>
      </c>
      <c r="K250" s="33">
        <v>0</v>
      </c>
      <c r="L250" s="33">
        <v>0</v>
      </c>
      <c r="M250" s="33">
        <v>-41.463000000000001</v>
      </c>
      <c r="N250" s="33"/>
      <c r="O250" s="33"/>
      <c r="P250" s="33">
        <v>6.99</v>
      </c>
      <c r="Q250" s="33">
        <v>-0.20899999999999999</v>
      </c>
      <c r="R250" s="33">
        <v>0</v>
      </c>
      <c r="S250" s="33">
        <v>7.92</v>
      </c>
      <c r="T250" s="33">
        <v>-4.43</v>
      </c>
      <c r="U250" s="33"/>
      <c r="V250" s="33"/>
      <c r="W250" s="33">
        <v>-1.651</v>
      </c>
      <c r="X250" s="33">
        <v>-1.4</v>
      </c>
      <c r="Y250" s="33">
        <v>0.38600000000000001</v>
      </c>
      <c r="Z250" s="33">
        <v>-0.89</v>
      </c>
      <c r="AA250" s="33">
        <v>-0.08</v>
      </c>
      <c r="AB250" s="33">
        <v>-0.65800000000000003</v>
      </c>
      <c r="AC250" s="33">
        <v>1</v>
      </c>
    </row>
    <row r="251" spans="1:29" x14ac:dyDescent="0.3">
      <c r="A251" s="33" t="s">
        <v>513</v>
      </c>
      <c r="B251" s="33" t="s">
        <v>365</v>
      </c>
      <c r="C251" s="33">
        <v>-8</v>
      </c>
      <c r="D251" s="33">
        <v>-8.4</v>
      </c>
      <c r="E251" s="33">
        <v>-4.5999999999999996</v>
      </c>
      <c r="F251" s="33">
        <v>-6.9</v>
      </c>
      <c r="G251" s="33">
        <v>1.8420000000000001</v>
      </c>
      <c r="H251" s="33">
        <v>1</v>
      </c>
      <c r="I251" s="33">
        <v>13</v>
      </c>
      <c r="J251" s="33">
        <v>7</v>
      </c>
      <c r="K251" s="33">
        <v>0.1</v>
      </c>
      <c r="L251" s="33">
        <v>1</v>
      </c>
      <c r="M251" s="33">
        <v>19.766999999999999</v>
      </c>
      <c r="N251" s="33">
        <v>3.7069999999999999</v>
      </c>
      <c r="O251" s="33">
        <v>1</v>
      </c>
      <c r="P251" s="33">
        <v>10.85</v>
      </c>
      <c r="Q251" s="33">
        <v>0.78700000000000003</v>
      </c>
      <c r="R251" s="33">
        <v>0</v>
      </c>
      <c r="S251" s="33">
        <v>7.43</v>
      </c>
      <c r="T251" s="33">
        <v>-0.49</v>
      </c>
      <c r="U251" s="33"/>
      <c r="V251" s="33"/>
      <c r="W251" s="33">
        <v>16.667000000000002</v>
      </c>
      <c r="X251" s="33">
        <v>1.2</v>
      </c>
      <c r="Y251" s="33"/>
      <c r="Z251" s="33">
        <v>2.92</v>
      </c>
      <c r="AA251" s="33">
        <v>0.21</v>
      </c>
      <c r="AB251" s="33">
        <v>0.247</v>
      </c>
      <c r="AC251" s="33">
        <v>0</v>
      </c>
    </row>
    <row r="252" spans="1:29" x14ac:dyDescent="0.3">
      <c r="A252" s="33" t="s">
        <v>514</v>
      </c>
      <c r="B252" s="33" t="s">
        <v>368</v>
      </c>
      <c r="C252" s="33">
        <v>0.3</v>
      </c>
      <c r="D252" s="33">
        <v>0.6</v>
      </c>
      <c r="E252" s="33">
        <v>0.5</v>
      </c>
      <c r="F252" s="33">
        <v>1.1000000000000001</v>
      </c>
      <c r="G252" s="33">
        <v>0.36799999999999999</v>
      </c>
      <c r="H252" s="33">
        <v>0</v>
      </c>
      <c r="I252" s="33">
        <v>10</v>
      </c>
      <c r="J252" s="33">
        <v>-3</v>
      </c>
      <c r="K252" s="33">
        <v>-0.13</v>
      </c>
      <c r="L252" s="33">
        <v>0</v>
      </c>
      <c r="M252" s="33">
        <v>3.7559999999999998</v>
      </c>
      <c r="N252" s="33">
        <v>4.5659999999999998</v>
      </c>
      <c r="O252" s="33">
        <v>1</v>
      </c>
      <c r="P252" s="33">
        <v>13.93</v>
      </c>
      <c r="Q252" s="33">
        <v>1.4039999999999999</v>
      </c>
      <c r="R252" s="33">
        <v>1</v>
      </c>
      <c r="S252" s="33">
        <v>8.7899999999999991</v>
      </c>
      <c r="T252" s="33">
        <v>1.36</v>
      </c>
      <c r="U252" s="33"/>
      <c r="V252" s="33"/>
      <c r="W252" s="33">
        <v>4.75</v>
      </c>
      <c r="X252" s="33">
        <v>-2.4</v>
      </c>
      <c r="Y252" s="33">
        <v>2.8420000000000001</v>
      </c>
      <c r="Z252" s="33">
        <v>4.67</v>
      </c>
      <c r="AA252" s="33">
        <v>-0.69</v>
      </c>
      <c r="AB252" s="33">
        <v>0.749</v>
      </c>
      <c r="AC252" s="33">
        <v>0</v>
      </c>
    </row>
    <row r="253" spans="1:29" x14ac:dyDescent="0.3">
      <c r="A253" s="33" t="s">
        <v>515</v>
      </c>
      <c r="B253" s="33" t="s">
        <v>372</v>
      </c>
      <c r="C253" s="33">
        <v>4.5999999999999996</v>
      </c>
      <c r="D253" s="33">
        <v>4.4000000000000004</v>
      </c>
      <c r="E253" s="33">
        <v>10.3</v>
      </c>
      <c r="F253" s="33">
        <v>8.9</v>
      </c>
      <c r="G253" s="33">
        <v>2.1320000000000001</v>
      </c>
      <c r="H253" s="33">
        <v>1</v>
      </c>
      <c r="I253" s="33">
        <v>12</v>
      </c>
      <c r="J253" s="33">
        <v>2</v>
      </c>
      <c r="K253" s="33">
        <v>-0.1</v>
      </c>
      <c r="L253" s="33">
        <v>0</v>
      </c>
      <c r="M253" s="33">
        <v>-23.288</v>
      </c>
      <c r="N253" s="33">
        <v>5.1550000000000002</v>
      </c>
      <c r="O253" s="33">
        <v>1</v>
      </c>
      <c r="P253" s="33">
        <v>15.91</v>
      </c>
      <c r="Q253" s="33">
        <v>3.6560000000000001</v>
      </c>
      <c r="R253" s="33">
        <v>1</v>
      </c>
      <c r="S253" s="33">
        <v>9.82</v>
      </c>
      <c r="T253" s="33">
        <v>1.03</v>
      </c>
      <c r="U253" s="33"/>
      <c r="V253" s="33"/>
      <c r="W253" s="33">
        <v>2.7450000000000001</v>
      </c>
      <c r="X253" s="33">
        <v>-2.5</v>
      </c>
      <c r="Y253" s="33">
        <v>1.1060000000000001</v>
      </c>
      <c r="Z253" s="33">
        <v>5.93</v>
      </c>
      <c r="AA253" s="33">
        <v>-0.47</v>
      </c>
      <c r="AB253" s="33">
        <v>3.1619999999999999</v>
      </c>
      <c r="AC253" s="33">
        <v>0</v>
      </c>
    </row>
    <row r="254" spans="1:29" x14ac:dyDescent="0.3">
      <c r="A254" s="33" t="s">
        <v>516</v>
      </c>
      <c r="B254" s="33" t="s">
        <v>376</v>
      </c>
      <c r="C254" s="33">
        <v>0.7</v>
      </c>
      <c r="D254" s="33">
        <v>-1.6</v>
      </c>
      <c r="E254" s="33">
        <v>-4.8</v>
      </c>
      <c r="F254" s="33">
        <v>-8.4</v>
      </c>
      <c r="G254" s="33">
        <v>2.214</v>
      </c>
      <c r="H254" s="33">
        <v>1</v>
      </c>
      <c r="I254" s="33">
        <v>18</v>
      </c>
      <c r="J254" s="33">
        <v>6</v>
      </c>
      <c r="K254" s="33">
        <v>-0.03</v>
      </c>
      <c r="L254" s="33">
        <v>0</v>
      </c>
      <c r="M254" s="33">
        <v>8.3330000000000002</v>
      </c>
      <c r="N254" s="33">
        <v>4.96</v>
      </c>
      <c r="O254" s="33">
        <v>1</v>
      </c>
      <c r="P254" s="33">
        <v>19.18</v>
      </c>
      <c r="Q254" s="33">
        <v>0.27600000000000002</v>
      </c>
      <c r="R254" s="33">
        <v>0</v>
      </c>
      <c r="S254" s="33">
        <v>9.15</v>
      </c>
      <c r="T254" s="33">
        <v>-0.67</v>
      </c>
      <c r="U254" s="33">
        <v>7.01</v>
      </c>
      <c r="V254" s="33">
        <v>1</v>
      </c>
      <c r="W254" s="33">
        <v>24.46</v>
      </c>
      <c r="X254" s="33">
        <v>1</v>
      </c>
      <c r="Y254" s="33">
        <v>4.7050000000000001</v>
      </c>
      <c r="Z254" s="33">
        <v>9.0299999999999994</v>
      </c>
      <c r="AA254" s="33">
        <v>-0.1</v>
      </c>
      <c r="AB254" s="33">
        <v>3.1789999999999998</v>
      </c>
      <c r="AC254" s="33">
        <v>0</v>
      </c>
    </row>
    <row r="255" spans="1:29" x14ac:dyDescent="0.3">
      <c r="A255" s="33" t="s">
        <v>517</v>
      </c>
      <c r="B255" s="33" t="s">
        <v>380</v>
      </c>
      <c r="C255" s="33">
        <v>17.399999999999999</v>
      </c>
      <c r="D255" s="33">
        <v>16.3</v>
      </c>
      <c r="E255" s="33">
        <v>22.1</v>
      </c>
      <c r="F255" s="33">
        <v>19.600000000000001</v>
      </c>
      <c r="G255" s="33">
        <v>0.78200000000000003</v>
      </c>
      <c r="H255" s="33">
        <v>1</v>
      </c>
      <c r="I255" s="33">
        <v>17</v>
      </c>
      <c r="J255" s="33">
        <v>-1</v>
      </c>
      <c r="K255" s="33">
        <v>0.12</v>
      </c>
      <c r="L255" s="33">
        <v>1</v>
      </c>
      <c r="M255" s="33">
        <v>33.01</v>
      </c>
      <c r="N255" s="33">
        <v>2.952</v>
      </c>
      <c r="O255" s="33">
        <v>1</v>
      </c>
      <c r="P255" s="33">
        <v>15.74</v>
      </c>
      <c r="Q255" s="33">
        <v>1.966</v>
      </c>
      <c r="R255" s="33">
        <v>1</v>
      </c>
      <c r="S255" s="33">
        <v>10.34</v>
      </c>
      <c r="T255" s="33">
        <v>1.19</v>
      </c>
      <c r="U255" s="33">
        <v>2.8879999999999999</v>
      </c>
      <c r="V255" s="33">
        <v>1</v>
      </c>
      <c r="W255" s="33">
        <v>20.901</v>
      </c>
      <c r="X255" s="33">
        <v>1.3</v>
      </c>
      <c r="Y255" s="33">
        <v>1.02</v>
      </c>
      <c r="Z255" s="33">
        <v>5.3</v>
      </c>
      <c r="AA255" s="33">
        <v>0.09</v>
      </c>
      <c r="AB255" s="33">
        <v>2.6030000000000002</v>
      </c>
      <c r="AC255" s="33">
        <v>0</v>
      </c>
    </row>
  </sheetData>
  <mergeCells count="1"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255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30" customWidth="1"/>
    <col min="2" max="2" width="46" customWidth="1"/>
    <col min="3" max="3" width="24" customWidth="1"/>
    <col min="4" max="4" width="12" customWidth="1"/>
    <col min="5" max="5" width="5" customWidth="1"/>
    <col min="6" max="6" width="8" customWidth="1"/>
    <col min="7" max="9" width="7" customWidth="1"/>
    <col min="10" max="10" width="9" customWidth="1"/>
    <col min="11" max="11" width="12" customWidth="1"/>
    <col min="12" max="12" width="4" customWidth="1"/>
    <col min="13" max="13" width="12" customWidth="1"/>
    <col min="14" max="14" width="4" customWidth="1"/>
    <col min="15" max="15" width="12" customWidth="1"/>
    <col min="16" max="16" width="4" customWidth="1"/>
    <col min="17" max="17" width="10" customWidth="1"/>
    <col min="18" max="18" width="8" customWidth="1"/>
    <col min="19" max="19" width="18" customWidth="1"/>
    <col min="20" max="20" width="8" customWidth="1"/>
    <col min="21" max="21" width="6" customWidth="1"/>
    <col min="22" max="22" width="18" customWidth="1"/>
    <col min="23" max="23" width="8" customWidth="1"/>
    <col min="24" max="24" width="6" customWidth="1"/>
    <col min="25" max="25" width="18" customWidth="1"/>
    <col min="26" max="26" width="8" customWidth="1"/>
    <col min="27" max="27" width="6" customWidth="1"/>
  </cols>
  <sheetData>
    <row r="1" spans="1:27" ht="17.399999999999999" x14ac:dyDescent="0.35">
      <c r="A1" s="1" t="s">
        <v>518</v>
      </c>
    </row>
    <row r="2" spans="1:27" ht="43.95" customHeight="1" x14ac:dyDescent="0.3">
      <c r="A2" s="39" t="s">
        <v>519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</row>
    <row r="4" spans="1:27" ht="30" customHeight="1" x14ac:dyDescent="0.3">
      <c r="A4" s="34" t="s">
        <v>414</v>
      </c>
      <c r="B4" s="34" t="s">
        <v>415</v>
      </c>
      <c r="C4" s="34" t="s">
        <v>416</v>
      </c>
      <c r="D4" s="34" t="s">
        <v>417</v>
      </c>
      <c r="E4" s="34" t="s">
        <v>418</v>
      </c>
      <c r="F4" s="34" t="s">
        <v>419</v>
      </c>
      <c r="G4" s="34" t="s">
        <v>420</v>
      </c>
      <c r="H4" s="34" t="s">
        <v>421</v>
      </c>
      <c r="I4" s="34" t="s">
        <v>422</v>
      </c>
      <c r="J4" s="34" t="s">
        <v>423</v>
      </c>
      <c r="K4" s="34" t="s">
        <v>520</v>
      </c>
      <c r="L4" s="34" t="s">
        <v>418</v>
      </c>
      <c r="M4" s="34" t="s">
        <v>521</v>
      </c>
      <c r="N4" s="34" t="s">
        <v>418</v>
      </c>
      <c r="O4" s="34" t="s">
        <v>522</v>
      </c>
      <c r="P4" s="34" t="s">
        <v>418</v>
      </c>
      <c r="Q4" s="34" t="s">
        <v>523</v>
      </c>
      <c r="R4" s="34" t="s">
        <v>433</v>
      </c>
      <c r="S4" s="34" t="s">
        <v>524</v>
      </c>
      <c r="T4" s="34" t="s">
        <v>525</v>
      </c>
      <c r="U4" s="34" t="s">
        <v>526</v>
      </c>
      <c r="V4" s="34" t="s">
        <v>527</v>
      </c>
      <c r="W4" s="34" t="s">
        <v>528</v>
      </c>
      <c r="X4" s="34" t="s">
        <v>529</v>
      </c>
      <c r="Y4" s="34" t="s">
        <v>530</v>
      </c>
      <c r="Z4" s="34" t="s">
        <v>531</v>
      </c>
      <c r="AA4" s="34" t="s">
        <v>532</v>
      </c>
    </row>
    <row r="5" spans="1:27" x14ac:dyDescent="0.3">
      <c r="A5" t="s">
        <v>533</v>
      </c>
      <c r="B5" t="s">
        <v>534</v>
      </c>
      <c r="C5" t="s">
        <v>435</v>
      </c>
      <c r="D5" t="s">
        <v>436</v>
      </c>
      <c r="E5">
        <v>20</v>
      </c>
      <c r="F5" s="35">
        <v>0.18090000000000001</v>
      </c>
      <c r="G5" s="35">
        <v>1.6491</v>
      </c>
      <c r="H5" s="36">
        <v>0.11650000000000001</v>
      </c>
      <c r="I5" s="36">
        <v>0.1313</v>
      </c>
      <c r="J5" s="36">
        <v>0.31369999999999998</v>
      </c>
      <c r="K5" s="35"/>
      <c r="M5" s="35"/>
      <c r="O5" s="35"/>
      <c r="Q5" s="36"/>
      <c r="R5" s="36"/>
      <c r="T5" s="35"/>
      <c r="U5" s="35"/>
      <c r="W5" s="35"/>
      <c r="X5" s="35"/>
      <c r="Z5" s="35"/>
      <c r="AA5" s="35"/>
    </row>
    <row r="6" spans="1:27" x14ac:dyDescent="0.3">
      <c r="A6" t="s">
        <v>533</v>
      </c>
      <c r="B6" t="s">
        <v>534</v>
      </c>
      <c r="C6" t="s">
        <v>437</v>
      </c>
      <c r="D6" t="s">
        <v>436</v>
      </c>
      <c r="E6">
        <v>20</v>
      </c>
      <c r="F6" s="35">
        <v>0.1691</v>
      </c>
      <c r="G6" s="35">
        <v>1.6121000000000001</v>
      </c>
      <c r="H6" s="36">
        <v>0.12429999999999999</v>
      </c>
      <c r="I6" s="36">
        <v>0.12620000000000001</v>
      </c>
      <c r="J6" s="36">
        <v>0.30530000000000002</v>
      </c>
      <c r="K6" s="35"/>
      <c r="M6" s="35"/>
      <c r="O6" s="35"/>
      <c r="Q6" s="36"/>
      <c r="R6" s="36"/>
      <c r="T6" s="35"/>
      <c r="U6" s="35"/>
      <c r="W6" s="35"/>
      <c r="X6" s="35"/>
      <c r="Z6" s="35"/>
      <c r="AA6" s="35"/>
    </row>
    <row r="7" spans="1:27" x14ac:dyDescent="0.3">
      <c r="A7" t="s">
        <v>533</v>
      </c>
      <c r="B7" t="s">
        <v>534</v>
      </c>
      <c r="C7" t="s">
        <v>438</v>
      </c>
      <c r="D7" t="s">
        <v>436</v>
      </c>
      <c r="E7">
        <v>20</v>
      </c>
      <c r="F7" s="35">
        <v>-0.122</v>
      </c>
      <c r="G7" s="35">
        <v>-0.9879</v>
      </c>
      <c r="H7" s="36">
        <v>0.33629999999999999</v>
      </c>
      <c r="I7" s="36">
        <v>5.1400000000000001E-2</v>
      </c>
      <c r="J7" s="36">
        <v>-7.3700000000000002E-2</v>
      </c>
      <c r="K7" s="35"/>
      <c r="M7" s="35"/>
      <c r="O7" s="35"/>
      <c r="Q7" s="36"/>
      <c r="R7" s="36"/>
      <c r="T7" s="35"/>
      <c r="U7" s="35"/>
      <c r="W7" s="35"/>
      <c r="X7" s="35"/>
      <c r="Z7" s="35"/>
      <c r="AA7" s="35"/>
    </row>
    <row r="8" spans="1:27" x14ac:dyDescent="0.3">
      <c r="A8" t="s">
        <v>533</v>
      </c>
      <c r="B8" t="s">
        <v>534</v>
      </c>
      <c r="C8" t="s">
        <v>439</v>
      </c>
      <c r="D8" t="s">
        <v>436</v>
      </c>
      <c r="E8">
        <v>20</v>
      </c>
      <c r="F8" s="35">
        <v>-6.7000000000000002E-3</v>
      </c>
      <c r="G8" s="35">
        <v>-5.4600000000000003E-2</v>
      </c>
      <c r="H8" s="36">
        <v>0.95709999999999995</v>
      </c>
      <c r="I8" s="36">
        <v>2.0000000000000001E-4</v>
      </c>
      <c r="J8" s="36">
        <v>4.5900000000000003E-2</v>
      </c>
      <c r="K8" s="35"/>
      <c r="M8" s="35"/>
      <c r="O8" s="35"/>
      <c r="Q8" s="36"/>
      <c r="R8" s="36"/>
      <c r="T8" s="35"/>
      <c r="U8" s="35"/>
      <c r="W8" s="35"/>
      <c r="X8" s="35"/>
      <c r="Z8" s="35"/>
      <c r="AA8" s="35"/>
    </row>
    <row r="9" spans="1:27" x14ac:dyDescent="0.3">
      <c r="A9" t="s">
        <v>533</v>
      </c>
      <c r="B9" t="s">
        <v>535</v>
      </c>
      <c r="C9" t="s">
        <v>435</v>
      </c>
      <c r="D9" t="s">
        <v>436</v>
      </c>
      <c r="E9">
        <v>20</v>
      </c>
      <c r="F9" s="35">
        <v>6.2600000000000003E-2</v>
      </c>
      <c r="G9" s="35">
        <v>0.22270000000000001</v>
      </c>
      <c r="H9" s="36">
        <v>0.82630000000000003</v>
      </c>
      <c r="I9" s="36">
        <v>2.7000000000000001E-3</v>
      </c>
      <c r="J9" s="36">
        <v>0.1444</v>
      </c>
      <c r="K9" s="35"/>
      <c r="M9" s="35"/>
      <c r="O9" s="35"/>
      <c r="Q9" s="36"/>
      <c r="R9" s="36"/>
      <c r="T9" s="35"/>
      <c r="U9" s="35"/>
      <c r="W9" s="35"/>
      <c r="X9" s="35"/>
      <c r="Z9" s="35"/>
      <c r="AA9" s="35"/>
    </row>
    <row r="10" spans="1:27" x14ac:dyDescent="0.3">
      <c r="A10" t="s">
        <v>533</v>
      </c>
      <c r="B10" t="s">
        <v>535</v>
      </c>
      <c r="C10" t="s">
        <v>437</v>
      </c>
      <c r="D10" t="s">
        <v>436</v>
      </c>
      <c r="E10">
        <v>20</v>
      </c>
      <c r="F10" s="35">
        <v>0.1197</v>
      </c>
      <c r="G10" s="35">
        <v>0.44829999999999998</v>
      </c>
      <c r="H10" s="36">
        <v>0.6593</v>
      </c>
      <c r="I10" s="36">
        <v>1.0999999999999999E-2</v>
      </c>
      <c r="J10" s="36">
        <v>0.1789</v>
      </c>
      <c r="K10" s="35"/>
      <c r="M10" s="35"/>
      <c r="O10" s="35"/>
      <c r="Q10" s="36"/>
      <c r="R10" s="36"/>
      <c r="T10" s="35"/>
      <c r="U10" s="35"/>
      <c r="W10" s="35"/>
      <c r="X10" s="35"/>
      <c r="Z10" s="35"/>
      <c r="AA10" s="35"/>
    </row>
    <row r="11" spans="1:27" x14ac:dyDescent="0.3">
      <c r="A11" t="s">
        <v>533</v>
      </c>
      <c r="B11" t="s">
        <v>535</v>
      </c>
      <c r="C11" t="s">
        <v>438</v>
      </c>
      <c r="D11" t="s">
        <v>436</v>
      </c>
      <c r="E11">
        <v>20</v>
      </c>
      <c r="F11" s="35">
        <v>0.47939999999999999</v>
      </c>
      <c r="G11" s="35">
        <v>1.7039</v>
      </c>
      <c r="H11" s="36">
        <v>0.1056</v>
      </c>
      <c r="I11" s="36">
        <v>0.1389</v>
      </c>
      <c r="J11" s="36">
        <v>0.5353</v>
      </c>
      <c r="K11" s="35"/>
      <c r="M11" s="35"/>
      <c r="O11" s="35"/>
      <c r="Q11" s="36"/>
      <c r="R11" s="36"/>
      <c r="T11" s="35"/>
      <c r="U11" s="35"/>
      <c r="W11" s="35"/>
      <c r="X11" s="35"/>
      <c r="Z11" s="35"/>
      <c r="AA11" s="35"/>
    </row>
    <row r="12" spans="1:27" x14ac:dyDescent="0.3">
      <c r="A12" t="s">
        <v>533</v>
      </c>
      <c r="B12" t="s">
        <v>535</v>
      </c>
      <c r="C12" t="s">
        <v>439</v>
      </c>
      <c r="D12" t="s">
        <v>436</v>
      </c>
      <c r="E12">
        <v>20</v>
      </c>
      <c r="F12" s="35">
        <v>0.35470000000000002</v>
      </c>
      <c r="G12" s="35">
        <v>1.2564</v>
      </c>
      <c r="H12" s="36">
        <v>0.22500000000000001</v>
      </c>
      <c r="I12" s="36">
        <v>8.0600000000000005E-2</v>
      </c>
      <c r="J12" s="36">
        <v>0.47689999999999999</v>
      </c>
      <c r="K12" s="35"/>
      <c r="M12" s="35"/>
      <c r="O12" s="35"/>
      <c r="Q12" s="36"/>
      <c r="R12" s="36"/>
      <c r="T12" s="35"/>
      <c r="U12" s="35"/>
      <c r="W12" s="35"/>
      <c r="X12" s="35"/>
      <c r="Z12" s="35"/>
      <c r="AA12" s="35"/>
    </row>
    <row r="13" spans="1:27" x14ac:dyDescent="0.3">
      <c r="A13" t="s">
        <v>533</v>
      </c>
      <c r="B13" t="s">
        <v>456</v>
      </c>
      <c r="C13" t="s">
        <v>435</v>
      </c>
      <c r="D13" t="s">
        <v>436</v>
      </c>
      <c r="E13">
        <v>19</v>
      </c>
      <c r="F13" s="35">
        <v>0.83360000000000001</v>
      </c>
      <c r="G13" s="35">
        <v>1.8414999999999999</v>
      </c>
      <c r="H13" s="36">
        <v>8.3099999999999993E-2</v>
      </c>
      <c r="I13" s="36">
        <v>0.1663</v>
      </c>
      <c r="J13" s="36">
        <v>0.5423</v>
      </c>
      <c r="K13" s="35"/>
      <c r="M13" s="35"/>
      <c r="O13" s="35"/>
      <c r="Q13" s="36"/>
      <c r="R13" s="36"/>
      <c r="T13" s="35"/>
      <c r="U13" s="35"/>
      <c r="W13" s="35"/>
      <c r="X13" s="35"/>
      <c r="Z13" s="35"/>
      <c r="AA13" s="35"/>
    </row>
    <row r="14" spans="1:27" x14ac:dyDescent="0.3">
      <c r="A14" t="s">
        <v>533</v>
      </c>
      <c r="B14" t="s">
        <v>456</v>
      </c>
      <c r="C14" t="s">
        <v>437</v>
      </c>
      <c r="D14" t="s">
        <v>436</v>
      </c>
      <c r="E14">
        <v>19</v>
      </c>
      <c r="F14" s="35">
        <v>0.78169999999999995</v>
      </c>
      <c r="G14" s="35">
        <v>1.8279000000000001</v>
      </c>
      <c r="H14" s="36">
        <v>8.5199999999999998E-2</v>
      </c>
      <c r="I14" s="36">
        <v>0.1643</v>
      </c>
      <c r="J14" s="36">
        <v>0.55959999999999999</v>
      </c>
      <c r="K14" s="35"/>
      <c r="M14" s="35"/>
      <c r="O14" s="35"/>
      <c r="Q14" s="36"/>
      <c r="R14" s="36"/>
      <c r="T14" s="35"/>
      <c r="U14" s="35"/>
      <c r="W14" s="35"/>
      <c r="X14" s="35"/>
      <c r="Z14" s="35"/>
      <c r="AA14" s="35"/>
    </row>
    <row r="15" spans="1:27" x14ac:dyDescent="0.3">
      <c r="A15" t="s">
        <v>533</v>
      </c>
      <c r="B15" t="s">
        <v>456</v>
      </c>
      <c r="C15" t="s">
        <v>438</v>
      </c>
      <c r="D15" t="s">
        <v>436</v>
      </c>
      <c r="E15">
        <v>19</v>
      </c>
      <c r="F15" s="35">
        <v>-0.39140000000000003</v>
      </c>
      <c r="G15" s="35">
        <v>-0.72609999999999997</v>
      </c>
      <c r="H15" s="36">
        <v>0.47770000000000001</v>
      </c>
      <c r="I15" s="36">
        <v>3.0099999999999998E-2</v>
      </c>
      <c r="J15" s="36">
        <v>3.8600000000000002E-2</v>
      </c>
      <c r="K15" s="35"/>
      <c r="M15" s="35"/>
      <c r="O15" s="35"/>
      <c r="Q15" s="36"/>
      <c r="R15" s="36"/>
      <c r="T15" s="35"/>
      <c r="U15" s="35"/>
      <c r="W15" s="35"/>
      <c r="X15" s="35"/>
      <c r="Z15" s="35"/>
      <c r="AA15" s="35"/>
    </row>
    <row r="16" spans="1:27" x14ac:dyDescent="0.3">
      <c r="A16" t="s">
        <v>533</v>
      </c>
      <c r="B16" t="s">
        <v>456</v>
      </c>
      <c r="C16" t="s">
        <v>439</v>
      </c>
      <c r="D16" t="s">
        <v>436</v>
      </c>
      <c r="E16">
        <v>19</v>
      </c>
      <c r="F16" s="35">
        <v>0.15820000000000001</v>
      </c>
      <c r="G16" s="35">
        <v>0.30299999999999999</v>
      </c>
      <c r="H16" s="36">
        <v>0.76549999999999996</v>
      </c>
      <c r="I16" s="36">
        <v>5.4000000000000003E-3</v>
      </c>
      <c r="J16" s="36">
        <v>0.19120000000000001</v>
      </c>
      <c r="K16" s="35"/>
      <c r="M16" s="35"/>
      <c r="O16" s="35"/>
      <c r="Q16" s="36"/>
      <c r="R16" s="36"/>
      <c r="T16" s="35"/>
      <c r="U16" s="35"/>
      <c r="W16" s="35"/>
      <c r="X16" s="35"/>
      <c r="Z16" s="35"/>
      <c r="AA16" s="35"/>
    </row>
    <row r="17" spans="1:27" x14ac:dyDescent="0.3">
      <c r="A17" t="s">
        <v>533</v>
      </c>
      <c r="B17" t="s">
        <v>457</v>
      </c>
      <c r="C17" t="s">
        <v>435</v>
      </c>
      <c r="D17" t="s">
        <v>436</v>
      </c>
      <c r="E17">
        <v>19</v>
      </c>
      <c r="F17" s="35">
        <v>-8.4590999999999994</v>
      </c>
      <c r="G17" s="35">
        <v>-2.2303999999999999</v>
      </c>
      <c r="H17" s="37">
        <v>3.95E-2</v>
      </c>
      <c r="I17" s="36">
        <v>0.22639999999999999</v>
      </c>
      <c r="J17" s="36">
        <v>-0.50619999999999998</v>
      </c>
      <c r="K17" s="35">
        <v>-5.15</v>
      </c>
      <c r="L17">
        <v>8</v>
      </c>
      <c r="M17" s="35">
        <v>3.3090999999999999</v>
      </c>
      <c r="N17">
        <v>11</v>
      </c>
      <c r="O17" s="35"/>
      <c r="Q17" s="36">
        <v>5.2299999999999999E-2</v>
      </c>
      <c r="R17" s="36"/>
      <c r="T17" s="35"/>
      <c r="U17" s="35"/>
      <c r="W17" s="35"/>
      <c r="X17" s="35"/>
      <c r="Z17" s="35"/>
      <c r="AA17" s="35"/>
    </row>
    <row r="18" spans="1:27" x14ac:dyDescent="0.3">
      <c r="A18" t="s">
        <v>533</v>
      </c>
      <c r="B18" t="s">
        <v>457</v>
      </c>
      <c r="C18" t="s">
        <v>437</v>
      </c>
      <c r="D18" t="s">
        <v>436</v>
      </c>
      <c r="E18">
        <v>19</v>
      </c>
      <c r="F18" s="35">
        <v>-7.5159000000000002</v>
      </c>
      <c r="G18" s="35">
        <v>-2.0661999999999998</v>
      </c>
      <c r="H18" s="36">
        <v>5.4399999999999997E-2</v>
      </c>
      <c r="I18" s="36">
        <v>0.20069999999999999</v>
      </c>
      <c r="J18" s="36">
        <v>-0.54490000000000005</v>
      </c>
      <c r="K18" s="35">
        <v>-5.2249999999999996</v>
      </c>
      <c r="L18">
        <v>8</v>
      </c>
      <c r="M18" s="35">
        <v>2.2909000000000002</v>
      </c>
      <c r="N18">
        <v>11</v>
      </c>
      <c r="O18" s="35"/>
      <c r="Q18" s="36">
        <v>6.6000000000000003E-2</v>
      </c>
      <c r="R18" s="36"/>
      <c r="T18" s="35"/>
      <c r="U18" s="35"/>
      <c r="W18" s="35"/>
      <c r="X18" s="35"/>
      <c r="Z18" s="35"/>
      <c r="AA18" s="35"/>
    </row>
    <row r="19" spans="1:27" x14ac:dyDescent="0.3">
      <c r="A19" t="s">
        <v>533</v>
      </c>
      <c r="B19" t="s">
        <v>457</v>
      </c>
      <c r="C19" t="s">
        <v>438</v>
      </c>
      <c r="D19" t="s">
        <v>436</v>
      </c>
      <c r="E19">
        <v>19</v>
      </c>
      <c r="F19" s="35">
        <v>-4.8647999999999998</v>
      </c>
      <c r="G19" s="35">
        <v>-1.0547</v>
      </c>
      <c r="H19" s="36">
        <v>0.30630000000000002</v>
      </c>
      <c r="I19" s="36">
        <v>6.1400000000000003E-2</v>
      </c>
      <c r="J19" s="36">
        <v>-0.253</v>
      </c>
      <c r="K19" s="35">
        <v>-6.1375000000000002</v>
      </c>
      <c r="L19">
        <v>8</v>
      </c>
      <c r="M19" s="35">
        <v>-1.2726999999999999</v>
      </c>
      <c r="N19">
        <v>11</v>
      </c>
      <c r="O19" s="35"/>
      <c r="Q19" s="36">
        <v>0.27010000000000001</v>
      </c>
      <c r="R19" s="36"/>
      <c r="T19" s="35"/>
      <c r="U19" s="35"/>
      <c r="W19" s="35"/>
      <c r="X19" s="35"/>
      <c r="Z19" s="35"/>
      <c r="AA19" s="35"/>
    </row>
    <row r="20" spans="1:27" x14ac:dyDescent="0.3">
      <c r="A20" t="s">
        <v>533</v>
      </c>
      <c r="B20" t="s">
        <v>457</v>
      </c>
      <c r="C20" t="s">
        <v>439</v>
      </c>
      <c r="D20" t="s">
        <v>436</v>
      </c>
      <c r="E20">
        <v>19</v>
      </c>
      <c r="F20" s="35">
        <v>-7.0761000000000003</v>
      </c>
      <c r="G20" s="35">
        <v>-1.6781999999999999</v>
      </c>
      <c r="H20" s="36">
        <v>0.1116</v>
      </c>
      <c r="I20" s="36">
        <v>0.1421</v>
      </c>
      <c r="J20" s="36">
        <v>-0.3503</v>
      </c>
      <c r="K20" s="35">
        <v>-7.5125000000000002</v>
      </c>
      <c r="L20">
        <v>8</v>
      </c>
      <c r="M20" s="35">
        <v>-0.43640000000000001</v>
      </c>
      <c r="N20">
        <v>11</v>
      </c>
      <c r="O20" s="35"/>
      <c r="Q20" s="36">
        <v>0.1002</v>
      </c>
      <c r="R20" s="36"/>
      <c r="T20" s="35"/>
      <c r="U20" s="35"/>
      <c r="W20" s="35"/>
      <c r="X20" s="35"/>
      <c r="Z20" s="35"/>
      <c r="AA20" s="35"/>
    </row>
    <row r="21" spans="1:27" x14ac:dyDescent="0.3">
      <c r="A21" t="s">
        <v>533</v>
      </c>
      <c r="B21" t="s">
        <v>536</v>
      </c>
      <c r="C21" t="s">
        <v>435</v>
      </c>
      <c r="D21" t="s">
        <v>436</v>
      </c>
      <c r="E21">
        <v>20</v>
      </c>
      <c r="F21" s="35">
        <v>1.1265000000000001</v>
      </c>
      <c r="G21" s="35">
        <v>0.72970000000000002</v>
      </c>
      <c r="H21" s="36">
        <v>0.47499999999999998</v>
      </c>
      <c r="I21" s="36">
        <v>2.87E-2</v>
      </c>
      <c r="J21" s="36">
        <v>1.5800000000000002E-2</v>
      </c>
      <c r="K21" s="35"/>
      <c r="M21" s="35"/>
      <c r="O21" s="35"/>
      <c r="Q21" s="36"/>
      <c r="R21" s="36"/>
      <c r="T21" s="35"/>
      <c r="U21" s="35"/>
      <c r="W21" s="35"/>
      <c r="X21" s="35"/>
      <c r="Z21" s="35"/>
      <c r="AA21" s="35"/>
    </row>
    <row r="22" spans="1:27" x14ac:dyDescent="0.3">
      <c r="A22" t="s">
        <v>533</v>
      </c>
      <c r="B22" t="s">
        <v>536</v>
      </c>
      <c r="C22" t="s">
        <v>437</v>
      </c>
      <c r="D22" t="s">
        <v>436</v>
      </c>
      <c r="E22">
        <v>20</v>
      </c>
      <c r="F22" s="35">
        <v>1.1850000000000001</v>
      </c>
      <c r="G22" s="35">
        <v>0.80740000000000001</v>
      </c>
      <c r="H22" s="36">
        <v>0.43</v>
      </c>
      <c r="I22" s="36">
        <v>3.49E-2</v>
      </c>
      <c r="J22" s="36">
        <v>3.9100000000000003E-2</v>
      </c>
      <c r="K22" s="35"/>
      <c r="M22" s="35"/>
      <c r="O22" s="35"/>
      <c r="Q22" s="36"/>
      <c r="R22" s="36"/>
      <c r="T22" s="35"/>
      <c r="U22" s="35"/>
      <c r="W22" s="35"/>
      <c r="X22" s="35"/>
      <c r="Z22" s="35"/>
      <c r="AA22" s="35"/>
    </row>
    <row r="23" spans="1:27" x14ac:dyDescent="0.3">
      <c r="A23" t="s">
        <v>533</v>
      </c>
      <c r="B23" t="s">
        <v>536</v>
      </c>
      <c r="C23" t="s">
        <v>438</v>
      </c>
      <c r="D23" t="s">
        <v>436</v>
      </c>
      <c r="E23">
        <v>20</v>
      </c>
      <c r="F23" s="35">
        <v>-2.3410000000000002</v>
      </c>
      <c r="G23" s="35">
        <v>-1.4675</v>
      </c>
      <c r="H23" s="36">
        <v>0.1595</v>
      </c>
      <c r="I23" s="36">
        <v>0.1069</v>
      </c>
      <c r="J23" s="36">
        <v>-0.34289999999999998</v>
      </c>
      <c r="K23" s="35"/>
      <c r="M23" s="35"/>
      <c r="O23" s="35"/>
      <c r="Q23" s="36"/>
      <c r="R23" s="36"/>
      <c r="T23" s="35"/>
      <c r="U23" s="35"/>
      <c r="W23" s="35"/>
      <c r="X23" s="35"/>
      <c r="Z23" s="35"/>
      <c r="AA23" s="35"/>
    </row>
    <row r="24" spans="1:27" x14ac:dyDescent="0.3">
      <c r="A24" t="s">
        <v>533</v>
      </c>
      <c r="B24" t="s">
        <v>536</v>
      </c>
      <c r="C24" t="s">
        <v>439</v>
      </c>
      <c r="D24" t="s">
        <v>436</v>
      </c>
      <c r="E24">
        <v>20</v>
      </c>
      <c r="F24" s="35">
        <v>-0.75790000000000002</v>
      </c>
      <c r="G24" s="35">
        <v>-0.4652</v>
      </c>
      <c r="H24" s="36">
        <v>0.64739999999999998</v>
      </c>
      <c r="I24" s="36">
        <v>1.1900000000000001E-2</v>
      </c>
      <c r="J24" s="36">
        <v>-0.15720000000000001</v>
      </c>
      <c r="K24" s="35"/>
      <c r="M24" s="35"/>
      <c r="O24" s="35"/>
      <c r="Q24" s="36"/>
      <c r="R24" s="36"/>
      <c r="T24" s="35"/>
      <c r="U24" s="35"/>
      <c r="W24" s="35"/>
      <c r="X24" s="35"/>
      <c r="Z24" s="35"/>
      <c r="AA24" s="35"/>
    </row>
    <row r="25" spans="1:27" x14ac:dyDescent="0.3">
      <c r="A25" t="s">
        <v>537</v>
      </c>
      <c r="B25" t="s">
        <v>538</v>
      </c>
      <c r="C25" t="s">
        <v>435</v>
      </c>
      <c r="D25" t="s">
        <v>436</v>
      </c>
      <c r="E25">
        <v>20</v>
      </c>
      <c r="F25" s="35">
        <v>1.409</v>
      </c>
      <c r="G25" s="35">
        <v>1.111</v>
      </c>
      <c r="H25" s="36">
        <v>0.28120000000000001</v>
      </c>
      <c r="I25" s="36">
        <v>6.4199999999999993E-2</v>
      </c>
      <c r="J25" s="36">
        <v>0.29370000000000002</v>
      </c>
      <c r="K25" s="35"/>
      <c r="M25" s="35"/>
      <c r="O25" s="35"/>
      <c r="Q25" s="36"/>
      <c r="R25" s="36"/>
      <c r="T25" s="35"/>
      <c r="U25" s="35"/>
      <c r="W25" s="35"/>
      <c r="X25" s="35"/>
      <c r="Z25" s="35"/>
      <c r="AA25" s="35"/>
    </row>
    <row r="26" spans="1:27" x14ac:dyDescent="0.3">
      <c r="A26" t="s">
        <v>537</v>
      </c>
      <c r="B26" t="s">
        <v>538</v>
      </c>
      <c r="C26" t="s">
        <v>437</v>
      </c>
      <c r="D26" t="s">
        <v>436</v>
      </c>
      <c r="E26">
        <v>20</v>
      </c>
      <c r="F26" s="35">
        <v>1.4138999999999999</v>
      </c>
      <c r="G26" s="35">
        <v>1.1600999999999999</v>
      </c>
      <c r="H26" s="36">
        <v>0.26119999999999999</v>
      </c>
      <c r="I26" s="36">
        <v>6.9599999999999995E-2</v>
      </c>
      <c r="J26" s="36">
        <v>0.30940000000000001</v>
      </c>
      <c r="K26" s="35"/>
      <c r="M26" s="35"/>
      <c r="O26" s="35"/>
      <c r="Q26" s="36"/>
      <c r="R26" s="36"/>
      <c r="T26" s="35"/>
      <c r="U26" s="35"/>
      <c r="W26" s="35"/>
      <c r="X26" s="35"/>
      <c r="Z26" s="35"/>
      <c r="AA26" s="35"/>
    </row>
    <row r="27" spans="1:27" x14ac:dyDescent="0.3">
      <c r="A27" t="s">
        <v>537</v>
      </c>
      <c r="B27" t="s">
        <v>538</v>
      </c>
      <c r="C27" t="s">
        <v>438</v>
      </c>
      <c r="D27" t="s">
        <v>436</v>
      </c>
      <c r="E27">
        <v>20</v>
      </c>
      <c r="F27" s="35">
        <v>1.17E-2</v>
      </c>
      <c r="G27" s="35">
        <v>8.8999999999999999E-3</v>
      </c>
      <c r="H27" s="36">
        <v>0.99299999999999999</v>
      </c>
      <c r="I27" s="36">
        <v>0</v>
      </c>
      <c r="J27" s="36">
        <v>7.5800000000000006E-2</v>
      </c>
      <c r="K27" s="35"/>
      <c r="M27" s="35"/>
      <c r="O27" s="35"/>
      <c r="Q27" s="36"/>
      <c r="R27" s="36"/>
      <c r="T27" s="35"/>
      <c r="U27" s="35"/>
      <c r="W27" s="35"/>
      <c r="X27" s="35"/>
      <c r="Z27" s="35"/>
      <c r="AA27" s="35"/>
    </row>
    <row r="28" spans="1:27" x14ac:dyDescent="0.3">
      <c r="A28" t="s">
        <v>537</v>
      </c>
      <c r="B28" t="s">
        <v>538</v>
      </c>
      <c r="C28" t="s">
        <v>439</v>
      </c>
      <c r="D28" t="s">
        <v>436</v>
      </c>
      <c r="E28">
        <v>20</v>
      </c>
      <c r="F28" s="35">
        <v>0.81489999999999996</v>
      </c>
      <c r="G28" s="35">
        <v>0.61299999999999999</v>
      </c>
      <c r="H28" s="36">
        <v>0.54749999999999999</v>
      </c>
      <c r="I28" s="36">
        <v>2.0400000000000001E-2</v>
      </c>
      <c r="J28" s="36">
        <v>0.1358</v>
      </c>
      <c r="K28" s="35"/>
      <c r="M28" s="35"/>
      <c r="O28" s="35"/>
      <c r="Q28" s="36"/>
      <c r="R28" s="36"/>
      <c r="T28" s="35"/>
      <c r="U28" s="35"/>
      <c r="W28" s="35"/>
      <c r="X28" s="35"/>
      <c r="Z28" s="35"/>
      <c r="AA28" s="35"/>
    </row>
    <row r="29" spans="1:27" x14ac:dyDescent="0.3">
      <c r="A29" t="s">
        <v>537</v>
      </c>
      <c r="B29" t="s">
        <v>539</v>
      </c>
      <c r="C29" t="s">
        <v>435</v>
      </c>
      <c r="D29" t="s">
        <v>436</v>
      </c>
      <c r="E29">
        <v>17</v>
      </c>
      <c r="F29" s="35">
        <v>2.9605000000000001</v>
      </c>
      <c r="G29" s="35">
        <v>1.0468</v>
      </c>
      <c r="H29" s="36">
        <v>0.31180000000000002</v>
      </c>
      <c r="I29" s="36">
        <v>6.8099999999999994E-2</v>
      </c>
      <c r="J29" s="36">
        <v>0.29139999999999999</v>
      </c>
      <c r="K29" s="35">
        <v>-1.8667</v>
      </c>
      <c r="L29">
        <v>3</v>
      </c>
      <c r="M29" s="35">
        <v>4.1333000000000002</v>
      </c>
      <c r="N29">
        <v>6</v>
      </c>
      <c r="O29" s="35">
        <v>-4.9874999999999998</v>
      </c>
      <c r="P29">
        <v>8</v>
      </c>
      <c r="Q29" s="36">
        <v>0.86609999999999998</v>
      </c>
      <c r="R29" s="36"/>
      <c r="T29" s="35"/>
      <c r="U29" s="35"/>
      <c r="W29" s="35"/>
      <c r="X29" s="35"/>
      <c r="Z29" s="35"/>
      <c r="AA29" s="35"/>
    </row>
    <row r="30" spans="1:27" x14ac:dyDescent="0.3">
      <c r="A30" t="s">
        <v>537</v>
      </c>
      <c r="B30" t="s">
        <v>539</v>
      </c>
      <c r="C30" t="s">
        <v>437</v>
      </c>
      <c r="D30" t="s">
        <v>436</v>
      </c>
      <c r="E30">
        <v>17</v>
      </c>
      <c r="F30" s="35">
        <v>3.1574</v>
      </c>
      <c r="G30" s="35">
        <v>1.1718</v>
      </c>
      <c r="H30" s="36">
        <v>0.2596</v>
      </c>
      <c r="I30" s="36">
        <v>8.3900000000000002E-2</v>
      </c>
      <c r="J30" s="36">
        <v>0.33379999999999999</v>
      </c>
      <c r="K30" s="35">
        <v>-1.7</v>
      </c>
      <c r="L30">
        <v>3</v>
      </c>
      <c r="M30" s="35">
        <v>3.35</v>
      </c>
      <c r="N30">
        <v>6</v>
      </c>
      <c r="O30" s="35">
        <v>-5.45</v>
      </c>
      <c r="P30">
        <v>8</v>
      </c>
      <c r="Q30" s="36">
        <v>0.99639999999999995</v>
      </c>
      <c r="R30" s="36"/>
      <c r="T30" s="35"/>
      <c r="U30" s="35"/>
      <c r="W30" s="35"/>
      <c r="X30" s="35"/>
      <c r="Z30" s="35"/>
      <c r="AA30" s="35"/>
    </row>
    <row r="31" spans="1:27" x14ac:dyDescent="0.3">
      <c r="A31" t="s">
        <v>537</v>
      </c>
      <c r="B31" t="s">
        <v>539</v>
      </c>
      <c r="C31" t="s">
        <v>438</v>
      </c>
      <c r="D31" t="s">
        <v>436</v>
      </c>
      <c r="E31">
        <v>17</v>
      </c>
      <c r="F31" s="35">
        <v>-0.32040000000000002</v>
      </c>
      <c r="G31" s="35">
        <v>-0.1386</v>
      </c>
      <c r="H31" s="36">
        <v>0.89159999999999995</v>
      </c>
      <c r="I31" s="36">
        <v>1.2999999999999999E-3</v>
      </c>
      <c r="J31" s="36">
        <v>6.6500000000000004E-2</v>
      </c>
      <c r="K31" s="35">
        <v>-9.6333000000000002</v>
      </c>
      <c r="L31">
        <v>3</v>
      </c>
      <c r="M31" s="35">
        <v>0.38329999999999997</v>
      </c>
      <c r="N31">
        <v>6</v>
      </c>
      <c r="O31" s="35">
        <v>-5.9625000000000004</v>
      </c>
      <c r="P31">
        <v>8</v>
      </c>
      <c r="Q31" s="36">
        <v>0.23019999999999999</v>
      </c>
      <c r="R31" s="36"/>
      <c r="T31" s="35"/>
      <c r="U31" s="35"/>
      <c r="W31" s="35"/>
      <c r="X31" s="35"/>
      <c r="Z31" s="35"/>
      <c r="AA31" s="35"/>
    </row>
    <row r="32" spans="1:27" x14ac:dyDescent="0.3">
      <c r="A32" t="s">
        <v>537</v>
      </c>
      <c r="B32" t="s">
        <v>539</v>
      </c>
      <c r="C32" t="s">
        <v>439</v>
      </c>
      <c r="D32" t="s">
        <v>436</v>
      </c>
      <c r="E32">
        <v>17</v>
      </c>
      <c r="F32" s="35">
        <v>2.0394999999999999</v>
      </c>
      <c r="G32" s="35">
        <v>0.80430000000000001</v>
      </c>
      <c r="H32" s="36">
        <v>0.43380000000000002</v>
      </c>
      <c r="I32" s="36">
        <v>4.1300000000000003E-2</v>
      </c>
      <c r="J32" s="36">
        <v>0.14499999999999999</v>
      </c>
      <c r="K32" s="35">
        <v>-6.3333000000000004</v>
      </c>
      <c r="L32">
        <v>3</v>
      </c>
      <c r="M32" s="35">
        <v>0.66669999999999996</v>
      </c>
      <c r="N32">
        <v>6</v>
      </c>
      <c r="O32" s="35">
        <v>-7.5875000000000004</v>
      </c>
      <c r="P32">
        <v>8</v>
      </c>
      <c r="Q32" s="36">
        <v>0.48649999999999999</v>
      </c>
      <c r="R32" s="36"/>
      <c r="T32" s="35"/>
      <c r="U32" s="35"/>
      <c r="W32" s="35"/>
      <c r="X32" s="35"/>
      <c r="Z32" s="35"/>
      <c r="AA32" s="35"/>
    </row>
    <row r="33" spans="1:27" x14ac:dyDescent="0.3">
      <c r="A33" t="s">
        <v>540</v>
      </c>
      <c r="B33" t="s">
        <v>541</v>
      </c>
      <c r="C33" t="s">
        <v>435</v>
      </c>
      <c r="D33" t="s">
        <v>436</v>
      </c>
      <c r="E33">
        <v>20</v>
      </c>
      <c r="F33" s="35">
        <v>0.37490000000000001</v>
      </c>
      <c r="G33" s="35">
        <v>0.17030000000000001</v>
      </c>
      <c r="H33" s="36">
        <v>0.86670000000000003</v>
      </c>
      <c r="I33" s="36">
        <v>1.6000000000000001E-3</v>
      </c>
      <c r="J33" s="36">
        <v>7.3200000000000001E-2</v>
      </c>
      <c r="K33" s="35">
        <v>0.45</v>
      </c>
      <c r="L33">
        <v>8</v>
      </c>
      <c r="M33" s="35">
        <v>4.5999999999999996</v>
      </c>
      <c r="N33">
        <v>1</v>
      </c>
      <c r="O33" s="35">
        <v>-0.2273</v>
      </c>
      <c r="P33">
        <v>11</v>
      </c>
      <c r="Q33" s="36">
        <v>0.94699999999999995</v>
      </c>
      <c r="R33" s="36"/>
      <c r="T33" s="35"/>
      <c r="U33" s="35"/>
      <c r="W33" s="35"/>
      <c r="X33" s="35"/>
      <c r="Z33" s="35"/>
      <c r="AA33" s="35"/>
    </row>
    <row r="34" spans="1:27" x14ac:dyDescent="0.3">
      <c r="A34" t="s">
        <v>540</v>
      </c>
      <c r="B34" t="s">
        <v>541</v>
      </c>
      <c r="C34" t="s">
        <v>437</v>
      </c>
      <c r="D34" t="s">
        <v>436</v>
      </c>
      <c r="E34">
        <v>20</v>
      </c>
      <c r="F34" s="35">
        <v>0.37169999999999997</v>
      </c>
      <c r="G34" s="35">
        <v>0.1774</v>
      </c>
      <c r="H34" s="36">
        <v>0.86119999999999997</v>
      </c>
      <c r="I34" s="36">
        <v>1.6999999999999999E-3</v>
      </c>
      <c r="J34" s="36">
        <v>0.12839999999999999</v>
      </c>
      <c r="K34" s="35">
        <v>-0.2</v>
      </c>
      <c r="L34">
        <v>8</v>
      </c>
      <c r="M34" s="35">
        <v>4.4000000000000004</v>
      </c>
      <c r="N34">
        <v>1</v>
      </c>
      <c r="O34" s="35">
        <v>-0.86360000000000003</v>
      </c>
      <c r="P34">
        <v>11</v>
      </c>
      <c r="Q34" s="36">
        <v>0.95340000000000003</v>
      </c>
      <c r="R34" s="36"/>
      <c r="T34" s="35"/>
      <c r="U34" s="35"/>
      <c r="W34" s="35"/>
      <c r="X34" s="35"/>
      <c r="Z34" s="35"/>
      <c r="AA34" s="35"/>
    </row>
    <row r="35" spans="1:27" x14ac:dyDescent="0.3">
      <c r="A35" t="s">
        <v>540</v>
      </c>
      <c r="B35" t="s">
        <v>541</v>
      </c>
      <c r="C35" t="s">
        <v>438</v>
      </c>
      <c r="D35" t="s">
        <v>436</v>
      </c>
      <c r="E35">
        <v>20</v>
      </c>
      <c r="F35" s="35">
        <v>-1.5197000000000001</v>
      </c>
      <c r="G35" s="35">
        <v>-0.68179999999999996</v>
      </c>
      <c r="H35" s="36">
        <v>0.50409999999999999</v>
      </c>
      <c r="I35" s="36">
        <v>2.52E-2</v>
      </c>
      <c r="J35" s="36">
        <v>-0.1104</v>
      </c>
      <c r="K35" s="35">
        <v>-4.7750000000000004</v>
      </c>
      <c r="L35">
        <v>8</v>
      </c>
      <c r="M35" s="35">
        <v>10.3</v>
      </c>
      <c r="N35">
        <v>1</v>
      </c>
      <c r="O35" s="35">
        <v>-1.5182</v>
      </c>
      <c r="P35">
        <v>11</v>
      </c>
      <c r="Q35" s="36">
        <v>0.312</v>
      </c>
      <c r="R35" s="36"/>
      <c r="T35" s="35"/>
      <c r="U35" s="35"/>
      <c r="W35" s="35"/>
      <c r="X35" s="35"/>
      <c r="Z35" s="35"/>
      <c r="AA35" s="35"/>
    </row>
    <row r="36" spans="1:27" x14ac:dyDescent="0.3">
      <c r="A36" t="s">
        <v>540</v>
      </c>
      <c r="B36" t="s">
        <v>541</v>
      </c>
      <c r="C36" t="s">
        <v>439</v>
      </c>
      <c r="D36" t="s">
        <v>436</v>
      </c>
      <c r="E36">
        <v>20</v>
      </c>
      <c r="F36" s="35">
        <v>-0.82289999999999996</v>
      </c>
      <c r="G36" s="35">
        <v>-0.36109999999999998</v>
      </c>
      <c r="H36" s="36">
        <v>0.72219999999999995</v>
      </c>
      <c r="I36" s="36">
        <v>7.1999999999999998E-3</v>
      </c>
      <c r="J36" s="36">
        <v>-5.0099999999999999E-2</v>
      </c>
      <c r="K36" s="35">
        <v>-4.2249999999999996</v>
      </c>
      <c r="L36">
        <v>8</v>
      </c>
      <c r="M36" s="35">
        <v>8.9</v>
      </c>
      <c r="N36">
        <v>1</v>
      </c>
      <c r="O36" s="35">
        <v>-2.3818000000000001</v>
      </c>
      <c r="P36">
        <v>11</v>
      </c>
      <c r="Q36" s="36">
        <v>0.50019999999999998</v>
      </c>
      <c r="R36" s="36"/>
      <c r="T36" s="35"/>
      <c r="U36" s="35"/>
      <c r="W36" s="35"/>
      <c r="X36" s="35"/>
      <c r="Z36" s="35"/>
      <c r="AA36" s="35"/>
    </row>
    <row r="37" spans="1:27" x14ac:dyDescent="0.3">
      <c r="A37" t="s">
        <v>540</v>
      </c>
      <c r="B37" t="s">
        <v>542</v>
      </c>
      <c r="C37" t="s">
        <v>435</v>
      </c>
      <c r="D37" t="s">
        <v>436</v>
      </c>
      <c r="E37">
        <v>18</v>
      </c>
      <c r="F37" s="35">
        <v>0.82479999999999998</v>
      </c>
      <c r="G37" s="35">
        <v>0.8619</v>
      </c>
      <c r="H37" s="36">
        <v>0.40150000000000002</v>
      </c>
      <c r="I37" s="36">
        <v>4.4400000000000002E-2</v>
      </c>
      <c r="J37" s="36">
        <v>-3.3399999999999999E-2</v>
      </c>
      <c r="K37" s="35"/>
      <c r="M37" s="35"/>
      <c r="O37" s="35"/>
      <c r="Q37" s="36"/>
      <c r="R37" s="36"/>
      <c r="T37" s="35"/>
      <c r="U37" s="35"/>
      <c r="W37" s="35"/>
      <c r="X37" s="35"/>
      <c r="Z37" s="35"/>
      <c r="AA37" s="35"/>
    </row>
    <row r="38" spans="1:27" x14ac:dyDescent="0.3">
      <c r="A38" t="s">
        <v>540</v>
      </c>
      <c r="B38" t="s">
        <v>542</v>
      </c>
      <c r="C38" t="s">
        <v>437</v>
      </c>
      <c r="D38" t="s">
        <v>436</v>
      </c>
      <c r="E38">
        <v>18</v>
      </c>
      <c r="F38" s="35">
        <v>0.55230000000000001</v>
      </c>
      <c r="G38" s="35">
        <v>0.60670000000000002</v>
      </c>
      <c r="H38" s="36">
        <v>0.55259999999999998</v>
      </c>
      <c r="I38" s="36">
        <v>2.2499999999999999E-2</v>
      </c>
      <c r="J38" s="36">
        <v>1.6000000000000001E-3</v>
      </c>
      <c r="K38" s="35"/>
      <c r="M38" s="35"/>
      <c r="O38" s="35"/>
      <c r="Q38" s="36"/>
      <c r="R38" s="36"/>
      <c r="T38" s="35"/>
      <c r="U38" s="35"/>
      <c r="W38" s="35"/>
      <c r="X38" s="35"/>
      <c r="Z38" s="35"/>
      <c r="AA38" s="35"/>
    </row>
    <row r="39" spans="1:27" x14ac:dyDescent="0.3">
      <c r="A39" t="s">
        <v>540</v>
      </c>
      <c r="B39" t="s">
        <v>542</v>
      </c>
      <c r="C39" t="s">
        <v>438</v>
      </c>
      <c r="D39" t="s">
        <v>436</v>
      </c>
      <c r="E39">
        <v>18</v>
      </c>
      <c r="F39" s="35">
        <v>-1.8572</v>
      </c>
      <c r="G39" s="35">
        <v>-2.0261</v>
      </c>
      <c r="H39" s="36">
        <v>5.9799999999999999E-2</v>
      </c>
      <c r="I39" s="36">
        <v>0.20419999999999999</v>
      </c>
      <c r="J39" s="36">
        <v>-0.39550000000000002</v>
      </c>
      <c r="K39" s="35"/>
      <c r="M39" s="35"/>
      <c r="O39" s="35"/>
      <c r="Q39" s="36"/>
      <c r="R39" s="36"/>
      <c r="T39" s="35"/>
      <c r="U39" s="35"/>
      <c r="W39" s="35"/>
      <c r="X39" s="35"/>
      <c r="Z39" s="35"/>
      <c r="AA39" s="35"/>
    </row>
    <row r="40" spans="1:27" x14ac:dyDescent="0.3">
      <c r="A40" t="s">
        <v>540</v>
      </c>
      <c r="B40" t="s">
        <v>542</v>
      </c>
      <c r="C40" t="s">
        <v>439</v>
      </c>
      <c r="D40" t="s">
        <v>436</v>
      </c>
      <c r="E40">
        <v>18</v>
      </c>
      <c r="F40" s="35">
        <v>-1.1902999999999999</v>
      </c>
      <c r="G40" s="35">
        <v>-1.2099</v>
      </c>
      <c r="H40" s="36">
        <v>0.24390000000000001</v>
      </c>
      <c r="I40" s="36">
        <v>8.3799999999999999E-2</v>
      </c>
      <c r="J40" s="36">
        <v>-0.2621</v>
      </c>
      <c r="K40" s="35"/>
      <c r="M40" s="35"/>
      <c r="O40" s="35"/>
      <c r="Q40" s="36"/>
      <c r="R40" s="36"/>
      <c r="T40" s="35"/>
      <c r="U40" s="35"/>
      <c r="W40" s="35"/>
      <c r="X40" s="35"/>
      <c r="Z40" s="35"/>
      <c r="AA40" s="35"/>
    </row>
    <row r="41" spans="1:27" x14ac:dyDescent="0.3">
      <c r="A41" t="s">
        <v>543</v>
      </c>
      <c r="B41" t="s">
        <v>541</v>
      </c>
      <c r="C41" t="s">
        <v>435</v>
      </c>
      <c r="D41" t="s">
        <v>436</v>
      </c>
      <c r="E41">
        <v>19</v>
      </c>
      <c r="F41" s="35">
        <v>-1.6916</v>
      </c>
      <c r="G41" s="35">
        <v>-0.63759999999999994</v>
      </c>
      <c r="H41" s="36">
        <v>0.5323</v>
      </c>
      <c r="I41" s="36">
        <v>2.3400000000000001E-2</v>
      </c>
      <c r="J41" s="36">
        <v>-0.15329999999999999</v>
      </c>
      <c r="K41" s="35">
        <v>-1.9221999999999999</v>
      </c>
      <c r="L41">
        <v>9</v>
      </c>
      <c r="M41" s="35">
        <v>3.34</v>
      </c>
      <c r="N41">
        <v>5</v>
      </c>
      <c r="O41" s="35">
        <v>0.84</v>
      </c>
      <c r="P41">
        <v>5</v>
      </c>
      <c r="Q41" s="36">
        <v>0.36870000000000003</v>
      </c>
      <c r="R41" s="36"/>
      <c r="T41" s="35"/>
      <c r="U41" s="35"/>
      <c r="W41" s="35"/>
      <c r="X41" s="35"/>
      <c r="Z41" s="35"/>
      <c r="AA41" s="35"/>
    </row>
    <row r="42" spans="1:27" x14ac:dyDescent="0.3">
      <c r="A42" t="s">
        <v>543</v>
      </c>
      <c r="B42" t="s">
        <v>541</v>
      </c>
      <c r="C42" t="s">
        <v>437</v>
      </c>
      <c r="D42" t="s">
        <v>436</v>
      </c>
      <c r="E42">
        <v>19</v>
      </c>
      <c r="F42" s="35">
        <v>-1.6108</v>
      </c>
      <c r="G42" s="35">
        <v>-0.63770000000000004</v>
      </c>
      <c r="H42" s="36">
        <v>0.53220000000000001</v>
      </c>
      <c r="I42" s="36">
        <v>2.3400000000000001E-2</v>
      </c>
      <c r="J42" s="36">
        <v>-9.6500000000000002E-2</v>
      </c>
      <c r="K42" s="35">
        <v>-2.2111000000000001</v>
      </c>
      <c r="L42">
        <v>9</v>
      </c>
      <c r="M42" s="35">
        <v>1.76</v>
      </c>
      <c r="N42">
        <v>5</v>
      </c>
      <c r="O42" s="35">
        <v>0.6</v>
      </c>
      <c r="P42">
        <v>5</v>
      </c>
      <c r="Q42" s="36">
        <v>0.42620000000000002</v>
      </c>
      <c r="R42" s="36"/>
      <c r="T42" s="35"/>
      <c r="U42" s="35"/>
      <c r="W42" s="35"/>
      <c r="X42" s="35"/>
      <c r="Z42" s="35"/>
      <c r="AA42" s="35"/>
    </row>
    <row r="43" spans="1:27" x14ac:dyDescent="0.3">
      <c r="A43" t="s">
        <v>543</v>
      </c>
      <c r="B43" t="s">
        <v>541</v>
      </c>
      <c r="C43" t="s">
        <v>438</v>
      </c>
      <c r="D43" t="s">
        <v>436</v>
      </c>
      <c r="E43">
        <v>19</v>
      </c>
      <c r="F43" s="35">
        <v>0.42520000000000002</v>
      </c>
      <c r="G43" s="35">
        <v>0.1537</v>
      </c>
      <c r="H43" s="36">
        <v>0.87960000000000005</v>
      </c>
      <c r="I43" s="36">
        <v>1.4E-3</v>
      </c>
      <c r="J43" s="36">
        <v>-7.3800000000000004E-2</v>
      </c>
      <c r="K43" s="35">
        <v>-3.4</v>
      </c>
      <c r="L43">
        <v>9</v>
      </c>
      <c r="M43" s="35">
        <v>-2.62</v>
      </c>
      <c r="N43">
        <v>5</v>
      </c>
      <c r="O43" s="35">
        <v>-4.46</v>
      </c>
      <c r="P43">
        <v>5</v>
      </c>
      <c r="Q43" s="36">
        <v>0.97640000000000005</v>
      </c>
      <c r="R43" s="36"/>
      <c r="T43" s="35"/>
      <c r="U43" s="35"/>
      <c r="W43" s="35"/>
      <c r="X43" s="35"/>
      <c r="Z43" s="35"/>
      <c r="AA43" s="35"/>
    </row>
    <row r="44" spans="1:27" x14ac:dyDescent="0.3">
      <c r="A44" t="s">
        <v>543</v>
      </c>
      <c r="B44" t="s">
        <v>541</v>
      </c>
      <c r="C44" t="s">
        <v>439</v>
      </c>
      <c r="D44" t="s">
        <v>436</v>
      </c>
      <c r="E44">
        <v>19</v>
      </c>
      <c r="F44" s="35">
        <v>-3.9600000000000003E-2</v>
      </c>
      <c r="G44" s="35">
        <v>-1.46E-2</v>
      </c>
      <c r="H44" s="36">
        <v>0.98850000000000005</v>
      </c>
      <c r="I44" s="36">
        <v>0</v>
      </c>
      <c r="J44" s="36">
        <v>-6.5299999999999997E-2</v>
      </c>
      <c r="K44" s="35">
        <v>-3.7667000000000002</v>
      </c>
      <c r="L44">
        <v>9</v>
      </c>
      <c r="M44" s="35">
        <v>-2.16</v>
      </c>
      <c r="N44">
        <v>5</v>
      </c>
      <c r="O44" s="35">
        <v>-3.96</v>
      </c>
      <c r="P44">
        <v>5</v>
      </c>
      <c r="Q44" s="36">
        <v>0.87780000000000002</v>
      </c>
      <c r="R44" s="36"/>
      <c r="T44" s="35"/>
      <c r="U44" s="35"/>
      <c r="W44" s="35"/>
      <c r="X44" s="35"/>
      <c r="Z44" s="35"/>
      <c r="AA44" s="35"/>
    </row>
    <row r="45" spans="1:27" x14ac:dyDescent="0.3">
      <c r="A45" t="s">
        <v>544</v>
      </c>
      <c r="B45" t="s">
        <v>541</v>
      </c>
      <c r="C45" t="s">
        <v>435</v>
      </c>
      <c r="D45" t="s">
        <v>436</v>
      </c>
      <c r="E45">
        <v>18</v>
      </c>
      <c r="F45" s="35">
        <v>-0.84719999999999995</v>
      </c>
      <c r="G45" s="35">
        <v>-0.31719999999999998</v>
      </c>
      <c r="H45" s="36">
        <v>0.75519999999999998</v>
      </c>
      <c r="I45" s="36">
        <v>6.1999999999999998E-3</v>
      </c>
      <c r="J45" s="36">
        <v>-8.8400000000000006E-2</v>
      </c>
      <c r="K45" s="35">
        <v>-1.47</v>
      </c>
      <c r="L45">
        <v>10</v>
      </c>
      <c r="M45" s="35">
        <v>5.7750000000000004</v>
      </c>
      <c r="N45">
        <v>4</v>
      </c>
      <c r="O45" s="35">
        <v>-1.375</v>
      </c>
      <c r="P45">
        <v>4</v>
      </c>
      <c r="Q45" s="36">
        <v>0.4415</v>
      </c>
      <c r="R45" s="36"/>
      <c r="T45" s="35"/>
      <c r="U45" s="35"/>
      <c r="W45" s="35"/>
      <c r="X45" s="35"/>
      <c r="Z45" s="35"/>
      <c r="AA45" s="35"/>
    </row>
    <row r="46" spans="1:27" x14ac:dyDescent="0.3">
      <c r="A46" t="s">
        <v>544</v>
      </c>
      <c r="B46" t="s">
        <v>541</v>
      </c>
      <c r="C46" t="s">
        <v>437</v>
      </c>
      <c r="D46" t="s">
        <v>436</v>
      </c>
      <c r="E46">
        <v>18</v>
      </c>
      <c r="F46" s="35">
        <v>-1.7250000000000001</v>
      </c>
      <c r="G46" s="35">
        <v>-0.69420000000000004</v>
      </c>
      <c r="H46" s="36">
        <v>0.4975</v>
      </c>
      <c r="I46" s="36">
        <v>2.92E-2</v>
      </c>
      <c r="J46" s="36">
        <v>-0.16750000000000001</v>
      </c>
      <c r="K46" s="35">
        <v>-2.4900000000000002</v>
      </c>
      <c r="L46">
        <v>10</v>
      </c>
      <c r="M46" s="35">
        <v>5.2750000000000004</v>
      </c>
      <c r="N46">
        <v>4</v>
      </c>
      <c r="O46" s="35">
        <v>-0.55000000000000004</v>
      </c>
      <c r="P46">
        <v>4</v>
      </c>
      <c r="Q46" s="36">
        <v>0.27689999999999998</v>
      </c>
      <c r="R46" s="36"/>
      <c r="T46" s="35"/>
      <c r="U46" s="35"/>
      <c r="W46" s="35"/>
      <c r="X46" s="35"/>
      <c r="Z46" s="35"/>
      <c r="AA46" s="35"/>
    </row>
    <row r="47" spans="1:27" x14ac:dyDescent="0.3">
      <c r="A47" t="s">
        <v>544</v>
      </c>
      <c r="B47" t="s">
        <v>541</v>
      </c>
      <c r="C47" t="s">
        <v>438</v>
      </c>
      <c r="D47" t="s">
        <v>436</v>
      </c>
      <c r="E47">
        <v>18</v>
      </c>
      <c r="F47" s="35">
        <v>-0.47220000000000001</v>
      </c>
      <c r="G47" s="35">
        <v>-0.15290000000000001</v>
      </c>
      <c r="H47" s="36">
        <v>0.88039999999999996</v>
      </c>
      <c r="I47" s="36">
        <v>1.5E-3</v>
      </c>
      <c r="J47" s="36">
        <v>-7.1099999999999997E-2</v>
      </c>
      <c r="K47" s="35">
        <v>-5.15</v>
      </c>
      <c r="L47">
        <v>10</v>
      </c>
      <c r="M47" s="35">
        <v>5.8</v>
      </c>
      <c r="N47">
        <v>4</v>
      </c>
      <c r="O47" s="35">
        <v>-6.8250000000000002</v>
      </c>
      <c r="P47">
        <v>4</v>
      </c>
      <c r="Q47" s="36">
        <v>0.38269999999999998</v>
      </c>
      <c r="R47" s="36"/>
      <c r="T47" s="35"/>
      <c r="U47" s="35"/>
      <c r="W47" s="35"/>
      <c r="X47" s="35"/>
      <c r="Z47" s="35"/>
      <c r="AA47" s="35"/>
    </row>
    <row r="48" spans="1:27" x14ac:dyDescent="0.3">
      <c r="A48" t="s">
        <v>544</v>
      </c>
      <c r="B48" t="s">
        <v>541</v>
      </c>
      <c r="C48" t="s">
        <v>439</v>
      </c>
      <c r="D48" t="s">
        <v>436</v>
      </c>
      <c r="E48">
        <v>18</v>
      </c>
      <c r="F48" s="35">
        <v>-2.3639000000000001</v>
      </c>
      <c r="G48" s="35">
        <v>-0.82050000000000001</v>
      </c>
      <c r="H48" s="36">
        <v>0.42399999999999999</v>
      </c>
      <c r="I48" s="36">
        <v>4.0399999999999998E-2</v>
      </c>
      <c r="J48" s="36">
        <v>-0.1837</v>
      </c>
      <c r="K48" s="35">
        <v>-6.08</v>
      </c>
      <c r="L48">
        <v>10</v>
      </c>
      <c r="M48" s="35">
        <v>5.7750000000000004</v>
      </c>
      <c r="N48">
        <v>4</v>
      </c>
      <c r="O48" s="35">
        <v>-3.7250000000000001</v>
      </c>
      <c r="P48">
        <v>4</v>
      </c>
      <c r="Q48" s="36">
        <v>0.14749999999999999</v>
      </c>
      <c r="R48" s="36"/>
      <c r="T48" s="35"/>
      <c r="U48" s="35"/>
      <c r="W48" s="35"/>
      <c r="X48" s="35"/>
      <c r="Z48" s="35"/>
      <c r="AA48" s="35"/>
    </row>
    <row r="49" spans="1:27" x14ac:dyDescent="0.3">
      <c r="A49" t="s">
        <v>545</v>
      </c>
      <c r="B49" t="s">
        <v>546</v>
      </c>
      <c r="C49" t="s">
        <v>435</v>
      </c>
      <c r="D49" t="s">
        <v>436</v>
      </c>
      <c r="E49">
        <v>5</v>
      </c>
      <c r="F49" s="35"/>
      <c r="G49" s="35"/>
      <c r="H49" s="36"/>
      <c r="I49" s="36"/>
      <c r="J49" s="36"/>
      <c r="K49" s="35"/>
      <c r="M49" s="35"/>
      <c r="O49" s="35"/>
      <c r="Q49" s="36"/>
      <c r="R49" s="36"/>
      <c r="T49" s="35"/>
      <c r="U49" s="35"/>
      <c r="W49" s="35"/>
      <c r="X49" s="35"/>
      <c r="Z49" s="35"/>
      <c r="AA49" s="35"/>
    </row>
    <row r="50" spans="1:27" x14ac:dyDescent="0.3">
      <c r="A50" t="s">
        <v>545</v>
      </c>
      <c r="B50" t="s">
        <v>546</v>
      </c>
      <c r="C50" t="s">
        <v>437</v>
      </c>
      <c r="D50" t="s">
        <v>436</v>
      </c>
      <c r="E50">
        <v>5</v>
      </c>
      <c r="F50" s="35"/>
      <c r="G50" s="35"/>
      <c r="H50" s="36"/>
      <c r="I50" s="36"/>
      <c r="J50" s="36"/>
      <c r="K50" s="35"/>
      <c r="M50" s="35"/>
      <c r="O50" s="35"/>
      <c r="Q50" s="36"/>
      <c r="R50" s="36"/>
      <c r="T50" s="35"/>
      <c r="U50" s="35"/>
      <c r="W50" s="35"/>
      <c r="X50" s="35"/>
      <c r="Z50" s="35"/>
      <c r="AA50" s="35"/>
    </row>
    <row r="51" spans="1:27" x14ac:dyDescent="0.3">
      <c r="A51" t="s">
        <v>545</v>
      </c>
      <c r="B51" t="s">
        <v>546</v>
      </c>
      <c r="C51" t="s">
        <v>438</v>
      </c>
      <c r="D51" t="s">
        <v>436</v>
      </c>
      <c r="E51">
        <v>5</v>
      </c>
      <c r="F51" s="35"/>
      <c r="G51" s="35"/>
      <c r="H51" s="36"/>
      <c r="I51" s="36"/>
      <c r="J51" s="36"/>
      <c r="K51" s="35"/>
      <c r="M51" s="35"/>
      <c r="O51" s="35"/>
      <c r="Q51" s="36"/>
      <c r="R51" s="36"/>
      <c r="T51" s="35"/>
      <c r="U51" s="35"/>
      <c r="W51" s="35"/>
      <c r="X51" s="35"/>
      <c r="Z51" s="35"/>
      <c r="AA51" s="35"/>
    </row>
    <row r="52" spans="1:27" x14ac:dyDescent="0.3">
      <c r="A52" t="s">
        <v>545</v>
      </c>
      <c r="B52" t="s">
        <v>546</v>
      </c>
      <c r="C52" t="s">
        <v>439</v>
      </c>
      <c r="D52" t="s">
        <v>436</v>
      </c>
      <c r="E52">
        <v>5</v>
      </c>
      <c r="F52" s="35"/>
      <c r="G52" s="35"/>
      <c r="H52" s="36"/>
      <c r="I52" s="36"/>
      <c r="J52" s="36"/>
      <c r="K52" s="35"/>
      <c r="M52" s="35"/>
      <c r="O52" s="35"/>
      <c r="Q52" s="36"/>
      <c r="R52" s="36"/>
      <c r="T52" s="35"/>
      <c r="U52" s="35"/>
      <c r="W52" s="35"/>
      <c r="X52" s="35"/>
      <c r="Z52" s="35"/>
      <c r="AA52" s="35"/>
    </row>
    <row r="53" spans="1:27" x14ac:dyDescent="0.3">
      <c r="A53" t="s">
        <v>547</v>
      </c>
      <c r="B53" t="s">
        <v>548</v>
      </c>
      <c r="C53" t="s">
        <v>435</v>
      </c>
      <c r="D53" t="s">
        <v>436</v>
      </c>
      <c r="E53">
        <v>20</v>
      </c>
      <c r="F53" s="35">
        <v>-1.7</v>
      </c>
      <c r="G53" s="35">
        <v>-0.30380000000000001</v>
      </c>
      <c r="H53" s="36">
        <v>0.76480000000000004</v>
      </c>
      <c r="I53" s="36">
        <v>5.1000000000000004E-3</v>
      </c>
      <c r="J53" s="36">
        <v>-8.09E-2</v>
      </c>
      <c r="K53" s="35"/>
      <c r="M53" s="35"/>
      <c r="O53" s="35"/>
      <c r="Q53" s="36"/>
      <c r="R53" s="36"/>
      <c r="T53" s="35"/>
      <c r="U53" s="35"/>
      <c r="W53" s="35"/>
      <c r="X53" s="35"/>
      <c r="Z53" s="35"/>
      <c r="AA53" s="35"/>
    </row>
    <row r="54" spans="1:27" x14ac:dyDescent="0.3">
      <c r="A54" t="s">
        <v>547</v>
      </c>
      <c r="B54" t="s">
        <v>548</v>
      </c>
      <c r="C54" t="s">
        <v>437</v>
      </c>
      <c r="D54" t="s">
        <v>436</v>
      </c>
      <c r="E54">
        <v>20</v>
      </c>
      <c r="F54" s="35">
        <v>-1.8882000000000001</v>
      </c>
      <c r="G54" s="35">
        <v>-0.34499999999999997</v>
      </c>
      <c r="H54" s="36">
        <v>0.73409999999999997</v>
      </c>
      <c r="I54" s="36">
        <v>6.6E-3</v>
      </c>
      <c r="J54" s="36">
        <v>-3.9899999999999998E-2</v>
      </c>
      <c r="K54" s="35"/>
      <c r="M54" s="35"/>
      <c r="O54" s="35"/>
      <c r="Q54" s="36"/>
      <c r="R54" s="36"/>
      <c r="T54" s="35"/>
      <c r="U54" s="35"/>
      <c r="W54" s="35"/>
      <c r="X54" s="35"/>
      <c r="Z54" s="35"/>
      <c r="AA54" s="35"/>
    </row>
    <row r="55" spans="1:27" x14ac:dyDescent="0.3">
      <c r="A55" t="s">
        <v>547</v>
      </c>
      <c r="B55" t="s">
        <v>548</v>
      </c>
      <c r="C55" t="s">
        <v>438</v>
      </c>
      <c r="D55" t="s">
        <v>436</v>
      </c>
      <c r="E55">
        <v>20</v>
      </c>
      <c r="F55" s="35">
        <v>5.0490000000000004</v>
      </c>
      <c r="G55" s="35">
        <v>0.83079999999999998</v>
      </c>
      <c r="H55" s="36">
        <v>0.41699999999999998</v>
      </c>
      <c r="I55" s="36">
        <v>3.6900000000000002E-2</v>
      </c>
      <c r="J55" s="36">
        <v>0.1867</v>
      </c>
      <c r="K55" s="35"/>
      <c r="M55" s="35"/>
      <c r="O55" s="35"/>
      <c r="Q55" s="36"/>
      <c r="R55" s="36"/>
      <c r="T55" s="35"/>
      <c r="U55" s="35"/>
      <c r="W55" s="35"/>
      <c r="X55" s="35"/>
      <c r="Z55" s="35"/>
      <c r="AA55" s="35"/>
    </row>
    <row r="56" spans="1:27" x14ac:dyDescent="0.3">
      <c r="A56" t="s">
        <v>547</v>
      </c>
      <c r="B56" t="s">
        <v>548</v>
      </c>
      <c r="C56" t="s">
        <v>439</v>
      </c>
      <c r="D56" t="s">
        <v>436</v>
      </c>
      <c r="E56">
        <v>20</v>
      </c>
      <c r="F56" s="35">
        <v>2.4548999999999999</v>
      </c>
      <c r="G56" s="35">
        <v>0.41270000000000001</v>
      </c>
      <c r="H56" s="36">
        <v>0.68469999999999998</v>
      </c>
      <c r="I56" s="36">
        <v>9.4000000000000004E-3</v>
      </c>
      <c r="J56" s="36">
        <v>0.17799999999999999</v>
      </c>
      <c r="K56" s="35"/>
      <c r="M56" s="35"/>
      <c r="O56" s="35"/>
      <c r="Q56" s="36"/>
      <c r="R56" s="36"/>
      <c r="T56" s="35"/>
      <c r="U56" s="35"/>
      <c r="W56" s="35"/>
      <c r="X56" s="35"/>
      <c r="Z56" s="35"/>
      <c r="AA56" s="35"/>
    </row>
    <row r="57" spans="1:27" x14ac:dyDescent="0.3">
      <c r="A57" t="s">
        <v>547</v>
      </c>
      <c r="B57" t="s">
        <v>549</v>
      </c>
      <c r="C57" t="s">
        <v>435</v>
      </c>
      <c r="D57" t="s">
        <v>436</v>
      </c>
      <c r="E57">
        <v>20</v>
      </c>
      <c r="F57" s="35">
        <v>0.16250000000000001</v>
      </c>
      <c r="G57" s="35">
        <v>3.2399999999999998E-2</v>
      </c>
      <c r="H57" s="36">
        <v>0.97450000000000003</v>
      </c>
      <c r="I57" s="36">
        <v>1E-4</v>
      </c>
      <c r="J57" s="36">
        <v>-6.5000000000000002E-2</v>
      </c>
      <c r="K57" s="35">
        <v>1.425</v>
      </c>
      <c r="L57">
        <v>4</v>
      </c>
      <c r="M57" s="35">
        <v>1.2625</v>
      </c>
      <c r="N57">
        <v>16</v>
      </c>
      <c r="O57" s="35"/>
      <c r="Q57" s="36">
        <v>0.9798</v>
      </c>
      <c r="R57" s="36"/>
      <c r="T57" s="35"/>
      <c r="U57" s="35"/>
      <c r="W57" s="35"/>
      <c r="X57" s="35"/>
      <c r="Z57" s="35"/>
      <c r="AA57" s="35"/>
    </row>
    <row r="58" spans="1:27" x14ac:dyDescent="0.3">
      <c r="A58" t="s">
        <v>547</v>
      </c>
      <c r="B58" t="s">
        <v>549</v>
      </c>
      <c r="C58" t="s">
        <v>437</v>
      </c>
      <c r="D58" t="s">
        <v>436</v>
      </c>
      <c r="E58">
        <v>20</v>
      </c>
      <c r="F58" s="35">
        <v>0.43120000000000003</v>
      </c>
      <c r="G58" s="35">
        <v>8.7999999999999995E-2</v>
      </c>
      <c r="H58" s="36">
        <v>0.93089999999999995</v>
      </c>
      <c r="I58" s="36">
        <v>4.0000000000000002E-4</v>
      </c>
      <c r="J58" s="36">
        <v>-2.1700000000000001E-2</v>
      </c>
      <c r="K58" s="35">
        <v>0.75</v>
      </c>
      <c r="L58">
        <v>4</v>
      </c>
      <c r="M58" s="35">
        <v>0.31869999999999998</v>
      </c>
      <c r="N58">
        <v>16</v>
      </c>
      <c r="O58" s="35"/>
      <c r="Q58" s="36">
        <v>0.94540000000000002</v>
      </c>
      <c r="R58" s="36"/>
      <c r="T58" s="35"/>
      <c r="U58" s="35"/>
      <c r="W58" s="35"/>
      <c r="X58" s="35"/>
      <c r="Z58" s="35"/>
      <c r="AA58" s="35"/>
    </row>
    <row r="59" spans="1:27" x14ac:dyDescent="0.3">
      <c r="A59" t="s">
        <v>547</v>
      </c>
      <c r="B59" t="s">
        <v>549</v>
      </c>
      <c r="C59" t="s">
        <v>438</v>
      </c>
      <c r="D59" t="s">
        <v>436</v>
      </c>
      <c r="E59">
        <v>20</v>
      </c>
      <c r="F59" s="35">
        <v>7.2812999999999999</v>
      </c>
      <c r="G59" s="35">
        <v>1.3855999999999999</v>
      </c>
      <c r="H59" s="36">
        <v>0.18279999999999999</v>
      </c>
      <c r="I59" s="36">
        <v>9.64E-2</v>
      </c>
      <c r="J59" s="36">
        <v>0.19520000000000001</v>
      </c>
      <c r="K59" s="35">
        <v>3.1</v>
      </c>
      <c r="L59">
        <v>4</v>
      </c>
      <c r="M59" s="35">
        <v>-4.1811999999999996</v>
      </c>
      <c r="N59">
        <v>16</v>
      </c>
      <c r="O59" s="35"/>
      <c r="Q59" s="36">
        <v>0.36009999999999998</v>
      </c>
      <c r="R59" s="36"/>
      <c r="T59" s="35"/>
      <c r="U59" s="35"/>
      <c r="W59" s="35"/>
      <c r="X59" s="35"/>
      <c r="Z59" s="35"/>
      <c r="AA59" s="35"/>
    </row>
    <row r="60" spans="1:27" x14ac:dyDescent="0.3">
      <c r="A60" t="s">
        <v>547</v>
      </c>
      <c r="B60" t="s">
        <v>549</v>
      </c>
      <c r="C60" t="s">
        <v>439</v>
      </c>
      <c r="D60" t="s">
        <v>436</v>
      </c>
      <c r="E60">
        <v>20</v>
      </c>
      <c r="F60" s="35">
        <v>5.8375000000000004</v>
      </c>
      <c r="G60" s="35">
        <v>1.1324000000000001</v>
      </c>
      <c r="H60" s="36">
        <v>0.27229999999999999</v>
      </c>
      <c r="I60" s="36">
        <v>6.6500000000000004E-2</v>
      </c>
      <c r="J60" s="36">
        <v>0.1951</v>
      </c>
      <c r="K60" s="35">
        <v>1.75</v>
      </c>
      <c r="L60">
        <v>4</v>
      </c>
      <c r="M60" s="35">
        <v>-4.0875000000000004</v>
      </c>
      <c r="N60">
        <v>16</v>
      </c>
      <c r="O60" s="35"/>
      <c r="Q60" s="36">
        <v>0.42959999999999998</v>
      </c>
      <c r="R60" s="36"/>
      <c r="T60" s="35"/>
      <c r="U60" s="35"/>
      <c r="W60" s="35"/>
      <c r="X60" s="35"/>
      <c r="Z60" s="35"/>
      <c r="AA60" s="35"/>
    </row>
    <row r="61" spans="1:27" x14ac:dyDescent="0.3">
      <c r="A61" t="s">
        <v>547</v>
      </c>
      <c r="B61" t="s">
        <v>550</v>
      </c>
      <c r="C61" t="s">
        <v>435</v>
      </c>
      <c r="D61" t="s">
        <v>436</v>
      </c>
      <c r="E61">
        <v>10</v>
      </c>
      <c r="F61" s="35">
        <v>6.0606999999999998</v>
      </c>
      <c r="G61" s="35">
        <v>1.6756</v>
      </c>
      <c r="H61" s="36">
        <v>0.1323</v>
      </c>
      <c r="I61" s="36">
        <v>0.25979999999999998</v>
      </c>
      <c r="J61" s="36">
        <v>0.1056</v>
      </c>
      <c r="K61" s="35"/>
      <c r="M61" s="35"/>
      <c r="O61" s="35"/>
      <c r="Q61" s="36"/>
      <c r="R61" s="36"/>
      <c r="T61" s="35"/>
      <c r="U61" s="35"/>
      <c r="W61" s="35"/>
      <c r="X61" s="35"/>
      <c r="Z61" s="35"/>
      <c r="AA61" s="35"/>
    </row>
    <row r="62" spans="1:27" x14ac:dyDescent="0.3">
      <c r="A62" t="s">
        <v>547</v>
      </c>
      <c r="B62" t="s">
        <v>550</v>
      </c>
      <c r="C62" t="s">
        <v>437</v>
      </c>
      <c r="D62" t="s">
        <v>436</v>
      </c>
      <c r="E62">
        <v>10</v>
      </c>
      <c r="F62" s="35">
        <v>5.4932999999999996</v>
      </c>
      <c r="G62" s="35">
        <v>1.5513999999999999</v>
      </c>
      <c r="H62" s="36">
        <v>0.15939999999999999</v>
      </c>
      <c r="I62" s="36">
        <v>0.23130000000000001</v>
      </c>
      <c r="J62" s="36">
        <v>0.1429</v>
      </c>
      <c r="K62" s="35"/>
      <c r="M62" s="35"/>
      <c r="O62" s="35"/>
      <c r="Q62" s="36"/>
      <c r="R62" s="36"/>
      <c r="T62" s="35"/>
      <c r="U62" s="35"/>
      <c r="W62" s="35"/>
      <c r="X62" s="35"/>
      <c r="Z62" s="35"/>
      <c r="AA62" s="35"/>
    </row>
    <row r="63" spans="1:27" x14ac:dyDescent="0.3">
      <c r="A63" t="s">
        <v>547</v>
      </c>
      <c r="B63" t="s">
        <v>550</v>
      </c>
      <c r="C63" t="s">
        <v>438</v>
      </c>
      <c r="D63" t="s">
        <v>436</v>
      </c>
      <c r="E63">
        <v>10</v>
      </c>
      <c r="F63" s="35">
        <v>6.6142000000000003</v>
      </c>
      <c r="G63" s="35">
        <v>2.0588000000000002</v>
      </c>
      <c r="H63" s="36">
        <v>7.3499999999999996E-2</v>
      </c>
      <c r="I63" s="36">
        <v>0.3463</v>
      </c>
      <c r="J63" s="36">
        <v>-9.3200000000000005E-2</v>
      </c>
      <c r="K63" s="35"/>
      <c r="M63" s="35"/>
      <c r="O63" s="35"/>
      <c r="Q63" s="36"/>
      <c r="R63" s="36"/>
      <c r="T63" s="35"/>
      <c r="U63" s="35"/>
      <c r="W63" s="35"/>
      <c r="X63" s="35"/>
      <c r="Z63" s="35"/>
      <c r="AA63" s="35"/>
    </row>
    <row r="64" spans="1:27" x14ac:dyDescent="0.3">
      <c r="A64" t="s">
        <v>547</v>
      </c>
      <c r="B64" t="s">
        <v>550</v>
      </c>
      <c r="C64" t="s">
        <v>439</v>
      </c>
      <c r="D64" t="s">
        <v>436</v>
      </c>
      <c r="E64">
        <v>10</v>
      </c>
      <c r="F64" s="35">
        <v>5.9088000000000003</v>
      </c>
      <c r="G64" s="35">
        <v>1.6002000000000001</v>
      </c>
      <c r="H64" s="36">
        <v>0.1482</v>
      </c>
      <c r="I64" s="36">
        <v>0.24249999999999999</v>
      </c>
      <c r="J64" s="36">
        <v>-6.1999999999999998E-3</v>
      </c>
      <c r="K64" s="35"/>
      <c r="M64" s="35"/>
      <c r="O64" s="35"/>
      <c r="Q64" s="36"/>
      <c r="R64" s="36"/>
      <c r="T64" s="35"/>
      <c r="U64" s="35"/>
      <c r="W64" s="35"/>
      <c r="X64" s="35"/>
      <c r="Z64" s="35"/>
      <c r="AA64" s="35"/>
    </row>
    <row r="65" spans="1:27" x14ac:dyDescent="0.3">
      <c r="A65" t="s">
        <v>551</v>
      </c>
      <c r="B65" t="s">
        <v>548</v>
      </c>
      <c r="C65" t="s">
        <v>435</v>
      </c>
      <c r="D65" t="s">
        <v>436</v>
      </c>
      <c r="E65">
        <v>3</v>
      </c>
      <c r="F65" s="35"/>
      <c r="G65" s="35"/>
      <c r="H65" s="36"/>
      <c r="I65" s="36"/>
      <c r="J65" s="36"/>
      <c r="K65" s="35"/>
      <c r="M65" s="35"/>
      <c r="O65" s="35"/>
      <c r="Q65" s="36"/>
      <c r="R65" s="36"/>
      <c r="T65" s="35"/>
      <c r="U65" s="35"/>
      <c r="W65" s="35"/>
      <c r="X65" s="35"/>
      <c r="Z65" s="35"/>
      <c r="AA65" s="35"/>
    </row>
    <row r="66" spans="1:27" x14ac:dyDescent="0.3">
      <c r="A66" t="s">
        <v>551</v>
      </c>
      <c r="B66" t="s">
        <v>548</v>
      </c>
      <c r="C66" t="s">
        <v>437</v>
      </c>
      <c r="D66" t="s">
        <v>436</v>
      </c>
      <c r="E66">
        <v>3</v>
      </c>
      <c r="F66" s="35"/>
      <c r="G66" s="35"/>
      <c r="H66" s="36"/>
      <c r="I66" s="36"/>
      <c r="J66" s="36"/>
      <c r="K66" s="35"/>
      <c r="M66" s="35"/>
      <c r="O66" s="35"/>
      <c r="Q66" s="36"/>
      <c r="R66" s="36"/>
      <c r="T66" s="35"/>
      <c r="U66" s="35"/>
      <c r="W66" s="35"/>
      <c r="X66" s="35"/>
      <c r="Z66" s="35"/>
      <c r="AA66" s="35"/>
    </row>
    <row r="67" spans="1:27" x14ac:dyDescent="0.3">
      <c r="A67" t="s">
        <v>551</v>
      </c>
      <c r="B67" t="s">
        <v>548</v>
      </c>
      <c r="C67" t="s">
        <v>438</v>
      </c>
      <c r="D67" t="s">
        <v>436</v>
      </c>
      <c r="E67">
        <v>3</v>
      </c>
      <c r="F67" s="35"/>
      <c r="G67" s="35"/>
      <c r="H67" s="36"/>
      <c r="I67" s="36"/>
      <c r="J67" s="36"/>
      <c r="K67" s="35"/>
      <c r="M67" s="35"/>
      <c r="O67" s="35"/>
      <c r="Q67" s="36"/>
      <c r="R67" s="36"/>
      <c r="T67" s="35"/>
      <c r="U67" s="35"/>
      <c r="W67" s="35"/>
      <c r="X67" s="35"/>
      <c r="Z67" s="35"/>
      <c r="AA67" s="35"/>
    </row>
    <row r="68" spans="1:27" x14ac:dyDescent="0.3">
      <c r="A68" t="s">
        <v>551</v>
      </c>
      <c r="B68" t="s">
        <v>548</v>
      </c>
      <c r="C68" t="s">
        <v>439</v>
      </c>
      <c r="D68" t="s">
        <v>436</v>
      </c>
      <c r="E68">
        <v>3</v>
      </c>
      <c r="F68" s="35"/>
      <c r="G68" s="35"/>
      <c r="H68" s="36"/>
      <c r="I68" s="36"/>
      <c r="J68" s="36"/>
      <c r="K68" s="35"/>
      <c r="M68" s="35"/>
      <c r="O68" s="35"/>
      <c r="Q68" s="36"/>
      <c r="R68" s="36"/>
      <c r="T68" s="35"/>
      <c r="U68" s="35"/>
      <c r="W68" s="35"/>
      <c r="X68" s="35"/>
      <c r="Z68" s="35"/>
      <c r="AA68" s="35"/>
    </row>
    <row r="69" spans="1:27" x14ac:dyDescent="0.3">
      <c r="A69" t="s">
        <v>551</v>
      </c>
      <c r="B69" t="s">
        <v>552</v>
      </c>
      <c r="C69" t="s">
        <v>435</v>
      </c>
      <c r="D69" t="s">
        <v>436</v>
      </c>
      <c r="E69">
        <v>3</v>
      </c>
      <c r="F69" s="35"/>
      <c r="G69" s="35"/>
      <c r="H69" s="36"/>
      <c r="I69" s="36"/>
      <c r="J69" s="36"/>
      <c r="K69" s="35"/>
      <c r="M69" s="35"/>
      <c r="O69" s="35"/>
      <c r="Q69" s="36"/>
      <c r="R69" s="36"/>
      <c r="T69" s="35"/>
      <c r="U69" s="35"/>
      <c r="W69" s="35"/>
      <c r="X69" s="35"/>
      <c r="Z69" s="35"/>
      <c r="AA69" s="35"/>
    </row>
    <row r="70" spans="1:27" x14ac:dyDescent="0.3">
      <c r="A70" t="s">
        <v>551</v>
      </c>
      <c r="B70" t="s">
        <v>552</v>
      </c>
      <c r="C70" t="s">
        <v>437</v>
      </c>
      <c r="D70" t="s">
        <v>436</v>
      </c>
      <c r="E70">
        <v>3</v>
      </c>
      <c r="F70" s="35"/>
      <c r="G70" s="35"/>
      <c r="H70" s="36"/>
      <c r="I70" s="36"/>
      <c r="J70" s="36"/>
      <c r="K70" s="35"/>
      <c r="M70" s="35"/>
      <c r="O70" s="35"/>
      <c r="Q70" s="36"/>
      <c r="R70" s="36"/>
      <c r="T70" s="35"/>
      <c r="U70" s="35"/>
      <c r="W70" s="35"/>
      <c r="X70" s="35"/>
      <c r="Z70" s="35"/>
      <c r="AA70" s="35"/>
    </row>
    <row r="71" spans="1:27" x14ac:dyDescent="0.3">
      <c r="A71" t="s">
        <v>551</v>
      </c>
      <c r="B71" t="s">
        <v>552</v>
      </c>
      <c r="C71" t="s">
        <v>438</v>
      </c>
      <c r="D71" t="s">
        <v>436</v>
      </c>
      <c r="E71">
        <v>3</v>
      </c>
      <c r="F71" s="35"/>
      <c r="G71" s="35"/>
      <c r="H71" s="36"/>
      <c r="I71" s="36"/>
      <c r="J71" s="36"/>
      <c r="K71" s="35"/>
      <c r="M71" s="35"/>
      <c r="O71" s="35"/>
      <c r="Q71" s="36"/>
      <c r="R71" s="36"/>
      <c r="T71" s="35"/>
      <c r="U71" s="35"/>
      <c r="W71" s="35"/>
      <c r="X71" s="35"/>
      <c r="Z71" s="35"/>
      <c r="AA71" s="35"/>
    </row>
    <row r="72" spans="1:27" x14ac:dyDescent="0.3">
      <c r="A72" t="s">
        <v>551</v>
      </c>
      <c r="B72" t="s">
        <v>552</v>
      </c>
      <c r="C72" t="s">
        <v>439</v>
      </c>
      <c r="D72" t="s">
        <v>436</v>
      </c>
      <c r="E72">
        <v>3</v>
      </c>
      <c r="F72" s="35"/>
      <c r="G72" s="35"/>
      <c r="H72" s="36"/>
      <c r="I72" s="36"/>
      <c r="J72" s="36"/>
      <c r="K72" s="35"/>
      <c r="M72" s="35"/>
      <c r="O72" s="35"/>
      <c r="Q72" s="36"/>
      <c r="R72" s="36"/>
      <c r="T72" s="35"/>
      <c r="U72" s="35"/>
      <c r="W72" s="35"/>
      <c r="X72" s="35"/>
      <c r="Z72" s="35"/>
      <c r="AA72" s="35"/>
    </row>
    <row r="73" spans="1:27" x14ac:dyDescent="0.3">
      <c r="A73" t="s">
        <v>553</v>
      </c>
      <c r="B73" t="s">
        <v>554</v>
      </c>
      <c r="C73" t="s">
        <v>435</v>
      </c>
      <c r="D73" t="s">
        <v>436</v>
      </c>
      <c r="E73">
        <v>23</v>
      </c>
      <c r="F73" s="35">
        <v>-3.1221999999999999</v>
      </c>
      <c r="G73" s="35">
        <v>-0.67479999999999996</v>
      </c>
      <c r="H73" s="36">
        <v>0.50719999999999998</v>
      </c>
      <c r="I73" s="36">
        <v>2.12E-2</v>
      </c>
      <c r="J73" s="36">
        <v>-0.16689999999999999</v>
      </c>
      <c r="K73" s="35">
        <v>0.4778</v>
      </c>
      <c r="L73">
        <v>18</v>
      </c>
      <c r="M73" s="35">
        <v>3.6</v>
      </c>
      <c r="N73">
        <v>5</v>
      </c>
      <c r="O73" s="35"/>
      <c r="Q73" s="36">
        <v>0.57920000000000005</v>
      </c>
      <c r="R73" s="36"/>
      <c r="T73" s="35"/>
      <c r="U73" s="35"/>
      <c r="W73" s="35"/>
      <c r="X73" s="35"/>
      <c r="Z73" s="35"/>
      <c r="AA73" s="35"/>
    </row>
    <row r="74" spans="1:27" x14ac:dyDescent="0.3">
      <c r="A74" t="s">
        <v>553</v>
      </c>
      <c r="B74" t="s">
        <v>554</v>
      </c>
      <c r="C74" t="s">
        <v>437</v>
      </c>
      <c r="D74" t="s">
        <v>436</v>
      </c>
      <c r="E74">
        <v>23</v>
      </c>
      <c r="F74" s="35">
        <v>-4.0266999999999999</v>
      </c>
      <c r="G74" s="35">
        <v>-0.91679999999999995</v>
      </c>
      <c r="H74" s="36">
        <v>0.36959999999999998</v>
      </c>
      <c r="I74" s="36">
        <v>3.85E-2</v>
      </c>
      <c r="J74" s="36">
        <v>-0.20660000000000001</v>
      </c>
      <c r="K74" s="35">
        <v>-0.36670000000000003</v>
      </c>
      <c r="L74">
        <v>18</v>
      </c>
      <c r="M74" s="35">
        <v>3.66</v>
      </c>
      <c r="N74">
        <v>5</v>
      </c>
      <c r="O74" s="35"/>
      <c r="Q74" s="36">
        <v>0.4289</v>
      </c>
      <c r="R74" s="36"/>
      <c r="T74" s="35"/>
      <c r="U74" s="35"/>
      <c r="W74" s="35"/>
      <c r="X74" s="35"/>
      <c r="Z74" s="35"/>
      <c r="AA74" s="35"/>
    </row>
    <row r="75" spans="1:27" x14ac:dyDescent="0.3">
      <c r="A75" t="s">
        <v>553</v>
      </c>
      <c r="B75" t="s">
        <v>554</v>
      </c>
      <c r="C75" t="s">
        <v>438</v>
      </c>
      <c r="D75" t="s">
        <v>436</v>
      </c>
      <c r="E75">
        <v>23</v>
      </c>
      <c r="F75" s="35">
        <v>-1.3489</v>
      </c>
      <c r="G75" s="35">
        <v>-0.28000000000000003</v>
      </c>
      <c r="H75" s="36">
        <v>0.78220000000000001</v>
      </c>
      <c r="I75" s="36">
        <v>3.7000000000000002E-3</v>
      </c>
      <c r="J75" s="36">
        <v>-7.1499999999999994E-2</v>
      </c>
      <c r="K75" s="35">
        <v>-2.9889000000000001</v>
      </c>
      <c r="L75">
        <v>18</v>
      </c>
      <c r="M75" s="35">
        <v>-1.64</v>
      </c>
      <c r="N75">
        <v>5</v>
      </c>
      <c r="O75" s="35"/>
      <c r="Q75" s="36">
        <v>0.72299999999999998</v>
      </c>
      <c r="R75" s="36"/>
      <c r="T75" s="35"/>
      <c r="U75" s="35"/>
      <c r="W75" s="35"/>
      <c r="X75" s="35"/>
      <c r="Z75" s="35"/>
      <c r="AA75" s="35"/>
    </row>
    <row r="76" spans="1:27" x14ac:dyDescent="0.3">
      <c r="A76" t="s">
        <v>553</v>
      </c>
      <c r="B76" t="s">
        <v>554</v>
      </c>
      <c r="C76" t="s">
        <v>439</v>
      </c>
      <c r="D76" t="s">
        <v>436</v>
      </c>
      <c r="E76">
        <v>23</v>
      </c>
      <c r="F76" s="35">
        <v>-2.5</v>
      </c>
      <c r="G76" s="35">
        <v>-0.53639999999999999</v>
      </c>
      <c r="H76" s="36">
        <v>0.59740000000000004</v>
      </c>
      <c r="I76" s="36">
        <v>1.35E-2</v>
      </c>
      <c r="J76" s="36">
        <v>-0.16689999999999999</v>
      </c>
      <c r="K76" s="35">
        <v>-3.2</v>
      </c>
      <c r="L76">
        <v>18</v>
      </c>
      <c r="M76" s="35">
        <v>-0.7</v>
      </c>
      <c r="N76">
        <v>5</v>
      </c>
      <c r="O76" s="35"/>
      <c r="Q76" s="36">
        <v>0.51600000000000001</v>
      </c>
      <c r="R76" s="36"/>
      <c r="T76" s="35"/>
      <c r="U76" s="35"/>
      <c r="W76" s="35"/>
      <c r="X76" s="35"/>
      <c r="Z76" s="35"/>
      <c r="AA76" s="35"/>
    </row>
    <row r="77" spans="1:27" x14ac:dyDescent="0.3">
      <c r="A77" t="s">
        <v>553</v>
      </c>
      <c r="B77" t="s">
        <v>555</v>
      </c>
      <c r="C77" t="s">
        <v>435</v>
      </c>
      <c r="D77" t="s">
        <v>436</v>
      </c>
      <c r="E77">
        <v>23</v>
      </c>
      <c r="F77" s="35">
        <v>2.2496999999999998</v>
      </c>
      <c r="G77" s="35">
        <v>1.3132999999999999</v>
      </c>
      <c r="H77" s="36">
        <v>0.20319999999999999</v>
      </c>
      <c r="I77" s="36">
        <v>7.5899999999999995E-2</v>
      </c>
      <c r="J77" s="36">
        <v>0.37009999999999998</v>
      </c>
      <c r="K77" s="35"/>
      <c r="M77" s="35"/>
      <c r="O77" s="35"/>
      <c r="Q77" s="36"/>
      <c r="R77" s="36"/>
      <c r="T77" s="35"/>
      <c r="U77" s="35"/>
      <c r="W77" s="35"/>
      <c r="X77" s="35"/>
      <c r="Z77" s="35"/>
      <c r="AA77" s="35"/>
    </row>
    <row r="78" spans="1:27" x14ac:dyDescent="0.3">
      <c r="A78" t="s">
        <v>553</v>
      </c>
      <c r="B78" t="s">
        <v>555</v>
      </c>
      <c r="C78" t="s">
        <v>437</v>
      </c>
      <c r="D78" t="s">
        <v>436</v>
      </c>
      <c r="E78">
        <v>23</v>
      </c>
      <c r="F78" s="35">
        <v>1.9138999999999999</v>
      </c>
      <c r="G78" s="35">
        <v>1.1567000000000001</v>
      </c>
      <c r="H78" s="36">
        <v>0.26040000000000002</v>
      </c>
      <c r="I78" s="36">
        <v>5.9900000000000002E-2</v>
      </c>
      <c r="J78" s="36">
        <v>0.33129999999999998</v>
      </c>
      <c r="K78" s="35"/>
      <c r="M78" s="35"/>
      <c r="O78" s="35"/>
      <c r="Q78" s="36"/>
      <c r="R78" s="36"/>
      <c r="T78" s="35"/>
      <c r="U78" s="35"/>
      <c r="W78" s="35"/>
      <c r="X78" s="35"/>
      <c r="Z78" s="35"/>
      <c r="AA78" s="35"/>
    </row>
    <row r="79" spans="1:27" x14ac:dyDescent="0.3">
      <c r="A79" t="s">
        <v>553</v>
      </c>
      <c r="B79" t="s">
        <v>555</v>
      </c>
      <c r="C79" t="s">
        <v>438</v>
      </c>
      <c r="D79" t="s">
        <v>436</v>
      </c>
      <c r="E79">
        <v>23</v>
      </c>
      <c r="F79" s="35">
        <v>2.1737000000000002</v>
      </c>
      <c r="G79" s="35">
        <v>1.2235</v>
      </c>
      <c r="H79" s="36">
        <v>0.23469999999999999</v>
      </c>
      <c r="I79" s="36">
        <v>6.6500000000000004E-2</v>
      </c>
      <c r="J79" s="36">
        <v>0.37080000000000002</v>
      </c>
      <c r="K79" s="35"/>
      <c r="M79" s="35"/>
      <c r="O79" s="35"/>
      <c r="Q79" s="36"/>
      <c r="R79" s="36"/>
      <c r="T79" s="35"/>
      <c r="U79" s="35"/>
      <c r="W79" s="35"/>
      <c r="X79" s="35"/>
      <c r="Z79" s="35"/>
      <c r="AA79" s="35"/>
    </row>
    <row r="80" spans="1:27" x14ac:dyDescent="0.3">
      <c r="A80" t="s">
        <v>553</v>
      </c>
      <c r="B80" t="s">
        <v>555</v>
      </c>
      <c r="C80" t="s">
        <v>439</v>
      </c>
      <c r="D80" t="s">
        <v>436</v>
      </c>
      <c r="E80">
        <v>23</v>
      </c>
      <c r="F80" s="35">
        <v>1.8976999999999999</v>
      </c>
      <c r="G80" s="35">
        <v>1.091</v>
      </c>
      <c r="H80" s="36">
        <v>0.28760000000000002</v>
      </c>
      <c r="I80" s="36">
        <v>5.3600000000000002E-2</v>
      </c>
      <c r="J80" s="36">
        <v>0.27639999999999998</v>
      </c>
      <c r="K80" s="35"/>
      <c r="M80" s="35"/>
      <c r="O80" s="35"/>
      <c r="Q80" s="36"/>
      <c r="R80" s="36"/>
      <c r="T80" s="35"/>
      <c r="U80" s="35"/>
      <c r="W80" s="35"/>
      <c r="X80" s="35"/>
      <c r="Z80" s="35"/>
      <c r="AA80" s="35"/>
    </row>
    <row r="81" spans="1:27" x14ac:dyDescent="0.3">
      <c r="A81" t="s">
        <v>556</v>
      </c>
      <c r="B81" t="s">
        <v>557</v>
      </c>
      <c r="C81" t="s">
        <v>435</v>
      </c>
      <c r="D81" t="s">
        <v>436</v>
      </c>
      <c r="E81">
        <v>23</v>
      </c>
      <c r="F81" s="35">
        <v>0.93030000000000002</v>
      </c>
      <c r="G81" s="35">
        <v>0.18290000000000001</v>
      </c>
      <c r="H81" s="36">
        <v>0.85660000000000003</v>
      </c>
      <c r="I81" s="36">
        <v>1.6000000000000001E-3</v>
      </c>
      <c r="J81" s="36">
        <v>5.1900000000000002E-2</v>
      </c>
      <c r="K81" s="35">
        <v>1.925</v>
      </c>
      <c r="L81">
        <v>4</v>
      </c>
      <c r="M81" s="35">
        <v>0.99470000000000003</v>
      </c>
      <c r="N81">
        <v>19</v>
      </c>
      <c r="O81" s="35"/>
      <c r="Q81" s="36">
        <v>0.86329999999999996</v>
      </c>
      <c r="R81" s="36"/>
      <c r="T81" s="35"/>
      <c r="U81" s="35"/>
      <c r="W81" s="35"/>
      <c r="X81" s="35"/>
      <c r="Z81" s="35"/>
      <c r="AA81" s="35"/>
    </row>
    <row r="82" spans="1:27" x14ac:dyDescent="0.3">
      <c r="A82" t="s">
        <v>556</v>
      </c>
      <c r="B82" t="s">
        <v>557</v>
      </c>
      <c r="C82" t="s">
        <v>437</v>
      </c>
      <c r="D82" t="s">
        <v>436</v>
      </c>
      <c r="E82">
        <v>23</v>
      </c>
      <c r="F82" s="35">
        <v>1.1092</v>
      </c>
      <c r="G82" s="35">
        <v>0.22789999999999999</v>
      </c>
      <c r="H82" s="36">
        <v>0.82199999999999995</v>
      </c>
      <c r="I82" s="36">
        <v>2.5000000000000001E-3</v>
      </c>
      <c r="J82" s="36">
        <v>5.1900000000000002E-2</v>
      </c>
      <c r="K82" s="35">
        <v>1.425</v>
      </c>
      <c r="L82">
        <v>4</v>
      </c>
      <c r="M82" s="35">
        <v>0.31580000000000003</v>
      </c>
      <c r="N82">
        <v>19</v>
      </c>
      <c r="O82" s="35"/>
      <c r="Q82" s="36">
        <v>0.83679999999999999</v>
      </c>
      <c r="R82" s="36"/>
      <c r="T82" s="35"/>
      <c r="U82" s="35"/>
      <c r="W82" s="35"/>
      <c r="X82" s="35"/>
      <c r="Z82" s="35"/>
      <c r="AA82" s="35"/>
    </row>
    <row r="83" spans="1:27" x14ac:dyDescent="0.3">
      <c r="A83" t="s">
        <v>556</v>
      </c>
      <c r="B83" t="s">
        <v>557</v>
      </c>
      <c r="C83" t="s">
        <v>438</v>
      </c>
      <c r="D83" t="s">
        <v>436</v>
      </c>
      <c r="E83">
        <v>23</v>
      </c>
      <c r="F83" s="35">
        <v>3.6867999999999999</v>
      </c>
      <c r="G83" s="35">
        <v>0.71030000000000004</v>
      </c>
      <c r="H83" s="36">
        <v>0.48530000000000001</v>
      </c>
      <c r="I83" s="36">
        <v>2.35E-2</v>
      </c>
      <c r="J83" s="36">
        <v>0.27679999999999999</v>
      </c>
      <c r="K83" s="35">
        <v>0.35</v>
      </c>
      <c r="L83">
        <v>4</v>
      </c>
      <c r="M83" s="35">
        <v>-3.3368000000000002</v>
      </c>
      <c r="N83">
        <v>19</v>
      </c>
      <c r="O83" s="35"/>
      <c r="Q83" s="36">
        <v>0.22500000000000001</v>
      </c>
      <c r="R83" s="36"/>
      <c r="T83" s="35"/>
      <c r="U83" s="35"/>
      <c r="W83" s="35"/>
      <c r="X83" s="35"/>
      <c r="Z83" s="35"/>
      <c r="AA83" s="35"/>
    </row>
    <row r="84" spans="1:27" x14ac:dyDescent="0.3">
      <c r="A84" t="s">
        <v>556</v>
      </c>
      <c r="B84" t="s">
        <v>557</v>
      </c>
      <c r="C84" t="s">
        <v>439</v>
      </c>
      <c r="D84" t="s">
        <v>436</v>
      </c>
      <c r="E84">
        <v>23</v>
      </c>
      <c r="F84" s="35">
        <v>3.2461000000000002</v>
      </c>
      <c r="G84" s="35">
        <v>0.64180000000000004</v>
      </c>
      <c r="H84" s="36">
        <v>0.52790000000000004</v>
      </c>
      <c r="I84" s="36">
        <v>1.9199999999999998E-2</v>
      </c>
      <c r="J84" s="36">
        <v>0.22489999999999999</v>
      </c>
      <c r="K84" s="35">
        <v>2.5000000000000001E-2</v>
      </c>
      <c r="L84">
        <v>4</v>
      </c>
      <c r="M84" s="35">
        <v>-3.2210999999999999</v>
      </c>
      <c r="N84">
        <v>19</v>
      </c>
      <c r="O84" s="35"/>
      <c r="Q84" s="36">
        <v>0.36449999999999999</v>
      </c>
      <c r="R84" s="36"/>
      <c r="T84" s="35"/>
      <c r="U84" s="35"/>
      <c r="W84" s="35"/>
      <c r="X84" s="35"/>
      <c r="Z84" s="35"/>
      <c r="AA84" s="35"/>
    </row>
    <row r="85" spans="1:27" x14ac:dyDescent="0.3">
      <c r="A85" t="s">
        <v>558</v>
      </c>
      <c r="B85" t="s">
        <v>559</v>
      </c>
      <c r="C85" t="s">
        <v>435</v>
      </c>
      <c r="D85" t="s">
        <v>436</v>
      </c>
      <c r="E85">
        <v>19</v>
      </c>
      <c r="F85" s="35">
        <v>4.1726999999999999</v>
      </c>
      <c r="G85" s="35">
        <v>1.1976</v>
      </c>
      <c r="H85" s="36">
        <v>0.2475</v>
      </c>
      <c r="I85" s="36">
        <v>7.7799999999999994E-2</v>
      </c>
      <c r="J85" s="36">
        <v>0.36980000000000002</v>
      </c>
      <c r="K85" s="35">
        <v>5.0999999999999996</v>
      </c>
      <c r="L85">
        <v>8</v>
      </c>
      <c r="M85" s="35">
        <v>0.92730000000000001</v>
      </c>
      <c r="N85">
        <v>11</v>
      </c>
      <c r="O85" s="35"/>
      <c r="Q85" s="36">
        <v>0.2646</v>
      </c>
      <c r="R85" s="36"/>
      <c r="T85" s="35"/>
      <c r="U85" s="35"/>
      <c r="W85" s="35"/>
      <c r="X85" s="35"/>
      <c r="Z85" s="35"/>
      <c r="AA85" s="35"/>
    </row>
    <row r="86" spans="1:27" x14ac:dyDescent="0.3">
      <c r="A86" t="s">
        <v>558</v>
      </c>
      <c r="B86" t="s">
        <v>559</v>
      </c>
      <c r="C86" t="s">
        <v>437</v>
      </c>
      <c r="D86" t="s">
        <v>436</v>
      </c>
      <c r="E86">
        <v>19</v>
      </c>
      <c r="F86" s="35">
        <v>4.1806999999999999</v>
      </c>
      <c r="G86" s="35">
        <v>1.2010000000000001</v>
      </c>
      <c r="H86" s="36">
        <v>0.2462</v>
      </c>
      <c r="I86" s="36">
        <v>7.8200000000000006E-2</v>
      </c>
      <c r="J86" s="36">
        <v>0.38919999999999999</v>
      </c>
      <c r="K86" s="35">
        <v>4.1624999999999996</v>
      </c>
      <c r="L86">
        <v>8</v>
      </c>
      <c r="M86" s="35">
        <v>-1.8200000000000001E-2</v>
      </c>
      <c r="N86">
        <v>11</v>
      </c>
      <c r="O86" s="35"/>
      <c r="Q86" s="36">
        <v>0.25740000000000002</v>
      </c>
      <c r="R86" s="36"/>
      <c r="T86" s="35"/>
      <c r="U86" s="35"/>
      <c r="W86" s="35"/>
      <c r="X86" s="35"/>
      <c r="Z86" s="35"/>
      <c r="AA86" s="35"/>
    </row>
    <row r="87" spans="1:27" x14ac:dyDescent="0.3">
      <c r="A87" t="s">
        <v>558</v>
      </c>
      <c r="B87" t="s">
        <v>559</v>
      </c>
      <c r="C87" t="s">
        <v>438</v>
      </c>
      <c r="D87" t="s">
        <v>436</v>
      </c>
      <c r="E87">
        <v>19</v>
      </c>
      <c r="F87" s="35">
        <v>2.7705000000000002</v>
      </c>
      <c r="G87" s="35">
        <v>0.62849999999999995</v>
      </c>
      <c r="H87" s="36">
        <v>0.53810000000000002</v>
      </c>
      <c r="I87" s="36">
        <v>2.2700000000000001E-2</v>
      </c>
      <c r="J87" s="36">
        <v>0.1168</v>
      </c>
      <c r="K87" s="35">
        <v>0.32500000000000001</v>
      </c>
      <c r="L87">
        <v>8</v>
      </c>
      <c r="M87" s="35">
        <v>-2.4455</v>
      </c>
      <c r="N87">
        <v>11</v>
      </c>
      <c r="O87" s="35"/>
      <c r="Q87" s="36">
        <v>0.58179999999999998</v>
      </c>
      <c r="R87" s="36"/>
      <c r="T87" s="35"/>
      <c r="U87" s="35"/>
      <c r="W87" s="35"/>
      <c r="X87" s="35"/>
      <c r="Z87" s="35"/>
      <c r="AA87" s="35"/>
    </row>
    <row r="88" spans="1:27" x14ac:dyDescent="0.3">
      <c r="A88" t="s">
        <v>558</v>
      </c>
      <c r="B88" t="s">
        <v>559</v>
      </c>
      <c r="C88" t="s">
        <v>439</v>
      </c>
      <c r="D88" t="s">
        <v>436</v>
      </c>
      <c r="E88">
        <v>19</v>
      </c>
      <c r="F88" s="35">
        <v>3.1795</v>
      </c>
      <c r="G88" s="35">
        <v>0.79849999999999999</v>
      </c>
      <c r="H88" s="36">
        <v>0.43559999999999999</v>
      </c>
      <c r="I88" s="36">
        <v>3.6200000000000003E-2</v>
      </c>
      <c r="J88" s="36">
        <v>0.1363</v>
      </c>
      <c r="K88" s="35">
        <v>0.72499999999999998</v>
      </c>
      <c r="L88">
        <v>8</v>
      </c>
      <c r="M88" s="35">
        <v>-2.4544999999999999</v>
      </c>
      <c r="N88">
        <v>11</v>
      </c>
      <c r="O88" s="35"/>
      <c r="Q88" s="36">
        <v>0.47120000000000001</v>
      </c>
      <c r="R88" s="36"/>
      <c r="T88" s="35"/>
      <c r="U88" s="35"/>
      <c r="W88" s="35"/>
      <c r="X88" s="35"/>
      <c r="Z88" s="35"/>
      <c r="AA88" s="35"/>
    </row>
    <row r="89" spans="1:27" x14ac:dyDescent="0.3">
      <c r="A89" t="s">
        <v>558</v>
      </c>
      <c r="B89" t="s">
        <v>560</v>
      </c>
      <c r="C89" t="s">
        <v>435</v>
      </c>
      <c r="D89" t="s">
        <v>436</v>
      </c>
      <c r="E89">
        <v>23</v>
      </c>
      <c r="F89" s="35">
        <v>8.3302999999999994</v>
      </c>
      <c r="G89" s="35">
        <v>1.7523</v>
      </c>
      <c r="H89" s="36">
        <v>9.4299999999999995E-2</v>
      </c>
      <c r="I89" s="36">
        <v>0.12759999999999999</v>
      </c>
      <c r="J89" s="36">
        <v>0.38919999999999999</v>
      </c>
      <c r="K89" s="35">
        <v>2.6053000000000002</v>
      </c>
      <c r="L89">
        <v>19</v>
      </c>
      <c r="M89" s="35">
        <v>-5.7249999999999996</v>
      </c>
      <c r="N89">
        <v>4</v>
      </c>
      <c r="O89" s="35"/>
      <c r="Q89" s="36">
        <v>7.4499999999999997E-2</v>
      </c>
      <c r="R89" s="36"/>
      <c r="T89" s="35"/>
      <c r="U89" s="35"/>
      <c r="W89" s="35"/>
      <c r="X89" s="35"/>
      <c r="Z89" s="35"/>
      <c r="AA89" s="35"/>
    </row>
    <row r="90" spans="1:27" x14ac:dyDescent="0.3">
      <c r="A90" t="s">
        <v>558</v>
      </c>
      <c r="B90" t="s">
        <v>560</v>
      </c>
      <c r="C90" t="s">
        <v>437</v>
      </c>
      <c r="D90" t="s">
        <v>436</v>
      </c>
      <c r="E90">
        <v>23</v>
      </c>
      <c r="F90" s="35">
        <v>8</v>
      </c>
      <c r="G90" s="35">
        <v>1.758</v>
      </c>
      <c r="H90" s="36">
        <v>9.3299999999999994E-2</v>
      </c>
      <c r="I90" s="36">
        <v>0.1283</v>
      </c>
      <c r="J90" s="36">
        <v>0.3805</v>
      </c>
      <c r="K90" s="35">
        <v>1.9</v>
      </c>
      <c r="L90">
        <v>19</v>
      </c>
      <c r="M90" s="35">
        <v>-6.1</v>
      </c>
      <c r="N90">
        <v>4</v>
      </c>
      <c r="O90" s="35"/>
      <c r="Q90" s="36">
        <v>5.6500000000000002E-2</v>
      </c>
      <c r="R90" s="36"/>
      <c r="T90" s="35"/>
      <c r="U90" s="35"/>
      <c r="W90" s="35"/>
      <c r="X90" s="35"/>
      <c r="Z90" s="35"/>
      <c r="AA90" s="35"/>
    </row>
    <row r="91" spans="1:27" x14ac:dyDescent="0.3">
      <c r="A91" t="s">
        <v>558</v>
      </c>
      <c r="B91" t="s">
        <v>560</v>
      </c>
      <c r="C91" t="s">
        <v>438</v>
      </c>
      <c r="D91" t="s">
        <v>436</v>
      </c>
      <c r="E91">
        <v>23</v>
      </c>
      <c r="F91" s="35">
        <v>2.85</v>
      </c>
      <c r="G91" s="35">
        <v>0.54649999999999999</v>
      </c>
      <c r="H91" s="36">
        <v>0.59050000000000002</v>
      </c>
      <c r="I91" s="36">
        <v>1.4E-2</v>
      </c>
      <c r="J91" s="36">
        <v>0.15570000000000001</v>
      </c>
      <c r="K91" s="35">
        <v>-2.2000000000000002</v>
      </c>
      <c r="L91">
        <v>19</v>
      </c>
      <c r="M91" s="35">
        <v>-5.05</v>
      </c>
      <c r="N91">
        <v>4</v>
      </c>
      <c r="O91" s="35"/>
      <c r="Q91" s="36">
        <v>0.43940000000000001</v>
      </c>
      <c r="R91" s="36"/>
      <c r="T91" s="35"/>
      <c r="U91" s="35"/>
      <c r="W91" s="35"/>
      <c r="X91" s="35"/>
      <c r="Z91" s="35"/>
      <c r="AA91" s="35"/>
    </row>
    <row r="92" spans="1:27" x14ac:dyDescent="0.3">
      <c r="A92" t="s">
        <v>558</v>
      </c>
      <c r="B92" t="s">
        <v>560</v>
      </c>
      <c r="C92" t="s">
        <v>439</v>
      </c>
      <c r="D92" t="s">
        <v>436</v>
      </c>
      <c r="E92">
        <v>23</v>
      </c>
      <c r="F92" s="35">
        <v>4.2591999999999999</v>
      </c>
      <c r="G92" s="35">
        <v>0.84819999999999995</v>
      </c>
      <c r="H92" s="36">
        <v>0.40589999999999998</v>
      </c>
      <c r="I92" s="36">
        <v>3.3099999999999997E-2</v>
      </c>
      <c r="J92" s="36">
        <v>0.15570000000000001</v>
      </c>
      <c r="K92" s="35">
        <v>-1.9157999999999999</v>
      </c>
      <c r="L92">
        <v>19</v>
      </c>
      <c r="M92" s="35">
        <v>-6.1749999999999998</v>
      </c>
      <c r="N92">
        <v>4</v>
      </c>
      <c r="O92" s="35"/>
      <c r="Q92" s="36">
        <v>0.35570000000000002</v>
      </c>
      <c r="R92" s="36"/>
      <c r="T92" s="35"/>
      <c r="U92" s="35"/>
      <c r="W92" s="35"/>
      <c r="X92" s="35"/>
      <c r="Z92" s="35"/>
      <c r="AA92" s="35"/>
    </row>
    <row r="93" spans="1:27" x14ac:dyDescent="0.3">
      <c r="A93" t="s">
        <v>533</v>
      </c>
      <c r="B93" t="s">
        <v>534</v>
      </c>
      <c r="C93" t="s">
        <v>435</v>
      </c>
      <c r="D93" t="s">
        <v>458</v>
      </c>
      <c r="E93">
        <v>14</v>
      </c>
      <c r="F93" s="35">
        <v>0.32579999999999998</v>
      </c>
      <c r="G93" s="35">
        <v>0.44340000000000002</v>
      </c>
      <c r="H93" s="36">
        <v>0.66539999999999999</v>
      </c>
      <c r="I93" s="36">
        <v>1.61E-2</v>
      </c>
      <c r="J93" s="36">
        <v>0.24399999999999999</v>
      </c>
      <c r="K93" s="35"/>
      <c r="M93" s="35"/>
      <c r="O93" s="35"/>
      <c r="Q93" s="36"/>
      <c r="R93" s="36"/>
      <c r="T93" s="35"/>
      <c r="U93" s="35"/>
      <c r="W93" s="35"/>
      <c r="X93" s="35"/>
      <c r="Z93" s="35"/>
      <c r="AA93" s="35"/>
    </row>
    <row r="94" spans="1:27" x14ac:dyDescent="0.3">
      <c r="A94" t="s">
        <v>533</v>
      </c>
      <c r="B94" t="s">
        <v>534</v>
      </c>
      <c r="C94" t="s">
        <v>437</v>
      </c>
      <c r="D94" t="s">
        <v>458</v>
      </c>
      <c r="E94">
        <v>14</v>
      </c>
      <c r="F94" s="35">
        <v>0.22509999999999999</v>
      </c>
      <c r="G94" s="35">
        <v>0.31180000000000002</v>
      </c>
      <c r="H94" s="36">
        <v>0.76049999999999995</v>
      </c>
      <c r="I94" s="36">
        <v>8.0000000000000002E-3</v>
      </c>
      <c r="J94" s="36">
        <v>0.21759999999999999</v>
      </c>
      <c r="K94" s="35"/>
      <c r="M94" s="35"/>
      <c r="O94" s="35"/>
      <c r="Q94" s="36"/>
      <c r="R94" s="36"/>
      <c r="T94" s="35"/>
      <c r="U94" s="35"/>
      <c r="W94" s="35"/>
      <c r="X94" s="35"/>
      <c r="Z94" s="35"/>
      <c r="AA94" s="35"/>
    </row>
    <row r="95" spans="1:27" x14ac:dyDescent="0.3">
      <c r="A95" t="s">
        <v>533</v>
      </c>
      <c r="B95" t="s">
        <v>534</v>
      </c>
      <c r="C95" t="s">
        <v>438</v>
      </c>
      <c r="D95" t="s">
        <v>458</v>
      </c>
      <c r="E95">
        <v>14</v>
      </c>
      <c r="F95" s="35">
        <v>0.60909999999999997</v>
      </c>
      <c r="G95" s="35">
        <v>0.78500000000000003</v>
      </c>
      <c r="H95" s="36">
        <v>0.44769999999999999</v>
      </c>
      <c r="I95" s="36">
        <v>4.8800000000000003E-2</v>
      </c>
      <c r="J95" s="36">
        <v>9.8900000000000002E-2</v>
      </c>
      <c r="K95" s="35"/>
      <c r="M95" s="35"/>
      <c r="O95" s="35"/>
      <c r="Q95" s="36"/>
      <c r="R95" s="36"/>
      <c r="T95" s="35"/>
      <c r="U95" s="35"/>
      <c r="W95" s="35"/>
      <c r="X95" s="35"/>
      <c r="Z95" s="35"/>
      <c r="AA95" s="35"/>
    </row>
    <row r="96" spans="1:27" x14ac:dyDescent="0.3">
      <c r="A96" t="s">
        <v>533</v>
      </c>
      <c r="B96" t="s">
        <v>534</v>
      </c>
      <c r="C96" t="s">
        <v>439</v>
      </c>
      <c r="D96" t="s">
        <v>458</v>
      </c>
      <c r="E96">
        <v>14</v>
      </c>
      <c r="F96" s="35">
        <v>0.4783</v>
      </c>
      <c r="G96" s="35">
        <v>0.57850000000000001</v>
      </c>
      <c r="H96" s="36">
        <v>0.5736</v>
      </c>
      <c r="I96" s="36">
        <v>2.7099999999999999E-2</v>
      </c>
      <c r="J96" s="36">
        <v>5.4899999999999997E-2</v>
      </c>
      <c r="K96" s="35"/>
      <c r="M96" s="35"/>
      <c r="O96" s="35"/>
      <c r="Q96" s="36"/>
      <c r="R96" s="36"/>
      <c r="T96" s="35"/>
      <c r="U96" s="35"/>
      <c r="W96" s="35"/>
      <c r="X96" s="35"/>
      <c r="Z96" s="35"/>
      <c r="AA96" s="35"/>
    </row>
    <row r="97" spans="1:27" x14ac:dyDescent="0.3">
      <c r="A97" t="s">
        <v>533</v>
      </c>
      <c r="B97" t="s">
        <v>535</v>
      </c>
      <c r="C97" t="s">
        <v>435</v>
      </c>
      <c r="D97" t="s">
        <v>458</v>
      </c>
      <c r="E97">
        <v>14</v>
      </c>
      <c r="F97" s="35">
        <v>0.43419999999999997</v>
      </c>
      <c r="G97" s="35">
        <v>0.60140000000000005</v>
      </c>
      <c r="H97" s="36">
        <v>0.55869999999999997</v>
      </c>
      <c r="I97" s="36">
        <v>2.93E-2</v>
      </c>
      <c r="J97" s="36">
        <v>0.31869999999999998</v>
      </c>
      <c r="K97" s="35"/>
      <c r="M97" s="35"/>
      <c r="O97" s="35"/>
      <c r="Q97" s="36"/>
      <c r="R97" s="36"/>
      <c r="T97" s="35"/>
      <c r="U97" s="35"/>
      <c r="W97" s="35"/>
      <c r="X97" s="35"/>
      <c r="Z97" s="35"/>
      <c r="AA97" s="35"/>
    </row>
    <row r="98" spans="1:27" x14ac:dyDescent="0.3">
      <c r="A98" t="s">
        <v>533</v>
      </c>
      <c r="B98" t="s">
        <v>535</v>
      </c>
      <c r="C98" t="s">
        <v>437</v>
      </c>
      <c r="D98" t="s">
        <v>458</v>
      </c>
      <c r="E98">
        <v>14</v>
      </c>
      <c r="F98" s="35">
        <v>0.4405</v>
      </c>
      <c r="G98" s="35">
        <v>0.62429999999999997</v>
      </c>
      <c r="H98" s="36">
        <v>0.54410000000000003</v>
      </c>
      <c r="I98" s="36">
        <v>3.15E-2</v>
      </c>
      <c r="J98" s="36">
        <v>0.30109999999999998</v>
      </c>
      <c r="K98" s="35"/>
      <c r="M98" s="35"/>
      <c r="O98" s="35"/>
      <c r="Q98" s="36"/>
      <c r="R98" s="36"/>
      <c r="T98" s="35"/>
      <c r="U98" s="35"/>
      <c r="W98" s="35"/>
      <c r="X98" s="35"/>
      <c r="Z98" s="35"/>
      <c r="AA98" s="35"/>
    </row>
    <row r="99" spans="1:27" x14ac:dyDescent="0.3">
      <c r="A99" t="s">
        <v>533</v>
      </c>
      <c r="B99" t="s">
        <v>535</v>
      </c>
      <c r="C99" t="s">
        <v>438</v>
      </c>
      <c r="D99" t="s">
        <v>458</v>
      </c>
      <c r="E99">
        <v>14</v>
      </c>
      <c r="F99" s="35">
        <v>1.0851</v>
      </c>
      <c r="G99" s="35">
        <v>1.5029999999999999</v>
      </c>
      <c r="H99" s="36">
        <v>0.15870000000000001</v>
      </c>
      <c r="I99" s="36">
        <v>0.15840000000000001</v>
      </c>
      <c r="J99" s="36">
        <v>0.36699999999999999</v>
      </c>
      <c r="K99" s="35"/>
      <c r="M99" s="35"/>
      <c r="O99" s="35"/>
      <c r="Q99" s="36"/>
      <c r="R99" s="36"/>
      <c r="T99" s="35"/>
      <c r="U99" s="35"/>
      <c r="W99" s="35"/>
      <c r="X99" s="35"/>
      <c r="Z99" s="35"/>
      <c r="AA99" s="35"/>
    </row>
    <row r="100" spans="1:27" x14ac:dyDescent="0.3">
      <c r="A100" t="s">
        <v>533</v>
      </c>
      <c r="B100" t="s">
        <v>535</v>
      </c>
      <c r="C100" t="s">
        <v>439</v>
      </c>
      <c r="D100" t="s">
        <v>458</v>
      </c>
      <c r="E100">
        <v>14</v>
      </c>
      <c r="F100" s="35">
        <v>1.1296999999999999</v>
      </c>
      <c r="G100" s="35">
        <v>1.482</v>
      </c>
      <c r="H100" s="36">
        <v>0.1641</v>
      </c>
      <c r="I100" s="36">
        <v>0.1547</v>
      </c>
      <c r="J100" s="36">
        <v>0.44180000000000003</v>
      </c>
      <c r="K100" s="35"/>
      <c r="M100" s="35"/>
      <c r="O100" s="35"/>
      <c r="Q100" s="36"/>
      <c r="R100" s="36"/>
      <c r="T100" s="35"/>
      <c r="U100" s="35"/>
      <c r="W100" s="35"/>
      <c r="X100" s="35"/>
      <c r="Z100" s="35"/>
      <c r="AA100" s="35"/>
    </row>
    <row r="101" spans="1:27" x14ac:dyDescent="0.3">
      <c r="A101" t="s">
        <v>533</v>
      </c>
      <c r="B101" t="s">
        <v>456</v>
      </c>
      <c r="C101" t="s">
        <v>435</v>
      </c>
      <c r="D101" t="s">
        <v>458</v>
      </c>
      <c r="E101">
        <v>14</v>
      </c>
      <c r="F101" s="35">
        <v>1.5589</v>
      </c>
      <c r="G101" s="35">
        <v>1.4895</v>
      </c>
      <c r="H101" s="36">
        <v>0.16220000000000001</v>
      </c>
      <c r="I101" s="36">
        <v>0.156</v>
      </c>
      <c r="J101" s="36">
        <v>0.42859999999999998</v>
      </c>
      <c r="K101" s="35"/>
      <c r="M101" s="35"/>
      <c r="O101" s="35"/>
      <c r="Q101" s="36"/>
      <c r="R101" s="36"/>
      <c r="T101" s="35"/>
      <c r="U101" s="35"/>
      <c r="W101" s="35"/>
      <c r="X101" s="35"/>
      <c r="Z101" s="35"/>
      <c r="AA101" s="35"/>
    </row>
    <row r="102" spans="1:27" x14ac:dyDescent="0.3">
      <c r="A102" t="s">
        <v>533</v>
      </c>
      <c r="B102" t="s">
        <v>456</v>
      </c>
      <c r="C102" t="s">
        <v>437</v>
      </c>
      <c r="D102" t="s">
        <v>458</v>
      </c>
      <c r="E102">
        <v>14</v>
      </c>
      <c r="F102" s="35">
        <v>1.4774</v>
      </c>
      <c r="G102" s="35">
        <v>1.4347000000000001</v>
      </c>
      <c r="H102" s="36">
        <v>0.1769</v>
      </c>
      <c r="I102" s="36">
        <v>0.1464</v>
      </c>
      <c r="J102" s="36">
        <v>0.4637</v>
      </c>
      <c r="K102" s="35"/>
      <c r="M102" s="35"/>
      <c r="O102" s="35"/>
      <c r="Q102" s="36"/>
      <c r="R102" s="36"/>
      <c r="T102" s="35"/>
      <c r="U102" s="35"/>
      <c r="W102" s="35"/>
      <c r="X102" s="35"/>
      <c r="Z102" s="35"/>
      <c r="AA102" s="35"/>
    </row>
    <row r="103" spans="1:27" x14ac:dyDescent="0.3">
      <c r="A103" t="s">
        <v>533</v>
      </c>
      <c r="B103" t="s">
        <v>456</v>
      </c>
      <c r="C103" t="s">
        <v>438</v>
      </c>
      <c r="D103" t="s">
        <v>458</v>
      </c>
      <c r="E103">
        <v>14</v>
      </c>
      <c r="F103" s="35">
        <v>1.8621000000000001</v>
      </c>
      <c r="G103" s="35">
        <v>1.6943999999999999</v>
      </c>
      <c r="H103" s="36">
        <v>0.11600000000000001</v>
      </c>
      <c r="I103" s="36">
        <v>0.19309999999999999</v>
      </c>
      <c r="J103" s="36">
        <v>0.31430000000000002</v>
      </c>
      <c r="K103" s="35"/>
      <c r="M103" s="35"/>
      <c r="O103" s="35"/>
      <c r="Q103" s="36"/>
      <c r="R103" s="36"/>
      <c r="T103" s="35"/>
      <c r="U103" s="35"/>
      <c r="W103" s="35"/>
      <c r="X103" s="35"/>
      <c r="Z103" s="35"/>
      <c r="AA103" s="35"/>
    </row>
    <row r="104" spans="1:27" x14ac:dyDescent="0.3">
      <c r="A104" t="s">
        <v>533</v>
      </c>
      <c r="B104" t="s">
        <v>456</v>
      </c>
      <c r="C104" t="s">
        <v>439</v>
      </c>
      <c r="D104" t="s">
        <v>458</v>
      </c>
      <c r="E104">
        <v>14</v>
      </c>
      <c r="F104" s="35">
        <v>2.1309999999999998</v>
      </c>
      <c r="G104" s="35">
        <v>1.8815</v>
      </c>
      <c r="H104" s="36">
        <v>8.4400000000000003E-2</v>
      </c>
      <c r="I104" s="36">
        <v>0.2278</v>
      </c>
      <c r="J104" s="36">
        <v>0.36259999999999998</v>
      </c>
      <c r="K104" s="35"/>
      <c r="M104" s="35"/>
      <c r="O104" s="35"/>
      <c r="Q104" s="36"/>
      <c r="R104" s="36"/>
      <c r="T104" s="35"/>
      <c r="U104" s="35"/>
      <c r="W104" s="35"/>
      <c r="X104" s="35"/>
      <c r="Z104" s="35"/>
      <c r="AA104" s="35"/>
    </row>
    <row r="105" spans="1:27" x14ac:dyDescent="0.3">
      <c r="A105" t="s">
        <v>533</v>
      </c>
      <c r="B105" t="s">
        <v>457</v>
      </c>
      <c r="C105" t="s">
        <v>435</v>
      </c>
      <c r="D105" t="s">
        <v>458</v>
      </c>
      <c r="E105">
        <v>14</v>
      </c>
      <c r="F105" s="35">
        <v>-5.8</v>
      </c>
      <c r="G105" s="35">
        <v>-1.2538</v>
      </c>
      <c r="H105" s="36">
        <v>0.23380000000000001</v>
      </c>
      <c r="I105" s="36">
        <v>0.1158</v>
      </c>
      <c r="J105" s="36">
        <v>-0.40749999999999997</v>
      </c>
      <c r="K105" s="35">
        <v>-3.9714</v>
      </c>
      <c r="L105">
        <v>7</v>
      </c>
      <c r="M105" s="35">
        <v>1.8286</v>
      </c>
      <c r="N105">
        <v>7</v>
      </c>
      <c r="O105" s="35"/>
      <c r="Q105" s="36">
        <v>0.23449999999999999</v>
      </c>
      <c r="R105" s="36"/>
      <c r="T105" s="35"/>
      <c r="U105" s="35"/>
      <c r="W105" s="35"/>
      <c r="X105" s="35"/>
      <c r="Z105" s="35"/>
      <c r="AA105" s="35"/>
    </row>
    <row r="106" spans="1:27" x14ac:dyDescent="0.3">
      <c r="A106" t="s">
        <v>533</v>
      </c>
      <c r="B106" t="s">
        <v>457</v>
      </c>
      <c r="C106" t="s">
        <v>437</v>
      </c>
      <c r="D106" t="s">
        <v>458</v>
      </c>
      <c r="E106">
        <v>14</v>
      </c>
      <c r="F106" s="35">
        <v>-5.7571000000000003</v>
      </c>
      <c r="G106" s="35">
        <v>-1.2745</v>
      </c>
      <c r="H106" s="36">
        <v>0.2266</v>
      </c>
      <c r="I106" s="36">
        <v>0.1192</v>
      </c>
      <c r="J106" s="36">
        <v>-0.47839999999999999</v>
      </c>
      <c r="K106" s="35">
        <v>-4.5429000000000004</v>
      </c>
      <c r="L106">
        <v>7</v>
      </c>
      <c r="M106" s="35">
        <v>1.2142999999999999</v>
      </c>
      <c r="N106">
        <v>7</v>
      </c>
      <c r="O106" s="35"/>
      <c r="Q106" s="36">
        <v>0.2273</v>
      </c>
      <c r="R106" s="36"/>
      <c r="T106" s="35"/>
      <c r="U106" s="35"/>
      <c r="W106" s="35"/>
      <c r="X106" s="35"/>
      <c r="Z106" s="35"/>
      <c r="AA106" s="35"/>
    </row>
    <row r="107" spans="1:27" x14ac:dyDescent="0.3">
      <c r="A107" t="s">
        <v>533</v>
      </c>
      <c r="B107" t="s">
        <v>457</v>
      </c>
      <c r="C107" t="s">
        <v>438</v>
      </c>
      <c r="D107" t="s">
        <v>458</v>
      </c>
      <c r="E107">
        <v>14</v>
      </c>
      <c r="F107" s="35">
        <v>-8.4</v>
      </c>
      <c r="G107" s="35">
        <v>-1.7896000000000001</v>
      </c>
      <c r="H107" s="36">
        <v>9.8799999999999999E-2</v>
      </c>
      <c r="I107" s="36">
        <v>0.2107</v>
      </c>
      <c r="J107" s="36">
        <v>-0.40749999999999997</v>
      </c>
      <c r="K107" s="35">
        <v>-5.6856999999999998</v>
      </c>
      <c r="L107">
        <v>7</v>
      </c>
      <c r="M107" s="35">
        <v>2.7143000000000002</v>
      </c>
      <c r="N107">
        <v>7</v>
      </c>
      <c r="O107" s="35"/>
      <c r="Q107" s="36">
        <v>0.10100000000000001</v>
      </c>
      <c r="R107" s="36"/>
      <c r="T107" s="35"/>
      <c r="U107" s="35"/>
      <c r="W107" s="35"/>
      <c r="X107" s="35"/>
      <c r="Z107" s="35"/>
      <c r="AA107" s="35"/>
    </row>
    <row r="108" spans="1:27" x14ac:dyDescent="0.3">
      <c r="A108" t="s">
        <v>533</v>
      </c>
      <c r="B108" t="s">
        <v>457</v>
      </c>
      <c r="C108" t="s">
        <v>439</v>
      </c>
      <c r="D108" t="s">
        <v>458</v>
      </c>
      <c r="E108">
        <v>14</v>
      </c>
      <c r="F108" s="35">
        <v>-9.2286000000000001</v>
      </c>
      <c r="G108" s="35">
        <v>-1.8884000000000001</v>
      </c>
      <c r="H108" s="36">
        <v>8.3400000000000002E-2</v>
      </c>
      <c r="I108" s="36">
        <v>0.2291</v>
      </c>
      <c r="J108" s="36">
        <v>-0.443</v>
      </c>
      <c r="K108" s="35">
        <v>-7.5429000000000004</v>
      </c>
      <c r="L108">
        <v>7</v>
      </c>
      <c r="M108" s="35">
        <v>1.6857</v>
      </c>
      <c r="N108">
        <v>7</v>
      </c>
      <c r="O108" s="35"/>
      <c r="Q108" s="36">
        <v>8.3799999999999999E-2</v>
      </c>
      <c r="R108" s="36"/>
      <c r="T108" s="35"/>
      <c r="U108" s="35"/>
      <c r="W108" s="35"/>
      <c r="X108" s="35"/>
      <c r="Z108" s="35"/>
      <c r="AA108" s="35"/>
    </row>
    <row r="109" spans="1:27" x14ac:dyDescent="0.3">
      <c r="A109" t="s">
        <v>533</v>
      </c>
      <c r="B109" t="s">
        <v>536</v>
      </c>
      <c r="C109" t="s">
        <v>435</v>
      </c>
      <c r="D109" t="s">
        <v>458</v>
      </c>
      <c r="E109">
        <v>14</v>
      </c>
      <c r="F109" s="35">
        <v>-4.75</v>
      </c>
      <c r="G109" s="35">
        <v>-1.3816999999999999</v>
      </c>
      <c r="H109" s="36">
        <v>0.19220000000000001</v>
      </c>
      <c r="I109" s="36">
        <v>0.13730000000000001</v>
      </c>
      <c r="J109" s="36">
        <v>-0.35820000000000002</v>
      </c>
      <c r="K109" s="35"/>
      <c r="M109" s="35"/>
      <c r="O109" s="35"/>
      <c r="Q109" s="36"/>
      <c r="R109" s="36"/>
      <c r="T109" s="35"/>
      <c r="U109" s="35"/>
      <c r="W109" s="35"/>
      <c r="X109" s="35"/>
      <c r="Z109" s="35"/>
      <c r="AA109" s="35"/>
    </row>
    <row r="110" spans="1:27" x14ac:dyDescent="0.3">
      <c r="A110" t="s">
        <v>533</v>
      </c>
      <c r="B110" t="s">
        <v>536</v>
      </c>
      <c r="C110" t="s">
        <v>437</v>
      </c>
      <c r="D110" t="s">
        <v>458</v>
      </c>
      <c r="E110">
        <v>14</v>
      </c>
      <c r="F110" s="35">
        <v>-4.6955999999999998</v>
      </c>
      <c r="G110" s="35">
        <v>-1.3984000000000001</v>
      </c>
      <c r="H110" s="36">
        <v>0.18729999999999999</v>
      </c>
      <c r="I110" s="36">
        <v>0.1401</v>
      </c>
      <c r="J110" s="36">
        <v>-0.24399999999999999</v>
      </c>
      <c r="K110" s="35"/>
      <c r="M110" s="35"/>
      <c r="O110" s="35"/>
      <c r="Q110" s="36"/>
      <c r="R110" s="36"/>
      <c r="T110" s="35"/>
      <c r="U110" s="35"/>
      <c r="W110" s="35"/>
      <c r="X110" s="35"/>
      <c r="Z110" s="35"/>
      <c r="AA110" s="35"/>
    </row>
    <row r="111" spans="1:27" x14ac:dyDescent="0.3">
      <c r="A111" t="s">
        <v>533</v>
      </c>
      <c r="B111" t="s">
        <v>536</v>
      </c>
      <c r="C111" t="s">
        <v>438</v>
      </c>
      <c r="D111" t="s">
        <v>458</v>
      </c>
      <c r="E111">
        <v>14</v>
      </c>
      <c r="F111" s="35">
        <v>-7.5102000000000002</v>
      </c>
      <c r="G111" s="35">
        <v>-2.2545000000000002</v>
      </c>
      <c r="H111" s="37">
        <v>4.36E-2</v>
      </c>
      <c r="I111" s="36">
        <v>0.29749999999999999</v>
      </c>
      <c r="J111" s="36">
        <v>-0.36259999999999998</v>
      </c>
      <c r="K111" s="35"/>
      <c r="M111" s="35"/>
      <c r="O111" s="35"/>
      <c r="Q111" s="36"/>
      <c r="R111" s="36"/>
      <c r="T111" s="35"/>
      <c r="U111" s="35"/>
      <c r="W111" s="35"/>
      <c r="X111" s="35"/>
      <c r="Z111" s="35"/>
      <c r="AA111" s="35"/>
    </row>
    <row r="112" spans="1:27" x14ac:dyDescent="0.3">
      <c r="A112" t="s">
        <v>533</v>
      </c>
      <c r="B112" t="s">
        <v>536</v>
      </c>
      <c r="C112" t="s">
        <v>439</v>
      </c>
      <c r="D112" t="s">
        <v>458</v>
      </c>
      <c r="E112">
        <v>14</v>
      </c>
      <c r="F112" s="35">
        <v>-6.7977999999999996</v>
      </c>
      <c r="G112" s="35">
        <v>-1.8376999999999999</v>
      </c>
      <c r="H112" s="36">
        <v>9.0999999999999998E-2</v>
      </c>
      <c r="I112" s="36">
        <v>0.21959999999999999</v>
      </c>
      <c r="J112" s="36">
        <v>-0.2923</v>
      </c>
      <c r="K112" s="35"/>
      <c r="M112" s="35"/>
      <c r="O112" s="35"/>
      <c r="Q112" s="36"/>
      <c r="R112" s="36"/>
      <c r="T112" s="35"/>
      <c r="U112" s="35"/>
      <c r="W112" s="35"/>
      <c r="X112" s="35"/>
      <c r="Z112" s="35"/>
      <c r="AA112" s="35"/>
    </row>
    <row r="113" spans="1:27" x14ac:dyDescent="0.3">
      <c r="A113" t="s">
        <v>537</v>
      </c>
      <c r="B113" t="s">
        <v>538</v>
      </c>
      <c r="C113" t="s">
        <v>435</v>
      </c>
      <c r="D113" t="s">
        <v>458</v>
      </c>
      <c r="E113">
        <v>14</v>
      </c>
      <c r="F113" s="35">
        <v>0.65300000000000002</v>
      </c>
      <c r="G113" s="35">
        <v>0.44169999999999998</v>
      </c>
      <c r="H113" s="36">
        <v>0.66659999999999997</v>
      </c>
      <c r="I113" s="36">
        <v>1.6E-2</v>
      </c>
      <c r="J113" s="36">
        <v>9.4399999999999998E-2</v>
      </c>
      <c r="K113" s="35"/>
      <c r="M113" s="35"/>
      <c r="O113" s="35"/>
      <c r="Q113" s="36"/>
      <c r="R113" s="36"/>
      <c r="T113" s="35"/>
      <c r="U113" s="35"/>
      <c r="W113" s="35"/>
      <c r="X113" s="35"/>
      <c r="Z113" s="35"/>
      <c r="AA113" s="35"/>
    </row>
    <row r="114" spans="1:27" x14ac:dyDescent="0.3">
      <c r="A114" t="s">
        <v>537</v>
      </c>
      <c r="B114" t="s">
        <v>538</v>
      </c>
      <c r="C114" t="s">
        <v>437</v>
      </c>
      <c r="D114" t="s">
        <v>458</v>
      </c>
      <c r="E114">
        <v>14</v>
      </c>
      <c r="F114" s="35">
        <v>0.78469999999999995</v>
      </c>
      <c r="G114" s="35">
        <v>0.54479999999999995</v>
      </c>
      <c r="H114" s="36">
        <v>0.59589999999999999</v>
      </c>
      <c r="I114" s="36">
        <v>2.41E-2</v>
      </c>
      <c r="J114" s="36">
        <v>0.14499999999999999</v>
      </c>
      <c r="K114" s="35"/>
      <c r="M114" s="35"/>
      <c r="O114" s="35"/>
      <c r="Q114" s="36"/>
      <c r="R114" s="36"/>
      <c r="T114" s="35"/>
      <c r="U114" s="35"/>
      <c r="W114" s="35"/>
      <c r="X114" s="35"/>
      <c r="Z114" s="35"/>
      <c r="AA114" s="35"/>
    </row>
    <row r="115" spans="1:27" x14ac:dyDescent="0.3">
      <c r="A115" t="s">
        <v>537</v>
      </c>
      <c r="B115" t="s">
        <v>538</v>
      </c>
      <c r="C115" t="s">
        <v>438</v>
      </c>
      <c r="D115" t="s">
        <v>458</v>
      </c>
      <c r="E115">
        <v>14</v>
      </c>
      <c r="F115" s="35">
        <v>0.41710000000000003</v>
      </c>
      <c r="G115" s="35">
        <v>0.26129999999999998</v>
      </c>
      <c r="H115" s="36">
        <v>0.79830000000000001</v>
      </c>
      <c r="I115" s="36">
        <v>5.7000000000000002E-3</v>
      </c>
      <c r="J115" s="36">
        <v>5.2900000000000003E-2</v>
      </c>
      <c r="K115" s="35"/>
      <c r="M115" s="35"/>
      <c r="O115" s="35"/>
      <c r="Q115" s="36"/>
      <c r="R115" s="36"/>
      <c r="T115" s="35"/>
      <c r="U115" s="35"/>
      <c r="W115" s="35"/>
      <c r="X115" s="35"/>
      <c r="Z115" s="35"/>
      <c r="AA115" s="35"/>
    </row>
    <row r="116" spans="1:27" x14ac:dyDescent="0.3">
      <c r="A116" t="s">
        <v>537</v>
      </c>
      <c r="B116" t="s">
        <v>538</v>
      </c>
      <c r="C116" t="s">
        <v>439</v>
      </c>
      <c r="D116" t="s">
        <v>458</v>
      </c>
      <c r="E116">
        <v>14</v>
      </c>
      <c r="F116" s="35">
        <v>0.8508</v>
      </c>
      <c r="G116" s="35">
        <v>0.51</v>
      </c>
      <c r="H116" s="36">
        <v>0.61929999999999996</v>
      </c>
      <c r="I116" s="36">
        <v>2.12E-2</v>
      </c>
      <c r="J116" s="36">
        <v>0.1358</v>
      </c>
      <c r="K116" s="35"/>
      <c r="M116" s="35"/>
      <c r="O116" s="35"/>
      <c r="Q116" s="36"/>
      <c r="R116" s="36"/>
      <c r="T116" s="35"/>
      <c r="U116" s="35"/>
      <c r="W116" s="35"/>
      <c r="X116" s="35"/>
      <c r="Z116" s="35"/>
      <c r="AA116" s="35"/>
    </row>
    <row r="117" spans="1:27" x14ac:dyDescent="0.3">
      <c r="A117" t="s">
        <v>537</v>
      </c>
      <c r="B117" t="s">
        <v>539</v>
      </c>
      <c r="C117" t="s">
        <v>435</v>
      </c>
      <c r="D117" t="s">
        <v>458</v>
      </c>
      <c r="E117">
        <v>11</v>
      </c>
      <c r="F117" s="35">
        <v>0.7389</v>
      </c>
      <c r="G117" s="35">
        <v>0.23580000000000001</v>
      </c>
      <c r="H117" s="36">
        <v>0.81889999999999996</v>
      </c>
      <c r="I117" s="36">
        <v>6.1000000000000004E-3</v>
      </c>
      <c r="J117" s="36">
        <v>2.01E-2</v>
      </c>
      <c r="K117" s="35">
        <v>-4.5999999999999996</v>
      </c>
      <c r="L117">
        <v>2</v>
      </c>
      <c r="M117" s="35">
        <v>-0.16669999999999999</v>
      </c>
      <c r="N117">
        <v>3</v>
      </c>
      <c r="O117" s="35">
        <v>-4.5999999999999996</v>
      </c>
      <c r="P117">
        <v>6</v>
      </c>
      <c r="Q117" s="36">
        <v>0.7923</v>
      </c>
      <c r="R117" s="36"/>
      <c r="T117" s="35"/>
      <c r="U117" s="35"/>
      <c r="W117" s="35"/>
      <c r="X117" s="35"/>
      <c r="Z117" s="35"/>
      <c r="AA117" s="35"/>
    </row>
    <row r="118" spans="1:27" x14ac:dyDescent="0.3">
      <c r="A118" t="s">
        <v>537</v>
      </c>
      <c r="B118" t="s">
        <v>539</v>
      </c>
      <c r="C118" t="s">
        <v>437</v>
      </c>
      <c r="D118" t="s">
        <v>458</v>
      </c>
      <c r="E118">
        <v>11</v>
      </c>
      <c r="F118" s="35">
        <v>1.4180999999999999</v>
      </c>
      <c r="G118" s="35">
        <v>0.47170000000000001</v>
      </c>
      <c r="H118" s="36">
        <v>0.64839999999999998</v>
      </c>
      <c r="I118" s="36">
        <v>2.41E-2</v>
      </c>
      <c r="J118" s="36">
        <v>0.1608</v>
      </c>
      <c r="K118" s="35">
        <v>-4.4000000000000004</v>
      </c>
      <c r="L118">
        <v>2</v>
      </c>
      <c r="M118" s="35">
        <v>-0.5</v>
      </c>
      <c r="N118">
        <v>3</v>
      </c>
      <c r="O118" s="35">
        <v>-5.7167000000000003</v>
      </c>
      <c r="P118">
        <v>6</v>
      </c>
      <c r="Q118" s="36">
        <v>0.94259999999999999</v>
      </c>
      <c r="R118" s="36"/>
      <c r="T118" s="35"/>
      <c r="U118" s="35"/>
      <c r="W118" s="35"/>
      <c r="X118" s="35"/>
      <c r="Z118" s="35"/>
      <c r="AA118" s="35"/>
    </row>
    <row r="119" spans="1:27" x14ac:dyDescent="0.3">
      <c r="A119" t="s">
        <v>537</v>
      </c>
      <c r="B119" t="s">
        <v>539</v>
      </c>
      <c r="C119" t="s">
        <v>438</v>
      </c>
      <c r="D119" t="s">
        <v>458</v>
      </c>
      <c r="E119">
        <v>11</v>
      </c>
      <c r="F119" s="35">
        <v>0.16389999999999999</v>
      </c>
      <c r="G119" s="35">
        <v>6.7599999999999993E-2</v>
      </c>
      <c r="H119" s="36">
        <v>0.9476</v>
      </c>
      <c r="I119" s="36">
        <v>5.0000000000000001E-4</v>
      </c>
      <c r="J119" s="36">
        <v>-5.0000000000000001E-3</v>
      </c>
      <c r="K119" s="35">
        <v>-6.1</v>
      </c>
      <c r="L119">
        <v>2</v>
      </c>
      <c r="M119" s="35">
        <v>-2.9</v>
      </c>
      <c r="N119">
        <v>3</v>
      </c>
      <c r="O119" s="35">
        <v>-5.4667000000000003</v>
      </c>
      <c r="P119">
        <v>6</v>
      </c>
      <c r="Q119" s="36">
        <v>0.69169999999999998</v>
      </c>
      <c r="R119" s="36"/>
      <c r="T119" s="35"/>
      <c r="U119" s="35"/>
      <c r="W119" s="35"/>
      <c r="X119" s="35"/>
      <c r="Z119" s="35"/>
      <c r="AA119" s="35"/>
    </row>
    <row r="120" spans="1:27" x14ac:dyDescent="0.3">
      <c r="A120" t="s">
        <v>537</v>
      </c>
      <c r="B120" t="s">
        <v>539</v>
      </c>
      <c r="C120" t="s">
        <v>439</v>
      </c>
      <c r="D120" t="s">
        <v>458</v>
      </c>
      <c r="E120">
        <v>11</v>
      </c>
      <c r="F120" s="35">
        <v>2.0207999999999999</v>
      </c>
      <c r="G120" s="35">
        <v>0.71040000000000003</v>
      </c>
      <c r="H120" s="36">
        <v>0.4955</v>
      </c>
      <c r="I120" s="36">
        <v>5.3100000000000001E-2</v>
      </c>
      <c r="J120" s="36">
        <v>0.1608</v>
      </c>
      <c r="K120" s="35">
        <v>-4.9000000000000004</v>
      </c>
      <c r="L120">
        <v>2</v>
      </c>
      <c r="M120" s="35">
        <v>-4.0332999999999997</v>
      </c>
      <c r="N120">
        <v>3</v>
      </c>
      <c r="O120" s="35">
        <v>-8.1166999999999998</v>
      </c>
      <c r="P120">
        <v>6</v>
      </c>
      <c r="Q120" s="36">
        <v>0.6583</v>
      </c>
      <c r="R120" s="36"/>
      <c r="T120" s="35"/>
      <c r="U120" s="35"/>
      <c r="W120" s="35"/>
      <c r="X120" s="35"/>
      <c r="Z120" s="35"/>
      <c r="AA120" s="35"/>
    </row>
    <row r="121" spans="1:27" x14ac:dyDescent="0.3">
      <c r="A121" t="s">
        <v>540</v>
      </c>
      <c r="B121" t="s">
        <v>541</v>
      </c>
      <c r="C121" t="s">
        <v>435</v>
      </c>
      <c r="D121" t="s">
        <v>458</v>
      </c>
      <c r="E121">
        <v>14</v>
      </c>
      <c r="F121" s="35">
        <v>0.41399999999999998</v>
      </c>
      <c r="G121" s="35">
        <v>0.15079999999999999</v>
      </c>
      <c r="H121" s="36">
        <v>0.88270000000000004</v>
      </c>
      <c r="I121" s="36">
        <v>1.9E-3</v>
      </c>
      <c r="J121" s="36">
        <v>0.156</v>
      </c>
      <c r="K121" s="35">
        <v>-1.2</v>
      </c>
      <c r="L121">
        <v>4</v>
      </c>
      <c r="M121" s="35">
        <v>4.5999999999999996</v>
      </c>
      <c r="N121">
        <v>1</v>
      </c>
      <c r="O121" s="35">
        <v>-1.6444000000000001</v>
      </c>
      <c r="P121">
        <v>9</v>
      </c>
      <c r="Q121" s="36">
        <v>0.95940000000000003</v>
      </c>
      <c r="R121" s="36"/>
      <c r="T121" s="35"/>
      <c r="U121" s="35"/>
      <c r="W121" s="35"/>
      <c r="X121" s="35"/>
      <c r="Z121" s="35"/>
      <c r="AA121" s="35"/>
    </row>
    <row r="122" spans="1:27" x14ac:dyDescent="0.3">
      <c r="A122" t="s">
        <v>540</v>
      </c>
      <c r="B122" t="s">
        <v>541</v>
      </c>
      <c r="C122" t="s">
        <v>437</v>
      </c>
      <c r="D122" t="s">
        <v>458</v>
      </c>
      <c r="E122">
        <v>14</v>
      </c>
      <c r="F122" s="35">
        <v>3.3799999999999997E-2</v>
      </c>
      <c r="G122" s="35">
        <v>1.26E-2</v>
      </c>
      <c r="H122" s="36">
        <v>0.99019999999999997</v>
      </c>
      <c r="I122" s="36">
        <v>0</v>
      </c>
      <c r="J122" s="36">
        <v>0.156</v>
      </c>
      <c r="K122" s="35">
        <v>-2.375</v>
      </c>
      <c r="L122">
        <v>4</v>
      </c>
      <c r="M122" s="35">
        <v>4.4000000000000004</v>
      </c>
      <c r="N122">
        <v>1</v>
      </c>
      <c r="O122" s="35">
        <v>-2.0222000000000002</v>
      </c>
      <c r="P122">
        <v>9</v>
      </c>
      <c r="Q122" s="36">
        <v>0.77739999999999998</v>
      </c>
      <c r="R122" s="36"/>
      <c r="T122" s="35"/>
      <c r="U122" s="35"/>
      <c r="W122" s="35"/>
      <c r="X122" s="35"/>
      <c r="Z122" s="35"/>
      <c r="AA122" s="35"/>
    </row>
    <row r="123" spans="1:27" x14ac:dyDescent="0.3">
      <c r="A123" t="s">
        <v>540</v>
      </c>
      <c r="B123" t="s">
        <v>541</v>
      </c>
      <c r="C123" t="s">
        <v>438</v>
      </c>
      <c r="D123" t="s">
        <v>458</v>
      </c>
      <c r="E123">
        <v>14</v>
      </c>
      <c r="F123" s="35">
        <v>0.1847</v>
      </c>
      <c r="G123" s="35">
        <v>6.2600000000000003E-2</v>
      </c>
      <c r="H123" s="36">
        <v>0.95109999999999995</v>
      </c>
      <c r="I123" s="36">
        <v>2.9999999999999997E-4</v>
      </c>
      <c r="J123" s="36">
        <v>0.104</v>
      </c>
      <c r="K123" s="35">
        <v>-2.7</v>
      </c>
      <c r="L123">
        <v>4</v>
      </c>
      <c r="M123" s="35">
        <v>10.3</v>
      </c>
      <c r="N123">
        <v>1</v>
      </c>
      <c r="O123" s="35">
        <v>-2.2555999999999998</v>
      </c>
      <c r="P123">
        <v>9</v>
      </c>
      <c r="Q123" s="36">
        <v>0.65480000000000005</v>
      </c>
      <c r="R123" s="36"/>
      <c r="T123" s="35"/>
      <c r="U123" s="35"/>
      <c r="W123" s="35"/>
      <c r="X123" s="35"/>
      <c r="Z123" s="35"/>
      <c r="AA123" s="35"/>
    </row>
    <row r="124" spans="1:27" x14ac:dyDescent="0.3">
      <c r="A124" t="s">
        <v>540</v>
      </c>
      <c r="B124" t="s">
        <v>541</v>
      </c>
      <c r="C124" t="s">
        <v>439</v>
      </c>
      <c r="D124" t="s">
        <v>458</v>
      </c>
      <c r="E124">
        <v>14</v>
      </c>
      <c r="F124" s="35">
        <v>0.12989999999999999</v>
      </c>
      <c r="G124" s="35">
        <v>4.1799999999999997E-2</v>
      </c>
      <c r="H124" s="36">
        <v>0.96740000000000004</v>
      </c>
      <c r="I124" s="36">
        <v>1E-4</v>
      </c>
      <c r="J124" s="36">
        <v>6.5000000000000002E-2</v>
      </c>
      <c r="K124" s="35">
        <v>-4.2249999999999996</v>
      </c>
      <c r="L124">
        <v>4</v>
      </c>
      <c r="M124" s="35">
        <v>8.9</v>
      </c>
      <c r="N124">
        <v>1</v>
      </c>
      <c r="O124" s="35">
        <v>-3.6667000000000001</v>
      </c>
      <c r="P124">
        <v>9</v>
      </c>
      <c r="Q124" s="36">
        <v>0.66979999999999995</v>
      </c>
      <c r="R124" s="36"/>
      <c r="T124" s="35"/>
      <c r="U124" s="35"/>
      <c r="W124" s="35"/>
      <c r="X124" s="35"/>
      <c r="Z124" s="35"/>
      <c r="AA124" s="35"/>
    </row>
    <row r="125" spans="1:27" x14ac:dyDescent="0.3">
      <c r="A125" t="s">
        <v>540</v>
      </c>
      <c r="B125" t="s">
        <v>542</v>
      </c>
      <c r="C125" t="s">
        <v>435</v>
      </c>
      <c r="D125" t="s">
        <v>458</v>
      </c>
      <c r="E125">
        <v>14</v>
      </c>
      <c r="F125" s="35"/>
      <c r="G125" s="35"/>
      <c r="H125" s="36"/>
      <c r="I125" s="36"/>
      <c r="J125" s="36"/>
      <c r="K125" s="35"/>
      <c r="M125" s="35"/>
      <c r="O125" s="35"/>
      <c r="Q125" s="36"/>
      <c r="R125" s="36"/>
      <c r="T125" s="35"/>
      <c r="U125" s="35"/>
      <c r="W125" s="35"/>
      <c r="X125" s="35"/>
      <c r="Z125" s="35"/>
      <c r="AA125" s="35"/>
    </row>
    <row r="126" spans="1:27" x14ac:dyDescent="0.3">
      <c r="A126" t="s">
        <v>540</v>
      </c>
      <c r="B126" t="s">
        <v>542</v>
      </c>
      <c r="C126" t="s">
        <v>437</v>
      </c>
      <c r="D126" t="s">
        <v>458</v>
      </c>
      <c r="E126">
        <v>14</v>
      </c>
      <c r="F126" s="35"/>
      <c r="G126" s="35"/>
      <c r="H126" s="36"/>
      <c r="I126" s="36"/>
      <c r="J126" s="36"/>
      <c r="K126" s="35"/>
      <c r="M126" s="35"/>
      <c r="O126" s="35"/>
      <c r="Q126" s="36"/>
      <c r="R126" s="36"/>
      <c r="T126" s="35"/>
      <c r="U126" s="35"/>
      <c r="W126" s="35"/>
      <c r="X126" s="35"/>
      <c r="Z126" s="35"/>
      <c r="AA126" s="35"/>
    </row>
    <row r="127" spans="1:27" x14ac:dyDescent="0.3">
      <c r="A127" t="s">
        <v>540</v>
      </c>
      <c r="B127" t="s">
        <v>542</v>
      </c>
      <c r="C127" t="s">
        <v>438</v>
      </c>
      <c r="D127" t="s">
        <v>458</v>
      </c>
      <c r="E127">
        <v>14</v>
      </c>
      <c r="F127" s="35"/>
      <c r="G127" s="35"/>
      <c r="H127" s="36"/>
      <c r="I127" s="36"/>
      <c r="J127" s="36"/>
      <c r="K127" s="35"/>
      <c r="M127" s="35"/>
      <c r="O127" s="35"/>
      <c r="Q127" s="36"/>
      <c r="R127" s="36"/>
      <c r="T127" s="35"/>
      <c r="U127" s="35"/>
      <c r="W127" s="35"/>
      <c r="X127" s="35"/>
      <c r="Z127" s="35"/>
      <c r="AA127" s="35"/>
    </row>
    <row r="128" spans="1:27" x14ac:dyDescent="0.3">
      <c r="A128" t="s">
        <v>540</v>
      </c>
      <c r="B128" t="s">
        <v>542</v>
      </c>
      <c r="C128" t="s">
        <v>439</v>
      </c>
      <c r="D128" t="s">
        <v>458</v>
      </c>
      <c r="E128">
        <v>14</v>
      </c>
      <c r="F128" s="35"/>
      <c r="G128" s="35"/>
      <c r="H128" s="36"/>
      <c r="I128" s="36"/>
      <c r="J128" s="36"/>
      <c r="K128" s="35"/>
      <c r="M128" s="35"/>
      <c r="O128" s="35"/>
      <c r="Q128" s="36"/>
      <c r="R128" s="36"/>
      <c r="T128" s="35"/>
      <c r="U128" s="35"/>
      <c r="W128" s="35"/>
      <c r="X128" s="35"/>
      <c r="Z128" s="35"/>
      <c r="AA128" s="35"/>
    </row>
    <row r="129" spans="1:27" x14ac:dyDescent="0.3">
      <c r="A129" t="s">
        <v>543</v>
      </c>
      <c r="B129" t="s">
        <v>541</v>
      </c>
      <c r="C129" t="s">
        <v>435</v>
      </c>
      <c r="D129" t="s">
        <v>458</v>
      </c>
      <c r="E129">
        <v>13</v>
      </c>
      <c r="F129" s="35">
        <v>-2.0491000000000001</v>
      </c>
      <c r="G129" s="35">
        <v>-0.65469999999999995</v>
      </c>
      <c r="H129" s="36">
        <v>0.52610000000000001</v>
      </c>
      <c r="I129" s="36">
        <v>3.7499999999999999E-2</v>
      </c>
      <c r="J129" s="36">
        <v>-0.23599999999999999</v>
      </c>
      <c r="K129" s="35">
        <v>-2.8285999999999998</v>
      </c>
      <c r="L129">
        <v>7</v>
      </c>
      <c r="M129" s="35">
        <v>-1.3332999999999999</v>
      </c>
      <c r="N129">
        <v>3</v>
      </c>
      <c r="O129" s="35">
        <v>1.4</v>
      </c>
      <c r="P129">
        <v>3</v>
      </c>
      <c r="Q129" s="36">
        <v>0.58589999999999998</v>
      </c>
      <c r="R129" s="36"/>
      <c r="T129" s="35"/>
      <c r="U129" s="35"/>
      <c r="W129" s="35"/>
      <c r="X129" s="35"/>
      <c r="Z129" s="35"/>
      <c r="AA129" s="35"/>
    </row>
    <row r="130" spans="1:27" x14ac:dyDescent="0.3">
      <c r="A130" t="s">
        <v>543</v>
      </c>
      <c r="B130" t="s">
        <v>541</v>
      </c>
      <c r="C130" t="s">
        <v>437</v>
      </c>
      <c r="D130" t="s">
        <v>458</v>
      </c>
      <c r="E130">
        <v>13</v>
      </c>
      <c r="F130" s="35">
        <v>-1.3202</v>
      </c>
      <c r="G130" s="35">
        <v>-0.4279</v>
      </c>
      <c r="H130" s="36">
        <v>0.67700000000000005</v>
      </c>
      <c r="I130" s="36">
        <v>1.6400000000000001E-2</v>
      </c>
      <c r="J130" s="36">
        <v>-7.8700000000000006E-2</v>
      </c>
      <c r="K130" s="35">
        <v>-2.8142999999999998</v>
      </c>
      <c r="L130">
        <v>7</v>
      </c>
      <c r="M130" s="35">
        <v>-2.8</v>
      </c>
      <c r="N130">
        <v>3</v>
      </c>
      <c r="O130" s="35">
        <v>0.1333</v>
      </c>
      <c r="P130">
        <v>3</v>
      </c>
      <c r="Q130" s="36">
        <v>0.77500000000000002</v>
      </c>
      <c r="R130" s="36"/>
      <c r="T130" s="35"/>
      <c r="U130" s="35"/>
      <c r="W130" s="35"/>
      <c r="X130" s="35"/>
      <c r="Z130" s="35"/>
      <c r="AA130" s="35"/>
    </row>
    <row r="131" spans="1:27" x14ac:dyDescent="0.3">
      <c r="A131" t="s">
        <v>543</v>
      </c>
      <c r="B131" t="s">
        <v>541</v>
      </c>
      <c r="C131" t="s">
        <v>438</v>
      </c>
      <c r="D131" t="s">
        <v>458</v>
      </c>
      <c r="E131">
        <v>13</v>
      </c>
      <c r="F131" s="35">
        <v>1.764</v>
      </c>
      <c r="G131" s="35">
        <v>0.54910000000000003</v>
      </c>
      <c r="H131" s="36">
        <v>0.59389999999999998</v>
      </c>
      <c r="I131" s="36">
        <v>2.6700000000000002E-2</v>
      </c>
      <c r="J131" s="36">
        <v>-6.6600000000000006E-2</v>
      </c>
      <c r="K131" s="35">
        <v>-1.7571000000000001</v>
      </c>
      <c r="L131">
        <v>7</v>
      </c>
      <c r="M131" s="35">
        <v>-0.2</v>
      </c>
      <c r="N131">
        <v>3</v>
      </c>
      <c r="O131" s="35">
        <v>-6.0667</v>
      </c>
      <c r="P131">
        <v>3</v>
      </c>
      <c r="Q131" s="36">
        <v>0.79559999999999997</v>
      </c>
      <c r="R131" s="36"/>
      <c r="T131" s="35"/>
      <c r="U131" s="35"/>
      <c r="W131" s="35"/>
      <c r="X131" s="35"/>
      <c r="Z131" s="35"/>
      <c r="AA131" s="35"/>
    </row>
    <row r="132" spans="1:27" x14ac:dyDescent="0.3">
      <c r="A132" t="s">
        <v>543</v>
      </c>
      <c r="B132" t="s">
        <v>541</v>
      </c>
      <c r="C132" t="s">
        <v>439</v>
      </c>
      <c r="D132" t="s">
        <v>458</v>
      </c>
      <c r="E132">
        <v>13</v>
      </c>
      <c r="F132" s="35">
        <v>1.7053</v>
      </c>
      <c r="G132" s="35">
        <v>0.49940000000000001</v>
      </c>
      <c r="H132" s="36">
        <v>0.62739999999999996</v>
      </c>
      <c r="I132" s="36">
        <v>2.2200000000000001E-2</v>
      </c>
      <c r="J132" s="36">
        <v>4.24E-2</v>
      </c>
      <c r="K132" s="35">
        <v>-3.1714000000000002</v>
      </c>
      <c r="L132">
        <v>7</v>
      </c>
      <c r="M132" s="35">
        <v>-1.9666999999999999</v>
      </c>
      <c r="N132">
        <v>3</v>
      </c>
      <c r="O132" s="35">
        <v>-7.2667000000000002</v>
      </c>
      <c r="P132">
        <v>3</v>
      </c>
      <c r="Q132" s="36">
        <v>0.79900000000000004</v>
      </c>
      <c r="R132" s="36"/>
      <c r="T132" s="35"/>
      <c r="U132" s="35"/>
      <c r="W132" s="35"/>
      <c r="X132" s="35"/>
      <c r="Z132" s="35"/>
      <c r="AA132" s="35"/>
    </row>
    <row r="133" spans="1:27" x14ac:dyDescent="0.3">
      <c r="A133" t="s">
        <v>544</v>
      </c>
      <c r="B133" t="s">
        <v>541</v>
      </c>
      <c r="C133" t="s">
        <v>435</v>
      </c>
      <c r="D133" t="s">
        <v>458</v>
      </c>
      <c r="E133">
        <v>12</v>
      </c>
      <c r="F133" s="35">
        <v>-0.3407</v>
      </c>
      <c r="G133" s="35">
        <v>-8.8099999999999998E-2</v>
      </c>
      <c r="H133" s="36">
        <v>0.93149999999999999</v>
      </c>
      <c r="I133" s="36">
        <v>8.0000000000000004E-4</v>
      </c>
      <c r="J133" s="36">
        <v>1.26E-2</v>
      </c>
      <c r="K133" s="35">
        <v>-2.9375</v>
      </c>
      <c r="L133">
        <v>8</v>
      </c>
      <c r="M133" s="35">
        <v>3.2332999999999998</v>
      </c>
      <c r="N133">
        <v>3</v>
      </c>
      <c r="O133" s="35">
        <v>-8.6999999999999993</v>
      </c>
      <c r="P133">
        <v>1</v>
      </c>
      <c r="Q133" s="36">
        <v>0.64839999999999998</v>
      </c>
      <c r="R133" s="36"/>
      <c r="T133" s="35"/>
      <c r="U133" s="35"/>
      <c r="W133" s="35"/>
      <c r="X133" s="35"/>
      <c r="Z133" s="35"/>
      <c r="AA133" s="35"/>
    </row>
    <row r="134" spans="1:27" x14ac:dyDescent="0.3">
      <c r="A134" t="s">
        <v>544</v>
      </c>
      <c r="B134" t="s">
        <v>541</v>
      </c>
      <c r="C134" t="s">
        <v>437</v>
      </c>
      <c r="D134" t="s">
        <v>458</v>
      </c>
      <c r="E134">
        <v>12</v>
      </c>
      <c r="F134" s="35">
        <v>-0.70850000000000002</v>
      </c>
      <c r="G134" s="35">
        <v>-0.1895</v>
      </c>
      <c r="H134" s="36">
        <v>0.85350000000000004</v>
      </c>
      <c r="I134" s="36">
        <v>3.5999999999999999E-3</v>
      </c>
      <c r="J134" s="36">
        <v>-7.9799999999999996E-2</v>
      </c>
      <c r="K134" s="35">
        <v>-3.7374999999999998</v>
      </c>
      <c r="L134">
        <v>8</v>
      </c>
      <c r="M134" s="35">
        <v>2.8332999999999999</v>
      </c>
      <c r="N134">
        <v>3</v>
      </c>
      <c r="O134" s="35">
        <v>-8.8000000000000007</v>
      </c>
      <c r="P134">
        <v>1</v>
      </c>
      <c r="Q134" s="36">
        <v>0.58989999999999998</v>
      </c>
      <c r="R134" s="36"/>
      <c r="T134" s="35"/>
      <c r="U134" s="35"/>
      <c r="W134" s="35"/>
      <c r="X134" s="35"/>
      <c r="Z134" s="35"/>
      <c r="AA134" s="35"/>
    </row>
    <row r="135" spans="1:27" x14ac:dyDescent="0.3">
      <c r="A135" t="s">
        <v>544</v>
      </c>
      <c r="B135" t="s">
        <v>541</v>
      </c>
      <c r="C135" t="s">
        <v>438</v>
      </c>
      <c r="D135" t="s">
        <v>458</v>
      </c>
      <c r="E135">
        <v>12</v>
      </c>
      <c r="F135" s="35">
        <v>-1.5373000000000001</v>
      </c>
      <c r="G135" s="35">
        <v>-0.3256</v>
      </c>
      <c r="H135" s="36">
        <v>0.75139999999999996</v>
      </c>
      <c r="I135" s="36">
        <v>1.0500000000000001E-2</v>
      </c>
      <c r="J135" s="36">
        <v>-7.9799999999999996E-2</v>
      </c>
      <c r="K135" s="35">
        <v>-3.25</v>
      </c>
      <c r="L135">
        <v>8</v>
      </c>
      <c r="M135" s="35">
        <v>6</v>
      </c>
      <c r="N135">
        <v>3</v>
      </c>
      <c r="O135" s="35">
        <v>-8.6999999999999993</v>
      </c>
      <c r="P135">
        <v>1</v>
      </c>
      <c r="Q135" s="36">
        <v>0.49399999999999999</v>
      </c>
      <c r="R135" s="36"/>
      <c r="T135" s="35"/>
      <c r="U135" s="35"/>
      <c r="W135" s="35"/>
      <c r="X135" s="35"/>
      <c r="Z135" s="35"/>
      <c r="AA135" s="35"/>
    </row>
    <row r="136" spans="1:27" x14ac:dyDescent="0.3">
      <c r="A136" t="s">
        <v>544</v>
      </c>
      <c r="B136" t="s">
        <v>541</v>
      </c>
      <c r="C136" t="s">
        <v>439</v>
      </c>
      <c r="D136" t="s">
        <v>458</v>
      </c>
      <c r="E136">
        <v>12</v>
      </c>
      <c r="F136" s="35">
        <v>-2.7084999999999999</v>
      </c>
      <c r="G136" s="35">
        <v>-0.56330000000000002</v>
      </c>
      <c r="H136" s="36">
        <v>0.5857</v>
      </c>
      <c r="I136" s="36">
        <v>3.0800000000000001E-2</v>
      </c>
      <c r="J136" s="36">
        <v>-0.18909999999999999</v>
      </c>
      <c r="K136" s="35">
        <v>-5.2374999999999998</v>
      </c>
      <c r="L136">
        <v>8</v>
      </c>
      <c r="M136" s="35">
        <v>4.5999999999999996</v>
      </c>
      <c r="N136">
        <v>3</v>
      </c>
      <c r="O136" s="35">
        <v>-7.7</v>
      </c>
      <c r="P136">
        <v>1</v>
      </c>
      <c r="Q136" s="36">
        <v>0.38829999999999998</v>
      </c>
      <c r="R136" s="36"/>
      <c r="T136" s="35"/>
      <c r="U136" s="35"/>
      <c r="W136" s="35"/>
      <c r="X136" s="35"/>
      <c r="Z136" s="35"/>
      <c r="AA136" s="35"/>
    </row>
    <row r="137" spans="1:27" x14ac:dyDescent="0.3">
      <c r="A137" t="s">
        <v>545</v>
      </c>
      <c r="B137" t="s">
        <v>546</v>
      </c>
      <c r="C137" t="s">
        <v>435</v>
      </c>
      <c r="D137" t="s">
        <v>458</v>
      </c>
      <c r="E137">
        <v>0</v>
      </c>
      <c r="F137" s="35"/>
      <c r="G137" s="35"/>
      <c r="H137" s="36"/>
      <c r="I137" s="36"/>
      <c r="J137" s="36"/>
      <c r="K137" s="35"/>
      <c r="M137" s="35"/>
      <c r="O137" s="35"/>
      <c r="Q137" s="36"/>
      <c r="R137" s="36"/>
      <c r="T137" s="35"/>
      <c r="U137" s="35"/>
      <c r="W137" s="35"/>
      <c r="X137" s="35"/>
      <c r="Z137" s="35"/>
      <c r="AA137" s="35"/>
    </row>
    <row r="138" spans="1:27" x14ac:dyDescent="0.3">
      <c r="A138" t="s">
        <v>545</v>
      </c>
      <c r="B138" t="s">
        <v>546</v>
      </c>
      <c r="C138" t="s">
        <v>437</v>
      </c>
      <c r="D138" t="s">
        <v>458</v>
      </c>
      <c r="E138">
        <v>0</v>
      </c>
      <c r="F138" s="35"/>
      <c r="G138" s="35"/>
      <c r="H138" s="36"/>
      <c r="I138" s="36"/>
      <c r="J138" s="36"/>
      <c r="K138" s="35"/>
      <c r="M138" s="35"/>
      <c r="O138" s="35"/>
      <c r="Q138" s="36"/>
      <c r="R138" s="36"/>
      <c r="T138" s="35"/>
      <c r="U138" s="35"/>
      <c r="W138" s="35"/>
      <c r="X138" s="35"/>
      <c r="Z138" s="35"/>
      <c r="AA138" s="35"/>
    </row>
    <row r="139" spans="1:27" x14ac:dyDescent="0.3">
      <c r="A139" t="s">
        <v>545</v>
      </c>
      <c r="B139" t="s">
        <v>546</v>
      </c>
      <c r="C139" t="s">
        <v>438</v>
      </c>
      <c r="D139" t="s">
        <v>458</v>
      </c>
      <c r="E139">
        <v>0</v>
      </c>
      <c r="F139" s="35"/>
      <c r="G139" s="35"/>
      <c r="H139" s="36"/>
      <c r="I139" s="36"/>
      <c r="J139" s="36"/>
      <c r="K139" s="35"/>
      <c r="M139" s="35"/>
      <c r="O139" s="35"/>
      <c r="Q139" s="36"/>
      <c r="R139" s="36"/>
      <c r="T139" s="35"/>
      <c r="U139" s="35"/>
      <c r="W139" s="35"/>
      <c r="X139" s="35"/>
      <c r="Z139" s="35"/>
      <c r="AA139" s="35"/>
    </row>
    <row r="140" spans="1:27" x14ac:dyDescent="0.3">
      <c r="A140" t="s">
        <v>545</v>
      </c>
      <c r="B140" t="s">
        <v>546</v>
      </c>
      <c r="C140" t="s">
        <v>439</v>
      </c>
      <c r="D140" t="s">
        <v>458</v>
      </c>
      <c r="E140">
        <v>0</v>
      </c>
      <c r="F140" s="35"/>
      <c r="G140" s="35"/>
      <c r="H140" s="36"/>
      <c r="I140" s="36"/>
      <c r="J140" s="36"/>
      <c r="K140" s="35"/>
      <c r="M140" s="35"/>
      <c r="O140" s="35"/>
      <c r="Q140" s="36"/>
      <c r="R140" s="36"/>
      <c r="T140" s="35"/>
      <c r="U140" s="35"/>
      <c r="W140" s="35"/>
      <c r="X140" s="35"/>
      <c r="Z140" s="35"/>
      <c r="AA140" s="35"/>
    </row>
    <row r="141" spans="1:27" x14ac:dyDescent="0.3">
      <c r="A141" t="s">
        <v>547</v>
      </c>
      <c r="B141" t="s">
        <v>548</v>
      </c>
      <c r="C141" t="s">
        <v>435</v>
      </c>
      <c r="D141" t="s">
        <v>458</v>
      </c>
      <c r="E141">
        <v>14</v>
      </c>
      <c r="F141" s="35">
        <v>1.1727000000000001</v>
      </c>
      <c r="G141" s="35">
        <v>0.19589999999999999</v>
      </c>
      <c r="H141" s="36">
        <v>0.84789999999999999</v>
      </c>
      <c r="I141" s="36">
        <v>3.2000000000000002E-3</v>
      </c>
      <c r="J141" s="36">
        <v>5.5399999999999998E-2</v>
      </c>
      <c r="K141" s="35"/>
      <c r="M141" s="35"/>
      <c r="O141" s="35"/>
      <c r="Q141" s="36"/>
      <c r="R141" s="36"/>
      <c r="T141" s="35"/>
      <c r="U141" s="35"/>
      <c r="W141" s="35"/>
      <c r="X141" s="35"/>
      <c r="Z141" s="35"/>
      <c r="AA141" s="35"/>
    </row>
    <row r="142" spans="1:27" x14ac:dyDescent="0.3">
      <c r="A142" t="s">
        <v>547</v>
      </c>
      <c r="B142" t="s">
        <v>548</v>
      </c>
      <c r="C142" t="s">
        <v>437</v>
      </c>
      <c r="D142" t="s">
        <v>458</v>
      </c>
      <c r="E142">
        <v>14</v>
      </c>
      <c r="F142" s="35">
        <v>0.59089999999999998</v>
      </c>
      <c r="G142" s="35">
        <v>0.1008</v>
      </c>
      <c r="H142" s="36">
        <v>0.9214</v>
      </c>
      <c r="I142" s="36">
        <v>8.0000000000000004E-4</v>
      </c>
      <c r="J142" s="36">
        <v>0.1275</v>
      </c>
      <c r="K142" s="35"/>
      <c r="M142" s="35"/>
      <c r="O142" s="35"/>
      <c r="Q142" s="36"/>
      <c r="R142" s="36"/>
      <c r="T142" s="35"/>
      <c r="U142" s="35"/>
      <c r="W142" s="35"/>
      <c r="X142" s="35"/>
      <c r="Z142" s="35"/>
      <c r="AA142" s="35"/>
    </row>
    <row r="143" spans="1:27" x14ac:dyDescent="0.3">
      <c r="A143" t="s">
        <v>547</v>
      </c>
      <c r="B143" t="s">
        <v>548</v>
      </c>
      <c r="C143" t="s">
        <v>438</v>
      </c>
      <c r="D143" t="s">
        <v>458</v>
      </c>
      <c r="E143">
        <v>14</v>
      </c>
      <c r="F143" s="35">
        <v>3.8847999999999998</v>
      </c>
      <c r="G143" s="35">
        <v>0.61280000000000001</v>
      </c>
      <c r="H143" s="36">
        <v>0.5514</v>
      </c>
      <c r="I143" s="36">
        <v>3.0300000000000001E-2</v>
      </c>
      <c r="J143" s="36">
        <v>0.1857</v>
      </c>
      <c r="K143" s="35"/>
      <c r="M143" s="35"/>
      <c r="O143" s="35"/>
      <c r="Q143" s="36"/>
      <c r="R143" s="36"/>
      <c r="T143" s="35"/>
      <c r="U143" s="35"/>
      <c r="W143" s="35"/>
      <c r="X143" s="35"/>
      <c r="Z143" s="35"/>
      <c r="AA143" s="35"/>
    </row>
    <row r="144" spans="1:27" x14ac:dyDescent="0.3">
      <c r="A144" t="s">
        <v>547</v>
      </c>
      <c r="B144" t="s">
        <v>548</v>
      </c>
      <c r="C144" t="s">
        <v>439</v>
      </c>
      <c r="D144" t="s">
        <v>458</v>
      </c>
      <c r="E144">
        <v>14</v>
      </c>
      <c r="F144" s="35">
        <v>2.6667000000000001</v>
      </c>
      <c r="G144" s="35">
        <v>0.3957</v>
      </c>
      <c r="H144" s="36">
        <v>0.69920000000000004</v>
      </c>
      <c r="I144" s="36">
        <v>1.29E-2</v>
      </c>
      <c r="J144" s="36">
        <v>0.2467</v>
      </c>
      <c r="K144" s="35"/>
      <c r="M144" s="35"/>
      <c r="O144" s="35"/>
      <c r="Q144" s="36"/>
      <c r="R144" s="36"/>
      <c r="T144" s="35"/>
      <c r="U144" s="35"/>
      <c r="W144" s="35"/>
      <c r="X144" s="35"/>
      <c r="Z144" s="35"/>
      <c r="AA144" s="35"/>
    </row>
    <row r="145" spans="1:27" x14ac:dyDescent="0.3">
      <c r="A145" t="s">
        <v>547</v>
      </c>
      <c r="B145" t="s">
        <v>549</v>
      </c>
      <c r="C145" t="s">
        <v>435</v>
      </c>
      <c r="D145" t="s">
        <v>458</v>
      </c>
      <c r="E145">
        <v>14</v>
      </c>
      <c r="F145" s="35">
        <v>3.4950000000000001</v>
      </c>
      <c r="G145" s="35">
        <v>0.6532</v>
      </c>
      <c r="H145" s="36">
        <v>0.52600000000000002</v>
      </c>
      <c r="I145" s="36">
        <v>3.4299999999999997E-2</v>
      </c>
      <c r="J145" s="36">
        <v>7.8399999999999997E-2</v>
      </c>
      <c r="K145" s="35">
        <v>1.425</v>
      </c>
      <c r="L145">
        <v>4</v>
      </c>
      <c r="M145" s="35">
        <v>-2.0699999999999998</v>
      </c>
      <c r="N145">
        <v>10</v>
      </c>
      <c r="O145" s="35"/>
      <c r="Q145" s="36">
        <v>0.60089999999999999</v>
      </c>
      <c r="R145" s="36"/>
      <c r="T145" s="35"/>
      <c r="U145" s="35"/>
      <c r="W145" s="35"/>
      <c r="X145" s="35"/>
      <c r="Z145" s="35"/>
      <c r="AA145" s="35"/>
    </row>
    <row r="146" spans="1:27" x14ac:dyDescent="0.3">
      <c r="A146" t="s">
        <v>547</v>
      </c>
      <c r="B146" t="s">
        <v>549</v>
      </c>
      <c r="C146" t="s">
        <v>437</v>
      </c>
      <c r="D146" t="s">
        <v>458</v>
      </c>
      <c r="E146">
        <v>14</v>
      </c>
      <c r="F146" s="35">
        <v>3.38</v>
      </c>
      <c r="G146" s="35">
        <v>0.64539999999999997</v>
      </c>
      <c r="H146" s="36">
        <v>0.53080000000000005</v>
      </c>
      <c r="I146" s="36">
        <v>3.3500000000000002E-2</v>
      </c>
      <c r="J146" s="36">
        <v>0.15690000000000001</v>
      </c>
      <c r="K146" s="35">
        <v>0.75</v>
      </c>
      <c r="L146">
        <v>4</v>
      </c>
      <c r="M146" s="35">
        <v>-2.63</v>
      </c>
      <c r="N146">
        <v>10</v>
      </c>
      <c r="O146" s="35"/>
      <c r="Q146" s="36">
        <v>0.60589999999999999</v>
      </c>
      <c r="R146" s="36"/>
      <c r="T146" s="35"/>
      <c r="U146" s="35"/>
      <c r="W146" s="35"/>
      <c r="X146" s="35"/>
      <c r="Z146" s="35"/>
      <c r="AA146" s="35"/>
    </row>
    <row r="147" spans="1:27" x14ac:dyDescent="0.3">
      <c r="A147" t="s">
        <v>547</v>
      </c>
      <c r="B147" t="s">
        <v>549</v>
      </c>
      <c r="C147" t="s">
        <v>438</v>
      </c>
      <c r="D147" t="s">
        <v>458</v>
      </c>
      <c r="E147">
        <v>14</v>
      </c>
      <c r="F147" s="35">
        <v>6.42</v>
      </c>
      <c r="G147" s="35">
        <v>1.1576</v>
      </c>
      <c r="H147" s="36">
        <v>0.26950000000000002</v>
      </c>
      <c r="I147" s="36">
        <v>0.10050000000000001</v>
      </c>
      <c r="J147" s="36">
        <v>0.1961</v>
      </c>
      <c r="K147" s="35">
        <v>3.1</v>
      </c>
      <c r="L147">
        <v>4</v>
      </c>
      <c r="M147" s="35">
        <v>-3.32</v>
      </c>
      <c r="N147">
        <v>10</v>
      </c>
      <c r="O147" s="35"/>
      <c r="Q147" s="36">
        <v>0.4168</v>
      </c>
      <c r="R147" s="36"/>
      <c r="T147" s="35"/>
      <c r="U147" s="35"/>
      <c r="W147" s="35"/>
      <c r="X147" s="35"/>
      <c r="Z147" s="35"/>
      <c r="AA147" s="35"/>
    </row>
    <row r="148" spans="1:27" x14ac:dyDescent="0.3">
      <c r="A148" t="s">
        <v>547</v>
      </c>
      <c r="B148" t="s">
        <v>549</v>
      </c>
      <c r="C148" t="s">
        <v>439</v>
      </c>
      <c r="D148" t="s">
        <v>458</v>
      </c>
      <c r="E148">
        <v>14</v>
      </c>
      <c r="F148" s="35">
        <v>6.55</v>
      </c>
      <c r="G148" s="35">
        <v>1.1172</v>
      </c>
      <c r="H148" s="36">
        <v>0.2858</v>
      </c>
      <c r="I148" s="36">
        <v>9.4200000000000006E-2</v>
      </c>
      <c r="J148" s="36">
        <v>0.27460000000000001</v>
      </c>
      <c r="K148" s="35">
        <v>1.75</v>
      </c>
      <c r="L148">
        <v>4</v>
      </c>
      <c r="M148" s="35">
        <v>-4.8</v>
      </c>
      <c r="N148">
        <v>10</v>
      </c>
      <c r="O148" s="35"/>
      <c r="Q148" s="36">
        <v>0.38979999999999998</v>
      </c>
      <c r="R148" s="36"/>
      <c r="T148" s="35"/>
      <c r="U148" s="35"/>
      <c r="W148" s="35"/>
      <c r="X148" s="35"/>
      <c r="Z148" s="35"/>
      <c r="AA148" s="35"/>
    </row>
    <row r="149" spans="1:27" x14ac:dyDescent="0.3">
      <c r="A149" t="s">
        <v>547</v>
      </c>
      <c r="B149" t="s">
        <v>550</v>
      </c>
      <c r="C149" t="s">
        <v>435</v>
      </c>
      <c r="D149" t="s">
        <v>458</v>
      </c>
      <c r="E149">
        <v>10</v>
      </c>
      <c r="F149" s="35">
        <v>6.0606999999999998</v>
      </c>
      <c r="G149" s="35">
        <v>1.6756</v>
      </c>
      <c r="H149" s="36">
        <v>0.1323</v>
      </c>
      <c r="I149" s="36">
        <v>0.25979999999999998</v>
      </c>
      <c r="J149" s="36">
        <v>0.1056</v>
      </c>
      <c r="K149" s="35"/>
      <c r="M149" s="35"/>
      <c r="O149" s="35"/>
      <c r="Q149" s="36"/>
      <c r="R149" s="36"/>
      <c r="T149" s="35"/>
      <c r="U149" s="35"/>
      <c r="W149" s="35"/>
      <c r="X149" s="35"/>
      <c r="Z149" s="35"/>
      <c r="AA149" s="35"/>
    </row>
    <row r="150" spans="1:27" x14ac:dyDescent="0.3">
      <c r="A150" t="s">
        <v>547</v>
      </c>
      <c r="B150" t="s">
        <v>550</v>
      </c>
      <c r="C150" t="s">
        <v>437</v>
      </c>
      <c r="D150" t="s">
        <v>458</v>
      </c>
      <c r="E150">
        <v>10</v>
      </c>
      <c r="F150" s="35">
        <v>5.4932999999999996</v>
      </c>
      <c r="G150" s="35">
        <v>1.5513999999999999</v>
      </c>
      <c r="H150" s="36">
        <v>0.15939999999999999</v>
      </c>
      <c r="I150" s="36">
        <v>0.23130000000000001</v>
      </c>
      <c r="J150" s="36">
        <v>0.1429</v>
      </c>
      <c r="K150" s="35"/>
      <c r="M150" s="35"/>
      <c r="O150" s="35"/>
      <c r="Q150" s="36"/>
      <c r="R150" s="36"/>
      <c r="T150" s="35"/>
      <c r="U150" s="35"/>
      <c r="W150" s="35"/>
      <c r="X150" s="35"/>
      <c r="Z150" s="35"/>
      <c r="AA150" s="35"/>
    </row>
    <row r="151" spans="1:27" x14ac:dyDescent="0.3">
      <c r="A151" t="s">
        <v>547</v>
      </c>
      <c r="B151" t="s">
        <v>550</v>
      </c>
      <c r="C151" t="s">
        <v>438</v>
      </c>
      <c r="D151" t="s">
        <v>458</v>
      </c>
      <c r="E151">
        <v>10</v>
      </c>
      <c r="F151" s="35">
        <v>6.6142000000000003</v>
      </c>
      <c r="G151" s="35">
        <v>2.0588000000000002</v>
      </c>
      <c r="H151" s="36">
        <v>7.3499999999999996E-2</v>
      </c>
      <c r="I151" s="36">
        <v>0.3463</v>
      </c>
      <c r="J151" s="36">
        <v>-9.3200000000000005E-2</v>
      </c>
      <c r="K151" s="35"/>
      <c r="M151" s="35"/>
      <c r="O151" s="35"/>
      <c r="Q151" s="36"/>
      <c r="R151" s="36"/>
      <c r="T151" s="35"/>
      <c r="U151" s="35"/>
      <c r="W151" s="35"/>
      <c r="X151" s="35"/>
      <c r="Z151" s="35"/>
      <c r="AA151" s="35"/>
    </row>
    <row r="152" spans="1:27" x14ac:dyDescent="0.3">
      <c r="A152" t="s">
        <v>547</v>
      </c>
      <c r="B152" t="s">
        <v>550</v>
      </c>
      <c r="C152" t="s">
        <v>439</v>
      </c>
      <c r="D152" t="s">
        <v>458</v>
      </c>
      <c r="E152">
        <v>10</v>
      </c>
      <c r="F152" s="35">
        <v>5.9088000000000003</v>
      </c>
      <c r="G152" s="35">
        <v>1.6002000000000001</v>
      </c>
      <c r="H152" s="36">
        <v>0.1482</v>
      </c>
      <c r="I152" s="36">
        <v>0.24249999999999999</v>
      </c>
      <c r="J152" s="36">
        <v>-6.1999999999999998E-3</v>
      </c>
      <c r="K152" s="35"/>
      <c r="M152" s="35"/>
      <c r="O152" s="35"/>
      <c r="Q152" s="36"/>
      <c r="R152" s="36"/>
      <c r="T152" s="35"/>
      <c r="U152" s="35"/>
      <c r="W152" s="35"/>
      <c r="X152" s="35"/>
      <c r="Z152" s="35"/>
      <c r="AA152" s="35"/>
    </row>
    <row r="153" spans="1:27" x14ac:dyDescent="0.3">
      <c r="A153" t="s">
        <v>551</v>
      </c>
      <c r="B153" t="s">
        <v>548</v>
      </c>
      <c r="C153" t="s">
        <v>435</v>
      </c>
      <c r="D153" t="s">
        <v>458</v>
      </c>
      <c r="E153">
        <v>3</v>
      </c>
      <c r="F153" s="35"/>
      <c r="G153" s="35"/>
      <c r="H153" s="36"/>
      <c r="I153" s="36"/>
      <c r="J153" s="36"/>
      <c r="K153" s="35"/>
      <c r="M153" s="35"/>
      <c r="O153" s="35"/>
      <c r="Q153" s="36"/>
      <c r="R153" s="36"/>
      <c r="T153" s="35"/>
      <c r="U153" s="35"/>
      <c r="W153" s="35"/>
      <c r="X153" s="35"/>
      <c r="Z153" s="35"/>
      <c r="AA153" s="35"/>
    </row>
    <row r="154" spans="1:27" x14ac:dyDescent="0.3">
      <c r="A154" t="s">
        <v>551</v>
      </c>
      <c r="B154" t="s">
        <v>548</v>
      </c>
      <c r="C154" t="s">
        <v>437</v>
      </c>
      <c r="D154" t="s">
        <v>458</v>
      </c>
      <c r="E154">
        <v>3</v>
      </c>
      <c r="F154" s="35"/>
      <c r="G154" s="35"/>
      <c r="H154" s="36"/>
      <c r="I154" s="36"/>
      <c r="J154" s="36"/>
      <c r="K154" s="35"/>
      <c r="M154" s="35"/>
      <c r="O154" s="35"/>
      <c r="Q154" s="36"/>
      <c r="R154" s="36"/>
      <c r="T154" s="35"/>
      <c r="U154" s="35"/>
      <c r="W154" s="35"/>
      <c r="X154" s="35"/>
      <c r="Z154" s="35"/>
      <c r="AA154" s="35"/>
    </row>
    <row r="155" spans="1:27" x14ac:dyDescent="0.3">
      <c r="A155" t="s">
        <v>551</v>
      </c>
      <c r="B155" t="s">
        <v>548</v>
      </c>
      <c r="C155" t="s">
        <v>438</v>
      </c>
      <c r="D155" t="s">
        <v>458</v>
      </c>
      <c r="E155">
        <v>3</v>
      </c>
      <c r="F155" s="35"/>
      <c r="G155" s="35"/>
      <c r="H155" s="36"/>
      <c r="I155" s="36"/>
      <c r="J155" s="36"/>
      <c r="K155" s="35"/>
      <c r="M155" s="35"/>
      <c r="O155" s="35"/>
      <c r="Q155" s="36"/>
      <c r="R155" s="36"/>
      <c r="T155" s="35"/>
      <c r="U155" s="35"/>
      <c r="W155" s="35"/>
      <c r="X155" s="35"/>
      <c r="Z155" s="35"/>
      <c r="AA155" s="35"/>
    </row>
    <row r="156" spans="1:27" x14ac:dyDescent="0.3">
      <c r="A156" t="s">
        <v>551</v>
      </c>
      <c r="B156" t="s">
        <v>548</v>
      </c>
      <c r="C156" t="s">
        <v>439</v>
      </c>
      <c r="D156" t="s">
        <v>458</v>
      </c>
      <c r="E156">
        <v>3</v>
      </c>
      <c r="F156" s="35"/>
      <c r="G156" s="35"/>
      <c r="H156" s="36"/>
      <c r="I156" s="36"/>
      <c r="J156" s="36"/>
      <c r="K156" s="35"/>
      <c r="M156" s="35"/>
      <c r="O156" s="35"/>
      <c r="Q156" s="36"/>
      <c r="R156" s="36"/>
      <c r="T156" s="35"/>
      <c r="U156" s="35"/>
      <c r="W156" s="35"/>
      <c r="X156" s="35"/>
      <c r="Z156" s="35"/>
      <c r="AA156" s="35"/>
    </row>
    <row r="157" spans="1:27" x14ac:dyDescent="0.3">
      <c r="A157" t="s">
        <v>551</v>
      </c>
      <c r="B157" t="s">
        <v>552</v>
      </c>
      <c r="C157" t="s">
        <v>435</v>
      </c>
      <c r="D157" t="s">
        <v>458</v>
      </c>
      <c r="E157">
        <v>3</v>
      </c>
      <c r="F157" s="35"/>
      <c r="G157" s="35"/>
      <c r="H157" s="36"/>
      <c r="I157" s="36"/>
      <c r="J157" s="36"/>
      <c r="K157" s="35"/>
      <c r="M157" s="35"/>
      <c r="O157" s="35"/>
      <c r="Q157" s="36"/>
      <c r="R157" s="36"/>
      <c r="T157" s="35"/>
      <c r="U157" s="35"/>
      <c r="W157" s="35"/>
      <c r="X157" s="35"/>
      <c r="Z157" s="35"/>
      <c r="AA157" s="35"/>
    </row>
    <row r="158" spans="1:27" x14ac:dyDescent="0.3">
      <c r="A158" t="s">
        <v>551</v>
      </c>
      <c r="B158" t="s">
        <v>552</v>
      </c>
      <c r="C158" t="s">
        <v>437</v>
      </c>
      <c r="D158" t="s">
        <v>458</v>
      </c>
      <c r="E158">
        <v>3</v>
      </c>
      <c r="F158" s="35"/>
      <c r="G158" s="35"/>
      <c r="H158" s="36"/>
      <c r="I158" s="36"/>
      <c r="J158" s="36"/>
      <c r="K158" s="35"/>
      <c r="M158" s="35"/>
      <c r="O158" s="35"/>
      <c r="Q158" s="36"/>
      <c r="R158" s="36"/>
      <c r="T158" s="35"/>
      <c r="U158" s="35"/>
      <c r="W158" s="35"/>
      <c r="X158" s="35"/>
      <c r="Z158" s="35"/>
      <c r="AA158" s="35"/>
    </row>
    <row r="159" spans="1:27" x14ac:dyDescent="0.3">
      <c r="A159" t="s">
        <v>551</v>
      </c>
      <c r="B159" t="s">
        <v>552</v>
      </c>
      <c r="C159" t="s">
        <v>438</v>
      </c>
      <c r="D159" t="s">
        <v>458</v>
      </c>
      <c r="E159">
        <v>3</v>
      </c>
      <c r="F159" s="35"/>
      <c r="G159" s="35"/>
      <c r="H159" s="36"/>
      <c r="I159" s="36"/>
      <c r="J159" s="36"/>
      <c r="K159" s="35"/>
      <c r="M159" s="35"/>
      <c r="O159" s="35"/>
      <c r="Q159" s="36"/>
      <c r="R159" s="36"/>
      <c r="T159" s="35"/>
      <c r="U159" s="35"/>
      <c r="W159" s="35"/>
      <c r="X159" s="35"/>
      <c r="Z159" s="35"/>
      <c r="AA159" s="35"/>
    </row>
    <row r="160" spans="1:27" x14ac:dyDescent="0.3">
      <c r="A160" t="s">
        <v>551</v>
      </c>
      <c r="B160" t="s">
        <v>552</v>
      </c>
      <c r="C160" t="s">
        <v>439</v>
      </c>
      <c r="D160" t="s">
        <v>458</v>
      </c>
      <c r="E160">
        <v>3</v>
      </c>
      <c r="F160" s="35"/>
      <c r="G160" s="35"/>
      <c r="H160" s="36"/>
      <c r="I160" s="36"/>
      <c r="J160" s="36"/>
      <c r="K160" s="35"/>
      <c r="M160" s="35"/>
      <c r="O160" s="35"/>
      <c r="Q160" s="36"/>
      <c r="R160" s="36"/>
      <c r="T160" s="35"/>
      <c r="U160" s="35"/>
      <c r="W160" s="35"/>
      <c r="X160" s="35"/>
      <c r="Z160" s="35"/>
      <c r="AA160" s="35"/>
    </row>
    <row r="161" spans="1:27" x14ac:dyDescent="0.3">
      <c r="A161" t="s">
        <v>553</v>
      </c>
      <c r="B161" t="s">
        <v>554</v>
      </c>
      <c r="C161" t="s">
        <v>435</v>
      </c>
      <c r="D161" t="s">
        <v>458</v>
      </c>
      <c r="E161">
        <v>14</v>
      </c>
      <c r="F161" s="35"/>
      <c r="G161" s="35"/>
      <c r="H161" s="36"/>
      <c r="I161" s="36"/>
      <c r="J161" s="36"/>
      <c r="K161" s="35"/>
      <c r="M161" s="35"/>
      <c r="O161" s="35"/>
      <c r="Q161" s="36"/>
      <c r="R161" s="36"/>
      <c r="T161" s="35"/>
      <c r="U161" s="35"/>
      <c r="W161" s="35"/>
      <c r="X161" s="35"/>
      <c r="Z161" s="35"/>
      <c r="AA161" s="35"/>
    </row>
    <row r="162" spans="1:27" x14ac:dyDescent="0.3">
      <c r="A162" t="s">
        <v>553</v>
      </c>
      <c r="B162" t="s">
        <v>554</v>
      </c>
      <c r="C162" t="s">
        <v>437</v>
      </c>
      <c r="D162" t="s">
        <v>458</v>
      </c>
      <c r="E162">
        <v>14</v>
      </c>
      <c r="F162" s="35"/>
      <c r="G162" s="35"/>
      <c r="H162" s="36"/>
      <c r="I162" s="36"/>
      <c r="J162" s="36"/>
      <c r="K162" s="35"/>
      <c r="M162" s="35"/>
      <c r="O162" s="35"/>
      <c r="Q162" s="36"/>
      <c r="R162" s="36"/>
      <c r="T162" s="35"/>
      <c r="U162" s="35"/>
      <c r="W162" s="35"/>
      <c r="X162" s="35"/>
      <c r="Z162" s="35"/>
      <c r="AA162" s="35"/>
    </row>
    <row r="163" spans="1:27" x14ac:dyDescent="0.3">
      <c r="A163" t="s">
        <v>553</v>
      </c>
      <c r="B163" t="s">
        <v>554</v>
      </c>
      <c r="C163" t="s">
        <v>438</v>
      </c>
      <c r="D163" t="s">
        <v>458</v>
      </c>
      <c r="E163">
        <v>14</v>
      </c>
      <c r="F163" s="35"/>
      <c r="G163" s="35"/>
      <c r="H163" s="36"/>
      <c r="I163" s="36"/>
      <c r="J163" s="36"/>
      <c r="K163" s="35"/>
      <c r="M163" s="35"/>
      <c r="O163" s="35"/>
      <c r="Q163" s="36"/>
      <c r="R163" s="36"/>
      <c r="T163" s="35"/>
      <c r="U163" s="35"/>
      <c r="W163" s="35"/>
      <c r="X163" s="35"/>
      <c r="Z163" s="35"/>
      <c r="AA163" s="35"/>
    </row>
    <row r="164" spans="1:27" x14ac:dyDescent="0.3">
      <c r="A164" t="s">
        <v>553</v>
      </c>
      <c r="B164" t="s">
        <v>554</v>
      </c>
      <c r="C164" t="s">
        <v>439</v>
      </c>
      <c r="D164" t="s">
        <v>458</v>
      </c>
      <c r="E164">
        <v>14</v>
      </c>
      <c r="F164" s="35"/>
      <c r="G164" s="35"/>
      <c r="H164" s="36"/>
      <c r="I164" s="36"/>
      <c r="J164" s="36"/>
      <c r="K164" s="35"/>
      <c r="M164" s="35"/>
      <c r="O164" s="35"/>
      <c r="Q164" s="36"/>
      <c r="R164" s="36"/>
      <c r="T164" s="35"/>
      <c r="U164" s="35"/>
      <c r="W164" s="35"/>
      <c r="X164" s="35"/>
      <c r="Z164" s="35"/>
      <c r="AA164" s="35"/>
    </row>
    <row r="165" spans="1:27" x14ac:dyDescent="0.3">
      <c r="A165" t="s">
        <v>553</v>
      </c>
      <c r="B165" t="s">
        <v>555</v>
      </c>
      <c r="C165" t="s">
        <v>435</v>
      </c>
      <c r="D165" t="s">
        <v>458</v>
      </c>
      <c r="E165">
        <v>14</v>
      </c>
      <c r="F165" s="35">
        <v>3.9891000000000001</v>
      </c>
      <c r="G165" s="35">
        <v>1.4222999999999999</v>
      </c>
      <c r="H165" s="36">
        <v>0.1804</v>
      </c>
      <c r="I165" s="36">
        <v>0.14430000000000001</v>
      </c>
      <c r="J165" s="36">
        <v>0.44359999999999999</v>
      </c>
      <c r="K165" s="35"/>
      <c r="M165" s="35"/>
      <c r="O165" s="35"/>
      <c r="Q165" s="36"/>
      <c r="R165" s="36"/>
      <c r="T165" s="35"/>
      <c r="U165" s="35"/>
      <c r="W165" s="35"/>
      <c r="X165" s="35"/>
      <c r="Z165" s="35"/>
      <c r="AA165" s="35"/>
    </row>
    <row r="166" spans="1:27" x14ac:dyDescent="0.3">
      <c r="A166" t="s">
        <v>553</v>
      </c>
      <c r="B166" t="s">
        <v>555</v>
      </c>
      <c r="C166" t="s">
        <v>437</v>
      </c>
      <c r="D166" t="s">
        <v>458</v>
      </c>
      <c r="E166">
        <v>14</v>
      </c>
      <c r="F166" s="35">
        <v>3.9527000000000001</v>
      </c>
      <c r="G166" s="35">
        <v>1.4436</v>
      </c>
      <c r="H166" s="36">
        <v>0.17449999999999999</v>
      </c>
      <c r="I166" s="36">
        <v>0.14799999999999999</v>
      </c>
      <c r="J166" s="36">
        <v>0.40600000000000003</v>
      </c>
      <c r="K166" s="35"/>
      <c r="M166" s="35"/>
      <c r="O166" s="35"/>
      <c r="Q166" s="36"/>
      <c r="R166" s="36"/>
      <c r="T166" s="35"/>
      <c r="U166" s="35"/>
      <c r="W166" s="35"/>
      <c r="X166" s="35"/>
      <c r="Z166" s="35"/>
      <c r="AA166" s="35"/>
    </row>
    <row r="167" spans="1:27" x14ac:dyDescent="0.3">
      <c r="A167" t="s">
        <v>553</v>
      </c>
      <c r="B167" t="s">
        <v>555</v>
      </c>
      <c r="C167" t="s">
        <v>438</v>
      </c>
      <c r="D167" t="s">
        <v>458</v>
      </c>
      <c r="E167">
        <v>14</v>
      </c>
      <c r="F167" s="35">
        <v>4.5829000000000004</v>
      </c>
      <c r="G167" s="35">
        <v>1.5404</v>
      </c>
      <c r="H167" s="36">
        <v>0.14940000000000001</v>
      </c>
      <c r="I167" s="36">
        <v>0.1651</v>
      </c>
      <c r="J167" s="36">
        <v>0.37790000000000001</v>
      </c>
      <c r="K167" s="35"/>
      <c r="M167" s="35"/>
      <c r="O167" s="35"/>
      <c r="Q167" s="36"/>
      <c r="R167" s="36"/>
      <c r="T167" s="35"/>
      <c r="U167" s="35"/>
      <c r="W167" s="35"/>
      <c r="X167" s="35"/>
      <c r="Z167" s="35"/>
      <c r="AA167" s="35"/>
    </row>
    <row r="168" spans="1:27" x14ac:dyDescent="0.3">
      <c r="A168" t="s">
        <v>553</v>
      </c>
      <c r="B168" t="s">
        <v>555</v>
      </c>
      <c r="C168" t="s">
        <v>439</v>
      </c>
      <c r="D168" t="s">
        <v>458</v>
      </c>
      <c r="E168">
        <v>14</v>
      </c>
      <c r="F168" s="35">
        <v>5.0728999999999997</v>
      </c>
      <c r="G168" s="35">
        <v>1.6353</v>
      </c>
      <c r="H168" s="36">
        <v>0.12790000000000001</v>
      </c>
      <c r="I168" s="36">
        <v>0.1822</v>
      </c>
      <c r="J168" s="36">
        <v>0.43890000000000001</v>
      </c>
      <c r="K168" s="35"/>
      <c r="M168" s="35"/>
      <c r="O168" s="35"/>
      <c r="Q168" s="36"/>
      <c r="R168" s="36"/>
      <c r="T168" s="35"/>
      <c r="U168" s="35"/>
      <c r="W168" s="35"/>
      <c r="X168" s="35"/>
      <c r="Z168" s="35"/>
      <c r="AA168" s="35"/>
    </row>
    <row r="169" spans="1:27" x14ac:dyDescent="0.3">
      <c r="A169" t="s">
        <v>556</v>
      </c>
      <c r="B169" t="s">
        <v>557</v>
      </c>
      <c r="C169" t="s">
        <v>435</v>
      </c>
      <c r="D169" t="s">
        <v>458</v>
      </c>
      <c r="E169">
        <v>14</v>
      </c>
      <c r="F169" s="35">
        <v>4.1950000000000003</v>
      </c>
      <c r="G169" s="35">
        <v>0.79020000000000001</v>
      </c>
      <c r="H169" s="36">
        <v>0.44469999999999998</v>
      </c>
      <c r="I169" s="36">
        <v>4.9500000000000002E-2</v>
      </c>
      <c r="J169" s="36">
        <v>0.27460000000000001</v>
      </c>
      <c r="K169" s="35">
        <v>1.925</v>
      </c>
      <c r="L169">
        <v>4</v>
      </c>
      <c r="M169" s="35">
        <v>-2.27</v>
      </c>
      <c r="N169">
        <v>10</v>
      </c>
      <c r="O169" s="35"/>
      <c r="Q169" s="36">
        <v>0.47139999999999999</v>
      </c>
      <c r="R169" s="36"/>
      <c r="T169" s="35"/>
      <c r="U169" s="35"/>
      <c r="W169" s="35"/>
      <c r="X169" s="35"/>
      <c r="Z169" s="35"/>
      <c r="AA169" s="35"/>
    </row>
    <row r="170" spans="1:27" x14ac:dyDescent="0.3">
      <c r="A170" t="s">
        <v>556</v>
      </c>
      <c r="B170" t="s">
        <v>557</v>
      </c>
      <c r="C170" t="s">
        <v>437</v>
      </c>
      <c r="D170" t="s">
        <v>458</v>
      </c>
      <c r="E170">
        <v>14</v>
      </c>
      <c r="F170" s="35">
        <v>4.3250000000000002</v>
      </c>
      <c r="G170" s="35">
        <v>0.83509999999999995</v>
      </c>
      <c r="H170" s="36">
        <v>0.42</v>
      </c>
      <c r="I170" s="36">
        <v>5.4899999999999997E-2</v>
      </c>
      <c r="J170" s="36">
        <v>0.27460000000000001</v>
      </c>
      <c r="K170" s="35">
        <v>1.425</v>
      </c>
      <c r="L170">
        <v>4</v>
      </c>
      <c r="M170" s="35">
        <v>-2.9</v>
      </c>
      <c r="N170">
        <v>10</v>
      </c>
      <c r="O170" s="35"/>
      <c r="Q170" s="36">
        <v>0.45660000000000001</v>
      </c>
      <c r="R170" s="36"/>
      <c r="T170" s="35"/>
      <c r="U170" s="35"/>
      <c r="W170" s="35"/>
      <c r="X170" s="35"/>
      <c r="Z170" s="35"/>
      <c r="AA170" s="35"/>
    </row>
    <row r="171" spans="1:27" x14ac:dyDescent="0.3">
      <c r="A171" t="s">
        <v>556</v>
      </c>
      <c r="B171" t="s">
        <v>557</v>
      </c>
      <c r="C171" t="s">
        <v>438</v>
      </c>
      <c r="D171" t="s">
        <v>458</v>
      </c>
      <c r="E171">
        <v>14</v>
      </c>
      <c r="F171" s="35">
        <v>2.57</v>
      </c>
      <c r="G171" s="35">
        <v>0.44309999999999999</v>
      </c>
      <c r="H171" s="36">
        <v>0.66559999999999997</v>
      </c>
      <c r="I171" s="36">
        <v>1.61E-2</v>
      </c>
      <c r="J171" s="36">
        <v>0.35299999999999998</v>
      </c>
      <c r="K171" s="35">
        <v>0.35</v>
      </c>
      <c r="L171">
        <v>4</v>
      </c>
      <c r="M171" s="35">
        <v>-2.2200000000000002</v>
      </c>
      <c r="N171">
        <v>10</v>
      </c>
      <c r="O171" s="35"/>
      <c r="Q171" s="36">
        <v>0.52669999999999995</v>
      </c>
      <c r="R171" s="36"/>
      <c r="T171" s="35"/>
      <c r="U171" s="35"/>
      <c r="W171" s="35"/>
      <c r="X171" s="35"/>
      <c r="Z171" s="35"/>
      <c r="AA171" s="35"/>
    </row>
    <row r="172" spans="1:27" x14ac:dyDescent="0.3">
      <c r="A172" t="s">
        <v>556</v>
      </c>
      <c r="B172" t="s">
        <v>557</v>
      </c>
      <c r="C172" t="s">
        <v>439</v>
      </c>
      <c r="D172" t="s">
        <v>458</v>
      </c>
      <c r="E172">
        <v>14</v>
      </c>
      <c r="F172" s="35">
        <v>4.1349999999999998</v>
      </c>
      <c r="G172" s="35">
        <v>0.68420000000000003</v>
      </c>
      <c r="H172" s="36">
        <v>0.50680000000000003</v>
      </c>
      <c r="I172" s="36">
        <v>3.7499999999999999E-2</v>
      </c>
      <c r="J172" s="36">
        <v>0.35299999999999998</v>
      </c>
      <c r="K172" s="35">
        <v>2.5000000000000001E-2</v>
      </c>
      <c r="L172">
        <v>4</v>
      </c>
      <c r="M172" s="35">
        <v>-4.1100000000000003</v>
      </c>
      <c r="N172">
        <v>10</v>
      </c>
      <c r="O172" s="35"/>
      <c r="Q172" s="36">
        <v>0.36899999999999999</v>
      </c>
      <c r="R172" s="36"/>
      <c r="T172" s="35"/>
      <c r="U172" s="35"/>
      <c r="W172" s="35"/>
      <c r="X172" s="35"/>
      <c r="Z172" s="35"/>
      <c r="AA172" s="35"/>
    </row>
    <row r="173" spans="1:27" x14ac:dyDescent="0.3">
      <c r="A173" t="s">
        <v>558</v>
      </c>
      <c r="B173" t="s">
        <v>559</v>
      </c>
      <c r="C173" t="s">
        <v>435</v>
      </c>
      <c r="D173" t="s">
        <v>458</v>
      </c>
      <c r="E173">
        <v>12</v>
      </c>
      <c r="F173" s="35">
        <v>8.2713999999999999</v>
      </c>
      <c r="G173" s="35">
        <v>1.9451000000000001</v>
      </c>
      <c r="H173" s="36">
        <v>8.0399999999999999E-2</v>
      </c>
      <c r="I173" s="36">
        <v>0.27450000000000002</v>
      </c>
      <c r="J173" s="36">
        <v>0.41620000000000001</v>
      </c>
      <c r="K173" s="35">
        <v>5.6</v>
      </c>
      <c r="L173">
        <v>5</v>
      </c>
      <c r="M173" s="35">
        <v>-2.6714000000000002</v>
      </c>
      <c r="N173">
        <v>7</v>
      </c>
      <c r="O173" s="35"/>
      <c r="Q173" s="36">
        <v>0.1588</v>
      </c>
      <c r="R173" s="36"/>
      <c r="T173" s="35"/>
      <c r="U173" s="35"/>
      <c r="W173" s="35"/>
      <c r="X173" s="35"/>
      <c r="Z173" s="35"/>
      <c r="AA173" s="35"/>
    </row>
    <row r="174" spans="1:27" x14ac:dyDescent="0.3">
      <c r="A174" t="s">
        <v>558</v>
      </c>
      <c r="B174" t="s">
        <v>559</v>
      </c>
      <c r="C174" t="s">
        <v>437</v>
      </c>
      <c r="D174" t="s">
        <v>458</v>
      </c>
      <c r="E174">
        <v>12</v>
      </c>
      <c r="F174" s="35">
        <v>8.9428999999999998</v>
      </c>
      <c r="G174" s="35">
        <v>2.1972999999999998</v>
      </c>
      <c r="H174" s="36">
        <v>5.2699999999999997E-2</v>
      </c>
      <c r="I174" s="36">
        <v>0.3256</v>
      </c>
      <c r="J174" s="36">
        <v>0.5141</v>
      </c>
      <c r="K174" s="35">
        <v>5.3</v>
      </c>
      <c r="L174">
        <v>5</v>
      </c>
      <c r="M174" s="35">
        <v>-3.6429</v>
      </c>
      <c r="N174">
        <v>7</v>
      </c>
      <c r="O174" s="35"/>
      <c r="Q174" s="36">
        <v>0.1229</v>
      </c>
      <c r="R174" s="36"/>
      <c r="T174" s="35"/>
      <c r="U174" s="35"/>
      <c r="W174" s="35"/>
      <c r="X174" s="35"/>
      <c r="Z174" s="35"/>
      <c r="AA174" s="35"/>
    </row>
    <row r="175" spans="1:27" x14ac:dyDescent="0.3">
      <c r="A175" t="s">
        <v>558</v>
      </c>
      <c r="B175" t="s">
        <v>559</v>
      </c>
      <c r="C175" t="s">
        <v>438</v>
      </c>
      <c r="D175" t="s">
        <v>458</v>
      </c>
      <c r="E175">
        <v>12</v>
      </c>
      <c r="F175" s="35">
        <v>8.5885999999999996</v>
      </c>
      <c r="G175" s="35">
        <v>1.9140999999999999</v>
      </c>
      <c r="H175" s="36">
        <v>8.4599999999999995E-2</v>
      </c>
      <c r="I175" s="36">
        <v>0.2681</v>
      </c>
      <c r="J175" s="36">
        <v>0.4652</v>
      </c>
      <c r="K175" s="35">
        <v>5.56</v>
      </c>
      <c r="L175">
        <v>5</v>
      </c>
      <c r="M175" s="35">
        <v>-3.0286</v>
      </c>
      <c r="N175">
        <v>7</v>
      </c>
      <c r="O175" s="35"/>
      <c r="Q175" s="36">
        <v>0.17199999999999999</v>
      </c>
      <c r="R175" s="36"/>
      <c r="T175" s="35"/>
      <c r="U175" s="35"/>
      <c r="W175" s="35"/>
      <c r="X175" s="35"/>
      <c r="Z175" s="35"/>
      <c r="AA175" s="35"/>
    </row>
    <row r="176" spans="1:27" x14ac:dyDescent="0.3">
      <c r="A176" t="s">
        <v>558</v>
      </c>
      <c r="B176" t="s">
        <v>559</v>
      </c>
      <c r="C176" t="s">
        <v>439</v>
      </c>
      <c r="D176" t="s">
        <v>458</v>
      </c>
      <c r="E176">
        <v>12</v>
      </c>
      <c r="F176" s="35">
        <v>10.302899999999999</v>
      </c>
      <c r="G176" s="35">
        <v>2.4611000000000001</v>
      </c>
      <c r="H176" s="37">
        <v>3.3599999999999998E-2</v>
      </c>
      <c r="I176" s="36">
        <v>0.37719999999999998</v>
      </c>
      <c r="J176" s="36">
        <v>0.61209999999999998</v>
      </c>
      <c r="K176" s="35">
        <v>5.46</v>
      </c>
      <c r="L176">
        <v>5</v>
      </c>
      <c r="M176" s="35">
        <v>-4.8429000000000002</v>
      </c>
      <c r="N176">
        <v>7</v>
      </c>
      <c r="O176" s="35"/>
      <c r="Q176" s="36">
        <v>8.3000000000000004E-2</v>
      </c>
      <c r="R176" s="36"/>
      <c r="T176" s="35"/>
      <c r="U176" s="35"/>
      <c r="W176" s="35"/>
      <c r="X176" s="35"/>
      <c r="Z176" s="35"/>
      <c r="AA176" s="35"/>
    </row>
    <row r="177" spans="1:27" x14ac:dyDescent="0.3">
      <c r="A177" t="s">
        <v>558</v>
      </c>
      <c r="B177" t="s">
        <v>560</v>
      </c>
      <c r="C177" t="s">
        <v>435</v>
      </c>
      <c r="D177" t="s">
        <v>458</v>
      </c>
      <c r="E177">
        <v>14</v>
      </c>
      <c r="F177" s="35">
        <v>7.8848000000000003</v>
      </c>
      <c r="G177" s="35">
        <v>1.4218</v>
      </c>
      <c r="H177" s="36">
        <v>0.18060000000000001</v>
      </c>
      <c r="I177" s="36">
        <v>0.14419999999999999</v>
      </c>
      <c r="J177" s="36">
        <v>0.41020000000000001</v>
      </c>
      <c r="K177" s="35">
        <v>0.61819999999999997</v>
      </c>
      <c r="L177">
        <v>11</v>
      </c>
      <c r="M177" s="35">
        <v>-7.2667000000000002</v>
      </c>
      <c r="N177">
        <v>3</v>
      </c>
      <c r="O177" s="35"/>
      <c r="Q177" s="36">
        <v>0.1774</v>
      </c>
      <c r="R177" s="36"/>
      <c r="T177" s="35"/>
      <c r="U177" s="35"/>
      <c r="W177" s="35"/>
      <c r="X177" s="35"/>
      <c r="Z177" s="35"/>
      <c r="AA177" s="35"/>
    </row>
    <row r="178" spans="1:27" x14ac:dyDescent="0.3">
      <c r="A178" t="s">
        <v>558</v>
      </c>
      <c r="B178" t="s">
        <v>560</v>
      </c>
      <c r="C178" t="s">
        <v>437</v>
      </c>
      <c r="D178" t="s">
        <v>458</v>
      </c>
      <c r="E178">
        <v>14</v>
      </c>
      <c r="F178" s="35">
        <v>6.5788000000000002</v>
      </c>
      <c r="G178" s="35">
        <v>1.1856</v>
      </c>
      <c r="H178" s="36">
        <v>0.25869999999999999</v>
      </c>
      <c r="I178" s="36">
        <v>0.1048</v>
      </c>
      <c r="J178" s="36">
        <v>0.32390000000000002</v>
      </c>
      <c r="K178" s="35">
        <v>-0.2545</v>
      </c>
      <c r="L178">
        <v>11</v>
      </c>
      <c r="M178" s="35">
        <v>-6.8333000000000004</v>
      </c>
      <c r="N178">
        <v>3</v>
      </c>
      <c r="O178" s="35"/>
      <c r="Q178" s="36">
        <v>0.22989999999999999</v>
      </c>
      <c r="R178" s="36"/>
      <c r="T178" s="35"/>
      <c r="U178" s="35"/>
      <c r="W178" s="35"/>
      <c r="X178" s="35"/>
      <c r="Z178" s="35"/>
      <c r="AA178" s="35"/>
    </row>
    <row r="179" spans="1:27" x14ac:dyDescent="0.3">
      <c r="A179" t="s">
        <v>558</v>
      </c>
      <c r="B179" t="s">
        <v>560</v>
      </c>
      <c r="C179" t="s">
        <v>438</v>
      </c>
      <c r="D179" t="s">
        <v>458</v>
      </c>
      <c r="E179">
        <v>14</v>
      </c>
      <c r="F179" s="35">
        <v>6</v>
      </c>
      <c r="G179" s="35">
        <v>0.9677</v>
      </c>
      <c r="H179" s="36">
        <v>0.3523</v>
      </c>
      <c r="I179" s="36">
        <v>7.2400000000000006E-2</v>
      </c>
      <c r="J179" s="36">
        <v>0.32390000000000002</v>
      </c>
      <c r="K179" s="35">
        <v>-0.2</v>
      </c>
      <c r="L179">
        <v>11</v>
      </c>
      <c r="M179" s="35">
        <v>-6.2</v>
      </c>
      <c r="N179">
        <v>3</v>
      </c>
      <c r="O179" s="35"/>
      <c r="Q179" s="36">
        <v>0.23730000000000001</v>
      </c>
      <c r="R179" s="36"/>
      <c r="T179" s="35"/>
      <c r="U179" s="35"/>
      <c r="W179" s="35"/>
      <c r="X179" s="35"/>
      <c r="Z179" s="35"/>
      <c r="AA179" s="35"/>
    </row>
    <row r="180" spans="1:27" x14ac:dyDescent="0.3">
      <c r="A180" t="s">
        <v>558</v>
      </c>
      <c r="B180" t="s">
        <v>560</v>
      </c>
      <c r="C180" t="s">
        <v>439</v>
      </c>
      <c r="D180" t="s">
        <v>458</v>
      </c>
      <c r="E180">
        <v>14</v>
      </c>
      <c r="F180" s="35">
        <v>5.6909000000000001</v>
      </c>
      <c r="G180" s="35">
        <v>0.86480000000000001</v>
      </c>
      <c r="H180" s="36">
        <v>0.40410000000000001</v>
      </c>
      <c r="I180" s="36">
        <v>5.8700000000000002E-2</v>
      </c>
      <c r="J180" s="36">
        <v>0.1943</v>
      </c>
      <c r="K180" s="35">
        <v>-1.7091000000000001</v>
      </c>
      <c r="L180">
        <v>11</v>
      </c>
      <c r="M180" s="35">
        <v>-7.4</v>
      </c>
      <c r="N180">
        <v>3</v>
      </c>
      <c r="O180" s="35"/>
      <c r="Q180" s="36">
        <v>0.37990000000000002</v>
      </c>
      <c r="R180" s="36"/>
      <c r="T180" s="35"/>
      <c r="U180" s="35"/>
      <c r="W180" s="35"/>
      <c r="X180" s="35"/>
      <c r="Z180" s="35"/>
      <c r="AA180" s="35"/>
    </row>
    <row r="181" spans="1:27" x14ac:dyDescent="0.3">
      <c r="A181" t="s">
        <v>561</v>
      </c>
      <c r="B181" t="s">
        <v>562</v>
      </c>
      <c r="C181" t="s">
        <v>435</v>
      </c>
      <c r="D181" t="s">
        <v>436</v>
      </c>
      <c r="E181">
        <v>16</v>
      </c>
      <c r="F181" s="35"/>
      <c r="G181" s="35"/>
      <c r="H181" s="36"/>
      <c r="I181" s="36">
        <v>0.25919999999999999</v>
      </c>
      <c r="J181" s="36"/>
      <c r="K181" s="35"/>
      <c r="M181" s="35"/>
      <c r="O181" s="35"/>
      <c r="Q181" s="36"/>
      <c r="R181" s="36">
        <v>0.14530000000000001</v>
      </c>
      <c r="S181" t="s">
        <v>563</v>
      </c>
      <c r="T181" s="35">
        <v>0.56120000000000003</v>
      </c>
      <c r="U181" s="35">
        <v>1.3310999999999999</v>
      </c>
      <c r="V181" t="s">
        <v>483</v>
      </c>
      <c r="W181" s="35">
        <v>6.9340999999999999</v>
      </c>
      <c r="X181" s="35">
        <v>1.8367</v>
      </c>
      <c r="Z181" s="35"/>
      <c r="AA181" s="35"/>
    </row>
    <row r="182" spans="1:27" x14ac:dyDescent="0.3">
      <c r="A182" t="s">
        <v>561</v>
      </c>
      <c r="B182" t="s">
        <v>562</v>
      </c>
      <c r="C182" t="s">
        <v>437</v>
      </c>
      <c r="D182" t="s">
        <v>436</v>
      </c>
      <c r="E182">
        <v>16</v>
      </c>
      <c r="F182" s="35"/>
      <c r="G182" s="35"/>
      <c r="H182" s="36"/>
      <c r="I182" s="36">
        <v>0.2802</v>
      </c>
      <c r="J182" s="36"/>
      <c r="K182" s="35"/>
      <c r="M182" s="35"/>
      <c r="O182" s="35"/>
      <c r="Q182" s="36"/>
      <c r="R182" s="36">
        <v>0.16950000000000001</v>
      </c>
      <c r="S182" t="s">
        <v>563</v>
      </c>
      <c r="T182" s="35">
        <v>0.57479999999999998</v>
      </c>
      <c r="U182" s="35">
        <v>1.3956999999999999</v>
      </c>
      <c r="V182" t="s">
        <v>483</v>
      </c>
      <c r="W182" s="35">
        <v>7.1645000000000003</v>
      </c>
      <c r="X182" s="35">
        <v>1.9428000000000001</v>
      </c>
      <c r="Z182" s="35"/>
      <c r="AA182" s="35"/>
    </row>
    <row r="183" spans="1:27" x14ac:dyDescent="0.3">
      <c r="A183" t="s">
        <v>561</v>
      </c>
      <c r="B183" t="s">
        <v>562</v>
      </c>
      <c r="C183" t="s">
        <v>438</v>
      </c>
      <c r="D183" t="s">
        <v>436</v>
      </c>
      <c r="E183">
        <v>16</v>
      </c>
      <c r="F183" s="35"/>
      <c r="G183" s="35"/>
      <c r="H183" s="36"/>
      <c r="I183" s="36">
        <v>0.1714</v>
      </c>
      <c r="J183" s="36"/>
      <c r="K183" s="35"/>
      <c r="M183" s="35"/>
      <c r="O183" s="35"/>
      <c r="Q183" s="36"/>
      <c r="R183" s="36">
        <v>4.3900000000000002E-2</v>
      </c>
      <c r="S183" t="s">
        <v>563</v>
      </c>
      <c r="T183" s="35">
        <v>-0.75249999999999995</v>
      </c>
      <c r="U183" s="35">
        <v>-1.3361000000000001</v>
      </c>
      <c r="V183" t="s">
        <v>483</v>
      </c>
      <c r="W183" s="35">
        <v>3.8026</v>
      </c>
      <c r="X183" s="35">
        <v>0.754</v>
      </c>
      <c r="Z183" s="35"/>
      <c r="AA183" s="35"/>
    </row>
    <row r="184" spans="1:27" x14ac:dyDescent="0.3">
      <c r="A184" t="s">
        <v>561</v>
      </c>
      <c r="B184" t="s">
        <v>562</v>
      </c>
      <c r="C184" t="s">
        <v>439</v>
      </c>
      <c r="D184" t="s">
        <v>436</v>
      </c>
      <c r="E184">
        <v>16</v>
      </c>
      <c r="F184" s="35"/>
      <c r="G184" s="35"/>
      <c r="H184" s="36"/>
      <c r="I184" s="36">
        <v>0.1171</v>
      </c>
      <c r="J184" s="36"/>
      <c r="K184" s="35"/>
      <c r="M184" s="35"/>
      <c r="O184" s="35"/>
      <c r="Q184" s="36"/>
      <c r="R184" s="36">
        <v>-1.8800000000000001E-2</v>
      </c>
      <c r="S184" t="s">
        <v>563</v>
      </c>
      <c r="T184" s="35">
        <v>-0.1862</v>
      </c>
      <c r="U184" s="35">
        <v>-0.35859999999999997</v>
      </c>
      <c r="V184" t="s">
        <v>483</v>
      </c>
      <c r="W184" s="35">
        <v>5.5797999999999996</v>
      </c>
      <c r="X184" s="35">
        <v>1.2002999999999999</v>
      </c>
      <c r="Z184" s="35"/>
      <c r="AA184" s="35"/>
    </row>
    <row r="185" spans="1:27" x14ac:dyDescent="0.3">
      <c r="A185" t="s">
        <v>561</v>
      </c>
      <c r="B185" t="s">
        <v>564</v>
      </c>
      <c r="C185" t="s">
        <v>435</v>
      </c>
      <c r="D185" t="s">
        <v>436</v>
      </c>
      <c r="E185">
        <v>17</v>
      </c>
      <c r="F185" s="35"/>
      <c r="G185" s="35"/>
      <c r="H185" s="36"/>
      <c r="I185" s="36">
        <v>9.5100000000000004E-2</v>
      </c>
      <c r="J185" s="36"/>
      <c r="K185" s="35"/>
      <c r="M185" s="35"/>
      <c r="O185" s="35"/>
      <c r="Q185" s="36"/>
      <c r="R185" s="36">
        <v>-3.4200000000000001E-2</v>
      </c>
      <c r="S185" t="s">
        <v>565</v>
      </c>
      <c r="T185" s="35">
        <v>1.4800000000000001E-2</v>
      </c>
      <c r="U185" s="35">
        <v>5.9700000000000003E-2</v>
      </c>
      <c r="V185" t="s">
        <v>483</v>
      </c>
      <c r="W185" s="35">
        <v>4.9767999999999999</v>
      </c>
      <c r="X185" s="35">
        <v>1.1803999999999999</v>
      </c>
      <c r="Z185" s="35"/>
      <c r="AA185" s="35"/>
    </row>
    <row r="186" spans="1:27" x14ac:dyDescent="0.3">
      <c r="A186" t="s">
        <v>561</v>
      </c>
      <c r="B186" t="s">
        <v>564</v>
      </c>
      <c r="C186" t="s">
        <v>437</v>
      </c>
      <c r="D186" t="s">
        <v>436</v>
      </c>
      <c r="E186">
        <v>17</v>
      </c>
      <c r="F186" s="35"/>
      <c r="G186" s="35"/>
      <c r="H186" s="36"/>
      <c r="I186" s="36">
        <v>0.10630000000000001</v>
      </c>
      <c r="J186" s="36"/>
      <c r="K186" s="35"/>
      <c r="M186" s="35"/>
      <c r="O186" s="35"/>
      <c r="Q186" s="36"/>
      <c r="R186" s="36">
        <v>-2.1399999999999999E-2</v>
      </c>
      <c r="S186" t="s">
        <v>565</v>
      </c>
      <c r="T186" s="35">
        <v>7.9500000000000001E-2</v>
      </c>
      <c r="U186" s="35">
        <v>0.32200000000000001</v>
      </c>
      <c r="V186" t="s">
        <v>483</v>
      </c>
      <c r="W186" s="35">
        <v>4.9051999999999998</v>
      </c>
      <c r="X186" s="35">
        <v>1.1697</v>
      </c>
      <c r="Z186" s="35"/>
      <c r="AA186" s="35"/>
    </row>
    <row r="187" spans="1:27" x14ac:dyDescent="0.3">
      <c r="A187" t="s">
        <v>561</v>
      </c>
      <c r="B187" t="s">
        <v>564</v>
      </c>
      <c r="C187" t="s">
        <v>438</v>
      </c>
      <c r="D187" t="s">
        <v>436</v>
      </c>
      <c r="E187">
        <v>17</v>
      </c>
      <c r="F187" s="35"/>
      <c r="G187" s="35"/>
      <c r="H187" s="36"/>
      <c r="I187" s="36">
        <v>0.1898</v>
      </c>
      <c r="J187" s="36"/>
      <c r="K187" s="35"/>
      <c r="M187" s="35"/>
      <c r="O187" s="35"/>
      <c r="Q187" s="36"/>
      <c r="R187" s="36">
        <v>7.4099999999999999E-2</v>
      </c>
      <c r="S187" t="s">
        <v>565</v>
      </c>
      <c r="T187" s="35">
        <v>0.46879999999999999</v>
      </c>
      <c r="U187" s="35">
        <v>1.6326000000000001</v>
      </c>
      <c r="V187" t="s">
        <v>483</v>
      </c>
      <c r="W187" s="35">
        <v>2.3088000000000002</v>
      </c>
      <c r="X187" s="35">
        <v>0.47320000000000001</v>
      </c>
      <c r="Z187" s="35"/>
      <c r="AA187" s="35"/>
    </row>
    <row r="188" spans="1:27" x14ac:dyDescent="0.3">
      <c r="A188" t="s">
        <v>561</v>
      </c>
      <c r="B188" t="s">
        <v>564</v>
      </c>
      <c r="C188" t="s">
        <v>439</v>
      </c>
      <c r="D188" t="s">
        <v>436</v>
      </c>
      <c r="E188">
        <v>17</v>
      </c>
      <c r="F188" s="35"/>
      <c r="G188" s="35"/>
      <c r="H188" s="36"/>
      <c r="I188" s="36">
        <v>0.1694</v>
      </c>
      <c r="J188" s="36"/>
      <c r="K188" s="35"/>
      <c r="M188" s="35"/>
      <c r="O188" s="35"/>
      <c r="Q188" s="36"/>
      <c r="R188" s="36">
        <v>5.0700000000000002E-2</v>
      </c>
      <c r="S188" t="s">
        <v>565</v>
      </c>
      <c r="T188" s="35">
        <v>0.35039999999999999</v>
      </c>
      <c r="U188" s="35">
        <v>1.3244</v>
      </c>
      <c r="V188" t="s">
        <v>483</v>
      </c>
      <c r="W188" s="35">
        <v>3.5514999999999999</v>
      </c>
      <c r="X188" s="35">
        <v>0.79</v>
      </c>
      <c r="Z188" s="35"/>
      <c r="AA188" s="35"/>
    </row>
    <row r="189" spans="1:27" x14ac:dyDescent="0.3">
      <c r="A189" t="s">
        <v>561</v>
      </c>
      <c r="B189" t="s">
        <v>566</v>
      </c>
      <c r="C189" t="s">
        <v>435</v>
      </c>
      <c r="D189" t="s">
        <v>436</v>
      </c>
      <c r="E189">
        <v>18</v>
      </c>
      <c r="F189" s="35"/>
      <c r="G189" s="35"/>
      <c r="H189" s="36"/>
      <c r="I189" s="36">
        <v>0.15490000000000001</v>
      </c>
      <c r="J189" s="36"/>
      <c r="K189" s="35"/>
      <c r="M189" s="35"/>
      <c r="O189" s="35"/>
      <c r="Q189" s="36"/>
      <c r="R189" s="36">
        <v>4.2200000000000001E-2</v>
      </c>
      <c r="S189" t="s">
        <v>563</v>
      </c>
      <c r="T189" s="35">
        <v>0.77510000000000001</v>
      </c>
      <c r="U189" s="35">
        <v>1.6521999999999999</v>
      </c>
      <c r="V189" t="s">
        <v>567</v>
      </c>
      <c r="W189" s="35">
        <v>1.2293000000000001</v>
      </c>
      <c r="X189" s="35">
        <v>0.2233</v>
      </c>
      <c r="Z189" s="35"/>
      <c r="AA189" s="35"/>
    </row>
    <row r="190" spans="1:27" x14ac:dyDescent="0.3">
      <c r="A190" t="s">
        <v>561</v>
      </c>
      <c r="B190" t="s">
        <v>566</v>
      </c>
      <c r="C190" t="s">
        <v>437</v>
      </c>
      <c r="D190" t="s">
        <v>436</v>
      </c>
      <c r="E190">
        <v>18</v>
      </c>
      <c r="F190" s="35"/>
      <c r="G190" s="35"/>
      <c r="H190" s="36"/>
      <c r="I190" s="36">
        <v>0.15210000000000001</v>
      </c>
      <c r="J190" s="36"/>
      <c r="K190" s="35"/>
      <c r="M190" s="35"/>
      <c r="O190" s="35"/>
      <c r="Q190" s="36"/>
      <c r="R190" s="36">
        <v>3.9E-2</v>
      </c>
      <c r="S190" t="s">
        <v>563</v>
      </c>
      <c r="T190" s="35">
        <v>0.74560000000000004</v>
      </c>
      <c r="U190" s="35">
        <v>1.6292</v>
      </c>
      <c r="V190" t="s">
        <v>567</v>
      </c>
      <c r="W190" s="35">
        <v>0.9073</v>
      </c>
      <c r="X190" s="35">
        <v>0.16889999999999999</v>
      </c>
      <c r="Z190" s="35"/>
      <c r="AA190" s="35"/>
    </row>
    <row r="191" spans="1:27" x14ac:dyDescent="0.3">
      <c r="A191" t="s">
        <v>561</v>
      </c>
      <c r="B191" t="s">
        <v>566</v>
      </c>
      <c r="C191" t="s">
        <v>438</v>
      </c>
      <c r="D191" t="s">
        <v>436</v>
      </c>
      <c r="E191">
        <v>18</v>
      </c>
      <c r="F191" s="35"/>
      <c r="G191" s="35"/>
      <c r="H191" s="36"/>
      <c r="I191" s="36">
        <v>6.6699999999999995E-2</v>
      </c>
      <c r="J191" s="36"/>
      <c r="K191" s="35"/>
      <c r="M191" s="35"/>
      <c r="O191" s="35"/>
      <c r="Q191" s="36"/>
      <c r="R191" s="36">
        <v>-5.7700000000000001E-2</v>
      </c>
      <c r="S191" t="s">
        <v>563</v>
      </c>
      <c r="T191" s="35">
        <v>-0.35720000000000002</v>
      </c>
      <c r="U191" s="35">
        <v>-0.62060000000000004</v>
      </c>
      <c r="V191" t="s">
        <v>567</v>
      </c>
      <c r="W191" s="35">
        <v>4.5529000000000002</v>
      </c>
      <c r="X191" s="35">
        <v>0.67390000000000005</v>
      </c>
      <c r="Z191" s="35"/>
      <c r="AA191" s="35"/>
    </row>
    <row r="192" spans="1:27" x14ac:dyDescent="0.3">
      <c r="A192" t="s">
        <v>561</v>
      </c>
      <c r="B192" t="s">
        <v>566</v>
      </c>
      <c r="C192" t="s">
        <v>439</v>
      </c>
      <c r="D192" t="s">
        <v>436</v>
      </c>
      <c r="E192">
        <v>18</v>
      </c>
      <c r="F192" s="35"/>
      <c r="G192" s="35"/>
      <c r="H192" s="36"/>
      <c r="I192" s="36">
        <v>2.0199999999999999E-2</v>
      </c>
      <c r="J192" s="36"/>
      <c r="K192" s="35"/>
      <c r="M192" s="35"/>
      <c r="O192" s="35"/>
      <c r="Q192" s="36"/>
      <c r="R192" s="36">
        <v>-0.1105</v>
      </c>
      <c r="S192" t="s">
        <v>563</v>
      </c>
      <c r="T192" s="35">
        <v>0.1946</v>
      </c>
      <c r="U192" s="35">
        <v>0.34310000000000002</v>
      </c>
      <c r="V192" t="s">
        <v>567</v>
      </c>
      <c r="W192" s="35">
        <v>3.3378000000000001</v>
      </c>
      <c r="X192" s="35">
        <v>0.50129999999999997</v>
      </c>
      <c r="Z192" s="35"/>
      <c r="AA192" s="35"/>
    </row>
    <row r="193" spans="1:27" x14ac:dyDescent="0.3">
      <c r="A193" t="s">
        <v>561</v>
      </c>
      <c r="B193" t="s">
        <v>568</v>
      </c>
      <c r="C193" t="s">
        <v>435</v>
      </c>
      <c r="D193" t="s">
        <v>436</v>
      </c>
      <c r="E193">
        <v>18</v>
      </c>
      <c r="F193" s="35"/>
      <c r="G193" s="35"/>
      <c r="H193" s="36"/>
      <c r="I193" s="36">
        <v>0.1474</v>
      </c>
      <c r="J193" s="36"/>
      <c r="K193" s="35"/>
      <c r="M193" s="35"/>
      <c r="O193" s="35"/>
      <c r="Q193" s="36"/>
      <c r="R193" s="36">
        <v>3.3700000000000001E-2</v>
      </c>
      <c r="S193" t="s">
        <v>563</v>
      </c>
      <c r="T193" s="35">
        <v>0.69120000000000004</v>
      </c>
      <c r="U193" s="35">
        <v>1.2421</v>
      </c>
      <c r="V193" t="s">
        <v>569</v>
      </c>
      <c r="W193" s="35">
        <v>0.45290000000000002</v>
      </c>
      <c r="X193" s="35">
        <v>0.3125</v>
      </c>
      <c r="Z193" s="35"/>
      <c r="AA193" s="35"/>
    </row>
    <row r="194" spans="1:27" x14ac:dyDescent="0.3">
      <c r="A194" t="s">
        <v>561</v>
      </c>
      <c r="B194" t="s">
        <v>568</v>
      </c>
      <c r="C194" t="s">
        <v>437</v>
      </c>
      <c r="D194" t="s">
        <v>436</v>
      </c>
      <c r="E194">
        <v>18</v>
      </c>
      <c r="F194" s="35"/>
      <c r="G194" s="35"/>
      <c r="H194" s="36"/>
      <c r="I194" s="36">
        <v>0.1555</v>
      </c>
      <c r="J194" s="36"/>
      <c r="K194" s="35"/>
      <c r="M194" s="35"/>
      <c r="O194" s="35"/>
      <c r="Q194" s="36"/>
      <c r="R194" s="36">
        <v>4.2900000000000001E-2</v>
      </c>
      <c r="S194" t="s">
        <v>563</v>
      </c>
      <c r="T194" s="35">
        <v>0.66910000000000003</v>
      </c>
      <c r="U194" s="35">
        <v>1.2645999999999999</v>
      </c>
      <c r="V194" t="s">
        <v>569</v>
      </c>
      <c r="W194" s="35">
        <v>0.48139999999999999</v>
      </c>
      <c r="X194" s="35">
        <v>0.34939999999999999</v>
      </c>
      <c r="Z194" s="35"/>
      <c r="AA194" s="35"/>
    </row>
    <row r="195" spans="1:27" x14ac:dyDescent="0.3">
      <c r="A195" t="s">
        <v>561</v>
      </c>
      <c r="B195" t="s">
        <v>568</v>
      </c>
      <c r="C195" t="s">
        <v>438</v>
      </c>
      <c r="D195" t="s">
        <v>436</v>
      </c>
      <c r="E195">
        <v>18</v>
      </c>
      <c r="F195" s="35"/>
      <c r="G195" s="35"/>
      <c r="H195" s="36"/>
      <c r="I195" s="36">
        <v>7.7999999999999996E-3</v>
      </c>
      <c r="J195" s="36"/>
      <c r="K195" s="35"/>
      <c r="M195" s="35"/>
      <c r="O195" s="35"/>
      <c r="Q195" s="36"/>
      <c r="R195" s="36">
        <v>-0.1245</v>
      </c>
      <c r="S195" t="s">
        <v>563</v>
      </c>
      <c r="T195" s="35">
        <v>-0.1905</v>
      </c>
      <c r="U195" s="35">
        <v>-0.30690000000000001</v>
      </c>
      <c r="V195" t="s">
        <v>569</v>
      </c>
      <c r="W195" s="35">
        <v>1.55E-2</v>
      </c>
      <c r="X195" s="35">
        <v>9.5999999999999992E-3</v>
      </c>
      <c r="Z195" s="35"/>
      <c r="AA195" s="35"/>
    </row>
    <row r="196" spans="1:27" x14ac:dyDescent="0.3">
      <c r="A196" t="s">
        <v>561</v>
      </c>
      <c r="B196" t="s">
        <v>568</v>
      </c>
      <c r="C196" t="s">
        <v>439</v>
      </c>
      <c r="D196" t="s">
        <v>436</v>
      </c>
      <c r="E196">
        <v>18</v>
      </c>
      <c r="F196" s="35"/>
      <c r="G196" s="35"/>
      <c r="H196" s="36"/>
      <c r="I196" s="36">
        <v>2.3900000000000001E-2</v>
      </c>
      <c r="J196" s="36"/>
      <c r="K196" s="35"/>
      <c r="M196" s="35"/>
      <c r="O196" s="35"/>
      <c r="Q196" s="36"/>
      <c r="R196" s="36">
        <v>-0.1062</v>
      </c>
      <c r="S196" t="s">
        <v>563</v>
      </c>
      <c r="T196" s="35">
        <v>0.26140000000000002</v>
      </c>
      <c r="U196" s="35">
        <v>0.4224</v>
      </c>
      <c r="V196" t="s">
        <v>569</v>
      </c>
      <c r="W196" s="35">
        <v>0.29370000000000002</v>
      </c>
      <c r="X196" s="35">
        <v>0.18229999999999999</v>
      </c>
      <c r="Z196" s="35"/>
      <c r="AA196" s="35"/>
    </row>
    <row r="197" spans="1:27" x14ac:dyDescent="0.3">
      <c r="A197" t="s">
        <v>561</v>
      </c>
      <c r="B197" t="s">
        <v>570</v>
      </c>
      <c r="C197" t="s">
        <v>435</v>
      </c>
      <c r="D197" t="s">
        <v>436</v>
      </c>
      <c r="E197">
        <v>19</v>
      </c>
      <c r="F197" s="35"/>
      <c r="G197" s="35"/>
      <c r="H197" s="36"/>
      <c r="I197" s="36">
        <v>0.21809999999999999</v>
      </c>
      <c r="J197" s="36"/>
      <c r="K197" s="35"/>
      <c r="M197" s="35"/>
      <c r="O197" s="35"/>
      <c r="Q197" s="36"/>
      <c r="R197" s="36">
        <v>0.12039999999999999</v>
      </c>
      <c r="S197" t="s">
        <v>563</v>
      </c>
      <c r="T197" s="35">
        <v>0.71399999999999997</v>
      </c>
      <c r="U197" s="35">
        <v>1.5304</v>
      </c>
      <c r="V197" t="s">
        <v>473</v>
      </c>
      <c r="W197" s="35">
        <v>5.0593000000000004</v>
      </c>
      <c r="X197" s="35">
        <v>1.0295000000000001</v>
      </c>
      <c r="Z197" s="35"/>
      <c r="AA197" s="35"/>
    </row>
    <row r="198" spans="1:27" x14ac:dyDescent="0.3">
      <c r="A198" t="s">
        <v>561</v>
      </c>
      <c r="B198" t="s">
        <v>570</v>
      </c>
      <c r="C198" t="s">
        <v>437</v>
      </c>
      <c r="D198" t="s">
        <v>436</v>
      </c>
      <c r="E198">
        <v>19</v>
      </c>
      <c r="F198" s="35"/>
      <c r="G198" s="35"/>
      <c r="H198" s="36"/>
      <c r="I198" s="36">
        <v>0.21820000000000001</v>
      </c>
      <c r="J198" s="36"/>
      <c r="K198" s="35"/>
      <c r="M198" s="35"/>
      <c r="O198" s="35"/>
      <c r="Q198" s="36"/>
      <c r="R198" s="36">
        <v>0.1205</v>
      </c>
      <c r="S198" t="s">
        <v>563</v>
      </c>
      <c r="T198" s="35">
        <v>0.66659999999999997</v>
      </c>
      <c r="U198" s="35">
        <v>1.5142</v>
      </c>
      <c r="V198" t="s">
        <v>473</v>
      </c>
      <c r="W198" s="35">
        <v>4.8719999999999999</v>
      </c>
      <c r="X198" s="35">
        <v>1.0507</v>
      </c>
      <c r="Z198" s="35"/>
      <c r="AA198" s="35"/>
    </row>
    <row r="199" spans="1:27" x14ac:dyDescent="0.3">
      <c r="A199" t="s">
        <v>561</v>
      </c>
      <c r="B199" t="s">
        <v>570</v>
      </c>
      <c r="C199" t="s">
        <v>438</v>
      </c>
      <c r="D199" t="s">
        <v>436</v>
      </c>
      <c r="E199">
        <v>19</v>
      </c>
      <c r="F199" s="35"/>
      <c r="G199" s="35"/>
      <c r="H199" s="36"/>
      <c r="I199" s="36">
        <v>4.9599999999999998E-2</v>
      </c>
      <c r="J199" s="36"/>
      <c r="K199" s="35"/>
      <c r="M199" s="35"/>
      <c r="O199" s="35"/>
      <c r="Q199" s="36"/>
      <c r="R199" s="36">
        <v>-6.9199999999999998E-2</v>
      </c>
      <c r="S199" t="s">
        <v>563</v>
      </c>
      <c r="T199" s="35">
        <v>-0.47249999999999998</v>
      </c>
      <c r="U199" s="35">
        <v>-0.83189999999999997</v>
      </c>
      <c r="V199" t="s">
        <v>473</v>
      </c>
      <c r="W199" s="35">
        <v>3.4289000000000001</v>
      </c>
      <c r="X199" s="35">
        <v>0.57320000000000004</v>
      </c>
      <c r="Z199" s="35"/>
      <c r="AA199" s="35"/>
    </row>
    <row r="200" spans="1:27" x14ac:dyDescent="0.3">
      <c r="A200" t="s">
        <v>561</v>
      </c>
      <c r="B200" t="s">
        <v>570</v>
      </c>
      <c r="C200" t="s">
        <v>439</v>
      </c>
      <c r="D200" t="s">
        <v>436</v>
      </c>
      <c r="E200">
        <v>19</v>
      </c>
      <c r="F200" s="35"/>
      <c r="G200" s="35"/>
      <c r="H200" s="36"/>
      <c r="I200" s="36">
        <v>2.4899999999999999E-2</v>
      </c>
      <c r="J200" s="36"/>
      <c r="K200" s="35"/>
      <c r="M200" s="35"/>
      <c r="O200" s="35"/>
      <c r="Q200" s="36"/>
      <c r="R200" s="36">
        <v>-9.69E-2</v>
      </c>
      <c r="S200" t="s">
        <v>563</v>
      </c>
      <c r="T200" s="35">
        <v>8.0600000000000005E-2</v>
      </c>
      <c r="U200" s="35">
        <v>0.14649999999999999</v>
      </c>
      <c r="V200" t="s">
        <v>473</v>
      </c>
      <c r="W200" s="35">
        <v>3.2837000000000001</v>
      </c>
      <c r="X200" s="35">
        <v>0.56669999999999998</v>
      </c>
      <c r="Z200" s="35"/>
      <c r="AA200" s="35"/>
    </row>
    <row r="201" spans="1:27" x14ac:dyDescent="0.3">
      <c r="A201" t="s">
        <v>561</v>
      </c>
      <c r="B201" t="s">
        <v>571</v>
      </c>
      <c r="C201" t="s">
        <v>435</v>
      </c>
      <c r="D201" t="s">
        <v>436</v>
      </c>
      <c r="E201">
        <v>17</v>
      </c>
      <c r="F201" s="35"/>
      <c r="G201" s="35"/>
      <c r="H201" s="36"/>
      <c r="I201" s="36">
        <v>0.1343</v>
      </c>
      <c r="J201" s="36"/>
      <c r="K201" s="35"/>
      <c r="M201" s="35"/>
      <c r="O201" s="35"/>
      <c r="Q201" s="36"/>
      <c r="R201" s="36">
        <v>-6.5500000000000003E-2</v>
      </c>
      <c r="S201" t="s">
        <v>569</v>
      </c>
      <c r="T201" s="35">
        <v>0.20219999999999999</v>
      </c>
      <c r="U201" s="35">
        <v>0.13569999999999999</v>
      </c>
      <c r="V201" t="s">
        <v>567</v>
      </c>
      <c r="W201" s="35">
        <v>1.4611000000000001</v>
      </c>
      <c r="X201" s="35">
        <v>0.2485</v>
      </c>
      <c r="Y201" t="s">
        <v>563</v>
      </c>
      <c r="Z201" s="35">
        <v>0.68679999999999997</v>
      </c>
      <c r="AA201" s="35">
        <v>1.2029000000000001</v>
      </c>
    </row>
    <row r="202" spans="1:27" x14ac:dyDescent="0.3">
      <c r="A202" t="s">
        <v>561</v>
      </c>
      <c r="B202" t="s">
        <v>571</v>
      </c>
      <c r="C202" t="s">
        <v>437</v>
      </c>
      <c r="D202" t="s">
        <v>436</v>
      </c>
      <c r="E202">
        <v>17</v>
      </c>
      <c r="F202" s="35"/>
      <c r="G202" s="35"/>
      <c r="H202" s="36"/>
      <c r="I202" s="36">
        <v>0.14169999999999999</v>
      </c>
      <c r="J202" s="36"/>
      <c r="K202" s="35"/>
      <c r="M202" s="35"/>
      <c r="O202" s="35"/>
      <c r="Q202" s="36"/>
      <c r="R202" s="36">
        <v>-5.6300000000000003E-2</v>
      </c>
      <c r="S202" t="s">
        <v>569</v>
      </c>
      <c r="T202" s="35">
        <v>0.32390000000000002</v>
      </c>
      <c r="U202" s="35">
        <v>0.22140000000000001</v>
      </c>
      <c r="V202" t="s">
        <v>567</v>
      </c>
      <c r="W202" s="35">
        <v>1.0667</v>
      </c>
      <c r="X202" s="35">
        <v>0.1847</v>
      </c>
      <c r="Y202" t="s">
        <v>563</v>
      </c>
      <c r="Z202" s="35">
        <v>0.66820000000000002</v>
      </c>
      <c r="AA202" s="35">
        <v>1.1919999999999999</v>
      </c>
    </row>
    <row r="203" spans="1:27" x14ac:dyDescent="0.3">
      <c r="A203" t="s">
        <v>561</v>
      </c>
      <c r="B203" t="s">
        <v>571</v>
      </c>
      <c r="C203" t="s">
        <v>438</v>
      </c>
      <c r="D203" t="s">
        <v>436</v>
      </c>
      <c r="E203">
        <v>17</v>
      </c>
      <c r="F203" s="35"/>
      <c r="G203" s="35"/>
      <c r="H203" s="36"/>
      <c r="I203" s="36">
        <v>3.85E-2</v>
      </c>
      <c r="J203" s="36"/>
      <c r="K203" s="35"/>
      <c r="M203" s="35"/>
      <c r="O203" s="35"/>
      <c r="Q203" s="36"/>
      <c r="R203" s="36">
        <v>-0.18329999999999999</v>
      </c>
      <c r="S203" t="s">
        <v>569</v>
      </c>
      <c r="T203" s="35">
        <v>-0.1061</v>
      </c>
      <c r="U203" s="35">
        <v>-6.2300000000000001E-2</v>
      </c>
      <c r="V203" t="s">
        <v>567</v>
      </c>
      <c r="W203" s="35">
        <v>3.9055</v>
      </c>
      <c r="X203" s="35">
        <v>0.58069999999999999</v>
      </c>
      <c r="Y203" t="s">
        <v>563</v>
      </c>
      <c r="Z203" s="35">
        <v>-0.15190000000000001</v>
      </c>
      <c r="AA203" s="35">
        <v>-0.23269999999999999</v>
      </c>
    </row>
    <row r="204" spans="1:27" x14ac:dyDescent="0.3">
      <c r="A204" t="s">
        <v>561</v>
      </c>
      <c r="B204" t="s">
        <v>571</v>
      </c>
      <c r="C204" t="s">
        <v>439</v>
      </c>
      <c r="D204" t="s">
        <v>436</v>
      </c>
      <c r="E204">
        <v>17</v>
      </c>
      <c r="F204" s="35"/>
      <c r="G204" s="35"/>
      <c r="H204" s="36"/>
      <c r="I204" s="36">
        <v>3.2899999999999999E-2</v>
      </c>
      <c r="J204" s="36"/>
      <c r="K204" s="35"/>
      <c r="M204" s="35"/>
      <c r="O204" s="35"/>
      <c r="Q204" s="36"/>
      <c r="R204" s="36">
        <v>-0.1903</v>
      </c>
      <c r="S204" t="s">
        <v>569</v>
      </c>
      <c r="T204" s="35">
        <v>0.25219999999999998</v>
      </c>
      <c r="U204" s="35">
        <v>0.1454</v>
      </c>
      <c r="V204" t="s">
        <v>567</v>
      </c>
      <c r="W204" s="35">
        <v>2.9306000000000001</v>
      </c>
      <c r="X204" s="35">
        <v>0.42809999999999998</v>
      </c>
      <c r="Y204" t="s">
        <v>563</v>
      </c>
      <c r="Z204" s="35">
        <v>0.2949</v>
      </c>
      <c r="AA204" s="35">
        <v>0.44369999999999998</v>
      </c>
    </row>
    <row r="205" spans="1:27" x14ac:dyDescent="0.3">
      <c r="A205" t="s">
        <v>561</v>
      </c>
      <c r="B205" t="s">
        <v>562</v>
      </c>
      <c r="C205" t="s">
        <v>435</v>
      </c>
      <c r="D205" t="s">
        <v>458</v>
      </c>
      <c r="E205">
        <v>12</v>
      </c>
      <c r="F205" s="35"/>
      <c r="G205" s="35"/>
      <c r="H205" s="36"/>
      <c r="I205" s="36">
        <v>0.3009</v>
      </c>
      <c r="J205" s="36"/>
      <c r="K205" s="35"/>
      <c r="M205" s="35"/>
      <c r="O205" s="35"/>
      <c r="Q205" s="36"/>
      <c r="R205" s="36">
        <v>0.14560000000000001</v>
      </c>
      <c r="S205" t="s">
        <v>563</v>
      </c>
      <c r="T205" s="35">
        <v>0.64939999999999998</v>
      </c>
      <c r="U205" s="35">
        <v>0.58360000000000001</v>
      </c>
      <c r="V205" t="s">
        <v>483</v>
      </c>
      <c r="W205" s="35">
        <v>8.2280999999999995</v>
      </c>
      <c r="X205" s="35">
        <v>1.8697999999999999</v>
      </c>
      <c r="Z205" s="35"/>
      <c r="AA205" s="35"/>
    </row>
    <row r="206" spans="1:27" x14ac:dyDescent="0.3">
      <c r="A206" t="s">
        <v>561</v>
      </c>
      <c r="B206" t="s">
        <v>562</v>
      </c>
      <c r="C206" t="s">
        <v>437</v>
      </c>
      <c r="D206" t="s">
        <v>458</v>
      </c>
      <c r="E206">
        <v>12</v>
      </c>
      <c r="F206" s="35"/>
      <c r="G206" s="35"/>
      <c r="H206" s="36"/>
      <c r="I206" s="36">
        <v>0.35470000000000002</v>
      </c>
      <c r="J206" s="36"/>
      <c r="K206" s="35"/>
      <c r="M206" s="35"/>
      <c r="O206" s="35"/>
      <c r="Q206" s="36"/>
      <c r="R206" s="36">
        <v>0.21129999999999999</v>
      </c>
      <c r="S206" t="s">
        <v>563</v>
      </c>
      <c r="T206" s="35">
        <v>0.6764</v>
      </c>
      <c r="U206" s="35">
        <v>0.63739999999999997</v>
      </c>
      <c r="V206" t="s">
        <v>483</v>
      </c>
      <c r="W206" s="35">
        <v>8.8977000000000004</v>
      </c>
      <c r="X206" s="35">
        <v>2.12</v>
      </c>
      <c r="Z206" s="35"/>
      <c r="AA206" s="35"/>
    </row>
    <row r="207" spans="1:27" x14ac:dyDescent="0.3">
      <c r="A207" t="s">
        <v>561</v>
      </c>
      <c r="B207" t="s">
        <v>562</v>
      </c>
      <c r="C207" t="s">
        <v>438</v>
      </c>
      <c r="D207" t="s">
        <v>458</v>
      </c>
      <c r="E207">
        <v>12</v>
      </c>
      <c r="F207" s="35"/>
      <c r="G207" s="35"/>
      <c r="H207" s="36"/>
      <c r="I207" s="36">
        <v>0.35170000000000001</v>
      </c>
      <c r="J207" s="36"/>
      <c r="K207" s="35"/>
      <c r="M207" s="35"/>
      <c r="O207" s="35"/>
      <c r="Q207" s="36"/>
      <c r="R207" s="36">
        <v>0.2077</v>
      </c>
      <c r="S207" t="s">
        <v>563</v>
      </c>
      <c r="T207" s="35">
        <v>1.2128000000000001</v>
      </c>
      <c r="U207" s="35">
        <v>1.0772999999999999</v>
      </c>
      <c r="V207" t="s">
        <v>483</v>
      </c>
      <c r="W207" s="35">
        <v>8.5076000000000001</v>
      </c>
      <c r="X207" s="35">
        <v>1.9109</v>
      </c>
      <c r="Z207" s="35"/>
      <c r="AA207" s="35"/>
    </row>
    <row r="208" spans="1:27" x14ac:dyDescent="0.3">
      <c r="A208" t="s">
        <v>561</v>
      </c>
      <c r="B208" t="s">
        <v>562</v>
      </c>
      <c r="C208" t="s">
        <v>439</v>
      </c>
      <c r="D208" t="s">
        <v>458</v>
      </c>
      <c r="E208">
        <v>12</v>
      </c>
      <c r="F208" s="35"/>
      <c r="G208" s="35"/>
      <c r="H208" s="36"/>
      <c r="I208" s="36">
        <v>0.45889999999999997</v>
      </c>
      <c r="J208" s="36"/>
      <c r="K208" s="35"/>
      <c r="M208" s="35"/>
      <c r="O208" s="35"/>
      <c r="Q208" s="36"/>
      <c r="R208" s="36">
        <v>0.33860000000000001</v>
      </c>
      <c r="S208" t="s">
        <v>563</v>
      </c>
      <c r="T208" s="35">
        <v>1.2122999999999999</v>
      </c>
      <c r="U208" s="35">
        <v>1.1654</v>
      </c>
      <c r="V208" t="s">
        <v>483</v>
      </c>
      <c r="W208" s="35">
        <v>10.2219</v>
      </c>
      <c r="X208" s="35">
        <v>2.4847000000000001</v>
      </c>
      <c r="Z208" s="35"/>
      <c r="AA208" s="35"/>
    </row>
    <row r="209" spans="1:27" x14ac:dyDescent="0.3">
      <c r="A209" t="s">
        <v>561</v>
      </c>
      <c r="B209" t="s">
        <v>564</v>
      </c>
      <c r="C209" t="s">
        <v>435</v>
      </c>
      <c r="D209" t="s">
        <v>458</v>
      </c>
      <c r="E209">
        <v>12</v>
      </c>
      <c r="F209" s="35"/>
      <c r="G209" s="35"/>
      <c r="H209" s="36"/>
      <c r="I209" s="36">
        <v>0.27460000000000001</v>
      </c>
      <c r="J209" s="36"/>
      <c r="K209" s="35"/>
      <c r="M209" s="35"/>
      <c r="O209" s="35"/>
      <c r="Q209" s="36"/>
      <c r="R209" s="36">
        <v>0.1134</v>
      </c>
      <c r="S209" t="s">
        <v>565</v>
      </c>
      <c r="T209" s="35">
        <v>1.95E-2</v>
      </c>
      <c r="U209" s="35">
        <v>0.03</v>
      </c>
      <c r="V209" t="s">
        <v>483</v>
      </c>
      <c r="W209" s="35">
        <v>8.2396999999999991</v>
      </c>
      <c r="X209" s="35">
        <v>1.7889999999999999</v>
      </c>
      <c r="Z209" s="35"/>
      <c r="AA209" s="35"/>
    </row>
    <row r="210" spans="1:27" x14ac:dyDescent="0.3">
      <c r="A210" t="s">
        <v>561</v>
      </c>
      <c r="B210" t="s">
        <v>564</v>
      </c>
      <c r="C210" t="s">
        <v>437</v>
      </c>
      <c r="D210" t="s">
        <v>458</v>
      </c>
      <c r="E210">
        <v>12</v>
      </c>
      <c r="F210" s="35"/>
      <c r="G210" s="35"/>
      <c r="H210" s="36"/>
      <c r="I210" s="36">
        <v>0.3256</v>
      </c>
      <c r="J210" s="36"/>
      <c r="K210" s="35"/>
      <c r="M210" s="35"/>
      <c r="O210" s="35"/>
      <c r="Q210" s="36"/>
      <c r="R210" s="36">
        <v>0.17580000000000001</v>
      </c>
      <c r="S210" t="s">
        <v>565</v>
      </c>
      <c r="T210" s="35">
        <v>-1.49E-2</v>
      </c>
      <c r="U210" s="35">
        <v>-2.4E-2</v>
      </c>
      <c r="V210" t="s">
        <v>483</v>
      </c>
      <c r="W210" s="35">
        <v>8.9672000000000001</v>
      </c>
      <c r="X210" s="35">
        <v>2.0341999999999998</v>
      </c>
      <c r="Z210" s="35"/>
      <c r="AA210" s="35"/>
    </row>
    <row r="211" spans="1:27" x14ac:dyDescent="0.3">
      <c r="A211" t="s">
        <v>561</v>
      </c>
      <c r="B211" t="s">
        <v>564</v>
      </c>
      <c r="C211" t="s">
        <v>438</v>
      </c>
      <c r="D211" t="s">
        <v>458</v>
      </c>
      <c r="E211">
        <v>12</v>
      </c>
      <c r="F211" s="35"/>
      <c r="G211" s="35"/>
      <c r="H211" s="36"/>
      <c r="I211" s="36">
        <v>0.33</v>
      </c>
      <c r="J211" s="36"/>
      <c r="K211" s="35"/>
      <c r="M211" s="35"/>
      <c r="O211" s="35"/>
      <c r="Q211" s="36"/>
      <c r="R211" s="36">
        <v>0.1812</v>
      </c>
      <c r="S211" t="s">
        <v>565</v>
      </c>
      <c r="T211" s="35">
        <v>0.59750000000000003</v>
      </c>
      <c r="U211" s="35">
        <v>0.91200000000000003</v>
      </c>
      <c r="V211" t="s">
        <v>483</v>
      </c>
      <c r="W211" s="35">
        <v>7.6128</v>
      </c>
      <c r="X211" s="35">
        <v>1.6371</v>
      </c>
      <c r="Z211" s="35"/>
      <c r="AA211" s="35"/>
    </row>
    <row r="212" spans="1:27" x14ac:dyDescent="0.3">
      <c r="A212" t="s">
        <v>561</v>
      </c>
      <c r="B212" t="s">
        <v>564</v>
      </c>
      <c r="C212" t="s">
        <v>439</v>
      </c>
      <c r="D212" t="s">
        <v>458</v>
      </c>
      <c r="E212">
        <v>12</v>
      </c>
      <c r="F212" s="35"/>
      <c r="G212" s="35"/>
      <c r="H212" s="36"/>
      <c r="I212" s="36">
        <v>0.43719999999999998</v>
      </c>
      <c r="J212" s="36"/>
      <c r="K212" s="35"/>
      <c r="M212" s="35"/>
      <c r="O212" s="35"/>
      <c r="Q212" s="36"/>
      <c r="R212" s="36">
        <v>0.31209999999999999</v>
      </c>
      <c r="S212" t="s">
        <v>565</v>
      </c>
      <c r="T212" s="35">
        <v>0.5948</v>
      </c>
      <c r="U212" s="35">
        <v>0.97929999999999995</v>
      </c>
      <c r="V212" t="s">
        <v>483</v>
      </c>
      <c r="W212" s="35">
        <v>9.3315999999999999</v>
      </c>
      <c r="X212" s="35">
        <v>2.1648000000000001</v>
      </c>
      <c r="Z212" s="35"/>
      <c r="AA212" s="35"/>
    </row>
    <row r="213" spans="1:27" x14ac:dyDescent="0.3">
      <c r="A213" t="s">
        <v>561</v>
      </c>
      <c r="B213" t="s">
        <v>566</v>
      </c>
      <c r="C213" t="s">
        <v>435</v>
      </c>
      <c r="D213" t="s">
        <v>458</v>
      </c>
      <c r="E213">
        <v>14</v>
      </c>
      <c r="F213" s="35"/>
      <c r="G213" s="35"/>
      <c r="H213" s="36"/>
      <c r="I213" s="36">
        <v>0.16750000000000001</v>
      </c>
      <c r="J213" s="36"/>
      <c r="K213" s="35"/>
      <c r="M213" s="35"/>
      <c r="O213" s="35"/>
      <c r="Q213" s="36"/>
      <c r="R213" s="36">
        <v>1.61E-2</v>
      </c>
      <c r="S213" t="s">
        <v>563</v>
      </c>
      <c r="T213" s="35">
        <v>1.6124000000000001</v>
      </c>
      <c r="U213" s="35">
        <v>1.4734</v>
      </c>
      <c r="V213" t="s">
        <v>567</v>
      </c>
      <c r="W213" s="35">
        <v>2.2389000000000001</v>
      </c>
      <c r="X213" s="35">
        <v>0.38879999999999998</v>
      </c>
      <c r="Z213" s="35"/>
      <c r="AA213" s="35"/>
    </row>
    <row r="214" spans="1:27" x14ac:dyDescent="0.3">
      <c r="A214" t="s">
        <v>561</v>
      </c>
      <c r="B214" t="s">
        <v>566</v>
      </c>
      <c r="C214" t="s">
        <v>437</v>
      </c>
      <c r="D214" t="s">
        <v>458</v>
      </c>
      <c r="E214">
        <v>14</v>
      </c>
      <c r="F214" s="35"/>
      <c r="G214" s="35"/>
      <c r="H214" s="36"/>
      <c r="I214" s="36">
        <v>0.1525</v>
      </c>
      <c r="J214" s="36"/>
      <c r="K214" s="35"/>
      <c r="M214" s="35"/>
      <c r="O214" s="35"/>
      <c r="Q214" s="36"/>
      <c r="R214" s="36">
        <v>-1.6000000000000001E-3</v>
      </c>
      <c r="S214" t="s">
        <v>563</v>
      </c>
      <c r="T214" s="35">
        <v>1.5154000000000001</v>
      </c>
      <c r="U214" s="35">
        <v>1.4028</v>
      </c>
      <c r="V214" t="s">
        <v>567</v>
      </c>
      <c r="W214" s="35">
        <v>1.593</v>
      </c>
      <c r="X214" s="35">
        <v>0.2802</v>
      </c>
      <c r="Z214" s="35"/>
      <c r="AA214" s="35"/>
    </row>
    <row r="215" spans="1:27" x14ac:dyDescent="0.3">
      <c r="A215" t="s">
        <v>561</v>
      </c>
      <c r="B215" t="s">
        <v>566</v>
      </c>
      <c r="C215" t="s">
        <v>438</v>
      </c>
      <c r="D215" t="s">
        <v>458</v>
      </c>
      <c r="E215">
        <v>14</v>
      </c>
      <c r="F215" s="35"/>
      <c r="G215" s="35"/>
      <c r="H215" s="36"/>
      <c r="I215" s="36">
        <v>0.2465</v>
      </c>
      <c r="J215" s="36"/>
      <c r="K215" s="35"/>
      <c r="M215" s="35"/>
      <c r="O215" s="35"/>
      <c r="Q215" s="36"/>
      <c r="R215" s="36">
        <v>0.1095</v>
      </c>
      <c r="S215" t="s">
        <v>563</v>
      </c>
      <c r="T215" s="35">
        <v>1.9863</v>
      </c>
      <c r="U215" s="35">
        <v>1.7766</v>
      </c>
      <c r="V215" t="s">
        <v>567</v>
      </c>
      <c r="W215" s="35">
        <v>5.1982999999999997</v>
      </c>
      <c r="X215" s="35">
        <v>0.88360000000000005</v>
      </c>
      <c r="Z215" s="35"/>
      <c r="AA215" s="35"/>
    </row>
    <row r="216" spans="1:27" x14ac:dyDescent="0.3">
      <c r="A216" t="s">
        <v>561</v>
      </c>
      <c r="B216" t="s">
        <v>566</v>
      </c>
      <c r="C216" t="s">
        <v>439</v>
      </c>
      <c r="D216" t="s">
        <v>458</v>
      </c>
      <c r="E216">
        <v>14</v>
      </c>
      <c r="F216" s="35"/>
      <c r="G216" s="35"/>
      <c r="H216" s="36"/>
      <c r="I216" s="36">
        <v>0.25840000000000002</v>
      </c>
      <c r="J216" s="36"/>
      <c r="K216" s="35"/>
      <c r="M216" s="35"/>
      <c r="O216" s="35"/>
      <c r="Q216" s="36"/>
      <c r="R216" s="36">
        <v>0.1235</v>
      </c>
      <c r="S216" t="s">
        <v>563</v>
      </c>
      <c r="T216" s="35">
        <v>2.2299000000000002</v>
      </c>
      <c r="U216" s="35">
        <v>1.9081999999999999</v>
      </c>
      <c r="V216" t="s">
        <v>567</v>
      </c>
      <c r="W216" s="35">
        <v>4.1410999999999998</v>
      </c>
      <c r="X216" s="35">
        <v>0.6734</v>
      </c>
      <c r="Z216" s="35"/>
      <c r="AA216" s="35"/>
    </row>
    <row r="217" spans="1:27" x14ac:dyDescent="0.3">
      <c r="A217" t="s">
        <v>561</v>
      </c>
      <c r="B217" t="s">
        <v>568</v>
      </c>
      <c r="C217" t="s">
        <v>435</v>
      </c>
      <c r="D217" t="s">
        <v>458</v>
      </c>
      <c r="E217">
        <v>14</v>
      </c>
      <c r="F217" s="35"/>
      <c r="G217" s="35"/>
      <c r="H217" s="36"/>
      <c r="I217" s="36">
        <v>0.1583</v>
      </c>
      <c r="J217" s="36"/>
      <c r="K217" s="35"/>
      <c r="M217" s="35"/>
      <c r="O217" s="35"/>
      <c r="Q217" s="36"/>
      <c r="R217" s="36">
        <v>5.3E-3</v>
      </c>
      <c r="S217" t="s">
        <v>563</v>
      </c>
      <c r="T217" s="35">
        <v>1.5201</v>
      </c>
      <c r="U217" s="35">
        <v>1.3637999999999999</v>
      </c>
      <c r="V217" t="s">
        <v>569</v>
      </c>
      <c r="W217" s="35">
        <v>0.25140000000000001</v>
      </c>
      <c r="X217" s="35">
        <v>0.1724</v>
      </c>
      <c r="Z217" s="35"/>
      <c r="AA217" s="35"/>
    </row>
    <row r="218" spans="1:27" x14ac:dyDescent="0.3">
      <c r="A218" t="s">
        <v>561</v>
      </c>
      <c r="B218" t="s">
        <v>568</v>
      </c>
      <c r="C218" t="s">
        <v>437</v>
      </c>
      <c r="D218" t="s">
        <v>458</v>
      </c>
      <c r="E218">
        <v>14</v>
      </c>
      <c r="F218" s="35"/>
      <c r="G218" s="35"/>
      <c r="H218" s="36"/>
      <c r="I218" s="36">
        <v>0.15279999999999999</v>
      </c>
      <c r="J218" s="36"/>
      <c r="K218" s="35"/>
      <c r="M218" s="35"/>
      <c r="O218" s="35"/>
      <c r="Q218" s="36"/>
      <c r="R218" s="36">
        <v>-1.2999999999999999E-3</v>
      </c>
      <c r="S218" t="s">
        <v>563</v>
      </c>
      <c r="T218" s="35">
        <v>1.4138999999999999</v>
      </c>
      <c r="U218" s="35">
        <v>1.2923</v>
      </c>
      <c r="V218" t="s">
        <v>569</v>
      </c>
      <c r="W218" s="35">
        <v>0.41120000000000001</v>
      </c>
      <c r="X218" s="35">
        <v>0.28720000000000001</v>
      </c>
      <c r="Z218" s="35"/>
      <c r="AA218" s="35"/>
    </row>
    <row r="219" spans="1:27" x14ac:dyDescent="0.3">
      <c r="A219" t="s">
        <v>561</v>
      </c>
      <c r="B219" t="s">
        <v>568</v>
      </c>
      <c r="C219" t="s">
        <v>438</v>
      </c>
      <c r="D219" t="s">
        <v>458</v>
      </c>
      <c r="E219">
        <v>14</v>
      </c>
      <c r="F219" s="35"/>
      <c r="G219" s="35"/>
      <c r="H219" s="36"/>
      <c r="I219" s="36">
        <v>0.1933</v>
      </c>
      <c r="J219" s="36"/>
      <c r="K219" s="35"/>
      <c r="M219" s="35"/>
      <c r="O219" s="35"/>
      <c r="Q219" s="36"/>
      <c r="R219" s="36">
        <v>4.6600000000000003E-2</v>
      </c>
      <c r="S219" t="s">
        <v>563</v>
      </c>
      <c r="T219" s="35">
        <v>1.8742000000000001</v>
      </c>
      <c r="U219" s="35">
        <v>1.5992999999999999</v>
      </c>
      <c r="V219" t="s">
        <v>569</v>
      </c>
      <c r="W219" s="35">
        <v>-7.8100000000000003E-2</v>
      </c>
      <c r="X219" s="35">
        <v>-5.0900000000000001E-2</v>
      </c>
      <c r="Z219" s="35"/>
      <c r="AA219" s="35"/>
    </row>
    <row r="220" spans="1:27" x14ac:dyDescent="0.3">
      <c r="A220" t="s">
        <v>561</v>
      </c>
      <c r="B220" t="s">
        <v>568</v>
      </c>
      <c r="C220" t="s">
        <v>439</v>
      </c>
      <c r="D220" t="s">
        <v>458</v>
      </c>
      <c r="E220">
        <v>14</v>
      </c>
      <c r="F220" s="35"/>
      <c r="G220" s="35"/>
      <c r="H220" s="36"/>
      <c r="I220" s="36">
        <v>0.2303</v>
      </c>
      <c r="J220" s="36"/>
      <c r="K220" s="35"/>
      <c r="M220" s="35"/>
      <c r="O220" s="35"/>
      <c r="Q220" s="36"/>
      <c r="R220" s="36">
        <v>9.0399999999999994E-2</v>
      </c>
      <c r="S220" t="s">
        <v>563</v>
      </c>
      <c r="T220" s="35">
        <v>2.0846</v>
      </c>
      <c r="U220" s="35">
        <v>1.7286999999999999</v>
      </c>
      <c r="V220" t="s">
        <v>569</v>
      </c>
      <c r="W220" s="35">
        <v>0.3</v>
      </c>
      <c r="X220" s="35">
        <v>0.19020000000000001</v>
      </c>
      <c r="Z220" s="35"/>
      <c r="AA220" s="35"/>
    </row>
    <row r="221" spans="1:27" x14ac:dyDescent="0.3">
      <c r="A221" t="s">
        <v>561</v>
      </c>
      <c r="B221" t="s">
        <v>570</v>
      </c>
      <c r="C221" t="s">
        <v>435</v>
      </c>
      <c r="D221" t="s">
        <v>458</v>
      </c>
      <c r="E221">
        <v>14</v>
      </c>
      <c r="F221" s="35"/>
      <c r="G221" s="35"/>
      <c r="H221" s="36"/>
      <c r="I221" s="36">
        <v>0.22470000000000001</v>
      </c>
      <c r="J221" s="36"/>
      <c r="K221" s="35"/>
      <c r="M221" s="35"/>
      <c r="O221" s="35"/>
      <c r="Q221" s="36"/>
      <c r="R221" s="36">
        <v>8.3799999999999999E-2</v>
      </c>
      <c r="S221" t="s">
        <v>563</v>
      </c>
      <c r="T221" s="35">
        <v>1.1895</v>
      </c>
      <c r="U221" s="35">
        <v>1.0692999999999999</v>
      </c>
      <c r="V221" t="s">
        <v>473</v>
      </c>
      <c r="W221" s="35">
        <v>5.7798999999999996</v>
      </c>
      <c r="X221" s="35">
        <v>0.98740000000000006</v>
      </c>
      <c r="Z221" s="35"/>
      <c r="AA221" s="35"/>
    </row>
    <row r="222" spans="1:27" x14ac:dyDescent="0.3">
      <c r="A222" t="s">
        <v>561</v>
      </c>
      <c r="B222" t="s">
        <v>570</v>
      </c>
      <c r="C222" t="s">
        <v>437</v>
      </c>
      <c r="D222" t="s">
        <v>458</v>
      </c>
      <c r="E222">
        <v>14</v>
      </c>
      <c r="F222" s="35"/>
      <c r="G222" s="35"/>
      <c r="H222" s="36"/>
      <c r="I222" s="36">
        <v>0.1893</v>
      </c>
      <c r="J222" s="36"/>
      <c r="K222" s="35"/>
      <c r="M222" s="35"/>
      <c r="O222" s="35"/>
      <c r="Q222" s="36"/>
      <c r="R222" s="36">
        <v>4.19E-2</v>
      </c>
      <c r="S222" t="s">
        <v>563</v>
      </c>
      <c r="T222" s="35">
        <v>1.1917</v>
      </c>
      <c r="U222" s="35">
        <v>1.0707</v>
      </c>
      <c r="V222" t="s">
        <v>473</v>
      </c>
      <c r="W222" s="35">
        <v>4.47</v>
      </c>
      <c r="X222" s="35">
        <v>0.76319999999999999</v>
      </c>
      <c r="Z222" s="35"/>
      <c r="AA222" s="35"/>
    </row>
    <row r="223" spans="1:27" x14ac:dyDescent="0.3">
      <c r="A223" t="s">
        <v>561</v>
      </c>
      <c r="B223" t="s">
        <v>570</v>
      </c>
      <c r="C223" t="s">
        <v>438</v>
      </c>
      <c r="D223" t="s">
        <v>458</v>
      </c>
      <c r="E223">
        <v>14</v>
      </c>
      <c r="F223" s="35"/>
      <c r="G223" s="35"/>
      <c r="H223" s="36"/>
      <c r="I223" s="36">
        <v>0.2097</v>
      </c>
      <c r="J223" s="36"/>
      <c r="K223" s="35"/>
      <c r="M223" s="35"/>
      <c r="O223" s="35"/>
      <c r="Q223" s="36"/>
      <c r="R223" s="36">
        <v>6.6000000000000003E-2</v>
      </c>
      <c r="S223" t="s">
        <v>563</v>
      </c>
      <c r="T223" s="35">
        <v>1.6672</v>
      </c>
      <c r="U223" s="35">
        <v>1.3822000000000001</v>
      </c>
      <c r="V223" t="s">
        <v>473</v>
      </c>
      <c r="W223" s="35">
        <v>3.0497000000000001</v>
      </c>
      <c r="X223" s="35">
        <v>0.48049999999999998</v>
      </c>
      <c r="Z223" s="35"/>
      <c r="AA223" s="35"/>
    </row>
    <row r="224" spans="1:27" x14ac:dyDescent="0.3">
      <c r="A224" t="s">
        <v>561</v>
      </c>
      <c r="B224" t="s">
        <v>570</v>
      </c>
      <c r="C224" t="s">
        <v>439</v>
      </c>
      <c r="D224" t="s">
        <v>458</v>
      </c>
      <c r="E224">
        <v>14</v>
      </c>
      <c r="F224" s="35"/>
      <c r="G224" s="35"/>
      <c r="H224" s="36"/>
      <c r="I224" s="36">
        <v>0.23530000000000001</v>
      </c>
      <c r="J224" s="36"/>
      <c r="K224" s="35"/>
      <c r="M224" s="35"/>
      <c r="O224" s="35"/>
      <c r="Q224" s="36"/>
      <c r="R224" s="36">
        <v>9.6299999999999997E-2</v>
      </c>
      <c r="S224" t="s">
        <v>563</v>
      </c>
      <c r="T224" s="35">
        <v>1.9925999999999999</v>
      </c>
      <c r="U224" s="35">
        <v>1.5941000000000001</v>
      </c>
      <c r="V224" t="s">
        <v>473</v>
      </c>
      <c r="W224" s="35">
        <v>2.1648000000000001</v>
      </c>
      <c r="X224" s="35">
        <v>0.3291</v>
      </c>
      <c r="Z224" s="35"/>
      <c r="AA224" s="35"/>
    </row>
    <row r="225" spans="1:31" x14ac:dyDescent="0.3">
      <c r="A225" t="s">
        <v>561</v>
      </c>
      <c r="B225" t="s">
        <v>571</v>
      </c>
      <c r="C225" t="s">
        <v>435</v>
      </c>
      <c r="D225" t="s">
        <v>458</v>
      </c>
      <c r="E225">
        <v>14</v>
      </c>
      <c r="F225" s="35"/>
      <c r="G225" s="35"/>
      <c r="H225" s="36"/>
      <c r="I225" s="36">
        <v>0.1704</v>
      </c>
      <c r="J225" s="36"/>
      <c r="K225" s="35"/>
      <c r="M225" s="35"/>
      <c r="O225" s="35"/>
      <c r="Q225" s="36"/>
      <c r="R225" s="36">
        <v>-7.85E-2</v>
      </c>
      <c r="S225" t="s">
        <v>569</v>
      </c>
      <c r="T225" s="35">
        <v>0.28599999999999998</v>
      </c>
      <c r="U225" s="35">
        <v>0.188</v>
      </c>
      <c r="V225" t="s">
        <v>567</v>
      </c>
      <c r="W225" s="35">
        <v>2.3066</v>
      </c>
      <c r="X225" s="35">
        <v>0.38190000000000002</v>
      </c>
      <c r="Y225" t="s">
        <v>563</v>
      </c>
      <c r="Z225" s="35">
        <v>1.5699000000000001</v>
      </c>
      <c r="AA225" s="35">
        <v>1.3442000000000001</v>
      </c>
    </row>
    <row r="226" spans="1:31" x14ac:dyDescent="0.3">
      <c r="A226" t="s">
        <v>561</v>
      </c>
      <c r="B226" t="s">
        <v>571</v>
      </c>
      <c r="C226" t="s">
        <v>437</v>
      </c>
      <c r="D226" t="s">
        <v>458</v>
      </c>
      <c r="E226">
        <v>14</v>
      </c>
      <c r="F226" s="35"/>
      <c r="G226" s="35"/>
      <c r="H226" s="36"/>
      <c r="I226" s="36">
        <v>0.15959999999999999</v>
      </c>
      <c r="J226" s="36"/>
      <c r="K226" s="35"/>
      <c r="M226" s="35"/>
      <c r="O226" s="35"/>
      <c r="Q226" s="36"/>
      <c r="R226" s="36">
        <v>-9.2499999999999999E-2</v>
      </c>
      <c r="S226" t="s">
        <v>569</v>
      </c>
      <c r="T226" s="35">
        <v>0.43659999999999999</v>
      </c>
      <c r="U226" s="35">
        <v>0.29149999999999998</v>
      </c>
      <c r="V226" t="s">
        <v>567</v>
      </c>
      <c r="W226" s="35">
        <v>1.6963999999999999</v>
      </c>
      <c r="X226" s="35">
        <v>0.28520000000000001</v>
      </c>
      <c r="Y226" t="s">
        <v>563</v>
      </c>
      <c r="Z226" s="35">
        <v>1.4504999999999999</v>
      </c>
      <c r="AA226" s="35">
        <v>1.2613000000000001</v>
      </c>
    </row>
    <row r="227" spans="1:31" x14ac:dyDescent="0.3">
      <c r="A227" t="s">
        <v>561</v>
      </c>
      <c r="B227" t="s">
        <v>571</v>
      </c>
      <c r="C227" t="s">
        <v>438</v>
      </c>
      <c r="D227" t="s">
        <v>458</v>
      </c>
      <c r="E227">
        <v>14</v>
      </c>
      <c r="F227" s="35"/>
      <c r="G227" s="35"/>
      <c r="H227" s="36"/>
      <c r="I227" s="36">
        <v>0.2465</v>
      </c>
      <c r="J227" s="36"/>
      <c r="K227" s="35"/>
      <c r="M227" s="35"/>
      <c r="O227" s="35"/>
      <c r="Q227" s="36"/>
      <c r="R227" s="36">
        <v>2.0500000000000001E-2</v>
      </c>
      <c r="S227" t="s">
        <v>569</v>
      </c>
      <c r="T227" s="35">
        <v>0</v>
      </c>
      <c r="U227" s="35">
        <v>0</v>
      </c>
      <c r="V227" t="s">
        <v>567</v>
      </c>
      <c r="W227" s="35">
        <v>5.1982999999999997</v>
      </c>
      <c r="X227" s="35">
        <v>0.84099999999999997</v>
      </c>
      <c r="Y227" t="s">
        <v>563</v>
      </c>
      <c r="Z227" s="35">
        <v>1.9863</v>
      </c>
      <c r="AA227" s="35">
        <v>1.6617999999999999</v>
      </c>
    </row>
    <row r="228" spans="1:31" x14ac:dyDescent="0.3">
      <c r="A228" t="s">
        <v>561</v>
      </c>
      <c r="B228" t="s">
        <v>571</v>
      </c>
      <c r="C228" t="s">
        <v>439</v>
      </c>
      <c r="D228" t="s">
        <v>458</v>
      </c>
      <c r="E228">
        <v>14</v>
      </c>
      <c r="F228" s="35"/>
      <c r="G228" s="35"/>
      <c r="H228" s="36"/>
      <c r="I228" s="36">
        <v>0.2621</v>
      </c>
      <c r="J228" s="36"/>
      <c r="K228" s="35"/>
      <c r="M228" s="35"/>
      <c r="O228" s="35"/>
      <c r="Q228" s="36"/>
      <c r="R228" s="36">
        <v>4.07E-2</v>
      </c>
      <c r="S228" t="s">
        <v>569</v>
      </c>
      <c r="T228" s="35">
        <v>0.36349999999999999</v>
      </c>
      <c r="U228" s="35">
        <v>0.224</v>
      </c>
      <c r="V228" t="s">
        <v>567</v>
      </c>
      <c r="W228" s="35">
        <v>4.2271999999999998</v>
      </c>
      <c r="X228" s="35">
        <v>0.65590000000000004</v>
      </c>
      <c r="Y228" t="s">
        <v>563</v>
      </c>
      <c r="Z228" s="35">
        <v>2.1758000000000002</v>
      </c>
      <c r="AA228" s="35">
        <v>1.746</v>
      </c>
    </row>
    <row r="231" spans="1:31" x14ac:dyDescent="0.3">
      <c r="A231" s="32" t="s">
        <v>572</v>
      </c>
    </row>
    <row r="232" spans="1:31" ht="30" customHeight="1" x14ac:dyDescent="0.3">
      <c r="A232" s="34" t="s">
        <v>466</v>
      </c>
      <c r="B232" s="34" t="s">
        <v>467</v>
      </c>
      <c r="C232" s="34" t="s">
        <v>468</v>
      </c>
      <c r="D232" s="34" t="s">
        <v>469</v>
      </c>
      <c r="E232" s="34" t="s">
        <v>470</v>
      </c>
      <c r="F232" s="34" t="s">
        <v>471</v>
      </c>
      <c r="G232" s="34" t="s">
        <v>573</v>
      </c>
      <c r="H232" s="34" t="s">
        <v>574</v>
      </c>
      <c r="I232" s="34" t="s">
        <v>565</v>
      </c>
      <c r="J232" s="34" t="s">
        <v>563</v>
      </c>
      <c r="K232" s="34" t="s">
        <v>494</v>
      </c>
      <c r="L232" s="34" t="s">
        <v>575</v>
      </c>
      <c r="M232" s="34" t="s">
        <v>569</v>
      </c>
      <c r="N232" s="34" t="s">
        <v>576</v>
      </c>
      <c r="O232" s="34" t="s">
        <v>577</v>
      </c>
      <c r="P232" s="34" t="s">
        <v>578</v>
      </c>
      <c r="Q232" s="34" t="s">
        <v>579</v>
      </c>
      <c r="R232" s="34" t="s">
        <v>580</v>
      </c>
      <c r="S232" s="34" t="s">
        <v>581</v>
      </c>
      <c r="T232" s="34" t="s">
        <v>582</v>
      </c>
      <c r="U232" s="34" t="s">
        <v>567</v>
      </c>
      <c r="V232" s="34" t="s">
        <v>583</v>
      </c>
      <c r="W232" s="34" t="s">
        <v>584</v>
      </c>
      <c r="X232" s="34" t="s">
        <v>585</v>
      </c>
      <c r="Y232" s="34" t="s">
        <v>586</v>
      </c>
      <c r="Z232" s="34" t="s">
        <v>587</v>
      </c>
      <c r="AA232" s="34" t="s">
        <v>588</v>
      </c>
      <c r="AB232" s="34" t="s">
        <v>589</v>
      </c>
      <c r="AC232" s="34" t="s">
        <v>590</v>
      </c>
      <c r="AD232" s="34" t="s">
        <v>473</v>
      </c>
      <c r="AE232" s="34" t="s">
        <v>483</v>
      </c>
    </row>
    <row r="233" spans="1:31" x14ac:dyDescent="0.3">
      <c r="A233" s="33" t="s">
        <v>495</v>
      </c>
      <c r="B233" s="33" t="s">
        <v>266</v>
      </c>
      <c r="C233" s="33">
        <v>13.3</v>
      </c>
      <c r="D233" s="33">
        <v>12.9</v>
      </c>
      <c r="E233" s="33">
        <v>-1</v>
      </c>
      <c r="F233" s="33">
        <v>1.8</v>
      </c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 t="s">
        <v>591</v>
      </c>
      <c r="U233" s="33">
        <v>0</v>
      </c>
      <c r="V233" s="33"/>
      <c r="W233" s="33" t="s">
        <v>592</v>
      </c>
      <c r="X233" s="33"/>
      <c r="Y233" s="33"/>
      <c r="Z233" s="33">
        <v>0</v>
      </c>
      <c r="AA233" s="33">
        <v>3</v>
      </c>
      <c r="AB233" s="33">
        <v>0</v>
      </c>
      <c r="AC233" s="33"/>
      <c r="AD233" s="33">
        <v>1</v>
      </c>
      <c r="AE233" s="33"/>
    </row>
    <row r="234" spans="1:31" x14ac:dyDescent="0.3">
      <c r="A234" s="33" t="s">
        <v>496</v>
      </c>
      <c r="B234" s="33" t="s">
        <v>270</v>
      </c>
      <c r="C234" s="33">
        <v>4</v>
      </c>
      <c r="D234" s="33">
        <v>1.8</v>
      </c>
      <c r="E234" s="33">
        <v>0.3</v>
      </c>
      <c r="F234" s="33">
        <v>-2.6</v>
      </c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>
        <v>1</v>
      </c>
      <c r="T234" s="33" t="s">
        <v>591</v>
      </c>
      <c r="U234" s="33">
        <v>0</v>
      </c>
      <c r="V234" s="33"/>
      <c r="W234" s="33" t="s">
        <v>592</v>
      </c>
      <c r="X234" s="33"/>
      <c r="Y234" s="33"/>
      <c r="Z234" s="33">
        <v>0</v>
      </c>
      <c r="AA234" s="33">
        <v>3</v>
      </c>
      <c r="AB234" s="33">
        <v>0</v>
      </c>
      <c r="AC234" s="33"/>
      <c r="AD234" s="33">
        <v>1</v>
      </c>
      <c r="AE234" s="33">
        <v>1</v>
      </c>
    </row>
    <row r="235" spans="1:31" x14ac:dyDescent="0.3">
      <c r="A235" s="33" t="s">
        <v>497</v>
      </c>
      <c r="B235" s="33" t="s">
        <v>278</v>
      </c>
      <c r="C235" s="33">
        <v>1.1000000000000001</v>
      </c>
      <c r="D235" s="33">
        <v>0.7</v>
      </c>
      <c r="E235" s="33">
        <v>-5.6</v>
      </c>
      <c r="F235" s="33">
        <v>-4.7</v>
      </c>
      <c r="G235" s="33"/>
      <c r="H235" s="33"/>
      <c r="I235" s="33"/>
      <c r="J235" s="33"/>
      <c r="K235" s="33"/>
      <c r="L235" s="33"/>
      <c r="M235" s="33">
        <v>-2</v>
      </c>
      <c r="N235" s="33">
        <v>-1</v>
      </c>
      <c r="O235" s="33">
        <v>1</v>
      </c>
      <c r="P235" s="33"/>
      <c r="Q235" s="33"/>
      <c r="R235" s="33">
        <v>1</v>
      </c>
      <c r="S235" s="33">
        <v>-1</v>
      </c>
      <c r="T235" s="33" t="s">
        <v>592</v>
      </c>
      <c r="U235" s="33"/>
      <c r="V235" s="33"/>
      <c r="W235" s="33" t="s">
        <v>592</v>
      </c>
      <c r="X235" s="33"/>
      <c r="Y235" s="33"/>
      <c r="Z235" s="33">
        <v>0</v>
      </c>
      <c r="AA235" s="33">
        <v>0</v>
      </c>
      <c r="AB235" s="33">
        <v>0</v>
      </c>
      <c r="AC235" s="33"/>
      <c r="AD235" s="33">
        <v>1</v>
      </c>
      <c r="AE235" s="33">
        <v>1</v>
      </c>
    </row>
    <row r="236" spans="1:31" x14ac:dyDescent="0.3">
      <c r="A236" s="33" t="s">
        <v>498</v>
      </c>
      <c r="B236" s="33" t="s">
        <v>283</v>
      </c>
      <c r="C236" s="33">
        <v>13</v>
      </c>
      <c r="D236" s="33">
        <v>12.9</v>
      </c>
      <c r="E236" s="33">
        <v>7.4</v>
      </c>
      <c r="F236" s="33">
        <v>9.3000000000000007</v>
      </c>
      <c r="G236" s="33">
        <v>1435</v>
      </c>
      <c r="H236" s="33">
        <v>67.034999999999997</v>
      </c>
      <c r="I236" s="33">
        <v>3.5000000000000003E-2</v>
      </c>
      <c r="J236" s="33"/>
      <c r="K236" s="33"/>
      <c r="L236" s="33">
        <v>6.2720000000000002</v>
      </c>
      <c r="M236" s="33">
        <v>0</v>
      </c>
      <c r="N236" s="33">
        <v>0</v>
      </c>
      <c r="O236" s="33">
        <v>1</v>
      </c>
      <c r="P236" s="33"/>
      <c r="Q236" s="33">
        <v>0</v>
      </c>
      <c r="R236" s="33">
        <v>-1</v>
      </c>
      <c r="S236" s="33">
        <v>1</v>
      </c>
      <c r="T236" s="33" t="s">
        <v>592</v>
      </c>
      <c r="U236" s="33"/>
      <c r="V236" s="33"/>
      <c r="W236" s="33" t="s">
        <v>592</v>
      </c>
      <c r="X236" s="33"/>
      <c r="Y236" s="33"/>
      <c r="Z236" s="33">
        <v>0</v>
      </c>
      <c r="AA236" s="33">
        <v>0</v>
      </c>
      <c r="AB236" s="33">
        <v>0</v>
      </c>
      <c r="AC236" s="33"/>
      <c r="AD236" s="33">
        <v>1</v>
      </c>
      <c r="AE236" s="33">
        <v>0</v>
      </c>
    </row>
    <row r="237" spans="1:31" x14ac:dyDescent="0.3">
      <c r="A237" s="33" t="s">
        <v>499</v>
      </c>
      <c r="B237" s="33" t="s">
        <v>290</v>
      </c>
      <c r="C237" s="33">
        <v>3.6</v>
      </c>
      <c r="D237" s="33">
        <v>3.7</v>
      </c>
      <c r="E237" s="33">
        <v>-16.7</v>
      </c>
      <c r="F237" s="33">
        <v>-9.1999999999999993</v>
      </c>
      <c r="G237" s="33">
        <v>1445</v>
      </c>
      <c r="H237" s="33">
        <v>62.908999999999999</v>
      </c>
      <c r="I237" s="33">
        <v>-15.090999999999999</v>
      </c>
      <c r="J237" s="33">
        <v>16.532</v>
      </c>
      <c r="K237" s="33">
        <v>0</v>
      </c>
      <c r="L237" s="33">
        <v>4.8440000000000003</v>
      </c>
      <c r="M237" s="33">
        <v>2</v>
      </c>
      <c r="N237" s="33">
        <v>1</v>
      </c>
      <c r="O237" s="33"/>
      <c r="P237" s="33"/>
      <c r="Q237" s="33">
        <v>1</v>
      </c>
      <c r="R237" s="33">
        <v>-1</v>
      </c>
      <c r="S237" s="33">
        <v>1</v>
      </c>
      <c r="T237" s="33" t="s">
        <v>591</v>
      </c>
      <c r="U237" s="33">
        <v>0</v>
      </c>
      <c r="V237" s="33"/>
      <c r="W237" s="33" t="s">
        <v>592</v>
      </c>
      <c r="X237" s="33"/>
      <c r="Y237" s="33"/>
      <c r="Z237" s="33">
        <v>1</v>
      </c>
      <c r="AA237" s="33">
        <v>2</v>
      </c>
      <c r="AB237" s="33">
        <v>0</v>
      </c>
      <c r="AC237" s="33"/>
      <c r="AD237" s="33">
        <v>1</v>
      </c>
      <c r="AE237" s="33">
        <v>0</v>
      </c>
    </row>
    <row r="238" spans="1:31" x14ac:dyDescent="0.3">
      <c r="A238" s="33" t="s">
        <v>500</v>
      </c>
      <c r="B238" s="33" t="s">
        <v>299</v>
      </c>
      <c r="C238" s="33">
        <v>7.7</v>
      </c>
      <c r="D238" s="33">
        <v>4.3</v>
      </c>
      <c r="E238" s="33">
        <v>-19.899999999999999</v>
      </c>
      <c r="F238" s="33">
        <v>-14.2</v>
      </c>
      <c r="G238" s="33">
        <v>2080</v>
      </c>
      <c r="H238" s="33">
        <v>55.805</v>
      </c>
      <c r="I238" s="33">
        <v>-14.195</v>
      </c>
      <c r="J238" s="33">
        <v>6.1219999999999999</v>
      </c>
      <c r="K238" s="33">
        <v>0</v>
      </c>
      <c r="L238" s="33">
        <v>4.8079999999999998</v>
      </c>
      <c r="M238" s="33"/>
      <c r="N238" s="33"/>
      <c r="O238" s="33">
        <v>1</v>
      </c>
      <c r="P238" s="33">
        <v>10</v>
      </c>
      <c r="Q238" s="33">
        <v>0</v>
      </c>
      <c r="R238" s="33">
        <v>1</v>
      </c>
      <c r="S238" s="33"/>
      <c r="T238" s="33" t="s">
        <v>593</v>
      </c>
      <c r="U238" s="33">
        <v>0</v>
      </c>
      <c r="V238" s="33"/>
      <c r="W238" s="33" t="s">
        <v>592</v>
      </c>
      <c r="X238" s="33"/>
      <c r="Y238" s="33"/>
      <c r="Z238" s="33">
        <v>1</v>
      </c>
      <c r="AA238" s="33">
        <v>2</v>
      </c>
      <c r="AB238" s="33">
        <v>0</v>
      </c>
      <c r="AC238" s="33"/>
      <c r="AD238" s="33">
        <v>1</v>
      </c>
      <c r="AE238" s="33">
        <v>1</v>
      </c>
    </row>
    <row r="239" spans="1:31" x14ac:dyDescent="0.3">
      <c r="A239" s="33" t="s">
        <v>501</v>
      </c>
      <c r="B239" s="33" t="s">
        <v>307</v>
      </c>
      <c r="C239" s="33">
        <v>-1.1000000000000001</v>
      </c>
      <c r="D239" s="33">
        <v>-3.9</v>
      </c>
      <c r="E239" s="33">
        <v>-1.6</v>
      </c>
      <c r="F239" s="33">
        <v>-2.5</v>
      </c>
      <c r="G239" s="33">
        <v>2830</v>
      </c>
      <c r="H239" s="33">
        <v>26.509</v>
      </c>
      <c r="I239" s="33">
        <v>-31.491</v>
      </c>
      <c r="J239" s="33">
        <v>2.1659999999999999</v>
      </c>
      <c r="K239" s="33">
        <v>0</v>
      </c>
      <c r="L239" s="33">
        <v>3.5339999999999998</v>
      </c>
      <c r="M239" s="33">
        <v>0</v>
      </c>
      <c r="N239" s="33">
        <v>0</v>
      </c>
      <c r="O239" s="33">
        <v>-1</v>
      </c>
      <c r="P239" s="33">
        <v>-0.2</v>
      </c>
      <c r="Q239" s="33">
        <v>1</v>
      </c>
      <c r="R239" s="33"/>
      <c r="S239" s="33">
        <v>1</v>
      </c>
      <c r="T239" s="33" t="s">
        <v>593</v>
      </c>
      <c r="U239" s="33">
        <v>0</v>
      </c>
      <c r="V239" s="33"/>
      <c r="W239" s="33" t="s">
        <v>592</v>
      </c>
      <c r="X239" s="33"/>
      <c r="Y239" s="33"/>
      <c r="Z239" s="33">
        <v>1</v>
      </c>
      <c r="AA239" s="33">
        <v>1</v>
      </c>
      <c r="AB239" s="33">
        <v>0</v>
      </c>
      <c r="AC239" s="33"/>
      <c r="AD239" s="33">
        <v>0</v>
      </c>
      <c r="AE239" s="33">
        <v>0</v>
      </c>
    </row>
    <row r="240" spans="1:31" x14ac:dyDescent="0.3">
      <c r="A240" s="33" t="s">
        <v>502</v>
      </c>
      <c r="B240" s="33" t="s">
        <v>314</v>
      </c>
      <c r="C240" s="33">
        <v>-13.4</v>
      </c>
      <c r="D240" s="33">
        <v>-10</v>
      </c>
      <c r="E240" s="33">
        <v>-9.3000000000000007</v>
      </c>
      <c r="F240" s="33">
        <v>-7.3</v>
      </c>
      <c r="G240" s="33">
        <v>1840</v>
      </c>
      <c r="H240" s="33">
        <v>20.103999999999999</v>
      </c>
      <c r="I240" s="33">
        <v>-8.8960000000000008</v>
      </c>
      <c r="J240" s="33">
        <v>-0.54100000000000004</v>
      </c>
      <c r="K240" s="33">
        <v>1</v>
      </c>
      <c r="L240" s="33">
        <v>4.3479999999999999</v>
      </c>
      <c r="M240" s="33">
        <v>-2</v>
      </c>
      <c r="N240" s="33">
        <v>-1</v>
      </c>
      <c r="O240" s="33">
        <v>1</v>
      </c>
      <c r="P240" s="33">
        <v>0.3</v>
      </c>
      <c r="Q240" s="33">
        <v>-1</v>
      </c>
      <c r="R240" s="33">
        <v>-1</v>
      </c>
      <c r="S240" s="33"/>
      <c r="T240" s="33" t="s">
        <v>592</v>
      </c>
      <c r="U240" s="33"/>
      <c r="V240" s="33"/>
      <c r="W240" s="33" t="s">
        <v>592</v>
      </c>
      <c r="X240" s="33"/>
      <c r="Y240" s="33"/>
      <c r="Z240" s="33">
        <v>0</v>
      </c>
      <c r="AA240" s="33">
        <v>0</v>
      </c>
      <c r="AB240" s="33">
        <v>0</v>
      </c>
      <c r="AC240" s="33"/>
      <c r="AD240" s="33">
        <v>1</v>
      </c>
      <c r="AE240" s="33"/>
    </row>
    <row r="241" spans="1:31" x14ac:dyDescent="0.3">
      <c r="A241" s="33" t="s">
        <v>503</v>
      </c>
      <c r="B241" s="33" t="s">
        <v>321</v>
      </c>
      <c r="C241" s="33">
        <v>13.4</v>
      </c>
      <c r="D241" s="33">
        <v>12.6</v>
      </c>
      <c r="E241" s="33">
        <v>5.2</v>
      </c>
      <c r="F241" s="33">
        <v>9.3000000000000007</v>
      </c>
      <c r="G241" s="33">
        <v>1785</v>
      </c>
      <c r="H241" s="33">
        <v>18.29</v>
      </c>
      <c r="I241" s="33">
        <v>-5.71</v>
      </c>
      <c r="J241" s="33">
        <v>5.6210000000000004</v>
      </c>
      <c r="K241" s="33">
        <v>0</v>
      </c>
      <c r="L241" s="33">
        <v>3.9220000000000002</v>
      </c>
      <c r="M241" s="33">
        <v>0</v>
      </c>
      <c r="N241" s="33">
        <v>0</v>
      </c>
      <c r="O241" s="33">
        <v>-1</v>
      </c>
      <c r="P241" s="33">
        <v>0</v>
      </c>
      <c r="Q241" s="33">
        <v>-1</v>
      </c>
      <c r="R241" s="33">
        <v>0</v>
      </c>
      <c r="S241" s="33"/>
      <c r="T241" s="33" t="s">
        <v>591</v>
      </c>
      <c r="U241" s="33">
        <v>0</v>
      </c>
      <c r="V241" s="33"/>
      <c r="W241" s="33" t="s">
        <v>592</v>
      </c>
      <c r="X241" s="33"/>
      <c r="Y241" s="33"/>
      <c r="Z241" s="33">
        <v>1</v>
      </c>
      <c r="AA241" s="33">
        <v>3</v>
      </c>
      <c r="AB241" s="33">
        <v>0</v>
      </c>
      <c r="AC241" s="33"/>
      <c r="AD241" s="33">
        <v>1</v>
      </c>
      <c r="AE241" s="33">
        <v>0</v>
      </c>
    </row>
    <row r="242" spans="1:31" x14ac:dyDescent="0.3">
      <c r="A242" s="33" t="s">
        <v>504</v>
      </c>
      <c r="B242" s="33" t="s">
        <v>327</v>
      </c>
      <c r="C242" s="33">
        <v>-10.9</v>
      </c>
      <c r="D242" s="33">
        <v>-12</v>
      </c>
      <c r="E242" s="33">
        <v>-17</v>
      </c>
      <c r="F242" s="33">
        <v>-18.8</v>
      </c>
      <c r="G242" s="33">
        <v>2400</v>
      </c>
      <c r="H242" s="33">
        <v>14.068</v>
      </c>
      <c r="I242" s="33">
        <v>-5.9320000000000004</v>
      </c>
      <c r="J242" s="33">
        <v>-0.82599999999999996</v>
      </c>
      <c r="K242" s="33">
        <v>1</v>
      </c>
      <c r="L242" s="33">
        <v>4.1669999999999998</v>
      </c>
      <c r="M242" s="33">
        <v>-2</v>
      </c>
      <c r="N242" s="33">
        <v>-1</v>
      </c>
      <c r="O242" s="33">
        <v>-1</v>
      </c>
      <c r="P242" s="33">
        <v>0</v>
      </c>
      <c r="Q242" s="33">
        <v>-1</v>
      </c>
      <c r="R242" s="33">
        <v>1</v>
      </c>
      <c r="S242" s="33"/>
      <c r="T242" s="33" t="s">
        <v>593</v>
      </c>
      <c r="U242" s="33">
        <v>0</v>
      </c>
      <c r="V242" s="33"/>
      <c r="W242" s="33" t="s">
        <v>592</v>
      </c>
      <c r="X242" s="33"/>
      <c r="Y242" s="33"/>
      <c r="Z242" s="33">
        <v>1</v>
      </c>
      <c r="AA242" s="33">
        <v>1</v>
      </c>
      <c r="AB242" s="33">
        <v>0</v>
      </c>
      <c r="AC242" s="33"/>
      <c r="AD242" s="33">
        <v>1</v>
      </c>
      <c r="AE242" s="33"/>
    </row>
    <row r="243" spans="1:31" x14ac:dyDescent="0.3">
      <c r="A243" s="33" t="s">
        <v>505</v>
      </c>
      <c r="B243" s="33" t="s">
        <v>334</v>
      </c>
      <c r="C243" s="33">
        <v>-0.5</v>
      </c>
      <c r="D243" s="33">
        <v>0</v>
      </c>
      <c r="E243" s="33">
        <v>-3.5</v>
      </c>
      <c r="F243" s="33">
        <v>-2.1</v>
      </c>
      <c r="G243" s="33">
        <v>3350</v>
      </c>
      <c r="H243" s="33">
        <v>16.158000000000001</v>
      </c>
      <c r="I243" s="33">
        <v>-1.8420000000000001</v>
      </c>
      <c r="J243" s="33">
        <v>4.0369999999999999</v>
      </c>
      <c r="K243" s="33">
        <v>0</v>
      </c>
      <c r="L243" s="33">
        <v>2.9849999999999999</v>
      </c>
      <c r="M243" s="33">
        <v>2</v>
      </c>
      <c r="N243" s="33">
        <v>1</v>
      </c>
      <c r="O243" s="33">
        <v>1</v>
      </c>
      <c r="P243" s="33">
        <v>0</v>
      </c>
      <c r="Q243" s="33">
        <v>1</v>
      </c>
      <c r="R243" s="33">
        <v>1</v>
      </c>
      <c r="S243" s="33"/>
      <c r="T243" s="33" t="s">
        <v>593</v>
      </c>
      <c r="U243" s="33">
        <v>0</v>
      </c>
      <c r="V243" s="33"/>
      <c r="W243" s="33" t="s">
        <v>592</v>
      </c>
      <c r="X243" s="33"/>
      <c r="Y243" s="33"/>
      <c r="Z243" s="33">
        <v>1</v>
      </c>
      <c r="AA243" s="33">
        <v>1</v>
      </c>
      <c r="AB243" s="33">
        <v>0</v>
      </c>
      <c r="AC243" s="33"/>
      <c r="AD243" s="33">
        <v>1</v>
      </c>
      <c r="AE243" s="33">
        <v>0</v>
      </c>
    </row>
    <row r="244" spans="1:31" x14ac:dyDescent="0.3">
      <c r="A244" s="33" t="s">
        <v>506</v>
      </c>
      <c r="B244" s="33" t="s">
        <v>338</v>
      </c>
      <c r="C244" s="33">
        <v>-3.3</v>
      </c>
      <c r="D244" s="33">
        <v>-5.0999999999999996</v>
      </c>
      <c r="E244" s="33">
        <v>-1.5</v>
      </c>
      <c r="F244" s="33">
        <v>-6</v>
      </c>
      <c r="G244" s="33">
        <v>2150</v>
      </c>
      <c r="H244" s="33">
        <v>13.039</v>
      </c>
      <c r="I244" s="33">
        <v>-4.9610000000000003</v>
      </c>
      <c r="J244" s="33">
        <v>-1.3759999999999999</v>
      </c>
      <c r="K244" s="33">
        <v>1</v>
      </c>
      <c r="L244" s="33">
        <v>1.86</v>
      </c>
      <c r="M244" s="33">
        <v>-2</v>
      </c>
      <c r="N244" s="33">
        <v>-1</v>
      </c>
      <c r="O244" s="33">
        <v>1</v>
      </c>
      <c r="P244" s="33">
        <v>0</v>
      </c>
      <c r="Q244" s="33">
        <v>0</v>
      </c>
      <c r="R244" s="33">
        <v>1</v>
      </c>
      <c r="S244" s="33"/>
      <c r="T244" s="33" t="s">
        <v>594</v>
      </c>
      <c r="U244" s="33">
        <v>1.5</v>
      </c>
      <c r="V244" s="33"/>
      <c r="W244" s="33" t="s">
        <v>592</v>
      </c>
      <c r="X244" s="33"/>
      <c r="Y244" s="33"/>
      <c r="Z244" s="33">
        <v>1</v>
      </c>
      <c r="AA244" s="33">
        <v>2</v>
      </c>
      <c r="AB244" s="33">
        <v>0</v>
      </c>
      <c r="AC244" s="33">
        <v>20</v>
      </c>
      <c r="AD244" s="33">
        <v>1</v>
      </c>
      <c r="AE244" s="33">
        <v>0</v>
      </c>
    </row>
    <row r="245" spans="1:31" x14ac:dyDescent="0.3">
      <c r="A245" s="33" t="s">
        <v>507</v>
      </c>
      <c r="B245" s="33" t="s">
        <v>344</v>
      </c>
      <c r="C245" s="33">
        <v>-1.7</v>
      </c>
      <c r="D245" s="33">
        <v>-2.8</v>
      </c>
      <c r="E245" s="33">
        <v>-1</v>
      </c>
      <c r="F245" s="33">
        <v>-0.4</v>
      </c>
      <c r="G245" s="33">
        <v>2050</v>
      </c>
      <c r="H245" s="33">
        <v>12.760999999999999</v>
      </c>
      <c r="I245" s="33">
        <v>-4.2389999999999999</v>
      </c>
      <c r="J245" s="33">
        <v>0.98499999999999999</v>
      </c>
      <c r="K245" s="33">
        <v>0</v>
      </c>
      <c r="L245" s="33">
        <v>1.9510000000000001</v>
      </c>
      <c r="M245" s="33">
        <v>-2</v>
      </c>
      <c r="N245" s="33">
        <v>-1</v>
      </c>
      <c r="O245" s="33">
        <v>1</v>
      </c>
      <c r="P245" s="33">
        <v>0</v>
      </c>
      <c r="Q245" s="33">
        <v>0</v>
      </c>
      <c r="R245" s="33">
        <v>1</v>
      </c>
      <c r="S245" s="33"/>
      <c r="T245" s="33" t="s">
        <v>591</v>
      </c>
      <c r="U245" s="33">
        <v>0</v>
      </c>
      <c r="V245" s="33">
        <v>-1.8360000000000001</v>
      </c>
      <c r="W245" s="33" t="s">
        <v>592</v>
      </c>
      <c r="X245" s="33"/>
      <c r="Y245" s="33"/>
      <c r="Z245" s="33">
        <v>1</v>
      </c>
      <c r="AA245" s="33">
        <v>2</v>
      </c>
      <c r="AB245" s="33">
        <v>0</v>
      </c>
      <c r="AC245" s="33"/>
      <c r="AD245" s="33">
        <v>1</v>
      </c>
      <c r="AE245" s="33">
        <v>0</v>
      </c>
    </row>
    <row r="246" spans="1:31" x14ac:dyDescent="0.3">
      <c r="A246" s="33" t="s">
        <v>508</v>
      </c>
      <c r="B246" s="33" t="s">
        <v>349</v>
      </c>
      <c r="C246" s="33">
        <v>-6.9</v>
      </c>
      <c r="D246" s="33">
        <v>-7.1</v>
      </c>
      <c r="E246" s="33">
        <v>-7.7</v>
      </c>
      <c r="F246" s="33">
        <v>-10.6</v>
      </c>
      <c r="G246" s="33">
        <v>2710</v>
      </c>
      <c r="H246" s="33">
        <v>9.0980000000000008</v>
      </c>
      <c r="I246" s="33">
        <v>-8.9019999999999992</v>
      </c>
      <c r="J246" s="33">
        <v>-1.095</v>
      </c>
      <c r="K246" s="33">
        <v>1</v>
      </c>
      <c r="L246" s="33">
        <v>2.214</v>
      </c>
      <c r="M246" s="33">
        <v>0</v>
      </c>
      <c r="N246" s="33">
        <v>0</v>
      </c>
      <c r="O246" s="33">
        <v>-1</v>
      </c>
      <c r="P246" s="33">
        <v>0</v>
      </c>
      <c r="Q246" s="33">
        <v>1</v>
      </c>
      <c r="R246" s="33"/>
      <c r="S246" s="33"/>
      <c r="T246" s="33" t="s">
        <v>593</v>
      </c>
      <c r="U246" s="33">
        <v>0</v>
      </c>
      <c r="V246" s="33">
        <v>-1.8360000000000001</v>
      </c>
      <c r="W246" s="33" t="s">
        <v>592</v>
      </c>
      <c r="X246" s="33"/>
      <c r="Y246" s="33"/>
      <c r="Z246" s="33">
        <v>1</v>
      </c>
      <c r="AA246" s="33">
        <v>2</v>
      </c>
      <c r="AB246" s="33">
        <v>0</v>
      </c>
      <c r="AC246" s="33">
        <v>20</v>
      </c>
      <c r="AD246" s="33">
        <v>1</v>
      </c>
      <c r="AE246" s="33">
        <v>0</v>
      </c>
    </row>
    <row r="247" spans="1:31" x14ac:dyDescent="0.3">
      <c r="A247" s="33" t="s">
        <v>509</v>
      </c>
      <c r="B247" s="33" t="s">
        <v>352</v>
      </c>
      <c r="C247" s="33">
        <v>-13.4</v>
      </c>
      <c r="D247" s="33">
        <v>-12.3</v>
      </c>
      <c r="E247" s="33">
        <v>-10.4</v>
      </c>
      <c r="F247" s="33">
        <v>-15.6</v>
      </c>
      <c r="G247" s="33">
        <v>3700</v>
      </c>
      <c r="H247" s="33">
        <v>8.92</v>
      </c>
      <c r="I247" s="33">
        <v>-2.08</v>
      </c>
      <c r="J247" s="33">
        <v>-3.6459999999999999</v>
      </c>
      <c r="K247" s="33">
        <v>1</v>
      </c>
      <c r="L247" s="33">
        <v>1.6220000000000001</v>
      </c>
      <c r="M247" s="33">
        <v>-2</v>
      </c>
      <c r="N247" s="33">
        <v>-1</v>
      </c>
      <c r="O247" s="33">
        <v>-1</v>
      </c>
      <c r="P247" s="33">
        <v>0</v>
      </c>
      <c r="Q247" s="33">
        <v>1</v>
      </c>
      <c r="R247" s="33">
        <v>1</v>
      </c>
      <c r="S247" s="33"/>
      <c r="T247" s="33" t="s">
        <v>593</v>
      </c>
      <c r="U247" s="33">
        <v>0</v>
      </c>
      <c r="V247" s="33">
        <v>-1.8360000000000001</v>
      </c>
      <c r="W247" s="33" t="s">
        <v>592</v>
      </c>
      <c r="X247" s="33"/>
      <c r="Y247" s="33"/>
      <c r="Z247" s="33">
        <v>1</v>
      </c>
      <c r="AA247" s="33">
        <v>2</v>
      </c>
      <c r="AB247" s="33">
        <v>0</v>
      </c>
      <c r="AC247" s="33"/>
      <c r="AD247" s="33">
        <v>0</v>
      </c>
      <c r="AE247" s="33"/>
    </row>
    <row r="248" spans="1:31" x14ac:dyDescent="0.3">
      <c r="A248" s="33" t="s">
        <v>510</v>
      </c>
      <c r="B248" s="33" t="s">
        <v>355</v>
      </c>
      <c r="C248" s="33">
        <v>-8.6999999999999993</v>
      </c>
      <c r="D248" s="33">
        <v>-8.8000000000000007</v>
      </c>
      <c r="E248" s="33">
        <v>-8.6999999999999993</v>
      </c>
      <c r="F248" s="33">
        <v>-7.7</v>
      </c>
      <c r="G248" s="33">
        <v>2415</v>
      </c>
      <c r="H248" s="33">
        <v>8.8819999999999997</v>
      </c>
      <c r="I248" s="33">
        <v>-1.1180000000000001</v>
      </c>
      <c r="J248" s="33">
        <v>-0.20699999999999999</v>
      </c>
      <c r="K248" s="33">
        <v>1</v>
      </c>
      <c r="L248" s="33">
        <v>2.0699999999999998</v>
      </c>
      <c r="M248" s="33">
        <v>2</v>
      </c>
      <c r="N248" s="33">
        <v>1</v>
      </c>
      <c r="O248" s="33">
        <v>-1</v>
      </c>
      <c r="P248" s="33">
        <v>0</v>
      </c>
      <c r="Q248" s="33">
        <v>1</v>
      </c>
      <c r="R248" s="33">
        <v>-1</v>
      </c>
      <c r="S248" s="33"/>
      <c r="T248" s="33" t="s">
        <v>594</v>
      </c>
      <c r="U248" s="33">
        <v>0.5</v>
      </c>
      <c r="V248" s="33">
        <v>-1.3360000000000001</v>
      </c>
      <c r="W248" s="33" t="s">
        <v>592</v>
      </c>
      <c r="X248" s="33"/>
      <c r="Y248" s="33"/>
      <c r="Z248" s="33">
        <v>1</v>
      </c>
      <c r="AA248" s="33">
        <v>4</v>
      </c>
      <c r="AB248" s="33">
        <v>0</v>
      </c>
      <c r="AC248" s="33">
        <v>25</v>
      </c>
      <c r="AD248" s="33">
        <v>0</v>
      </c>
      <c r="AE248" s="33">
        <v>1</v>
      </c>
    </row>
    <row r="249" spans="1:31" x14ac:dyDescent="0.3">
      <c r="A249" s="33" t="s">
        <v>511</v>
      </c>
      <c r="B249" s="33" t="s">
        <v>358</v>
      </c>
      <c r="C249" s="33">
        <v>14.4</v>
      </c>
      <c r="D249" s="33">
        <v>14</v>
      </c>
      <c r="E249" s="33">
        <v>3.6</v>
      </c>
      <c r="F249" s="33">
        <v>5.4</v>
      </c>
      <c r="G249" s="33">
        <v>2250</v>
      </c>
      <c r="H249" s="33">
        <v>5.0419999999999998</v>
      </c>
      <c r="I249" s="33">
        <v>-6.9580000000000002</v>
      </c>
      <c r="J249" s="33">
        <v>-2.1739999999999999</v>
      </c>
      <c r="K249" s="33">
        <v>1</v>
      </c>
      <c r="L249" s="33">
        <v>1.778</v>
      </c>
      <c r="M249" s="33">
        <v>0</v>
      </c>
      <c r="N249" s="33">
        <v>0</v>
      </c>
      <c r="O249" s="33">
        <v>-1</v>
      </c>
      <c r="P249" s="33">
        <v>0</v>
      </c>
      <c r="Q249" s="33">
        <v>-1</v>
      </c>
      <c r="R249" s="33"/>
      <c r="S249" s="33"/>
      <c r="T249" s="33" t="s">
        <v>591</v>
      </c>
      <c r="U249" s="33">
        <v>0</v>
      </c>
      <c r="V249" s="33">
        <v>-1.899</v>
      </c>
      <c r="W249" s="33" t="s">
        <v>592</v>
      </c>
      <c r="X249" s="33"/>
      <c r="Y249" s="33"/>
      <c r="Z249" s="33">
        <v>1</v>
      </c>
      <c r="AA249" s="33">
        <v>3</v>
      </c>
      <c r="AB249" s="33">
        <v>1</v>
      </c>
      <c r="AC249" s="33"/>
      <c r="AD249" s="33">
        <v>1</v>
      </c>
      <c r="AE249" s="33">
        <v>1</v>
      </c>
    </row>
    <row r="250" spans="1:31" x14ac:dyDescent="0.3">
      <c r="A250" s="33" t="s">
        <v>512</v>
      </c>
      <c r="B250" s="33" t="s">
        <v>361</v>
      </c>
      <c r="C250" s="33">
        <v>1</v>
      </c>
      <c r="D250" s="33">
        <v>-0.5</v>
      </c>
      <c r="E250" s="33">
        <v>1.9</v>
      </c>
      <c r="F250" s="33">
        <v>0.5</v>
      </c>
      <c r="G250" s="33">
        <v>3020</v>
      </c>
      <c r="H250" s="33">
        <v>9.8979999999999997</v>
      </c>
      <c r="I250" s="33">
        <v>3.8980000000000001</v>
      </c>
      <c r="J250" s="33">
        <v>-0.65800000000000003</v>
      </c>
      <c r="K250" s="33">
        <v>1</v>
      </c>
      <c r="L250" s="33">
        <v>1.9870000000000001</v>
      </c>
      <c r="M250" s="33">
        <v>-2</v>
      </c>
      <c r="N250" s="33">
        <v>-1</v>
      </c>
      <c r="O250" s="33">
        <v>-1</v>
      </c>
      <c r="P250" s="33">
        <v>0</v>
      </c>
      <c r="Q250" s="33">
        <v>0</v>
      </c>
      <c r="R250" s="33">
        <v>1</v>
      </c>
      <c r="S250" s="33"/>
      <c r="T250" s="33" t="s">
        <v>593</v>
      </c>
      <c r="U250" s="33">
        <v>0</v>
      </c>
      <c r="V250" s="33">
        <v>-1.899</v>
      </c>
      <c r="W250" s="33" t="s">
        <v>592</v>
      </c>
      <c r="X250" s="33"/>
      <c r="Y250" s="33"/>
      <c r="Z250" s="33">
        <v>1</v>
      </c>
      <c r="AA250" s="33">
        <v>2</v>
      </c>
      <c r="AB250" s="33">
        <v>1</v>
      </c>
      <c r="AC250" s="33"/>
      <c r="AD250" s="33">
        <v>1</v>
      </c>
      <c r="AE250" s="33">
        <v>0</v>
      </c>
    </row>
    <row r="251" spans="1:31" x14ac:dyDescent="0.3">
      <c r="A251" s="33" t="s">
        <v>513</v>
      </c>
      <c r="B251" s="33" t="s">
        <v>365</v>
      </c>
      <c r="C251" s="33">
        <v>-8</v>
      </c>
      <c r="D251" s="33">
        <v>-8.4</v>
      </c>
      <c r="E251" s="33">
        <v>-4.5999999999999996</v>
      </c>
      <c r="F251" s="33">
        <v>-6.9</v>
      </c>
      <c r="G251" s="33">
        <v>4060</v>
      </c>
      <c r="H251" s="33">
        <v>8.7889999999999997</v>
      </c>
      <c r="I251" s="33">
        <v>-4.2110000000000003</v>
      </c>
      <c r="J251" s="33">
        <v>0.247</v>
      </c>
      <c r="K251" s="33">
        <v>0</v>
      </c>
      <c r="L251" s="33">
        <v>1.97</v>
      </c>
      <c r="M251" s="33">
        <v>0</v>
      </c>
      <c r="N251" s="33">
        <v>0</v>
      </c>
      <c r="O251" s="33">
        <v>-1</v>
      </c>
      <c r="P251" s="33">
        <v>0</v>
      </c>
      <c r="Q251" s="33">
        <v>1</v>
      </c>
      <c r="R251" s="33">
        <v>0</v>
      </c>
      <c r="S251" s="33"/>
      <c r="T251" s="33" t="s">
        <v>593</v>
      </c>
      <c r="U251" s="33">
        <v>0</v>
      </c>
      <c r="V251" s="33">
        <v>-1.899</v>
      </c>
      <c r="W251" s="33" t="s">
        <v>592</v>
      </c>
      <c r="X251" s="33"/>
      <c r="Y251" s="33"/>
      <c r="Z251" s="33">
        <v>1</v>
      </c>
      <c r="AA251" s="33">
        <v>2</v>
      </c>
      <c r="AB251" s="33">
        <v>1</v>
      </c>
      <c r="AC251" s="33"/>
      <c r="AD251" s="33">
        <v>1</v>
      </c>
      <c r="AE251" s="33">
        <v>0</v>
      </c>
    </row>
    <row r="252" spans="1:31" x14ac:dyDescent="0.3">
      <c r="A252" s="33" t="s">
        <v>514</v>
      </c>
      <c r="B252" s="33" t="s">
        <v>368</v>
      </c>
      <c r="C252" s="33">
        <v>0.3</v>
      </c>
      <c r="D252" s="33">
        <v>0.6</v>
      </c>
      <c r="E252" s="33">
        <v>0.5</v>
      </c>
      <c r="F252" s="33">
        <v>1.1000000000000001</v>
      </c>
      <c r="G252" s="33">
        <v>2690</v>
      </c>
      <c r="H252" s="33">
        <v>8.468</v>
      </c>
      <c r="I252" s="33">
        <v>-1.532</v>
      </c>
      <c r="J252" s="33">
        <v>0.749</v>
      </c>
      <c r="K252" s="33">
        <v>0</v>
      </c>
      <c r="L252" s="33">
        <v>2.23</v>
      </c>
      <c r="M252" s="33">
        <v>-3.79</v>
      </c>
      <c r="N252" s="33"/>
      <c r="O252" s="33">
        <v>-1</v>
      </c>
      <c r="P252" s="33">
        <v>0</v>
      </c>
      <c r="Q252" s="33">
        <v>1</v>
      </c>
      <c r="R252" s="33">
        <v>0</v>
      </c>
      <c r="S252" s="33"/>
      <c r="T252" s="33" t="s">
        <v>594</v>
      </c>
      <c r="U252" s="33">
        <v>0.5</v>
      </c>
      <c r="V252" s="33">
        <v>-1.399</v>
      </c>
      <c r="W252" s="33" t="s">
        <v>592</v>
      </c>
      <c r="X252" s="33"/>
      <c r="Y252" s="33"/>
      <c r="Z252" s="33">
        <v>1</v>
      </c>
      <c r="AA252" s="33">
        <v>3</v>
      </c>
      <c r="AB252" s="33">
        <v>1</v>
      </c>
      <c r="AC252" s="33"/>
      <c r="AD252" s="33">
        <v>0</v>
      </c>
      <c r="AE252" s="33">
        <v>1</v>
      </c>
    </row>
    <row r="253" spans="1:31" x14ac:dyDescent="0.3">
      <c r="A253" s="33" t="s">
        <v>515</v>
      </c>
      <c r="B253" s="33" t="s">
        <v>372</v>
      </c>
      <c r="C253" s="33">
        <v>4.5999999999999996</v>
      </c>
      <c r="D253" s="33">
        <v>4.4000000000000004</v>
      </c>
      <c r="E253" s="33">
        <v>10.3</v>
      </c>
      <c r="F253" s="33">
        <v>8.9</v>
      </c>
      <c r="G253" s="33">
        <v>2610</v>
      </c>
      <c r="H253" s="33">
        <v>14.877000000000001</v>
      </c>
      <c r="I253" s="33">
        <v>2.8769999999999998</v>
      </c>
      <c r="J253" s="33">
        <v>3.1619999999999999</v>
      </c>
      <c r="K253" s="33">
        <v>0</v>
      </c>
      <c r="L253" s="33">
        <v>1.5329999999999999</v>
      </c>
      <c r="M253" s="33">
        <v>-1.82</v>
      </c>
      <c r="N253" s="33"/>
      <c r="O253" s="33">
        <v>0</v>
      </c>
      <c r="P253" s="33">
        <v>0</v>
      </c>
      <c r="Q253" s="33"/>
      <c r="R253" s="33">
        <v>1</v>
      </c>
      <c r="S253" s="33"/>
      <c r="T253" s="33" t="s">
        <v>591</v>
      </c>
      <c r="U253" s="33">
        <v>0</v>
      </c>
      <c r="V253" s="33"/>
      <c r="W253" s="33" t="s">
        <v>591</v>
      </c>
      <c r="X253" s="33">
        <v>0</v>
      </c>
      <c r="Y253" s="33">
        <v>11</v>
      </c>
      <c r="Z253" s="33">
        <v>1</v>
      </c>
      <c r="AA253" s="33">
        <v>3</v>
      </c>
      <c r="AB253" s="33">
        <v>0</v>
      </c>
      <c r="AC253" s="33"/>
      <c r="AD253" s="33">
        <v>1</v>
      </c>
      <c r="AE253" s="33">
        <v>1</v>
      </c>
    </row>
    <row r="254" spans="1:31" x14ac:dyDescent="0.3">
      <c r="A254" s="33" t="s">
        <v>516</v>
      </c>
      <c r="B254" s="33" t="s">
        <v>376</v>
      </c>
      <c r="C254" s="33">
        <v>0.7</v>
      </c>
      <c r="D254" s="33">
        <v>-1.6</v>
      </c>
      <c r="E254" s="33">
        <v>-4.8</v>
      </c>
      <c r="F254" s="33">
        <v>-8.4</v>
      </c>
      <c r="G254" s="33">
        <v>3570</v>
      </c>
      <c r="H254" s="33">
        <v>15.31</v>
      </c>
      <c r="I254" s="33">
        <v>-2.69</v>
      </c>
      <c r="J254" s="33">
        <v>3.1789999999999998</v>
      </c>
      <c r="K254" s="33">
        <v>0</v>
      </c>
      <c r="L254" s="33">
        <v>1.681</v>
      </c>
      <c r="M254" s="33">
        <v>-2</v>
      </c>
      <c r="N254" s="33">
        <v>-1</v>
      </c>
      <c r="O254" s="33">
        <v>1</v>
      </c>
      <c r="P254" s="33">
        <v>0</v>
      </c>
      <c r="Q254" s="33">
        <v>-1</v>
      </c>
      <c r="R254" s="33">
        <v>1</v>
      </c>
      <c r="S254" s="33"/>
      <c r="T254" s="33" t="s">
        <v>591</v>
      </c>
      <c r="U254" s="33">
        <v>0</v>
      </c>
      <c r="V254" s="33">
        <v>-0.10299999999999999</v>
      </c>
      <c r="W254" s="33" t="s">
        <v>594</v>
      </c>
      <c r="X254" s="33">
        <v>3</v>
      </c>
      <c r="Y254" s="33">
        <v>14</v>
      </c>
      <c r="Z254" s="33">
        <v>1</v>
      </c>
      <c r="AA254" s="33">
        <v>3</v>
      </c>
      <c r="AB254" s="33">
        <v>0</v>
      </c>
      <c r="AC254" s="33"/>
      <c r="AD254" s="33">
        <v>1</v>
      </c>
      <c r="AE254" s="33">
        <v>0</v>
      </c>
    </row>
    <row r="255" spans="1:31" x14ac:dyDescent="0.3">
      <c r="A255" s="33" t="s">
        <v>517</v>
      </c>
      <c r="B255" s="33" t="s">
        <v>380</v>
      </c>
      <c r="C255" s="33">
        <v>17.399999999999999</v>
      </c>
      <c r="D255" s="33">
        <v>16.3</v>
      </c>
      <c r="E255" s="33">
        <v>22.1</v>
      </c>
      <c r="F255" s="33">
        <v>19.600000000000001</v>
      </c>
      <c r="G255" s="33">
        <v>4730</v>
      </c>
      <c r="H255" s="33">
        <v>15.507</v>
      </c>
      <c r="I255" s="33">
        <v>-1.4930000000000001</v>
      </c>
      <c r="J255" s="33">
        <v>2.6030000000000002</v>
      </c>
      <c r="K255" s="33">
        <v>0</v>
      </c>
      <c r="L255" s="33">
        <v>1.6910000000000001</v>
      </c>
      <c r="M255" s="33">
        <v>0.66</v>
      </c>
      <c r="N255" s="33"/>
      <c r="O255" s="33">
        <v>-1</v>
      </c>
      <c r="P255" s="33">
        <v>0</v>
      </c>
      <c r="Q255" s="33">
        <v>1</v>
      </c>
      <c r="R255" s="33">
        <v>0</v>
      </c>
      <c r="S255" s="33"/>
      <c r="T255" s="33" t="s">
        <v>594</v>
      </c>
      <c r="U255" s="33">
        <v>0.5</v>
      </c>
      <c r="V255" s="33">
        <v>0.39700000000000002</v>
      </c>
      <c r="W255" s="33" t="s">
        <v>594</v>
      </c>
      <c r="X255" s="33">
        <v>1</v>
      </c>
      <c r="Y255" s="33">
        <v>15</v>
      </c>
      <c r="Z255" s="33">
        <v>1</v>
      </c>
      <c r="AA255" s="33">
        <v>3</v>
      </c>
      <c r="AB255" s="33">
        <v>0</v>
      </c>
      <c r="AC255" s="33"/>
      <c r="AD255" s="33">
        <v>1</v>
      </c>
      <c r="AE255" s="33">
        <v>1</v>
      </c>
    </row>
  </sheetData>
  <mergeCells count="1"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1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9" customWidth="1"/>
    <col min="2" max="2" width="26" customWidth="1"/>
    <col min="3" max="3" width="12" customWidth="1"/>
    <col min="4" max="5" width="11" customWidth="1"/>
    <col min="6" max="8" width="8" customWidth="1"/>
    <col min="9" max="10" width="9" customWidth="1"/>
    <col min="11" max="11" width="13" customWidth="1"/>
    <col min="12" max="12" width="9" customWidth="1"/>
    <col min="13" max="13" width="120" customWidth="1"/>
  </cols>
  <sheetData>
    <row r="1" spans="1:13" ht="17.399999999999999" x14ac:dyDescent="0.35">
      <c r="A1" s="1" t="s">
        <v>595</v>
      </c>
    </row>
    <row r="2" spans="1:13" x14ac:dyDescent="0.3">
      <c r="A2" s="2" t="s">
        <v>596</v>
      </c>
    </row>
    <row r="4" spans="1:13" x14ac:dyDescent="0.3">
      <c r="A4" s="3" t="s">
        <v>597</v>
      </c>
      <c r="B4" s="3" t="s">
        <v>598</v>
      </c>
      <c r="C4" s="3" t="s">
        <v>599</v>
      </c>
      <c r="D4" s="3" t="s">
        <v>208</v>
      </c>
      <c r="E4" s="3" t="s">
        <v>600</v>
      </c>
      <c r="F4" s="3" t="s">
        <v>601</v>
      </c>
      <c r="G4" s="3" t="s">
        <v>602</v>
      </c>
      <c r="H4" s="3" t="s">
        <v>603</v>
      </c>
      <c r="I4" s="3" t="s">
        <v>3</v>
      </c>
      <c r="J4" s="3" t="s">
        <v>604</v>
      </c>
      <c r="K4" s="3" t="s">
        <v>605</v>
      </c>
      <c r="L4" s="3" t="s">
        <v>606</v>
      </c>
      <c r="M4" s="3" t="s">
        <v>607</v>
      </c>
    </row>
    <row r="5" spans="1:13" x14ac:dyDescent="0.3">
      <c r="A5" t="s">
        <v>26</v>
      </c>
      <c r="B5" t="s">
        <v>608</v>
      </c>
      <c r="C5" t="s">
        <v>265</v>
      </c>
      <c r="D5" t="s">
        <v>266</v>
      </c>
      <c r="E5" t="s">
        <v>276</v>
      </c>
      <c r="I5" t="s">
        <v>609</v>
      </c>
      <c r="J5">
        <v>26.57</v>
      </c>
      <c r="K5" t="s">
        <v>276</v>
      </c>
      <c r="M5" t="s">
        <v>610</v>
      </c>
    </row>
    <row r="6" spans="1:13" x14ac:dyDescent="0.3">
      <c r="A6" t="s">
        <v>26</v>
      </c>
      <c r="B6" t="s">
        <v>608</v>
      </c>
      <c r="C6" t="s">
        <v>4</v>
      </c>
      <c r="D6" t="s">
        <v>270</v>
      </c>
      <c r="E6" t="s">
        <v>276</v>
      </c>
      <c r="I6" t="s">
        <v>609</v>
      </c>
      <c r="J6">
        <v>26.57</v>
      </c>
      <c r="K6" t="s">
        <v>276</v>
      </c>
      <c r="M6" t="s">
        <v>610</v>
      </c>
    </row>
    <row r="7" spans="1:13" x14ac:dyDescent="0.3">
      <c r="A7" t="s">
        <v>26</v>
      </c>
      <c r="B7" t="s">
        <v>611</v>
      </c>
      <c r="C7" t="s">
        <v>4</v>
      </c>
      <c r="D7" t="s">
        <v>270</v>
      </c>
      <c r="E7" t="s">
        <v>276</v>
      </c>
      <c r="I7" t="s">
        <v>609</v>
      </c>
      <c r="K7" t="s">
        <v>612</v>
      </c>
      <c r="M7" t="s">
        <v>613</v>
      </c>
    </row>
    <row r="8" spans="1:13" x14ac:dyDescent="0.3">
      <c r="A8" t="s">
        <v>26</v>
      </c>
      <c r="B8" t="s">
        <v>614</v>
      </c>
      <c r="C8" t="s">
        <v>265</v>
      </c>
      <c r="D8" t="s">
        <v>266</v>
      </c>
      <c r="E8" t="s">
        <v>615</v>
      </c>
      <c r="I8" t="s">
        <v>616</v>
      </c>
      <c r="K8" t="s">
        <v>612</v>
      </c>
      <c r="M8" t="s">
        <v>617</v>
      </c>
    </row>
    <row r="9" spans="1:13" x14ac:dyDescent="0.3">
      <c r="A9" t="s">
        <v>26</v>
      </c>
      <c r="B9" t="s">
        <v>614</v>
      </c>
      <c r="C9" t="s">
        <v>4</v>
      </c>
      <c r="D9" t="s">
        <v>270</v>
      </c>
      <c r="E9" t="s">
        <v>615</v>
      </c>
      <c r="I9" t="s">
        <v>616</v>
      </c>
      <c r="K9" t="s">
        <v>612</v>
      </c>
      <c r="M9" t="s">
        <v>618</v>
      </c>
    </row>
    <row r="10" spans="1:13" x14ac:dyDescent="0.3">
      <c r="A10" t="s">
        <v>26</v>
      </c>
      <c r="B10" t="s">
        <v>619</v>
      </c>
      <c r="C10" t="s">
        <v>265</v>
      </c>
      <c r="D10" t="s">
        <v>266</v>
      </c>
      <c r="E10" t="s">
        <v>276</v>
      </c>
      <c r="I10" t="s">
        <v>609</v>
      </c>
      <c r="K10" t="s">
        <v>612</v>
      </c>
      <c r="M10" t="s">
        <v>620</v>
      </c>
    </row>
    <row r="11" spans="1:13" x14ac:dyDescent="0.3">
      <c r="A11" t="s">
        <v>27</v>
      </c>
      <c r="B11" t="s">
        <v>621</v>
      </c>
      <c r="C11" t="s">
        <v>7</v>
      </c>
      <c r="D11" t="s">
        <v>290</v>
      </c>
      <c r="E11" t="s">
        <v>622</v>
      </c>
      <c r="H11">
        <v>0</v>
      </c>
      <c r="I11" t="s">
        <v>51</v>
      </c>
      <c r="J11">
        <v>7.99</v>
      </c>
      <c r="K11" t="s">
        <v>304</v>
      </c>
      <c r="M11" t="s">
        <v>623</v>
      </c>
    </row>
    <row r="12" spans="1:13" x14ac:dyDescent="0.3">
      <c r="A12" t="s">
        <v>27</v>
      </c>
      <c r="B12" t="s">
        <v>621</v>
      </c>
      <c r="C12" t="s">
        <v>8</v>
      </c>
      <c r="D12" t="s">
        <v>299</v>
      </c>
      <c r="E12" t="s">
        <v>624</v>
      </c>
      <c r="F12">
        <v>0</v>
      </c>
      <c r="I12" t="s">
        <v>51</v>
      </c>
      <c r="J12">
        <v>7.99</v>
      </c>
      <c r="K12" t="s">
        <v>281</v>
      </c>
      <c r="L12">
        <v>7.99</v>
      </c>
      <c r="M12" t="s">
        <v>625</v>
      </c>
    </row>
    <row r="13" spans="1:13" x14ac:dyDescent="0.3">
      <c r="A13" t="s">
        <v>27</v>
      </c>
      <c r="B13" t="s">
        <v>621</v>
      </c>
      <c r="C13" t="s">
        <v>9</v>
      </c>
      <c r="D13" t="s">
        <v>307</v>
      </c>
      <c r="E13" t="s">
        <v>624</v>
      </c>
      <c r="F13">
        <v>0</v>
      </c>
      <c r="I13" t="s">
        <v>51</v>
      </c>
      <c r="J13">
        <v>7.99</v>
      </c>
      <c r="K13" t="s">
        <v>281</v>
      </c>
      <c r="L13">
        <v>7.99</v>
      </c>
      <c r="M13" t="s">
        <v>626</v>
      </c>
    </row>
    <row r="14" spans="1:13" x14ac:dyDescent="0.3">
      <c r="A14" t="s">
        <v>27</v>
      </c>
      <c r="B14" t="s">
        <v>619</v>
      </c>
      <c r="C14" t="s">
        <v>7</v>
      </c>
      <c r="D14" t="s">
        <v>290</v>
      </c>
      <c r="E14" t="s">
        <v>622</v>
      </c>
      <c r="H14">
        <v>0</v>
      </c>
      <c r="I14" t="s">
        <v>627</v>
      </c>
      <c r="J14">
        <v>-174.66</v>
      </c>
      <c r="K14" t="s">
        <v>304</v>
      </c>
      <c r="M14" t="s">
        <v>628</v>
      </c>
    </row>
    <row r="15" spans="1:13" x14ac:dyDescent="0.3">
      <c r="A15" t="s">
        <v>27</v>
      </c>
      <c r="B15" t="s">
        <v>619</v>
      </c>
      <c r="C15" t="s">
        <v>8</v>
      </c>
      <c r="D15" t="s">
        <v>299</v>
      </c>
      <c r="E15" t="s">
        <v>622</v>
      </c>
      <c r="H15">
        <v>0</v>
      </c>
      <c r="I15" t="s">
        <v>627</v>
      </c>
      <c r="J15">
        <v>-174.66</v>
      </c>
      <c r="K15" t="s">
        <v>304</v>
      </c>
      <c r="M15" t="s">
        <v>629</v>
      </c>
    </row>
    <row r="16" spans="1:13" x14ac:dyDescent="0.3">
      <c r="A16" t="s">
        <v>28</v>
      </c>
      <c r="B16" t="s">
        <v>621</v>
      </c>
      <c r="C16" t="s">
        <v>11</v>
      </c>
      <c r="D16" t="s">
        <v>321</v>
      </c>
      <c r="E16" t="s">
        <v>622</v>
      </c>
      <c r="H16">
        <v>0</v>
      </c>
      <c r="I16" t="s">
        <v>51</v>
      </c>
      <c r="J16">
        <v>2.27</v>
      </c>
      <c r="K16" t="s">
        <v>304</v>
      </c>
      <c r="M16" t="s">
        <v>630</v>
      </c>
    </row>
    <row r="17" spans="1:13" x14ac:dyDescent="0.3">
      <c r="A17" t="s">
        <v>28</v>
      </c>
      <c r="B17" t="s">
        <v>621</v>
      </c>
      <c r="C17" t="s">
        <v>12</v>
      </c>
      <c r="D17" t="s">
        <v>327</v>
      </c>
      <c r="E17" t="s">
        <v>622</v>
      </c>
      <c r="H17">
        <v>0</v>
      </c>
      <c r="I17" t="s">
        <v>51</v>
      </c>
      <c r="J17">
        <v>2.27</v>
      </c>
      <c r="K17" t="s">
        <v>304</v>
      </c>
      <c r="M17" t="s">
        <v>631</v>
      </c>
    </row>
    <row r="18" spans="1:13" x14ac:dyDescent="0.3">
      <c r="A18" t="s">
        <v>28</v>
      </c>
      <c r="B18" t="s">
        <v>621</v>
      </c>
      <c r="C18" t="s">
        <v>13</v>
      </c>
      <c r="D18" t="s">
        <v>334</v>
      </c>
      <c r="E18" t="s">
        <v>624</v>
      </c>
      <c r="F18">
        <v>0</v>
      </c>
      <c r="I18" t="s">
        <v>51</v>
      </c>
      <c r="J18">
        <v>2.27</v>
      </c>
      <c r="K18" t="s">
        <v>281</v>
      </c>
      <c r="L18">
        <v>2.27</v>
      </c>
      <c r="M18" t="s">
        <v>632</v>
      </c>
    </row>
    <row r="19" spans="1:13" x14ac:dyDescent="0.3">
      <c r="A19" t="s">
        <v>28</v>
      </c>
      <c r="B19" t="s">
        <v>621</v>
      </c>
      <c r="C19" t="s">
        <v>14</v>
      </c>
      <c r="D19" t="s">
        <v>338</v>
      </c>
      <c r="E19" t="s">
        <v>622</v>
      </c>
      <c r="H19">
        <v>1.5</v>
      </c>
      <c r="I19" t="s">
        <v>51</v>
      </c>
      <c r="J19">
        <v>2.27</v>
      </c>
      <c r="K19" t="s">
        <v>304</v>
      </c>
      <c r="M19" t="s">
        <v>633</v>
      </c>
    </row>
    <row r="20" spans="1:13" x14ac:dyDescent="0.3">
      <c r="A20" t="s">
        <v>28</v>
      </c>
      <c r="B20" t="s">
        <v>611</v>
      </c>
      <c r="C20" t="s">
        <v>11</v>
      </c>
      <c r="D20" t="s">
        <v>321</v>
      </c>
      <c r="E20" t="s">
        <v>276</v>
      </c>
      <c r="I20" t="s">
        <v>609</v>
      </c>
      <c r="K20" t="s">
        <v>612</v>
      </c>
      <c r="M20" t="s">
        <v>634</v>
      </c>
    </row>
    <row r="21" spans="1:13" x14ac:dyDescent="0.3">
      <c r="A21" t="s">
        <v>28</v>
      </c>
      <c r="B21" t="s">
        <v>635</v>
      </c>
      <c r="C21" t="s">
        <v>14</v>
      </c>
      <c r="D21" t="s">
        <v>338</v>
      </c>
      <c r="E21" t="s">
        <v>622</v>
      </c>
      <c r="H21">
        <v>20</v>
      </c>
      <c r="I21" t="s">
        <v>636</v>
      </c>
      <c r="J21">
        <v>18.28</v>
      </c>
      <c r="K21" t="s">
        <v>304</v>
      </c>
      <c r="M21" t="s">
        <v>637</v>
      </c>
    </row>
    <row r="22" spans="1:13" x14ac:dyDescent="0.3">
      <c r="A22" t="s">
        <v>28</v>
      </c>
      <c r="B22" t="s">
        <v>619</v>
      </c>
      <c r="C22" t="s">
        <v>11</v>
      </c>
      <c r="D22" t="s">
        <v>321</v>
      </c>
      <c r="E22" t="s">
        <v>622</v>
      </c>
      <c r="H22">
        <v>0</v>
      </c>
      <c r="I22" t="s">
        <v>627</v>
      </c>
      <c r="J22">
        <v>-27.22</v>
      </c>
      <c r="K22" t="s">
        <v>304</v>
      </c>
      <c r="M22" t="s">
        <v>638</v>
      </c>
    </row>
    <row r="23" spans="1:13" x14ac:dyDescent="0.3">
      <c r="A23" t="s">
        <v>29</v>
      </c>
      <c r="B23" t="s">
        <v>608</v>
      </c>
      <c r="C23" t="s">
        <v>15</v>
      </c>
      <c r="D23" t="s">
        <v>344</v>
      </c>
      <c r="E23" t="s">
        <v>624</v>
      </c>
      <c r="F23">
        <v>35</v>
      </c>
      <c r="I23" t="s">
        <v>636</v>
      </c>
      <c r="J23">
        <v>36.4</v>
      </c>
      <c r="K23" t="s">
        <v>281</v>
      </c>
      <c r="L23">
        <v>1.4</v>
      </c>
      <c r="M23" t="s">
        <v>639</v>
      </c>
    </row>
    <row r="24" spans="1:13" x14ac:dyDescent="0.3">
      <c r="A24" t="s">
        <v>29</v>
      </c>
      <c r="B24" t="s">
        <v>608</v>
      </c>
      <c r="C24" t="s">
        <v>16</v>
      </c>
      <c r="D24" t="s">
        <v>349</v>
      </c>
      <c r="E24" t="s">
        <v>624</v>
      </c>
      <c r="F24">
        <v>35</v>
      </c>
      <c r="I24" t="s">
        <v>636</v>
      </c>
      <c r="J24">
        <v>36.4</v>
      </c>
      <c r="K24" t="s">
        <v>281</v>
      </c>
      <c r="L24">
        <v>1.4</v>
      </c>
      <c r="M24" t="s">
        <v>640</v>
      </c>
    </row>
    <row r="25" spans="1:13" x14ac:dyDescent="0.3">
      <c r="A25" t="s">
        <v>29</v>
      </c>
      <c r="B25" t="s">
        <v>608</v>
      </c>
      <c r="C25" t="s">
        <v>17</v>
      </c>
      <c r="D25" t="s">
        <v>352</v>
      </c>
      <c r="E25" t="s">
        <v>624</v>
      </c>
      <c r="F25">
        <v>35</v>
      </c>
      <c r="I25" t="s">
        <v>636</v>
      </c>
      <c r="J25">
        <v>36.4</v>
      </c>
      <c r="K25" t="s">
        <v>281</v>
      </c>
      <c r="L25">
        <v>1.4</v>
      </c>
      <c r="M25" t="s">
        <v>640</v>
      </c>
    </row>
    <row r="26" spans="1:13" x14ac:dyDescent="0.3">
      <c r="A26" t="s">
        <v>29</v>
      </c>
      <c r="B26" t="s">
        <v>608</v>
      </c>
      <c r="C26" t="s">
        <v>18</v>
      </c>
      <c r="D26" t="s">
        <v>355</v>
      </c>
      <c r="E26" t="s">
        <v>622</v>
      </c>
      <c r="H26">
        <v>35.5</v>
      </c>
      <c r="I26" t="s">
        <v>636</v>
      </c>
      <c r="J26">
        <v>36.4</v>
      </c>
      <c r="K26" t="s">
        <v>304</v>
      </c>
      <c r="M26" t="s">
        <v>641</v>
      </c>
    </row>
    <row r="27" spans="1:13" x14ac:dyDescent="0.3">
      <c r="A27" t="s">
        <v>29</v>
      </c>
      <c r="B27" t="s">
        <v>642</v>
      </c>
      <c r="C27" t="s">
        <v>17</v>
      </c>
      <c r="D27" t="s">
        <v>352</v>
      </c>
      <c r="E27" t="s">
        <v>624</v>
      </c>
      <c r="F27">
        <v>2</v>
      </c>
      <c r="I27" t="s">
        <v>51</v>
      </c>
      <c r="J27">
        <v>3.99</v>
      </c>
      <c r="K27" t="s">
        <v>281</v>
      </c>
      <c r="L27">
        <v>1.99</v>
      </c>
      <c r="M27" t="s">
        <v>643</v>
      </c>
    </row>
    <row r="28" spans="1:13" x14ac:dyDescent="0.3">
      <c r="A28" t="s">
        <v>29</v>
      </c>
      <c r="B28" t="s">
        <v>642</v>
      </c>
      <c r="C28" t="s">
        <v>18</v>
      </c>
      <c r="D28" t="s">
        <v>355</v>
      </c>
      <c r="E28" t="s">
        <v>624</v>
      </c>
      <c r="F28">
        <v>2</v>
      </c>
      <c r="I28" t="s">
        <v>51</v>
      </c>
      <c r="J28">
        <v>3.99</v>
      </c>
      <c r="K28" t="s">
        <v>281</v>
      </c>
      <c r="L28">
        <v>1.99</v>
      </c>
      <c r="M28" t="s">
        <v>644</v>
      </c>
    </row>
    <row r="29" spans="1:13" x14ac:dyDescent="0.3">
      <c r="A29" t="s">
        <v>29</v>
      </c>
      <c r="B29" t="s">
        <v>635</v>
      </c>
      <c r="C29" t="s">
        <v>16</v>
      </c>
      <c r="D29" t="s">
        <v>349</v>
      </c>
      <c r="E29" t="s">
        <v>622</v>
      </c>
      <c r="H29">
        <v>20</v>
      </c>
      <c r="I29" t="s">
        <v>636</v>
      </c>
      <c r="J29">
        <v>30.82</v>
      </c>
      <c r="K29" t="s">
        <v>371</v>
      </c>
      <c r="M29" t="s">
        <v>645</v>
      </c>
    </row>
    <row r="30" spans="1:13" x14ac:dyDescent="0.3">
      <c r="A30" t="s">
        <v>29</v>
      </c>
      <c r="B30" t="s">
        <v>635</v>
      </c>
      <c r="C30" t="s">
        <v>18</v>
      </c>
      <c r="D30" t="s">
        <v>355</v>
      </c>
      <c r="E30" t="s">
        <v>622</v>
      </c>
      <c r="H30">
        <v>25</v>
      </c>
      <c r="I30" t="s">
        <v>636</v>
      </c>
      <c r="J30">
        <v>30.82</v>
      </c>
      <c r="K30" t="s">
        <v>371</v>
      </c>
      <c r="M30" t="s">
        <v>646</v>
      </c>
    </row>
    <row r="31" spans="1:13" x14ac:dyDescent="0.3">
      <c r="A31" t="s">
        <v>29</v>
      </c>
      <c r="B31" t="s">
        <v>647</v>
      </c>
      <c r="C31" t="s">
        <v>15</v>
      </c>
      <c r="D31" t="s">
        <v>344</v>
      </c>
      <c r="E31" t="s">
        <v>648</v>
      </c>
      <c r="F31">
        <v>15</v>
      </c>
      <c r="G31">
        <v>19</v>
      </c>
      <c r="H31">
        <v>17</v>
      </c>
      <c r="I31" t="s">
        <v>636</v>
      </c>
      <c r="J31">
        <v>20.5</v>
      </c>
      <c r="K31" t="s">
        <v>292</v>
      </c>
      <c r="L31">
        <v>1.5</v>
      </c>
      <c r="M31" t="s">
        <v>649</v>
      </c>
    </row>
    <row r="32" spans="1:13" x14ac:dyDescent="0.3">
      <c r="A32" t="s">
        <v>29</v>
      </c>
      <c r="B32" t="s">
        <v>647</v>
      </c>
      <c r="C32" t="s">
        <v>18</v>
      </c>
      <c r="D32" t="s">
        <v>355</v>
      </c>
      <c r="E32" t="s">
        <v>622</v>
      </c>
      <c r="H32">
        <v>20</v>
      </c>
      <c r="I32" t="s">
        <v>636</v>
      </c>
      <c r="J32">
        <v>20.5</v>
      </c>
      <c r="K32" t="s">
        <v>371</v>
      </c>
      <c r="M32" t="s">
        <v>650</v>
      </c>
    </row>
    <row r="33" spans="1:13" x14ac:dyDescent="0.3">
      <c r="A33" t="s">
        <v>30</v>
      </c>
      <c r="B33" t="s">
        <v>608</v>
      </c>
      <c r="C33" t="s">
        <v>19</v>
      </c>
      <c r="D33" t="s">
        <v>358</v>
      </c>
      <c r="E33" t="s">
        <v>624</v>
      </c>
      <c r="F33">
        <v>34.5</v>
      </c>
      <c r="I33" t="s">
        <v>636</v>
      </c>
      <c r="J33">
        <v>35.1</v>
      </c>
      <c r="K33" t="s">
        <v>281</v>
      </c>
      <c r="L33">
        <v>0.6</v>
      </c>
      <c r="M33" t="s">
        <v>651</v>
      </c>
    </row>
    <row r="34" spans="1:13" x14ac:dyDescent="0.3">
      <c r="A34" t="s">
        <v>30</v>
      </c>
      <c r="B34" t="s">
        <v>608</v>
      </c>
      <c r="C34" t="s">
        <v>20</v>
      </c>
      <c r="D34" t="s">
        <v>361</v>
      </c>
      <c r="E34" t="s">
        <v>624</v>
      </c>
      <c r="F34">
        <v>34.5</v>
      </c>
      <c r="I34" t="s">
        <v>636</v>
      </c>
      <c r="J34">
        <v>35.1</v>
      </c>
      <c r="K34" t="s">
        <v>281</v>
      </c>
      <c r="L34">
        <v>0.6</v>
      </c>
      <c r="M34" t="s">
        <v>652</v>
      </c>
    </row>
    <row r="35" spans="1:13" x14ac:dyDescent="0.3">
      <c r="A35" t="s">
        <v>30</v>
      </c>
      <c r="B35" t="s">
        <v>608</v>
      </c>
      <c r="C35" t="s">
        <v>21</v>
      </c>
      <c r="D35" t="s">
        <v>365</v>
      </c>
      <c r="E35" t="s">
        <v>624</v>
      </c>
      <c r="F35">
        <v>34.5</v>
      </c>
      <c r="I35" t="s">
        <v>636</v>
      </c>
      <c r="J35">
        <v>35.1</v>
      </c>
      <c r="K35" t="s">
        <v>281</v>
      </c>
      <c r="L35">
        <v>0.6</v>
      </c>
      <c r="M35" t="s">
        <v>653</v>
      </c>
    </row>
    <row r="36" spans="1:13" x14ac:dyDescent="0.3">
      <c r="A36" t="s">
        <v>30</v>
      </c>
      <c r="B36" t="s">
        <v>608</v>
      </c>
      <c r="C36" t="s">
        <v>22</v>
      </c>
      <c r="D36" t="s">
        <v>368</v>
      </c>
      <c r="E36" t="s">
        <v>622</v>
      </c>
      <c r="H36">
        <v>35</v>
      </c>
      <c r="I36" t="s">
        <v>636</v>
      </c>
      <c r="J36">
        <v>35.1</v>
      </c>
      <c r="K36" t="s">
        <v>333</v>
      </c>
      <c r="M36" t="s">
        <v>654</v>
      </c>
    </row>
    <row r="37" spans="1:13" x14ac:dyDescent="0.3">
      <c r="A37" t="s">
        <v>30</v>
      </c>
      <c r="B37" t="s">
        <v>655</v>
      </c>
      <c r="C37" t="s">
        <v>19</v>
      </c>
      <c r="D37" t="s">
        <v>358</v>
      </c>
      <c r="E37" t="s">
        <v>648</v>
      </c>
      <c r="F37">
        <v>200</v>
      </c>
      <c r="G37">
        <v>250</v>
      </c>
      <c r="H37">
        <v>225</v>
      </c>
      <c r="I37" t="s">
        <v>656</v>
      </c>
      <c r="K37" t="s">
        <v>612</v>
      </c>
      <c r="M37" t="s">
        <v>657</v>
      </c>
    </row>
    <row r="38" spans="1:13" x14ac:dyDescent="0.3">
      <c r="A38" t="s">
        <v>30</v>
      </c>
      <c r="B38" t="s">
        <v>655</v>
      </c>
      <c r="C38" t="s">
        <v>20</v>
      </c>
      <c r="D38" t="s">
        <v>361</v>
      </c>
      <c r="E38" t="s">
        <v>648</v>
      </c>
      <c r="F38">
        <v>200</v>
      </c>
      <c r="G38">
        <v>250</v>
      </c>
      <c r="H38">
        <v>225</v>
      </c>
      <c r="I38" t="s">
        <v>656</v>
      </c>
      <c r="K38" t="s">
        <v>612</v>
      </c>
      <c r="M38" t="s">
        <v>658</v>
      </c>
    </row>
    <row r="39" spans="1:13" x14ac:dyDescent="0.3">
      <c r="A39" t="s">
        <v>30</v>
      </c>
      <c r="B39" t="s">
        <v>655</v>
      </c>
      <c r="C39" t="s">
        <v>21</v>
      </c>
      <c r="D39" t="s">
        <v>365</v>
      </c>
      <c r="E39" t="s">
        <v>622</v>
      </c>
      <c r="H39">
        <v>200</v>
      </c>
      <c r="I39" t="s">
        <v>656</v>
      </c>
      <c r="K39" t="s">
        <v>612</v>
      </c>
      <c r="M39" t="s">
        <v>659</v>
      </c>
    </row>
    <row r="40" spans="1:13" x14ac:dyDescent="0.3">
      <c r="A40" t="s">
        <v>30</v>
      </c>
      <c r="B40" t="s">
        <v>655</v>
      </c>
      <c r="C40" t="s">
        <v>22</v>
      </c>
      <c r="D40" t="s">
        <v>368</v>
      </c>
      <c r="E40" t="s">
        <v>622</v>
      </c>
      <c r="H40">
        <v>200</v>
      </c>
      <c r="I40" t="s">
        <v>656</v>
      </c>
      <c r="K40" t="s">
        <v>612</v>
      </c>
      <c r="M40" t="s">
        <v>660</v>
      </c>
    </row>
    <row r="41" spans="1:13" x14ac:dyDescent="0.3">
      <c r="A41" t="s">
        <v>30</v>
      </c>
      <c r="B41" t="s">
        <v>647</v>
      </c>
      <c r="C41" t="s">
        <v>19</v>
      </c>
      <c r="D41" t="s">
        <v>358</v>
      </c>
      <c r="E41" t="s">
        <v>661</v>
      </c>
      <c r="G41">
        <v>20</v>
      </c>
      <c r="I41" t="s">
        <v>636</v>
      </c>
      <c r="J41">
        <v>19.95</v>
      </c>
      <c r="K41" t="s">
        <v>281</v>
      </c>
      <c r="L41">
        <v>0.05</v>
      </c>
      <c r="M41" t="s">
        <v>662</v>
      </c>
    </row>
    <row r="42" spans="1:13" x14ac:dyDescent="0.3">
      <c r="A42" t="s">
        <v>663</v>
      </c>
      <c r="B42" t="s">
        <v>608</v>
      </c>
      <c r="C42" t="s">
        <v>24</v>
      </c>
      <c r="D42" t="s">
        <v>376</v>
      </c>
      <c r="E42" t="s">
        <v>624</v>
      </c>
      <c r="F42">
        <v>35</v>
      </c>
      <c r="I42" t="s">
        <v>636</v>
      </c>
      <c r="K42" t="s">
        <v>664</v>
      </c>
      <c r="M42" t="s">
        <v>665</v>
      </c>
    </row>
    <row r="43" spans="1:13" x14ac:dyDescent="0.3">
      <c r="A43" t="s">
        <v>663</v>
      </c>
      <c r="B43" t="s">
        <v>608</v>
      </c>
      <c r="C43" t="s">
        <v>25</v>
      </c>
      <c r="D43" t="s">
        <v>380</v>
      </c>
      <c r="E43" t="s">
        <v>624</v>
      </c>
      <c r="F43">
        <v>35.5</v>
      </c>
      <c r="I43" t="s">
        <v>636</v>
      </c>
      <c r="K43" t="s">
        <v>664</v>
      </c>
      <c r="M43" t="s">
        <v>666</v>
      </c>
    </row>
    <row r="44" spans="1:13" x14ac:dyDescent="0.3">
      <c r="A44" t="s">
        <v>663</v>
      </c>
      <c r="B44" t="s">
        <v>621</v>
      </c>
      <c r="C44" t="s">
        <v>23</v>
      </c>
      <c r="D44" t="s">
        <v>372</v>
      </c>
      <c r="E44" t="s">
        <v>622</v>
      </c>
      <c r="H44">
        <v>0</v>
      </c>
      <c r="I44" t="s">
        <v>51</v>
      </c>
      <c r="K44" t="s">
        <v>664</v>
      </c>
      <c r="M44" t="s">
        <v>667</v>
      </c>
    </row>
    <row r="45" spans="1:13" x14ac:dyDescent="0.3">
      <c r="A45" t="s">
        <v>663</v>
      </c>
      <c r="B45" t="s">
        <v>668</v>
      </c>
      <c r="C45" t="s">
        <v>23</v>
      </c>
      <c r="D45" t="s">
        <v>372</v>
      </c>
      <c r="E45" t="s">
        <v>669</v>
      </c>
      <c r="F45">
        <v>10</v>
      </c>
      <c r="G45">
        <v>12</v>
      </c>
      <c r="H45">
        <v>11</v>
      </c>
      <c r="I45" t="s">
        <v>636</v>
      </c>
      <c r="K45" t="s">
        <v>664</v>
      </c>
      <c r="M45" t="s">
        <v>670</v>
      </c>
    </row>
    <row r="46" spans="1:13" x14ac:dyDescent="0.3">
      <c r="A46" t="s">
        <v>663</v>
      </c>
      <c r="B46" t="s">
        <v>668</v>
      </c>
      <c r="C46" t="s">
        <v>24</v>
      </c>
      <c r="D46" t="s">
        <v>376</v>
      </c>
      <c r="E46" t="s">
        <v>669</v>
      </c>
      <c r="F46">
        <v>12</v>
      </c>
      <c r="G46">
        <v>16</v>
      </c>
      <c r="H46">
        <v>14</v>
      </c>
      <c r="I46" t="s">
        <v>636</v>
      </c>
      <c r="K46" t="s">
        <v>664</v>
      </c>
      <c r="M46" t="s">
        <v>671</v>
      </c>
    </row>
    <row r="47" spans="1:13" x14ac:dyDescent="0.3">
      <c r="A47" t="s">
        <v>663</v>
      </c>
      <c r="B47" t="s">
        <v>668</v>
      </c>
      <c r="C47" t="s">
        <v>25</v>
      </c>
      <c r="D47" t="s">
        <v>380</v>
      </c>
      <c r="E47" t="s">
        <v>669</v>
      </c>
      <c r="F47">
        <v>14</v>
      </c>
      <c r="G47">
        <v>16</v>
      </c>
      <c r="H47">
        <v>15</v>
      </c>
      <c r="I47" t="s">
        <v>636</v>
      </c>
      <c r="K47" t="s">
        <v>664</v>
      </c>
      <c r="M47" t="s">
        <v>672</v>
      </c>
    </row>
    <row r="48" spans="1:13" x14ac:dyDescent="0.3">
      <c r="A48" t="s">
        <v>663</v>
      </c>
      <c r="B48" t="s">
        <v>647</v>
      </c>
      <c r="C48" t="s">
        <v>22</v>
      </c>
      <c r="D48" t="s">
        <v>368</v>
      </c>
      <c r="E48" t="s">
        <v>276</v>
      </c>
      <c r="I48" t="s">
        <v>609</v>
      </c>
      <c r="K48" t="s">
        <v>612</v>
      </c>
      <c r="M48" t="s">
        <v>673</v>
      </c>
    </row>
    <row r="49" spans="1:13" x14ac:dyDescent="0.3">
      <c r="A49" t="s">
        <v>663</v>
      </c>
      <c r="B49" t="s">
        <v>647</v>
      </c>
      <c r="C49" t="s">
        <v>23</v>
      </c>
      <c r="D49" t="s">
        <v>372</v>
      </c>
      <c r="E49" t="s">
        <v>648</v>
      </c>
      <c r="F49">
        <v>15</v>
      </c>
      <c r="G49">
        <v>19</v>
      </c>
      <c r="H49">
        <v>17</v>
      </c>
      <c r="I49" t="s">
        <v>636</v>
      </c>
      <c r="K49" t="s">
        <v>664</v>
      </c>
      <c r="M49" t="s">
        <v>674</v>
      </c>
    </row>
    <row r="50" spans="1:13" x14ac:dyDescent="0.3">
      <c r="A50" t="s">
        <v>663</v>
      </c>
      <c r="B50" t="s">
        <v>647</v>
      </c>
      <c r="C50" t="s">
        <v>24</v>
      </c>
      <c r="D50" t="s">
        <v>376</v>
      </c>
      <c r="E50" t="s">
        <v>648</v>
      </c>
      <c r="F50">
        <v>17</v>
      </c>
      <c r="G50">
        <v>19</v>
      </c>
      <c r="H50">
        <v>18</v>
      </c>
      <c r="I50" t="s">
        <v>636</v>
      </c>
      <c r="K50" t="s">
        <v>664</v>
      </c>
      <c r="M50" t="s">
        <v>675</v>
      </c>
    </row>
    <row r="51" spans="1:13" x14ac:dyDescent="0.3">
      <c r="A51" t="s">
        <v>663</v>
      </c>
      <c r="B51" t="s">
        <v>647</v>
      </c>
      <c r="C51" t="s">
        <v>25</v>
      </c>
      <c r="D51" t="s">
        <v>380</v>
      </c>
      <c r="E51" t="s">
        <v>648</v>
      </c>
      <c r="F51">
        <v>17</v>
      </c>
      <c r="G51">
        <v>19</v>
      </c>
      <c r="H51">
        <v>18</v>
      </c>
      <c r="I51" t="s">
        <v>636</v>
      </c>
      <c r="K51" t="s">
        <v>664</v>
      </c>
      <c r="M51" t="s">
        <v>676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"/>
  <sheetViews>
    <sheetView workbookViewId="0"/>
  </sheetViews>
  <sheetFormatPr defaultRowHeight="14.4" x14ac:dyDescent="0.3"/>
  <cols>
    <col min="1" max="1" width="40" customWidth="1"/>
    <col min="2" max="2" width="140" customWidth="1"/>
  </cols>
  <sheetData>
    <row r="1" spans="1:2" x14ac:dyDescent="0.3">
      <c r="A1" s="32" t="s">
        <v>677</v>
      </c>
      <c r="B1" s="38" t="s">
        <v>678</v>
      </c>
    </row>
    <row r="2" spans="1:2" ht="28.8" x14ac:dyDescent="0.3">
      <c r="A2" s="32" t="s">
        <v>679</v>
      </c>
      <c r="B2" s="38" t="s">
        <v>680</v>
      </c>
    </row>
    <row r="3" spans="1:2" ht="28.8" x14ac:dyDescent="0.3">
      <c r="A3" s="32" t="s">
        <v>681</v>
      </c>
      <c r="B3" s="38" t="s">
        <v>682</v>
      </c>
    </row>
    <row r="4" spans="1:2" ht="28.8" x14ac:dyDescent="0.3">
      <c r="A4" s="32" t="s">
        <v>683</v>
      </c>
      <c r="B4" s="38" t="s">
        <v>684</v>
      </c>
    </row>
    <row r="5" spans="1:2" ht="28.8" x14ac:dyDescent="0.3">
      <c r="A5" s="32" t="s">
        <v>685</v>
      </c>
      <c r="B5" s="38" t="s">
        <v>686</v>
      </c>
    </row>
    <row r="6" spans="1:2" ht="28.8" x14ac:dyDescent="0.3">
      <c r="A6" s="32" t="s">
        <v>687</v>
      </c>
      <c r="B6" s="38" t="s">
        <v>688</v>
      </c>
    </row>
    <row r="7" spans="1:2" ht="28.8" x14ac:dyDescent="0.3">
      <c r="A7" s="32" t="s">
        <v>689</v>
      </c>
      <c r="B7" s="38" t="s">
        <v>690</v>
      </c>
    </row>
    <row r="8" spans="1:2" ht="28.8" x14ac:dyDescent="0.3">
      <c r="A8" s="32" t="s">
        <v>691</v>
      </c>
      <c r="B8" s="38" t="s">
        <v>692</v>
      </c>
    </row>
    <row r="9" spans="1:2" ht="28.8" x14ac:dyDescent="0.3">
      <c r="A9" s="32" t="s">
        <v>693</v>
      </c>
      <c r="B9" s="38" t="s">
        <v>694</v>
      </c>
    </row>
    <row r="10" spans="1:2" ht="43.2" x14ac:dyDescent="0.3">
      <c r="A10" s="32" t="s">
        <v>695</v>
      </c>
      <c r="B10" s="38" t="s">
        <v>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Historicals</vt:lpstr>
      <vt:lpstr>Earnings</vt:lpstr>
      <vt:lpstr>Regressions</vt:lpstr>
      <vt:lpstr>Guidance vs move</vt:lpstr>
      <vt:lpstr>FY guides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krishang surapaneni</cp:lastModifiedBy>
  <dcterms:created xsi:type="dcterms:W3CDTF">2026-09-07T22:55:17Z</dcterms:created>
  <dcterms:modified xsi:type="dcterms:W3CDTF">2026-09-07T22:55:41Z</dcterms:modified>
</cp:coreProperties>
</file>